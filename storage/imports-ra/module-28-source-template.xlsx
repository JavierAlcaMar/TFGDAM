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 Iniciales" sheetId="1" state="visible" r:id="rId2"/>
    <sheet name="Actividades" sheetId="2" state="visible" r:id="rId3"/>
    <sheet name="Evaluacion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<sst xmlns="http://schemas.openxmlformats.org/spreadsheetml/2006/main" count="1800" uniqueCount="178">
  <si>
    <t xml:space="preserve">CICLO</t>
  </si>
  <si>
    <t xml:space="preserve">TÉCNICO EN EMERGENCIAS SANITARIAS</t>
  </si>
  <si>
    <t xml:space="preserve">NIVEL</t>
  </si>
  <si>
    <t xml:space="preserve">GM</t>
  </si>
  <si>
    <t xml:space="preserve">MODULO</t>
  </si>
  <si>
    <t xml:space="preserve">DOTACIÓN SANITARIA</t>
  </si>
  <si>
    <t xml:space="preserve">CÓDIGO MÓDULO</t>
  </si>
  <si>
    <t xml:space="preserve">0054</t>
  </si>
  <si>
    <t xml:space="preserve">Tabla 1 - Resultados de aprendizaje y sus pesos</t>
  </si>
  <si>
    <t xml:space="preserve">Tabla 2 - Unidades de trabajo (UT) y sus pesos respecto de los Resultados de Aprendizaje (RA)</t>
  </si>
  <si>
    <t xml:space="preserve">Listado 1 - Alumnos</t>
  </si>
  <si>
    <t xml:space="preserve">NumRA</t>
  </si>
  <si>
    <t xml:space="preserve">Resultado de Aprendizaje (Enunciado)</t>
  </si>
  <si>
    <t xml:space="preserve">Peso RA</t>
  </si>
  <si>
    <t xml:space="preserve">NumUT</t>
  </si>
  <si>
    <t xml:space="preserve">NumAlumno</t>
  </si>
  <si>
    <t xml:space="preserve">Nombre Alumno</t>
  </si>
  <si>
    <t xml:space="preserve">RA1</t>
  </si>
  <si>
    <t xml:space="preserve">Realiza el mantenimiento básico de la dotación sanitaria del vehículo interpretando y ejecutando las recomendaciones de los fabricantes de los equipos.</t>
  </si>
  <si>
    <t xml:space="preserve">UT1</t>
  </si>
  <si>
    <t xml:space="preserve">Alumno1</t>
  </si>
  <si>
    <t xml:space="preserve">RA2</t>
  </si>
  <si>
    <t xml:space="preserve">Controla las existencias y materiales del vehículo sanitario identificando sus características y necesidades de almacenamiento.</t>
  </si>
  <si>
    <t xml:space="preserve">UT2</t>
  </si>
  <si>
    <t xml:space="preserve">Alumno2</t>
  </si>
  <si>
    <t xml:space="preserve">RA3</t>
  </si>
  <si>
    <t xml:space="preserve">Esteriliza el material, relacionando los procedimientos con la seguridad de su ejecución.</t>
  </si>
  <si>
    <t xml:space="preserve">UT3</t>
  </si>
  <si>
    <t xml:space="preserve">Alumno3</t>
  </si>
  <si>
    <t xml:space="preserve">RA4</t>
  </si>
  <si>
    <t xml:space="preserve">Complementa la documentación clínico y no clínica de su competencia, relacionándola con su utilidad y analizando la información tipo que debe constar.</t>
  </si>
  <si>
    <t xml:space="preserve">UT4</t>
  </si>
  <si>
    <t xml:space="preserve">Alumno4</t>
  </si>
  <si>
    <t xml:space="preserve">RA5</t>
  </si>
  <si>
    <t xml:space="preserve">UT5</t>
  </si>
  <si>
    <t xml:space="preserve">Alumno5</t>
  </si>
  <si>
    <t xml:space="preserve">RA6</t>
  </si>
  <si>
    <t xml:space="preserve">UT6</t>
  </si>
  <si>
    <t xml:space="preserve">Alumno6</t>
  </si>
  <si>
    <t xml:space="preserve">RA7</t>
  </si>
  <si>
    <t xml:space="preserve">UT7</t>
  </si>
  <si>
    <t xml:space="preserve">Alumno7</t>
  </si>
  <si>
    <t xml:space="preserve">RA8</t>
  </si>
  <si>
    <t xml:space="preserve">UT8</t>
  </si>
  <si>
    <t xml:space="preserve">Alumno8</t>
  </si>
  <si>
    <t xml:space="preserve">RA9</t>
  </si>
  <si>
    <t xml:space="preserve">UT9</t>
  </si>
  <si>
    <t xml:space="preserve">Alumno9</t>
  </si>
  <si>
    <t xml:space="preserve">RA10</t>
  </si>
  <si>
    <t xml:space="preserve">UT10</t>
  </si>
  <si>
    <t xml:space="preserve">Alumno10</t>
  </si>
  <si>
    <t xml:space="preserve">Total</t>
  </si>
  <si>
    <t xml:space="preserve">UT11</t>
  </si>
  <si>
    <t xml:space="preserve">Alumno11</t>
  </si>
  <si>
    <t xml:space="preserve">UT12</t>
  </si>
  <si>
    <t xml:space="preserve">Alumno12</t>
  </si>
  <si>
    <t xml:space="preserve">UT13</t>
  </si>
  <si>
    <t xml:space="preserve">Alumno13</t>
  </si>
  <si>
    <t xml:space="preserve">UT14</t>
  </si>
  <si>
    <t xml:space="preserve">Alumno14</t>
  </si>
  <si>
    <t xml:space="preserve">UT15</t>
  </si>
  <si>
    <t xml:space="preserve">Alumno15</t>
  </si>
  <si>
    <t xml:space="preserve">UT16</t>
  </si>
  <si>
    <t xml:space="preserve">Alumno16</t>
  </si>
  <si>
    <t xml:space="preserve">UT17</t>
  </si>
  <si>
    <t xml:space="preserve">Alumno17</t>
  </si>
  <si>
    <t xml:space="preserve">UT18</t>
  </si>
  <si>
    <t xml:space="preserve">Alumno18</t>
  </si>
  <si>
    <t xml:space="preserve">UT19</t>
  </si>
  <si>
    <t xml:space="preserve">Alumno19</t>
  </si>
  <si>
    <t xml:space="preserve">UT20</t>
  </si>
  <si>
    <t xml:space="preserve">Alumno20</t>
  </si>
  <si>
    <t xml:space="preserve">Alumno21</t>
  </si>
  <si>
    <t xml:space="preserve">Alumno22</t>
  </si>
  <si>
    <t xml:space="preserve">Alumno23</t>
  </si>
  <si>
    <t xml:space="preserve">Alumno24</t>
  </si>
  <si>
    <t xml:space="preserve">Tabla 3 - Actividades (UT) y sus pesos respecto de los Resultados de Aprendizaje (RA)</t>
  </si>
  <si>
    <t xml:space="preserve">Alumno25</t>
  </si>
  <si>
    <t xml:space="preserve">Actividad</t>
  </si>
  <si>
    <t xml:space="preserve">UT</t>
  </si>
  <si>
    <t xml:space="preserve">EV</t>
  </si>
  <si>
    <t xml:space="preserve">Alumno26</t>
  </si>
  <si>
    <t xml:space="preserve">Actividad1</t>
  </si>
  <si>
    <t xml:space="preserve">Alumno27</t>
  </si>
  <si>
    <t xml:space="preserve">Actividad2</t>
  </si>
  <si>
    <t xml:space="preserve">Alumno28</t>
  </si>
  <si>
    <t xml:space="preserve">Actividad3</t>
  </si>
  <si>
    <t xml:space="preserve">Alumno29</t>
  </si>
  <si>
    <t xml:space="preserve">Actividad4</t>
  </si>
  <si>
    <t xml:space="preserve">Alumno30</t>
  </si>
  <si>
    <t xml:space="preserve">Actividad5</t>
  </si>
  <si>
    <t xml:space="preserve">Alumno31</t>
  </si>
  <si>
    <t xml:space="preserve">Actividad6</t>
  </si>
  <si>
    <t xml:space="preserve">Alumno32</t>
  </si>
  <si>
    <t xml:space="preserve">Actividad7</t>
  </si>
  <si>
    <t xml:space="preserve">Alumno33</t>
  </si>
  <si>
    <t xml:space="preserve">Actividad8</t>
  </si>
  <si>
    <t xml:space="preserve">Alumno34</t>
  </si>
  <si>
    <t xml:space="preserve">Actividad9</t>
  </si>
  <si>
    <t xml:space="preserve">Alumno35</t>
  </si>
  <si>
    <t xml:space="preserve">Actividad10</t>
  </si>
  <si>
    <t xml:space="preserve">Alumno36</t>
  </si>
  <si>
    <t xml:space="preserve">Actividad11</t>
  </si>
  <si>
    <t xml:space="preserve">Alumno37</t>
  </si>
  <si>
    <t xml:space="preserve">Actividad12</t>
  </si>
  <si>
    <t xml:space="preserve">Alumno38</t>
  </si>
  <si>
    <t xml:space="preserve">Actividad13</t>
  </si>
  <si>
    <t xml:space="preserve">Alumno39</t>
  </si>
  <si>
    <t xml:space="preserve">Actividad14</t>
  </si>
  <si>
    <t xml:space="preserve">Alumno40</t>
  </si>
  <si>
    <t xml:space="preserve">Actividad15</t>
  </si>
  <si>
    <t xml:space="preserve">Alumno41</t>
  </si>
  <si>
    <t xml:space="preserve">Actividad16</t>
  </si>
  <si>
    <t xml:space="preserve">Alumno42</t>
  </si>
  <si>
    <t xml:space="preserve">Actividad17</t>
  </si>
  <si>
    <t xml:space="preserve">Alumno43</t>
  </si>
  <si>
    <t xml:space="preserve">Actividad18</t>
  </si>
  <si>
    <t xml:space="preserve">Alumno44</t>
  </si>
  <si>
    <t xml:space="preserve">Actividad19</t>
  </si>
  <si>
    <t xml:space="preserve">Alumno45</t>
  </si>
  <si>
    <t xml:space="preserve">Actividad20</t>
  </si>
  <si>
    <t xml:space="preserve">Actividad21</t>
  </si>
  <si>
    <t xml:space="preserve">Actividad22</t>
  </si>
  <si>
    <t xml:space="preserve">Actividad23</t>
  </si>
  <si>
    <t xml:space="preserve">Actividad24</t>
  </si>
  <si>
    <t xml:space="preserve">Actividad25</t>
  </si>
  <si>
    <t xml:space="preserve">Actividad26</t>
  </si>
  <si>
    <t xml:space="preserve">Actividad27</t>
  </si>
  <si>
    <t xml:space="preserve">Actividad28</t>
  </si>
  <si>
    <t xml:space="preserve">Actividad29</t>
  </si>
  <si>
    <t xml:space="preserve">Actividad30</t>
  </si>
  <si>
    <t xml:space="preserve">Tabla 4 - Control</t>
  </si>
  <si>
    <t xml:space="preserve">Nombre:</t>
  </si>
  <si>
    <t xml:space="preserve">prueba1</t>
  </si>
  <si>
    <t xml:space="preserve">prueba2</t>
  </si>
  <si>
    <t xml:space="preserve">prueba3</t>
  </si>
  <si>
    <t xml:space="preserve">prueba4</t>
  </si>
  <si>
    <t xml:space="preserve">prueba5</t>
  </si>
  <si>
    <t xml:space="preserve">prueba6</t>
  </si>
  <si>
    <t xml:space="preserve">prueba7</t>
  </si>
  <si>
    <t xml:space="preserve">Suma ACT</t>
  </si>
  <si>
    <t xml:space="preserve">Control</t>
  </si>
  <si>
    <t xml:space="preserve">Tipo:</t>
  </si>
  <si>
    <t xml:space="preserve">Prueba escrita teórica</t>
  </si>
  <si>
    <t xml:space="preserve">RA/Ej</t>
  </si>
  <si>
    <t xml:space="preserve">Peso/Ej</t>
  </si>
  <si>
    <t xml:space="preserve">NOTA ACTIVIDAD</t>
  </si>
  <si>
    <t xml:space="preserve">Ejercicio1</t>
  </si>
  <si>
    <t xml:space="preserve">Ejercicio2</t>
  </si>
  <si>
    <t xml:space="preserve">Ejercicio3</t>
  </si>
  <si>
    <t xml:space="preserve">Ejercicio4</t>
  </si>
  <si>
    <t xml:space="preserve">Ejercicio5</t>
  </si>
  <si>
    <t xml:space="preserve">Ejercicio6</t>
  </si>
  <si>
    <t xml:space="preserve">Ejercicio7</t>
  </si>
  <si>
    <t xml:space="preserve">Ejercicio8</t>
  </si>
  <si>
    <t xml:space="preserve">Ejercicio9</t>
  </si>
  <si>
    <t xml:space="preserve">Ejercicio10</t>
  </si>
  <si>
    <t xml:space="preserve">Nota Promedio</t>
  </si>
  <si>
    <t xml:space="preserve">Número de suspensos</t>
  </si>
  <si>
    <t xml:space="preserve">Notas ponderadas por RA</t>
  </si>
  <si>
    <t xml:space="preserve">Notas por pesos (Ejs)</t>
  </si>
  <si>
    <t xml:space="preserve">columna</t>
  </si>
  <si>
    <t xml:space="preserve">NOTA ponderada RA1 por %ACT</t>
  </si>
  <si>
    <t xml:space="preserve">1ª Convocatoria Ordinaria (junio1)</t>
  </si>
  <si>
    <t xml:space="preserve">EV ORDINARIA</t>
  </si>
  <si>
    <t xml:space="preserve">NOTA ORDINARIA POR RA</t>
  </si>
  <si>
    <t xml:space="preserve">EVALUACIÓN 1</t>
  </si>
  <si>
    <t xml:space="preserve">EVALUACIÓN 2</t>
  </si>
  <si>
    <t xml:space="preserve">EVALUACIÓN 3</t>
  </si>
  <si>
    <t xml:space="preserve">NOTA BOLETIN</t>
  </si>
  <si>
    <t xml:space="preserve">Sugerencia Nota Boletín (si es necesario superar todos los RA)</t>
  </si>
  <si>
    <t xml:space="preserve">Nº de Ras no superados</t>
  </si>
  <si>
    <t xml:space="preserve">Nota Promedio EV1</t>
  </si>
  <si>
    <t xml:space="preserve">Sugerencia Nota Boletín EV1 (si es necesario superar todos los RA)</t>
  </si>
  <si>
    <t xml:space="preserve">Nota Promedio EV2</t>
  </si>
  <si>
    <t xml:space="preserve">Sugerencia Nota Boletín EV2 (si es necesario superar todos los RA)</t>
  </si>
  <si>
    <t xml:space="preserve">NOTA Promedio EV3</t>
  </si>
  <si>
    <t xml:space="preserve">NOTA Boletín EV3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</si>
</sst>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General"/>
    <numFmt numFmtId="167" formatCode="0.0%"/>
    <numFmt numFmtId="168" formatCode="0.00\ %"/>
    <numFmt numFmtId="169" formatCode="0\ %"/>
    <numFmt numFmtId="170" formatCode="0.00"/>
    <numFmt numFmtId="171" formatCode="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4472C4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4472C4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1"/>
      <color rgb="FF4472C4"/>
      <name val="Calibri"/>
      <family val="2"/>
    </font>
    <font>
      <sz val="11"/>
      <color rgb="FF4472C4"/>
      <name val="Calibri"/>
      <family val="2"/>
    </font>
    <font>
      <sz val="11"/>
      <color rgb="FFA6A6A6"/>
      <name val="Calibri"/>
      <family val="2"/>
      <charset val="1"/>
    </font>
    <font>
      <b val="true"/>
      <sz val="11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5B9BD5"/>
      <name val="Calibri"/>
      <family val="2"/>
      <charset val="1"/>
    </font>
    <font>
      <sz val="11"/>
      <color rgb="FF5B9BD5"/>
      <name val="Calibri"/>
      <family val="2"/>
    </font>
    <font>
      <sz val="11"/>
      <color rgb="FFBFBFBF"/>
      <name val="Calibri"/>
      <family val="2"/>
      <charset val="1"/>
    </font>
    <font>
      <b val="true"/>
      <sz val="11"/>
      <color rgb="FF5B9BD5"/>
      <name val="Calibri"/>
      <family val="2"/>
      <charset val="1"/>
    </font>
    <font>
      <b val="true"/>
      <sz val="11"/>
      <color rgb="FF5B9BD5"/>
      <name val="Calibri"/>
      <family val="2"/>
    </font>
    <font>
      <u val="single"/>
      <sz val="11"/>
      <color rgb="FF0563C1"/>
      <name val="Calibri"/>
      <family val="2"/>
      <charset val="1"/>
    </font>
    <font>
      <b val="true"/>
      <sz val="2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4">
    <border diagonalUp="false" diagonalDown="false">
      <left/>
      <right/>
      <top/>
      <bottom/>
      <diagonal/>
    </border>
    <border diagonalUp="false" diagonalDown="false">
      <left style="medium">
        <color rgb="FF5B9BD5"/>
      </left>
      <right/>
      <top style="medium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/>
      <top/>
      <bottom/>
      <diagonal/>
    </border>
    <border diagonalUp="false" diagonalDown="false">
      <left style="medium">
        <color rgb="FF5B9BD5"/>
      </left>
      <right style="medium">
        <color rgb="FF5B9BD5"/>
      </right>
      <top/>
      <bottom/>
      <diagonal/>
    </border>
    <border diagonalUp="false" diagonalDown="false">
      <left style="medium">
        <color rgb="FF5B9BD5"/>
      </left>
      <right/>
      <top/>
      <bottom style="medium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/>
      <right/>
      <top/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/>
      <right/>
      <top style="medium">
        <color rgb="FF5B9BD5"/>
      </top>
      <bottom/>
      <diagonal/>
    </border>
    <border diagonalUp="false" diagonalDown="false"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 diagonalUp="false" diagonalDown="false"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 diagonalUp="false" diagonalDown="false"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/>
      <top style="medium">
        <color rgb="FF5B9BD5"/>
      </top>
      <bottom/>
      <diagonal/>
    </border>
    <border diagonalUp="false" diagonalDown="false">
      <left/>
      <right style="thick">
        <color rgb="FF5B9BD5"/>
      </right>
      <top style="medium">
        <color rgb="FF5B9BD5"/>
      </top>
      <bottom/>
      <diagonal/>
    </border>
    <border diagonalUp="false" diagonalDown="false">
      <left style="thick">
        <color rgb="FF5B9BD5"/>
      </left>
      <right style="thin">
        <color rgb="FF5B9BD5"/>
      </right>
      <top/>
      <bottom/>
      <diagonal/>
    </border>
    <border diagonalUp="false" diagonalDown="false">
      <left style="thin">
        <color rgb="FF5B9BD5"/>
      </left>
      <right/>
      <top/>
      <bottom/>
      <diagonal/>
    </border>
    <border diagonalUp="false" diagonalDown="false">
      <left/>
      <right style="thick">
        <color rgb="FF5B9BD5"/>
      </right>
      <top/>
      <bottom/>
      <diagonal/>
    </border>
    <border diagonalUp="false" diagonalDown="false"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thin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thick">
        <color rgb="FF5B9BD5"/>
      </left>
      <right/>
      <top style="hair">
        <color rgb="FF5B9BD5"/>
      </top>
      <bottom/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 diagonalUp="false" diagonalDown="false"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 style="thick">
        <color rgb="FF5B9BD5"/>
      </left>
      <right/>
      <top style="medium">
        <color rgb="FF5B9BD5"/>
      </top>
      <bottom/>
      <diagonal/>
    </border>
    <border diagonalUp="false" diagonalDown="false"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 diagonalUp="false" diagonalDown="false"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thick">
        <color rgb="FF5B9BD5"/>
      </left>
      <right/>
      <top/>
      <bottom/>
      <diagonal/>
    </border>
    <border diagonalUp="false" diagonalDown="false">
      <left style="thin">
        <color rgb="FF5B9BD5"/>
      </left>
      <right style="dotted">
        <color rgb="FF5B9BD5"/>
      </right>
      <top/>
      <bottom/>
      <diagonal/>
    </border>
    <border diagonalUp="false" diagonalDown="false">
      <left style="dotted">
        <color rgb="FF5B9BD5"/>
      </left>
      <right style="dotted">
        <color rgb="FF5B9BD5"/>
      </right>
      <top/>
      <bottom/>
      <diagonal/>
    </border>
    <border diagonalUp="false" diagonalDown="false">
      <left style="dotted">
        <color rgb="FF5B9BD5"/>
      </left>
      <right style="medium">
        <color rgb="FF5B9BD5"/>
      </right>
      <top/>
      <bottom/>
      <diagonal/>
    </border>
    <border diagonalUp="false" diagonalDown="false">
      <left style="thick">
        <color rgb="FF5B9BD5"/>
      </left>
      <right/>
      <top/>
      <bottom style="medium">
        <color rgb="FF5B9BD5"/>
      </bottom>
      <diagonal/>
    </border>
    <border diagonalUp="false" diagonalDown="false"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 diagonalUp="false" diagonalDown="false"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/>
      <bottom/>
      <diagonal/>
    </border>
    <border diagonalUp="false" diagonalDown="false">
      <left/>
      <right style="medium">
        <color rgb="FF5B9BD5"/>
      </right>
      <top/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 diagonalUp="false" diagonalDown="false"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 diagonalUp="false" diagonalDown="false">
      <left/>
      <right/>
      <top style="medium">
        <color rgb="FF5B9BD5"/>
      </top>
      <bottom style="medium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 diagonalUp="false" diagonalDown="false"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 diagonalUp="false" diagonalDown="false">
      <left/>
      <right/>
      <top style="medium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 diagonalUp="false" diagonalDown="false">
      <left/>
      <right/>
      <top style="hair">
        <color rgb="FF5B9BD5"/>
      </top>
      <bottom style="hair">
        <color rgb="FF5B9BD5"/>
      </bottom>
      <diagonal/>
    </border>
    <border diagonalUp="false" diagonalDown="false">
      <left style="medium">
        <color rgb="FF5B9BD5"/>
      </left>
      <right style="hair">
        <color rgb="FF5B9BD5"/>
      </right>
      <top style="hair">
        <color rgb="FF5B9BD5"/>
      </top>
      <bottom/>
      <diagonal/>
    </border>
    <border diagonalUp="false" diagonalDown="false">
      <left style="hair">
        <color rgb="FF5B9BD5"/>
      </left>
      <right style="hair">
        <color rgb="FF5B9BD5"/>
      </right>
      <top style="hair">
        <color rgb="FF5B9BD5"/>
      </top>
      <bottom/>
      <diagonal/>
    </border>
    <border diagonalUp="false" diagonalDown="false">
      <left style="hair">
        <color rgb="FF5B9BD5"/>
      </left>
      <right style="medium">
        <color rgb="FF5B9BD5"/>
      </right>
      <top style="hair">
        <color rgb="FF5B9BD5"/>
      </top>
      <bottom/>
      <diagonal/>
    </border>
    <border diagonalUp="false" diagonalDown="false">
      <left style="thin">
        <color rgb="FF5B9BD5"/>
      </left>
      <right/>
      <top style="hair">
        <color rgb="FF5B9BD5"/>
      </top>
      <bottom/>
      <diagonal/>
    </border>
    <border diagonalUp="false" diagonalDown="false">
      <left/>
      <right/>
      <top style="hair">
        <color rgb="FF5B9BD5"/>
      </top>
      <bottom/>
      <diagonal/>
    </border>
    <border diagonalUp="false" diagonalDown="false">
      <left style="medium">
        <color rgb="FF5B9BD5"/>
      </left>
      <right/>
      <top style="hair">
        <color rgb="FF5B9BD5"/>
      </top>
      <bottom/>
      <diagonal/>
    </border>
    <border diagonalUp="false" diagonalDown="false">
      <left style="thin">
        <color rgb="FF5B9BD5"/>
      </left>
      <right style="thin">
        <color rgb="FF5B9BD5"/>
      </right>
      <top style="hair">
        <color rgb="FF5B9BD5"/>
      </top>
      <bottom/>
      <diagonal/>
    </border>
    <border diagonalUp="false" diagonalDown="false"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 diagonalUp="false" diagonalDown="false"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 diagonalUp="false" diagonalDown="false">
      <left style="medium">
        <color rgb="FF5B9BD5"/>
      </left>
      <right style="thin">
        <color rgb="FF5B9BD5"/>
      </right>
      <top/>
      <bottom style="medium">
        <color rgb="FF5B9BD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7" fontId="7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7" fontId="7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2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9" fillId="2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3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2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3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3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2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2" borderId="4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2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7" fillId="2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8" fillId="2" borderId="4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7" fillId="2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8" fillId="2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5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5" borderId="4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4" fillId="3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5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2" borderId="5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5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2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6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5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6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2" borderId="6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6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2" borderId="6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6" fillId="3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7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7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4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11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9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9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0" fillId="0" borderId="95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0" borderId="9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9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10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6" fontId="0" fillId="0" borderId="97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66" fontId="0" fillId="0" borderId="95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0" fillId="0" borderId="10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2" borderId="2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8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 val="0"/>
        <i val="0"/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35" activeCellId="0" sqref="G35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83.43"/>
    <col collapsed="false" customWidth="true" hidden="false" outlineLevel="0" max="4" min="4" style="0" width="11.71"/>
    <col collapsed="false" customWidth="true" hidden="false" outlineLevel="0" max="5" min="5" style="0" width="14.86"/>
    <col collapsed="false" customWidth="true" hidden="false" outlineLevel="0" max="9" min="6" style="0" width="10.29"/>
    <col collapsed="false" customWidth="true" hidden="false" outlineLevel="0" max="15" min="10" style="0" width="7.42"/>
    <col collapsed="false" customWidth="true" hidden="false" outlineLevel="0" max="19" min="19" style="0" width="14.71"/>
    <col collapsed="false" customWidth="true" hidden="false" outlineLevel="0" max="20" min="20" style="0" width="64.14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15.75" hidden="false" customHeight="false" outlineLevel="0" collapsed="false">
      <c r="A4" s="5" t="s">
        <v>6</v>
      </c>
      <c r="B4" s="6" t="s">
        <v>7</v>
      </c>
    </row>
    <row r="7" customFormat="false" ht="15.75" hidden="false" customHeight="false" outlineLevel="0" collapsed="false">
      <c r="A7" s="7" t="s">
        <v>8</v>
      </c>
      <c r="B7" s="8"/>
      <c r="C7" s="8"/>
      <c r="D7" s="9"/>
      <c r="E7" s="7" t="s">
        <v>9</v>
      </c>
      <c r="F7" s="9"/>
      <c r="G7" s="9"/>
      <c r="H7" s="9"/>
      <c r="I7" s="9"/>
      <c r="J7" s="9"/>
      <c r="K7" s="9"/>
      <c r="L7" s="9"/>
      <c r="M7" s="9"/>
      <c r="S7" s="10" t="s">
        <v>10</v>
      </c>
      <c r="T7" s="11"/>
    </row>
    <row r="8" customFormat="false" ht="53.25" hidden="false" customHeight="true" outlineLevel="0" collapsed="false">
      <c r="A8" s="12" t="s">
        <v>11</v>
      </c>
      <c r="B8" s="13" t="s">
        <v>12</v>
      </c>
      <c r="C8" s="14" t="s">
        <v>13</v>
      </c>
      <c r="D8" s="15"/>
      <c r="E8" s="16" t="s">
        <v>14</v>
      </c>
      <c r="F8" s="17" t="str">
        <f aca="false">A9</f>
        <v>RA1</v>
      </c>
      <c r="G8" s="18" t="str">
        <f aca="false">A10</f>
        <v>RA2</v>
      </c>
      <c r="H8" s="18" t="str">
        <f aca="false">A11</f>
        <v>RA3</v>
      </c>
      <c r="I8" s="18" t="str">
        <f aca="false">A12</f>
        <v>RA4</v>
      </c>
      <c r="J8" s="18" t="str">
        <f aca="false">A13</f>
        <v>RA5</v>
      </c>
      <c r="K8" s="18" t="str">
        <f aca="false">A14</f>
        <v>RA6</v>
      </c>
      <c r="L8" s="18" t="str">
        <f aca="false">A15</f>
        <v>RA7</v>
      </c>
      <c r="M8" s="18" t="str">
        <f aca="false">A16</f>
        <v>RA8</v>
      </c>
      <c r="N8" s="18" t="str">
        <f aca="false">A17</f>
        <v>RA9</v>
      </c>
      <c r="O8" s="19" t="str">
        <f aca="false">A18</f>
        <v>RA10</v>
      </c>
      <c r="S8" s="17" t="s">
        <v>15</v>
      </c>
      <c r="T8" s="13" t="s">
        <v>16</v>
      </c>
    </row>
    <row r="9" customFormat="false" ht="24.05" hidden="false" customHeight="false" outlineLevel="0" collapsed="false">
      <c r="A9" s="20" t="s">
        <v>17</v>
      </c>
      <c r="B9" s="21" t="s">
        <v>18</v>
      </c>
      <c r="C9" s="22" t="n">
        <v>0.2</v>
      </c>
      <c r="D9" s="15"/>
      <c r="E9" s="23" t="s">
        <v>19</v>
      </c>
      <c r="F9" s="24" t="n">
        <v>0.05</v>
      </c>
      <c r="G9" s="25" t="n">
        <v>0.07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6" t="n">
        <v>0</v>
      </c>
      <c r="S9" s="27" t="n">
        <v>1</v>
      </c>
      <c r="T9" s="28" t="s">
        <v>20</v>
      </c>
    </row>
    <row r="10" customFormat="false" ht="24.05" hidden="false" customHeight="false" outlineLevel="0" collapsed="false">
      <c r="A10" s="29" t="s">
        <v>21</v>
      </c>
      <c r="B10" s="30" t="s">
        <v>22</v>
      </c>
      <c r="C10" s="31" t="n">
        <v>0.6</v>
      </c>
      <c r="D10" s="15"/>
      <c r="E10" s="32" t="s">
        <v>23</v>
      </c>
      <c r="F10" s="33" t="n">
        <v>0.35</v>
      </c>
      <c r="G10" s="34" t="n">
        <v>0.43</v>
      </c>
      <c r="H10" s="34" t="n">
        <v>0.06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5" t="n">
        <v>0</v>
      </c>
      <c r="S10" s="36" t="n">
        <v>2</v>
      </c>
      <c r="T10" s="37" t="s">
        <v>24</v>
      </c>
    </row>
    <row r="11" customFormat="false" ht="13.8" hidden="false" customHeight="false" outlineLevel="0" collapsed="false">
      <c r="A11" s="29" t="s">
        <v>25</v>
      </c>
      <c r="B11" s="30" t="s">
        <v>26</v>
      </c>
      <c r="C11" s="31" t="n">
        <v>0.15</v>
      </c>
      <c r="D11" s="15"/>
      <c r="E11" s="32" t="s">
        <v>27</v>
      </c>
      <c r="F11" s="33" t="n">
        <v>0.2</v>
      </c>
      <c r="G11" s="34" t="n">
        <v>0.08</v>
      </c>
      <c r="H11" s="34" t="n">
        <v>0.34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34" t="n">
        <v>0</v>
      </c>
      <c r="O11" s="35" t="n">
        <v>0</v>
      </c>
      <c r="S11" s="36" t="n">
        <v>3</v>
      </c>
      <c r="T11" s="37" t="s">
        <v>28</v>
      </c>
    </row>
    <row r="12" customFormat="false" ht="24.05" hidden="false" customHeight="false" outlineLevel="0" collapsed="false">
      <c r="A12" s="29" t="s">
        <v>29</v>
      </c>
      <c r="B12" s="30" t="s">
        <v>30</v>
      </c>
      <c r="C12" s="31" t="n">
        <v>0.05</v>
      </c>
      <c r="D12" s="15"/>
      <c r="E12" s="32" t="s">
        <v>31</v>
      </c>
      <c r="F12" s="33" t="n">
        <v>0.25</v>
      </c>
      <c r="G12" s="34" t="n">
        <v>0.14</v>
      </c>
      <c r="H12" s="34" t="n">
        <v>0.15</v>
      </c>
      <c r="I12" s="34" t="n">
        <v>0.25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5" t="n">
        <v>0</v>
      </c>
      <c r="S12" s="36" t="n">
        <v>4</v>
      </c>
      <c r="T12" s="37" t="s">
        <v>32</v>
      </c>
    </row>
    <row r="13" customFormat="false" ht="15" hidden="false" customHeight="false" outlineLevel="0" collapsed="false">
      <c r="A13" s="29" t="s">
        <v>33</v>
      </c>
      <c r="B13" s="37" t="s">
        <v>33</v>
      </c>
      <c r="C13" s="31" t="n">
        <v>0</v>
      </c>
      <c r="D13" s="15"/>
      <c r="E13" s="32" t="s">
        <v>34</v>
      </c>
      <c r="F13" s="33" t="n">
        <v>0.15</v>
      </c>
      <c r="G13" s="34" t="n">
        <v>0.12</v>
      </c>
      <c r="H13" s="34" t="n">
        <v>0.12</v>
      </c>
      <c r="I13" s="34" t="n">
        <v>0.25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5" t="n">
        <v>0</v>
      </c>
      <c r="S13" s="36" t="n">
        <v>5</v>
      </c>
      <c r="T13" s="37" t="s">
        <v>35</v>
      </c>
    </row>
    <row r="14" customFormat="false" ht="15" hidden="false" customHeight="false" outlineLevel="0" collapsed="false">
      <c r="A14" s="29" t="s">
        <v>36</v>
      </c>
      <c r="B14" s="37" t="s">
        <v>36</v>
      </c>
      <c r="C14" s="31" t="n">
        <v>0</v>
      </c>
      <c r="D14" s="15"/>
      <c r="E14" s="32" t="s">
        <v>37</v>
      </c>
      <c r="F14" s="33" t="n">
        <v>0</v>
      </c>
      <c r="G14" s="34" t="n">
        <v>0.16</v>
      </c>
      <c r="H14" s="34" t="n">
        <v>0.33</v>
      </c>
      <c r="I14" s="34" t="n">
        <v>0.5</v>
      </c>
      <c r="J14" s="34" t="n">
        <v>0</v>
      </c>
      <c r="K14" s="34" t="n">
        <v>0</v>
      </c>
      <c r="L14" s="34" t="n">
        <v>0</v>
      </c>
      <c r="M14" s="34" t="n">
        <v>0</v>
      </c>
      <c r="N14" s="34" t="n">
        <v>0</v>
      </c>
      <c r="O14" s="35" t="n">
        <v>0</v>
      </c>
      <c r="S14" s="36" t="n">
        <v>6</v>
      </c>
      <c r="T14" s="37" t="s">
        <v>38</v>
      </c>
    </row>
    <row r="15" customFormat="false" ht="13.8" hidden="false" customHeight="false" outlineLevel="0" collapsed="false">
      <c r="A15" s="29" t="s">
        <v>39</v>
      </c>
      <c r="B15" s="37" t="s">
        <v>39</v>
      </c>
      <c r="C15" s="31" t="n">
        <v>0</v>
      </c>
      <c r="D15" s="15"/>
      <c r="E15" s="32" t="s">
        <v>40</v>
      </c>
      <c r="F15" s="33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5" t="n">
        <v>0</v>
      </c>
      <c r="S15" s="36" t="n">
        <v>7</v>
      </c>
      <c r="T15" s="37" t="s">
        <v>41</v>
      </c>
    </row>
    <row r="16" customFormat="false" ht="15" hidden="false" customHeight="false" outlineLevel="0" collapsed="false">
      <c r="A16" s="29" t="s">
        <v>42</v>
      </c>
      <c r="B16" s="37" t="s">
        <v>42</v>
      </c>
      <c r="C16" s="31" t="n">
        <v>0</v>
      </c>
      <c r="D16" s="15"/>
      <c r="E16" s="32" t="s">
        <v>43</v>
      </c>
      <c r="F16" s="33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35" t="n">
        <v>0</v>
      </c>
      <c r="S16" s="36" t="n">
        <v>8</v>
      </c>
      <c r="T16" s="37" t="s">
        <v>44</v>
      </c>
    </row>
    <row r="17" customFormat="false" ht="15" hidden="false" customHeight="false" outlineLevel="0" collapsed="false">
      <c r="A17" s="29" t="s">
        <v>45</v>
      </c>
      <c r="B17" s="37" t="s">
        <v>45</v>
      </c>
      <c r="C17" s="31" t="n">
        <v>0</v>
      </c>
      <c r="D17" s="15"/>
      <c r="E17" s="32" t="s">
        <v>46</v>
      </c>
      <c r="F17" s="33" t="n">
        <v>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5" t="n">
        <v>0</v>
      </c>
      <c r="S17" s="36" t="n">
        <v>9</v>
      </c>
      <c r="T17" s="37" t="s">
        <v>47</v>
      </c>
    </row>
    <row r="18" customFormat="false" ht="15.75" hidden="false" customHeight="false" outlineLevel="0" collapsed="false">
      <c r="A18" s="38" t="s">
        <v>48</v>
      </c>
      <c r="B18" s="39" t="s">
        <v>48</v>
      </c>
      <c r="C18" s="40" t="n">
        <v>0</v>
      </c>
      <c r="D18" s="15"/>
      <c r="E18" s="32" t="s">
        <v>49</v>
      </c>
      <c r="F18" s="33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4" t="n">
        <v>0</v>
      </c>
      <c r="O18" s="35" t="n">
        <v>0</v>
      </c>
      <c r="S18" s="36" t="n">
        <v>10</v>
      </c>
      <c r="T18" s="37" t="s">
        <v>50</v>
      </c>
    </row>
    <row r="19" customFormat="false" ht="13.8" hidden="false" customHeight="false" outlineLevel="0" collapsed="false">
      <c r="A19" s="41"/>
      <c r="B19" s="42" t="s">
        <v>51</v>
      </c>
      <c r="C19" s="43" t="n">
        <f aca="false">SUM(C9:C18)</f>
        <v>1</v>
      </c>
      <c r="D19" s="15"/>
      <c r="E19" s="32" t="s">
        <v>52</v>
      </c>
      <c r="F19" s="33" t="n">
        <v>0</v>
      </c>
      <c r="G19" s="34" t="n">
        <v>0</v>
      </c>
      <c r="H19" s="34" t="n">
        <v>0</v>
      </c>
      <c r="I19" s="34" t="n">
        <v>0</v>
      </c>
      <c r="J19" s="34" t="n">
        <v>0</v>
      </c>
      <c r="K19" s="34" t="n">
        <v>0</v>
      </c>
      <c r="L19" s="34" t="n">
        <v>0</v>
      </c>
      <c r="M19" s="34" t="n">
        <v>0</v>
      </c>
      <c r="N19" s="34" t="n">
        <v>0</v>
      </c>
      <c r="O19" s="35" t="n">
        <v>0</v>
      </c>
      <c r="S19" s="36" t="n">
        <v>11</v>
      </c>
      <c r="T19" s="37" t="s">
        <v>53</v>
      </c>
    </row>
    <row r="20" customFormat="false" ht="13.8" hidden="false" customHeight="false" outlineLevel="0" collapsed="false">
      <c r="E20" s="32" t="s">
        <v>54</v>
      </c>
      <c r="F20" s="33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5" t="n">
        <v>0</v>
      </c>
      <c r="S20" s="36" t="n">
        <v>12</v>
      </c>
      <c r="T20" s="37" t="s">
        <v>55</v>
      </c>
    </row>
    <row r="21" customFormat="false" ht="13.8" hidden="false" customHeight="false" outlineLevel="0" collapsed="false">
      <c r="E21" s="32" t="s">
        <v>56</v>
      </c>
      <c r="F21" s="33" t="n">
        <v>0</v>
      </c>
      <c r="G21" s="34" t="n">
        <v>0</v>
      </c>
      <c r="H21" s="34" t="n">
        <v>0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0</v>
      </c>
      <c r="O21" s="35" t="n">
        <v>0</v>
      </c>
      <c r="S21" s="36" t="n">
        <v>13</v>
      </c>
      <c r="T21" s="37" t="s">
        <v>57</v>
      </c>
    </row>
    <row r="22" customFormat="false" ht="13.8" hidden="false" customHeight="false" outlineLevel="0" collapsed="false">
      <c r="E22" s="32" t="s">
        <v>58</v>
      </c>
      <c r="F22" s="33" t="n">
        <v>0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4" t="n">
        <v>0</v>
      </c>
      <c r="M22" s="34" t="n">
        <v>0</v>
      </c>
      <c r="N22" s="34" t="n">
        <v>0</v>
      </c>
      <c r="O22" s="35" t="n">
        <v>0</v>
      </c>
      <c r="S22" s="36" t="n">
        <v>14</v>
      </c>
      <c r="T22" s="37" t="s">
        <v>59</v>
      </c>
    </row>
    <row r="23" customFormat="false" ht="13.8" hidden="false" customHeight="false" outlineLevel="0" collapsed="false">
      <c r="E23" s="32" t="s">
        <v>60</v>
      </c>
      <c r="F23" s="33" t="n">
        <v>0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v>0</v>
      </c>
      <c r="O23" s="35" t="n">
        <v>0</v>
      </c>
      <c r="S23" s="36" t="n">
        <v>15</v>
      </c>
      <c r="T23" s="37" t="s">
        <v>61</v>
      </c>
    </row>
    <row r="24" customFormat="false" ht="13.8" hidden="false" customHeight="false" outlineLevel="0" collapsed="false">
      <c r="E24" s="32" t="s">
        <v>62</v>
      </c>
      <c r="F24" s="33" t="n">
        <v>0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34" t="n">
        <v>0</v>
      </c>
      <c r="O24" s="35" t="n">
        <v>0</v>
      </c>
      <c r="S24" s="36" t="n">
        <v>16</v>
      </c>
      <c r="T24" s="37" t="s">
        <v>63</v>
      </c>
    </row>
    <row r="25" customFormat="false" ht="13.8" hidden="false" customHeight="false" outlineLevel="0" collapsed="false">
      <c r="E25" s="32" t="s">
        <v>64</v>
      </c>
      <c r="F25" s="33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34" t="n">
        <v>0</v>
      </c>
      <c r="O25" s="35" t="n">
        <v>0</v>
      </c>
      <c r="S25" s="36" t="n">
        <v>17</v>
      </c>
      <c r="T25" s="37" t="s">
        <v>65</v>
      </c>
    </row>
    <row r="26" customFormat="false" ht="13.8" hidden="false" customHeight="false" outlineLevel="0" collapsed="false">
      <c r="E26" s="32" t="s">
        <v>66</v>
      </c>
      <c r="F26" s="33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0</v>
      </c>
      <c r="M26" s="34" t="n">
        <v>0</v>
      </c>
      <c r="N26" s="34" t="n">
        <v>0</v>
      </c>
      <c r="O26" s="35" t="n">
        <v>0</v>
      </c>
      <c r="S26" s="36" t="n">
        <v>18</v>
      </c>
      <c r="T26" s="37" t="s">
        <v>67</v>
      </c>
    </row>
    <row r="27" customFormat="false" ht="13.8" hidden="false" customHeight="false" outlineLevel="0" collapsed="false">
      <c r="E27" s="32" t="s">
        <v>68</v>
      </c>
      <c r="F27" s="33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34" t="n">
        <v>0</v>
      </c>
      <c r="O27" s="35" t="n">
        <v>0</v>
      </c>
      <c r="S27" s="36" t="n">
        <v>19</v>
      </c>
      <c r="T27" s="37" t="s">
        <v>69</v>
      </c>
    </row>
    <row r="28" customFormat="false" ht="13.8" hidden="false" customHeight="false" outlineLevel="0" collapsed="false">
      <c r="E28" s="44" t="s">
        <v>70</v>
      </c>
      <c r="F28" s="45" t="n">
        <v>0</v>
      </c>
      <c r="G28" s="46" t="n">
        <v>0</v>
      </c>
      <c r="H28" s="46" t="n">
        <v>0</v>
      </c>
      <c r="I28" s="46" t="n">
        <v>0</v>
      </c>
      <c r="J28" s="46" t="n">
        <v>0</v>
      </c>
      <c r="K28" s="46" t="n">
        <v>0</v>
      </c>
      <c r="L28" s="46" t="n">
        <v>0</v>
      </c>
      <c r="M28" s="46" t="n">
        <v>0</v>
      </c>
      <c r="N28" s="46" t="n">
        <v>0</v>
      </c>
      <c r="O28" s="47" t="n">
        <v>0</v>
      </c>
      <c r="S28" s="36" t="n">
        <v>20</v>
      </c>
      <c r="T28" s="37" t="s">
        <v>71</v>
      </c>
    </row>
    <row r="29" customFormat="false" ht="13.8" hidden="false" customHeight="false" outlineLevel="0" collapsed="false">
      <c r="F29" s="48" t="n">
        <f aca="false">SUM(F9:F28)</f>
        <v>1</v>
      </c>
      <c r="G29" s="48" t="n">
        <f aca="false">SUM(G9:G28)</f>
        <v>1</v>
      </c>
      <c r="H29" s="48" t="n">
        <f aca="false">SUM(H9:H28)</f>
        <v>1</v>
      </c>
      <c r="I29" s="48" t="n">
        <f aca="false">SUM(I9:I28)</f>
        <v>1</v>
      </c>
      <c r="J29" s="48" t="n">
        <f aca="false">SUM(J9:J28)</f>
        <v>0</v>
      </c>
      <c r="K29" s="48" t="n">
        <f aca="false">SUM(K9:K28)</f>
        <v>0</v>
      </c>
      <c r="L29" s="48" t="n">
        <f aca="false">SUM(L9:L28)</f>
        <v>0</v>
      </c>
      <c r="M29" s="48" t="n">
        <f aca="false">SUM(M9:M28)</f>
        <v>0</v>
      </c>
      <c r="N29" s="48" t="n">
        <f aca="false">SUM(N9:N28)</f>
        <v>0</v>
      </c>
      <c r="O29" s="48" t="n">
        <f aca="false">SUM(O9:O28)</f>
        <v>0</v>
      </c>
      <c r="S29" s="36" t="n">
        <v>21</v>
      </c>
      <c r="T29" s="37" t="s">
        <v>72</v>
      </c>
    </row>
    <row r="30" customFormat="false" ht="13.8" hidden="false" customHeight="false" outlineLevel="0" collapsed="false">
      <c r="S30" s="36" t="n">
        <v>22</v>
      </c>
      <c r="T30" s="37" t="s">
        <v>73</v>
      </c>
    </row>
    <row r="31" customFormat="false" ht="13.8" hidden="false" customHeight="false" outlineLevel="0" collapsed="false">
      <c r="S31" s="36" t="n">
        <v>23</v>
      </c>
      <c r="T31" s="37" t="s">
        <v>74</v>
      </c>
    </row>
    <row r="32" customFormat="false" ht="13.8" hidden="false" customHeight="false" outlineLevel="0" collapsed="false">
      <c r="S32" s="36" t="n">
        <v>24</v>
      </c>
      <c r="T32" s="37" t="s">
        <v>75</v>
      </c>
    </row>
    <row r="33" customFormat="false" ht="13.8" hidden="false" customHeight="false" outlineLevel="0" collapsed="false">
      <c r="E33" s="7" t="s">
        <v>76</v>
      </c>
      <c r="F33" s="9"/>
      <c r="G33" s="9"/>
      <c r="H33" s="9"/>
      <c r="I33" s="9"/>
      <c r="J33" s="9"/>
      <c r="K33" s="9"/>
      <c r="L33" s="9"/>
      <c r="M33" s="9"/>
      <c r="S33" s="36" t="n">
        <v>25</v>
      </c>
      <c r="T33" s="37" t="s">
        <v>77</v>
      </c>
    </row>
    <row r="34" customFormat="false" ht="13.8" hidden="false" customHeight="false" outlineLevel="0" collapsed="false">
      <c r="E34" s="16" t="s">
        <v>78</v>
      </c>
      <c r="F34" s="17" t="str">
        <f aca="false">F8</f>
        <v>RA1</v>
      </c>
      <c r="G34" s="18" t="str">
        <f aca="false">G8</f>
        <v>RA2</v>
      </c>
      <c r="H34" s="18" t="str">
        <f aca="false">H8</f>
        <v>RA3</v>
      </c>
      <c r="I34" s="18" t="str">
        <f aca="false">I8</f>
        <v>RA4</v>
      </c>
      <c r="J34" s="18" t="str">
        <f aca="false">J8</f>
        <v>RA5</v>
      </c>
      <c r="K34" s="18" t="str">
        <f aca="false">K8</f>
        <v>RA6</v>
      </c>
      <c r="L34" s="18" t="str">
        <f aca="false">L8</f>
        <v>RA7</v>
      </c>
      <c r="M34" s="18" t="str">
        <f aca="false">M8</f>
        <v>RA8</v>
      </c>
      <c r="N34" s="18" t="str">
        <f aca="false">N8</f>
        <v>RA9</v>
      </c>
      <c r="O34" s="19" t="str">
        <f aca="false">O8</f>
        <v>RA10</v>
      </c>
      <c r="P34" s="49" t="s">
        <v>79</v>
      </c>
      <c r="Q34" s="49" t="s">
        <v>80</v>
      </c>
      <c r="S34" s="36" t="n">
        <v>26</v>
      </c>
      <c r="T34" s="37" t="s">
        <v>81</v>
      </c>
    </row>
    <row r="35" customFormat="false" ht="13.8" hidden="false" customHeight="false" outlineLevel="0" collapsed="false">
      <c r="E35" s="50" t="s">
        <v>82</v>
      </c>
      <c r="F35" s="51" t="n">
        <v>0.25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</v>
      </c>
      <c r="O35" s="26" t="n">
        <v>0</v>
      </c>
      <c r="P35" s="52" t="s">
        <v>19</v>
      </c>
      <c r="Q35" s="52" t="n">
        <v>1</v>
      </c>
      <c r="S35" s="36" t="n">
        <v>27</v>
      </c>
      <c r="T35" s="37" t="s">
        <v>83</v>
      </c>
    </row>
    <row r="36" customFormat="false" ht="13.8" hidden="false" customHeight="false" outlineLevel="0" collapsed="false">
      <c r="E36" s="53" t="s">
        <v>84</v>
      </c>
      <c r="F36" s="54" t="n">
        <v>0.2</v>
      </c>
      <c r="G36" s="55" t="n">
        <v>0.2</v>
      </c>
      <c r="H36" s="34" t="n">
        <v>0</v>
      </c>
      <c r="I36" s="34" t="n">
        <v>0</v>
      </c>
      <c r="J36" s="34" t="n">
        <v>0</v>
      </c>
      <c r="K36" s="34" t="n">
        <v>0</v>
      </c>
      <c r="L36" s="34" t="n">
        <v>0</v>
      </c>
      <c r="M36" s="34" t="n">
        <v>0</v>
      </c>
      <c r="N36" s="34" t="n">
        <v>0</v>
      </c>
      <c r="O36" s="35" t="n">
        <v>0</v>
      </c>
      <c r="P36" s="56" t="s">
        <v>19</v>
      </c>
      <c r="Q36" s="56" t="n">
        <v>1</v>
      </c>
      <c r="S36" s="36" t="n">
        <v>28</v>
      </c>
      <c r="T36" s="37" t="s">
        <v>85</v>
      </c>
    </row>
    <row r="37" customFormat="false" ht="13.8" hidden="false" customHeight="false" outlineLevel="0" collapsed="false">
      <c r="E37" s="53" t="s">
        <v>86</v>
      </c>
      <c r="F37" s="54" t="n">
        <v>0.3</v>
      </c>
      <c r="G37" s="34" t="n">
        <v>0.2</v>
      </c>
      <c r="H37" s="34" t="n">
        <v>0.1</v>
      </c>
      <c r="I37" s="34" t="n">
        <v>0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0</v>
      </c>
      <c r="O37" s="35" t="n">
        <v>0</v>
      </c>
      <c r="P37" s="56" t="s">
        <v>23</v>
      </c>
      <c r="Q37" s="56" t="n">
        <v>1</v>
      </c>
      <c r="S37" s="36" t="n">
        <v>29</v>
      </c>
      <c r="T37" s="37" t="s">
        <v>87</v>
      </c>
    </row>
    <row r="38" customFormat="false" ht="13.8" hidden="false" customHeight="false" outlineLevel="0" collapsed="false">
      <c r="E38" s="53" t="s">
        <v>88</v>
      </c>
      <c r="F38" s="33" t="n">
        <v>0.1</v>
      </c>
      <c r="G38" s="34" t="n">
        <v>0.3</v>
      </c>
      <c r="H38" s="55" t="n">
        <v>0.35</v>
      </c>
      <c r="I38" s="34" t="n">
        <v>0</v>
      </c>
      <c r="J38" s="34" t="n">
        <v>0</v>
      </c>
      <c r="K38" s="34" t="n">
        <v>0</v>
      </c>
      <c r="L38" s="34" t="n">
        <v>0</v>
      </c>
      <c r="M38" s="34" t="n">
        <v>0</v>
      </c>
      <c r="N38" s="34" t="n">
        <v>0</v>
      </c>
      <c r="O38" s="35" t="n">
        <v>0</v>
      </c>
      <c r="P38" s="56" t="s">
        <v>27</v>
      </c>
      <c r="Q38" s="56" t="n">
        <v>1</v>
      </c>
      <c r="S38" s="36" t="n">
        <v>30</v>
      </c>
      <c r="T38" s="39" t="s">
        <v>89</v>
      </c>
    </row>
    <row r="39" customFormat="false" ht="13.8" hidden="false" customHeight="false" outlineLevel="0" collapsed="false">
      <c r="E39" s="53" t="s">
        <v>90</v>
      </c>
      <c r="F39" s="33" t="n">
        <v>0.05</v>
      </c>
      <c r="G39" s="34" t="n">
        <v>0.1</v>
      </c>
      <c r="H39" s="55" t="n">
        <v>0.3</v>
      </c>
      <c r="I39" s="34" t="n">
        <v>0.1</v>
      </c>
      <c r="J39" s="34" t="n">
        <v>0</v>
      </c>
      <c r="K39" s="34" t="n">
        <v>0</v>
      </c>
      <c r="L39" s="34" t="n">
        <v>0</v>
      </c>
      <c r="M39" s="34" t="n">
        <v>0</v>
      </c>
      <c r="N39" s="34" t="n">
        <v>0</v>
      </c>
      <c r="O39" s="35" t="n">
        <v>0</v>
      </c>
      <c r="P39" s="56" t="s">
        <v>31</v>
      </c>
      <c r="Q39" s="56" t="n">
        <v>1</v>
      </c>
      <c r="S39" s="36" t="n">
        <v>31</v>
      </c>
      <c r="T39" s="57" t="s">
        <v>91</v>
      </c>
    </row>
    <row r="40" customFormat="false" ht="13.8" hidden="false" customHeight="false" outlineLevel="0" collapsed="false">
      <c r="E40" s="53" t="s">
        <v>92</v>
      </c>
      <c r="F40" s="33" t="n">
        <v>0.1</v>
      </c>
      <c r="G40" s="34" t="n">
        <v>0.15</v>
      </c>
      <c r="H40" s="34" t="n">
        <v>0.1</v>
      </c>
      <c r="I40" s="55" t="n">
        <v>0.4</v>
      </c>
      <c r="J40" s="34" t="n">
        <v>0</v>
      </c>
      <c r="K40" s="34" t="n">
        <v>0</v>
      </c>
      <c r="L40" s="34" t="n">
        <v>0</v>
      </c>
      <c r="M40" s="34" t="n">
        <v>0</v>
      </c>
      <c r="N40" s="34" t="n">
        <v>0</v>
      </c>
      <c r="O40" s="35" t="n">
        <v>0</v>
      </c>
      <c r="P40" s="56" t="s">
        <v>34</v>
      </c>
      <c r="Q40" s="56" t="n">
        <v>1</v>
      </c>
      <c r="S40" s="36" t="n">
        <v>32</v>
      </c>
      <c r="T40" s="57" t="s">
        <v>93</v>
      </c>
    </row>
    <row r="41" customFormat="false" ht="13.8" hidden="false" customHeight="false" outlineLevel="0" collapsed="false">
      <c r="E41" s="53" t="s">
        <v>94</v>
      </c>
      <c r="F41" s="33" t="n">
        <v>0</v>
      </c>
      <c r="G41" s="34" t="n">
        <v>0.05</v>
      </c>
      <c r="H41" s="34" t="n">
        <v>0.15</v>
      </c>
      <c r="I41" s="55" t="n">
        <v>0.5</v>
      </c>
      <c r="J41" s="34" t="n">
        <v>0</v>
      </c>
      <c r="K41" s="34" t="n">
        <v>0</v>
      </c>
      <c r="L41" s="34" t="n">
        <v>0</v>
      </c>
      <c r="M41" s="34" t="n">
        <v>0</v>
      </c>
      <c r="N41" s="34" t="n">
        <v>0</v>
      </c>
      <c r="O41" s="35" t="n">
        <v>0</v>
      </c>
      <c r="P41" s="56" t="s">
        <v>37</v>
      </c>
      <c r="Q41" s="56" t="n">
        <v>1</v>
      </c>
      <c r="S41" s="36" t="n">
        <v>33</v>
      </c>
      <c r="T41" s="57" t="s">
        <v>95</v>
      </c>
    </row>
    <row r="42" customFormat="false" ht="13.8" hidden="false" customHeight="false" outlineLevel="0" collapsed="false">
      <c r="E42" s="53" t="s">
        <v>96</v>
      </c>
      <c r="F42" s="33" t="n">
        <v>0</v>
      </c>
      <c r="G42" s="34" t="n">
        <v>0</v>
      </c>
      <c r="H42" s="34" t="n">
        <v>0</v>
      </c>
      <c r="I42" s="55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4" t="n">
        <v>0</v>
      </c>
      <c r="O42" s="35" t="n">
        <v>0</v>
      </c>
      <c r="P42" s="56"/>
      <c r="Q42" s="56"/>
      <c r="S42" s="36" t="n">
        <v>34</v>
      </c>
      <c r="T42" s="57" t="s">
        <v>97</v>
      </c>
    </row>
    <row r="43" customFormat="false" ht="13.8" hidden="false" customHeight="false" outlineLevel="0" collapsed="false">
      <c r="E43" s="53" t="s">
        <v>98</v>
      </c>
      <c r="F43" s="33" t="n">
        <v>0</v>
      </c>
      <c r="G43" s="34" t="n">
        <v>0</v>
      </c>
      <c r="H43" s="34" t="n">
        <v>0</v>
      </c>
      <c r="I43" s="55" t="n">
        <v>0</v>
      </c>
      <c r="J43" s="34" t="n">
        <v>0</v>
      </c>
      <c r="K43" s="34" t="n">
        <v>0</v>
      </c>
      <c r="L43" s="34" t="n">
        <v>0</v>
      </c>
      <c r="M43" s="34" t="n">
        <v>0</v>
      </c>
      <c r="N43" s="34" t="n">
        <v>0</v>
      </c>
      <c r="O43" s="35" t="n">
        <v>0</v>
      </c>
      <c r="P43" s="56"/>
      <c r="Q43" s="58"/>
      <c r="S43" s="36" t="n">
        <v>35</v>
      </c>
      <c r="T43" s="57" t="s">
        <v>99</v>
      </c>
    </row>
    <row r="44" customFormat="false" ht="13.8" hidden="false" customHeight="false" outlineLevel="0" collapsed="false">
      <c r="E44" s="53" t="s">
        <v>100</v>
      </c>
      <c r="F44" s="33" t="n">
        <v>0</v>
      </c>
      <c r="G44" s="34" t="n">
        <v>0</v>
      </c>
      <c r="H44" s="34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34" t="n">
        <v>0</v>
      </c>
      <c r="O44" s="35" t="n">
        <v>0</v>
      </c>
      <c r="P44" s="56"/>
      <c r="Q44" s="58"/>
      <c r="S44" s="36" t="n">
        <v>36</v>
      </c>
      <c r="T44" s="57" t="s">
        <v>101</v>
      </c>
    </row>
    <row r="45" customFormat="false" ht="13.8" hidden="false" customHeight="false" outlineLevel="0" collapsed="false">
      <c r="E45" s="53" t="s">
        <v>102</v>
      </c>
      <c r="F45" s="33" t="n">
        <v>0</v>
      </c>
      <c r="G45" s="34" t="n">
        <v>0</v>
      </c>
      <c r="H45" s="34" t="n">
        <v>0</v>
      </c>
      <c r="I45" s="34" t="n">
        <v>0</v>
      </c>
      <c r="J45" s="34" t="n">
        <v>0</v>
      </c>
      <c r="K45" s="34" t="n">
        <v>0</v>
      </c>
      <c r="L45" s="34" t="n">
        <v>0</v>
      </c>
      <c r="M45" s="34" t="n">
        <v>0</v>
      </c>
      <c r="N45" s="34" t="n">
        <v>0</v>
      </c>
      <c r="O45" s="35" t="n">
        <v>0</v>
      </c>
      <c r="P45" s="56"/>
      <c r="Q45" s="58"/>
      <c r="S45" s="36" t="n">
        <v>37</v>
      </c>
      <c r="T45" s="57" t="s">
        <v>103</v>
      </c>
    </row>
    <row r="46" customFormat="false" ht="13.8" hidden="false" customHeight="false" outlineLevel="0" collapsed="false">
      <c r="E46" s="53" t="s">
        <v>104</v>
      </c>
      <c r="F46" s="33" t="n">
        <v>0</v>
      </c>
      <c r="G46" s="34" t="n">
        <v>0</v>
      </c>
      <c r="H46" s="34" t="n"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5" t="n">
        <v>0</v>
      </c>
      <c r="P46" s="58"/>
      <c r="Q46" s="58"/>
      <c r="S46" s="36" t="n">
        <v>38</v>
      </c>
      <c r="T46" s="57" t="s">
        <v>105</v>
      </c>
    </row>
    <row r="47" customFormat="false" ht="13.8" hidden="false" customHeight="false" outlineLevel="0" collapsed="false">
      <c r="E47" s="53" t="s">
        <v>106</v>
      </c>
      <c r="F47" s="33" t="n">
        <v>0</v>
      </c>
      <c r="G47" s="34" t="n">
        <v>0</v>
      </c>
      <c r="H47" s="34" t="n">
        <v>0</v>
      </c>
      <c r="I47" s="34" t="n">
        <v>0</v>
      </c>
      <c r="J47" s="34" t="n">
        <v>0</v>
      </c>
      <c r="K47" s="34" t="n">
        <v>0</v>
      </c>
      <c r="L47" s="34" t="n">
        <v>0</v>
      </c>
      <c r="M47" s="34" t="n">
        <v>0</v>
      </c>
      <c r="N47" s="34" t="n">
        <v>0</v>
      </c>
      <c r="O47" s="35" t="n">
        <v>0</v>
      </c>
      <c r="P47" s="58"/>
      <c r="Q47" s="58"/>
      <c r="S47" s="36" t="n">
        <v>39</v>
      </c>
      <c r="T47" s="57" t="s">
        <v>107</v>
      </c>
    </row>
    <row r="48" customFormat="false" ht="13.8" hidden="false" customHeight="false" outlineLevel="0" collapsed="false">
      <c r="E48" s="53" t="s">
        <v>108</v>
      </c>
      <c r="F48" s="33" t="n">
        <v>0</v>
      </c>
      <c r="G48" s="34" t="n">
        <v>0</v>
      </c>
      <c r="H48" s="34" t="n">
        <v>0</v>
      </c>
      <c r="I48" s="34" t="n">
        <v>0</v>
      </c>
      <c r="J48" s="34" t="n">
        <v>0</v>
      </c>
      <c r="K48" s="34" t="n">
        <v>0</v>
      </c>
      <c r="L48" s="34" t="n">
        <v>0</v>
      </c>
      <c r="M48" s="34" t="n">
        <v>0</v>
      </c>
      <c r="N48" s="34" t="n">
        <v>0</v>
      </c>
      <c r="O48" s="35" t="n">
        <v>0</v>
      </c>
      <c r="P48" s="58"/>
      <c r="Q48" s="58"/>
      <c r="S48" s="36" t="n">
        <v>40</v>
      </c>
      <c r="T48" s="57" t="s">
        <v>109</v>
      </c>
    </row>
    <row r="49" customFormat="false" ht="13.8" hidden="false" customHeight="false" outlineLevel="0" collapsed="false">
      <c r="E49" s="53" t="s">
        <v>110</v>
      </c>
      <c r="F49" s="33" t="n">
        <v>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0</v>
      </c>
      <c r="O49" s="35" t="n">
        <v>0</v>
      </c>
      <c r="P49" s="58"/>
      <c r="Q49" s="58"/>
      <c r="S49" s="36" t="n">
        <v>41</v>
      </c>
      <c r="T49" s="57" t="s">
        <v>111</v>
      </c>
    </row>
    <row r="50" customFormat="false" ht="13.8" hidden="false" customHeight="false" outlineLevel="0" collapsed="false">
      <c r="E50" s="53" t="s">
        <v>112</v>
      </c>
      <c r="F50" s="33" t="n">
        <v>0</v>
      </c>
      <c r="G50" s="34" t="n">
        <v>0</v>
      </c>
      <c r="H50" s="34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34" t="n">
        <v>0</v>
      </c>
      <c r="O50" s="35" t="n">
        <v>0</v>
      </c>
      <c r="P50" s="58"/>
      <c r="Q50" s="58"/>
      <c r="S50" s="36" t="n">
        <v>42</v>
      </c>
      <c r="T50" s="57" t="s">
        <v>113</v>
      </c>
    </row>
    <row r="51" customFormat="false" ht="13.8" hidden="false" customHeight="false" outlineLevel="0" collapsed="false">
      <c r="E51" s="53" t="s">
        <v>114</v>
      </c>
      <c r="F51" s="33" t="n">
        <v>0</v>
      </c>
      <c r="G51" s="34" t="n">
        <v>0</v>
      </c>
      <c r="H51" s="34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s="34" t="n">
        <v>0</v>
      </c>
      <c r="N51" s="34" t="n">
        <v>0</v>
      </c>
      <c r="O51" s="35" t="n">
        <v>0</v>
      </c>
      <c r="P51" s="58"/>
      <c r="Q51" s="58"/>
      <c r="S51" s="36" t="n">
        <v>43</v>
      </c>
      <c r="T51" s="57" t="s">
        <v>115</v>
      </c>
    </row>
    <row r="52" customFormat="false" ht="13.8" hidden="false" customHeight="false" outlineLevel="0" collapsed="false">
      <c r="E52" s="53" t="s">
        <v>116</v>
      </c>
      <c r="F52" s="33" t="n">
        <v>0</v>
      </c>
      <c r="G52" s="34" t="n">
        <v>0</v>
      </c>
      <c r="H52" s="34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v>0</v>
      </c>
      <c r="N52" s="34" t="n">
        <v>0</v>
      </c>
      <c r="O52" s="35" t="n">
        <v>0</v>
      </c>
      <c r="P52" s="58"/>
      <c r="Q52" s="58"/>
      <c r="S52" s="36" t="n">
        <v>44</v>
      </c>
      <c r="T52" s="57" t="s">
        <v>117</v>
      </c>
      <c r="AD52" s="29" t="n">
        <v>44</v>
      </c>
      <c r="AE52" s="59" t="s">
        <v>117</v>
      </c>
    </row>
    <row r="53" customFormat="false" ht="13.8" hidden="false" customHeight="false" outlineLevel="0" collapsed="false">
      <c r="E53" s="53" t="s">
        <v>118</v>
      </c>
      <c r="F53" s="33" t="n">
        <v>0</v>
      </c>
      <c r="G53" s="34" t="n">
        <v>0</v>
      </c>
      <c r="H53" s="34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34" t="n">
        <v>0</v>
      </c>
      <c r="O53" s="35" t="n">
        <v>0</v>
      </c>
      <c r="P53" s="58"/>
      <c r="Q53" s="58"/>
      <c r="S53" s="36" t="n">
        <v>45</v>
      </c>
      <c r="T53" s="57" t="s">
        <v>119</v>
      </c>
      <c r="AD53" s="29" t="n">
        <v>45</v>
      </c>
      <c r="AE53" s="59" t="s">
        <v>119</v>
      </c>
    </row>
    <row r="54" customFormat="false" ht="15.75" hidden="false" customHeight="false" outlineLevel="0" collapsed="false">
      <c r="E54" s="53" t="s">
        <v>120</v>
      </c>
      <c r="F54" s="33" t="n">
        <v>0</v>
      </c>
      <c r="G54" s="34" t="n">
        <v>0</v>
      </c>
      <c r="H54" s="34" t="n">
        <v>0</v>
      </c>
      <c r="I54" s="34" t="n">
        <v>0</v>
      </c>
      <c r="J54" s="34" t="n">
        <v>0</v>
      </c>
      <c r="K54" s="34" t="n">
        <v>0</v>
      </c>
      <c r="L54" s="34" t="n">
        <v>0</v>
      </c>
      <c r="M54" s="34" t="n">
        <v>0</v>
      </c>
      <c r="N54" s="34" t="n">
        <v>0</v>
      </c>
      <c r="O54" s="35" t="n">
        <v>0</v>
      </c>
      <c r="P54" s="58"/>
      <c r="Q54" s="58"/>
      <c r="S54" s="60"/>
      <c r="T54" s="61"/>
      <c r="AD54" s="29"/>
      <c r="AE54" s="62"/>
    </row>
    <row r="55" customFormat="false" ht="15" hidden="false" customHeight="false" outlineLevel="0" collapsed="false">
      <c r="E55" s="53" t="s">
        <v>121</v>
      </c>
      <c r="F55" s="33" t="n">
        <v>0</v>
      </c>
      <c r="G55" s="34" t="n">
        <v>0</v>
      </c>
      <c r="H55" s="34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0</v>
      </c>
      <c r="N55" s="34" t="n">
        <v>0</v>
      </c>
      <c r="O55" s="35" t="n">
        <v>0</v>
      </c>
      <c r="P55" s="58"/>
      <c r="Q55" s="58"/>
      <c r="AD55" s="41"/>
      <c r="AE55" s="63"/>
    </row>
    <row r="56" customFormat="false" ht="15" hidden="false" customHeight="false" outlineLevel="0" collapsed="false">
      <c r="E56" s="53" t="s">
        <v>122</v>
      </c>
      <c r="F56" s="33" t="n">
        <v>0</v>
      </c>
      <c r="G56" s="34" t="n">
        <v>0</v>
      </c>
      <c r="H56" s="34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34" t="n">
        <v>0</v>
      </c>
      <c r="O56" s="35" t="n">
        <v>0</v>
      </c>
      <c r="P56" s="58"/>
      <c r="Q56" s="58"/>
      <c r="AD56" s="15"/>
      <c r="AE56" s="64"/>
    </row>
    <row r="57" customFormat="false" ht="15" hidden="false" customHeight="false" outlineLevel="0" collapsed="false">
      <c r="E57" s="53" t="s">
        <v>123</v>
      </c>
      <c r="F57" s="33" t="n">
        <v>0</v>
      </c>
      <c r="G57" s="34" t="n">
        <v>0</v>
      </c>
      <c r="H57" s="34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0</v>
      </c>
      <c r="N57" s="34" t="n">
        <v>0</v>
      </c>
      <c r="O57" s="35" t="n">
        <v>0</v>
      </c>
      <c r="P57" s="58"/>
      <c r="Q57" s="58"/>
    </row>
    <row r="58" customFormat="false" ht="15" hidden="false" customHeight="false" outlineLevel="0" collapsed="false">
      <c r="E58" s="53" t="s">
        <v>124</v>
      </c>
      <c r="F58" s="33" t="n">
        <v>0</v>
      </c>
      <c r="G58" s="34" t="n">
        <v>0</v>
      </c>
      <c r="H58" s="34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s="34" t="n">
        <v>0</v>
      </c>
      <c r="N58" s="34" t="n">
        <v>0</v>
      </c>
      <c r="O58" s="35" t="n">
        <v>0</v>
      </c>
      <c r="P58" s="58"/>
      <c r="Q58" s="58"/>
    </row>
    <row r="59" customFormat="false" ht="15" hidden="false" customHeight="false" outlineLevel="0" collapsed="false">
      <c r="E59" s="53" t="s">
        <v>125</v>
      </c>
      <c r="F59" s="33" t="n">
        <v>0</v>
      </c>
      <c r="G59" s="34" t="n">
        <v>0</v>
      </c>
      <c r="H59" s="34" t="n">
        <v>0</v>
      </c>
      <c r="I59" s="34" t="n">
        <v>0</v>
      </c>
      <c r="J59" s="34" t="n">
        <v>0</v>
      </c>
      <c r="K59" s="34" t="n">
        <v>0</v>
      </c>
      <c r="L59" s="34" t="n">
        <v>0</v>
      </c>
      <c r="M59" s="34" t="n">
        <v>0</v>
      </c>
      <c r="N59" s="34" t="n">
        <v>0</v>
      </c>
      <c r="O59" s="35" t="n">
        <v>0</v>
      </c>
      <c r="P59" s="58"/>
      <c r="Q59" s="58"/>
    </row>
    <row r="60" customFormat="false" ht="15" hidden="false" customHeight="false" outlineLevel="0" collapsed="false">
      <c r="E60" s="53" t="s">
        <v>126</v>
      </c>
      <c r="F60" s="33" t="n">
        <v>0</v>
      </c>
      <c r="G60" s="34" t="n">
        <v>0</v>
      </c>
      <c r="H60" s="34" t="n">
        <v>0</v>
      </c>
      <c r="I60" s="34" t="n">
        <v>0</v>
      </c>
      <c r="J60" s="34" t="n">
        <v>0</v>
      </c>
      <c r="K60" s="34" t="n">
        <v>0</v>
      </c>
      <c r="L60" s="34" t="n">
        <v>0</v>
      </c>
      <c r="M60" s="34" t="n">
        <v>0</v>
      </c>
      <c r="N60" s="34" t="n">
        <v>0</v>
      </c>
      <c r="O60" s="35" t="n">
        <v>0</v>
      </c>
      <c r="P60" s="58"/>
      <c r="Q60" s="58"/>
    </row>
    <row r="61" customFormat="false" ht="15" hidden="false" customHeight="false" outlineLevel="0" collapsed="false">
      <c r="E61" s="53" t="s">
        <v>127</v>
      </c>
      <c r="F61" s="33" t="n">
        <v>0</v>
      </c>
      <c r="G61" s="34" t="n">
        <v>0</v>
      </c>
      <c r="H61" s="34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34" t="n">
        <v>0</v>
      </c>
      <c r="O61" s="35" t="n">
        <v>0</v>
      </c>
      <c r="P61" s="58"/>
      <c r="Q61" s="58"/>
    </row>
    <row r="62" customFormat="false" ht="15" hidden="false" customHeight="false" outlineLevel="0" collapsed="false">
      <c r="E62" s="53" t="s">
        <v>128</v>
      </c>
      <c r="F62" s="33" t="n">
        <v>0</v>
      </c>
      <c r="G62" s="34" t="n">
        <v>0</v>
      </c>
      <c r="H62" s="34" t="n">
        <v>0</v>
      </c>
      <c r="I62" s="34" t="n">
        <v>0</v>
      </c>
      <c r="J62" s="34" t="n">
        <v>0</v>
      </c>
      <c r="K62" s="34" t="n">
        <v>0</v>
      </c>
      <c r="L62" s="34" t="n">
        <v>0</v>
      </c>
      <c r="M62" s="34" t="n">
        <v>0</v>
      </c>
      <c r="N62" s="34" t="n">
        <v>0</v>
      </c>
      <c r="O62" s="35" t="n">
        <v>0</v>
      </c>
      <c r="P62" s="58"/>
      <c r="Q62" s="58"/>
    </row>
    <row r="63" customFormat="false" ht="15" hidden="false" customHeight="false" outlineLevel="0" collapsed="false">
      <c r="E63" s="53" t="s">
        <v>129</v>
      </c>
      <c r="F63" s="33" t="n">
        <v>0</v>
      </c>
      <c r="G63" s="34" t="n">
        <v>0</v>
      </c>
      <c r="H63" s="34" t="n">
        <v>0</v>
      </c>
      <c r="I63" s="34" t="n">
        <v>0</v>
      </c>
      <c r="J63" s="34" t="n">
        <v>0</v>
      </c>
      <c r="K63" s="34" t="n">
        <v>0</v>
      </c>
      <c r="L63" s="34" t="n">
        <v>0</v>
      </c>
      <c r="M63" s="34" t="n">
        <v>0</v>
      </c>
      <c r="N63" s="34" t="n">
        <v>0</v>
      </c>
      <c r="O63" s="35" t="n">
        <v>0</v>
      </c>
      <c r="P63" s="58"/>
      <c r="Q63" s="58"/>
    </row>
    <row r="64" customFormat="false" ht="15.75" hidden="false" customHeight="false" outlineLevel="0" collapsed="false">
      <c r="E64" s="65" t="s">
        <v>130</v>
      </c>
      <c r="F64" s="45" t="n">
        <v>0</v>
      </c>
      <c r="G64" s="46" t="n">
        <v>0</v>
      </c>
      <c r="H64" s="46" t="n">
        <v>0</v>
      </c>
      <c r="I64" s="46" t="n">
        <v>0</v>
      </c>
      <c r="J64" s="46" t="n">
        <v>0</v>
      </c>
      <c r="K64" s="46" t="n">
        <v>0</v>
      </c>
      <c r="L64" s="46" t="n">
        <v>0</v>
      </c>
      <c r="M64" s="46" t="n">
        <v>0</v>
      </c>
      <c r="N64" s="46" t="n">
        <v>0</v>
      </c>
      <c r="O64" s="47" t="n">
        <v>0</v>
      </c>
      <c r="P64" s="66"/>
      <c r="Q64" s="66"/>
    </row>
    <row r="65" customFormat="false" ht="15" hidden="false" customHeight="false" outlineLevel="0" collapsed="false">
      <c r="F65" s="48" t="n">
        <f aca="false">SUM(F35:F64)</f>
        <v>1</v>
      </c>
      <c r="G65" s="48" t="n">
        <f aca="false">SUM(G35:G64)</f>
        <v>1</v>
      </c>
      <c r="H65" s="48" t="n">
        <f aca="false">SUM(H35:H64)</f>
        <v>1</v>
      </c>
      <c r="I65" s="48" t="n">
        <f aca="false">SUM(I35:I64)</f>
        <v>1</v>
      </c>
      <c r="J65" s="48" t="n">
        <f aca="false">SUM(J35:J64)</f>
        <v>0</v>
      </c>
      <c r="K65" s="48" t="n">
        <f aca="false">SUM(K35:K64)</f>
        <v>0</v>
      </c>
      <c r="L65" s="48" t="n">
        <f aca="false">SUM(L35:L64)</f>
        <v>0</v>
      </c>
      <c r="M65" s="48" t="n">
        <f aca="false">SUM(M35:M64)</f>
        <v>0</v>
      </c>
      <c r="N65" s="48" t="n">
        <f aca="false">SUM(N35:N64)</f>
        <v>0</v>
      </c>
      <c r="O65" s="48" t="n">
        <f aca="false">SUM(O35:O64)</f>
        <v>0</v>
      </c>
    </row>
    <row r="70" customFormat="false" ht="15.75" hidden="false" customHeight="false" outlineLevel="0" collapsed="false">
      <c r="E70" s="67" t="s">
        <v>131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</row>
    <row r="71" customFormat="false" ht="15.75" hidden="false" customHeight="false" outlineLevel="0" collapsed="false">
      <c r="D71" s="69"/>
      <c r="E71" s="70" t="s">
        <v>79</v>
      </c>
      <c r="F71" s="71" t="str">
        <f aca="false">F34</f>
        <v>RA1</v>
      </c>
      <c r="G71" s="72" t="str">
        <f aca="false">G34</f>
        <v>RA2</v>
      </c>
      <c r="H71" s="72" t="str">
        <f aca="false">H34</f>
        <v>RA3</v>
      </c>
      <c r="I71" s="72" t="str">
        <f aca="false">I34</f>
        <v>RA4</v>
      </c>
      <c r="J71" s="72" t="str">
        <f aca="false">J34</f>
        <v>RA5</v>
      </c>
      <c r="K71" s="72" t="str">
        <f aca="false">K34</f>
        <v>RA6</v>
      </c>
      <c r="L71" s="72" t="str">
        <f aca="false">L34</f>
        <v>RA7</v>
      </c>
      <c r="M71" s="72" t="str">
        <f aca="false">M34</f>
        <v>RA8</v>
      </c>
      <c r="N71" s="72" t="str">
        <f aca="false">N34</f>
        <v>RA9</v>
      </c>
      <c r="O71" s="73" t="str">
        <f aca="false">O34</f>
        <v>RA10</v>
      </c>
    </row>
    <row r="72" customFormat="false" ht="15" hidden="false" customHeight="false" outlineLevel="0" collapsed="false">
      <c r="E72" s="74" t="n">
        <v>1</v>
      </c>
      <c r="F72" s="75" t="n">
        <f aca="false">SUMIF($P$35:$P$64,$E72,F$35:F$64)</f>
        <v>0</v>
      </c>
      <c r="G72" s="76" t="n">
        <f aca="false">SUMIF($P$35:$P$64,$E72,G$35:G$64)</f>
        <v>0</v>
      </c>
      <c r="H72" s="76" t="n">
        <f aca="false">SUMIF($P$35:$P$64,$E72,H$35:H$64)</f>
        <v>0</v>
      </c>
      <c r="I72" s="76" t="n">
        <f aca="false">SUMIF($P$35:$P$64,$E72,I$35:I$64)</f>
        <v>0</v>
      </c>
      <c r="J72" s="76" t="n">
        <f aca="false">SUMIF($P$35:$P$64,$E72,J$35:J$64)</f>
        <v>0</v>
      </c>
      <c r="K72" s="76" t="n">
        <f aca="false">SUMIF($P$35:$P$64,$E72,K$35:K$64)</f>
        <v>0</v>
      </c>
      <c r="L72" s="76" t="n">
        <f aca="false">SUMIF($P$35:$P$64,$E72,L$35:L$64)</f>
        <v>0</v>
      </c>
      <c r="M72" s="76" t="n">
        <f aca="false">SUMIF($P$35:$P$64,$E72,M$35:M$64)</f>
        <v>0</v>
      </c>
      <c r="N72" s="76" t="n">
        <f aca="false">SUMIF($P$35:$P$64,$E72,N$35:N$64)</f>
        <v>0</v>
      </c>
      <c r="O72" s="77" t="n">
        <f aca="false">SUMIF($P$35:$P$64,$E72,O$35:O$64)</f>
        <v>0</v>
      </c>
    </row>
    <row r="73" customFormat="false" ht="15" hidden="false" customHeight="false" outlineLevel="0" collapsed="false">
      <c r="E73" s="78" t="n">
        <v>2</v>
      </c>
      <c r="F73" s="79" t="n">
        <f aca="false">SUMIF($P$35:$P$64,$E73,F$35:F$64)</f>
        <v>0</v>
      </c>
      <c r="G73" s="80" t="n">
        <f aca="false">SUMIF($P$35:$P$64,$E73,G$35:G$64)</f>
        <v>0</v>
      </c>
      <c r="H73" s="80" t="n">
        <f aca="false">SUMIF($P$35:$P$64,$E73,H$35:H$64)</f>
        <v>0</v>
      </c>
      <c r="I73" s="80" t="n">
        <f aca="false">SUMIF($P$35:$P$64,$E73,I$35:I$64)</f>
        <v>0</v>
      </c>
      <c r="J73" s="80" t="n">
        <f aca="false">SUMIF($P$35:$P$64,$E73,J$35:J$64)</f>
        <v>0</v>
      </c>
      <c r="K73" s="80" t="n">
        <f aca="false">SUMIF($P$35:$P$64,$E73,K$35:K$64)</f>
        <v>0</v>
      </c>
      <c r="L73" s="80" t="n">
        <f aca="false">SUMIF($P$35:$P$64,$E73,L$35:L$64)</f>
        <v>0</v>
      </c>
      <c r="M73" s="80" t="n">
        <f aca="false">SUMIF($P$35:$P$64,$E73,M$35:M$64)</f>
        <v>0</v>
      </c>
      <c r="N73" s="80" t="n">
        <f aca="false">SUMIF($P$35:$P$64,$E73,N$35:N$64)</f>
        <v>0</v>
      </c>
      <c r="O73" s="81" t="n">
        <f aca="false">SUMIF($P$35:$P$64,$E73,O$35:O$64)</f>
        <v>0</v>
      </c>
    </row>
    <row r="74" customFormat="false" ht="15" hidden="false" customHeight="false" outlineLevel="0" collapsed="false">
      <c r="E74" s="78" t="n">
        <v>3</v>
      </c>
      <c r="F74" s="79" t="n">
        <f aca="false">SUMIF($P$35:$P$64,$E74,F$35:F$64)</f>
        <v>0</v>
      </c>
      <c r="G74" s="80" t="n">
        <f aca="false">SUMIF($P$35:$P$64,$E74,G$35:G$64)</f>
        <v>0</v>
      </c>
      <c r="H74" s="80" t="n">
        <f aca="false">SUMIF($P$35:$P$64,$E74,H$35:H$64)</f>
        <v>0</v>
      </c>
      <c r="I74" s="80" t="n">
        <f aca="false">SUMIF($P$35:$P$64,$E74,I$35:I$64)</f>
        <v>0</v>
      </c>
      <c r="J74" s="80" t="n">
        <f aca="false">SUMIF($P$35:$P$64,$E74,J$35:J$64)</f>
        <v>0</v>
      </c>
      <c r="K74" s="80" t="n">
        <f aca="false">SUMIF($P$35:$P$64,$E74,K$35:K$64)</f>
        <v>0</v>
      </c>
      <c r="L74" s="80" t="n">
        <f aca="false">SUMIF($P$35:$P$64,$E74,L$35:L$64)</f>
        <v>0</v>
      </c>
      <c r="M74" s="80" t="n">
        <f aca="false">SUMIF($P$35:$P$64,$E74,M$35:M$64)</f>
        <v>0</v>
      </c>
      <c r="N74" s="80" t="n">
        <f aca="false">SUMIF($P$35:$P$64,$E74,N$35:N$64)</f>
        <v>0</v>
      </c>
      <c r="O74" s="81" t="n">
        <f aca="false">SUMIF($P$35:$P$64,$E74,O$35:O$64)</f>
        <v>0</v>
      </c>
    </row>
    <row r="75" customFormat="false" ht="15" hidden="false" customHeight="false" outlineLevel="0" collapsed="false">
      <c r="E75" s="78" t="n">
        <v>4</v>
      </c>
      <c r="F75" s="79" t="n">
        <f aca="false">SUMIF($P$35:$P$64,$E75,F$35:F$64)</f>
        <v>0</v>
      </c>
      <c r="G75" s="80" t="n">
        <f aca="false">SUMIF($P$35:$P$64,$E75,G$35:G$64)</f>
        <v>0</v>
      </c>
      <c r="H75" s="80" t="n">
        <f aca="false">SUMIF($P$35:$P$64,$E75,H$35:H$64)</f>
        <v>0</v>
      </c>
      <c r="I75" s="80" t="n">
        <f aca="false">SUMIF($P$35:$P$64,$E75,I$35:I$64)</f>
        <v>0</v>
      </c>
      <c r="J75" s="80" t="n">
        <f aca="false">SUMIF($P$35:$P$64,$E75,J$35:J$64)</f>
        <v>0</v>
      </c>
      <c r="K75" s="80" t="n">
        <f aca="false">SUMIF($P$35:$P$64,$E75,K$35:K$64)</f>
        <v>0</v>
      </c>
      <c r="L75" s="80" t="n">
        <f aca="false">SUMIF($P$35:$P$64,$E75,L$35:L$64)</f>
        <v>0</v>
      </c>
      <c r="M75" s="80" t="n">
        <f aca="false">SUMIF($P$35:$P$64,$E75,M$35:M$64)</f>
        <v>0</v>
      </c>
      <c r="N75" s="80" t="n">
        <f aca="false">SUMIF($P$35:$P$64,$E75,N$35:N$64)</f>
        <v>0</v>
      </c>
      <c r="O75" s="81" t="n">
        <f aca="false">SUMIF($P$35:$P$64,$E75,O$35:O$64)</f>
        <v>0</v>
      </c>
    </row>
    <row r="76" customFormat="false" ht="15" hidden="false" customHeight="false" outlineLevel="0" collapsed="false">
      <c r="E76" s="78" t="n">
        <v>5</v>
      </c>
      <c r="F76" s="79" t="n">
        <f aca="false">SUMIF($P$35:$P$64,$E76,F$35:F$64)</f>
        <v>0</v>
      </c>
      <c r="G76" s="80" t="n">
        <f aca="false">SUMIF($P$35:$P$64,$E76,G$35:G$64)</f>
        <v>0</v>
      </c>
      <c r="H76" s="80" t="n">
        <f aca="false">SUMIF($P$35:$P$64,$E76,H$35:H$64)</f>
        <v>0</v>
      </c>
      <c r="I76" s="80" t="n">
        <f aca="false">SUMIF($P$35:$P$64,$E76,I$35:I$64)</f>
        <v>0</v>
      </c>
      <c r="J76" s="80" t="n">
        <f aca="false">SUMIF($P$35:$P$64,$E76,J$35:J$64)</f>
        <v>0</v>
      </c>
      <c r="K76" s="80" t="n">
        <f aca="false">SUMIF($P$35:$P$64,$E76,K$35:K$64)</f>
        <v>0</v>
      </c>
      <c r="L76" s="80" t="n">
        <f aca="false">SUMIF($P$35:$P$64,$E76,L$35:L$64)</f>
        <v>0</v>
      </c>
      <c r="M76" s="80" t="n">
        <f aca="false">SUMIF($P$35:$P$64,$E76,M$35:M$64)</f>
        <v>0</v>
      </c>
      <c r="N76" s="80" t="n">
        <f aca="false">SUMIF($P$35:$P$64,$E76,N$35:N$64)</f>
        <v>0</v>
      </c>
      <c r="O76" s="81" t="n">
        <f aca="false">SUMIF($P$35:$P$64,$E76,O$35:O$64)</f>
        <v>0</v>
      </c>
    </row>
    <row r="77" customFormat="false" ht="15" hidden="false" customHeight="false" outlineLevel="0" collapsed="false">
      <c r="E77" s="78" t="n">
        <v>6</v>
      </c>
      <c r="F77" s="79" t="n">
        <f aca="false">SUMIF($P$35:$P$64,$E77,F$35:F$64)</f>
        <v>0</v>
      </c>
      <c r="G77" s="80" t="n">
        <f aca="false">SUMIF($P$35:$P$64,$E77,G$35:G$64)</f>
        <v>0</v>
      </c>
      <c r="H77" s="80" t="n">
        <f aca="false">SUMIF($P$35:$P$64,$E77,H$35:H$64)</f>
        <v>0</v>
      </c>
      <c r="I77" s="80" t="n">
        <f aca="false">SUMIF($P$35:$P$64,$E77,I$35:I$64)</f>
        <v>0</v>
      </c>
      <c r="J77" s="80" t="n">
        <f aca="false">SUMIF($P$35:$P$64,$E77,J$35:J$64)</f>
        <v>0</v>
      </c>
      <c r="K77" s="80" t="n">
        <f aca="false">SUMIF($P$35:$P$64,$E77,K$35:K$64)</f>
        <v>0</v>
      </c>
      <c r="L77" s="80" t="n">
        <f aca="false">SUMIF($P$35:$P$64,$E77,L$35:L$64)</f>
        <v>0</v>
      </c>
      <c r="M77" s="80" t="n">
        <f aca="false">SUMIF($P$35:$P$64,$E77,M$35:M$64)</f>
        <v>0</v>
      </c>
      <c r="N77" s="80" t="n">
        <f aca="false">SUMIF($P$35:$P$64,$E77,N$35:N$64)</f>
        <v>0</v>
      </c>
      <c r="O77" s="81" t="n">
        <f aca="false">SUMIF($P$35:$P$64,$E77,O$35:O$64)</f>
        <v>0</v>
      </c>
    </row>
    <row r="78" customFormat="false" ht="15" hidden="false" customHeight="false" outlineLevel="0" collapsed="false">
      <c r="E78" s="78" t="n">
        <v>7</v>
      </c>
      <c r="F78" s="79" t="n">
        <f aca="false">SUMIF($P$35:$P$64,$E78,F$35:F$64)</f>
        <v>0</v>
      </c>
      <c r="G78" s="80" t="n">
        <f aca="false">SUMIF($P$35:$P$64,$E78,G$35:G$64)</f>
        <v>0</v>
      </c>
      <c r="H78" s="80" t="n">
        <f aca="false">SUMIF($P$35:$P$64,$E78,H$35:H$64)</f>
        <v>0</v>
      </c>
      <c r="I78" s="80" t="n">
        <f aca="false">SUMIF($P$35:$P$64,$E78,I$35:I$64)</f>
        <v>0</v>
      </c>
      <c r="J78" s="80" t="n">
        <f aca="false">SUMIF($P$35:$P$64,$E78,J$35:J$64)</f>
        <v>0</v>
      </c>
      <c r="K78" s="80" t="n">
        <f aca="false">SUMIF($P$35:$P$64,$E78,K$35:K$64)</f>
        <v>0</v>
      </c>
      <c r="L78" s="80" t="n">
        <f aca="false">SUMIF($P$35:$P$64,$E78,L$35:L$64)</f>
        <v>0</v>
      </c>
      <c r="M78" s="80" t="n">
        <f aca="false">SUMIF($P$35:$P$64,$E78,M$35:M$64)</f>
        <v>0</v>
      </c>
      <c r="N78" s="80" t="n">
        <f aca="false">SUMIF($P$35:$P$64,$E78,N$35:N$64)</f>
        <v>0</v>
      </c>
      <c r="O78" s="81" t="n">
        <f aca="false">SUMIF($P$35:$P$64,$E78,O$35:O$64)</f>
        <v>0</v>
      </c>
    </row>
    <row r="79" customFormat="false" ht="15" hidden="false" customHeight="false" outlineLevel="0" collapsed="false">
      <c r="E79" s="78" t="n">
        <v>8</v>
      </c>
      <c r="F79" s="79" t="n">
        <f aca="false">SUMIF($P$35:$P$64,$E79,F$35:F$64)</f>
        <v>0</v>
      </c>
      <c r="G79" s="80" t="n">
        <f aca="false">SUMIF($P$35:$P$64,$E79,G$35:G$64)</f>
        <v>0</v>
      </c>
      <c r="H79" s="80" t="n">
        <f aca="false">SUMIF($P$35:$P$64,$E79,H$35:H$64)</f>
        <v>0</v>
      </c>
      <c r="I79" s="80" t="n">
        <f aca="false">SUMIF($P$35:$P$64,$E79,I$35:I$64)</f>
        <v>0</v>
      </c>
      <c r="J79" s="80" t="n">
        <f aca="false">SUMIF($P$35:$P$64,$E79,J$35:J$64)</f>
        <v>0</v>
      </c>
      <c r="K79" s="80" t="n">
        <f aca="false">SUMIF($P$35:$P$64,$E79,K$35:K$64)</f>
        <v>0</v>
      </c>
      <c r="L79" s="80" t="n">
        <f aca="false">SUMIF($P$35:$P$64,$E79,L$35:L$64)</f>
        <v>0</v>
      </c>
      <c r="M79" s="80" t="n">
        <f aca="false">SUMIF($P$35:$P$64,$E79,M$35:M$64)</f>
        <v>0</v>
      </c>
      <c r="N79" s="80" t="n">
        <f aca="false">SUMIF($P$35:$P$64,$E79,N$35:N$64)</f>
        <v>0</v>
      </c>
      <c r="O79" s="81" t="n">
        <f aca="false">SUMIF($P$35:$P$64,$E79,O$35:O$64)</f>
        <v>0</v>
      </c>
    </row>
    <row r="80" customFormat="false" ht="15" hidden="false" customHeight="false" outlineLevel="0" collapsed="false">
      <c r="E80" s="78" t="n">
        <v>9</v>
      </c>
      <c r="F80" s="79" t="n">
        <f aca="false">SUMIF($P$35:$P$64,$E80,F$35:F$64)</f>
        <v>0</v>
      </c>
      <c r="G80" s="80" t="n">
        <f aca="false">SUMIF($P$35:$P$64,$E80,G$35:G$64)</f>
        <v>0</v>
      </c>
      <c r="H80" s="80" t="n">
        <f aca="false">SUMIF($P$35:$P$64,$E80,H$35:H$64)</f>
        <v>0</v>
      </c>
      <c r="I80" s="80" t="n">
        <f aca="false">SUMIF($P$35:$P$64,$E80,I$35:I$64)</f>
        <v>0</v>
      </c>
      <c r="J80" s="80" t="n">
        <f aca="false">SUMIF($P$35:$P$64,$E80,J$35:J$64)</f>
        <v>0</v>
      </c>
      <c r="K80" s="80" t="n">
        <f aca="false">SUMIF($P$35:$P$64,$E80,K$35:K$64)</f>
        <v>0</v>
      </c>
      <c r="L80" s="80" t="n">
        <f aca="false">SUMIF($P$35:$P$64,$E80,L$35:L$64)</f>
        <v>0</v>
      </c>
      <c r="M80" s="80" t="n">
        <f aca="false">SUMIF($P$35:$P$64,$E80,M$35:M$64)</f>
        <v>0</v>
      </c>
      <c r="N80" s="80" t="n">
        <f aca="false">SUMIF($P$35:$P$64,$E80,N$35:N$64)</f>
        <v>0</v>
      </c>
      <c r="O80" s="81" t="n">
        <f aca="false">SUMIF($P$35:$P$64,$E80,O$35:O$64)</f>
        <v>0</v>
      </c>
    </row>
    <row r="81" customFormat="false" ht="15" hidden="false" customHeight="false" outlineLevel="0" collapsed="false">
      <c r="E81" s="78" t="n">
        <v>10</v>
      </c>
      <c r="F81" s="79" t="n">
        <f aca="false">SUMIF($P$35:$P$64,$E81,F$35:F$64)</f>
        <v>0</v>
      </c>
      <c r="G81" s="80" t="n">
        <f aca="false">SUMIF($P$35:$P$64,$E81,G$35:G$64)</f>
        <v>0</v>
      </c>
      <c r="H81" s="80" t="n">
        <f aca="false">SUMIF($P$35:$P$64,$E81,H$35:H$64)</f>
        <v>0</v>
      </c>
      <c r="I81" s="80" t="n">
        <f aca="false">SUMIF($P$35:$P$64,$E81,I$35:I$64)</f>
        <v>0</v>
      </c>
      <c r="J81" s="80" t="n">
        <f aca="false">SUMIF($P$35:$P$64,$E81,J$35:J$64)</f>
        <v>0</v>
      </c>
      <c r="K81" s="80" t="n">
        <f aca="false">SUMIF($P$35:$P$64,$E81,K$35:K$64)</f>
        <v>0</v>
      </c>
      <c r="L81" s="80" t="n">
        <f aca="false">SUMIF($P$35:$P$64,$E81,L$35:L$64)</f>
        <v>0</v>
      </c>
      <c r="M81" s="80" t="n">
        <f aca="false">SUMIF($P$35:$P$64,$E81,M$35:M$64)</f>
        <v>0</v>
      </c>
      <c r="N81" s="80" t="n">
        <f aca="false">SUMIF($P$35:$P$64,$E81,N$35:N$64)</f>
        <v>0</v>
      </c>
      <c r="O81" s="81" t="n">
        <f aca="false">SUMIF($P$35:$P$64,$E81,O$35:O$64)</f>
        <v>0</v>
      </c>
    </row>
    <row r="82" customFormat="false" ht="15" hidden="false" customHeight="false" outlineLevel="0" collapsed="false">
      <c r="E82" s="78" t="n">
        <v>11</v>
      </c>
      <c r="F82" s="79" t="n">
        <f aca="false">SUMIF($P$35:$P$64,$E82,F$35:F$64)</f>
        <v>0</v>
      </c>
      <c r="G82" s="80" t="n">
        <f aca="false">SUMIF($P$35:$P$64,$E82,G$35:G$64)</f>
        <v>0</v>
      </c>
      <c r="H82" s="80" t="n">
        <f aca="false">SUMIF($P$35:$P$64,$E82,H$35:H$64)</f>
        <v>0</v>
      </c>
      <c r="I82" s="80" t="n">
        <f aca="false">SUMIF($P$35:$P$64,$E82,I$35:I$64)</f>
        <v>0</v>
      </c>
      <c r="J82" s="80" t="n">
        <f aca="false">SUMIF($P$35:$P$64,$E82,J$35:J$64)</f>
        <v>0</v>
      </c>
      <c r="K82" s="80" t="n">
        <f aca="false">SUMIF($P$35:$P$64,$E82,K$35:K$64)</f>
        <v>0</v>
      </c>
      <c r="L82" s="80" t="n">
        <f aca="false">SUMIF($P$35:$P$64,$E82,L$35:L$64)</f>
        <v>0</v>
      </c>
      <c r="M82" s="80" t="n">
        <f aca="false">SUMIF($P$35:$P$64,$E82,M$35:M$64)</f>
        <v>0</v>
      </c>
      <c r="N82" s="80" t="n">
        <f aca="false">SUMIF($P$35:$P$64,$E82,N$35:N$64)</f>
        <v>0</v>
      </c>
      <c r="O82" s="81" t="n">
        <f aca="false">SUMIF($P$35:$P$64,$E82,O$35:O$64)</f>
        <v>0</v>
      </c>
    </row>
    <row r="83" customFormat="false" ht="15" hidden="false" customHeight="false" outlineLevel="0" collapsed="false">
      <c r="E83" s="78" t="n">
        <v>12</v>
      </c>
      <c r="F83" s="79" t="n">
        <f aca="false">SUMIF($P$35:$P$64,$E83,F$35:F$64)</f>
        <v>0</v>
      </c>
      <c r="G83" s="80" t="n">
        <f aca="false">SUMIF($P$35:$P$64,$E83,G$35:G$64)</f>
        <v>0</v>
      </c>
      <c r="H83" s="80" t="n">
        <f aca="false">SUMIF($P$35:$P$64,$E83,H$35:H$64)</f>
        <v>0</v>
      </c>
      <c r="I83" s="80" t="n">
        <f aca="false">SUMIF($P$35:$P$64,$E83,I$35:I$64)</f>
        <v>0</v>
      </c>
      <c r="J83" s="80" t="n">
        <f aca="false">SUMIF($P$35:$P$64,$E83,J$35:J$64)</f>
        <v>0</v>
      </c>
      <c r="K83" s="80" t="n">
        <f aca="false">SUMIF($P$35:$P$64,$E83,K$35:K$64)</f>
        <v>0</v>
      </c>
      <c r="L83" s="80" t="n">
        <f aca="false">SUMIF($P$35:$P$64,$E83,L$35:L$64)</f>
        <v>0</v>
      </c>
      <c r="M83" s="80" t="n">
        <f aca="false">SUMIF($P$35:$P$64,$E83,M$35:M$64)</f>
        <v>0</v>
      </c>
      <c r="N83" s="80" t="n">
        <f aca="false">SUMIF($P$35:$P$64,$E83,N$35:N$64)</f>
        <v>0</v>
      </c>
      <c r="O83" s="81" t="n">
        <f aca="false">SUMIF($P$35:$P$64,$E83,O$35:O$64)</f>
        <v>0</v>
      </c>
    </row>
    <row r="84" customFormat="false" ht="15" hidden="false" customHeight="false" outlineLevel="0" collapsed="false">
      <c r="E84" s="78" t="n">
        <v>13</v>
      </c>
      <c r="F84" s="79" t="n">
        <f aca="false">SUMIF($P$35:$P$64,$E84,F$35:F$64)</f>
        <v>0</v>
      </c>
      <c r="G84" s="80" t="n">
        <f aca="false">SUMIF($P$35:$P$64,$E84,G$35:G$64)</f>
        <v>0</v>
      </c>
      <c r="H84" s="80" t="n">
        <f aca="false">SUMIF($P$35:$P$64,$E84,H$35:H$64)</f>
        <v>0</v>
      </c>
      <c r="I84" s="80" t="n">
        <f aca="false">SUMIF($P$35:$P$64,$E84,I$35:I$64)</f>
        <v>0</v>
      </c>
      <c r="J84" s="80" t="n">
        <f aca="false">SUMIF($P$35:$P$64,$E84,J$35:J$64)</f>
        <v>0</v>
      </c>
      <c r="K84" s="80" t="n">
        <f aca="false">SUMIF($P$35:$P$64,$E84,K$35:K$64)</f>
        <v>0</v>
      </c>
      <c r="L84" s="80" t="n">
        <f aca="false">SUMIF($P$35:$P$64,$E84,L$35:L$64)</f>
        <v>0</v>
      </c>
      <c r="M84" s="80" t="n">
        <f aca="false">SUMIF($P$35:$P$64,$E84,M$35:M$64)</f>
        <v>0</v>
      </c>
      <c r="N84" s="80" t="n">
        <f aca="false">SUMIF($P$35:$P$64,$E84,N$35:N$64)</f>
        <v>0</v>
      </c>
      <c r="O84" s="81" t="n">
        <f aca="false">SUMIF($P$35:$P$64,$E84,O$35:O$64)</f>
        <v>0</v>
      </c>
    </row>
    <row r="85" customFormat="false" ht="15" hidden="false" customHeight="false" outlineLevel="0" collapsed="false">
      <c r="E85" s="78" t="n">
        <v>14</v>
      </c>
      <c r="F85" s="79" t="n">
        <f aca="false">SUMIF($P$35:$P$64,$E85,F$35:F$64)</f>
        <v>0</v>
      </c>
      <c r="G85" s="80" t="n">
        <f aca="false">SUMIF($P$35:$P$64,$E85,G$35:G$64)</f>
        <v>0</v>
      </c>
      <c r="H85" s="80" t="n">
        <f aca="false">SUMIF($P$35:$P$64,$E85,H$35:H$64)</f>
        <v>0</v>
      </c>
      <c r="I85" s="80" t="n">
        <f aca="false">SUMIF($P$35:$P$64,$E85,I$35:I$64)</f>
        <v>0</v>
      </c>
      <c r="J85" s="80" t="n">
        <f aca="false">SUMIF($P$35:$P$64,$E85,J$35:J$64)</f>
        <v>0</v>
      </c>
      <c r="K85" s="80" t="n">
        <f aca="false">SUMIF($P$35:$P$64,$E85,K$35:K$64)</f>
        <v>0</v>
      </c>
      <c r="L85" s="80" t="n">
        <f aca="false">SUMIF($P$35:$P$64,$E85,L$35:L$64)</f>
        <v>0</v>
      </c>
      <c r="M85" s="80" t="n">
        <f aca="false">SUMIF($P$35:$P$64,$E85,M$35:M$64)</f>
        <v>0</v>
      </c>
      <c r="N85" s="80" t="n">
        <f aca="false">SUMIF($P$35:$P$64,$E85,N$35:N$64)</f>
        <v>0</v>
      </c>
      <c r="O85" s="81" t="n">
        <f aca="false">SUMIF($P$35:$P$64,$E85,O$35:O$64)</f>
        <v>0</v>
      </c>
    </row>
    <row r="86" customFormat="false" ht="15" hidden="false" customHeight="false" outlineLevel="0" collapsed="false">
      <c r="E86" s="78" t="n">
        <v>15</v>
      </c>
      <c r="F86" s="79" t="n">
        <f aca="false">SUMIF($P$35:$P$64,$E86,F$35:F$64)</f>
        <v>0</v>
      </c>
      <c r="G86" s="80" t="n">
        <f aca="false">SUMIF($P$35:$P$64,$E86,G$35:G$64)</f>
        <v>0</v>
      </c>
      <c r="H86" s="80" t="n">
        <f aca="false">SUMIF($P$35:$P$64,$E86,H$35:H$64)</f>
        <v>0</v>
      </c>
      <c r="I86" s="80" t="n">
        <f aca="false">SUMIF($P$35:$P$64,$E86,I$35:I$64)</f>
        <v>0</v>
      </c>
      <c r="J86" s="80" t="n">
        <f aca="false">SUMIF($P$35:$P$64,$E86,J$35:J$64)</f>
        <v>0</v>
      </c>
      <c r="K86" s="80" t="n">
        <f aca="false">SUMIF($P$35:$P$64,$E86,K$35:K$64)</f>
        <v>0</v>
      </c>
      <c r="L86" s="80" t="n">
        <f aca="false">SUMIF($P$35:$P$64,$E86,L$35:L$64)</f>
        <v>0</v>
      </c>
      <c r="M86" s="80" t="n">
        <f aca="false">SUMIF($P$35:$P$64,$E86,M$35:M$64)</f>
        <v>0</v>
      </c>
      <c r="N86" s="80" t="n">
        <f aca="false">SUMIF($P$35:$P$64,$E86,N$35:N$64)</f>
        <v>0</v>
      </c>
      <c r="O86" s="81" t="n">
        <f aca="false">SUMIF($P$35:$P$64,$E86,O$35:O$64)</f>
        <v>0</v>
      </c>
    </row>
    <row r="87" customFormat="false" ht="15" hidden="false" customHeight="false" outlineLevel="0" collapsed="false">
      <c r="E87" s="78" t="n">
        <v>16</v>
      </c>
      <c r="F87" s="79" t="n">
        <f aca="false">SUMIF($P$35:$P$64,$E87,F$35:F$64)</f>
        <v>0</v>
      </c>
      <c r="G87" s="80" t="n">
        <f aca="false">SUMIF($P$35:$P$64,$E87,G$35:G$64)</f>
        <v>0</v>
      </c>
      <c r="H87" s="80" t="n">
        <f aca="false">SUMIF($P$35:$P$64,$E87,H$35:H$64)</f>
        <v>0</v>
      </c>
      <c r="I87" s="80" t="n">
        <f aca="false">SUMIF($P$35:$P$64,$E87,I$35:I$64)</f>
        <v>0</v>
      </c>
      <c r="J87" s="80" t="n">
        <f aca="false">SUMIF($P$35:$P$64,$E87,J$35:J$64)</f>
        <v>0</v>
      </c>
      <c r="K87" s="80" t="n">
        <f aca="false">SUMIF($P$35:$P$64,$E87,K$35:K$64)</f>
        <v>0</v>
      </c>
      <c r="L87" s="80" t="n">
        <f aca="false">SUMIF($P$35:$P$64,$E87,L$35:L$64)</f>
        <v>0</v>
      </c>
      <c r="M87" s="80" t="n">
        <f aca="false">SUMIF($P$35:$P$64,$E87,M$35:M$64)</f>
        <v>0</v>
      </c>
      <c r="N87" s="80" t="n">
        <f aca="false">SUMIF($P$35:$P$64,$E87,N$35:N$64)</f>
        <v>0</v>
      </c>
      <c r="O87" s="81" t="n">
        <f aca="false">SUMIF($P$35:$P$64,$E87,O$35:O$64)</f>
        <v>0</v>
      </c>
    </row>
    <row r="88" customFormat="false" ht="15" hidden="false" customHeight="false" outlineLevel="0" collapsed="false">
      <c r="E88" s="78" t="n">
        <v>17</v>
      </c>
      <c r="F88" s="79" t="n">
        <f aca="false">SUMIF($P$35:$P$64,$E88,F$35:F$64)</f>
        <v>0</v>
      </c>
      <c r="G88" s="80" t="n">
        <f aca="false">SUMIF($P$35:$P$64,$E88,G$35:G$64)</f>
        <v>0</v>
      </c>
      <c r="H88" s="80" t="n">
        <f aca="false">SUMIF($P$35:$P$64,$E88,H$35:H$64)</f>
        <v>0</v>
      </c>
      <c r="I88" s="80" t="n">
        <f aca="false">SUMIF($P$35:$P$64,$E88,I$35:I$64)</f>
        <v>0</v>
      </c>
      <c r="J88" s="80" t="n">
        <f aca="false">SUMIF($P$35:$P$64,$E88,J$35:J$64)</f>
        <v>0</v>
      </c>
      <c r="K88" s="80" t="n">
        <f aca="false">SUMIF($P$35:$P$64,$E88,K$35:K$64)</f>
        <v>0</v>
      </c>
      <c r="L88" s="80" t="n">
        <f aca="false">SUMIF($P$35:$P$64,$E88,L$35:L$64)</f>
        <v>0</v>
      </c>
      <c r="M88" s="80" t="n">
        <f aca="false">SUMIF($P$35:$P$64,$E88,M$35:M$64)</f>
        <v>0</v>
      </c>
      <c r="N88" s="80" t="n">
        <f aca="false">SUMIF($P$35:$P$64,$E88,N$35:N$64)</f>
        <v>0</v>
      </c>
      <c r="O88" s="81" t="n">
        <f aca="false">SUMIF($P$35:$P$64,$E88,O$35:O$64)</f>
        <v>0</v>
      </c>
    </row>
    <row r="89" customFormat="false" ht="15" hidden="false" customHeight="false" outlineLevel="0" collapsed="false">
      <c r="E89" s="78" t="n">
        <v>18</v>
      </c>
      <c r="F89" s="79" t="n">
        <f aca="false">SUMIF($P$35:$P$64,$E89,F$35:F$64)</f>
        <v>0</v>
      </c>
      <c r="G89" s="80" t="n">
        <f aca="false">SUMIF($P$35:$P$64,$E89,G$35:G$64)</f>
        <v>0</v>
      </c>
      <c r="H89" s="80" t="n">
        <f aca="false">SUMIF($P$35:$P$64,$E89,H$35:H$64)</f>
        <v>0</v>
      </c>
      <c r="I89" s="80" t="n">
        <f aca="false">SUMIF($P$35:$P$64,$E89,I$35:I$64)</f>
        <v>0</v>
      </c>
      <c r="J89" s="80" t="n">
        <f aca="false">SUMIF($P$35:$P$64,$E89,J$35:J$64)</f>
        <v>0</v>
      </c>
      <c r="K89" s="80" t="n">
        <f aca="false">SUMIF($P$35:$P$64,$E89,K$35:K$64)</f>
        <v>0</v>
      </c>
      <c r="L89" s="80" t="n">
        <f aca="false">SUMIF($P$35:$P$64,$E89,L$35:L$64)</f>
        <v>0</v>
      </c>
      <c r="M89" s="80" t="n">
        <f aca="false">SUMIF($P$35:$P$64,$E89,M$35:M$64)</f>
        <v>0</v>
      </c>
      <c r="N89" s="80" t="n">
        <f aca="false">SUMIF($P$35:$P$64,$E89,N$35:N$64)</f>
        <v>0</v>
      </c>
      <c r="O89" s="81" t="n">
        <f aca="false">SUMIF($P$35:$P$64,$E89,O$35:O$64)</f>
        <v>0</v>
      </c>
    </row>
    <row r="90" customFormat="false" ht="15" hidden="false" customHeight="false" outlineLevel="0" collapsed="false">
      <c r="E90" s="78" t="n">
        <v>19</v>
      </c>
      <c r="F90" s="79" t="n">
        <f aca="false">SUMIF($P$35:$P$64,$E90,F$35:F$64)</f>
        <v>0</v>
      </c>
      <c r="G90" s="80" t="n">
        <f aca="false">SUMIF($P$35:$P$64,$E90,G$35:G$64)</f>
        <v>0</v>
      </c>
      <c r="H90" s="80" t="n">
        <f aca="false">SUMIF($P$35:$P$64,$E90,H$35:H$64)</f>
        <v>0</v>
      </c>
      <c r="I90" s="80" t="n">
        <f aca="false">SUMIF($P$35:$P$64,$E90,I$35:I$64)</f>
        <v>0</v>
      </c>
      <c r="J90" s="80" t="n">
        <f aca="false">SUMIF($P$35:$P$64,$E90,J$35:J$64)</f>
        <v>0</v>
      </c>
      <c r="K90" s="80" t="n">
        <f aca="false">SUMIF($P$35:$P$64,$E90,K$35:K$64)</f>
        <v>0</v>
      </c>
      <c r="L90" s="80" t="n">
        <f aca="false">SUMIF($P$35:$P$64,$E90,L$35:L$64)</f>
        <v>0</v>
      </c>
      <c r="M90" s="80" t="n">
        <f aca="false">SUMIF($P$35:$P$64,$E90,M$35:M$64)</f>
        <v>0</v>
      </c>
      <c r="N90" s="80" t="n">
        <f aca="false">SUMIF($P$35:$P$64,$E90,N$35:N$64)</f>
        <v>0</v>
      </c>
      <c r="O90" s="81" t="n">
        <f aca="false">SUMIF($P$35:$P$64,$E90,O$35:O$64)</f>
        <v>0</v>
      </c>
    </row>
    <row r="91" customFormat="false" ht="15.75" hidden="false" customHeight="false" outlineLevel="0" collapsed="false">
      <c r="E91" s="82" t="n">
        <v>20</v>
      </c>
      <c r="F91" s="83" t="n">
        <f aca="false">SUMIF($P$35:$P$64,$E91,F$35:F$64)</f>
        <v>0</v>
      </c>
      <c r="G91" s="84" t="n">
        <f aca="false">SUMIF($P$35:$P$64,$E91,G$35:G$64)</f>
        <v>0</v>
      </c>
      <c r="H91" s="84" t="n">
        <f aca="false">SUMIF($P$35:$P$64,$E91,H$35:H$64)</f>
        <v>0</v>
      </c>
      <c r="I91" s="84" t="n">
        <f aca="false">SUMIF($P$35:$P$64,$E91,I$35:I$64)</f>
        <v>0</v>
      </c>
      <c r="J91" s="84" t="n">
        <f aca="false">SUMIF($P$35:$P$64,$E91,J$35:J$64)</f>
        <v>0</v>
      </c>
      <c r="K91" s="84" t="n">
        <f aca="false">SUMIF($P$35:$P$64,$E91,K$35:K$64)</f>
        <v>0</v>
      </c>
      <c r="L91" s="84" t="n">
        <f aca="false">SUMIF($P$35:$P$64,$E91,L$35:L$64)</f>
        <v>0</v>
      </c>
      <c r="M91" s="84" t="n">
        <f aca="false">SUMIF($P$35:$P$64,$E91,M$35:M$64)</f>
        <v>0</v>
      </c>
      <c r="N91" s="84" t="n">
        <f aca="false">SUMIF($P$35:$P$64,$E91,N$35:N$64)</f>
        <v>0</v>
      </c>
      <c r="O91" s="85" t="n">
        <f aca="false">SUMIF($P$35:$P$64,$E91,O$35:O$64)</f>
        <v>0</v>
      </c>
    </row>
    <row r="92" customFormat="false" ht="15" hidden="false" customHeight="false" outlineLevel="0" collapsed="false">
      <c r="E92" s="86"/>
      <c r="F92" s="87" t="n">
        <f aca="false">SUM(F72:F91)</f>
        <v>0</v>
      </c>
      <c r="G92" s="87" t="n">
        <f aca="false">SUM(G72:G91)</f>
        <v>0</v>
      </c>
      <c r="H92" s="87" t="n">
        <f aca="false">SUM(H72:H91)</f>
        <v>0</v>
      </c>
      <c r="I92" s="87" t="n">
        <f aca="false">SUM(I72:I91)</f>
        <v>0</v>
      </c>
      <c r="J92" s="87" t="n">
        <f aca="false">SUM(J72:J91)</f>
        <v>0</v>
      </c>
      <c r="K92" s="87" t="n">
        <f aca="false">SUM(K72:K91)</f>
        <v>0</v>
      </c>
      <c r="L92" s="87" t="n">
        <f aca="false">SUM(L72:L91)</f>
        <v>0</v>
      </c>
      <c r="M92" s="87" t="n">
        <f aca="false">SUM(M72:M91)</f>
        <v>0</v>
      </c>
      <c r="N92" s="87" t="n">
        <f aca="false">SUM(N72:N91)</f>
        <v>0</v>
      </c>
      <c r="O92" s="87" t="n">
        <f aca="false">SUM(O72:O91)</f>
        <v>0</v>
      </c>
    </row>
  </sheetData>
  <sheetProtection algorithmName="SHA-512" hashValue="CTx+nyxSYGBkr1QnG444d0XlLhP89LSJtBCdNU8ZtSUY4PNRe2KO+vSD+F8vNKk5fdJOMu8gOY82iq/MsWCmgQ==" saltValue="oUMqrOhyh9dyXq6h4fvkxA==" spinCount="100000" sheet="true" objects="true" scenarios="true"/>
  <conditionalFormatting sqref="O28">
    <cfRule type="cellIs" priority="2" operator="notEqual" aboveAverage="0" equalAverage="0" bottom="0" percent="0" rank="0" text="" dxfId="0">
      <formula>O91</formula>
    </cfRule>
  </conditionalFormatting>
  <conditionalFormatting sqref="O28">
    <cfRule type="cellIs" priority="3" operator="equal" aboveAverage="0" equalAverage="0" bottom="0" percent="0" rank="0" text="" dxfId="1">
      <formula>0</formula>
    </cfRule>
  </conditionalFormatting>
  <conditionalFormatting sqref="O27">
    <cfRule type="cellIs" priority="4" operator="notEqual" aboveAverage="0" equalAverage="0" bottom="0" percent="0" rank="0" text="" dxfId="2">
      <formula>O90</formula>
    </cfRule>
  </conditionalFormatting>
  <conditionalFormatting sqref="O27">
    <cfRule type="cellIs" priority="5" operator="equal" aboveAverage="0" equalAverage="0" bottom="0" percent="0" rank="0" text="" dxfId="3">
      <formula>0</formula>
    </cfRule>
  </conditionalFormatting>
  <conditionalFormatting sqref="O26">
    <cfRule type="cellIs" priority="6" operator="notEqual" aboveAverage="0" equalAverage="0" bottom="0" percent="0" rank="0" text="" dxfId="4">
      <formula>O89</formula>
    </cfRule>
  </conditionalFormatting>
  <conditionalFormatting sqref="O26">
    <cfRule type="cellIs" priority="7" operator="equal" aboveAverage="0" equalAverage="0" bottom="0" percent="0" rank="0" text="" dxfId="5">
      <formula>0</formula>
    </cfRule>
  </conditionalFormatting>
  <conditionalFormatting sqref="O25">
    <cfRule type="cellIs" priority="8" operator="notEqual" aboveAverage="0" equalAverage="0" bottom="0" percent="0" rank="0" text="" dxfId="6">
      <formula>O88</formula>
    </cfRule>
  </conditionalFormatting>
  <conditionalFormatting sqref="O25">
    <cfRule type="cellIs" priority="9" operator="equal" aboveAverage="0" equalAverage="0" bottom="0" percent="0" rank="0" text="" dxfId="7">
      <formula>0</formula>
    </cfRule>
  </conditionalFormatting>
  <conditionalFormatting sqref="O24">
    <cfRule type="cellIs" priority="10" operator="notEqual" aboveAverage="0" equalAverage="0" bottom="0" percent="0" rank="0" text="" dxfId="8">
      <formula>O87</formula>
    </cfRule>
  </conditionalFormatting>
  <conditionalFormatting sqref="O24">
    <cfRule type="cellIs" priority="11" operator="equal" aboveAverage="0" equalAverage="0" bottom="0" percent="0" rank="0" text="" dxfId="9">
      <formula>0</formula>
    </cfRule>
  </conditionalFormatting>
  <conditionalFormatting sqref="O23">
    <cfRule type="cellIs" priority="12" operator="notEqual" aboveAverage="0" equalAverage="0" bottom="0" percent="0" rank="0" text="" dxfId="10">
      <formula>O86</formula>
    </cfRule>
  </conditionalFormatting>
  <conditionalFormatting sqref="O23">
    <cfRule type="cellIs" priority="13" operator="equal" aboveAverage="0" equalAverage="0" bottom="0" percent="0" rank="0" text="" dxfId="11">
      <formula>0</formula>
    </cfRule>
  </conditionalFormatting>
  <conditionalFormatting sqref="O22">
    <cfRule type="cellIs" priority="14" operator="notEqual" aboveAverage="0" equalAverage="0" bottom="0" percent="0" rank="0" text="" dxfId="12">
      <formula>O85</formula>
    </cfRule>
  </conditionalFormatting>
  <conditionalFormatting sqref="O22">
    <cfRule type="cellIs" priority="15" operator="equal" aboveAverage="0" equalAverage="0" bottom="0" percent="0" rank="0" text="" dxfId="13">
      <formula>0</formula>
    </cfRule>
  </conditionalFormatting>
  <conditionalFormatting sqref="O21">
    <cfRule type="cellIs" priority="16" operator="notEqual" aboveAverage="0" equalAverage="0" bottom="0" percent="0" rank="0" text="" dxfId="14">
      <formula>O84</formula>
    </cfRule>
  </conditionalFormatting>
  <conditionalFormatting sqref="O21">
    <cfRule type="cellIs" priority="17" operator="equal" aboveAverage="0" equalAverage="0" bottom="0" percent="0" rank="0" text="" dxfId="15">
      <formula>0</formula>
    </cfRule>
  </conditionalFormatting>
  <conditionalFormatting sqref="O20">
    <cfRule type="cellIs" priority="18" operator="notEqual" aboveAverage="0" equalAverage="0" bottom="0" percent="0" rank="0" text="" dxfId="16">
      <formula>O83</formula>
    </cfRule>
  </conditionalFormatting>
  <conditionalFormatting sqref="O20">
    <cfRule type="cellIs" priority="19" operator="equal" aboveAverage="0" equalAverage="0" bottom="0" percent="0" rank="0" text="" dxfId="17">
      <formula>0</formula>
    </cfRule>
  </conditionalFormatting>
  <conditionalFormatting sqref="O19">
    <cfRule type="cellIs" priority="20" operator="notEqual" aboveAverage="0" equalAverage="0" bottom="0" percent="0" rank="0" text="" dxfId="18">
      <formula>O82</formula>
    </cfRule>
  </conditionalFormatting>
  <conditionalFormatting sqref="O19">
    <cfRule type="cellIs" priority="21" operator="equal" aboveAverage="0" equalAverage="0" bottom="0" percent="0" rank="0" text="" dxfId="19">
      <formula>0</formula>
    </cfRule>
  </conditionalFormatting>
  <conditionalFormatting sqref="O18">
    <cfRule type="cellIs" priority="22" operator="notEqual" aboveAverage="0" equalAverage="0" bottom="0" percent="0" rank="0" text="" dxfId="20">
      <formula>O81</formula>
    </cfRule>
  </conditionalFormatting>
  <conditionalFormatting sqref="O18">
    <cfRule type="cellIs" priority="23" operator="equal" aboveAverage="0" equalAverage="0" bottom="0" percent="0" rank="0" text="" dxfId="21">
      <formula>0</formula>
    </cfRule>
  </conditionalFormatting>
  <conditionalFormatting sqref="O17">
    <cfRule type="cellIs" priority="24" operator="notEqual" aboveAverage="0" equalAverage="0" bottom="0" percent="0" rank="0" text="" dxfId="22">
      <formula>O80</formula>
    </cfRule>
  </conditionalFormatting>
  <conditionalFormatting sqref="O17">
    <cfRule type="cellIs" priority="25" operator="equal" aboveAverage="0" equalAverage="0" bottom="0" percent="0" rank="0" text="" dxfId="23">
      <formula>0</formula>
    </cfRule>
  </conditionalFormatting>
  <conditionalFormatting sqref="O16">
    <cfRule type="cellIs" priority="26" operator="notEqual" aboveAverage="0" equalAverage="0" bottom="0" percent="0" rank="0" text="" dxfId="24">
      <formula>O79</formula>
    </cfRule>
  </conditionalFormatting>
  <conditionalFormatting sqref="O16">
    <cfRule type="cellIs" priority="27" operator="equal" aboveAverage="0" equalAverage="0" bottom="0" percent="0" rank="0" text="" dxfId="25">
      <formula>0</formula>
    </cfRule>
  </conditionalFormatting>
  <conditionalFormatting sqref="O15">
    <cfRule type="cellIs" priority="28" operator="notEqual" aboveAverage="0" equalAverage="0" bottom="0" percent="0" rank="0" text="" dxfId="26">
      <formula>O78</formula>
    </cfRule>
  </conditionalFormatting>
  <conditionalFormatting sqref="O15">
    <cfRule type="cellIs" priority="29" operator="equal" aboveAverage="0" equalAverage="0" bottom="0" percent="0" rank="0" text="" dxfId="27">
      <formula>0</formula>
    </cfRule>
  </conditionalFormatting>
  <conditionalFormatting sqref="O14">
    <cfRule type="cellIs" priority="30" operator="notEqual" aboveAverage="0" equalAverage="0" bottom="0" percent="0" rank="0" text="" dxfId="28">
      <formula>O77</formula>
    </cfRule>
  </conditionalFormatting>
  <conditionalFormatting sqref="O14">
    <cfRule type="cellIs" priority="31" operator="equal" aboveAverage="0" equalAverage="0" bottom="0" percent="0" rank="0" text="" dxfId="29">
      <formula>0</formula>
    </cfRule>
  </conditionalFormatting>
  <conditionalFormatting sqref="O13">
    <cfRule type="cellIs" priority="32" operator="notEqual" aboveAverage="0" equalAverage="0" bottom="0" percent="0" rank="0" text="" dxfId="30">
      <formula>O76</formula>
    </cfRule>
  </conditionalFormatting>
  <conditionalFormatting sqref="O13">
    <cfRule type="cellIs" priority="33" operator="equal" aboveAverage="0" equalAverage="0" bottom="0" percent="0" rank="0" text="" dxfId="31">
      <formula>0</formula>
    </cfRule>
  </conditionalFormatting>
  <conditionalFormatting sqref="O12">
    <cfRule type="cellIs" priority="34" operator="notEqual" aboveAverage="0" equalAverage="0" bottom="0" percent="0" rank="0" text="" dxfId="32">
      <formula>O75</formula>
    </cfRule>
  </conditionalFormatting>
  <conditionalFormatting sqref="O12">
    <cfRule type="cellIs" priority="35" operator="equal" aboveAverage="0" equalAverage="0" bottom="0" percent="0" rank="0" text="" dxfId="33">
      <formula>0</formula>
    </cfRule>
  </conditionalFormatting>
  <conditionalFormatting sqref="O11">
    <cfRule type="cellIs" priority="36" operator="notEqual" aboveAverage="0" equalAverage="0" bottom="0" percent="0" rank="0" text="" dxfId="34">
      <formula>O74</formula>
    </cfRule>
  </conditionalFormatting>
  <conditionalFormatting sqref="O11">
    <cfRule type="cellIs" priority="37" operator="equal" aboveAverage="0" equalAverage="0" bottom="0" percent="0" rank="0" text="" dxfId="35">
      <formula>0</formula>
    </cfRule>
  </conditionalFormatting>
  <conditionalFormatting sqref="O10">
    <cfRule type="cellIs" priority="38" operator="notEqual" aboveAverage="0" equalAverage="0" bottom="0" percent="0" rank="0" text="" dxfId="36">
      <formula>O73</formula>
    </cfRule>
  </conditionalFormatting>
  <conditionalFormatting sqref="O10">
    <cfRule type="cellIs" priority="39" operator="equal" aboveAverage="0" equalAverage="0" bottom="0" percent="0" rank="0" text="" dxfId="37">
      <formula>0</formula>
    </cfRule>
  </conditionalFormatting>
  <conditionalFormatting sqref="N28">
    <cfRule type="cellIs" priority="40" operator="notEqual" aboveAverage="0" equalAverage="0" bottom="0" percent="0" rank="0" text="" dxfId="38">
      <formula>N91</formula>
    </cfRule>
  </conditionalFormatting>
  <conditionalFormatting sqref="N28">
    <cfRule type="cellIs" priority="41" operator="equal" aboveAverage="0" equalAverage="0" bottom="0" percent="0" rank="0" text="" dxfId="39">
      <formula>0</formula>
    </cfRule>
  </conditionalFormatting>
  <conditionalFormatting sqref="N27">
    <cfRule type="cellIs" priority="42" operator="notEqual" aboveAverage="0" equalAverage="0" bottom="0" percent="0" rank="0" text="" dxfId="40">
      <formula>N90</formula>
    </cfRule>
  </conditionalFormatting>
  <conditionalFormatting sqref="N27">
    <cfRule type="cellIs" priority="43" operator="equal" aboveAverage="0" equalAverage="0" bottom="0" percent="0" rank="0" text="" dxfId="41">
      <formula>0</formula>
    </cfRule>
  </conditionalFormatting>
  <conditionalFormatting sqref="N26">
    <cfRule type="cellIs" priority="44" operator="notEqual" aboveAverage="0" equalAverage="0" bottom="0" percent="0" rank="0" text="" dxfId="42">
      <formula>N89</formula>
    </cfRule>
  </conditionalFormatting>
  <conditionalFormatting sqref="N26">
    <cfRule type="cellIs" priority="45" operator="equal" aboveAverage="0" equalAverage="0" bottom="0" percent="0" rank="0" text="" dxfId="43">
      <formula>0</formula>
    </cfRule>
  </conditionalFormatting>
  <conditionalFormatting sqref="N25">
    <cfRule type="cellIs" priority="46" operator="notEqual" aboveAverage="0" equalAverage="0" bottom="0" percent="0" rank="0" text="" dxfId="44">
      <formula>N88</formula>
    </cfRule>
  </conditionalFormatting>
  <conditionalFormatting sqref="N25">
    <cfRule type="cellIs" priority="47" operator="equal" aboveAverage="0" equalAverage="0" bottom="0" percent="0" rank="0" text="" dxfId="45">
      <formula>0</formula>
    </cfRule>
  </conditionalFormatting>
  <conditionalFormatting sqref="N24">
    <cfRule type="cellIs" priority="48" operator="notEqual" aboveAverage="0" equalAverage="0" bottom="0" percent="0" rank="0" text="" dxfId="46">
      <formula>N87</formula>
    </cfRule>
  </conditionalFormatting>
  <conditionalFormatting sqref="N24">
    <cfRule type="cellIs" priority="49" operator="equal" aboveAverage="0" equalAverage="0" bottom="0" percent="0" rank="0" text="" dxfId="47">
      <formula>0</formula>
    </cfRule>
  </conditionalFormatting>
  <conditionalFormatting sqref="N23">
    <cfRule type="cellIs" priority="50" operator="notEqual" aboveAverage="0" equalAverage="0" bottom="0" percent="0" rank="0" text="" dxfId="48">
      <formula>N86</formula>
    </cfRule>
  </conditionalFormatting>
  <conditionalFormatting sqref="N23">
    <cfRule type="cellIs" priority="51" operator="equal" aboveAverage="0" equalAverage="0" bottom="0" percent="0" rank="0" text="" dxfId="49">
      <formula>0</formula>
    </cfRule>
  </conditionalFormatting>
  <conditionalFormatting sqref="N22">
    <cfRule type="cellIs" priority="52" operator="notEqual" aboveAverage="0" equalAverage="0" bottom="0" percent="0" rank="0" text="" dxfId="50">
      <formula>N85</formula>
    </cfRule>
  </conditionalFormatting>
  <conditionalFormatting sqref="N22">
    <cfRule type="cellIs" priority="53" operator="equal" aboveAverage="0" equalAverage="0" bottom="0" percent="0" rank="0" text="" dxfId="51">
      <formula>0</formula>
    </cfRule>
  </conditionalFormatting>
  <conditionalFormatting sqref="N21">
    <cfRule type="cellIs" priority="54" operator="notEqual" aboveAverage="0" equalAverage="0" bottom="0" percent="0" rank="0" text="" dxfId="52">
      <formula>N84</formula>
    </cfRule>
  </conditionalFormatting>
  <conditionalFormatting sqref="N21">
    <cfRule type="cellIs" priority="55" operator="equal" aboveAverage="0" equalAverage="0" bottom="0" percent="0" rank="0" text="" dxfId="53">
      <formula>0</formula>
    </cfRule>
  </conditionalFormatting>
  <conditionalFormatting sqref="N20">
    <cfRule type="cellIs" priority="56" operator="notEqual" aboveAverage="0" equalAverage="0" bottom="0" percent="0" rank="0" text="" dxfId="54">
      <formula>N83</formula>
    </cfRule>
  </conditionalFormatting>
  <conditionalFormatting sqref="N20">
    <cfRule type="cellIs" priority="57" operator="equal" aboveAverage="0" equalAverage="0" bottom="0" percent="0" rank="0" text="" dxfId="55">
      <formula>0</formula>
    </cfRule>
  </conditionalFormatting>
  <conditionalFormatting sqref="N19">
    <cfRule type="cellIs" priority="58" operator="notEqual" aboveAverage="0" equalAverage="0" bottom="0" percent="0" rank="0" text="" dxfId="56">
      <formula>N82</formula>
    </cfRule>
  </conditionalFormatting>
  <conditionalFormatting sqref="N19">
    <cfRule type="cellIs" priority="59" operator="equal" aboveAverage="0" equalAverage="0" bottom="0" percent="0" rank="0" text="" dxfId="57">
      <formula>0</formula>
    </cfRule>
  </conditionalFormatting>
  <conditionalFormatting sqref="N18">
    <cfRule type="cellIs" priority="60" operator="notEqual" aboveAverage="0" equalAverage="0" bottom="0" percent="0" rank="0" text="" dxfId="58">
      <formula>N81</formula>
    </cfRule>
  </conditionalFormatting>
  <conditionalFormatting sqref="N18">
    <cfRule type="cellIs" priority="61" operator="equal" aboveAverage="0" equalAverage="0" bottom="0" percent="0" rank="0" text="" dxfId="59">
      <formula>0</formula>
    </cfRule>
  </conditionalFormatting>
  <conditionalFormatting sqref="N17">
    <cfRule type="cellIs" priority="62" operator="notEqual" aboveAverage="0" equalAverage="0" bottom="0" percent="0" rank="0" text="" dxfId="60">
      <formula>N80</formula>
    </cfRule>
  </conditionalFormatting>
  <conditionalFormatting sqref="N17">
    <cfRule type="cellIs" priority="63" operator="equal" aboveAverage="0" equalAverage="0" bottom="0" percent="0" rank="0" text="" dxfId="61">
      <formula>0</formula>
    </cfRule>
  </conditionalFormatting>
  <conditionalFormatting sqref="N16">
    <cfRule type="cellIs" priority="64" operator="notEqual" aboveAverage="0" equalAverage="0" bottom="0" percent="0" rank="0" text="" dxfId="62">
      <formula>N79</formula>
    </cfRule>
  </conditionalFormatting>
  <conditionalFormatting sqref="N16">
    <cfRule type="cellIs" priority="65" operator="equal" aboveAverage="0" equalAverage="0" bottom="0" percent="0" rank="0" text="" dxfId="63">
      <formula>0</formula>
    </cfRule>
  </conditionalFormatting>
  <conditionalFormatting sqref="N15">
    <cfRule type="cellIs" priority="66" operator="notEqual" aboveAverage="0" equalAverage="0" bottom="0" percent="0" rank="0" text="" dxfId="64">
      <formula>N78</formula>
    </cfRule>
  </conditionalFormatting>
  <conditionalFormatting sqref="N15">
    <cfRule type="cellIs" priority="67" operator="equal" aboveAverage="0" equalAverage="0" bottom="0" percent="0" rank="0" text="" dxfId="65">
      <formula>0</formula>
    </cfRule>
  </conditionalFormatting>
  <conditionalFormatting sqref="N14">
    <cfRule type="cellIs" priority="68" operator="notEqual" aboveAverage="0" equalAverage="0" bottom="0" percent="0" rank="0" text="" dxfId="66">
      <formula>N77</formula>
    </cfRule>
  </conditionalFormatting>
  <conditionalFormatting sqref="N14">
    <cfRule type="cellIs" priority="69" operator="equal" aboveAverage="0" equalAverage="0" bottom="0" percent="0" rank="0" text="" dxfId="67">
      <formula>0</formula>
    </cfRule>
  </conditionalFormatting>
  <conditionalFormatting sqref="N13">
    <cfRule type="cellIs" priority="70" operator="notEqual" aboveAverage="0" equalAverage="0" bottom="0" percent="0" rank="0" text="" dxfId="68">
      <formula>N76</formula>
    </cfRule>
  </conditionalFormatting>
  <conditionalFormatting sqref="N13">
    <cfRule type="cellIs" priority="71" operator="equal" aboveAverage="0" equalAverage="0" bottom="0" percent="0" rank="0" text="" dxfId="69">
      <formula>0</formula>
    </cfRule>
  </conditionalFormatting>
  <conditionalFormatting sqref="N12">
    <cfRule type="cellIs" priority="72" operator="notEqual" aboveAverage="0" equalAverage="0" bottom="0" percent="0" rank="0" text="" dxfId="70">
      <formula>N75</formula>
    </cfRule>
  </conditionalFormatting>
  <conditionalFormatting sqref="N12">
    <cfRule type="cellIs" priority="73" operator="equal" aboveAverage="0" equalAverage="0" bottom="0" percent="0" rank="0" text="" dxfId="71">
      <formula>0</formula>
    </cfRule>
  </conditionalFormatting>
  <conditionalFormatting sqref="N11">
    <cfRule type="cellIs" priority="74" operator="notEqual" aboveAverage="0" equalAverage="0" bottom="0" percent="0" rank="0" text="" dxfId="72">
      <formula>N74</formula>
    </cfRule>
  </conditionalFormatting>
  <conditionalFormatting sqref="N11">
    <cfRule type="cellIs" priority="75" operator="equal" aboveAverage="0" equalAverage="0" bottom="0" percent="0" rank="0" text="" dxfId="73">
      <formula>0</formula>
    </cfRule>
  </conditionalFormatting>
  <conditionalFormatting sqref="N10">
    <cfRule type="cellIs" priority="76" operator="notEqual" aboveAverage="0" equalAverage="0" bottom="0" percent="0" rank="0" text="" dxfId="74">
      <formula>N73</formula>
    </cfRule>
  </conditionalFormatting>
  <conditionalFormatting sqref="N10">
    <cfRule type="cellIs" priority="77" operator="equal" aboveAverage="0" equalAverage="0" bottom="0" percent="0" rank="0" text="" dxfId="75">
      <formula>0</formula>
    </cfRule>
  </conditionalFormatting>
  <conditionalFormatting sqref="M28">
    <cfRule type="cellIs" priority="78" operator="notEqual" aboveAverage="0" equalAverage="0" bottom="0" percent="0" rank="0" text="" dxfId="76">
      <formula>M91</formula>
    </cfRule>
  </conditionalFormatting>
  <conditionalFormatting sqref="M28">
    <cfRule type="cellIs" priority="79" operator="equal" aboveAverage="0" equalAverage="0" bottom="0" percent="0" rank="0" text="" dxfId="77">
      <formula>0</formula>
    </cfRule>
  </conditionalFormatting>
  <conditionalFormatting sqref="M27">
    <cfRule type="cellIs" priority="80" operator="notEqual" aboveAverage="0" equalAverage="0" bottom="0" percent="0" rank="0" text="" dxfId="78">
      <formula>M90</formula>
    </cfRule>
  </conditionalFormatting>
  <conditionalFormatting sqref="M27">
    <cfRule type="cellIs" priority="81" operator="equal" aboveAverage="0" equalAverage="0" bottom="0" percent="0" rank="0" text="" dxfId="79">
      <formula>0</formula>
    </cfRule>
  </conditionalFormatting>
  <conditionalFormatting sqref="M26">
    <cfRule type="cellIs" priority="82" operator="notEqual" aboveAverage="0" equalAverage="0" bottom="0" percent="0" rank="0" text="" dxfId="80">
      <formula>M89</formula>
    </cfRule>
  </conditionalFormatting>
  <conditionalFormatting sqref="M26">
    <cfRule type="cellIs" priority="83" operator="equal" aboveAverage="0" equalAverage="0" bottom="0" percent="0" rank="0" text="" dxfId="81">
      <formula>0</formula>
    </cfRule>
  </conditionalFormatting>
  <conditionalFormatting sqref="M25">
    <cfRule type="cellIs" priority="84" operator="notEqual" aboveAverage="0" equalAverage="0" bottom="0" percent="0" rank="0" text="" dxfId="82">
      <formula>M88</formula>
    </cfRule>
  </conditionalFormatting>
  <conditionalFormatting sqref="M25">
    <cfRule type="cellIs" priority="85" operator="equal" aboveAverage="0" equalAverage="0" bottom="0" percent="0" rank="0" text="" dxfId="83">
      <formula>0</formula>
    </cfRule>
  </conditionalFormatting>
  <conditionalFormatting sqref="M24">
    <cfRule type="cellIs" priority="86" operator="notEqual" aboveAverage="0" equalAverage="0" bottom="0" percent="0" rank="0" text="" dxfId="84">
      <formula>M87</formula>
    </cfRule>
  </conditionalFormatting>
  <conditionalFormatting sqref="M24">
    <cfRule type="cellIs" priority="87" operator="equal" aboveAverage="0" equalAverage="0" bottom="0" percent="0" rank="0" text="" dxfId="85">
      <formula>0</formula>
    </cfRule>
  </conditionalFormatting>
  <conditionalFormatting sqref="M23">
    <cfRule type="cellIs" priority="88" operator="notEqual" aboveAverage="0" equalAverage="0" bottom="0" percent="0" rank="0" text="" dxfId="86">
      <formula>M86</formula>
    </cfRule>
  </conditionalFormatting>
  <conditionalFormatting sqref="M23">
    <cfRule type="cellIs" priority="89" operator="equal" aboveAverage="0" equalAverage="0" bottom="0" percent="0" rank="0" text="" dxfId="87">
      <formula>0</formula>
    </cfRule>
  </conditionalFormatting>
  <conditionalFormatting sqref="M22">
    <cfRule type="cellIs" priority="90" operator="notEqual" aboveAverage="0" equalAverage="0" bottom="0" percent="0" rank="0" text="" dxfId="88">
      <formula>M85</formula>
    </cfRule>
  </conditionalFormatting>
  <conditionalFormatting sqref="M22">
    <cfRule type="cellIs" priority="91" operator="equal" aboveAverage="0" equalAverage="0" bottom="0" percent="0" rank="0" text="" dxfId="89">
      <formula>0</formula>
    </cfRule>
  </conditionalFormatting>
  <conditionalFormatting sqref="M21">
    <cfRule type="cellIs" priority="92" operator="notEqual" aboveAverage="0" equalAverage="0" bottom="0" percent="0" rank="0" text="" dxfId="90">
      <formula>M84</formula>
    </cfRule>
  </conditionalFormatting>
  <conditionalFormatting sqref="M21">
    <cfRule type="cellIs" priority="93" operator="equal" aboveAverage="0" equalAverage="0" bottom="0" percent="0" rank="0" text="" dxfId="91">
      <formula>0</formula>
    </cfRule>
  </conditionalFormatting>
  <conditionalFormatting sqref="M20">
    <cfRule type="cellIs" priority="94" operator="notEqual" aboveAverage="0" equalAverage="0" bottom="0" percent="0" rank="0" text="" dxfId="92">
      <formula>M83</formula>
    </cfRule>
  </conditionalFormatting>
  <conditionalFormatting sqref="M20">
    <cfRule type="cellIs" priority="95" operator="equal" aboveAverage="0" equalAverage="0" bottom="0" percent="0" rank="0" text="" dxfId="93">
      <formula>0</formula>
    </cfRule>
  </conditionalFormatting>
  <conditionalFormatting sqref="M19">
    <cfRule type="cellIs" priority="96" operator="notEqual" aboveAverage="0" equalAverage="0" bottom="0" percent="0" rank="0" text="" dxfId="94">
      <formula>M82</formula>
    </cfRule>
  </conditionalFormatting>
  <conditionalFormatting sqref="M19">
    <cfRule type="cellIs" priority="97" operator="equal" aboveAverage="0" equalAverage="0" bottom="0" percent="0" rank="0" text="" dxfId="95">
      <formula>0</formula>
    </cfRule>
  </conditionalFormatting>
  <conditionalFormatting sqref="M18">
    <cfRule type="cellIs" priority="98" operator="notEqual" aboveAverage="0" equalAverage="0" bottom="0" percent="0" rank="0" text="" dxfId="96">
      <formula>M81</formula>
    </cfRule>
  </conditionalFormatting>
  <conditionalFormatting sqref="M18">
    <cfRule type="cellIs" priority="99" operator="equal" aboveAverage="0" equalAverage="0" bottom="0" percent="0" rank="0" text="" dxfId="97">
      <formula>0</formula>
    </cfRule>
  </conditionalFormatting>
  <conditionalFormatting sqref="M17">
    <cfRule type="cellIs" priority="100" operator="notEqual" aboveAverage="0" equalAverage="0" bottom="0" percent="0" rank="0" text="" dxfId="98">
      <formula>M80</formula>
    </cfRule>
  </conditionalFormatting>
  <conditionalFormatting sqref="M17">
    <cfRule type="cellIs" priority="101" operator="equal" aboveAverage="0" equalAverage="0" bottom="0" percent="0" rank="0" text="" dxfId="99">
      <formula>0</formula>
    </cfRule>
  </conditionalFormatting>
  <conditionalFormatting sqref="M16">
    <cfRule type="cellIs" priority="102" operator="notEqual" aboveAverage="0" equalAverage="0" bottom="0" percent="0" rank="0" text="" dxfId="100">
      <formula>M79</formula>
    </cfRule>
  </conditionalFormatting>
  <conditionalFormatting sqref="M16">
    <cfRule type="cellIs" priority="103" operator="equal" aboveAverage="0" equalAverage="0" bottom="0" percent="0" rank="0" text="" dxfId="101">
      <formula>0</formula>
    </cfRule>
  </conditionalFormatting>
  <conditionalFormatting sqref="M15">
    <cfRule type="cellIs" priority="104" operator="notEqual" aboveAverage="0" equalAverage="0" bottom="0" percent="0" rank="0" text="" dxfId="102">
      <formula>M78</formula>
    </cfRule>
  </conditionalFormatting>
  <conditionalFormatting sqref="M15">
    <cfRule type="cellIs" priority="105" operator="equal" aboveAverage="0" equalAverage="0" bottom="0" percent="0" rank="0" text="" dxfId="103">
      <formula>0</formula>
    </cfRule>
  </conditionalFormatting>
  <conditionalFormatting sqref="M14">
    <cfRule type="cellIs" priority="106" operator="notEqual" aboveAverage="0" equalAverage="0" bottom="0" percent="0" rank="0" text="" dxfId="104">
      <formula>M77</formula>
    </cfRule>
  </conditionalFormatting>
  <conditionalFormatting sqref="M14">
    <cfRule type="cellIs" priority="107" operator="equal" aboveAverage="0" equalAverage="0" bottom="0" percent="0" rank="0" text="" dxfId="105">
      <formula>0</formula>
    </cfRule>
  </conditionalFormatting>
  <conditionalFormatting sqref="M13">
    <cfRule type="cellIs" priority="108" operator="notEqual" aboveAverage="0" equalAverage="0" bottom="0" percent="0" rank="0" text="" dxfId="106">
      <formula>M76</formula>
    </cfRule>
  </conditionalFormatting>
  <conditionalFormatting sqref="M13">
    <cfRule type="cellIs" priority="109" operator="equal" aboveAverage="0" equalAverage="0" bottom="0" percent="0" rank="0" text="" dxfId="107">
      <formula>0</formula>
    </cfRule>
  </conditionalFormatting>
  <conditionalFormatting sqref="M12">
    <cfRule type="cellIs" priority="110" operator="notEqual" aboveAverage="0" equalAverage="0" bottom="0" percent="0" rank="0" text="" dxfId="108">
      <formula>M75</formula>
    </cfRule>
  </conditionalFormatting>
  <conditionalFormatting sqref="M12">
    <cfRule type="cellIs" priority="111" operator="equal" aboveAverage="0" equalAverage="0" bottom="0" percent="0" rank="0" text="" dxfId="109">
      <formula>0</formula>
    </cfRule>
  </conditionalFormatting>
  <conditionalFormatting sqref="M11">
    <cfRule type="cellIs" priority="112" operator="notEqual" aboveAverage="0" equalAverage="0" bottom="0" percent="0" rank="0" text="" dxfId="110">
      <formula>M74</formula>
    </cfRule>
  </conditionalFormatting>
  <conditionalFormatting sqref="M11">
    <cfRule type="cellIs" priority="113" operator="equal" aboveAverage="0" equalAverage="0" bottom="0" percent="0" rank="0" text="" dxfId="111">
      <formula>0</formula>
    </cfRule>
  </conditionalFormatting>
  <conditionalFormatting sqref="M10">
    <cfRule type="cellIs" priority="114" operator="notEqual" aboveAverage="0" equalAverage="0" bottom="0" percent="0" rank="0" text="" dxfId="112">
      <formula>M73</formula>
    </cfRule>
  </conditionalFormatting>
  <conditionalFormatting sqref="M10">
    <cfRule type="cellIs" priority="115" operator="equal" aboveAverage="0" equalAverage="0" bottom="0" percent="0" rank="0" text="" dxfId="113">
      <formula>0</formula>
    </cfRule>
  </conditionalFormatting>
  <conditionalFormatting sqref="L28">
    <cfRule type="cellIs" priority="116" operator="notEqual" aboveAverage="0" equalAverage="0" bottom="0" percent="0" rank="0" text="" dxfId="114">
      <formula>L91</formula>
    </cfRule>
  </conditionalFormatting>
  <conditionalFormatting sqref="L28">
    <cfRule type="cellIs" priority="117" operator="equal" aboveAverage="0" equalAverage="0" bottom="0" percent="0" rank="0" text="" dxfId="115">
      <formula>0</formula>
    </cfRule>
  </conditionalFormatting>
  <conditionalFormatting sqref="L27">
    <cfRule type="cellIs" priority="118" operator="notEqual" aboveAverage="0" equalAverage="0" bottom="0" percent="0" rank="0" text="" dxfId="116">
      <formula>L90</formula>
    </cfRule>
  </conditionalFormatting>
  <conditionalFormatting sqref="L27">
    <cfRule type="cellIs" priority="119" operator="equal" aboveAverage="0" equalAverage="0" bottom="0" percent="0" rank="0" text="" dxfId="117">
      <formula>0</formula>
    </cfRule>
  </conditionalFormatting>
  <conditionalFormatting sqref="L26">
    <cfRule type="cellIs" priority="120" operator="notEqual" aboveAverage="0" equalAverage="0" bottom="0" percent="0" rank="0" text="" dxfId="118">
      <formula>L89</formula>
    </cfRule>
  </conditionalFormatting>
  <conditionalFormatting sqref="L26">
    <cfRule type="cellIs" priority="121" operator="equal" aboveAverage="0" equalAverage="0" bottom="0" percent="0" rank="0" text="" dxfId="119">
      <formula>0</formula>
    </cfRule>
  </conditionalFormatting>
  <conditionalFormatting sqref="L25">
    <cfRule type="cellIs" priority="122" operator="notEqual" aboveAverage="0" equalAverage="0" bottom="0" percent="0" rank="0" text="" dxfId="120">
      <formula>L88</formula>
    </cfRule>
  </conditionalFormatting>
  <conditionalFormatting sqref="L25">
    <cfRule type="cellIs" priority="123" operator="equal" aboveAverage="0" equalAverage="0" bottom="0" percent="0" rank="0" text="" dxfId="121">
      <formula>0</formula>
    </cfRule>
  </conditionalFormatting>
  <conditionalFormatting sqref="L24">
    <cfRule type="cellIs" priority="124" operator="notEqual" aboveAverage="0" equalAverage="0" bottom="0" percent="0" rank="0" text="" dxfId="122">
      <formula>L87</formula>
    </cfRule>
  </conditionalFormatting>
  <conditionalFormatting sqref="L24">
    <cfRule type="cellIs" priority="125" operator="equal" aboveAverage="0" equalAverage="0" bottom="0" percent="0" rank="0" text="" dxfId="123">
      <formula>0</formula>
    </cfRule>
  </conditionalFormatting>
  <conditionalFormatting sqref="L23">
    <cfRule type="cellIs" priority="126" operator="notEqual" aboveAverage="0" equalAverage="0" bottom="0" percent="0" rank="0" text="" dxfId="124">
      <formula>L86</formula>
    </cfRule>
  </conditionalFormatting>
  <conditionalFormatting sqref="L23">
    <cfRule type="cellIs" priority="127" operator="equal" aboveAverage="0" equalAverage="0" bottom="0" percent="0" rank="0" text="" dxfId="125">
      <formula>0</formula>
    </cfRule>
  </conditionalFormatting>
  <conditionalFormatting sqref="L22">
    <cfRule type="cellIs" priority="128" operator="notEqual" aboveAverage="0" equalAverage="0" bottom="0" percent="0" rank="0" text="" dxfId="126">
      <formula>L85</formula>
    </cfRule>
  </conditionalFormatting>
  <conditionalFormatting sqref="L22">
    <cfRule type="cellIs" priority="129" operator="equal" aboveAverage="0" equalAverage="0" bottom="0" percent="0" rank="0" text="" dxfId="127">
      <formula>0</formula>
    </cfRule>
  </conditionalFormatting>
  <conditionalFormatting sqref="L21">
    <cfRule type="cellIs" priority="130" operator="notEqual" aboveAverage="0" equalAverage="0" bottom="0" percent="0" rank="0" text="" dxfId="128">
      <formula>L84</formula>
    </cfRule>
  </conditionalFormatting>
  <conditionalFormatting sqref="L21">
    <cfRule type="cellIs" priority="131" operator="equal" aboveAverage="0" equalAverage="0" bottom="0" percent="0" rank="0" text="" dxfId="129">
      <formula>0</formula>
    </cfRule>
  </conditionalFormatting>
  <conditionalFormatting sqref="L20">
    <cfRule type="cellIs" priority="132" operator="notEqual" aboveAverage="0" equalAverage="0" bottom="0" percent="0" rank="0" text="" dxfId="130">
      <formula>L83</formula>
    </cfRule>
  </conditionalFormatting>
  <conditionalFormatting sqref="L20">
    <cfRule type="cellIs" priority="133" operator="equal" aboveAverage="0" equalAverage="0" bottom="0" percent="0" rank="0" text="" dxfId="131">
      <formula>0</formula>
    </cfRule>
  </conditionalFormatting>
  <conditionalFormatting sqref="L19">
    <cfRule type="cellIs" priority="134" operator="notEqual" aboveAverage="0" equalAverage="0" bottom="0" percent="0" rank="0" text="" dxfId="132">
      <formula>L82</formula>
    </cfRule>
  </conditionalFormatting>
  <conditionalFormatting sqref="L19">
    <cfRule type="cellIs" priority="135" operator="equal" aboveAverage="0" equalAverage="0" bottom="0" percent="0" rank="0" text="" dxfId="133">
      <formula>0</formula>
    </cfRule>
  </conditionalFormatting>
  <conditionalFormatting sqref="L18">
    <cfRule type="cellIs" priority="136" operator="notEqual" aboveAverage="0" equalAverage="0" bottom="0" percent="0" rank="0" text="" dxfId="134">
      <formula>L81</formula>
    </cfRule>
  </conditionalFormatting>
  <conditionalFormatting sqref="L18">
    <cfRule type="cellIs" priority="137" operator="equal" aboveAverage="0" equalAverage="0" bottom="0" percent="0" rank="0" text="" dxfId="135">
      <formula>0</formula>
    </cfRule>
  </conditionalFormatting>
  <conditionalFormatting sqref="L17">
    <cfRule type="cellIs" priority="138" operator="notEqual" aboveAverage="0" equalAverage="0" bottom="0" percent="0" rank="0" text="" dxfId="136">
      <formula>L80</formula>
    </cfRule>
  </conditionalFormatting>
  <conditionalFormatting sqref="L17">
    <cfRule type="cellIs" priority="139" operator="equal" aboveAverage="0" equalAverage="0" bottom="0" percent="0" rank="0" text="" dxfId="137">
      <formula>0</formula>
    </cfRule>
  </conditionalFormatting>
  <conditionalFormatting sqref="L16">
    <cfRule type="cellIs" priority="140" operator="notEqual" aboveAverage="0" equalAverage="0" bottom="0" percent="0" rank="0" text="" dxfId="138">
      <formula>L79</formula>
    </cfRule>
  </conditionalFormatting>
  <conditionalFormatting sqref="L16">
    <cfRule type="cellIs" priority="141" operator="equal" aboveAverage="0" equalAverage="0" bottom="0" percent="0" rank="0" text="" dxfId="139">
      <formula>0</formula>
    </cfRule>
  </conditionalFormatting>
  <conditionalFormatting sqref="L15">
    <cfRule type="cellIs" priority="142" operator="notEqual" aboveAverage="0" equalAverage="0" bottom="0" percent="0" rank="0" text="" dxfId="140">
      <formula>L78</formula>
    </cfRule>
  </conditionalFormatting>
  <conditionalFormatting sqref="L15">
    <cfRule type="cellIs" priority="143" operator="equal" aboveAverage="0" equalAverage="0" bottom="0" percent="0" rank="0" text="" dxfId="141">
      <formula>0</formula>
    </cfRule>
  </conditionalFormatting>
  <conditionalFormatting sqref="L14">
    <cfRule type="cellIs" priority="144" operator="notEqual" aboveAverage="0" equalAverage="0" bottom="0" percent="0" rank="0" text="" dxfId="142">
      <formula>L77</formula>
    </cfRule>
  </conditionalFormatting>
  <conditionalFormatting sqref="L14">
    <cfRule type="cellIs" priority="145" operator="equal" aboveAverage="0" equalAverage="0" bottom="0" percent="0" rank="0" text="" dxfId="143">
      <formula>0</formula>
    </cfRule>
  </conditionalFormatting>
  <conditionalFormatting sqref="L13">
    <cfRule type="cellIs" priority="146" operator="notEqual" aboveAverage="0" equalAverage="0" bottom="0" percent="0" rank="0" text="" dxfId="144">
      <formula>L76</formula>
    </cfRule>
  </conditionalFormatting>
  <conditionalFormatting sqref="L13">
    <cfRule type="cellIs" priority="147" operator="equal" aboveAverage="0" equalAverage="0" bottom="0" percent="0" rank="0" text="" dxfId="145">
      <formula>0</formula>
    </cfRule>
  </conditionalFormatting>
  <conditionalFormatting sqref="L12">
    <cfRule type="cellIs" priority="148" operator="notEqual" aboveAverage="0" equalAverage="0" bottom="0" percent="0" rank="0" text="" dxfId="146">
      <formula>L75</formula>
    </cfRule>
  </conditionalFormatting>
  <conditionalFormatting sqref="L12">
    <cfRule type="cellIs" priority="149" operator="equal" aboveAverage="0" equalAverage="0" bottom="0" percent="0" rank="0" text="" dxfId="147">
      <formula>0</formula>
    </cfRule>
  </conditionalFormatting>
  <conditionalFormatting sqref="L11">
    <cfRule type="cellIs" priority="150" operator="notEqual" aboveAverage="0" equalAverage="0" bottom="0" percent="0" rank="0" text="" dxfId="148">
      <formula>L74</formula>
    </cfRule>
  </conditionalFormatting>
  <conditionalFormatting sqref="L11">
    <cfRule type="cellIs" priority="151" operator="equal" aboveAverage="0" equalAverage="0" bottom="0" percent="0" rank="0" text="" dxfId="149">
      <formula>0</formula>
    </cfRule>
  </conditionalFormatting>
  <conditionalFormatting sqref="L10">
    <cfRule type="cellIs" priority="152" operator="notEqual" aboveAverage="0" equalAverage="0" bottom="0" percent="0" rank="0" text="" dxfId="150">
      <formula>L73</formula>
    </cfRule>
  </conditionalFormatting>
  <conditionalFormatting sqref="L10">
    <cfRule type="cellIs" priority="153" operator="equal" aboveAverage="0" equalAverage="0" bottom="0" percent="0" rank="0" text="" dxfId="151">
      <formula>0</formula>
    </cfRule>
  </conditionalFormatting>
  <conditionalFormatting sqref="K28">
    <cfRule type="cellIs" priority="154" operator="notEqual" aboveAverage="0" equalAverage="0" bottom="0" percent="0" rank="0" text="" dxfId="152">
      <formula>K91</formula>
    </cfRule>
  </conditionalFormatting>
  <conditionalFormatting sqref="K28">
    <cfRule type="cellIs" priority="155" operator="equal" aboveAverage="0" equalAverage="0" bottom="0" percent="0" rank="0" text="" dxfId="153">
      <formula>0</formula>
    </cfRule>
  </conditionalFormatting>
  <conditionalFormatting sqref="K27">
    <cfRule type="cellIs" priority="156" operator="notEqual" aboveAverage="0" equalAverage="0" bottom="0" percent="0" rank="0" text="" dxfId="154">
      <formula>K90</formula>
    </cfRule>
  </conditionalFormatting>
  <conditionalFormatting sqref="K27">
    <cfRule type="cellIs" priority="157" operator="equal" aboveAverage="0" equalAverage="0" bottom="0" percent="0" rank="0" text="" dxfId="155">
      <formula>0</formula>
    </cfRule>
  </conditionalFormatting>
  <conditionalFormatting sqref="K26">
    <cfRule type="cellIs" priority="158" operator="notEqual" aboveAverage="0" equalAverage="0" bottom="0" percent="0" rank="0" text="" dxfId="156">
      <formula>K89</formula>
    </cfRule>
  </conditionalFormatting>
  <conditionalFormatting sqref="K26">
    <cfRule type="cellIs" priority="159" operator="equal" aboveAverage="0" equalAverage="0" bottom="0" percent="0" rank="0" text="" dxfId="157">
      <formula>0</formula>
    </cfRule>
  </conditionalFormatting>
  <conditionalFormatting sqref="K25">
    <cfRule type="cellIs" priority="160" operator="notEqual" aboveAverage="0" equalAverage="0" bottom="0" percent="0" rank="0" text="" dxfId="158">
      <formula>K88</formula>
    </cfRule>
  </conditionalFormatting>
  <conditionalFormatting sqref="K25">
    <cfRule type="cellIs" priority="161" operator="equal" aboveAverage="0" equalAverage="0" bottom="0" percent="0" rank="0" text="" dxfId="159">
      <formula>0</formula>
    </cfRule>
  </conditionalFormatting>
  <conditionalFormatting sqref="K24">
    <cfRule type="cellIs" priority="162" operator="notEqual" aboveAverage="0" equalAverage="0" bottom="0" percent="0" rank="0" text="" dxfId="160">
      <formula>K87</formula>
    </cfRule>
  </conditionalFormatting>
  <conditionalFormatting sqref="K24">
    <cfRule type="cellIs" priority="163" operator="equal" aboveAverage="0" equalAverage="0" bottom="0" percent="0" rank="0" text="" dxfId="161">
      <formula>0</formula>
    </cfRule>
  </conditionalFormatting>
  <conditionalFormatting sqref="K23">
    <cfRule type="cellIs" priority="164" operator="notEqual" aboveAverage="0" equalAverage="0" bottom="0" percent="0" rank="0" text="" dxfId="162">
      <formula>K86</formula>
    </cfRule>
  </conditionalFormatting>
  <conditionalFormatting sqref="K23">
    <cfRule type="cellIs" priority="165" operator="equal" aboveAverage="0" equalAverage="0" bottom="0" percent="0" rank="0" text="" dxfId="163">
      <formula>0</formula>
    </cfRule>
  </conditionalFormatting>
  <conditionalFormatting sqref="K22">
    <cfRule type="cellIs" priority="166" operator="notEqual" aboveAverage="0" equalAverage="0" bottom="0" percent="0" rank="0" text="" dxfId="164">
      <formula>K85</formula>
    </cfRule>
  </conditionalFormatting>
  <conditionalFormatting sqref="K22">
    <cfRule type="cellIs" priority="167" operator="equal" aboveAverage="0" equalAverage="0" bottom="0" percent="0" rank="0" text="" dxfId="165">
      <formula>0</formula>
    </cfRule>
  </conditionalFormatting>
  <conditionalFormatting sqref="K21">
    <cfRule type="cellIs" priority="168" operator="notEqual" aboveAverage="0" equalAverage="0" bottom="0" percent="0" rank="0" text="" dxfId="166">
      <formula>K84</formula>
    </cfRule>
  </conditionalFormatting>
  <conditionalFormatting sqref="K21">
    <cfRule type="cellIs" priority="169" operator="equal" aboveAverage="0" equalAverage="0" bottom="0" percent="0" rank="0" text="" dxfId="167">
      <formula>0</formula>
    </cfRule>
  </conditionalFormatting>
  <conditionalFormatting sqref="K20">
    <cfRule type="cellIs" priority="170" operator="notEqual" aboveAverage="0" equalAverage="0" bottom="0" percent="0" rank="0" text="" dxfId="168">
      <formula>K83</formula>
    </cfRule>
  </conditionalFormatting>
  <conditionalFormatting sqref="K20">
    <cfRule type="cellIs" priority="171" operator="equal" aboveAverage="0" equalAverage="0" bottom="0" percent="0" rank="0" text="" dxfId="169">
      <formula>0</formula>
    </cfRule>
  </conditionalFormatting>
  <conditionalFormatting sqref="K19">
    <cfRule type="cellIs" priority="172" operator="notEqual" aboveAverage="0" equalAverage="0" bottom="0" percent="0" rank="0" text="" dxfId="170">
      <formula>K82</formula>
    </cfRule>
  </conditionalFormatting>
  <conditionalFormatting sqref="K19">
    <cfRule type="cellIs" priority="173" operator="equal" aboveAverage="0" equalAverage="0" bottom="0" percent="0" rank="0" text="" dxfId="171">
      <formula>0</formula>
    </cfRule>
  </conditionalFormatting>
  <conditionalFormatting sqref="K18">
    <cfRule type="cellIs" priority="174" operator="notEqual" aboveAverage="0" equalAverage="0" bottom="0" percent="0" rank="0" text="" dxfId="172">
      <formula>K81</formula>
    </cfRule>
  </conditionalFormatting>
  <conditionalFormatting sqref="K18">
    <cfRule type="cellIs" priority="175" operator="equal" aboveAverage="0" equalAverage="0" bottom="0" percent="0" rank="0" text="" dxfId="173">
      <formula>0</formula>
    </cfRule>
  </conditionalFormatting>
  <conditionalFormatting sqref="K17">
    <cfRule type="cellIs" priority="176" operator="notEqual" aboveAverage="0" equalAverage="0" bottom="0" percent="0" rank="0" text="" dxfId="174">
      <formula>K80</formula>
    </cfRule>
  </conditionalFormatting>
  <conditionalFormatting sqref="K17">
    <cfRule type="cellIs" priority="177" operator="equal" aboveAverage="0" equalAverage="0" bottom="0" percent="0" rank="0" text="" dxfId="175">
      <formula>0</formula>
    </cfRule>
  </conditionalFormatting>
  <conditionalFormatting sqref="K16">
    <cfRule type="cellIs" priority="178" operator="notEqual" aboveAverage="0" equalAverage="0" bottom="0" percent="0" rank="0" text="" dxfId="176">
      <formula>K79</formula>
    </cfRule>
  </conditionalFormatting>
  <conditionalFormatting sqref="K16">
    <cfRule type="cellIs" priority="179" operator="equal" aboveAverage="0" equalAverage="0" bottom="0" percent="0" rank="0" text="" dxfId="177">
      <formula>0</formula>
    </cfRule>
  </conditionalFormatting>
  <conditionalFormatting sqref="K15">
    <cfRule type="cellIs" priority="180" operator="notEqual" aboveAverage="0" equalAverage="0" bottom="0" percent="0" rank="0" text="" dxfId="178">
      <formula>K78</formula>
    </cfRule>
  </conditionalFormatting>
  <conditionalFormatting sqref="K15">
    <cfRule type="cellIs" priority="181" operator="equal" aboveAverage="0" equalAverage="0" bottom="0" percent="0" rank="0" text="" dxfId="179">
      <formula>0</formula>
    </cfRule>
  </conditionalFormatting>
  <conditionalFormatting sqref="K14">
    <cfRule type="cellIs" priority="182" operator="notEqual" aboveAverage="0" equalAverage="0" bottom="0" percent="0" rank="0" text="" dxfId="180">
      <formula>K77</formula>
    </cfRule>
  </conditionalFormatting>
  <conditionalFormatting sqref="K14">
    <cfRule type="cellIs" priority="183" operator="equal" aboveAverage="0" equalAverage="0" bottom="0" percent="0" rank="0" text="" dxfId="181">
      <formula>0</formula>
    </cfRule>
  </conditionalFormatting>
  <conditionalFormatting sqref="K13">
    <cfRule type="cellIs" priority="184" operator="notEqual" aboveAverage="0" equalAverage="0" bottom="0" percent="0" rank="0" text="" dxfId="182">
      <formula>K76</formula>
    </cfRule>
  </conditionalFormatting>
  <conditionalFormatting sqref="K13">
    <cfRule type="cellIs" priority="185" operator="equal" aboveAverage="0" equalAverage="0" bottom="0" percent="0" rank="0" text="" dxfId="183">
      <formula>0</formula>
    </cfRule>
  </conditionalFormatting>
  <conditionalFormatting sqref="K12">
    <cfRule type="cellIs" priority="186" operator="notEqual" aboveAverage="0" equalAverage="0" bottom="0" percent="0" rank="0" text="" dxfId="184">
      <formula>K75</formula>
    </cfRule>
  </conditionalFormatting>
  <conditionalFormatting sqref="K12">
    <cfRule type="cellIs" priority="187" operator="equal" aboveAverage="0" equalAverage="0" bottom="0" percent="0" rank="0" text="" dxfId="185">
      <formula>0</formula>
    </cfRule>
  </conditionalFormatting>
  <conditionalFormatting sqref="K11">
    <cfRule type="cellIs" priority="188" operator="notEqual" aboveAverage="0" equalAverage="0" bottom="0" percent="0" rank="0" text="" dxfId="186">
      <formula>K74</formula>
    </cfRule>
  </conditionalFormatting>
  <conditionalFormatting sqref="K11">
    <cfRule type="cellIs" priority="189" operator="equal" aboveAverage="0" equalAverage="0" bottom="0" percent="0" rank="0" text="" dxfId="187">
      <formula>0</formula>
    </cfRule>
  </conditionalFormatting>
  <conditionalFormatting sqref="K10">
    <cfRule type="cellIs" priority="190" operator="notEqual" aboveAverage="0" equalAverage="0" bottom="0" percent="0" rank="0" text="" dxfId="188">
      <formula>K73</formula>
    </cfRule>
  </conditionalFormatting>
  <conditionalFormatting sqref="K10">
    <cfRule type="cellIs" priority="191" operator="equal" aboveAverage="0" equalAverage="0" bottom="0" percent="0" rank="0" text="" dxfId="189">
      <formula>0</formula>
    </cfRule>
  </conditionalFormatting>
  <conditionalFormatting sqref="J28">
    <cfRule type="cellIs" priority="192" operator="notEqual" aboveAverage="0" equalAverage="0" bottom="0" percent="0" rank="0" text="" dxfId="190">
      <formula>J91</formula>
    </cfRule>
  </conditionalFormatting>
  <conditionalFormatting sqref="J28">
    <cfRule type="cellIs" priority="193" operator="equal" aboveAverage="0" equalAverage="0" bottom="0" percent="0" rank="0" text="" dxfId="191">
      <formula>0</formula>
    </cfRule>
  </conditionalFormatting>
  <conditionalFormatting sqref="J27">
    <cfRule type="cellIs" priority="194" operator="notEqual" aboveAverage="0" equalAverage="0" bottom="0" percent="0" rank="0" text="" dxfId="192">
      <formula>J90</formula>
    </cfRule>
  </conditionalFormatting>
  <conditionalFormatting sqref="J27">
    <cfRule type="cellIs" priority="195" operator="equal" aboveAverage="0" equalAverage="0" bottom="0" percent="0" rank="0" text="" dxfId="193">
      <formula>0</formula>
    </cfRule>
  </conditionalFormatting>
  <conditionalFormatting sqref="J26">
    <cfRule type="cellIs" priority="196" operator="notEqual" aboveAverage="0" equalAverage="0" bottom="0" percent="0" rank="0" text="" dxfId="194">
      <formula>J89</formula>
    </cfRule>
  </conditionalFormatting>
  <conditionalFormatting sqref="J26">
    <cfRule type="cellIs" priority="197" operator="equal" aboveAverage="0" equalAverage="0" bottom="0" percent="0" rank="0" text="" dxfId="195">
      <formula>0</formula>
    </cfRule>
  </conditionalFormatting>
  <conditionalFormatting sqref="J25">
    <cfRule type="cellIs" priority="198" operator="notEqual" aboveAverage="0" equalAverage="0" bottom="0" percent="0" rank="0" text="" dxfId="196">
      <formula>J88</formula>
    </cfRule>
  </conditionalFormatting>
  <conditionalFormatting sqref="J25">
    <cfRule type="cellIs" priority="199" operator="equal" aboveAverage="0" equalAverage="0" bottom="0" percent="0" rank="0" text="" dxfId="197">
      <formula>0</formula>
    </cfRule>
  </conditionalFormatting>
  <conditionalFormatting sqref="J24">
    <cfRule type="cellIs" priority="200" operator="notEqual" aboveAverage="0" equalAverage="0" bottom="0" percent="0" rank="0" text="" dxfId="198">
      <formula>J87</formula>
    </cfRule>
  </conditionalFormatting>
  <conditionalFormatting sqref="J24">
    <cfRule type="cellIs" priority="201" operator="equal" aboveAverage="0" equalAverage="0" bottom="0" percent="0" rank="0" text="" dxfId="199">
      <formula>0</formula>
    </cfRule>
  </conditionalFormatting>
  <conditionalFormatting sqref="J23">
    <cfRule type="cellIs" priority="202" operator="notEqual" aboveAverage="0" equalAverage="0" bottom="0" percent="0" rank="0" text="" dxfId="200">
      <formula>J86</formula>
    </cfRule>
  </conditionalFormatting>
  <conditionalFormatting sqref="J23">
    <cfRule type="cellIs" priority="203" operator="equal" aboveAverage="0" equalAverage="0" bottom="0" percent="0" rank="0" text="" dxfId="201">
      <formula>0</formula>
    </cfRule>
  </conditionalFormatting>
  <conditionalFormatting sqref="J22">
    <cfRule type="cellIs" priority="204" operator="notEqual" aboveAverage="0" equalAverage="0" bottom="0" percent="0" rank="0" text="" dxfId="202">
      <formula>J85</formula>
    </cfRule>
  </conditionalFormatting>
  <conditionalFormatting sqref="J22">
    <cfRule type="cellIs" priority="205" operator="equal" aboveAverage="0" equalAverage="0" bottom="0" percent="0" rank="0" text="" dxfId="203">
      <formula>0</formula>
    </cfRule>
  </conditionalFormatting>
  <conditionalFormatting sqref="J21">
    <cfRule type="cellIs" priority="206" operator="notEqual" aboveAverage="0" equalAverage="0" bottom="0" percent="0" rank="0" text="" dxfId="204">
      <formula>J84</formula>
    </cfRule>
  </conditionalFormatting>
  <conditionalFormatting sqref="J21">
    <cfRule type="cellIs" priority="207" operator="equal" aboveAverage="0" equalAverage="0" bottom="0" percent="0" rank="0" text="" dxfId="205">
      <formula>0</formula>
    </cfRule>
  </conditionalFormatting>
  <conditionalFormatting sqref="J20">
    <cfRule type="cellIs" priority="208" operator="notEqual" aboveAverage="0" equalAverage="0" bottom="0" percent="0" rank="0" text="" dxfId="206">
      <formula>J83</formula>
    </cfRule>
  </conditionalFormatting>
  <conditionalFormatting sqref="J20">
    <cfRule type="cellIs" priority="209" operator="equal" aboveAverage="0" equalAverage="0" bottom="0" percent="0" rank="0" text="" dxfId="207">
      <formula>0</formula>
    </cfRule>
  </conditionalFormatting>
  <conditionalFormatting sqref="J19">
    <cfRule type="cellIs" priority="210" operator="notEqual" aboveAverage="0" equalAverage="0" bottom="0" percent="0" rank="0" text="" dxfId="208">
      <formula>J82</formula>
    </cfRule>
  </conditionalFormatting>
  <conditionalFormatting sqref="J19">
    <cfRule type="cellIs" priority="211" operator="equal" aboveAverage="0" equalAverage="0" bottom="0" percent="0" rank="0" text="" dxfId="209">
      <formula>0</formula>
    </cfRule>
  </conditionalFormatting>
  <conditionalFormatting sqref="J18">
    <cfRule type="cellIs" priority="212" operator="notEqual" aboveAverage="0" equalAverage="0" bottom="0" percent="0" rank="0" text="" dxfId="210">
      <formula>J81</formula>
    </cfRule>
  </conditionalFormatting>
  <conditionalFormatting sqref="J18">
    <cfRule type="cellIs" priority="213" operator="equal" aboveAverage="0" equalAverage="0" bottom="0" percent="0" rank="0" text="" dxfId="211">
      <formula>0</formula>
    </cfRule>
  </conditionalFormatting>
  <conditionalFormatting sqref="J17">
    <cfRule type="cellIs" priority="214" operator="notEqual" aboveAverage="0" equalAverage="0" bottom="0" percent="0" rank="0" text="" dxfId="212">
      <formula>J80</formula>
    </cfRule>
  </conditionalFormatting>
  <conditionalFormatting sqref="J17">
    <cfRule type="cellIs" priority="215" operator="equal" aboveAverage="0" equalAverage="0" bottom="0" percent="0" rank="0" text="" dxfId="213">
      <formula>0</formula>
    </cfRule>
  </conditionalFormatting>
  <conditionalFormatting sqref="J16">
    <cfRule type="cellIs" priority="216" operator="notEqual" aboveAverage="0" equalAverage="0" bottom="0" percent="0" rank="0" text="" dxfId="214">
      <formula>J79</formula>
    </cfRule>
  </conditionalFormatting>
  <conditionalFormatting sqref="J16">
    <cfRule type="cellIs" priority="217" operator="equal" aboveAverage="0" equalAverage="0" bottom="0" percent="0" rank="0" text="" dxfId="215">
      <formula>0</formula>
    </cfRule>
  </conditionalFormatting>
  <conditionalFormatting sqref="J15">
    <cfRule type="cellIs" priority="218" operator="notEqual" aboveAverage="0" equalAverage="0" bottom="0" percent="0" rank="0" text="" dxfId="216">
      <formula>J78</formula>
    </cfRule>
  </conditionalFormatting>
  <conditionalFormatting sqref="J15">
    <cfRule type="cellIs" priority="219" operator="equal" aboveAverage="0" equalAverage="0" bottom="0" percent="0" rank="0" text="" dxfId="217">
      <formula>0</formula>
    </cfRule>
  </conditionalFormatting>
  <conditionalFormatting sqref="J14">
    <cfRule type="cellIs" priority="220" operator="notEqual" aboveAverage="0" equalAverage="0" bottom="0" percent="0" rank="0" text="" dxfId="218">
      <formula>J77</formula>
    </cfRule>
  </conditionalFormatting>
  <conditionalFormatting sqref="J14">
    <cfRule type="cellIs" priority="221" operator="equal" aboveAverage="0" equalAverage="0" bottom="0" percent="0" rank="0" text="" dxfId="219">
      <formula>0</formula>
    </cfRule>
  </conditionalFormatting>
  <conditionalFormatting sqref="J13">
    <cfRule type="cellIs" priority="222" operator="notEqual" aboveAverage="0" equalAverage="0" bottom="0" percent="0" rank="0" text="" dxfId="220">
      <formula>J76</formula>
    </cfRule>
  </conditionalFormatting>
  <conditionalFormatting sqref="J13">
    <cfRule type="cellIs" priority="223" operator="equal" aboveAverage="0" equalAverage="0" bottom="0" percent="0" rank="0" text="" dxfId="221">
      <formula>0</formula>
    </cfRule>
  </conditionalFormatting>
  <conditionalFormatting sqref="J12">
    <cfRule type="cellIs" priority="224" operator="notEqual" aboveAverage="0" equalAverage="0" bottom="0" percent="0" rank="0" text="" dxfId="222">
      <formula>J75</formula>
    </cfRule>
  </conditionalFormatting>
  <conditionalFormatting sqref="J12">
    <cfRule type="cellIs" priority="225" operator="equal" aboveAverage="0" equalAverage="0" bottom="0" percent="0" rank="0" text="" dxfId="223">
      <formula>0</formula>
    </cfRule>
  </conditionalFormatting>
  <conditionalFormatting sqref="J11">
    <cfRule type="cellIs" priority="226" operator="notEqual" aboveAverage="0" equalAverage="0" bottom="0" percent="0" rank="0" text="" dxfId="224">
      <formula>J74</formula>
    </cfRule>
  </conditionalFormatting>
  <conditionalFormatting sqref="J11">
    <cfRule type="cellIs" priority="227" operator="equal" aboveAverage="0" equalAverage="0" bottom="0" percent="0" rank="0" text="" dxfId="225">
      <formula>0</formula>
    </cfRule>
  </conditionalFormatting>
  <conditionalFormatting sqref="J10">
    <cfRule type="cellIs" priority="228" operator="notEqual" aboveAverage="0" equalAverage="0" bottom="0" percent="0" rank="0" text="" dxfId="226">
      <formula>J73</formula>
    </cfRule>
  </conditionalFormatting>
  <conditionalFormatting sqref="J10">
    <cfRule type="cellIs" priority="229" operator="equal" aboveAverage="0" equalAverage="0" bottom="0" percent="0" rank="0" text="" dxfId="227">
      <formula>0</formula>
    </cfRule>
  </conditionalFormatting>
  <conditionalFormatting sqref="I28">
    <cfRule type="cellIs" priority="230" operator="notEqual" aboveAverage="0" equalAverage="0" bottom="0" percent="0" rank="0" text="" dxfId="228">
      <formula>I91</formula>
    </cfRule>
  </conditionalFormatting>
  <conditionalFormatting sqref="I28">
    <cfRule type="cellIs" priority="231" operator="equal" aboveAverage="0" equalAverage="0" bottom="0" percent="0" rank="0" text="" dxfId="229">
      <formula>0</formula>
    </cfRule>
  </conditionalFormatting>
  <conditionalFormatting sqref="I27">
    <cfRule type="cellIs" priority="232" operator="notEqual" aboveAverage="0" equalAverage="0" bottom="0" percent="0" rank="0" text="" dxfId="230">
      <formula>I90</formula>
    </cfRule>
  </conditionalFormatting>
  <conditionalFormatting sqref="I27">
    <cfRule type="cellIs" priority="233" operator="equal" aboveAverage="0" equalAverage="0" bottom="0" percent="0" rank="0" text="" dxfId="231">
      <formula>0</formula>
    </cfRule>
  </conditionalFormatting>
  <conditionalFormatting sqref="I26">
    <cfRule type="cellIs" priority="234" operator="notEqual" aboveAverage="0" equalAverage="0" bottom="0" percent="0" rank="0" text="" dxfId="232">
      <formula>I89</formula>
    </cfRule>
  </conditionalFormatting>
  <conditionalFormatting sqref="I26">
    <cfRule type="cellIs" priority="235" operator="equal" aboveAverage="0" equalAverage="0" bottom="0" percent="0" rank="0" text="" dxfId="233">
      <formula>0</formula>
    </cfRule>
  </conditionalFormatting>
  <conditionalFormatting sqref="I25">
    <cfRule type="cellIs" priority="236" operator="notEqual" aboveAverage="0" equalAverage="0" bottom="0" percent="0" rank="0" text="" dxfId="234">
      <formula>I88</formula>
    </cfRule>
  </conditionalFormatting>
  <conditionalFormatting sqref="I25">
    <cfRule type="cellIs" priority="237" operator="equal" aboveAverage="0" equalAverage="0" bottom="0" percent="0" rank="0" text="" dxfId="235">
      <formula>0</formula>
    </cfRule>
  </conditionalFormatting>
  <conditionalFormatting sqref="I24">
    <cfRule type="cellIs" priority="238" operator="notEqual" aboveAverage="0" equalAverage="0" bottom="0" percent="0" rank="0" text="" dxfId="236">
      <formula>I87</formula>
    </cfRule>
  </conditionalFormatting>
  <conditionalFormatting sqref="I24">
    <cfRule type="cellIs" priority="239" operator="equal" aboveAverage="0" equalAverage="0" bottom="0" percent="0" rank="0" text="" dxfId="237">
      <formula>0</formula>
    </cfRule>
  </conditionalFormatting>
  <conditionalFormatting sqref="I23">
    <cfRule type="cellIs" priority="240" operator="notEqual" aboveAverage="0" equalAverage="0" bottom="0" percent="0" rank="0" text="" dxfId="238">
      <formula>I86</formula>
    </cfRule>
  </conditionalFormatting>
  <conditionalFormatting sqref="I23">
    <cfRule type="cellIs" priority="241" operator="equal" aboveAverage="0" equalAverage="0" bottom="0" percent="0" rank="0" text="" dxfId="239">
      <formula>0</formula>
    </cfRule>
  </conditionalFormatting>
  <conditionalFormatting sqref="I22">
    <cfRule type="cellIs" priority="242" operator="notEqual" aboveAverage="0" equalAverage="0" bottom="0" percent="0" rank="0" text="" dxfId="240">
      <formula>I85</formula>
    </cfRule>
  </conditionalFormatting>
  <conditionalFormatting sqref="I22">
    <cfRule type="cellIs" priority="243" operator="equal" aboveAverage="0" equalAverage="0" bottom="0" percent="0" rank="0" text="" dxfId="241">
      <formula>0</formula>
    </cfRule>
  </conditionalFormatting>
  <conditionalFormatting sqref="I21">
    <cfRule type="cellIs" priority="244" operator="notEqual" aboveAverage="0" equalAverage="0" bottom="0" percent="0" rank="0" text="" dxfId="242">
      <formula>I84</formula>
    </cfRule>
  </conditionalFormatting>
  <conditionalFormatting sqref="I21">
    <cfRule type="cellIs" priority="245" operator="equal" aboveAverage="0" equalAverage="0" bottom="0" percent="0" rank="0" text="" dxfId="243">
      <formula>0</formula>
    </cfRule>
  </conditionalFormatting>
  <conditionalFormatting sqref="I20">
    <cfRule type="cellIs" priority="246" operator="notEqual" aboveAverage="0" equalAverage="0" bottom="0" percent="0" rank="0" text="" dxfId="244">
      <formula>I83</formula>
    </cfRule>
  </conditionalFormatting>
  <conditionalFormatting sqref="I20">
    <cfRule type="cellIs" priority="247" operator="equal" aboveAverage="0" equalAverage="0" bottom="0" percent="0" rank="0" text="" dxfId="245">
      <formula>0</formula>
    </cfRule>
  </conditionalFormatting>
  <conditionalFormatting sqref="I19">
    <cfRule type="cellIs" priority="248" operator="notEqual" aboveAverage="0" equalAverage="0" bottom="0" percent="0" rank="0" text="" dxfId="246">
      <formula>I82</formula>
    </cfRule>
  </conditionalFormatting>
  <conditionalFormatting sqref="I19">
    <cfRule type="cellIs" priority="249" operator="equal" aboveAverage="0" equalAverage="0" bottom="0" percent="0" rank="0" text="" dxfId="247">
      <formula>0</formula>
    </cfRule>
  </conditionalFormatting>
  <conditionalFormatting sqref="I18">
    <cfRule type="cellIs" priority="250" operator="notEqual" aboveAverage="0" equalAverage="0" bottom="0" percent="0" rank="0" text="" dxfId="248">
      <formula>I81</formula>
    </cfRule>
  </conditionalFormatting>
  <conditionalFormatting sqref="I18">
    <cfRule type="cellIs" priority="251" operator="equal" aboveAverage="0" equalAverage="0" bottom="0" percent="0" rank="0" text="" dxfId="249">
      <formula>0</formula>
    </cfRule>
  </conditionalFormatting>
  <conditionalFormatting sqref="I17">
    <cfRule type="cellIs" priority="252" operator="notEqual" aboveAverage="0" equalAverage="0" bottom="0" percent="0" rank="0" text="" dxfId="250">
      <formula>I80</formula>
    </cfRule>
  </conditionalFormatting>
  <conditionalFormatting sqref="I17">
    <cfRule type="cellIs" priority="253" operator="equal" aboveAverage="0" equalAverage="0" bottom="0" percent="0" rank="0" text="" dxfId="251">
      <formula>0</formula>
    </cfRule>
  </conditionalFormatting>
  <conditionalFormatting sqref="I16">
    <cfRule type="cellIs" priority="254" operator="notEqual" aboveAverage="0" equalAverage="0" bottom="0" percent="0" rank="0" text="" dxfId="252">
      <formula>I79</formula>
    </cfRule>
  </conditionalFormatting>
  <conditionalFormatting sqref="I16">
    <cfRule type="cellIs" priority="255" operator="equal" aboveAverage="0" equalAverage="0" bottom="0" percent="0" rank="0" text="" dxfId="253">
      <formula>0</formula>
    </cfRule>
  </conditionalFormatting>
  <conditionalFormatting sqref="I15">
    <cfRule type="cellIs" priority="256" operator="notEqual" aboveAverage="0" equalAverage="0" bottom="0" percent="0" rank="0" text="" dxfId="254">
      <formula>I78</formula>
    </cfRule>
  </conditionalFormatting>
  <conditionalFormatting sqref="I15">
    <cfRule type="cellIs" priority="257" operator="equal" aboveAverage="0" equalAverage="0" bottom="0" percent="0" rank="0" text="" dxfId="255">
      <formula>0</formula>
    </cfRule>
  </conditionalFormatting>
  <conditionalFormatting sqref="I14">
    <cfRule type="cellIs" priority="258" operator="notEqual" aboveAverage="0" equalAverage="0" bottom="0" percent="0" rank="0" text="" dxfId="256">
      <formula>I77</formula>
    </cfRule>
  </conditionalFormatting>
  <conditionalFormatting sqref="I14">
    <cfRule type="cellIs" priority="259" operator="equal" aboveAverage="0" equalAverage="0" bottom="0" percent="0" rank="0" text="" dxfId="257">
      <formula>0</formula>
    </cfRule>
  </conditionalFormatting>
  <conditionalFormatting sqref="I13">
    <cfRule type="cellIs" priority="260" operator="notEqual" aboveAverage="0" equalAverage="0" bottom="0" percent="0" rank="0" text="" dxfId="258">
      <formula>I76</formula>
    </cfRule>
  </conditionalFormatting>
  <conditionalFormatting sqref="I13">
    <cfRule type="cellIs" priority="261" operator="equal" aboveAverage="0" equalAverage="0" bottom="0" percent="0" rank="0" text="" dxfId="259">
      <formula>0</formula>
    </cfRule>
  </conditionalFormatting>
  <conditionalFormatting sqref="I12">
    <cfRule type="cellIs" priority="262" operator="notEqual" aboveAverage="0" equalAverage="0" bottom="0" percent="0" rank="0" text="" dxfId="260">
      <formula>I75</formula>
    </cfRule>
  </conditionalFormatting>
  <conditionalFormatting sqref="I12">
    <cfRule type="cellIs" priority="263" operator="equal" aboveAverage="0" equalAverage="0" bottom="0" percent="0" rank="0" text="" dxfId="261">
      <formula>0</formula>
    </cfRule>
  </conditionalFormatting>
  <conditionalFormatting sqref="I11">
    <cfRule type="cellIs" priority="264" operator="notEqual" aboveAverage="0" equalAverage="0" bottom="0" percent="0" rank="0" text="" dxfId="262">
      <formula>I74</formula>
    </cfRule>
  </conditionalFormatting>
  <conditionalFormatting sqref="I11">
    <cfRule type="cellIs" priority="265" operator="equal" aboveAverage="0" equalAverage="0" bottom="0" percent="0" rank="0" text="" dxfId="263">
      <formula>0</formula>
    </cfRule>
  </conditionalFormatting>
  <conditionalFormatting sqref="I10">
    <cfRule type="cellIs" priority="266" operator="notEqual" aboveAverage="0" equalAverage="0" bottom="0" percent="0" rank="0" text="" dxfId="264">
      <formula>I73</formula>
    </cfRule>
  </conditionalFormatting>
  <conditionalFormatting sqref="I10">
    <cfRule type="cellIs" priority="267" operator="equal" aboveAverage="0" equalAverage="0" bottom="0" percent="0" rank="0" text="" dxfId="265">
      <formula>0</formula>
    </cfRule>
  </conditionalFormatting>
  <conditionalFormatting sqref="H28">
    <cfRule type="cellIs" priority="268" operator="notEqual" aboveAverage="0" equalAverage="0" bottom="0" percent="0" rank="0" text="" dxfId="266">
      <formula>H91</formula>
    </cfRule>
  </conditionalFormatting>
  <conditionalFormatting sqref="H28">
    <cfRule type="cellIs" priority="269" operator="equal" aboveAverage="0" equalAverage="0" bottom="0" percent="0" rank="0" text="" dxfId="267">
      <formula>0</formula>
    </cfRule>
  </conditionalFormatting>
  <conditionalFormatting sqref="H27">
    <cfRule type="cellIs" priority="270" operator="notEqual" aboveAverage="0" equalAverage="0" bottom="0" percent="0" rank="0" text="" dxfId="268">
      <formula>H90</formula>
    </cfRule>
  </conditionalFormatting>
  <conditionalFormatting sqref="H27">
    <cfRule type="cellIs" priority="271" operator="equal" aboveAverage="0" equalAverage="0" bottom="0" percent="0" rank="0" text="" dxfId="269">
      <formula>0</formula>
    </cfRule>
  </conditionalFormatting>
  <conditionalFormatting sqref="H26">
    <cfRule type="cellIs" priority="272" operator="notEqual" aboveAverage="0" equalAverage="0" bottom="0" percent="0" rank="0" text="" dxfId="270">
      <formula>H89</formula>
    </cfRule>
  </conditionalFormatting>
  <conditionalFormatting sqref="H26">
    <cfRule type="cellIs" priority="273" operator="equal" aboveAverage="0" equalAverage="0" bottom="0" percent="0" rank="0" text="" dxfId="271">
      <formula>0</formula>
    </cfRule>
  </conditionalFormatting>
  <conditionalFormatting sqref="H25">
    <cfRule type="cellIs" priority="274" operator="notEqual" aboveAverage="0" equalAverage="0" bottom="0" percent="0" rank="0" text="" dxfId="272">
      <formula>H88</formula>
    </cfRule>
  </conditionalFormatting>
  <conditionalFormatting sqref="H25">
    <cfRule type="cellIs" priority="275" operator="equal" aboveAverage="0" equalAverage="0" bottom="0" percent="0" rank="0" text="" dxfId="273">
      <formula>0</formula>
    </cfRule>
  </conditionalFormatting>
  <conditionalFormatting sqref="H24">
    <cfRule type="cellIs" priority="276" operator="notEqual" aboveAverage="0" equalAverage="0" bottom="0" percent="0" rank="0" text="" dxfId="274">
      <formula>H87</formula>
    </cfRule>
  </conditionalFormatting>
  <conditionalFormatting sqref="H24">
    <cfRule type="cellIs" priority="277" operator="equal" aboveAverage="0" equalAverage="0" bottom="0" percent="0" rank="0" text="" dxfId="275">
      <formula>0</formula>
    </cfRule>
  </conditionalFormatting>
  <conditionalFormatting sqref="H23">
    <cfRule type="cellIs" priority="278" operator="notEqual" aboveAverage="0" equalAverage="0" bottom="0" percent="0" rank="0" text="" dxfId="276">
      <formula>H86</formula>
    </cfRule>
  </conditionalFormatting>
  <conditionalFormatting sqref="H23">
    <cfRule type="cellIs" priority="279" operator="equal" aboveAverage="0" equalAverage="0" bottom="0" percent="0" rank="0" text="" dxfId="277">
      <formula>0</formula>
    </cfRule>
  </conditionalFormatting>
  <conditionalFormatting sqref="H22">
    <cfRule type="cellIs" priority="280" operator="notEqual" aboveAverage="0" equalAverage="0" bottom="0" percent="0" rank="0" text="" dxfId="278">
      <formula>H85</formula>
    </cfRule>
  </conditionalFormatting>
  <conditionalFormatting sqref="H22">
    <cfRule type="cellIs" priority="281" operator="equal" aboveAverage="0" equalAverage="0" bottom="0" percent="0" rank="0" text="" dxfId="279">
      <formula>0</formula>
    </cfRule>
  </conditionalFormatting>
  <conditionalFormatting sqref="H21">
    <cfRule type="cellIs" priority="282" operator="notEqual" aboveAverage="0" equalAverage="0" bottom="0" percent="0" rank="0" text="" dxfId="280">
      <formula>H84</formula>
    </cfRule>
  </conditionalFormatting>
  <conditionalFormatting sqref="H21">
    <cfRule type="cellIs" priority="283" operator="equal" aboveAverage="0" equalAverage="0" bottom="0" percent="0" rank="0" text="" dxfId="281">
      <formula>0</formula>
    </cfRule>
  </conditionalFormatting>
  <conditionalFormatting sqref="H20">
    <cfRule type="cellIs" priority="284" operator="notEqual" aboveAverage="0" equalAverage="0" bottom="0" percent="0" rank="0" text="" dxfId="282">
      <formula>H83</formula>
    </cfRule>
  </conditionalFormatting>
  <conditionalFormatting sqref="H20">
    <cfRule type="cellIs" priority="285" operator="equal" aboveAverage="0" equalAverage="0" bottom="0" percent="0" rank="0" text="" dxfId="283">
      <formula>0</formula>
    </cfRule>
  </conditionalFormatting>
  <conditionalFormatting sqref="H19">
    <cfRule type="cellIs" priority="286" operator="notEqual" aboveAverage="0" equalAverage="0" bottom="0" percent="0" rank="0" text="" dxfId="284">
      <formula>H82</formula>
    </cfRule>
  </conditionalFormatting>
  <conditionalFormatting sqref="H19">
    <cfRule type="cellIs" priority="287" operator="equal" aboveAverage="0" equalAverage="0" bottom="0" percent="0" rank="0" text="" dxfId="285">
      <formula>0</formula>
    </cfRule>
  </conditionalFormatting>
  <conditionalFormatting sqref="H18">
    <cfRule type="cellIs" priority="288" operator="notEqual" aboveAverage="0" equalAverage="0" bottom="0" percent="0" rank="0" text="" dxfId="286">
      <formula>H81</formula>
    </cfRule>
  </conditionalFormatting>
  <conditionalFormatting sqref="H18">
    <cfRule type="cellIs" priority="289" operator="equal" aboveAverage="0" equalAverage="0" bottom="0" percent="0" rank="0" text="" dxfId="287">
      <formula>0</formula>
    </cfRule>
  </conditionalFormatting>
  <conditionalFormatting sqref="H17">
    <cfRule type="cellIs" priority="290" operator="notEqual" aboveAverage="0" equalAverage="0" bottom="0" percent="0" rank="0" text="" dxfId="288">
      <formula>H80</formula>
    </cfRule>
  </conditionalFormatting>
  <conditionalFormatting sqref="H17">
    <cfRule type="cellIs" priority="291" operator="equal" aboveAverage="0" equalAverage="0" bottom="0" percent="0" rank="0" text="" dxfId="289">
      <formula>0</formula>
    </cfRule>
  </conditionalFormatting>
  <conditionalFormatting sqref="H16">
    <cfRule type="cellIs" priority="292" operator="notEqual" aboveAverage="0" equalAverage="0" bottom="0" percent="0" rank="0" text="" dxfId="290">
      <formula>H79</formula>
    </cfRule>
  </conditionalFormatting>
  <conditionalFormatting sqref="H16">
    <cfRule type="cellIs" priority="293" operator="equal" aboveAverage="0" equalAverage="0" bottom="0" percent="0" rank="0" text="" dxfId="291">
      <formula>0</formula>
    </cfRule>
  </conditionalFormatting>
  <conditionalFormatting sqref="H15">
    <cfRule type="cellIs" priority="294" operator="notEqual" aboveAverage="0" equalAverage="0" bottom="0" percent="0" rank="0" text="" dxfId="292">
      <formula>H78</formula>
    </cfRule>
  </conditionalFormatting>
  <conditionalFormatting sqref="H15">
    <cfRule type="cellIs" priority="295" operator="equal" aboveAverage="0" equalAverage="0" bottom="0" percent="0" rank="0" text="" dxfId="293">
      <formula>0</formula>
    </cfRule>
  </conditionalFormatting>
  <conditionalFormatting sqref="H14">
    <cfRule type="cellIs" priority="296" operator="notEqual" aboveAverage="0" equalAverage="0" bottom="0" percent="0" rank="0" text="" dxfId="294">
      <formula>H77</formula>
    </cfRule>
  </conditionalFormatting>
  <conditionalFormatting sqref="H14">
    <cfRule type="cellIs" priority="297" operator="equal" aboveAverage="0" equalAverage="0" bottom="0" percent="0" rank="0" text="" dxfId="295">
      <formula>0</formula>
    </cfRule>
  </conditionalFormatting>
  <conditionalFormatting sqref="H13">
    <cfRule type="cellIs" priority="298" operator="notEqual" aboveAverage="0" equalAverage="0" bottom="0" percent="0" rank="0" text="" dxfId="296">
      <formula>H76</formula>
    </cfRule>
  </conditionalFormatting>
  <conditionalFormatting sqref="H13">
    <cfRule type="cellIs" priority="299" operator="equal" aboveAverage="0" equalAverage="0" bottom="0" percent="0" rank="0" text="" dxfId="297">
      <formula>0</formula>
    </cfRule>
  </conditionalFormatting>
  <conditionalFormatting sqref="H12">
    <cfRule type="cellIs" priority="300" operator="notEqual" aboveAverage="0" equalAverage="0" bottom="0" percent="0" rank="0" text="" dxfId="298">
      <formula>H75</formula>
    </cfRule>
  </conditionalFormatting>
  <conditionalFormatting sqref="H12">
    <cfRule type="cellIs" priority="301" operator="equal" aboveAverage="0" equalAverage="0" bottom="0" percent="0" rank="0" text="" dxfId="299">
      <formula>0</formula>
    </cfRule>
  </conditionalFormatting>
  <conditionalFormatting sqref="H11">
    <cfRule type="cellIs" priority="302" operator="notEqual" aboveAverage="0" equalAverage="0" bottom="0" percent="0" rank="0" text="" dxfId="300">
      <formula>H74</formula>
    </cfRule>
  </conditionalFormatting>
  <conditionalFormatting sqref="H11">
    <cfRule type="cellIs" priority="303" operator="equal" aboveAverage="0" equalAverage="0" bottom="0" percent="0" rank="0" text="" dxfId="301">
      <formula>0</formula>
    </cfRule>
  </conditionalFormatting>
  <conditionalFormatting sqref="H10">
    <cfRule type="cellIs" priority="304" operator="notEqual" aboveAverage="0" equalAverage="0" bottom="0" percent="0" rank="0" text="" dxfId="302">
      <formula>H73</formula>
    </cfRule>
  </conditionalFormatting>
  <conditionalFormatting sqref="H10">
    <cfRule type="cellIs" priority="305" operator="equal" aboveAverage="0" equalAverage="0" bottom="0" percent="0" rank="0" text="" dxfId="303">
      <formula>0</formula>
    </cfRule>
  </conditionalFormatting>
  <conditionalFormatting sqref="G28">
    <cfRule type="cellIs" priority="306" operator="notEqual" aboveAverage="0" equalAverage="0" bottom="0" percent="0" rank="0" text="" dxfId="304">
      <formula>G91</formula>
    </cfRule>
  </conditionalFormatting>
  <conditionalFormatting sqref="G28">
    <cfRule type="cellIs" priority="307" operator="equal" aboveAverage="0" equalAverage="0" bottom="0" percent="0" rank="0" text="" dxfId="305">
      <formula>0</formula>
    </cfRule>
  </conditionalFormatting>
  <conditionalFormatting sqref="G27">
    <cfRule type="cellIs" priority="308" operator="notEqual" aboveAverage="0" equalAverage="0" bottom="0" percent="0" rank="0" text="" dxfId="306">
      <formula>G90</formula>
    </cfRule>
  </conditionalFormatting>
  <conditionalFormatting sqref="G27">
    <cfRule type="cellIs" priority="309" operator="equal" aboveAverage="0" equalAverage="0" bottom="0" percent="0" rank="0" text="" dxfId="307">
      <formula>0</formula>
    </cfRule>
  </conditionalFormatting>
  <conditionalFormatting sqref="G26">
    <cfRule type="cellIs" priority="310" operator="notEqual" aboveAverage="0" equalAverage="0" bottom="0" percent="0" rank="0" text="" dxfId="308">
      <formula>G89</formula>
    </cfRule>
  </conditionalFormatting>
  <conditionalFormatting sqref="G26">
    <cfRule type="cellIs" priority="311" operator="equal" aboveAverage="0" equalAverage="0" bottom="0" percent="0" rank="0" text="" dxfId="309">
      <formula>0</formula>
    </cfRule>
  </conditionalFormatting>
  <conditionalFormatting sqref="G25">
    <cfRule type="cellIs" priority="312" operator="notEqual" aboveAverage="0" equalAverage="0" bottom="0" percent="0" rank="0" text="" dxfId="310">
      <formula>G88</formula>
    </cfRule>
  </conditionalFormatting>
  <conditionalFormatting sqref="G25">
    <cfRule type="cellIs" priority="313" operator="equal" aboveAverage="0" equalAverage="0" bottom="0" percent="0" rank="0" text="" dxfId="311">
      <formula>0</formula>
    </cfRule>
  </conditionalFormatting>
  <conditionalFormatting sqref="G24">
    <cfRule type="cellIs" priority="314" operator="notEqual" aboveAverage="0" equalAverage="0" bottom="0" percent="0" rank="0" text="" dxfId="312">
      <formula>G87</formula>
    </cfRule>
  </conditionalFormatting>
  <conditionalFormatting sqref="G24">
    <cfRule type="cellIs" priority="315" operator="equal" aboveAverage="0" equalAverage="0" bottom="0" percent="0" rank="0" text="" dxfId="313">
      <formula>0</formula>
    </cfRule>
  </conditionalFormatting>
  <conditionalFormatting sqref="G23">
    <cfRule type="cellIs" priority="316" operator="notEqual" aboveAverage="0" equalAverage="0" bottom="0" percent="0" rank="0" text="" dxfId="314">
      <formula>G86</formula>
    </cfRule>
  </conditionalFormatting>
  <conditionalFormatting sqref="G23">
    <cfRule type="cellIs" priority="317" operator="equal" aboveAverage="0" equalAverage="0" bottom="0" percent="0" rank="0" text="" dxfId="315">
      <formula>0</formula>
    </cfRule>
  </conditionalFormatting>
  <conditionalFormatting sqref="G22">
    <cfRule type="cellIs" priority="318" operator="notEqual" aboveAverage="0" equalAverage="0" bottom="0" percent="0" rank="0" text="" dxfId="316">
      <formula>G85</formula>
    </cfRule>
  </conditionalFormatting>
  <conditionalFormatting sqref="G22">
    <cfRule type="cellIs" priority="319" operator="equal" aboveAverage="0" equalAverage="0" bottom="0" percent="0" rank="0" text="" dxfId="317">
      <formula>0</formula>
    </cfRule>
  </conditionalFormatting>
  <conditionalFormatting sqref="G21">
    <cfRule type="cellIs" priority="320" operator="notEqual" aboveAverage="0" equalAverage="0" bottom="0" percent="0" rank="0" text="" dxfId="318">
      <formula>G84</formula>
    </cfRule>
  </conditionalFormatting>
  <conditionalFormatting sqref="G21">
    <cfRule type="cellIs" priority="321" operator="equal" aboveAverage="0" equalAverage="0" bottom="0" percent="0" rank="0" text="" dxfId="319">
      <formula>0</formula>
    </cfRule>
  </conditionalFormatting>
  <conditionalFormatting sqref="G20">
    <cfRule type="cellIs" priority="322" operator="notEqual" aboveAverage="0" equalAverage="0" bottom="0" percent="0" rank="0" text="" dxfId="320">
      <formula>G83</formula>
    </cfRule>
  </conditionalFormatting>
  <conditionalFormatting sqref="G20">
    <cfRule type="cellIs" priority="323" operator="equal" aboveAverage="0" equalAverage="0" bottom="0" percent="0" rank="0" text="" dxfId="321">
      <formula>0</formula>
    </cfRule>
  </conditionalFormatting>
  <conditionalFormatting sqref="G19">
    <cfRule type="cellIs" priority="324" operator="notEqual" aboveAverage="0" equalAverage="0" bottom="0" percent="0" rank="0" text="" dxfId="322">
      <formula>G82</formula>
    </cfRule>
  </conditionalFormatting>
  <conditionalFormatting sqref="G19">
    <cfRule type="cellIs" priority="325" operator="equal" aboveAverage="0" equalAverage="0" bottom="0" percent="0" rank="0" text="" dxfId="323">
      <formula>0</formula>
    </cfRule>
  </conditionalFormatting>
  <conditionalFormatting sqref="G18">
    <cfRule type="cellIs" priority="326" operator="notEqual" aboveAverage="0" equalAverage="0" bottom="0" percent="0" rank="0" text="" dxfId="324">
      <formula>G81</formula>
    </cfRule>
  </conditionalFormatting>
  <conditionalFormatting sqref="G18">
    <cfRule type="cellIs" priority="327" operator="equal" aboveAverage="0" equalAverage="0" bottom="0" percent="0" rank="0" text="" dxfId="325">
      <formula>0</formula>
    </cfRule>
  </conditionalFormatting>
  <conditionalFormatting sqref="G17">
    <cfRule type="cellIs" priority="328" operator="notEqual" aboveAverage="0" equalAverage="0" bottom="0" percent="0" rank="0" text="" dxfId="326">
      <formula>G80</formula>
    </cfRule>
  </conditionalFormatting>
  <conditionalFormatting sqref="G17">
    <cfRule type="cellIs" priority="329" operator="equal" aboveAverage="0" equalAverage="0" bottom="0" percent="0" rank="0" text="" dxfId="327">
      <formula>0</formula>
    </cfRule>
  </conditionalFormatting>
  <conditionalFormatting sqref="G16">
    <cfRule type="cellIs" priority="330" operator="notEqual" aboveAverage="0" equalAverage="0" bottom="0" percent="0" rank="0" text="" dxfId="328">
      <formula>G79</formula>
    </cfRule>
  </conditionalFormatting>
  <conditionalFormatting sqref="G16">
    <cfRule type="cellIs" priority="331" operator="equal" aboveAverage="0" equalAverage="0" bottom="0" percent="0" rank="0" text="" dxfId="329">
      <formula>0</formula>
    </cfRule>
  </conditionalFormatting>
  <conditionalFormatting sqref="G15">
    <cfRule type="cellIs" priority="332" operator="notEqual" aboveAverage="0" equalAverage="0" bottom="0" percent="0" rank="0" text="" dxfId="330">
      <formula>G78</formula>
    </cfRule>
  </conditionalFormatting>
  <conditionalFormatting sqref="G15">
    <cfRule type="cellIs" priority="333" operator="equal" aboveAverage="0" equalAverage="0" bottom="0" percent="0" rank="0" text="" dxfId="331">
      <formula>0</formula>
    </cfRule>
  </conditionalFormatting>
  <conditionalFormatting sqref="G14">
    <cfRule type="cellIs" priority="334" operator="notEqual" aboveAverage="0" equalAverage="0" bottom="0" percent="0" rank="0" text="" dxfId="332">
      <formula>G77</formula>
    </cfRule>
  </conditionalFormatting>
  <conditionalFormatting sqref="G14">
    <cfRule type="cellIs" priority="335" operator="equal" aboveAverage="0" equalAverage="0" bottom="0" percent="0" rank="0" text="" dxfId="333">
      <formula>0</formula>
    </cfRule>
  </conditionalFormatting>
  <conditionalFormatting sqref="G13">
    <cfRule type="cellIs" priority="336" operator="notEqual" aboveAverage="0" equalAverage="0" bottom="0" percent="0" rank="0" text="" dxfId="334">
      <formula>G76</formula>
    </cfRule>
  </conditionalFormatting>
  <conditionalFormatting sqref="G13">
    <cfRule type="cellIs" priority="337" operator="equal" aboveAverage="0" equalAverage="0" bottom="0" percent="0" rank="0" text="" dxfId="335">
      <formula>0</formula>
    </cfRule>
  </conditionalFormatting>
  <conditionalFormatting sqref="G12">
    <cfRule type="cellIs" priority="338" operator="notEqual" aboveAverage="0" equalAverage="0" bottom="0" percent="0" rank="0" text="" dxfId="336">
      <formula>G75</formula>
    </cfRule>
  </conditionalFormatting>
  <conditionalFormatting sqref="G12">
    <cfRule type="cellIs" priority="339" operator="equal" aboveAverage="0" equalAverage="0" bottom="0" percent="0" rank="0" text="" dxfId="337">
      <formula>0</formula>
    </cfRule>
  </conditionalFormatting>
  <conditionalFormatting sqref="G11">
    <cfRule type="cellIs" priority="340" operator="notEqual" aboveAverage="0" equalAverage="0" bottom="0" percent="0" rank="0" text="" dxfId="338">
      <formula>G74</formula>
    </cfRule>
  </conditionalFormatting>
  <conditionalFormatting sqref="G11">
    <cfRule type="cellIs" priority="341" operator="equal" aboveAverage="0" equalAverage="0" bottom="0" percent="0" rank="0" text="" dxfId="339">
      <formula>0</formula>
    </cfRule>
  </conditionalFormatting>
  <conditionalFormatting sqref="G10">
    <cfRule type="cellIs" priority="342" operator="notEqual" aboveAverage="0" equalAverage="0" bottom="0" percent="0" rank="0" text="" dxfId="340">
      <formula>G73</formula>
    </cfRule>
  </conditionalFormatting>
  <conditionalFormatting sqref="G10">
    <cfRule type="cellIs" priority="343" operator="equal" aboveAverage="0" equalAverage="0" bottom="0" percent="0" rank="0" text="" dxfId="341">
      <formula>0</formula>
    </cfRule>
  </conditionalFormatting>
  <conditionalFormatting sqref="F28">
    <cfRule type="cellIs" priority="344" operator="notEqual" aboveAverage="0" equalAverage="0" bottom="0" percent="0" rank="0" text="" dxfId="342">
      <formula>F91</formula>
    </cfRule>
  </conditionalFormatting>
  <conditionalFormatting sqref="F28">
    <cfRule type="cellIs" priority="345" operator="equal" aboveAverage="0" equalAverage="0" bottom="0" percent="0" rank="0" text="" dxfId="343">
      <formula>0</formula>
    </cfRule>
  </conditionalFormatting>
  <conditionalFormatting sqref="F27">
    <cfRule type="cellIs" priority="346" operator="notEqual" aboveAverage="0" equalAverage="0" bottom="0" percent="0" rank="0" text="" dxfId="344">
      <formula>F90</formula>
    </cfRule>
  </conditionalFormatting>
  <conditionalFormatting sqref="F27">
    <cfRule type="cellIs" priority="347" operator="equal" aboveAverage="0" equalAverage="0" bottom="0" percent="0" rank="0" text="" dxfId="345">
      <formula>0</formula>
    </cfRule>
  </conditionalFormatting>
  <conditionalFormatting sqref="F26">
    <cfRule type="cellIs" priority="348" operator="notEqual" aboveAverage="0" equalAverage="0" bottom="0" percent="0" rank="0" text="" dxfId="346">
      <formula>F89</formula>
    </cfRule>
  </conditionalFormatting>
  <conditionalFormatting sqref="F26">
    <cfRule type="cellIs" priority="349" operator="equal" aboveAverage="0" equalAverage="0" bottom="0" percent="0" rank="0" text="" dxfId="347">
      <formula>0</formula>
    </cfRule>
  </conditionalFormatting>
  <conditionalFormatting sqref="F25">
    <cfRule type="cellIs" priority="350" operator="notEqual" aboveAverage="0" equalAverage="0" bottom="0" percent="0" rank="0" text="" dxfId="348">
      <formula>F88</formula>
    </cfRule>
  </conditionalFormatting>
  <conditionalFormatting sqref="F25">
    <cfRule type="cellIs" priority="351" operator="equal" aboveAverage="0" equalAverage="0" bottom="0" percent="0" rank="0" text="" dxfId="349">
      <formula>0</formula>
    </cfRule>
  </conditionalFormatting>
  <conditionalFormatting sqref="F24">
    <cfRule type="cellIs" priority="352" operator="notEqual" aboveAverage="0" equalAverage="0" bottom="0" percent="0" rank="0" text="" dxfId="350">
      <formula>F87</formula>
    </cfRule>
  </conditionalFormatting>
  <conditionalFormatting sqref="F24">
    <cfRule type="cellIs" priority="353" operator="equal" aboveAverage="0" equalAverage="0" bottom="0" percent="0" rank="0" text="" dxfId="351">
      <formula>0</formula>
    </cfRule>
  </conditionalFormatting>
  <conditionalFormatting sqref="F23">
    <cfRule type="cellIs" priority="354" operator="notEqual" aboveAverage="0" equalAverage="0" bottom="0" percent="0" rank="0" text="" dxfId="352">
      <formula>F86</formula>
    </cfRule>
  </conditionalFormatting>
  <conditionalFormatting sqref="F23">
    <cfRule type="cellIs" priority="355" operator="equal" aboveAverage="0" equalAverage="0" bottom="0" percent="0" rank="0" text="" dxfId="353">
      <formula>0</formula>
    </cfRule>
  </conditionalFormatting>
  <conditionalFormatting sqref="F22">
    <cfRule type="cellIs" priority="356" operator="notEqual" aboveAverage="0" equalAverage="0" bottom="0" percent="0" rank="0" text="" dxfId="354">
      <formula>F85</formula>
    </cfRule>
  </conditionalFormatting>
  <conditionalFormatting sqref="F22">
    <cfRule type="cellIs" priority="357" operator="equal" aboveAverage="0" equalAverage="0" bottom="0" percent="0" rank="0" text="" dxfId="355">
      <formula>0</formula>
    </cfRule>
  </conditionalFormatting>
  <conditionalFormatting sqref="F21">
    <cfRule type="cellIs" priority="358" operator="notEqual" aboveAverage="0" equalAverage="0" bottom="0" percent="0" rank="0" text="" dxfId="356">
      <formula>F84</formula>
    </cfRule>
  </conditionalFormatting>
  <conditionalFormatting sqref="F21">
    <cfRule type="cellIs" priority="359" operator="equal" aboveAverage="0" equalAverage="0" bottom="0" percent="0" rank="0" text="" dxfId="357">
      <formula>0</formula>
    </cfRule>
  </conditionalFormatting>
  <conditionalFormatting sqref="F20">
    <cfRule type="cellIs" priority="360" operator="notEqual" aboveAverage="0" equalAverage="0" bottom="0" percent="0" rank="0" text="" dxfId="358">
      <formula>F83</formula>
    </cfRule>
  </conditionalFormatting>
  <conditionalFormatting sqref="F20">
    <cfRule type="cellIs" priority="361" operator="equal" aboveAverage="0" equalAverage="0" bottom="0" percent="0" rank="0" text="" dxfId="359">
      <formula>0</formula>
    </cfRule>
  </conditionalFormatting>
  <conditionalFormatting sqref="F19">
    <cfRule type="cellIs" priority="362" operator="notEqual" aboveAverage="0" equalAverage="0" bottom="0" percent="0" rank="0" text="" dxfId="360">
      <formula>F82</formula>
    </cfRule>
  </conditionalFormatting>
  <conditionalFormatting sqref="F19">
    <cfRule type="cellIs" priority="363" operator="equal" aboveAverage="0" equalAverage="0" bottom="0" percent="0" rank="0" text="" dxfId="361">
      <formula>0</formula>
    </cfRule>
  </conditionalFormatting>
  <conditionalFormatting sqref="F18">
    <cfRule type="cellIs" priority="364" operator="notEqual" aboveAverage="0" equalAverage="0" bottom="0" percent="0" rank="0" text="" dxfId="362">
      <formula>F81</formula>
    </cfRule>
  </conditionalFormatting>
  <conditionalFormatting sqref="F18">
    <cfRule type="cellIs" priority="365" operator="equal" aboveAverage="0" equalAverage="0" bottom="0" percent="0" rank="0" text="" dxfId="363">
      <formula>0</formula>
    </cfRule>
  </conditionalFormatting>
  <conditionalFormatting sqref="F17">
    <cfRule type="cellIs" priority="366" operator="notEqual" aboveAverage="0" equalAverage="0" bottom="0" percent="0" rank="0" text="" dxfId="364">
      <formula>F80</formula>
    </cfRule>
  </conditionalFormatting>
  <conditionalFormatting sqref="F17">
    <cfRule type="cellIs" priority="367" operator="equal" aboveAverage="0" equalAverage="0" bottom="0" percent="0" rank="0" text="" dxfId="365">
      <formula>0</formula>
    </cfRule>
  </conditionalFormatting>
  <conditionalFormatting sqref="F16">
    <cfRule type="cellIs" priority="368" operator="notEqual" aboveAverage="0" equalAverage="0" bottom="0" percent="0" rank="0" text="" dxfId="366">
      <formula>F79</formula>
    </cfRule>
  </conditionalFormatting>
  <conditionalFormatting sqref="F16">
    <cfRule type="cellIs" priority="369" operator="equal" aboveAverage="0" equalAverage="0" bottom="0" percent="0" rank="0" text="" dxfId="367">
      <formula>0</formula>
    </cfRule>
  </conditionalFormatting>
  <conditionalFormatting sqref="F15">
    <cfRule type="cellIs" priority="370" operator="notEqual" aboveAverage="0" equalAverage="0" bottom="0" percent="0" rank="0" text="" dxfId="368">
      <formula>F78</formula>
    </cfRule>
  </conditionalFormatting>
  <conditionalFormatting sqref="F15">
    <cfRule type="cellIs" priority="371" operator="equal" aboveAverage="0" equalAverage="0" bottom="0" percent="0" rank="0" text="" dxfId="369">
      <formula>0</formula>
    </cfRule>
  </conditionalFormatting>
  <conditionalFormatting sqref="F14">
    <cfRule type="cellIs" priority="372" operator="notEqual" aboveAverage="0" equalAverage="0" bottom="0" percent="0" rank="0" text="" dxfId="370">
      <formula>F77</formula>
    </cfRule>
  </conditionalFormatting>
  <conditionalFormatting sqref="F14">
    <cfRule type="cellIs" priority="373" operator="equal" aboveAverage="0" equalAverage="0" bottom="0" percent="0" rank="0" text="" dxfId="371">
      <formula>0</formula>
    </cfRule>
  </conditionalFormatting>
  <conditionalFormatting sqref="F13">
    <cfRule type="cellIs" priority="374" operator="notEqual" aboveAverage="0" equalAverage="0" bottom="0" percent="0" rank="0" text="" dxfId="372">
      <formula>F76</formula>
    </cfRule>
  </conditionalFormatting>
  <conditionalFormatting sqref="F13">
    <cfRule type="cellIs" priority="375" operator="equal" aboveAverage="0" equalAverage="0" bottom="0" percent="0" rank="0" text="" dxfId="373">
      <formula>0</formula>
    </cfRule>
  </conditionalFormatting>
  <conditionalFormatting sqref="F12">
    <cfRule type="cellIs" priority="376" operator="notEqual" aboveAverage="0" equalAverage="0" bottom="0" percent="0" rank="0" text="" dxfId="374">
      <formula>F75</formula>
    </cfRule>
  </conditionalFormatting>
  <conditionalFormatting sqref="F12">
    <cfRule type="cellIs" priority="377" operator="equal" aboveAverage="0" equalAverage="0" bottom="0" percent="0" rank="0" text="" dxfId="375">
      <formula>0</formula>
    </cfRule>
  </conditionalFormatting>
  <conditionalFormatting sqref="F11">
    <cfRule type="cellIs" priority="378" operator="notEqual" aboveAverage="0" equalAverage="0" bottom="0" percent="0" rank="0" text="" dxfId="376">
      <formula>F74</formula>
    </cfRule>
  </conditionalFormatting>
  <conditionalFormatting sqref="F11">
    <cfRule type="cellIs" priority="379" operator="equal" aboveAverage="0" equalAverage="0" bottom="0" percent="0" rank="0" text="" dxfId="377">
      <formula>0</formula>
    </cfRule>
  </conditionalFormatting>
  <conditionalFormatting sqref="F10">
    <cfRule type="cellIs" priority="380" operator="notEqual" aboveAverage="0" equalAverage="0" bottom="0" percent="0" rank="0" text="" dxfId="378">
      <formula>F73</formula>
    </cfRule>
  </conditionalFormatting>
  <conditionalFormatting sqref="F10">
    <cfRule type="cellIs" priority="381" operator="equal" aboveAverage="0" equalAverage="0" bottom="0" percent="0" rank="0" text="" dxfId="379">
      <formula>0</formula>
    </cfRule>
  </conditionalFormatting>
  <conditionalFormatting sqref="O9">
    <cfRule type="cellIs" priority="382" operator="notEqual" aboveAverage="0" equalAverage="0" bottom="0" percent="0" rank="0" text="" dxfId="380">
      <formula>O72</formula>
    </cfRule>
  </conditionalFormatting>
  <conditionalFormatting sqref="O9">
    <cfRule type="cellIs" priority="383" operator="equal" aboveAverage="0" equalAverage="0" bottom="0" percent="0" rank="0" text="" dxfId="381">
      <formula>0</formula>
    </cfRule>
  </conditionalFormatting>
  <conditionalFormatting sqref="N9">
    <cfRule type="cellIs" priority="384" operator="notEqual" aboveAverage="0" equalAverage="0" bottom="0" percent="0" rank="0" text="" dxfId="382">
      <formula>N72</formula>
    </cfRule>
  </conditionalFormatting>
  <conditionalFormatting sqref="N9">
    <cfRule type="cellIs" priority="385" operator="equal" aboveAverage="0" equalAverage="0" bottom="0" percent="0" rank="0" text="" dxfId="383">
      <formula>0</formula>
    </cfRule>
  </conditionalFormatting>
  <conditionalFormatting sqref="M9">
    <cfRule type="cellIs" priority="386" operator="notEqual" aboveAverage="0" equalAverage="0" bottom="0" percent="0" rank="0" text="" dxfId="384">
      <formula>M72</formula>
    </cfRule>
  </conditionalFormatting>
  <conditionalFormatting sqref="M9">
    <cfRule type="cellIs" priority="387" operator="equal" aboveAverage="0" equalAverage="0" bottom="0" percent="0" rank="0" text="" dxfId="385">
      <formula>0</formula>
    </cfRule>
  </conditionalFormatting>
  <conditionalFormatting sqref="L9">
    <cfRule type="cellIs" priority="388" operator="notEqual" aboveAverage="0" equalAverage="0" bottom="0" percent="0" rank="0" text="" dxfId="386">
      <formula>L72</formula>
    </cfRule>
  </conditionalFormatting>
  <conditionalFormatting sqref="L9">
    <cfRule type="cellIs" priority="389" operator="equal" aboveAverage="0" equalAverage="0" bottom="0" percent="0" rank="0" text="" dxfId="387">
      <formula>0</formula>
    </cfRule>
  </conditionalFormatting>
  <conditionalFormatting sqref="K9">
    <cfRule type="cellIs" priority="390" operator="notEqual" aboveAverage="0" equalAverage="0" bottom="0" percent="0" rank="0" text="" dxfId="388">
      <formula>K72</formula>
    </cfRule>
  </conditionalFormatting>
  <conditionalFormatting sqref="K9">
    <cfRule type="cellIs" priority="391" operator="equal" aboveAverage="0" equalAverage="0" bottom="0" percent="0" rank="0" text="" dxfId="389">
      <formula>0</formula>
    </cfRule>
  </conditionalFormatting>
  <conditionalFormatting sqref="J9">
    <cfRule type="cellIs" priority="392" operator="notEqual" aboveAverage="0" equalAverage="0" bottom="0" percent="0" rank="0" text="" dxfId="390">
      <formula>J72</formula>
    </cfRule>
  </conditionalFormatting>
  <conditionalFormatting sqref="J9">
    <cfRule type="cellIs" priority="393" operator="equal" aboveAverage="0" equalAverage="0" bottom="0" percent="0" rank="0" text="" dxfId="391">
      <formula>0</formula>
    </cfRule>
  </conditionalFormatting>
  <conditionalFormatting sqref="I9">
    <cfRule type="cellIs" priority="394" operator="notEqual" aboveAverage="0" equalAverage="0" bottom="0" percent="0" rank="0" text="" dxfId="392">
      <formula>I72</formula>
    </cfRule>
  </conditionalFormatting>
  <conditionalFormatting sqref="I9">
    <cfRule type="cellIs" priority="395" operator="equal" aboveAverage="0" equalAverage="0" bottom="0" percent="0" rank="0" text="" dxfId="393">
      <formula>0</formula>
    </cfRule>
  </conditionalFormatting>
  <conditionalFormatting sqref="H9">
    <cfRule type="cellIs" priority="396" operator="notEqual" aboveAverage="0" equalAverage="0" bottom="0" percent="0" rank="0" text="" dxfId="394">
      <formula>H72</formula>
    </cfRule>
  </conditionalFormatting>
  <conditionalFormatting sqref="H9">
    <cfRule type="cellIs" priority="397" operator="equal" aboveAverage="0" equalAverage="0" bottom="0" percent="0" rank="0" text="" dxfId="395">
      <formula>0</formula>
    </cfRule>
  </conditionalFormatting>
  <conditionalFormatting sqref="G9">
    <cfRule type="cellIs" priority="398" operator="notEqual" aboveAverage="0" equalAverage="0" bottom="0" percent="0" rank="0" text="" dxfId="396">
      <formula>G72</formula>
    </cfRule>
  </conditionalFormatting>
  <conditionalFormatting sqref="G9">
    <cfRule type="cellIs" priority="399" operator="equal" aboveAverage="0" equalAverage="0" bottom="0" percent="0" rank="0" text="" dxfId="397">
      <formula>0</formula>
    </cfRule>
  </conditionalFormatting>
  <conditionalFormatting sqref="F9">
    <cfRule type="cellIs" priority="400" operator="notEqual" aboveAverage="0" equalAverage="0" bottom="0" percent="0" rank="0" text="" dxfId="398">
      <formula>F72</formula>
    </cfRule>
  </conditionalFormatting>
  <conditionalFormatting sqref="F9">
    <cfRule type="cellIs" priority="401" operator="equal" aboveAverage="0" equalAverage="0" bottom="0" percent="0" rank="0" text="" dxfId="399">
      <formula>0</formula>
    </cfRule>
  </conditionalFormatting>
  <conditionalFormatting sqref="F72:O91">
    <cfRule type="cellIs" priority="402" operator="equal" aboveAverage="0" equalAverage="0" bottom="0" percent="0" rank="0" text="" dxfId="400">
      <formula>0</formula>
    </cfRule>
  </conditionalFormatting>
  <conditionalFormatting sqref="F92:O92">
    <cfRule type="cellIs" priority="403" operator="notEqual" aboveAverage="0" equalAverage="0" bottom="0" percent="0" rank="0" text="" dxfId="401">
      <formula>1</formula>
    </cfRule>
  </conditionalFormatting>
  <conditionalFormatting sqref="F65:O65">
    <cfRule type="cellIs" priority="404" operator="notEqual" aboveAverage="0" equalAverage="0" bottom="0" percent="0" rank="0" text="" dxfId="402">
      <formula>1</formula>
    </cfRule>
  </conditionalFormatting>
  <conditionalFormatting sqref="F29:O29">
    <cfRule type="cellIs" priority="405" operator="notEqual" aboveAverage="0" equalAverage="0" bottom="0" percent="0" rank="0" text="" dxfId="403">
      <formula>1</formula>
    </cfRule>
  </conditionalFormatting>
  <conditionalFormatting sqref="C19">
    <cfRule type="cellIs" priority="406" operator="notEqual" aboveAverage="0" equalAverage="0" bottom="0" percent="0" rank="0" text="" dxfId="404">
      <formula>1</formula>
    </cfRule>
  </conditionalFormatting>
  <conditionalFormatting sqref="F93:O570 F35:O70">
    <cfRule type="cellIs" priority="407" operator="equal" aboveAverage="0" equalAverage="0" bottom="0" percent="0" rank="0" text="" dxfId="40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G20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43.86"/>
    <col collapsed="false" customWidth="true" hidden="false" outlineLevel="0" max="3" min="3" style="0" width="13.42"/>
    <col collapsed="false" customWidth="true" hidden="false" outlineLevel="0" max="4" min="4" style="0" width="11.29"/>
    <col collapsed="false" customWidth="true" hidden="false" outlineLevel="0" max="5" min="5" style="0" width="7.42"/>
    <col collapsed="false" customWidth="true" hidden="false" outlineLevel="0" max="6" min="6" style="0" width="9.29"/>
    <col collapsed="false" customWidth="true" hidden="false" outlineLevel="0" max="7" min="7" style="0" width="10.14"/>
    <col collapsed="false" customWidth="true" hidden="false" outlineLevel="0" max="13" min="8" style="0" width="7.42"/>
    <col collapsed="false" customWidth="true" hidden="false" outlineLevel="0" max="14" min="14" style="0" width="14.42"/>
    <col collapsed="false" customWidth="true" hidden="false" outlineLevel="0" max="15" min="15" style="0" width="9.57"/>
    <col collapsed="false" customWidth="true" hidden="false" outlineLevel="0" max="16" min="16" style="0" width="7.42"/>
    <col collapsed="false" customWidth="true" hidden="false" outlineLevel="0" max="18" min="17" style="0" width="9.14"/>
    <col collapsed="false" customWidth="true" hidden="false" outlineLevel="0" max="24" min="19" style="0" width="7.42"/>
    <col collapsed="false" customWidth="true" hidden="false" outlineLevel="0" max="25" min="25" style="0" width="16.43"/>
    <col collapsed="false" customWidth="true" hidden="false" outlineLevel="0" max="26" min="26" style="0" width="9.14"/>
    <col collapsed="false" customWidth="true" hidden="false" outlineLevel="0" max="27" min="27" style="0" width="7.42"/>
    <col collapsed="false" customWidth="true" hidden="false" outlineLevel="0" max="29" min="29" style="0" width="8.42"/>
    <col collapsed="false" customWidth="true" hidden="false" outlineLevel="0" max="35" min="30" style="0" width="7.42"/>
    <col collapsed="false" customWidth="true" hidden="false" outlineLevel="0" max="36" min="36" style="0" width="13.86"/>
    <col collapsed="false" customWidth="true" hidden="false" outlineLevel="0" max="37" min="37" style="0" width="13.29"/>
    <col collapsed="false" customWidth="true" hidden="false" outlineLevel="0" max="38" min="38" style="0" width="7.42"/>
    <col collapsed="false" customWidth="true" hidden="false" outlineLevel="0" max="39" min="39" style="0" width="11.14"/>
    <col collapsed="false" customWidth="true" hidden="false" outlineLevel="0" max="40" min="40" style="0" width="9.29"/>
    <col collapsed="false" customWidth="true" hidden="false" outlineLevel="0" max="46" min="41" style="0" width="7.42"/>
    <col collapsed="false" customWidth="true" hidden="false" outlineLevel="0" max="47" min="47" style="0" width="14"/>
    <col collapsed="false" customWidth="true" hidden="false" outlineLevel="0" max="48" min="48" style="0" width="11.57"/>
    <col collapsed="false" customWidth="true" hidden="false" outlineLevel="0" max="49" min="49" style="0" width="7.42"/>
    <col collapsed="false" customWidth="true" hidden="false" outlineLevel="0" max="50" min="50" style="0" width="11.14"/>
    <col collapsed="false" customWidth="true" hidden="false" outlineLevel="0" max="51" min="51" style="0" width="10.85"/>
    <col collapsed="false" customWidth="true" hidden="false" outlineLevel="0" max="57" min="52" style="0" width="7.42"/>
    <col collapsed="false" customWidth="true" hidden="false" outlineLevel="0" max="58" min="58" style="0" width="16.43"/>
    <col collapsed="false" customWidth="true" hidden="false" outlineLevel="0" max="59" min="59" style="0" width="10.14"/>
    <col collapsed="false" customWidth="true" hidden="false" outlineLevel="0" max="60" min="60" style="0" width="7.42"/>
    <col collapsed="false" customWidth="true" hidden="false" outlineLevel="0" max="61" min="61" style="0" width="11.14"/>
    <col collapsed="false" customWidth="true" hidden="false" outlineLevel="0" max="62" min="62" style="0" width="11.71"/>
    <col collapsed="false" customWidth="true" hidden="false" outlineLevel="0" max="68" min="63" style="0" width="7.42"/>
    <col collapsed="false" customWidth="true" hidden="false" outlineLevel="0" max="69" min="69" style="0" width="14.57"/>
    <col collapsed="false" customWidth="true" hidden="false" outlineLevel="0" max="70" min="70" style="0" width="9.42"/>
    <col collapsed="false" customWidth="true" hidden="false" outlineLevel="0" max="71" min="71" style="0" width="7.42"/>
    <col collapsed="false" customWidth="true" hidden="false" outlineLevel="0" max="72" min="72" style="0" width="9.86"/>
    <col collapsed="false" customWidth="true" hidden="false" outlineLevel="0" max="73" min="73" style="0" width="10.29"/>
    <col collapsed="false" customWidth="true" hidden="false" outlineLevel="0" max="79" min="74" style="0" width="7.42"/>
    <col collapsed="false" customWidth="true" hidden="false" outlineLevel="0" max="80" min="80" style="0" width="15.42"/>
    <col collapsed="false" customWidth="true" hidden="false" outlineLevel="0" max="81" min="81" style="0" width="10.71"/>
    <col collapsed="false" customWidth="true" hidden="false" outlineLevel="0" max="82" min="82" style="0" width="7.42"/>
    <col collapsed="false" customWidth="true" hidden="false" outlineLevel="0" max="83" min="83" style="0" width="11.14"/>
    <col collapsed="false" customWidth="true" hidden="false" outlineLevel="0" max="84" min="84" style="0" width="9.71"/>
    <col collapsed="false" customWidth="true" hidden="false" outlineLevel="0" max="90" min="85" style="0" width="7.42"/>
    <col collapsed="false" customWidth="true" hidden="false" outlineLevel="0" max="91" min="91" style="0" width="16.43"/>
    <col collapsed="false" customWidth="true" hidden="false" outlineLevel="0" max="92" min="92" style="0" width="10.85"/>
    <col collapsed="false" customWidth="true" hidden="false" outlineLevel="0" max="93" min="93" style="0" width="7.42"/>
    <col collapsed="false" customWidth="true" hidden="false" outlineLevel="0" max="94" min="94" style="0" width="11.14"/>
    <col collapsed="false" customWidth="true" hidden="false" outlineLevel="0" max="95" min="95" style="0" width="10.85"/>
    <col collapsed="false" customWidth="true" hidden="false" outlineLevel="0" max="101" min="96" style="0" width="7.42"/>
    <col collapsed="false" customWidth="true" hidden="false" outlineLevel="0" max="102" min="102" style="0" width="16.43"/>
    <col collapsed="false" customWidth="true" hidden="false" outlineLevel="0" max="103" min="103" style="0" width="10.85"/>
    <col collapsed="false" customWidth="true" hidden="false" outlineLevel="0" max="104" min="104" style="0" width="7.42"/>
    <col collapsed="false" customWidth="true" hidden="false" outlineLevel="0" max="105" min="105" style="0" width="11.14"/>
    <col collapsed="false" customWidth="true" hidden="false" outlineLevel="0" max="106" min="106" style="0" width="8"/>
    <col collapsed="false" customWidth="true" hidden="false" outlineLevel="0" max="112" min="107" style="0" width="7.42"/>
    <col collapsed="false" customWidth="true" hidden="false" outlineLevel="0" max="113" min="113" style="0" width="14.42"/>
    <col collapsed="false" customWidth="true" hidden="false" outlineLevel="0" max="114" min="114" style="0" width="9.14"/>
    <col collapsed="false" customWidth="true" hidden="false" outlineLevel="0" max="115" min="115" style="0" width="7.71"/>
    <col collapsed="false" customWidth="true" hidden="false" outlineLevel="0" max="116" min="116" style="0" width="11.14"/>
    <col collapsed="false" customWidth="true" hidden="false" outlineLevel="0" max="117" min="117" style="0" width="8.42"/>
    <col collapsed="false" customWidth="true" hidden="false" outlineLevel="0" max="123" min="118" style="0" width="6.29"/>
    <col collapsed="false" customWidth="true" hidden="false" outlineLevel="0" max="124" min="124" style="0" width="14.42"/>
    <col collapsed="false" customWidth="true" hidden="false" outlineLevel="0" max="125" min="125" style="0" width="9.14"/>
    <col collapsed="false" customWidth="true" hidden="false" outlineLevel="0" max="126" min="126" style="0" width="7.71"/>
    <col collapsed="false" customWidth="true" hidden="false" outlineLevel="0" max="127" min="127" style="0" width="11.14"/>
    <col collapsed="false" customWidth="true" hidden="false" outlineLevel="0" max="128" min="128" style="0" width="8.42"/>
    <col collapsed="false" customWidth="true" hidden="false" outlineLevel="0" max="134" min="129" style="0" width="6.29"/>
    <col collapsed="false" customWidth="true" hidden="false" outlineLevel="0" max="135" min="135" style="0" width="14.42"/>
    <col collapsed="false" customWidth="true" hidden="false" outlineLevel="0" max="136" min="136" style="0" width="9.14"/>
    <col collapsed="false" customWidth="true" hidden="false" outlineLevel="0" max="137" min="137" style="0" width="7.71"/>
    <col collapsed="false" customWidth="true" hidden="false" outlineLevel="0" max="138" min="138" style="0" width="11.14"/>
    <col collapsed="false" customWidth="true" hidden="false" outlineLevel="0" max="139" min="139" style="0" width="8.42"/>
    <col collapsed="false" customWidth="true" hidden="false" outlineLevel="0" max="145" min="140" style="0" width="6.29"/>
    <col collapsed="false" customWidth="true" hidden="false" outlineLevel="0" max="146" min="146" style="0" width="14.42"/>
    <col collapsed="false" customWidth="true" hidden="false" outlineLevel="0" max="147" min="147" style="0" width="9.14"/>
    <col collapsed="false" customWidth="true" hidden="false" outlineLevel="0" max="148" min="148" style="0" width="7.71"/>
    <col collapsed="false" customWidth="true" hidden="false" outlineLevel="0" max="149" min="149" style="0" width="11.14"/>
    <col collapsed="false" customWidth="true" hidden="false" outlineLevel="0" max="150" min="150" style="0" width="8.42"/>
    <col collapsed="false" customWidth="true" hidden="false" outlineLevel="0" max="156" min="151" style="0" width="6.29"/>
    <col collapsed="false" customWidth="true" hidden="false" outlineLevel="0" max="157" min="157" style="0" width="14.42"/>
    <col collapsed="false" customWidth="true" hidden="false" outlineLevel="0" max="158" min="158" style="0" width="9.14"/>
    <col collapsed="false" customWidth="true" hidden="false" outlineLevel="0" max="159" min="159" style="0" width="7.71"/>
    <col collapsed="false" customWidth="true" hidden="false" outlineLevel="0" max="160" min="160" style="0" width="11.14"/>
    <col collapsed="false" customWidth="true" hidden="false" outlineLevel="0" max="161" min="161" style="0" width="8.42"/>
    <col collapsed="false" customWidth="true" hidden="false" outlineLevel="0" max="167" min="162" style="0" width="6.29"/>
    <col collapsed="false" customWidth="true" hidden="false" outlineLevel="0" max="168" min="168" style="0" width="14.42"/>
    <col collapsed="false" customWidth="true" hidden="false" outlineLevel="0" max="169" min="169" style="0" width="9.14"/>
    <col collapsed="false" customWidth="true" hidden="false" outlineLevel="0" max="170" min="170" style="0" width="7.71"/>
    <col collapsed="false" customWidth="true" hidden="false" outlineLevel="0" max="171" min="171" style="0" width="11.14"/>
    <col collapsed="false" customWidth="true" hidden="false" outlineLevel="0" max="172" min="172" style="0" width="8.42"/>
    <col collapsed="false" customWidth="true" hidden="false" outlineLevel="0" max="178" min="173" style="0" width="6.29"/>
    <col collapsed="false" customWidth="true" hidden="false" outlineLevel="0" max="179" min="179" style="0" width="14.42"/>
    <col collapsed="false" customWidth="true" hidden="false" outlineLevel="0" max="180" min="180" style="0" width="9.14"/>
    <col collapsed="false" customWidth="true" hidden="false" outlineLevel="0" max="181" min="181" style="0" width="7.71"/>
    <col collapsed="false" customWidth="true" hidden="false" outlineLevel="0" max="182" min="182" style="0" width="11.14"/>
    <col collapsed="false" customWidth="true" hidden="false" outlineLevel="0" max="183" min="183" style="0" width="8.42"/>
    <col collapsed="false" customWidth="true" hidden="false" outlineLevel="0" max="189" min="184" style="0" width="6.29"/>
    <col collapsed="false" customWidth="true" hidden="false" outlineLevel="0" max="190" min="190" style="0" width="14.42"/>
    <col collapsed="false" customWidth="true" hidden="false" outlineLevel="0" max="191" min="191" style="0" width="9.14"/>
    <col collapsed="false" customWidth="true" hidden="false" outlineLevel="0" max="192" min="192" style="0" width="7.71"/>
    <col collapsed="false" customWidth="true" hidden="false" outlineLevel="0" max="193" min="193" style="0" width="11.14"/>
    <col collapsed="false" customWidth="true" hidden="false" outlineLevel="0" max="194" min="194" style="0" width="8.42"/>
    <col collapsed="false" customWidth="true" hidden="false" outlineLevel="0" max="200" min="195" style="0" width="6.29"/>
    <col collapsed="false" customWidth="true" hidden="false" outlineLevel="0" max="201" min="201" style="0" width="14.42"/>
    <col collapsed="false" customWidth="true" hidden="false" outlineLevel="0" max="202" min="202" style="0" width="9.14"/>
    <col collapsed="false" customWidth="true" hidden="false" outlineLevel="0" max="203" min="203" style="0" width="7.71"/>
    <col collapsed="false" customWidth="true" hidden="false" outlineLevel="0" max="204" min="204" style="0" width="11.14"/>
    <col collapsed="false" customWidth="true" hidden="false" outlineLevel="0" max="205" min="205" style="0" width="8.42"/>
    <col collapsed="false" customWidth="true" hidden="false" outlineLevel="0" max="211" min="206" style="0" width="6.29"/>
    <col collapsed="false" customWidth="true" hidden="false" outlineLevel="0" max="212" min="212" style="0" width="14.42"/>
    <col collapsed="false" customWidth="true" hidden="false" outlineLevel="0" max="213" min="213" style="0" width="9.14"/>
    <col collapsed="false" customWidth="true" hidden="false" outlineLevel="0" max="214" min="214" style="0" width="7.71"/>
    <col collapsed="false" customWidth="true" hidden="false" outlineLevel="0" max="215" min="215" style="0" width="11.14"/>
    <col collapsed="false" customWidth="true" hidden="false" outlineLevel="0" max="216" min="216" style="0" width="8.42"/>
    <col collapsed="false" customWidth="true" hidden="false" outlineLevel="0" max="222" min="217" style="0" width="6.29"/>
    <col collapsed="false" customWidth="true" hidden="false" outlineLevel="0" max="223" min="223" style="0" width="14.42"/>
    <col collapsed="false" customWidth="true" hidden="false" outlineLevel="0" max="224" min="224" style="0" width="9.14"/>
    <col collapsed="false" customWidth="true" hidden="false" outlineLevel="0" max="225" min="225" style="0" width="7.71"/>
    <col collapsed="false" customWidth="true" hidden="false" outlineLevel="0" max="226" min="226" style="0" width="11.14"/>
    <col collapsed="false" customWidth="true" hidden="false" outlineLevel="0" max="227" min="227" style="0" width="8.42"/>
    <col collapsed="false" customWidth="true" hidden="false" outlineLevel="0" max="233" min="228" style="0" width="6.29"/>
    <col collapsed="false" customWidth="true" hidden="false" outlineLevel="0" max="234" min="234" style="0" width="14.42"/>
    <col collapsed="false" customWidth="true" hidden="false" outlineLevel="0" max="235" min="235" style="0" width="9.14"/>
    <col collapsed="false" customWidth="true" hidden="false" outlineLevel="0" max="236" min="236" style="0" width="7.71"/>
    <col collapsed="false" customWidth="true" hidden="false" outlineLevel="0" max="237" min="237" style="0" width="11.14"/>
    <col collapsed="false" customWidth="true" hidden="false" outlineLevel="0" max="238" min="238" style="0" width="8.42"/>
    <col collapsed="false" customWidth="true" hidden="false" outlineLevel="0" max="244" min="239" style="0" width="6.29"/>
    <col collapsed="false" customWidth="true" hidden="false" outlineLevel="0" max="245" min="245" style="0" width="14.42"/>
    <col collapsed="false" customWidth="true" hidden="false" outlineLevel="0" max="246" min="246" style="0" width="9.14"/>
    <col collapsed="false" customWidth="true" hidden="false" outlineLevel="0" max="247" min="247" style="0" width="7.71"/>
    <col collapsed="false" customWidth="true" hidden="false" outlineLevel="0" max="248" min="248" style="0" width="11.14"/>
    <col collapsed="false" customWidth="true" hidden="false" outlineLevel="0" max="249" min="249" style="0" width="8.42"/>
    <col collapsed="false" customWidth="true" hidden="false" outlineLevel="0" max="255" min="250" style="0" width="6.29"/>
    <col collapsed="false" customWidth="true" hidden="false" outlineLevel="0" max="256" min="256" style="0" width="14.42"/>
    <col collapsed="false" customWidth="true" hidden="false" outlineLevel="0" max="257" min="257" style="0" width="9.14"/>
    <col collapsed="false" customWidth="true" hidden="false" outlineLevel="0" max="258" min="258" style="0" width="7.71"/>
    <col collapsed="false" customWidth="true" hidden="false" outlineLevel="0" max="259" min="259" style="0" width="11.14"/>
    <col collapsed="false" customWidth="true" hidden="false" outlineLevel="0" max="260" min="260" style="0" width="8.42"/>
    <col collapsed="false" customWidth="true" hidden="false" outlineLevel="0" max="266" min="261" style="0" width="6.29"/>
    <col collapsed="false" customWidth="true" hidden="false" outlineLevel="0" max="267" min="267" style="0" width="14.42"/>
    <col collapsed="false" customWidth="true" hidden="false" outlineLevel="0" max="268" min="268" style="0" width="9.14"/>
    <col collapsed="false" customWidth="true" hidden="false" outlineLevel="0" max="269" min="269" style="0" width="7.71"/>
    <col collapsed="false" customWidth="true" hidden="false" outlineLevel="0" max="270" min="270" style="0" width="11.14"/>
    <col collapsed="false" customWidth="true" hidden="false" outlineLevel="0" max="271" min="271" style="0" width="8.42"/>
    <col collapsed="false" customWidth="true" hidden="false" outlineLevel="0" max="277" min="272" style="0" width="6.29"/>
    <col collapsed="false" customWidth="true" hidden="false" outlineLevel="0" max="278" min="278" style="0" width="14.42"/>
    <col collapsed="false" customWidth="true" hidden="false" outlineLevel="0" max="279" min="279" style="0" width="9.14"/>
    <col collapsed="false" customWidth="true" hidden="false" outlineLevel="0" max="280" min="280" style="0" width="7.71"/>
    <col collapsed="false" customWidth="true" hidden="false" outlineLevel="0" max="281" min="281" style="0" width="11.14"/>
    <col collapsed="false" customWidth="true" hidden="false" outlineLevel="0" max="282" min="282" style="0" width="8.42"/>
    <col collapsed="false" customWidth="true" hidden="false" outlineLevel="0" max="288" min="283" style="0" width="6.29"/>
    <col collapsed="false" customWidth="true" hidden="false" outlineLevel="0" max="289" min="289" style="0" width="14.42"/>
    <col collapsed="false" customWidth="true" hidden="false" outlineLevel="0" max="290" min="290" style="0" width="9.14"/>
    <col collapsed="false" customWidth="true" hidden="false" outlineLevel="0" max="291" min="291" style="0" width="7.71"/>
    <col collapsed="false" customWidth="true" hidden="false" outlineLevel="0" max="292" min="292" style="0" width="11.14"/>
    <col collapsed="false" customWidth="true" hidden="false" outlineLevel="0" max="293" min="293" style="0" width="8.42"/>
    <col collapsed="false" customWidth="true" hidden="false" outlineLevel="0" max="299" min="294" style="0" width="6.29"/>
    <col collapsed="false" customWidth="true" hidden="false" outlineLevel="0" max="300" min="300" style="0" width="14.42"/>
    <col collapsed="false" customWidth="true" hidden="false" outlineLevel="0" max="301" min="301" style="0" width="9.14"/>
    <col collapsed="false" customWidth="true" hidden="false" outlineLevel="0" max="302" min="302" style="0" width="7.71"/>
    <col collapsed="false" customWidth="true" hidden="false" outlineLevel="0" max="303" min="303" style="0" width="11.14"/>
    <col collapsed="false" customWidth="true" hidden="false" outlineLevel="0" max="304" min="304" style="0" width="8.42"/>
    <col collapsed="false" customWidth="true" hidden="false" outlineLevel="0" max="310" min="305" style="0" width="6.29"/>
    <col collapsed="false" customWidth="true" hidden="false" outlineLevel="0" max="311" min="311" style="0" width="14.42"/>
    <col collapsed="false" customWidth="true" hidden="false" outlineLevel="0" max="312" min="312" style="0" width="9.14"/>
    <col collapsed="false" customWidth="true" hidden="false" outlineLevel="0" max="313" min="313" style="0" width="7.71"/>
    <col collapsed="false" customWidth="true" hidden="false" outlineLevel="0" max="314" min="314" style="0" width="11.14"/>
    <col collapsed="false" customWidth="true" hidden="false" outlineLevel="0" max="315" min="315" style="0" width="8.42"/>
    <col collapsed="false" customWidth="true" hidden="false" outlineLevel="0" max="321" min="316" style="0" width="6.29"/>
    <col collapsed="false" customWidth="true" hidden="false" outlineLevel="0" max="322" min="322" style="0" width="14.42"/>
    <col collapsed="false" customWidth="true" hidden="false" outlineLevel="0" max="323" min="323" style="0" width="9.14"/>
    <col collapsed="false" customWidth="true" hidden="false" outlineLevel="0" max="324" min="324" style="0" width="7.71"/>
    <col collapsed="false" customWidth="true" hidden="false" outlineLevel="0" max="325" min="325" style="0" width="11.14"/>
    <col collapsed="false" customWidth="true" hidden="false" outlineLevel="0" max="326" min="326" style="0" width="8.42"/>
    <col collapsed="false" customWidth="true" hidden="false" outlineLevel="0" max="332" min="327" style="0" width="6.29"/>
    <col collapsed="false" customWidth="true" hidden="true" outlineLevel="0" max="334" min="334" style="0" width="11.53"/>
    <col collapsed="false" customWidth="true" hidden="true" outlineLevel="0" max="335" min="335" style="0" width="14.42"/>
    <col collapsed="false" customWidth="true" hidden="true" outlineLevel="0" max="336" min="336" style="0" width="9.14"/>
    <col collapsed="false" customWidth="true" hidden="true" outlineLevel="0" max="337" min="337" style="0" width="7.71"/>
    <col collapsed="false" customWidth="true" hidden="true" outlineLevel="0" max="338" min="338" style="0" width="11.14"/>
    <col collapsed="false" customWidth="true" hidden="true" outlineLevel="0" max="339" min="339" style="0" width="8.42"/>
    <col collapsed="false" customWidth="true" hidden="true" outlineLevel="0" max="345" min="340" style="0" width="6.29"/>
    <col collapsed="false" customWidth="true" hidden="true" outlineLevel="0" max="346" min="346" style="0" width="11.53"/>
  </cols>
  <sheetData>
    <row r="1" customFormat="false" ht="13.8" hidden="false" customHeight="false" outlineLevel="0" collapsed="false">
      <c r="C1" s="88" t="s">
        <v>82</v>
      </c>
      <c r="D1" s="89"/>
      <c r="E1" s="41"/>
      <c r="F1" s="90" t="s">
        <v>132</v>
      </c>
      <c r="G1" s="91" t="s">
        <v>133</v>
      </c>
      <c r="H1" s="92"/>
      <c r="I1" s="92"/>
      <c r="J1" s="92"/>
      <c r="K1" s="92"/>
      <c r="L1" s="92"/>
      <c r="M1" s="93"/>
      <c r="N1" s="88" t="s">
        <v>84</v>
      </c>
      <c r="O1" s="89"/>
      <c r="P1" s="41"/>
      <c r="Q1" s="90" t="s">
        <v>132</v>
      </c>
      <c r="R1" s="94" t="s">
        <v>134</v>
      </c>
      <c r="S1" s="92"/>
      <c r="T1" s="92"/>
      <c r="U1" s="92"/>
      <c r="V1" s="92"/>
      <c r="W1" s="92"/>
      <c r="X1" s="93"/>
      <c r="Y1" s="88" t="s">
        <v>86</v>
      </c>
      <c r="Z1" s="89"/>
      <c r="AA1" s="41"/>
      <c r="AB1" s="90" t="s">
        <v>132</v>
      </c>
      <c r="AC1" s="94" t="s">
        <v>135</v>
      </c>
      <c r="AD1" s="92"/>
      <c r="AE1" s="92"/>
      <c r="AF1" s="92"/>
      <c r="AG1" s="92"/>
      <c r="AH1" s="92"/>
      <c r="AI1" s="93"/>
      <c r="AJ1" s="88" t="s">
        <v>88</v>
      </c>
      <c r="AK1" s="89"/>
      <c r="AL1" s="41"/>
      <c r="AM1" s="90" t="s">
        <v>132</v>
      </c>
      <c r="AN1" s="94" t="s">
        <v>136</v>
      </c>
      <c r="AO1" s="92"/>
      <c r="AP1" s="92"/>
      <c r="AQ1" s="92"/>
      <c r="AR1" s="92"/>
      <c r="AS1" s="92"/>
      <c r="AT1" s="93"/>
      <c r="AU1" s="88" t="s">
        <v>90</v>
      </c>
      <c r="AV1" s="89"/>
      <c r="AW1" s="41"/>
      <c r="AX1" s="90" t="s">
        <v>132</v>
      </c>
      <c r="AY1" s="94" t="s">
        <v>137</v>
      </c>
      <c r="AZ1" s="92"/>
      <c r="BA1" s="92"/>
      <c r="BB1" s="92"/>
      <c r="BC1" s="92"/>
      <c r="BD1" s="92"/>
      <c r="BE1" s="93"/>
      <c r="BF1" s="88" t="s">
        <v>92</v>
      </c>
      <c r="BG1" s="89"/>
      <c r="BH1" s="41"/>
      <c r="BI1" s="90" t="s">
        <v>132</v>
      </c>
      <c r="BJ1" s="94" t="s">
        <v>138</v>
      </c>
      <c r="BK1" s="92"/>
      <c r="BL1" s="92"/>
      <c r="BM1" s="92"/>
      <c r="BN1" s="92"/>
      <c r="BO1" s="92"/>
      <c r="BP1" s="93"/>
      <c r="BQ1" s="88" t="s">
        <v>94</v>
      </c>
      <c r="BR1" s="89"/>
      <c r="BS1" s="41"/>
      <c r="BT1" s="90" t="s">
        <v>132</v>
      </c>
      <c r="BU1" s="94" t="s">
        <v>139</v>
      </c>
      <c r="BV1" s="92"/>
      <c r="BW1" s="92"/>
      <c r="BX1" s="92"/>
      <c r="BY1" s="92"/>
      <c r="BZ1" s="92"/>
      <c r="CA1" s="93"/>
      <c r="CB1" s="88" t="s">
        <v>96</v>
      </c>
      <c r="CC1" s="89"/>
      <c r="CD1" s="41"/>
      <c r="CE1" s="90" t="s">
        <v>132</v>
      </c>
      <c r="CF1" s="91"/>
      <c r="CG1" s="92"/>
      <c r="CH1" s="92"/>
      <c r="CI1" s="92"/>
      <c r="CJ1" s="92"/>
      <c r="CK1" s="92"/>
      <c r="CL1" s="93"/>
      <c r="CM1" s="88" t="s">
        <v>98</v>
      </c>
      <c r="CN1" s="89"/>
      <c r="CO1" s="41"/>
      <c r="CP1" s="90" t="s">
        <v>132</v>
      </c>
      <c r="CQ1" s="91"/>
      <c r="CR1" s="92"/>
      <c r="CS1" s="92"/>
      <c r="CT1" s="92"/>
      <c r="CU1" s="92"/>
      <c r="CV1" s="92"/>
      <c r="CW1" s="93"/>
      <c r="CX1" s="88" t="s">
        <v>100</v>
      </c>
      <c r="CY1" s="89"/>
      <c r="CZ1" s="41"/>
      <c r="DA1" s="90" t="s">
        <v>132</v>
      </c>
      <c r="DB1" s="91"/>
      <c r="DC1" s="92"/>
      <c r="DD1" s="92"/>
      <c r="DE1" s="92"/>
      <c r="DF1" s="92"/>
      <c r="DG1" s="92"/>
      <c r="DH1" s="93"/>
      <c r="DI1" s="88" t="s">
        <v>102</v>
      </c>
      <c r="DJ1" s="89"/>
      <c r="DK1" s="41"/>
      <c r="DL1" s="90" t="s">
        <v>132</v>
      </c>
      <c r="DM1" s="91"/>
      <c r="DN1" s="92"/>
      <c r="DO1" s="92"/>
      <c r="DP1" s="92"/>
      <c r="DQ1" s="92"/>
      <c r="DR1" s="92"/>
      <c r="DS1" s="93"/>
      <c r="DT1" s="88" t="s">
        <v>104</v>
      </c>
      <c r="DU1" s="89"/>
      <c r="DV1" s="41"/>
      <c r="DW1" s="90" t="s">
        <v>132</v>
      </c>
      <c r="DX1" s="91"/>
      <c r="DY1" s="92"/>
      <c r="DZ1" s="92"/>
      <c r="EA1" s="92"/>
      <c r="EB1" s="92"/>
      <c r="EC1" s="92"/>
      <c r="ED1" s="93"/>
      <c r="EE1" s="88" t="s">
        <v>106</v>
      </c>
      <c r="EF1" s="89"/>
      <c r="EG1" s="41"/>
      <c r="EH1" s="90" t="s">
        <v>132</v>
      </c>
      <c r="EI1" s="91"/>
      <c r="EJ1" s="92"/>
      <c r="EK1" s="92"/>
      <c r="EL1" s="92"/>
      <c r="EM1" s="92"/>
      <c r="EN1" s="92"/>
      <c r="EO1" s="93"/>
      <c r="EP1" s="88" t="s">
        <v>108</v>
      </c>
      <c r="EQ1" s="89"/>
      <c r="ER1" s="41"/>
      <c r="ES1" s="90" t="s">
        <v>132</v>
      </c>
      <c r="ET1" s="91"/>
      <c r="EU1" s="92"/>
      <c r="EV1" s="92"/>
      <c r="EW1" s="92"/>
      <c r="EX1" s="92"/>
      <c r="EY1" s="92"/>
      <c r="EZ1" s="93"/>
      <c r="FA1" s="88" t="s">
        <v>110</v>
      </c>
      <c r="FB1" s="89"/>
      <c r="FC1" s="41"/>
      <c r="FD1" s="90" t="s">
        <v>132</v>
      </c>
      <c r="FE1" s="91"/>
      <c r="FF1" s="92"/>
      <c r="FG1" s="92"/>
      <c r="FH1" s="92"/>
      <c r="FI1" s="92"/>
      <c r="FJ1" s="92"/>
      <c r="FK1" s="93"/>
      <c r="FL1" s="88" t="s">
        <v>112</v>
      </c>
      <c r="FM1" s="89"/>
      <c r="FN1" s="41"/>
      <c r="FO1" s="90" t="s">
        <v>132</v>
      </c>
      <c r="FP1" s="91"/>
      <c r="FQ1" s="92"/>
      <c r="FR1" s="92"/>
      <c r="FS1" s="92"/>
      <c r="FT1" s="92"/>
      <c r="FU1" s="92"/>
      <c r="FV1" s="93"/>
      <c r="FW1" s="88" t="s">
        <v>114</v>
      </c>
      <c r="FX1" s="89"/>
      <c r="FY1" s="41"/>
      <c r="FZ1" s="90" t="s">
        <v>132</v>
      </c>
      <c r="GA1" s="91"/>
      <c r="GB1" s="92"/>
      <c r="GC1" s="92"/>
      <c r="GD1" s="92"/>
      <c r="GE1" s="92"/>
      <c r="GF1" s="92"/>
      <c r="GG1" s="93"/>
      <c r="GH1" s="88" t="s">
        <v>116</v>
      </c>
      <c r="GI1" s="89"/>
      <c r="GJ1" s="41"/>
      <c r="GK1" s="90" t="s">
        <v>132</v>
      </c>
      <c r="GL1" s="91"/>
      <c r="GM1" s="92"/>
      <c r="GN1" s="92"/>
      <c r="GO1" s="92"/>
      <c r="GP1" s="92"/>
      <c r="GQ1" s="92"/>
      <c r="GR1" s="93"/>
      <c r="GS1" s="88" t="s">
        <v>118</v>
      </c>
      <c r="GT1" s="89"/>
      <c r="GU1" s="41"/>
      <c r="GV1" s="90" t="s">
        <v>132</v>
      </c>
      <c r="GW1" s="91"/>
      <c r="GX1" s="92"/>
      <c r="GY1" s="92"/>
      <c r="GZ1" s="92"/>
      <c r="HA1" s="92"/>
      <c r="HB1" s="92"/>
      <c r="HC1" s="93"/>
      <c r="HD1" s="88" t="s">
        <v>120</v>
      </c>
      <c r="HE1" s="89"/>
      <c r="HF1" s="41"/>
      <c r="HG1" s="90" t="s">
        <v>132</v>
      </c>
      <c r="HH1" s="91"/>
      <c r="HI1" s="92"/>
      <c r="HJ1" s="92"/>
      <c r="HK1" s="92"/>
      <c r="HL1" s="92"/>
      <c r="HM1" s="92"/>
      <c r="HN1" s="93"/>
      <c r="HO1" s="88" t="s">
        <v>121</v>
      </c>
      <c r="HP1" s="89"/>
      <c r="HQ1" s="41"/>
      <c r="HR1" s="90" t="s">
        <v>132</v>
      </c>
      <c r="HS1" s="91"/>
      <c r="HT1" s="92"/>
      <c r="HU1" s="92"/>
      <c r="HV1" s="92"/>
      <c r="HW1" s="92"/>
      <c r="HX1" s="92"/>
      <c r="HY1" s="93"/>
      <c r="HZ1" s="88" t="s">
        <v>122</v>
      </c>
      <c r="IA1" s="89"/>
      <c r="IB1" s="41"/>
      <c r="IC1" s="90" t="s">
        <v>132</v>
      </c>
      <c r="ID1" s="91"/>
      <c r="IE1" s="92"/>
      <c r="IF1" s="92"/>
      <c r="IG1" s="92"/>
      <c r="IH1" s="92"/>
      <c r="II1" s="92"/>
      <c r="IJ1" s="93"/>
      <c r="IK1" s="88" t="s">
        <v>123</v>
      </c>
      <c r="IL1" s="89"/>
      <c r="IM1" s="41"/>
      <c r="IN1" s="90" t="s">
        <v>132</v>
      </c>
      <c r="IO1" s="91"/>
      <c r="IP1" s="92"/>
      <c r="IQ1" s="92"/>
      <c r="IR1" s="92"/>
      <c r="IS1" s="92"/>
      <c r="IT1" s="92"/>
      <c r="IU1" s="93"/>
      <c r="IV1" s="88" t="s">
        <v>124</v>
      </c>
      <c r="IW1" s="89"/>
      <c r="IX1" s="41"/>
      <c r="IY1" s="90" t="s">
        <v>132</v>
      </c>
      <c r="IZ1" s="91"/>
      <c r="JA1" s="92"/>
      <c r="JB1" s="92"/>
      <c r="JC1" s="92"/>
      <c r="JD1" s="92"/>
      <c r="JE1" s="92"/>
      <c r="JF1" s="93"/>
      <c r="JG1" s="88" t="s">
        <v>125</v>
      </c>
      <c r="JH1" s="89"/>
      <c r="JI1" s="41"/>
      <c r="JJ1" s="90" t="s">
        <v>132</v>
      </c>
      <c r="JK1" s="91"/>
      <c r="JL1" s="92"/>
      <c r="JM1" s="92"/>
      <c r="JN1" s="92"/>
      <c r="JO1" s="92"/>
      <c r="JP1" s="92"/>
      <c r="JQ1" s="93"/>
      <c r="JR1" s="88" t="s">
        <v>126</v>
      </c>
      <c r="JS1" s="89"/>
      <c r="JT1" s="41"/>
      <c r="JU1" s="90" t="s">
        <v>132</v>
      </c>
      <c r="JV1" s="91"/>
      <c r="JW1" s="92"/>
      <c r="JX1" s="92"/>
      <c r="JY1" s="92"/>
      <c r="JZ1" s="92"/>
      <c r="KA1" s="92"/>
      <c r="KB1" s="93"/>
      <c r="KC1" s="88" t="s">
        <v>127</v>
      </c>
      <c r="KD1" s="89"/>
      <c r="KE1" s="41"/>
      <c r="KF1" s="90" t="s">
        <v>132</v>
      </c>
      <c r="KG1" s="91"/>
      <c r="KH1" s="92"/>
      <c r="KI1" s="92"/>
      <c r="KJ1" s="92"/>
      <c r="KK1" s="92"/>
      <c r="KL1" s="92"/>
      <c r="KM1" s="93"/>
      <c r="KN1" s="88" t="s">
        <v>128</v>
      </c>
      <c r="KO1" s="89"/>
      <c r="KP1" s="41"/>
      <c r="KQ1" s="90" t="s">
        <v>132</v>
      </c>
      <c r="KR1" s="91"/>
      <c r="KS1" s="92"/>
      <c r="KT1" s="92"/>
      <c r="KU1" s="92"/>
      <c r="KV1" s="92"/>
      <c r="KW1" s="92"/>
      <c r="KX1" s="93"/>
      <c r="KY1" s="88" t="s">
        <v>129</v>
      </c>
      <c r="KZ1" s="89"/>
      <c r="LA1" s="41"/>
      <c r="LB1" s="90" t="s">
        <v>132</v>
      </c>
      <c r="LC1" s="91"/>
      <c r="LD1" s="92"/>
      <c r="LE1" s="92"/>
      <c r="LF1" s="92"/>
      <c r="LG1" s="92"/>
      <c r="LH1" s="92"/>
      <c r="LI1" s="93"/>
      <c r="LJ1" s="88" t="s">
        <v>130</v>
      </c>
      <c r="LK1" s="89"/>
      <c r="LL1" s="41"/>
      <c r="LM1" s="90" t="s">
        <v>132</v>
      </c>
      <c r="LN1" s="91"/>
      <c r="LO1" s="92"/>
      <c r="LP1" s="92"/>
      <c r="LQ1" s="92"/>
      <c r="LR1" s="92"/>
      <c r="LS1" s="92"/>
      <c r="LT1" s="93"/>
      <c r="LW1" s="95" t="s">
        <v>140</v>
      </c>
      <c r="LX1" s="96"/>
      <c r="LY1" s="97"/>
      <c r="LZ1" s="98"/>
      <c r="MA1" s="99"/>
      <c r="MB1" s="100"/>
      <c r="MC1" s="100"/>
      <c r="MD1" s="100"/>
      <c r="ME1" s="100"/>
      <c r="MF1" s="100"/>
      <c r="MG1" s="101"/>
    </row>
    <row r="2" customFormat="false" ht="13.8" hidden="false" customHeight="false" outlineLevel="0" collapsed="false">
      <c r="C2" s="102" t="s">
        <v>141</v>
      </c>
      <c r="D2" s="103" t="n">
        <f aca="false">SUM(D4:M4)</f>
        <v>1</v>
      </c>
      <c r="E2" s="15"/>
      <c r="F2" s="104" t="s">
        <v>142</v>
      </c>
      <c r="G2" s="105" t="s">
        <v>143</v>
      </c>
      <c r="H2" s="106"/>
      <c r="I2" s="106"/>
      <c r="J2" s="106"/>
      <c r="K2" s="106"/>
      <c r="L2" s="106"/>
      <c r="M2" s="107"/>
      <c r="N2" s="102" t="s">
        <v>141</v>
      </c>
      <c r="O2" s="103" t="n">
        <f aca="false">SUM(O4:X4)</f>
        <v>1</v>
      </c>
      <c r="P2" s="15"/>
      <c r="Q2" s="104" t="s">
        <v>142</v>
      </c>
      <c r="R2" s="108" t="s">
        <v>143</v>
      </c>
      <c r="S2" s="106"/>
      <c r="T2" s="106"/>
      <c r="U2" s="106"/>
      <c r="V2" s="106"/>
      <c r="W2" s="106"/>
      <c r="X2" s="107"/>
      <c r="Y2" s="102" t="s">
        <v>141</v>
      </c>
      <c r="Z2" s="103" t="n">
        <f aca="false">SUM(Z4:AI4)</f>
        <v>1</v>
      </c>
      <c r="AA2" s="15"/>
      <c r="AB2" s="104" t="s">
        <v>142</v>
      </c>
      <c r="AC2" s="108" t="s">
        <v>143</v>
      </c>
      <c r="AD2" s="106"/>
      <c r="AE2" s="106"/>
      <c r="AF2" s="106"/>
      <c r="AG2" s="106"/>
      <c r="AH2" s="106"/>
      <c r="AI2" s="107"/>
      <c r="AJ2" s="102" t="s">
        <v>141</v>
      </c>
      <c r="AK2" s="103" t="n">
        <f aca="false">SUM(AK4:AT4)</f>
        <v>1</v>
      </c>
      <c r="AL2" s="15"/>
      <c r="AM2" s="104" t="s">
        <v>142</v>
      </c>
      <c r="AN2" s="108" t="s">
        <v>143</v>
      </c>
      <c r="AO2" s="106"/>
      <c r="AP2" s="106"/>
      <c r="AQ2" s="106"/>
      <c r="AR2" s="106"/>
      <c r="AS2" s="106"/>
      <c r="AT2" s="107"/>
      <c r="AU2" s="102" t="s">
        <v>141</v>
      </c>
      <c r="AV2" s="103" t="n">
        <f aca="false">SUM(AV4:BE4)</f>
        <v>1</v>
      </c>
      <c r="AW2" s="15"/>
      <c r="AX2" s="104" t="s">
        <v>142</v>
      </c>
      <c r="AY2" s="108" t="s">
        <v>143</v>
      </c>
      <c r="AZ2" s="106"/>
      <c r="BA2" s="106"/>
      <c r="BB2" s="106"/>
      <c r="BC2" s="106"/>
      <c r="BD2" s="106"/>
      <c r="BE2" s="107"/>
      <c r="BF2" s="102" t="s">
        <v>141</v>
      </c>
      <c r="BG2" s="103" t="n">
        <f aca="false">SUM(BG4:BP4)</f>
        <v>1</v>
      </c>
      <c r="BH2" s="15"/>
      <c r="BI2" s="104" t="s">
        <v>142</v>
      </c>
      <c r="BJ2" s="108" t="s">
        <v>143</v>
      </c>
      <c r="BK2" s="106"/>
      <c r="BL2" s="106"/>
      <c r="BM2" s="106"/>
      <c r="BN2" s="106"/>
      <c r="BO2" s="106"/>
      <c r="BP2" s="107"/>
      <c r="BQ2" s="102" t="s">
        <v>141</v>
      </c>
      <c r="BR2" s="103" t="n">
        <f aca="false">SUM(BR4:CA4)</f>
        <v>1</v>
      </c>
      <c r="BS2" s="15"/>
      <c r="BT2" s="104" t="s">
        <v>142</v>
      </c>
      <c r="BU2" s="108" t="s">
        <v>143</v>
      </c>
      <c r="BV2" s="106"/>
      <c r="BW2" s="106"/>
      <c r="BX2" s="106"/>
      <c r="BY2" s="106"/>
      <c r="BZ2" s="106"/>
      <c r="CA2" s="107"/>
      <c r="CB2" s="102" t="s">
        <v>141</v>
      </c>
      <c r="CC2" s="103" t="n">
        <f aca="false">SUM(CC4:CL4)</f>
        <v>0</v>
      </c>
      <c r="CD2" s="15"/>
      <c r="CE2" s="104" t="s">
        <v>142</v>
      </c>
      <c r="CF2" s="105"/>
      <c r="CG2" s="106"/>
      <c r="CH2" s="106"/>
      <c r="CI2" s="106"/>
      <c r="CJ2" s="106"/>
      <c r="CK2" s="106"/>
      <c r="CL2" s="107"/>
      <c r="CM2" s="102" t="s">
        <v>141</v>
      </c>
      <c r="CN2" s="103" t="n">
        <f aca="false">SUM(CN4:CW4)</f>
        <v>0</v>
      </c>
      <c r="CO2" s="15"/>
      <c r="CP2" s="104" t="s">
        <v>142</v>
      </c>
      <c r="CQ2" s="105"/>
      <c r="CR2" s="106"/>
      <c r="CS2" s="106"/>
      <c r="CT2" s="106"/>
      <c r="CU2" s="106"/>
      <c r="CV2" s="106"/>
      <c r="CW2" s="107"/>
      <c r="CX2" s="102" t="s">
        <v>141</v>
      </c>
      <c r="CY2" s="103" t="n">
        <f aca="false">SUM(CY4:DH4)</f>
        <v>0</v>
      </c>
      <c r="CZ2" s="15"/>
      <c r="DA2" s="104" t="s">
        <v>142</v>
      </c>
      <c r="DB2" s="105"/>
      <c r="DC2" s="106"/>
      <c r="DD2" s="106"/>
      <c r="DE2" s="106"/>
      <c r="DF2" s="106"/>
      <c r="DG2" s="106"/>
      <c r="DH2" s="107"/>
      <c r="DI2" s="102" t="s">
        <v>141</v>
      </c>
      <c r="DJ2" s="103" t="n">
        <f aca="false">SUM(DJ4:DS4)</f>
        <v>0</v>
      </c>
      <c r="DK2" s="15"/>
      <c r="DL2" s="104" t="s">
        <v>142</v>
      </c>
      <c r="DM2" s="105"/>
      <c r="DN2" s="106"/>
      <c r="DO2" s="106"/>
      <c r="DP2" s="106"/>
      <c r="DQ2" s="106"/>
      <c r="DR2" s="106"/>
      <c r="DS2" s="107"/>
      <c r="DT2" s="102" t="s">
        <v>141</v>
      </c>
      <c r="DU2" s="103" t="n">
        <f aca="false">SUM(DU4:ED4)</f>
        <v>0</v>
      </c>
      <c r="DV2" s="15"/>
      <c r="DW2" s="104" t="s">
        <v>142</v>
      </c>
      <c r="DX2" s="105"/>
      <c r="DY2" s="106"/>
      <c r="DZ2" s="106"/>
      <c r="EA2" s="106"/>
      <c r="EB2" s="106"/>
      <c r="EC2" s="106"/>
      <c r="ED2" s="107"/>
      <c r="EE2" s="102" t="s">
        <v>141</v>
      </c>
      <c r="EF2" s="103" t="n">
        <f aca="false">SUM(EF4:EO4)</f>
        <v>0</v>
      </c>
      <c r="EG2" s="15"/>
      <c r="EH2" s="104" t="s">
        <v>142</v>
      </c>
      <c r="EI2" s="105"/>
      <c r="EJ2" s="106"/>
      <c r="EK2" s="106"/>
      <c r="EL2" s="106"/>
      <c r="EM2" s="106"/>
      <c r="EN2" s="106"/>
      <c r="EO2" s="107"/>
      <c r="EP2" s="102" t="s">
        <v>141</v>
      </c>
      <c r="EQ2" s="103" t="n">
        <f aca="false">SUM(EQ4:EZ4)</f>
        <v>0</v>
      </c>
      <c r="ER2" s="15"/>
      <c r="ES2" s="104" t="s">
        <v>142</v>
      </c>
      <c r="ET2" s="105"/>
      <c r="EU2" s="106"/>
      <c r="EV2" s="106"/>
      <c r="EW2" s="106"/>
      <c r="EX2" s="106"/>
      <c r="EY2" s="106"/>
      <c r="EZ2" s="107"/>
      <c r="FA2" s="102" t="s">
        <v>141</v>
      </c>
      <c r="FB2" s="103" t="n">
        <f aca="false">SUM(FB4:FK4)</f>
        <v>0</v>
      </c>
      <c r="FC2" s="15"/>
      <c r="FD2" s="104" t="s">
        <v>142</v>
      </c>
      <c r="FE2" s="105"/>
      <c r="FF2" s="106"/>
      <c r="FG2" s="106"/>
      <c r="FH2" s="106"/>
      <c r="FI2" s="106"/>
      <c r="FJ2" s="106"/>
      <c r="FK2" s="107"/>
      <c r="FL2" s="102" t="s">
        <v>141</v>
      </c>
      <c r="FM2" s="103" t="n">
        <f aca="false">SUM(FM4:FV4)</f>
        <v>0</v>
      </c>
      <c r="FN2" s="15"/>
      <c r="FO2" s="104" t="s">
        <v>142</v>
      </c>
      <c r="FP2" s="105"/>
      <c r="FQ2" s="106"/>
      <c r="FR2" s="106"/>
      <c r="FS2" s="106"/>
      <c r="FT2" s="106"/>
      <c r="FU2" s="106"/>
      <c r="FV2" s="107"/>
      <c r="FW2" s="102" t="s">
        <v>141</v>
      </c>
      <c r="FX2" s="103" t="n">
        <f aca="false">SUM(FX4:GG4)</f>
        <v>0</v>
      </c>
      <c r="FY2" s="15"/>
      <c r="FZ2" s="104" t="s">
        <v>142</v>
      </c>
      <c r="GA2" s="105"/>
      <c r="GB2" s="106"/>
      <c r="GC2" s="106"/>
      <c r="GD2" s="106"/>
      <c r="GE2" s="106"/>
      <c r="GF2" s="106"/>
      <c r="GG2" s="107"/>
      <c r="GH2" s="102" t="s">
        <v>141</v>
      </c>
      <c r="GI2" s="103" t="n">
        <f aca="false">SUM(GI4:GR4)</f>
        <v>0</v>
      </c>
      <c r="GJ2" s="15"/>
      <c r="GK2" s="104" t="s">
        <v>142</v>
      </c>
      <c r="GL2" s="105"/>
      <c r="GM2" s="106"/>
      <c r="GN2" s="106"/>
      <c r="GO2" s="106"/>
      <c r="GP2" s="106"/>
      <c r="GQ2" s="106"/>
      <c r="GR2" s="107"/>
      <c r="GS2" s="102" t="s">
        <v>141</v>
      </c>
      <c r="GT2" s="103" t="n">
        <f aca="false">SUM(GT4:HC4)</f>
        <v>0</v>
      </c>
      <c r="GU2" s="15"/>
      <c r="GV2" s="104" t="s">
        <v>142</v>
      </c>
      <c r="GW2" s="105"/>
      <c r="GX2" s="106"/>
      <c r="GY2" s="106"/>
      <c r="GZ2" s="106"/>
      <c r="HA2" s="106"/>
      <c r="HB2" s="106"/>
      <c r="HC2" s="107"/>
      <c r="HD2" s="102" t="s">
        <v>141</v>
      </c>
      <c r="HE2" s="103" t="n">
        <f aca="false">SUM(HE4:HN4)</f>
        <v>0</v>
      </c>
      <c r="HF2" s="15"/>
      <c r="HG2" s="104" t="s">
        <v>142</v>
      </c>
      <c r="HH2" s="105"/>
      <c r="HI2" s="106"/>
      <c r="HJ2" s="106"/>
      <c r="HK2" s="106"/>
      <c r="HL2" s="106"/>
      <c r="HM2" s="106"/>
      <c r="HN2" s="107"/>
      <c r="HO2" s="102" t="s">
        <v>141</v>
      </c>
      <c r="HP2" s="103" t="n">
        <f aca="false">SUM(HP4:HY4)</f>
        <v>0</v>
      </c>
      <c r="HQ2" s="15"/>
      <c r="HR2" s="104" t="s">
        <v>142</v>
      </c>
      <c r="HS2" s="105"/>
      <c r="HT2" s="106"/>
      <c r="HU2" s="106"/>
      <c r="HV2" s="106"/>
      <c r="HW2" s="106"/>
      <c r="HX2" s="106"/>
      <c r="HY2" s="107"/>
      <c r="HZ2" s="102" t="s">
        <v>141</v>
      </c>
      <c r="IA2" s="103" t="n">
        <f aca="false">SUM(IA4:IJ4)</f>
        <v>0</v>
      </c>
      <c r="IB2" s="15"/>
      <c r="IC2" s="104" t="s">
        <v>142</v>
      </c>
      <c r="ID2" s="105"/>
      <c r="IE2" s="106"/>
      <c r="IF2" s="106"/>
      <c r="IG2" s="106"/>
      <c r="IH2" s="106"/>
      <c r="II2" s="106"/>
      <c r="IJ2" s="107"/>
      <c r="IK2" s="102" t="s">
        <v>141</v>
      </c>
      <c r="IL2" s="103" t="n">
        <f aca="false">SUM(IL4:IU4)</f>
        <v>0</v>
      </c>
      <c r="IM2" s="15"/>
      <c r="IN2" s="104" t="s">
        <v>142</v>
      </c>
      <c r="IO2" s="105"/>
      <c r="IP2" s="106"/>
      <c r="IQ2" s="106"/>
      <c r="IR2" s="106"/>
      <c r="IS2" s="106"/>
      <c r="IT2" s="106"/>
      <c r="IU2" s="107"/>
      <c r="IV2" s="102" t="s">
        <v>141</v>
      </c>
      <c r="IW2" s="103" t="n">
        <f aca="false">SUM(IW4:JF4)</f>
        <v>0</v>
      </c>
      <c r="IX2" s="15"/>
      <c r="IY2" s="104" t="s">
        <v>142</v>
      </c>
      <c r="IZ2" s="105"/>
      <c r="JA2" s="106"/>
      <c r="JB2" s="106"/>
      <c r="JC2" s="106"/>
      <c r="JD2" s="106"/>
      <c r="JE2" s="106"/>
      <c r="JF2" s="107"/>
      <c r="JG2" s="102" t="s">
        <v>141</v>
      </c>
      <c r="JH2" s="103" t="n">
        <f aca="false">SUM(JH4:JQ4)</f>
        <v>0</v>
      </c>
      <c r="JI2" s="15"/>
      <c r="JJ2" s="104" t="s">
        <v>142</v>
      </c>
      <c r="JK2" s="105"/>
      <c r="JL2" s="106"/>
      <c r="JM2" s="106"/>
      <c r="JN2" s="106"/>
      <c r="JO2" s="106"/>
      <c r="JP2" s="106"/>
      <c r="JQ2" s="107"/>
      <c r="JR2" s="102" t="s">
        <v>141</v>
      </c>
      <c r="JS2" s="103" t="n">
        <f aca="false">SUM(JS4:KB4)</f>
        <v>0</v>
      </c>
      <c r="JT2" s="15"/>
      <c r="JU2" s="104" t="s">
        <v>142</v>
      </c>
      <c r="JV2" s="105"/>
      <c r="JW2" s="106"/>
      <c r="JX2" s="106"/>
      <c r="JY2" s="106"/>
      <c r="JZ2" s="106"/>
      <c r="KA2" s="106"/>
      <c r="KB2" s="107"/>
      <c r="KC2" s="102" t="s">
        <v>141</v>
      </c>
      <c r="KD2" s="103" t="n">
        <f aca="false">SUM(KD4:KM4)</f>
        <v>0</v>
      </c>
      <c r="KE2" s="15"/>
      <c r="KF2" s="104" t="s">
        <v>142</v>
      </c>
      <c r="KG2" s="105"/>
      <c r="KH2" s="106"/>
      <c r="KI2" s="106"/>
      <c r="KJ2" s="106"/>
      <c r="KK2" s="106"/>
      <c r="KL2" s="106"/>
      <c r="KM2" s="107"/>
      <c r="KN2" s="102" t="s">
        <v>141</v>
      </c>
      <c r="KO2" s="103" t="n">
        <f aca="false">SUM(KO4:KX4)</f>
        <v>0</v>
      </c>
      <c r="KP2" s="15"/>
      <c r="KQ2" s="104" t="s">
        <v>142</v>
      </c>
      <c r="KR2" s="105"/>
      <c r="KS2" s="106"/>
      <c r="KT2" s="106"/>
      <c r="KU2" s="106"/>
      <c r="KV2" s="106"/>
      <c r="KW2" s="106"/>
      <c r="KX2" s="107"/>
      <c r="KY2" s="102" t="s">
        <v>141</v>
      </c>
      <c r="KZ2" s="103" t="n">
        <f aca="false">SUM(KZ4:LI4)</f>
        <v>0</v>
      </c>
      <c r="LA2" s="15"/>
      <c r="LB2" s="104" t="s">
        <v>142</v>
      </c>
      <c r="LC2" s="105"/>
      <c r="LD2" s="106"/>
      <c r="LE2" s="106"/>
      <c r="LF2" s="106"/>
      <c r="LG2" s="106"/>
      <c r="LH2" s="106"/>
      <c r="LI2" s="107"/>
      <c r="LJ2" s="102" t="s">
        <v>141</v>
      </c>
      <c r="LK2" s="103" t="n">
        <f aca="false">SUM(LK4:LT4)</f>
        <v>0</v>
      </c>
      <c r="LL2" s="15"/>
      <c r="LM2" s="104" t="s">
        <v>142</v>
      </c>
      <c r="LN2" s="105"/>
      <c r="LO2" s="106"/>
      <c r="LP2" s="106"/>
      <c r="LQ2" s="106"/>
      <c r="LR2" s="106"/>
      <c r="LS2" s="106"/>
      <c r="LT2" s="107"/>
      <c r="LW2" s="109" t="s">
        <v>141</v>
      </c>
      <c r="LX2" s="110"/>
      <c r="LY2" s="111"/>
      <c r="LZ2" s="112"/>
      <c r="MA2" s="113"/>
      <c r="MB2" s="114"/>
      <c r="MC2" s="114"/>
      <c r="MD2" s="114"/>
      <c r="ME2" s="114"/>
      <c r="MF2" s="114"/>
      <c r="MG2" s="115"/>
    </row>
    <row r="3" customFormat="false" ht="13.8" hidden="false" customHeight="false" outlineLevel="0" collapsed="false">
      <c r="C3" s="116" t="s">
        <v>144</v>
      </c>
      <c r="D3" s="117" t="n">
        <v>1</v>
      </c>
      <c r="E3" s="118" t="n">
        <v>1</v>
      </c>
      <c r="F3" s="118" t="n">
        <v>1</v>
      </c>
      <c r="G3" s="118" t="n">
        <v>1</v>
      </c>
      <c r="H3" s="118" t="n">
        <v>1</v>
      </c>
      <c r="I3" s="118" t="n">
        <v>1</v>
      </c>
      <c r="J3" s="118" t="n">
        <v>1</v>
      </c>
      <c r="K3" s="118"/>
      <c r="L3" s="118"/>
      <c r="M3" s="119"/>
      <c r="N3" s="116" t="s">
        <v>144</v>
      </c>
      <c r="O3" s="117" t="n">
        <v>1</v>
      </c>
      <c r="P3" s="118" t="n">
        <v>1</v>
      </c>
      <c r="Q3" s="118" t="n">
        <v>2</v>
      </c>
      <c r="R3" s="118" t="n">
        <v>1</v>
      </c>
      <c r="S3" s="118" t="n">
        <v>1</v>
      </c>
      <c r="T3" s="118"/>
      <c r="U3" s="118"/>
      <c r="V3" s="118"/>
      <c r="W3" s="118"/>
      <c r="X3" s="119"/>
      <c r="Y3" s="116" t="s">
        <v>144</v>
      </c>
      <c r="Z3" s="117" t="n">
        <v>1</v>
      </c>
      <c r="AA3" s="118" t="n">
        <v>1</v>
      </c>
      <c r="AB3" s="118" t="n">
        <v>2</v>
      </c>
      <c r="AC3" s="118" t="n">
        <v>2</v>
      </c>
      <c r="AD3" s="118" t="n">
        <v>3</v>
      </c>
      <c r="AE3" s="118"/>
      <c r="AF3" s="118"/>
      <c r="AG3" s="118"/>
      <c r="AH3" s="118"/>
      <c r="AI3" s="119"/>
      <c r="AJ3" s="116" t="s">
        <v>144</v>
      </c>
      <c r="AK3" s="117" t="n">
        <v>1</v>
      </c>
      <c r="AL3" s="118" t="n">
        <v>2</v>
      </c>
      <c r="AM3" s="118" t="n">
        <v>3</v>
      </c>
      <c r="AN3" s="118" t="n">
        <v>3</v>
      </c>
      <c r="AO3" s="118" t="n">
        <v>2</v>
      </c>
      <c r="AP3" s="118"/>
      <c r="AQ3" s="118"/>
      <c r="AR3" s="118"/>
      <c r="AS3" s="118"/>
      <c r="AT3" s="119"/>
      <c r="AU3" s="116" t="s">
        <v>144</v>
      </c>
      <c r="AV3" s="117" t="n">
        <v>1</v>
      </c>
      <c r="AW3" s="118" t="n">
        <v>2</v>
      </c>
      <c r="AX3" s="118" t="n">
        <v>3</v>
      </c>
      <c r="AY3" s="118" t="n">
        <v>3</v>
      </c>
      <c r="AZ3" s="118" t="n">
        <v>4</v>
      </c>
      <c r="BA3" s="118"/>
      <c r="BB3" s="118"/>
      <c r="BC3" s="118"/>
      <c r="BD3" s="118"/>
      <c r="BE3" s="119"/>
      <c r="BF3" s="116" t="s">
        <v>144</v>
      </c>
      <c r="BG3" s="117" t="n">
        <v>1</v>
      </c>
      <c r="BH3" s="118" t="n">
        <v>2</v>
      </c>
      <c r="BI3" s="118" t="n">
        <v>3</v>
      </c>
      <c r="BJ3" s="118" t="n">
        <v>4</v>
      </c>
      <c r="BK3" s="118" t="n">
        <v>4</v>
      </c>
      <c r="BL3" s="118"/>
      <c r="BM3" s="118"/>
      <c r="BN3" s="118"/>
      <c r="BO3" s="118"/>
      <c r="BP3" s="119"/>
      <c r="BQ3" s="116" t="s">
        <v>144</v>
      </c>
      <c r="BR3" s="117" t="n">
        <v>2</v>
      </c>
      <c r="BS3" s="118" t="n">
        <v>3</v>
      </c>
      <c r="BT3" s="118" t="n">
        <v>3</v>
      </c>
      <c r="BU3" s="118" t="n">
        <v>4</v>
      </c>
      <c r="BV3" s="118" t="n">
        <v>4</v>
      </c>
      <c r="BW3" s="118"/>
      <c r="BX3" s="118"/>
      <c r="BY3" s="118"/>
      <c r="BZ3" s="118"/>
      <c r="CA3" s="119"/>
      <c r="CB3" s="116" t="s">
        <v>144</v>
      </c>
      <c r="CC3" s="117"/>
      <c r="CD3" s="118"/>
      <c r="CE3" s="118"/>
      <c r="CF3" s="118"/>
      <c r="CG3" s="118"/>
      <c r="CH3" s="118"/>
      <c r="CI3" s="118"/>
      <c r="CJ3" s="118"/>
      <c r="CK3" s="118"/>
      <c r="CL3" s="119"/>
      <c r="CM3" s="116" t="s">
        <v>144</v>
      </c>
      <c r="CN3" s="117"/>
      <c r="CO3" s="118"/>
      <c r="CP3" s="118"/>
      <c r="CQ3" s="118"/>
      <c r="CR3" s="118"/>
      <c r="CS3" s="118"/>
      <c r="CT3" s="118"/>
      <c r="CU3" s="118"/>
      <c r="CV3" s="118"/>
      <c r="CW3" s="119"/>
      <c r="CX3" s="116" t="s">
        <v>144</v>
      </c>
      <c r="CY3" s="117"/>
      <c r="CZ3" s="118"/>
      <c r="DA3" s="118"/>
      <c r="DB3" s="118"/>
      <c r="DC3" s="118"/>
      <c r="DD3" s="118"/>
      <c r="DE3" s="118"/>
      <c r="DF3" s="118"/>
      <c r="DG3" s="118"/>
      <c r="DH3" s="119"/>
      <c r="DI3" s="116" t="s">
        <v>144</v>
      </c>
      <c r="DJ3" s="117"/>
      <c r="DK3" s="118"/>
      <c r="DL3" s="118"/>
      <c r="DM3" s="118"/>
      <c r="DN3" s="118"/>
      <c r="DO3" s="118"/>
      <c r="DP3" s="118"/>
      <c r="DQ3" s="118"/>
      <c r="DR3" s="118"/>
      <c r="DS3" s="119"/>
      <c r="DT3" s="116" t="s">
        <v>144</v>
      </c>
      <c r="DU3" s="117"/>
      <c r="DV3" s="118"/>
      <c r="DW3" s="118"/>
      <c r="DX3" s="118"/>
      <c r="DY3" s="118"/>
      <c r="DZ3" s="118"/>
      <c r="EA3" s="118"/>
      <c r="EB3" s="118"/>
      <c r="EC3" s="118"/>
      <c r="ED3" s="119"/>
      <c r="EE3" s="116" t="s">
        <v>144</v>
      </c>
      <c r="EF3" s="117"/>
      <c r="EG3" s="118"/>
      <c r="EH3" s="118"/>
      <c r="EI3" s="118"/>
      <c r="EJ3" s="118"/>
      <c r="EK3" s="118"/>
      <c r="EL3" s="118"/>
      <c r="EM3" s="118"/>
      <c r="EN3" s="118"/>
      <c r="EO3" s="119"/>
      <c r="EP3" s="116" t="s">
        <v>144</v>
      </c>
      <c r="EQ3" s="117"/>
      <c r="ER3" s="118"/>
      <c r="ES3" s="118"/>
      <c r="ET3" s="118"/>
      <c r="EU3" s="118"/>
      <c r="EV3" s="118"/>
      <c r="EW3" s="118"/>
      <c r="EX3" s="118"/>
      <c r="EY3" s="118"/>
      <c r="EZ3" s="119"/>
      <c r="FA3" s="116" t="s">
        <v>144</v>
      </c>
      <c r="FB3" s="117"/>
      <c r="FC3" s="118"/>
      <c r="FD3" s="118"/>
      <c r="FE3" s="118"/>
      <c r="FF3" s="118"/>
      <c r="FG3" s="118"/>
      <c r="FH3" s="118"/>
      <c r="FI3" s="118"/>
      <c r="FJ3" s="118"/>
      <c r="FK3" s="119"/>
      <c r="FL3" s="116" t="s">
        <v>144</v>
      </c>
      <c r="FM3" s="117"/>
      <c r="FN3" s="118"/>
      <c r="FO3" s="118"/>
      <c r="FP3" s="118"/>
      <c r="FQ3" s="118"/>
      <c r="FR3" s="118"/>
      <c r="FS3" s="118"/>
      <c r="FT3" s="118"/>
      <c r="FU3" s="118"/>
      <c r="FV3" s="119"/>
      <c r="FW3" s="116" t="s">
        <v>144</v>
      </c>
      <c r="FX3" s="117"/>
      <c r="FY3" s="118"/>
      <c r="FZ3" s="118"/>
      <c r="GA3" s="118"/>
      <c r="GB3" s="118"/>
      <c r="GC3" s="118"/>
      <c r="GD3" s="118"/>
      <c r="GE3" s="118"/>
      <c r="GF3" s="118"/>
      <c r="GG3" s="119"/>
      <c r="GH3" s="116" t="s">
        <v>144</v>
      </c>
      <c r="GI3" s="117"/>
      <c r="GJ3" s="118"/>
      <c r="GK3" s="118"/>
      <c r="GL3" s="118"/>
      <c r="GM3" s="118"/>
      <c r="GN3" s="118"/>
      <c r="GO3" s="118"/>
      <c r="GP3" s="118"/>
      <c r="GQ3" s="118"/>
      <c r="GR3" s="119"/>
      <c r="GS3" s="116" t="s">
        <v>144</v>
      </c>
      <c r="GT3" s="117"/>
      <c r="GU3" s="118"/>
      <c r="GV3" s="118"/>
      <c r="GW3" s="118"/>
      <c r="GX3" s="118"/>
      <c r="GY3" s="118"/>
      <c r="GZ3" s="118"/>
      <c r="HA3" s="118"/>
      <c r="HB3" s="118"/>
      <c r="HC3" s="119"/>
      <c r="HD3" s="116" t="s">
        <v>144</v>
      </c>
      <c r="HE3" s="117"/>
      <c r="HF3" s="118"/>
      <c r="HG3" s="118"/>
      <c r="HH3" s="118"/>
      <c r="HI3" s="118"/>
      <c r="HJ3" s="118"/>
      <c r="HK3" s="118"/>
      <c r="HL3" s="118"/>
      <c r="HM3" s="118"/>
      <c r="HN3" s="119"/>
      <c r="HO3" s="116" t="s">
        <v>144</v>
      </c>
      <c r="HP3" s="117"/>
      <c r="HQ3" s="118"/>
      <c r="HR3" s="118"/>
      <c r="HS3" s="118"/>
      <c r="HT3" s="118"/>
      <c r="HU3" s="118"/>
      <c r="HV3" s="118"/>
      <c r="HW3" s="118"/>
      <c r="HX3" s="118"/>
      <c r="HY3" s="119"/>
      <c r="HZ3" s="116" t="s">
        <v>144</v>
      </c>
      <c r="IA3" s="117"/>
      <c r="IB3" s="118"/>
      <c r="IC3" s="118"/>
      <c r="ID3" s="118"/>
      <c r="IE3" s="118"/>
      <c r="IF3" s="118"/>
      <c r="IG3" s="118"/>
      <c r="IH3" s="118"/>
      <c r="II3" s="118"/>
      <c r="IJ3" s="119"/>
      <c r="IK3" s="116" t="s">
        <v>144</v>
      </c>
      <c r="IL3" s="117"/>
      <c r="IM3" s="118"/>
      <c r="IN3" s="118"/>
      <c r="IO3" s="118"/>
      <c r="IP3" s="118"/>
      <c r="IQ3" s="118"/>
      <c r="IR3" s="118"/>
      <c r="IS3" s="118"/>
      <c r="IT3" s="118"/>
      <c r="IU3" s="119"/>
      <c r="IV3" s="116" t="s">
        <v>144</v>
      </c>
      <c r="IW3" s="117"/>
      <c r="IX3" s="118"/>
      <c r="IY3" s="118"/>
      <c r="IZ3" s="118"/>
      <c r="JA3" s="118"/>
      <c r="JB3" s="118"/>
      <c r="JC3" s="118"/>
      <c r="JD3" s="118"/>
      <c r="JE3" s="118"/>
      <c r="JF3" s="119"/>
      <c r="JG3" s="116" t="s">
        <v>144</v>
      </c>
      <c r="JH3" s="117"/>
      <c r="JI3" s="118"/>
      <c r="JJ3" s="118"/>
      <c r="JK3" s="118"/>
      <c r="JL3" s="118"/>
      <c r="JM3" s="118"/>
      <c r="JN3" s="118"/>
      <c r="JO3" s="118"/>
      <c r="JP3" s="118"/>
      <c r="JQ3" s="119"/>
      <c r="JR3" s="116" t="s">
        <v>144</v>
      </c>
      <c r="JS3" s="117"/>
      <c r="JT3" s="118"/>
      <c r="JU3" s="118"/>
      <c r="JV3" s="118"/>
      <c r="JW3" s="118"/>
      <c r="JX3" s="118"/>
      <c r="JY3" s="118"/>
      <c r="JZ3" s="118"/>
      <c r="KA3" s="118"/>
      <c r="KB3" s="119"/>
      <c r="KC3" s="116" t="s">
        <v>144</v>
      </c>
      <c r="KD3" s="117"/>
      <c r="KE3" s="118"/>
      <c r="KF3" s="118"/>
      <c r="KG3" s="118"/>
      <c r="KH3" s="118"/>
      <c r="KI3" s="118"/>
      <c r="KJ3" s="118"/>
      <c r="KK3" s="118"/>
      <c r="KL3" s="118"/>
      <c r="KM3" s="119"/>
      <c r="KN3" s="116" t="s">
        <v>144</v>
      </c>
      <c r="KO3" s="117"/>
      <c r="KP3" s="118"/>
      <c r="KQ3" s="118"/>
      <c r="KR3" s="118"/>
      <c r="KS3" s="118"/>
      <c r="KT3" s="118"/>
      <c r="KU3" s="118"/>
      <c r="KV3" s="118"/>
      <c r="KW3" s="118"/>
      <c r="KX3" s="119"/>
      <c r="KY3" s="116" t="s">
        <v>144</v>
      </c>
      <c r="KZ3" s="117"/>
      <c r="LA3" s="118"/>
      <c r="LB3" s="118"/>
      <c r="LC3" s="118"/>
      <c r="LD3" s="118"/>
      <c r="LE3" s="118"/>
      <c r="LF3" s="118"/>
      <c r="LG3" s="118"/>
      <c r="LH3" s="118"/>
      <c r="LI3" s="119"/>
      <c r="LJ3" s="116" t="s">
        <v>144</v>
      </c>
      <c r="LK3" s="117"/>
      <c r="LL3" s="118"/>
      <c r="LM3" s="118"/>
      <c r="LN3" s="118"/>
      <c r="LO3" s="118"/>
      <c r="LP3" s="118"/>
      <c r="LQ3" s="118"/>
      <c r="LR3" s="118"/>
      <c r="LS3" s="118"/>
      <c r="LT3" s="119"/>
      <c r="LW3" s="120"/>
      <c r="LX3" s="121"/>
      <c r="LY3" s="122"/>
      <c r="LZ3" s="122"/>
      <c r="MA3" s="122"/>
      <c r="MB3" s="122"/>
      <c r="MC3" s="122"/>
      <c r="MD3" s="122"/>
      <c r="ME3" s="122"/>
      <c r="MF3" s="122"/>
      <c r="MG3" s="123"/>
    </row>
    <row r="4" customFormat="false" ht="13.8" hidden="false" customHeight="false" outlineLevel="0" collapsed="false">
      <c r="C4" s="124" t="s">
        <v>145</v>
      </c>
      <c r="D4" s="125" t="n">
        <v>0.15</v>
      </c>
      <c r="E4" s="126" t="n">
        <v>0.15</v>
      </c>
      <c r="F4" s="127" t="n">
        <v>0.2</v>
      </c>
      <c r="G4" s="127" t="n">
        <v>0.1</v>
      </c>
      <c r="H4" s="127" t="n">
        <v>0.15</v>
      </c>
      <c r="I4" s="127" t="n">
        <v>0.15</v>
      </c>
      <c r="J4" s="127" t="n">
        <v>0.1</v>
      </c>
      <c r="K4" s="126"/>
      <c r="L4" s="126"/>
      <c r="M4" s="128"/>
      <c r="N4" s="124" t="s">
        <v>145</v>
      </c>
      <c r="O4" s="125" t="n">
        <v>0.2</v>
      </c>
      <c r="P4" s="127" t="n">
        <v>0.2</v>
      </c>
      <c r="Q4" s="127" t="n">
        <v>0.2</v>
      </c>
      <c r="R4" s="127" t="n">
        <v>0.2</v>
      </c>
      <c r="S4" s="127" t="n">
        <v>0.2</v>
      </c>
      <c r="T4" s="126"/>
      <c r="U4" s="126"/>
      <c r="V4" s="126"/>
      <c r="W4" s="126"/>
      <c r="X4" s="128"/>
      <c r="Y4" s="124" t="s">
        <v>145</v>
      </c>
      <c r="Z4" s="129" t="n">
        <v>0.2</v>
      </c>
      <c r="AA4" s="127" t="n">
        <v>0.2</v>
      </c>
      <c r="AB4" s="127" t="n">
        <v>0.2</v>
      </c>
      <c r="AC4" s="127" t="n">
        <v>0.2</v>
      </c>
      <c r="AD4" s="127" t="n">
        <v>0.2</v>
      </c>
      <c r="AE4" s="127"/>
      <c r="AF4" s="127"/>
      <c r="AG4" s="126"/>
      <c r="AH4" s="126"/>
      <c r="AI4" s="128"/>
      <c r="AJ4" s="124" t="s">
        <v>145</v>
      </c>
      <c r="AK4" s="129" t="n">
        <v>0.2</v>
      </c>
      <c r="AL4" s="127" t="n">
        <v>0.2</v>
      </c>
      <c r="AM4" s="127" t="n">
        <v>0.2</v>
      </c>
      <c r="AN4" s="127" t="n">
        <v>0.2</v>
      </c>
      <c r="AO4" s="127" t="n">
        <v>0.2</v>
      </c>
      <c r="AP4" s="126"/>
      <c r="AQ4" s="126"/>
      <c r="AR4" s="126"/>
      <c r="AS4" s="126"/>
      <c r="AT4" s="128"/>
      <c r="AU4" s="124" t="s">
        <v>145</v>
      </c>
      <c r="AV4" s="129" t="n">
        <v>0.1</v>
      </c>
      <c r="AW4" s="127" t="n">
        <v>0.2</v>
      </c>
      <c r="AX4" s="127" t="n">
        <v>0.2</v>
      </c>
      <c r="AY4" s="127" t="n">
        <v>0.3</v>
      </c>
      <c r="AZ4" s="127" t="n">
        <v>0.2</v>
      </c>
      <c r="BA4" s="126"/>
      <c r="BB4" s="126"/>
      <c r="BC4" s="126"/>
      <c r="BD4" s="126"/>
      <c r="BE4" s="128"/>
      <c r="BF4" s="124" t="s">
        <v>145</v>
      </c>
      <c r="BG4" s="129" t="n">
        <v>0.1</v>
      </c>
      <c r="BH4" s="127" t="n">
        <v>0.2</v>
      </c>
      <c r="BI4" s="127" t="n">
        <v>0.2</v>
      </c>
      <c r="BJ4" s="127" t="n">
        <v>0.2</v>
      </c>
      <c r="BK4" s="127" t="n">
        <v>0.3</v>
      </c>
      <c r="BL4" s="126"/>
      <c r="BM4" s="126"/>
      <c r="BN4" s="126"/>
      <c r="BO4" s="126"/>
      <c r="BP4" s="128"/>
      <c r="BQ4" s="124" t="s">
        <v>145</v>
      </c>
      <c r="BR4" s="129" t="n">
        <v>0.2</v>
      </c>
      <c r="BS4" s="127" t="n">
        <v>0.1</v>
      </c>
      <c r="BT4" s="127" t="n">
        <v>0.2</v>
      </c>
      <c r="BU4" s="127" t="n">
        <v>0.2</v>
      </c>
      <c r="BV4" s="127" t="n">
        <v>0.3</v>
      </c>
      <c r="BW4" s="126"/>
      <c r="BX4" s="126"/>
      <c r="BY4" s="126"/>
      <c r="BZ4" s="126"/>
      <c r="CA4" s="128"/>
      <c r="CB4" s="124" t="s">
        <v>145</v>
      </c>
      <c r="CC4" s="125"/>
      <c r="CD4" s="126"/>
      <c r="CE4" s="126"/>
      <c r="CF4" s="126"/>
      <c r="CG4" s="126"/>
      <c r="CH4" s="126"/>
      <c r="CI4" s="126"/>
      <c r="CJ4" s="126"/>
      <c r="CK4" s="126"/>
      <c r="CL4" s="128"/>
      <c r="CM4" s="124" t="s">
        <v>145</v>
      </c>
      <c r="CN4" s="125"/>
      <c r="CO4" s="126"/>
      <c r="CP4" s="126"/>
      <c r="CQ4" s="126"/>
      <c r="CR4" s="126"/>
      <c r="CS4" s="126"/>
      <c r="CT4" s="126"/>
      <c r="CU4" s="126"/>
      <c r="CV4" s="126"/>
      <c r="CW4" s="128"/>
      <c r="CX4" s="124" t="s">
        <v>145</v>
      </c>
      <c r="CY4" s="125"/>
      <c r="CZ4" s="126"/>
      <c r="DA4" s="126"/>
      <c r="DB4" s="126"/>
      <c r="DC4" s="126"/>
      <c r="DD4" s="126"/>
      <c r="DE4" s="126"/>
      <c r="DF4" s="126"/>
      <c r="DG4" s="126"/>
      <c r="DH4" s="128"/>
      <c r="DI4" s="124" t="s">
        <v>145</v>
      </c>
      <c r="DJ4" s="125"/>
      <c r="DK4" s="126"/>
      <c r="DL4" s="126"/>
      <c r="DM4" s="126"/>
      <c r="DN4" s="126"/>
      <c r="DO4" s="126"/>
      <c r="DP4" s="126"/>
      <c r="DQ4" s="126"/>
      <c r="DR4" s="126"/>
      <c r="DS4" s="128"/>
      <c r="DT4" s="124" t="s">
        <v>145</v>
      </c>
      <c r="DU4" s="125"/>
      <c r="DV4" s="126"/>
      <c r="DW4" s="126"/>
      <c r="DX4" s="126"/>
      <c r="DY4" s="126"/>
      <c r="DZ4" s="126"/>
      <c r="EA4" s="126"/>
      <c r="EB4" s="126"/>
      <c r="EC4" s="126"/>
      <c r="ED4" s="128"/>
      <c r="EE4" s="124" t="s">
        <v>145</v>
      </c>
      <c r="EF4" s="125"/>
      <c r="EG4" s="126"/>
      <c r="EH4" s="126"/>
      <c r="EI4" s="126"/>
      <c r="EJ4" s="126"/>
      <c r="EK4" s="126"/>
      <c r="EL4" s="126"/>
      <c r="EM4" s="126"/>
      <c r="EN4" s="126"/>
      <c r="EO4" s="128"/>
      <c r="EP4" s="124" t="s">
        <v>145</v>
      </c>
      <c r="EQ4" s="125"/>
      <c r="ER4" s="126"/>
      <c r="ES4" s="126"/>
      <c r="ET4" s="126"/>
      <c r="EU4" s="126"/>
      <c r="EV4" s="126"/>
      <c r="EW4" s="126"/>
      <c r="EX4" s="126"/>
      <c r="EY4" s="126"/>
      <c r="EZ4" s="128"/>
      <c r="FA4" s="124" t="s">
        <v>145</v>
      </c>
      <c r="FB4" s="125"/>
      <c r="FC4" s="126"/>
      <c r="FD4" s="126"/>
      <c r="FE4" s="126"/>
      <c r="FF4" s="126"/>
      <c r="FG4" s="126"/>
      <c r="FH4" s="126"/>
      <c r="FI4" s="126"/>
      <c r="FJ4" s="126"/>
      <c r="FK4" s="128"/>
      <c r="FL4" s="124" t="s">
        <v>145</v>
      </c>
      <c r="FM4" s="125"/>
      <c r="FN4" s="126"/>
      <c r="FO4" s="126"/>
      <c r="FP4" s="126"/>
      <c r="FQ4" s="126"/>
      <c r="FR4" s="126"/>
      <c r="FS4" s="126"/>
      <c r="FT4" s="126"/>
      <c r="FU4" s="126"/>
      <c r="FV4" s="128"/>
      <c r="FW4" s="124" t="s">
        <v>145</v>
      </c>
      <c r="FX4" s="125"/>
      <c r="FY4" s="126"/>
      <c r="FZ4" s="126"/>
      <c r="GA4" s="126"/>
      <c r="GB4" s="126"/>
      <c r="GC4" s="126"/>
      <c r="GD4" s="126"/>
      <c r="GE4" s="126"/>
      <c r="GF4" s="126"/>
      <c r="GG4" s="128"/>
      <c r="GH4" s="124" t="s">
        <v>145</v>
      </c>
      <c r="GI4" s="125"/>
      <c r="GJ4" s="126"/>
      <c r="GK4" s="126"/>
      <c r="GL4" s="126"/>
      <c r="GM4" s="126"/>
      <c r="GN4" s="126"/>
      <c r="GO4" s="126"/>
      <c r="GP4" s="126"/>
      <c r="GQ4" s="126"/>
      <c r="GR4" s="128"/>
      <c r="GS4" s="124" t="s">
        <v>145</v>
      </c>
      <c r="GT4" s="125"/>
      <c r="GU4" s="126"/>
      <c r="GV4" s="126"/>
      <c r="GW4" s="126"/>
      <c r="GX4" s="126"/>
      <c r="GY4" s="126"/>
      <c r="GZ4" s="126"/>
      <c r="HA4" s="126"/>
      <c r="HB4" s="126"/>
      <c r="HC4" s="128"/>
      <c r="HD4" s="124" t="s">
        <v>145</v>
      </c>
      <c r="HE4" s="125"/>
      <c r="HF4" s="126"/>
      <c r="HG4" s="126"/>
      <c r="HH4" s="126"/>
      <c r="HI4" s="126"/>
      <c r="HJ4" s="126"/>
      <c r="HK4" s="126"/>
      <c r="HL4" s="126"/>
      <c r="HM4" s="126"/>
      <c r="HN4" s="128"/>
      <c r="HO4" s="124" t="s">
        <v>145</v>
      </c>
      <c r="HP4" s="125"/>
      <c r="HQ4" s="126"/>
      <c r="HR4" s="126"/>
      <c r="HS4" s="126"/>
      <c r="HT4" s="126"/>
      <c r="HU4" s="126"/>
      <c r="HV4" s="126"/>
      <c r="HW4" s="126"/>
      <c r="HX4" s="126"/>
      <c r="HY4" s="128"/>
      <c r="HZ4" s="124" t="s">
        <v>145</v>
      </c>
      <c r="IA4" s="125"/>
      <c r="IB4" s="126"/>
      <c r="IC4" s="126"/>
      <c r="ID4" s="126"/>
      <c r="IE4" s="126"/>
      <c r="IF4" s="126"/>
      <c r="IG4" s="126"/>
      <c r="IH4" s="126"/>
      <c r="II4" s="126"/>
      <c r="IJ4" s="128"/>
      <c r="IK4" s="124" t="s">
        <v>145</v>
      </c>
      <c r="IL4" s="125"/>
      <c r="IM4" s="126"/>
      <c r="IN4" s="126"/>
      <c r="IO4" s="126"/>
      <c r="IP4" s="126"/>
      <c r="IQ4" s="126"/>
      <c r="IR4" s="126"/>
      <c r="IS4" s="126"/>
      <c r="IT4" s="126"/>
      <c r="IU4" s="128"/>
      <c r="IV4" s="124" t="s">
        <v>145</v>
      </c>
      <c r="IW4" s="125"/>
      <c r="IX4" s="126"/>
      <c r="IY4" s="126"/>
      <c r="IZ4" s="126"/>
      <c r="JA4" s="126"/>
      <c r="JB4" s="126"/>
      <c r="JC4" s="126"/>
      <c r="JD4" s="126"/>
      <c r="JE4" s="126"/>
      <c r="JF4" s="128"/>
      <c r="JG4" s="124" t="s">
        <v>145</v>
      </c>
      <c r="JH4" s="125"/>
      <c r="JI4" s="126"/>
      <c r="JJ4" s="126"/>
      <c r="JK4" s="126"/>
      <c r="JL4" s="126"/>
      <c r="JM4" s="126"/>
      <c r="JN4" s="126"/>
      <c r="JO4" s="126"/>
      <c r="JP4" s="126"/>
      <c r="JQ4" s="128"/>
      <c r="JR4" s="124" t="s">
        <v>145</v>
      </c>
      <c r="JS4" s="125"/>
      <c r="JT4" s="126"/>
      <c r="JU4" s="126"/>
      <c r="JV4" s="126"/>
      <c r="JW4" s="126"/>
      <c r="JX4" s="126"/>
      <c r="JY4" s="126"/>
      <c r="JZ4" s="126"/>
      <c r="KA4" s="126"/>
      <c r="KB4" s="128"/>
      <c r="KC4" s="124" t="s">
        <v>145</v>
      </c>
      <c r="KD4" s="125"/>
      <c r="KE4" s="126"/>
      <c r="KF4" s="126"/>
      <c r="KG4" s="126"/>
      <c r="KH4" s="126"/>
      <c r="KI4" s="126"/>
      <c r="KJ4" s="126"/>
      <c r="KK4" s="126"/>
      <c r="KL4" s="126"/>
      <c r="KM4" s="128"/>
      <c r="KN4" s="124" t="s">
        <v>145</v>
      </c>
      <c r="KO4" s="125"/>
      <c r="KP4" s="126"/>
      <c r="KQ4" s="126"/>
      <c r="KR4" s="126"/>
      <c r="KS4" s="126"/>
      <c r="KT4" s="126"/>
      <c r="KU4" s="126"/>
      <c r="KV4" s="126"/>
      <c r="KW4" s="126"/>
      <c r="KX4" s="128"/>
      <c r="KY4" s="124" t="s">
        <v>145</v>
      </c>
      <c r="KZ4" s="125"/>
      <c r="LA4" s="126"/>
      <c r="LB4" s="126"/>
      <c r="LC4" s="126"/>
      <c r="LD4" s="126"/>
      <c r="LE4" s="126"/>
      <c r="LF4" s="126"/>
      <c r="LG4" s="126"/>
      <c r="LH4" s="126"/>
      <c r="LI4" s="128"/>
      <c r="LJ4" s="124" t="s">
        <v>145</v>
      </c>
      <c r="LK4" s="125"/>
      <c r="LL4" s="126"/>
      <c r="LM4" s="126"/>
      <c r="LN4" s="126"/>
      <c r="LO4" s="126"/>
      <c r="LP4" s="126"/>
      <c r="LQ4" s="126"/>
      <c r="LR4" s="126"/>
      <c r="LS4" s="126"/>
      <c r="LT4" s="128"/>
      <c r="LW4" s="130"/>
      <c r="LX4" s="131"/>
      <c r="LY4" s="132"/>
      <c r="LZ4" s="132"/>
      <c r="MA4" s="132"/>
      <c r="MB4" s="132"/>
      <c r="MC4" s="132"/>
      <c r="MD4" s="132"/>
      <c r="ME4" s="132"/>
      <c r="MF4" s="132"/>
      <c r="MG4" s="133"/>
    </row>
    <row r="5" customFormat="false" ht="111.75" hidden="false" customHeight="true" outlineLevel="0" collapsed="false">
      <c r="C5" s="134" t="s">
        <v>146</v>
      </c>
      <c r="D5" s="135" t="s">
        <v>147</v>
      </c>
      <c r="E5" s="136" t="s">
        <v>148</v>
      </c>
      <c r="F5" s="136" t="s">
        <v>149</v>
      </c>
      <c r="G5" s="136" t="s">
        <v>150</v>
      </c>
      <c r="H5" s="136" t="s">
        <v>151</v>
      </c>
      <c r="I5" s="136" t="s">
        <v>152</v>
      </c>
      <c r="J5" s="136" t="s">
        <v>153</v>
      </c>
      <c r="K5" s="136" t="s">
        <v>154</v>
      </c>
      <c r="L5" s="136" t="s">
        <v>155</v>
      </c>
      <c r="M5" s="137" t="s">
        <v>156</v>
      </c>
      <c r="N5" s="134" t="s">
        <v>146</v>
      </c>
      <c r="O5" s="135" t="s">
        <v>147</v>
      </c>
      <c r="P5" s="136" t="s">
        <v>148</v>
      </c>
      <c r="Q5" s="136" t="s">
        <v>149</v>
      </c>
      <c r="R5" s="136" t="s">
        <v>150</v>
      </c>
      <c r="S5" s="136" t="s">
        <v>151</v>
      </c>
      <c r="T5" s="136" t="s">
        <v>152</v>
      </c>
      <c r="U5" s="136" t="s">
        <v>153</v>
      </c>
      <c r="V5" s="136" t="s">
        <v>154</v>
      </c>
      <c r="W5" s="136" t="s">
        <v>155</v>
      </c>
      <c r="X5" s="137" t="s">
        <v>156</v>
      </c>
      <c r="Y5" s="134" t="s">
        <v>146</v>
      </c>
      <c r="Z5" s="135" t="s">
        <v>147</v>
      </c>
      <c r="AA5" s="136" t="s">
        <v>148</v>
      </c>
      <c r="AB5" s="136" t="s">
        <v>149</v>
      </c>
      <c r="AC5" s="136" t="s">
        <v>150</v>
      </c>
      <c r="AD5" s="136" t="s">
        <v>151</v>
      </c>
      <c r="AE5" s="136" t="s">
        <v>152</v>
      </c>
      <c r="AF5" s="136" t="s">
        <v>153</v>
      </c>
      <c r="AG5" s="136" t="s">
        <v>154</v>
      </c>
      <c r="AH5" s="136" t="s">
        <v>155</v>
      </c>
      <c r="AI5" s="137" t="s">
        <v>156</v>
      </c>
      <c r="AJ5" s="134" t="s">
        <v>146</v>
      </c>
      <c r="AK5" s="135" t="s">
        <v>147</v>
      </c>
      <c r="AL5" s="136" t="s">
        <v>148</v>
      </c>
      <c r="AM5" s="136" t="s">
        <v>149</v>
      </c>
      <c r="AN5" s="136" t="s">
        <v>150</v>
      </c>
      <c r="AO5" s="136" t="s">
        <v>151</v>
      </c>
      <c r="AP5" s="136" t="s">
        <v>152</v>
      </c>
      <c r="AQ5" s="136" t="s">
        <v>153</v>
      </c>
      <c r="AR5" s="136" t="s">
        <v>154</v>
      </c>
      <c r="AS5" s="136" t="s">
        <v>155</v>
      </c>
      <c r="AT5" s="137" t="s">
        <v>156</v>
      </c>
      <c r="AU5" s="134" t="s">
        <v>146</v>
      </c>
      <c r="AV5" s="135" t="s">
        <v>147</v>
      </c>
      <c r="AW5" s="136" t="s">
        <v>148</v>
      </c>
      <c r="AX5" s="136" t="s">
        <v>149</v>
      </c>
      <c r="AY5" s="136" t="s">
        <v>150</v>
      </c>
      <c r="AZ5" s="136" t="s">
        <v>151</v>
      </c>
      <c r="BA5" s="136" t="s">
        <v>152</v>
      </c>
      <c r="BB5" s="136" t="s">
        <v>153</v>
      </c>
      <c r="BC5" s="136" t="s">
        <v>154</v>
      </c>
      <c r="BD5" s="136" t="s">
        <v>155</v>
      </c>
      <c r="BE5" s="137" t="s">
        <v>156</v>
      </c>
      <c r="BF5" s="134" t="s">
        <v>146</v>
      </c>
      <c r="BG5" s="135" t="s">
        <v>147</v>
      </c>
      <c r="BH5" s="136" t="s">
        <v>148</v>
      </c>
      <c r="BI5" s="136" t="s">
        <v>149</v>
      </c>
      <c r="BJ5" s="136" t="s">
        <v>150</v>
      </c>
      <c r="BK5" s="136" t="s">
        <v>151</v>
      </c>
      <c r="BL5" s="136" t="s">
        <v>152</v>
      </c>
      <c r="BM5" s="136" t="s">
        <v>153</v>
      </c>
      <c r="BN5" s="136" t="s">
        <v>154</v>
      </c>
      <c r="BO5" s="136" t="s">
        <v>155</v>
      </c>
      <c r="BP5" s="137" t="s">
        <v>156</v>
      </c>
      <c r="BQ5" s="134" t="s">
        <v>146</v>
      </c>
      <c r="BR5" s="135" t="s">
        <v>147</v>
      </c>
      <c r="BS5" s="136" t="s">
        <v>148</v>
      </c>
      <c r="BT5" s="136" t="s">
        <v>149</v>
      </c>
      <c r="BU5" s="136" t="s">
        <v>150</v>
      </c>
      <c r="BV5" s="136" t="s">
        <v>151</v>
      </c>
      <c r="BW5" s="136" t="s">
        <v>152</v>
      </c>
      <c r="BX5" s="136" t="s">
        <v>153</v>
      </c>
      <c r="BY5" s="136" t="s">
        <v>154</v>
      </c>
      <c r="BZ5" s="136" t="s">
        <v>155</v>
      </c>
      <c r="CA5" s="137" t="s">
        <v>156</v>
      </c>
      <c r="CB5" s="134" t="s">
        <v>146</v>
      </c>
      <c r="CC5" s="135" t="s">
        <v>147</v>
      </c>
      <c r="CD5" s="136" t="s">
        <v>148</v>
      </c>
      <c r="CE5" s="136" t="s">
        <v>149</v>
      </c>
      <c r="CF5" s="136" t="s">
        <v>150</v>
      </c>
      <c r="CG5" s="136" t="s">
        <v>151</v>
      </c>
      <c r="CH5" s="136" t="s">
        <v>152</v>
      </c>
      <c r="CI5" s="136" t="s">
        <v>153</v>
      </c>
      <c r="CJ5" s="136" t="s">
        <v>154</v>
      </c>
      <c r="CK5" s="136" t="s">
        <v>155</v>
      </c>
      <c r="CL5" s="137" t="s">
        <v>156</v>
      </c>
      <c r="CM5" s="134" t="s">
        <v>146</v>
      </c>
      <c r="CN5" s="135" t="s">
        <v>147</v>
      </c>
      <c r="CO5" s="136" t="s">
        <v>148</v>
      </c>
      <c r="CP5" s="136" t="s">
        <v>149</v>
      </c>
      <c r="CQ5" s="136" t="s">
        <v>150</v>
      </c>
      <c r="CR5" s="136" t="s">
        <v>151</v>
      </c>
      <c r="CS5" s="136" t="s">
        <v>152</v>
      </c>
      <c r="CT5" s="136" t="s">
        <v>153</v>
      </c>
      <c r="CU5" s="136" t="s">
        <v>154</v>
      </c>
      <c r="CV5" s="136" t="s">
        <v>155</v>
      </c>
      <c r="CW5" s="137" t="s">
        <v>156</v>
      </c>
      <c r="CX5" s="134" t="s">
        <v>146</v>
      </c>
      <c r="CY5" s="135" t="s">
        <v>147</v>
      </c>
      <c r="CZ5" s="136" t="s">
        <v>148</v>
      </c>
      <c r="DA5" s="136" t="s">
        <v>149</v>
      </c>
      <c r="DB5" s="136" t="s">
        <v>150</v>
      </c>
      <c r="DC5" s="136" t="s">
        <v>151</v>
      </c>
      <c r="DD5" s="136" t="s">
        <v>152</v>
      </c>
      <c r="DE5" s="136" t="s">
        <v>153</v>
      </c>
      <c r="DF5" s="136" t="s">
        <v>154</v>
      </c>
      <c r="DG5" s="136" t="s">
        <v>155</v>
      </c>
      <c r="DH5" s="137" t="s">
        <v>156</v>
      </c>
      <c r="DI5" s="134" t="s">
        <v>146</v>
      </c>
      <c r="DJ5" s="135" t="s">
        <v>147</v>
      </c>
      <c r="DK5" s="136" t="s">
        <v>148</v>
      </c>
      <c r="DL5" s="136" t="s">
        <v>149</v>
      </c>
      <c r="DM5" s="136" t="s">
        <v>150</v>
      </c>
      <c r="DN5" s="136" t="s">
        <v>151</v>
      </c>
      <c r="DO5" s="136" t="s">
        <v>152</v>
      </c>
      <c r="DP5" s="136" t="s">
        <v>153</v>
      </c>
      <c r="DQ5" s="136" t="s">
        <v>154</v>
      </c>
      <c r="DR5" s="136" t="s">
        <v>155</v>
      </c>
      <c r="DS5" s="137" t="s">
        <v>156</v>
      </c>
      <c r="DT5" s="134" t="s">
        <v>146</v>
      </c>
      <c r="DU5" s="135" t="s">
        <v>147</v>
      </c>
      <c r="DV5" s="136" t="s">
        <v>148</v>
      </c>
      <c r="DW5" s="136" t="s">
        <v>149</v>
      </c>
      <c r="DX5" s="136" t="s">
        <v>150</v>
      </c>
      <c r="DY5" s="136" t="s">
        <v>151</v>
      </c>
      <c r="DZ5" s="136" t="s">
        <v>152</v>
      </c>
      <c r="EA5" s="136" t="s">
        <v>153</v>
      </c>
      <c r="EB5" s="136" t="s">
        <v>154</v>
      </c>
      <c r="EC5" s="136" t="s">
        <v>155</v>
      </c>
      <c r="ED5" s="137" t="s">
        <v>156</v>
      </c>
      <c r="EE5" s="134" t="s">
        <v>146</v>
      </c>
      <c r="EF5" s="135" t="s">
        <v>147</v>
      </c>
      <c r="EG5" s="136" t="s">
        <v>148</v>
      </c>
      <c r="EH5" s="136" t="s">
        <v>149</v>
      </c>
      <c r="EI5" s="136" t="s">
        <v>150</v>
      </c>
      <c r="EJ5" s="136" t="s">
        <v>151</v>
      </c>
      <c r="EK5" s="136" t="s">
        <v>152</v>
      </c>
      <c r="EL5" s="136" t="s">
        <v>153</v>
      </c>
      <c r="EM5" s="136" t="s">
        <v>154</v>
      </c>
      <c r="EN5" s="136" t="s">
        <v>155</v>
      </c>
      <c r="EO5" s="137" t="s">
        <v>156</v>
      </c>
      <c r="EP5" s="134" t="s">
        <v>146</v>
      </c>
      <c r="EQ5" s="135" t="s">
        <v>147</v>
      </c>
      <c r="ER5" s="136" t="s">
        <v>148</v>
      </c>
      <c r="ES5" s="136" t="s">
        <v>149</v>
      </c>
      <c r="ET5" s="136" t="s">
        <v>150</v>
      </c>
      <c r="EU5" s="136" t="s">
        <v>151</v>
      </c>
      <c r="EV5" s="136" t="s">
        <v>152</v>
      </c>
      <c r="EW5" s="136" t="s">
        <v>153</v>
      </c>
      <c r="EX5" s="136" t="s">
        <v>154</v>
      </c>
      <c r="EY5" s="136" t="s">
        <v>155</v>
      </c>
      <c r="EZ5" s="137" t="s">
        <v>156</v>
      </c>
      <c r="FA5" s="134" t="s">
        <v>146</v>
      </c>
      <c r="FB5" s="135" t="s">
        <v>147</v>
      </c>
      <c r="FC5" s="136" t="s">
        <v>148</v>
      </c>
      <c r="FD5" s="136" t="s">
        <v>149</v>
      </c>
      <c r="FE5" s="136" t="s">
        <v>150</v>
      </c>
      <c r="FF5" s="136" t="s">
        <v>151</v>
      </c>
      <c r="FG5" s="136" t="s">
        <v>152</v>
      </c>
      <c r="FH5" s="136" t="s">
        <v>153</v>
      </c>
      <c r="FI5" s="136" t="s">
        <v>154</v>
      </c>
      <c r="FJ5" s="136" t="s">
        <v>155</v>
      </c>
      <c r="FK5" s="137" t="s">
        <v>156</v>
      </c>
      <c r="FL5" s="134" t="s">
        <v>146</v>
      </c>
      <c r="FM5" s="135" t="s">
        <v>147</v>
      </c>
      <c r="FN5" s="136" t="s">
        <v>148</v>
      </c>
      <c r="FO5" s="136" t="s">
        <v>149</v>
      </c>
      <c r="FP5" s="136" t="s">
        <v>150</v>
      </c>
      <c r="FQ5" s="136" t="s">
        <v>151</v>
      </c>
      <c r="FR5" s="136" t="s">
        <v>152</v>
      </c>
      <c r="FS5" s="136" t="s">
        <v>153</v>
      </c>
      <c r="FT5" s="136" t="s">
        <v>154</v>
      </c>
      <c r="FU5" s="136" t="s">
        <v>155</v>
      </c>
      <c r="FV5" s="137" t="s">
        <v>156</v>
      </c>
      <c r="FW5" s="134" t="s">
        <v>146</v>
      </c>
      <c r="FX5" s="135" t="s">
        <v>147</v>
      </c>
      <c r="FY5" s="136" t="s">
        <v>148</v>
      </c>
      <c r="FZ5" s="136" t="s">
        <v>149</v>
      </c>
      <c r="GA5" s="136" t="s">
        <v>150</v>
      </c>
      <c r="GB5" s="136" t="s">
        <v>151</v>
      </c>
      <c r="GC5" s="136" t="s">
        <v>152</v>
      </c>
      <c r="GD5" s="136" t="s">
        <v>153</v>
      </c>
      <c r="GE5" s="136" t="s">
        <v>154</v>
      </c>
      <c r="GF5" s="136" t="s">
        <v>155</v>
      </c>
      <c r="GG5" s="137" t="s">
        <v>156</v>
      </c>
      <c r="GH5" s="134" t="s">
        <v>146</v>
      </c>
      <c r="GI5" s="135" t="s">
        <v>147</v>
      </c>
      <c r="GJ5" s="136" t="s">
        <v>148</v>
      </c>
      <c r="GK5" s="136" t="s">
        <v>149</v>
      </c>
      <c r="GL5" s="136" t="s">
        <v>150</v>
      </c>
      <c r="GM5" s="136" t="s">
        <v>151</v>
      </c>
      <c r="GN5" s="136" t="s">
        <v>152</v>
      </c>
      <c r="GO5" s="136" t="s">
        <v>153</v>
      </c>
      <c r="GP5" s="136" t="s">
        <v>154</v>
      </c>
      <c r="GQ5" s="136" t="s">
        <v>155</v>
      </c>
      <c r="GR5" s="137" t="s">
        <v>156</v>
      </c>
      <c r="GS5" s="134" t="s">
        <v>146</v>
      </c>
      <c r="GT5" s="135" t="s">
        <v>147</v>
      </c>
      <c r="GU5" s="136" t="s">
        <v>148</v>
      </c>
      <c r="GV5" s="136" t="s">
        <v>149</v>
      </c>
      <c r="GW5" s="136" t="s">
        <v>150</v>
      </c>
      <c r="GX5" s="136" t="s">
        <v>151</v>
      </c>
      <c r="GY5" s="136" t="s">
        <v>152</v>
      </c>
      <c r="GZ5" s="136" t="s">
        <v>153</v>
      </c>
      <c r="HA5" s="136" t="s">
        <v>154</v>
      </c>
      <c r="HB5" s="136" t="s">
        <v>155</v>
      </c>
      <c r="HC5" s="137" t="s">
        <v>156</v>
      </c>
      <c r="HD5" s="134" t="s">
        <v>146</v>
      </c>
      <c r="HE5" s="135" t="s">
        <v>147</v>
      </c>
      <c r="HF5" s="136" t="s">
        <v>148</v>
      </c>
      <c r="HG5" s="136" t="s">
        <v>149</v>
      </c>
      <c r="HH5" s="136" t="s">
        <v>150</v>
      </c>
      <c r="HI5" s="136" t="s">
        <v>151</v>
      </c>
      <c r="HJ5" s="136" t="s">
        <v>152</v>
      </c>
      <c r="HK5" s="136" t="s">
        <v>153</v>
      </c>
      <c r="HL5" s="136" t="s">
        <v>154</v>
      </c>
      <c r="HM5" s="136" t="s">
        <v>155</v>
      </c>
      <c r="HN5" s="137" t="s">
        <v>156</v>
      </c>
      <c r="HO5" s="134" t="s">
        <v>146</v>
      </c>
      <c r="HP5" s="135" t="s">
        <v>147</v>
      </c>
      <c r="HQ5" s="136" t="s">
        <v>148</v>
      </c>
      <c r="HR5" s="136" t="s">
        <v>149</v>
      </c>
      <c r="HS5" s="136" t="s">
        <v>150</v>
      </c>
      <c r="HT5" s="136" t="s">
        <v>151</v>
      </c>
      <c r="HU5" s="136" t="s">
        <v>152</v>
      </c>
      <c r="HV5" s="136" t="s">
        <v>153</v>
      </c>
      <c r="HW5" s="136" t="s">
        <v>154</v>
      </c>
      <c r="HX5" s="136" t="s">
        <v>155</v>
      </c>
      <c r="HY5" s="137" t="s">
        <v>156</v>
      </c>
      <c r="HZ5" s="134" t="s">
        <v>146</v>
      </c>
      <c r="IA5" s="135" t="s">
        <v>147</v>
      </c>
      <c r="IB5" s="136" t="s">
        <v>148</v>
      </c>
      <c r="IC5" s="136" t="s">
        <v>149</v>
      </c>
      <c r="ID5" s="136" t="s">
        <v>150</v>
      </c>
      <c r="IE5" s="136" t="s">
        <v>151</v>
      </c>
      <c r="IF5" s="136" t="s">
        <v>152</v>
      </c>
      <c r="IG5" s="136" t="s">
        <v>153</v>
      </c>
      <c r="IH5" s="136" t="s">
        <v>154</v>
      </c>
      <c r="II5" s="136" t="s">
        <v>155</v>
      </c>
      <c r="IJ5" s="137" t="s">
        <v>156</v>
      </c>
      <c r="IK5" s="134" t="s">
        <v>146</v>
      </c>
      <c r="IL5" s="135" t="s">
        <v>147</v>
      </c>
      <c r="IM5" s="136" t="s">
        <v>148</v>
      </c>
      <c r="IN5" s="136" t="s">
        <v>149</v>
      </c>
      <c r="IO5" s="136" t="s">
        <v>150</v>
      </c>
      <c r="IP5" s="136" t="s">
        <v>151</v>
      </c>
      <c r="IQ5" s="136" t="s">
        <v>152</v>
      </c>
      <c r="IR5" s="136" t="s">
        <v>153</v>
      </c>
      <c r="IS5" s="136" t="s">
        <v>154</v>
      </c>
      <c r="IT5" s="136" t="s">
        <v>155</v>
      </c>
      <c r="IU5" s="137" t="s">
        <v>156</v>
      </c>
      <c r="IV5" s="134" t="s">
        <v>146</v>
      </c>
      <c r="IW5" s="135" t="s">
        <v>147</v>
      </c>
      <c r="IX5" s="136" t="s">
        <v>148</v>
      </c>
      <c r="IY5" s="136" t="s">
        <v>149</v>
      </c>
      <c r="IZ5" s="136" t="s">
        <v>150</v>
      </c>
      <c r="JA5" s="136" t="s">
        <v>151</v>
      </c>
      <c r="JB5" s="136" t="s">
        <v>152</v>
      </c>
      <c r="JC5" s="136" t="s">
        <v>153</v>
      </c>
      <c r="JD5" s="136" t="s">
        <v>154</v>
      </c>
      <c r="JE5" s="136" t="s">
        <v>155</v>
      </c>
      <c r="JF5" s="137" t="s">
        <v>156</v>
      </c>
      <c r="JG5" s="134" t="s">
        <v>146</v>
      </c>
      <c r="JH5" s="135" t="s">
        <v>147</v>
      </c>
      <c r="JI5" s="136" t="s">
        <v>148</v>
      </c>
      <c r="JJ5" s="136" t="s">
        <v>149</v>
      </c>
      <c r="JK5" s="136" t="s">
        <v>150</v>
      </c>
      <c r="JL5" s="136" t="s">
        <v>151</v>
      </c>
      <c r="JM5" s="136" t="s">
        <v>152</v>
      </c>
      <c r="JN5" s="136" t="s">
        <v>153</v>
      </c>
      <c r="JO5" s="136" t="s">
        <v>154</v>
      </c>
      <c r="JP5" s="136" t="s">
        <v>155</v>
      </c>
      <c r="JQ5" s="137" t="s">
        <v>156</v>
      </c>
      <c r="JR5" s="134" t="s">
        <v>146</v>
      </c>
      <c r="JS5" s="135" t="s">
        <v>147</v>
      </c>
      <c r="JT5" s="136" t="s">
        <v>148</v>
      </c>
      <c r="JU5" s="136" t="s">
        <v>149</v>
      </c>
      <c r="JV5" s="136" t="s">
        <v>150</v>
      </c>
      <c r="JW5" s="136" t="s">
        <v>151</v>
      </c>
      <c r="JX5" s="136" t="s">
        <v>152</v>
      </c>
      <c r="JY5" s="136" t="s">
        <v>153</v>
      </c>
      <c r="JZ5" s="136" t="s">
        <v>154</v>
      </c>
      <c r="KA5" s="136" t="s">
        <v>155</v>
      </c>
      <c r="KB5" s="137" t="s">
        <v>156</v>
      </c>
      <c r="KC5" s="134" t="s">
        <v>146</v>
      </c>
      <c r="KD5" s="135" t="s">
        <v>147</v>
      </c>
      <c r="KE5" s="136" t="s">
        <v>148</v>
      </c>
      <c r="KF5" s="136" t="s">
        <v>149</v>
      </c>
      <c r="KG5" s="136" t="s">
        <v>150</v>
      </c>
      <c r="KH5" s="136" t="s">
        <v>151</v>
      </c>
      <c r="KI5" s="136" t="s">
        <v>152</v>
      </c>
      <c r="KJ5" s="136" t="s">
        <v>153</v>
      </c>
      <c r="KK5" s="136" t="s">
        <v>154</v>
      </c>
      <c r="KL5" s="136" t="s">
        <v>155</v>
      </c>
      <c r="KM5" s="137" t="s">
        <v>156</v>
      </c>
      <c r="KN5" s="134" t="s">
        <v>146</v>
      </c>
      <c r="KO5" s="135" t="s">
        <v>147</v>
      </c>
      <c r="KP5" s="136" t="s">
        <v>148</v>
      </c>
      <c r="KQ5" s="136" t="s">
        <v>149</v>
      </c>
      <c r="KR5" s="136" t="s">
        <v>150</v>
      </c>
      <c r="KS5" s="136" t="s">
        <v>151</v>
      </c>
      <c r="KT5" s="136" t="s">
        <v>152</v>
      </c>
      <c r="KU5" s="136" t="s">
        <v>153</v>
      </c>
      <c r="KV5" s="136" t="s">
        <v>154</v>
      </c>
      <c r="KW5" s="136" t="s">
        <v>155</v>
      </c>
      <c r="KX5" s="137" t="s">
        <v>156</v>
      </c>
      <c r="KY5" s="134" t="s">
        <v>146</v>
      </c>
      <c r="KZ5" s="135" t="s">
        <v>147</v>
      </c>
      <c r="LA5" s="136" t="s">
        <v>148</v>
      </c>
      <c r="LB5" s="136" t="s">
        <v>149</v>
      </c>
      <c r="LC5" s="136" t="s">
        <v>150</v>
      </c>
      <c r="LD5" s="136" t="s">
        <v>151</v>
      </c>
      <c r="LE5" s="136" t="s">
        <v>152</v>
      </c>
      <c r="LF5" s="136" t="s">
        <v>153</v>
      </c>
      <c r="LG5" s="136" t="s">
        <v>154</v>
      </c>
      <c r="LH5" s="136" t="s">
        <v>155</v>
      </c>
      <c r="LI5" s="137" t="s">
        <v>156</v>
      </c>
      <c r="LJ5" s="134" t="s">
        <v>146</v>
      </c>
      <c r="LK5" s="135" t="s">
        <v>147</v>
      </c>
      <c r="LL5" s="136" t="s">
        <v>148</v>
      </c>
      <c r="LM5" s="136" t="s">
        <v>149</v>
      </c>
      <c r="LN5" s="136" t="s">
        <v>150</v>
      </c>
      <c r="LO5" s="136" t="s">
        <v>151</v>
      </c>
      <c r="LP5" s="136" t="s">
        <v>152</v>
      </c>
      <c r="LQ5" s="136" t="s">
        <v>153</v>
      </c>
      <c r="LR5" s="136" t="s">
        <v>154</v>
      </c>
      <c r="LS5" s="136" t="s">
        <v>155</v>
      </c>
      <c r="LT5" s="137" t="s">
        <v>156</v>
      </c>
      <c r="LW5" s="134"/>
      <c r="LX5" s="138" t="s">
        <v>17</v>
      </c>
      <c r="LY5" s="139" t="s">
        <v>21</v>
      </c>
      <c r="LZ5" s="139" t="s">
        <v>25</v>
      </c>
      <c r="MA5" s="139" t="s">
        <v>29</v>
      </c>
      <c r="MB5" s="139" t="s">
        <v>33</v>
      </c>
      <c r="MC5" s="139" t="s">
        <v>36</v>
      </c>
      <c r="MD5" s="139" t="s">
        <v>39</v>
      </c>
      <c r="ME5" s="139" t="s">
        <v>42</v>
      </c>
      <c r="MF5" s="139" t="s">
        <v>45</v>
      </c>
      <c r="MG5" s="140" t="s">
        <v>48</v>
      </c>
    </row>
    <row r="6" customFormat="false" ht="13.8" hidden="false" customHeight="false" outlineLevel="0" collapsed="false">
      <c r="A6" s="20" t="n">
        <v>1</v>
      </c>
      <c r="B6" s="141" t="str">
        <f aca="false">'Datos Iniciales'!T9</f>
        <v>Alumno1</v>
      </c>
      <c r="C6" s="142" t="n">
        <f aca="false">SUMPRODUCT(D$4:M$4,D6:M6)</f>
        <v>6.9</v>
      </c>
      <c r="D6" s="143" t="n">
        <v>8</v>
      </c>
      <c r="E6" s="144" t="n">
        <v>5</v>
      </c>
      <c r="F6" s="144" t="n">
        <v>7</v>
      </c>
      <c r="G6" s="144" t="n">
        <v>4</v>
      </c>
      <c r="H6" s="144" t="n">
        <v>9</v>
      </c>
      <c r="I6" s="144" t="n">
        <v>8</v>
      </c>
      <c r="J6" s="144" t="n">
        <v>6</v>
      </c>
      <c r="K6" s="144"/>
      <c r="L6" s="144"/>
      <c r="M6" s="145"/>
      <c r="N6" s="142" t="n">
        <f aca="false">SUMPRODUCT(O$4:X$4,O6:X6)</f>
        <v>7</v>
      </c>
      <c r="O6" s="146" t="n">
        <v>6</v>
      </c>
      <c r="P6" s="147" t="n">
        <v>7</v>
      </c>
      <c r="Q6" s="147" t="n">
        <v>8</v>
      </c>
      <c r="R6" s="147" t="n">
        <v>9</v>
      </c>
      <c r="S6" s="147" t="n">
        <v>5</v>
      </c>
      <c r="T6" s="147"/>
      <c r="U6" s="147"/>
      <c r="V6" s="144"/>
      <c r="W6" s="144"/>
      <c r="X6" s="145"/>
      <c r="Y6" s="142" t="n">
        <f aca="false">SUMPRODUCT(Z$4:AI$4,Z6:AI6)</f>
        <v>7</v>
      </c>
      <c r="Z6" s="146" t="n">
        <v>6</v>
      </c>
      <c r="AA6" s="147" t="n">
        <v>7</v>
      </c>
      <c r="AB6" s="147" t="n">
        <v>8</v>
      </c>
      <c r="AC6" s="147" t="n">
        <v>9</v>
      </c>
      <c r="AD6" s="147" t="n">
        <v>5</v>
      </c>
      <c r="AE6" s="147"/>
      <c r="AF6" s="147"/>
      <c r="AG6" s="144"/>
      <c r="AH6" s="144"/>
      <c r="AI6" s="145"/>
      <c r="AJ6" s="142" t="n">
        <f aca="false">SUMPRODUCT(AK$4:AT$4,AK6:AT6)</f>
        <v>7</v>
      </c>
      <c r="AK6" s="146" t="n">
        <v>6</v>
      </c>
      <c r="AL6" s="147" t="n">
        <v>7</v>
      </c>
      <c r="AM6" s="147" t="n">
        <v>8</v>
      </c>
      <c r="AN6" s="147" t="n">
        <v>9</v>
      </c>
      <c r="AO6" s="147" t="n">
        <v>5</v>
      </c>
      <c r="AP6" s="144"/>
      <c r="AQ6" s="144"/>
      <c r="AR6" s="144"/>
      <c r="AS6" s="144"/>
      <c r="AT6" s="145"/>
      <c r="AU6" s="142" t="n">
        <f aca="false">SUMPRODUCT(AV$4:BE$4,AV6:BE6)</f>
        <v>6.2</v>
      </c>
      <c r="AV6" s="143" t="n">
        <v>8</v>
      </c>
      <c r="AW6" s="144" t="n">
        <v>5</v>
      </c>
      <c r="AX6" s="144" t="n">
        <v>7</v>
      </c>
      <c r="AY6" s="144" t="n">
        <v>4</v>
      </c>
      <c r="AZ6" s="144" t="n">
        <v>9</v>
      </c>
      <c r="BA6" s="144"/>
      <c r="BB6" s="144"/>
      <c r="BC6" s="144"/>
      <c r="BD6" s="144"/>
      <c r="BE6" s="145"/>
      <c r="BF6" s="142" t="n">
        <f aca="false">SUMPRODUCT(BG$4:BP$4,BG6:BP6)</f>
        <v>6.7</v>
      </c>
      <c r="BG6" s="143" t="n">
        <v>8</v>
      </c>
      <c r="BH6" s="144" t="n">
        <v>5</v>
      </c>
      <c r="BI6" s="144" t="n">
        <v>7</v>
      </c>
      <c r="BJ6" s="144" t="n">
        <v>4</v>
      </c>
      <c r="BK6" s="144" t="n">
        <v>9</v>
      </c>
      <c r="BL6" s="144"/>
      <c r="BM6" s="144"/>
      <c r="BN6" s="144"/>
      <c r="BO6" s="144"/>
      <c r="BP6" s="145"/>
      <c r="BQ6" s="142" t="n">
        <f aca="false">SUMPRODUCT(BR$4:CA$4,BR6:CA6)</f>
        <v>4.5</v>
      </c>
      <c r="BR6" s="146" t="n">
        <v>4</v>
      </c>
      <c r="BS6" s="147" t="n">
        <v>3</v>
      </c>
      <c r="BT6" s="147" t="n">
        <v>5</v>
      </c>
      <c r="BU6" s="147" t="n">
        <v>6</v>
      </c>
      <c r="BV6" s="147" t="n">
        <v>4</v>
      </c>
      <c r="BW6" s="144"/>
      <c r="BX6" s="144"/>
      <c r="BY6" s="144"/>
      <c r="BZ6" s="144"/>
      <c r="CA6" s="145"/>
      <c r="CB6" s="142" t="n">
        <f aca="false">SUMPRODUCT(CC$4:CL$4,CC6:CL6)</f>
        <v>0</v>
      </c>
      <c r="CC6" s="143"/>
      <c r="CD6" s="144"/>
      <c r="CE6" s="144"/>
      <c r="CF6" s="144"/>
      <c r="CG6" s="144"/>
      <c r="CH6" s="144"/>
      <c r="CI6" s="144"/>
      <c r="CJ6" s="144"/>
      <c r="CK6" s="144"/>
      <c r="CL6" s="145"/>
      <c r="CM6" s="142" t="n">
        <f aca="false">SUMPRODUCT(CN$4:CW$4,CN6:CW6)</f>
        <v>0</v>
      </c>
      <c r="CN6" s="143"/>
      <c r="CO6" s="144"/>
      <c r="CP6" s="144"/>
      <c r="CQ6" s="144"/>
      <c r="CR6" s="144"/>
      <c r="CS6" s="144"/>
      <c r="CT6" s="144"/>
      <c r="CU6" s="144"/>
      <c r="CV6" s="144"/>
      <c r="CW6" s="145"/>
      <c r="CX6" s="142" t="n">
        <f aca="false">SUMPRODUCT(CY$4:DH$4,CY6:DH6)</f>
        <v>0</v>
      </c>
      <c r="CY6" s="143"/>
      <c r="CZ6" s="144"/>
      <c r="DA6" s="144"/>
      <c r="DB6" s="144"/>
      <c r="DC6" s="144"/>
      <c r="DD6" s="144"/>
      <c r="DE6" s="144"/>
      <c r="DF6" s="144"/>
      <c r="DG6" s="144"/>
      <c r="DH6" s="145"/>
      <c r="DI6" s="142" t="n">
        <f aca="false">SUMPRODUCT(DJ$4:DS$4,DJ6:DS6)</f>
        <v>0</v>
      </c>
      <c r="DJ6" s="143"/>
      <c r="DK6" s="144"/>
      <c r="DL6" s="144"/>
      <c r="DM6" s="144"/>
      <c r="DN6" s="144"/>
      <c r="DO6" s="144"/>
      <c r="DP6" s="144"/>
      <c r="DQ6" s="144"/>
      <c r="DR6" s="144"/>
      <c r="DS6" s="145"/>
      <c r="DT6" s="142" t="n">
        <f aca="false">SUMPRODUCT(DU$4:ED$4,DU6:ED6)</f>
        <v>0</v>
      </c>
      <c r="DU6" s="143"/>
      <c r="DV6" s="144"/>
      <c r="DW6" s="144"/>
      <c r="DX6" s="144"/>
      <c r="DY6" s="144"/>
      <c r="DZ6" s="144"/>
      <c r="EA6" s="144"/>
      <c r="EB6" s="144"/>
      <c r="EC6" s="144"/>
      <c r="ED6" s="145"/>
      <c r="EE6" s="142" t="n">
        <f aca="false">SUMPRODUCT(EF$4:EO$4,EF6:EO6)</f>
        <v>0</v>
      </c>
      <c r="EF6" s="143"/>
      <c r="EG6" s="144"/>
      <c r="EH6" s="144"/>
      <c r="EI6" s="144"/>
      <c r="EJ6" s="144"/>
      <c r="EK6" s="144"/>
      <c r="EL6" s="144"/>
      <c r="EM6" s="144"/>
      <c r="EN6" s="144"/>
      <c r="EO6" s="145"/>
      <c r="EP6" s="142" t="n">
        <f aca="false">SUMPRODUCT(EQ$4:EZ$4,EQ6:EZ6)</f>
        <v>0</v>
      </c>
      <c r="EQ6" s="143"/>
      <c r="ER6" s="144"/>
      <c r="ES6" s="144"/>
      <c r="ET6" s="144"/>
      <c r="EU6" s="144"/>
      <c r="EV6" s="144"/>
      <c r="EW6" s="144"/>
      <c r="EX6" s="144"/>
      <c r="EY6" s="144"/>
      <c r="EZ6" s="145"/>
      <c r="FA6" s="142" t="n">
        <f aca="false">SUMPRODUCT(FB$4:FK$4,FB6:FK6)</f>
        <v>0</v>
      </c>
      <c r="FB6" s="143"/>
      <c r="FC6" s="144"/>
      <c r="FD6" s="144"/>
      <c r="FE6" s="144"/>
      <c r="FF6" s="144"/>
      <c r="FG6" s="144"/>
      <c r="FH6" s="144"/>
      <c r="FI6" s="144"/>
      <c r="FJ6" s="144"/>
      <c r="FK6" s="145"/>
      <c r="FL6" s="142" t="n">
        <f aca="false">SUMPRODUCT(FM$4:FV$4,FM6:FV6)</f>
        <v>0</v>
      </c>
      <c r="FM6" s="143"/>
      <c r="FN6" s="144"/>
      <c r="FO6" s="144"/>
      <c r="FP6" s="144"/>
      <c r="FQ6" s="144"/>
      <c r="FR6" s="144"/>
      <c r="FS6" s="144"/>
      <c r="FT6" s="144"/>
      <c r="FU6" s="144"/>
      <c r="FV6" s="145"/>
      <c r="FW6" s="142" t="n">
        <f aca="false">SUMPRODUCT(FX$4:GG$4,FX6:GG6)</f>
        <v>0</v>
      </c>
      <c r="FX6" s="143"/>
      <c r="FY6" s="144"/>
      <c r="FZ6" s="144"/>
      <c r="GA6" s="144"/>
      <c r="GB6" s="144"/>
      <c r="GC6" s="144"/>
      <c r="GD6" s="144"/>
      <c r="GE6" s="144"/>
      <c r="GF6" s="144"/>
      <c r="GG6" s="145"/>
      <c r="GH6" s="142" t="n">
        <f aca="false">SUMPRODUCT(GI$4:GR$4,GI6:GR6)</f>
        <v>0</v>
      </c>
      <c r="GI6" s="143"/>
      <c r="GJ6" s="144"/>
      <c r="GK6" s="144"/>
      <c r="GL6" s="144"/>
      <c r="GM6" s="144"/>
      <c r="GN6" s="144"/>
      <c r="GO6" s="144"/>
      <c r="GP6" s="144"/>
      <c r="GQ6" s="144"/>
      <c r="GR6" s="145"/>
      <c r="GS6" s="142" t="n">
        <f aca="false">SUMPRODUCT(GT$4:HC$4,GT6:HC6)</f>
        <v>0</v>
      </c>
      <c r="GT6" s="143"/>
      <c r="GU6" s="144"/>
      <c r="GV6" s="144"/>
      <c r="GW6" s="144"/>
      <c r="GX6" s="144"/>
      <c r="GY6" s="144"/>
      <c r="GZ6" s="144"/>
      <c r="HA6" s="144"/>
      <c r="HB6" s="144"/>
      <c r="HC6" s="145"/>
      <c r="HD6" s="142" t="n">
        <f aca="false">SUMPRODUCT(HE$4:HN$4,HE6:HN6)</f>
        <v>0</v>
      </c>
      <c r="HE6" s="143"/>
      <c r="HF6" s="144"/>
      <c r="HG6" s="144"/>
      <c r="HH6" s="144"/>
      <c r="HI6" s="144"/>
      <c r="HJ6" s="144"/>
      <c r="HK6" s="144"/>
      <c r="HL6" s="144"/>
      <c r="HM6" s="144"/>
      <c r="HN6" s="145"/>
      <c r="HO6" s="142" t="n">
        <f aca="false">SUMPRODUCT(HP$4:HY$4,HP6:HY6)</f>
        <v>0</v>
      </c>
      <c r="HP6" s="143"/>
      <c r="HQ6" s="144"/>
      <c r="HR6" s="144"/>
      <c r="HS6" s="144"/>
      <c r="HT6" s="144"/>
      <c r="HU6" s="144"/>
      <c r="HV6" s="144"/>
      <c r="HW6" s="144"/>
      <c r="HX6" s="144"/>
      <c r="HY6" s="145"/>
      <c r="HZ6" s="142" t="n">
        <f aca="false">SUMPRODUCT(IA$4:IJ$4,IA6:IJ6)</f>
        <v>0</v>
      </c>
      <c r="IA6" s="143"/>
      <c r="IB6" s="144"/>
      <c r="IC6" s="144"/>
      <c r="ID6" s="144"/>
      <c r="IE6" s="144"/>
      <c r="IF6" s="144"/>
      <c r="IG6" s="144"/>
      <c r="IH6" s="144"/>
      <c r="II6" s="144"/>
      <c r="IJ6" s="145"/>
      <c r="IK6" s="142" t="n">
        <f aca="false">SUMPRODUCT(IL$4:IU$4,IL6:IU6)</f>
        <v>0</v>
      </c>
      <c r="IL6" s="143"/>
      <c r="IM6" s="144"/>
      <c r="IN6" s="144"/>
      <c r="IO6" s="144"/>
      <c r="IP6" s="144"/>
      <c r="IQ6" s="144"/>
      <c r="IR6" s="144"/>
      <c r="IS6" s="144"/>
      <c r="IT6" s="144"/>
      <c r="IU6" s="145"/>
      <c r="IV6" s="142" t="n">
        <f aca="false">SUMPRODUCT(IW$4:JF$4,IW6:JF6)</f>
        <v>0</v>
      </c>
      <c r="IW6" s="143"/>
      <c r="IX6" s="144"/>
      <c r="IY6" s="144"/>
      <c r="IZ6" s="144"/>
      <c r="JA6" s="144"/>
      <c r="JB6" s="144"/>
      <c r="JC6" s="144"/>
      <c r="JD6" s="144"/>
      <c r="JE6" s="144"/>
      <c r="JF6" s="145"/>
      <c r="JG6" s="142" t="n">
        <f aca="false">SUMPRODUCT(JH$4:JQ$4,JH6:JQ6)</f>
        <v>0</v>
      </c>
      <c r="JH6" s="143"/>
      <c r="JI6" s="144"/>
      <c r="JJ6" s="144"/>
      <c r="JK6" s="144"/>
      <c r="JL6" s="144"/>
      <c r="JM6" s="144"/>
      <c r="JN6" s="144"/>
      <c r="JO6" s="144"/>
      <c r="JP6" s="144"/>
      <c r="JQ6" s="145"/>
      <c r="JR6" s="142" t="n">
        <f aca="false">SUMPRODUCT(JS$4:KB$4,JS6:KB6)</f>
        <v>0</v>
      </c>
      <c r="JS6" s="143"/>
      <c r="JT6" s="144"/>
      <c r="JU6" s="144"/>
      <c r="JV6" s="144"/>
      <c r="JW6" s="144"/>
      <c r="JX6" s="144"/>
      <c r="JY6" s="144"/>
      <c r="JZ6" s="144"/>
      <c r="KA6" s="144"/>
      <c r="KB6" s="145"/>
      <c r="KC6" s="142" t="n">
        <f aca="false">SUMPRODUCT(KD$4:KM$4,KD6:KM6)</f>
        <v>0</v>
      </c>
      <c r="KD6" s="143"/>
      <c r="KE6" s="144"/>
      <c r="KF6" s="144"/>
      <c r="KG6" s="144"/>
      <c r="KH6" s="144"/>
      <c r="KI6" s="144"/>
      <c r="KJ6" s="144"/>
      <c r="KK6" s="144"/>
      <c r="KL6" s="144"/>
      <c r="KM6" s="145"/>
      <c r="KN6" s="142" t="n">
        <f aca="false">SUMPRODUCT(KO$4:KX$4,KO6:KX6)</f>
        <v>0</v>
      </c>
      <c r="KO6" s="143"/>
      <c r="KP6" s="144"/>
      <c r="KQ6" s="144"/>
      <c r="KR6" s="144"/>
      <c r="KS6" s="144"/>
      <c r="KT6" s="144"/>
      <c r="KU6" s="144"/>
      <c r="KV6" s="144"/>
      <c r="KW6" s="144"/>
      <c r="KX6" s="145"/>
      <c r="KY6" s="142" t="n">
        <f aca="false">SUMPRODUCT(KZ$4:LI$4,KZ6:LI6)</f>
        <v>0</v>
      </c>
      <c r="KZ6" s="143"/>
      <c r="LA6" s="144"/>
      <c r="LB6" s="144"/>
      <c r="LC6" s="144"/>
      <c r="LD6" s="144"/>
      <c r="LE6" s="144"/>
      <c r="LF6" s="144"/>
      <c r="LG6" s="144"/>
      <c r="LH6" s="144"/>
      <c r="LI6" s="145"/>
      <c r="LJ6" s="142" t="n">
        <f aca="false">SUMPRODUCT(LK$4:LT$4,LK6:LT6)</f>
        <v>0</v>
      </c>
      <c r="LK6" s="143"/>
      <c r="LL6" s="144"/>
      <c r="LM6" s="144"/>
      <c r="LN6" s="144"/>
      <c r="LO6" s="144"/>
      <c r="LP6" s="144"/>
      <c r="LQ6" s="144"/>
      <c r="LR6" s="144"/>
      <c r="LS6" s="144"/>
      <c r="LT6" s="145"/>
      <c r="LW6" s="142"/>
      <c r="LX6" s="148" t="n">
        <f aca="false">D160+O160+Z160+AK160+AV160+BG160+BR160+CC160+CN160+CY160+DJ160+DU160+EF160+EQ160+FB160+FM160+FX160+GI160+GT160+HE160+HP160+IA160+IL160+IW160+JH160+JS160+KD160+KO160+KZ160+LK160</f>
        <v>6.825</v>
      </c>
      <c r="LY6" s="149" t="n">
        <f aca="false">E160+P160+AA160+AL160+AW160+BH160+BS160+CD160+CO160+CZ160+DK160+DV160+EG160+ER160+FC160+FN160+FY160+GJ160+GU160+HF160+HQ160+IB160+IM160+IX160+JI160+JT160+KE160+KP160+LA160+LL160</f>
        <v>6.55</v>
      </c>
      <c r="LZ6" s="149" t="n">
        <f aca="false">F160+Q160+AB160+AM160+AX160+BI160+BT160+CE160+CP160+DA160+DL160+DW160+EH160+ES160+FD160+FO160+FZ160+GK160+GV160+HG160+HR160+IC160+IN160+IY160+JJ160+JU160+KF160+KQ160+LB160+LM160</f>
        <v>6.385</v>
      </c>
      <c r="MA6" s="149" t="n">
        <f aca="false">G160+R160+AC160+AN160+AY160+BJ160+BU160+CF160+CQ160+DB160+DM160+DX160+EI160+ET160+FE160+FP160+GA160+GL160+GW160+HH160+HS160+ID160+IO160+IZ160+JK160+JV160+KG160+KR160+LC160+LN160</f>
        <v>6.1</v>
      </c>
      <c r="MB6" s="149" t="n">
        <f aca="false">H160+S160+AD160+AO160+AZ160+BK160+BV160+CG160+CR160+DC160+DN160+DY160+EJ160+EU160+FF160+FQ160+GB160+GM160+GX160+HI160+HT160+IE160+IP160+JA160+JL160+JW160+KH160+KS160+LD160+LO160</f>
        <v>0</v>
      </c>
      <c r="MC6" s="149" t="n">
        <f aca="false">I160+T160+AE160+AP160+BA160+BL160+BW160+CH160+CS160+DD160+DO160+DZ160+EK160+EV160+FG160+FR160+GC160+GN160+GY160+HJ160+HU160+IF160+IQ160+JB160+JM160+JX160+KI160+KT160+LE160+LP160</f>
        <v>0</v>
      </c>
      <c r="MD6" s="149" t="n">
        <f aca="false">J160+U160+AF160+AQ160+BB160+BM160+BX160+CI160+CT160+DE160+DP160+EA160+EL160+EW160+FH160+FS160+GD160+GO160+GZ160+HK160+HV160+IG160+IR160+JC160+JN160+JY160+KJ160+KU160+LF160+LQ160</f>
        <v>0</v>
      </c>
      <c r="ME6" s="149" t="n">
        <f aca="false">K160+V160+AG160+AR160+BC160+BN160+BY160+CJ160+CU160+DF160+DQ160+EB160+EM160+EX160+FI160+FT160+GE160+GP160+HA160+HL160+HW160+IH160+IS160+JD160+JO160+JZ160+KK160+KV160+LG160+LR160</f>
        <v>0</v>
      </c>
      <c r="MF6" s="149" t="n">
        <f aca="false">L160+W160+AH160+AS160+BD160+BO160+BZ160+CK160+CV160+DG160+DR160+EC160+EN160+EY160+FJ160+FU160+GF160+GQ160+HB160+HM160+HX160+II160+IT160+JE160+JP160+KA160+KL160+KW160+LH160+LS160</f>
        <v>0</v>
      </c>
      <c r="MG6" s="150" t="n">
        <f aca="false">M160+X160+AI160+AT160+BE160+BP160+CA160+CL160+CW160+DH160+DS160+ED160+EO160+EZ160+FK160+FV160+GG160+GR160+HC160+HN160+HY160+IJ160+IU160+JF160+JQ160+KB160+KM160+KX160+LI160+LT160</f>
        <v>0</v>
      </c>
    </row>
    <row r="7" customFormat="false" ht="13.8" hidden="false" customHeight="false" outlineLevel="0" collapsed="false">
      <c r="A7" s="29" t="n">
        <v>2</v>
      </c>
      <c r="B7" s="151" t="str">
        <f aca="false">'Datos Iniciales'!T10</f>
        <v>Alumno2</v>
      </c>
      <c r="C7" s="152" t="n">
        <f aca="false">SUMPRODUCT(D$4:M$4,D7:M7)</f>
        <v>5</v>
      </c>
      <c r="D7" s="146" t="n">
        <v>5</v>
      </c>
      <c r="E7" s="153" t="n">
        <v>5</v>
      </c>
      <c r="F7" s="153" t="n">
        <v>5</v>
      </c>
      <c r="G7" s="153" t="n">
        <v>5</v>
      </c>
      <c r="H7" s="153" t="n">
        <v>5</v>
      </c>
      <c r="I7" s="153" t="n">
        <v>5</v>
      </c>
      <c r="J7" s="153" t="n">
        <v>5</v>
      </c>
      <c r="K7" s="147"/>
      <c r="L7" s="147"/>
      <c r="M7" s="154"/>
      <c r="N7" s="152" t="n">
        <f aca="false">SUMPRODUCT(O$4:X$4,O7:X7)</f>
        <v>5</v>
      </c>
      <c r="O7" s="146" t="n">
        <v>5</v>
      </c>
      <c r="P7" s="153" t="n">
        <v>5</v>
      </c>
      <c r="Q7" s="153" t="n">
        <v>5</v>
      </c>
      <c r="R7" s="153" t="n">
        <v>5</v>
      </c>
      <c r="S7" s="153" t="n">
        <v>5</v>
      </c>
      <c r="T7" s="153"/>
      <c r="U7" s="153"/>
      <c r="V7" s="147"/>
      <c r="W7" s="147"/>
      <c r="X7" s="154"/>
      <c r="Y7" s="152" t="n">
        <f aca="false">SUMPRODUCT(Z$4:AI$4,Z7:AI7)</f>
        <v>5</v>
      </c>
      <c r="Z7" s="146" t="n">
        <v>5</v>
      </c>
      <c r="AA7" s="153" t="n">
        <v>5</v>
      </c>
      <c r="AB7" s="153" t="n">
        <v>5</v>
      </c>
      <c r="AC7" s="153" t="n">
        <v>5</v>
      </c>
      <c r="AD7" s="153" t="n">
        <v>5</v>
      </c>
      <c r="AE7" s="153"/>
      <c r="AF7" s="153"/>
      <c r="AG7" s="147"/>
      <c r="AH7" s="147"/>
      <c r="AI7" s="154"/>
      <c r="AJ7" s="152" t="n">
        <f aca="false">SUMPRODUCT(AK$4:AT$4,AK7:AT7)</f>
        <v>5</v>
      </c>
      <c r="AK7" s="146" t="n">
        <v>5</v>
      </c>
      <c r="AL7" s="153" t="n">
        <v>5</v>
      </c>
      <c r="AM7" s="153" t="n">
        <v>5</v>
      </c>
      <c r="AN7" s="153" t="n">
        <v>5</v>
      </c>
      <c r="AO7" s="153" t="n">
        <v>5</v>
      </c>
      <c r="AP7" s="147"/>
      <c r="AQ7" s="147"/>
      <c r="AR7" s="147"/>
      <c r="AS7" s="147"/>
      <c r="AT7" s="154"/>
      <c r="AU7" s="152" t="n">
        <f aca="false">SUMPRODUCT(AV$4:BE$4,AV7:BE7)</f>
        <v>5</v>
      </c>
      <c r="AV7" s="146" t="n">
        <v>5</v>
      </c>
      <c r="AW7" s="153" t="n">
        <v>5</v>
      </c>
      <c r="AX7" s="153" t="n">
        <v>5</v>
      </c>
      <c r="AY7" s="153" t="n">
        <v>5</v>
      </c>
      <c r="AZ7" s="153" t="n">
        <v>5</v>
      </c>
      <c r="BA7" s="147"/>
      <c r="BB7" s="147"/>
      <c r="BC7" s="147"/>
      <c r="BD7" s="147"/>
      <c r="BE7" s="154"/>
      <c r="BF7" s="152" t="n">
        <f aca="false">SUMPRODUCT(BG$4:BP$4,BG7:BP7)</f>
        <v>5</v>
      </c>
      <c r="BG7" s="146" t="n">
        <v>5</v>
      </c>
      <c r="BH7" s="153" t="n">
        <v>5</v>
      </c>
      <c r="BI7" s="153" t="n">
        <v>5</v>
      </c>
      <c r="BJ7" s="153" t="n">
        <v>5</v>
      </c>
      <c r="BK7" s="153" t="n">
        <v>5</v>
      </c>
      <c r="BL7" s="147"/>
      <c r="BM7" s="147"/>
      <c r="BN7" s="147"/>
      <c r="BO7" s="147"/>
      <c r="BP7" s="154"/>
      <c r="BQ7" s="152" t="n">
        <f aca="false">SUMPRODUCT(BR$4:CA$4,BR7:CA7)</f>
        <v>3.6</v>
      </c>
      <c r="BR7" s="146" t="n">
        <v>3</v>
      </c>
      <c r="BS7" s="147" t="n">
        <v>3</v>
      </c>
      <c r="BT7" s="147" t="n">
        <v>2</v>
      </c>
      <c r="BU7" s="147" t="n">
        <v>4</v>
      </c>
      <c r="BV7" s="147" t="n">
        <v>5</v>
      </c>
      <c r="BW7" s="147"/>
      <c r="BX7" s="147"/>
      <c r="BY7" s="147"/>
      <c r="BZ7" s="147"/>
      <c r="CA7" s="154"/>
      <c r="CB7" s="152" t="n">
        <f aca="false">SUMPRODUCT(CC$4:CL$4,CC7:CL7)</f>
        <v>0</v>
      </c>
      <c r="CC7" s="146"/>
      <c r="CD7" s="147"/>
      <c r="CE7" s="147"/>
      <c r="CF7" s="147"/>
      <c r="CG7" s="147"/>
      <c r="CH7" s="147"/>
      <c r="CI7" s="147"/>
      <c r="CJ7" s="147"/>
      <c r="CK7" s="147"/>
      <c r="CL7" s="154"/>
      <c r="CM7" s="152" t="n">
        <f aca="false">SUMPRODUCT(CN$4:CW$4,CN7:CW7)</f>
        <v>0</v>
      </c>
      <c r="CN7" s="146"/>
      <c r="CO7" s="147"/>
      <c r="CP7" s="147"/>
      <c r="CQ7" s="147"/>
      <c r="CR7" s="147"/>
      <c r="CS7" s="147"/>
      <c r="CT7" s="147"/>
      <c r="CU7" s="147"/>
      <c r="CV7" s="147"/>
      <c r="CW7" s="154"/>
      <c r="CX7" s="152" t="n">
        <f aca="false">SUMPRODUCT(CY$4:DH$4,CY7:DH7)</f>
        <v>0</v>
      </c>
      <c r="CY7" s="146"/>
      <c r="CZ7" s="147"/>
      <c r="DA7" s="147"/>
      <c r="DB7" s="147"/>
      <c r="DC7" s="147"/>
      <c r="DD7" s="147"/>
      <c r="DE7" s="147"/>
      <c r="DF7" s="147"/>
      <c r="DG7" s="147"/>
      <c r="DH7" s="154"/>
      <c r="DI7" s="152" t="n">
        <f aca="false">SUMPRODUCT(DJ$4:DS$4,DJ7:DS7)</f>
        <v>0</v>
      </c>
      <c r="DJ7" s="146"/>
      <c r="DK7" s="147"/>
      <c r="DL7" s="147"/>
      <c r="DM7" s="147"/>
      <c r="DN7" s="147"/>
      <c r="DO7" s="147"/>
      <c r="DP7" s="147"/>
      <c r="DQ7" s="147"/>
      <c r="DR7" s="147"/>
      <c r="DS7" s="154"/>
      <c r="DT7" s="152" t="n">
        <f aca="false">SUMPRODUCT(DU$4:ED$4,DU7:ED7)</f>
        <v>0</v>
      </c>
      <c r="DU7" s="146"/>
      <c r="DV7" s="147"/>
      <c r="DW7" s="147"/>
      <c r="DX7" s="147"/>
      <c r="DY7" s="147"/>
      <c r="DZ7" s="147"/>
      <c r="EA7" s="147"/>
      <c r="EB7" s="147"/>
      <c r="EC7" s="147"/>
      <c r="ED7" s="154"/>
      <c r="EE7" s="152" t="n">
        <f aca="false">SUMPRODUCT(EF$4:EO$4,EF7:EO7)</f>
        <v>0</v>
      </c>
      <c r="EF7" s="146"/>
      <c r="EG7" s="147"/>
      <c r="EH7" s="147"/>
      <c r="EI7" s="147"/>
      <c r="EJ7" s="147"/>
      <c r="EK7" s="147"/>
      <c r="EL7" s="147"/>
      <c r="EM7" s="147"/>
      <c r="EN7" s="147"/>
      <c r="EO7" s="154"/>
      <c r="EP7" s="152" t="n">
        <f aca="false">SUMPRODUCT(EQ$4:EZ$4,EQ7:EZ7)</f>
        <v>0</v>
      </c>
      <c r="EQ7" s="146"/>
      <c r="ER7" s="147"/>
      <c r="ES7" s="147"/>
      <c r="ET7" s="147"/>
      <c r="EU7" s="147"/>
      <c r="EV7" s="147"/>
      <c r="EW7" s="147"/>
      <c r="EX7" s="147"/>
      <c r="EY7" s="147"/>
      <c r="EZ7" s="154"/>
      <c r="FA7" s="152" t="n">
        <f aca="false">SUMPRODUCT(FB$4:FK$4,FB7:FK7)</f>
        <v>0</v>
      </c>
      <c r="FB7" s="146"/>
      <c r="FC7" s="147"/>
      <c r="FD7" s="147"/>
      <c r="FE7" s="147"/>
      <c r="FF7" s="147"/>
      <c r="FG7" s="147"/>
      <c r="FH7" s="147"/>
      <c r="FI7" s="147"/>
      <c r="FJ7" s="147"/>
      <c r="FK7" s="154"/>
      <c r="FL7" s="152" t="n">
        <f aca="false">SUMPRODUCT(FM$4:FV$4,FM7:FV7)</f>
        <v>0</v>
      </c>
      <c r="FM7" s="146"/>
      <c r="FN7" s="147"/>
      <c r="FO7" s="147"/>
      <c r="FP7" s="147"/>
      <c r="FQ7" s="147"/>
      <c r="FR7" s="147"/>
      <c r="FS7" s="147"/>
      <c r="FT7" s="147"/>
      <c r="FU7" s="147"/>
      <c r="FV7" s="154"/>
      <c r="FW7" s="152" t="n">
        <f aca="false">SUMPRODUCT(FX$4:GG$4,FX7:GG7)</f>
        <v>0</v>
      </c>
      <c r="FX7" s="146"/>
      <c r="FY7" s="147"/>
      <c r="FZ7" s="147"/>
      <c r="GA7" s="147"/>
      <c r="GB7" s="147"/>
      <c r="GC7" s="147"/>
      <c r="GD7" s="147"/>
      <c r="GE7" s="147"/>
      <c r="GF7" s="147"/>
      <c r="GG7" s="154"/>
      <c r="GH7" s="152" t="n">
        <f aca="false">SUMPRODUCT(GI$4:GR$4,GI7:GR7)</f>
        <v>0</v>
      </c>
      <c r="GI7" s="146"/>
      <c r="GJ7" s="147"/>
      <c r="GK7" s="147"/>
      <c r="GL7" s="147"/>
      <c r="GM7" s="147"/>
      <c r="GN7" s="147"/>
      <c r="GO7" s="147"/>
      <c r="GP7" s="147"/>
      <c r="GQ7" s="147"/>
      <c r="GR7" s="154"/>
      <c r="GS7" s="152" t="n">
        <f aca="false">SUMPRODUCT(GT$4:HC$4,GT7:HC7)</f>
        <v>0</v>
      </c>
      <c r="GT7" s="146"/>
      <c r="GU7" s="147"/>
      <c r="GV7" s="147"/>
      <c r="GW7" s="147"/>
      <c r="GX7" s="147"/>
      <c r="GY7" s="147"/>
      <c r="GZ7" s="147"/>
      <c r="HA7" s="147"/>
      <c r="HB7" s="147"/>
      <c r="HC7" s="154"/>
      <c r="HD7" s="152" t="n">
        <f aca="false">SUMPRODUCT(HE$4:HN$4,HE7:HN7)</f>
        <v>0</v>
      </c>
      <c r="HE7" s="146"/>
      <c r="HF7" s="147"/>
      <c r="HG7" s="147"/>
      <c r="HH7" s="147"/>
      <c r="HI7" s="147"/>
      <c r="HJ7" s="147"/>
      <c r="HK7" s="147"/>
      <c r="HL7" s="147"/>
      <c r="HM7" s="147"/>
      <c r="HN7" s="154"/>
      <c r="HO7" s="152" t="n">
        <f aca="false">SUMPRODUCT(HP$4:HY$4,HP7:HY7)</f>
        <v>0</v>
      </c>
      <c r="HP7" s="146"/>
      <c r="HQ7" s="147"/>
      <c r="HR7" s="147"/>
      <c r="HS7" s="147"/>
      <c r="HT7" s="147"/>
      <c r="HU7" s="147"/>
      <c r="HV7" s="147"/>
      <c r="HW7" s="147"/>
      <c r="HX7" s="147"/>
      <c r="HY7" s="154"/>
      <c r="HZ7" s="152" t="n">
        <f aca="false">SUMPRODUCT(IA$4:IJ$4,IA7:IJ7)</f>
        <v>0</v>
      </c>
      <c r="IA7" s="146"/>
      <c r="IB7" s="147"/>
      <c r="IC7" s="147"/>
      <c r="ID7" s="147"/>
      <c r="IE7" s="147"/>
      <c r="IF7" s="147"/>
      <c r="IG7" s="147"/>
      <c r="IH7" s="147"/>
      <c r="II7" s="147"/>
      <c r="IJ7" s="154"/>
      <c r="IK7" s="152" t="n">
        <f aca="false">SUMPRODUCT(IL$4:IU$4,IL7:IU7)</f>
        <v>0</v>
      </c>
      <c r="IL7" s="146"/>
      <c r="IM7" s="147"/>
      <c r="IN7" s="147"/>
      <c r="IO7" s="147"/>
      <c r="IP7" s="147"/>
      <c r="IQ7" s="147"/>
      <c r="IR7" s="147"/>
      <c r="IS7" s="147"/>
      <c r="IT7" s="147"/>
      <c r="IU7" s="154"/>
      <c r="IV7" s="152" t="n">
        <f aca="false">SUMPRODUCT(IW$4:JF$4,IW7:JF7)</f>
        <v>0</v>
      </c>
      <c r="IW7" s="146"/>
      <c r="IX7" s="147"/>
      <c r="IY7" s="147"/>
      <c r="IZ7" s="147"/>
      <c r="JA7" s="147"/>
      <c r="JB7" s="147"/>
      <c r="JC7" s="147"/>
      <c r="JD7" s="147"/>
      <c r="JE7" s="147"/>
      <c r="JF7" s="154"/>
      <c r="JG7" s="152" t="n">
        <f aca="false">SUMPRODUCT(JH$4:JQ$4,JH7:JQ7)</f>
        <v>0</v>
      </c>
      <c r="JH7" s="146"/>
      <c r="JI7" s="147"/>
      <c r="JJ7" s="147"/>
      <c r="JK7" s="147"/>
      <c r="JL7" s="147"/>
      <c r="JM7" s="147"/>
      <c r="JN7" s="147"/>
      <c r="JO7" s="147"/>
      <c r="JP7" s="147"/>
      <c r="JQ7" s="154"/>
      <c r="JR7" s="152" t="n">
        <f aca="false">SUMPRODUCT(JS$4:KB$4,JS7:KB7)</f>
        <v>0</v>
      </c>
      <c r="JS7" s="146"/>
      <c r="JT7" s="147"/>
      <c r="JU7" s="147"/>
      <c r="JV7" s="147"/>
      <c r="JW7" s="147"/>
      <c r="JX7" s="147"/>
      <c r="JY7" s="147"/>
      <c r="JZ7" s="147"/>
      <c r="KA7" s="147"/>
      <c r="KB7" s="154"/>
      <c r="KC7" s="152" t="n">
        <f aca="false">SUMPRODUCT(KD$4:KM$4,KD7:KM7)</f>
        <v>0</v>
      </c>
      <c r="KD7" s="146"/>
      <c r="KE7" s="147"/>
      <c r="KF7" s="147"/>
      <c r="KG7" s="147"/>
      <c r="KH7" s="147"/>
      <c r="KI7" s="147"/>
      <c r="KJ7" s="147"/>
      <c r="KK7" s="147"/>
      <c r="KL7" s="147"/>
      <c r="KM7" s="154"/>
      <c r="KN7" s="152" t="n">
        <f aca="false">SUMPRODUCT(KO$4:KX$4,KO7:KX7)</f>
        <v>0</v>
      </c>
      <c r="KO7" s="146"/>
      <c r="KP7" s="147"/>
      <c r="KQ7" s="147"/>
      <c r="KR7" s="147"/>
      <c r="KS7" s="147"/>
      <c r="KT7" s="147"/>
      <c r="KU7" s="147"/>
      <c r="KV7" s="147"/>
      <c r="KW7" s="147"/>
      <c r="KX7" s="154"/>
      <c r="KY7" s="152" t="n">
        <f aca="false">SUMPRODUCT(KZ$4:LI$4,KZ7:LI7)</f>
        <v>0</v>
      </c>
      <c r="KZ7" s="146"/>
      <c r="LA7" s="147"/>
      <c r="LB7" s="147"/>
      <c r="LC7" s="147"/>
      <c r="LD7" s="147"/>
      <c r="LE7" s="147"/>
      <c r="LF7" s="147"/>
      <c r="LG7" s="147"/>
      <c r="LH7" s="147"/>
      <c r="LI7" s="154"/>
      <c r="LJ7" s="152" t="n">
        <f aca="false">SUMPRODUCT(LK$4:LT$4,LK7:LT7)</f>
        <v>0</v>
      </c>
      <c r="LK7" s="146"/>
      <c r="LL7" s="147"/>
      <c r="LM7" s="147"/>
      <c r="LN7" s="147"/>
      <c r="LO7" s="147"/>
      <c r="LP7" s="147"/>
      <c r="LQ7" s="147"/>
      <c r="LR7" s="147"/>
      <c r="LS7" s="147"/>
      <c r="LT7" s="154"/>
      <c r="LW7" s="152"/>
      <c r="LX7" s="155" t="n">
        <f aca="false">D161+O161+Z161+AK161+AV161+BG161+BR161+CC161+CN161+CY161+DJ161+DU161+EF161+EQ161+FB161+FM161+FX161+GI161+GT161+HE161+HP161+IA161+IL161+IW161+JH161+JS161+KD161+KO161+KZ161+LK161</f>
        <v>5</v>
      </c>
      <c r="LY7" s="156" t="n">
        <f aca="false">E161+P161+AA161+AL161+AW161+BH161+BS161+CD161+CO161+CZ161+DK161+DV161+EG161+ER161+FC161+FN161+FY161+GJ161+GU161+HF161+HQ161+IB161+IM161+IX161+JI161+JT161+KE161+KP161+LA161+LL161</f>
        <v>4.9</v>
      </c>
      <c r="LZ7" s="156" t="n">
        <f aca="false">F161+Q161+AB161+AM161+AX161+BI161+BT161+CE161+CP161+DA161+DL161+DW161+EH161+ES161+FD161+FO161+FZ161+GK161+GV161+HG161+HR161+IC161+IN161+IY161+JJ161+JU161+KF161+KQ161+LB161+LM161</f>
        <v>4.6</v>
      </c>
      <c r="MA7" s="156" t="n">
        <f aca="false">G161+R161+AC161+AN161+AY161+BJ161+BU161+CF161+CQ161+DB161+DM161+DX161+EI161+ET161+FE161+FP161+GA161+GL161+GW161+HH161+HS161+ID161+IO161+IZ161+JK161+JV161+KG161+KR161+LC161+LN161</f>
        <v>4.8</v>
      </c>
      <c r="MB7" s="156" t="n">
        <f aca="false">H161+S161+AD161+AO161+AZ161+BK161+BV161+CG161+CR161+DC161+DN161+DY161+EJ161+EU161+FF161+FQ161+GB161+GM161+GX161+HI161+HT161+IE161+IP161+JA161+JL161+JW161+KH161+KS161+LD161+LO161</f>
        <v>0</v>
      </c>
      <c r="MC7" s="156" t="n">
        <f aca="false">I161+T161+AE161+AP161+BA161+BL161+BW161+CH161+CS161+DD161+DO161+DZ161+EK161+EV161+FG161+FR161+GC161+GN161+GY161+HJ161+HU161+IF161+IQ161+JB161+JM161+JX161+KI161+KT161+LE161+LP161</f>
        <v>0</v>
      </c>
      <c r="MD7" s="156" t="n">
        <f aca="false">J161+U161+AF161+AQ161+BB161+BM161+BX161+CI161+CT161+DE161+DP161+EA161+EL161+EW161+FH161+FS161+GD161+GO161+GZ161+HK161+HV161+IG161+IR161+JC161+JN161+JY161+KJ161+KU161+LF161+LQ161</f>
        <v>0</v>
      </c>
      <c r="ME7" s="156" t="n">
        <f aca="false">K161+V161+AG161+AR161+BC161+BN161+BY161+CJ161+CU161+DF161+DQ161+EB161+EM161+EX161+FI161+FT161+GE161+GP161+HA161+HL161+HW161+IH161+IS161+JD161+JO161+JZ161+KK161+KV161+LG161+LR161</f>
        <v>0</v>
      </c>
      <c r="MF7" s="156" t="n">
        <f aca="false">L161+W161+AH161+AS161+BD161+BO161+BZ161+CK161+CV161+DG161+DR161+EC161+EN161+EY161+FJ161+FU161+GF161+GQ161+HB161+HM161+HX161+II161+IT161+JE161+JP161+KA161+KL161+KW161+LH161+LS161</f>
        <v>0</v>
      </c>
      <c r="MG7" s="157" t="n">
        <f aca="false">M161+X161+AI161+AT161+BE161+BP161+CA161+CL161+CW161+DH161+DS161+ED161+EO161+EZ161+FK161+FV161+GG161+GR161+HC161+HN161+HY161+IJ161+IU161+JF161+JQ161+KB161+KM161+KX161+LI161+LT161</f>
        <v>0</v>
      </c>
    </row>
    <row r="8" customFormat="false" ht="13.8" hidden="false" customHeight="false" outlineLevel="0" collapsed="false">
      <c r="A8" s="29" t="n">
        <v>3</v>
      </c>
      <c r="B8" s="151" t="str">
        <f aca="false">'Datos Iniciales'!T11</f>
        <v>Alumno3</v>
      </c>
      <c r="C8" s="152" t="n">
        <f aca="false">SUMPRODUCT(D$4:M$4,D8:M8)</f>
        <v>5.3</v>
      </c>
      <c r="D8" s="146" t="n">
        <v>6</v>
      </c>
      <c r="E8" s="147" t="n">
        <v>7</v>
      </c>
      <c r="F8" s="147" t="n">
        <v>4</v>
      </c>
      <c r="G8" s="147" t="n">
        <v>4</v>
      </c>
      <c r="H8" s="147" t="n">
        <v>5</v>
      </c>
      <c r="I8" s="147" t="n">
        <v>6</v>
      </c>
      <c r="J8" s="147" t="n">
        <v>5</v>
      </c>
      <c r="K8" s="147"/>
      <c r="L8" s="147"/>
      <c r="M8" s="154"/>
      <c r="N8" s="152" t="n">
        <f aca="false">SUMPRODUCT(O$4:X$4,O8:X8)</f>
        <v>4.6</v>
      </c>
      <c r="O8" s="146" t="n">
        <v>5</v>
      </c>
      <c r="P8" s="147" t="n">
        <v>6</v>
      </c>
      <c r="Q8" s="147" t="n">
        <v>3</v>
      </c>
      <c r="R8" s="147" t="n">
        <v>4</v>
      </c>
      <c r="S8" s="147" t="n">
        <v>5</v>
      </c>
      <c r="T8" s="147"/>
      <c r="U8" s="147"/>
      <c r="V8" s="147"/>
      <c r="W8" s="147"/>
      <c r="X8" s="154"/>
      <c r="Y8" s="152" t="n">
        <f aca="false">SUMPRODUCT(Z$4:AI$4,Z8:AI8)</f>
        <v>4.6</v>
      </c>
      <c r="Z8" s="146" t="n">
        <v>5</v>
      </c>
      <c r="AA8" s="147" t="n">
        <v>6</v>
      </c>
      <c r="AB8" s="147" t="n">
        <v>3</v>
      </c>
      <c r="AC8" s="147" t="n">
        <v>4</v>
      </c>
      <c r="AD8" s="147" t="n">
        <v>5</v>
      </c>
      <c r="AE8" s="147"/>
      <c r="AF8" s="147"/>
      <c r="AG8" s="147"/>
      <c r="AH8" s="147"/>
      <c r="AI8" s="154"/>
      <c r="AJ8" s="152" t="n">
        <f aca="false">SUMPRODUCT(AK$4:AT$4,AK8:AT8)</f>
        <v>4.6</v>
      </c>
      <c r="AK8" s="146" t="n">
        <v>5</v>
      </c>
      <c r="AL8" s="147" t="n">
        <v>6</v>
      </c>
      <c r="AM8" s="147" t="n">
        <v>3</v>
      </c>
      <c r="AN8" s="147" t="n">
        <v>4</v>
      </c>
      <c r="AO8" s="147" t="n">
        <v>5</v>
      </c>
      <c r="AP8" s="147"/>
      <c r="AQ8" s="147"/>
      <c r="AR8" s="147"/>
      <c r="AS8" s="147"/>
      <c r="AT8" s="154"/>
      <c r="AU8" s="152" t="n">
        <f aca="false">SUMPRODUCT(AV$4:BE$4,AV8:BE8)</f>
        <v>5</v>
      </c>
      <c r="AV8" s="146" t="n">
        <v>6</v>
      </c>
      <c r="AW8" s="147" t="n">
        <v>7</v>
      </c>
      <c r="AX8" s="147" t="n">
        <v>4</v>
      </c>
      <c r="AY8" s="147" t="n">
        <v>4</v>
      </c>
      <c r="AZ8" s="147" t="n">
        <v>5</v>
      </c>
      <c r="BA8" s="147"/>
      <c r="BB8" s="147"/>
      <c r="BC8" s="147"/>
      <c r="BD8" s="147"/>
      <c r="BE8" s="154"/>
      <c r="BF8" s="152" t="n">
        <f aca="false">SUMPRODUCT(BG$4:BP$4,BG8:BP8)</f>
        <v>5.1</v>
      </c>
      <c r="BG8" s="146" t="n">
        <v>6</v>
      </c>
      <c r="BH8" s="147" t="n">
        <v>7</v>
      </c>
      <c r="BI8" s="147" t="n">
        <v>4</v>
      </c>
      <c r="BJ8" s="147" t="n">
        <v>4</v>
      </c>
      <c r="BK8" s="147" t="n">
        <v>5</v>
      </c>
      <c r="BL8" s="147"/>
      <c r="BM8" s="147"/>
      <c r="BN8" s="147"/>
      <c r="BO8" s="147"/>
      <c r="BP8" s="154"/>
      <c r="BQ8" s="152" t="n">
        <f aca="false">SUMPRODUCT(BR$4:CA$4,BR8:CA8)</f>
        <v>9.5</v>
      </c>
      <c r="BR8" s="146" t="n">
        <v>9</v>
      </c>
      <c r="BS8" s="147" t="n">
        <v>10</v>
      </c>
      <c r="BT8" s="147" t="n">
        <v>10</v>
      </c>
      <c r="BU8" s="147" t="n">
        <v>10</v>
      </c>
      <c r="BV8" s="147" t="n">
        <v>9</v>
      </c>
      <c r="BW8" s="147"/>
      <c r="BX8" s="147"/>
      <c r="BY8" s="147"/>
      <c r="BZ8" s="147"/>
      <c r="CA8" s="154"/>
      <c r="CB8" s="152" t="n">
        <f aca="false">SUMPRODUCT(CC$4:CL$4,CC8:CL8)</f>
        <v>0</v>
      </c>
      <c r="CC8" s="146"/>
      <c r="CD8" s="147"/>
      <c r="CE8" s="147"/>
      <c r="CF8" s="147"/>
      <c r="CG8" s="147"/>
      <c r="CH8" s="147"/>
      <c r="CI8" s="147"/>
      <c r="CJ8" s="147"/>
      <c r="CK8" s="147"/>
      <c r="CL8" s="154"/>
      <c r="CM8" s="152" t="n">
        <f aca="false">SUMPRODUCT(CN$4:CW$4,CN8:CW8)</f>
        <v>0</v>
      </c>
      <c r="CN8" s="146"/>
      <c r="CO8" s="147"/>
      <c r="CP8" s="147"/>
      <c r="CQ8" s="147"/>
      <c r="CR8" s="147"/>
      <c r="CS8" s="147"/>
      <c r="CT8" s="147"/>
      <c r="CU8" s="147"/>
      <c r="CV8" s="147"/>
      <c r="CW8" s="154"/>
      <c r="CX8" s="152" t="n">
        <f aca="false">SUMPRODUCT(CY$4:DH$4,CY8:DH8)</f>
        <v>0</v>
      </c>
      <c r="CY8" s="146"/>
      <c r="CZ8" s="147"/>
      <c r="DA8" s="147"/>
      <c r="DB8" s="147"/>
      <c r="DC8" s="147"/>
      <c r="DD8" s="147"/>
      <c r="DE8" s="147"/>
      <c r="DF8" s="147"/>
      <c r="DG8" s="147"/>
      <c r="DH8" s="154"/>
      <c r="DI8" s="152" t="n">
        <f aca="false">SUMPRODUCT(DJ$4:DS$4,DJ8:DS8)</f>
        <v>0</v>
      </c>
      <c r="DJ8" s="146"/>
      <c r="DK8" s="147"/>
      <c r="DL8" s="147"/>
      <c r="DM8" s="147"/>
      <c r="DN8" s="147"/>
      <c r="DO8" s="147"/>
      <c r="DP8" s="147"/>
      <c r="DQ8" s="147"/>
      <c r="DR8" s="147"/>
      <c r="DS8" s="154"/>
      <c r="DT8" s="152" t="n">
        <f aca="false">SUMPRODUCT(DU$4:ED$4,DU8:ED8)</f>
        <v>0</v>
      </c>
      <c r="DU8" s="146"/>
      <c r="DV8" s="147"/>
      <c r="DW8" s="147"/>
      <c r="DX8" s="147"/>
      <c r="DY8" s="147"/>
      <c r="DZ8" s="147"/>
      <c r="EA8" s="147"/>
      <c r="EB8" s="147"/>
      <c r="EC8" s="147"/>
      <c r="ED8" s="154"/>
      <c r="EE8" s="152" t="n">
        <f aca="false">SUMPRODUCT(EF$4:EO$4,EF8:EO8)</f>
        <v>0</v>
      </c>
      <c r="EF8" s="146"/>
      <c r="EG8" s="147"/>
      <c r="EH8" s="147"/>
      <c r="EI8" s="147"/>
      <c r="EJ8" s="147"/>
      <c r="EK8" s="147"/>
      <c r="EL8" s="147"/>
      <c r="EM8" s="147"/>
      <c r="EN8" s="147"/>
      <c r="EO8" s="154"/>
      <c r="EP8" s="152" t="n">
        <f aca="false">SUMPRODUCT(EQ$4:EZ$4,EQ8:EZ8)</f>
        <v>0</v>
      </c>
      <c r="EQ8" s="146"/>
      <c r="ER8" s="147"/>
      <c r="ES8" s="147"/>
      <c r="ET8" s="147"/>
      <c r="EU8" s="147"/>
      <c r="EV8" s="147"/>
      <c r="EW8" s="147"/>
      <c r="EX8" s="147"/>
      <c r="EY8" s="147"/>
      <c r="EZ8" s="154"/>
      <c r="FA8" s="152" t="n">
        <f aca="false">SUMPRODUCT(FB$4:FK$4,FB8:FK8)</f>
        <v>0</v>
      </c>
      <c r="FB8" s="146"/>
      <c r="FC8" s="147"/>
      <c r="FD8" s="147"/>
      <c r="FE8" s="147"/>
      <c r="FF8" s="147"/>
      <c r="FG8" s="147"/>
      <c r="FH8" s="147"/>
      <c r="FI8" s="147"/>
      <c r="FJ8" s="147"/>
      <c r="FK8" s="154"/>
      <c r="FL8" s="152" t="n">
        <f aca="false">SUMPRODUCT(FM$4:FV$4,FM8:FV8)</f>
        <v>0</v>
      </c>
      <c r="FM8" s="146"/>
      <c r="FN8" s="147"/>
      <c r="FO8" s="147"/>
      <c r="FP8" s="147"/>
      <c r="FQ8" s="147"/>
      <c r="FR8" s="147"/>
      <c r="FS8" s="147"/>
      <c r="FT8" s="147"/>
      <c r="FU8" s="147"/>
      <c r="FV8" s="154"/>
      <c r="FW8" s="152" t="n">
        <f aca="false">SUMPRODUCT(FX$4:GG$4,FX8:GG8)</f>
        <v>0</v>
      </c>
      <c r="FX8" s="146"/>
      <c r="FY8" s="147"/>
      <c r="FZ8" s="147"/>
      <c r="GA8" s="147"/>
      <c r="GB8" s="147"/>
      <c r="GC8" s="147"/>
      <c r="GD8" s="147"/>
      <c r="GE8" s="147"/>
      <c r="GF8" s="147"/>
      <c r="GG8" s="154"/>
      <c r="GH8" s="152" t="n">
        <f aca="false">SUMPRODUCT(GI$4:GR$4,GI8:GR8)</f>
        <v>0</v>
      </c>
      <c r="GI8" s="146"/>
      <c r="GJ8" s="147"/>
      <c r="GK8" s="147"/>
      <c r="GL8" s="147"/>
      <c r="GM8" s="147"/>
      <c r="GN8" s="147"/>
      <c r="GO8" s="147"/>
      <c r="GP8" s="147"/>
      <c r="GQ8" s="147"/>
      <c r="GR8" s="154"/>
      <c r="GS8" s="152" t="n">
        <f aca="false">SUMPRODUCT(GT$4:HC$4,GT8:HC8)</f>
        <v>0</v>
      </c>
      <c r="GT8" s="146"/>
      <c r="GU8" s="147"/>
      <c r="GV8" s="147"/>
      <c r="GW8" s="147"/>
      <c r="GX8" s="147"/>
      <c r="GY8" s="147"/>
      <c r="GZ8" s="147"/>
      <c r="HA8" s="147"/>
      <c r="HB8" s="147"/>
      <c r="HC8" s="154"/>
      <c r="HD8" s="152" t="n">
        <f aca="false">SUMPRODUCT(HE$4:HN$4,HE8:HN8)</f>
        <v>0</v>
      </c>
      <c r="HE8" s="146"/>
      <c r="HF8" s="147"/>
      <c r="HG8" s="147"/>
      <c r="HH8" s="147"/>
      <c r="HI8" s="147"/>
      <c r="HJ8" s="147"/>
      <c r="HK8" s="147"/>
      <c r="HL8" s="147"/>
      <c r="HM8" s="147"/>
      <c r="HN8" s="154"/>
      <c r="HO8" s="152" t="n">
        <f aca="false">SUMPRODUCT(HP$4:HY$4,HP8:HY8)</f>
        <v>0</v>
      </c>
      <c r="HP8" s="146"/>
      <c r="HQ8" s="147"/>
      <c r="HR8" s="147"/>
      <c r="HS8" s="147"/>
      <c r="HT8" s="147"/>
      <c r="HU8" s="147"/>
      <c r="HV8" s="147"/>
      <c r="HW8" s="147"/>
      <c r="HX8" s="147"/>
      <c r="HY8" s="154"/>
      <c r="HZ8" s="152" t="n">
        <f aca="false">SUMPRODUCT(IA$4:IJ$4,IA8:IJ8)</f>
        <v>0</v>
      </c>
      <c r="IA8" s="146"/>
      <c r="IB8" s="147"/>
      <c r="IC8" s="147"/>
      <c r="ID8" s="147"/>
      <c r="IE8" s="147"/>
      <c r="IF8" s="147"/>
      <c r="IG8" s="147"/>
      <c r="IH8" s="147"/>
      <c r="II8" s="147"/>
      <c r="IJ8" s="154"/>
      <c r="IK8" s="152" t="n">
        <f aca="false">SUMPRODUCT(IL$4:IU$4,IL8:IU8)</f>
        <v>0</v>
      </c>
      <c r="IL8" s="146"/>
      <c r="IM8" s="147"/>
      <c r="IN8" s="147"/>
      <c r="IO8" s="147"/>
      <c r="IP8" s="147"/>
      <c r="IQ8" s="147"/>
      <c r="IR8" s="147"/>
      <c r="IS8" s="147"/>
      <c r="IT8" s="147"/>
      <c r="IU8" s="154"/>
      <c r="IV8" s="152" t="n">
        <f aca="false">SUMPRODUCT(IW$4:JF$4,IW8:JF8)</f>
        <v>0</v>
      </c>
      <c r="IW8" s="146"/>
      <c r="IX8" s="147"/>
      <c r="IY8" s="147"/>
      <c r="IZ8" s="147"/>
      <c r="JA8" s="147"/>
      <c r="JB8" s="147"/>
      <c r="JC8" s="147"/>
      <c r="JD8" s="147"/>
      <c r="JE8" s="147"/>
      <c r="JF8" s="154"/>
      <c r="JG8" s="152" t="n">
        <f aca="false">SUMPRODUCT(JH$4:JQ$4,JH8:JQ8)</f>
        <v>0</v>
      </c>
      <c r="JH8" s="146"/>
      <c r="JI8" s="147"/>
      <c r="JJ8" s="147"/>
      <c r="JK8" s="147"/>
      <c r="JL8" s="147"/>
      <c r="JM8" s="147"/>
      <c r="JN8" s="147"/>
      <c r="JO8" s="147"/>
      <c r="JP8" s="147"/>
      <c r="JQ8" s="154"/>
      <c r="JR8" s="152" t="n">
        <f aca="false">SUMPRODUCT(JS$4:KB$4,JS8:KB8)</f>
        <v>0</v>
      </c>
      <c r="JS8" s="146"/>
      <c r="JT8" s="147"/>
      <c r="JU8" s="147"/>
      <c r="JV8" s="147"/>
      <c r="JW8" s="147"/>
      <c r="JX8" s="147"/>
      <c r="JY8" s="147"/>
      <c r="JZ8" s="147"/>
      <c r="KA8" s="147"/>
      <c r="KB8" s="154"/>
      <c r="KC8" s="152" t="n">
        <f aca="false">SUMPRODUCT(KD$4:KM$4,KD8:KM8)</f>
        <v>0</v>
      </c>
      <c r="KD8" s="146"/>
      <c r="KE8" s="147"/>
      <c r="KF8" s="147"/>
      <c r="KG8" s="147"/>
      <c r="KH8" s="147"/>
      <c r="KI8" s="147"/>
      <c r="KJ8" s="147"/>
      <c r="KK8" s="147"/>
      <c r="KL8" s="147"/>
      <c r="KM8" s="154"/>
      <c r="KN8" s="152" t="n">
        <f aca="false">SUMPRODUCT(KO$4:KX$4,KO8:KX8)</f>
        <v>0</v>
      </c>
      <c r="KO8" s="146"/>
      <c r="KP8" s="147"/>
      <c r="KQ8" s="147"/>
      <c r="KR8" s="147"/>
      <c r="KS8" s="147"/>
      <c r="KT8" s="147"/>
      <c r="KU8" s="147"/>
      <c r="KV8" s="147"/>
      <c r="KW8" s="147"/>
      <c r="KX8" s="154"/>
      <c r="KY8" s="152" t="n">
        <f aca="false">SUMPRODUCT(KZ$4:LI$4,KZ8:LI8)</f>
        <v>0</v>
      </c>
      <c r="KZ8" s="146"/>
      <c r="LA8" s="147"/>
      <c r="LB8" s="147"/>
      <c r="LC8" s="147"/>
      <c r="LD8" s="147"/>
      <c r="LE8" s="147"/>
      <c r="LF8" s="147"/>
      <c r="LG8" s="147"/>
      <c r="LH8" s="147"/>
      <c r="LI8" s="154"/>
      <c r="LJ8" s="152" t="n">
        <f aca="false">SUMPRODUCT(LK$4:LT$4,LK8:LT8)</f>
        <v>0</v>
      </c>
      <c r="LK8" s="146"/>
      <c r="LL8" s="147"/>
      <c r="LM8" s="147"/>
      <c r="LN8" s="147"/>
      <c r="LO8" s="147"/>
      <c r="LP8" s="147"/>
      <c r="LQ8" s="147"/>
      <c r="LR8" s="147"/>
      <c r="LS8" s="147"/>
      <c r="LT8" s="154"/>
      <c r="LW8" s="152"/>
      <c r="LX8" s="155" t="n">
        <f aca="false">D162+O162+Z162+AK162+AV162+BG162+BR162+CC162+CN162+CY162+DJ162+DU162+EF162+EQ162+FB162+FM162+FX162+GI162+GT162+HE162+HP162+IA162+IL162+IW162+JH162+JS162+KD162+KO162+KZ162+LK162</f>
        <v>5.375</v>
      </c>
      <c r="LY8" s="156" t="n">
        <f aca="false">E162+P162+AA162+AL162+AW162+BH162+BS162+CD162+CO162+CZ162+DK162+DV162+EG162+ER162+FC162+FN162+FY162+GJ162+GU162+HF162+HQ162+IB162+IM162+IX162+JI162+JT162+KE162+KP162+LA162+LL162</f>
        <v>5.15</v>
      </c>
      <c r="LZ8" s="156" t="n">
        <f aca="false">F162+Q162+AB162+AM162+AX162+BI162+BT162+CE162+CP162+DA162+DL162+DW162+EH162+ES162+FD162+FO162+FZ162+GK162+GV162+HG162+HR162+IC162+IN162+IY162+JJ162+JU162+KF162+KQ162+LB162+LM162</f>
        <v>4.825</v>
      </c>
      <c r="MA8" s="156" t="n">
        <f aca="false">G162+R162+AC162+AN162+AY162+BJ162+BU162+CF162+CQ162+DB162+DM162+DX162+EI162+ET162+FE162+FP162+GA162+GL162+GW162+HH162+HS162+ID162+IO162+IZ162+JK162+JV162+KG162+KR162+LC162+LN162</f>
        <v>7.04</v>
      </c>
      <c r="MB8" s="156" t="n">
        <f aca="false">H162+S162+AD162+AO162+AZ162+BK162+BV162+CG162+CR162+DC162+DN162+DY162+EJ162+EU162+FF162+FQ162+GB162+GM162+GX162+HI162+HT162+IE162+IP162+JA162+JL162+JW162+KH162+KS162+LD162+LO162</f>
        <v>0</v>
      </c>
      <c r="MC8" s="156" t="n">
        <f aca="false">I162+T162+AE162+AP162+BA162+BL162+BW162+CH162+CS162+DD162+DO162+DZ162+EK162+EV162+FG162+FR162+GC162+GN162+GY162+HJ162+HU162+IF162+IQ162+JB162+JM162+JX162+KI162+KT162+LE162+LP162</f>
        <v>0</v>
      </c>
      <c r="MD8" s="156" t="n">
        <f aca="false">J162+U162+AF162+AQ162+BB162+BM162+BX162+CI162+CT162+DE162+DP162+EA162+EL162+EW162+FH162+FS162+GD162+GO162+GZ162+HK162+HV162+IG162+IR162+JC162+JN162+JY162+KJ162+KU162+LF162+LQ162</f>
        <v>0</v>
      </c>
      <c r="ME8" s="156" t="n">
        <f aca="false">K162+V162+AG162+AR162+BC162+BN162+BY162+CJ162+CU162+DF162+DQ162+EB162+EM162+EX162+FI162+FT162+GE162+GP162+HA162+HL162+HW162+IH162+IS162+JD162+JO162+JZ162+KK162+KV162+LG162+LR162</f>
        <v>0</v>
      </c>
      <c r="MF8" s="156" t="n">
        <f aca="false">L162+W162+AH162+AS162+BD162+BO162+BZ162+CK162+CV162+DG162+DR162+EC162+EN162+EY162+FJ162+FU162+GF162+GQ162+HB162+HM162+HX162+II162+IT162+JE162+JP162+KA162+KL162+KW162+LH162+LS162</f>
        <v>0</v>
      </c>
      <c r="MG8" s="157" t="n">
        <f aca="false">M162+X162+AI162+AT162+BE162+BP162+CA162+CL162+CW162+DH162+DS162+ED162+EO162+EZ162+FK162+FV162+GG162+GR162+HC162+HN162+HY162+IJ162+IU162+JF162+JQ162+KB162+KM162+KX162+LI162+LT162</f>
        <v>0</v>
      </c>
    </row>
    <row r="9" customFormat="false" ht="13.8" hidden="false" customHeight="false" outlineLevel="0" collapsed="false">
      <c r="A9" s="29" t="n">
        <v>4</v>
      </c>
      <c r="B9" s="151" t="str">
        <f aca="false">'Datos Iniciales'!T12</f>
        <v>Alumno4</v>
      </c>
      <c r="C9" s="152" t="n">
        <f aca="false">SUMPRODUCT(D$4:M$4,D9:M9)</f>
        <v>4.1</v>
      </c>
      <c r="D9" s="146" t="n">
        <v>4</v>
      </c>
      <c r="E9" s="147" t="n">
        <v>3</v>
      </c>
      <c r="F9" s="147" t="n">
        <v>5</v>
      </c>
      <c r="G9" s="147" t="n">
        <v>6</v>
      </c>
      <c r="H9" s="147" t="n">
        <v>4</v>
      </c>
      <c r="I9" s="147" t="n">
        <v>3</v>
      </c>
      <c r="J9" s="147" t="n">
        <v>4</v>
      </c>
      <c r="K9" s="147"/>
      <c r="L9" s="147"/>
      <c r="M9" s="154"/>
      <c r="N9" s="152" t="n">
        <f aca="false">SUMPRODUCT(O$4:X$4,O9:X9)</f>
        <v>5</v>
      </c>
      <c r="O9" s="146" t="n">
        <v>5</v>
      </c>
      <c r="P9" s="153" t="n">
        <v>5</v>
      </c>
      <c r="Q9" s="153" t="n">
        <v>5</v>
      </c>
      <c r="R9" s="153" t="n">
        <v>5</v>
      </c>
      <c r="S9" s="153" t="n">
        <v>5</v>
      </c>
      <c r="T9" s="153"/>
      <c r="U9" s="153"/>
      <c r="V9" s="147"/>
      <c r="W9" s="147"/>
      <c r="X9" s="154"/>
      <c r="Y9" s="152" t="n">
        <f aca="false">SUMPRODUCT(Z$4:AI$4,Z9:AI9)</f>
        <v>5</v>
      </c>
      <c r="Z9" s="146" t="n">
        <v>5</v>
      </c>
      <c r="AA9" s="153" t="n">
        <v>5</v>
      </c>
      <c r="AB9" s="153" t="n">
        <v>5</v>
      </c>
      <c r="AC9" s="153" t="n">
        <v>5</v>
      </c>
      <c r="AD9" s="153" t="n">
        <v>5</v>
      </c>
      <c r="AE9" s="153"/>
      <c r="AF9" s="153"/>
      <c r="AG9" s="147"/>
      <c r="AH9" s="147"/>
      <c r="AI9" s="154"/>
      <c r="AJ9" s="152" t="n">
        <f aca="false">SUMPRODUCT(AK$4:AT$4,AK9:AT9)</f>
        <v>5</v>
      </c>
      <c r="AK9" s="146" t="n">
        <v>5</v>
      </c>
      <c r="AL9" s="153" t="n">
        <v>5</v>
      </c>
      <c r="AM9" s="153" t="n">
        <v>5</v>
      </c>
      <c r="AN9" s="153" t="n">
        <v>5</v>
      </c>
      <c r="AO9" s="153" t="n">
        <v>5</v>
      </c>
      <c r="AP9" s="147"/>
      <c r="AQ9" s="147"/>
      <c r="AR9" s="147"/>
      <c r="AS9" s="147"/>
      <c r="AT9" s="154"/>
      <c r="AU9" s="152" t="n">
        <f aca="false">SUMPRODUCT(AV$4:BE$4,AV9:BE9)</f>
        <v>4.6</v>
      </c>
      <c r="AV9" s="146" t="n">
        <v>4</v>
      </c>
      <c r="AW9" s="147" t="n">
        <v>3</v>
      </c>
      <c r="AX9" s="147" t="n">
        <v>5</v>
      </c>
      <c r="AY9" s="147" t="n">
        <v>6</v>
      </c>
      <c r="AZ9" s="147" t="n">
        <v>4</v>
      </c>
      <c r="BA9" s="147"/>
      <c r="BB9" s="147"/>
      <c r="BC9" s="147"/>
      <c r="BD9" s="147"/>
      <c r="BE9" s="154"/>
      <c r="BF9" s="152" t="n">
        <f aca="false">SUMPRODUCT(BG$4:BP$4,BG9:BP9)</f>
        <v>4.4</v>
      </c>
      <c r="BG9" s="146" t="n">
        <v>4</v>
      </c>
      <c r="BH9" s="147" t="n">
        <v>3</v>
      </c>
      <c r="BI9" s="147" t="n">
        <v>5</v>
      </c>
      <c r="BJ9" s="147" t="n">
        <v>6</v>
      </c>
      <c r="BK9" s="147" t="n">
        <v>4</v>
      </c>
      <c r="BL9" s="147"/>
      <c r="BM9" s="147"/>
      <c r="BN9" s="147"/>
      <c r="BO9" s="147"/>
      <c r="BP9" s="154"/>
      <c r="BQ9" s="152" t="n">
        <f aca="false">SUMPRODUCT(BR$4:CA$4,BR9:CA9)</f>
        <v>9</v>
      </c>
      <c r="BR9" s="146" t="n">
        <v>9</v>
      </c>
      <c r="BS9" s="147" t="n">
        <v>9</v>
      </c>
      <c r="BT9" s="147" t="n">
        <v>9</v>
      </c>
      <c r="BU9" s="147" t="n">
        <v>9</v>
      </c>
      <c r="BV9" s="147" t="n">
        <v>9</v>
      </c>
      <c r="BW9" s="147"/>
      <c r="BX9" s="147"/>
      <c r="BY9" s="147"/>
      <c r="BZ9" s="147"/>
      <c r="CA9" s="154"/>
      <c r="CB9" s="152" t="n">
        <f aca="false">SUMPRODUCT(CC$4:CL$4,CC9:CL9)</f>
        <v>0</v>
      </c>
      <c r="CC9" s="146"/>
      <c r="CD9" s="147"/>
      <c r="CE9" s="147"/>
      <c r="CF9" s="147"/>
      <c r="CG9" s="147"/>
      <c r="CH9" s="147"/>
      <c r="CI9" s="147"/>
      <c r="CJ9" s="147"/>
      <c r="CK9" s="147"/>
      <c r="CL9" s="154"/>
      <c r="CM9" s="152" t="n">
        <f aca="false">SUMPRODUCT(CN$4:CW$4,CN9:CW9)</f>
        <v>0</v>
      </c>
      <c r="CN9" s="146"/>
      <c r="CO9" s="147"/>
      <c r="CP9" s="147"/>
      <c r="CQ9" s="147"/>
      <c r="CR9" s="147"/>
      <c r="CS9" s="147"/>
      <c r="CT9" s="147"/>
      <c r="CU9" s="147"/>
      <c r="CV9" s="147"/>
      <c r="CW9" s="154"/>
      <c r="CX9" s="152" t="n">
        <f aca="false">SUMPRODUCT(CY$4:DH$4,CY9:DH9)</f>
        <v>0</v>
      </c>
      <c r="CY9" s="146"/>
      <c r="CZ9" s="147"/>
      <c r="DA9" s="147"/>
      <c r="DB9" s="147"/>
      <c r="DC9" s="147"/>
      <c r="DD9" s="147"/>
      <c r="DE9" s="147"/>
      <c r="DF9" s="147"/>
      <c r="DG9" s="147"/>
      <c r="DH9" s="154"/>
      <c r="DI9" s="152" t="n">
        <f aca="false">SUMPRODUCT(DJ$4:DS$4,DJ9:DS9)</f>
        <v>0</v>
      </c>
      <c r="DJ9" s="146"/>
      <c r="DK9" s="147"/>
      <c r="DL9" s="147"/>
      <c r="DM9" s="147"/>
      <c r="DN9" s="147"/>
      <c r="DO9" s="147"/>
      <c r="DP9" s="147"/>
      <c r="DQ9" s="147"/>
      <c r="DR9" s="147"/>
      <c r="DS9" s="154"/>
      <c r="DT9" s="152" t="n">
        <f aca="false">SUMPRODUCT(DU$4:ED$4,DU9:ED9)</f>
        <v>0</v>
      </c>
      <c r="DU9" s="146"/>
      <c r="DV9" s="147"/>
      <c r="DW9" s="147"/>
      <c r="DX9" s="147"/>
      <c r="DY9" s="147"/>
      <c r="DZ9" s="147"/>
      <c r="EA9" s="147"/>
      <c r="EB9" s="147"/>
      <c r="EC9" s="147"/>
      <c r="ED9" s="154"/>
      <c r="EE9" s="152" t="n">
        <f aca="false">SUMPRODUCT(EF$4:EO$4,EF9:EO9)</f>
        <v>0</v>
      </c>
      <c r="EF9" s="146"/>
      <c r="EG9" s="147"/>
      <c r="EH9" s="147"/>
      <c r="EI9" s="147"/>
      <c r="EJ9" s="147"/>
      <c r="EK9" s="147"/>
      <c r="EL9" s="147"/>
      <c r="EM9" s="147"/>
      <c r="EN9" s="147"/>
      <c r="EO9" s="154"/>
      <c r="EP9" s="152" t="n">
        <f aca="false">SUMPRODUCT(EQ$4:EZ$4,EQ9:EZ9)</f>
        <v>0</v>
      </c>
      <c r="EQ9" s="146"/>
      <c r="ER9" s="147"/>
      <c r="ES9" s="147"/>
      <c r="ET9" s="147"/>
      <c r="EU9" s="147"/>
      <c r="EV9" s="147"/>
      <c r="EW9" s="147"/>
      <c r="EX9" s="147"/>
      <c r="EY9" s="147"/>
      <c r="EZ9" s="154"/>
      <c r="FA9" s="152" t="n">
        <f aca="false">SUMPRODUCT(FB$4:FK$4,FB9:FK9)</f>
        <v>0</v>
      </c>
      <c r="FB9" s="146"/>
      <c r="FC9" s="147"/>
      <c r="FD9" s="147"/>
      <c r="FE9" s="147"/>
      <c r="FF9" s="147"/>
      <c r="FG9" s="147"/>
      <c r="FH9" s="147"/>
      <c r="FI9" s="147"/>
      <c r="FJ9" s="147"/>
      <c r="FK9" s="154"/>
      <c r="FL9" s="152" t="n">
        <f aca="false">SUMPRODUCT(FM$4:FV$4,FM9:FV9)</f>
        <v>0</v>
      </c>
      <c r="FM9" s="146"/>
      <c r="FN9" s="147"/>
      <c r="FO9" s="147"/>
      <c r="FP9" s="147"/>
      <c r="FQ9" s="147"/>
      <c r="FR9" s="147"/>
      <c r="FS9" s="147"/>
      <c r="FT9" s="147"/>
      <c r="FU9" s="147"/>
      <c r="FV9" s="154"/>
      <c r="FW9" s="152" t="n">
        <f aca="false">SUMPRODUCT(FX$4:GG$4,FX9:GG9)</f>
        <v>0</v>
      </c>
      <c r="FX9" s="146"/>
      <c r="FY9" s="147"/>
      <c r="FZ9" s="147"/>
      <c r="GA9" s="147"/>
      <c r="GB9" s="147"/>
      <c r="GC9" s="147"/>
      <c r="GD9" s="147"/>
      <c r="GE9" s="147"/>
      <c r="GF9" s="147"/>
      <c r="GG9" s="154"/>
      <c r="GH9" s="152" t="n">
        <f aca="false">SUMPRODUCT(GI$4:GR$4,GI9:GR9)</f>
        <v>0</v>
      </c>
      <c r="GI9" s="146"/>
      <c r="GJ9" s="147"/>
      <c r="GK9" s="147"/>
      <c r="GL9" s="147"/>
      <c r="GM9" s="147"/>
      <c r="GN9" s="147"/>
      <c r="GO9" s="147"/>
      <c r="GP9" s="147"/>
      <c r="GQ9" s="147"/>
      <c r="GR9" s="154"/>
      <c r="GS9" s="152" t="n">
        <f aca="false">SUMPRODUCT(GT$4:HC$4,GT9:HC9)</f>
        <v>0</v>
      </c>
      <c r="GT9" s="146"/>
      <c r="GU9" s="147"/>
      <c r="GV9" s="147"/>
      <c r="GW9" s="147"/>
      <c r="GX9" s="147"/>
      <c r="GY9" s="147"/>
      <c r="GZ9" s="147"/>
      <c r="HA9" s="147"/>
      <c r="HB9" s="147"/>
      <c r="HC9" s="154"/>
      <c r="HD9" s="152" t="n">
        <f aca="false">SUMPRODUCT(HE$4:HN$4,HE9:HN9)</f>
        <v>0</v>
      </c>
      <c r="HE9" s="146"/>
      <c r="HF9" s="147"/>
      <c r="HG9" s="147"/>
      <c r="HH9" s="147"/>
      <c r="HI9" s="147"/>
      <c r="HJ9" s="147"/>
      <c r="HK9" s="147"/>
      <c r="HL9" s="147"/>
      <c r="HM9" s="147"/>
      <c r="HN9" s="154"/>
      <c r="HO9" s="152" t="n">
        <f aca="false">SUMPRODUCT(HP$4:HY$4,HP9:HY9)</f>
        <v>0</v>
      </c>
      <c r="HP9" s="146"/>
      <c r="HQ9" s="147"/>
      <c r="HR9" s="147"/>
      <c r="HS9" s="147"/>
      <c r="HT9" s="147"/>
      <c r="HU9" s="147"/>
      <c r="HV9" s="147"/>
      <c r="HW9" s="147"/>
      <c r="HX9" s="147"/>
      <c r="HY9" s="154"/>
      <c r="HZ9" s="152" t="n">
        <f aca="false">SUMPRODUCT(IA$4:IJ$4,IA9:IJ9)</f>
        <v>0</v>
      </c>
      <c r="IA9" s="146"/>
      <c r="IB9" s="147"/>
      <c r="IC9" s="147"/>
      <c r="ID9" s="147"/>
      <c r="IE9" s="147"/>
      <c r="IF9" s="147"/>
      <c r="IG9" s="147"/>
      <c r="IH9" s="147"/>
      <c r="II9" s="147"/>
      <c r="IJ9" s="154"/>
      <c r="IK9" s="152" t="n">
        <f aca="false">SUMPRODUCT(IL$4:IU$4,IL9:IU9)</f>
        <v>0</v>
      </c>
      <c r="IL9" s="146"/>
      <c r="IM9" s="147"/>
      <c r="IN9" s="147"/>
      <c r="IO9" s="147"/>
      <c r="IP9" s="147"/>
      <c r="IQ9" s="147"/>
      <c r="IR9" s="147"/>
      <c r="IS9" s="147"/>
      <c r="IT9" s="147"/>
      <c r="IU9" s="154"/>
      <c r="IV9" s="152" t="n">
        <f aca="false">SUMPRODUCT(IW$4:JF$4,IW9:JF9)</f>
        <v>0</v>
      </c>
      <c r="IW9" s="146"/>
      <c r="IX9" s="147"/>
      <c r="IY9" s="147"/>
      <c r="IZ9" s="147"/>
      <c r="JA9" s="147"/>
      <c r="JB9" s="147"/>
      <c r="JC9" s="147"/>
      <c r="JD9" s="147"/>
      <c r="JE9" s="147"/>
      <c r="JF9" s="154"/>
      <c r="JG9" s="152" t="n">
        <f aca="false">SUMPRODUCT(JH$4:JQ$4,JH9:JQ9)</f>
        <v>0</v>
      </c>
      <c r="JH9" s="146"/>
      <c r="JI9" s="147"/>
      <c r="JJ9" s="147"/>
      <c r="JK9" s="147"/>
      <c r="JL9" s="147"/>
      <c r="JM9" s="147"/>
      <c r="JN9" s="147"/>
      <c r="JO9" s="147"/>
      <c r="JP9" s="147"/>
      <c r="JQ9" s="154"/>
      <c r="JR9" s="152" t="n">
        <f aca="false">SUMPRODUCT(JS$4:KB$4,JS9:KB9)</f>
        <v>0</v>
      </c>
      <c r="JS9" s="146"/>
      <c r="JT9" s="147"/>
      <c r="JU9" s="147"/>
      <c r="JV9" s="147"/>
      <c r="JW9" s="147"/>
      <c r="JX9" s="147"/>
      <c r="JY9" s="147"/>
      <c r="JZ9" s="147"/>
      <c r="KA9" s="147"/>
      <c r="KB9" s="154"/>
      <c r="KC9" s="152" t="n">
        <f aca="false">SUMPRODUCT(KD$4:KM$4,KD9:KM9)</f>
        <v>0</v>
      </c>
      <c r="KD9" s="146"/>
      <c r="KE9" s="147"/>
      <c r="KF9" s="147"/>
      <c r="KG9" s="147"/>
      <c r="KH9" s="147"/>
      <c r="KI9" s="147"/>
      <c r="KJ9" s="147"/>
      <c r="KK9" s="147"/>
      <c r="KL9" s="147"/>
      <c r="KM9" s="154"/>
      <c r="KN9" s="152" t="n">
        <f aca="false">SUMPRODUCT(KO$4:KX$4,KO9:KX9)</f>
        <v>0</v>
      </c>
      <c r="KO9" s="146"/>
      <c r="KP9" s="147"/>
      <c r="KQ9" s="147"/>
      <c r="KR9" s="147"/>
      <c r="KS9" s="147"/>
      <c r="KT9" s="147"/>
      <c r="KU9" s="147"/>
      <c r="KV9" s="147"/>
      <c r="KW9" s="147"/>
      <c r="KX9" s="154"/>
      <c r="KY9" s="152" t="n">
        <f aca="false">SUMPRODUCT(KZ$4:LI$4,KZ9:LI9)</f>
        <v>0</v>
      </c>
      <c r="KZ9" s="146"/>
      <c r="LA9" s="147"/>
      <c r="LB9" s="147"/>
      <c r="LC9" s="147"/>
      <c r="LD9" s="147"/>
      <c r="LE9" s="147"/>
      <c r="LF9" s="147"/>
      <c r="LG9" s="147"/>
      <c r="LH9" s="147"/>
      <c r="LI9" s="154"/>
      <c r="LJ9" s="152" t="n">
        <f aca="false">SUMPRODUCT(LK$4:LT$4,LK9:LT9)</f>
        <v>0</v>
      </c>
      <c r="LK9" s="146"/>
      <c r="LL9" s="147"/>
      <c r="LM9" s="147"/>
      <c r="LN9" s="147"/>
      <c r="LO9" s="147"/>
      <c r="LP9" s="147"/>
      <c r="LQ9" s="147"/>
      <c r="LR9" s="147"/>
      <c r="LS9" s="147"/>
      <c r="LT9" s="154"/>
      <c r="LW9" s="152"/>
      <c r="LX9" s="155" t="n">
        <f aca="false">D163+O163+Z163+AK163+AV163+BG163+BR163+CC163+CN163+CY163+DJ163+DU163+EF163+EQ163+FB163+FM163+FX163+GI163+GT163+HE163+HP163+IA163+IL163+IW163+JH163+JS163+KD163+KO163+KZ163+LK163</f>
        <v>4.625</v>
      </c>
      <c r="LY9" s="156" t="n">
        <f aca="false">E163+P163+AA163+AL163+AW163+BH163+BS163+CD163+CO163+CZ163+DK163+DV163+EG163+ER163+FC163+FN163+FY163+GJ163+GU163+HF163+HQ163+IB163+IM163+IX163+JI163+JT163+KE163+KP163+LA163+LL163</f>
        <v>4.7</v>
      </c>
      <c r="LZ9" s="156" t="n">
        <f aca="false">F163+Q163+AB163+AM163+AX163+BI163+BT163+CE163+CP163+DA163+DL163+DW163+EH163+ES163+FD163+FO163+FZ163+GK163+GV163+HG163+HR163+IC163+IN163+IY163+JJ163+JU163+KF163+KQ163+LB163+LM163</f>
        <v>5.78</v>
      </c>
      <c r="MA9" s="156" t="n">
        <f aca="false">G163+R163+AC163+AN163+AY163+BJ163+BU163+CF163+CQ163+DB163+DM163+DX163+EI163+ET163+FE163+FP163+GA163+GL163+GW163+HH163+HS163+ID163+IO163+IZ163+JK163+JV163+KG163+KR163+LC163+LN163</f>
        <v>6.82</v>
      </c>
      <c r="MB9" s="156" t="n">
        <f aca="false">H163+S163+AD163+AO163+AZ163+BK163+BV163+CG163+CR163+DC163+DN163+DY163+EJ163+EU163+FF163+FQ163+GB163+GM163+GX163+HI163+HT163+IE163+IP163+JA163+JL163+JW163+KH163+KS163+LD163+LO163</f>
        <v>0</v>
      </c>
      <c r="MC9" s="156" t="n">
        <f aca="false">I163+T163+AE163+AP163+BA163+BL163+BW163+CH163+CS163+DD163+DO163+DZ163+EK163+EV163+FG163+FR163+GC163+GN163+GY163+HJ163+HU163+IF163+IQ163+JB163+JM163+JX163+KI163+KT163+LE163+LP163</f>
        <v>0</v>
      </c>
      <c r="MD9" s="156" t="n">
        <f aca="false">J163+U163+AF163+AQ163+BB163+BM163+BX163+CI163+CT163+DE163+DP163+EA163+EL163+EW163+FH163+FS163+GD163+GO163+GZ163+HK163+HV163+IG163+IR163+JC163+JN163+JY163+KJ163+KU163+LF163+LQ163</f>
        <v>0</v>
      </c>
      <c r="ME9" s="156" t="n">
        <f aca="false">K163+V163+AG163+AR163+BC163+BN163+BY163+CJ163+CU163+DF163+DQ163+EB163+EM163+EX163+FI163+FT163+GE163+GP163+HA163+HL163+HW163+IH163+IS163+JD163+JO163+JZ163+KK163+KV163+LG163+LR163</f>
        <v>0</v>
      </c>
      <c r="MF9" s="156" t="n">
        <f aca="false">L163+W163+AH163+AS163+BD163+BO163+BZ163+CK163+CV163+DG163+DR163+EC163+EN163+EY163+FJ163+FU163+GF163+GQ163+HB163+HM163+HX163+II163+IT163+JE163+JP163+KA163+KL163+KW163+LH163+LS163</f>
        <v>0</v>
      </c>
      <c r="MG9" s="157" t="n">
        <f aca="false">M163+X163+AI163+AT163+BE163+BP163+CA163+CL163+CW163+DH163+DS163+ED163+EO163+EZ163+FK163+FV163+GG163+GR163+HC163+HN163+HY163+IJ163+IU163+JF163+JQ163+KB163+KM163+KX163+LI163+LT163</f>
        <v>0</v>
      </c>
    </row>
    <row r="10" customFormat="false" ht="13.8" hidden="false" customHeight="false" outlineLevel="0" collapsed="false">
      <c r="A10" s="29" t="n">
        <v>5</v>
      </c>
      <c r="B10" s="151" t="str">
        <f aca="false">'Datos Iniciales'!T13</f>
        <v>Alumno5</v>
      </c>
      <c r="C10" s="152" t="n">
        <f aca="false">SUMPRODUCT(D$4:M$4,D10:M10)</f>
        <v>3.35</v>
      </c>
      <c r="D10" s="146" t="n">
        <v>3</v>
      </c>
      <c r="E10" s="147" t="n">
        <v>3</v>
      </c>
      <c r="F10" s="147" t="n">
        <v>2</v>
      </c>
      <c r="G10" s="147" t="n">
        <v>4</v>
      </c>
      <c r="H10" s="147" t="n">
        <v>5</v>
      </c>
      <c r="I10" s="147" t="n">
        <v>4</v>
      </c>
      <c r="J10" s="147" t="n">
        <v>3</v>
      </c>
      <c r="K10" s="147"/>
      <c r="L10" s="147"/>
      <c r="M10" s="154"/>
      <c r="N10" s="152" t="n">
        <f aca="false">SUMPRODUCT(O$4:X$4,O10:X10)</f>
        <v>9</v>
      </c>
      <c r="O10" s="146" t="n">
        <v>9</v>
      </c>
      <c r="P10" s="147" t="n">
        <v>9</v>
      </c>
      <c r="Q10" s="147" t="n">
        <v>9</v>
      </c>
      <c r="R10" s="147" t="n">
        <v>9</v>
      </c>
      <c r="S10" s="147" t="n">
        <v>9</v>
      </c>
      <c r="T10" s="147"/>
      <c r="U10" s="147"/>
      <c r="V10" s="147"/>
      <c r="W10" s="147"/>
      <c r="X10" s="154"/>
      <c r="Y10" s="152" t="n">
        <f aca="false">SUMPRODUCT(Z$4:AI$4,Z10:AI10)</f>
        <v>9</v>
      </c>
      <c r="Z10" s="146" t="n">
        <v>9</v>
      </c>
      <c r="AA10" s="147" t="n">
        <v>9</v>
      </c>
      <c r="AB10" s="147" t="n">
        <v>9</v>
      </c>
      <c r="AC10" s="147" t="n">
        <v>9</v>
      </c>
      <c r="AD10" s="147" t="n">
        <v>9</v>
      </c>
      <c r="AE10" s="147"/>
      <c r="AF10" s="147"/>
      <c r="AG10" s="147"/>
      <c r="AH10" s="147"/>
      <c r="AI10" s="154"/>
      <c r="AJ10" s="152" t="n">
        <f aca="false">SUMPRODUCT(AK$4:AT$4,AK10:AT10)</f>
        <v>9</v>
      </c>
      <c r="AK10" s="146" t="n">
        <v>9</v>
      </c>
      <c r="AL10" s="147" t="n">
        <v>9</v>
      </c>
      <c r="AM10" s="147" t="n">
        <v>9</v>
      </c>
      <c r="AN10" s="147" t="n">
        <v>9</v>
      </c>
      <c r="AO10" s="147" t="n">
        <v>9</v>
      </c>
      <c r="AP10" s="147"/>
      <c r="AQ10" s="147"/>
      <c r="AR10" s="147"/>
      <c r="AS10" s="147"/>
      <c r="AT10" s="154"/>
      <c r="AU10" s="152" t="n">
        <f aca="false">SUMPRODUCT(AV$4:BE$4,AV10:BE10)</f>
        <v>3.5</v>
      </c>
      <c r="AV10" s="146" t="n">
        <v>3</v>
      </c>
      <c r="AW10" s="147" t="n">
        <v>3</v>
      </c>
      <c r="AX10" s="147" t="n">
        <v>2</v>
      </c>
      <c r="AY10" s="147" t="n">
        <v>4</v>
      </c>
      <c r="AZ10" s="147" t="n">
        <v>5</v>
      </c>
      <c r="BA10" s="147"/>
      <c r="BB10" s="147"/>
      <c r="BC10" s="147"/>
      <c r="BD10" s="147"/>
      <c r="BE10" s="154"/>
      <c r="BF10" s="152" t="n">
        <f aca="false">SUMPRODUCT(BG$4:BP$4,BG10:BP10)</f>
        <v>3.6</v>
      </c>
      <c r="BG10" s="146" t="n">
        <v>3</v>
      </c>
      <c r="BH10" s="147" t="n">
        <v>3</v>
      </c>
      <c r="BI10" s="147" t="n">
        <v>2</v>
      </c>
      <c r="BJ10" s="147" t="n">
        <v>4</v>
      </c>
      <c r="BK10" s="147" t="n">
        <v>5</v>
      </c>
      <c r="BL10" s="147"/>
      <c r="BM10" s="147"/>
      <c r="BN10" s="147"/>
      <c r="BO10" s="147"/>
      <c r="BP10" s="154"/>
      <c r="BQ10" s="152" t="n">
        <f aca="false">SUMPRODUCT(BR$4:CA$4,BR10:CA10)</f>
        <v>9.7</v>
      </c>
      <c r="BR10" s="146" t="n">
        <v>10</v>
      </c>
      <c r="BS10" s="147" t="n">
        <v>9</v>
      </c>
      <c r="BT10" s="147" t="n">
        <v>10</v>
      </c>
      <c r="BU10" s="147" t="n">
        <v>9</v>
      </c>
      <c r="BV10" s="147" t="n">
        <v>10</v>
      </c>
      <c r="BW10" s="147"/>
      <c r="BX10" s="147"/>
      <c r="BY10" s="147"/>
      <c r="BZ10" s="147"/>
      <c r="CA10" s="154"/>
      <c r="CB10" s="152" t="n">
        <f aca="false">SUMPRODUCT(CC$4:CL$4,CC10:CL10)</f>
        <v>0</v>
      </c>
      <c r="CC10" s="146"/>
      <c r="CD10" s="147"/>
      <c r="CE10" s="147"/>
      <c r="CF10" s="147"/>
      <c r="CG10" s="147"/>
      <c r="CH10" s="147"/>
      <c r="CI10" s="147"/>
      <c r="CJ10" s="147"/>
      <c r="CK10" s="147"/>
      <c r="CL10" s="154"/>
      <c r="CM10" s="152" t="n">
        <f aca="false">SUMPRODUCT(CN$4:CW$4,CN10:CW10)</f>
        <v>0</v>
      </c>
      <c r="CN10" s="146"/>
      <c r="CO10" s="147"/>
      <c r="CP10" s="147"/>
      <c r="CQ10" s="147"/>
      <c r="CR10" s="147"/>
      <c r="CS10" s="147"/>
      <c r="CT10" s="147"/>
      <c r="CU10" s="147"/>
      <c r="CV10" s="147"/>
      <c r="CW10" s="154"/>
      <c r="CX10" s="152" t="n">
        <f aca="false">SUMPRODUCT(CY$4:DH$4,CY10:DH10)</f>
        <v>0</v>
      </c>
      <c r="CY10" s="146"/>
      <c r="CZ10" s="147"/>
      <c r="DA10" s="147"/>
      <c r="DB10" s="147"/>
      <c r="DC10" s="147"/>
      <c r="DD10" s="147"/>
      <c r="DE10" s="147"/>
      <c r="DF10" s="147"/>
      <c r="DG10" s="147"/>
      <c r="DH10" s="154"/>
      <c r="DI10" s="152" t="n">
        <f aca="false">SUMPRODUCT(DJ$4:DS$4,DJ10:DS10)</f>
        <v>0</v>
      </c>
      <c r="DJ10" s="146"/>
      <c r="DK10" s="147"/>
      <c r="DL10" s="147"/>
      <c r="DM10" s="147"/>
      <c r="DN10" s="147"/>
      <c r="DO10" s="147"/>
      <c r="DP10" s="147"/>
      <c r="DQ10" s="147"/>
      <c r="DR10" s="147"/>
      <c r="DS10" s="154"/>
      <c r="DT10" s="152" t="n">
        <f aca="false">SUMPRODUCT(DU$4:ED$4,DU10:ED10)</f>
        <v>0</v>
      </c>
      <c r="DU10" s="146"/>
      <c r="DV10" s="147"/>
      <c r="DW10" s="147"/>
      <c r="DX10" s="147"/>
      <c r="DY10" s="147"/>
      <c r="DZ10" s="147"/>
      <c r="EA10" s="147"/>
      <c r="EB10" s="147"/>
      <c r="EC10" s="147"/>
      <c r="ED10" s="154"/>
      <c r="EE10" s="152" t="n">
        <f aca="false">SUMPRODUCT(EF$4:EO$4,EF10:EO10)</f>
        <v>0</v>
      </c>
      <c r="EF10" s="146"/>
      <c r="EG10" s="147"/>
      <c r="EH10" s="147"/>
      <c r="EI10" s="147"/>
      <c r="EJ10" s="147"/>
      <c r="EK10" s="147"/>
      <c r="EL10" s="147"/>
      <c r="EM10" s="147"/>
      <c r="EN10" s="147"/>
      <c r="EO10" s="154"/>
      <c r="EP10" s="152" t="n">
        <f aca="false">SUMPRODUCT(EQ$4:EZ$4,EQ10:EZ10)</f>
        <v>0</v>
      </c>
      <c r="EQ10" s="146"/>
      <c r="ER10" s="147"/>
      <c r="ES10" s="147"/>
      <c r="ET10" s="147"/>
      <c r="EU10" s="147"/>
      <c r="EV10" s="147"/>
      <c r="EW10" s="147"/>
      <c r="EX10" s="147"/>
      <c r="EY10" s="147"/>
      <c r="EZ10" s="154"/>
      <c r="FA10" s="152" t="n">
        <f aca="false">SUMPRODUCT(FB$4:FK$4,FB10:FK10)</f>
        <v>0</v>
      </c>
      <c r="FB10" s="146"/>
      <c r="FC10" s="147"/>
      <c r="FD10" s="147"/>
      <c r="FE10" s="147"/>
      <c r="FF10" s="147"/>
      <c r="FG10" s="147"/>
      <c r="FH10" s="147"/>
      <c r="FI10" s="147"/>
      <c r="FJ10" s="147"/>
      <c r="FK10" s="154"/>
      <c r="FL10" s="152" t="n">
        <f aca="false">SUMPRODUCT(FM$4:FV$4,FM10:FV10)</f>
        <v>0</v>
      </c>
      <c r="FM10" s="146"/>
      <c r="FN10" s="147"/>
      <c r="FO10" s="147"/>
      <c r="FP10" s="147"/>
      <c r="FQ10" s="147"/>
      <c r="FR10" s="147"/>
      <c r="FS10" s="147"/>
      <c r="FT10" s="147"/>
      <c r="FU10" s="147"/>
      <c r="FV10" s="154"/>
      <c r="FW10" s="152" t="n">
        <f aca="false">SUMPRODUCT(FX$4:GG$4,FX10:GG10)</f>
        <v>0</v>
      </c>
      <c r="FX10" s="146"/>
      <c r="FY10" s="147"/>
      <c r="FZ10" s="147"/>
      <c r="GA10" s="147"/>
      <c r="GB10" s="147"/>
      <c r="GC10" s="147"/>
      <c r="GD10" s="147"/>
      <c r="GE10" s="147"/>
      <c r="GF10" s="147"/>
      <c r="GG10" s="154"/>
      <c r="GH10" s="152" t="n">
        <f aca="false">SUMPRODUCT(GI$4:GR$4,GI10:GR10)</f>
        <v>0</v>
      </c>
      <c r="GI10" s="146"/>
      <c r="GJ10" s="147"/>
      <c r="GK10" s="147"/>
      <c r="GL10" s="147"/>
      <c r="GM10" s="147"/>
      <c r="GN10" s="147"/>
      <c r="GO10" s="147"/>
      <c r="GP10" s="147"/>
      <c r="GQ10" s="147"/>
      <c r="GR10" s="154"/>
      <c r="GS10" s="152" t="n">
        <f aca="false">SUMPRODUCT(GT$4:HC$4,GT10:HC10)</f>
        <v>0</v>
      </c>
      <c r="GT10" s="146"/>
      <c r="GU10" s="147"/>
      <c r="GV10" s="147"/>
      <c r="GW10" s="147"/>
      <c r="GX10" s="147"/>
      <c r="GY10" s="147"/>
      <c r="GZ10" s="147"/>
      <c r="HA10" s="147"/>
      <c r="HB10" s="147"/>
      <c r="HC10" s="154"/>
      <c r="HD10" s="152" t="n">
        <f aca="false">SUMPRODUCT(HE$4:HN$4,HE10:HN10)</f>
        <v>0</v>
      </c>
      <c r="HE10" s="146"/>
      <c r="HF10" s="147"/>
      <c r="HG10" s="147"/>
      <c r="HH10" s="147"/>
      <c r="HI10" s="147"/>
      <c r="HJ10" s="147"/>
      <c r="HK10" s="147"/>
      <c r="HL10" s="147"/>
      <c r="HM10" s="147"/>
      <c r="HN10" s="154"/>
      <c r="HO10" s="152" t="n">
        <f aca="false">SUMPRODUCT(HP$4:HY$4,HP10:HY10)</f>
        <v>0</v>
      </c>
      <c r="HP10" s="146"/>
      <c r="HQ10" s="147"/>
      <c r="HR10" s="147"/>
      <c r="HS10" s="147"/>
      <c r="HT10" s="147"/>
      <c r="HU10" s="147"/>
      <c r="HV10" s="147"/>
      <c r="HW10" s="147"/>
      <c r="HX10" s="147"/>
      <c r="HY10" s="154"/>
      <c r="HZ10" s="152" t="n">
        <f aca="false">SUMPRODUCT(IA$4:IJ$4,IA10:IJ10)</f>
        <v>0</v>
      </c>
      <c r="IA10" s="146"/>
      <c r="IB10" s="147"/>
      <c r="IC10" s="147"/>
      <c r="ID10" s="147"/>
      <c r="IE10" s="147"/>
      <c r="IF10" s="147"/>
      <c r="IG10" s="147"/>
      <c r="IH10" s="147"/>
      <c r="II10" s="147"/>
      <c r="IJ10" s="154"/>
      <c r="IK10" s="152" t="n">
        <f aca="false">SUMPRODUCT(IL$4:IU$4,IL10:IU10)</f>
        <v>0</v>
      </c>
      <c r="IL10" s="146"/>
      <c r="IM10" s="147"/>
      <c r="IN10" s="147"/>
      <c r="IO10" s="147"/>
      <c r="IP10" s="147"/>
      <c r="IQ10" s="147"/>
      <c r="IR10" s="147"/>
      <c r="IS10" s="147"/>
      <c r="IT10" s="147"/>
      <c r="IU10" s="154"/>
      <c r="IV10" s="152" t="n">
        <f aca="false">SUMPRODUCT(IW$4:JF$4,IW10:JF10)</f>
        <v>0</v>
      </c>
      <c r="IW10" s="146"/>
      <c r="IX10" s="147"/>
      <c r="IY10" s="147"/>
      <c r="IZ10" s="147"/>
      <c r="JA10" s="147"/>
      <c r="JB10" s="147"/>
      <c r="JC10" s="147"/>
      <c r="JD10" s="147"/>
      <c r="JE10" s="147"/>
      <c r="JF10" s="154"/>
      <c r="JG10" s="152" t="n">
        <f aca="false">SUMPRODUCT(JH$4:JQ$4,JH10:JQ10)</f>
        <v>0</v>
      </c>
      <c r="JH10" s="146"/>
      <c r="JI10" s="147"/>
      <c r="JJ10" s="147"/>
      <c r="JK10" s="147"/>
      <c r="JL10" s="147"/>
      <c r="JM10" s="147"/>
      <c r="JN10" s="147"/>
      <c r="JO10" s="147"/>
      <c r="JP10" s="147"/>
      <c r="JQ10" s="154"/>
      <c r="JR10" s="152" t="n">
        <f aca="false">SUMPRODUCT(JS$4:KB$4,JS10:KB10)</f>
        <v>0</v>
      </c>
      <c r="JS10" s="146"/>
      <c r="JT10" s="147"/>
      <c r="JU10" s="147"/>
      <c r="JV10" s="147"/>
      <c r="JW10" s="147"/>
      <c r="JX10" s="147"/>
      <c r="JY10" s="147"/>
      <c r="JZ10" s="147"/>
      <c r="KA10" s="147"/>
      <c r="KB10" s="154"/>
      <c r="KC10" s="152" t="n">
        <f aca="false">SUMPRODUCT(KD$4:KM$4,KD10:KM10)</f>
        <v>0</v>
      </c>
      <c r="KD10" s="146"/>
      <c r="KE10" s="147"/>
      <c r="KF10" s="147"/>
      <c r="KG10" s="147"/>
      <c r="KH10" s="147"/>
      <c r="KI10" s="147"/>
      <c r="KJ10" s="147"/>
      <c r="KK10" s="147"/>
      <c r="KL10" s="147"/>
      <c r="KM10" s="154"/>
      <c r="KN10" s="152" t="n">
        <f aca="false">SUMPRODUCT(KO$4:KX$4,KO10:KX10)</f>
        <v>0</v>
      </c>
      <c r="KO10" s="146"/>
      <c r="KP10" s="147"/>
      <c r="KQ10" s="147"/>
      <c r="KR10" s="147"/>
      <c r="KS10" s="147"/>
      <c r="KT10" s="147"/>
      <c r="KU10" s="147"/>
      <c r="KV10" s="147"/>
      <c r="KW10" s="147"/>
      <c r="KX10" s="154"/>
      <c r="KY10" s="152" t="n">
        <f aca="false">SUMPRODUCT(KZ$4:LI$4,KZ10:LI10)</f>
        <v>0</v>
      </c>
      <c r="KZ10" s="146"/>
      <c r="LA10" s="147"/>
      <c r="LB10" s="147"/>
      <c r="LC10" s="147"/>
      <c r="LD10" s="147"/>
      <c r="LE10" s="147"/>
      <c r="LF10" s="147"/>
      <c r="LG10" s="147"/>
      <c r="LH10" s="147"/>
      <c r="LI10" s="154"/>
      <c r="LJ10" s="152" t="n">
        <f aca="false">SUMPRODUCT(LK$4:LT$4,LK10:LT10)</f>
        <v>0</v>
      </c>
      <c r="LK10" s="146"/>
      <c r="LL10" s="147"/>
      <c r="LM10" s="147"/>
      <c r="LN10" s="147"/>
      <c r="LO10" s="147"/>
      <c r="LP10" s="147"/>
      <c r="LQ10" s="147"/>
      <c r="LR10" s="147"/>
      <c r="LS10" s="147"/>
      <c r="LT10" s="154"/>
      <c r="LW10" s="152"/>
      <c r="LX10" s="155" t="n">
        <f aca="false">D164+O164+Z164+AK164+AV164+BG164+BR164+CC164+CN164+CY164+DJ164+DU164+EF164+EQ164+FB164+FM164+FX164+GI164+GT164+HE164+HP164+IA164+IL164+IW164+JH164+JS164+KD164+KO164+KZ164+LK164</f>
        <v>6.6875</v>
      </c>
      <c r="LY10" s="156" t="n">
        <f aca="false">E164+P164+AA164+AL164+AW164+BH164+BS164+CD164+CO164+CZ164+DK164+DV164+EG164+ER164+FC164+FN164+FY164+GJ164+GU164+HF164+HQ164+IB164+IM164+IX164+JI164+JT164+KE164+KP164+LA164+LL164</f>
        <v>7.55</v>
      </c>
      <c r="LZ10" s="156" t="n">
        <f aca="false">F164+Q164+AB164+AM164+AX164+BI164+BT164+CE164+CP164+DA164+DL164+DW164+EH164+ES164+FD164+FO164+FZ164+GK164+GV164+HG164+HR164+IC164+IN164+IY164+JJ164+JU164+KF164+KQ164+LB164+LM164</f>
        <v>6.66</v>
      </c>
      <c r="MA10" s="156" t="n">
        <f aca="false">G164+R164+AC164+AN164+AY164+BJ164+BU164+CF164+CQ164+DB164+DM164+DX164+EI164+ET164+FE164+FP164+GA164+GL164+GW164+HH164+HS164+ID164+IO164+IZ164+JK164+JV164+KG164+KR164+LC164+LN164</f>
        <v>7.14</v>
      </c>
      <c r="MB10" s="156" t="n">
        <f aca="false">H164+S164+AD164+AO164+AZ164+BK164+BV164+CG164+CR164+DC164+DN164+DY164+EJ164+EU164+FF164+FQ164+GB164+GM164+GX164+HI164+HT164+IE164+IP164+JA164+JL164+JW164+KH164+KS164+LD164+LO164</f>
        <v>0</v>
      </c>
      <c r="MC10" s="156" t="n">
        <f aca="false">I164+T164+AE164+AP164+BA164+BL164+BW164+CH164+CS164+DD164+DO164+DZ164+EK164+EV164+FG164+FR164+GC164+GN164+GY164+HJ164+HU164+IF164+IQ164+JB164+JM164+JX164+KI164+KT164+LE164+LP164</f>
        <v>0</v>
      </c>
      <c r="MD10" s="156" t="n">
        <f aca="false">J164+U164+AF164+AQ164+BB164+BM164+BX164+CI164+CT164+DE164+DP164+EA164+EL164+EW164+FH164+FS164+GD164+GO164+GZ164+HK164+HV164+IG164+IR164+JC164+JN164+JY164+KJ164+KU164+LF164+LQ164</f>
        <v>0</v>
      </c>
      <c r="ME10" s="156" t="n">
        <f aca="false">K164+V164+AG164+AR164+BC164+BN164+BY164+CJ164+CU164+DF164+DQ164+EB164+EM164+EX164+FI164+FT164+GE164+GP164+HA164+HL164+HW164+IH164+IS164+JD164+JO164+JZ164+KK164+KV164+LG164+LR164</f>
        <v>0</v>
      </c>
      <c r="MF10" s="156" t="n">
        <f aca="false">L164+W164+AH164+AS164+BD164+BO164+BZ164+CK164+CV164+DG164+DR164+EC164+EN164+EY164+FJ164+FU164+GF164+GQ164+HB164+HM164+HX164+II164+IT164+JE164+JP164+KA164+KL164+KW164+LH164+LS164</f>
        <v>0</v>
      </c>
      <c r="MG10" s="157" t="n">
        <f aca="false">M164+X164+AI164+AT164+BE164+BP164+CA164+CL164+CW164+DH164+DS164+ED164+EO164+EZ164+FK164+FV164+GG164+GR164+HC164+HN164+HY164+IJ164+IU164+JF164+JQ164+KB164+KM164+KX164+LI164+LT164</f>
        <v>0</v>
      </c>
    </row>
    <row r="11" customFormat="false" ht="13.8" hidden="false" customHeight="false" outlineLevel="0" collapsed="false">
      <c r="A11" s="29" t="n">
        <v>6</v>
      </c>
      <c r="B11" s="151" t="str">
        <f aca="false">'Datos Iniciales'!T14</f>
        <v>Alumno6</v>
      </c>
      <c r="C11" s="152" t="n">
        <f aca="false">SUMPRODUCT(D$4:M$4,D11:M11)</f>
        <v>9.55</v>
      </c>
      <c r="D11" s="146" t="n">
        <v>9</v>
      </c>
      <c r="E11" s="147" t="n">
        <v>10</v>
      </c>
      <c r="F11" s="147" t="n">
        <v>10</v>
      </c>
      <c r="G11" s="147" t="n">
        <v>10</v>
      </c>
      <c r="H11" s="147" t="n">
        <v>9</v>
      </c>
      <c r="I11" s="147" t="n">
        <v>9</v>
      </c>
      <c r="J11" s="147" t="n">
        <v>10</v>
      </c>
      <c r="K11" s="147"/>
      <c r="L11" s="147"/>
      <c r="M11" s="154"/>
      <c r="N11" s="152" t="n">
        <f aca="false">SUMPRODUCT(O$4:X$4,O11:X11)</f>
        <v>9.6</v>
      </c>
      <c r="O11" s="146" t="n">
        <v>10</v>
      </c>
      <c r="P11" s="147" t="n">
        <v>9</v>
      </c>
      <c r="Q11" s="147" t="n">
        <v>10</v>
      </c>
      <c r="R11" s="147" t="n">
        <v>9</v>
      </c>
      <c r="S11" s="147" t="n">
        <v>10</v>
      </c>
      <c r="T11" s="147"/>
      <c r="U11" s="147"/>
      <c r="V11" s="147"/>
      <c r="W11" s="147"/>
      <c r="X11" s="154"/>
      <c r="Y11" s="152" t="n">
        <f aca="false">SUMPRODUCT(Z$4:AI$4,Z11:AI11)</f>
        <v>9.6</v>
      </c>
      <c r="Z11" s="146" t="n">
        <v>10</v>
      </c>
      <c r="AA11" s="147" t="n">
        <v>9</v>
      </c>
      <c r="AB11" s="147" t="n">
        <v>10</v>
      </c>
      <c r="AC11" s="147" t="n">
        <v>9</v>
      </c>
      <c r="AD11" s="147" t="n">
        <v>10</v>
      </c>
      <c r="AE11" s="147"/>
      <c r="AF11" s="147"/>
      <c r="AG11" s="147"/>
      <c r="AH11" s="147"/>
      <c r="AI11" s="154"/>
      <c r="AJ11" s="152" t="n">
        <f aca="false">SUMPRODUCT(AK$4:AT$4,AK11:AT11)</f>
        <v>9.6</v>
      </c>
      <c r="AK11" s="146" t="n">
        <v>10</v>
      </c>
      <c r="AL11" s="147" t="n">
        <v>9</v>
      </c>
      <c r="AM11" s="147" t="n">
        <v>10</v>
      </c>
      <c r="AN11" s="147" t="n">
        <v>9</v>
      </c>
      <c r="AO11" s="147" t="n">
        <v>10</v>
      </c>
      <c r="AP11" s="147"/>
      <c r="AQ11" s="147"/>
      <c r="AR11" s="147"/>
      <c r="AS11" s="147"/>
      <c r="AT11" s="154"/>
      <c r="AU11" s="152" t="n">
        <f aca="false">SUMPRODUCT(AV$4:BE$4,AV11:BE11)</f>
        <v>9.7</v>
      </c>
      <c r="AV11" s="146" t="n">
        <v>9</v>
      </c>
      <c r="AW11" s="147" t="n">
        <v>10</v>
      </c>
      <c r="AX11" s="147" t="n">
        <v>10</v>
      </c>
      <c r="AY11" s="147" t="n">
        <v>10</v>
      </c>
      <c r="AZ11" s="147" t="n">
        <v>9</v>
      </c>
      <c r="BA11" s="147"/>
      <c r="BB11" s="147"/>
      <c r="BC11" s="147"/>
      <c r="BD11" s="147"/>
      <c r="BE11" s="154"/>
      <c r="BF11" s="152" t="n">
        <f aca="false">SUMPRODUCT(BG$4:BP$4,BG11:BP11)</f>
        <v>9.6</v>
      </c>
      <c r="BG11" s="146" t="n">
        <v>9</v>
      </c>
      <c r="BH11" s="147" t="n">
        <v>10</v>
      </c>
      <c r="BI11" s="147" t="n">
        <v>10</v>
      </c>
      <c r="BJ11" s="147" t="n">
        <v>10</v>
      </c>
      <c r="BK11" s="147" t="n">
        <v>9</v>
      </c>
      <c r="BL11" s="147"/>
      <c r="BM11" s="147"/>
      <c r="BN11" s="147"/>
      <c r="BO11" s="147"/>
      <c r="BP11" s="154"/>
      <c r="BQ11" s="152" t="n">
        <f aca="false">SUMPRODUCT(BR$4:CA$4,BR11:CA11)</f>
        <v>6.8</v>
      </c>
      <c r="BR11" s="146" t="n">
        <v>6</v>
      </c>
      <c r="BS11" s="147" t="n">
        <v>7</v>
      </c>
      <c r="BT11" s="147" t="n">
        <v>8</v>
      </c>
      <c r="BU11" s="147" t="n">
        <v>9</v>
      </c>
      <c r="BV11" s="147" t="n">
        <v>5</v>
      </c>
      <c r="BW11" s="147"/>
      <c r="BX11" s="147"/>
      <c r="BY11" s="147"/>
      <c r="BZ11" s="147"/>
      <c r="CA11" s="154"/>
      <c r="CB11" s="152" t="n">
        <f aca="false">SUMPRODUCT(CC$4:CL$4,CC11:CL11)</f>
        <v>0</v>
      </c>
      <c r="CC11" s="146"/>
      <c r="CD11" s="147"/>
      <c r="CE11" s="147"/>
      <c r="CF11" s="147"/>
      <c r="CG11" s="147"/>
      <c r="CH11" s="147"/>
      <c r="CI11" s="147"/>
      <c r="CJ11" s="147"/>
      <c r="CK11" s="147"/>
      <c r="CL11" s="154"/>
      <c r="CM11" s="152" t="n">
        <f aca="false">SUMPRODUCT(CN$4:CW$4,CN11:CW11)</f>
        <v>0</v>
      </c>
      <c r="CN11" s="146"/>
      <c r="CO11" s="147"/>
      <c r="CP11" s="147"/>
      <c r="CQ11" s="147"/>
      <c r="CR11" s="147"/>
      <c r="CS11" s="147"/>
      <c r="CT11" s="147"/>
      <c r="CU11" s="147"/>
      <c r="CV11" s="147"/>
      <c r="CW11" s="154"/>
      <c r="CX11" s="152" t="n">
        <f aca="false">SUMPRODUCT(CY$4:DH$4,CY11:DH11)</f>
        <v>0</v>
      </c>
      <c r="CY11" s="146"/>
      <c r="CZ11" s="147"/>
      <c r="DA11" s="147"/>
      <c r="DB11" s="147"/>
      <c r="DC11" s="147"/>
      <c r="DD11" s="147"/>
      <c r="DE11" s="147"/>
      <c r="DF11" s="147"/>
      <c r="DG11" s="147"/>
      <c r="DH11" s="154"/>
      <c r="DI11" s="152" t="n">
        <f aca="false">SUMPRODUCT(DJ$4:DS$4,DJ11:DS11)</f>
        <v>0</v>
      </c>
      <c r="DJ11" s="146"/>
      <c r="DK11" s="147"/>
      <c r="DL11" s="147"/>
      <c r="DM11" s="147"/>
      <c r="DN11" s="147"/>
      <c r="DO11" s="147"/>
      <c r="DP11" s="147"/>
      <c r="DQ11" s="147"/>
      <c r="DR11" s="147"/>
      <c r="DS11" s="154"/>
      <c r="DT11" s="152" t="n">
        <f aca="false">SUMPRODUCT(DU$4:ED$4,DU11:ED11)</f>
        <v>0</v>
      </c>
      <c r="DU11" s="146"/>
      <c r="DV11" s="147"/>
      <c r="DW11" s="147"/>
      <c r="DX11" s="147"/>
      <c r="DY11" s="147"/>
      <c r="DZ11" s="147"/>
      <c r="EA11" s="147"/>
      <c r="EB11" s="147"/>
      <c r="EC11" s="147"/>
      <c r="ED11" s="154"/>
      <c r="EE11" s="152" t="n">
        <f aca="false">SUMPRODUCT(EF$4:EO$4,EF11:EO11)</f>
        <v>0</v>
      </c>
      <c r="EF11" s="146"/>
      <c r="EG11" s="147"/>
      <c r="EH11" s="147"/>
      <c r="EI11" s="147"/>
      <c r="EJ11" s="147"/>
      <c r="EK11" s="147"/>
      <c r="EL11" s="147"/>
      <c r="EM11" s="147"/>
      <c r="EN11" s="147"/>
      <c r="EO11" s="154"/>
      <c r="EP11" s="152" t="n">
        <f aca="false">SUMPRODUCT(EQ$4:EZ$4,EQ11:EZ11)</f>
        <v>0</v>
      </c>
      <c r="EQ11" s="146"/>
      <c r="ER11" s="147"/>
      <c r="ES11" s="147"/>
      <c r="ET11" s="147"/>
      <c r="EU11" s="147"/>
      <c r="EV11" s="147"/>
      <c r="EW11" s="147"/>
      <c r="EX11" s="147"/>
      <c r="EY11" s="147"/>
      <c r="EZ11" s="154"/>
      <c r="FA11" s="152" t="n">
        <f aca="false">SUMPRODUCT(FB$4:FK$4,FB11:FK11)</f>
        <v>0</v>
      </c>
      <c r="FB11" s="146"/>
      <c r="FC11" s="147"/>
      <c r="FD11" s="147"/>
      <c r="FE11" s="147"/>
      <c r="FF11" s="147"/>
      <c r="FG11" s="147"/>
      <c r="FH11" s="147"/>
      <c r="FI11" s="147"/>
      <c r="FJ11" s="147"/>
      <c r="FK11" s="154"/>
      <c r="FL11" s="152" t="n">
        <f aca="false">SUMPRODUCT(FM$4:FV$4,FM11:FV11)</f>
        <v>0</v>
      </c>
      <c r="FM11" s="146"/>
      <c r="FN11" s="147"/>
      <c r="FO11" s="147"/>
      <c r="FP11" s="147"/>
      <c r="FQ11" s="147"/>
      <c r="FR11" s="147"/>
      <c r="FS11" s="147"/>
      <c r="FT11" s="147"/>
      <c r="FU11" s="147"/>
      <c r="FV11" s="154"/>
      <c r="FW11" s="152" t="n">
        <f aca="false">SUMPRODUCT(FX$4:GG$4,FX11:GG11)</f>
        <v>0</v>
      </c>
      <c r="FX11" s="146"/>
      <c r="FY11" s="147"/>
      <c r="FZ11" s="147"/>
      <c r="GA11" s="147"/>
      <c r="GB11" s="147"/>
      <c r="GC11" s="147"/>
      <c r="GD11" s="147"/>
      <c r="GE11" s="147"/>
      <c r="GF11" s="147"/>
      <c r="GG11" s="154"/>
      <c r="GH11" s="152" t="n">
        <f aca="false">SUMPRODUCT(GI$4:GR$4,GI11:GR11)</f>
        <v>0</v>
      </c>
      <c r="GI11" s="146"/>
      <c r="GJ11" s="147"/>
      <c r="GK11" s="147"/>
      <c r="GL11" s="147"/>
      <c r="GM11" s="147"/>
      <c r="GN11" s="147"/>
      <c r="GO11" s="147"/>
      <c r="GP11" s="147"/>
      <c r="GQ11" s="147"/>
      <c r="GR11" s="154"/>
      <c r="GS11" s="152" t="n">
        <f aca="false">SUMPRODUCT(GT$4:HC$4,GT11:HC11)</f>
        <v>0</v>
      </c>
      <c r="GT11" s="146"/>
      <c r="GU11" s="147"/>
      <c r="GV11" s="147"/>
      <c r="GW11" s="147"/>
      <c r="GX11" s="147"/>
      <c r="GY11" s="147"/>
      <c r="GZ11" s="147"/>
      <c r="HA11" s="147"/>
      <c r="HB11" s="147"/>
      <c r="HC11" s="154"/>
      <c r="HD11" s="152" t="n">
        <f aca="false">SUMPRODUCT(HE$4:HN$4,HE11:HN11)</f>
        <v>0</v>
      </c>
      <c r="HE11" s="146"/>
      <c r="HF11" s="147"/>
      <c r="HG11" s="147"/>
      <c r="HH11" s="147"/>
      <c r="HI11" s="147"/>
      <c r="HJ11" s="147"/>
      <c r="HK11" s="147"/>
      <c r="HL11" s="147"/>
      <c r="HM11" s="147"/>
      <c r="HN11" s="154"/>
      <c r="HO11" s="152" t="n">
        <f aca="false">SUMPRODUCT(HP$4:HY$4,HP11:HY11)</f>
        <v>0</v>
      </c>
      <c r="HP11" s="146"/>
      <c r="HQ11" s="147"/>
      <c r="HR11" s="147"/>
      <c r="HS11" s="147"/>
      <c r="HT11" s="147"/>
      <c r="HU11" s="147"/>
      <c r="HV11" s="147"/>
      <c r="HW11" s="147"/>
      <c r="HX11" s="147"/>
      <c r="HY11" s="154"/>
      <c r="HZ11" s="152" t="n">
        <f aca="false">SUMPRODUCT(IA$4:IJ$4,IA11:IJ11)</f>
        <v>0</v>
      </c>
      <c r="IA11" s="146"/>
      <c r="IB11" s="147"/>
      <c r="IC11" s="147"/>
      <c r="ID11" s="147"/>
      <c r="IE11" s="147"/>
      <c r="IF11" s="147"/>
      <c r="IG11" s="147"/>
      <c r="IH11" s="147"/>
      <c r="II11" s="147"/>
      <c r="IJ11" s="154"/>
      <c r="IK11" s="152" t="n">
        <f aca="false">SUMPRODUCT(IL$4:IU$4,IL11:IU11)</f>
        <v>0</v>
      </c>
      <c r="IL11" s="146"/>
      <c r="IM11" s="147"/>
      <c r="IN11" s="147"/>
      <c r="IO11" s="147"/>
      <c r="IP11" s="147"/>
      <c r="IQ11" s="147"/>
      <c r="IR11" s="147"/>
      <c r="IS11" s="147"/>
      <c r="IT11" s="147"/>
      <c r="IU11" s="154"/>
      <c r="IV11" s="152" t="n">
        <f aca="false">SUMPRODUCT(IW$4:JF$4,IW11:JF11)</f>
        <v>0</v>
      </c>
      <c r="IW11" s="146"/>
      <c r="IX11" s="147"/>
      <c r="IY11" s="147"/>
      <c r="IZ11" s="147"/>
      <c r="JA11" s="147"/>
      <c r="JB11" s="147"/>
      <c r="JC11" s="147"/>
      <c r="JD11" s="147"/>
      <c r="JE11" s="147"/>
      <c r="JF11" s="154"/>
      <c r="JG11" s="152" t="n">
        <f aca="false">SUMPRODUCT(JH$4:JQ$4,JH11:JQ11)</f>
        <v>0</v>
      </c>
      <c r="JH11" s="146"/>
      <c r="JI11" s="147"/>
      <c r="JJ11" s="147"/>
      <c r="JK11" s="147"/>
      <c r="JL11" s="147"/>
      <c r="JM11" s="147"/>
      <c r="JN11" s="147"/>
      <c r="JO11" s="147"/>
      <c r="JP11" s="147"/>
      <c r="JQ11" s="154"/>
      <c r="JR11" s="152" t="n">
        <f aca="false">SUMPRODUCT(JS$4:KB$4,JS11:KB11)</f>
        <v>0</v>
      </c>
      <c r="JS11" s="146"/>
      <c r="JT11" s="147"/>
      <c r="JU11" s="147"/>
      <c r="JV11" s="147"/>
      <c r="JW11" s="147"/>
      <c r="JX11" s="147"/>
      <c r="JY11" s="147"/>
      <c r="JZ11" s="147"/>
      <c r="KA11" s="147"/>
      <c r="KB11" s="154"/>
      <c r="KC11" s="152" t="n">
        <f aca="false">SUMPRODUCT(KD$4:KM$4,KD11:KM11)</f>
        <v>0</v>
      </c>
      <c r="KD11" s="146"/>
      <c r="KE11" s="147"/>
      <c r="KF11" s="147"/>
      <c r="KG11" s="147"/>
      <c r="KH11" s="147"/>
      <c r="KI11" s="147"/>
      <c r="KJ11" s="147"/>
      <c r="KK11" s="147"/>
      <c r="KL11" s="147"/>
      <c r="KM11" s="154"/>
      <c r="KN11" s="152" t="n">
        <f aca="false">SUMPRODUCT(KO$4:KX$4,KO11:KX11)</f>
        <v>0</v>
      </c>
      <c r="KO11" s="146"/>
      <c r="KP11" s="147"/>
      <c r="KQ11" s="147"/>
      <c r="KR11" s="147"/>
      <c r="KS11" s="147"/>
      <c r="KT11" s="147"/>
      <c r="KU11" s="147"/>
      <c r="KV11" s="147"/>
      <c r="KW11" s="147"/>
      <c r="KX11" s="154"/>
      <c r="KY11" s="152" t="n">
        <f aca="false">SUMPRODUCT(KZ$4:LI$4,KZ11:LI11)</f>
        <v>0</v>
      </c>
      <c r="KZ11" s="146"/>
      <c r="LA11" s="147"/>
      <c r="LB11" s="147"/>
      <c r="LC11" s="147"/>
      <c r="LD11" s="147"/>
      <c r="LE11" s="147"/>
      <c r="LF11" s="147"/>
      <c r="LG11" s="147"/>
      <c r="LH11" s="147"/>
      <c r="LI11" s="154"/>
      <c r="LJ11" s="152" t="n">
        <f aca="false">SUMPRODUCT(LK$4:LT$4,LK11:LT11)</f>
        <v>0</v>
      </c>
      <c r="LK11" s="146"/>
      <c r="LL11" s="147"/>
      <c r="LM11" s="147"/>
      <c r="LN11" s="147"/>
      <c r="LO11" s="147"/>
      <c r="LP11" s="147"/>
      <c r="LQ11" s="147"/>
      <c r="LR11" s="147"/>
      <c r="LS11" s="147"/>
      <c r="LT11" s="154"/>
      <c r="LW11" s="152"/>
      <c r="LX11" s="155" t="n">
        <f aca="false">D165+O165+Z165+AK165+AV165+BG165+BR165+CC165+CN165+CY165+DJ165+DU165+EF165+EQ165+FB165+FM165+FX165+GI165+GT165+HE165+HP165+IA165+IL165+IW165+JH165+JS165+KD165+KO165+KZ165+LK165</f>
        <v>9.4875</v>
      </c>
      <c r="LY11" s="156" t="n">
        <f aca="false">E165+P165+AA165+AL165+AW165+BH165+BS165+CD165+CO165+CZ165+DK165+DV165+EG165+ER165+FC165+FN165+FY165+GJ165+GU165+HF165+HQ165+IB165+IM165+IX165+JI165+JT165+KE165+KP165+LA165+LL165</f>
        <v>9.55</v>
      </c>
      <c r="LZ11" s="156" t="n">
        <f aca="false">F165+Q165+AB165+AM165+AX165+BI165+BT165+CE165+CP165+DA165+DL165+DW165+EH165+ES165+FD165+FO165+FZ165+GK165+GV165+HG165+HR165+IC165+IN165+IY165+JJ165+JU165+KF165+KQ165+LB165+LM165</f>
        <v>9.475</v>
      </c>
      <c r="MA11" s="156" t="n">
        <f aca="false">G165+R165+AC165+AN165+AY165+BJ165+BU165+CF165+CQ165+DB165+DM165+DX165+EI165+ET165+FE165+FP165+GA165+GL165+GW165+HH165+HS165+ID165+IO165+IZ165+JK165+JV165+KG165+KR165+LC165+LN165</f>
        <v>7.96</v>
      </c>
      <c r="MB11" s="156" t="n">
        <f aca="false">H165+S165+AD165+AO165+AZ165+BK165+BV165+CG165+CR165+DC165+DN165+DY165+EJ165+EU165+FF165+FQ165+GB165+GM165+GX165+HI165+HT165+IE165+IP165+JA165+JL165+JW165+KH165+KS165+LD165+LO165</f>
        <v>0</v>
      </c>
      <c r="MC11" s="156" t="n">
        <f aca="false">I165+T165+AE165+AP165+BA165+BL165+BW165+CH165+CS165+DD165+DO165+DZ165+EK165+EV165+FG165+FR165+GC165+GN165+GY165+HJ165+HU165+IF165+IQ165+JB165+JM165+JX165+KI165+KT165+LE165+LP165</f>
        <v>0</v>
      </c>
      <c r="MD11" s="156" t="n">
        <f aca="false">J165+U165+AF165+AQ165+BB165+BM165+BX165+CI165+CT165+DE165+DP165+EA165+EL165+EW165+FH165+FS165+GD165+GO165+GZ165+HK165+HV165+IG165+IR165+JC165+JN165+JY165+KJ165+KU165+LF165+LQ165</f>
        <v>0</v>
      </c>
      <c r="ME11" s="156" t="n">
        <f aca="false">K165+V165+AG165+AR165+BC165+BN165+BY165+CJ165+CU165+DF165+DQ165+EB165+EM165+EX165+FI165+FT165+GE165+GP165+HA165+HL165+HW165+IH165+IS165+JD165+JO165+JZ165+KK165+KV165+LG165+LR165</f>
        <v>0</v>
      </c>
      <c r="MF11" s="156" t="n">
        <f aca="false">L165+W165+AH165+AS165+BD165+BO165+BZ165+CK165+CV165+DG165+DR165+EC165+EN165+EY165+FJ165+FU165+GF165+GQ165+HB165+HM165+HX165+II165+IT165+JE165+JP165+KA165+KL165+KW165+LH165+LS165</f>
        <v>0</v>
      </c>
      <c r="MG11" s="157" t="n">
        <f aca="false">M165+X165+AI165+AT165+BE165+BP165+CA165+CL165+CW165+DH165+DS165+ED165+EO165+EZ165+FK165+FV165+GG165+GR165+HC165+HN165+HY165+IJ165+IU165+JF165+JQ165+KB165+KM165+KX165+LI165+LT165</f>
        <v>0</v>
      </c>
    </row>
    <row r="12" customFormat="false" ht="13.8" hidden="false" customHeight="false" outlineLevel="0" collapsed="false">
      <c r="A12" s="29" t="n">
        <v>7</v>
      </c>
      <c r="B12" s="151" t="str">
        <f aca="false">'Datos Iniciales'!T15</f>
        <v>Alumno7</v>
      </c>
      <c r="C12" s="152" t="n">
        <f aca="false">SUMPRODUCT(D$4:M$4,D12:M12)</f>
        <v>8.85</v>
      </c>
      <c r="D12" s="146" t="n">
        <v>9</v>
      </c>
      <c r="E12" s="147" t="n">
        <v>9</v>
      </c>
      <c r="F12" s="147" t="n">
        <v>9</v>
      </c>
      <c r="G12" s="147" t="n">
        <v>9</v>
      </c>
      <c r="H12" s="147" t="n">
        <v>9</v>
      </c>
      <c r="I12" s="147" t="n">
        <v>8</v>
      </c>
      <c r="J12" s="147" t="n">
        <v>9</v>
      </c>
      <c r="K12" s="147"/>
      <c r="L12" s="147"/>
      <c r="M12" s="154"/>
      <c r="N12" s="152" t="n">
        <f aca="false">SUMPRODUCT(O$4:X$4,O12:X12)</f>
        <v>9</v>
      </c>
      <c r="O12" s="146" t="n">
        <v>9</v>
      </c>
      <c r="P12" s="147" t="n">
        <v>9</v>
      </c>
      <c r="Q12" s="147" t="n">
        <v>9</v>
      </c>
      <c r="R12" s="147" t="n">
        <v>9</v>
      </c>
      <c r="S12" s="147" t="n">
        <v>9</v>
      </c>
      <c r="T12" s="147"/>
      <c r="U12" s="147"/>
      <c r="V12" s="147"/>
      <c r="W12" s="147"/>
      <c r="X12" s="154"/>
      <c r="Y12" s="152" t="n">
        <f aca="false">SUMPRODUCT(Z$4:AI$4,Z12:AI12)</f>
        <v>9</v>
      </c>
      <c r="Z12" s="146" t="n">
        <v>9</v>
      </c>
      <c r="AA12" s="147" t="n">
        <v>9</v>
      </c>
      <c r="AB12" s="147" t="n">
        <v>9</v>
      </c>
      <c r="AC12" s="147" t="n">
        <v>9</v>
      </c>
      <c r="AD12" s="147" t="n">
        <v>9</v>
      </c>
      <c r="AE12" s="147"/>
      <c r="AF12" s="147"/>
      <c r="AG12" s="147"/>
      <c r="AH12" s="147"/>
      <c r="AI12" s="154"/>
      <c r="AJ12" s="152" t="n">
        <f aca="false">SUMPRODUCT(AK$4:AT$4,AK12:AT12)</f>
        <v>9</v>
      </c>
      <c r="AK12" s="146" t="n">
        <v>9</v>
      </c>
      <c r="AL12" s="147" t="n">
        <v>9</v>
      </c>
      <c r="AM12" s="147" t="n">
        <v>9</v>
      </c>
      <c r="AN12" s="147" t="n">
        <v>9</v>
      </c>
      <c r="AO12" s="147" t="n">
        <v>9</v>
      </c>
      <c r="AP12" s="147"/>
      <c r="AQ12" s="147"/>
      <c r="AR12" s="147"/>
      <c r="AS12" s="147"/>
      <c r="AT12" s="154"/>
      <c r="AU12" s="152" t="n">
        <f aca="false">SUMPRODUCT(AV$4:BE$4,AV12:BE12)</f>
        <v>9</v>
      </c>
      <c r="AV12" s="146" t="n">
        <v>9</v>
      </c>
      <c r="AW12" s="147" t="n">
        <v>9</v>
      </c>
      <c r="AX12" s="147" t="n">
        <v>9</v>
      </c>
      <c r="AY12" s="147" t="n">
        <v>9</v>
      </c>
      <c r="AZ12" s="147" t="n">
        <v>9</v>
      </c>
      <c r="BA12" s="147"/>
      <c r="BB12" s="147"/>
      <c r="BC12" s="147"/>
      <c r="BD12" s="147"/>
      <c r="BE12" s="154"/>
      <c r="BF12" s="152" t="n">
        <f aca="false">SUMPRODUCT(BG$4:BP$4,BG12:BP12)</f>
        <v>9</v>
      </c>
      <c r="BG12" s="146" t="n">
        <v>9</v>
      </c>
      <c r="BH12" s="147" t="n">
        <v>9</v>
      </c>
      <c r="BI12" s="147" t="n">
        <v>9</v>
      </c>
      <c r="BJ12" s="147" t="n">
        <v>9</v>
      </c>
      <c r="BK12" s="147" t="n">
        <v>9</v>
      </c>
      <c r="BL12" s="147"/>
      <c r="BM12" s="147"/>
      <c r="BN12" s="147"/>
      <c r="BO12" s="147"/>
      <c r="BP12" s="154"/>
      <c r="BQ12" s="152" t="n">
        <f aca="false">SUMPRODUCT(BR$4:CA$4,BR12:CA12)</f>
        <v>4.5</v>
      </c>
      <c r="BR12" s="146" t="n">
        <v>5</v>
      </c>
      <c r="BS12" s="147" t="n">
        <v>6</v>
      </c>
      <c r="BT12" s="147" t="n">
        <v>3</v>
      </c>
      <c r="BU12" s="147" t="n">
        <v>4</v>
      </c>
      <c r="BV12" s="147" t="n">
        <v>5</v>
      </c>
      <c r="BW12" s="147"/>
      <c r="BX12" s="147"/>
      <c r="BY12" s="147"/>
      <c r="BZ12" s="147"/>
      <c r="CA12" s="154"/>
      <c r="CB12" s="152" t="n">
        <f aca="false">SUMPRODUCT(CC$4:CL$4,CC12:CL12)</f>
        <v>0</v>
      </c>
      <c r="CC12" s="146"/>
      <c r="CD12" s="147"/>
      <c r="CE12" s="147"/>
      <c r="CF12" s="147"/>
      <c r="CG12" s="147"/>
      <c r="CH12" s="147"/>
      <c r="CI12" s="147"/>
      <c r="CJ12" s="147"/>
      <c r="CK12" s="147"/>
      <c r="CL12" s="154"/>
      <c r="CM12" s="152" t="n">
        <f aca="false">SUMPRODUCT(CN$4:CW$4,CN12:CW12)</f>
        <v>0</v>
      </c>
      <c r="CN12" s="146"/>
      <c r="CO12" s="147"/>
      <c r="CP12" s="147"/>
      <c r="CQ12" s="147"/>
      <c r="CR12" s="147"/>
      <c r="CS12" s="147"/>
      <c r="CT12" s="147"/>
      <c r="CU12" s="147"/>
      <c r="CV12" s="147"/>
      <c r="CW12" s="154"/>
      <c r="CX12" s="152" t="n">
        <f aca="false">SUMPRODUCT(CY$4:DH$4,CY12:DH12)</f>
        <v>0</v>
      </c>
      <c r="CY12" s="146"/>
      <c r="CZ12" s="147"/>
      <c r="DA12" s="147"/>
      <c r="DB12" s="147"/>
      <c r="DC12" s="147"/>
      <c r="DD12" s="147"/>
      <c r="DE12" s="147"/>
      <c r="DF12" s="147"/>
      <c r="DG12" s="147"/>
      <c r="DH12" s="154"/>
      <c r="DI12" s="152" t="n">
        <f aca="false">SUMPRODUCT(DJ$4:DS$4,DJ12:DS12)</f>
        <v>0</v>
      </c>
      <c r="DJ12" s="146"/>
      <c r="DK12" s="147"/>
      <c r="DL12" s="147"/>
      <c r="DM12" s="147"/>
      <c r="DN12" s="147"/>
      <c r="DO12" s="147"/>
      <c r="DP12" s="147"/>
      <c r="DQ12" s="147"/>
      <c r="DR12" s="147"/>
      <c r="DS12" s="154"/>
      <c r="DT12" s="152" t="n">
        <f aca="false">SUMPRODUCT(DU$4:ED$4,DU12:ED12)</f>
        <v>0</v>
      </c>
      <c r="DU12" s="146"/>
      <c r="DV12" s="147"/>
      <c r="DW12" s="147"/>
      <c r="DX12" s="147"/>
      <c r="DY12" s="147"/>
      <c r="DZ12" s="147"/>
      <c r="EA12" s="147"/>
      <c r="EB12" s="147"/>
      <c r="EC12" s="147"/>
      <c r="ED12" s="154"/>
      <c r="EE12" s="152" t="n">
        <f aca="false">SUMPRODUCT(EF$4:EO$4,EF12:EO12)</f>
        <v>0</v>
      </c>
      <c r="EF12" s="146"/>
      <c r="EG12" s="147"/>
      <c r="EH12" s="147"/>
      <c r="EI12" s="147"/>
      <c r="EJ12" s="147"/>
      <c r="EK12" s="147"/>
      <c r="EL12" s="147"/>
      <c r="EM12" s="147"/>
      <c r="EN12" s="147"/>
      <c r="EO12" s="154"/>
      <c r="EP12" s="152" t="n">
        <f aca="false">SUMPRODUCT(EQ$4:EZ$4,EQ12:EZ12)</f>
        <v>0</v>
      </c>
      <c r="EQ12" s="146"/>
      <c r="ER12" s="147"/>
      <c r="ES12" s="147"/>
      <c r="ET12" s="147"/>
      <c r="EU12" s="147"/>
      <c r="EV12" s="147"/>
      <c r="EW12" s="147"/>
      <c r="EX12" s="147"/>
      <c r="EY12" s="147"/>
      <c r="EZ12" s="154"/>
      <c r="FA12" s="152" t="n">
        <f aca="false">SUMPRODUCT(FB$4:FK$4,FB12:FK12)</f>
        <v>0</v>
      </c>
      <c r="FB12" s="146"/>
      <c r="FC12" s="147"/>
      <c r="FD12" s="147"/>
      <c r="FE12" s="147"/>
      <c r="FF12" s="147"/>
      <c r="FG12" s="147"/>
      <c r="FH12" s="147"/>
      <c r="FI12" s="147"/>
      <c r="FJ12" s="147"/>
      <c r="FK12" s="154"/>
      <c r="FL12" s="152" t="n">
        <f aca="false">SUMPRODUCT(FM$4:FV$4,FM12:FV12)</f>
        <v>0</v>
      </c>
      <c r="FM12" s="146"/>
      <c r="FN12" s="147"/>
      <c r="FO12" s="147"/>
      <c r="FP12" s="147"/>
      <c r="FQ12" s="147"/>
      <c r="FR12" s="147"/>
      <c r="FS12" s="147"/>
      <c r="FT12" s="147"/>
      <c r="FU12" s="147"/>
      <c r="FV12" s="154"/>
      <c r="FW12" s="152" t="n">
        <f aca="false">SUMPRODUCT(FX$4:GG$4,FX12:GG12)</f>
        <v>0</v>
      </c>
      <c r="FX12" s="146"/>
      <c r="FY12" s="147"/>
      <c r="FZ12" s="147"/>
      <c r="GA12" s="147"/>
      <c r="GB12" s="147"/>
      <c r="GC12" s="147"/>
      <c r="GD12" s="147"/>
      <c r="GE12" s="147"/>
      <c r="GF12" s="147"/>
      <c r="GG12" s="154"/>
      <c r="GH12" s="152" t="n">
        <f aca="false">SUMPRODUCT(GI$4:GR$4,GI12:GR12)</f>
        <v>0</v>
      </c>
      <c r="GI12" s="146"/>
      <c r="GJ12" s="147"/>
      <c r="GK12" s="147"/>
      <c r="GL12" s="147"/>
      <c r="GM12" s="147"/>
      <c r="GN12" s="147"/>
      <c r="GO12" s="147"/>
      <c r="GP12" s="147"/>
      <c r="GQ12" s="147"/>
      <c r="GR12" s="154"/>
      <c r="GS12" s="152" t="n">
        <f aca="false">SUMPRODUCT(GT$4:HC$4,GT12:HC12)</f>
        <v>0</v>
      </c>
      <c r="GT12" s="146"/>
      <c r="GU12" s="147"/>
      <c r="GV12" s="147"/>
      <c r="GW12" s="147"/>
      <c r="GX12" s="147"/>
      <c r="GY12" s="147"/>
      <c r="GZ12" s="147"/>
      <c r="HA12" s="147"/>
      <c r="HB12" s="147"/>
      <c r="HC12" s="154"/>
      <c r="HD12" s="152" t="n">
        <f aca="false">SUMPRODUCT(HE$4:HN$4,HE12:HN12)</f>
        <v>0</v>
      </c>
      <c r="HE12" s="146"/>
      <c r="HF12" s="147"/>
      <c r="HG12" s="147"/>
      <c r="HH12" s="147"/>
      <c r="HI12" s="147"/>
      <c r="HJ12" s="147"/>
      <c r="HK12" s="147"/>
      <c r="HL12" s="147"/>
      <c r="HM12" s="147"/>
      <c r="HN12" s="154"/>
      <c r="HO12" s="152" t="n">
        <f aca="false">SUMPRODUCT(HP$4:HY$4,HP12:HY12)</f>
        <v>0</v>
      </c>
      <c r="HP12" s="146"/>
      <c r="HQ12" s="147"/>
      <c r="HR12" s="147"/>
      <c r="HS12" s="147"/>
      <c r="HT12" s="147"/>
      <c r="HU12" s="147"/>
      <c r="HV12" s="147"/>
      <c r="HW12" s="147"/>
      <c r="HX12" s="147"/>
      <c r="HY12" s="154"/>
      <c r="HZ12" s="152" t="n">
        <f aca="false">SUMPRODUCT(IA$4:IJ$4,IA12:IJ12)</f>
        <v>0</v>
      </c>
      <c r="IA12" s="146"/>
      <c r="IB12" s="147"/>
      <c r="IC12" s="147"/>
      <c r="ID12" s="147"/>
      <c r="IE12" s="147"/>
      <c r="IF12" s="147"/>
      <c r="IG12" s="147"/>
      <c r="IH12" s="147"/>
      <c r="II12" s="147"/>
      <c r="IJ12" s="154"/>
      <c r="IK12" s="152" t="n">
        <f aca="false">SUMPRODUCT(IL$4:IU$4,IL12:IU12)</f>
        <v>0</v>
      </c>
      <c r="IL12" s="146"/>
      <c r="IM12" s="147"/>
      <c r="IN12" s="147"/>
      <c r="IO12" s="147"/>
      <c r="IP12" s="147"/>
      <c r="IQ12" s="147"/>
      <c r="IR12" s="147"/>
      <c r="IS12" s="147"/>
      <c r="IT12" s="147"/>
      <c r="IU12" s="154"/>
      <c r="IV12" s="152" t="n">
        <f aca="false">SUMPRODUCT(IW$4:JF$4,IW12:JF12)</f>
        <v>0</v>
      </c>
      <c r="IW12" s="146"/>
      <c r="IX12" s="147"/>
      <c r="IY12" s="147"/>
      <c r="IZ12" s="147"/>
      <c r="JA12" s="147"/>
      <c r="JB12" s="147"/>
      <c r="JC12" s="147"/>
      <c r="JD12" s="147"/>
      <c r="JE12" s="147"/>
      <c r="JF12" s="154"/>
      <c r="JG12" s="152" t="n">
        <f aca="false">SUMPRODUCT(JH$4:JQ$4,JH12:JQ12)</f>
        <v>0</v>
      </c>
      <c r="JH12" s="146"/>
      <c r="JI12" s="147"/>
      <c r="JJ12" s="147"/>
      <c r="JK12" s="147"/>
      <c r="JL12" s="147"/>
      <c r="JM12" s="147"/>
      <c r="JN12" s="147"/>
      <c r="JO12" s="147"/>
      <c r="JP12" s="147"/>
      <c r="JQ12" s="154"/>
      <c r="JR12" s="152" t="n">
        <f aca="false">SUMPRODUCT(JS$4:KB$4,JS12:KB12)</f>
        <v>0</v>
      </c>
      <c r="JS12" s="146"/>
      <c r="JT12" s="147"/>
      <c r="JU12" s="147"/>
      <c r="JV12" s="147"/>
      <c r="JW12" s="147"/>
      <c r="JX12" s="147"/>
      <c r="JY12" s="147"/>
      <c r="JZ12" s="147"/>
      <c r="KA12" s="147"/>
      <c r="KB12" s="154"/>
      <c r="KC12" s="152" t="n">
        <f aca="false">SUMPRODUCT(KD$4:KM$4,KD12:KM12)</f>
        <v>0</v>
      </c>
      <c r="KD12" s="146"/>
      <c r="KE12" s="147"/>
      <c r="KF12" s="147"/>
      <c r="KG12" s="147"/>
      <c r="KH12" s="147"/>
      <c r="KI12" s="147"/>
      <c r="KJ12" s="147"/>
      <c r="KK12" s="147"/>
      <c r="KL12" s="147"/>
      <c r="KM12" s="154"/>
      <c r="KN12" s="152" t="n">
        <f aca="false">SUMPRODUCT(KO$4:KX$4,KO12:KX12)</f>
        <v>0</v>
      </c>
      <c r="KO12" s="146"/>
      <c r="KP12" s="147"/>
      <c r="KQ12" s="147"/>
      <c r="KR12" s="147"/>
      <c r="KS12" s="147"/>
      <c r="KT12" s="147"/>
      <c r="KU12" s="147"/>
      <c r="KV12" s="147"/>
      <c r="KW12" s="147"/>
      <c r="KX12" s="154"/>
      <c r="KY12" s="152" t="n">
        <f aca="false">SUMPRODUCT(KZ$4:LI$4,KZ12:LI12)</f>
        <v>0</v>
      </c>
      <c r="KZ12" s="146"/>
      <c r="LA12" s="147"/>
      <c r="LB12" s="147"/>
      <c r="LC12" s="147"/>
      <c r="LD12" s="147"/>
      <c r="LE12" s="147"/>
      <c r="LF12" s="147"/>
      <c r="LG12" s="147"/>
      <c r="LH12" s="147"/>
      <c r="LI12" s="154"/>
      <c r="LJ12" s="152" t="n">
        <f aca="false">SUMPRODUCT(LK$4:LT$4,LK12:LT12)</f>
        <v>0</v>
      </c>
      <c r="LK12" s="146"/>
      <c r="LL12" s="147"/>
      <c r="LM12" s="147"/>
      <c r="LN12" s="147"/>
      <c r="LO12" s="147"/>
      <c r="LP12" s="147"/>
      <c r="LQ12" s="147"/>
      <c r="LR12" s="147"/>
      <c r="LS12" s="147"/>
      <c r="LT12" s="154"/>
      <c r="LW12" s="152"/>
      <c r="LX12" s="155" t="n">
        <f aca="false">D166+O166+Z166+AK166+AV166+BG166+BR166+CC166+CN166+CY166+DJ166+DU166+EF166+EQ166+FB166+FM166+FX166+GI166+GT166+HE166+HP166+IA166+IL166+IW166+JH166+JS166+KD166+KO166+KZ166+LK166</f>
        <v>8.9625</v>
      </c>
      <c r="LY12" s="156" t="n">
        <f aca="false">E166+P166+AA166+AL166+AW166+BH166+BS166+CD166+CO166+CZ166+DK166+DV166+EG166+ER166+FC166+FN166+FY166+GJ166+GU166+HF166+HQ166+IB166+IM166+IX166+JI166+JT166+KE166+KP166+LA166+LL166</f>
        <v>8.8</v>
      </c>
      <c r="LZ12" s="156" t="n">
        <f aca="false">F166+Q166+AB166+AM166+AX166+BI166+BT166+CE166+CP166+DA166+DL166+DW166+EH166+ES166+FD166+FO166+FZ166+GK166+GV166+HG166+HR166+IC166+IN166+IY166+JJ166+JU166+KF166+KQ166+LB166+LM166</f>
        <v>8.25</v>
      </c>
      <c r="MA12" s="156" t="n">
        <f aca="false">G166+R166+AC166+AN166+AY166+BJ166+BU166+CF166+CQ166+DB166+DM166+DX166+EI166+ET166+FE166+FP166+GA166+GL166+GW166+HH166+HS166+ID166+IO166+IZ166+JK166+JV166+KG166+KR166+LC166+LN166</f>
        <v>6.8</v>
      </c>
      <c r="MB12" s="156" t="n">
        <f aca="false">H166+S166+AD166+AO166+AZ166+BK166+BV166+CG166+CR166+DC166+DN166+DY166+EJ166+EU166+FF166+FQ166+GB166+GM166+GX166+HI166+HT166+IE166+IP166+JA166+JL166+JW166+KH166+KS166+LD166+LO166</f>
        <v>0</v>
      </c>
      <c r="MC12" s="156" t="n">
        <f aca="false">I166+T166+AE166+AP166+BA166+BL166+BW166+CH166+CS166+DD166+DO166+DZ166+EK166+EV166+FG166+FR166+GC166+GN166+GY166+HJ166+HU166+IF166+IQ166+JB166+JM166+JX166+KI166+KT166+LE166+LP166</f>
        <v>0</v>
      </c>
      <c r="MD12" s="156" t="n">
        <f aca="false">J166+U166+AF166+AQ166+BB166+BM166+BX166+CI166+CT166+DE166+DP166+EA166+EL166+EW166+FH166+FS166+GD166+GO166+GZ166+HK166+HV166+IG166+IR166+JC166+JN166+JY166+KJ166+KU166+LF166+LQ166</f>
        <v>0</v>
      </c>
      <c r="ME12" s="156" t="n">
        <f aca="false">K166+V166+AG166+AR166+BC166+BN166+BY166+CJ166+CU166+DF166+DQ166+EB166+EM166+EX166+FI166+FT166+GE166+GP166+HA166+HL166+HW166+IH166+IS166+JD166+JO166+JZ166+KK166+KV166+LG166+LR166</f>
        <v>0</v>
      </c>
      <c r="MF12" s="156" t="n">
        <f aca="false">L166+W166+AH166+AS166+BD166+BO166+BZ166+CK166+CV166+DG166+DR166+EC166+EN166+EY166+FJ166+FU166+GF166+GQ166+HB166+HM166+HX166+II166+IT166+JE166+JP166+KA166+KL166+KW166+LH166+LS166</f>
        <v>0</v>
      </c>
      <c r="MG12" s="157" t="n">
        <f aca="false">M166+X166+AI166+AT166+BE166+BP166+CA166+CL166+CW166+DH166+DS166+ED166+EO166+EZ166+FK166+FV166+GG166+GR166+HC166+HN166+HY166+IJ166+IU166+JF166+JQ166+KB166+KM166+KX166+LI166+LT166</f>
        <v>0</v>
      </c>
    </row>
    <row r="13" customFormat="false" ht="13.8" hidden="false" customHeight="false" outlineLevel="0" collapsed="false">
      <c r="A13" s="29" t="n">
        <v>8</v>
      </c>
      <c r="B13" s="151" t="str">
        <f aca="false">'Datos Iniciales'!T16</f>
        <v>Alumno8</v>
      </c>
      <c r="C13" s="152" t="n">
        <f aca="false">SUMPRODUCT(D$4:M$4,D13:M13)</f>
        <v>9.65</v>
      </c>
      <c r="D13" s="146" t="n">
        <v>10</v>
      </c>
      <c r="E13" s="147" t="n">
        <v>9</v>
      </c>
      <c r="F13" s="147" t="n">
        <v>10</v>
      </c>
      <c r="G13" s="147" t="n">
        <v>9</v>
      </c>
      <c r="H13" s="147" t="n">
        <v>10</v>
      </c>
      <c r="I13" s="147" t="n">
        <v>10</v>
      </c>
      <c r="J13" s="147" t="n">
        <v>9</v>
      </c>
      <c r="K13" s="147"/>
      <c r="L13" s="147"/>
      <c r="M13" s="154"/>
      <c r="N13" s="152" t="n">
        <f aca="false">SUMPRODUCT(O$4:X$4,O13:X13)</f>
        <v>5</v>
      </c>
      <c r="O13" s="146" t="n">
        <v>5</v>
      </c>
      <c r="P13" s="153" t="n">
        <v>5</v>
      </c>
      <c r="Q13" s="153" t="n">
        <v>5</v>
      </c>
      <c r="R13" s="153" t="n">
        <v>5</v>
      </c>
      <c r="S13" s="153" t="n">
        <v>5</v>
      </c>
      <c r="T13" s="153"/>
      <c r="U13" s="153"/>
      <c r="V13" s="147"/>
      <c r="W13" s="147"/>
      <c r="X13" s="154"/>
      <c r="Y13" s="152" t="n">
        <f aca="false">SUMPRODUCT(Z$4:AI$4,Z13:AI13)</f>
        <v>5</v>
      </c>
      <c r="Z13" s="146" t="n">
        <v>5</v>
      </c>
      <c r="AA13" s="153" t="n">
        <v>5</v>
      </c>
      <c r="AB13" s="153" t="n">
        <v>5</v>
      </c>
      <c r="AC13" s="153" t="n">
        <v>5</v>
      </c>
      <c r="AD13" s="153" t="n">
        <v>5</v>
      </c>
      <c r="AE13" s="153"/>
      <c r="AF13" s="153"/>
      <c r="AG13" s="147"/>
      <c r="AH13" s="147"/>
      <c r="AI13" s="154"/>
      <c r="AJ13" s="152" t="n">
        <f aca="false">SUMPRODUCT(AK$4:AT$4,AK13:AT13)</f>
        <v>5</v>
      </c>
      <c r="AK13" s="146" t="n">
        <v>5</v>
      </c>
      <c r="AL13" s="153" t="n">
        <v>5</v>
      </c>
      <c r="AM13" s="153" t="n">
        <v>5</v>
      </c>
      <c r="AN13" s="153" t="n">
        <v>5</v>
      </c>
      <c r="AO13" s="153" t="n">
        <v>5</v>
      </c>
      <c r="AP13" s="147"/>
      <c r="AQ13" s="147"/>
      <c r="AR13" s="147"/>
      <c r="AS13" s="147"/>
      <c r="AT13" s="154"/>
      <c r="AU13" s="152" t="n">
        <f aca="false">SUMPRODUCT(AV$4:BE$4,AV13:BE13)</f>
        <v>9.5</v>
      </c>
      <c r="AV13" s="146" t="n">
        <v>10</v>
      </c>
      <c r="AW13" s="147" t="n">
        <v>9</v>
      </c>
      <c r="AX13" s="147" t="n">
        <v>10</v>
      </c>
      <c r="AY13" s="147" t="n">
        <v>9</v>
      </c>
      <c r="AZ13" s="147" t="n">
        <v>10</v>
      </c>
      <c r="BA13" s="147"/>
      <c r="BB13" s="147"/>
      <c r="BC13" s="147"/>
      <c r="BD13" s="147"/>
      <c r="BE13" s="154"/>
      <c r="BF13" s="152" t="n">
        <f aca="false">SUMPRODUCT(BG$4:BP$4,BG13:BP13)</f>
        <v>9.6</v>
      </c>
      <c r="BG13" s="146" t="n">
        <v>10</v>
      </c>
      <c r="BH13" s="147" t="n">
        <v>9</v>
      </c>
      <c r="BI13" s="147" t="n">
        <v>10</v>
      </c>
      <c r="BJ13" s="147" t="n">
        <v>9</v>
      </c>
      <c r="BK13" s="147" t="n">
        <v>10</v>
      </c>
      <c r="BL13" s="147"/>
      <c r="BM13" s="147"/>
      <c r="BN13" s="147"/>
      <c r="BO13" s="147"/>
      <c r="BP13" s="154"/>
      <c r="BQ13" s="152" t="n">
        <f aca="false">SUMPRODUCT(BR$4:CA$4,BR13:CA13)</f>
        <v>6.8</v>
      </c>
      <c r="BR13" s="146" t="n">
        <v>6</v>
      </c>
      <c r="BS13" s="147" t="n">
        <v>7</v>
      </c>
      <c r="BT13" s="147" t="n">
        <v>8</v>
      </c>
      <c r="BU13" s="147" t="n">
        <v>9</v>
      </c>
      <c r="BV13" s="147" t="n">
        <v>5</v>
      </c>
      <c r="BW13" s="147"/>
      <c r="BX13" s="147"/>
      <c r="BY13" s="147"/>
      <c r="BZ13" s="147"/>
      <c r="CA13" s="154"/>
      <c r="CB13" s="152" t="n">
        <f aca="false">SUMPRODUCT(CC$4:CL$4,CC13:CL13)</f>
        <v>0</v>
      </c>
      <c r="CC13" s="146"/>
      <c r="CD13" s="147"/>
      <c r="CE13" s="147"/>
      <c r="CF13" s="147"/>
      <c r="CG13" s="147"/>
      <c r="CH13" s="147"/>
      <c r="CI13" s="147"/>
      <c r="CJ13" s="147"/>
      <c r="CK13" s="147"/>
      <c r="CL13" s="154"/>
      <c r="CM13" s="152" t="n">
        <f aca="false">SUMPRODUCT(CN$4:CW$4,CN13:CW13)</f>
        <v>0</v>
      </c>
      <c r="CN13" s="146"/>
      <c r="CO13" s="147"/>
      <c r="CP13" s="147"/>
      <c r="CQ13" s="147"/>
      <c r="CR13" s="147"/>
      <c r="CS13" s="147"/>
      <c r="CT13" s="147"/>
      <c r="CU13" s="147"/>
      <c r="CV13" s="147"/>
      <c r="CW13" s="154"/>
      <c r="CX13" s="152" t="n">
        <f aca="false">SUMPRODUCT(CY$4:DH$4,CY13:DH13)</f>
        <v>0</v>
      </c>
      <c r="CY13" s="146"/>
      <c r="CZ13" s="147"/>
      <c r="DA13" s="147"/>
      <c r="DB13" s="147"/>
      <c r="DC13" s="147"/>
      <c r="DD13" s="147"/>
      <c r="DE13" s="147"/>
      <c r="DF13" s="147"/>
      <c r="DG13" s="147"/>
      <c r="DH13" s="154"/>
      <c r="DI13" s="152" t="n">
        <f aca="false">SUMPRODUCT(DJ$4:DS$4,DJ13:DS13)</f>
        <v>0</v>
      </c>
      <c r="DJ13" s="146"/>
      <c r="DK13" s="147"/>
      <c r="DL13" s="147"/>
      <c r="DM13" s="147"/>
      <c r="DN13" s="147"/>
      <c r="DO13" s="147"/>
      <c r="DP13" s="147"/>
      <c r="DQ13" s="147"/>
      <c r="DR13" s="147"/>
      <c r="DS13" s="154"/>
      <c r="DT13" s="152" t="n">
        <f aca="false">SUMPRODUCT(DU$4:ED$4,DU13:ED13)</f>
        <v>0</v>
      </c>
      <c r="DU13" s="146"/>
      <c r="DV13" s="147"/>
      <c r="DW13" s="147"/>
      <c r="DX13" s="147"/>
      <c r="DY13" s="147"/>
      <c r="DZ13" s="147"/>
      <c r="EA13" s="147"/>
      <c r="EB13" s="147"/>
      <c r="EC13" s="147"/>
      <c r="ED13" s="154"/>
      <c r="EE13" s="152" t="n">
        <f aca="false">SUMPRODUCT(EF$4:EO$4,EF13:EO13)</f>
        <v>0</v>
      </c>
      <c r="EF13" s="146"/>
      <c r="EG13" s="147"/>
      <c r="EH13" s="147"/>
      <c r="EI13" s="147"/>
      <c r="EJ13" s="147"/>
      <c r="EK13" s="147"/>
      <c r="EL13" s="147"/>
      <c r="EM13" s="147"/>
      <c r="EN13" s="147"/>
      <c r="EO13" s="154"/>
      <c r="EP13" s="152" t="n">
        <f aca="false">SUMPRODUCT(EQ$4:EZ$4,EQ13:EZ13)</f>
        <v>0</v>
      </c>
      <c r="EQ13" s="146"/>
      <c r="ER13" s="147"/>
      <c r="ES13" s="147"/>
      <c r="ET13" s="147"/>
      <c r="EU13" s="147"/>
      <c r="EV13" s="147"/>
      <c r="EW13" s="147"/>
      <c r="EX13" s="147"/>
      <c r="EY13" s="147"/>
      <c r="EZ13" s="154"/>
      <c r="FA13" s="152" t="n">
        <f aca="false">SUMPRODUCT(FB$4:FK$4,FB13:FK13)</f>
        <v>0</v>
      </c>
      <c r="FB13" s="146"/>
      <c r="FC13" s="147"/>
      <c r="FD13" s="147"/>
      <c r="FE13" s="147"/>
      <c r="FF13" s="147"/>
      <c r="FG13" s="147"/>
      <c r="FH13" s="147"/>
      <c r="FI13" s="147"/>
      <c r="FJ13" s="147"/>
      <c r="FK13" s="154"/>
      <c r="FL13" s="152" t="n">
        <f aca="false">SUMPRODUCT(FM$4:FV$4,FM13:FV13)</f>
        <v>0</v>
      </c>
      <c r="FM13" s="146"/>
      <c r="FN13" s="147"/>
      <c r="FO13" s="147"/>
      <c r="FP13" s="147"/>
      <c r="FQ13" s="147"/>
      <c r="FR13" s="147"/>
      <c r="FS13" s="147"/>
      <c r="FT13" s="147"/>
      <c r="FU13" s="147"/>
      <c r="FV13" s="154"/>
      <c r="FW13" s="152" t="n">
        <f aca="false">SUMPRODUCT(FX$4:GG$4,FX13:GG13)</f>
        <v>0</v>
      </c>
      <c r="FX13" s="146"/>
      <c r="FY13" s="147"/>
      <c r="FZ13" s="147"/>
      <c r="GA13" s="147"/>
      <c r="GB13" s="147"/>
      <c r="GC13" s="147"/>
      <c r="GD13" s="147"/>
      <c r="GE13" s="147"/>
      <c r="GF13" s="147"/>
      <c r="GG13" s="154"/>
      <c r="GH13" s="152" t="n">
        <f aca="false">SUMPRODUCT(GI$4:GR$4,GI13:GR13)</f>
        <v>0</v>
      </c>
      <c r="GI13" s="146"/>
      <c r="GJ13" s="147"/>
      <c r="GK13" s="147"/>
      <c r="GL13" s="147"/>
      <c r="GM13" s="147"/>
      <c r="GN13" s="147"/>
      <c r="GO13" s="147"/>
      <c r="GP13" s="147"/>
      <c r="GQ13" s="147"/>
      <c r="GR13" s="154"/>
      <c r="GS13" s="152" t="n">
        <f aca="false">SUMPRODUCT(GT$4:HC$4,GT13:HC13)</f>
        <v>0</v>
      </c>
      <c r="GT13" s="146"/>
      <c r="GU13" s="147"/>
      <c r="GV13" s="147"/>
      <c r="GW13" s="147"/>
      <c r="GX13" s="147"/>
      <c r="GY13" s="147"/>
      <c r="GZ13" s="147"/>
      <c r="HA13" s="147"/>
      <c r="HB13" s="147"/>
      <c r="HC13" s="154"/>
      <c r="HD13" s="152" t="n">
        <f aca="false">SUMPRODUCT(HE$4:HN$4,HE13:HN13)</f>
        <v>0</v>
      </c>
      <c r="HE13" s="146"/>
      <c r="HF13" s="147"/>
      <c r="HG13" s="147"/>
      <c r="HH13" s="147"/>
      <c r="HI13" s="147"/>
      <c r="HJ13" s="147"/>
      <c r="HK13" s="147"/>
      <c r="HL13" s="147"/>
      <c r="HM13" s="147"/>
      <c r="HN13" s="154"/>
      <c r="HO13" s="152" t="n">
        <f aca="false">SUMPRODUCT(HP$4:HY$4,HP13:HY13)</f>
        <v>0</v>
      </c>
      <c r="HP13" s="146"/>
      <c r="HQ13" s="147"/>
      <c r="HR13" s="147"/>
      <c r="HS13" s="147"/>
      <c r="HT13" s="147"/>
      <c r="HU13" s="147"/>
      <c r="HV13" s="147"/>
      <c r="HW13" s="147"/>
      <c r="HX13" s="147"/>
      <c r="HY13" s="154"/>
      <c r="HZ13" s="152" t="n">
        <f aca="false">SUMPRODUCT(IA$4:IJ$4,IA13:IJ13)</f>
        <v>0</v>
      </c>
      <c r="IA13" s="146"/>
      <c r="IB13" s="147"/>
      <c r="IC13" s="147"/>
      <c r="ID13" s="147"/>
      <c r="IE13" s="147"/>
      <c r="IF13" s="147"/>
      <c r="IG13" s="147"/>
      <c r="IH13" s="147"/>
      <c r="II13" s="147"/>
      <c r="IJ13" s="154"/>
      <c r="IK13" s="152" t="n">
        <f aca="false">SUMPRODUCT(IL$4:IU$4,IL13:IU13)</f>
        <v>0</v>
      </c>
      <c r="IL13" s="146"/>
      <c r="IM13" s="147"/>
      <c r="IN13" s="147"/>
      <c r="IO13" s="147"/>
      <c r="IP13" s="147"/>
      <c r="IQ13" s="147"/>
      <c r="IR13" s="147"/>
      <c r="IS13" s="147"/>
      <c r="IT13" s="147"/>
      <c r="IU13" s="154"/>
      <c r="IV13" s="152" t="n">
        <f aca="false">SUMPRODUCT(IW$4:JF$4,IW13:JF13)</f>
        <v>0</v>
      </c>
      <c r="IW13" s="146"/>
      <c r="IX13" s="147"/>
      <c r="IY13" s="147"/>
      <c r="IZ13" s="147"/>
      <c r="JA13" s="147"/>
      <c r="JB13" s="147"/>
      <c r="JC13" s="147"/>
      <c r="JD13" s="147"/>
      <c r="JE13" s="147"/>
      <c r="JF13" s="154"/>
      <c r="JG13" s="152" t="n">
        <f aca="false">SUMPRODUCT(JH$4:JQ$4,JH13:JQ13)</f>
        <v>0</v>
      </c>
      <c r="JH13" s="146"/>
      <c r="JI13" s="147"/>
      <c r="JJ13" s="147"/>
      <c r="JK13" s="147"/>
      <c r="JL13" s="147"/>
      <c r="JM13" s="147"/>
      <c r="JN13" s="147"/>
      <c r="JO13" s="147"/>
      <c r="JP13" s="147"/>
      <c r="JQ13" s="154"/>
      <c r="JR13" s="152" t="n">
        <f aca="false">SUMPRODUCT(JS$4:KB$4,JS13:KB13)</f>
        <v>0</v>
      </c>
      <c r="JS13" s="146"/>
      <c r="JT13" s="147"/>
      <c r="JU13" s="147"/>
      <c r="JV13" s="147"/>
      <c r="JW13" s="147"/>
      <c r="JX13" s="147"/>
      <c r="JY13" s="147"/>
      <c r="JZ13" s="147"/>
      <c r="KA13" s="147"/>
      <c r="KB13" s="154"/>
      <c r="KC13" s="152" t="n">
        <f aca="false">SUMPRODUCT(KD$4:KM$4,KD13:KM13)</f>
        <v>0</v>
      </c>
      <c r="KD13" s="146"/>
      <c r="KE13" s="147"/>
      <c r="KF13" s="147"/>
      <c r="KG13" s="147"/>
      <c r="KH13" s="147"/>
      <c r="KI13" s="147"/>
      <c r="KJ13" s="147"/>
      <c r="KK13" s="147"/>
      <c r="KL13" s="147"/>
      <c r="KM13" s="154"/>
      <c r="KN13" s="152" t="n">
        <f aca="false">SUMPRODUCT(KO$4:KX$4,KO13:KX13)</f>
        <v>0</v>
      </c>
      <c r="KO13" s="146"/>
      <c r="KP13" s="147"/>
      <c r="KQ13" s="147"/>
      <c r="KR13" s="147"/>
      <c r="KS13" s="147"/>
      <c r="KT13" s="147"/>
      <c r="KU13" s="147"/>
      <c r="KV13" s="147"/>
      <c r="KW13" s="147"/>
      <c r="KX13" s="154"/>
      <c r="KY13" s="152" t="n">
        <f aca="false">SUMPRODUCT(KZ$4:LI$4,KZ13:LI13)</f>
        <v>0</v>
      </c>
      <c r="KZ13" s="146"/>
      <c r="LA13" s="147"/>
      <c r="LB13" s="147"/>
      <c r="LC13" s="147"/>
      <c r="LD13" s="147"/>
      <c r="LE13" s="147"/>
      <c r="LF13" s="147"/>
      <c r="LG13" s="147"/>
      <c r="LH13" s="147"/>
      <c r="LI13" s="154"/>
      <c r="LJ13" s="152" t="n">
        <f aca="false">SUMPRODUCT(LK$4:LT$4,LK13:LT13)</f>
        <v>0</v>
      </c>
      <c r="LK13" s="146"/>
      <c r="LL13" s="147"/>
      <c r="LM13" s="147"/>
      <c r="LN13" s="147"/>
      <c r="LO13" s="147"/>
      <c r="LP13" s="147"/>
      <c r="LQ13" s="147"/>
      <c r="LR13" s="147"/>
      <c r="LS13" s="147"/>
      <c r="LT13" s="154"/>
      <c r="LW13" s="152"/>
      <c r="LX13" s="155" t="n">
        <f aca="false">D167+O167+Z167+AK167+AV167+BG167+BR167+CC167+CN167+CY167+DJ167+DU167+EF167+EQ167+FB167+FM167+FX167+GI167+GT167+HE167+HP167+IA167+IL167+IW167+JH167+JS167+KD167+KO167+KZ167+LK167</f>
        <v>6.9125</v>
      </c>
      <c r="LY13" s="156" t="n">
        <f aca="false">E167+P167+AA167+AL167+AW167+BH167+BS167+CD167+CO167+CZ167+DK167+DV167+EG167+ER167+FC167+FN167+FY167+GJ167+GU167+HF167+HQ167+IB167+IM167+IX167+JI167+JT167+KE167+KP167+LA167+LL167</f>
        <v>6.05</v>
      </c>
      <c r="LZ13" s="156" t="n">
        <f aca="false">F167+Q167+AB167+AM167+AX167+BI167+BT167+CE167+CP167+DA167+DL167+DW167+EH167+ES167+FD167+FO167+FZ167+GK167+GV167+HG167+HR167+IC167+IN167+IY167+JJ167+JU167+KF167+KQ167+LB167+LM167</f>
        <v>7.22</v>
      </c>
      <c r="MA13" s="156" t="n">
        <f aca="false">G167+R167+AC167+AN167+AY167+BJ167+BU167+CF167+CQ167+DB167+DM167+DX167+EI167+ET167+FE167+FP167+GA167+GL167+GW167+HH167+HS167+ID167+IO167+IZ167+JK167+JV167+KG167+KR167+LC167+LN167</f>
        <v>8.14</v>
      </c>
      <c r="MB13" s="156" t="n">
        <f aca="false">H167+S167+AD167+AO167+AZ167+BK167+BV167+CG167+CR167+DC167+DN167+DY167+EJ167+EU167+FF167+FQ167+GB167+GM167+GX167+HI167+HT167+IE167+IP167+JA167+JL167+JW167+KH167+KS167+LD167+LO167</f>
        <v>0</v>
      </c>
      <c r="MC13" s="156" t="n">
        <f aca="false">I167+T167+AE167+AP167+BA167+BL167+BW167+CH167+CS167+DD167+DO167+DZ167+EK167+EV167+FG167+FR167+GC167+GN167+GY167+HJ167+HU167+IF167+IQ167+JB167+JM167+JX167+KI167+KT167+LE167+LP167</f>
        <v>0</v>
      </c>
      <c r="MD13" s="156" t="n">
        <f aca="false">J167+U167+AF167+AQ167+BB167+BM167+BX167+CI167+CT167+DE167+DP167+EA167+EL167+EW167+FH167+FS167+GD167+GO167+GZ167+HK167+HV167+IG167+IR167+JC167+JN167+JY167+KJ167+KU167+LF167+LQ167</f>
        <v>0</v>
      </c>
      <c r="ME13" s="156" t="n">
        <f aca="false">K167+V167+AG167+AR167+BC167+BN167+BY167+CJ167+CU167+DF167+DQ167+EB167+EM167+EX167+FI167+FT167+GE167+GP167+HA167+HL167+HW167+IH167+IS167+JD167+JO167+JZ167+KK167+KV167+LG167+LR167</f>
        <v>0</v>
      </c>
      <c r="MF13" s="156" t="n">
        <f aca="false">L167+W167+AH167+AS167+BD167+BO167+BZ167+CK167+CV167+DG167+DR167+EC167+EN167+EY167+FJ167+FU167+GF167+GQ167+HB167+HM167+HX167+II167+IT167+JE167+JP167+KA167+KL167+KW167+LH167+LS167</f>
        <v>0</v>
      </c>
      <c r="MG13" s="157" t="n">
        <f aca="false">M167+X167+AI167+AT167+BE167+BP167+CA167+CL167+CW167+DH167+DS167+ED167+EO167+EZ167+FK167+FV167+GG167+GR167+HC167+HN167+HY167+IJ167+IU167+JF167+JQ167+KB167+KM167+KX167+LI167+LT167</f>
        <v>0</v>
      </c>
    </row>
    <row r="14" customFormat="false" ht="13.8" hidden="false" customHeight="false" outlineLevel="0" collapsed="false">
      <c r="A14" s="29" t="n">
        <v>9</v>
      </c>
      <c r="B14" s="151" t="str">
        <f aca="false">'Datos Iniciales'!T17</f>
        <v>Alumno9</v>
      </c>
      <c r="C14" s="152" t="n">
        <f aca="false">SUMPRODUCT(D$4:M$4,D14:M14)</f>
        <v>6.4</v>
      </c>
      <c r="D14" s="146" t="n">
        <v>6</v>
      </c>
      <c r="E14" s="147" t="n">
        <v>7</v>
      </c>
      <c r="F14" s="147" t="n">
        <v>8</v>
      </c>
      <c r="G14" s="147" t="n">
        <v>9</v>
      </c>
      <c r="H14" s="147" t="n">
        <v>5</v>
      </c>
      <c r="I14" s="147" t="n">
        <v>4</v>
      </c>
      <c r="J14" s="147" t="n">
        <v>6</v>
      </c>
      <c r="K14" s="147"/>
      <c r="L14" s="147"/>
      <c r="M14" s="154"/>
      <c r="N14" s="152" t="n">
        <f aca="false">SUMPRODUCT(O$4:X$4,O14:X14)</f>
        <v>4.6</v>
      </c>
      <c r="O14" s="146" t="n">
        <v>5</v>
      </c>
      <c r="P14" s="147" t="n">
        <v>6</v>
      </c>
      <c r="Q14" s="147" t="n">
        <v>3</v>
      </c>
      <c r="R14" s="147" t="n">
        <v>4</v>
      </c>
      <c r="S14" s="147" t="n">
        <v>5</v>
      </c>
      <c r="T14" s="147"/>
      <c r="U14" s="147"/>
      <c r="V14" s="147"/>
      <c r="W14" s="147"/>
      <c r="X14" s="154"/>
      <c r="Y14" s="152" t="n">
        <f aca="false">SUMPRODUCT(Z$4:AI$4,Z14:AI14)</f>
        <v>4.6</v>
      </c>
      <c r="Z14" s="146" t="n">
        <v>5</v>
      </c>
      <c r="AA14" s="147" t="n">
        <v>6</v>
      </c>
      <c r="AB14" s="147" t="n">
        <v>3</v>
      </c>
      <c r="AC14" s="147" t="n">
        <v>4</v>
      </c>
      <c r="AD14" s="147" t="n">
        <v>5</v>
      </c>
      <c r="AE14" s="147"/>
      <c r="AF14" s="147"/>
      <c r="AG14" s="147"/>
      <c r="AH14" s="147"/>
      <c r="AI14" s="154"/>
      <c r="AJ14" s="152" t="n">
        <f aca="false">SUMPRODUCT(AK$4:AT$4,AK14:AT14)</f>
        <v>4.6</v>
      </c>
      <c r="AK14" s="146" t="n">
        <v>5</v>
      </c>
      <c r="AL14" s="147" t="n">
        <v>6</v>
      </c>
      <c r="AM14" s="147" t="n">
        <v>3</v>
      </c>
      <c r="AN14" s="147" t="n">
        <v>4</v>
      </c>
      <c r="AO14" s="147" t="n">
        <v>5</v>
      </c>
      <c r="AP14" s="147"/>
      <c r="AQ14" s="147"/>
      <c r="AR14" s="147"/>
      <c r="AS14" s="147"/>
      <c r="AT14" s="154"/>
      <c r="AU14" s="152" t="n">
        <f aca="false">SUMPRODUCT(AV$4:BE$4,AV14:BE14)</f>
        <v>7.3</v>
      </c>
      <c r="AV14" s="146" t="n">
        <v>6</v>
      </c>
      <c r="AW14" s="147" t="n">
        <v>7</v>
      </c>
      <c r="AX14" s="147" t="n">
        <v>8</v>
      </c>
      <c r="AY14" s="147" t="n">
        <v>9</v>
      </c>
      <c r="AZ14" s="147" t="n">
        <v>5</v>
      </c>
      <c r="BA14" s="147"/>
      <c r="BB14" s="147"/>
      <c r="BC14" s="147"/>
      <c r="BD14" s="147"/>
      <c r="BE14" s="154"/>
      <c r="BF14" s="152" t="n">
        <f aca="false">SUMPRODUCT(BG$4:BP$4,BG14:BP14)</f>
        <v>6.9</v>
      </c>
      <c r="BG14" s="146" t="n">
        <v>6</v>
      </c>
      <c r="BH14" s="147" t="n">
        <v>7</v>
      </c>
      <c r="BI14" s="147" t="n">
        <v>8</v>
      </c>
      <c r="BJ14" s="147" t="n">
        <v>9</v>
      </c>
      <c r="BK14" s="147" t="n">
        <v>5</v>
      </c>
      <c r="BL14" s="147"/>
      <c r="BM14" s="147"/>
      <c r="BN14" s="147"/>
      <c r="BO14" s="147"/>
      <c r="BP14" s="154"/>
      <c r="BQ14" s="152" t="n">
        <f aca="false">SUMPRODUCT(BR$4:CA$4,BR14:CA14)</f>
        <v>5</v>
      </c>
      <c r="BR14" s="146" t="n">
        <v>5</v>
      </c>
      <c r="BS14" s="153" t="n">
        <v>5</v>
      </c>
      <c r="BT14" s="153" t="n">
        <v>5</v>
      </c>
      <c r="BU14" s="153" t="n">
        <v>5</v>
      </c>
      <c r="BV14" s="153" t="n">
        <v>5</v>
      </c>
      <c r="BW14" s="147"/>
      <c r="BX14" s="147"/>
      <c r="BY14" s="147"/>
      <c r="BZ14" s="147"/>
      <c r="CA14" s="154"/>
      <c r="CB14" s="152" t="n">
        <f aca="false">SUMPRODUCT(CC$4:CL$4,CC14:CL14)</f>
        <v>0</v>
      </c>
      <c r="CC14" s="146"/>
      <c r="CD14" s="147"/>
      <c r="CE14" s="147"/>
      <c r="CF14" s="147"/>
      <c r="CG14" s="147"/>
      <c r="CH14" s="147"/>
      <c r="CI14" s="147"/>
      <c r="CJ14" s="147"/>
      <c r="CK14" s="147"/>
      <c r="CL14" s="154"/>
      <c r="CM14" s="152" t="n">
        <f aca="false">SUMPRODUCT(CN$4:CW$4,CN14:CW14)</f>
        <v>0</v>
      </c>
      <c r="CN14" s="146"/>
      <c r="CO14" s="147"/>
      <c r="CP14" s="147"/>
      <c r="CQ14" s="147"/>
      <c r="CR14" s="147"/>
      <c r="CS14" s="147"/>
      <c r="CT14" s="147"/>
      <c r="CU14" s="147"/>
      <c r="CV14" s="147"/>
      <c r="CW14" s="154"/>
      <c r="CX14" s="152" t="n">
        <f aca="false">SUMPRODUCT(CY$4:DH$4,CY14:DH14)</f>
        <v>0</v>
      </c>
      <c r="CY14" s="146"/>
      <c r="CZ14" s="147"/>
      <c r="DA14" s="147"/>
      <c r="DB14" s="147"/>
      <c r="DC14" s="147"/>
      <c r="DD14" s="147"/>
      <c r="DE14" s="147"/>
      <c r="DF14" s="147"/>
      <c r="DG14" s="147"/>
      <c r="DH14" s="154"/>
      <c r="DI14" s="152" t="n">
        <f aca="false">SUMPRODUCT(DJ$4:DS$4,DJ14:DS14)</f>
        <v>0</v>
      </c>
      <c r="DJ14" s="146"/>
      <c r="DK14" s="147"/>
      <c r="DL14" s="147"/>
      <c r="DM14" s="147"/>
      <c r="DN14" s="147"/>
      <c r="DO14" s="147"/>
      <c r="DP14" s="147"/>
      <c r="DQ14" s="147"/>
      <c r="DR14" s="147"/>
      <c r="DS14" s="154"/>
      <c r="DT14" s="152" t="n">
        <f aca="false">SUMPRODUCT(DU$4:ED$4,DU14:ED14)</f>
        <v>0</v>
      </c>
      <c r="DU14" s="146"/>
      <c r="DV14" s="147"/>
      <c r="DW14" s="147"/>
      <c r="DX14" s="147"/>
      <c r="DY14" s="147"/>
      <c r="DZ14" s="147"/>
      <c r="EA14" s="147"/>
      <c r="EB14" s="147"/>
      <c r="EC14" s="147"/>
      <c r="ED14" s="154"/>
      <c r="EE14" s="152" t="n">
        <f aca="false">SUMPRODUCT(EF$4:EO$4,EF14:EO14)</f>
        <v>0</v>
      </c>
      <c r="EF14" s="146"/>
      <c r="EG14" s="147"/>
      <c r="EH14" s="147"/>
      <c r="EI14" s="147"/>
      <c r="EJ14" s="147"/>
      <c r="EK14" s="147"/>
      <c r="EL14" s="147"/>
      <c r="EM14" s="147"/>
      <c r="EN14" s="147"/>
      <c r="EO14" s="154"/>
      <c r="EP14" s="152" t="n">
        <f aca="false">SUMPRODUCT(EQ$4:EZ$4,EQ14:EZ14)</f>
        <v>0</v>
      </c>
      <c r="EQ14" s="146"/>
      <c r="ER14" s="147"/>
      <c r="ES14" s="147"/>
      <c r="ET14" s="147"/>
      <c r="EU14" s="147"/>
      <c r="EV14" s="147"/>
      <c r="EW14" s="147"/>
      <c r="EX14" s="147"/>
      <c r="EY14" s="147"/>
      <c r="EZ14" s="154"/>
      <c r="FA14" s="152" t="n">
        <f aca="false">SUMPRODUCT(FB$4:FK$4,FB14:FK14)</f>
        <v>0</v>
      </c>
      <c r="FB14" s="146"/>
      <c r="FC14" s="147"/>
      <c r="FD14" s="147"/>
      <c r="FE14" s="147"/>
      <c r="FF14" s="147"/>
      <c r="FG14" s="147"/>
      <c r="FH14" s="147"/>
      <c r="FI14" s="147"/>
      <c r="FJ14" s="147"/>
      <c r="FK14" s="154"/>
      <c r="FL14" s="152" t="n">
        <f aca="false">SUMPRODUCT(FM$4:FV$4,FM14:FV14)</f>
        <v>0</v>
      </c>
      <c r="FM14" s="146"/>
      <c r="FN14" s="147"/>
      <c r="FO14" s="147"/>
      <c r="FP14" s="147"/>
      <c r="FQ14" s="147"/>
      <c r="FR14" s="147"/>
      <c r="FS14" s="147"/>
      <c r="FT14" s="147"/>
      <c r="FU14" s="147"/>
      <c r="FV14" s="154"/>
      <c r="FW14" s="152" t="n">
        <f aca="false">SUMPRODUCT(FX$4:GG$4,FX14:GG14)</f>
        <v>0</v>
      </c>
      <c r="FX14" s="146"/>
      <c r="FY14" s="147"/>
      <c r="FZ14" s="147"/>
      <c r="GA14" s="147"/>
      <c r="GB14" s="147"/>
      <c r="GC14" s="147"/>
      <c r="GD14" s="147"/>
      <c r="GE14" s="147"/>
      <c r="GF14" s="147"/>
      <c r="GG14" s="154"/>
      <c r="GH14" s="152" t="n">
        <f aca="false">SUMPRODUCT(GI$4:GR$4,GI14:GR14)</f>
        <v>0</v>
      </c>
      <c r="GI14" s="146"/>
      <c r="GJ14" s="147"/>
      <c r="GK14" s="147"/>
      <c r="GL14" s="147"/>
      <c r="GM14" s="147"/>
      <c r="GN14" s="147"/>
      <c r="GO14" s="147"/>
      <c r="GP14" s="147"/>
      <c r="GQ14" s="147"/>
      <c r="GR14" s="154"/>
      <c r="GS14" s="152" t="n">
        <f aca="false">SUMPRODUCT(GT$4:HC$4,GT14:HC14)</f>
        <v>0</v>
      </c>
      <c r="GT14" s="146"/>
      <c r="GU14" s="147"/>
      <c r="GV14" s="147"/>
      <c r="GW14" s="147"/>
      <c r="GX14" s="147"/>
      <c r="GY14" s="147"/>
      <c r="GZ14" s="147"/>
      <c r="HA14" s="147"/>
      <c r="HB14" s="147"/>
      <c r="HC14" s="154"/>
      <c r="HD14" s="152" t="n">
        <f aca="false">SUMPRODUCT(HE$4:HN$4,HE14:HN14)</f>
        <v>0</v>
      </c>
      <c r="HE14" s="146"/>
      <c r="HF14" s="147"/>
      <c r="HG14" s="147"/>
      <c r="HH14" s="147"/>
      <c r="HI14" s="147"/>
      <c r="HJ14" s="147"/>
      <c r="HK14" s="147"/>
      <c r="HL14" s="147"/>
      <c r="HM14" s="147"/>
      <c r="HN14" s="154"/>
      <c r="HO14" s="152" t="n">
        <f aca="false">SUMPRODUCT(HP$4:HY$4,HP14:HY14)</f>
        <v>0</v>
      </c>
      <c r="HP14" s="146"/>
      <c r="HQ14" s="147"/>
      <c r="HR14" s="147"/>
      <c r="HS14" s="147"/>
      <c r="HT14" s="147"/>
      <c r="HU14" s="147"/>
      <c r="HV14" s="147"/>
      <c r="HW14" s="147"/>
      <c r="HX14" s="147"/>
      <c r="HY14" s="154"/>
      <c r="HZ14" s="152" t="n">
        <f aca="false">SUMPRODUCT(IA$4:IJ$4,IA14:IJ14)</f>
        <v>0</v>
      </c>
      <c r="IA14" s="146"/>
      <c r="IB14" s="147"/>
      <c r="IC14" s="147"/>
      <c r="ID14" s="147"/>
      <c r="IE14" s="147"/>
      <c r="IF14" s="147"/>
      <c r="IG14" s="147"/>
      <c r="IH14" s="147"/>
      <c r="II14" s="147"/>
      <c r="IJ14" s="154"/>
      <c r="IK14" s="152" t="n">
        <f aca="false">SUMPRODUCT(IL$4:IU$4,IL14:IU14)</f>
        <v>0</v>
      </c>
      <c r="IL14" s="146"/>
      <c r="IM14" s="147"/>
      <c r="IN14" s="147"/>
      <c r="IO14" s="147"/>
      <c r="IP14" s="147"/>
      <c r="IQ14" s="147"/>
      <c r="IR14" s="147"/>
      <c r="IS14" s="147"/>
      <c r="IT14" s="147"/>
      <c r="IU14" s="154"/>
      <c r="IV14" s="152" t="n">
        <f aca="false">SUMPRODUCT(IW$4:JF$4,IW14:JF14)</f>
        <v>0</v>
      </c>
      <c r="IW14" s="146"/>
      <c r="IX14" s="147"/>
      <c r="IY14" s="147"/>
      <c r="IZ14" s="147"/>
      <c r="JA14" s="147"/>
      <c r="JB14" s="147"/>
      <c r="JC14" s="147"/>
      <c r="JD14" s="147"/>
      <c r="JE14" s="147"/>
      <c r="JF14" s="154"/>
      <c r="JG14" s="152" t="n">
        <f aca="false">SUMPRODUCT(JH$4:JQ$4,JH14:JQ14)</f>
        <v>0</v>
      </c>
      <c r="JH14" s="146"/>
      <c r="JI14" s="147"/>
      <c r="JJ14" s="147"/>
      <c r="JK14" s="147"/>
      <c r="JL14" s="147"/>
      <c r="JM14" s="147"/>
      <c r="JN14" s="147"/>
      <c r="JO14" s="147"/>
      <c r="JP14" s="147"/>
      <c r="JQ14" s="154"/>
      <c r="JR14" s="152" t="n">
        <f aca="false">SUMPRODUCT(JS$4:KB$4,JS14:KB14)</f>
        <v>0</v>
      </c>
      <c r="JS14" s="146"/>
      <c r="JT14" s="147"/>
      <c r="JU14" s="147"/>
      <c r="JV14" s="147"/>
      <c r="JW14" s="147"/>
      <c r="JX14" s="147"/>
      <c r="JY14" s="147"/>
      <c r="JZ14" s="147"/>
      <c r="KA14" s="147"/>
      <c r="KB14" s="154"/>
      <c r="KC14" s="152" t="n">
        <f aca="false">SUMPRODUCT(KD$4:KM$4,KD14:KM14)</f>
        <v>0</v>
      </c>
      <c r="KD14" s="146"/>
      <c r="KE14" s="147"/>
      <c r="KF14" s="147"/>
      <c r="KG14" s="147"/>
      <c r="KH14" s="147"/>
      <c r="KI14" s="147"/>
      <c r="KJ14" s="147"/>
      <c r="KK14" s="147"/>
      <c r="KL14" s="147"/>
      <c r="KM14" s="154"/>
      <c r="KN14" s="152" t="n">
        <f aca="false">SUMPRODUCT(KO$4:KX$4,KO14:KX14)</f>
        <v>0</v>
      </c>
      <c r="KO14" s="146"/>
      <c r="KP14" s="147"/>
      <c r="KQ14" s="147"/>
      <c r="KR14" s="147"/>
      <c r="KS14" s="147"/>
      <c r="KT14" s="147"/>
      <c r="KU14" s="147"/>
      <c r="KV14" s="147"/>
      <c r="KW14" s="147"/>
      <c r="KX14" s="154"/>
      <c r="KY14" s="152" t="n">
        <f aca="false">SUMPRODUCT(KZ$4:LI$4,KZ14:LI14)</f>
        <v>0</v>
      </c>
      <c r="KZ14" s="146"/>
      <c r="LA14" s="147"/>
      <c r="LB14" s="147"/>
      <c r="LC14" s="147"/>
      <c r="LD14" s="147"/>
      <c r="LE14" s="147"/>
      <c r="LF14" s="147"/>
      <c r="LG14" s="147"/>
      <c r="LH14" s="147"/>
      <c r="LI14" s="154"/>
      <c r="LJ14" s="152" t="n">
        <f aca="false">SUMPRODUCT(LK$4:LT$4,LK14:LT14)</f>
        <v>0</v>
      </c>
      <c r="LK14" s="146"/>
      <c r="LL14" s="147"/>
      <c r="LM14" s="147"/>
      <c r="LN14" s="147"/>
      <c r="LO14" s="147"/>
      <c r="LP14" s="147"/>
      <c r="LQ14" s="147"/>
      <c r="LR14" s="147"/>
      <c r="LS14" s="147"/>
      <c r="LT14" s="154"/>
      <c r="LW14" s="152"/>
      <c r="LX14" s="155" t="n">
        <f aca="false">D168+O168+Z168+AK168+AV168+BG168+BR168+CC168+CN168+CY168+DJ168+DU168+EF168+EQ168+FB168+FM168+FX168+GI168+GT168+HE168+HP168+IA168+IL168+IW168+JH168+JS168+KD168+KO168+KZ168+LK168</f>
        <v>5.65</v>
      </c>
      <c r="LY14" s="156" t="n">
        <f aca="false">E168+P168+AA168+AL168+AW168+BH168+BS168+CD168+CO168+CZ168+DK168+DV168+EG168+ER168+FC168+FN168+FY168+GJ168+GU168+HF168+HQ168+IB168+IM168+IX168+JI168+JT168+KE168+KP168+LA168+LL168</f>
        <v>4.95</v>
      </c>
      <c r="LZ14" s="156" t="n">
        <f aca="false">F168+Q168+AB168+AM168+AX168+BI168+BT168+CE168+CP168+DA168+DL168+DW168+EH168+ES168+FD168+FO168+FZ168+GK168+GV168+HG168+HR168+IC168+IN168+IY168+JJ168+JU168+KF168+KQ168+LB168+LM168</f>
        <v>5.855</v>
      </c>
      <c r="MA14" s="156" t="n">
        <f aca="false">G168+R168+AC168+AN168+AY168+BJ168+BU168+CF168+CQ168+DB168+DM168+DX168+EI168+ET168+FE168+FP168+GA168+GL168+GW168+HH168+HS168+ID168+IO168+IZ168+JK168+JV168+KG168+KR168+LC168+LN168</f>
        <v>5.64</v>
      </c>
      <c r="MB14" s="156" t="n">
        <f aca="false">H168+S168+AD168+AO168+AZ168+BK168+BV168+CG168+CR168+DC168+DN168+DY168+EJ168+EU168+FF168+FQ168+GB168+GM168+GX168+HI168+HT168+IE168+IP168+JA168+JL168+JW168+KH168+KS168+LD168+LO168</f>
        <v>0</v>
      </c>
      <c r="MC14" s="156" t="n">
        <f aca="false">I168+T168+AE168+AP168+BA168+BL168+BW168+CH168+CS168+DD168+DO168+DZ168+EK168+EV168+FG168+FR168+GC168+GN168+GY168+HJ168+HU168+IF168+IQ168+JB168+JM168+JX168+KI168+KT168+LE168+LP168</f>
        <v>0</v>
      </c>
      <c r="MD14" s="156" t="n">
        <f aca="false">J168+U168+AF168+AQ168+BB168+BM168+BX168+CI168+CT168+DE168+DP168+EA168+EL168+EW168+FH168+FS168+GD168+GO168+GZ168+HK168+HV168+IG168+IR168+JC168+JN168+JY168+KJ168+KU168+LF168+LQ168</f>
        <v>0</v>
      </c>
      <c r="ME14" s="156" t="n">
        <f aca="false">K168+V168+AG168+AR168+BC168+BN168+BY168+CJ168+CU168+DF168+DQ168+EB168+EM168+EX168+FI168+FT168+GE168+GP168+HA168+HL168+HW168+IH168+IS168+JD168+JO168+JZ168+KK168+KV168+LG168+LR168</f>
        <v>0</v>
      </c>
      <c r="MF14" s="156" t="n">
        <f aca="false">L168+W168+AH168+AS168+BD168+BO168+BZ168+CK168+CV168+DG168+DR168+EC168+EN168+EY168+FJ168+FU168+GF168+GQ168+HB168+HM168+HX168+II168+IT168+JE168+JP168+KA168+KL168+KW168+LH168+LS168</f>
        <v>0</v>
      </c>
      <c r="MG14" s="157" t="n">
        <f aca="false">M168+X168+AI168+AT168+BE168+BP168+CA168+CL168+CW168+DH168+DS168+ED168+EO168+EZ168+FK168+FV168+GG168+GR168+HC168+HN168+HY168+IJ168+IU168+JF168+JQ168+KB168+KM168+KX168+LI168+LT168</f>
        <v>0</v>
      </c>
    </row>
    <row r="15" customFormat="false" ht="13.8" hidden="false" customHeight="false" outlineLevel="0" collapsed="false">
      <c r="A15" s="29" t="n">
        <v>10</v>
      </c>
      <c r="B15" s="151" t="str">
        <f aca="false">'Datos Iniciales'!T18</f>
        <v>Alumno10</v>
      </c>
      <c r="C15" s="152" t="n">
        <f aca="false">SUMPRODUCT(D$4:M$4,D15:M15)</f>
        <v>5</v>
      </c>
      <c r="D15" s="146" t="n">
        <v>5</v>
      </c>
      <c r="E15" s="147" t="n">
        <v>6</v>
      </c>
      <c r="F15" s="147" t="n">
        <v>3</v>
      </c>
      <c r="G15" s="147" t="n">
        <v>4</v>
      </c>
      <c r="H15" s="147" t="n">
        <v>5</v>
      </c>
      <c r="I15" s="147" t="n">
        <v>6</v>
      </c>
      <c r="J15" s="147" t="n">
        <v>7</v>
      </c>
      <c r="K15" s="147"/>
      <c r="L15" s="147"/>
      <c r="M15" s="154"/>
      <c r="N15" s="152" t="n">
        <f aca="false">SUMPRODUCT(O$4:X$4,O15:X15)</f>
        <v>5</v>
      </c>
      <c r="O15" s="146" t="n">
        <v>5</v>
      </c>
      <c r="P15" s="153" t="n">
        <v>5</v>
      </c>
      <c r="Q15" s="153" t="n">
        <v>5</v>
      </c>
      <c r="R15" s="153" t="n">
        <v>5</v>
      </c>
      <c r="S15" s="153" t="n">
        <v>5</v>
      </c>
      <c r="T15" s="153"/>
      <c r="U15" s="153"/>
      <c r="V15" s="147"/>
      <c r="W15" s="147"/>
      <c r="X15" s="154"/>
      <c r="Y15" s="152" t="n">
        <f aca="false">SUMPRODUCT(Z$4:AI$4,Z15:AI15)</f>
        <v>5</v>
      </c>
      <c r="Z15" s="146" t="n">
        <v>5</v>
      </c>
      <c r="AA15" s="153" t="n">
        <v>5</v>
      </c>
      <c r="AB15" s="153" t="n">
        <v>5</v>
      </c>
      <c r="AC15" s="153" t="n">
        <v>5</v>
      </c>
      <c r="AD15" s="153" t="n">
        <v>5</v>
      </c>
      <c r="AE15" s="153"/>
      <c r="AF15" s="153"/>
      <c r="AG15" s="147"/>
      <c r="AH15" s="147"/>
      <c r="AI15" s="154"/>
      <c r="AJ15" s="152" t="n">
        <f aca="false">SUMPRODUCT(AK$4:AT$4,AK15:AT15)</f>
        <v>5</v>
      </c>
      <c r="AK15" s="146" t="n">
        <v>5</v>
      </c>
      <c r="AL15" s="153" t="n">
        <v>5</v>
      </c>
      <c r="AM15" s="153" t="n">
        <v>5</v>
      </c>
      <c r="AN15" s="153" t="n">
        <v>5</v>
      </c>
      <c r="AO15" s="153" t="n">
        <v>5</v>
      </c>
      <c r="AP15" s="147"/>
      <c r="AQ15" s="147"/>
      <c r="AR15" s="147"/>
      <c r="AS15" s="147"/>
      <c r="AT15" s="154"/>
      <c r="AU15" s="152" t="n">
        <f aca="false">SUMPRODUCT(AV$4:BE$4,AV15:BE15)</f>
        <v>4.5</v>
      </c>
      <c r="AV15" s="146" t="n">
        <v>5</v>
      </c>
      <c r="AW15" s="147" t="n">
        <v>6</v>
      </c>
      <c r="AX15" s="147" t="n">
        <v>3</v>
      </c>
      <c r="AY15" s="147" t="n">
        <v>4</v>
      </c>
      <c r="AZ15" s="147" t="n">
        <v>5</v>
      </c>
      <c r="BA15" s="147"/>
      <c r="BB15" s="147"/>
      <c r="BC15" s="147"/>
      <c r="BD15" s="147"/>
      <c r="BE15" s="154"/>
      <c r="BF15" s="152" t="n">
        <f aca="false">SUMPRODUCT(BG$4:BP$4,BG15:BP15)</f>
        <v>4.6</v>
      </c>
      <c r="BG15" s="146" t="n">
        <v>5</v>
      </c>
      <c r="BH15" s="147" t="n">
        <v>6</v>
      </c>
      <c r="BI15" s="147" t="n">
        <v>3</v>
      </c>
      <c r="BJ15" s="147" t="n">
        <v>4</v>
      </c>
      <c r="BK15" s="147" t="n">
        <v>5</v>
      </c>
      <c r="BL15" s="147"/>
      <c r="BM15" s="147"/>
      <c r="BN15" s="147"/>
      <c r="BO15" s="147"/>
      <c r="BP15" s="154"/>
      <c r="BQ15" s="152" t="n">
        <f aca="false">SUMPRODUCT(BR$4:CA$4,BR15:CA15)</f>
        <v>4.5</v>
      </c>
      <c r="BR15" s="146" t="n">
        <v>5</v>
      </c>
      <c r="BS15" s="147" t="n">
        <v>6</v>
      </c>
      <c r="BT15" s="147" t="n">
        <v>3</v>
      </c>
      <c r="BU15" s="147" t="n">
        <v>4</v>
      </c>
      <c r="BV15" s="147" t="n">
        <v>5</v>
      </c>
      <c r="BW15" s="147"/>
      <c r="BX15" s="147"/>
      <c r="BY15" s="147"/>
      <c r="BZ15" s="147"/>
      <c r="CA15" s="154"/>
      <c r="CB15" s="152" t="n">
        <f aca="false">SUMPRODUCT(CC$4:CL$4,CC15:CL15)</f>
        <v>0</v>
      </c>
      <c r="CC15" s="146"/>
      <c r="CD15" s="147"/>
      <c r="CE15" s="147"/>
      <c r="CF15" s="147"/>
      <c r="CG15" s="147"/>
      <c r="CH15" s="147"/>
      <c r="CI15" s="147"/>
      <c r="CJ15" s="147"/>
      <c r="CK15" s="147"/>
      <c r="CL15" s="154"/>
      <c r="CM15" s="152" t="n">
        <f aca="false">SUMPRODUCT(CN$4:CW$4,CN15:CW15)</f>
        <v>0</v>
      </c>
      <c r="CN15" s="146"/>
      <c r="CO15" s="147"/>
      <c r="CP15" s="147"/>
      <c r="CQ15" s="147"/>
      <c r="CR15" s="147"/>
      <c r="CS15" s="147"/>
      <c r="CT15" s="147"/>
      <c r="CU15" s="147"/>
      <c r="CV15" s="147"/>
      <c r="CW15" s="154"/>
      <c r="CX15" s="152" t="n">
        <f aca="false">SUMPRODUCT(CY$4:DH$4,CY15:DH15)</f>
        <v>0</v>
      </c>
      <c r="CY15" s="146"/>
      <c r="CZ15" s="147"/>
      <c r="DA15" s="147"/>
      <c r="DB15" s="147"/>
      <c r="DC15" s="147"/>
      <c r="DD15" s="147"/>
      <c r="DE15" s="147"/>
      <c r="DF15" s="147"/>
      <c r="DG15" s="147"/>
      <c r="DH15" s="154"/>
      <c r="DI15" s="152" t="n">
        <f aca="false">SUMPRODUCT(DJ$4:DS$4,DJ15:DS15)</f>
        <v>0</v>
      </c>
      <c r="DJ15" s="146"/>
      <c r="DK15" s="147"/>
      <c r="DL15" s="147"/>
      <c r="DM15" s="147"/>
      <c r="DN15" s="147"/>
      <c r="DO15" s="147"/>
      <c r="DP15" s="147"/>
      <c r="DQ15" s="147"/>
      <c r="DR15" s="147"/>
      <c r="DS15" s="154"/>
      <c r="DT15" s="152" t="n">
        <f aca="false">SUMPRODUCT(DU$4:ED$4,DU15:ED15)</f>
        <v>0</v>
      </c>
      <c r="DU15" s="146"/>
      <c r="DV15" s="147"/>
      <c r="DW15" s="147"/>
      <c r="DX15" s="147"/>
      <c r="DY15" s="147"/>
      <c r="DZ15" s="147"/>
      <c r="EA15" s="147"/>
      <c r="EB15" s="147"/>
      <c r="EC15" s="147"/>
      <c r="ED15" s="154"/>
      <c r="EE15" s="152" t="n">
        <f aca="false">SUMPRODUCT(EF$4:EO$4,EF15:EO15)</f>
        <v>0</v>
      </c>
      <c r="EF15" s="146"/>
      <c r="EG15" s="147"/>
      <c r="EH15" s="147"/>
      <c r="EI15" s="147"/>
      <c r="EJ15" s="147"/>
      <c r="EK15" s="147"/>
      <c r="EL15" s="147"/>
      <c r="EM15" s="147"/>
      <c r="EN15" s="147"/>
      <c r="EO15" s="154"/>
      <c r="EP15" s="152" t="n">
        <f aca="false">SUMPRODUCT(EQ$4:EZ$4,EQ15:EZ15)</f>
        <v>0</v>
      </c>
      <c r="EQ15" s="146"/>
      <c r="ER15" s="147"/>
      <c r="ES15" s="147"/>
      <c r="ET15" s="147"/>
      <c r="EU15" s="147"/>
      <c r="EV15" s="147"/>
      <c r="EW15" s="147"/>
      <c r="EX15" s="147"/>
      <c r="EY15" s="147"/>
      <c r="EZ15" s="154"/>
      <c r="FA15" s="152" t="n">
        <f aca="false">SUMPRODUCT(FB$4:FK$4,FB15:FK15)</f>
        <v>0</v>
      </c>
      <c r="FB15" s="146"/>
      <c r="FC15" s="147"/>
      <c r="FD15" s="147"/>
      <c r="FE15" s="147"/>
      <c r="FF15" s="147"/>
      <c r="FG15" s="147"/>
      <c r="FH15" s="147"/>
      <c r="FI15" s="147"/>
      <c r="FJ15" s="147"/>
      <c r="FK15" s="154"/>
      <c r="FL15" s="152" t="n">
        <f aca="false">SUMPRODUCT(FM$4:FV$4,FM15:FV15)</f>
        <v>0</v>
      </c>
      <c r="FM15" s="146"/>
      <c r="FN15" s="147"/>
      <c r="FO15" s="147"/>
      <c r="FP15" s="147"/>
      <c r="FQ15" s="147"/>
      <c r="FR15" s="147"/>
      <c r="FS15" s="147"/>
      <c r="FT15" s="147"/>
      <c r="FU15" s="147"/>
      <c r="FV15" s="154"/>
      <c r="FW15" s="152" t="n">
        <f aca="false">SUMPRODUCT(FX$4:GG$4,FX15:GG15)</f>
        <v>0</v>
      </c>
      <c r="FX15" s="146"/>
      <c r="FY15" s="147"/>
      <c r="FZ15" s="147"/>
      <c r="GA15" s="147"/>
      <c r="GB15" s="147"/>
      <c r="GC15" s="147"/>
      <c r="GD15" s="147"/>
      <c r="GE15" s="147"/>
      <c r="GF15" s="147"/>
      <c r="GG15" s="154"/>
      <c r="GH15" s="152" t="n">
        <f aca="false">SUMPRODUCT(GI$4:GR$4,GI15:GR15)</f>
        <v>0</v>
      </c>
      <c r="GI15" s="146"/>
      <c r="GJ15" s="147"/>
      <c r="GK15" s="147"/>
      <c r="GL15" s="147"/>
      <c r="GM15" s="147"/>
      <c r="GN15" s="147"/>
      <c r="GO15" s="147"/>
      <c r="GP15" s="147"/>
      <c r="GQ15" s="147"/>
      <c r="GR15" s="154"/>
      <c r="GS15" s="152" t="n">
        <f aca="false">SUMPRODUCT(GT$4:HC$4,GT15:HC15)</f>
        <v>0</v>
      </c>
      <c r="GT15" s="146"/>
      <c r="GU15" s="147"/>
      <c r="GV15" s="147"/>
      <c r="GW15" s="147"/>
      <c r="GX15" s="147"/>
      <c r="GY15" s="147"/>
      <c r="GZ15" s="147"/>
      <c r="HA15" s="147"/>
      <c r="HB15" s="147"/>
      <c r="HC15" s="154"/>
      <c r="HD15" s="152" t="n">
        <f aca="false">SUMPRODUCT(HE$4:HN$4,HE15:HN15)</f>
        <v>0</v>
      </c>
      <c r="HE15" s="146"/>
      <c r="HF15" s="147"/>
      <c r="HG15" s="147"/>
      <c r="HH15" s="147"/>
      <c r="HI15" s="147"/>
      <c r="HJ15" s="147"/>
      <c r="HK15" s="147"/>
      <c r="HL15" s="147"/>
      <c r="HM15" s="147"/>
      <c r="HN15" s="154"/>
      <c r="HO15" s="152" t="n">
        <f aca="false">SUMPRODUCT(HP$4:HY$4,HP15:HY15)</f>
        <v>0</v>
      </c>
      <c r="HP15" s="146"/>
      <c r="HQ15" s="147"/>
      <c r="HR15" s="147"/>
      <c r="HS15" s="147"/>
      <c r="HT15" s="147"/>
      <c r="HU15" s="147"/>
      <c r="HV15" s="147"/>
      <c r="HW15" s="147"/>
      <c r="HX15" s="147"/>
      <c r="HY15" s="154"/>
      <c r="HZ15" s="152" t="n">
        <f aca="false">SUMPRODUCT(IA$4:IJ$4,IA15:IJ15)</f>
        <v>0</v>
      </c>
      <c r="IA15" s="146"/>
      <c r="IB15" s="147"/>
      <c r="IC15" s="147"/>
      <c r="ID15" s="147"/>
      <c r="IE15" s="147"/>
      <c r="IF15" s="147"/>
      <c r="IG15" s="147"/>
      <c r="IH15" s="147"/>
      <c r="II15" s="147"/>
      <c r="IJ15" s="154"/>
      <c r="IK15" s="152" t="n">
        <f aca="false">SUMPRODUCT(IL$4:IU$4,IL15:IU15)</f>
        <v>0</v>
      </c>
      <c r="IL15" s="146"/>
      <c r="IM15" s="147"/>
      <c r="IN15" s="147"/>
      <c r="IO15" s="147"/>
      <c r="IP15" s="147"/>
      <c r="IQ15" s="147"/>
      <c r="IR15" s="147"/>
      <c r="IS15" s="147"/>
      <c r="IT15" s="147"/>
      <c r="IU15" s="154"/>
      <c r="IV15" s="152" t="n">
        <f aca="false">SUMPRODUCT(IW$4:JF$4,IW15:JF15)</f>
        <v>0</v>
      </c>
      <c r="IW15" s="146"/>
      <c r="IX15" s="147"/>
      <c r="IY15" s="147"/>
      <c r="IZ15" s="147"/>
      <c r="JA15" s="147"/>
      <c r="JB15" s="147"/>
      <c r="JC15" s="147"/>
      <c r="JD15" s="147"/>
      <c r="JE15" s="147"/>
      <c r="JF15" s="154"/>
      <c r="JG15" s="152" t="n">
        <f aca="false">SUMPRODUCT(JH$4:JQ$4,JH15:JQ15)</f>
        <v>0</v>
      </c>
      <c r="JH15" s="146"/>
      <c r="JI15" s="147"/>
      <c r="JJ15" s="147"/>
      <c r="JK15" s="147"/>
      <c r="JL15" s="147"/>
      <c r="JM15" s="147"/>
      <c r="JN15" s="147"/>
      <c r="JO15" s="147"/>
      <c r="JP15" s="147"/>
      <c r="JQ15" s="154"/>
      <c r="JR15" s="152" t="n">
        <f aca="false">SUMPRODUCT(JS$4:KB$4,JS15:KB15)</f>
        <v>0</v>
      </c>
      <c r="JS15" s="146"/>
      <c r="JT15" s="147"/>
      <c r="JU15" s="147"/>
      <c r="JV15" s="147"/>
      <c r="JW15" s="147"/>
      <c r="JX15" s="147"/>
      <c r="JY15" s="147"/>
      <c r="JZ15" s="147"/>
      <c r="KA15" s="147"/>
      <c r="KB15" s="154"/>
      <c r="KC15" s="152" t="n">
        <f aca="false">SUMPRODUCT(KD$4:KM$4,KD15:KM15)</f>
        <v>0</v>
      </c>
      <c r="KD15" s="146"/>
      <c r="KE15" s="147"/>
      <c r="KF15" s="147"/>
      <c r="KG15" s="147"/>
      <c r="KH15" s="147"/>
      <c r="KI15" s="147"/>
      <c r="KJ15" s="147"/>
      <c r="KK15" s="147"/>
      <c r="KL15" s="147"/>
      <c r="KM15" s="154"/>
      <c r="KN15" s="152" t="n">
        <f aca="false">SUMPRODUCT(KO$4:KX$4,KO15:KX15)</f>
        <v>0</v>
      </c>
      <c r="KO15" s="146"/>
      <c r="KP15" s="147"/>
      <c r="KQ15" s="147"/>
      <c r="KR15" s="147"/>
      <c r="KS15" s="147"/>
      <c r="KT15" s="147"/>
      <c r="KU15" s="147"/>
      <c r="KV15" s="147"/>
      <c r="KW15" s="147"/>
      <c r="KX15" s="154"/>
      <c r="KY15" s="152" t="n">
        <f aca="false">SUMPRODUCT(KZ$4:LI$4,KZ15:LI15)</f>
        <v>0</v>
      </c>
      <c r="KZ15" s="146"/>
      <c r="LA15" s="147"/>
      <c r="LB15" s="147"/>
      <c r="LC15" s="147"/>
      <c r="LD15" s="147"/>
      <c r="LE15" s="147"/>
      <c r="LF15" s="147"/>
      <c r="LG15" s="147"/>
      <c r="LH15" s="147"/>
      <c r="LI15" s="154"/>
      <c r="LJ15" s="152" t="n">
        <f aca="false">SUMPRODUCT(LK$4:LT$4,LK15:LT15)</f>
        <v>0</v>
      </c>
      <c r="LK15" s="146"/>
      <c r="LL15" s="147"/>
      <c r="LM15" s="147"/>
      <c r="LN15" s="147"/>
      <c r="LO15" s="147"/>
      <c r="LP15" s="147"/>
      <c r="LQ15" s="147"/>
      <c r="LR15" s="147"/>
      <c r="LS15" s="147"/>
      <c r="LT15" s="154"/>
      <c r="LW15" s="152"/>
      <c r="LX15" s="155" t="n">
        <f aca="false">D169+O169+Z169+AK169+AV169+BG169+BR169+CC169+CN169+CY169+DJ169+DU169+EF169+EQ169+FB169+FM169+FX169+GI169+GT169+HE169+HP169+IA169+IL169+IW169+JH169+JS169+KD169+KO169+KZ169+LK169</f>
        <v>5</v>
      </c>
      <c r="LY15" s="156" t="n">
        <f aca="false">E169+P169+AA169+AL169+AW169+BH169+BS169+CD169+CO169+CZ169+DK169+DV169+EG169+ER169+FC169+FN169+FY169+GJ169+GU169+HF169+HQ169+IB169+IM169+IX169+JI169+JT169+KE169+KP169+LA169+LL169</f>
        <v>5.25</v>
      </c>
      <c r="LZ15" s="156" t="n">
        <f aca="false">F169+Q169+AB169+AM169+AX169+BI169+BT169+CE169+CP169+DA169+DL169+DW169+EH169+ES169+FD169+FO169+FZ169+GK169+GV169+HG169+HR169+IC169+IN169+IY169+JJ169+JU169+KF169+KQ169+LB169+LM169</f>
        <v>4.23</v>
      </c>
      <c r="MA15" s="156" t="n">
        <f aca="false">G169+R169+AC169+AN169+AY169+BJ169+BU169+CF169+CQ169+DB169+DM169+DX169+EI169+ET169+FE169+FP169+GA169+GL169+GW169+HH169+HS169+ID169+IO169+IZ169+JK169+JV169+KG169+KR169+LC169+LN169</f>
        <v>4.64</v>
      </c>
      <c r="MB15" s="156" t="n">
        <f aca="false">H169+S169+AD169+AO169+AZ169+BK169+BV169+CG169+CR169+DC169+DN169+DY169+EJ169+EU169+FF169+FQ169+GB169+GM169+GX169+HI169+HT169+IE169+IP169+JA169+JL169+JW169+KH169+KS169+LD169+LO169</f>
        <v>0</v>
      </c>
      <c r="MC15" s="156" t="n">
        <f aca="false">I169+T169+AE169+AP169+BA169+BL169+BW169+CH169+CS169+DD169+DO169+DZ169+EK169+EV169+FG169+FR169+GC169+GN169+GY169+HJ169+HU169+IF169+IQ169+JB169+JM169+JX169+KI169+KT169+LE169+LP169</f>
        <v>0</v>
      </c>
      <c r="MD15" s="156" t="n">
        <f aca="false">J169+U169+AF169+AQ169+BB169+BM169+BX169+CI169+CT169+DE169+DP169+EA169+EL169+EW169+FH169+FS169+GD169+GO169+GZ169+HK169+HV169+IG169+IR169+JC169+JN169+JY169+KJ169+KU169+LF169+LQ169</f>
        <v>0</v>
      </c>
      <c r="ME15" s="156" t="n">
        <f aca="false">K169+V169+AG169+AR169+BC169+BN169+BY169+CJ169+CU169+DF169+DQ169+EB169+EM169+EX169+FI169+FT169+GE169+GP169+HA169+HL169+HW169+IH169+IS169+JD169+JO169+JZ169+KK169+KV169+LG169+LR169</f>
        <v>0</v>
      </c>
      <c r="MF15" s="156" t="n">
        <f aca="false">L169+W169+AH169+AS169+BD169+BO169+BZ169+CK169+CV169+DG169+DR169+EC169+EN169+EY169+FJ169+FU169+GF169+GQ169+HB169+HM169+HX169+II169+IT169+JE169+JP169+KA169+KL169+KW169+LH169+LS169</f>
        <v>0</v>
      </c>
      <c r="MG15" s="157" t="n">
        <f aca="false">M169+X169+AI169+AT169+BE169+BP169+CA169+CL169+CW169+DH169+DS169+ED169+EO169+EZ169+FK169+FV169+GG169+GR169+HC169+HN169+HY169+IJ169+IU169+JF169+JQ169+KB169+KM169+KX169+LI169+LT169</f>
        <v>0</v>
      </c>
    </row>
    <row r="16" customFormat="false" ht="13.8" hidden="false" customHeight="false" outlineLevel="0" collapsed="false">
      <c r="A16" s="29" t="n">
        <v>11</v>
      </c>
      <c r="B16" s="151" t="str">
        <f aca="false">'Datos Iniciales'!T19</f>
        <v>Alumno11</v>
      </c>
      <c r="C16" s="152" t="n">
        <f aca="false">SUMPRODUCT(D$4:M$4,D16:M16)</f>
        <v>6.9</v>
      </c>
      <c r="D16" s="143" t="n">
        <v>8</v>
      </c>
      <c r="E16" s="144" t="n">
        <v>5</v>
      </c>
      <c r="F16" s="144" t="n">
        <v>7</v>
      </c>
      <c r="G16" s="144" t="n">
        <v>4</v>
      </c>
      <c r="H16" s="144" t="n">
        <v>9</v>
      </c>
      <c r="I16" s="144" t="n">
        <v>8</v>
      </c>
      <c r="J16" s="144" t="n">
        <v>6</v>
      </c>
      <c r="K16" s="147"/>
      <c r="L16" s="147"/>
      <c r="M16" s="154"/>
      <c r="N16" s="152" t="n">
        <f aca="false">SUMPRODUCT(O$4:X$4,O16:X16)</f>
        <v>6.6</v>
      </c>
      <c r="O16" s="143" t="n">
        <v>8</v>
      </c>
      <c r="P16" s="144" t="n">
        <v>5</v>
      </c>
      <c r="Q16" s="144" t="n">
        <v>7</v>
      </c>
      <c r="R16" s="144" t="n">
        <v>4</v>
      </c>
      <c r="S16" s="144" t="n">
        <v>9</v>
      </c>
      <c r="T16" s="144"/>
      <c r="U16" s="144"/>
      <c r="V16" s="147"/>
      <c r="W16" s="147"/>
      <c r="X16" s="154"/>
      <c r="Y16" s="152" t="n">
        <f aca="false">SUMPRODUCT(Z$4:AI$4,Z16:AI16)</f>
        <v>9</v>
      </c>
      <c r="Z16" s="146" t="n">
        <v>9</v>
      </c>
      <c r="AA16" s="147" t="n">
        <v>9</v>
      </c>
      <c r="AB16" s="147" t="n">
        <v>9</v>
      </c>
      <c r="AC16" s="147" t="n">
        <v>9</v>
      </c>
      <c r="AD16" s="147" t="n">
        <v>9</v>
      </c>
      <c r="AE16" s="147"/>
      <c r="AF16" s="147"/>
      <c r="AG16" s="147"/>
      <c r="AH16" s="147"/>
      <c r="AI16" s="154"/>
      <c r="AJ16" s="152" t="n">
        <f aca="false">SUMPRODUCT(AK$4:AT$4,AK16:AT16)</f>
        <v>9</v>
      </c>
      <c r="AK16" s="146" t="n">
        <v>9</v>
      </c>
      <c r="AL16" s="147" t="n">
        <v>9</v>
      </c>
      <c r="AM16" s="147" t="n">
        <v>9</v>
      </c>
      <c r="AN16" s="147" t="n">
        <v>9</v>
      </c>
      <c r="AO16" s="147" t="n">
        <v>9</v>
      </c>
      <c r="AP16" s="147"/>
      <c r="AQ16" s="147"/>
      <c r="AR16" s="147"/>
      <c r="AS16" s="147"/>
      <c r="AT16" s="154"/>
      <c r="AU16" s="152" t="n">
        <f aca="false">SUMPRODUCT(AV$4:BE$4,AV16:BE16)</f>
        <v>6.2</v>
      </c>
      <c r="AV16" s="143" t="n">
        <v>8</v>
      </c>
      <c r="AW16" s="144" t="n">
        <v>5</v>
      </c>
      <c r="AX16" s="144" t="n">
        <v>7</v>
      </c>
      <c r="AY16" s="144" t="n">
        <v>4</v>
      </c>
      <c r="AZ16" s="144" t="n">
        <v>9</v>
      </c>
      <c r="BA16" s="147"/>
      <c r="BB16" s="147"/>
      <c r="BC16" s="147"/>
      <c r="BD16" s="147"/>
      <c r="BE16" s="154"/>
      <c r="BF16" s="152" t="n">
        <f aca="false">SUMPRODUCT(BG$4:BP$4,BG16:BP16)</f>
        <v>6.7</v>
      </c>
      <c r="BG16" s="143" t="n">
        <v>8</v>
      </c>
      <c r="BH16" s="144" t="n">
        <v>5</v>
      </c>
      <c r="BI16" s="144" t="n">
        <v>7</v>
      </c>
      <c r="BJ16" s="144" t="n">
        <v>4</v>
      </c>
      <c r="BK16" s="144" t="n">
        <v>9</v>
      </c>
      <c r="BL16" s="147"/>
      <c r="BM16" s="147"/>
      <c r="BN16" s="147"/>
      <c r="BO16" s="147"/>
      <c r="BP16" s="154"/>
      <c r="BQ16" s="152" t="n">
        <f aca="false">SUMPRODUCT(BR$4:CA$4,BR16:CA16)</f>
        <v>5</v>
      </c>
      <c r="BR16" s="146" t="n">
        <v>5</v>
      </c>
      <c r="BS16" s="153" t="n">
        <v>5</v>
      </c>
      <c r="BT16" s="153" t="n">
        <v>5</v>
      </c>
      <c r="BU16" s="153" t="n">
        <v>5</v>
      </c>
      <c r="BV16" s="153" t="n">
        <v>5</v>
      </c>
      <c r="BW16" s="147"/>
      <c r="BX16" s="147"/>
      <c r="BY16" s="147"/>
      <c r="BZ16" s="147"/>
      <c r="CA16" s="154"/>
      <c r="CB16" s="152" t="n">
        <f aca="false">SUMPRODUCT(CC$4:CL$4,CC16:CL16)</f>
        <v>0</v>
      </c>
      <c r="CC16" s="146"/>
      <c r="CD16" s="147"/>
      <c r="CE16" s="147"/>
      <c r="CF16" s="147"/>
      <c r="CG16" s="147"/>
      <c r="CH16" s="147"/>
      <c r="CI16" s="147"/>
      <c r="CJ16" s="147"/>
      <c r="CK16" s="147"/>
      <c r="CL16" s="154"/>
      <c r="CM16" s="152" t="n">
        <f aca="false">SUMPRODUCT(CN$4:CW$4,CN16:CW16)</f>
        <v>0</v>
      </c>
      <c r="CN16" s="146"/>
      <c r="CO16" s="147"/>
      <c r="CP16" s="147"/>
      <c r="CQ16" s="147"/>
      <c r="CR16" s="147"/>
      <c r="CS16" s="147"/>
      <c r="CT16" s="147"/>
      <c r="CU16" s="147"/>
      <c r="CV16" s="147"/>
      <c r="CW16" s="154"/>
      <c r="CX16" s="152" t="n">
        <f aca="false">SUMPRODUCT(CY$4:DH$4,CY16:DH16)</f>
        <v>0</v>
      </c>
      <c r="CY16" s="146"/>
      <c r="CZ16" s="147"/>
      <c r="DA16" s="147"/>
      <c r="DB16" s="147"/>
      <c r="DC16" s="147"/>
      <c r="DD16" s="147"/>
      <c r="DE16" s="147"/>
      <c r="DF16" s="147"/>
      <c r="DG16" s="147"/>
      <c r="DH16" s="154"/>
      <c r="DI16" s="152" t="n">
        <f aca="false">SUMPRODUCT(DJ$4:DS$4,DJ16:DS16)</f>
        <v>0</v>
      </c>
      <c r="DJ16" s="146"/>
      <c r="DK16" s="147"/>
      <c r="DL16" s="147"/>
      <c r="DM16" s="147"/>
      <c r="DN16" s="147"/>
      <c r="DO16" s="147"/>
      <c r="DP16" s="147"/>
      <c r="DQ16" s="147"/>
      <c r="DR16" s="147"/>
      <c r="DS16" s="154"/>
      <c r="DT16" s="152" t="n">
        <f aca="false">SUMPRODUCT(DU$4:ED$4,DU16:ED16)</f>
        <v>0</v>
      </c>
      <c r="DU16" s="146"/>
      <c r="DV16" s="147"/>
      <c r="DW16" s="147"/>
      <c r="DX16" s="147"/>
      <c r="DY16" s="147"/>
      <c r="DZ16" s="147"/>
      <c r="EA16" s="147"/>
      <c r="EB16" s="147"/>
      <c r="EC16" s="147"/>
      <c r="ED16" s="154"/>
      <c r="EE16" s="152" t="n">
        <f aca="false">SUMPRODUCT(EF$4:EO$4,EF16:EO16)</f>
        <v>0</v>
      </c>
      <c r="EF16" s="146"/>
      <c r="EG16" s="147"/>
      <c r="EH16" s="147"/>
      <c r="EI16" s="147"/>
      <c r="EJ16" s="147"/>
      <c r="EK16" s="147"/>
      <c r="EL16" s="147"/>
      <c r="EM16" s="147"/>
      <c r="EN16" s="147"/>
      <c r="EO16" s="154"/>
      <c r="EP16" s="152" t="n">
        <f aca="false">SUMPRODUCT(EQ$4:EZ$4,EQ16:EZ16)</f>
        <v>0</v>
      </c>
      <c r="EQ16" s="146"/>
      <c r="ER16" s="147"/>
      <c r="ES16" s="147"/>
      <c r="ET16" s="147"/>
      <c r="EU16" s="147"/>
      <c r="EV16" s="147"/>
      <c r="EW16" s="147"/>
      <c r="EX16" s="147"/>
      <c r="EY16" s="147"/>
      <c r="EZ16" s="154"/>
      <c r="FA16" s="152" t="n">
        <f aca="false">SUMPRODUCT(FB$4:FK$4,FB16:FK16)</f>
        <v>0</v>
      </c>
      <c r="FB16" s="146"/>
      <c r="FC16" s="147"/>
      <c r="FD16" s="147"/>
      <c r="FE16" s="147"/>
      <c r="FF16" s="147"/>
      <c r="FG16" s="147"/>
      <c r="FH16" s="147"/>
      <c r="FI16" s="147"/>
      <c r="FJ16" s="147"/>
      <c r="FK16" s="154"/>
      <c r="FL16" s="152" t="n">
        <f aca="false">SUMPRODUCT(FM$4:FV$4,FM16:FV16)</f>
        <v>0</v>
      </c>
      <c r="FM16" s="146"/>
      <c r="FN16" s="147"/>
      <c r="FO16" s="147"/>
      <c r="FP16" s="147"/>
      <c r="FQ16" s="147"/>
      <c r="FR16" s="147"/>
      <c r="FS16" s="147"/>
      <c r="FT16" s="147"/>
      <c r="FU16" s="147"/>
      <c r="FV16" s="154"/>
      <c r="FW16" s="152" t="n">
        <f aca="false">SUMPRODUCT(FX$4:GG$4,FX16:GG16)</f>
        <v>0</v>
      </c>
      <c r="FX16" s="146"/>
      <c r="FY16" s="147"/>
      <c r="FZ16" s="147"/>
      <c r="GA16" s="147"/>
      <c r="GB16" s="147"/>
      <c r="GC16" s="147"/>
      <c r="GD16" s="147"/>
      <c r="GE16" s="147"/>
      <c r="GF16" s="147"/>
      <c r="GG16" s="154"/>
      <c r="GH16" s="152" t="n">
        <f aca="false">SUMPRODUCT(GI$4:GR$4,GI16:GR16)</f>
        <v>0</v>
      </c>
      <c r="GI16" s="146"/>
      <c r="GJ16" s="147"/>
      <c r="GK16" s="147"/>
      <c r="GL16" s="147"/>
      <c r="GM16" s="147"/>
      <c r="GN16" s="147"/>
      <c r="GO16" s="147"/>
      <c r="GP16" s="147"/>
      <c r="GQ16" s="147"/>
      <c r="GR16" s="154"/>
      <c r="GS16" s="152" t="n">
        <f aca="false">SUMPRODUCT(GT$4:HC$4,GT16:HC16)</f>
        <v>0</v>
      </c>
      <c r="GT16" s="146"/>
      <c r="GU16" s="147"/>
      <c r="GV16" s="147"/>
      <c r="GW16" s="147"/>
      <c r="GX16" s="147"/>
      <c r="GY16" s="147"/>
      <c r="GZ16" s="147"/>
      <c r="HA16" s="147"/>
      <c r="HB16" s="147"/>
      <c r="HC16" s="154"/>
      <c r="HD16" s="152" t="n">
        <f aca="false">SUMPRODUCT(HE$4:HN$4,HE16:HN16)</f>
        <v>0</v>
      </c>
      <c r="HE16" s="146"/>
      <c r="HF16" s="147"/>
      <c r="HG16" s="147"/>
      <c r="HH16" s="147"/>
      <c r="HI16" s="147"/>
      <c r="HJ16" s="147"/>
      <c r="HK16" s="147"/>
      <c r="HL16" s="147"/>
      <c r="HM16" s="147"/>
      <c r="HN16" s="154"/>
      <c r="HO16" s="152" t="n">
        <f aca="false">SUMPRODUCT(HP$4:HY$4,HP16:HY16)</f>
        <v>0</v>
      </c>
      <c r="HP16" s="146"/>
      <c r="HQ16" s="147"/>
      <c r="HR16" s="147"/>
      <c r="HS16" s="147"/>
      <c r="HT16" s="147"/>
      <c r="HU16" s="147"/>
      <c r="HV16" s="147"/>
      <c r="HW16" s="147"/>
      <c r="HX16" s="147"/>
      <c r="HY16" s="154"/>
      <c r="HZ16" s="152" t="n">
        <f aca="false">SUMPRODUCT(IA$4:IJ$4,IA16:IJ16)</f>
        <v>0</v>
      </c>
      <c r="IA16" s="146"/>
      <c r="IB16" s="147"/>
      <c r="IC16" s="147"/>
      <c r="ID16" s="147"/>
      <c r="IE16" s="147"/>
      <c r="IF16" s="147"/>
      <c r="IG16" s="147"/>
      <c r="IH16" s="147"/>
      <c r="II16" s="147"/>
      <c r="IJ16" s="154"/>
      <c r="IK16" s="152" t="n">
        <f aca="false">SUMPRODUCT(IL$4:IU$4,IL16:IU16)</f>
        <v>0</v>
      </c>
      <c r="IL16" s="146"/>
      <c r="IM16" s="147"/>
      <c r="IN16" s="147"/>
      <c r="IO16" s="147"/>
      <c r="IP16" s="147"/>
      <c r="IQ16" s="147"/>
      <c r="IR16" s="147"/>
      <c r="IS16" s="147"/>
      <c r="IT16" s="147"/>
      <c r="IU16" s="154"/>
      <c r="IV16" s="152" t="n">
        <f aca="false">SUMPRODUCT(IW$4:JF$4,IW16:JF16)</f>
        <v>0</v>
      </c>
      <c r="IW16" s="146"/>
      <c r="IX16" s="147"/>
      <c r="IY16" s="147"/>
      <c r="IZ16" s="147"/>
      <c r="JA16" s="147"/>
      <c r="JB16" s="147"/>
      <c r="JC16" s="147"/>
      <c r="JD16" s="147"/>
      <c r="JE16" s="147"/>
      <c r="JF16" s="154"/>
      <c r="JG16" s="152" t="n">
        <f aca="false">SUMPRODUCT(JH$4:JQ$4,JH16:JQ16)</f>
        <v>0</v>
      </c>
      <c r="JH16" s="146"/>
      <c r="JI16" s="147"/>
      <c r="JJ16" s="147"/>
      <c r="JK16" s="147"/>
      <c r="JL16" s="147"/>
      <c r="JM16" s="147"/>
      <c r="JN16" s="147"/>
      <c r="JO16" s="147"/>
      <c r="JP16" s="147"/>
      <c r="JQ16" s="154"/>
      <c r="JR16" s="152" t="n">
        <f aca="false">SUMPRODUCT(JS$4:KB$4,JS16:KB16)</f>
        <v>0</v>
      </c>
      <c r="JS16" s="146"/>
      <c r="JT16" s="147"/>
      <c r="JU16" s="147"/>
      <c r="JV16" s="147"/>
      <c r="JW16" s="147"/>
      <c r="JX16" s="147"/>
      <c r="JY16" s="147"/>
      <c r="JZ16" s="147"/>
      <c r="KA16" s="147"/>
      <c r="KB16" s="154"/>
      <c r="KC16" s="152" t="n">
        <f aca="false">SUMPRODUCT(KD$4:KM$4,KD16:KM16)</f>
        <v>0</v>
      </c>
      <c r="KD16" s="146"/>
      <c r="KE16" s="147"/>
      <c r="KF16" s="147"/>
      <c r="KG16" s="147"/>
      <c r="KH16" s="147"/>
      <c r="KI16" s="147"/>
      <c r="KJ16" s="147"/>
      <c r="KK16" s="147"/>
      <c r="KL16" s="147"/>
      <c r="KM16" s="154"/>
      <c r="KN16" s="152" t="n">
        <f aca="false">SUMPRODUCT(KO$4:KX$4,KO16:KX16)</f>
        <v>0</v>
      </c>
      <c r="KO16" s="146"/>
      <c r="KP16" s="147"/>
      <c r="KQ16" s="147"/>
      <c r="KR16" s="147"/>
      <c r="KS16" s="147"/>
      <c r="KT16" s="147"/>
      <c r="KU16" s="147"/>
      <c r="KV16" s="147"/>
      <c r="KW16" s="147"/>
      <c r="KX16" s="154"/>
      <c r="KY16" s="152" t="n">
        <f aca="false">SUMPRODUCT(KZ$4:LI$4,KZ16:LI16)</f>
        <v>0</v>
      </c>
      <c r="KZ16" s="146"/>
      <c r="LA16" s="147"/>
      <c r="LB16" s="147"/>
      <c r="LC16" s="147"/>
      <c r="LD16" s="147"/>
      <c r="LE16" s="147"/>
      <c r="LF16" s="147"/>
      <c r="LG16" s="147"/>
      <c r="LH16" s="147"/>
      <c r="LI16" s="154"/>
      <c r="LJ16" s="152" t="n">
        <f aca="false">SUMPRODUCT(LK$4:LT$4,LK16:LT16)</f>
        <v>0</v>
      </c>
      <c r="LK16" s="146"/>
      <c r="LL16" s="147"/>
      <c r="LM16" s="147"/>
      <c r="LN16" s="147"/>
      <c r="LO16" s="147"/>
      <c r="LP16" s="147"/>
      <c r="LQ16" s="147"/>
      <c r="LR16" s="147"/>
      <c r="LS16" s="147"/>
      <c r="LT16" s="154"/>
      <c r="LW16" s="152"/>
      <c r="LX16" s="155" t="n">
        <f aca="false">D170+O170+Z170+AK170+AV170+BG170+BR170+CC170+CN170+CY170+DJ170+DU170+EF170+EQ170+FB170+FM170+FX170+GI170+GT170+HE170+HP170+IA170+IL170+IW170+JH170+JS170+KD170+KO170+KZ170+LK170</f>
        <v>7.825</v>
      </c>
      <c r="LY16" s="156" t="n">
        <f aca="false">E170+P170+AA170+AL170+AW170+BH170+BS170+CD170+CO170+CZ170+DK170+DV170+EG170+ER170+FC170+FN170+FY170+GJ170+GU170+HF170+HQ170+IB170+IM170+IX170+JI170+JT170+KE170+KP170+LA170+LL170</f>
        <v>7.4</v>
      </c>
      <c r="LZ16" s="156" t="n">
        <f aca="false">F170+Q170+AB170+AM170+AX170+BI170+BT170+CE170+CP170+DA170+DL170+DW170+EH170+ES170+FD170+FO170+FZ170+GK170+GV170+HG170+HR170+IC170+IN170+IY170+JJ170+JU170+KF170+KQ170+LB170+LM170</f>
        <v>7.06</v>
      </c>
      <c r="MA16" s="156" t="n">
        <f aca="false">G170+R170+AC170+AN170+AY170+BJ170+BU170+CF170+CQ170+DB170+DM170+DX170+EI170+ET170+FE170+FP170+GA170+GL170+GW170+HH170+HS170+ID170+IO170+IZ170+JK170+JV170+KG170+KR170+LC170+LN170</f>
        <v>6.2</v>
      </c>
      <c r="MB16" s="156" t="n">
        <f aca="false">H170+S170+AD170+AO170+AZ170+BK170+BV170+CG170+CR170+DC170+DN170+DY170+EJ170+EU170+FF170+FQ170+GB170+GM170+GX170+HI170+HT170+IE170+IP170+JA170+JL170+JW170+KH170+KS170+LD170+LO170</f>
        <v>0</v>
      </c>
      <c r="MC16" s="156" t="n">
        <f aca="false">I170+T170+AE170+AP170+BA170+BL170+BW170+CH170+CS170+DD170+DO170+DZ170+EK170+EV170+FG170+FR170+GC170+GN170+GY170+HJ170+HU170+IF170+IQ170+JB170+JM170+JX170+KI170+KT170+LE170+LP170</f>
        <v>0</v>
      </c>
      <c r="MD16" s="156" t="n">
        <f aca="false">J170+U170+AF170+AQ170+BB170+BM170+BX170+CI170+CT170+DE170+DP170+EA170+EL170+EW170+FH170+FS170+GD170+GO170+GZ170+HK170+HV170+IG170+IR170+JC170+JN170+JY170+KJ170+KU170+LF170+LQ170</f>
        <v>0</v>
      </c>
      <c r="ME16" s="156" t="n">
        <f aca="false">K170+V170+AG170+AR170+BC170+BN170+BY170+CJ170+CU170+DF170+DQ170+EB170+EM170+EX170+FI170+FT170+GE170+GP170+HA170+HL170+HW170+IH170+IS170+JD170+JO170+JZ170+KK170+KV170+LG170+LR170</f>
        <v>0</v>
      </c>
      <c r="MF16" s="156" t="n">
        <f aca="false">L170+W170+AH170+AS170+BD170+BO170+BZ170+CK170+CV170+DG170+DR170+EC170+EN170+EY170+FJ170+FU170+GF170+GQ170+HB170+HM170+HX170+II170+IT170+JE170+JP170+KA170+KL170+KW170+LH170+LS170</f>
        <v>0</v>
      </c>
      <c r="MG16" s="157" t="n">
        <f aca="false">M170+X170+AI170+AT170+BE170+BP170+CA170+CL170+CW170+DH170+DS170+ED170+EO170+EZ170+FK170+FV170+GG170+GR170+HC170+HN170+HY170+IJ170+IU170+JF170+JQ170+KB170+KM170+KX170+LI170+LT170</f>
        <v>0</v>
      </c>
    </row>
    <row r="17" customFormat="false" ht="13.8" hidden="false" customHeight="false" outlineLevel="0" collapsed="false">
      <c r="A17" s="29" t="n">
        <v>12</v>
      </c>
      <c r="B17" s="151" t="str">
        <f aca="false">'Datos Iniciales'!T20</f>
        <v>Alumno12</v>
      </c>
      <c r="C17" s="152" t="n">
        <f aca="false">SUMPRODUCT(D$4:M$4,D17:M17)</f>
        <v>5</v>
      </c>
      <c r="D17" s="146" t="n">
        <v>5</v>
      </c>
      <c r="E17" s="153" t="n">
        <v>5</v>
      </c>
      <c r="F17" s="153" t="n">
        <v>5</v>
      </c>
      <c r="G17" s="153" t="n">
        <v>5</v>
      </c>
      <c r="H17" s="153" t="n">
        <v>5</v>
      </c>
      <c r="I17" s="153" t="n">
        <v>5</v>
      </c>
      <c r="J17" s="153" t="n">
        <v>5</v>
      </c>
      <c r="K17" s="147"/>
      <c r="L17" s="147"/>
      <c r="M17" s="154"/>
      <c r="N17" s="152" t="n">
        <f aca="false">SUMPRODUCT(O$4:X$4,O17:X17)</f>
        <v>5</v>
      </c>
      <c r="O17" s="146" t="n">
        <v>5</v>
      </c>
      <c r="P17" s="153" t="n">
        <v>5</v>
      </c>
      <c r="Q17" s="153" t="n">
        <v>5</v>
      </c>
      <c r="R17" s="153" t="n">
        <v>5</v>
      </c>
      <c r="S17" s="153" t="n">
        <v>5</v>
      </c>
      <c r="T17" s="153"/>
      <c r="U17" s="153"/>
      <c r="V17" s="147"/>
      <c r="W17" s="147"/>
      <c r="X17" s="154"/>
      <c r="Y17" s="152" t="n">
        <f aca="false">SUMPRODUCT(Z$4:AI$4,Z17:AI17)</f>
        <v>5</v>
      </c>
      <c r="Z17" s="146" t="n">
        <v>5</v>
      </c>
      <c r="AA17" s="153" t="n">
        <v>5</v>
      </c>
      <c r="AB17" s="153" t="n">
        <v>5</v>
      </c>
      <c r="AC17" s="153" t="n">
        <v>5</v>
      </c>
      <c r="AD17" s="153" t="n">
        <v>5</v>
      </c>
      <c r="AE17" s="153"/>
      <c r="AF17" s="153"/>
      <c r="AG17" s="147"/>
      <c r="AH17" s="147"/>
      <c r="AI17" s="154"/>
      <c r="AJ17" s="152" t="n">
        <f aca="false">SUMPRODUCT(AK$4:AT$4,AK17:AT17)</f>
        <v>5</v>
      </c>
      <c r="AK17" s="146" t="n">
        <v>5</v>
      </c>
      <c r="AL17" s="153" t="n">
        <v>5</v>
      </c>
      <c r="AM17" s="153" t="n">
        <v>5</v>
      </c>
      <c r="AN17" s="153" t="n">
        <v>5</v>
      </c>
      <c r="AO17" s="153" t="n">
        <v>5</v>
      </c>
      <c r="AP17" s="147"/>
      <c r="AQ17" s="147"/>
      <c r="AR17" s="147"/>
      <c r="AS17" s="147"/>
      <c r="AT17" s="154"/>
      <c r="AU17" s="152" t="n">
        <f aca="false">SUMPRODUCT(AV$4:BE$4,AV17:BE17)</f>
        <v>5</v>
      </c>
      <c r="AV17" s="146" t="n">
        <v>5</v>
      </c>
      <c r="AW17" s="153" t="n">
        <v>5</v>
      </c>
      <c r="AX17" s="153" t="n">
        <v>5</v>
      </c>
      <c r="AY17" s="153" t="n">
        <v>5</v>
      </c>
      <c r="AZ17" s="153" t="n">
        <v>5</v>
      </c>
      <c r="BA17" s="147"/>
      <c r="BB17" s="147"/>
      <c r="BC17" s="147"/>
      <c r="BD17" s="147"/>
      <c r="BE17" s="154"/>
      <c r="BF17" s="152" t="n">
        <f aca="false">SUMPRODUCT(BG$4:BP$4,BG17:BP17)</f>
        <v>5</v>
      </c>
      <c r="BG17" s="146" t="n">
        <v>5</v>
      </c>
      <c r="BH17" s="153" t="n">
        <v>5</v>
      </c>
      <c r="BI17" s="153" t="n">
        <v>5</v>
      </c>
      <c r="BJ17" s="153" t="n">
        <v>5</v>
      </c>
      <c r="BK17" s="153" t="n">
        <v>5</v>
      </c>
      <c r="BL17" s="147"/>
      <c r="BM17" s="147"/>
      <c r="BN17" s="147"/>
      <c r="BO17" s="147"/>
      <c r="BP17" s="154"/>
      <c r="BQ17" s="152" t="n">
        <f aca="false">SUMPRODUCT(BR$4:CA$4,BR17:CA17)</f>
        <v>9</v>
      </c>
      <c r="BR17" s="146" t="n">
        <v>9</v>
      </c>
      <c r="BS17" s="147" t="n">
        <v>9</v>
      </c>
      <c r="BT17" s="147" t="n">
        <v>9</v>
      </c>
      <c r="BU17" s="147" t="n">
        <v>9</v>
      </c>
      <c r="BV17" s="147" t="n">
        <v>9</v>
      </c>
      <c r="BW17" s="147"/>
      <c r="BX17" s="147"/>
      <c r="BY17" s="147"/>
      <c r="BZ17" s="147"/>
      <c r="CA17" s="154"/>
      <c r="CB17" s="152" t="n">
        <f aca="false">SUMPRODUCT(CC$4:CL$4,CC17:CL17)</f>
        <v>0</v>
      </c>
      <c r="CC17" s="146"/>
      <c r="CD17" s="147"/>
      <c r="CE17" s="147"/>
      <c r="CF17" s="147"/>
      <c r="CG17" s="147"/>
      <c r="CH17" s="147"/>
      <c r="CI17" s="147"/>
      <c r="CJ17" s="147"/>
      <c r="CK17" s="147"/>
      <c r="CL17" s="154"/>
      <c r="CM17" s="152" t="n">
        <f aca="false">SUMPRODUCT(CN$4:CW$4,CN17:CW17)</f>
        <v>0</v>
      </c>
      <c r="CN17" s="146"/>
      <c r="CO17" s="147"/>
      <c r="CP17" s="147"/>
      <c r="CQ17" s="147"/>
      <c r="CR17" s="147"/>
      <c r="CS17" s="147"/>
      <c r="CT17" s="147"/>
      <c r="CU17" s="147"/>
      <c r="CV17" s="147"/>
      <c r="CW17" s="154"/>
      <c r="CX17" s="152" t="n">
        <f aca="false">SUMPRODUCT(CY$4:DH$4,CY17:DH17)</f>
        <v>0</v>
      </c>
      <c r="CY17" s="146"/>
      <c r="CZ17" s="147"/>
      <c r="DA17" s="147"/>
      <c r="DB17" s="147"/>
      <c r="DC17" s="147"/>
      <c r="DD17" s="147"/>
      <c r="DE17" s="147"/>
      <c r="DF17" s="147"/>
      <c r="DG17" s="147"/>
      <c r="DH17" s="154"/>
      <c r="DI17" s="152" t="n">
        <f aca="false">SUMPRODUCT(DJ$4:DS$4,DJ17:DS17)</f>
        <v>0</v>
      </c>
      <c r="DJ17" s="146"/>
      <c r="DK17" s="147"/>
      <c r="DL17" s="147"/>
      <c r="DM17" s="147"/>
      <c r="DN17" s="147"/>
      <c r="DO17" s="147"/>
      <c r="DP17" s="147"/>
      <c r="DQ17" s="147"/>
      <c r="DR17" s="147"/>
      <c r="DS17" s="154"/>
      <c r="DT17" s="152" t="n">
        <f aca="false">SUMPRODUCT(DU$4:ED$4,DU17:ED17)</f>
        <v>0</v>
      </c>
      <c r="DU17" s="146"/>
      <c r="DV17" s="147"/>
      <c r="DW17" s="147"/>
      <c r="DX17" s="147"/>
      <c r="DY17" s="147"/>
      <c r="DZ17" s="147"/>
      <c r="EA17" s="147"/>
      <c r="EB17" s="147"/>
      <c r="EC17" s="147"/>
      <c r="ED17" s="154"/>
      <c r="EE17" s="152" t="n">
        <f aca="false">SUMPRODUCT(EF$4:EO$4,EF17:EO17)</f>
        <v>0</v>
      </c>
      <c r="EF17" s="146"/>
      <c r="EG17" s="147"/>
      <c r="EH17" s="147"/>
      <c r="EI17" s="147"/>
      <c r="EJ17" s="147"/>
      <c r="EK17" s="147"/>
      <c r="EL17" s="147"/>
      <c r="EM17" s="147"/>
      <c r="EN17" s="147"/>
      <c r="EO17" s="154"/>
      <c r="EP17" s="152" t="n">
        <f aca="false">SUMPRODUCT(EQ$4:EZ$4,EQ17:EZ17)</f>
        <v>0</v>
      </c>
      <c r="EQ17" s="146"/>
      <c r="ER17" s="147"/>
      <c r="ES17" s="147"/>
      <c r="ET17" s="147"/>
      <c r="EU17" s="147"/>
      <c r="EV17" s="147"/>
      <c r="EW17" s="147"/>
      <c r="EX17" s="147"/>
      <c r="EY17" s="147"/>
      <c r="EZ17" s="154"/>
      <c r="FA17" s="152" t="n">
        <f aca="false">SUMPRODUCT(FB$4:FK$4,FB17:FK17)</f>
        <v>0</v>
      </c>
      <c r="FB17" s="146"/>
      <c r="FC17" s="147"/>
      <c r="FD17" s="147"/>
      <c r="FE17" s="147"/>
      <c r="FF17" s="147"/>
      <c r="FG17" s="147"/>
      <c r="FH17" s="147"/>
      <c r="FI17" s="147"/>
      <c r="FJ17" s="147"/>
      <c r="FK17" s="154"/>
      <c r="FL17" s="152" t="n">
        <f aca="false">SUMPRODUCT(FM$4:FV$4,FM17:FV17)</f>
        <v>0</v>
      </c>
      <c r="FM17" s="146"/>
      <c r="FN17" s="147"/>
      <c r="FO17" s="147"/>
      <c r="FP17" s="147"/>
      <c r="FQ17" s="147"/>
      <c r="FR17" s="147"/>
      <c r="FS17" s="147"/>
      <c r="FT17" s="147"/>
      <c r="FU17" s="147"/>
      <c r="FV17" s="154"/>
      <c r="FW17" s="152" t="n">
        <f aca="false">SUMPRODUCT(FX$4:GG$4,FX17:GG17)</f>
        <v>0</v>
      </c>
      <c r="FX17" s="146"/>
      <c r="FY17" s="147"/>
      <c r="FZ17" s="147"/>
      <c r="GA17" s="147"/>
      <c r="GB17" s="147"/>
      <c r="GC17" s="147"/>
      <c r="GD17" s="147"/>
      <c r="GE17" s="147"/>
      <c r="GF17" s="147"/>
      <c r="GG17" s="154"/>
      <c r="GH17" s="152" t="n">
        <f aca="false">SUMPRODUCT(GI$4:GR$4,GI17:GR17)</f>
        <v>0</v>
      </c>
      <c r="GI17" s="146"/>
      <c r="GJ17" s="147"/>
      <c r="GK17" s="147"/>
      <c r="GL17" s="147"/>
      <c r="GM17" s="147"/>
      <c r="GN17" s="147"/>
      <c r="GO17" s="147"/>
      <c r="GP17" s="147"/>
      <c r="GQ17" s="147"/>
      <c r="GR17" s="154"/>
      <c r="GS17" s="152" t="n">
        <f aca="false">SUMPRODUCT(GT$4:HC$4,GT17:HC17)</f>
        <v>0</v>
      </c>
      <c r="GT17" s="146"/>
      <c r="GU17" s="147"/>
      <c r="GV17" s="147"/>
      <c r="GW17" s="147"/>
      <c r="GX17" s="147"/>
      <c r="GY17" s="147"/>
      <c r="GZ17" s="147"/>
      <c r="HA17" s="147"/>
      <c r="HB17" s="147"/>
      <c r="HC17" s="154"/>
      <c r="HD17" s="152" t="n">
        <f aca="false">SUMPRODUCT(HE$4:HN$4,HE17:HN17)</f>
        <v>0</v>
      </c>
      <c r="HE17" s="146"/>
      <c r="HF17" s="147"/>
      <c r="HG17" s="147"/>
      <c r="HH17" s="147"/>
      <c r="HI17" s="147"/>
      <c r="HJ17" s="147"/>
      <c r="HK17" s="147"/>
      <c r="HL17" s="147"/>
      <c r="HM17" s="147"/>
      <c r="HN17" s="154"/>
      <c r="HO17" s="152" t="n">
        <f aca="false">SUMPRODUCT(HP$4:HY$4,HP17:HY17)</f>
        <v>0</v>
      </c>
      <c r="HP17" s="146"/>
      <c r="HQ17" s="147"/>
      <c r="HR17" s="147"/>
      <c r="HS17" s="147"/>
      <c r="HT17" s="147"/>
      <c r="HU17" s="147"/>
      <c r="HV17" s="147"/>
      <c r="HW17" s="147"/>
      <c r="HX17" s="147"/>
      <c r="HY17" s="154"/>
      <c r="HZ17" s="152" t="n">
        <f aca="false">SUMPRODUCT(IA$4:IJ$4,IA17:IJ17)</f>
        <v>0</v>
      </c>
      <c r="IA17" s="146"/>
      <c r="IB17" s="147"/>
      <c r="IC17" s="147"/>
      <c r="ID17" s="147"/>
      <c r="IE17" s="147"/>
      <c r="IF17" s="147"/>
      <c r="IG17" s="147"/>
      <c r="IH17" s="147"/>
      <c r="II17" s="147"/>
      <c r="IJ17" s="154"/>
      <c r="IK17" s="152" t="n">
        <f aca="false">SUMPRODUCT(IL$4:IU$4,IL17:IU17)</f>
        <v>0</v>
      </c>
      <c r="IL17" s="146"/>
      <c r="IM17" s="147"/>
      <c r="IN17" s="147"/>
      <c r="IO17" s="147"/>
      <c r="IP17" s="147"/>
      <c r="IQ17" s="147"/>
      <c r="IR17" s="147"/>
      <c r="IS17" s="147"/>
      <c r="IT17" s="147"/>
      <c r="IU17" s="154"/>
      <c r="IV17" s="152" t="n">
        <f aca="false">SUMPRODUCT(IW$4:JF$4,IW17:JF17)</f>
        <v>0</v>
      </c>
      <c r="IW17" s="146"/>
      <c r="IX17" s="147"/>
      <c r="IY17" s="147"/>
      <c r="IZ17" s="147"/>
      <c r="JA17" s="147"/>
      <c r="JB17" s="147"/>
      <c r="JC17" s="147"/>
      <c r="JD17" s="147"/>
      <c r="JE17" s="147"/>
      <c r="JF17" s="154"/>
      <c r="JG17" s="152" t="n">
        <f aca="false">SUMPRODUCT(JH$4:JQ$4,JH17:JQ17)</f>
        <v>0</v>
      </c>
      <c r="JH17" s="146"/>
      <c r="JI17" s="147"/>
      <c r="JJ17" s="147"/>
      <c r="JK17" s="147"/>
      <c r="JL17" s="147"/>
      <c r="JM17" s="147"/>
      <c r="JN17" s="147"/>
      <c r="JO17" s="147"/>
      <c r="JP17" s="147"/>
      <c r="JQ17" s="154"/>
      <c r="JR17" s="152" t="n">
        <f aca="false">SUMPRODUCT(JS$4:KB$4,JS17:KB17)</f>
        <v>0</v>
      </c>
      <c r="JS17" s="146"/>
      <c r="JT17" s="147"/>
      <c r="JU17" s="147"/>
      <c r="JV17" s="147"/>
      <c r="JW17" s="147"/>
      <c r="JX17" s="147"/>
      <c r="JY17" s="147"/>
      <c r="JZ17" s="147"/>
      <c r="KA17" s="147"/>
      <c r="KB17" s="154"/>
      <c r="KC17" s="152" t="n">
        <f aca="false">SUMPRODUCT(KD$4:KM$4,KD17:KM17)</f>
        <v>0</v>
      </c>
      <c r="KD17" s="146"/>
      <c r="KE17" s="147"/>
      <c r="KF17" s="147"/>
      <c r="KG17" s="147"/>
      <c r="KH17" s="147"/>
      <c r="KI17" s="147"/>
      <c r="KJ17" s="147"/>
      <c r="KK17" s="147"/>
      <c r="KL17" s="147"/>
      <c r="KM17" s="154"/>
      <c r="KN17" s="152" t="n">
        <f aca="false">SUMPRODUCT(KO$4:KX$4,KO17:KX17)</f>
        <v>0</v>
      </c>
      <c r="KO17" s="146"/>
      <c r="KP17" s="147"/>
      <c r="KQ17" s="147"/>
      <c r="KR17" s="147"/>
      <c r="KS17" s="147"/>
      <c r="KT17" s="147"/>
      <c r="KU17" s="147"/>
      <c r="KV17" s="147"/>
      <c r="KW17" s="147"/>
      <c r="KX17" s="154"/>
      <c r="KY17" s="152" t="n">
        <f aca="false">SUMPRODUCT(KZ$4:LI$4,KZ17:LI17)</f>
        <v>0</v>
      </c>
      <c r="KZ17" s="146"/>
      <c r="LA17" s="147"/>
      <c r="LB17" s="147"/>
      <c r="LC17" s="147"/>
      <c r="LD17" s="147"/>
      <c r="LE17" s="147"/>
      <c r="LF17" s="147"/>
      <c r="LG17" s="147"/>
      <c r="LH17" s="147"/>
      <c r="LI17" s="154"/>
      <c r="LJ17" s="152" t="n">
        <f aca="false">SUMPRODUCT(LK$4:LT$4,LK17:LT17)</f>
        <v>0</v>
      </c>
      <c r="LK17" s="146"/>
      <c r="LL17" s="147"/>
      <c r="LM17" s="147"/>
      <c r="LN17" s="147"/>
      <c r="LO17" s="147"/>
      <c r="LP17" s="147"/>
      <c r="LQ17" s="147"/>
      <c r="LR17" s="147"/>
      <c r="LS17" s="147"/>
      <c r="LT17" s="154"/>
      <c r="LW17" s="152"/>
      <c r="LX17" s="155" t="n">
        <f aca="false">D171+O171+Z171+AK171+AV171+BG171+BR171+CC171+CN171+CY171+DJ171+DU171+EF171+EQ171+FB171+FM171+FX171+GI171+GT171+HE171+HP171+IA171+IL171+IW171+JH171+JS171+KD171+KO171+KZ171+LK171</f>
        <v>5</v>
      </c>
      <c r="LY17" s="156" t="n">
        <f aca="false">E171+P171+AA171+AL171+AW171+BH171+BS171+CD171+CO171+CZ171+DK171+DV171+EG171+ER171+FC171+FN171+FY171+GJ171+GU171+HF171+HQ171+IB171+IM171+IX171+JI171+JT171+KE171+KP171+LA171+LL171</f>
        <v>5.2</v>
      </c>
      <c r="LZ17" s="156" t="n">
        <f aca="false">F171+Q171+AB171+AM171+AX171+BI171+BT171+CE171+CP171+DA171+DL171+DW171+EH171+ES171+FD171+FO171+FZ171+GK171+GV171+HG171+HR171+IC171+IN171+IY171+JJ171+JU171+KF171+KQ171+LB171+LM171</f>
        <v>5.6</v>
      </c>
      <c r="MA17" s="156" t="n">
        <f aca="false">G171+R171+AC171+AN171+AY171+BJ171+BU171+CF171+CQ171+DB171+DM171+DX171+EI171+ET171+FE171+FP171+GA171+GL171+GW171+HH171+HS171+ID171+IO171+IZ171+JK171+JV171+KG171+KR171+LC171+LN171</f>
        <v>7</v>
      </c>
      <c r="MB17" s="156" t="n">
        <f aca="false">H171+S171+AD171+AO171+AZ171+BK171+BV171+CG171+CR171+DC171+DN171+DY171+EJ171+EU171+FF171+FQ171+GB171+GM171+GX171+HI171+HT171+IE171+IP171+JA171+JL171+JW171+KH171+KS171+LD171+LO171</f>
        <v>0</v>
      </c>
      <c r="MC17" s="156" t="n">
        <f aca="false">I171+T171+AE171+AP171+BA171+BL171+BW171+CH171+CS171+DD171+DO171+DZ171+EK171+EV171+FG171+FR171+GC171+GN171+GY171+HJ171+HU171+IF171+IQ171+JB171+JM171+JX171+KI171+KT171+LE171+LP171</f>
        <v>0</v>
      </c>
      <c r="MD17" s="156" t="n">
        <f aca="false">J171+U171+AF171+AQ171+BB171+BM171+BX171+CI171+CT171+DE171+DP171+EA171+EL171+EW171+FH171+FS171+GD171+GO171+GZ171+HK171+HV171+IG171+IR171+JC171+JN171+JY171+KJ171+KU171+LF171+LQ171</f>
        <v>0</v>
      </c>
      <c r="ME17" s="156" t="n">
        <f aca="false">K171+V171+AG171+AR171+BC171+BN171+BY171+CJ171+CU171+DF171+DQ171+EB171+EM171+EX171+FI171+FT171+GE171+GP171+HA171+HL171+HW171+IH171+IS171+JD171+JO171+JZ171+KK171+KV171+LG171+LR171</f>
        <v>0</v>
      </c>
      <c r="MF17" s="156" t="n">
        <f aca="false">L171+W171+AH171+AS171+BD171+BO171+BZ171+CK171+CV171+DG171+DR171+EC171+EN171+EY171+FJ171+FU171+GF171+GQ171+HB171+HM171+HX171+II171+IT171+JE171+JP171+KA171+KL171+KW171+LH171+LS171</f>
        <v>0</v>
      </c>
      <c r="MG17" s="157" t="n">
        <f aca="false">M171+X171+AI171+AT171+BE171+BP171+CA171+CL171+CW171+DH171+DS171+ED171+EO171+EZ171+FK171+FV171+GG171+GR171+HC171+HN171+HY171+IJ171+IU171+JF171+JQ171+KB171+KM171+KX171+LI171+LT171</f>
        <v>0</v>
      </c>
    </row>
    <row r="18" customFormat="false" ht="13.8" hidden="false" customHeight="false" outlineLevel="0" collapsed="false">
      <c r="A18" s="29" t="n">
        <v>13</v>
      </c>
      <c r="B18" s="151" t="str">
        <f aca="false">'Datos Iniciales'!T21</f>
        <v>Alumno13</v>
      </c>
      <c r="C18" s="152" t="n">
        <f aca="false">SUMPRODUCT(D$4:M$4,D18:M18)</f>
        <v>5.3</v>
      </c>
      <c r="D18" s="146" t="n">
        <v>6</v>
      </c>
      <c r="E18" s="147" t="n">
        <v>7</v>
      </c>
      <c r="F18" s="147" t="n">
        <v>4</v>
      </c>
      <c r="G18" s="147" t="n">
        <v>4</v>
      </c>
      <c r="H18" s="147" t="n">
        <v>5</v>
      </c>
      <c r="I18" s="147" t="n">
        <v>6</v>
      </c>
      <c r="J18" s="147" t="n">
        <v>5</v>
      </c>
      <c r="K18" s="147"/>
      <c r="L18" s="147"/>
      <c r="M18" s="154"/>
      <c r="N18" s="152" t="n">
        <f aca="false">SUMPRODUCT(O$4:X$4,O18:X18)</f>
        <v>5.2</v>
      </c>
      <c r="O18" s="146" t="n">
        <v>6</v>
      </c>
      <c r="P18" s="147" t="n">
        <v>7</v>
      </c>
      <c r="Q18" s="147" t="n">
        <v>4</v>
      </c>
      <c r="R18" s="147" t="n">
        <v>4</v>
      </c>
      <c r="S18" s="147" t="n">
        <v>5</v>
      </c>
      <c r="T18" s="147"/>
      <c r="U18" s="147"/>
      <c r="V18" s="147"/>
      <c r="W18" s="147"/>
      <c r="X18" s="154"/>
      <c r="Y18" s="152" t="n">
        <f aca="false">SUMPRODUCT(Z$4:AI$4,Z18:AI18)</f>
        <v>4.6</v>
      </c>
      <c r="Z18" s="146" t="n">
        <v>5</v>
      </c>
      <c r="AA18" s="147" t="n">
        <v>6</v>
      </c>
      <c r="AB18" s="147" t="n">
        <v>3</v>
      </c>
      <c r="AC18" s="147" t="n">
        <v>4</v>
      </c>
      <c r="AD18" s="147" t="n">
        <v>5</v>
      </c>
      <c r="AE18" s="147"/>
      <c r="AF18" s="147"/>
      <c r="AG18" s="147"/>
      <c r="AH18" s="147"/>
      <c r="AI18" s="154"/>
      <c r="AJ18" s="152" t="n">
        <f aca="false">SUMPRODUCT(AK$4:AT$4,AK18:AT18)</f>
        <v>4.6</v>
      </c>
      <c r="AK18" s="146" t="n">
        <v>5</v>
      </c>
      <c r="AL18" s="147" t="n">
        <v>6</v>
      </c>
      <c r="AM18" s="147" t="n">
        <v>3</v>
      </c>
      <c r="AN18" s="147" t="n">
        <v>4</v>
      </c>
      <c r="AO18" s="147" t="n">
        <v>5</v>
      </c>
      <c r="AP18" s="147"/>
      <c r="AQ18" s="147"/>
      <c r="AR18" s="147"/>
      <c r="AS18" s="147"/>
      <c r="AT18" s="154"/>
      <c r="AU18" s="152" t="n">
        <f aca="false">SUMPRODUCT(AV$4:BE$4,AV18:BE18)</f>
        <v>5</v>
      </c>
      <c r="AV18" s="146" t="n">
        <v>6</v>
      </c>
      <c r="AW18" s="147" t="n">
        <v>7</v>
      </c>
      <c r="AX18" s="147" t="n">
        <v>4</v>
      </c>
      <c r="AY18" s="147" t="n">
        <v>4</v>
      </c>
      <c r="AZ18" s="147" t="n">
        <v>5</v>
      </c>
      <c r="BA18" s="147"/>
      <c r="BB18" s="147"/>
      <c r="BC18" s="147"/>
      <c r="BD18" s="147"/>
      <c r="BE18" s="154"/>
      <c r="BF18" s="152" t="n">
        <f aca="false">SUMPRODUCT(BG$4:BP$4,BG18:BP18)</f>
        <v>5.1</v>
      </c>
      <c r="BG18" s="146" t="n">
        <v>6</v>
      </c>
      <c r="BH18" s="147" t="n">
        <v>7</v>
      </c>
      <c r="BI18" s="147" t="n">
        <v>4</v>
      </c>
      <c r="BJ18" s="147" t="n">
        <v>4</v>
      </c>
      <c r="BK18" s="147" t="n">
        <v>5</v>
      </c>
      <c r="BL18" s="147"/>
      <c r="BM18" s="147"/>
      <c r="BN18" s="147"/>
      <c r="BO18" s="147"/>
      <c r="BP18" s="154"/>
      <c r="BQ18" s="152" t="n">
        <f aca="false">SUMPRODUCT(BR$4:CA$4,BR18:CA18)</f>
        <v>9.7</v>
      </c>
      <c r="BR18" s="146" t="n">
        <v>10</v>
      </c>
      <c r="BS18" s="147" t="n">
        <v>9</v>
      </c>
      <c r="BT18" s="147" t="n">
        <v>10</v>
      </c>
      <c r="BU18" s="147" t="n">
        <v>9</v>
      </c>
      <c r="BV18" s="147" t="n">
        <v>10</v>
      </c>
      <c r="BW18" s="147"/>
      <c r="BX18" s="147"/>
      <c r="BY18" s="147"/>
      <c r="BZ18" s="147"/>
      <c r="CA18" s="154"/>
      <c r="CB18" s="152" t="n">
        <f aca="false">SUMPRODUCT(CC$4:CL$4,CC18:CL18)</f>
        <v>0</v>
      </c>
      <c r="CC18" s="146"/>
      <c r="CD18" s="147"/>
      <c r="CE18" s="147"/>
      <c r="CF18" s="147"/>
      <c r="CG18" s="147"/>
      <c r="CH18" s="147"/>
      <c r="CI18" s="147"/>
      <c r="CJ18" s="147"/>
      <c r="CK18" s="147"/>
      <c r="CL18" s="154"/>
      <c r="CM18" s="152" t="n">
        <f aca="false">SUMPRODUCT(CN$4:CW$4,CN18:CW18)</f>
        <v>0</v>
      </c>
      <c r="CN18" s="146"/>
      <c r="CO18" s="147"/>
      <c r="CP18" s="147"/>
      <c r="CQ18" s="147"/>
      <c r="CR18" s="147"/>
      <c r="CS18" s="147"/>
      <c r="CT18" s="147"/>
      <c r="CU18" s="147"/>
      <c r="CV18" s="147"/>
      <c r="CW18" s="154"/>
      <c r="CX18" s="152" t="n">
        <f aca="false">SUMPRODUCT(CY$4:DH$4,CY18:DH18)</f>
        <v>0</v>
      </c>
      <c r="CY18" s="146"/>
      <c r="CZ18" s="147"/>
      <c r="DA18" s="147"/>
      <c r="DB18" s="147"/>
      <c r="DC18" s="147"/>
      <c r="DD18" s="147"/>
      <c r="DE18" s="147"/>
      <c r="DF18" s="147"/>
      <c r="DG18" s="147"/>
      <c r="DH18" s="154"/>
      <c r="DI18" s="152" t="n">
        <f aca="false">SUMPRODUCT(DJ$4:DS$4,DJ18:DS18)</f>
        <v>0</v>
      </c>
      <c r="DJ18" s="146"/>
      <c r="DK18" s="147"/>
      <c r="DL18" s="147"/>
      <c r="DM18" s="147"/>
      <c r="DN18" s="147"/>
      <c r="DO18" s="147"/>
      <c r="DP18" s="147"/>
      <c r="DQ18" s="147"/>
      <c r="DR18" s="147"/>
      <c r="DS18" s="154"/>
      <c r="DT18" s="152" t="n">
        <f aca="false">SUMPRODUCT(DU$4:ED$4,DU18:ED18)</f>
        <v>0</v>
      </c>
      <c r="DU18" s="146"/>
      <c r="DV18" s="147"/>
      <c r="DW18" s="147"/>
      <c r="DX18" s="147"/>
      <c r="DY18" s="147"/>
      <c r="DZ18" s="147"/>
      <c r="EA18" s="147"/>
      <c r="EB18" s="147"/>
      <c r="EC18" s="147"/>
      <c r="ED18" s="154"/>
      <c r="EE18" s="152" t="n">
        <f aca="false">SUMPRODUCT(EF$4:EO$4,EF18:EO18)</f>
        <v>0</v>
      </c>
      <c r="EF18" s="146"/>
      <c r="EG18" s="147"/>
      <c r="EH18" s="147"/>
      <c r="EI18" s="147"/>
      <c r="EJ18" s="147"/>
      <c r="EK18" s="147"/>
      <c r="EL18" s="147"/>
      <c r="EM18" s="147"/>
      <c r="EN18" s="147"/>
      <c r="EO18" s="154"/>
      <c r="EP18" s="152" t="n">
        <f aca="false">SUMPRODUCT(EQ$4:EZ$4,EQ18:EZ18)</f>
        <v>0</v>
      </c>
      <c r="EQ18" s="146"/>
      <c r="ER18" s="147"/>
      <c r="ES18" s="147"/>
      <c r="ET18" s="147"/>
      <c r="EU18" s="147"/>
      <c r="EV18" s="147"/>
      <c r="EW18" s="147"/>
      <c r="EX18" s="147"/>
      <c r="EY18" s="147"/>
      <c r="EZ18" s="154"/>
      <c r="FA18" s="152" t="n">
        <f aca="false">SUMPRODUCT(FB$4:FK$4,FB18:FK18)</f>
        <v>0</v>
      </c>
      <c r="FB18" s="146"/>
      <c r="FC18" s="147"/>
      <c r="FD18" s="147"/>
      <c r="FE18" s="147"/>
      <c r="FF18" s="147"/>
      <c r="FG18" s="147"/>
      <c r="FH18" s="147"/>
      <c r="FI18" s="147"/>
      <c r="FJ18" s="147"/>
      <c r="FK18" s="154"/>
      <c r="FL18" s="152" t="n">
        <f aca="false">SUMPRODUCT(FM$4:FV$4,FM18:FV18)</f>
        <v>0</v>
      </c>
      <c r="FM18" s="146"/>
      <c r="FN18" s="147"/>
      <c r="FO18" s="147"/>
      <c r="FP18" s="147"/>
      <c r="FQ18" s="147"/>
      <c r="FR18" s="147"/>
      <c r="FS18" s="147"/>
      <c r="FT18" s="147"/>
      <c r="FU18" s="147"/>
      <c r="FV18" s="154"/>
      <c r="FW18" s="152" t="n">
        <f aca="false">SUMPRODUCT(FX$4:GG$4,FX18:GG18)</f>
        <v>0</v>
      </c>
      <c r="FX18" s="146"/>
      <c r="FY18" s="147"/>
      <c r="FZ18" s="147"/>
      <c r="GA18" s="147"/>
      <c r="GB18" s="147"/>
      <c r="GC18" s="147"/>
      <c r="GD18" s="147"/>
      <c r="GE18" s="147"/>
      <c r="GF18" s="147"/>
      <c r="GG18" s="154"/>
      <c r="GH18" s="152" t="n">
        <f aca="false">SUMPRODUCT(GI$4:GR$4,GI18:GR18)</f>
        <v>0</v>
      </c>
      <c r="GI18" s="146"/>
      <c r="GJ18" s="147"/>
      <c r="GK18" s="147"/>
      <c r="GL18" s="147"/>
      <c r="GM18" s="147"/>
      <c r="GN18" s="147"/>
      <c r="GO18" s="147"/>
      <c r="GP18" s="147"/>
      <c r="GQ18" s="147"/>
      <c r="GR18" s="154"/>
      <c r="GS18" s="152" t="n">
        <f aca="false">SUMPRODUCT(GT$4:HC$4,GT18:HC18)</f>
        <v>0</v>
      </c>
      <c r="GT18" s="146"/>
      <c r="GU18" s="147"/>
      <c r="GV18" s="147"/>
      <c r="GW18" s="147"/>
      <c r="GX18" s="147"/>
      <c r="GY18" s="147"/>
      <c r="GZ18" s="147"/>
      <c r="HA18" s="147"/>
      <c r="HB18" s="147"/>
      <c r="HC18" s="154"/>
      <c r="HD18" s="152" t="n">
        <f aca="false">SUMPRODUCT(HE$4:HN$4,HE18:HN18)</f>
        <v>0</v>
      </c>
      <c r="HE18" s="146"/>
      <c r="HF18" s="147"/>
      <c r="HG18" s="147"/>
      <c r="HH18" s="147"/>
      <c r="HI18" s="147"/>
      <c r="HJ18" s="147"/>
      <c r="HK18" s="147"/>
      <c r="HL18" s="147"/>
      <c r="HM18" s="147"/>
      <c r="HN18" s="154"/>
      <c r="HO18" s="152" t="n">
        <f aca="false">SUMPRODUCT(HP$4:HY$4,HP18:HY18)</f>
        <v>0</v>
      </c>
      <c r="HP18" s="146"/>
      <c r="HQ18" s="147"/>
      <c r="HR18" s="147"/>
      <c r="HS18" s="147"/>
      <c r="HT18" s="147"/>
      <c r="HU18" s="147"/>
      <c r="HV18" s="147"/>
      <c r="HW18" s="147"/>
      <c r="HX18" s="147"/>
      <c r="HY18" s="154"/>
      <c r="HZ18" s="152" t="n">
        <f aca="false">SUMPRODUCT(IA$4:IJ$4,IA18:IJ18)</f>
        <v>0</v>
      </c>
      <c r="IA18" s="146"/>
      <c r="IB18" s="147"/>
      <c r="IC18" s="147"/>
      <c r="ID18" s="147"/>
      <c r="IE18" s="147"/>
      <c r="IF18" s="147"/>
      <c r="IG18" s="147"/>
      <c r="IH18" s="147"/>
      <c r="II18" s="147"/>
      <c r="IJ18" s="154"/>
      <c r="IK18" s="152" t="n">
        <f aca="false">SUMPRODUCT(IL$4:IU$4,IL18:IU18)</f>
        <v>0</v>
      </c>
      <c r="IL18" s="146"/>
      <c r="IM18" s="147"/>
      <c r="IN18" s="147"/>
      <c r="IO18" s="147"/>
      <c r="IP18" s="147"/>
      <c r="IQ18" s="147"/>
      <c r="IR18" s="147"/>
      <c r="IS18" s="147"/>
      <c r="IT18" s="147"/>
      <c r="IU18" s="154"/>
      <c r="IV18" s="152" t="n">
        <f aca="false">SUMPRODUCT(IW$4:JF$4,IW18:JF18)</f>
        <v>0</v>
      </c>
      <c r="IW18" s="146"/>
      <c r="IX18" s="147"/>
      <c r="IY18" s="147"/>
      <c r="IZ18" s="147"/>
      <c r="JA18" s="147"/>
      <c r="JB18" s="147"/>
      <c r="JC18" s="147"/>
      <c r="JD18" s="147"/>
      <c r="JE18" s="147"/>
      <c r="JF18" s="154"/>
      <c r="JG18" s="152" t="n">
        <f aca="false">SUMPRODUCT(JH$4:JQ$4,JH18:JQ18)</f>
        <v>0</v>
      </c>
      <c r="JH18" s="146"/>
      <c r="JI18" s="147"/>
      <c r="JJ18" s="147"/>
      <c r="JK18" s="147"/>
      <c r="JL18" s="147"/>
      <c r="JM18" s="147"/>
      <c r="JN18" s="147"/>
      <c r="JO18" s="147"/>
      <c r="JP18" s="147"/>
      <c r="JQ18" s="154"/>
      <c r="JR18" s="152" t="n">
        <f aca="false">SUMPRODUCT(JS$4:KB$4,JS18:KB18)</f>
        <v>0</v>
      </c>
      <c r="JS18" s="146"/>
      <c r="JT18" s="147"/>
      <c r="JU18" s="147"/>
      <c r="JV18" s="147"/>
      <c r="JW18" s="147"/>
      <c r="JX18" s="147"/>
      <c r="JY18" s="147"/>
      <c r="JZ18" s="147"/>
      <c r="KA18" s="147"/>
      <c r="KB18" s="154"/>
      <c r="KC18" s="152" t="n">
        <f aca="false">SUMPRODUCT(KD$4:KM$4,KD18:KM18)</f>
        <v>0</v>
      </c>
      <c r="KD18" s="146"/>
      <c r="KE18" s="147"/>
      <c r="KF18" s="147"/>
      <c r="KG18" s="147"/>
      <c r="KH18" s="147"/>
      <c r="KI18" s="147"/>
      <c r="KJ18" s="147"/>
      <c r="KK18" s="147"/>
      <c r="KL18" s="147"/>
      <c r="KM18" s="154"/>
      <c r="KN18" s="152" t="n">
        <f aca="false">SUMPRODUCT(KO$4:KX$4,KO18:KX18)</f>
        <v>0</v>
      </c>
      <c r="KO18" s="146"/>
      <c r="KP18" s="147"/>
      <c r="KQ18" s="147"/>
      <c r="KR18" s="147"/>
      <c r="KS18" s="147"/>
      <c r="KT18" s="147"/>
      <c r="KU18" s="147"/>
      <c r="KV18" s="147"/>
      <c r="KW18" s="147"/>
      <c r="KX18" s="154"/>
      <c r="KY18" s="152" t="n">
        <f aca="false">SUMPRODUCT(KZ$4:LI$4,KZ18:LI18)</f>
        <v>0</v>
      </c>
      <c r="KZ18" s="146"/>
      <c r="LA18" s="147"/>
      <c r="LB18" s="147"/>
      <c r="LC18" s="147"/>
      <c r="LD18" s="147"/>
      <c r="LE18" s="147"/>
      <c r="LF18" s="147"/>
      <c r="LG18" s="147"/>
      <c r="LH18" s="147"/>
      <c r="LI18" s="154"/>
      <c r="LJ18" s="152" t="n">
        <f aca="false">SUMPRODUCT(LK$4:LT$4,LK18:LT18)</f>
        <v>0</v>
      </c>
      <c r="LK18" s="146"/>
      <c r="LL18" s="147"/>
      <c r="LM18" s="147"/>
      <c r="LN18" s="147"/>
      <c r="LO18" s="147"/>
      <c r="LP18" s="147"/>
      <c r="LQ18" s="147"/>
      <c r="LR18" s="147"/>
      <c r="LS18" s="147"/>
      <c r="LT18" s="154"/>
      <c r="LW18" s="152"/>
      <c r="LX18" s="155" t="n">
        <f aca="false">D172+O172+Z172+AK172+AV172+BG172+BR172+CC172+CN172+CY172+DJ172+DU172+EF172+EQ172+FB172+FM172+FX172+GI172+GT172+HE172+HP172+IA172+IL172+IW172+JH172+JS172+KD172+KO172+KZ172+LK172</f>
        <v>5.475</v>
      </c>
      <c r="LY18" s="156" t="n">
        <f aca="false">E172+P172+AA172+AL172+AW172+BH172+BS172+CD172+CO172+CZ172+DK172+DV172+EG172+ER172+FC172+FN172+FY172+GJ172+GU172+HF172+HQ172+IB172+IM172+IX172+JI172+JT172+KE172+KP172+LA172+LL172</f>
        <v>5.4</v>
      </c>
      <c r="LZ18" s="156" t="n">
        <f aca="false">F172+Q172+AB172+AM172+AX172+BI172+BT172+CE172+CP172+DA172+DL172+DW172+EH172+ES172+FD172+FO172+FZ172+GK172+GV172+HG172+HR172+IC172+IN172+IY172+JJ172+JU172+KF172+KQ172+LB172+LM172</f>
        <v>4.775</v>
      </c>
      <c r="MA18" s="156" t="n">
        <f aca="false">G172+R172+AC172+AN172+AY172+BJ172+BU172+CF172+CQ172+DB172+DM172+DX172+EI172+ET172+FE172+FP172+GA172+GL172+GW172+HH172+HS172+ID172+IO172+IZ172+JK172+JV172+KG172+KR172+LC172+LN172</f>
        <v>7.14</v>
      </c>
      <c r="MB18" s="156" t="n">
        <f aca="false">H172+S172+AD172+AO172+AZ172+BK172+BV172+CG172+CR172+DC172+DN172+DY172+EJ172+EU172+FF172+FQ172+GB172+GM172+GX172+HI172+HT172+IE172+IP172+JA172+JL172+JW172+KH172+KS172+LD172+LO172</f>
        <v>0</v>
      </c>
      <c r="MC18" s="156" t="n">
        <f aca="false">I172+T172+AE172+AP172+BA172+BL172+BW172+CH172+CS172+DD172+DO172+DZ172+EK172+EV172+FG172+FR172+GC172+GN172+GY172+HJ172+HU172+IF172+IQ172+JB172+JM172+JX172+KI172+KT172+LE172+LP172</f>
        <v>0</v>
      </c>
      <c r="MD18" s="156" t="n">
        <f aca="false">J172+U172+AF172+AQ172+BB172+BM172+BX172+CI172+CT172+DE172+DP172+EA172+EL172+EW172+FH172+FS172+GD172+GO172+GZ172+HK172+HV172+IG172+IR172+JC172+JN172+JY172+KJ172+KU172+LF172+LQ172</f>
        <v>0</v>
      </c>
      <c r="ME18" s="156" t="n">
        <f aca="false">K172+V172+AG172+AR172+BC172+BN172+BY172+CJ172+CU172+DF172+DQ172+EB172+EM172+EX172+FI172+FT172+GE172+GP172+HA172+HL172+HW172+IH172+IS172+JD172+JO172+JZ172+KK172+KV172+LG172+LR172</f>
        <v>0</v>
      </c>
      <c r="MF18" s="156" t="n">
        <f aca="false">L172+W172+AH172+AS172+BD172+BO172+BZ172+CK172+CV172+DG172+DR172+EC172+EN172+EY172+FJ172+FU172+GF172+GQ172+HB172+HM172+HX172+II172+IT172+JE172+JP172+KA172+KL172+KW172+LH172+LS172</f>
        <v>0</v>
      </c>
      <c r="MG18" s="157" t="n">
        <f aca="false">M172+X172+AI172+AT172+BE172+BP172+CA172+CL172+CW172+DH172+DS172+ED172+EO172+EZ172+FK172+FV172+GG172+GR172+HC172+HN172+HY172+IJ172+IU172+JF172+JQ172+KB172+KM172+KX172+LI172+LT172</f>
        <v>0</v>
      </c>
    </row>
    <row r="19" customFormat="false" ht="13.8" hidden="false" customHeight="false" outlineLevel="0" collapsed="false">
      <c r="A19" s="29" t="n">
        <v>14</v>
      </c>
      <c r="B19" s="151" t="str">
        <f aca="false">'Datos Iniciales'!T22</f>
        <v>Alumno14</v>
      </c>
      <c r="C19" s="152" t="n">
        <f aca="false">SUMPRODUCT(D$4:M$4,D19:M19)</f>
        <v>4.1</v>
      </c>
      <c r="D19" s="146" t="n">
        <v>4</v>
      </c>
      <c r="E19" s="147" t="n">
        <v>3</v>
      </c>
      <c r="F19" s="147" t="n">
        <v>5</v>
      </c>
      <c r="G19" s="147" t="n">
        <v>6</v>
      </c>
      <c r="H19" s="147" t="n">
        <v>4</v>
      </c>
      <c r="I19" s="147" t="n">
        <v>3</v>
      </c>
      <c r="J19" s="147" t="n">
        <v>4</v>
      </c>
      <c r="K19" s="147"/>
      <c r="L19" s="147"/>
      <c r="M19" s="154"/>
      <c r="N19" s="152" t="n">
        <f aca="false">SUMPRODUCT(O$4:X$4,O19:X19)</f>
        <v>4.4</v>
      </c>
      <c r="O19" s="146" t="n">
        <v>4</v>
      </c>
      <c r="P19" s="147" t="n">
        <v>3</v>
      </c>
      <c r="Q19" s="147" t="n">
        <v>5</v>
      </c>
      <c r="R19" s="147" t="n">
        <v>6</v>
      </c>
      <c r="S19" s="147" t="n">
        <v>4</v>
      </c>
      <c r="T19" s="147"/>
      <c r="U19" s="147"/>
      <c r="V19" s="147"/>
      <c r="W19" s="147"/>
      <c r="X19" s="154"/>
      <c r="Y19" s="152" t="n">
        <f aca="false">SUMPRODUCT(Z$4:AI$4,Z19:AI19)</f>
        <v>5</v>
      </c>
      <c r="Z19" s="146" t="n">
        <v>5</v>
      </c>
      <c r="AA19" s="153" t="n">
        <v>5</v>
      </c>
      <c r="AB19" s="153" t="n">
        <v>5</v>
      </c>
      <c r="AC19" s="153" t="n">
        <v>5</v>
      </c>
      <c r="AD19" s="153" t="n">
        <v>5</v>
      </c>
      <c r="AE19" s="153"/>
      <c r="AF19" s="153"/>
      <c r="AG19" s="147"/>
      <c r="AH19" s="147"/>
      <c r="AI19" s="154"/>
      <c r="AJ19" s="152" t="n">
        <f aca="false">SUMPRODUCT(AK$4:AT$4,AK19:AT19)</f>
        <v>5</v>
      </c>
      <c r="AK19" s="146" t="n">
        <v>5</v>
      </c>
      <c r="AL19" s="153" t="n">
        <v>5</v>
      </c>
      <c r="AM19" s="153" t="n">
        <v>5</v>
      </c>
      <c r="AN19" s="153" t="n">
        <v>5</v>
      </c>
      <c r="AO19" s="153" t="n">
        <v>5</v>
      </c>
      <c r="AP19" s="147"/>
      <c r="AQ19" s="147"/>
      <c r="AR19" s="147"/>
      <c r="AS19" s="147"/>
      <c r="AT19" s="154"/>
      <c r="AU19" s="152" t="n">
        <f aca="false">SUMPRODUCT(AV$4:BE$4,AV19:BE19)</f>
        <v>4.6</v>
      </c>
      <c r="AV19" s="146" t="n">
        <v>4</v>
      </c>
      <c r="AW19" s="147" t="n">
        <v>3</v>
      </c>
      <c r="AX19" s="147" t="n">
        <v>5</v>
      </c>
      <c r="AY19" s="147" t="n">
        <v>6</v>
      </c>
      <c r="AZ19" s="147" t="n">
        <v>4</v>
      </c>
      <c r="BA19" s="147"/>
      <c r="BB19" s="147"/>
      <c r="BC19" s="147"/>
      <c r="BD19" s="147"/>
      <c r="BE19" s="154"/>
      <c r="BF19" s="152" t="n">
        <f aca="false">SUMPRODUCT(BG$4:BP$4,BG19:BP19)</f>
        <v>4.4</v>
      </c>
      <c r="BG19" s="146" t="n">
        <v>4</v>
      </c>
      <c r="BH19" s="147" t="n">
        <v>3</v>
      </c>
      <c r="BI19" s="147" t="n">
        <v>5</v>
      </c>
      <c r="BJ19" s="147" t="n">
        <v>6</v>
      </c>
      <c r="BK19" s="147" t="n">
        <v>4</v>
      </c>
      <c r="BL19" s="147"/>
      <c r="BM19" s="147"/>
      <c r="BN19" s="147"/>
      <c r="BO19" s="147"/>
      <c r="BP19" s="154"/>
      <c r="BQ19" s="152" t="n">
        <f aca="false">SUMPRODUCT(BR$4:CA$4,BR19:CA19)</f>
        <v>9</v>
      </c>
      <c r="BR19" s="146" t="n">
        <v>9</v>
      </c>
      <c r="BS19" s="147" t="n">
        <v>9</v>
      </c>
      <c r="BT19" s="147" t="n">
        <v>9</v>
      </c>
      <c r="BU19" s="147" t="n">
        <v>9</v>
      </c>
      <c r="BV19" s="147" t="n">
        <v>9</v>
      </c>
      <c r="BW19" s="147"/>
      <c r="BX19" s="147"/>
      <c r="BY19" s="147"/>
      <c r="BZ19" s="147"/>
      <c r="CA19" s="154"/>
      <c r="CB19" s="152" t="n">
        <f aca="false">SUMPRODUCT(CC$4:CL$4,CC19:CL19)</f>
        <v>0</v>
      </c>
      <c r="CC19" s="146"/>
      <c r="CD19" s="147"/>
      <c r="CE19" s="147"/>
      <c r="CF19" s="147"/>
      <c r="CG19" s="147"/>
      <c r="CH19" s="147"/>
      <c r="CI19" s="147"/>
      <c r="CJ19" s="147"/>
      <c r="CK19" s="147"/>
      <c r="CL19" s="154"/>
      <c r="CM19" s="152" t="n">
        <f aca="false">SUMPRODUCT(CN$4:CW$4,CN19:CW19)</f>
        <v>0</v>
      </c>
      <c r="CN19" s="146"/>
      <c r="CO19" s="147"/>
      <c r="CP19" s="147"/>
      <c r="CQ19" s="147"/>
      <c r="CR19" s="147"/>
      <c r="CS19" s="147"/>
      <c r="CT19" s="147"/>
      <c r="CU19" s="147"/>
      <c r="CV19" s="147"/>
      <c r="CW19" s="154"/>
      <c r="CX19" s="152" t="n">
        <f aca="false">SUMPRODUCT(CY$4:DH$4,CY19:DH19)</f>
        <v>0</v>
      </c>
      <c r="CY19" s="146"/>
      <c r="CZ19" s="147"/>
      <c r="DA19" s="147"/>
      <c r="DB19" s="147"/>
      <c r="DC19" s="147"/>
      <c r="DD19" s="147"/>
      <c r="DE19" s="147"/>
      <c r="DF19" s="147"/>
      <c r="DG19" s="147"/>
      <c r="DH19" s="154"/>
      <c r="DI19" s="152" t="n">
        <f aca="false">SUMPRODUCT(DJ$4:DS$4,DJ19:DS19)</f>
        <v>0</v>
      </c>
      <c r="DJ19" s="146"/>
      <c r="DK19" s="147"/>
      <c r="DL19" s="147"/>
      <c r="DM19" s="147"/>
      <c r="DN19" s="147"/>
      <c r="DO19" s="147"/>
      <c r="DP19" s="147"/>
      <c r="DQ19" s="147"/>
      <c r="DR19" s="147"/>
      <c r="DS19" s="154"/>
      <c r="DT19" s="152" t="n">
        <f aca="false">SUMPRODUCT(DU$4:ED$4,DU19:ED19)</f>
        <v>0</v>
      </c>
      <c r="DU19" s="146"/>
      <c r="DV19" s="147"/>
      <c r="DW19" s="147"/>
      <c r="DX19" s="147"/>
      <c r="DY19" s="147"/>
      <c r="DZ19" s="147"/>
      <c r="EA19" s="147"/>
      <c r="EB19" s="147"/>
      <c r="EC19" s="147"/>
      <c r="ED19" s="154"/>
      <c r="EE19" s="152" t="n">
        <f aca="false">SUMPRODUCT(EF$4:EO$4,EF19:EO19)</f>
        <v>0</v>
      </c>
      <c r="EF19" s="146"/>
      <c r="EG19" s="147"/>
      <c r="EH19" s="147"/>
      <c r="EI19" s="147"/>
      <c r="EJ19" s="147"/>
      <c r="EK19" s="147"/>
      <c r="EL19" s="147"/>
      <c r="EM19" s="147"/>
      <c r="EN19" s="147"/>
      <c r="EO19" s="154"/>
      <c r="EP19" s="152" t="n">
        <f aca="false">SUMPRODUCT(EQ$4:EZ$4,EQ19:EZ19)</f>
        <v>0</v>
      </c>
      <c r="EQ19" s="146"/>
      <c r="ER19" s="147"/>
      <c r="ES19" s="147"/>
      <c r="ET19" s="147"/>
      <c r="EU19" s="147"/>
      <c r="EV19" s="147"/>
      <c r="EW19" s="147"/>
      <c r="EX19" s="147"/>
      <c r="EY19" s="147"/>
      <c r="EZ19" s="154"/>
      <c r="FA19" s="152" t="n">
        <f aca="false">SUMPRODUCT(FB$4:FK$4,FB19:FK19)</f>
        <v>0</v>
      </c>
      <c r="FB19" s="146"/>
      <c r="FC19" s="147"/>
      <c r="FD19" s="147"/>
      <c r="FE19" s="147"/>
      <c r="FF19" s="147"/>
      <c r="FG19" s="147"/>
      <c r="FH19" s="147"/>
      <c r="FI19" s="147"/>
      <c r="FJ19" s="147"/>
      <c r="FK19" s="154"/>
      <c r="FL19" s="152" t="n">
        <f aca="false">SUMPRODUCT(FM$4:FV$4,FM19:FV19)</f>
        <v>0</v>
      </c>
      <c r="FM19" s="146"/>
      <c r="FN19" s="147"/>
      <c r="FO19" s="147"/>
      <c r="FP19" s="147"/>
      <c r="FQ19" s="147"/>
      <c r="FR19" s="147"/>
      <c r="FS19" s="147"/>
      <c r="FT19" s="147"/>
      <c r="FU19" s="147"/>
      <c r="FV19" s="154"/>
      <c r="FW19" s="152" t="n">
        <f aca="false">SUMPRODUCT(FX$4:GG$4,FX19:GG19)</f>
        <v>0</v>
      </c>
      <c r="FX19" s="146"/>
      <c r="FY19" s="147"/>
      <c r="FZ19" s="147"/>
      <c r="GA19" s="147"/>
      <c r="GB19" s="147"/>
      <c r="GC19" s="147"/>
      <c r="GD19" s="147"/>
      <c r="GE19" s="147"/>
      <c r="GF19" s="147"/>
      <c r="GG19" s="154"/>
      <c r="GH19" s="152" t="n">
        <f aca="false">SUMPRODUCT(GI$4:GR$4,GI19:GR19)</f>
        <v>0</v>
      </c>
      <c r="GI19" s="146"/>
      <c r="GJ19" s="147"/>
      <c r="GK19" s="147"/>
      <c r="GL19" s="147"/>
      <c r="GM19" s="147"/>
      <c r="GN19" s="147"/>
      <c r="GO19" s="147"/>
      <c r="GP19" s="147"/>
      <c r="GQ19" s="147"/>
      <c r="GR19" s="154"/>
      <c r="GS19" s="152" t="n">
        <f aca="false">SUMPRODUCT(GT$4:HC$4,GT19:HC19)</f>
        <v>0</v>
      </c>
      <c r="GT19" s="146"/>
      <c r="GU19" s="147"/>
      <c r="GV19" s="147"/>
      <c r="GW19" s="147"/>
      <c r="GX19" s="147"/>
      <c r="GY19" s="147"/>
      <c r="GZ19" s="147"/>
      <c r="HA19" s="147"/>
      <c r="HB19" s="147"/>
      <c r="HC19" s="154"/>
      <c r="HD19" s="152" t="n">
        <f aca="false">SUMPRODUCT(HE$4:HN$4,HE19:HN19)</f>
        <v>0</v>
      </c>
      <c r="HE19" s="146"/>
      <c r="HF19" s="147"/>
      <c r="HG19" s="147"/>
      <c r="HH19" s="147"/>
      <c r="HI19" s="147"/>
      <c r="HJ19" s="147"/>
      <c r="HK19" s="147"/>
      <c r="HL19" s="147"/>
      <c r="HM19" s="147"/>
      <c r="HN19" s="154"/>
      <c r="HO19" s="152" t="n">
        <f aca="false">SUMPRODUCT(HP$4:HY$4,HP19:HY19)</f>
        <v>0</v>
      </c>
      <c r="HP19" s="146"/>
      <c r="HQ19" s="147"/>
      <c r="HR19" s="147"/>
      <c r="HS19" s="147"/>
      <c r="HT19" s="147"/>
      <c r="HU19" s="147"/>
      <c r="HV19" s="147"/>
      <c r="HW19" s="147"/>
      <c r="HX19" s="147"/>
      <c r="HY19" s="154"/>
      <c r="HZ19" s="152" t="n">
        <f aca="false">SUMPRODUCT(IA$4:IJ$4,IA19:IJ19)</f>
        <v>0</v>
      </c>
      <c r="IA19" s="146"/>
      <c r="IB19" s="147"/>
      <c r="IC19" s="147"/>
      <c r="ID19" s="147"/>
      <c r="IE19" s="147"/>
      <c r="IF19" s="147"/>
      <c r="IG19" s="147"/>
      <c r="IH19" s="147"/>
      <c r="II19" s="147"/>
      <c r="IJ19" s="154"/>
      <c r="IK19" s="152" t="n">
        <f aca="false">SUMPRODUCT(IL$4:IU$4,IL19:IU19)</f>
        <v>0</v>
      </c>
      <c r="IL19" s="146"/>
      <c r="IM19" s="147"/>
      <c r="IN19" s="147"/>
      <c r="IO19" s="147"/>
      <c r="IP19" s="147"/>
      <c r="IQ19" s="147"/>
      <c r="IR19" s="147"/>
      <c r="IS19" s="147"/>
      <c r="IT19" s="147"/>
      <c r="IU19" s="154"/>
      <c r="IV19" s="152" t="n">
        <f aca="false">SUMPRODUCT(IW$4:JF$4,IW19:JF19)</f>
        <v>0</v>
      </c>
      <c r="IW19" s="146"/>
      <c r="IX19" s="147"/>
      <c r="IY19" s="147"/>
      <c r="IZ19" s="147"/>
      <c r="JA19" s="147"/>
      <c r="JB19" s="147"/>
      <c r="JC19" s="147"/>
      <c r="JD19" s="147"/>
      <c r="JE19" s="147"/>
      <c r="JF19" s="154"/>
      <c r="JG19" s="152" t="n">
        <f aca="false">SUMPRODUCT(JH$4:JQ$4,JH19:JQ19)</f>
        <v>0</v>
      </c>
      <c r="JH19" s="146"/>
      <c r="JI19" s="147"/>
      <c r="JJ19" s="147"/>
      <c r="JK19" s="147"/>
      <c r="JL19" s="147"/>
      <c r="JM19" s="147"/>
      <c r="JN19" s="147"/>
      <c r="JO19" s="147"/>
      <c r="JP19" s="147"/>
      <c r="JQ19" s="154"/>
      <c r="JR19" s="152" t="n">
        <f aca="false">SUMPRODUCT(JS$4:KB$4,JS19:KB19)</f>
        <v>0</v>
      </c>
      <c r="JS19" s="146"/>
      <c r="JT19" s="147"/>
      <c r="JU19" s="147"/>
      <c r="JV19" s="147"/>
      <c r="JW19" s="147"/>
      <c r="JX19" s="147"/>
      <c r="JY19" s="147"/>
      <c r="JZ19" s="147"/>
      <c r="KA19" s="147"/>
      <c r="KB19" s="154"/>
      <c r="KC19" s="152" t="n">
        <f aca="false">SUMPRODUCT(KD$4:KM$4,KD19:KM19)</f>
        <v>0</v>
      </c>
      <c r="KD19" s="146"/>
      <c r="KE19" s="147"/>
      <c r="KF19" s="147"/>
      <c r="KG19" s="147"/>
      <c r="KH19" s="147"/>
      <c r="KI19" s="147"/>
      <c r="KJ19" s="147"/>
      <c r="KK19" s="147"/>
      <c r="KL19" s="147"/>
      <c r="KM19" s="154"/>
      <c r="KN19" s="152" t="n">
        <f aca="false">SUMPRODUCT(KO$4:KX$4,KO19:KX19)</f>
        <v>0</v>
      </c>
      <c r="KO19" s="146"/>
      <c r="KP19" s="147"/>
      <c r="KQ19" s="147"/>
      <c r="KR19" s="147"/>
      <c r="KS19" s="147"/>
      <c r="KT19" s="147"/>
      <c r="KU19" s="147"/>
      <c r="KV19" s="147"/>
      <c r="KW19" s="147"/>
      <c r="KX19" s="154"/>
      <c r="KY19" s="152" t="n">
        <f aca="false">SUMPRODUCT(KZ$4:LI$4,KZ19:LI19)</f>
        <v>0</v>
      </c>
      <c r="KZ19" s="146"/>
      <c r="LA19" s="147"/>
      <c r="LB19" s="147"/>
      <c r="LC19" s="147"/>
      <c r="LD19" s="147"/>
      <c r="LE19" s="147"/>
      <c r="LF19" s="147"/>
      <c r="LG19" s="147"/>
      <c r="LH19" s="147"/>
      <c r="LI19" s="154"/>
      <c r="LJ19" s="152" t="n">
        <f aca="false">SUMPRODUCT(LK$4:LT$4,LK19:LT19)</f>
        <v>0</v>
      </c>
      <c r="LK19" s="146"/>
      <c r="LL19" s="147"/>
      <c r="LM19" s="147"/>
      <c r="LN19" s="147"/>
      <c r="LO19" s="147"/>
      <c r="LP19" s="147"/>
      <c r="LQ19" s="147"/>
      <c r="LR19" s="147"/>
      <c r="LS19" s="147"/>
      <c r="LT19" s="154"/>
      <c r="LW19" s="152"/>
      <c r="LX19" s="155" t="n">
        <f aca="false">D173+O173+Z173+AK173+AV173+BG173+BR173+CC173+CN173+CY173+DJ173+DU173+EF173+EQ173+FB173+FM173+FX173+GI173+GT173+HE173+HP173+IA173+IL173+IW173+JH173+JS173+KD173+KO173+KZ173+LK173</f>
        <v>4.475</v>
      </c>
      <c r="LY19" s="156" t="n">
        <f aca="false">E173+P173+AA173+AL173+AW173+BH173+BS173+CD173+CO173+CZ173+DK173+DV173+EG173+ER173+FC173+FN173+FY173+GJ173+GU173+HF173+HQ173+IB173+IM173+IX173+JI173+JT173+KE173+KP173+LA173+LL173</f>
        <v>4.7</v>
      </c>
      <c r="LZ19" s="156" t="n">
        <f aca="false">F173+Q173+AB173+AM173+AX173+BI173+BT173+CE173+CP173+DA173+DL173+DW173+EH173+ES173+FD173+FO173+FZ173+GK173+GV173+HG173+HR173+IC173+IN173+IY173+JJ173+JU173+KF173+KQ173+LB173+LM173</f>
        <v>5.78</v>
      </c>
      <c r="MA19" s="156" t="n">
        <f aca="false">G173+R173+AC173+AN173+AY173+BJ173+BU173+CF173+CQ173+DB173+DM173+DX173+EI173+ET173+FE173+FP173+GA173+GL173+GW173+HH173+HS173+ID173+IO173+IZ173+JK173+JV173+KG173+KR173+LC173+LN173</f>
        <v>6.82</v>
      </c>
      <c r="MB19" s="156" t="n">
        <f aca="false">H173+S173+AD173+AO173+AZ173+BK173+BV173+CG173+CR173+DC173+DN173+DY173+EJ173+EU173+FF173+FQ173+GB173+GM173+GX173+HI173+HT173+IE173+IP173+JA173+JL173+JW173+KH173+KS173+LD173+LO173</f>
        <v>0</v>
      </c>
      <c r="MC19" s="156" t="n">
        <f aca="false">I173+T173+AE173+AP173+BA173+BL173+BW173+CH173+CS173+DD173+DO173+DZ173+EK173+EV173+FG173+FR173+GC173+GN173+GY173+HJ173+HU173+IF173+IQ173+JB173+JM173+JX173+KI173+KT173+LE173+LP173</f>
        <v>0</v>
      </c>
      <c r="MD19" s="156" t="n">
        <f aca="false">J173+U173+AF173+AQ173+BB173+BM173+BX173+CI173+CT173+DE173+DP173+EA173+EL173+EW173+FH173+FS173+GD173+GO173+GZ173+HK173+HV173+IG173+IR173+JC173+JN173+JY173+KJ173+KU173+LF173+LQ173</f>
        <v>0</v>
      </c>
      <c r="ME19" s="156" t="n">
        <f aca="false">K173+V173+AG173+AR173+BC173+BN173+BY173+CJ173+CU173+DF173+DQ173+EB173+EM173+EX173+FI173+FT173+GE173+GP173+HA173+HL173+HW173+IH173+IS173+JD173+JO173+JZ173+KK173+KV173+LG173+LR173</f>
        <v>0</v>
      </c>
      <c r="MF19" s="156" t="n">
        <f aca="false">L173+W173+AH173+AS173+BD173+BO173+BZ173+CK173+CV173+DG173+DR173+EC173+EN173+EY173+FJ173+FU173+GF173+GQ173+HB173+HM173+HX173+II173+IT173+JE173+JP173+KA173+KL173+KW173+LH173+LS173</f>
        <v>0</v>
      </c>
      <c r="MG19" s="157" t="n">
        <f aca="false">M173+X173+AI173+AT173+BE173+BP173+CA173+CL173+CW173+DH173+DS173+ED173+EO173+EZ173+FK173+FV173+GG173+GR173+HC173+HN173+HY173+IJ173+IU173+JF173+JQ173+KB173+KM173+KX173+LI173+LT173</f>
        <v>0</v>
      </c>
    </row>
    <row r="20" customFormat="false" ht="13.8" hidden="false" customHeight="false" outlineLevel="0" collapsed="false">
      <c r="A20" s="29" t="n">
        <v>15</v>
      </c>
      <c r="B20" s="151" t="str">
        <f aca="false">'Datos Iniciales'!T23</f>
        <v>Alumno15</v>
      </c>
      <c r="C20" s="152" t="n">
        <f aca="false">SUMPRODUCT(D$4:M$4,D20:M20)</f>
        <v>3.35</v>
      </c>
      <c r="D20" s="146" t="n">
        <v>3</v>
      </c>
      <c r="E20" s="147" t="n">
        <v>3</v>
      </c>
      <c r="F20" s="147" t="n">
        <v>2</v>
      </c>
      <c r="G20" s="147" t="n">
        <v>4</v>
      </c>
      <c r="H20" s="147" t="n">
        <v>5</v>
      </c>
      <c r="I20" s="147" t="n">
        <v>4</v>
      </c>
      <c r="J20" s="147" t="n">
        <v>3</v>
      </c>
      <c r="K20" s="147"/>
      <c r="L20" s="147"/>
      <c r="M20" s="154"/>
      <c r="N20" s="152" t="n">
        <f aca="false">SUMPRODUCT(O$4:X$4,O20:X20)</f>
        <v>3.4</v>
      </c>
      <c r="O20" s="146" t="n">
        <v>3</v>
      </c>
      <c r="P20" s="147" t="n">
        <v>3</v>
      </c>
      <c r="Q20" s="147" t="n">
        <v>2</v>
      </c>
      <c r="R20" s="147" t="n">
        <v>4</v>
      </c>
      <c r="S20" s="147" t="n">
        <v>5</v>
      </c>
      <c r="T20" s="147"/>
      <c r="U20" s="147"/>
      <c r="V20" s="147"/>
      <c r="W20" s="147"/>
      <c r="X20" s="154"/>
      <c r="Y20" s="152" t="n">
        <f aca="false">SUMPRODUCT(Z$4:AI$4,Z20:AI20)</f>
        <v>6.6</v>
      </c>
      <c r="Z20" s="143" t="n">
        <v>8</v>
      </c>
      <c r="AA20" s="144" t="n">
        <v>5</v>
      </c>
      <c r="AB20" s="144" t="n">
        <v>7</v>
      </c>
      <c r="AC20" s="144" t="n">
        <v>4</v>
      </c>
      <c r="AD20" s="144" t="n">
        <v>9</v>
      </c>
      <c r="AE20" s="144"/>
      <c r="AF20" s="144"/>
      <c r="AG20" s="147"/>
      <c r="AH20" s="147"/>
      <c r="AI20" s="154"/>
      <c r="AJ20" s="152" t="n">
        <f aca="false">SUMPRODUCT(AK$4:AT$4,AK20:AT20)</f>
        <v>6.6</v>
      </c>
      <c r="AK20" s="143" t="n">
        <v>8</v>
      </c>
      <c r="AL20" s="144" t="n">
        <v>5</v>
      </c>
      <c r="AM20" s="144" t="n">
        <v>7</v>
      </c>
      <c r="AN20" s="144" t="n">
        <v>4</v>
      </c>
      <c r="AO20" s="144" t="n">
        <v>9</v>
      </c>
      <c r="AP20" s="147"/>
      <c r="AQ20" s="147"/>
      <c r="AR20" s="147"/>
      <c r="AS20" s="147"/>
      <c r="AT20" s="154"/>
      <c r="AU20" s="152" t="n">
        <f aca="false">SUMPRODUCT(AV$4:BE$4,AV20:BE20)</f>
        <v>3.5</v>
      </c>
      <c r="AV20" s="146" t="n">
        <v>3</v>
      </c>
      <c r="AW20" s="147" t="n">
        <v>3</v>
      </c>
      <c r="AX20" s="147" t="n">
        <v>2</v>
      </c>
      <c r="AY20" s="147" t="n">
        <v>4</v>
      </c>
      <c r="AZ20" s="147" t="n">
        <v>5</v>
      </c>
      <c r="BA20" s="147"/>
      <c r="BB20" s="147"/>
      <c r="BC20" s="147"/>
      <c r="BD20" s="147"/>
      <c r="BE20" s="154"/>
      <c r="BF20" s="152" t="n">
        <f aca="false">SUMPRODUCT(BG$4:BP$4,BG20:BP20)</f>
        <v>3.6</v>
      </c>
      <c r="BG20" s="146" t="n">
        <v>3</v>
      </c>
      <c r="BH20" s="147" t="n">
        <v>3</v>
      </c>
      <c r="BI20" s="147" t="n">
        <v>2</v>
      </c>
      <c r="BJ20" s="147" t="n">
        <v>4</v>
      </c>
      <c r="BK20" s="147" t="n">
        <v>5</v>
      </c>
      <c r="BL20" s="147"/>
      <c r="BM20" s="147"/>
      <c r="BN20" s="147"/>
      <c r="BO20" s="147"/>
      <c r="BP20" s="154"/>
      <c r="BQ20" s="152" t="n">
        <f aca="false">SUMPRODUCT(BR$4:CA$4,BR20:CA20)</f>
        <v>5</v>
      </c>
      <c r="BR20" s="146" t="n">
        <v>5</v>
      </c>
      <c r="BS20" s="153" t="n">
        <v>5</v>
      </c>
      <c r="BT20" s="153" t="n">
        <v>5</v>
      </c>
      <c r="BU20" s="153" t="n">
        <v>5</v>
      </c>
      <c r="BV20" s="153" t="n">
        <v>5</v>
      </c>
      <c r="BW20" s="147"/>
      <c r="BX20" s="147"/>
      <c r="BY20" s="147"/>
      <c r="BZ20" s="147"/>
      <c r="CA20" s="154"/>
      <c r="CB20" s="152" t="n">
        <f aca="false">SUMPRODUCT(CC$4:CL$4,CC20:CL20)</f>
        <v>0</v>
      </c>
      <c r="CC20" s="146"/>
      <c r="CD20" s="147"/>
      <c r="CE20" s="147"/>
      <c r="CF20" s="147"/>
      <c r="CG20" s="147"/>
      <c r="CH20" s="147"/>
      <c r="CI20" s="147"/>
      <c r="CJ20" s="147"/>
      <c r="CK20" s="147"/>
      <c r="CL20" s="154"/>
      <c r="CM20" s="152" t="n">
        <f aca="false">SUMPRODUCT(CN$4:CW$4,CN20:CW20)</f>
        <v>0</v>
      </c>
      <c r="CN20" s="146"/>
      <c r="CO20" s="147"/>
      <c r="CP20" s="147"/>
      <c r="CQ20" s="147"/>
      <c r="CR20" s="147"/>
      <c r="CS20" s="147"/>
      <c r="CT20" s="147"/>
      <c r="CU20" s="147"/>
      <c r="CV20" s="147"/>
      <c r="CW20" s="154"/>
      <c r="CX20" s="152" t="n">
        <f aca="false">SUMPRODUCT(CY$4:DH$4,CY20:DH20)</f>
        <v>0</v>
      </c>
      <c r="CY20" s="146"/>
      <c r="CZ20" s="147"/>
      <c r="DA20" s="147"/>
      <c r="DB20" s="147"/>
      <c r="DC20" s="147"/>
      <c r="DD20" s="147"/>
      <c r="DE20" s="147"/>
      <c r="DF20" s="147"/>
      <c r="DG20" s="147"/>
      <c r="DH20" s="154"/>
      <c r="DI20" s="152" t="n">
        <f aca="false">SUMPRODUCT(DJ$4:DS$4,DJ20:DS20)</f>
        <v>0</v>
      </c>
      <c r="DJ20" s="146"/>
      <c r="DK20" s="147"/>
      <c r="DL20" s="147"/>
      <c r="DM20" s="147"/>
      <c r="DN20" s="147"/>
      <c r="DO20" s="147"/>
      <c r="DP20" s="147"/>
      <c r="DQ20" s="147"/>
      <c r="DR20" s="147"/>
      <c r="DS20" s="154"/>
      <c r="DT20" s="152" t="n">
        <f aca="false">SUMPRODUCT(DU$4:ED$4,DU20:ED20)</f>
        <v>0</v>
      </c>
      <c r="DU20" s="146"/>
      <c r="DV20" s="147"/>
      <c r="DW20" s="147"/>
      <c r="DX20" s="147"/>
      <c r="DY20" s="147"/>
      <c r="DZ20" s="147"/>
      <c r="EA20" s="147"/>
      <c r="EB20" s="147"/>
      <c r="EC20" s="147"/>
      <c r="ED20" s="154"/>
      <c r="EE20" s="152" t="n">
        <f aca="false">SUMPRODUCT(EF$4:EO$4,EF20:EO20)</f>
        <v>0</v>
      </c>
      <c r="EF20" s="146"/>
      <c r="EG20" s="147"/>
      <c r="EH20" s="147"/>
      <c r="EI20" s="147"/>
      <c r="EJ20" s="147"/>
      <c r="EK20" s="147"/>
      <c r="EL20" s="147"/>
      <c r="EM20" s="147"/>
      <c r="EN20" s="147"/>
      <c r="EO20" s="154"/>
      <c r="EP20" s="152" t="n">
        <f aca="false">SUMPRODUCT(EQ$4:EZ$4,EQ20:EZ20)</f>
        <v>0</v>
      </c>
      <c r="EQ20" s="146"/>
      <c r="ER20" s="147"/>
      <c r="ES20" s="147"/>
      <c r="ET20" s="147"/>
      <c r="EU20" s="147"/>
      <c r="EV20" s="147"/>
      <c r="EW20" s="147"/>
      <c r="EX20" s="147"/>
      <c r="EY20" s="147"/>
      <c r="EZ20" s="154"/>
      <c r="FA20" s="152" t="n">
        <f aca="false">SUMPRODUCT(FB$4:FK$4,FB20:FK20)</f>
        <v>0</v>
      </c>
      <c r="FB20" s="146"/>
      <c r="FC20" s="147"/>
      <c r="FD20" s="147"/>
      <c r="FE20" s="147"/>
      <c r="FF20" s="147"/>
      <c r="FG20" s="147"/>
      <c r="FH20" s="147"/>
      <c r="FI20" s="147"/>
      <c r="FJ20" s="147"/>
      <c r="FK20" s="154"/>
      <c r="FL20" s="152" t="n">
        <f aca="false">SUMPRODUCT(FM$4:FV$4,FM20:FV20)</f>
        <v>0</v>
      </c>
      <c r="FM20" s="146"/>
      <c r="FN20" s="147"/>
      <c r="FO20" s="147"/>
      <c r="FP20" s="147"/>
      <c r="FQ20" s="147"/>
      <c r="FR20" s="147"/>
      <c r="FS20" s="147"/>
      <c r="FT20" s="147"/>
      <c r="FU20" s="147"/>
      <c r="FV20" s="154"/>
      <c r="FW20" s="152" t="n">
        <f aca="false">SUMPRODUCT(FX$4:GG$4,FX20:GG20)</f>
        <v>0</v>
      </c>
      <c r="FX20" s="146"/>
      <c r="FY20" s="147"/>
      <c r="FZ20" s="147"/>
      <c r="GA20" s="147"/>
      <c r="GB20" s="147"/>
      <c r="GC20" s="147"/>
      <c r="GD20" s="147"/>
      <c r="GE20" s="147"/>
      <c r="GF20" s="147"/>
      <c r="GG20" s="154"/>
      <c r="GH20" s="152" t="n">
        <f aca="false">SUMPRODUCT(GI$4:GR$4,GI20:GR20)</f>
        <v>0</v>
      </c>
      <c r="GI20" s="146"/>
      <c r="GJ20" s="147"/>
      <c r="GK20" s="147"/>
      <c r="GL20" s="147"/>
      <c r="GM20" s="147"/>
      <c r="GN20" s="147"/>
      <c r="GO20" s="147"/>
      <c r="GP20" s="147"/>
      <c r="GQ20" s="147"/>
      <c r="GR20" s="154"/>
      <c r="GS20" s="152" t="n">
        <f aca="false">SUMPRODUCT(GT$4:HC$4,GT20:HC20)</f>
        <v>0</v>
      </c>
      <c r="GT20" s="146"/>
      <c r="GU20" s="147"/>
      <c r="GV20" s="147"/>
      <c r="GW20" s="147"/>
      <c r="GX20" s="147"/>
      <c r="GY20" s="147"/>
      <c r="GZ20" s="147"/>
      <c r="HA20" s="147"/>
      <c r="HB20" s="147"/>
      <c r="HC20" s="154"/>
      <c r="HD20" s="152" t="n">
        <f aca="false">SUMPRODUCT(HE$4:HN$4,HE20:HN20)</f>
        <v>0</v>
      </c>
      <c r="HE20" s="146"/>
      <c r="HF20" s="147"/>
      <c r="HG20" s="147"/>
      <c r="HH20" s="147"/>
      <c r="HI20" s="147"/>
      <c r="HJ20" s="147"/>
      <c r="HK20" s="147"/>
      <c r="HL20" s="147"/>
      <c r="HM20" s="147"/>
      <c r="HN20" s="154"/>
      <c r="HO20" s="152" t="n">
        <f aca="false">SUMPRODUCT(HP$4:HY$4,HP20:HY20)</f>
        <v>0</v>
      </c>
      <c r="HP20" s="146"/>
      <c r="HQ20" s="147"/>
      <c r="HR20" s="147"/>
      <c r="HS20" s="147"/>
      <c r="HT20" s="147"/>
      <c r="HU20" s="147"/>
      <c r="HV20" s="147"/>
      <c r="HW20" s="147"/>
      <c r="HX20" s="147"/>
      <c r="HY20" s="154"/>
      <c r="HZ20" s="152" t="n">
        <f aca="false">SUMPRODUCT(IA$4:IJ$4,IA20:IJ20)</f>
        <v>0</v>
      </c>
      <c r="IA20" s="146"/>
      <c r="IB20" s="147"/>
      <c r="IC20" s="147"/>
      <c r="ID20" s="147"/>
      <c r="IE20" s="147"/>
      <c r="IF20" s="147"/>
      <c r="IG20" s="147"/>
      <c r="IH20" s="147"/>
      <c r="II20" s="147"/>
      <c r="IJ20" s="154"/>
      <c r="IK20" s="152" t="n">
        <f aca="false">SUMPRODUCT(IL$4:IU$4,IL20:IU20)</f>
        <v>0</v>
      </c>
      <c r="IL20" s="146"/>
      <c r="IM20" s="147"/>
      <c r="IN20" s="147"/>
      <c r="IO20" s="147"/>
      <c r="IP20" s="147"/>
      <c r="IQ20" s="147"/>
      <c r="IR20" s="147"/>
      <c r="IS20" s="147"/>
      <c r="IT20" s="147"/>
      <c r="IU20" s="154"/>
      <c r="IV20" s="152" t="n">
        <f aca="false">SUMPRODUCT(IW$4:JF$4,IW20:JF20)</f>
        <v>0</v>
      </c>
      <c r="IW20" s="146"/>
      <c r="IX20" s="147"/>
      <c r="IY20" s="147"/>
      <c r="IZ20" s="147"/>
      <c r="JA20" s="147"/>
      <c r="JB20" s="147"/>
      <c r="JC20" s="147"/>
      <c r="JD20" s="147"/>
      <c r="JE20" s="147"/>
      <c r="JF20" s="154"/>
      <c r="JG20" s="152" t="n">
        <f aca="false">SUMPRODUCT(JH$4:JQ$4,JH20:JQ20)</f>
        <v>0</v>
      </c>
      <c r="JH20" s="146"/>
      <c r="JI20" s="147"/>
      <c r="JJ20" s="147"/>
      <c r="JK20" s="147"/>
      <c r="JL20" s="147"/>
      <c r="JM20" s="147"/>
      <c r="JN20" s="147"/>
      <c r="JO20" s="147"/>
      <c r="JP20" s="147"/>
      <c r="JQ20" s="154"/>
      <c r="JR20" s="152" t="n">
        <f aca="false">SUMPRODUCT(JS$4:KB$4,JS20:KB20)</f>
        <v>0</v>
      </c>
      <c r="JS20" s="146"/>
      <c r="JT20" s="147"/>
      <c r="JU20" s="147"/>
      <c r="JV20" s="147"/>
      <c r="JW20" s="147"/>
      <c r="JX20" s="147"/>
      <c r="JY20" s="147"/>
      <c r="JZ20" s="147"/>
      <c r="KA20" s="147"/>
      <c r="KB20" s="154"/>
      <c r="KC20" s="152" t="n">
        <f aca="false">SUMPRODUCT(KD$4:KM$4,KD20:KM20)</f>
        <v>0</v>
      </c>
      <c r="KD20" s="146"/>
      <c r="KE20" s="147"/>
      <c r="KF20" s="147"/>
      <c r="KG20" s="147"/>
      <c r="KH20" s="147"/>
      <c r="KI20" s="147"/>
      <c r="KJ20" s="147"/>
      <c r="KK20" s="147"/>
      <c r="KL20" s="147"/>
      <c r="KM20" s="154"/>
      <c r="KN20" s="152" t="n">
        <f aca="false">SUMPRODUCT(KO$4:KX$4,KO20:KX20)</f>
        <v>0</v>
      </c>
      <c r="KO20" s="146"/>
      <c r="KP20" s="147"/>
      <c r="KQ20" s="147"/>
      <c r="KR20" s="147"/>
      <c r="KS20" s="147"/>
      <c r="KT20" s="147"/>
      <c r="KU20" s="147"/>
      <c r="KV20" s="147"/>
      <c r="KW20" s="147"/>
      <c r="KX20" s="154"/>
      <c r="KY20" s="152" t="n">
        <f aca="false">SUMPRODUCT(KZ$4:LI$4,KZ20:LI20)</f>
        <v>0</v>
      </c>
      <c r="KZ20" s="146"/>
      <c r="LA20" s="147"/>
      <c r="LB20" s="147"/>
      <c r="LC20" s="147"/>
      <c r="LD20" s="147"/>
      <c r="LE20" s="147"/>
      <c r="LF20" s="147"/>
      <c r="LG20" s="147"/>
      <c r="LH20" s="147"/>
      <c r="LI20" s="154"/>
      <c r="LJ20" s="152" t="n">
        <f aca="false">SUMPRODUCT(LK$4:LT$4,LK20:LT20)</f>
        <v>0</v>
      </c>
      <c r="LK20" s="146"/>
      <c r="LL20" s="147"/>
      <c r="LM20" s="147"/>
      <c r="LN20" s="147"/>
      <c r="LO20" s="147"/>
      <c r="LP20" s="147"/>
      <c r="LQ20" s="147"/>
      <c r="LR20" s="147"/>
      <c r="LS20" s="147"/>
      <c r="LT20" s="154"/>
      <c r="LW20" s="152"/>
      <c r="LX20" s="155" t="n">
        <f aca="false">D174+O174+Z174+AK174+AV174+BG174+BR174+CC174+CN174+CY174+DJ174+DU174+EF174+EQ174+FB174+FM174+FX174+GI174+GT174+HE174+HP174+IA174+IL174+IW174+JH174+JS174+KD174+KO174+KZ174+LK174</f>
        <v>4.7875</v>
      </c>
      <c r="LY20" s="156" t="n">
        <f aca="false">E174+P174+AA174+AL174+AW174+BH174+BS174+CD174+CO174+CZ174+DK174+DV174+EG174+ER174+FC174+FN174+FY174+GJ174+GU174+HF174+HQ174+IB174+IM174+IX174+JI174+JT174+KE174+KP174+LA174+LL174</f>
        <v>4.6</v>
      </c>
      <c r="LZ20" s="156" t="n">
        <f aca="false">F174+Q174+AB174+AM174+AX174+BI174+BT174+CE174+CP174+DA174+DL174+DW174+EH174+ES174+FD174+FO174+FZ174+GK174+GV174+HG174+HR174+IC174+IN174+IY174+JJ174+JU174+KF174+KQ174+LB174+LM174</f>
        <v>4.735</v>
      </c>
      <c r="MA20" s="156" t="n">
        <f aca="false">G174+R174+AC174+AN174+AY174+BJ174+BU174+CF174+CQ174+DB174+DM174+DX174+EI174+ET174+FE174+FP174+GA174+GL174+GW174+HH174+HS174+ID174+IO174+IZ174+JK174+JV174+KG174+KR174+LC174+LN174</f>
        <v>4.84</v>
      </c>
      <c r="MB20" s="156" t="n">
        <f aca="false">H174+S174+AD174+AO174+AZ174+BK174+BV174+CG174+CR174+DC174+DN174+DY174+EJ174+EU174+FF174+FQ174+GB174+GM174+GX174+HI174+HT174+IE174+IP174+JA174+JL174+JW174+KH174+KS174+LD174+LO174</f>
        <v>0</v>
      </c>
      <c r="MC20" s="156" t="n">
        <f aca="false">I174+T174+AE174+AP174+BA174+BL174+BW174+CH174+CS174+DD174+DO174+DZ174+EK174+EV174+FG174+FR174+GC174+GN174+GY174+HJ174+HU174+IF174+IQ174+JB174+JM174+JX174+KI174+KT174+LE174+LP174</f>
        <v>0</v>
      </c>
      <c r="MD20" s="156" t="n">
        <f aca="false">J174+U174+AF174+AQ174+BB174+BM174+BX174+CI174+CT174+DE174+DP174+EA174+EL174+EW174+FH174+FS174+GD174+GO174+GZ174+HK174+HV174+IG174+IR174+JC174+JN174+JY174+KJ174+KU174+LF174+LQ174</f>
        <v>0</v>
      </c>
      <c r="ME20" s="156" t="n">
        <f aca="false">K174+V174+AG174+AR174+BC174+BN174+BY174+CJ174+CU174+DF174+DQ174+EB174+EM174+EX174+FI174+FT174+GE174+GP174+HA174+HL174+HW174+IH174+IS174+JD174+JO174+JZ174+KK174+KV174+LG174+LR174</f>
        <v>0</v>
      </c>
      <c r="MF20" s="156" t="n">
        <f aca="false">L174+W174+AH174+AS174+BD174+BO174+BZ174+CK174+CV174+DG174+DR174+EC174+EN174+EY174+FJ174+FU174+GF174+GQ174+HB174+HM174+HX174+II174+IT174+JE174+JP174+KA174+KL174+KW174+LH174+LS174</f>
        <v>0</v>
      </c>
      <c r="MG20" s="157" t="n">
        <f aca="false">M174+X174+AI174+AT174+BE174+BP174+CA174+CL174+CW174+DH174+DS174+ED174+EO174+EZ174+FK174+FV174+GG174+GR174+HC174+HN174+HY174+IJ174+IU174+JF174+JQ174+KB174+KM174+KX174+LI174+LT174</f>
        <v>0</v>
      </c>
    </row>
    <row r="21" customFormat="false" ht="13.8" hidden="false" customHeight="false" outlineLevel="0" collapsed="false">
      <c r="A21" s="29" t="n">
        <v>16</v>
      </c>
      <c r="B21" s="151" t="str">
        <f aca="false">'Datos Iniciales'!T24</f>
        <v>Alumno16</v>
      </c>
      <c r="C21" s="152" t="n">
        <f aca="false">SUMPRODUCT(D$4:M$4,D21:M21)</f>
        <v>9.55</v>
      </c>
      <c r="D21" s="146" t="n">
        <v>9</v>
      </c>
      <c r="E21" s="147" t="n">
        <v>10</v>
      </c>
      <c r="F21" s="147" t="n">
        <v>10</v>
      </c>
      <c r="G21" s="147" t="n">
        <v>10</v>
      </c>
      <c r="H21" s="147" t="n">
        <v>9</v>
      </c>
      <c r="I21" s="147" t="n">
        <v>9</v>
      </c>
      <c r="J21" s="147" t="n">
        <v>10</v>
      </c>
      <c r="K21" s="147"/>
      <c r="L21" s="147"/>
      <c r="M21" s="154"/>
      <c r="N21" s="152" t="n">
        <f aca="false">SUMPRODUCT(O$4:X$4,O21:X21)</f>
        <v>9.6</v>
      </c>
      <c r="O21" s="146" t="n">
        <v>9</v>
      </c>
      <c r="P21" s="147" t="n">
        <v>10</v>
      </c>
      <c r="Q21" s="147" t="n">
        <v>10</v>
      </c>
      <c r="R21" s="147" t="n">
        <v>10</v>
      </c>
      <c r="S21" s="147" t="n">
        <v>9</v>
      </c>
      <c r="T21" s="147"/>
      <c r="U21" s="147"/>
      <c r="V21" s="147"/>
      <c r="W21" s="147"/>
      <c r="X21" s="154"/>
      <c r="Y21" s="152" t="n">
        <f aca="false">SUMPRODUCT(Z$4:AI$4,Z21:AI21)</f>
        <v>5</v>
      </c>
      <c r="Z21" s="146" t="n">
        <v>5</v>
      </c>
      <c r="AA21" s="153" t="n">
        <v>5</v>
      </c>
      <c r="AB21" s="153" t="n">
        <v>5</v>
      </c>
      <c r="AC21" s="153" t="n">
        <v>5</v>
      </c>
      <c r="AD21" s="153" t="n">
        <v>5</v>
      </c>
      <c r="AE21" s="153"/>
      <c r="AF21" s="153"/>
      <c r="AG21" s="147"/>
      <c r="AH21" s="147"/>
      <c r="AI21" s="154"/>
      <c r="AJ21" s="152" t="n">
        <f aca="false">SUMPRODUCT(AK$4:AT$4,AK21:AT21)</f>
        <v>5</v>
      </c>
      <c r="AK21" s="146" t="n">
        <v>5</v>
      </c>
      <c r="AL21" s="153" t="n">
        <v>5</v>
      </c>
      <c r="AM21" s="153" t="n">
        <v>5</v>
      </c>
      <c r="AN21" s="153" t="n">
        <v>5</v>
      </c>
      <c r="AO21" s="153" t="n">
        <v>5</v>
      </c>
      <c r="AP21" s="147"/>
      <c r="AQ21" s="147"/>
      <c r="AR21" s="147"/>
      <c r="AS21" s="147"/>
      <c r="AT21" s="154"/>
      <c r="AU21" s="152" t="n">
        <f aca="false">SUMPRODUCT(AV$4:BE$4,AV21:BE21)</f>
        <v>9.7</v>
      </c>
      <c r="AV21" s="146" t="n">
        <v>9</v>
      </c>
      <c r="AW21" s="147" t="n">
        <v>10</v>
      </c>
      <c r="AX21" s="147" t="n">
        <v>10</v>
      </c>
      <c r="AY21" s="147" t="n">
        <v>10</v>
      </c>
      <c r="AZ21" s="147" t="n">
        <v>9</v>
      </c>
      <c r="BA21" s="147"/>
      <c r="BB21" s="147"/>
      <c r="BC21" s="147"/>
      <c r="BD21" s="147"/>
      <c r="BE21" s="154"/>
      <c r="BF21" s="152" t="n">
        <f aca="false">SUMPRODUCT(BG$4:BP$4,BG21:BP21)</f>
        <v>9.6</v>
      </c>
      <c r="BG21" s="146" t="n">
        <v>9</v>
      </c>
      <c r="BH21" s="147" t="n">
        <v>10</v>
      </c>
      <c r="BI21" s="147" t="n">
        <v>10</v>
      </c>
      <c r="BJ21" s="147" t="n">
        <v>10</v>
      </c>
      <c r="BK21" s="147" t="n">
        <v>9</v>
      </c>
      <c r="BL21" s="147"/>
      <c r="BM21" s="147"/>
      <c r="BN21" s="147"/>
      <c r="BO21" s="147"/>
      <c r="BP21" s="154"/>
      <c r="BQ21" s="152" t="n">
        <f aca="false">SUMPRODUCT(BR$4:CA$4,BR21:CA21)</f>
        <v>4.5</v>
      </c>
      <c r="BR21" s="146" t="n">
        <v>5</v>
      </c>
      <c r="BS21" s="147" t="n">
        <v>6</v>
      </c>
      <c r="BT21" s="147" t="n">
        <v>3</v>
      </c>
      <c r="BU21" s="147" t="n">
        <v>4</v>
      </c>
      <c r="BV21" s="147" t="n">
        <v>5</v>
      </c>
      <c r="BW21" s="147"/>
      <c r="BX21" s="147"/>
      <c r="BY21" s="147"/>
      <c r="BZ21" s="147"/>
      <c r="CA21" s="154"/>
      <c r="CB21" s="152" t="n">
        <f aca="false">SUMPRODUCT(CC$4:CL$4,CC21:CL21)</f>
        <v>0</v>
      </c>
      <c r="CC21" s="146"/>
      <c r="CD21" s="147"/>
      <c r="CE21" s="147"/>
      <c r="CF21" s="147"/>
      <c r="CG21" s="147"/>
      <c r="CH21" s="147"/>
      <c r="CI21" s="147"/>
      <c r="CJ21" s="147"/>
      <c r="CK21" s="147"/>
      <c r="CL21" s="154"/>
      <c r="CM21" s="152" t="n">
        <f aca="false">SUMPRODUCT(CN$4:CW$4,CN21:CW21)</f>
        <v>0</v>
      </c>
      <c r="CN21" s="146"/>
      <c r="CO21" s="147"/>
      <c r="CP21" s="147"/>
      <c r="CQ21" s="147"/>
      <c r="CR21" s="147"/>
      <c r="CS21" s="147"/>
      <c r="CT21" s="147"/>
      <c r="CU21" s="147"/>
      <c r="CV21" s="147"/>
      <c r="CW21" s="154"/>
      <c r="CX21" s="152" t="n">
        <f aca="false">SUMPRODUCT(CY$4:DH$4,CY21:DH21)</f>
        <v>0</v>
      </c>
      <c r="CY21" s="146"/>
      <c r="CZ21" s="147"/>
      <c r="DA21" s="147"/>
      <c r="DB21" s="147"/>
      <c r="DC21" s="147"/>
      <c r="DD21" s="147"/>
      <c r="DE21" s="147"/>
      <c r="DF21" s="147"/>
      <c r="DG21" s="147"/>
      <c r="DH21" s="154"/>
      <c r="DI21" s="152" t="n">
        <f aca="false">SUMPRODUCT(DJ$4:DS$4,DJ21:DS21)</f>
        <v>0</v>
      </c>
      <c r="DJ21" s="146"/>
      <c r="DK21" s="147"/>
      <c r="DL21" s="147"/>
      <c r="DM21" s="147"/>
      <c r="DN21" s="147"/>
      <c r="DO21" s="147"/>
      <c r="DP21" s="147"/>
      <c r="DQ21" s="147"/>
      <c r="DR21" s="147"/>
      <c r="DS21" s="154"/>
      <c r="DT21" s="152" t="n">
        <f aca="false">SUMPRODUCT(DU$4:ED$4,DU21:ED21)</f>
        <v>0</v>
      </c>
      <c r="DU21" s="146"/>
      <c r="DV21" s="147"/>
      <c r="DW21" s="147"/>
      <c r="DX21" s="147"/>
      <c r="DY21" s="147"/>
      <c r="DZ21" s="147"/>
      <c r="EA21" s="147"/>
      <c r="EB21" s="147"/>
      <c r="EC21" s="147"/>
      <c r="ED21" s="154"/>
      <c r="EE21" s="152" t="n">
        <f aca="false">SUMPRODUCT(EF$4:EO$4,EF21:EO21)</f>
        <v>0</v>
      </c>
      <c r="EF21" s="146"/>
      <c r="EG21" s="147"/>
      <c r="EH21" s="147"/>
      <c r="EI21" s="147"/>
      <c r="EJ21" s="147"/>
      <c r="EK21" s="147"/>
      <c r="EL21" s="147"/>
      <c r="EM21" s="147"/>
      <c r="EN21" s="147"/>
      <c r="EO21" s="154"/>
      <c r="EP21" s="152" t="n">
        <f aca="false">SUMPRODUCT(EQ$4:EZ$4,EQ21:EZ21)</f>
        <v>0</v>
      </c>
      <c r="EQ21" s="146"/>
      <c r="ER21" s="147"/>
      <c r="ES21" s="147"/>
      <c r="ET21" s="147"/>
      <c r="EU21" s="147"/>
      <c r="EV21" s="147"/>
      <c r="EW21" s="147"/>
      <c r="EX21" s="147"/>
      <c r="EY21" s="147"/>
      <c r="EZ21" s="154"/>
      <c r="FA21" s="152" t="n">
        <f aca="false">SUMPRODUCT(FB$4:FK$4,FB21:FK21)</f>
        <v>0</v>
      </c>
      <c r="FB21" s="146"/>
      <c r="FC21" s="147"/>
      <c r="FD21" s="147"/>
      <c r="FE21" s="147"/>
      <c r="FF21" s="147"/>
      <c r="FG21" s="147"/>
      <c r="FH21" s="147"/>
      <c r="FI21" s="147"/>
      <c r="FJ21" s="147"/>
      <c r="FK21" s="154"/>
      <c r="FL21" s="152" t="n">
        <f aca="false">SUMPRODUCT(FM$4:FV$4,FM21:FV21)</f>
        <v>0</v>
      </c>
      <c r="FM21" s="146"/>
      <c r="FN21" s="147"/>
      <c r="FO21" s="147"/>
      <c r="FP21" s="147"/>
      <c r="FQ21" s="147"/>
      <c r="FR21" s="147"/>
      <c r="FS21" s="147"/>
      <c r="FT21" s="147"/>
      <c r="FU21" s="147"/>
      <c r="FV21" s="154"/>
      <c r="FW21" s="152" t="n">
        <f aca="false">SUMPRODUCT(FX$4:GG$4,FX21:GG21)</f>
        <v>0</v>
      </c>
      <c r="FX21" s="146"/>
      <c r="FY21" s="147"/>
      <c r="FZ21" s="147"/>
      <c r="GA21" s="147"/>
      <c r="GB21" s="147"/>
      <c r="GC21" s="147"/>
      <c r="GD21" s="147"/>
      <c r="GE21" s="147"/>
      <c r="GF21" s="147"/>
      <c r="GG21" s="154"/>
      <c r="GH21" s="152" t="n">
        <f aca="false">SUMPRODUCT(GI$4:GR$4,GI21:GR21)</f>
        <v>0</v>
      </c>
      <c r="GI21" s="146"/>
      <c r="GJ21" s="147"/>
      <c r="GK21" s="147"/>
      <c r="GL21" s="147"/>
      <c r="GM21" s="147"/>
      <c r="GN21" s="147"/>
      <c r="GO21" s="147"/>
      <c r="GP21" s="147"/>
      <c r="GQ21" s="147"/>
      <c r="GR21" s="154"/>
      <c r="GS21" s="152" t="n">
        <f aca="false">SUMPRODUCT(GT$4:HC$4,GT21:HC21)</f>
        <v>0</v>
      </c>
      <c r="GT21" s="146"/>
      <c r="GU21" s="147"/>
      <c r="GV21" s="147"/>
      <c r="GW21" s="147"/>
      <c r="GX21" s="147"/>
      <c r="GY21" s="147"/>
      <c r="GZ21" s="147"/>
      <c r="HA21" s="147"/>
      <c r="HB21" s="147"/>
      <c r="HC21" s="154"/>
      <c r="HD21" s="152" t="n">
        <f aca="false">SUMPRODUCT(HE$4:HN$4,HE21:HN21)</f>
        <v>0</v>
      </c>
      <c r="HE21" s="146"/>
      <c r="HF21" s="147"/>
      <c r="HG21" s="147"/>
      <c r="HH21" s="147"/>
      <c r="HI21" s="147"/>
      <c r="HJ21" s="147"/>
      <c r="HK21" s="147"/>
      <c r="HL21" s="147"/>
      <c r="HM21" s="147"/>
      <c r="HN21" s="154"/>
      <c r="HO21" s="152" t="n">
        <f aca="false">SUMPRODUCT(HP$4:HY$4,HP21:HY21)</f>
        <v>0</v>
      </c>
      <c r="HP21" s="146"/>
      <c r="HQ21" s="147"/>
      <c r="HR21" s="147"/>
      <c r="HS21" s="147"/>
      <c r="HT21" s="147"/>
      <c r="HU21" s="147"/>
      <c r="HV21" s="147"/>
      <c r="HW21" s="147"/>
      <c r="HX21" s="147"/>
      <c r="HY21" s="154"/>
      <c r="HZ21" s="152" t="n">
        <f aca="false">SUMPRODUCT(IA$4:IJ$4,IA21:IJ21)</f>
        <v>0</v>
      </c>
      <c r="IA21" s="146"/>
      <c r="IB21" s="147"/>
      <c r="IC21" s="147"/>
      <c r="ID21" s="147"/>
      <c r="IE21" s="147"/>
      <c r="IF21" s="147"/>
      <c r="IG21" s="147"/>
      <c r="IH21" s="147"/>
      <c r="II21" s="147"/>
      <c r="IJ21" s="154"/>
      <c r="IK21" s="152" t="n">
        <f aca="false">SUMPRODUCT(IL$4:IU$4,IL21:IU21)</f>
        <v>0</v>
      </c>
      <c r="IL21" s="146"/>
      <c r="IM21" s="147"/>
      <c r="IN21" s="147"/>
      <c r="IO21" s="147"/>
      <c r="IP21" s="147"/>
      <c r="IQ21" s="147"/>
      <c r="IR21" s="147"/>
      <c r="IS21" s="147"/>
      <c r="IT21" s="147"/>
      <c r="IU21" s="154"/>
      <c r="IV21" s="152" t="n">
        <f aca="false">SUMPRODUCT(IW$4:JF$4,IW21:JF21)</f>
        <v>0</v>
      </c>
      <c r="IW21" s="146"/>
      <c r="IX21" s="147"/>
      <c r="IY21" s="147"/>
      <c r="IZ21" s="147"/>
      <c r="JA21" s="147"/>
      <c r="JB21" s="147"/>
      <c r="JC21" s="147"/>
      <c r="JD21" s="147"/>
      <c r="JE21" s="147"/>
      <c r="JF21" s="154"/>
      <c r="JG21" s="152" t="n">
        <f aca="false">SUMPRODUCT(JH$4:JQ$4,JH21:JQ21)</f>
        <v>0</v>
      </c>
      <c r="JH21" s="146"/>
      <c r="JI21" s="147"/>
      <c r="JJ21" s="147"/>
      <c r="JK21" s="147"/>
      <c r="JL21" s="147"/>
      <c r="JM21" s="147"/>
      <c r="JN21" s="147"/>
      <c r="JO21" s="147"/>
      <c r="JP21" s="147"/>
      <c r="JQ21" s="154"/>
      <c r="JR21" s="152" t="n">
        <f aca="false">SUMPRODUCT(JS$4:KB$4,JS21:KB21)</f>
        <v>0</v>
      </c>
      <c r="JS21" s="146"/>
      <c r="JT21" s="147"/>
      <c r="JU21" s="147"/>
      <c r="JV21" s="147"/>
      <c r="JW21" s="147"/>
      <c r="JX21" s="147"/>
      <c r="JY21" s="147"/>
      <c r="JZ21" s="147"/>
      <c r="KA21" s="147"/>
      <c r="KB21" s="154"/>
      <c r="KC21" s="152" t="n">
        <f aca="false">SUMPRODUCT(KD$4:KM$4,KD21:KM21)</f>
        <v>0</v>
      </c>
      <c r="KD21" s="146"/>
      <c r="KE21" s="147"/>
      <c r="KF21" s="147"/>
      <c r="KG21" s="147"/>
      <c r="KH21" s="147"/>
      <c r="KI21" s="147"/>
      <c r="KJ21" s="147"/>
      <c r="KK21" s="147"/>
      <c r="KL21" s="147"/>
      <c r="KM21" s="154"/>
      <c r="KN21" s="152" t="n">
        <f aca="false">SUMPRODUCT(KO$4:KX$4,KO21:KX21)</f>
        <v>0</v>
      </c>
      <c r="KO21" s="146"/>
      <c r="KP21" s="147"/>
      <c r="KQ21" s="147"/>
      <c r="KR21" s="147"/>
      <c r="KS21" s="147"/>
      <c r="KT21" s="147"/>
      <c r="KU21" s="147"/>
      <c r="KV21" s="147"/>
      <c r="KW21" s="147"/>
      <c r="KX21" s="154"/>
      <c r="KY21" s="152" t="n">
        <f aca="false">SUMPRODUCT(KZ$4:LI$4,KZ21:LI21)</f>
        <v>0</v>
      </c>
      <c r="KZ21" s="146"/>
      <c r="LA21" s="147"/>
      <c r="LB21" s="147"/>
      <c r="LC21" s="147"/>
      <c r="LD21" s="147"/>
      <c r="LE21" s="147"/>
      <c r="LF21" s="147"/>
      <c r="LG21" s="147"/>
      <c r="LH21" s="147"/>
      <c r="LI21" s="154"/>
      <c r="LJ21" s="152" t="n">
        <f aca="false">SUMPRODUCT(LK$4:LT$4,LK21:LT21)</f>
        <v>0</v>
      </c>
      <c r="LK21" s="146"/>
      <c r="LL21" s="147"/>
      <c r="LM21" s="147"/>
      <c r="LN21" s="147"/>
      <c r="LO21" s="147"/>
      <c r="LP21" s="147"/>
      <c r="LQ21" s="147"/>
      <c r="LR21" s="147"/>
      <c r="LS21" s="147"/>
      <c r="LT21" s="154"/>
      <c r="LW21" s="152"/>
      <c r="LX21" s="155" t="n">
        <f aca="false">D175+O175+Z175+AK175+AV175+BG175+BR175+CC175+CN175+CY175+DJ175+DU175+EF175+EQ175+FB175+FM175+FX175+GI175+GT175+HE175+HP175+IA175+IL175+IW175+JH175+JS175+KD175+KO175+KZ175+LK175</f>
        <v>7.6375</v>
      </c>
      <c r="LY21" s="156" t="n">
        <f aca="false">E175+P175+AA175+AL175+AW175+BH175+BS175+CD175+CO175+CZ175+DK175+DV175+EG175+ER175+FC175+FN175+FY175+GJ175+GU175+HF175+HQ175+IB175+IM175+IX175+JI175+JT175+KE175+KP175+LA175+LL175</f>
        <v>7.25</v>
      </c>
      <c r="LZ21" s="156" t="n">
        <f aca="false">F175+Q175+AB175+AM175+AX175+BI175+BT175+CE175+CP175+DA175+DL175+DW175+EH175+ES175+FD175+FO175+FZ175+GK175+GV175+HG175+HR175+IC175+IN175+IY175+JJ175+JU175+KF175+KQ175+LB175+LM175</f>
        <v>6.85</v>
      </c>
      <c r="MA21" s="156" t="n">
        <f aca="false">G175+R175+AC175+AN175+AY175+BJ175+BU175+CF175+CQ175+DB175+DM175+DX175+EI175+ET175+FE175+FP175+GA175+GL175+GW175+HH175+HS175+ID175+IO175+IZ175+JK175+JV175+KG175+KR175+LC175+LN175</f>
        <v>6.96</v>
      </c>
      <c r="MB21" s="156" t="n">
        <f aca="false">H175+S175+AD175+AO175+AZ175+BK175+BV175+CG175+CR175+DC175+DN175+DY175+EJ175+EU175+FF175+FQ175+GB175+GM175+GX175+HI175+HT175+IE175+IP175+JA175+JL175+JW175+KH175+KS175+LD175+LO175</f>
        <v>0</v>
      </c>
      <c r="MC21" s="156" t="n">
        <f aca="false">I175+T175+AE175+AP175+BA175+BL175+BW175+CH175+CS175+DD175+DO175+DZ175+EK175+EV175+FG175+FR175+GC175+GN175+GY175+HJ175+HU175+IF175+IQ175+JB175+JM175+JX175+KI175+KT175+LE175+LP175</f>
        <v>0</v>
      </c>
      <c r="MD21" s="156" t="n">
        <f aca="false">J175+U175+AF175+AQ175+BB175+BM175+BX175+CI175+CT175+DE175+DP175+EA175+EL175+EW175+FH175+FS175+GD175+GO175+GZ175+HK175+HV175+IG175+IR175+JC175+JN175+JY175+KJ175+KU175+LF175+LQ175</f>
        <v>0</v>
      </c>
      <c r="ME21" s="156" t="n">
        <f aca="false">K175+V175+AG175+AR175+BC175+BN175+BY175+CJ175+CU175+DF175+DQ175+EB175+EM175+EX175+FI175+FT175+GE175+GP175+HA175+HL175+HW175+IH175+IS175+JD175+JO175+JZ175+KK175+KV175+LG175+LR175</f>
        <v>0</v>
      </c>
      <c r="MF21" s="156" t="n">
        <f aca="false">L175+W175+AH175+AS175+BD175+BO175+BZ175+CK175+CV175+DG175+DR175+EC175+EN175+EY175+FJ175+FU175+GF175+GQ175+HB175+HM175+HX175+II175+IT175+JE175+JP175+KA175+KL175+KW175+LH175+LS175</f>
        <v>0</v>
      </c>
      <c r="MG21" s="157" t="n">
        <f aca="false">M175+X175+AI175+AT175+BE175+BP175+CA175+CL175+CW175+DH175+DS175+ED175+EO175+EZ175+FK175+FV175+GG175+GR175+HC175+HN175+HY175+IJ175+IU175+JF175+JQ175+KB175+KM175+KX175+LI175+LT175</f>
        <v>0</v>
      </c>
    </row>
    <row r="22" customFormat="false" ht="13.8" hidden="false" customHeight="false" outlineLevel="0" collapsed="false">
      <c r="A22" s="29" t="n">
        <v>17</v>
      </c>
      <c r="B22" s="151" t="str">
        <f aca="false">'Datos Iniciales'!T25</f>
        <v>Alumno17</v>
      </c>
      <c r="C22" s="152" t="n">
        <f aca="false">SUMPRODUCT(D$4:M$4,D22:M22)</f>
        <v>8.85</v>
      </c>
      <c r="D22" s="146" t="n">
        <v>9</v>
      </c>
      <c r="E22" s="147" t="n">
        <v>9</v>
      </c>
      <c r="F22" s="147" t="n">
        <v>9</v>
      </c>
      <c r="G22" s="147" t="n">
        <v>9</v>
      </c>
      <c r="H22" s="147" t="n">
        <v>9</v>
      </c>
      <c r="I22" s="147" t="n">
        <v>8</v>
      </c>
      <c r="J22" s="147" t="n">
        <v>9</v>
      </c>
      <c r="K22" s="147"/>
      <c r="L22" s="147"/>
      <c r="M22" s="154"/>
      <c r="N22" s="152" t="n">
        <f aca="false">SUMPRODUCT(O$4:X$4,O22:X22)</f>
        <v>9</v>
      </c>
      <c r="O22" s="146" t="n">
        <v>9</v>
      </c>
      <c r="P22" s="147" t="n">
        <v>9</v>
      </c>
      <c r="Q22" s="147" t="n">
        <v>9</v>
      </c>
      <c r="R22" s="147" t="n">
        <v>9</v>
      </c>
      <c r="S22" s="147" t="n">
        <v>9</v>
      </c>
      <c r="T22" s="147"/>
      <c r="U22" s="147"/>
      <c r="V22" s="147"/>
      <c r="W22" s="147"/>
      <c r="X22" s="154"/>
      <c r="Y22" s="152" t="n">
        <f aca="false">SUMPRODUCT(Z$4:AI$4,Z22:AI22)</f>
        <v>5.2</v>
      </c>
      <c r="Z22" s="146" t="n">
        <v>6</v>
      </c>
      <c r="AA22" s="147" t="n">
        <v>7</v>
      </c>
      <c r="AB22" s="147" t="n">
        <v>4</v>
      </c>
      <c r="AC22" s="147" t="n">
        <v>4</v>
      </c>
      <c r="AD22" s="147" t="n">
        <v>5</v>
      </c>
      <c r="AE22" s="147"/>
      <c r="AF22" s="147"/>
      <c r="AG22" s="147"/>
      <c r="AH22" s="147"/>
      <c r="AI22" s="154"/>
      <c r="AJ22" s="152" t="n">
        <f aca="false">SUMPRODUCT(AK$4:AT$4,AK22:AT22)</f>
        <v>5.2</v>
      </c>
      <c r="AK22" s="146" t="n">
        <v>6</v>
      </c>
      <c r="AL22" s="147" t="n">
        <v>7</v>
      </c>
      <c r="AM22" s="147" t="n">
        <v>4</v>
      </c>
      <c r="AN22" s="147" t="n">
        <v>4</v>
      </c>
      <c r="AO22" s="147" t="n">
        <v>5</v>
      </c>
      <c r="AP22" s="147"/>
      <c r="AQ22" s="147"/>
      <c r="AR22" s="147"/>
      <c r="AS22" s="147"/>
      <c r="AT22" s="154"/>
      <c r="AU22" s="152" t="n">
        <f aca="false">SUMPRODUCT(AV$4:BE$4,AV22:BE22)</f>
        <v>9</v>
      </c>
      <c r="AV22" s="146" t="n">
        <v>9</v>
      </c>
      <c r="AW22" s="147" t="n">
        <v>9</v>
      </c>
      <c r="AX22" s="147" t="n">
        <v>9</v>
      </c>
      <c r="AY22" s="147" t="n">
        <v>9</v>
      </c>
      <c r="AZ22" s="147" t="n">
        <v>9</v>
      </c>
      <c r="BA22" s="147"/>
      <c r="BB22" s="147"/>
      <c r="BC22" s="147"/>
      <c r="BD22" s="147"/>
      <c r="BE22" s="154"/>
      <c r="BF22" s="152" t="n">
        <f aca="false">SUMPRODUCT(BG$4:BP$4,BG22:BP22)</f>
        <v>9</v>
      </c>
      <c r="BG22" s="146" t="n">
        <v>9</v>
      </c>
      <c r="BH22" s="147" t="n">
        <v>9</v>
      </c>
      <c r="BI22" s="147" t="n">
        <v>9</v>
      </c>
      <c r="BJ22" s="147" t="n">
        <v>9</v>
      </c>
      <c r="BK22" s="147" t="n">
        <v>9</v>
      </c>
      <c r="BL22" s="147"/>
      <c r="BM22" s="147"/>
      <c r="BN22" s="147"/>
      <c r="BO22" s="147"/>
      <c r="BP22" s="154"/>
      <c r="BQ22" s="152" t="n">
        <f aca="false">SUMPRODUCT(BR$4:CA$4,BR22:CA22)</f>
        <v>5</v>
      </c>
      <c r="BR22" s="146" t="n">
        <v>5</v>
      </c>
      <c r="BS22" s="153" t="n">
        <v>5</v>
      </c>
      <c r="BT22" s="153" t="n">
        <v>5</v>
      </c>
      <c r="BU22" s="153" t="n">
        <v>5</v>
      </c>
      <c r="BV22" s="153" t="n">
        <v>5</v>
      </c>
      <c r="BW22" s="147"/>
      <c r="BX22" s="147"/>
      <c r="BY22" s="147"/>
      <c r="BZ22" s="147"/>
      <c r="CA22" s="154"/>
      <c r="CB22" s="152" t="n">
        <f aca="false">SUMPRODUCT(CC$4:CL$4,CC22:CL22)</f>
        <v>0</v>
      </c>
      <c r="CC22" s="146"/>
      <c r="CD22" s="147"/>
      <c r="CE22" s="147"/>
      <c r="CF22" s="147"/>
      <c r="CG22" s="147"/>
      <c r="CH22" s="147"/>
      <c r="CI22" s="147"/>
      <c r="CJ22" s="147"/>
      <c r="CK22" s="147"/>
      <c r="CL22" s="154"/>
      <c r="CM22" s="152" t="n">
        <f aca="false">SUMPRODUCT(CN$4:CW$4,CN22:CW22)</f>
        <v>0</v>
      </c>
      <c r="CN22" s="146"/>
      <c r="CO22" s="147"/>
      <c r="CP22" s="147"/>
      <c r="CQ22" s="147"/>
      <c r="CR22" s="147"/>
      <c r="CS22" s="147"/>
      <c r="CT22" s="147"/>
      <c r="CU22" s="147"/>
      <c r="CV22" s="147"/>
      <c r="CW22" s="154"/>
      <c r="CX22" s="152" t="n">
        <f aca="false">SUMPRODUCT(CY$4:DH$4,CY22:DH22)</f>
        <v>0</v>
      </c>
      <c r="CY22" s="146"/>
      <c r="CZ22" s="147"/>
      <c r="DA22" s="147"/>
      <c r="DB22" s="147"/>
      <c r="DC22" s="147"/>
      <c r="DD22" s="147"/>
      <c r="DE22" s="147"/>
      <c r="DF22" s="147"/>
      <c r="DG22" s="147"/>
      <c r="DH22" s="154"/>
      <c r="DI22" s="152" t="n">
        <f aca="false">SUMPRODUCT(DJ$4:DS$4,DJ22:DS22)</f>
        <v>0</v>
      </c>
      <c r="DJ22" s="146"/>
      <c r="DK22" s="147"/>
      <c r="DL22" s="147"/>
      <c r="DM22" s="147"/>
      <c r="DN22" s="147"/>
      <c r="DO22" s="147"/>
      <c r="DP22" s="147"/>
      <c r="DQ22" s="147"/>
      <c r="DR22" s="147"/>
      <c r="DS22" s="154"/>
      <c r="DT22" s="152" t="n">
        <f aca="false">SUMPRODUCT(DU$4:ED$4,DU22:ED22)</f>
        <v>0</v>
      </c>
      <c r="DU22" s="146"/>
      <c r="DV22" s="147"/>
      <c r="DW22" s="147"/>
      <c r="DX22" s="147"/>
      <c r="DY22" s="147"/>
      <c r="DZ22" s="147"/>
      <c r="EA22" s="147"/>
      <c r="EB22" s="147"/>
      <c r="EC22" s="147"/>
      <c r="ED22" s="154"/>
      <c r="EE22" s="152" t="n">
        <f aca="false">SUMPRODUCT(EF$4:EO$4,EF22:EO22)</f>
        <v>0</v>
      </c>
      <c r="EF22" s="146"/>
      <c r="EG22" s="147"/>
      <c r="EH22" s="147"/>
      <c r="EI22" s="147"/>
      <c r="EJ22" s="147"/>
      <c r="EK22" s="147"/>
      <c r="EL22" s="147"/>
      <c r="EM22" s="147"/>
      <c r="EN22" s="147"/>
      <c r="EO22" s="154"/>
      <c r="EP22" s="152" t="n">
        <f aca="false">SUMPRODUCT(EQ$4:EZ$4,EQ22:EZ22)</f>
        <v>0</v>
      </c>
      <c r="EQ22" s="146"/>
      <c r="ER22" s="147"/>
      <c r="ES22" s="147"/>
      <c r="ET22" s="147"/>
      <c r="EU22" s="147"/>
      <c r="EV22" s="147"/>
      <c r="EW22" s="147"/>
      <c r="EX22" s="147"/>
      <c r="EY22" s="147"/>
      <c r="EZ22" s="154"/>
      <c r="FA22" s="152" t="n">
        <f aca="false">SUMPRODUCT(FB$4:FK$4,FB22:FK22)</f>
        <v>0</v>
      </c>
      <c r="FB22" s="146"/>
      <c r="FC22" s="147"/>
      <c r="FD22" s="147"/>
      <c r="FE22" s="147"/>
      <c r="FF22" s="147"/>
      <c r="FG22" s="147"/>
      <c r="FH22" s="147"/>
      <c r="FI22" s="147"/>
      <c r="FJ22" s="147"/>
      <c r="FK22" s="154"/>
      <c r="FL22" s="152" t="n">
        <f aca="false">SUMPRODUCT(FM$4:FV$4,FM22:FV22)</f>
        <v>0</v>
      </c>
      <c r="FM22" s="146"/>
      <c r="FN22" s="147"/>
      <c r="FO22" s="147"/>
      <c r="FP22" s="147"/>
      <c r="FQ22" s="147"/>
      <c r="FR22" s="147"/>
      <c r="FS22" s="147"/>
      <c r="FT22" s="147"/>
      <c r="FU22" s="147"/>
      <c r="FV22" s="154"/>
      <c r="FW22" s="152" t="n">
        <f aca="false">SUMPRODUCT(FX$4:GG$4,FX22:GG22)</f>
        <v>0</v>
      </c>
      <c r="FX22" s="146"/>
      <c r="FY22" s="147"/>
      <c r="FZ22" s="147"/>
      <c r="GA22" s="147"/>
      <c r="GB22" s="147"/>
      <c r="GC22" s="147"/>
      <c r="GD22" s="147"/>
      <c r="GE22" s="147"/>
      <c r="GF22" s="147"/>
      <c r="GG22" s="154"/>
      <c r="GH22" s="152" t="n">
        <f aca="false">SUMPRODUCT(GI$4:GR$4,GI22:GR22)</f>
        <v>0</v>
      </c>
      <c r="GI22" s="146"/>
      <c r="GJ22" s="147"/>
      <c r="GK22" s="147"/>
      <c r="GL22" s="147"/>
      <c r="GM22" s="147"/>
      <c r="GN22" s="147"/>
      <c r="GO22" s="147"/>
      <c r="GP22" s="147"/>
      <c r="GQ22" s="147"/>
      <c r="GR22" s="154"/>
      <c r="GS22" s="152" t="n">
        <f aca="false">SUMPRODUCT(GT$4:HC$4,GT22:HC22)</f>
        <v>0</v>
      </c>
      <c r="GT22" s="146"/>
      <c r="GU22" s="147"/>
      <c r="GV22" s="147"/>
      <c r="GW22" s="147"/>
      <c r="GX22" s="147"/>
      <c r="GY22" s="147"/>
      <c r="GZ22" s="147"/>
      <c r="HA22" s="147"/>
      <c r="HB22" s="147"/>
      <c r="HC22" s="154"/>
      <c r="HD22" s="152" t="n">
        <f aca="false">SUMPRODUCT(HE$4:HN$4,HE22:HN22)</f>
        <v>0</v>
      </c>
      <c r="HE22" s="146"/>
      <c r="HF22" s="147"/>
      <c r="HG22" s="147"/>
      <c r="HH22" s="147"/>
      <c r="HI22" s="147"/>
      <c r="HJ22" s="147"/>
      <c r="HK22" s="147"/>
      <c r="HL22" s="147"/>
      <c r="HM22" s="147"/>
      <c r="HN22" s="154"/>
      <c r="HO22" s="152" t="n">
        <f aca="false">SUMPRODUCT(HP$4:HY$4,HP22:HY22)</f>
        <v>0</v>
      </c>
      <c r="HP22" s="146"/>
      <c r="HQ22" s="147"/>
      <c r="HR22" s="147"/>
      <c r="HS22" s="147"/>
      <c r="HT22" s="147"/>
      <c r="HU22" s="147"/>
      <c r="HV22" s="147"/>
      <c r="HW22" s="147"/>
      <c r="HX22" s="147"/>
      <c r="HY22" s="154"/>
      <c r="HZ22" s="152" t="n">
        <f aca="false">SUMPRODUCT(IA$4:IJ$4,IA22:IJ22)</f>
        <v>0</v>
      </c>
      <c r="IA22" s="146"/>
      <c r="IB22" s="147"/>
      <c r="IC22" s="147"/>
      <c r="ID22" s="147"/>
      <c r="IE22" s="147"/>
      <c r="IF22" s="147"/>
      <c r="IG22" s="147"/>
      <c r="IH22" s="147"/>
      <c r="II22" s="147"/>
      <c r="IJ22" s="154"/>
      <c r="IK22" s="152" t="n">
        <f aca="false">SUMPRODUCT(IL$4:IU$4,IL22:IU22)</f>
        <v>0</v>
      </c>
      <c r="IL22" s="146"/>
      <c r="IM22" s="147"/>
      <c r="IN22" s="147"/>
      <c r="IO22" s="147"/>
      <c r="IP22" s="147"/>
      <c r="IQ22" s="147"/>
      <c r="IR22" s="147"/>
      <c r="IS22" s="147"/>
      <c r="IT22" s="147"/>
      <c r="IU22" s="154"/>
      <c r="IV22" s="152" t="n">
        <f aca="false">SUMPRODUCT(IW$4:JF$4,IW22:JF22)</f>
        <v>0</v>
      </c>
      <c r="IW22" s="146"/>
      <c r="IX22" s="147"/>
      <c r="IY22" s="147"/>
      <c r="IZ22" s="147"/>
      <c r="JA22" s="147"/>
      <c r="JB22" s="147"/>
      <c r="JC22" s="147"/>
      <c r="JD22" s="147"/>
      <c r="JE22" s="147"/>
      <c r="JF22" s="154"/>
      <c r="JG22" s="152" t="n">
        <f aca="false">SUMPRODUCT(JH$4:JQ$4,JH22:JQ22)</f>
        <v>0</v>
      </c>
      <c r="JH22" s="146"/>
      <c r="JI22" s="147"/>
      <c r="JJ22" s="147"/>
      <c r="JK22" s="147"/>
      <c r="JL22" s="147"/>
      <c r="JM22" s="147"/>
      <c r="JN22" s="147"/>
      <c r="JO22" s="147"/>
      <c r="JP22" s="147"/>
      <c r="JQ22" s="154"/>
      <c r="JR22" s="152" t="n">
        <f aca="false">SUMPRODUCT(JS$4:KB$4,JS22:KB22)</f>
        <v>0</v>
      </c>
      <c r="JS22" s="146"/>
      <c r="JT22" s="147"/>
      <c r="JU22" s="147"/>
      <c r="JV22" s="147"/>
      <c r="JW22" s="147"/>
      <c r="JX22" s="147"/>
      <c r="JY22" s="147"/>
      <c r="JZ22" s="147"/>
      <c r="KA22" s="147"/>
      <c r="KB22" s="154"/>
      <c r="KC22" s="152" t="n">
        <f aca="false">SUMPRODUCT(KD$4:KM$4,KD22:KM22)</f>
        <v>0</v>
      </c>
      <c r="KD22" s="146"/>
      <c r="KE22" s="147"/>
      <c r="KF22" s="147"/>
      <c r="KG22" s="147"/>
      <c r="KH22" s="147"/>
      <c r="KI22" s="147"/>
      <c r="KJ22" s="147"/>
      <c r="KK22" s="147"/>
      <c r="KL22" s="147"/>
      <c r="KM22" s="154"/>
      <c r="KN22" s="152" t="n">
        <f aca="false">SUMPRODUCT(KO$4:KX$4,KO22:KX22)</f>
        <v>0</v>
      </c>
      <c r="KO22" s="146"/>
      <c r="KP22" s="147"/>
      <c r="KQ22" s="147"/>
      <c r="KR22" s="147"/>
      <c r="KS22" s="147"/>
      <c r="KT22" s="147"/>
      <c r="KU22" s="147"/>
      <c r="KV22" s="147"/>
      <c r="KW22" s="147"/>
      <c r="KX22" s="154"/>
      <c r="KY22" s="152" t="n">
        <f aca="false">SUMPRODUCT(KZ$4:LI$4,KZ22:LI22)</f>
        <v>0</v>
      </c>
      <c r="KZ22" s="146"/>
      <c r="LA22" s="147"/>
      <c r="LB22" s="147"/>
      <c r="LC22" s="147"/>
      <c r="LD22" s="147"/>
      <c r="LE22" s="147"/>
      <c r="LF22" s="147"/>
      <c r="LG22" s="147"/>
      <c r="LH22" s="147"/>
      <c r="LI22" s="154"/>
      <c r="LJ22" s="152" t="n">
        <f aca="false">SUMPRODUCT(LK$4:LT$4,LK22:LT22)</f>
        <v>0</v>
      </c>
      <c r="LK22" s="146"/>
      <c r="LL22" s="147"/>
      <c r="LM22" s="147"/>
      <c r="LN22" s="147"/>
      <c r="LO22" s="147"/>
      <c r="LP22" s="147"/>
      <c r="LQ22" s="147"/>
      <c r="LR22" s="147"/>
      <c r="LS22" s="147"/>
      <c r="LT22" s="154"/>
      <c r="LW22" s="152"/>
      <c r="LX22" s="155" t="n">
        <f aca="false">D176+O176+Z176+AK176+AV176+BG176+BR176+CC176+CN176+CY176+DJ176+DU176+EF176+EQ176+FB176+FM176+FX176+GI176+GT176+HE176+HP176+IA176+IL176+IW176+JH176+JS176+KD176+KO176+KZ176+LK176</f>
        <v>7.9125</v>
      </c>
      <c r="LY22" s="156" t="n">
        <f aca="false">E176+P176+AA176+AL176+AW176+BH176+BS176+CD176+CO176+CZ176+DK176+DV176+EG176+ER176+FC176+FN176+FY176+GJ176+GU176+HF176+HQ176+IB176+IM176+IX176+JI176+JT176+KE176+KP176+LA176+LL176</f>
        <v>6.9</v>
      </c>
      <c r="LZ22" s="156" t="n">
        <f aca="false">F176+Q176+AB176+AM176+AX176+BI176+BT176+CE176+CP176+DA176+DL176+DW176+EH176+ES176+FD176+FO176+FZ176+GK176+GV176+HG176+HR176+IC176+IN176+IY176+JJ176+JU176+KF176+KQ176+LB176+LM176</f>
        <v>6.25</v>
      </c>
      <c r="MA22" s="156" t="n">
        <f aca="false">G176+R176+AC176+AN176+AY176+BJ176+BU176+CF176+CQ176+DB176+DM176+DX176+EI176+ET176+FE176+FP176+GA176+GL176+GW176+HH176+HS176+ID176+IO176+IZ176+JK176+JV176+KG176+KR176+LC176+LN176</f>
        <v>7</v>
      </c>
      <c r="MB22" s="156" t="n">
        <f aca="false">H176+S176+AD176+AO176+AZ176+BK176+BV176+CG176+CR176+DC176+DN176+DY176+EJ176+EU176+FF176+FQ176+GB176+GM176+GX176+HI176+HT176+IE176+IP176+JA176+JL176+JW176+KH176+KS176+LD176+LO176</f>
        <v>0</v>
      </c>
      <c r="MC22" s="156" t="n">
        <f aca="false">I176+T176+AE176+AP176+BA176+BL176+BW176+CH176+CS176+DD176+DO176+DZ176+EK176+EV176+FG176+FR176+GC176+GN176+GY176+HJ176+HU176+IF176+IQ176+JB176+JM176+JX176+KI176+KT176+LE176+LP176</f>
        <v>0</v>
      </c>
      <c r="MD22" s="156" t="n">
        <f aca="false">J176+U176+AF176+AQ176+BB176+BM176+BX176+CI176+CT176+DE176+DP176+EA176+EL176+EW176+FH176+FS176+GD176+GO176+GZ176+HK176+HV176+IG176+IR176+JC176+JN176+JY176+KJ176+KU176+LF176+LQ176</f>
        <v>0</v>
      </c>
      <c r="ME22" s="156" t="n">
        <f aca="false">K176+V176+AG176+AR176+BC176+BN176+BY176+CJ176+CU176+DF176+DQ176+EB176+EM176+EX176+FI176+FT176+GE176+GP176+HA176+HL176+HW176+IH176+IS176+JD176+JO176+JZ176+KK176+KV176+LG176+LR176</f>
        <v>0</v>
      </c>
      <c r="MF22" s="156" t="n">
        <f aca="false">L176+W176+AH176+AS176+BD176+BO176+BZ176+CK176+CV176+DG176+DR176+EC176+EN176+EY176+FJ176+FU176+GF176+GQ176+HB176+HM176+HX176+II176+IT176+JE176+JP176+KA176+KL176+KW176+LH176+LS176</f>
        <v>0</v>
      </c>
      <c r="MG22" s="157" t="n">
        <f aca="false">M176+X176+AI176+AT176+BE176+BP176+CA176+CL176+CW176+DH176+DS176+ED176+EO176+EZ176+FK176+FV176+GG176+GR176+HC176+HN176+HY176+IJ176+IU176+JF176+JQ176+KB176+KM176+KX176+LI176+LT176</f>
        <v>0</v>
      </c>
    </row>
    <row r="23" customFormat="false" ht="13.8" hidden="false" customHeight="false" outlineLevel="0" collapsed="false">
      <c r="A23" s="29" t="n">
        <v>18</v>
      </c>
      <c r="B23" s="151" t="str">
        <f aca="false">'Datos Iniciales'!T26</f>
        <v>Alumno18</v>
      </c>
      <c r="C23" s="152" t="n">
        <f aca="false">SUMPRODUCT(D$4:M$4,D23:M23)</f>
        <v>9.65</v>
      </c>
      <c r="D23" s="146" t="n">
        <v>10</v>
      </c>
      <c r="E23" s="147" t="n">
        <v>9</v>
      </c>
      <c r="F23" s="147" t="n">
        <v>10</v>
      </c>
      <c r="G23" s="147" t="n">
        <v>9</v>
      </c>
      <c r="H23" s="147" t="n">
        <v>10</v>
      </c>
      <c r="I23" s="147" t="n">
        <v>10</v>
      </c>
      <c r="J23" s="147" t="n">
        <v>9</v>
      </c>
      <c r="K23" s="147"/>
      <c r="L23" s="147"/>
      <c r="M23" s="154"/>
      <c r="N23" s="152" t="n">
        <f aca="false">SUMPRODUCT(O$4:X$4,O23:X23)</f>
        <v>9.6</v>
      </c>
      <c r="O23" s="146" t="n">
        <v>10</v>
      </c>
      <c r="P23" s="147" t="n">
        <v>9</v>
      </c>
      <c r="Q23" s="147" t="n">
        <v>10</v>
      </c>
      <c r="R23" s="147" t="n">
        <v>9</v>
      </c>
      <c r="S23" s="147" t="n">
        <v>10</v>
      </c>
      <c r="T23" s="147"/>
      <c r="U23" s="147"/>
      <c r="V23" s="147"/>
      <c r="W23" s="147"/>
      <c r="X23" s="154"/>
      <c r="Y23" s="152" t="n">
        <f aca="false">SUMPRODUCT(Z$4:AI$4,Z23:AI23)</f>
        <v>4.4</v>
      </c>
      <c r="Z23" s="146" t="n">
        <v>4</v>
      </c>
      <c r="AA23" s="147" t="n">
        <v>3</v>
      </c>
      <c r="AB23" s="147" t="n">
        <v>5</v>
      </c>
      <c r="AC23" s="147" t="n">
        <v>6</v>
      </c>
      <c r="AD23" s="147" t="n">
        <v>4</v>
      </c>
      <c r="AE23" s="147"/>
      <c r="AF23" s="147"/>
      <c r="AG23" s="147"/>
      <c r="AH23" s="147"/>
      <c r="AI23" s="154"/>
      <c r="AJ23" s="152" t="n">
        <f aca="false">SUMPRODUCT(AK$4:AT$4,AK23:AT23)</f>
        <v>4.4</v>
      </c>
      <c r="AK23" s="146" t="n">
        <v>4</v>
      </c>
      <c r="AL23" s="147" t="n">
        <v>3</v>
      </c>
      <c r="AM23" s="147" t="n">
        <v>5</v>
      </c>
      <c r="AN23" s="147" t="n">
        <v>6</v>
      </c>
      <c r="AO23" s="147" t="n">
        <v>4</v>
      </c>
      <c r="AP23" s="147"/>
      <c r="AQ23" s="147"/>
      <c r="AR23" s="147"/>
      <c r="AS23" s="147"/>
      <c r="AT23" s="154"/>
      <c r="AU23" s="152" t="n">
        <f aca="false">SUMPRODUCT(AV$4:BE$4,AV23:BE23)</f>
        <v>9.5</v>
      </c>
      <c r="AV23" s="146" t="n">
        <v>10</v>
      </c>
      <c r="AW23" s="147" t="n">
        <v>9</v>
      </c>
      <c r="AX23" s="147" t="n">
        <v>10</v>
      </c>
      <c r="AY23" s="147" t="n">
        <v>9</v>
      </c>
      <c r="AZ23" s="147" t="n">
        <v>10</v>
      </c>
      <c r="BA23" s="147"/>
      <c r="BB23" s="147"/>
      <c r="BC23" s="147"/>
      <c r="BD23" s="147"/>
      <c r="BE23" s="154"/>
      <c r="BF23" s="152" t="n">
        <f aca="false">SUMPRODUCT(BG$4:BP$4,BG23:BP23)</f>
        <v>9.6</v>
      </c>
      <c r="BG23" s="146" t="n">
        <v>10</v>
      </c>
      <c r="BH23" s="147" t="n">
        <v>9</v>
      </c>
      <c r="BI23" s="147" t="n">
        <v>10</v>
      </c>
      <c r="BJ23" s="147" t="n">
        <v>9</v>
      </c>
      <c r="BK23" s="147" t="n">
        <v>10</v>
      </c>
      <c r="BL23" s="147"/>
      <c r="BM23" s="147"/>
      <c r="BN23" s="147"/>
      <c r="BO23" s="147"/>
      <c r="BP23" s="154"/>
      <c r="BQ23" s="152" t="n">
        <f aca="false">SUMPRODUCT(BR$4:CA$4,BR23:CA23)</f>
        <v>7</v>
      </c>
      <c r="BR23" s="143" t="n">
        <v>8</v>
      </c>
      <c r="BS23" s="144" t="n">
        <v>5</v>
      </c>
      <c r="BT23" s="144" t="n">
        <v>7</v>
      </c>
      <c r="BU23" s="144" t="n">
        <v>4</v>
      </c>
      <c r="BV23" s="144" t="n">
        <v>9</v>
      </c>
      <c r="BW23" s="147"/>
      <c r="BX23" s="147"/>
      <c r="BY23" s="147"/>
      <c r="BZ23" s="147"/>
      <c r="CA23" s="154"/>
      <c r="CB23" s="152" t="n">
        <f aca="false">SUMPRODUCT(CC$4:CL$4,CC23:CL23)</f>
        <v>0</v>
      </c>
      <c r="CC23" s="146"/>
      <c r="CD23" s="147"/>
      <c r="CE23" s="147"/>
      <c r="CF23" s="147"/>
      <c r="CG23" s="147"/>
      <c r="CH23" s="147"/>
      <c r="CI23" s="147"/>
      <c r="CJ23" s="147"/>
      <c r="CK23" s="147"/>
      <c r="CL23" s="154"/>
      <c r="CM23" s="152" t="n">
        <f aca="false">SUMPRODUCT(CN$4:CW$4,CN23:CW23)</f>
        <v>0</v>
      </c>
      <c r="CN23" s="146"/>
      <c r="CO23" s="147"/>
      <c r="CP23" s="147"/>
      <c r="CQ23" s="147"/>
      <c r="CR23" s="147"/>
      <c r="CS23" s="147"/>
      <c r="CT23" s="147"/>
      <c r="CU23" s="147"/>
      <c r="CV23" s="147"/>
      <c r="CW23" s="154"/>
      <c r="CX23" s="152" t="n">
        <f aca="false">SUMPRODUCT(CY$4:DH$4,CY23:DH23)</f>
        <v>0</v>
      </c>
      <c r="CY23" s="146"/>
      <c r="CZ23" s="147"/>
      <c r="DA23" s="147"/>
      <c r="DB23" s="147"/>
      <c r="DC23" s="147"/>
      <c r="DD23" s="147"/>
      <c r="DE23" s="147"/>
      <c r="DF23" s="147"/>
      <c r="DG23" s="147"/>
      <c r="DH23" s="154"/>
      <c r="DI23" s="152" t="n">
        <f aca="false">SUMPRODUCT(DJ$4:DS$4,DJ23:DS23)</f>
        <v>0</v>
      </c>
      <c r="DJ23" s="146"/>
      <c r="DK23" s="147"/>
      <c r="DL23" s="147"/>
      <c r="DM23" s="147"/>
      <c r="DN23" s="147"/>
      <c r="DO23" s="147"/>
      <c r="DP23" s="147"/>
      <c r="DQ23" s="147"/>
      <c r="DR23" s="147"/>
      <c r="DS23" s="154"/>
      <c r="DT23" s="152" t="n">
        <f aca="false">SUMPRODUCT(DU$4:ED$4,DU23:ED23)</f>
        <v>0</v>
      </c>
      <c r="DU23" s="146"/>
      <c r="DV23" s="147"/>
      <c r="DW23" s="147"/>
      <c r="DX23" s="147"/>
      <c r="DY23" s="147"/>
      <c r="DZ23" s="147"/>
      <c r="EA23" s="147"/>
      <c r="EB23" s="147"/>
      <c r="EC23" s="147"/>
      <c r="ED23" s="154"/>
      <c r="EE23" s="152" t="n">
        <f aca="false">SUMPRODUCT(EF$4:EO$4,EF23:EO23)</f>
        <v>0</v>
      </c>
      <c r="EF23" s="146"/>
      <c r="EG23" s="147"/>
      <c r="EH23" s="147"/>
      <c r="EI23" s="147"/>
      <c r="EJ23" s="147"/>
      <c r="EK23" s="147"/>
      <c r="EL23" s="147"/>
      <c r="EM23" s="147"/>
      <c r="EN23" s="147"/>
      <c r="EO23" s="154"/>
      <c r="EP23" s="152" t="n">
        <f aca="false">SUMPRODUCT(EQ$4:EZ$4,EQ23:EZ23)</f>
        <v>0</v>
      </c>
      <c r="EQ23" s="146"/>
      <c r="ER23" s="147"/>
      <c r="ES23" s="147"/>
      <c r="ET23" s="147"/>
      <c r="EU23" s="147"/>
      <c r="EV23" s="147"/>
      <c r="EW23" s="147"/>
      <c r="EX23" s="147"/>
      <c r="EY23" s="147"/>
      <c r="EZ23" s="154"/>
      <c r="FA23" s="152" t="n">
        <f aca="false">SUMPRODUCT(FB$4:FK$4,FB23:FK23)</f>
        <v>0</v>
      </c>
      <c r="FB23" s="146"/>
      <c r="FC23" s="147"/>
      <c r="FD23" s="147"/>
      <c r="FE23" s="147"/>
      <c r="FF23" s="147"/>
      <c r="FG23" s="147"/>
      <c r="FH23" s="147"/>
      <c r="FI23" s="147"/>
      <c r="FJ23" s="147"/>
      <c r="FK23" s="154"/>
      <c r="FL23" s="152" t="n">
        <f aca="false">SUMPRODUCT(FM$4:FV$4,FM23:FV23)</f>
        <v>0</v>
      </c>
      <c r="FM23" s="146"/>
      <c r="FN23" s="147"/>
      <c r="FO23" s="147"/>
      <c r="FP23" s="147"/>
      <c r="FQ23" s="147"/>
      <c r="FR23" s="147"/>
      <c r="FS23" s="147"/>
      <c r="FT23" s="147"/>
      <c r="FU23" s="147"/>
      <c r="FV23" s="154"/>
      <c r="FW23" s="152" t="n">
        <f aca="false">SUMPRODUCT(FX$4:GG$4,FX23:GG23)</f>
        <v>0</v>
      </c>
      <c r="FX23" s="146"/>
      <c r="FY23" s="147"/>
      <c r="FZ23" s="147"/>
      <c r="GA23" s="147"/>
      <c r="GB23" s="147"/>
      <c r="GC23" s="147"/>
      <c r="GD23" s="147"/>
      <c r="GE23" s="147"/>
      <c r="GF23" s="147"/>
      <c r="GG23" s="154"/>
      <c r="GH23" s="152" t="n">
        <f aca="false">SUMPRODUCT(GI$4:GR$4,GI23:GR23)</f>
        <v>0</v>
      </c>
      <c r="GI23" s="146"/>
      <c r="GJ23" s="147"/>
      <c r="GK23" s="147"/>
      <c r="GL23" s="147"/>
      <c r="GM23" s="147"/>
      <c r="GN23" s="147"/>
      <c r="GO23" s="147"/>
      <c r="GP23" s="147"/>
      <c r="GQ23" s="147"/>
      <c r="GR23" s="154"/>
      <c r="GS23" s="152" t="n">
        <f aca="false">SUMPRODUCT(GT$4:HC$4,GT23:HC23)</f>
        <v>0</v>
      </c>
      <c r="GT23" s="146"/>
      <c r="GU23" s="147"/>
      <c r="GV23" s="147"/>
      <c r="GW23" s="147"/>
      <c r="GX23" s="147"/>
      <c r="GY23" s="147"/>
      <c r="GZ23" s="147"/>
      <c r="HA23" s="147"/>
      <c r="HB23" s="147"/>
      <c r="HC23" s="154"/>
      <c r="HD23" s="152" t="n">
        <f aca="false">SUMPRODUCT(HE$4:HN$4,HE23:HN23)</f>
        <v>0</v>
      </c>
      <c r="HE23" s="146"/>
      <c r="HF23" s="147"/>
      <c r="HG23" s="147"/>
      <c r="HH23" s="147"/>
      <c r="HI23" s="147"/>
      <c r="HJ23" s="147"/>
      <c r="HK23" s="147"/>
      <c r="HL23" s="147"/>
      <c r="HM23" s="147"/>
      <c r="HN23" s="154"/>
      <c r="HO23" s="152" t="n">
        <f aca="false">SUMPRODUCT(HP$4:HY$4,HP23:HY23)</f>
        <v>0</v>
      </c>
      <c r="HP23" s="146"/>
      <c r="HQ23" s="147"/>
      <c r="HR23" s="147"/>
      <c r="HS23" s="147"/>
      <c r="HT23" s="147"/>
      <c r="HU23" s="147"/>
      <c r="HV23" s="147"/>
      <c r="HW23" s="147"/>
      <c r="HX23" s="147"/>
      <c r="HY23" s="154"/>
      <c r="HZ23" s="152" t="n">
        <f aca="false">SUMPRODUCT(IA$4:IJ$4,IA23:IJ23)</f>
        <v>0</v>
      </c>
      <c r="IA23" s="146"/>
      <c r="IB23" s="147"/>
      <c r="IC23" s="147"/>
      <c r="ID23" s="147"/>
      <c r="IE23" s="147"/>
      <c r="IF23" s="147"/>
      <c r="IG23" s="147"/>
      <c r="IH23" s="147"/>
      <c r="II23" s="147"/>
      <c r="IJ23" s="154"/>
      <c r="IK23" s="152" t="n">
        <f aca="false">SUMPRODUCT(IL$4:IU$4,IL23:IU23)</f>
        <v>0</v>
      </c>
      <c r="IL23" s="146"/>
      <c r="IM23" s="147"/>
      <c r="IN23" s="147"/>
      <c r="IO23" s="147"/>
      <c r="IP23" s="147"/>
      <c r="IQ23" s="147"/>
      <c r="IR23" s="147"/>
      <c r="IS23" s="147"/>
      <c r="IT23" s="147"/>
      <c r="IU23" s="154"/>
      <c r="IV23" s="152" t="n">
        <f aca="false">SUMPRODUCT(IW$4:JF$4,IW23:JF23)</f>
        <v>0</v>
      </c>
      <c r="IW23" s="146"/>
      <c r="IX23" s="147"/>
      <c r="IY23" s="147"/>
      <c r="IZ23" s="147"/>
      <c r="JA23" s="147"/>
      <c r="JB23" s="147"/>
      <c r="JC23" s="147"/>
      <c r="JD23" s="147"/>
      <c r="JE23" s="147"/>
      <c r="JF23" s="154"/>
      <c r="JG23" s="152" t="n">
        <f aca="false">SUMPRODUCT(JH$4:JQ$4,JH23:JQ23)</f>
        <v>0</v>
      </c>
      <c r="JH23" s="146"/>
      <c r="JI23" s="147"/>
      <c r="JJ23" s="147"/>
      <c r="JK23" s="147"/>
      <c r="JL23" s="147"/>
      <c r="JM23" s="147"/>
      <c r="JN23" s="147"/>
      <c r="JO23" s="147"/>
      <c r="JP23" s="147"/>
      <c r="JQ23" s="154"/>
      <c r="JR23" s="152" t="n">
        <f aca="false">SUMPRODUCT(JS$4:KB$4,JS23:KB23)</f>
        <v>0</v>
      </c>
      <c r="JS23" s="146"/>
      <c r="JT23" s="147"/>
      <c r="JU23" s="147"/>
      <c r="JV23" s="147"/>
      <c r="JW23" s="147"/>
      <c r="JX23" s="147"/>
      <c r="JY23" s="147"/>
      <c r="JZ23" s="147"/>
      <c r="KA23" s="147"/>
      <c r="KB23" s="154"/>
      <c r="KC23" s="152" t="n">
        <f aca="false">SUMPRODUCT(KD$4:KM$4,KD23:KM23)</f>
        <v>0</v>
      </c>
      <c r="KD23" s="146"/>
      <c r="KE23" s="147"/>
      <c r="KF23" s="147"/>
      <c r="KG23" s="147"/>
      <c r="KH23" s="147"/>
      <c r="KI23" s="147"/>
      <c r="KJ23" s="147"/>
      <c r="KK23" s="147"/>
      <c r="KL23" s="147"/>
      <c r="KM23" s="154"/>
      <c r="KN23" s="152" t="n">
        <f aca="false">SUMPRODUCT(KO$4:KX$4,KO23:KX23)</f>
        <v>0</v>
      </c>
      <c r="KO23" s="146"/>
      <c r="KP23" s="147"/>
      <c r="KQ23" s="147"/>
      <c r="KR23" s="147"/>
      <c r="KS23" s="147"/>
      <c r="KT23" s="147"/>
      <c r="KU23" s="147"/>
      <c r="KV23" s="147"/>
      <c r="KW23" s="147"/>
      <c r="KX23" s="154"/>
      <c r="KY23" s="152" t="n">
        <f aca="false">SUMPRODUCT(KZ$4:LI$4,KZ23:LI23)</f>
        <v>0</v>
      </c>
      <c r="KZ23" s="146"/>
      <c r="LA23" s="147"/>
      <c r="LB23" s="147"/>
      <c r="LC23" s="147"/>
      <c r="LD23" s="147"/>
      <c r="LE23" s="147"/>
      <c r="LF23" s="147"/>
      <c r="LG23" s="147"/>
      <c r="LH23" s="147"/>
      <c r="LI23" s="154"/>
      <c r="LJ23" s="152" t="n">
        <f aca="false">SUMPRODUCT(LK$4:LT$4,LK23:LT23)</f>
        <v>0</v>
      </c>
      <c r="LK23" s="146"/>
      <c r="LL23" s="147"/>
      <c r="LM23" s="147"/>
      <c r="LN23" s="147"/>
      <c r="LO23" s="147"/>
      <c r="LP23" s="147"/>
      <c r="LQ23" s="147"/>
      <c r="LR23" s="147"/>
      <c r="LS23" s="147"/>
      <c r="LT23" s="154"/>
      <c r="LW23" s="152"/>
      <c r="LX23" s="155" t="n">
        <f aca="false">D177+O177+Z177+AK177+AV177+BG177+BR177+CC177+CN177+CY177+DJ177+DU177+EF177+EQ177+FB177+FM177+FX177+GI177+GT177+HE177+HP177+IA177+IL177+IW177+JH177+JS177+KD177+KO177+KZ177+LK177</f>
        <v>7.2625</v>
      </c>
      <c r="LY23" s="156" t="n">
        <f aca="false">E177+P177+AA177+AL177+AW177+BH177+BS177+CD177+CO177+CZ177+DK177+DV177+EG177+ER177+FC177+FN177+FY177+GJ177+GU177+HF177+HQ177+IB177+IM177+IX177+JI177+JT177+KE177+KP177+LA177+LL177</f>
        <v>6.8</v>
      </c>
      <c r="LZ23" s="156" t="n">
        <f aca="false">F177+Q177+AB177+AM177+AX177+BI177+BT177+CE177+CP177+DA177+DL177+DW177+EH177+ES177+FD177+FO177+FZ177+GK177+GV177+HG177+HR177+IC177+IN177+IY177+JJ177+JU177+KF177+KQ177+LB177+LM177</f>
        <v>7.095</v>
      </c>
      <c r="MA23" s="156" t="n">
        <f aca="false">G177+R177+AC177+AN177+AY177+BJ177+BU177+CF177+CQ177+DB177+DM177+DX177+EI177+ET177+FE177+FP177+GA177+GL177+GW177+HH177+HS177+ID177+IO177+IZ177+JK177+JV177+KG177+KR177+LC177+LN177</f>
        <v>8.34</v>
      </c>
      <c r="MB23" s="156" t="n">
        <f aca="false">H177+S177+AD177+AO177+AZ177+BK177+BV177+CG177+CR177+DC177+DN177+DY177+EJ177+EU177+FF177+FQ177+GB177+GM177+GX177+HI177+HT177+IE177+IP177+JA177+JL177+JW177+KH177+KS177+LD177+LO177</f>
        <v>0</v>
      </c>
      <c r="MC23" s="156" t="n">
        <f aca="false">I177+T177+AE177+AP177+BA177+BL177+BW177+CH177+CS177+DD177+DO177+DZ177+EK177+EV177+FG177+FR177+GC177+GN177+GY177+HJ177+HU177+IF177+IQ177+JB177+JM177+JX177+KI177+KT177+LE177+LP177</f>
        <v>0</v>
      </c>
      <c r="MD23" s="156" t="n">
        <f aca="false">J177+U177+AF177+AQ177+BB177+BM177+BX177+CI177+CT177+DE177+DP177+EA177+EL177+EW177+FH177+FS177+GD177+GO177+GZ177+HK177+HV177+IG177+IR177+JC177+JN177+JY177+KJ177+KU177+LF177+LQ177</f>
        <v>0</v>
      </c>
      <c r="ME23" s="156" t="n">
        <f aca="false">K177+V177+AG177+AR177+BC177+BN177+BY177+CJ177+CU177+DF177+DQ177+EB177+EM177+EX177+FI177+FT177+GE177+GP177+HA177+HL177+HW177+IH177+IS177+JD177+JO177+JZ177+KK177+KV177+LG177+LR177</f>
        <v>0</v>
      </c>
      <c r="MF23" s="156" t="n">
        <f aca="false">L177+W177+AH177+AS177+BD177+BO177+BZ177+CK177+CV177+DG177+DR177+EC177+EN177+EY177+FJ177+FU177+GF177+GQ177+HB177+HM177+HX177+II177+IT177+JE177+JP177+KA177+KL177+KW177+LH177+LS177</f>
        <v>0</v>
      </c>
      <c r="MG23" s="157" t="n">
        <f aca="false">M177+X177+AI177+AT177+BE177+BP177+CA177+CL177+CW177+DH177+DS177+ED177+EO177+EZ177+FK177+FV177+GG177+GR177+HC177+HN177+HY177+IJ177+IU177+JF177+JQ177+KB177+KM177+KX177+LI177+LT177</f>
        <v>0</v>
      </c>
    </row>
    <row r="24" customFormat="false" ht="13.8" hidden="false" customHeight="false" outlineLevel="0" collapsed="false">
      <c r="A24" s="29" t="n">
        <v>19</v>
      </c>
      <c r="B24" s="151" t="str">
        <f aca="false">'Datos Iniciales'!T27</f>
        <v>Alumno19</v>
      </c>
      <c r="C24" s="152" t="n">
        <f aca="false">SUMPRODUCT(D$4:M$4,D24:M24)</f>
        <v>6.4</v>
      </c>
      <c r="D24" s="146" t="n">
        <v>6</v>
      </c>
      <c r="E24" s="147" t="n">
        <v>7</v>
      </c>
      <c r="F24" s="147" t="n">
        <v>8</v>
      </c>
      <c r="G24" s="147" t="n">
        <v>9</v>
      </c>
      <c r="H24" s="147" t="n">
        <v>5</v>
      </c>
      <c r="I24" s="147" t="n">
        <v>4</v>
      </c>
      <c r="J24" s="147" t="n">
        <v>6</v>
      </c>
      <c r="K24" s="147"/>
      <c r="L24" s="147"/>
      <c r="M24" s="154"/>
      <c r="N24" s="152" t="n">
        <f aca="false">SUMPRODUCT(O$4:X$4,O24:X24)</f>
        <v>7</v>
      </c>
      <c r="O24" s="146" t="n">
        <v>6</v>
      </c>
      <c r="P24" s="147" t="n">
        <v>7</v>
      </c>
      <c r="Q24" s="147" t="n">
        <v>8</v>
      </c>
      <c r="R24" s="147" t="n">
        <v>9</v>
      </c>
      <c r="S24" s="147" t="n">
        <v>5</v>
      </c>
      <c r="T24" s="147"/>
      <c r="U24" s="147"/>
      <c r="V24" s="147"/>
      <c r="W24" s="147"/>
      <c r="X24" s="154"/>
      <c r="Y24" s="152" t="n">
        <f aca="false">SUMPRODUCT(Z$4:AI$4,Z24:AI24)</f>
        <v>3.4</v>
      </c>
      <c r="Z24" s="146" t="n">
        <v>3</v>
      </c>
      <c r="AA24" s="147" t="n">
        <v>3</v>
      </c>
      <c r="AB24" s="147" t="n">
        <v>2</v>
      </c>
      <c r="AC24" s="147" t="n">
        <v>4</v>
      </c>
      <c r="AD24" s="147" t="n">
        <v>5</v>
      </c>
      <c r="AE24" s="147"/>
      <c r="AF24" s="147"/>
      <c r="AG24" s="147"/>
      <c r="AH24" s="147"/>
      <c r="AI24" s="154"/>
      <c r="AJ24" s="152" t="n">
        <f aca="false">SUMPRODUCT(AK$4:AT$4,AK24:AT24)</f>
        <v>3.4</v>
      </c>
      <c r="AK24" s="146" t="n">
        <v>3</v>
      </c>
      <c r="AL24" s="147" t="n">
        <v>3</v>
      </c>
      <c r="AM24" s="147" t="n">
        <v>2</v>
      </c>
      <c r="AN24" s="147" t="n">
        <v>4</v>
      </c>
      <c r="AO24" s="147" t="n">
        <v>5</v>
      </c>
      <c r="AP24" s="147"/>
      <c r="AQ24" s="147"/>
      <c r="AR24" s="147"/>
      <c r="AS24" s="147"/>
      <c r="AT24" s="154"/>
      <c r="AU24" s="152" t="n">
        <f aca="false">SUMPRODUCT(AV$4:BE$4,AV24:BE24)</f>
        <v>7.3</v>
      </c>
      <c r="AV24" s="146" t="n">
        <v>6</v>
      </c>
      <c r="AW24" s="147" t="n">
        <v>7</v>
      </c>
      <c r="AX24" s="147" t="n">
        <v>8</v>
      </c>
      <c r="AY24" s="147" t="n">
        <v>9</v>
      </c>
      <c r="AZ24" s="147" t="n">
        <v>5</v>
      </c>
      <c r="BA24" s="147"/>
      <c r="BB24" s="147"/>
      <c r="BC24" s="147"/>
      <c r="BD24" s="147"/>
      <c r="BE24" s="154"/>
      <c r="BF24" s="152" t="n">
        <f aca="false">SUMPRODUCT(BG$4:BP$4,BG24:BP24)</f>
        <v>6.9</v>
      </c>
      <c r="BG24" s="146" t="n">
        <v>6</v>
      </c>
      <c r="BH24" s="147" t="n">
        <v>7</v>
      </c>
      <c r="BI24" s="147" t="n">
        <v>8</v>
      </c>
      <c r="BJ24" s="147" t="n">
        <v>9</v>
      </c>
      <c r="BK24" s="147" t="n">
        <v>5</v>
      </c>
      <c r="BL24" s="147"/>
      <c r="BM24" s="147"/>
      <c r="BN24" s="147"/>
      <c r="BO24" s="147"/>
      <c r="BP24" s="154"/>
      <c r="BQ24" s="152" t="n">
        <f aca="false">SUMPRODUCT(BR$4:CA$4,BR24:CA24)</f>
        <v>5</v>
      </c>
      <c r="BR24" s="146" t="n">
        <v>5</v>
      </c>
      <c r="BS24" s="153" t="n">
        <v>5</v>
      </c>
      <c r="BT24" s="153" t="n">
        <v>5</v>
      </c>
      <c r="BU24" s="153" t="n">
        <v>5</v>
      </c>
      <c r="BV24" s="153" t="n">
        <v>5</v>
      </c>
      <c r="BW24" s="147"/>
      <c r="BX24" s="147"/>
      <c r="BY24" s="147"/>
      <c r="BZ24" s="147"/>
      <c r="CA24" s="154"/>
      <c r="CB24" s="152" t="n">
        <f aca="false">SUMPRODUCT(CC$4:CL$4,CC24:CL24)</f>
        <v>0</v>
      </c>
      <c r="CC24" s="146"/>
      <c r="CD24" s="147"/>
      <c r="CE24" s="147"/>
      <c r="CF24" s="147"/>
      <c r="CG24" s="147"/>
      <c r="CH24" s="147"/>
      <c r="CI24" s="147"/>
      <c r="CJ24" s="147"/>
      <c r="CK24" s="147"/>
      <c r="CL24" s="154"/>
      <c r="CM24" s="152" t="n">
        <f aca="false">SUMPRODUCT(CN$4:CW$4,CN24:CW24)</f>
        <v>0</v>
      </c>
      <c r="CN24" s="146"/>
      <c r="CO24" s="147"/>
      <c r="CP24" s="147"/>
      <c r="CQ24" s="147"/>
      <c r="CR24" s="147"/>
      <c r="CS24" s="147"/>
      <c r="CT24" s="147"/>
      <c r="CU24" s="147"/>
      <c r="CV24" s="147"/>
      <c r="CW24" s="154"/>
      <c r="CX24" s="152" t="n">
        <f aca="false">SUMPRODUCT(CY$4:DH$4,CY24:DH24)</f>
        <v>0</v>
      </c>
      <c r="CY24" s="146"/>
      <c r="CZ24" s="147"/>
      <c r="DA24" s="147"/>
      <c r="DB24" s="147"/>
      <c r="DC24" s="147"/>
      <c r="DD24" s="147"/>
      <c r="DE24" s="147"/>
      <c r="DF24" s="147"/>
      <c r="DG24" s="147"/>
      <c r="DH24" s="154"/>
      <c r="DI24" s="152" t="n">
        <f aca="false">SUMPRODUCT(DJ$4:DS$4,DJ24:DS24)</f>
        <v>0</v>
      </c>
      <c r="DJ24" s="146"/>
      <c r="DK24" s="147"/>
      <c r="DL24" s="147"/>
      <c r="DM24" s="147"/>
      <c r="DN24" s="147"/>
      <c r="DO24" s="147"/>
      <c r="DP24" s="147"/>
      <c r="DQ24" s="147"/>
      <c r="DR24" s="147"/>
      <c r="DS24" s="154"/>
      <c r="DT24" s="152" t="n">
        <f aca="false">SUMPRODUCT(DU$4:ED$4,DU24:ED24)</f>
        <v>0</v>
      </c>
      <c r="DU24" s="146"/>
      <c r="DV24" s="147"/>
      <c r="DW24" s="147"/>
      <c r="DX24" s="147"/>
      <c r="DY24" s="147"/>
      <c r="DZ24" s="147"/>
      <c r="EA24" s="147"/>
      <c r="EB24" s="147"/>
      <c r="EC24" s="147"/>
      <c r="ED24" s="154"/>
      <c r="EE24" s="152" t="n">
        <f aca="false">SUMPRODUCT(EF$4:EO$4,EF24:EO24)</f>
        <v>0</v>
      </c>
      <c r="EF24" s="146"/>
      <c r="EG24" s="147"/>
      <c r="EH24" s="147"/>
      <c r="EI24" s="147"/>
      <c r="EJ24" s="147"/>
      <c r="EK24" s="147"/>
      <c r="EL24" s="147"/>
      <c r="EM24" s="147"/>
      <c r="EN24" s="147"/>
      <c r="EO24" s="154"/>
      <c r="EP24" s="152" t="n">
        <f aca="false">SUMPRODUCT(EQ$4:EZ$4,EQ24:EZ24)</f>
        <v>0</v>
      </c>
      <c r="EQ24" s="146"/>
      <c r="ER24" s="147"/>
      <c r="ES24" s="147"/>
      <c r="ET24" s="147"/>
      <c r="EU24" s="147"/>
      <c r="EV24" s="147"/>
      <c r="EW24" s="147"/>
      <c r="EX24" s="147"/>
      <c r="EY24" s="147"/>
      <c r="EZ24" s="154"/>
      <c r="FA24" s="152" t="n">
        <f aca="false">SUMPRODUCT(FB$4:FK$4,FB24:FK24)</f>
        <v>0</v>
      </c>
      <c r="FB24" s="146"/>
      <c r="FC24" s="147"/>
      <c r="FD24" s="147"/>
      <c r="FE24" s="147"/>
      <c r="FF24" s="147"/>
      <c r="FG24" s="147"/>
      <c r="FH24" s="147"/>
      <c r="FI24" s="147"/>
      <c r="FJ24" s="147"/>
      <c r="FK24" s="154"/>
      <c r="FL24" s="152" t="n">
        <f aca="false">SUMPRODUCT(FM$4:FV$4,FM24:FV24)</f>
        <v>0</v>
      </c>
      <c r="FM24" s="146"/>
      <c r="FN24" s="147"/>
      <c r="FO24" s="147"/>
      <c r="FP24" s="147"/>
      <c r="FQ24" s="147"/>
      <c r="FR24" s="147"/>
      <c r="FS24" s="147"/>
      <c r="FT24" s="147"/>
      <c r="FU24" s="147"/>
      <c r="FV24" s="154"/>
      <c r="FW24" s="152" t="n">
        <f aca="false">SUMPRODUCT(FX$4:GG$4,FX24:GG24)</f>
        <v>0</v>
      </c>
      <c r="FX24" s="146"/>
      <c r="FY24" s="147"/>
      <c r="FZ24" s="147"/>
      <c r="GA24" s="147"/>
      <c r="GB24" s="147"/>
      <c r="GC24" s="147"/>
      <c r="GD24" s="147"/>
      <c r="GE24" s="147"/>
      <c r="GF24" s="147"/>
      <c r="GG24" s="154"/>
      <c r="GH24" s="152" t="n">
        <f aca="false">SUMPRODUCT(GI$4:GR$4,GI24:GR24)</f>
        <v>0</v>
      </c>
      <c r="GI24" s="146"/>
      <c r="GJ24" s="147"/>
      <c r="GK24" s="147"/>
      <c r="GL24" s="147"/>
      <c r="GM24" s="147"/>
      <c r="GN24" s="147"/>
      <c r="GO24" s="147"/>
      <c r="GP24" s="147"/>
      <c r="GQ24" s="147"/>
      <c r="GR24" s="154"/>
      <c r="GS24" s="152" t="n">
        <f aca="false">SUMPRODUCT(GT$4:HC$4,GT24:HC24)</f>
        <v>0</v>
      </c>
      <c r="GT24" s="146"/>
      <c r="GU24" s="147"/>
      <c r="GV24" s="147"/>
      <c r="GW24" s="147"/>
      <c r="GX24" s="147"/>
      <c r="GY24" s="147"/>
      <c r="GZ24" s="147"/>
      <c r="HA24" s="147"/>
      <c r="HB24" s="147"/>
      <c r="HC24" s="154"/>
      <c r="HD24" s="152" t="n">
        <f aca="false">SUMPRODUCT(HE$4:HN$4,HE24:HN24)</f>
        <v>0</v>
      </c>
      <c r="HE24" s="146"/>
      <c r="HF24" s="147"/>
      <c r="HG24" s="147"/>
      <c r="HH24" s="147"/>
      <c r="HI24" s="147"/>
      <c r="HJ24" s="147"/>
      <c r="HK24" s="147"/>
      <c r="HL24" s="147"/>
      <c r="HM24" s="147"/>
      <c r="HN24" s="154"/>
      <c r="HO24" s="152" t="n">
        <f aca="false">SUMPRODUCT(HP$4:HY$4,HP24:HY24)</f>
        <v>0</v>
      </c>
      <c r="HP24" s="146"/>
      <c r="HQ24" s="147"/>
      <c r="HR24" s="147"/>
      <c r="HS24" s="147"/>
      <c r="HT24" s="147"/>
      <c r="HU24" s="147"/>
      <c r="HV24" s="147"/>
      <c r="HW24" s="147"/>
      <c r="HX24" s="147"/>
      <c r="HY24" s="154"/>
      <c r="HZ24" s="152" t="n">
        <f aca="false">SUMPRODUCT(IA$4:IJ$4,IA24:IJ24)</f>
        <v>0</v>
      </c>
      <c r="IA24" s="146"/>
      <c r="IB24" s="147"/>
      <c r="IC24" s="147"/>
      <c r="ID24" s="147"/>
      <c r="IE24" s="147"/>
      <c r="IF24" s="147"/>
      <c r="IG24" s="147"/>
      <c r="IH24" s="147"/>
      <c r="II24" s="147"/>
      <c r="IJ24" s="154"/>
      <c r="IK24" s="152" t="n">
        <f aca="false">SUMPRODUCT(IL$4:IU$4,IL24:IU24)</f>
        <v>0</v>
      </c>
      <c r="IL24" s="146"/>
      <c r="IM24" s="147"/>
      <c r="IN24" s="147"/>
      <c r="IO24" s="147"/>
      <c r="IP24" s="147"/>
      <c r="IQ24" s="147"/>
      <c r="IR24" s="147"/>
      <c r="IS24" s="147"/>
      <c r="IT24" s="147"/>
      <c r="IU24" s="154"/>
      <c r="IV24" s="152" t="n">
        <f aca="false">SUMPRODUCT(IW$4:JF$4,IW24:JF24)</f>
        <v>0</v>
      </c>
      <c r="IW24" s="146"/>
      <c r="IX24" s="147"/>
      <c r="IY24" s="147"/>
      <c r="IZ24" s="147"/>
      <c r="JA24" s="147"/>
      <c r="JB24" s="147"/>
      <c r="JC24" s="147"/>
      <c r="JD24" s="147"/>
      <c r="JE24" s="147"/>
      <c r="JF24" s="154"/>
      <c r="JG24" s="152" t="n">
        <f aca="false">SUMPRODUCT(JH$4:JQ$4,JH24:JQ24)</f>
        <v>0</v>
      </c>
      <c r="JH24" s="146"/>
      <c r="JI24" s="147"/>
      <c r="JJ24" s="147"/>
      <c r="JK24" s="147"/>
      <c r="JL24" s="147"/>
      <c r="JM24" s="147"/>
      <c r="JN24" s="147"/>
      <c r="JO24" s="147"/>
      <c r="JP24" s="147"/>
      <c r="JQ24" s="154"/>
      <c r="JR24" s="152" t="n">
        <f aca="false">SUMPRODUCT(JS$4:KB$4,JS24:KB24)</f>
        <v>0</v>
      </c>
      <c r="JS24" s="146"/>
      <c r="JT24" s="147"/>
      <c r="JU24" s="147"/>
      <c r="JV24" s="147"/>
      <c r="JW24" s="147"/>
      <c r="JX24" s="147"/>
      <c r="JY24" s="147"/>
      <c r="JZ24" s="147"/>
      <c r="KA24" s="147"/>
      <c r="KB24" s="154"/>
      <c r="KC24" s="152" t="n">
        <f aca="false">SUMPRODUCT(KD$4:KM$4,KD24:KM24)</f>
        <v>0</v>
      </c>
      <c r="KD24" s="146"/>
      <c r="KE24" s="147"/>
      <c r="KF24" s="147"/>
      <c r="KG24" s="147"/>
      <c r="KH24" s="147"/>
      <c r="KI24" s="147"/>
      <c r="KJ24" s="147"/>
      <c r="KK24" s="147"/>
      <c r="KL24" s="147"/>
      <c r="KM24" s="154"/>
      <c r="KN24" s="152" t="n">
        <f aca="false">SUMPRODUCT(KO$4:KX$4,KO24:KX24)</f>
        <v>0</v>
      </c>
      <c r="KO24" s="146"/>
      <c r="KP24" s="147"/>
      <c r="KQ24" s="147"/>
      <c r="KR24" s="147"/>
      <c r="KS24" s="147"/>
      <c r="KT24" s="147"/>
      <c r="KU24" s="147"/>
      <c r="KV24" s="147"/>
      <c r="KW24" s="147"/>
      <c r="KX24" s="154"/>
      <c r="KY24" s="152" t="n">
        <f aca="false">SUMPRODUCT(KZ$4:LI$4,KZ24:LI24)</f>
        <v>0</v>
      </c>
      <c r="KZ24" s="146"/>
      <c r="LA24" s="147"/>
      <c r="LB24" s="147"/>
      <c r="LC24" s="147"/>
      <c r="LD24" s="147"/>
      <c r="LE24" s="147"/>
      <c r="LF24" s="147"/>
      <c r="LG24" s="147"/>
      <c r="LH24" s="147"/>
      <c r="LI24" s="154"/>
      <c r="LJ24" s="152" t="n">
        <f aca="false">SUMPRODUCT(LK$4:LT$4,LK24:LT24)</f>
        <v>0</v>
      </c>
      <c r="LK24" s="146"/>
      <c r="LL24" s="147"/>
      <c r="LM24" s="147"/>
      <c r="LN24" s="147"/>
      <c r="LO24" s="147"/>
      <c r="LP24" s="147"/>
      <c r="LQ24" s="147"/>
      <c r="LR24" s="147"/>
      <c r="LS24" s="147"/>
      <c r="LT24" s="154"/>
      <c r="LW24" s="152"/>
      <c r="LX24" s="155" t="n">
        <f aca="false">D178+O178+Z178+AK178+AV178+BG178+BR178+CC178+CN178+CY178+DJ178+DU178+EF178+EQ178+FB178+FM178+FX178+GI178+GT178+HE178+HP178+IA178+IL178+IW178+JH178+JS178+KD178+KO178+KZ178+LK178</f>
        <v>5.05</v>
      </c>
      <c r="LY24" s="156" t="n">
        <f aca="false">E178+P178+AA178+AL178+AW178+BH178+BS178+CD178+CO178+CZ178+DK178+DV178+EG178+ER178+FC178+FN178+FY178+GJ178+GU178+HF178+HQ178+IB178+IM178+IX178+JI178+JT178+KE178+KP178+LA178+LL178</f>
        <v>5.4</v>
      </c>
      <c r="LZ24" s="156" t="n">
        <f aca="false">F178+Q178+AB178+AM178+AX178+BI178+BT178+CE178+CP178+DA178+DL178+DW178+EH178+ES178+FD178+FO178+FZ178+GK178+GV178+HG178+HR178+IC178+IN178+IY178+JJ178+JU178+KF178+KQ178+LB178+LM178</f>
        <v>5.68</v>
      </c>
      <c r="MA24" s="156" t="n">
        <f aca="false">G178+R178+AC178+AN178+AY178+BJ178+BU178+CF178+CQ178+DB178+DM178+DX178+EI178+ET178+FE178+FP178+GA178+GL178+GW178+HH178+HS178+ID178+IO178+IZ178+JK178+JV178+KG178+KR178+LC178+LN178</f>
        <v>5.64</v>
      </c>
      <c r="MB24" s="156" t="n">
        <f aca="false">H178+S178+AD178+AO178+AZ178+BK178+BV178+CG178+CR178+DC178+DN178+DY178+EJ178+EU178+FF178+FQ178+GB178+GM178+GX178+HI178+HT178+IE178+IP178+JA178+JL178+JW178+KH178+KS178+LD178+LO178</f>
        <v>0</v>
      </c>
      <c r="MC24" s="156" t="n">
        <f aca="false">I178+T178+AE178+AP178+BA178+BL178+BW178+CH178+CS178+DD178+DO178+DZ178+EK178+EV178+FG178+FR178+GC178+GN178+GY178+HJ178+HU178+IF178+IQ178+JB178+JM178+JX178+KI178+KT178+LE178+LP178</f>
        <v>0</v>
      </c>
      <c r="MD24" s="156" t="n">
        <f aca="false">J178+U178+AF178+AQ178+BB178+BM178+BX178+CI178+CT178+DE178+DP178+EA178+EL178+EW178+FH178+FS178+GD178+GO178+GZ178+HK178+HV178+IG178+IR178+JC178+JN178+JY178+KJ178+KU178+LF178+LQ178</f>
        <v>0</v>
      </c>
      <c r="ME24" s="156" t="n">
        <f aca="false">K178+V178+AG178+AR178+BC178+BN178+BY178+CJ178+CU178+DF178+DQ178+EB178+EM178+EX178+FI178+FT178+GE178+GP178+HA178+HL178+HW178+IH178+IS178+JD178+JO178+JZ178+KK178+KV178+LG178+LR178</f>
        <v>0</v>
      </c>
      <c r="MF24" s="156" t="n">
        <f aca="false">L178+W178+AH178+AS178+BD178+BO178+BZ178+CK178+CV178+DG178+DR178+EC178+EN178+EY178+FJ178+FU178+GF178+GQ178+HB178+HM178+HX178+II178+IT178+JE178+JP178+KA178+KL178+KW178+LH178+LS178</f>
        <v>0</v>
      </c>
      <c r="MG24" s="157" t="n">
        <f aca="false">M178+X178+AI178+AT178+BE178+BP178+CA178+CL178+CW178+DH178+DS178+ED178+EO178+EZ178+FK178+FV178+GG178+GR178+HC178+HN178+HY178+IJ178+IU178+JF178+JQ178+KB178+KM178+KX178+LI178+LT178</f>
        <v>0</v>
      </c>
    </row>
    <row r="25" customFormat="false" ht="13.8" hidden="false" customHeight="false" outlineLevel="0" collapsed="false">
      <c r="A25" s="29" t="n">
        <v>20</v>
      </c>
      <c r="B25" s="151" t="str">
        <f aca="false">'Datos Iniciales'!T28</f>
        <v>Alumno20</v>
      </c>
      <c r="C25" s="152" t="n">
        <f aca="false">SUMPRODUCT(D$4:M$4,D25:M25)</f>
        <v>5</v>
      </c>
      <c r="D25" s="146" t="n">
        <v>5</v>
      </c>
      <c r="E25" s="147" t="n">
        <v>6</v>
      </c>
      <c r="F25" s="147" t="n">
        <v>3</v>
      </c>
      <c r="G25" s="147" t="n">
        <v>4</v>
      </c>
      <c r="H25" s="147" t="n">
        <v>5</v>
      </c>
      <c r="I25" s="147" t="n">
        <v>6</v>
      </c>
      <c r="J25" s="147" t="n">
        <v>7</v>
      </c>
      <c r="K25" s="147"/>
      <c r="L25" s="147"/>
      <c r="M25" s="154"/>
      <c r="N25" s="152" t="n">
        <f aca="false">SUMPRODUCT(O$4:X$4,O25:X25)</f>
        <v>4.6</v>
      </c>
      <c r="O25" s="146" t="n">
        <v>5</v>
      </c>
      <c r="P25" s="147" t="n">
        <v>6</v>
      </c>
      <c r="Q25" s="147" t="n">
        <v>3</v>
      </c>
      <c r="R25" s="147" t="n">
        <v>4</v>
      </c>
      <c r="S25" s="147" t="n">
        <v>5</v>
      </c>
      <c r="T25" s="147"/>
      <c r="U25" s="147"/>
      <c r="V25" s="147"/>
      <c r="W25" s="147"/>
      <c r="X25" s="154"/>
      <c r="Y25" s="152" t="n">
        <f aca="false">SUMPRODUCT(Z$4:AI$4,Z25:AI25)</f>
        <v>9.6</v>
      </c>
      <c r="Z25" s="146" t="n">
        <v>9</v>
      </c>
      <c r="AA25" s="147" t="n">
        <v>10</v>
      </c>
      <c r="AB25" s="147" t="n">
        <v>10</v>
      </c>
      <c r="AC25" s="147" t="n">
        <v>10</v>
      </c>
      <c r="AD25" s="147" t="n">
        <v>9</v>
      </c>
      <c r="AE25" s="147"/>
      <c r="AF25" s="147"/>
      <c r="AG25" s="147"/>
      <c r="AH25" s="147"/>
      <c r="AI25" s="154"/>
      <c r="AJ25" s="152" t="n">
        <f aca="false">SUMPRODUCT(AK$4:AT$4,AK25:AT25)</f>
        <v>9.6</v>
      </c>
      <c r="AK25" s="146" t="n">
        <v>9</v>
      </c>
      <c r="AL25" s="147" t="n">
        <v>10</v>
      </c>
      <c r="AM25" s="147" t="n">
        <v>10</v>
      </c>
      <c r="AN25" s="147" t="n">
        <v>10</v>
      </c>
      <c r="AO25" s="147" t="n">
        <v>9</v>
      </c>
      <c r="AP25" s="147"/>
      <c r="AQ25" s="147"/>
      <c r="AR25" s="147"/>
      <c r="AS25" s="147"/>
      <c r="AT25" s="154"/>
      <c r="AU25" s="152" t="n">
        <f aca="false">SUMPRODUCT(AV$4:BE$4,AV25:BE25)</f>
        <v>4.5</v>
      </c>
      <c r="AV25" s="146" t="n">
        <v>5</v>
      </c>
      <c r="AW25" s="147" t="n">
        <v>6</v>
      </c>
      <c r="AX25" s="147" t="n">
        <v>3</v>
      </c>
      <c r="AY25" s="147" t="n">
        <v>4</v>
      </c>
      <c r="AZ25" s="147" t="n">
        <v>5</v>
      </c>
      <c r="BA25" s="147"/>
      <c r="BB25" s="147"/>
      <c r="BC25" s="147"/>
      <c r="BD25" s="147"/>
      <c r="BE25" s="154"/>
      <c r="BF25" s="152" t="n">
        <f aca="false">SUMPRODUCT(BG$4:BP$4,BG25:BP25)</f>
        <v>4.6</v>
      </c>
      <c r="BG25" s="146" t="n">
        <v>5</v>
      </c>
      <c r="BH25" s="147" t="n">
        <v>6</v>
      </c>
      <c r="BI25" s="147" t="n">
        <v>3</v>
      </c>
      <c r="BJ25" s="147" t="n">
        <v>4</v>
      </c>
      <c r="BK25" s="147" t="n">
        <v>5</v>
      </c>
      <c r="BL25" s="147"/>
      <c r="BM25" s="147"/>
      <c r="BN25" s="147"/>
      <c r="BO25" s="147"/>
      <c r="BP25" s="154"/>
      <c r="BQ25" s="152" t="n">
        <f aca="false">SUMPRODUCT(BR$4:CA$4,BR25:CA25)</f>
        <v>5</v>
      </c>
      <c r="BR25" s="146" t="n">
        <v>6</v>
      </c>
      <c r="BS25" s="147" t="n">
        <v>7</v>
      </c>
      <c r="BT25" s="147" t="n">
        <v>4</v>
      </c>
      <c r="BU25" s="147" t="n">
        <v>4</v>
      </c>
      <c r="BV25" s="147" t="n">
        <v>5</v>
      </c>
      <c r="BW25" s="147"/>
      <c r="BX25" s="147"/>
      <c r="BY25" s="147"/>
      <c r="BZ25" s="147"/>
      <c r="CA25" s="154"/>
      <c r="CB25" s="152" t="n">
        <f aca="false">SUMPRODUCT(CC$4:CL$4,CC25:CL25)</f>
        <v>0</v>
      </c>
      <c r="CC25" s="146"/>
      <c r="CD25" s="147"/>
      <c r="CE25" s="147"/>
      <c r="CF25" s="147"/>
      <c r="CG25" s="147"/>
      <c r="CH25" s="147"/>
      <c r="CI25" s="147"/>
      <c r="CJ25" s="147"/>
      <c r="CK25" s="147"/>
      <c r="CL25" s="154"/>
      <c r="CM25" s="152" t="n">
        <f aca="false">SUMPRODUCT(CN$4:CW$4,CN25:CW25)</f>
        <v>0</v>
      </c>
      <c r="CN25" s="146"/>
      <c r="CO25" s="147"/>
      <c r="CP25" s="147"/>
      <c r="CQ25" s="147"/>
      <c r="CR25" s="147"/>
      <c r="CS25" s="147"/>
      <c r="CT25" s="147"/>
      <c r="CU25" s="147"/>
      <c r="CV25" s="147"/>
      <c r="CW25" s="154"/>
      <c r="CX25" s="152" t="n">
        <f aca="false">SUMPRODUCT(CY$4:DH$4,CY25:DH25)</f>
        <v>0</v>
      </c>
      <c r="CY25" s="146"/>
      <c r="CZ25" s="147"/>
      <c r="DA25" s="147"/>
      <c r="DB25" s="147"/>
      <c r="DC25" s="147"/>
      <c r="DD25" s="147"/>
      <c r="DE25" s="147"/>
      <c r="DF25" s="147"/>
      <c r="DG25" s="147"/>
      <c r="DH25" s="154"/>
      <c r="DI25" s="152" t="n">
        <f aca="false">SUMPRODUCT(DJ$4:DS$4,DJ25:DS25)</f>
        <v>0</v>
      </c>
      <c r="DJ25" s="146"/>
      <c r="DK25" s="147"/>
      <c r="DL25" s="147"/>
      <c r="DM25" s="147"/>
      <c r="DN25" s="147"/>
      <c r="DO25" s="147"/>
      <c r="DP25" s="147"/>
      <c r="DQ25" s="147"/>
      <c r="DR25" s="147"/>
      <c r="DS25" s="154"/>
      <c r="DT25" s="152" t="n">
        <f aca="false">SUMPRODUCT(DU$4:ED$4,DU25:ED25)</f>
        <v>0</v>
      </c>
      <c r="DU25" s="146"/>
      <c r="DV25" s="147"/>
      <c r="DW25" s="147"/>
      <c r="DX25" s="147"/>
      <c r="DY25" s="147"/>
      <c r="DZ25" s="147"/>
      <c r="EA25" s="147"/>
      <c r="EB25" s="147"/>
      <c r="EC25" s="147"/>
      <c r="ED25" s="154"/>
      <c r="EE25" s="152" t="n">
        <f aca="false">SUMPRODUCT(EF$4:EO$4,EF25:EO25)</f>
        <v>0</v>
      </c>
      <c r="EF25" s="146"/>
      <c r="EG25" s="147"/>
      <c r="EH25" s="147"/>
      <c r="EI25" s="147"/>
      <c r="EJ25" s="147"/>
      <c r="EK25" s="147"/>
      <c r="EL25" s="147"/>
      <c r="EM25" s="147"/>
      <c r="EN25" s="147"/>
      <c r="EO25" s="154"/>
      <c r="EP25" s="152" t="n">
        <f aca="false">SUMPRODUCT(EQ$4:EZ$4,EQ25:EZ25)</f>
        <v>0</v>
      </c>
      <c r="EQ25" s="146"/>
      <c r="ER25" s="147"/>
      <c r="ES25" s="147"/>
      <c r="ET25" s="147"/>
      <c r="EU25" s="147"/>
      <c r="EV25" s="147"/>
      <c r="EW25" s="147"/>
      <c r="EX25" s="147"/>
      <c r="EY25" s="147"/>
      <c r="EZ25" s="154"/>
      <c r="FA25" s="152" t="n">
        <f aca="false">SUMPRODUCT(FB$4:FK$4,FB25:FK25)</f>
        <v>0</v>
      </c>
      <c r="FB25" s="146"/>
      <c r="FC25" s="147"/>
      <c r="FD25" s="147"/>
      <c r="FE25" s="147"/>
      <c r="FF25" s="147"/>
      <c r="FG25" s="147"/>
      <c r="FH25" s="147"/>
      <c r="FI25" s="147"/>
      <c r="FJ25" s="147"/>
      <c r="FK25" s="154"/>
      <c r="FL25" s="152" t="n">
        <f aca="false">SUMPRODUCT(FM$4:FV$4,FM25:FV25)</f>
        <v>0</v>
      </c>
      <c r="FM25" s="146"/>
      <c r="FN25" s="147"/>
      <c r="FO25" s="147"/>
      <c r="FP25" s="147"/>
      <c r="FQ25" s="147"/>
      <c r="FR25" s="147"/>
      <c r="FS25" s="147"/>
      <c r="FT25" s="147"/>
      <c r="FU25" s="147"/>
      <c r="FV25" s="154"/>
      <c r="FW25" s="152" t="n">
        <f aca="false">SUMPRODUCT(FX$4:GG$4,FX25:GG25)</f>
        <v>0</v>
      </c>
      <c r="FX25" s="146"/>
      <c r="FY25" s="147"/>
      <c r="FZ25" s="147"/>
      <c r="GA25" s="147"/>
      <c r="GB25" s="147"/>
      <c r="GC25" s="147"/>
      <c r="GD25" s="147"/>
      <c r="GE25" s="147"/>
      <c r="GF25" s="147"/>
      <c r="GG25" s="154"/>
      <c r="GH25" s="152" t="n">
        <f aca="false">SUMPRODUCT(GI$4:GR$4,GI25:GR25)</f>
        <v>0</v>
      </c>
      <c r="GI25" s="146"/>
      <c r="GJ25" s="147"/>
      <c r="GK25" s="147"/>
      <c r="GL25" s="147"/>
      <c r="GM25" s="147"/>
      <c r="GN25" s="147"/>
      <c r="GO25" s="147"/>
      <c r="GP25" s="147"/>
      <c r="GQ25" s="147"/>
      <c r="GR25" s="154"/>
      <c r="GS25" s="152" t="n">
        <f aca="false">SUMPRODUCT(GT$4:HC$4,GT25:HC25)</f>
        <v>0</v>
      </c>
      <c r="GT25" s="146"/>
      <c r="GU25" s="147"/>
      <c r="GV25" s="147"/>
      <c r="GW25" s="147"/>
      <c r="GX25" s="147"/>
      <c r="GY25" s="147"/>
      <c r="GZ25" s="147"/>
      <c r="HA25" s="147"/>
      <c r="HB25" s="147"/>
      <c r="HC25" s="154"/>
      <c r="HD25" s="152" t="n">
        <f aca="false">SUMPRODUCT(HE$4:HN$4,HE25:HN25)</f>
        <v>0</v>
      </c>
      <c r="HE25" s="146"/>
      <c r="HF25" s="147"/>
      <c r="HG25" s="147"/>
      <c r="HH25" s="147"/>
      <c r="HI25" s="147"/>
      <c r="HJ25" s="147"/>
      <c r="HK25" s="147"/>
      <c r="HL25" s="147"/>
      <c r="HM25" s="147"/>
      <c r="HN25" s="154"/>
      <c r="HO25" s="152" t="n">
        <f aca="false">SUMPRODUCT(HP$4:HY$4,HP25:HY25)</f>
        <v>0</v>
      </c>
      <c r="HP25" s="146"/>
      <c r="HQ25" s="147"/>
      <c r="HR25" s="147"/>
      <c r="HS25" s="147"/>
      <c r="HT25" s="147"/>
      <c r="HU25" s="147"/>
      <c r="HV25" s="147"/>
      <c r="HW25" s="147"/>
      <c r="HX25" s="147"/>
      <c r="HY25" s="154"/>
      <c r="HZ25" s="152" t="n">
        <f aca="false">SUMPRODUCT(IA$4:IJ$4,IA25:IJ25)</f>
        <v>0</v>
      </c>
      <c r="IA25" s="146"/>
      <c r="IB25" s="147"/>
      <c r="IC25" s="147"/>
      <c r="ID25" s="147"/>
      <c r="IE25" s="147"/>
      <c r="IF25" s="147"/>
      <c r="IG25" s="147"/>
      <c r="IH25" s="147"/>
      <c r="II25" s="147"/>
      <c r="IJ25" s="154"/>
      <c r="IK25" s="152" t="n">
        <f aca="false">SUMPRODUCT(IL$4:IU$4,IL25:IU25)</f>
        <v>0</v>
      </c>
      <c r="IL25" s="146"/>
      <c r="IM25" s="147"/>
      <c r="IN25" s="147"/>
      <c r="IO25" s="147"/>
      <c r="IP25" s="147"/>
      <c r="IQ25" s="147"/>
      <c r="IR25" s="147"/>
      <c r="IS25" s="147"/>
      <c r="IT25" s="147"/>
      <c r="IU25" s="154"/>
      <c r="IV25" s="152" t="n">
        <f aca="false">SUMPRODUCT(IW$4:JF$4,IW25:JF25)</f>
        <v>0</v>
      </c>
      <c r="IW25" s="146"/>
      <c r="IX25" s="147"/>
      <c r="IY25" s="147"/>
      <c r="IZ25" s="147"/>
      <c r="JA25" s="147"/>
      <c r="JB25" s="147"/>
      <c r="JC25" s="147"/>
      <c r="JD25" s="147"/>
      <c r="JE25" s="147"/>
      <c r="JF25" s="154"/>
      <c r="JG25" s="152" t="n">
        <f aca="false">SUMPRODUCT(JH$4:JQ$4,JH25:JQ25)</f>
        <v>0</v>
      </c>
      <c r="JH25" s="146"/>
      <c r="JI25" s="147"/>
      <c r="JJ25" s="147"/>
      <c r="JK25" s="147"/>
      <c r="JL25" s="147"/>
      <c r="JM25" s="147"/>
      <c r="JN25" s="147"/>
      <c r="JO25" s="147"/>
      <c r="JP25" s="147"/>
      <c r="JQ25" s="154"/>
      <c r="JR25" s="152" t="n">
        <f aca="false">SUMPRODUCT(JS$4:KB$4,JS25:KB25)</f>
        <v>0</v>
      </c>
      <c r="JS25" s="146"/>
      <c r="JT25" s="147"/>
      <c r="JU25" s="147"/>
      <c r="JV25" s="147"/>
      <c r="JW25" s="147"/>
      <c r="JX25" s="147"/>
      <c r="JY25" s="147"/>
      <c r="JZ25" s="147"/>
      <c r="KA25" s="147"/>
      <c r="KB25" s="154"/>
      <c r="KC25" s="152" t="n">
        <f aca="false">SUMPRODUCT(KD$4:KM$4,KD25:KM25)</f>
        <v>0</v>
      </c>
      <c r="KD25" s="146"/>
      <c r="KE25" s="147"/>
      <c r="KF25" s="147"/>
      <c r="KG25" s="147"/>
      <c r="KH25" s="147"/>
      <c r="KI25" s="147"/>
      <c r="KJ25" s="147"/>
      <c r="KK25" s="147"/>
      <c r="KL25" s="147"/>
      <c r="KM25" s="154"/>
      <c r="KN25" s="152" t="n">
        <f aca="false">SUMPRODUCT(KO$4:KX$4,KO25:KX25)</f>
        <v>0</v>
      </c>
      <c r="KO25" s="146"/>
      <c r="KP25" s="147"/>
      <c r="KQ25" s="147"/>
      <c r="KR25" s="147"/>
      <c r="KS25" s="147"/>
      <c r="KT25" s="147"/>
      <c r="KU25" s="147"/>
      <c r="KV25" s="147"/>
      <c r="KW25" s="147"/>
      <c r="KX25" s="154"/>
      <c r="KY25" s="152" t="n">
        <f aca="false">SUMPRODUCT(KZ$4:LI$4,KZ25:LI25)</f>
        <v>0</v>
      </c>
      <c r="KZ25" s="146"/>
      <c r="LA25" s="147"/>
      <c r="LB25" s="147"/>
      <c r="LC25" s="147"/>
      <c r="LD25" s="147"/>
      <c r="LE25" s="147"/>
      <c r="LF25" s="147"/>
      <c r="LG25" s="147"/>
      <c r="LH25" s="147"/>
      <c r="LI25" s="154"/>
      <c r="LJ25" s="152" t="n">
        <f aca="false">SUMPRODUCT(LK$4:LT$4,LK25:LT25)</f>
        <v>0</v>
      </c>
      <c r="LK25" s="146"/>
      <c r="LL25" s="147"/>
      <c r="LM25" s="147"/>
      <c r="LN25" s="147"/>
      <c r="LO25" s="147"/>
      <c r="LP25" s="147"/>
      <c r="LQ25" s="147"/>
      <c r="LR25" s="147"/>
      <c r="LS25" s="147"/>
      <c r="LT25" s="154"/>
      <c r="LW25" s="152"/>
      <c r="LX25" s="155" t="n">
        <f aca="false">D179+O179+Z179+AK179+AV179+BG179+BR179+CC179+CN179+CY179+DJ179+DU179+EF179+EQ179+FB179+FM179+FX179+GI179+GT179+HE179+HP179+IA179+IL179+IW179+JH179+JS179+KD179+KO179+KZ179+LK179</f>
        <v>6.75</v>
      </c>
      <c r="LY25" s="156" t="n">
        <f aca="false">E179+P179+AA179+AL179+AW179+BH179+BS179+CD179+CO179+CZ179+DK179+DV179+EG179+ER179+FC179+FN179+FY179+GJ179+GU179+HF179+HQ179+IB179+IM179+IX179+JI179+JT179+KE179+KP179+LA179+LL179</f>
        <v>7.25</v>
      </c>
      <c r="LZ25" s="156" t="n">
        <f aca="false">F179+Q179+AB179+AM179+AX179+BI179+BT179+CE179+CP179+DA179+DL179+DW179+EH179+ES179+FD179+FO179+FZ179+GK179+GV179+HG179+HR179+IC179+IN179+IY179+JJ179+JU179+KF179+KQ179+LB179+LM179</f>
        <v>6.53</v>
      </c>
      <c r="MA25" s="156" t="n">
        <f aca="false">G179+R179+AC179+AN179+AY179+BJ179+BU179+CF179+CQ179+DB179+DM179+DX179+EI179+ET179+FE179+FP179+GA179+GL179+GW179+HH179+HS179+ID179+IO179+IZ179+JK179+JV179+KG179+KR179+LC179+LN179</f>
        <v>4.64</v>
      </c>
      <c r="MB25" s="156" t="n">
        <f aca="false">H179+S179+AD179+AO179+AZ179+BK179+BV179+CG179+CR179+DC179+DN179+DY179+EJ179+EU179+FF179+FQ179+GB179+GM179+GX179+HI179+HT179+IE179+IP179+JA179+JL179+JW179+KH179+KS179+LD179+LO179</f>
        <v>0</v>
      </c>
      <c r="MC25" s="156" t="n">
        <f aca="false">I179+T179+AE179+AP179+BA179+BL179+BW179+CH179+CS179+DD179+DO179+DZ179+EK179+EV179+FG179+FR179+GC179+GN179+GY179+HJ179+HU179+IF179+IQ179+JB179+JM179+JX179+KI179+KT179+LE179+LP179</f>
        <v>0</v>
      </c>
      <c r="MD25" s="156" t="n">
        <f aca="false">J179+U179+AF179+AQ179+BB179+BM179+BX179+CI179+CT179+DE179+DP179+EA179+EL179+EW179+FH179+FS179+GD179+GO179+GZ179+HK179+HV179+IG179+IR179+JC179+JN179+JY179+KJ179+KU179+LF179+LQ179</f>
        <v>0</v>
      </c>
      <c r="ME25" s="156" t="n">
        <f aca="false">K179+V179+AG179+AR179+BC179+BN179+BY179+CJ179+CU179+DF179+DQ179+EB179+EM179+EX179+FI179+FT179+GE179+GP179+HA179+HL179+HW179+IH179+IS179+JD179+JO179+JZ179+KK179+KV179+LG179+LR179</f>
        <v>0</v>
      </c>
      <c r="MF25" s="156" t="n">
        <f aca="false">L179+W179+AH179+AS179+BD179+BO179+BZ179+CK179+CV179+DG179+DR179+EC179+EN179+EY179+FJ179+FU179+GF179+GQ179+HB179+HM179+HX179+II179+IT179+JE179+JP179+KA179+KL179+KW179+LH179+LS179</f>
        <v>0</v>
      </c>
      <c r="MG25" s="157" t="n">
        <f aca="false">M179+X179+AI179+AT179+BE179+BP179+CA179+CL179+CW179+DH179+DS179+ED179+EO179+EZ179+FK179+FV179+GG179+GR179+HC179+HN179+HY179+IJ179+IU179+JF179+JQ179+KB179+KM179+KX179+LI179+LT179</f>
        <v>0</v>
      </c>
    </row>
    <row r="26" customFormat="false" ht="13.8" hidden="false" customHeight="false" outlineLevel="0" collapsed="false">
      <c r="A26" s="29" t="n">
        <v>21</v>
      </c>
      <c r="B26" s="151" t="str">
        <f aca="false">'Datos Iniciales'!T29</f>
        <v>Alumno21</v>
      </c>
      <c r="C26" s="152" t="n">
        <f aca="false">SUMPRODUCT(D$4:M$4,D26:M26)</f>
        <v>6.4</v>
      </c>
      <c r="D26" s="146" t="n">
        <v>6</v>
      </c>
      <c r="E26" s="147" t="n">
        <v>7</v>
      </c>
      <c r="F26" s="147" t="n">
        <v>8</v>
      </c>
      <c r="G26" s="147" t="n">
        <v>9</v>
      </c>
      <c r="H26" s="147" t="n">
        <v>5</v>
      </c>
      <c r="I26" s="147" t="n">
        <v>4</v>
      </c>
      <c r="J26" s="147" t="n">
        <v>6</v>
      </c>
      <c r="K26" s="147"/>
      <c r="L26" s="147"/>
      <c r="M26" s="154"/>
      <c r="N26" s="152" t="n">
        <f aca="false">SUMPRODUCT(O$4:X$4,O26:X26)</f>
        <v>7</v>
      </c>
      <c r="O26" s="146" t="n">
        <v>6</v>
      </c>
      <c r="P26" s="147" t="n">
        <v>7</v>
      </c>
      <c r="Q26" s="147" t="n">
        <v>8</v>
      </c>
      <c r="R26" s="147" t="n">
        <v>9</v>
      </c>
      <c r="S26" s="147" t="n">
        <v>5</v>
      </c>
      <c r="T26" s="147"/>
      <c r="U26" s="147"/>
      <c r="V26" s="147"/>
      <c r="W26" s="147"/>
      <c r="X26" s="154"/>
      <c r="Y26" s="152" t="n">
        <f aca="false">SUMPRODUCT(Z$4:AI$4,Z26:AI26)</f>
        <v>9.6</v>
      </c>
      <c r="Z26" s="146" t="n">
        <v>10</v>
      </c>
      <c r="AA26" s="147" t="n">
        <v>9</v>
      </c>
      <c r="AB26" s="147" t="n">
        <v>10</v>
      </c>
      <c r="AC26" s="147" t="n">
        <v>9</v>
      </c>
      <c r="AD26" s="147" t="n">
        <v>10</v>
      </c>
      <c r="AE26" s="147"/>
      <c r="AF26" s="147"/>
      <c r="AG26" s="147"/>
      <c r="AH26" s="147"/>
      <c r="AI26" s="154"/>
      <c r="AJ26" s="152" t="n">
        <f aca="false">SUMPRODUCT(AK$4:AT$4,AK26:AT26)</f>
        <v>9.6</v>
      </c>
      <c r="AK26" s="146" t="n">
        <v>10</v>
      </c>
      <c r="AL26" s="147" t="n">
        <v>9</v>
      </c>
      <c r="AM26" s="147" t="n">
        <v>10</v>
      </c>
      <c r="AN26" s="147" t="n">
        <v>9</v>
      </c>
      <c r="AO26" s="147" t="n">
        <v>10</v>
      </c>
      <c r="AP26" s="147"/>
      <c r="AQ26" s="147"/>
      <c r="AR26" s="147"/>
      <c r="AS26" s="147"/>
      <c r="AT26" s="154"/>
      <c r="AU26" s="152" t="n">
        <f aca="false">SUMPRODUCT(AV$4:BE$4,AV26:BE26)</f>
        <v>7.3</v>
      </c>
      <c r="AV26" s="146" t="n">
        <v>6</v>
      </c>
      <c r="AW26" s="147" t="n">
        <v>7</v>
      </c>
      <c r="AX26" s="147" t="n">
        <v>8</v>
      </c>
      <c r="AY26" s="147" t="n">
        <v>9</v>
      </c>
      <c r="AZ26" s="147" t="n">
        <v>5</v>
      </c>
      <c r="BA26" s="147"/>
      <c r="BB26" s="147"/>
      <c r="BC26" s="147"/>
      <c r="BD26" s="147"/>
      <c r="BE26" s="154"/>
      <c r="BF26" s="152" t="n">
        <f aca="false">SUMPRODUCT(BG$4:BP$4,BG26:BP26)</f>
        <v>6.9</v>
      </c>
      <c r="BG26" s="146" t="n">
        <v>6</v>
      </c>
      <c r="BH26" s="147" t="n">
        <v>7</v>
      </c>
      <c r="BI26" s="147" t="n">
        <v>8</v>
      </c>
      <c r="BJ26" s="147" t="n">
        <v>9</v>
      </c>
      <c r="BK26" s="147" t="n">
        <v>5</v>
      </c>
      <c r="BL26" s="147"/>
      <c r="BM26" s="147"/>
      <c r="BN26" s="147"/>
      <c r="BO26" s="147"/>
      <c r="BP26" s="154"/>
      <c r="BQ26" s="152" t="n">
        <f aca="false">SUMPRODUCT(BR$4:CA$4,BR26:CA26)</f>
        <v>4.5</v>
      </c>
      <c r="BR26" s="146" t="n">
        <v>4</v>
      </c>
      <c r="BS26" s="147" t="n">
        <v>3</v>
      </c>
      <c r="BT26" s="147" t="n">
        <v>5</v>
      </c>
      <c r="BU26" s="147" t="n">
        <v>6</v>
      </c>
      <c r="BV26" s="147" t="n">
        <v>4</v>
      </c>
      <c r="BW26" s="147"/>
      <c r="BX26" s="147"/>
      <c r="BY26" s="147"/>
      <c r="BZ26" s="147"/>
      <c r="CA26" s="154"/>
      <c r="CB26" s="152" t="n">
        <f aca="false">SUMPRODUCT(CC$4:CL$4,CC26:CL26)</f>
        <v>0</v>
      </c>
      <c r="CC26" s="146"/>
      <c r="CD26" s="147"/>
      <c r="CE26" s="147"/>
      <c r="CF26" s="147"/>
      <c r="CG26" s="147"/>
      <c r="CH26" s="147"/>
      <c r="CI26" s="147"/>
      <c r="CJ26" s="147"/>
      <c r="CK26" s="147"/>
      <c r="CL26" s="154"/>
      <c r="CM26" s="152" t="n">
        <f aca="false">SUMPRODUCT(CN$4:CW$4,CN26:CW26)</f>
        <v>0</v>
      </c>
      <c r="CN26" s="146"/>
      <c r="CO26" s="147"/>
      <c r="CP26" s="147"/>
      <c r="CQ26" s="147"/>
      <c r="CR26" s="147"/>
      <c r="CS26" s="147"/>
      <c r="CT26" s="147"/>
      <c r="CU26" s="147"/>
      <c r="CV26" s="147"/>
      <c r="CW26" s="154"/>
      <c r="CX26" s="152" t="n">
        <f aca="false">SUMPRODUCT(CY$4:DH$4,CY26:DH26)</f>
        <v>0</v>
      </c>
      <c r="CY26" s="146"/>
      <c r="CZ26" s="147"/>
      <c r="DA26" s="147"/>
      <c r="DB26" s="147"/>
      <c r="DC26" s="147"/>
      <c r="DD26" s="147"/>
      <c r="DE26" s="147"/>
      <c r="DF26" s="147"/>
      <c r="DG26" s="147"/>
      <c r="DH26" s="154"/>
      <c r="DI26" s="152" t="n">
        <f aca="false">SUMPRODUCT(DJ$4:DS$4,DJ26:DS26)</f>
        <v>0</v>
      </c>
      <c r="DJ26" s="146"/>
      <c r="DK26" s="147"/>
      <c r="DL26" s="147"/>
      <c r="DM26" s="147"/>
      <c r="DN26" s="147"/>
      <c r="DO26" s="147"/>
      <c r="DP26" s="147"/>
      <c r="DQ26" s="147"/>
      <c r="DR26" s="147"/>
      <c r="DS26" s="154"/>
      <c r="DT26" s="152" t="n">
        <f aca="false">SUMPRODUCT(DU$4:ED$4,DU26:ED26)</f>
        <v>0</v>
      </c>
      <c r="DU26" s="146"/>
      <c r="DV26" s="147"/>
      <c r="DW26" s="147"/>
      <c r="DX26" s="147"/>
      <c r="DY26" s="147"/>
      <c r="DZ26" s="147"/>
      <c r="EA26" s="147"/>
      <c r="EB26" s="147"/>
      <c r="EC26" s="147"/>
      <c r="ED26" s="154"/>
      <c r="EE26" s="152" t="n">
        <f aca="false">SUMPRODUCT(EF$4:EO$4,EF26:EO26)</f>
        <v>0</v>
      </c>
      <c r="EF26" s="146"/>
      <c r="EG26" s="147"/>
      <c r="EH26" s="147"/>
      <c r="EI26" s="147"/>
      <c r="EJ26" s="147"/>
      <c r="EK26" s="147"/>
      <c r="EL26" s="147"/>
      <c r="EM26" s="147"/>
      <c r="EN26" s="147"/>
      <c r="EO26" s="154"/>
      <c r="EP26" s="152" t="n">
        <f aca="false">SUMPRODUCT(EQ$4:EZ$4,EQ26:EZ26)</f>
        <v>0</v>
      </c>
      <c r="EQ26" s="146"/>
      <c r="ER26" s="147"/>
      <c r="ES26" s="147"/>
      <c r="ET26" s="147"/>
      <c r="EU26" s="147"/>
      <c r="EV26" s="147"/>
      <c r="EW26" s="147"/>
      <c r="EX26" s="147"/>
      <c r="EY26" s="147"/>
      <c r="EZ26" s="154"/>
      <c r="FA26" s="152" t="n">
        <f aca="false">SUMPRODUCT(FB$4:FK$4,FB26:FK26)</f>
        <v>0</v>
      </c>
      <c r="FB26" s="146"/>
      <c r="FC26" s="147"/>
      <c r="FD26" s="147"/>
      <c r="FE26" s="147"/>
      <c r="FF26" s="147"/>
      <c r="FG26" s="147"/>
      <c r="FH26" s="147"/>
      <c r="FI26" s="147"/>
      <c r="FJ26" s="147"/>
      <c r="FK26" s="154"/>
      <c r="FL26" s="152" t="n">
        <f aca="false">SUMPRODUCT(FM$4:FV$4,FM26:FV26)</f>
        <v>0</v>
      </c>
      <c r="FM26" s="146"/>
      <c r="FN26" s="147"/>
      <c r="FO26" s="147"/>
      <c r="FP26" s="147"/>
      <c r="FQ26" s="147"/>
      <c r="FR26" s="147"/>
      <c r="FS26" s="147"/>
      <c r="FT26" s="147"/>
      <c r="FU26" s="147"/>
      <c r="FV26" s="154"/>
      <c r="FW26" s="152" t="n">
        <f aca="false">SUMPRODUCT(FX$4:GG$4,FX26:GG26)</f>
        <v>0</v>
      </c>
      <c r="FX26" s="146"/>
      <c r="FY26" s="147"/>
      <c r="FZ26" s="147"/>
      <c r="GA26" s="147"/>
      <c r="GB26" s="147"/>
      <c r="GC26" s="147"/>
      <c r="GD26" s="147"/>
      <c r="GE26" s="147"/>
      <c r="GF26" s="147"/>
      <c r="GG26" s="154"/>
      <c r="GH26" s="152" t="n">
        <f aca="false">SUMPRODUCT(GI$4:GR$4,GI26:GR26)</f>
        <v>0</v>
      </c>
      <c r="GI26" s="146"/>
      <c r="GJ26" s="147"/>
      <c r="GK26" s="147"/>
      <c r="GL26" s="147"/>
      <c r="GM26" s="147"/>
      <c r="GN26" s="147"/>
      <c r="GO26" s="147"/>
      <c r="GP26" s="147"/>
      <c r="GQ26" s="147"/>
      <c r="GR26" s="154"/>
      <c r="GS26" s="152" t="n">
        <f aca="false">SUMPRODUCT(GT$4:HC$4,GT26:HC26)</f>
        <v>0</v>
      </c>
      <c r="GT26" s="146"/>
      <c r="GU26" s="147"/>
      <c r="GV26" s="147"/>
      <c r="GW26" s="147"/>
      <c r="GX26" s="147"/>
      <c r="GY26" s="147"/>
      <c r="GZ26" s="147"/>
      <c r="HA26" s="147"/>
      <c r="HB26" s="147"/>
      <c r="HC26" s="154"/>
      <c r="HD26" s="152" t="n">
        <f aca="false">SUMPRODUCT(HE$4:HN$4,HE26:HN26)</f>
        <v>0</v>
      </c>
      <c r="HE26" s="146"/>
      <c r="HF26" s="147"/>
      <c r="HG26" s="147"/>
      <c r="HH26" s="147"/>
      <c r="HI26" s="147"/>
      <c r="HJ26" s="147"/>
      <c r="HK26" s="147"/>
      <c r="HL26" s="147"/>
      <c r="HM26" s="147"/>
      <c r="HN26" s="154"/>
      <c r="HO26" s="152" t="n">
        <f aca="false">SUMPRODUCT(HP$4:HY$4,HP26:HY26)</f>
        <v>0</v>
      </c>
      <c r="HP26" s="146"/>
      <c r="HQ26" s="147"/>
      <c r="HR26" s="147"/>
      <c r="HS26" s="147"/>
      <c r="HT26" s="147"/>
      <c r="HU26" s="147"/>
      <c r="HV26" s="147"/>
      <c r="HW26" s="147"/>
      <c r="HX26" s="147"/>
      <c r="HY26" s="154"/>
      <c r="HZ26" s="152" t="n">
        <f aca="false">SUMPRODUCT(IA$4:IJ$4,IA26:IJ26)</f>
        <v>0</v>
      </c>
      <c r="IA26" s="146"/>
      <c r="IB26" s="147"/>
      <c r="IC26" s="147"/>
      <c r="ID26" s="147"/>
      <c r="IE26" s="147"/>
      <c r="IF26" s="147"/>
      <c r="IG26" s="147"/>
      <c r="IH26" s="147"/>
      <c r="II26" s="147"/>
      <c r="IJ26" s="154"/>
      <c r="IK26" s="152" t="n">
        <f aca="false">SUMPRODUCT(IL$4:IU$4,IL26:IU26)</f>
        <v>0</v>
      </c>
      <c r="IL26" s="146"/>
      <c r="IM26" s="147"/>
      <c r="IN26" s="147"/>
      <c r="IO26" s="147"/>
      <c r="IP26" s="147"/>
      <c r="IQ26" s="147"/>
      <c r="IR26" s="147"/>
      <c r="IS26" s="147"/>
      <c r="IT26" s="147"/>
      <c r="IU26" s="154"/>
      <c r="IV26" s="152" t="n">
        <f aca="false">SUMPRODUCT(IW$4:JF$4,IW26:JF26)</f>
        <v>0</v>
      </c>
      <c r="IW26" s="146"/>
      <c r="IX26" s="147"/>
      <c r="IY26" s="147"/>
      <c r="IZ26" s="147"/>
      <c r="JA26" s="147"/>
      <c r="JB26" s="147"/>
      <c r="JC26" s="147"/>
      <c r="JD26" s="147"/>
      <c r="JE26" s="147"/>
      <c r="JF26" s="154"/>
      <c r="JG26" s="152" t="n">
        <f aca="false">SUMPRODUCT(JH$4:JQ$4,JH26:JQ26)</f>
        <v>0</v>
      </c>
      <c r="JH26" s="146"/>
      <c r="JI26" s="147"/>
      <c r="JJ26" s="147"/>
      <c r="JK26" s="147"/>
      <c r="JL26" s="147"/>
      <c r="JM26" s="147"/>
      <c r="JN26" s="147"/>
      <c r="JO26" s="147"/>
      <c r="JP26" s="147"/>
      <c r="JQ26" s="154"/>
      <c r="JR26" s="152" t="n">
        <f aca="false">SUMPRODUCT(JS$4:KB$4,JS26:KB26)</f>
        <v>0</v>
      </c>
      <c r="JS26" s="146"/>
      <c r="JT26" s="147"/>
      <c r="JU26" s="147"/>
      <c r="JV26" s="147"/>
      <c r="JW26" s="147"/>
      <c r="JX26" s="147"/>
      <c r="JY26" s="147"/>
      <c r="JZ26" s="147"/>
      <c r="KA26" s="147"/>
      <c r="KB26" s="154"/>
      <c r="KC26" s="152" t="n">
        <f aca="false">SUMPRODUCT(KD$4:KM$4,KD26:KM26)</f>
        <v>0</v>
      </c>
      <c r="KD26" s="146"/>
      <c r="KE26" s="147"/>
      <c r="KF26" s="147"/>
      <c r="KG26" s="147"/>
      <c r="KH26" s="147"/>
      <c r="KI26" s="147"/>
      <c r="KJ26" s="147"/>
      <c r="KK26" s="147"/>
      <c r="KL26" s="147"/>
      <c r="KM26" s="154"/>
      <c r="KN26" s="152" t="n">
        <f aca="false">SUMPRODUCT(KO$4:KX$4,KO26:KX26)</f>
        <v>0</v>
      </c>
      <c r="KO26" s="146"/>
      <c r="KP26" s="147"/>
      <c r="KQ26" s="147"/>
      <c r="KR26" s="147"/>
      <c r="KS26" s="147"/>
      <c r="KT26" s="147"/>
      <c r="KU26" s="147"/>
      <c r="KV26" s="147"/>
      <c r="KW26" s="147"/>
      <c r="KX26" s="154"/>
      <c r="KY26" s="152" t="n">
        <f aca="false">SUMPRODUCT(KZ$4:LI$4,KZ26:LI26)</f>
        <v>0</v>
      </c>
      <c r="KZ26" s="146"/>
      <c r="LA26" s="147"/>
      <c r="LB26" s="147"/>
      <c r="LC26" s="147"/>
      <c r="LD26" s="147"/>
      <c r="LE26" s="147"/>
      <c r="LF26" s="147"/>
      <c r="LG26" s="147"/>
      <c r="LH26" s="147"/>
      <c r="LI26" s="154"/>
      <c r="LJ26" s="152" t="n">
        <f aca="false">SUMPRODUCT(LK$4:LT$4,LK26:LT26)</f>
        <v>0</v>
      </c>
      <c r="LK26" s="146"/>
      <c r="LL26" s="147"/>
      <c r="LM26" s="147"/>
      <c r="LN26" s="147"/>
      <c r="LO26" s="147"/>
      <c r="LP26" s="147"/>
      <c r="LQ26" s="147"/>
      <c r="LR26" s="147"/>
      <c r="LS26" s="147"/>
      <c r="LT26" s="154"/>
      <c r="LW26" s="152"/>
      <c r="LX26" s="155" t="n">
        <f aca="false">D180+O180+Z180+AK180+AV180+BG180+BR180+CC180+CN180+CY180+DJ180+DU180+EF180+EQ180+FB180+FM180+FX180+GI180+GT180+HE180+HP180+IA180+IL180+IW180+JH180+JS180+KD180+KO180+KZ180+LK180</f>
        <v>7.7</v>
      </c>
      <c r="LY26" s="156" t="n">
        <f aca="false">E180+P180+AA180+AL180+AW180+BH180+BS180+CD180+CO180+CZ180+DK180+DV180+EG180+ER180+FC180+FN180+FY180+GJ180+GU180+HF180+HQ180+IB180+IM180+IX180+JI180+JT180+KE180+KP180+LA180+LL180</f>
        <v>8.3</v>
      </c>
      <c r="LZ26" s="156" t="n">
        <f aca="false">F180+Q180+AB180+AM180+AX180+BI180+BT180+CE180+CP180+DA180+DL180+DW180+EH180+ES180+FD180+FO180+FZ180+GK180+GV180+HG180+HR180+IC180+IN180+IY180+JJ180+JU180+KF180+KQ180+LB180+LM180</f>
        <v>8.355</v>
      </c>
      <c r="MA26" s="156" t="n">
        <f aca="false">G180+R180+AC180+AN180+AY180+BJ180+BU180+CF180+CQ180+DB180+DM180+DX180+EI180+ET180+FE180+FP180+GA180+GL180+GW180+HH180+HS180+ID180+IO180+IZ180+JK180+JV180+KG180+KR180+LC180+LN180</f>
        <v>5.54</v>
      </c>
      <c r="MB26" s="156" t="n">
        <f aca="false">H180+S180+AD180+AO180+AZ180+BK180+BV180+CG180+CR180+DC180+DN180+DY180+EJ180+EU180+FF180+FQ180+GB180+GM180+GX180+HI180+HT180+IE180+IP180+JA180+JL180+JW180+KH180+KS180+LD180+LO180</f>
        <v>0</v>
      </c>
      <c r="MC26" s="156" t="n">
        <f aca="false">I180+T180+AE180+AP180+BA180+BL180+BW180+CH180+CS180+DD180+DO180+DZ180+EK180+EV180+FG180+FR180+GC180+GN180+GY180+HJ180+HU180+IF180+IQ180+JB180+JM180+JX180+KI180+KT180+LE180+LP180</f>
        <v>0</v>
      </c>
      <c r="MD26" s="156" t="n">
        <f aca="false">J180+U180+AF180+AQ180+BB180+BM180+BX180+CI180+CT180+DE180+DP180+EA180+EL180+EW180+FH180+FS180+GD180+GO180+GZ180+HK180+HV180+IG180+IR180+JC180+JN180+JY180+KJ180+KU180+LF180+LQ180</f>
        <v>0</v>
      </c>
      <c r="ME26" s="156" t="n">
        <f aca="false">K180+V180+AG180+AR180+BC180+BN180+BY180+CJ180+CU180+DF180+DQ180+EB180+EM180+EX180+FI180+FT180+GE180+GP180+HA180+HL180+HW180+IH180+IS180+JD180+JO180+JZ180+KK180+KV180+LG180+LR180</f>
        <v>0</v>
      </c>
      <c r="MF26" s="156" t="n">
        <f aca="false">L180+W180+AH180+AS180+BD180+BO180+BZ180+CK180+CV180+DG180+DR180+EC180+EN180+EY180+FJ180+FU180+GF180+GQ180+HB180+HM180+HX180+II180+IT180+JE180+JP180+KA180+KL180+KW180+LH180+LS180</f>
        <v>0</v>
      </c>
      <c r="MG26" s="157" t="n">
        <f aca="false">M180+X180+AI180+AT180+BE180+BP180+CA180+CL180+CW180+DH180+DS180+ED180+EO180+EZ180+FK180+FV180+GG180+GR180+HC180+HN180+HY180+IJ180+IU180+JF180+JQ180+KB180+KM180+KX180+LI180+LT180</f>
        <v>0</v>
      </c>
    </row>
    <row r="27" customFormat="false" ht="13.8" hidden="false" customHeight="false" outlineLevel="0" collapsed="false">
      <c r="A27" s="29" t="n">
        <v>22</v>
      </c>
      <c r="B27" s="151" t="str">
        <f aca="false">'Datos Iniciales'!T30</f>
        <v>Alumno22</v>
      </c>
      <c r="C27" s="152" t="n">
        <f aca="false">SUMPRODUCT(D$4:M$4,D27:M27)</f>
        <v>5</v>
      </c>
      <c r="D27" s="146" t="n">
        <v>5</v>
      </c>
      <c r="E27" s="153" t="n">
        <v>5</v>
      </c>
      <c r="F27" s="153" t="n">
        <v>5</v>
      </c>
      <c r="G27" s="153" t="n">
        <v>5</v>
      </c>
      <c r="H27" s="153" t="n">
        <v>5</v>
      </c>
      <c r="I27" s="153" t="n">
        <v>5</v>
      </c>
      <c r="J27" s="153" t="n">
        <v>5</v>
      </c>
      <c r="K27" s="147"/>
      <c r="L27" s="147"/>
      <c r="M27" s="154"/>
      <c r="N27" s="152" t="n">
        <f aca="false">SUMPRODUCT(O$4:X$4,O27:X27)</f>
        <v>5</v>
      </c>
      <c r="O27" s="146" t="n">
        <v>5</v>
      </c>
      <c r="P27" s="153" t="n">
        <v>5</v>
      </c>
      <c r="Q27" s="153" t="n">
        <v>5</v>
      </c>
      <c r="R27" s="153" t="n">
        <v>5</v>
      </c>
      <c r="S27" s="153" t="n">
        <v>5</v>
      </c>
      <c r="T27" s="153"/>
      <c r="U27" s="153"/>
      <c r="V27" s="147"/>
      <c r="W27" s="147"/>
      <c r="X27" s="154"/>
      <c r="Y27" s="152" t="n">
        <f aca="false">SUMPRODUCT(Z$4:AI$4,Z27:AI27)</f>
        <v>7</v>
      </c>
      <c r="Z27" s="146" t="n">
        <v>6</v>
      </c>
      <c r="AA27" s="147" t="n">
        <v>7</v>
      </c>
      <c r="AB27" s="147" t="n">
        <v>8</v>
      </c>
      <c r="AC27" s="147" t="n">
        <v>9</v>
      </c>
      <c r="AD27" s="147" t="n">
        <v>5</v>
      </c>
      <c r="AE27" s="147"/>
      <c r="AF27" s="147"/>
      <c r="AG27" s="147"/>
      <c r="AH27" s="147"/>
      <c r="AI27" s="154"/>
      <c r="AJ27" s="152" t="n">
        <f aca="false">SUMPRODUCT(AK$4:AT$4,AK27:AT27)</f>
        <v>7</v>
      </c>
      <c r="AK27" s="146" t="n">
        <v>6</v>
      </c>
      <c r="AL27" s="147" t="n">
        <v>7</v>
      </c>
      <c r="AM27" s="147" t="n">
        <v>8</v>
      </c>
      <c r="AN27" s="147" t="n">
        <v>9</v>
      </c>
      <c r="AO27" s="147" t="n">
        <v>5</v>
      </c>
      <c r="AP27" s="147"/>
      <c r="AQ27" s="147"/>
      <c r="AR27" s="147"/>
      <c r="AS27" s="147"/>
      <c r="AT27" s="154"/>
      <c r="AU27" s="152" t="n">
        <f aca="false">SUMPRODUCT(AV$4:BE$4,AV27:BE27)</f>
        <v>5</v>
      </c>
      <c r="AV27" s="146" t="n">
        <v>5</v>
      </c>
      <c r="AW27" s="153" t="n">
        <v>5</v>
      </c>
      <c r="AX27" s="153" t="n">
        <v>5</v>
      </c>
      <c r="AY27" s="153" t="n">
        <v>5</v>
      </c>
      <c r="AZ27" s="153" t="n">
        <v>5</v>
      </c>
      <c r="BA27" s="147"/>
      <c r="BB27" s="147"/>
      <c r="BC27" s="147"/>
      <c r="BD27" s="147"/>
      <c r="BE27" s="154"/>
      <c r="BF27" s="152" t="n">
        <f aca="false">SUMPRODUCT(BG$4:BP$4,BG27:BP27)</f>
        <v>5</v>
      </c>
      <c r="BG27" s="146" t="n">
        <v>5</v>
      </c>
      <c r="BH27" s="153" t="n">
        <v>5</v>
      </c>
      <c r="BI27" s="153" t="n">
        <v>5</v>
      </c>
      <c r="BJ27" s="153" t="n">
        <v>5</v>
      </c>
      <c r="BK27" s="153" t="n">
        <v>5</v>
      </c>
      <c r="BL27" s="147"/>
      <c r="BM27" s="147"/>
      <c r="BN27" s="147"/>
      <c r="BO27" s="147"/>
      <c r="BP27" s="154"/>
      <c r="BQ27" s="152" t="n">
        <f aca="false">SUMPRODUCT(BR$4:CA$4,BR27:CA27)</f>
        <v>3.6</v>
      </c>
      <c r="BR27" s="146" t="n">
        <v>3</v>
      </c>
      <c r="BS27" s="147" t="n">
        <v>3</v>
      </c>
      <c r="BT27" s="147" t="n">
        <v>2</v>
      </c>
      <c r="BU27" s="147" t="n">
        <v>4</v>
      </c>
      <c r="BV27" s="147" t="n">
        <v>5</v>
      </c>
      <c r="BW27" s="147"/>
      <c r="BX27" s="147"/>
      <c r="BY27" s="147"/>
      <c r="BZ27" s="147"/>
      <c r="CA27" s="154"/>
      <c r="CB27" s="152" t="n">
        <f aca="false">SUMPRODUCT(CC$4:CL$4,CC27:CL27)</f>
        <v>0</v>
      </c>
      <c r="CC27" s="146"/>
      <c r="CD27" s="147"/>
      <c r="CE27" s="147"/>
      <c r="CF27" s="147"/>
      <c r="CG27" s="147"/>
      <c r="CH27" s="147"/>
      <c r="CI27" s="147"/>
      <c r="CJ27" s="147"/>
      <c r="CK27" s="147"/>
      <c r="CL27" s="154"/>
      <c r="CM27" s="152" t="n">
        <f aca="false">SUMPRODUCT(CN$4:CW$4,CN27:CW27)</f>
        <v>0</v>
      </c>
      <c r="CN27" s="146"/>
      <c r="CO27" s="147"/>
      <c r="CP27" s="147"/>
      <c r="CQ27" s="147"/>
      <c r="CR27" s="147"/>
      <c r="CS27" s="147"/>
      <c r="CT27" s="147"/>
      <c r="CU27" s="147"/>
      <c r="CV27" s="147"/>
      <c r="CW27" s="154"/>
      <c r="CX27" s="152" t="n">
        <f aca="false">SUMPRODUCT(CY$4:DH$4,CY27:DH27)</f>
        <v>0</v>
      </c>
      <c r="CY27" s="146"/>
      <c r="CZ27" s="147"/>
      <c r="DA27" s="147"/>
      <c r="DB27" s="147"/>
      <c r="DC27" s="147"/>
      <c r="DD27" s="147"/>
      <c r="DE27" s="147"/>
      <c r="DF27" s="147"/>
      <c r="DG27" s="147"/>
      <c r="DH27" s="154"/>
      <c r="DI27" s="152" t="n">
        <f aca="false">SUMPRODUCT(DJ$4:DS$4,DJ27:DS27)</f>
        <v>0</v>
      </c>
      <c r="DJ27" s="146"/>
      <c r="DK27" s="147"/>
      <c r="DL27" s="147"/>
      <c r="DM27" s="147"/>
      <c r="DN27" s="147"/>
      <c r="DO27" s="147"/>
      <c r="DP27" s="147"/>
      <c r="DQ27" s="147"/>
      <c r="DR27" s="147"/>
      <c r="DS27" s="154"/>
      <c r="DT27" s="152" t="n">
        <f aca="false">SUMPRODUCT(DU$4:ED$4,DU27:ED27)</f>
        <v>0</v>
      </c>
      <c r="DU27" s="146"/>
      <c r="DV27" s="147"/>
      <c r="DW27" s="147"/>
      <c r="DX27" s="147"/>
      <c r="DY27" s="147"/>
      <c r="DZ27" s="147"/>
      <c r="EA27" s="147"/>
      <c r="EB27" s="147"/>
      <c r="EC27" s="147"/>
      <c r="ED27" s="154"/>
      <c r="EE27" s="152" t="n">
        <f aca="false">SUMPRODUCT(EF$4:EO$4,EF27:EO27)</f>
        <v>0</v>
      </c>
      <c r="EF27" s="146"/>
      <c r="EG27" s="147"/>
      <c r="EH27" s="147"/>
      <c r="EI27" s="147"/>
      <c r="EJ27" s="147"/>
      <c r="EK27" s="147"/>
      <c r="EL27" s="147"/>
      <c r="EM27" s="147"/>
      <c r="EN27" s="147"/>
      <c r="EO27" s="154"/>
      <c r="EP27" s="152" t="n">
        <f aca="false">SUMPRODUCT(EQ$4:EZ$4,EQ27:EZ27)</f>
        <v>0</v>
      </c>
      <c r="EQ27" s="146"/>
      <c r="ER27" s="147"/>
      <c r="ES27" s="147"/>
      <c r="ET27" s="147"/>
      <c r="EU27" s="147"/>
      <c r="EV27" s="147"/>
      <c r="EW27" s="147"/>
      <c r="EX27" s="147"/>
      <c r="EY27" s="147"/>
      <c r="EZ27" s="154"/>
      <c r="FA27" s="152" t="n">
        <f aca="false">SUMPRODUCT(FB$4:FK$4,FB27:FK27)</f>
        <v>0</v>
      </c>
      <c r="FB27" s="146"/>
      <c r="FC27" s="147"/>
      <c r="FD27" s="147"/>
      <c r="FE27" s="147"/>
      <c r="FF27" s="147"/>
      <c r="FG27" s="147"/>
      <c r="FH27" s="147"/>
      <c r="FI27" s="147"/>
      <c r="FJ27" s="147"/>
      <c r="FK27" s="154"/>
      <c r="FL27" s="152" t="n">
        <f aca="false">SUMPRODUCT(FM$4:FV$4,FM27:FV27)</f>
        <v>0</v>
      </c>
      <c r="FM27" s="146"/>
      <c r="FN27" s="147"/>
      <c r="FO27" s="147"/>
      <c r="FP27" s="147"/>
      <c r="FQ27" s="147"/>
      <c r="FR27" s="147"/>
      <c r="FS27" s="147"/>
      <c r="FT27" s="147"/>
      <c r="FU27" s="147"/>
      <c r="FV27" s="154"/>
      <c r="FW27" s="152" t="n">
        <f aca="false">SUMPRODUCT(FX$4:GG$4,FX27:GG27)</f>
        <v>0</v>
      </c>
      <c r="FX27" s="146"/>
      <c r="FY27" s="147"/>
      <c r="FZ27" s="147"/>
      <c r="GA27" s="147"/>
      <c r="GB27" s="147"/>
      <c r="GC27" s="147"/>
      <c r="GD27" s="147"/>
      <c r="GE27" s="147"/>
      <c r="GF27" s="147"/>
      <c r="GG27" s="154"/>
      <c r="GH27" s="152" t="n">
        <f aca="false">SUMPRODUCT(GI$4:GR$4,GI27:GR27)</f>
        <v>0</v>
      </c>
      <c r="GI27" s="146"/>
      <c r="GJ27" s="147"/>
      <c r="GK27" s="147"/>
      <c r="GL27" s="147"/>
      <c r="GM27" s="147"/>
      <c r="GN27" s="147"/>
      <c r="GO27" s="147"/>
      <c r="GP27" s="147"/>
      <c r="GQ27" s="147"/>
      <c r="GR27" s="154"/>
      <c r="GS27" s="152" t="n">
        <f aca="false">SUMPRODUCT(GT$4:HC$4,GT27:HC27)</f>
        <v>0</v>
      </c>
      <c r="GT27" s="146"/>
      <c r="GU27" s="147"/>
      <c r="GV27" s="147"/>
      <c r="GW27" s="147"/>
      <c r="GX27" s="147"/>
      <c r="GY27" s="147"/>
      <c r="GZ27" s="147"/>
      <c r="HA27" s="147"/>
      <c r="HB27" s="147"/>
      <c r="HC27" s="154"/>
      <c r="HD27" s="152" t="n">
        <f aca="false">SUMPRODUCT(HE$4:HN$4,HE27:HN27)</f>
        <v>0</v>
      </c>
      <c r="HE27" s="146"/>
      <c r="HF27" s="147"/>
      <c r="HG27" s="147"/>
      <c r="HH27" s="147"/>
      <c r="HI27" s="147"/>
      <c r="HJ27" s="147"/>
      <c r="HK27" s="147"/>
      <c r="HL27" s="147"/>
      <c r="HM27" s="147"/>
      <c r="HN27" s="154"/>
      <c r="HO27" s="152" t="n">
        <f aca="false">SUMPRODUCT(HP$4:HY$4,HP27:HY27)</f>
        <v>0</v>
      </c>
      <c r="HP27" s="146"/>
      <c r="HQ27" s="147"/>
      <c r="HR27" s="147"/>
      <c r="HS27" s="147"/>
      <c r="HT27" s="147"/>
      <c r="HU27" s="147"/>
      <c r="HV27" s="147"/>
      <c r="HW27" s="147"/>
      <c r="HX27" s="147"/>
      <c r="HY27" s="154"/>
      <c r="HZ27" s="152" t="n">
        <f aca="false">SUMPRODUCT(IA$4:IJ$4,IA27:IJ27)</f>
        <v>0</v>
      </c>
      <c r="IA27" s="146"/>
      <c r="IB27" s="147"/>
      <c r="IC27" s="147"/>
      <c r="ID27" s="147"/>
      <c r="IE27" s="147"/>
      <c r="IF27" s="147"/>
      <c r="IG27" s="147"/>
      <c r="IH27" s="147"/>
      <c r="II27" s="147"/>
      <c r="IJ27" s="154"/>
      <c r="IK27" s="152" t="n">
        <f aca="false">SUMPRODUCT(IL$4:IU$4,IL27:IU27)</f>
        <v>0</v>
      </c>
      <c r="IL27" s="146"/>
      <c r="IM27" s="147"/>
      <c r="IN27" s="147"/>
      <c r="IO27" s="147"/>
      <c r="IP27" s="147"/>
      <c r="IQ27" s="147"/>
      <c r="IR27" s="147"/>
      <c r="IS27" s="147"/>
      <c r="IT27" s="147"/>
      <c r="IU27" s="154"/>
      <c r="IV27" s="152" t="n">
        <f aca="false">SUMPRODUCT(IW$4:JF$4,IW27:JF27)</f>
        <v>0</v>
      </c>
      <c r="IW27" s="146"/>
      <c r="IX27" s="147"/>
      <c r="IY27" s="147"/>
      <c r="IZ27" s="147"/>
      <c r="JA27" s="147"/>
      <c r="JB27" s="147"/>
      <c r="JC27" s="147"/>
      <c r="JD27" s="147"/>
      <c r="JE27" s="147"/>
      <c r="JF27" s="154"/>
      <c r="JG27" s="152" t="n">
        <f aca="false">SUMPRODUCT(JH$4:JQ$4,JH27:JQ27)</f>
        <v>0</v>
      </c>
      <c r="JH27" s="146"/>
      <c r="JI27" s="147"/>
      <c r="JJ27" s="147"/>
      <c r="JK27" s="147"/>
      <c r="JL27" s="147"/>
      <c r="JM27" s="147"/>
      <c r="JN27" s="147"/>
      <c r="JO27" s="147"/>
      <c r="JP27" s="147"/>
      <c r="JQ27" s="154"/>
      <c r="JR27" s="152" t="n">
        <f aca="false">SUMPRODUCT(JS$4:KB$4,JS27:KB27)</f>
        <v>0</v>
      </c>
      <c r="JS27" s="146"/>
      <c r="JT27" s="147"/>
      <c r="JU27" s="147"/>
      <c r="JV27" s="147"/>
      <c r="JW27" s="147"/>
      <c r="JX27" s="147"/>
      <c r="JY27" s="147"/>
      <c r="JZ27" s="147"/>
      <c r="KA27" s="147"/>
      <c r="KB27" s="154"/>
      <c r="KC27" s="152" t="n">
        <f aca="false">SUMPRODUCT(KD$4:KM$4,KD27:KM27)</f>
        <v>0</v>
      </c>
      <c r="KD27" s="146"/>
      <c r="KE27" s="147"/>
      <c r="KF27" s="147"/>
      <c r="KG27" s="147"/>
      <c r="KH27" s="147"/>
      <c r="KI27" s="147"/>
      <c r="KJ27" s="147"/>
      <c r="KK27" s="147"/>
      <c r="KL27" s="147"/>
      <c r="KM27" s="154"/>
      <c r="KN27" s="152" t="n">
        <f aca="false">SUMPRODUCT(KO$4:KX$4,KO27:KX27)</f>
        <v>0</v>
      </c>
      <c r="KO27" s="146"/>
      <c r="KP27" s="147"/>
      <c r="KQ27" s="147"/>
      <c r="KR27" s="147"/>
      <c r="KS27" s="147"/>
      <c r="KT27" s="147"/>
      <c r="KU27" s="147"/>
      <c r="KV27" s="147"/>
      <c r="KW27" s="147"/>
      <c r="KX27" s="154"/>
      <c r="KY27" s="152" t="n">
        <f aca="false">SUMPRODUCT(KZ$4:LI$4,KZ27:LI27)</f>
        <v>0</v>
      </c>
      <c r="KZ27" s="146"/>
      <c r="LA27" s="147"/>
      <c r="LB27" s="147"/>
      <c r="LC27" s="147"/>
      <c r="LD27" s="147"/>
      <c r="LE27" s="147"/>
      <c r="LF27" s="147"/>
      <c r="LG27" s="147"/>
      <c r="LH27" s="147"/>
      <c r="LI27" s="154"/>
      <c r="LJ27" s="152" t="n">
        <f aca="false">SUMPRODUCT(LK$4:LT$4,LK27:LT27)</f>
        <v>0</v>
      </c>
      <c r="LK27" s="146"/>
      <c r="LL27" s="147"/>
      <c r="LM27" s="147"/>
      <c r="LN27" s="147"/>
      <c r="LO27" s="147"/>
      <c r="LP27" s="147"/>
      <c r="LQ27" s="147"/>
      <c r="LR27" s="147"/>
      <c r="LS27" s="147"/>
      <c r="LT27" s="154"/>
      <c r="LW27" s="152"/>
      <c r="LX27" s="155" t="n">
        <f aca="false">D181+O181+Z181+AK181+AV181+BG181+BR181+CC181+CN181+CY181+DJ181+DU181+EF181+EQ181+FB181+FM181+FX181+GI181+GT181+HE181+HP181+IA181+IL181+IW181+JH181+JS181+KD181+KO181+KZ181+LK181</f>
        <v>5.55</v>
      </c>
      <c r="LY27" s="156" t="n">
        <f aca="false">E181+P181+AA181+AL181+AW181+BH181+BS181+CD181+CO181+CZ181+DK181+DV181+EG181+ER181+FC181+FN181+FY181+GJ181+GU181+HF181+HQ181+IB181+IM181+IX181+JI181+JT181+KE181+KP181+LA181+LL181</f>
        <v>5.9</v>
      </c>
      <c r="LZ27" s="156" t="n">
        <f aca="false">F181+Q181+AB181+AM181+AX181+BI181+BT181+CE181+CP181+DA181+DL181+DW181+EH181+ES181+FD181+FO181+FZ181+GK181+GV181+HG181+HR181+IC181+IN181+IY181+JJ181+JU181+KF181+KQ181+LB181+LM181</f>
        <v>5.825</v>
      </c>
      <c r="MA27" s="156" t="n">
        <f aca="false">G181+R181+AC181+AN181+AY181+BJ181+BU181+CF181+CQ181+DB181+DM181+DX181+EI181+ET181+FE181+FP181+GA181+GL181+GW181+HH181+HS181+ID181+IO181+IZ181+JK181+JV181+KG181+KR181+LC181+LN181</f>
        <v>4.8</v>
      </c>
      <c r="MB27" s="156" t="n">
        <f aca="false">H181+S181+AD181+AO181+AZ181+BK181+BV181+CG181+CR181+DC181+DN181+DY181+EJ181+EU181+FF181+FQ181+GB181+GM181+GX181+HI181+HT181+IE181+IP181+JA181+JL181+JW181+KH181+KS181+LD181+LO181</f>
        <v>0</v>
      </c>
      <c r="MC27" s="156" t="n">
        <f aca="false">I181+T181+AE181+AP181+BA181+BL181+BW181+CH181+CS181+DD181+DO181+DZ181+EK181+EV181+FG181+FR181+GC181+GN181+GY181+HJ181+HU181+IF181+IQ181+JB181+JM181+JX181+KI181+KT181+LE181+LP181</f>
        <v>0</v>
      </c>
      <c r="MD27" s="156" t="n">
        <f aca="false">J181+U181+AF181+AQ181+BB181+BM181+BX181+CI181+CT181+DE181+DP181+EA181+EL181+EW181+FH181+FS181+GD181+GO181+GZ181+HK181+HV181+IG181+IR181+JC181+JN181+JY181+KJ181+KU181+LF181+LQ181</f>
        <v>0</v>
      </c>
      <c r="ME27" s="156" t="n">
        <f aca="false">K181+V181+AG181+AR181+BC181+BN181+BY181+CJ181+CU181+DF181+DQ181+EB181+EM181+EX181+FI181+FT181+GE181+GP181+HA181+HL181+HW181+IH181+IS181+JD181+JO181+JZ181+KK181+KV181+LG181+LR181</f>
        <v>0</v>
      </c>
      <c r="MF27" s="156" t="n">
        <f aca="false">L181+W181+AH181+AS181+BD181+BO181+BZ181+CK181+CV181+DG181+DR181+EC181+EN181+EY181+FJ181+FU181+GF181+GQ181+HB181+HM181+HX181+II181+IT181+JE181+JP181+KA181+KL181+KW181+LH181+LS181</f>
        <v>0</v>
      </c>
      <c r="MG27" s="157" t="n">
        <f aca="false">M181+X181+AI181+AT181+BE181+BP181+CA181+CL181+CW181+DH181+DS181+ED181+EO181+EZ181+FK181+FV181+GG181+GR181+HC181+HN181+HY181+IJ181+IU181+JF181+JQ181+KB181+KM181+KX181+LI181+LT181</f>
        <v>0</v>
      </c>
    </row>
    <row r="28" customFormat="false" ht="13.8" hidden="false" customHeight="false" outlineLevel="0" collapsed="false">
      <c r="A28" s="29" t="n">
        <v>23</v>
      </c>
      <c r="B28" s="151" t="str">
        <f aca="false">'Datos Iniciales'!T31</f>
        <v>Alumno23</v>
      </c>
      <c r="C28" s="152" t="n">
        <f aca="false">SUMPRODUCT(D$4:M$4,D28:M28)</f>
        <v>5</v>
      </c>
      <c r="D28" s="146" t="n">
        <v>5</v>
      </c>
      <c r="E28" s="147" t="n">
        <v>6</v>
      </c>
      <c r="F28" s="147" t="n">
        <v>3</v>
      </c>
      <c r="G28" s="147" t="n">
        <v>4</v>
      </c>
      <c r="H28" s="147" t="n">
        <v>5</v>
      </c>
      <c r="I28" s="147" t="n">
        <v>6</v>
      </c>
      <c r="J28" s="147" t="n">
        <v>7</v>
      </c>
      <c r="K28" s="147"/>
      <c r="L28" s="147"/>
      <c r="M28" s="154"/>
      <c r="N28" s="152" t="n">
        <f aca="false">SUMPRODUCT(O$4:X$4,O28:X28)</f>
        <v>4.6</v>
      </c>
      <c r="O28" s="146" t="n">
        <v>5</v>
      </c>
      <c r="P28" s="147" t="n">
        <v>6</v>
      </c>
      <c r="Q28" s="147" t="n">
        <v>3</v>
      </c>
      <c r="R28" s="147" t="n">
        <v>4</v>
      </c>
      <c r="S28" s="147" t="n">
        <v>5</v>
      </c>
      <c r="T28" s="147"/>
      <c r="U28" s="147"/>
      <c r="V28" s="147"/>
      <c r="W28" s="147"/>
      <c r="X28" s="154"/>
      <c r="Y28" s="152" t="n">
        <f aca="false">SUMPRODUCT(Z$4:AI$4,Z28:AI28)</f>
        <v>4.6</v>
      </c>
      <c r="Z28" s="146" t="n">
        <v>5</v>
      </c>
      <c r="AA28" s="147" t="n">
        <v>6</v>
      </c>
      <c r="AB28" s="147" t="n">
        <v>3</v>
      </c>
      <c r="AC28" s="147" t="n">
        <v>4</v>
      </c>
      <c r="AD28" s="147" t="n">
        <v>5</v>
      </c>
      <c r="AE28" s="147"/>
      <c r="AF28" s="147"/>
      <c r="AG28" s="147"/>
      <c r="AH28" s="147"/>
      <c r="AI28" s="154"/>
      <c r="AJ28" s="152" t="n">
        <f aca="false">SUMPRODUCT(AK$4:AT$4,AK28:AT28)</f>
        <v>4.6</v>
      </c>
      <c r="AK28" s="146" t="n">
        <v>5</v>
      </c>
      <c r="AL28" s="147" t="n">
        <v>6</v>
      </c>
      <c r="AM28" s="147" t="n">
        <v>3</v>
      </c>
      <c r="AN28" s="147" t="n">
        <v>4</v>
      </c>
      <c r="AO28" s="147" t="n">
        <v>5</v>
      </c>
      <c r="AP28" s="147"/>
      <c r="AQ28" s="147"/>
      <c r="AR28" s="147"/>
      <c r="AS28" s="147"/>
      <c r="AT28" s="154"/>
      <c r="AU28" s="152" t="n">
        <f aca="false">SUMPRODUCT(AV$4:BE$4,AV28:BE28)</f>
        <v>4.5</v>
      </c>
      <c r="AV28" s="146" t="n">
        <v>5</v>
      </c>
      <c r="AW28" s="147" t="n">
        <v>6</v>
      </c>
      <c r="AX28" s="147" t="n">
        <v>3</v>
      </c>
      <c r="AY28" s="147" t="n">
        <v>4</v>
      </c>
      <c r="AZ28" s="147" t="n">
        <v>5</v>
      </c>
      <c r="BA28" s="147"/>
      <c r="BB28" s="147"/>
      <c r="BC28" s="147"/>
      <c r="BD28" s="147"/>
      <c r="BE28" s="154"/>
      <c r="BF28" s="152" t="n">
        <f aca="false">SUMPRODUCT(BG$4:BP$4,BG28:BP28)</f>
        <v>4.6</v>
      </c>
      <c r="BG28" s="146" t="n">
        <v>5</v>
      </c>
      <c r="BH28" s="147" t="n">
        <v>6</v>
      </c>
      <c r="BI28" s="147" t="n">
        <v>3</v>
      </c>
      <c r="BJ28" s="147" t="n">
        <v>4</v>
      </c>
      <c r="BK28" s="147" t="n">
        <v>5</v>
      </c>
      <c r="BL28" s="147"/>
      <c r="BM28" s="147"/>
      <c r="BN28" s="147"/>
      <c r="BO28" s="147"/>
      <c r="BP28" s="154"/>
      <c r="BQ28" s="152" t="n">
        <f aca="false">SUMPRODUCT(BR$4:CA$4,BR28:CA28)</f>
        <v>9.5</v>
      </c>
      <c r="BR28" s="146" t="n">
        <v>9</v>
      </c>
      <c r="BS28" s="147" t="n">
        <v>10</v>
      </c>
      <c r="BT28" s="147" t="n">
        <v>10</v>
      </c>
      <c r="BU28" s="147" t="n">
        <v>10</v>
      </c>
      <c r="BV28" s="147" t="n">
        <v>9</v>
      </c>
      <c r="BW28" s="147"/>
      <c r="BX28" s="147"/>
      <c r="BY28" s="147"/>
      <c r="BZ28" s="147"/>
      <c r="CA28" s="154"/>
      <c r="CB28" s="152" t="n">
        <f aca="false">SUMPRODUCT(CC$4:CL$4,CC28:CL28)</f>
        <v>0</v>
      </c>
      <c r="CC28" s="146"/>
      <c r="CD28" s="147"/>
      <c r="CE28" s="147"/>
      <c r="CF28" s="147"/>
      <c r="CG28" s="147"/>
      <c r="CH28" s="147"/>
      <c r="CI28" s="147"/>
      <c r="CJ28" s="147"/>
      <c r="CK28" s="147"/>
      <c r="CL28" s="154"/>
      <c r="CM28" s="152" t="n">
        <f aca="false">SUMPRODUCT(CN$4:CW$4,CN28:CW28)</f>
        <v>0</v>
      </c>
      <c r="CN28" s="146"/>
      <c r="CO28" s="147"/>
      <c r="CP28" s="147"/>
      <c r="CQ28" s="147"/>
      <c r="CR28" s="147"/>
      <c r="CS28" s="147"/>
      <c r="CT28" s="147"/>
      <c r="CU28" s="147"/>
      <c r="CV28" s="147"/>
      <c r="CW28" s="154"/>
      <c r="CX28" s="152" t="n">
        <f aca="false">SUMPRODUCT(CY$4:DH$4,CY28:DH28)</f>
        <v>0</v>
      </c>
      <c r="CY28" s="146"/>
      <c r="CZ28" s="147"/>
      <c r="DA28" s="147"/>
      <c r="DB28" s="147"/>
      <c r="DC28" s="147"/>
      <c r="DD28" s="147"/>
      <c r="DE28" s="147"/>
      <c r="DF28" s="147"/>
      <c r="DG28" s="147"/>
      <c r="DH28" s="154"/>
      <c r="DI28" s="152" t="n">
        <f aca="false">SUMPRODUCT(DJ$4:DS$4,DJ28:DS28)</f>
        <v>0</v>
      </c>
      <c r="DJ28" s="146"/>
      <c r="DK28" s="147"/>
      <c r="DL28" s="147"/>
      <c r="DM28" s="147"/>
      <c r="DN28" s="147"/>
      <c r="DO28" s="147"/>
      <c r="DP28" s="147"/>
      <c r="DQ28" s="147"/>
      <c r="DR28" s="147"/>
      <c r="DS28" s="154"/>
      <c r="DT28" s="152" t="n">
        <f aca="false">SUMPRODUCT(DU$4:ED$4,DU28:ED28)</f>
        <v>0</v>
      </c>
      <c r="DU28" s="146"/>
      <c r="DV28" s="147"/>
      <c r="DW28" s="147"/>
      <c r="DX28" s="147"/>
      <c r="DY28" s="147"/>
      <c r="DZ28" s="147"/>
      <c r="EA28" s="147"/>
      <c r="EB28" s="147"/>
      <c r="EC28" s="147"/>
      <c r="ED28" s="154"/>
      <c r="EE28" s="152" t="n">
        <f aca="false">SUMPRODUCT(EF$4:EO$4,EF28:EO28)</f>
        <v>0</v>
      </c>
      <c r="EF28" s="146"/>
      <c r="EG28" s="147"/>
      <c r="EH28" s="147"/>
      <c r="EI28" s="147"/>
      <c r="EJ28" s="147"/>
      <c r="EK28" s="147"/>
      <c r="EL28" s="147"/>
      <c r="EM28" s="147"/>
      <c r="EN28" s="147"/>
      <c r="EO28" s="154"/>
      <c r="EP28" s="152" t="n">
        <f aca="false">SUMPRODUCT(EQ$4:EZ$4,EQ28:EZ28)</f>
        <v>0</v>
      </c>
      <c r="EQ28" s="146"/>
      <c r="ER28" s="147"/>
      <c r="ES28" s="147"/>
      <c r="ET28" s="147"/>
      <c r="EU28" s="147"/>
      <c r="EV28" s="147"/>
      <c r="EW28" s="147"/>
      <c r="EX28" s="147"/>
      <c r="EY28" s="147"/>
      <c r="EZ28" s="154"/>
      <c r="FA28" s="152" t="n">
        <f aca="false">SUMPRODUCT(FB$4:FK$4,FB28:FK28)</f>
        <v>0</v>
      </c>
      <c r="FB28" s="146"/>
      <c r="FC28" s="147"/>
      <c r="FD28" s="147"/>
      <c r="FE28" s="147"/>
      <c r="FF28" s="147"/>
      <c r="FG28" s="147"/>
      <c r="FH28" s="147"/>
      <c r="FI28" s="147"/>
      <c r="FJ28" s="147"/>
      <c r="FK28" s="154"/>
      <c r="FL28" s="152" t="n">
        <f aca="false">SUMPRODUCT(FM$4:FV$4,FM28:FV28)</f>
        <v>0</v>
      </c>
      <c r="FM28" s="146"/>
      <c r="FN28" s="147"/>
      <c r="FO28" s="147"/>
      <c r="FP28" s="147"/>
      <c r="FQ28" s="147"/>
      <c r="FR28" s="147"/>
      <c r="FS28" s="147"/>
      <c r="FT28" s="147"/>
      <c r="FU28" s="147"/>
      <c r="FV28" s="154"/>
      <c r="FW28" s="152" t="n">
        <f aca="false">SUMPRODUCT(FX$4:GG$4,FX28:GG28)</f>
        <v>0</v>
      </c>
      <c r="FX28" s="146"/>
      <c r="FY28" s="147"/>
      <c r="FZ28" s="147"/>
      <c r="GA28" s="147"/>
      <c r="GB28" s="147"/>
      <c r="GC28" s="147"/>
      <c r="GD28" s="147"/>
      <c r="GE28" s="147"/>
      <c r="GF28" s="147"/>
      <c r="GG28" s="154"/>
      <c r="GH28" s="152" t="n">
        <f aca="false">SUMPRODUCT(GI$4:GR$4,GI28:GR28)</f>
        <v>0</v>
      </c>
      <c r="GI28" s="146"/>
      <c r="GJ28" s="147"/>
      <c r="GK28" s="147"/>
      <c r="GL28" s="147"/>
      <c r="GM28" s="147"/>
      <c r="GN28" s="147"/>
      <c r="GO28" s="147"/>
      <c r="GP28" s="147"/>
      <c r="GQ28" s="147"/>
      <c r="GR28" s="154"/>
      <c r="GS28" s="152" t="n">
        <f aca="false">SUMPRODUCT(GT$4:HC$4,GT28:HC28)</f>
        <v>0</v>
      </c>
      <c r="GT28" s="146"/>
      <c r="GU28" s="147"/>
      <c r="GV28" s="147"/>
      <c r="GW28" s="147"/>
      <c r="GX28" s="147"/>
      <c r="GY28" s="147"/>
      <c r="GZ28" s="147"/>
      <c r="HA28" s="147"/>
      <c r="HB28" s="147"/>
      <c r="HC28" s="154"/>
      <c r="HD28" s="152" t="n">
        <f aca="false">SUMPRODUCT(HE$4:HN$4,HE28:HN28)</f>
        <v>0</v>
      </c>
      <c r="HE28" s="146"/>
      <c r="HF28" s="147"/>
      <c r="HG28" s="147"/>
      <c r="HH28" s="147"/>
      <c r="HI28" s="147"/>
      <c r="HJ28" s="147"/>
      <c r="HK28" s="147"/>
      <c r="HL28" s="147"/>
      <c r="HM28" s="147"/>
      <c r="HN28" s="154"/>
      <c r="HO28" s="152" t="n">
        <f aca="false">SUMPRODUCT(HP$4:HY$4,HP28:HY28)</f>
        <v>0</v>
      </c>
      <c r="HP28" s="146"/>
      <c r="HQ28" s="147"/>
      <c r="HR28" s="147"/>
      <c r="HS28" s="147"/>
      <c r="HT28" s="147"/>
      <c r="HU28" s="147"/>
      <c r="HV28" s="147"/>
      <c r="HW28" s="147"/>
      <c r="HX28" s="147"/>
      <c r="HY28" s="154"/>
      <c r="HZ28" s="152" t="n">
        <f aca="false">SUMPRODUCT(IA$4:IJ$4,IA28:IJ28)</f>
        <v>0</v>
      </c>
      <c r="IA28" s="146"/>
      <c r="IB28" s="147"/>
      <c r="IC28" s="147"/>
      <c r="ID28" s="147"/>
      <c r="IE28" s="147"/>
      <c r="IF28" s="147"/>
      <c r="IG28" s="147"/>
      <c r="IH28" s="147"/>
      <c r="II28" s="147"/>
      <c r="IJ28" s="154"/>
      <c r="IK28" s="152" t="n">
        <f aca="false">SUMPRODUCT(IL$4:IU$4,IL28:IU28)</f>
        <v>0</v>
      </c>
      <c r="IL28" s="146"/>
      <c r="IM28" s="147"/>
      <c r="IN28" s="147"/>
      <c r="IO28" s="147"/>
      <c r="IP28" s="147"/>
      <c r="IQ28" s="147"/>
      <c r="IR28" s="147"/>
      <c r="IS28" s="147"/>
      <c r="IT28" s="147"/>
      <c r="IU28" s="154"/>
      <c r="IV28" s="152" t="n">
        <f aca="false">SUMPRODUCT(IW$4:JF$4,IW28:JF28)</f>
        <v>0</v>
      </c>
      <c r="IW28" s="146"/>
      <c r="IX28" s="147"/>
      <c r="IY28" s="147"/>
      <c r="IZ28" s="147"/>
      <c r="JA28" s="147"/>
      <c r="JB28" s="147"/>
      <c r="JC28" s="147"/>
      <c r="JD28" s="147"/>
      <c r="JE28" s="147"/>
      <c r="JF28" s="154"/>
      <c r="JG28" s="152" t="n">
        <f aca="false">SUMPRODUCT(JH$4:JQ$4,JH28:JQ28)</f>
        <v>0</v>
      </c>
      <c r="JH28" s="146"/>
      <c r="JI28" s="147"/>
      <c r="JJ28" s="147"/>
      <c r="JK28" s="147"/>
      <c r="JL28" s="147"/>
      <c r="JM28" s="147"/>
      <c r="JN28" s="147"/>
      <c r="JO28" s="147"/>
      <c r="JP28" s="147"/>
      <c r="JQ28" s="154"/>
      <c r="JR28" s="152" t="n">
        <f aca="false">SUMPRODUCT(JS$4:KB$4,JS28:KB28)</f>
        <v>0</v>
      </c>
      <c r="JS28" s="146"/>
      <c r="JT28" s="147"/>
      <c r="JU28" s="147"/>
      <c r="JV28" s="147"/>
      <c r="JW28" s="147"/>
      <c r="JX28" s="147"/>
      <c r="JY28" s="147"/>
      <c r="JZ28" s="147"/>
      <c r="KA28" s="147"/>
      <c r="KB28" s="154"/>
      <c r="KC28" s="152" t="n">
        <f aca="false">SUMPRODUCT(KD$4:KM$4,KD28:KM28)</f>
        <v>0</v>
      </c>
      <c r="KD28" s="146"/>
      <c r="KE28" s="147"/>
      <c r="KF28" s="147"/>
      <c r="KG28" s="147"/>
      <c r="KH28" s="147"/>
      <c r="KI28" s="147"/>
      <c r="KJ28" s="147"/>
      <c r="KK28" s="147"/>
      <c r="KL28" s="147"/>
      <c r="KM28" s="154"/>
      <c r="KN28" s="152" t="n">
        <f aca="false">SUMPRODUCT(KO$4:KX$4,KO28:KX28)</f>
        <v>0</v>
      </c>
      <c r="KO28" s="146"/>
      <c r="KP28" s="147"/>
      <c r="KQ28" s="147"/>
      <c r="KR28" s="147"/>
      <c r="KS28" s="147"/>
      <c r="KT28" s="147"/>
      <c r="KU28" s="147"/>
      <c r="KV28" s="147"/>
      <c r="KW28" s="147"/>
      <c r="KX28" s="154"/>
      <c r="KY28" s="152" t="n">
        <f aca="false">SUMPRODUCT(KZ$4:LI$4,KZ28:LI28)</f>
        <v>0</v>
      </c>
      <c r="KZ28" s="146"/>
      <c r="LA28" s="147"/>
      <c r="LB28" s="147"/>
      <c r="LC28" s="147"/>
      <c r="LD28" s="147"/>
      <c r="LE28" s="147"/>
      <c r="LF28" s="147"/>
      <c r="LG28" s="147"/>
      <c r="LH28" s="147"/>
      <c r="LI28" s="154"/>
      <c r="LJ28" s="152" t="n">
        <f aca="false">SUMPRODUCT(LK$4:LT$4,LK28:LT28)</f>
        <v>0</v>
      </c>
      <c r="LK28" s="146"/>
      <c r="LL28" s="147"/>
      <c r="LM28" s="147"/>
      <c r="LN28" s="147"/>
      <c r="LO28" s="147"/>
      <c r="LP28" s="147"/>
      <c r="LQ28" s="147"/>
      <c r="LR28" s="147"/>
      <c r="LS28" s="147"/>
      <c r="LT28" s="154"/>
      <c r="LW28" s="152"/>
      <c r="LX28" s="155" t="n">
        <f aca="false">D182+O182+Z182+AK182+AV182+BG182+BR182+CC182+CN182+CY182+DJ182+DU182+EF182+EQ182+FB182+FM182+FX182+GI182+GT182+HE182+HP182+IA182+IL182+IW182+JH182+JS182+KD182+KO182+KZ182+LK182</f>
        <v>5.15</v>
      </c>
      <c r="LY28" s="156" t="n">
        <f aca="false">E182+P182+AA182+AL182+AW182+BH182+BS182+CD182+CO182+CZ182+DK182+DV182+EG182+ER182+FC182+FN182+FY182+GJ182+GU182+HF182+HQ182+IB182+IM182+IX182+JI182+JT182+KE182+KP182+LA182+LL182</f>
        <v>4.9</v>
      </c>
      <c r="LZ28" s="156" t="n">
        <f aca="false">F182+Q182+AB182+AM182+AX182+BI182+BT182+CE182+CP182+DA182+DL182+DW182+EH182+ES182+FD182+FO182+FZ182+GK182+GV182+HG182+HR182+IC182+IN182+IY182+JJ182+JU182+KF182+KQ182+LB182+LM182</f>
        <v>4.605</v>
      </c>
      <c r="MA28" s="156" t="n">
        <f aca="false">G182+R182+AC182+AN182+AY182+BJ182+BU182+CF182+CQ182+DB182+DM182+DX182+EI182+ET182+FE182+FP182+GA182+GL182+GW182+HH182+HS182+ID182+IO182+IZ182+JK182+JV182+KG182+KR182+LC182+LN182</f>
        <v>7.04</v>
      </c>
      <c r="MB28" s="156" t="n">
        <f aca="false">H182+S182+AD182+AO182+AZ182+BK182+BV182+CG182+CR182+DC182+DN182+DY182+EJ182+EU182+FF182+FQ182+GB182+GM182+GX182+HI182+HT182+IE182+IP182+JA182+JL182+JW182+KH182+KS182+LD182+LO182</f>
        <v>0</v>
      </c>
      <c r="MC28" s="156" t="n">
        <f aca="false">I182+T182+AE182+AP182+BA182+BL182+BW182+CH182+CS182+DD182+DO182+DZ182+EK182+EV182+FG182+FR182+GC182+GN182+GY182+HJ182+HU182+IF182+IQ182+JB182+JM182+JX182+KI182+KT182+LE182+LP182</f>
        <v>0</v>
      </c>
      <c r="MD28" s="156" t="n">
        <f aca="false">J182+U182+AF182+AQ182+BB182+BM182+BX182+CI182+CT182+DE182+DP182+EA182+EL182+EW182+FH182+FS182+GD182+GO182+GZ182+HK182+HV182+IG182+IR182+JC182+JN182+JY182+KJ182+KU182+LF182+LQ182</f>
        <v>0</v>
      </c>
      <c r="ME28" s="156" t="n">
        <f aca="false">K182+V182+AG182+AR182+BC182+BN182+BY182+CJ182+CU182+DF182+DQ182+EB182+EM182+EX182+FI182+FT182+GE182+GP182+HA182+HL182+HW182+IH182+IS182+JD182+JO182+JZ182+KK182+KV182+LG182+LR182</f>
        <v>0</v>
      </c>
      <c r="MF28" s="156" t="n">
        <f aca="false">L182+W182+AH182+AS182+BD182+BO182+BZ182+CK182+CV182+DG182+DR182+EC182+EN182+EY182+FJ182+FU182+GF182+GQ182+HB182+HM182+HX182+II182+IT182+JE182+JP182+KA182+KL182+KW182+LH182+LS182</f>
        <v>0</v>
      </c>
      <c r="MG28" s="157" t="n">
        <f aca="false">M182+X182+AI182+AT182+BE182+BP182+CA182+CL182+CW182+DH182+DS182+ED182+EO182+EZ182+FK182+FV182+GG182+GR182+HC182+HN182+HY182+IJ182+IU182+JF182+JQ182+KB182+KM182+KX182+LI182+LT182</f>
        <v>0</v>
      </c>
    </row>
    <row r="29" customFormat="false" ht="13.8" hidden="false" customHeight="false" outlineLevel="0" collapsed="false">
      <c r="A29" s="29" t="n">
        <v>24</v>
      </c>
      <c r="B29" s="151" t="str">
        <f aca="false">'Datos Iniciales'!T32</f>
        <v>Alumno24</v>
      </c>
      <c r="C29" s="152" t="n">
        <f aca="false">SUMPRODUCT(D$4:M$4,D29:M29)</f>
        <v>5</v>
      </c>
      <c r="D29" s="146" t="n">
        <v>5</v>
      </c>
      <c r="E29" s="153" t="n">
        <v>5</v>
      </c>
      <c r="F29" s="153" t="n">
        <v>5</v>
      </c>
      <c r="G29" s="153" t="n">
        <v>5</v>
      </c>
      <c r="H29" s="153" t="n">
        <v>5</v>
      </c>
      <c r="I29" s="153" t="n">
        <v>5</v>
      </c>
      <c r="J29" s="153" t="n">
        <v>5</v>
      </c>
      <c r="K29" s="147"/>
      <c r="L29" s="147"/>
      <c r="M29" s="154"/>
      <c r="N29" s="152" t="n">
        <f aca="false">SUMPRODUCT(O$4:X$4,O29:X29)</f>
        <v>5</v>
      </c>
      <c r="O29" s="146" t="n">
        <v>5</v>
      </c>
      <c r="P29" s="153" t="n">
        <v>5</v>
      </c>
      <c r="Q29" s="153" t="n">
        <v>5</v>
      </c>
      <c r="R29" s="153" t="n">
        <v>5</v>
      </c>
      <c r="S29" s="153" t="n">
        <v>5</v>
      </c>
      <c r="T29" s="153"/>
      <c r="U29" s="153"/>
      <c r="V29" s="147"/>
      <c r="W29" s="147"/>
      <c r="X29" s="154"/>
      <c r="Y29" s="152" t="n">
        <f aca="false">SUMPRODUCT(Z$4:AI$4,Z29:AI29)</f>
        <v>7</v>
      </c>
      <c r="Z29" s="146" t="n">
        <v>6</v>
      </c>
      <c r="AA29" s="147" t="n">
        <v>7</v>
      </c>
      <c r="AB29" s="147" t="n">
        <v>8</v>
      </c>
      <c r="AC29" s="147" t="n">
        <v>9</v>
      </c>
      <c r="AD29" s="147" t="n">
        <v>5</v>
      </c>
      <c r="AE29" s="147"/>
      <c r="AF29" s="147"/>
      <c r="AG29" s="147"/>
      <c r="AH29" s="147"/>
      <c r="AI29" s="154"/>
      <c r="AJ29" s="152" t="n">
        <f aca="false">SUMPRODUCT(AK$4:AT$4,AK29:AT29)</f>
        <v>7</v>
      </c>
      <c r="AK29" s="146" t="n">
        <v>6</v>
      </c>
      <c r="AL29" s="147" t="n">
        <v>7</v>
      </c>
      <c r="AM29" s="147" t="n">
        <v>8</v>
      </c>
      <c r="AN29" s="147" t="n">
        <v>9</v>
      </c>
      <c r="AO29" s="147" t="n">
        <v>5</v>
      </c>
      <c r="AP29" s="147"/>
      <c r="AQ29" s="147"/>
      <c r="AR29" s="147"/>
      <c r="AS29" s="147"/>
      <c r="AT29" s="154"/>
      <c r="AU29" s="152" t="n">
        <f aca="false">SUMPRODUCT(AV$4:BE$4,AV29:BE29)</f>
        <v>5</v>
      </c>
      <c r="AV29" s="146" t="n">
        <v>5</v>
      </c>
      <c r="AW29" s="153" t="n">
        <v>5</v>
      </c>
      <c r="AX29" s="153" t="n">
        <v>5</v>
      </c>
      <c r="AY29" s="153" t="n">
        <v>5</v>
      </c>
      <c r="AZ29" s="153" t="n">
        <v>5</v>
      </c>
      <c r="BA29" s="147"/>
      <c r="BB29" s="147"/>
      <c r="BC29" s="147"/>
      <c r="BD29" s="147"/>
      <c r="BE29" s="154"/>
      <c r="BF29" s="152" t="n">
        <f aca="false">SUMPRODUCT(BG$4:BP$4,BG29:BP29)</f>
        <v>5</v>
      </c>
      <c r="BG29" s="146" t="n">
        <v>5</v>
      </c>
      <c r="BH29" s="153" t="n">
        <v>5</v>
      </c>
      <c r="BI29" s="153" t="n">
        <v>5</v>
      </c>
      <c r="BJ29" s="153" t="n">
        <v>5</v>
      </c>
      <c r="BK29" s="153" t="n">
        <v>5</v>
      </c>
      <c r="BL29" s="147"/>
      <c r="BM29" s="147"/>
      <c r="BN29" s="147"/>
      <c r="BO29" s="147"/>
      <c r="BP29" s="154"/>
      <c r="BQ29" s="152" t="n">
        <f aca="false">SUMPRODUCT(BR$4:CA$4,BR29:CA29)</f>
        <v>9</v>
      </c>
      <c r="BR29" s="146" t="n">
        <v>9</v>
      </c>
      <c r="BS29" s="147" t="n">
        <v>9</v>
      </c>
      <c r="BT29" s="147" t="n">
        <v>9</v>
      </c>
      <c r="BU29" s="147" t="n">
        <v>9</v>
      </c>
      <c r="BV29" s="147" t="n">
        <v>9</v>
      </c>
      <c r="BW29" s="147"/>
      <c r="BX29" s="147"/>
      <c r="BY29" s="147"/>
      <c r="BZ29" s="147"/>
      <c r="CA29" s="154"/>
      <c r="CB29" s="152" t="n">
        <f aca="false">SUMPRODUCT(CC$4:CL$4,CC29:CL29)</f>
        <v>0</v>
      </c>
      <c r="CC29" s="146"/>
      <c r="CD29" s="147"/>
      <c r="CE29" s="147"/>
      <c r="CF29" s="147"/>
      <c r="CG29" s="147"/>
      <c r="CH29" s="147"/>
      <c r="CI29" s="147"/>
      <c r="CJ29" s="147"/>
      <c r="CK29" s="147"/>
      <c r="CL29" s="154"/>
      <c r="CM29" s="152" t="n">
        <f aca="false">SUMPRODUCT(CN$4:CW$4,CN29:CW29)</f>
        <v>0</v>
      </c>
      <c r="CN29" s="146"/>
      <c r="CO29" s="147"/>
      <c r="CP29" s="147"/>
      <c r="CQ29" s="147"/>
      <c r="CR29" s="147"/>
      <c r="CS29" s="147"/>
      <c r="CT29" s="147"/>
      <c r="CU29" s="147"/>
      <c r="CV29" s="147"/>
      <c r="CW29" s="154"/>
      <c r="CX29" s="152" t="n">
        <f aca="false">SUMPRODUCT(CY$4:DH$4,CY29:DH29)</f>
        <v>0</v>
      </c>
      <c r="CY29" s="146"/>
      <c r="CZ29" s="147"/>
      <c r="DA29" s="147"/>
      <c r="DB29" s="147"/>
      <c r="DC29" s="147"/>
      <c r="DD29" s="147"/>
      <c r="DE29" s="147"/>
      <c r="DF29" s="147"/>
      <c r="DG29" s="147"/>
      <c r="DH29" s="154"/>
      <c r="DI29" s="152" t="n">
        <f aca="false">SUMPRODUCT(DJ$4:DS$4,DJ29:DS29)</f>
        <v>0</v>
      </c>
      <c r="DJ29" s="146"/>
      <c r="DK29" s="147"/>
      <c r="DL29" s="147"/>
      <c r="DM29" s="147"/>
      <c r="DN29" s="147"/>
      <c r="DO29" s="147"/>
      <c r="DP29" s="147"/>
      <c r="DQ29" s="147"/>
      <c r="DR29" s="147"/>
      <c r="DS29" s="154"/>
      <c r="DT29" s="152" t="n">
        <f aca="false">SUMPRODUCT(DU$4:ED$4,DU29:ED29)</f>
        <v>0</v>
      </c>
      <c r="DU29" s="146"/>
      <c r="DV29" s="147"/>
      <c r="DW29" s="147"/>
      <c r="DX29" s="147"/>
      <c r="DY29" s="147"/>
      <c r="DZ29" s="147"/>
      <c r="EA29" s="147"/>
      <c r="EB29" s="147"/>
      <c r="EC29" s="147"/>
      <c r="ED29" s="154"/>
      <c r="EE29" s="152" t="n">
        <f aca="false">SUMPRODUCT(EF$4:EO$4,EF29:EO29)</f>
        <v>0</v>
      </c>
      <c r="EF29" s="146"/>
      <c r="EG29" s="147"/>
      <c r="EH29" s="147"/>
      <c r="EI29" s="147"/>
      <c r="EJ29" s="147"/>
      <c r="EK29" s="147"/>
      <c r="EL29" s="147"/>
      <c r="EM29" s="147"/>
      <c r="EN29" s="147"/>
      <c r="EO29" s="154"/>
      <c r="EP29" s="152" t="n">
        <f aca="false">SUMPRODUCT(EQ$4:EZ$4,EQ29:EZ29)</f>
        <v>0</v>
      </c>
      <c r="EQ29" s="146"/>
      <c r="ER29" s="147"/>
      <c r="ES29" s="147"/>
      <c r="ET29" s="147"/>
      <c r="EU29" s="147"/>
      <c r="EV29" s="147"/>
      <c r="EW29" s="147"/>
      <c r="EX29" s="147"/>
      <c r="EY29" s="147"/>
      <c r="EZ29" s="154"/>
      <c r="FA29" s="152" t="n">
        <f aca="false">SUMPRODUCT(FB$4:FK$4,FB29:FK29)</f>
        <v>0</v>
      </c>
      <c r="FB29" s="146"/>
      <c r="FC29" s="147"/>
      <c r="FD29" s="147"/>
      <c r="FE29" s="147"/>
      <c r="FF29" s="147"/>
      <c r="FG29" s="147"/>
      <c r="FH29" s="147"/>
      <c r="FI29" s="147"/>
      <c r="FJ29" s="147"/>
      <c r="FK29" s="154"/>
      <c r="FL29" s="152" t="n">
        <f aca="false">SUMPRODUCT(FM$4:FV$4,FM29:FV29)</f>
        <v>0</v>
      </c>
      <c r="FM29" s="146"/>
      <c r="FN29" s="147"/>
      <c r="FO29" s="147"/>
      <c r="FP29" s="147"/>
      <c r="FQ29" s="147"/>
      <c r="FR29" s="147"/>
      <c r="FS29" s="147"/>
      <c r="FT29" s="147"/>
      <c r="FU29" s="147"/>
      <c r="FV29" s="154"/>
      <c r="FW29" s="152" t="n">
        <f aca="false">SUMPRODUCT(FX$4:GG$4,FX29:GG29)</f>
        <v>0</v>
      </c>
      <c r="FX29" s="146"/>
      <c r="FY29" s="147"/>
      <c r="FZ29" s="147"/>
      <c r="GA29" s="147"/>
      <c r="GB29" s="147"/>
      <c r="GC29" s="147"/>
      <c r="GD29" s="147"/>
      <c r="GE29" s="147"/>
      <c r="GF29" s="147"/>
      <c r="GG29" s="154"/>
      <c r="GH29" s="152" t="n">
        <f aca="false">SUMPRODUCT(GI$4:GR$4,GI29:GR29)</f>
        <v>0</v>
      </c>
      <c r="GI29" s="146"/>
      <c r="GJ29" s="147"/>
      <c r="GK29" s="147"/>
      <c r="GL29" s="147"/>
      <c r="GM29" s="147"/>
      <c r="GN29" s="147"/>
      <c r="GO29" s="147"/>
      <c r="GP29" s="147"/>
      <c r="GQ29" s="147"/>
      <c r="GR29" s="154"/>
      <c r="GS29" s="152" t="n">
        <f aca="false">SUMPRODUCT(GT$4:HC$4,GT29:HC29)</f>
        <v>0</v>
      </c>
      <c r="GT29" s="146"/>
      <c r="GU29" s="147"/>
      <c r="GV29" s="147"/>
      <c r="GW29" s="147"/>
      <c r="GX29" s="147"/>
      <c r="GY29" s="147"/>
      <c r="GZ29" s="147"/>
      <c r="HA29" s="147"/>
      <c r="HB29" s="147"/>
      <c r="HC29" s="154"/>
      <c r="HD29" s="152" t="n">
        <f aca="false">SUMPRODUCT(HE$4:HN$4,HE29:HN29)</f>
        <v>0</v>
      </c>
      <c r="HE29" s="146"/>
      <c r="HF29" s="147"/>
      <c r="HG29" s="147"/>
      <c r="HH29" s="147"/>
      <c r="HI29" s="147"/>
      <c r="HJ29" s="147"/>
      <c r="HK29" s="147"/>
      <c r="HL29" s="147"/>
      <c r="HM29" s="147"/>
      <c r="HN29" s="154"/>
      <c r="HO29" s="152" t="n">
        <f aca="false">SUMPRODUCT(HP$4:HY$4,HP29:HY29)</f>
        <v>0</v>
      </c>
      <c r="HP29" s="146"/>
      <c r="HQ29" s="147"/>
      <c r="HR29" s="147"/>
      <c r="HS29" s="147"/>
      <c r="HT29" s="147"/>
      <c r="HU29" s="147"/>
      <c r="HV29" s="147"/>
      <c r="HW29" s="147"/>
      <c r="HX29" s="147"/>
      <c r="HY29" s="154"/>
      <c r="HZ29" s="152" t="n">
        <f aca="false">SUMPRODUCT(IA$4:IJ$4,IA29:IJ29)</f>
        <v>0</v>
      </c>
      <c r="IA29" s="146"/>
      <c r="IB29" s="147"/>
      <c r="IC29" s="147"/>
      <c r="ID29" s="147"/>
      <c r="IE29" s="147"/>
      <c r="IF29" s="147"/>
      <c r="IG29" s="147"/>
      <c r="IH29" s="147"/>
      <c r="II29" s="147"/>
      <c r="IJ29" s="154"/>
      <c r="IK29" s="152" t="n">
        <f aca="false">SUMPRODUCT(IL$4:IU$4,IL29:IU29)</f>
        <v>0</v>
      </c>
      <c r="IL29" s="146"/>
      <c r="IM29" s="147"/>
      <c r="IN29" s="147"/>
      <c r="IO29" s="147"/>
      <c r="IP29" s="147"/>
      <c r="IQ29" s="147"/>
      <c r="IR29" s="147"/>
      <c r="IS29" s="147"/>
      <c r="IT29" s="147"/>
      <c r="IU29" s="154"/>
      <c r="IV29" s="152" t="n">
        <f aca="false">SUMPRODUCT(IW$4:JF$4,IW29:JF29)</f>
        <v>0</v>
      </c>
      <c r="IW29" s="146"/>
      <c r="IX29" s="147"/>
      <c r="IY29" s="147"/>
      <c r="IZ29" s="147"/>
      <c r="JA29" s="147"/>
      <c r="JB29" s="147"/>
      <c r="JC29" s="147"/>
      <c r="JD29" s="147"/>
      <c r="JE29" s="147"/>
      <c r="JF29" s="154"/>
      <c r="JG29" s="152" t="n">
        <f aca="false">SUMPRODUCT(JH$4:JQ$4,JH29:JQ29)</f>
        <v>0</v>
      </c>
      <c r="JH29" s="146"/>
      <c r="JI29" s="147"/>
      <c r="JJ29" s="147"/>
      <c r="JK29" s="147"/>
      <c r="JL29" s="147"/>
      <c r="JM29" s="147"/>
      <c r="JN29" s="147"/>
      <c r="JO29" s="147"/>
      <c r="JP29" s="147"/>
      <c r="JQ29" s="154"/>
      <c r="JR29" s="152" t="n">
        <f aca="false">SUMPRODUCT(JS$4:KB$4,JS29:KB29)</f>
        <v>0</v>
      </c>
      <c r="JS29" s="146"/>
      <c r="JT29" s="147"/>
      <c r="JU29" s="147"/>
      <c r="JV29" s="147"/>
      <c r="JW29" s="147"/>
      <c r="JX29" s="147"/>
      <c r="JY29" s="147"/>
      <c r="JZ29" s="147"/>
      <c r="KA29" s="147"/>
      <c r="KB29" s="154"/>
      <c r="KC29" s="152" t="n">
        <f aca="false">SUMPRODUCT(KD$4:KM$4,KD29:KM29)</f>
        <v>0</v>
      </c>
      <c r="KD29" s="146"/>
      <c r="KE29" s="147"/>
      <c r="KF29" s="147"/>
      <c r="KG29" s="147"/>
      <c r="KH29" s="147"/>
      <c r="KI29" s="147"/>
      <c r="KJ29" s="147"/>
      <c r="KK29" s="147"/>
      <c r="KL29" s="147"/>
      <c r="KM29" s="154"/>
      <c r="KN29" s="152" t="n">
        <f aca="false">SUMPRODUCT(KO$4:KX$4,KO29:KX29)</f>
        <v>0</v>
      </c>
      <c r="KO29" s="146"/>
      <c r="KP29" s="147"/>
      <c r="KQ29" s="147"/>
      <c r="KR29" s="147"/>
      <c r="KS29" s="147"/>
      <c r="KT29" s="147"/>
      <c r="KU29" s="147"/>
      <c r="KV29" s="147"/>
      <c r="KW29" s="147"/>
      <c r="KX29" s="154"/>
      <c r="KY29" s="152" t="n">
        <f aca="false">SUMPRODUCT(KZ$4:LI$4,KZ29:LI29)</f>
        <v>0</v>
      </c>
      <c r="KZ29" s="146"/>
      <c r="LA29" s="147"/>
      <c r="LB29" s="147"/>
      <c r="LC29" s="147"/>
      <c r="LD29" s="147"/>
      <c r="LE29" s="147"/>
      <c r="LF29" s="147"/>
      <c r="LG29" s="147"/>
      <c r="LH29" s="147"/>
      <c r="LI29" s="154"/>
      <c r="LJ29" s="152" t="n">
        <f aca="false">SUMPRODUCT(LK$4:LT$4,LK29:LT29)</f>
        <v>0</v>
      </c>
      <c r="LK29" s="146"/>
      <c r="LL29" s="147"/>
      <c r="LM29" s="147"/>
      <c r="LN29" s="147"/>
      <c r="LO29" s="147"/>
      <c r="LP29" s="147"/>
      <c r="LQ29" s="147"/>
      <c r="LR29" s="147"/>
      <c r="LS29" s="147"/>
      <c r="LT29" s="154"/>
      <c r="LW29" s="152"/>
      <c r="LX29" s="155" t="n">
        <f aca="false">D183+O183+Z183+AK183+AV183+BG183+BR183+CC183+CN183+CY183+DJ183+DU183+EF183+EQ183+FB183+FM183+FX183+GI183+GT183+HE183+HP183+IA183+IL183+IW183+JH183+JS183+KD183+KO183+KZ183+LK183</f>
        <v>5.55</v>
      </c>
      <c r="LY29" s="156" t="n">
        <f aca="false">E183+P183+AA183+AL183+AW183+BH183+BS183+CD183+CO183+CZ183+DK183+DV183+EG183+ER183+FC183+FN183+FY183+GJ183+GU183+HF183+HQ183+IB183+IM183+IX183+JI183+JT183+KE183+KP183+LA183+LL183</f>
        <v>6.2</v>
      </c>
      <c r="LZ29" s="156" t="n">
        <f aca="false">F183+Q183+AB183+AM183+AX183+BI183+BT183+CE183+CP183+DA183+DL183+DW183+EH183+ES183+FD183+FO183+FZ183+GK183+GV183+HG183+HR183+IC183+IN183+IY183+JJ183+JU183+KF183+KQ183+LB183+LM183</f>
        <v>6.825</v>
      </c>
      <c r="MA29" s="156" t="n">
        <f aca="false">G183+R183+AC183+AN183+AY183+BJ183+BU183+CF183+CQ183+DB183+DM183+DX183+EI183+ET183+FE183+FP183+GA183+GL183+GW183+HH183+HS183+ID183+IO183+IZ183+JK183+JV183+KG183+KR183+LC183+LN183</f>
        <v>7</v>
      </c>
      <c r="MB29" s="156" t="n">
        <f aca="false">H183+S183+AD183+AO183+AZ183+BK183+BV183+CG183+CR183+DC183+DN183+DY183+EJ183+EU183+FF183+FQ183+GB183+GM183+GX183+HI183+HT183+IE183+IP183+JA183+JL183+JW183+KH183+KS183+LD183+LO183</f>
        <v>0</v>
      </c>
      <c r="MC29" s="156" t="n">
        <f aca="false">I183+T183+AE183+AP183+BA183+BL183+BW183+CH183+CS183+DD183+DO183+DZ183+EK183+EV183+FG183+FR183+GC183+GN183+GY183+HJ183+HU183+IF183+IQ183+JB183+JM183+JX183+KI183+KT183+LE183+LP183</f>
        <v>0</v>
      </c>
      <c r="MD29" s="156" t="n">
        <f aca="false">J183+U183+AF183+AQ183+BB183+BM183+BX183+CI183+CT183+DE183+DP183+EA183+EL183+EW183+FH183+FS183+GD183+GO183+GZ183+HK183+HV183+IG183+IR183+JC183+JN183+JY183+KJ183+KU183+LF183+LQ183</f>
        <v>0</v>
      </c>
      <c r="ME29" s="156" t="n">
        <f aca="false">K183+V183+AG183+AR183+BC183+BN183+BY183+CJ183+CU183+DF183+DQ183+EB183+EM183+EX183+FI183+FT183+GE183+GP183+HA183+HL183+HW183+IH183+IS183+JD183+JO183+JZ183+KK183+KV183+LG183+LR183</f>
        <v>0</v>
      </c>
      <c r="MF29" s="156" t="n">
        <f aca="false">L183+W183+AH183+AS183+BD183+BO183+BZ183+CK183+CV183+DG183+DR183+EC183+EN183+EY183+FJ183+FU183+GF183+GQ183+HB183+HM183+HX183+II183+IT183+JE183+JP183+KA183+KL183+KW183+LH183+LS183</f>
        <v>0</v>
      </c>
      <c r="MG29" s="157" t="n">
        <f aca="false">M183+X183+AI183+AT183+BE183+BP183+CA183+CL183+CW183+DH183+DS183+ED183+EO183+EZ183+FK183+FV183+GG183+GR183+HC183+HN183+HY183+IJ183+IU183+JF183+JQ183+KB183+KM183+KX183+LI183+LT183</f>
        <v>0</v>
      </c>
    </row>
    <row r="30" customFormat="false" ht="13.8" hidden="false" customHeight="false" outlineLevel="0" collapsed="false">
      <c r="A30" s="29" t="n">
        <v>25</v>
      </c>
      <c r="B30" s="151" t="str">
        <f aca="false">'Datos Iniciales'!T33</f>
        <v>Alumno25</v>
      </c>
      <c r="C30" s="152" t="n">
        <f aca="false">SUMPRODUCT(D$4:M$4,D30:M30)</f>
        <v>8.85</v>
      </c>
      <c r="D30" s="146" t="n">
        <v>9</v>
      </c>
      <c r="E30" s="147" t="n">
        <v>9</v>
      </c>
      <c r="F30" s="147" t="n">
        <v>9</v>
      </c>
      <c r="G30" s="147" t="n">
        <v>9</v>
      </c>
      <c r="H30" s="147" t="n">
        <v>9</v>
      </c>
      <c r="I30" s="147" t="n">
        <v>8</v>
      </c>
      <c r="J30" s="147" t="n">
        <v>9</v>
      </c>
      <c r="K30" s="147"/>
      <c r="L30" s="147"/>
      <c r="M30" s="154"/>
      <c r="N30" s="152" t="n">
        <f aca="false">SUMPRODUCT(O$4:X$4,O30:X30)</f>
        <v>9</v>
      </c>
      <c r="O30" s="146" t="n">
        <v>9</v>
      </c>
      <c r="P30" s="147" t="n">
        <v>9</v>
      </c>
      <c r="Q30" s="147" t="n">
        <v>9</v>
      </c>
      <c r="R30" s="147" t="n">
        <v>9</v>
      </c>
      <c r="S30" s="147" t="n">
        <v>9</v>
      </c>
      <c r="T30" s="147"/>
      <c r="U30" s="147"/>
      <c r="V30" s="147"/>
      <c r="W30" s="147"/>
      <c r="X30" s="154"/>
      <c r="Y30" s="152" t="n">
        <f aca="false">SUMPRODUCT(Z$4:AI$4,Z30:AI30)</f>
        <v>5</v>
      </c>
      <c r="Z30" s="146" t="n">
        <v>5</v>
      </c>
      <c r="AA30" s="153" t="n">
        <v>5</v>
      </c>
      <c r="AB30" s="153" t="n">
        <v>5</v>
      </c>
      <c r="AC30" s="153" t="n">
        <v>5</v>
      </c>
      <c r="AD30" s="153" t="n">
        <v>5</v>
      </c>
      <c r="AE30" s="153"/>
      <c r="AF30" s="153"/>
      <c r="AG30" s="147"/>
      <c r="AH30" s="147"/>
      <c r="AI30" s="154"/>
      <c r="AJ30" s="152" t="n">
        <f aca="false">SUMPRODUCT(AK$4:AT$4,AK30:AT30)</f>
        <v>5</v>
      </c>
      <c r="AK30" s="146" t="n">
        <v>5</v>
      </c>
      <c r="AL30" s="153" t="n">
        <v>5</v>
      </c>
      <c r="AM30" s="153" t="n">
        <v>5</v>
      </c>
      <c r="AN30" s="153" t="n">
        <v>5</v>
      </c>
      <c r="AO30" s="153" t="n">
        <v>5</v>
      </c>
      <c r="AP30" s="147"/>
      <c r="AQ30" s="147"/>
      <c r="AR30" s="147"/>
      <c r="AS30" s="147"/>
      <c r="AT30" s="154"/>
      <c r="AU30" s="152" t="n">
        <f aca="false">SUMPRODUCT(AV$4:BE$4,AV30:BE30)</f>
        <v>9</v>
      </c>
      <c r="AV30" s="146" t="n">
        <v>9</v>
      </c>
      <c r="AW30" s="147" t="n">
        <v>9</v>
      </c>
      <c r="AX30" s="147" t="n">
        <v>9</v>
      </c>
      <c r="AY30" s="147" t="n">
        <v>9</v>
      </c>
      <c r="AZ30" s="147" t="n">
        <v>9</v>
      </c>
      <c r="BA30" s="147"/>
      <c r="BB30" s="147"/>
      <c r="BC30" s="147"/>
      <c r="BD30" s="147"/>
      <c r="BE30" s="154"/>
      <c r="BF30" s="152" t="n">
        <f aca="false">SUMPRODUCT(BG$4:BP$4,BG30:BP30)</f>
        <v>9</v>
      </c>
      <c r="BG30" s="146" t="n">
        <v>9</v>
      </c>
      <c r="BH30" s="147" t="n">
        <v>9</v>
      </c>
      <c r="BI30" s="147" t="n">
        <v>9</v>
      </c>
      <c r="BJ30" s="147" t="n">
        <v>9</v>
      </c>
      <c r="BK30" s="147" t="n">
        <v>9</v>
      </c>
      <c r="BL30" s="147"/>
      <c r="BM30" s="147"/>
      <c r="BN30" s="147"/>
      <c r="BO30" s="147"/>
      <c r="BP30" s="154"/>
      <c r="BQ30" s="152" t="n">
        <f aca="false">SUMPRODUCT(BR$4:CA$4,BR30:CA30)</f>
        <v>9.7</v>
      </c>
      <c r="BR30" s="146" t="n">
        <v>10</v>
      </c>
      <c r="BS30" s="147" t="n">
        <v>9</v>
      </c>
      <c r="BT30" s="147" t="n">
        <v>10</v>
      </c>
      <c r="BU30" s="147" t="n">
        <v>9</v>
      </c>
      <c r="BV30" s="147" t="n">
        <v>10</v>
      </c>
      <c r="BW30" s="147"/>
      <c r="BX30" s="147"/>
      <c r="BY30" s="147"/>
      <c r="BZ30" s="147"/>
      <c r="CA30" s="154"/>
      <c r="CB30" s="152" t="n">
        <f aca="false">SUMPRODUCT(CC$4:CL$4,CC30:CL30)</f>
        <v>0</v>
      </c>
      <c r="CC30" s="146"/>
      <c r="CD30" s="147"/>
      <c r="CE30" s="147"/>
      <c r="CF30" s="147"/>
      <c r="CG30" s="147"/>
      <c r="CH30" s="147"/>
      <c r="CI30" s="147"/>
      <c r="CJ30" s="147"/>
      <c r="CK30" s="147"/>
      <c r="CL30" s="154"/>
      <c r="CM30" s="152" t="n">
        <f aca="false">SUMPRODUCT(CN$4:CW$4,CN30:CW30)</f>
        <v>0</v>
      </c>
      <c r="CN30" s="146"/>
      <c r="CO30" s="147"/>
      <c r="CP30" s="147"/>
      <c r="CQ30" s="147"/>
      <c r="CR30" s="147"/>
      <c r="CS30" s="147"/>
      <c r="CT30" s="147"/>
      <c r="CU30" s="147"/>
      <c r="CV30" s="147"/>
      <c r="CW30" s="154"/>
      <c r="CX30" s="152" t="n">
        <f aca="false">SUMPRODUCT(CY$4:DH$4,CY30:DH30)</f>
        <v>0</v>
      </c>
      <c r="CY30" s="146"/>
      <c r="CZ30" s="147"/>
      <c r="DA30" s="147"/>
      <c r="DB30" s="147"/>
      <c r="DC30" s="147"/>
      <c r="DD30" s="147"/>
      <c r="DE30" s="147"/>
      <c r="DF30" s="147"/>
      <c r="DG30" s="147"/>
      <c r="DH30" s="154"/>
      <c r="DI30" s="152" t="n">
        <f aca="false">SUMPRODUCT(DJ$4:DS$4,DJ30:DS30)</f>
        <v>0</v>
      </c>
      <c r="DJ30" s="146"/>
      <c r="DK30" s="147"/>
      <c r="DL30" s="147"/>
      <c r="DM30" s="147"/>
      <c r="DN30" s="147"/>
      <c r="DO30" s="147"/>
      <c r="DP30" s="147"/>
      <c r="DQ30" s="147"/>
      <c r="DR30" s="147"/>
      <c r="DS30" s="154"/>
      <c r="DT30" s="152" t="n">
        <f aca="false">SUMPRODUCT(DU$4:ED$4,DU30:ED30)</f>
        <v>0</v>
      </c>
      <c r="DU30" s="146"/>
      <c r="DV30" s="147"/>
      <c r="DW30" s="147"/>
      <c r="DX30" s="147"/>
      <c r="DY30" s="147"/>
      <c r="DZ30" s="147"/>
      <c r="EA30" s="147"/>
      <c r="EB30" s="147"/>
      <c r="EC30" s="147"/>
      <c r="ED30" s="154"/>
      <c r="EE30" s="152" t="n">
        <f aca="false">SUMPRODUCT(EF$4:EO$4,EF30:EO30)</f>
        <v>0</v>
      </c>
      <c r="EF30" s="146"/>
      <c r="EG30" s="147"/>
      <c r="EH30" s="147"/>
      <c r="EI30" s="147"/>
      <c r="EJ30" s="147"/>
      <c r="EK30" s="147"/>
      <c r="EL30" s="147"/>
      <c r="EM30" s="147"/>
      <c r="EN30" s="147"/>
      <c r="EO30" s="154"/>
      <c r="EP30" s="152" t="n">
        <f aca="false">SUMPRODUCT(EQ$4:EZ$4,EQ30:EZ30)</f>
        <v>0</v>
      </c>
      <c r="EQ30" s="146"/>
      <c r="ER30" s="147"/>
      <c r="ES30" s="147"/>
      <c r="ET30" s="147"/>
      <c r="EU30" s="147"/>
      <c r="EV30" s="147"/>
      <c r="EW30" s="147"/>
      <c r="EX30" s="147"/>
      <c r="EY30" s="147"/>
      <c r="EZ30" s="154"/>
      <c r="FA30" s="152" t="n">
        <f aca="false">SUMPRODUCT(FB$4:FK$4,FB30:FK30)</f>
        <v>0</v>
      </c>
      <c r="FB30" s="146"/>
      <c r="FC30" s="147"/>
      <c r="FD30" s="147"/>
      <c r="FE30" s="147"/>
      <c r="FF30" s="147"/>
      <c r="FG30" s="147"/>
      <c r="FH30" s="147"/>
      <c r="FI30" s="147"/>
      <c r="FJ30" s="147"/>
      <c r="FK30" s="154"/>
      <c r="FL30" s="152" t="n">
        <f aca="false">SUMPRODUCT(FM$4:FV$4,FM30:FV30)</f>
        <v>0</v>
      </c>
      <c r="FM30" s="146"/>
      <c r="FN30" s="147"/>
      <c r="FO30" s="147"/>
      <c r="FP30" s="147"/>
      <c r="FQ30" s="147"/>
      <c r="FR30" s="147"/>
      <c r="FS30" s="147"/>
      <c r="FT30" s="147"/>
      <c r="FU30" s="147"/>
      <c r="FV30" s="154"/>
      <c r="FW30" s="152" t="n">
        <f aca="false">SUMPRODUCT(FX$4:GG$4,FX30:GG30)</f>
        <v>0</v>
      </c>
      <c r="FX30" s="146"/>
      <c r="FY30" s="147"/>
      <c r="FZ30" s="147"/>
      <c r="GA30" s="147"/>
      <c r="GB30" s="147"/>
      <c r="GC30" s="147"/>
      <c r="GD30" s="147"/>
      <c r="GE30" s="147"/>
      <c r="GF30" s="147"/>
      <c r="GG30" s="154"/>
      <c r="GH30" s="152" t="n">
        <f aca="false">SUMPRODUCT(GI$4:GR$4,GI30:GR30)</f>
        <v>0</v>
      </c>
      <c r="GI30" s="146"/>
      <c r="GJ30" s="147"/>
      <c r="GK30" s="147"/>
      <c r="GL30" s="147"/>
      <c r="GM30" s="147"/>
      <c r="GN30" s="147"/>
      <c r="GO30" s="147"/>
      <c r="GP30" s="147"/>
      <c r="GQ30" s="147"/>
      <c r="GR30" s="154"/>
      <c r="GS30" s="152" t="n">
        <f aca="false">SUMPRODUCT(GT$4:HC$4,GT30:HC30)</f>
        <v>0</v>
      </c>
      <c r="GT30" s="146"/>
      <c r="GU30" s="147"/>
      <c r="GV30" s="147"/>
      <c r="GW30" s="147"/>
      <c r="GX30" s="147"/>
      <c r="GY30" s="147"/>
      <c r="GZ30" s="147"/>
      <c r="HA30" s="147"/>
      <c r="HB30" s="147"/>
      <c r="HC30" s="154"/>
      <c r="HD30" s="152" t="n">
        <f aca="false">SUMPRODUCT(HE$4:HN$4,HE30:HN30)</f>
        <v>0</v>
      </c>
      <c r="HE30" s="146"/>
      <c r="HF30" s="147"/>
      <c r="HG30" s="147"/>
      <c r="HH30" s="147"/>
      <c r="HI30" s="147"/>
      <c r="HJ30" s="147"/>
      <c r="HK30" s="147"/>
      <c r="HL30" s="147"/>
      <c r="HM30" s="147"/>
      <c r="HN30" s="154"/>
      <c r="HO30" s="152" t="n">
        <f aca="false">SUMPRODUCT(HP$4:HY$4,HP30:HY30)</f>
        <v>0</v>
      </c>
      <c r="HP30" s="146"/>
      <c r="HQ30" s="147"/>
      <c r="HR30" s="147"/>
      <c r="HS30" s="147"/>
      <c r="HT30" s="147"/>
      <c r="HU30" s="147"/>
      <c r="HV30" s="147"/>
      <c r="HW30" s="147"/>
      <c r="HX30" s="147"/>
      <c r="HY30" s="154"/>
      <c r="HZ30" s="152" t="n">
        <f aca="false">SUMPRODUCT(IA$4:IJ$4,IA30:IJ30)</f>
        <v>0</v>
      </c>
      <c r="IA30" s="146"/>
      <c r="IB30" s="147"/>
      <c r="IC30" s="147"/>
      <c r="ID30" s="147"/>
      <c r="IE30" s="147"/>
      <c r="IF30" s="147"/>
      <c r="IG30" s="147"/>
      <c r="IH30" s="147"/>
      <c r="II30" s="147"/>
      <c r="IJ30" s="154"/>
      <c r="IK30" s="152" t="n">
        <f aca="false">SUMPRODUCT(IL$4:IU$4,IL30:IU30)</f>
        <v>0</v>
      </c>
      <c r="IL30" s="146"/>
      <c r="IM30" s="147"/>
      <c r="IN30" s="147"/>
      <c r="IO30" s="147"/>
      <c r="IP30" s="147"/>
      <c r="IQ30" s="147"/>
      <c r="IR30" s="147"/>
      <c r="IS30" s="147"/>
      <c r="IT30" s="147"/>
      <c r="IU30" s="154"/>
      <c r="IV30" s="152" t="n">
        <f aca="false">SUMPRODUCT(IW$4:JF$4,IW30:JF30)</f>
        <v>0</v>
      </c>
      <c r="IW30" s="146"/>
      <c r="IX30" s="147"/>
      <c r="IY30" s="147"/>
      <c r="IZ30" s="147"/>
      <c r="JA30" s="147"/>
      <c r="JB30" s="147"/>
      <c r="JC30" s="147"/>
      <c r="JD30" s="147"/>
      <c r="JE30" s="147"/>
      <c r="JF30" s="154"/>
      <c r="JG30" s="152" t="n">
        <f aca="false">SUMPRODUCT(JH$4:JQ$4,JH30:JQ30)</f>
        <v>0</v>
      </c>
      <c r="JH30" s="146"/>
      <c r="JI30" s="147"/>
      <c r="JJ30" s="147"/>
      <c r="JK30" s="147"/>
      <c r="JL30" s="147"/>
      <c r="JM30" s="147"/>
      <c r="JN30" s="147"/>
      <c r="JO30" s="147"/>
      <c r="JP30" s="147"/>
      <c r="JQ30" s="154"/>
      <c r="JR30" s="152" t="n">
        <f aca="false">SUMPRODUCT(JS$4:KB$4,JS30:KB30)</f>
        <v>0</v>
      </c>
      <c r="JS30" s="146"/>
      <c r="JT30" s="147"/>
      <c r="JU30" s="147"/>
      <c r="JV30" s="147"/>
      <c r="JW30" s="147"/>
      <c r="JX30" s="147"/>
      <c r="JY30" s="147"/>
      <c r="JZ30" s="147"/>
      <c r="KA30" s="147"/>
      <c r="KB30" s="154"/>
      <c r="KC30" s="152" t="n">
        <f aca="false">SUMPRODUCT(KD$4:KM$4,KD30:KM30)</f>
        <v>0</v>
      </c>
      <c r="KD30" s="146"/>
      <c r="KE30" s="147"/>
      <c r="KF30" s="147"/>
      <c r="KG30" s="147"/>
      <c r="KH30" s="147"/>
      <c r="KI30" s="147"/>
      <c r="KJ30" s="147"/>
      <c r="KK30" s="147"/>
      <c r="KL30" s="147"/>
      <c r="KM30" s="154"/>
      <c r="KN30" s="152" t="n">
        <f aca="false">SUMPRODUCT(KO$4:KX$4,KO30:KX30)</f>
        <v>0</v>
      </c>
      <c r="KO30" s="146"/>
      <c r="KP30" s="147"/>
      <c r="KQ30" s="147"/>
      <c r="KR30" s="147"/>
      <c r="KS30" s="147"/>
      <c r="KT30" s="147"/>
      <c r="KU30" s="147"/>
      <c r="KV30" s="147"/>
      <c r="KW30" s="147"/>
      <c r="KX30" s="154"/>
      <c r="KY30" s="152" t="n">
        <f aca="false">SUMPRODUCT(KZ$4:LI$4,KZ30:LI30)</f>
        <v>0</v>
      </c>
      <c r="KZ30" s="146"/>
      <c r="LA30" s="147"/>
      <c r="LB30" s="147"/>
      <c r="LC30" s="147"/>
      <c r="LD30" s="147"/>
      <c r="LE30" s="147"/>
      <c r="LF30" s="147"/>
      <c r="LG30" s="147"/>
      <c r="LH30" s="147"/>
      <c r="LI30" s="154"/>
      <c r="LJ30" s="152" t="n">
        <f aca="false">SUMPRODUCT(LK$4:LT$4,LK30:LT30)</f>
        <v>0</v>
      </c>
      <c r="LK30" s="146"/>
      <c r="LL30" s="147"/>
      <c r="LM30" s="147"/>
      <c r="LN30" s="147"/>
      <c r="LO30" s="147"/>
      <c r="LP30" s="147"/>
      <c r="LQ30" s="147"/>
      <c r="LR30" s="147"/>
      <c r="LS30" s="147"/>
      <c r="LT30" s="154"/>
      <c r="LW30" s="152"/>
      <c r="LX30" s="155" t="n">
        <f aca="false">D184+O184+Z184+AK184+AV184+BG184+BR184+CC184+CN184+CY184+DJ184+DU184+EF184+EQ184+FB184+FM184+FX184+GI184+GT184+HE184+HP184+IA184+IL184+IW184+JH184+JS184+KD184+KO184+KZ184+LK184</f>
        <v>7.3625</v>
      </c>
      <c r="LY30" s="156" t="n">
        <f aca="false">E184+P184+AA184+AL184+AW184+BH184+BS184+CD184+CO184+CZ184+DK184+DV184+EG184+ER184+FC184+FN184+FY184+GJ184+GU184+HF184+HQ184+IB184+IM184+IX184+JI184+JT184+KE184+KP184+LA184+LL184</f>
        <v>7.05</v>
      </c>
      <c r="LZ30" s="156" t="n">
        <f aca="false">F184+Q184+AB184+AM184+AX184+BI184+BT184+CE184+CP184+DA184+DL184+DW184+EH184+ES184+FD184+FO184+FZ184+GK184+GV184+HG184+HR184+IC184+IN184+IY184+JJ184+JU184+KF184+KQ184+LB184+LM184</f>
        <v>7.3</v>
      </c>
      <c r="MA30" s="156" t="n">
        <f aca="false">G184+R184+AC184+AN184+AY184+BJ184+BU184+CF184+CQ184+DB184+DM184+DX184+EI184+ET184+FE184+FP184+GA184+GL184+GW184+HH184+HS184+ID184+IO184+IZ184+JK184+JV184+KG184+KR184+LC184+LN184</f>
        <v>9.3</v>
      </c>
      <c r="MB30" s="156" t="n">
        <f aca="false">H184+S184+AD184+AO184+AZ184+BK184+BV184+CG184+CR184+DC184+DN184+DY184+EJ184+EU184+FF184+FQ184+GB184+GM184+GX184+HI184+HT184+IE184+IP184+JA184+JL184+JW184+KH184+KS184+LD184+LO184</f>
        <v>0</v>
      </c>
      <c r="MC30" s="156" t="n">
        <f aca="false">I184+T184+AE184+AP184+BA184+BL184+BW184+CH184+CS184+DD184+DO184+DZ184+EK184+EV184+FG184+FR184+GC184+GN184+GY184+HJ184+HU184+IF184+IQ184+JB184+JM184+JX184+KI184+KT184+LE184+LP184</f>
        <v>0</v>
      </c>
      <c r="MD30" s="156" t="n">
        <f aca="false">J184+U184+AF184+AQ184+BB184+BM184+BX184+CI184+CT184+DE184+DP184+EA184+EL184+EW184+FH184+FS184+GD184+GO184+GZ184+HK184+HV184+IG184+IR184+JC184+JN184+JY184+KJ184+KU184+LF184+LQ184</f>
        <v>0</v>
      </c>
      <c r="ME30" s="156" t="n">
        <f aca="false">K184+V184+AG184+AR184+BC184+BN184+BY184+CJ184+CU184+DF184+DQ184+EB184+EM184+EX184+FI184+FT184+GE184+GP184+HA184+HL184+HW184+IH184+IS184+JD184+JO184+JZ184+KK184+KV184+LG184+LR184</f>
        <v>0</v>
      </c>
      <c r="MF30" s="156" t="n">
        <f aca="false">L184+W184+AH184+AS184+BD184+BO184+BZ184+CK184+CV184+DG184+DR184+EC184+EN184+EY184+FJ184+FU184+GF184+GQ184+HB184+HM184+HX184+II184+IT184+JE184+JP184+KA184+KL184+KW184+LH184+LS184</f>
        <v>0</v>
      </c>
      <c r="MG30" s="157" t="n">
        <f aca="false">M184+X184+AI184+AT184+BE184+BP184+CA184+CL184+CW184+DH184+DS184+ED184+EO184+EZ184+FK184+FV184+GG184+GR184+HC184+HN184+HY184+IJ184+IU184+JF184+JQ184+KB184+KM184+KX184+LI184+LT184</f>
        <v>0</v>
      </c>
    </row>
    <row r="31" customFormat="false" ht="13.8" hidden="false" customHeight="false" outlineLevel="0" collapsed="false">
      <c r="A31" s="29" t="n">
        <v>26</v>
      </c>
      <c r="B31" s="151" t="str">
        <f aca="false">'Datos Iniciales'!T34</f>
        <v>Alumno26</v>
      </c>
      <c r="C31" s="152" t="n">
        <f aca="false">SUMPRODUCT(D$4:M$4,D31:M31)</f>
        <v>9.65</v>
      </c>
      <c r="D31" s="146" t="n">
        <v>10</v>
      </c>
      <c r="E31" s="147" t="n">
        <v>9</v>
      </c>
      <c r="F31" s="147" t="n">
        <v>10</v>
      </c>
      <c r="G31" s="147" t="n">
        <v>9</v>
      </c>
      <c r="H31" s="147" t="n">
        <v>10</v>
      </c>
      <c r="I31" s="147" t="n">
        <v>10</v>
      </c>
      <c r="J31" s="147" t="n">
        <v>9</v>
      </c>
      <c r="K31" s="147"/>
      <c r="L31" s="147"/>
      <c r="M31" s="154"/>
      <c r="N31" s="152" t="n">
        <f aca="false">SUMPRODUCT(O$4:X$4,O31:X31)</f>
        <v>9.6</v>
      </c>
      <c r="O31" s="146" t="n">
        <v>10</v>
      </c>
      <c r="P31" s="147" t="n">
        <v>9</v>
      </c>
      <c r="Q31" s="147" t="n">
        <v>10</v>
      </c>
      <c r="R31" s="147" t="n">
        <v>9</v>
      </c>
      <c r="S31" s="147" t="n">
        <v>10</v>
      </c>
      <c r="T31" s="147"/>
      <c r="U31" s="147"/>
      <c r="V31" s="147"/>
      <c r="W31" s="147"/>
      <c r="X31" s="154"/>
      <c r="Y31" s="152" t="n">
        <f aca="false">SUMPRODUCT(Z$4:AI$4,Z31:AI31)</f>
        <v>4.6</v>
      </c>
      <c r="Z31" s="146" t="n">
        <v>5</v>
      </c>
      <c r="AA31" s="147" t="n">
        <v>6</v>
      </c>
      <c r="AB31" s="147" t="n">
        <v>3</v>
      </c>
      <c r="AC31" s="147" t="n">
        <v>4</v>
      </c>
      <c r="AD31" s="147" t="n">
        <v>5</v>
      </c>
      <c r="AE31" s="147"/>
      <c r="AF31" s="147"/>
      <c r="AG31" s="147"/>
      <c r="AH31" s="147"/>
      <c r="AI31" s="154"/>
      <c r="AJ31" s="152" t="n">
        <f aca="false">SUMPRODUCT(AK$4:AT$4,AK31:AT31)</f>
        <v>4.6</v>
      </c>
      <c r="AK31" s="146" t="n">
        <v>5</v>
      </c>
      <c r="AL31" s="147" t="n">
        <v>6</v>
      </c>
      <c r="AM31" s="147" t="n">
        <v>3</v>
      </c>
      <c r="AN31" s="147" t="n">
        <v>4</v>
      </c>
      <c r="AO31" s="147" t="n">
        <v>5</v>
      </c>
      <c r="AP31" s="147"/>
      <c r="AQ31" s="147"/>
      <c r="AR31" s="147"/>
      <c r="AS31" s="147"/>
      <c r="AT31" s="154"/>
      <c r="AU31" s="152" t="n">
        <f aca="false">SUMPRODUCT(AV$4:BE$4,AV31:BE31)</f>
        <v>9.5</v>
      </c>
      <c r="AV31" s="146" t="n">
        <v>10</v>
      </c>
      <c r="AW31" s="147" t="n">
        <v>9</v>
      </c>
      <c r="AX31" s="147" t="n">
        <v>10</v>
      </c>
      <c r="AY31" s="147" t="n">
        <v>9</v>
      </c>
      <c r="AZ31" s="147" t="n">
        <v>10</v>
      </c>
      <c r="BA31" s="147"/>
      <c r="BB31" s="147"/>
      <c r="BC31" s="147"/>
      <c r="BD31" s="147"/>
      <c r="BE31" s="154"/>
      <c r="BF31" s="152" t="n">
        <f aca="false">SUMPRODUCT(BG$4:BP$4,BG31:BP31)</f>
        <v>9.6</v>
      </c>
      <c r="BG31" s="146" t="n">
        <v>10</v>
      </c>
      <c r="BH31" s="147" t="n">
        <v>9</v>
      </c>
      <c r="BI31" s="147" t="n">
        <v>10</v>
      </c>
      <c r="BJ31" s="147" t="n">
        <v>9</v>
      </c>
      <c r="BK31" s="147" t="n">
        <v>10</v>
      </c>
      <c r="BL31" s="147"/>
      <c r="BM31" s="147"/>
      <c r="BN31" s="147"/>
      <c r="BO31" s="147"/>
      <c r="BP31" s="154"/>
      <c r="BQ31" s="152" t="n">
        <f aca="false">SUMPRODUCT(BR$4:CA$4,BR31:CA31)</f>
        <v>6.8</v>
      </c>
      <c r="BR31" s="146" t="n">
        <v>6</v>
      </c>
      <c r="BS31" s="147" t="n">
        <v>7</v>
      </c>
      <c r="BT31" s="147" t="n">
        <v>8</v>
      </c>
      <c r="BU31" s="147" t="n">
        <v>9</v>
      </c>
      <c r="BV31" s="147" t="n">
        <v>5</v>
      </c>
      <c r="BW31" s="147"/>
      <c r="BX31" s="147"/>
      <c r="BY31" s="147"/>
      <c r="BZ31" s="147"/>
      <c r="CA31" s="154"/>
      <c r="CB31" s="152" t="n">
        <f aca="false">SUMPRODUCT(CC$4:CL$4,CC31:CL31)</f>
        <v>0</v>
      </c>
      <c r="CC31" s="146"/>
      <c r="CD31" s="147"/>
      <c r="CE31" s="147"/>
      <c r="CF31" s="147"/>
      <c r="CG31" s="147"/>
      <c r="CH31" s="147"/>
      <c r="CI31" s="147"/>
      <c r="CJ31" s="147"/>
      <c r="CK31" s="147"/>
      <c r="CL31" s="154"/>
      <c r="CM31" s="152" t="n">
        <f aca="false">SUMPRODUCT(CN$4:CW$4,CN31:CW31)</f>
        <v>0</v>
      </c>
      <c r="CN31" s="146"/>
      <c r="CO31" s="147"/>
      <c r="CP31" s="147"/>
      <c r="CQ31" s="147"/>
      <c r="CR31" s="147"/>
      <c r="CS31" s="147"/>
      <c r="CT31" s="147"/>
      <c r="CU31" s="147"/>
      <c r="CV31" s="147"/>
      <c r="CW31" s="154"/>
      <c r="CX31" s="152" t="n">
        <f aca="false">SUMPRODUCT(CY$4:DH$4,CY31:DH31)</f>
        <v>0</v>
      </c>
      <c r="CY31" s="146"/>
      <c r="CZ31" s="147"/>
      <c r="DA31" s="147"/>
      <c r="DB31" s="147"/>
      <c r="DC31" s="147"/>
      <c r="DD31" s="147"/>
      <c r="DE31" s="147"/>
      <c r="DF31" s="147"/>
      <c r="DG31" s="147"/>
      <c r="DH31" s="154"/>
      <c r="DI31" s="152" t="n">
        <f aca="false">SUMPRODUCT(DJ$4:DS$4,DJ31:DS31)</f>
        <v>0</v>
      </c>
      <c r="DJ31" s="146"/>
      <c r="DK31" s="147"/>
      <c r="DL31" s="147"/>
      <c r="DM31" s="147"/>
      <c r="DN31" s="147"/>
      <c r="DO31" s="147"/>
      <c r="DP31" s="147"/>
      <c r="DQ31" s="147"/>
      <c r="DR31" s="147"/>
      <c r="DS31" s="154"/>
      <c r="DT31" s="152" t="n">
        <f aca="false">SUMPRODUCT(DU$4:ED$4,DU31:ED31)</f>
        <v>0</v>
      </c>
      <c r="DU31" s="146"/>
      <c r="DV31" s="147"/>
      <c r="DW31" s="147"/>
      <c r="DX31" s="147"/>
      <c r="DY31" s="147"/>
      <c r="DZ31" s="147"/>
      <c r="EA31" s="147"/>
      <c r="EB31" s="147"/>
      <c r="EC31" s="147"/>
      <c r="ED31" s="154"/>
      <c r="EE31" s="152" t="n">
        <f aca="false">SUMPRODUCT(EF$4:EO$4,EF31:EO31)</f>
        <v>0</v>
      </c>
      <c r="EF31" s="146"/>
      <c r="EG31" s="147"/>
      <c r="EH31" s="147"/>
      <c r="EI31" s="147"/>
      <c r="EJ31" s="147"/>
      <c r="EK31" s="147"/>
      <c r="EL31" s="147"/>
      <c r="EM31" s="147"/>
      <c r="EN31" s="147"/>
      <c r="EO31" s="154"/>
      <c r="EP31" s="152" t="n">
        <f aca="false">SUMPRODUCT(EQ$4:EZ$4,EQ31:EZ31)</f>
        <v>0</v>
      </c>
      <c r="EQ31" s="146"/>
      <c r="ER31" s="147"/>
      <c r="ES31" s="147"/>
      <c r="ET31" s="147"/>
      <c r="EU31" s="147"/>
      <c r="EV31" s="147"/>
      <c r="EW31" s="147"/>
      <c r="EX31" s="147"/>
      <c r="EY31" s="147"/>
      <c r="EZ31" s="154"/>
      <c r="FA31" s="152" t="n">
        <f aca="false">SUMPRODUCT(FB$4:FK$4,FB31:FK31)</f>
        <v>0</v>
      </c>
      <c r="FB31" s="146"/>
      <c r="FC31" s="147"/>
      <c r="FD31" s="147"/>
      <c r="FE31" s="147"/>
      <c r="FF31" s="147"/>
      <c r="FG31" s="147"/>
      <c r="FH31" s="147"/>
      <c r="FI31" s="147"/>
      <c r="FJ31" s="147"/>
      <c r="FK31" s="154"/>
      <c r="FL31" s="152" t="n">
        <f aca="false">SUMPRODUCT(FM$4:FV$4,FM31:FV31)</f>
        <v>0</v>
      </c>
      <c r="FM31" s="146"/>
      <c r="FN31" s="147"/>
      <c r="FO31" s="147"/>
      <c r="FP31" s="147"/>
      <c r="FQ31" s="147"/>
      <c r="FR31" s="147"/>
      <c r="FS31" s="147"/>
      <c r="FT31" s="147"/>
      <c r="FU31" s="147"/>
      <c r="FV31" s="154"/>
      <c r="FW31" s="152" t="n">
        <f aca="false">SUMPRODUCT(FX$4:GG$4,FX31:GG31)</f>
        <v>0</v>
      </c>
      <c r="FX31" s="146"/>
      <c r="FY31" s="147"/>
      <c r="FZ31" s="147"/>
      <c r="GA31" s="147"/>
      <c r="GB31" s="147"/>
      <c r="GC31" s="147"/>
      <c r="GD31" s="147"/>
      <c r="GE31" s="147"/>
      <c r="GF31" s="147"/>
      <c r="GG31" s="154"/>
      <c r="GH31" s="152" t="n">
        <f aca="false">SUMPRODUCT(GI$4:GR$4,GI31:GR31)</f>
        <v>0</v>
      </c>
      <c r="GI31" s="146"/>
      <c r="GJ31" s="147"/>
      <c r="GK31" s="147"/>
      <c r="GL31" s="147"/>
      <c r="GM31" s="147"/>
      <c r="GN31" s="147"/>
      <c r="GO31" s="147"/>
      <c r="GP31" s="147"/>
      <c r="GQ31" s="147"/>
      <c r="GR31" s="154"/>
      <c r="GS31" s="152" t="n">
        <f aca="false">SUMPRODUCT(GT$4:HC$4,GT31:HC31)</f>
        <v>0</v>
      </c>
      <c r="GT31" s="146"/>
      <c r="GU31" s="147"/>
      <c r="GV31" s="147"/>
      <c r="GW31" s="147"/>
      <c r="GX31" s="147"/>
      <c r="GY31" s="147"/>
      <c r="GZ31" s="147"/>
      <c r="HA31" s="147"/>
      <c r="HB31" s="147"/>
      <c r="HC31" s="154"/>
      <c r="HD31" s="152" t="n">
        <f aca="false">SUMPRODUCT(HE$4:HN$4,HE31:HN31)</f>
        <v>0</v>
      </c>
      <c r="HE31" s="146"/>
      <c r="HF31" s="147"/>
      <c r="HG31" s="147"/>
      <c r="HH31" s="147"/>
      <c r="HI31" s="147"/>
      <c r="HJ31" s="147"/>
      <c r="HK31" s="147"/>
      <c r="HL31" s="147"/>
      <c r="HM31" s="147"/>
      <c r="HN31" s="154"/>
      <c r="HO31" s="152" t="n">
        <f aca="false">SUMPRODUCT(HP$4:HY$4,HP31:HY31)</f>
        <v>0</v>
      </c>
      <c r="HP31" s="146"/>
      <c r="HQ31" s="147"/>
      <c r="HR31" s="147"/>
      <c r="HS31" s="147"/>
      <c r="HT31" s="147"/>
      <c r="HU31" s="147"/>
      <c r="HV31" s="147"/>
      <c r="HW31" s="147"/>
      <c r="HX31" s="147"/>
      <c r="HY31" s="154"/>
      <c r="HZ31" s="152" t="n">
        <f aca="false">SUMPRODUCT(IA$4:IJ$4,IA31:IJ31)</f>
        <v>0</v>
      </c>
      <c r="IA31" s="146"/>
      <c r="IB31" s="147"/>
      <c r="IC31" s="147"/>
      <c r="ID31" s="147"/>
      <c r="IE31" s="147"/>
      <c r="IF31" s="147"/>
      <c r="IG31" s="147"/>
      <c r="IH31" s="147"/>
      <c r="II31" s="147"/>
      <c r="IJ31" s="154"/>
      <c r="IK31" s="152" t="n">
        <f aca="false">SUMPRODUCT(IL$4:IU$4,IL31:IU31)</f>
        <v>0</v>
      </c>
      <c r="IL31" s="146"/>
      <c r="IM31" s="147"/>
      <c r="IN31" s="147"/>
      <c r="IO31" s="147"/>
      <c r="IP31" s="147"/>
      <c r="IQ31" s="147"/>
      <c r="IR31" s="147"/>
      <c r="IS31" s="147"/>
      <c r="IT31" s="147"/>
      <c r="IU31" s="154"/>
      <c r="IV31" s="152" t="n">
        <f aca="false">SUMPRODUCT(IW$4:JF$4,IW31:JF31)</f>
        <v>0</v>
      </c>
      <c r="IW31" s="146"/>
      <c r="IX31" s="147"/>
      <c r="IY31" s="147"/>
      <c r="IZ31" s="147"/>
      <c r="JA31" s="147"/>
      <c r="JB31" s="147"/>
      <c r="JC31" s="147"/>
      <c r="JD31" s="147"/>
      <c r="JE31" s="147"/>
      <c r="JF31" s="154"/>
      <c r="JG31" s="152" t="n">
        <f aca="false">SUMPRODUCT(JH$4:JQ$4,JH31:JQ31)</f>
        <v>0</v>
      </c>
      <c r="JH31" s="146"/>
      <c r="JI31" s="147"/>
      <c r="JJ31" s="147"/>
      <c r="JK31" s="147"/>
      <c r="JL31" s="147"/>
      <c r="JM31" s="147"/>
      <c r="JN31" s="147"/>
      <c r="JO31" s="147"/>
      <c r="JP31" s="147"/>
      <c r="JQ31" s="154"/>
      <c r="JR31" s="152" t="n">
        <f aca="false">SUMPRODUCT(JS$4:KB$4,JS31:KB31)</f>
        <v>0</v>
      </c>
      <c r="JS31" s="146"/>
      <c r="JT31" s="147"/>
      <c r="JU31" s="147"/>
      <c r="JV31" s="147"/>
      <c r="JW31" s="147"/>
      <c r="JX31" s="147"/>
      <c r="JY31" s="147"/>
      <c r="JZ31" s="147"/>
      <c r="KA31" s="147"/>
      <c r="KB31" s="154"/>
      <c r="KC31" s="152" t="n">
        <f aca="false">SUMPRODUCT(KD$4:KM$4,KD31:KM31)</f>
        <v>0</v>
      </c>
      <c r="KD31" s="146"/>
      <c r="KE31" s="147"/>
      <c r="KF31" s="147"/>
      <c r="KG31" s="147"/>
      <c r="KH31" s="147"/>
      <c r="KI31" s="147"/>
      <c r="KJ31" s="147"/>
      <c r="KK31" s="147"/>
      <c r="KL31" s="147"/>
      <c r="KM31" s="154"/>
      <c r="KN31" s="152" t="n">
        <f aca="false">SUMPRODUCT(KO$4:KX$4,KO31:KX31)</f>
        <v>0</v>
      </c>
      <c r="KO31" s="146"/>
      <c r="KP31" s="147"/>
      <c r="KQ31" s="147"/>
      <c r="KR31" s="147"/>
      <c r="KS31" s="147"/>
      <c r="KT31" s="147"/>
      <c r="KU31" s="147"/>
      <c r="KV31" s="147"/>
      <c r="KW31" s="147"/>
      <c r="KX31" s="154"/>
      <c r="KY31" s="152" t="n">
        <f aca="false">SUMPRODUCT(KZ$4:LI$4,KZ31:LI31)</f>
        <v>0</v>
      </c>
      <c r="KZ31" s="146"/>
      <c r="LA31" s="147"/>
      <c r="LB31" s="147"/>
      <c r="LC31" s="147"/>
      <c r="LD31" s="147"/>
      <c r="LE31" s="147"/>
      <c r="LF31" s="147"/>
      <c r="LG31" s="147"/>
      <c r="LH31" s="147"/>
      <c r="LI31" s="154"/>
      <c r="LJ31" s="152" t="n">
        <f aca="false">SUMPRODUCT(LK$4:LT$4,LK31:LT31)</f>
        <v>0</v>
      </c>
      <c r="LK31" s="146"/>
      <c r="LL31" s="147"/>
      <c r="LM31" s="147"/>
      <c r="LN31" s="147"/>
      <c r="LO31" s="147"/>
      <c r="LP31" s="147"/>
      <c r="LQ31" s="147"/>
      <c r="LR31" s="147"/>
      <c r="LS31" s="147"/>
      <c r="LT31" s="154"/>
      <c r="LW31" s="152"/>
      <c r="LX31" s="155" t="n">
        <f aca="false">D185+O185+Z185+AK185+AV185+BG185+BR185+CC185+CN185+CY185+DJ185+DU185+EF185+EQ185+FB185+FM185+FX185+GI185+GT185+HE185+HP185+IA185+IL185+IW185+JH185+JS185+KD185+KO185+KZ185+LK185</f>
        <v>7.9625</v>
      </c>
      <c r="LY31" s="156" t="n">
        <f aca="false">E185+P185+AA185+AL185+AW185+BH185+BS185+CD185+CO185+CZ185+DK185+DV185+EG185+ER185+FC185+FN185+FY185+GJ185+GU185+HF185+HQ185+IB185+IM185+IX185+JI185+JT185+KE185+KP185+LA185+LL185</f>
        <v>6.9</v>
      </c>
      <c r="LZ31" s="156" t="n">
        <f aca="false">F185+Q185+AB185+AM185+AX185+BI185+BT185+CE185+CP185+DA185+DL185+DW185+EH185+ES185+FD185+FO185+FZ185+GK185+GV185+HG185+HR185+IC185+IN185+IY185+JJ185+JU185+KF185+KQ185+LB185+LM185</f>
        <v>6.695</v>
      </c>
      <c r="MA31" s="156" t="n">
        <f aca="false">G185+R185+AC185+AN185+AY185+BJ185+BU185+CF185+CQ185+DB185+DM185+DX185+EI185+ET185+FE185+FP185+GA185+GL185+GW185+HH185+HS185+ID185+IO185+IZ185+JK185+JV185+KG185+KR185+LC185+LN185</f>
        <v>8.14</v>
      </c>
      <c r="MB31" s="156" t="n">
        <f aca="false">H185+S185+AD185+AO185+AZ185+BK185+BV185+CG185+CR185+DC185+DN185+DY185+EJ185+EU185+FF185+FQ185+GB185+GM185+GX185+HI185+HT185+IE185+IP185+JA185+JL185+JW185+KH185+KS185+LD185+LO185</f>
        <v>0</v>
      </c>
      <c r="MC31" s="156" t="n">
        <f aca="false">I185+T185+AE185+AP185+BA185+BL185+BW185+CH185+CS185+DD185+DO185+DZ185+EK185+EV185+FG185+FR185+GC185+GN185+GY185+HJ185+HU185+IF185+IQ185+JB185+JM185+JX185+KI185+KT185+LE185+LP185</f>
        <v>0</v>
      </c>
      <c r="MD31" s="156" t="n">
        <f aca="false">J185+U185+AF185+AQ185+BB185+BM185+BX185+CI185+CT185+DE185+DP185+EA185+EL185+EW185+FH185+FS185+GD185+GO185+GZ185+HK185+HV185+IG185+IR185+JC185+JN185+JY185+KJ185+KU185+LF185+LQ185</f>
        <v>0</v>
      </c>
      <c r="ME31" s="156" t="n">
        <f aca="false">K185+V185+AG185+AR185+BC185+BN185+BY185+CJ185+CU185+DF185+DQ185+EB185+EM185+EX185+FI185+FT185+GE185+GP185+HA185+HL185+HW185+IH185+IS185+JD185+JO185+JZ185+KK185+KV185+LG185+LR185</f>
        <v>0</v>
      </c>
      <c r="MF31" s="156" t="n">
        <f aca="false">L185+W185+AH185+AS185+BD185+BO185+BZ185+CK185+CV185+DG185+DR185+EC185+EN185+EY185+FJ185+FU185+GF185+GQ185+HB185+HM185+HX185+II185+IT185+JE185+JP185+KA185+KL185+KW185+LH185+LS185</f>
        <v>0</v>
      </c>
      <c r="MG31" s="157" t="n">
        <f aca="false">M185+X185+AI185+AT185+BE185+BP185+CA185+CL185+CW185+DH185+DS185+ED185+EO185+EZ185+FK185+FV185+GG185+GR185+HC185+HN185+HY185+IJ185+IU185+JF185+JQ185+KB185+KM185+KX185+LI185+LT185</f>
        <v>0</v>
      </c>
    </row>
    <row r="32" customFormat="false" ht="13.8" hidden="false" customHeight="false" outlineLevel="0" collapsed="false">
      <c r="A32" s="29" t="n">
        <v>27</v>
      </c>
      <c r="B32" s="151" t="str">
        <f aca="false">'Datos Iniciales'!T35</f>
        <v>Alumno27</v>
      </c>
      <c r="C32" s="152" t="n">
        <f aca="false">SUMPRODUCT(D$4:M$4,D32:M32)</f>
        <v>8.85</v>
      </c>
      <c r="D32" s="146" t="n">
        <v>9</v>
      </c>
      <c r="E32" s="147" t="n">
        <v>9</v>
      </c>
      <c r="F32" s="147" t="n">
        <v>9</v>
      </c>
      <c r="G32" s="147" t="n">
        <v>9</v>
      </c>
      <c r="H32" s="147" t="n">
        <v>9</v>
      </c>
      <c r="I32" s="147" t="n">
        <v>8</v>
      </c>
      <c r="J32" s="147" t="n">
        <v>9</v>
      </c>
      <c r="K32" s="147"/>
      <c r="L32" s="147"/>
      <c r="M32" s="154"/>
      <c r="N32" s="152" t="n">
        <f aca="false">SUMPRODUCT(O$4:X$4,O32:X32)</f>
        <v>9</v>
      </c>
      <c r="O32" s="146" t="n">
        <v>9</v>
      </c>
      <c r="P32" s="147" t="n">
        <v>9</v>
      </c>
      <c r="Q32" s="147" t="n">
        <v>9</v>
      </c>
      <c r="R32" s="147" t="n">
        <v>9</v>
      </c>
      <c r="S32" s="147" t="n">
        <v>9</v>
      </c>
      <c r="T32" s="147"/>
      <c r="U32" s="147"/>
      <c r="V32" s="147"/>
      <c r="W32" s="147"/>
      <c r="X32" s="154"/>
      <c r="Y32" s="152" t="n">
        <f aca="false">SUMPRODUCT(Z$4:AI$4,Z32:AI32)</f>
        <v>5</v>
      </c>
      <c r="Z32" s="146" t="n">
        <v>5</v>
      </c>
      <c r="AA32" s="153" t="n">
        <v>5</v>
      </c>
      <c r="AB32" s="153" t="n">
        <v>5</v>
      </c>
      <c r="AC32" s="153" t="n">
        <v>5</v>
      </c>
      <c r="AD32" s="153" t="n">
        <v>5</v>
      </c>
      <c r="AE32" s="153"/>
      <c r="AF32" s="153"/>
      <c r="AG32" s="147"/>
      <c r="AH32" s="147"/>
      <c r="AI32" s="154"/>
      <c r="AJ32" s="152" t="n">
        <f aca="false">SUMPRODUCT(AK$4:AT$4,AK32:AT32)</f>
        <v>5</v>
      </c>
      <c r="AK32" s="146" t="n">
        <v>5</v>
      </c>
      <c r="AL32" s="153" t="n">
        <v>5</v>
      </c>
      <c r="AM32" s="153" t="n">
        <v>5</v>
      </c>
      <c r="AN32" s="153" t="n">
        <v>5</v>
      </c>
      <c r="AO32" s="153" t="n">
        <v>5</v>
      </c>
      <c r="AP32" s="147"/>
      <c r="AQ32" s="147"/>
      <c r="AR32" s="147"/>
      <c r="AS32" s="147"/>
      <c r="AT32" s="154"/>
      <c r="AU32" s="152" t="n">
        <f aca="false">SUMPRODUCT(AV$4:BE$4,AV32:BE32)</f>
        <v>9</v>
      </c>
      <c r="AV32" s="146" t="n">
        <v>9</v>
      </c>
      <c r="AW32" s="147" t="n">
        <v>9</v>
      </c>
      <c r="AX32" s="147" t="n">
        <v>9</v>
      </c>
      <c r="AY32" s="147" t="n">
        <v>9</v>
      </c>
      <c r="AZ32" s="147" t="n">
        <v>9</v>
      </c>
      <c r="BA32" s="147"/>
      <c r="BB32" s="147"/>
      <c r="BC32" s="147"/>
      <c r="BD32" s="147"/>
      <c r="BE32" s="154"/>
      <c r="BF32" s="152" t="n">
        <f aca="false">SUMPRODUCT(BG$4:BP$4,BG32:BP32)</f>
        <v>9</v>
      </c>
      <c r="BG32" s="146" t="n">
        <v>9</v>
      </c>
      <c r="BH32" s="147" t="n">
        <v>9</v>
      </c>
      <c r="BI32" s="147" t="n">
        <v>9</v>
      </c>
      <c r="BJ32" s="147" t="n">
        <v>9</v>
      </c>
      <c r="BK32" s="147" t="n">
        <v>9</v>
      </c>
      <c r="BL32" s="147"/>
      <c r="BM32" s="147"/>
      <c r="BN32" s="147"/>
      <c r="BO32" s="147"/>
      <c r="BP32" s="154"/>
      <c r="BQ32" s="152" t="n">
        <f aca="false">SUMPRODUCT(BR$4:CA$4,BR32:CA32)</f>
        <v>4.5</v>
      </c>
      <c r="BR32" s="146" t="n">
        <v>5</v>
      </c>
      <c r="BS32" s="147" t="n">
        <v>6</v>
      </c>
      <c r="BT32" s="147" t="n">
        <v>3</v>
      </c>
      <c r="BU32" s="147" t="n">
        <v>4</v>
      </c>
      <c r="BV32" s="147" t="n">
        <v>5</v>
      </c>
      <c r="BW32" s="147"/>
      <c r="BX32" s="147"/>
      <c r="BY32" s="147"/>
      <c r="BZ32" s="147"/>
      <c r="CA32" s="154"/>
      <c r="CB32" s="152" t="n">
        <f aca="false">SUMPRODUCT(CC$4:CL$4,CC32:CL32)</f>
        <v>0</v>
      </c>
      <c r="CC32" s="146"/>
      <c r="CD32" s="147"/>
      <c r="CE32" s="147"/>
      <c r="CF32" s="147"/>
      <c r="CG32" s="147"/>
      <c r="CH32" s="147"/>
      <c r="CI32" s="147"/>
      <c r="CJ32" s="147"/>
      <c r="CK32" s="147"/>
      <c r="CL32" s="154"/>
      <c r="CM32" s="152" t="n">
        <f aca="false">SUMPRODUCT(CN$4:CW$4,CN32:CW32)</f>
        <v>0</v>
      </c>
      <c r="CN32" s="146"/>
      <c r="CO32" s="147"/>
      <c r="CP32" s="147"/>
      <c r="CQ32" s="147"/>
      <c r="CR32" s="147"/>
      <c r="CS32" s="147"/>
      <c r="CT32" s="147"/>
      <c r="CU32" s="147"/>
      <c r="CV32" s="147"/>
      <c r="CW32" s="154"/>
      <c r="CX32" s="152" t="n">
        <f aca="false">SUMPRODUCT(CY$4:DH$4,CY32:DH32)</f>
        <v>0</v>
      </c>
      <c r="CY32" s="146"/>
      <c r="CZ32" s="147"/>
      <c r="DA32" s="147"/>
      <c r="DB32" s="147"/>
      <c r="DC32" s="147"/>
      <c r="DD32" s="147"/>
      <c r="DE32" s="147"/>
      <c r="DF32" s="147"/>
      <c r="DG32" s="147"/>
      <c r="DH32" s="154"/>
      <c r="DI32" s="152" t="n">
        <f aca="false">SUMPRODUCT(DJ$4:DS$4,DJ32:DS32)</f>
        <v>0</v>
      </c>
      <c r="DJ32" s="146"/>
      <c r="DK32" s="147"/>
      <c r="DL32" s="147"/>
      <c r="DM32" s="147"/>
      <c r="DN32" s="147"/>
      <c r="DO32" s="147"/>
      <c r="DP32" s="147"/>
      <c r="DQ32" s="147"/>
      <c r="DR32" s="147"/>
      <c r="DS32" s="154"/>
      <c r="DT32" s="152" t="n">
        <f aca="false">SUMPRODUCT(DU$4:ED$4,DU32:ED32)</f>
        <v>0</v>
      </c>
      <c r="DU32" s="146"/>
      <c r="DV32" s="147"/>
      <c r="DW32" s="147"/>
      <c r="DX32" s="147"/>
      <c r="DY32" s="147"/>
      <c r="DZ32" s="147"/>
      <c r="EA32" s="147"/>
      <c r="EB32" s="147"/>
      <c r="EC32" s="147"/>
      <c r="ED32" s="154"/>
      <c r="EE32" s="152" t="n">
        <f aca="false">SUMPRODUCT(EF$4:EO$4,EF32:EO32)</f>
        <v>0</v>
      </c>
      <c r="EF32" s="146"/>
      <c r="EG32" s="147"/>
      <c r="EH32" s="147"/>
      <c r="EI32" s="147"/>
      <c r="EJ32" s="147"/>
      <c r="EK32" s="147"/>
      <c r="EL32" s="147"/>
      <c r="EM32" s="147"/>
      <c r="EN32" s="147"/>
      <c r="EO32" s="154"/>
      <c r="EP32" s="152" t="n">
        <f aca="false">SUMPRODUCT(EQ$4:EZ$4,EQ32:EZ32)</f>
        <v>0</v>
      </c>
      <c r="EQ32" s="146"/>
      <c r="ER32" s="147"/>
      <c r="ES32" s="147"/>
      <c r="ET32" s="147"/>
      <c r="EU32" s="147"/>
      <c r="EV32" s="147"/>
      <c r="EW32" s="147"/>
      <c r="EX32" s="147"/>
      <c r="EY32" s="147"/>
      <c r="EZ32" s="154"/>
      <c r="FA32" s="152" t="n">
        <f aca="false">SUMPRODUCT(FB$4:FK$4,FB32:FK32)</f>
        <v>0</v>
      </c>
      <c r="FB32" s="146"/>
      <c r="FC32" s="147"/>
      <c r="FD32" s="147"/>
      <c r="FE32" s="147"/>
      <c r="FF32" s="147"/>
      <c r="FG32" s="147"/>
      <c r="FH32" s="147"/>
      <c r="FI32" s="147"/>
      <c r="FJ32" s="147"/>
      <c r="FK32" s="154"/>
      <c r="FL32" s="152" t="n">
        <f aca="false">SUMPRODUCT(FM$4:FV$4,FM32:FV32)</f>
        <v>0</v>
      </c>
      <c r="FM32" s="146"/>
      <c r="FN32" s="147"/>
      <c r="FO32" s="147"/>
      <c r="FP32" s="147"/>
      <c r="FQ32" s="147"/>
      <c r="FR32" s="147"/>
      <c r="FS32" s="147"/>
      <c r="FT32" s="147"/>
      <c r="FU32" s="147"/>
      <c r="FV32" s="154"/>
      <c r="FW32" s="152" t="n">
        <f aca="false">SUMPRODUCT(FX$4:GG$4,FX32:GG32)</f>
        <v>0</v>
      </c>
      <c r="FX32" s="146"/>
      <c r="FY32" s="147"/>
      <c r="FZ32" s="147"/>
      <c r="GA32" s="147"/>
      <c r="GB32" s="147"/>
      <c r="GC32" s="147"/>
      <c r="GD32" s="147"/>
      <c r="GE32" s="147"/>
      <c r="GF32" s="147"/>
      <c r="GG32" s="154"/>
      <c r="GH32" s="152" t="n">
        <f aca="false">SUMPRODUCT(GI$4:GR$4,GI32:GR32)</f>
        <v>0</v>
      </c>
      <c r="GI32" s="146"/>
      <c r="GJ32" s="147"/>
      <c r="GK32" s="147"/>
      <c r="GL32" s="147"/>
      <c r="GM32" s="147"/>
      <c r="GN32" s="147"/>
      <c r="GO32" s="147"/>
      <c r="GP32" s="147"/>
      <c r="GQ32" s="147"/>
      <c r="GR32" s="154"/>
      <c r="GS32" s="152" t="n">
        <f aca="false">SUMPRODUCT(GT$4:HC$4,GT32:HC32)</f>
        <v>0</v>
      </c>
      <c r="GT32" s="146"/>
      <c r="GU32" s="147"/>
      <c r="GV32" s="147"/>
      <c r="GW32" s="147"/>
      <c r="GX32" s="147"/>
      <c r="GY32" s="147"/>
      <c r="GZ32" s="147"/>
      <c r="HA32" s="147"/>
      <c r="HB32" s="147"/>
      <c r="HC32" s="154"/>
      <c r="HD32" s="152" t="n">
        <f aca="false">SUMPRODUCT(HE$4:HN$4,HE32:HN32)</f>
        <v>0</v>
      </c>
      <c r="HE32" s="146"/>
      <c r="HF32" s="147"/>
      <c r="HG32" s="147"/>
      <c r="HH32" s="147"/>
      <c r="HI32" s="147"/>
      <c r="HJ32" s="147"/>
      <c r="HK32" s="147"/>
      <c r="HL32" s="147"/>
      <c r="HM32" s="147"/>
      <c r="HN32" s="154"/>
      <c r="HO32" s="152" t="n">
        <f aca="false">SUMPRODUCT(HP$4:HY$4,HP32:HY32)</f>
        <v>0</v>
      </c>
      <c r="HP32" s="146"/>
      <c r="HQ32" s="147"/>
      <c r="HR32" s="147"/>
      <c r="HS32" s="147"/>
      <c r="HT32" s="147"/>
      <c r="HU32" s="147"/>
      <c r="HV32" s="147"/>
      <c r="HW32" s="147"/>
      <c r="HX32" s="147"/>
      <c r="HY32" s="154"/>
      <c r="HZ32" s="152" t="n">
        <f aca="false">SUMPRODUCT(IA$4:IJ$4,IA32:IJ32)</f>
        <v>0</v>
      </c>
      <c r="IA32" s="146"/>
      <c r="IB32" s="147"/>
      <c r="IC32" s="147"/>
      <c r="ID32" s="147"/>
      <c r="IE32" s="147"/>
      <c r="IF32" s="147"/>
      <c r="IG32" s="147"/>
      <c r="IH32" s="147"/>
      <c r="II32" s="147"/>
      <c r="IJ32" s="154"/>
      <c r="IK32" s="152" t="n">
        <f aca="false">SUMPRODUCT(IL$4:IU$4,IL32:IU32)</f>
        <v>0</v>
      </c>
      <c r="IL32" s="146"/>
      <c r="IM32" s="147"/>
      <c r="IN32" s="147"/>
      <c r="IO32" s="147"/>
      <c r="IP32" s="147"/>
      <c r="IQ32" s="147"/>
      <c r="IR32" s="147"/>
      <c r="IS32" s="147"/>
      <c r="IT32" s="147"/>
      <c r="IU32" s="154"/>
      <c r="IV32" s="152" t="n">
        <f aca="false">SUMPRODUCT(IW$4:JF$4,IW32:JF32)</f>
        <v>0</v>
      </c>
      <c r="IW32" s="146"/>
      <c r="IX32" s="147"/>
      <c r="IY32" s="147"/>
      <c r="IZ32" s="147"/>
      <c r="JA32" s="147"/>
      <c r="JB32" s="147"/>
      <c r="JC32" s="147"/>
      <c r="JD32" s="147"/>
      <c r="JE32" s="147"/>
      <c r="JF32" s="154"/>
      <c r="JG32" s="152" t="n">
        <f aca="false">SUMPRODUCT(JH$4:JQ$4,JH32:JQ32)</f>
        <v>0</v>
      </c>
      <c r="JH32" s="146"/>
      <c r="JI32" s="147"/>
      <c r="JJ32" s="147"/>
      <c r="JK32" s="147"/>
      <c r="JL32" s="147"/>
      <c r="JM32" s="147"/>
      <c r="JN32" s="147"/>
      <c r="JO32" s="147"/>
      <c r="JP32" s="147"/>
      <c r="JQ32" s="154"/>
      <c r="JR32" s="152" t="n">
        <f aca="false">SUMPRODUCT(JS$4:KB$4,JS32:KB32)</f>
        <v>0</v>
      </c>
      <c r="JS32" s="146"/>
      <c r="JT32" s="147"/>
      <c r="JU32" s="147"/>
      <c r="JV32" s="147"/>
      <c r="JW32" s="147"/>
      <c r="JX32" s="147"/>
      <c r="JY32" s="147"/>
      <c r="JZ32" s="147"/>
      <c r="KA32" s="147"/>
      <c r="KB32" s="154"/>
      <c r="KC32" s="152" t="n">
        <f aca="false">SUMPRODUCT(KD$4:KM$4,KD32:KM32)</f>
        <v>0</v>
      </c>
      <c r="KD32" s="146"/>
      <c r="KE32" s="147"/>
      <c r="KF32" s="147"/>
      <c r="KG32" s="147"/>
      <c r="KH32" s="147"/>
      <c r="KI32" s="147"/>
      <c r="KJ32" s="147"/>
      <c r="KK32" s="147"/>
      <c r="KL32" s="147"/>
      <c r="KM32" s="154"/>
      <c r="KN32" s="152" t="n">
        <f aca="false">SUMPRODUCT(KO$4:KX$4,KO32:KX32)</f>
        <v>0</v>
      </c>
      <c r="KO32" s="146"/>
      <c r="KP32" s="147"/>
      <c r="KQ32" s="147"/>
      <c r="KR32" s="147"/>
      <c r="KS32" s="147"/>
      <c r="KT32" s="147"/>
      <c r="KU32" s="147"/>
      <c r="KV32" s="147"/>
      <c r="KW32" s="147"/>
      <c r="KX32" s="154"/>
      <c r="KY32" s="152" t="n">
        <f aca="false">SUMPRODUCT(KZ$4:LI$4,KZ32:LI32)</f>
        <v>0</v>
      </c>
      <c r="KZ32" s="146"/>
      <c r="LA32" s="147"/>
      <c r="LB32" s="147"/>
      <c r="LC32" s="147"/>
      <c r="LD32" s="147"/>
      <c r="LE32" s="147"/>
      <c r="LF32" s="147"/>
      <c r="LG32" s="147"/>
      <c r="LH32" s="147"/>
      <c r="LI32" s="154"/>
      <c r="LJ32" s="152" t="n">
        <f aca="false">SUMPRODUCT(LK$4:LT$4,LK32:LT32)</f>
        <v>0</v>
      </c>
      <c r="LK32" s="146"/>
      <c r="LL32" s="147"/>
      <c r="LM32" s="147"/>
      <c r="LN32" s="147"/>
      <c r="LO32" s="147"/>
      <c r="LP32" s="147"/>
      <c r="LQ32" s="147"/>
      <c r="LR32" s="147"/>
      <c r="LS32" s="147"/>
      <c r="LT32" s="154"/>
      <c r="LW32" s="152"/>
      <c r="LX32" s="155" t="n">
        <f aca="false">D186+O186+Z186+AK186+AV186+BG186+BR186+CC186+CN186+CY186+DJ186+DU186+EF186+EQ186+FB186+FM186+FX186+GI186+GT186+HE186+HP186+IA186+IL186+IW186+JH186+JS186+KD186+KO186+KZ186+LK186</f>
        <v>7.3625</v>
      </c>
      <c r="LY32" s="156" t="n">
        <f aca="false">E186+P186+AA186+AL186+AW186+BH186+BS186+CD186+CO186+CZ186+DK186+DV186+EG186+ER186+FC186+FN186+FY186+GJ186+GU186+HF186+HQ186+IB186+IM186+IX186+JI186+JT186+KE186+KP186+LA186+LL186</f>
        <v>6.8</v>
      </c>
      <c r="LZ32" s="156" t="n">
        <f aca="false">F186+Q186+AB186+AM186+AX186+BI186+BT186+CE186+CP186+DA186+DL186+DW186+EH186+ES186+FD186+FO186+FZ186+GK186+GV186+HG186+HR186+IC186+IN186+IY186+JJ186+JU186+KF186+KQ186+LB186+LM186</f>
        <v>6.45</v>
      </c>
      <c r="MA32" s="156" t="n">
        <f aca="false">G186+R186+AC186+AN186+AY186+BJ186+BU186+CF186+CQ186+DB186+DM186+DX186+EI186+ET186+FE186+FP186+GA186+GL186+GW186+HH186+HS186+ID186+IO186+IZ186+JK186+JV186+KG186+KR186+LC186+LN186</f>
        <v>6.8</v>
      </c>
      <c r="MB32" s="156" t="n">
        <f aca="false">H186+S186+AD186+AO186+AZ186+BK186+BV186+CG186+CR186+DC186+DN186+DY186+EJ186+EU186+FF186+FQ186+GB186+GM186+GX186+HI186+HT186+IE186+IP186+JA186+JL186+JW186+KH186+KS186+LD186+LO186</f>
        <v>0</v>
      </c>
      <c r="MC32" s="156" t="n">
        <f aca="false">I186+T186+AE186+AP186+BA186+BL186+BW186+CH186+CS186+DD186+DO186+DZ186+EK186+EV186+FG186+FR186+GC186+GN186+GY186+HJ186+HU186+IF186+IQ186+JB186+JM186+JX186+KI186+KT186+LE186+LP186</f>
        <v>0</v>
      </c>
      <c r="MD32" s="156" t="n">
        <f aca="false">J186+U186+AF186+AQ186+BB186+BM186+BX186+CI186+CT186+DE186+DP186+EA186+EL186+EW186+FH186+FS186+GD186+GO186+GZ186+HK186+HV186+IG186+IR186+JC186+JN186+JY186+KJ186+KU186+LF186+LQ186</f>
        <v>0</v>
      </c>
      <c r="ME32" s="156" t="n">
        <f aca="false">K186+V186+AG186+AR186+BC186+BN186+BY186+CJ186+CU186+DF186+DQ186+EB186+EM186+EX186+FI186+FT186+GE186+GP186+HA186+HL186+HW186+IH186+IS186+JD186+JO186+JZ186+KK186+KV186+LG186+LR186</f>
        <v>0</v>
      </c>
      <c r="MF32" s="156" t="n">
        <f aca="false">L186+W186+AH186+AS186+BD186+BO186+BZ186+CK186+CV186+DG186+DR186+EC186+EN186+EY186+FJ186+FU186+GF186+GQ186+HB186+HM186+HX186+II186+IT186+JE186+JP186+KA186+KL186+KW186+LH186+LS186</f>
        <v>0</v>
      </c>
      <c r="MG32" s="157" t="n">
        <f aca="false">M186+X186+AI186+AT186+BE186+BP186+CA186+CL186+CW186+DH186+DS186+ED186+EO186+EZ186+FK186+FV186+GG186+GR186+HC186+HN186+HY186+IJ186+IU186+JF186+JQ186+KB186+KM186+KX186+LI186+LT186</f>
        <v>0</v>
      </c>
    </row>
    <row r="33" customFormat="false" ht="13.8" hidden="false" customHeight="false" outlineLevel="0" collapsed="false">
      <c r="A33" s="29" t="n">
        <v>28</v>
      </c>
      <c r="B33" s="151" t="str">
        <f aca="false">'Datos Iniciales'!T36</f>
        <v>Alumno28</v>
      </c>
      <c r="C33" s="152" t="n">
        <f aca="false">SUMPRODUCT(D$4:M$4,D33:M33)</f>
        <v>5</v>
      </c>
      <c r="D33" s="146" t="n">
        <v>5</v>
      </c>
      <c r="E33" s="153" t="n">
        <v>5</v>
      </c>
      <c r="F33" s="153" t="n">
        <v>5</v>
      </c>
      <c r="G33" s="153" t="n">
        <v>5</v>
      </c>
      <c r="H33" s="153" t="n">
        <v>5</v>
      </c>
      <c r="I33" s="153" t="n">
        <v>5</v>
      </c>
      <c r="J33" s="153" t="n">
        <v>5</v>
      </c>
      <c r="K33" s="147"/>
      <c r="L33" s="147"/>
      <c r="M33" s="154"/>
      <c r="N33" s="152" t="n">
        <f aca="false">SUMPRODUCT(O$4:X$4,O33:X33)</f>
        <v>5</v>
      </c>
      <c r="O33" s="146" t="n">
        <v>5</v>
      </c>
      <c r="P33" s="153" t="n">
        <v>5</v>
      </c>
      <c r="Q33" s="153" t="n">
        <v>5</v>
      </c>
      <c r="R33" s="153" t="n">
        <v>5</v>
      </c>
      <c r="S33" s="153" t="n">
        <v>5</v>
      </c>
      <c r="T33" s="153"/>
      <c r="U33" s="153"/>
      <c r="V33" s="147"/>
      <c r="W33" s="147"/>
      <c r="X33" s="154"/>
      <c r="Y33" s="152" t="n">
        <f aca="false">SUMPRODUCT(Z$4:AI$4,Z33:AI33)</f>
        <v>9</v>
      </c>
      <c r="Z33" s="146" t="n">
        <v>9</v>
      </c>
      <c r="AA33" s="147" t="n">
        <v>9</v>
      </c>
      <c r="AB33" s="147" t="n">
        <v>9</v>
      </c>
      <c r="AC33" s="147" t="n">
        <v>9</v>
      </c>
      <c r="AD33" s="147" t="n">
        <v>9</v>
      </c>
      <c r="AE33" s="147"/>
      <c r="AF33" s="147"/>
      <c r="AG33" s="147"/>
      <c r="AH33" s="147"/>
      <c r="AI33" s="154"/>
      <c r="AJ33" s="152" t="n">
        <f aca="false">SUMPRODUCT(AK$4:AT$4,AK33:AT33)</f>
        <v>9</v>
      </c>
      <c r="AK33" s="146" t="n">
        <v>9</v>
      </c>
      <c r="AL33" s="147" t="n">
        <v>9</v>
      </c>
      <c r="AM33" s="147" t="n">
        <v>9</v>
      </c>
      <c r="AN33" s="147" t="n">
        <v>9</v>
      </c>
      <c r="AO33" s="147" t="n">
        <v>9</v>
      </c>
      <c r="AP33" s="147"/>
      <c r="AQ33" s="147"/>
      <c r="AR33" s="147"/>
      <c r="AS33" s="147"/>
      <c r="AT33" s="154"/>
      <c r="AU33" s="152" t="n">
        <f aca="false">SUMPRODUCT(AV$4:BE$4,AV33:BE33)</f>
        <v>5</v>
      </c>
      <c r="AV33" s="146" t="n">
        <v>5</v>
      </c>
      <c r="AW33" s="153" t="n">
        <v>5</v>
      </c>
      <c r="AX33" s="153" t="n">
        <v>5</v>
      </c>
      <c r="AY33" s="153" t="n">
        <v>5</v>
      </c>
      <c r="AZ33" s="153" t="n">
        <v>5</v>
      </c>
      <c r="BA33" s="147"/>
      <c r="BB33" s="147"/>
      <c r="BC33" s="147"/>
      <c r="BD33" s="147"/>
      <c r="BE33" s="154"/>
      <c r="BF33" s="152" t="n">
        <f aca="false">SUMPRODUCT(BG$4:BP$4,BG33:BP33)</f>
        <v>5</v>
      </c>
      <c r="BG33" s="146" t="n">
        <v>5</v>
      </c>
      <c r="BH33" s="153" t="n">
        <v>5</v>
      </c>
      <c r="BI33" s="153" t="n">
        <v>5</v>
      </c>
      <c r="BJ33" s="153" t="n">
        <v>5</v>
      </c>
      <c r="BK33" s="153" t="n">
        <v>5</v>
      </c>
      <c r="BL33" s="147"/>
      <c r="BM33" s="147"/>
      <c r="BN33" s="147"/>
      <c r="BO33" s="147"/>
      <c r="BP33" s="154"/>
      <c r="BQ33" s="152" t="n">
        <f aca="false">SUMPRODUCT(BR$4:CA$4,BR33:CA33)</f>
        <v>7</v>
      </c>
      <c r="BR33" s="143" t="n">
        <v>8</v>
      </c>
      <c r="BS33" s="144" t="n">
        <v>5</v>
      </c>
      <c r="BT33" s="144" t="n">
        <v>7</v>
      </c>
      <c r="BU33" s="144" t="n">
        <v>4</v>
      </c>
      <c r="BV33" s="144" t="n">
        <v>9</v>
      </c>
      <c r="BW33" s="147"/>
      <c r="BX33" s="147"/>
      <c r="BY33" s="147"/>
      <c r="BZ33" s="147"/>
      <c r="CA33" s="154"/>
      <c r="CB33" s="152" t="n">
        <f aca="false">SUMPRODUCT(CC$4:CL$4,CC33:CL33)</f>
        <v>0</v>
      </c>
      <c r="CC33" s="146"/>
      <c r="CD33" s="147"/>
      <c r="CE33" s="147"/>
      <c r="CF33" s="147"/>
      <c r="CG33" s="147"/>
      <c r="CH33" s="147"/>
      <c r="CI33" s="147"/>
      <c r="CJ33" s="147"/>
      <c r="CK33" s="147"/>
      <c r="CL33" s="154"/>
      <c r="CM33" s="152" t="n">
        <f aca="false">SUMPRODUCT(CN$4:CW$4,CN33:CW33)</f>
        <v>0</v>
      </c>
      <c r="CN33" s="146"/>
      <c r="CO33" s="147"/>
      <c r="CP33" s="147"/>
      <c r="CQ33" s="147"/>
      <c r="CR33" s="147"/>
      <c r="CS33" s="147"/>
      <c r="CT33" s="147"/>
      <c r="CU33" s="147"/>
      <c r="CV33" s="147"/>
      <c r="CW33" s="154"/>
      <c r="CX33" s="152" t="n">
        <f aca="false">SUMPRODUCT(CY$4:DH$4,CY33:DH33)</f>
        <v>0</v>
      </c>
      <c r="CY33" s="146"/>
      <c r="CZ33" s="147"/>
      <c r="DA33" s="147"/>
      <c r="DB33" s="147"/>
      <c r="DC33" s="147"/>
      <c r="DD33" s="147"/>
      <c r="DE33" s="147"/>
      <c r="DF33" s="147"/>
      <c r="DG33" s="147"/>
      <c r="DH33" s="154"/>
      <c r="DI33" s="152" t="n">
        <f aca="false">SUMPRODUCT(DJ$4:DS$4,DJ33:DS33)</f>
        <v>0</v>
      </c>
      <c r="DJ33" s="146"/>
      <c r="DK33" s="147"/>
      <c r="DL33" s="147"/>
      <c r="DM33" s="147"/>
      <c r="DN33" s="147"/>
      <c r="DO33" s="147"/>
      <c r="DP33" s="147"/>
      <c r="DQ33" s="147"/>
      <c r="DR33" s="147"/>
      <c r="DS33" s="154"/>
      <c r="DT33" s="152" t="n">
        <f aca="false">SUMPRODUCT(DU$4:ED$4,DU33:ED33)</f>
        <v>0</v>
      </c>
      <c r="DU33" s="146"/>
      <c r="DV33" s="147"/>
      <c r="DW33" s="147"/>
      <c r="DX33" s="147"/>
      <c r="DY33" s="147"/>
      <c r="DZ33" s="147"/>
      <c r="EA33" s="147"/>
      <c r="EB33" s="147"/>
      <c r="EC33" s="147"/>
      <c r="ED33" s="154"/>
      <c r="EE33" s="152" t="n">
        <f aca="false">SUMPRODUCT(EF$4:EO$4,EF33:EO33)</f>
        <v>0</v>
      </c>
      <c r="EF33" s="146"/>
      <c r="EG33" s="147"/>
      <c r="EH33" s="147"/>
      <c r="EI33" s="147"/>
      <c r="EJ33" s="147"/>
      <c r="EK33" s="147"/>
      <c r="EL33" s="147"/>
      <c r="EM33" s="147"/>
      <c r="EN33" s="147"/>
      <c r="EO33" s="154"/>
      <c r="EP33" s="152" t="n">
        <f aca="false">SUMPRODUCT(EQ$4:EZ$4,EQ33:EZ33)</f>
        <v>0</v>
      </c>
      <c r="EQ33" s="146"/>
      <c r="ER33" s="147"/>
      <c r="ES33" s="147"/>
      <c r="ET33" s="147"/>
      <c r="EU33" s="147"/>
      <c r="EV33" s="147"/>
      <c r="EW33" s="147"/>
      <c r="EX33" s="147"/>
      <c r="EY33" s="147"/>
      <c r="EZ33" s="154"/>
      <c r="FA33" s="152" t="n">
        <f aca="false">SUMPRODUCT(FB$4:FK$4,FB33:FK33)</f>
        <v>0</v>
      </c>
      <c r="FB33" s="146"/>
      <c r="FC33" s="147"/>
      <c r="FD33" s="147"/>
      <c r="FE33" s="147"/>
      <c r="FF33" s="147"/>
      <c r="FG33" s="147"/>
      <c r="FH33" s="147"/>
      <c r="FI33" s="147"/>
      <c r="FJ33" s="147"/>
      <c r="FK33" s="154"/>
      <c r="FL33" s="152" t="n">
        <f aca="false">SUMPRODUCT(FM$4:FV$4,FM33:FV33)</f>
        <v>0</v>
      </c>
      <c r="FM33" s="146"/>
      <c r="FN33" s="147"/>
      <c r="FO33" s="147"/>
      <c r="FP33" s="147"/>
      <c r="FQ33" s="147"/>
      <c r="FR33" s="147"/>
      <c r="FS33" s="147"/>
      <c r="FT33" s="147"/>
      <c r="FU33" s="147"/>
      <c r="FV33" s="154"/>
      <c r="FW33" s="152" t="n">
        <f aca="false">SUMPRODUCT(FX$4:GG$4,FX33:GG33)</f>
        <v>0</v>
      </c>
      <c r="FX33" s="146"/>
      <c r="FY33" s="147"/>
      <c r="FZ33" s="147"/>
      <c r="GA33" s="147"/>
      <c r="GB33" s="147"/>
      <c r="GC33" s="147"/>
      <c r="GD33" s="147"/>
      <c r="GE33" s="147"/>
      <c r="GF33" s="147"/>
      <c r="GG33" s="154"/>
      <c r="GH33" s="152" t="n">
        <f aca="false">SUMPRODUCT(GI$4:GR$4,GI33:GR33)</f>
        <v>0</v>
      </c>
      <c r="GI33" s="146"/>
      <c r="GJ33" s="147"/>
      <c r="GK33" s="147"/>
      <c r="GL33" s="147"/>
      <c r="GM33" s="147"/>
      <c r="GN33" s="147"/>
      <c r="GO33" s="147"/>
      <c r="GP33" s="147"/>
      <c r="GQ33" s="147"/>
      <c r="GR33" s="154"/>
      <c r="GS33" s="152" t="n">
        <f aca="false">SUMPRODUCT(GT$4:HC$4,GT33:HC33)</f>
        <v>0</v>
      </c>
      <c r="GT33" s="146"/>
      <c r="GU33" s="147"/>
      <c r="GV33" s="147"/>
      <c r="GW33" s="147"/>
      <c r="GX33" s="147"/>
      <c r="GY33" s="147"/>
      <c r="GZ33" s="147"/>
      <c r="HA33" s="147"/>
      <c r="HB33" s="147"/>
      <c r="HC33" s="154"/>
      <c r="HD33" s="152" t="n">
        <f aca="false">SUMPRODUCT(HE$4:HN$4,HE33:HN33)</f>
        <v>0</v>
      </c>
      <c r="HE33" s="146"/>
      <c r="HF33" s="147"/>
      <c r="HG33" s="147"/>
      <c r="HH33" s="147"/>
      <c r="HI33" s="147"/>
      <c r="HJ33" s="147"/>
      <c r="HK33" s="147"/>
      <c r="HL33" s="147"/>
      <c r="HM33" s="147"/>
      <c r="HN33" s="154"/>
      <c r="HO33" s="152" t="n">
        <f aca="false">SUMPRODUCT(HP$4:HY$4,HP33:HY33)</f>
        <v>0</v>
      </c>
      <c r="HP33" s="146"/>
      <c r="HQ33" s="147"/>
      <c r="HR33" s="147"/>
      <c r="HS33" s="147"/>
      <c r="HT33" s="147"/>
      <c r="HU33" s="147"/>
      <c r="HV33" s="147"/>
      <c r="HW33" s="147"/>
      <c r="HX33" s="147"/>
      <c r="HY33" s="154"/>
      <c r="HZ33" s="152" t="n">
        <f aca="false">SUMPRODUCT(IA$4:IJ$4,IA33:IJ33)</f>
        <v>0</v>
      </c>
      <c r="IA33" s="146"/>
      <c r="IB33" s="147"/>
      <c r="IC33" s="147"/>
      <c r="ID33" s="147"/>
      <c r="IE33" s="147"/>
      <c r="IF33" s="147"/>
      <c r="IG33" s="147"/>
      <c r="IH33" s="147"/>
      <c r="II33" s="147"/>
      <c r="IJ33" s="154"/>
      <c r="IK33" s="152" t="n">
        <f aca="false">SUMPRODUCT(IL$4:IU$4,IL33:IU33)</f>
        <v>0</v>
      </c>
      <c r="IL33" s="146"/>
      <c r="IM33" s="147"/>
      <c r="IN33" s="147"/>
      <c r="IO33" s="147"/>
      <c r="IP33" s="147"/>
      <c r="IQ33" s="147"/>
      <c r="IR33" s="147"/>
      <c r="IS33" s="147"/>
      <c r="IT33" s="147"/>
      <c r="IU33" s="154"/>
      <c r="IV33" s="152" t="n">
        <f aca="false">SUMPRODUCT(IW$4:JF$4,IW33:JF33)</f>
        <v>0</v>
      </c>
      <c r="IW33" s="146"/>
      <c r="IX33" s="147"/>
      <c r="IY33" s="147"/>
      <c r="IZ33" s="147"/>
      <c r="JA33" s="147"/>
      <c r="JB33" s="147"/>
      <c r="JC33" s="147"/>
      <c r="JD33" s="147"/>
      <c r="JE33" s="147"/>
      <c r="JF33" s="154"/>
      <c r="JG33" s="152" t="n">
        <f aca="false">SUMPRODUCT(JH$4:JQ$4,JH33:JQ33)</f>
        <v>0</v>
      </c>
      <c r="JH33" s="146"/>
      <c r="JI33" s="147"/>
      <c r="JJ33" s="147"/>
      <c r="JK33" s="147"/>
      <c r="JL33" s="147"/>
      <c r="JM33" s="147"/>
      <c r="JN33" s="147"/>
      <c r="JO33" s="147"/>
      <c r="JP33" s="147"/>
      <c r="JQ33" s="154"/>
      <c r="JR33" s="152" t="n">
        <f aca="false">SUMPRODUCT(JS$4:KB$4,JS33:KB33)</f>
        <v>0</v>
      </c>
      <c r="JS33" s="146"/>
      <c r="JT33" s="147"/>
      <c r="JU33" s="147"/>
      <c r="JV33" s="147"/>
      <c r="JW33" s="147"/>
      <c r="JX33" s="147"/>
      <c r="JY33" s="147"/>
      <c r="JZ33" s="147"/>
      <c r="KA33" s="147"/>
      <c r="KB33" s="154"/>
      <c r="KC33" s="152" t="n">
        <f aca="false">SUMPRODUCT(KD$4:KM$4,KD33:KM33)</f>
        <v>0</v>
      </c>
      <c r="KD33" s="146"/>
      <c r="KE33" s="147"/>
      <c r="KF33" s="147"/>
      <c r="KG33" s="147"/>
      <c r="KH33" s="147"/>
      <c r="KI33" s="147"/>
      <c r="KJ33" s="147"/>
      <c r="KK33" s="147"/>
      <c r="KL33" s="147"/>
      <c r="KM33" s="154"/>
      <c r="KN33" s="152" t="n">
        <f aca="false">SUMPRODUCT(KO$4:KX$4,KO33:KX33)</f>
        <v>0</v>
      </c>
      <c r="KO33" s="146"/>
      <c r="KP33" s="147"/>
      <c r="KQ33" s="147"/>
      <c r="KR33" s="147"/>
      <c r="KS33" s="147"/>
      <c r="KT33" s="147"/>
      <c r="KU33" s="147"/>
      <c r="KV33" s="147"/>
      <c r="KW33" s="147"/>
      <c r="KX33" s="154"/>
      <c r="KY33" s="152" t="n">
        <f aca="false">SUMPRODUCT(KZ$4:LI$4,KZ33:LI33)</f>
        <v>0</v>
      </c>
      <c r="KZ33" s="146"/>
      <c r="LA33" s="147"/>
      <c r="LB33" s="147"/>
      <c r="LC33" s="147"/>
      <c r="LD33" s="147"/>
      <c r="LE33" s="147"/>
      <c r="LF33" s="147"/>
      <c r="LG33" s="147"/>
      <c r="LH33" s="147"/>
      <c r="LI33" s="154"/>
      <c r="LJ33" s="152" t="n">
        <f aca="false">SUMPRODUCT(LK$4:LT$4,LK33:LT33)</f>
        <v>0</v>
      </c>
      <c r="LK33" s="146"/>
      <c r="LL33" s="147"/>
      <c r="LM33" s="147"/>
      <c r="LN33" s="147"/>
      <c r="LO33" s="147"/>
      <c r="LP33" s="147"/>
      <c r="LQ33" s="147"/>
      <c r="LR33" s="147"/>
      <c r="LS33" s="147"/>
      <c r="LT33" s="154"/>
      <c r="LW33" s="152"/>
      <c r="LX33" s="155" t="n">
        <f aca="false">D187+O187+Z187+AK187+AV187+BG187+BR187+CC187+CN187+CY187+DJ187+DU187+EF187+EQ187+FB187+FM187+FX187+GI187+GT187+HE187+HP187+IA187+IL187+IW187+JH187+JS187+KD187+KO187+KZ187+LK187</f>
        <v>6.6</v>
      </c>
      <c r="LY33" s="156" t="n">
        <f aca="false">E187+P187+AA187+AL187+AW187+BH187+BS187+CD187+CO187+CZ187+DK187+DV187+EG187+ER187+FC187+FN187+FY187+GJ187+GU187+HF187+HQ187+IB187+IM187+IX187+JI187+JT187+KE187+KP187+LA187+LL187</f>
        <v>7.15</v>
      </c>
      <c r="LZ33" s="156" t="n">
        <f aca="false">F187+Q187+AB187+AM187+AX187+BI187+BT187+CE187+CP187+DA187+DL187+DW187+EH187+ES187+FD187+FO187+FZ187+GK187+GV187+HG187+HR187+IC187+IN187+IY187+JJ187+JU187+KF187+KQ187+LB187+LM187</f>
        <v>7</v>
      </c>
      <c r="MA33" s="156" t="n">
        <f aca="false">G187+R187+AC187+AN187+AY187+BJ187+BU187+CF187+CQ187+DB187+DM187+DX187+EI187+ET187+FE187+FP187+GA187+GL187+GW187+HH187+HS187+ID187+IO187+IZ187+JK187+JV187+KG187+KR187+LC187+LN187</f>
        <v>6</v>
      </c>
      <c r="MB33" s="156" t="n">
        <f aca="false">H187+S187+AD187+AO187+AZ187+BK187+BV187+CG187+CR187+DC187+DN187+DY187+EJ187+EU187+FF187+FQ187+GB187+GM187+GX187+HI187+HT187+IE187+IP187+JA187+JL187+JW187+KH187+KS187+LD187+LO187</f>
        <v>0</v>
      </c>
      <c r="MC33" s="156" t="n">
        <f aca="false">I187+T187+AE187+AP187+BA187+BL187+BW187+CH187+CS187+DD187+DO187+DZ187+EK187+EV187+FG187+FR187+GC187+GN187+GY187+HJ187+HU187+IF187+IQ187+JB187+JM187+JX187+KI187+KT187+LE187+LP187</f>
        <v>0</v>
      </c>
      <c r="MD33" s="156" t="n">
        <f aca="false">J187+U187+AF187+AQ187+BB187+BM187+BX187+CI187+CT187+DE187+DP187+EA187+EL187+EW187+FH187+FS187+GD187+GO187+GZ187+HK187+HV187+IG187+IR187+JC187+JN187+JY187+KJ187+KU187+LF187+LQ187</f>
        <v>0</v>
      </c>
      <c r="ME33" s="156" t="n">
        <f aca="false">K187+V187+AG187+AR187+BC187+BN187+BY187+CJ187+CU187+DF187+DQ187+EB187+EM187+EX187+FI187+FT187+GE187+GP187+HA187+HL187+HW187+IH187+IS187+JD187+JO187+JZ187+KK187+KV187+LG187+LR187</f>
        <v>0</v>
      </c>
      <c r="MF33" s="156" t="n">
        <f aca="false">L187+W187+AH187+AS187+BD187+BO187+BZ187+CK187+CV187+DG187+DR187+EC187+EN187+EY187+FJ187+FU187+GF187+GQ187+HB187+HM187+HX187+II187+IT187+JE187+JP187+KA187+KL187+KW187+LH187+LS187</f>
        <v>0</v>
      </c>
      <c r="MG33" s="157" t="n">
        <f aca="false">M187+X187+AI187+AT187+BE187+BP187+CA187+CL187+CW187+DH187+DS187+ED187+EO187+EZ187+FK187+FV187+GG187+GR187+HC187+HN187+HY187+IJ187+IU187+JF187+JQ187+KB187+KM187+KX187+LI187+LT187</f>
        <v>0</v>
      </c>
    </row>
    <row r="34" customFormat="false" ht="13.8" hidden="false" customHeight="false" outlineLevel="0" collapsed="false">
      <c r="A34" s="29" t="n">
        <v>29</v>
      </c>
      <c r="B34" s="151" t="str">
        <f aca="false">'Datos Iniciales'!T37</f>
        <v>Alumno29</v>
      </c>
      <c r="C34" s="152" t="n">
        <f aca="false">SUMPRODUCT(D$4:M$4,D34:M34)</f>
        <v>5</v>
      </c>
      <c r="D34" s="146" t="n">
        <v>5</v>
      </c>
      <c r="E34" s="147" t="n">
        <v>6</v>
      </c>
      <c r="F34" s="147" t="n">
        <v>3</v>
      </c>
      <c r="G34" s="147" t="n">
        <v>4</v>
      </c>
      <c r="H34" s="147" t="n">
        <v>5</v>
      </c>
      <c r="I34" s="147" t="n">
        <v>6</v>
      </c>
      <c r="J34" s="147" t="n">
        <v>7</v>
      </c>
      <c r="K34" s="147"/>
      <c r="L34" s="147"/>
      <c r="M34" s="154"/>
      <c r="N34" s="152" t="n">
        <f aca="false">SUMPRODUCT(O$4:X$4,O34:X34)</f>
        <v>4.6</v>
      </c>
      <c r="O34" s="146" t="n">
        <v>5</v>
      </c>
      <c r="P34" s="147" t="n">
        <v>6</v>
      </c>
      <c r="Q34" s="147" t="n">
        <v>3</v>
      </c>
      <c r="R34" s="147" t="n">
        <v>4</v>
      </c>
      <c r="S34" s="147" t="n">
        <v>5</v>
      </c>
      <c r="T34" s="147"/>
      <c r="U34" s="147"/>
      <c r="V34" s="147"/>
      <c r="W34" s="147"/>
      <c r="X34" s="154"/>
      <c r="Y34" s="152" t="n">
        <f aca="false">SUMPRODUCT(Z$4:AI$4,Z34:AI34)</f>
        <v>9.6</v>
      </c>
      <c r="Z34" s="146" t="n">
        <v>10</v>
      </c>
      <c r="AA34" s="147" t="n">
        <v>9</v>
      </c>
      <c r="AB34" s="147" t="n">
        <v>10</v>
      </c>
      <c r="AC34" s="147" t="n">
        <v>9</v>
      </c>
      <c r="AD34" s="147" t="n">
        <v>10</v>
      </c>
      <c r="AE34" s="147"/>
      <c r="AF34" s="147"/>
      <c r="AG34" s="147"/>
      <c r="AH34" s="147"/>
      <c r="AI34" s="154"/>
      <c r="AJ34" s="152" t="n">
        <f aca="false">SUMPRODUCT(AK$4:AT$4,AK34:AT34)</f>
        <v>9.6</v>
      </c>
      <c r="AK34" s="146" t="n">
        <v>10</v>
      </c>
      <c r="AL34" s="147" t="n">
        <v>9</v>
      </c>
      <c r="AM34" s="147" t="n">
        <v>10</v>
      </c>
      <c r="AN34" s="147" t="n">
        <v>9</v>
      </c>
      <c r="AO34" s="147" t="n">
        <v>10</v>
      </c>
      <c r="AP34" s="147"/>
      <c r="AQ34" s="147"/>
      <c r="AR34" s="147"/>
      <c r="AS34" s="147"/>
      <c r="AT34" s="154"/>
      <c r="AU34" s="152" t="n">
        <f aca="false">SUMPRODUCT(AV$4:BE$4,AV34:BE34)</f>
        <v>4.5</v>
      </c>
      <c r="AV34" s="146" t="n">
        <v>5</v>
      </c>
      <c r="AW34" s="147" t="n">
        <v>6</v>
      </c>
      <c r="AX34" s="147" t="n">
        <v>3</v>
      </c>
      <c r="AY34" s="147" t="n">
        <v>4</v>
      </c>
      <c r="AZ34" s="147" t="n">
        <v>5</v>
      </c>
      <c r="BA34" s="147"/>
      <c r="BB34" s="147"/>
      <c r="BC34" s="147"/>
      <c r="BD34" s="147"/>
      <c r="BE34" s="154"/>
      <c r="BF34" s="152" t="n">
        <f aca="false">SUMPRODUCT(BG$4:BP$4,BG34:BP34)</f>
        <v>4.6</v>
      </c>
      <c r="BG34" s="146" t="n">
        <v>5</v>
      </c>
      <c r="BH34" s="147" t="n">
        <v>6</v>
      </c>
      <c r="BI34" s="147" t="n">
        <v>3</v>
      </c>
      <c r="BJ34" s="147" t="n">
        <v>4</v>
      </c>
      <c r="BK34" s="147" t="n">
        <v>5</v>
      </c>
      <c r="BL34" s="147"/>
      <c r="BM34" s="147"/>
      <c r="BN34" s="147"/>
      <c r="BO34" s="147"/>
      <c r="BP34" s="154"/>
      <c r="BQ34" s="152" t="n">
        <f aca="false">SUMPRODUCT(BR$4:CA$4,BR34:CA34)</f>
        <v>5</v>
      </c>
      <c r="BR34" s="146" t="n">
        <v>5</v>
      </c>
      <c r="BS34" s="153" t="n">
        <v>5</v>
      </c>
      <c r="BT34" s="153" t="n">
        <v>5</v>
      </c>
      <c r="BU34" s="153" t="n">
        <v>5</v>
      </c>
      <c r="BV34" s="153" t="n">
        <v>5</v>
      </c>
      <c r="BW34" s="147"/>
      <c r="BX34" s="147"/>
      <c r="BY34" s="147"/>
      <c r="BZ34" s="147"/>
      <c r="CA34" s="154"/>
      <c r="CB34" s="152" t="n">
        <f aca="false">SUMPRODUCT(CC$4:CL$4,CC34:CL34)</f>
        <v>0</v>
      </c>
      <c r="CC34" s="146"/>
      <c r="CD34" s="147"/>
      <c r="CE34" s="147"/>
      <c r="CF34" s="147"/>
      <c r="CG34" s="147"/>
      <c r="CH34" s="147"/>
      <c r="CI34" s="147"/>
      <c r="CJ34" s="147"/>
      <c r="CK34" s="147"/>
      <c r="CL34" s="154"/>
      <c r="CM34" s="152" t="n">
        <f aca="false">SUMPRODUCT(CN$4:CW$4,CN34:CW34)</f>
        <v>0</v>
      </c>
      <c r="CN34" s="146"/>
      <c r="CO34" s="147"/>
      <c r="CP34" s="147"/>
      <c r="CQ34" s="147"/>
      <c r="CR34" s="147"/>
      <c r="CS34" s="147"/>
      <c r="CT34" s="147"/>
      <c r="CU34" s="147"/>
      <c r="CV34" s="147"/>
      <c r="CW34" s="154"/>
      <c r="CX34" s="152" t="n">
        <f aca="false">SUMPRODUCT(CY$4:DH$4,CY34:DH34)</f>
        <v>0</v>
      </c>
      <c r="CY34" s="146"/>
      <c r="CZ34" s="147"/>
      <c r="DA34" s="147"/>
      <c r="DB34" s="147"/>
      <c r="DC34" s="147"/>
      <c r="DD34" s="147"/>
      <c r="DE34" s="147"/>
      <c r="DF34" s="147"/>
      <c r="DG34" s="147"/>
      <c r="DH34" s="154"/>
      <c r="DI34" s="152" t="n">
        <f aca="false">SUMPRODUCT(DJ$4:DS$4,DJ34:DS34)</f>
        <v>0</v>
      </c>
      <c r="DJ34" s="146"/>
      <c r="DK34" s="147"/>
      <c r="DL34" s="147"/>
      <c r="DM34" s="147"/>
      <c r="DN34" s="147"/>
      <c r="DO34" s="147"/>
      <c r="DP34" s="147"/>
      <c r="DQ34" s="147"/>
      <c r="DR34" s="147"/>
      <c r="DS34" s="154"/>
      <c r="DT34" s="152" t="n">
        <f aca="false">SUMPRODUCT(DU$4:ED$4,DU34:ED34)</f>
        <v>0</v>
      </c>
      <c r="DU34" s="146"/>
      <c r="DV34" s="147"/>
      <c r="DW34" s="147"/>
      <c r="DX34" s="147"/>
      <c r="DY34" s="147"/>
      <c r="DZ34" s="147"/>
      <c r="EA34" s="147"/>
      <c r="EB34" s="147"/>
      <c r="EC34" s="147"/>
      <c r="ED34" s="154"/>
      <c r="EE34" s="152" t="n">
        <f aca="false">SUMPRODUCT(EF$4:EO$4,EF34:EO34)</f>
        <v>0</v>
      </c>
      <c r="EF34" s="146"/>
      <c r="EG34" s="147"/>
      <c r="EH34" s="147"/>
      <c r="EI34" s="147"/>
      <c r="EJ34" s="147"/>
      <c r="EK34" s="147"/>
      <c r="EL34" s="147"/>
      <c r="EM34" s="147"/>
      <c r="EN34" s="147"/>
      <c r="EO34" s="154"/>
      <c r="EP34" s="152" t="n">
        <f aca="false">SUMPRODUCT(EQ$4:EZ$4,EQ34:EZ34)</f>
        <v>0</v>
      </c>
      <c r="EQ34" s="146"/>
      <c r="ER34" s="147"/>
      <c r="ES34" s="147"/>
      <c r="ET34" s="147"/>
      <c r="EU34" s="147"/>
      <c r="EV34" s="147"/>
      <c r="EW34" s="147"/>
      <c r="EX34" s="147"/>
      <c r="EY34" s="147"/>
      <c r="EZ34" s="154"/>
      <c r="FA34" s="152" t="n">
        <f aca="false">SUMPRODUCT(FB$4:FK$4,FB34:FK34)</f>
        <v>0</v>
      </c>
      <c r="FB34" s="146"/>
      <c r="FC34" s="147"/>
      <c r="FD34" s="147"/>
      <c r="FE34" s="147"/>
      <c r="FF34" s="147"/>
      <c r="FG34" s="147"/>
      <c r="FH34" s="147"/>
      <c r="FI34" s="147"/>
      <c r="FJ34" s="147"/>
      <c r="FK34" s="154"/>
      <c r="FL34" s="152" t="n">
        <f aca="false">SUMPRODUCT(FM$4:FV$4,FM34:FV34)</f>
        <v>0</v>
      </c>
      <c r="FM34" s="146"/>
      <c r="FN34" s="147"/>
      <c r="FO34" s="147"/>
      <c r="FP34" s="147"/>
      <c r="FQ34" s="147"/>
      <c r="FR34" s="147"/>
      <c r="FS34" s="147"/>
      <c r="FT34" s="147"/>
      <c r="FU34" s="147"/>
      <c r="FV34" s="154"/>
      <c r="FW34" s="152" t="n">
        <f aca="false">SUMPRODUCT(FX$4:GG$4,FX34:GG34)</f>
        <v>0</v>
      </c>
      <c r="FX34" s="146"/>
      <c r="FY34" s="147"/>
      <c r="FZ34" s="147"/>
      <c r="GA34" s="147"/>
      <c r="GB34" s="147"/>
      <c r="GC34" s="147"/>
      <c r="GD34" s="147"/>
      <c r="GE34" s="147"/>
      <c r="GF34" s="147"/>
      <c r="GG34" s="154"/>
      <c r="GH34" s="152" t="n">
        <f aca="false">SUMPRODUCT(GI$4:GR$4,GI34:GR34)</f>
        <v>0</v>
      </c>
      <c r="GI34" s="146"/>
      <c r="GJ34" s="147"/>
      <c r="GK34" s="147"/>
      <c r="GL34" s="147"/>
      <c r="GM34" s="147"/>
      <c r="GN34" s="147"/>
      <c r="GO34" s="147"/>
      <c r="GP34" s="147"/>
      <c r="GQ34" s="147"/>
      <c r="GR34" s="154"/>
      <c r="GS34" s="152" t="n">
        <f aca="false">SUMPRODUCT(GT$4:HC$4,GT34:HC34)</f>
        <v>0</v>
      </c>
      <c r="GT34" s="146"/>
      <c r="GU34" s="147"/>
      <c r="GV34" s="147"/>
      <c r="GW34" s="147"/>
      <c r="GX34" s="147"/>
      <c r="GY34" s="147"/>
      <c r="GZ34" s="147"/>
      <c r="HA34" s="147"/>
      <c r="HB34" s="147"/>
      <c r="HC34" s="154"/>
      <c r="HD34" s="152" t="n">
        <f aca="false">SUMPRODUCT(HE$4:HN$4,HE34:HN34)</f>
        <v>0</v>
      </c>
      <c r="HE34" s="146"/>
      <c r="HF34" s="147"/>
      <c r="HG34" s="147"/>
      <c r="HH34" s="147"/>
      <c r="HI34" s="147"/>
      <c r="HJ34" s="147"/>
      <c r="HK34" s="147"/>
      <c r="HL34" s="147"/>
      <c r="HM34" s="147"/>
      <c r="HN34" s="154"/>
      <c r="HO34" s="152" t="n">
        <f aca="false">SUMPRODUCT(HP$4:HY$4,HP34:HY34)</f>
        <v>0</v>
      </c>
      <c r="HP34" s="146"/>
      <c r="HQ34" s="147"/>
      <c r="HR34" s="147"/>
      <c r="HS34" s="147"/>
      <c r="HT34" s="147"/>
      <c r="HU34" s="147"/>
      <c r="HV34" s="147"/>
      <c r="HW34" s="147"/>
      <c r="HX34" s="147"/>
      <c r="HY34" s="154"/>
      <c r="HZ34" s="152" t="n">
        <f aca="false">SUMPRODUCT(IA$4:IJ$4,IA34:IJ34)</f>
        <v>0</v>
      </c>
      <c r="IA34" s="146"/>
      <c r="IB34" s="147"/>
      <c r="IC34" s="147"/>
      <c r="ID34" s="147"/>
      <c r="IE34" s="147"/>
      <c r="IF34" s="147"/>
      <c r="IG34" s="147"/>
      <c r="IH34" s="147"/>
      <c r="II34" s="147"/>
      <c r="IJ34" s="154"/>
      <c r="IK34" s="152" t="n">
        <f aca="false">SUMPRODUCT(IL$4:IU$4,IL34:IU34)</f>
        <v>0</v>
      </c>
      <c r="IL34" s="146"/>
      <c r="IM34" s="147"/>
      <c r="IN34" s="147"/>
      <c r="IO34" s="147"/>
      <c r="IP34" s="147"/>
      <c r="IQ34" s="147"/>
      <c r="IR34" s="147"/>
      <c r="IS34" s="147"/>
      <c r="IT34" s="147"/>
      <c r="IU34" s="154"/>
      <c r="IV34" s="152" t="n">
        <f aca="false">SUMPRODUCT(IW$4:JF$4,IW34:JF34)</f>
        <v>0</v>
      </c>
      <c r="IW34" s="146"/>
      <c r="IX34" s="147"/>
      <c r="IY34" s="147"/>
      <c r="IZ34" s="147"/>
      <c r="JA34" s="147"/>
      <c r="JB34" s="147"/>
      <c r="JC34" s="147"/>
      <c r="JD34" s="147"/>
      <c r="JE34" s="147"/>
      <c r="JF34" s="154"/>
      <c r="JG34" s="152" t="n">
        <f aca="false">SUMPRODUCT(JH$4:JQ$4,JH34:JQ34)</f>
        <v>0</v>
      </c>
      <c r="JH34" s="146"/>
      <c r="JI34" s="147"/>
      <c r="JJ34" s="147"/>
      <c r="JK34" s="147"/>
      <c r="JL34" s="147"/>
      <c r="JM34" s="147"/>
      <c r="JN34" s="147"/>
      <c r="JO34" s="147"/>
      <c r="JP34" s="147"/>
      <c r="JQ34" s="154"/>
      <c r="JR34" s="152" t="n">
        <f aca="false">SUMPRODUCT(JS$4:KB$4,JS34:KB34)</f>
        <v>0</v>
      </c>
      <c r="JS34" s="146"/>
      <c r="JT34" s="147"/>
      <c r="JU34" s="147"/>
      <c r="JV34" s="147"/>
      <c r="JW34" s="147"/>
      <c r="JX34" s="147"/>
      <c r="JY34" s="147"/>
      <c r="JZ34" s="147"/>
      <c r="KA34" s="147"/>
      <c r="KB34" s="154"/>
      <c r="KC34" s="152" t="n">
        <f aca="false">SUMPRODUCT(KD$4:KM$4,KD34:KM34)</f>
        <v>0</v>
      </c>
      <c r="KD34" s="146"/>
      <c r="KE34" s="147"/>
      <c r="KF34" s="147"/>
      <c r="KG34" s="147"/>
      <c r="KH34" s="147"/>
      <c r="KI34" s="147"/>
      <c r="KJ34" s="147"/>
      <c r="KK34" s="147"/>
      <c r="KL34" s="147"/>
      <c r="KM34" s="154"/>
      <c r="KN34" s="152" t="n">
        <f aca="false">SUMPRODUCT(KO$4:KX$4,KO34:KX34)</f>
        <v>0</v>
      </c>
      <c r="KO34" s="146"/>
      <c r="KP34" s="147"/>
      <c r="KQ34" s="147"/>
      <c r="KR34" s="147"/>
      <c r="KS34" s="147"/>
      <c r="KT34" s="147"/>
      <c r="KU34" s="147"/>
      <c r="KV34" s="147"/>
      <c r="KW34" s="147"/>
      <c r="KX34" s="154"/>
      <c r="KY34" s="152" t="n">
        <f aca="false">SUMPRODUCT(KZ$4:LI$4,KZ34:LI34)</f>
        <v>0</v>
      </c>
      <c r="KZ34" s="146"/>
      <c r="LA34" s="147"/>
      <c r="LB34" s="147"/>
      <c r="LC34" s="147"/>
      <c r="LD34" s="147"/>
      <c r="LE34" s="147"/>
      <c r="LF34" s="147"/>
      <c r="LG34" s="147"/>
      <c r="LH34" s="147"/>
      <c r="LI34" s="154"/>
      <c r="LJ34" s="152" t="n">
        <f aca="false">SUMPRODUCT(LK$4:LT$4,LK34:LT34)</f>
        <v>0</v>
      </c>
      <c r="LK34" s="146"/>
      <c r="LL34" s="147"/>
      <c r="LM34" s="147"/>
      <c r="LN34" s="147"/>
      <c r="LO34" s="147"/>
      <c r="LP34" s="147"/>
      <c r="LQ34" s="147"/>
      <c r="LR34" s="147"/>
      <c r="LS34" s="147"/>
      <c r="LT34" s="154"/>
      <c r="LW34" s="152"/>
      <c r="LX34" s="155" t="n">
        <f aca="false">D188+O188+Z188+AK188+AV188+BG188+BR188+CC188+CN188+CY188+DJ188+DU188+EF188+EQ188+FB188+FM188+FX188+GI188+GT188+HE188+HP188+IA188+IL188+IW188+JH188+JS188+KD188+KO188+KZ188+LK188</f>
        <v>6.85</v>
      </c>
      <c r="LY34" s="156" t="n">
        <f aca="false">E188+P188+AA188+AL188+AW188+BH188+BS188+CD188+CO188+CZ188+DK188+DV188+EG188+ER188+FC188+FN188+FY188+GJ188+GU188+HF188+HQ188+IB188+IM188+IX188+JI188+JT188+KE188+KP188+LA188+LL188</f>
        <v>7.1</v>
      </c>
      <c r="LZ34" s="156" t="n">
        <f aca="false">F188+Q188+AB188+AM188+AX188+BI188+BT188+CE188+CP188+DA188+DL188+DW188+EH188+ES188+FD188+FO188+FZ188+GK188+GV188+HG188+HR188+IC188+IN188+IY188+JJ188+JU188+KF188+KQ188+LB188+LM188</f>
        <v>6.455</v>
      </c>
      <c r="MA34" s="156" t="n">
        <f aca="false">G188+R188+AC188+AN188+AY188+BJ188+BU188+CF188+CQ188+DB188+DM188+DX188+EI188+ET188+FE188+FP188+GA188+GL188+GW188+HH188+HS188+ID188+IO188+IZ188+JK188+JV188+KG188+KR188+LC188+LN188</f>
        <v>4.84</v>
      </c>
      <c r="MB34" s="156" t="n">
        <f aca="false">H188+S188+AD188+AO188+AZ188+BK188+BV188+CG188+CR188+DC188+DN188+DY188+EJ188+EU188+FF188+FQ188+GB188+GM188+GX188+HI188+HT188+IE188+IP188+JA188+JL188+JW188+KH188+KS188+LD188+LO188</f>
        <v>0</v>
      </c>
      <c r="MC34" s="156" t="n">
        <f aca="false">I188+T188+AE188+AP188+BA188+BL188+BW188+CH188+CS188+DD188+DO188+DZ188+EK188+EV188+FG188+FR188+GC188+GN188+GY188+HJ188+HU188+IF188+IQ188+JB188+JM188+JX188+KI188+KT188+LE188+LP188</f>
        <v>0</v>
      </c>
      <c r="MD34" s="156" t="n">
        <f aca="false">J188+U188+AF188+AQ188+BB188+BM188+BX188+CI188+CT188+DE188+DP188+EA188+EL188+EW188+FH188+FS188+GD188+GO188+GZ188+HK188+HV188+IG188+IR188+JC188+JN188+JY188+KJ188+KU188+LF188+LQ188</f>
        <v>0</v>
      </c>
      <c r="ME34" s="156" t="n">
        <f aca="false">K188+V188+AG188+AR188+BC188+BN188+BY188+CJ188+CU188+DF188+DQ188+EB188+EM188+EX188+FI188+FT188+GE188+GP188+HA188+HL188+HW188+IH188+IS188+JD188+JO188+JZ188+KK188+KV188+LG188+LR188</f>
        <v>0</v>
      </c>
      <c r="MF34" s="156" t="n">
        <f aca="false">L188+W188+AH188+AS188+BD188+BO188+BZ188+CK188+CV188+DG188+DR188+EC188+EN188+EY188+FJ188+FU188+GF188+GQ188+HB188+HM188+HX188+II188+IT188+JE188+JP188+KA188+KL188+KW188+LH188+LS188</f>
        <v>0</v>
      </c>
      <c r="MG34" s="157" t="n">
        <f aca="false">M188+X188+AI188+AT188+BE188+BP188+CA188+CL188+CW188+DH188+DS188+ED188+EO188+EZ188+FK188+FV188+GG188+GR188+HC188+HN188+HY188+IJ188+IU188+JF188+JQ188+KB188+KM188+KX188+LI188+LT188</f>
        <v>0</v>
      </c>
    </row>
    <row r="35" customFormat="false" ht="13.8" hidden="false" customHeight="false" outlineLevel="0" collapsed="false">
      <c r="A35" s="29" t="n">
        <v>30</v>
      </c>
      <c r="B35" s="151" t="str">
        <f aca="false">'Datos Iniciales'!T38</f>
        <v>Alumno30</v>
      </c>
      <c r="C35" s="158" t="n">
        <f aca="false">SUMPRODUCT(D$4:M$4,D35:M35)</f>
        <v>5</v>
      </c>
      <c r="D35" s="146" t="n">
        <v>5</v>
      </c>
      <c r="E35" s="153" t="n">
        <v>5</v>
      </c>
      <c r="F35" s="153" t="n">
        <v>5</v>
      </c>
      <c r="G35" s="153" t="n">
        <v>5</v>
      </c>
      <c r="H35" s="153" t="n">
        <v>5</v>
      </c>
      <c r="I35" s="153" t="n">
        <v>5</v>
      </c>
      <c r="J35" s="153" t="n">
        <v>5</v>
      </c>
      <c r="K35" s="159"/>
      <c r="L35" s="159"/>
      <c r="M35" s="160"/>
      <c r="N35" s="158" t="n">
        <f aca="false">SUMPRODUCT(O$4:X$4,O35:X35)</f>
        <v>5</v>
      </c>
      <c r="O35" s="146" t="n">
        <v>5</v>
      </c>
      <c r="P35" s="153" t="n">
        <v>5</v>
      </c>
      <c r="Q35" s="153" t="n">
        <v>5</v>
      </c>
      <c r="R35" s="153" t="n">
        <v>5</v>
      </c>
      <c r="S35" s="153" t="n">
        <v>5</v>
      </c>
      <c r="T35" s="153"/>
      <c r="U35" s="153"/>
      <c r="V35" s="159"/>
      <c r="W35" s="159"/>
      <c r="X35" s="160"/>
      <c r="Y35" s="158" t="n">
        <f aca="false">SUMPRODUCT(Z$4:AI$4,Z35:AI35)</f>
        <v>9</v>
      </c>
      <c r="Z35" s="146" t="n">
        <v>9</v>
      </c>
      <c r="AA35" s="147" t="n">
        <v>9</v>
      </c>
      <c r="AB35" s="147" t="n">
        <v>9</v>
      </c>
      <c r="AC35" s="147" t="n">
        <v>9</v>
      </c>
      <c r="AD35" s="147" t="n">
        <v>9</v>
      </c>
      <c r="AE35" s="147"/>
      <c r="AF35" s="147"/>
      <c r="AG35" s="159"/>
      <c r="AH35" s="159"/>
      <c r="AI35" s="160"/>
      <c r="AJ35" s="158" t="n">
        <f aca="false">SUMPRODUCT(AK$4:AT$4,AK35:AT35)</f>
        <v>9</v>
      </c>
      <c r="AK35" s="146" t="n">
        <v>9</v>
      </c>
      <c r="AL35" s="147" t="n">
        <v>9</v>
      </c>
      <c r="AM35" s="147" t="n">
        <v>9</v>
      </c>
      <c r="AN35" s="147" t="n">
        <v>9</v>
      </c>
      <c r="AO35" s="147" t="n">
        <v>9</v>
      </c>
      <c r="AP35" s="159"/>
      <c r="AQ35" s="159"/>
      <c r="AR35" s="159"/>
      <c r="AS35" s="159"/>
      <c r="AT35" s="160"/>
      <c r="AU35" s="158" t="n">
        <f aca="false">SUMPRODUCT(AV$4:BE$4,AV35:BE35)</f>
        <v>5</v>
      </c>
      <c r="AV35" s="146" t="n">
        <v>5</v>
      </c>
      <c r="AW35" s="153" t="n">
        <v>5</v>
      </c>
      <c r="AX35" s="153" t="n">
        <v>5</v>
      </c>
      <c r="AY35" s="153" t="n">
        <v>5</v>
      </c>
      <c r="AZ35" s="153" t="n">
        <v>5</v>
      </c>
      <c r="BA35" s="159"/>
      <c r="BB35" s="159"/>
      <c r="BC35" s="159"/>
      <c r="BD35" s="159"/>
      <c r="BE35" s="160"/>
      <c r="BF35" s="158" t="n">
        <f aca="false">SUMPRODUCT(BG$4:BP$4,BG35:BP35)</f>
        <v>5</v>
      </c>
      <c r="BG35" s="146" t="n">
        <v>5</v>
      </c>
      <c r="BH35" s="153" t="n">
        <v>5</v>
      </c>
      <c r="BI35" s="153" t="n">
        <v>5</v>
      </c>
      <c r="BJ35" s="153" t="n">
        <v>5</v>
      </c>
      <c r="BK35" s="153" t="n">
        <v>5</v>
      </c>
      <c r="BL35" s="159"/>
      <c r="BM35" s="159"/>
      <c r="BN35" s="159"/>
      <c r="BO35" s="159"/>
      <c r="BP35" s="160"/>
      <c r="BQ35" s="158" t="n">
        <f aca="false">SUMPRODUCT(BR$4:CA$4,BR35:CA35)</f>
        <v>5</v>
      </c>
      <c r="BR35" s="146" t="n">
        <v>6</v>
      </c>
      <c r="BS35" s="147" t="n">
        <v>7</v>
      </c>
      <c r="BT35" s="147" t="n">
        <v>4</v>
      </c>
      <c r="BU35" s="147" t="n">
        <v>4</v>
      </c>
      <c r="BV35" s="147" t="n">
        <v>5</v>
      </c>
      <c r="BW35" s="159"/>
      <c r="BX35" s="159"/>
      <c r="BY35" s="159"/>
      <c r="BZ35" s="159"/>
      <c r="CA35" s="160"/>
      <c r="CB35" s="158" t="n">
        <f aca="false">SUMPRODUCT(CC$4:CL$4,CC35:CL35)</f>
        <v>0</v>
      </c>
      <c r="CC35" s="161"/>
      <c r="CD35" s="159"/>
      <c r="CE35" s="159"/>
      <c r="CF35" s="159"/>
      <c r="CG35" s="159"/>
      <c r="CH35" s="159"/>
      <c r="CI35" s="159"/>
      <c r="CJ35" s="159"/>
      <c r="CK35" s="159"/>
      <c r="CL35" s="160"/>
      <c r="CM35" s="158" t="n">
        <f aca="false">SUMPRODUCT(CN$4:CW$4,CN35:CW35)</f>
        <v>0</v>
      </c>
      <c r="CN35" s="161"/>
      <c r="CO35" s="159"/>
      <c r="CP35" s="159"/>
      <c r="CQ35" s="159"/>
      <c r="CR35" s="159"/>
      <c r="CS35" s="159"/>
      <c r="CT35" s="159"/>
      <c r="CU35" s="159"/>
      <c r="CV35" s="159"/>
      <c r="CW35" s="160"/>
      <c r="CX35" s="158" t="n">
        <f aca="false">SUMPRODUCT(CY$4:DH$4,CY35:DH35)</f>
        <v>0</v>
      </c>
      <c r="CY35" s="161"/>
      <c r="CZ35" s="159"/>
      <c r="DA35" s="159"/>
      <c r="DB35" s="159"/>
      <c r="DC35" s="159"/>
      <c r="DD35" s="159"/>
      <c r="DE35" s="159"/>
      <c r="DF35" s="159"/>
      <c r="DG35" s="159"/>
      <c r="DH35" s="160"/>
      <c r="DI35" s="158" t="n">
        <f aca="false">SUMPRODUCT(DJ$4:DS$4,DJ35:DS35)</f>
        <v>0</v>
      </c>
      <c r="DJ35" s="161"/>
      <c r="DK35" s="159"/>
      <c r="DL35" s="159"/>
      <c r="DM35" s="159"/>
      <c r="DN35" s="159"/>
      <c r="DO35" s="159"/>
      <c r="DP35" s="159"/>
      <c r="DQ35" s="159"/>
      <c r="DR35" s="159"/>
      <c r="DS35" s="160"/>
      <c r="DT35" s="158" t="n">
        <f aca="false">SUMPRODUCT(DU$4:ED$4,DU35:ED35)</f>
        <v>0</v>
      </c>
      <c r="DU35" s="161"/>
      <c r="DV35" s="159"/>
      <c r="DW35" s="159"/>
      <c r="DX35" s="159"/>
      <c r="DY35" s="159"/>
      <c r="DZ35" s="159"/>
      <c r="EA35" s="159"/>
      <c r="EB35" s="159"/>
      <c r="EC35" s="159"/>
      <c r="ED35" s="160"/>
      <c r="EE35" s="158" t="n">
        <f aca="false">SUMPRODUCT(EF$4:EO$4,EF35:EO35)</f>
        <v>0</v>
      </c>
      <c r="EF35" s="161"/>
      <c r="EG35" s="159"/>
      <c r="EH35" s="159"/>
      <c r="EI35" s="159"/>
      <c r="EJ35" s="159"/>
      <c r="EK35" s="159"/>
      <c r="EL35" s="159"/>
      <c r="EM35" s="159"/>
      <c r="EN35" s="159"/>
      <c r="EO35" s="160"/>
      <c r="EP35" s="158" t="n">
        <f aca="false">SUMPRODUCT(EQ$4:EZ$4,EQ35:EZ35)</f>
        <v>0</v>
      </c>
      <c r="EQ35" s="161"/>
      <c r="ER35" s="159"/>
      <c r="ES35" s="159"/>
      <c r="ET35" s="159"/>
      <c r="EU35" s="159"/>
      <c r="EV35" s="159"/>
      <c r="EW35" s="159"/>
      <c r="EX35" s="159"/>
      <c r="EY35" s="159"/>
      <c r="EZ35" s="160"/>
      <c r="FA35" s="158" t="n">
        <f aca="false">SUMPRODUCT(FB$4:FK$4,FB35:FK35)</f>
        <v>0</v>
      </c>
      <c r="FB35" s="161"/>
      <c r="FC35" s="159"/>
      <c r="FD35" s="159"/>
      <c r="FE35" s="159"/>
      <c r="FF35" s="159"/>
      <c r="FG35" s="159"/>
      <c r="FH35" s="159"/>
      <c r="FI35" s="159"/>
      <c r="FJ35" s="159"/>
      <c r="FK35" s="160"/>
      <c r="FL35" s="158" t="n">
        <f aca="false">SUMPRODUCT(FM$4:FV$4,FM35:FV35)</f>
        <v>0</v>
      </c>
      <c r="FM35" s="161"/>
      <c r="FN35" s="159"/>
      <c r="FO35" s="159"/>
      <c r="FP35" s="159"/>
      <c r="FQ35" s="159"/>
      <c r="FR35" s="159"/>
      <c r="FS35" s="159"/>
      <c r="FT35" s="159"/>
      <c r="FU35" s="159"/>
      <c r="FV35" s="160"/>
      <c r="FW35" s="158" t="n">
        <f aca="false">SUMPRODUCT(FX$4:GG$4,FX35:GG35)</f>
        <v>0</v>
      </c>
      <c r="FX35" s="161"/>
      <c r="FY35" s="159"/>
      <c r="FZ35" s="159"/>
      <c r="GA35" s="159"/>
      <c r="GB35" s="159"/>
      <c r="GC35" s="159"/>
      <c r="GD35" s="159"/>
      <c r="GE35" s="159"/>
      <c r="GF35" s="159"/>
      <c r="GG35" s="160"/>
      <c r="GH35" s="158" t="n">
        <f aca="false">SUMPRODUCT(GI$4:GR$4,GI35:GR35)</f>
        <v>0</v>
      </c>
      <c r="GI35" s="161"/>
      <c r="GJ35" s="159"/>
      <c r="GK35" s="159"/>
      <c r="GL35" s="159"/>
      <c r="GM35" s="159"/>
      <c r="GN35" s="159"/>
      <c r="GO35" s="159"/>
      <c r="GP35" s="159"/>
      <c r="GQ35" s="159"/>
      <c r="GR35" s="160"/>
      <c r="GS35" s="158" t="n">
        <f aca="false">SUMPRODUCT(GT$4:HC$4,GT35:HC35)</f>
        <v>0</v>
      </c>
      <c r="GT35" s="161"/>
      <c r="GU35" s="159"/>
      <c r="GV35" s="159"/>
      <c r="GW35" s="159"/>
      <c r="GX35" s="159"/>
      <c r="GY35" s="159"/>
      <c r="GZ35" s="159"/>
      <c r="HA35" s="159"/>
      <c r="HB35" s="159"/>
      <c r="HC35" s="160"/>
      <c r="HD35" s="158" t="n">
        <f aca="false">SUMPRODUCT(HE$4:HN$4,HE35:HN35)</f>
        <v>0</v>
      </c>
      <c r="HE35" s="161"/>
      <c r="HF35" s="159"/>
      <c r="HG35" s="159"/>
      <c r="HH35" s="159"/>
      <c r="HI35" s="159"/>
      <c r="HJ35" s="159"/>
      <c r="HK35" s="159"/>
      <c r="HL35" s="159"/>
      <c r="HM35" s="159"/>
      <c r="HN35" s="160"/>
      <c r="HO35" s="158" t="n">
        <f aca="false">SUMPRODUCT(HP$4:HY$4,HP35:HY35)</f>
        <v>0</v>
      </c>
      <c r="HP35" s="161"/>
      <c r="HQ35" s="159"/>
      <c r="HR35" s="159"/>
      <c r="HS35" s="159"/>
      <c r="HT35" s="159"/>
      <c r="HU35" s="159"/>
      <c r="HV35" s="159"/>
      <c r="HW35" s="159"/>
      <c r="HX35" s="159"/>
      <c r="HY35" s="160"/>
      <c r="HZ35" s="158" t="n">
        <f aca="false">SUMPRODUCT(IA$4:IJ$4,IA35:IJ35)</f>
        <v>0</v>
      </c>
      <c r="IA35" s="161"/>
      <c r="IB35" s="159"/>
      <c r="IC35" s="159"/>
      <c r="ID35" s="159"/>
      <c r="IE35" s="159"/>
      <c r="IF35" s="159"/>
      <c r="IG35" s="159"/>
      <c r="IH35" s="159"/>
      <c r="II35" s="159"/>
      <c r="IJ35" s="160"/>
      <c r="IK35" s="158" t="n">
        <f aca="false">SUMPRODUCT(IL$4:IU$4,IL35:IU35)</f>
        <v>0</v>
      </c>
      <c r="IL35" s="161"/>
      <c r="IM35" s="159"/>
      <c r="IN35" s="159"/>
      <c r="IO35" s="159"/>
      <c r="IP35" s="159"/>
      <c r="IQ35" s="159"/>
      <c r="IR35" s="159"/>
      <c r="IS35" s="159"/>
      <c r="IT35" s="159"/>
      <c r="IU35" s="160"/>
      <c r="IV35" s="158" t="n">
        <f aca="false">SUMPRODUCT(IW$4:JF$4,IW35:JF35)</f>
        <v>0</v>
      </c>
      <c r="IW35" s="161"/>
      <c r="IX35" s="159"/>
      <c r="IY35" s="159"/>
      <c r="IZ35" s="159"/>
      <c r="JA35" s="159"/>
      <c r="JB35" s="159"/>
      <c r="JC35" s="159"/>
      <c r="JD35" s="159"/>
      <c r="JE35" s="159"/>
      <c r="JF35" s="160"/>
      <c r="JG35" s="158" t="n">
        <f aca="false">SUMPRODUCT(JH$4:JQ$4,JH35:JQ35)</f>
        <v>0</v>
      </c>
      <c r="JH35" s="161"/>
      <c r="JI35" s="159"/>
      <c r="JJ35" s="159"/>
      <c r="JK35" s="159"/>
      <c r="JL35" s="159"/>
      <c r="JM35" s="159"/>
      <c r="JN35" s="159"/>
      <c r="JO35" s="159"/>
      <c r="JP35" s="159"/>
      <c r="JQ35" s="160"/>
      <c r="JR35" s="158" t="n">
        <f aca="false">SUMPRODUCT(JS$4:KB$4,JS35:KB35)</f>
        <v>0</v>
      </c>
      <c r="JS35" s="161"/>
      <c r="JT35" s="159"/>
      <c r="JU35" s="159"/>
      <c r="JV35" s="159"/>
      <c r="JW35" s="159"/>
      <c r="JX35" s="159"/>
      <c r="JY35" s="159"/>
      <c r="JZ35" s="159"/>
      <c r="KA35" s="159"/>
      <c r="KB35" s="160"/>
      <c r="KC35" s="158" t="n">
        <f aca="false">SUMPRODUCT(KD$4:KM$4,KD35:KM35)</f>
        <v>0</v>
      </c>
      <c r="KD35" s="161"/>
      <c r="KE35" s="159"/>
      <c r="KF35" s="159"/>
      <c r="KG35" s="159"/>
      <c r="KH35" s="159"/>
      <c r="KI35" s="159"/>
      <c r="KJ35" s="159"/>
      <c r="KK35" s="159"/>
      <c r="KL35" s="159"/>
      <c r="KM35" s="160"/>
      <c r="KN35" s="158" t="n">
        <f aca="false">SUMPRODUCT(KO$4:KX$4,KO35:KX35)</f>
        <v>0</v>
      </c>
      <c r="KO35" s="161"/>
      <c r="KP35" s="159"/>
      <c r="KQ35" s="159"/>
      <c r="KR35" s="159"/>
      <c r="KS35" s="159"/>
      <c r="KT35" s="159"/>
      <c r="KU35" s="159"/>
      <c r="KV35" s="159"/>
      <c r="KW35" s="159"/>
      <c r="KX35" s="160"/>
      <c r="KY35" s="158" t="n">
        <f aca="false">SUMPRODUCT(KZ$4:LI$4,KZ35:LI35)</f>
        <v>0</v>
      </c>
      <c r="KZ35" s="161"/>
      <c r="LA35" s="159"/>
      <c r="LB35" s="159"/>
      <c r="LC35" s="159"/>
      <c r="LD35" s="159"/>
      <c r="LE35" s="159"/>
      <c r="LF35" s="159"/>
      <c r="LG35" s="159"/>
      <c r="LH35" s="159"/>
      <c r="LI35" s="160"/>
      <c r="LJ35" s="158" t="n">
        <f aca="false">SUMPRODUCT(LK$4:LT$4,LK35:LT35)</f>
        <v>0</v>
      </c>
      <c r="LK35" s="161"/>
      <c r="LL35" s="159"/>
      <c r="LM35" s="159"/>
      <c r="LN35" s="159"/>
      <c r="LO35" s="159"/>
      <c r="LP35" s="159"/>
      <c r="LQ35" s="159"/>
      <c r="LR35" s="159"/>
      <c r="LS35" s="159"/>
      <c r="LT35" s="160"/>
      <c r="LW35" s="158"/>
      <c r="LX35" s="155" t="n">
        <f aca="false">D189+O189+Z189+AK189+AV189+BG189+BR189+CC189+CN189+CY189+DJ189+DU189+EF189+EQ189+FB189+FM189+FX189+GI189+GT189+HE189+HP189+IA189+IL189+IW189+JH189+JS189+KD189+KO189+KZ189+LK189</f>
        <v>6.6</v>
      </c>
      <c r="LY35" s="156" t="n">
        <f aca="false">E189+P189+AA189+AL189+AW189+BH189+BS189+CD189+CO189+CZ189+DK189+DV189+EG189+ER189+FC189+FN189+FY189+GJ189+GU189+HF189+HQ189+IB189+IM189+IX189+JI189+JT189+KE189+KP189+LA189+LL189</f>
        <v>7.05</v>
      </c>
      <c r="LZ35" s="156" t="n">
        <f aca="false">F189+Q189+AB189+AM189+AX189+BI189+BT189+CE189+CP189+DA189+DL189+DW189+EH189+ES189+FD189+FO189+FZ189+GK189+GV189+HG189+HR189+IC189+IN189+IY189+JJ189+JU189+KF189+KQ189+LB189+LM189</f>
        <v>6.8</v>
      </c>
      <c r="MA35" s="156" t="n">
        <f aca="false">G189+R189+AC189+AN189+AY189+BJ189+BU189+CF189+CQ189+DB189+DM189+DX189+EI189+ET189+FE189+FP189+GA189+GL189+GW189+HH189+HS189+ID189+IO189+IZ189+JK189+JV189+KG189+KR189+LC189+LN189</f>
        <v>4.8</v>
      </c>
      <c r="MB35" s="156" t="n">
        <f aca="false">H189+S189+AD189+AO189+AZ189+BK189+BV189+CG189+CR189+DC189+DN189+DY189+EJ189+EU189+FF189+FQ189+GB189+GM189+GX189+HI189+HT189+IE189+IP189+JA189+JL189+JW189+KH189+KS189+LD189+LO189</f>
        <v>0</v>
      </c>
      <c r="MC35" s="156" t="n">
        <f aca="false">I189+T189+AE189+AP189+BA189+BL189+BW189+CH189+CS189+DD189+DO189+DZ189+EK189+EV189+FG189+FR189+GC189+GN189+GY189+HJ189+HU189+IF189+IQ189+JB189+JM189+JX189+KI189+KT189+LE189+LP189</f>
        <v>0</v>
      </c>
      <c r="MD35" s="156" t="n">
        <f aca="false">J189+U189+AF189+AQ189+BB189+BM189+BX189+CI189+CT189+DE189+DP189+EA189+EL189+EW189+FH189+FS189+GD189+GO189+GZ189+HK189+HV189+IG189+IR189+JC189+JN189+JY189+KJ189+KU189+LF189+LQ189</f>
        <v>0</v>
      </c>
      <c r="ME35" s="156" t="n">
        <f aca="false">K189+V189+AG189+AR189+BC189+BN189+BY189+CJ189+CU189+DF189+DQ189+EB189+EM189+EX189+FI189+FT189+GE189+GP189+HA189+HL189+HW189+IH189+IS189+JD189+JO189+JZ189+KK189+KV189+LG189+LR189</f>
        <v>0</v>
      </c>
      <c r="MF35" s="156" t="n">
        <f aca="false">L189+W189+AH189+AS189+BD189+BO189+BZ189+CK189+CV189+DG189+DR189+EC189+EN189+EY189+FJ189+FU189+GF189+GQ189+HB189+HM189+HX189+II189+IT189+JE189+JP189+KA189+KL189+KW189+LH189+LS189</f>
        <v>0</v>
      </c>
      <c r="MG35" s="157" t="n">
        <f aca="false">M189+X189+AI189+AT189+BE189+BP189+CA189+CL189+CW189+DH189+DS189+ED189+EO189+EZ189+FK189+FV189+GG189+GR189+HC189+HN189+HY189+IJ189+IU189+JF189+JQ189+KB189+KM189+KX189+LI189+LT189</f>
        <v>0</v>
      </c>
    </row>
    <row r="36" customFormat="false" ht="15" hidden="false" customHeight="false" outlineLevel="0" collapsed="false">
      <c r="A36" s="29" t="n">
        <v>31</v>
      </c>
      <c r="B36" s="162" t="str">
        <f aca="false">'Datos Iniciales'!T39</f>
        <v>Alumno31</v>
      </c>
      <c r="C36" s="158"/>
      <c r="D36" s="161"/>
      <c r="E36" s="159"/>
      <c r="F36" s="159"/>
      <c r="G36" s="159"/>
      <c r="H36" s="159"/>
      <c r="I36" s="159"/>
      <c r="J36" s="159"/>
      <c r="K36" s="159"/>
      <c r="L36" s="159"/>
      <c r="M36" s="160"/>
      <c r="N36" s="158"/>
      <c r="O36" s="161"/>
      <c r="P36" s="159"/>
      <c r="Q36" s="159"/>
      <c r="R36" s="159"/>
      <c r="S36" s="159"/>
      <c r="T36" s="159"/>
      <c r="U36" s="159"/>
      <c r="V36" s="159"/>
      <c r="W36" s="159"/>
      <c r="X36" s="160"/>
      <c r="Y36" s="158"/>
      <c r="Z36" s="161"/>
      <c r="AA36" s="159"/>
      <c r="AB36" s="159"/>
      <c r="AC36" s="159"/>
      <c r="AD36" s="159"/>
      <c r="AE36" s="159"/>
      <c r="AF36" s="159"/>
      <c r="AG36" s="159"/>
      <c r="AH36" s="159"/>
      <c r="AI36" s="160"/>
      <c r="AJ36" s="158"/>
      <c r="AK36" s="161"/>
      <c r="AL36" s="159"/>
      <c r="AM36" s="159"/>
      <c r="AN36" s="159"/>
      <c r="AO36" s="159"/>
      <c r="AP36" s="159"/>
      <c r="AQ36" s="159"/>
      <c r="AR36" s="159"/>
      <c r="AS36" s="159"/>
      <c r="AT36" s="160"/>
      <c r="AU36" s="158"/>
      <c r="AV36" s="161"/>
      <c r="AW36" s="159"/>
      <c r="AX36" s="159"/>
      <c r="AY36" s="159"/>
      <c r="AZ36" s="159"/>
      <c r="BA36" s="159"/>
      <c r="BB36" s="159"/>
      <c r="BC36" s="159"/>
      <c r="BD36" s="159"/>
      <c r="BE36" s="160"/>
      <c r="BF36" s="158"/>
      <c r="BG36" s="161"/>
      <c r="BH36" s="159"/>
      <c r="BI36" s="159"/>
      <c r="BJ36" s="159"/>
      <c r="BK36" s="159"/>
      <c r="BL36" s="159"/>
      <c r="BM36" s="159"/>
      <c r="BN36" s="159"/>
      <c r="BO36" s="159"/>
      <c r="BP36" s="160"/>
      <c r="BQ36" s="158"/>
      <c r="BR36" s="161"/>
      <c r="BS36" s="159"/>
      <c r="BT36" s="159"/>
      <c r="BU36" s="159"/>
      <c r="BV36" s="159"/>
      <c r="BW36" s="159"/>
      <c r="BX36" s="159"/>
      <c r="BY36" s="159"/>
      <c r="BZ36" s="159"/>
      <c r="CA36" s="160"/>
      <c r="CB36" s="158"/>
      <c r="CC36" s="161"/>
      <c r="CD36" s="159"/>
      <c r="CE36" s="159"/>
      <c r="CF36" s="159"/>
      <c r="CG36" s="159"/>
      <c r="CH36" s="159"/>
      <c r="CI36" s="159"/>
      <c r="CJ36" s="159"/>
      <c r="CK36" s="159"/>
      <c r="CL36" s="160"/>
      <c r="CM36" s="158"/>
      <c r="CN36" s="161"/>
      <c r="CO36" s="159"/>
      <c r="CP36" s="159"/>
      <c r="CQ36" s="159"/>
      <c r="CR36" s="159"/>
      <c r="CS36" s="159"/>
      <c r="CT36" s="159"/>
      <c r="CU36" s="159"/>
      <c r="CV36" s="159"/>
      <c r="CW36" s="160"/>
      <c r="CX36" s="158"/>
      <c r="CY36" s="161"/>
      <c r="CZ36" s="159"/>
      <c r="DA36" s="159"/>
      <c r="DB36" s="159"/>
      <c r="DC36" s="159"/>
      <c r="DD36" s="159"/>
      <c r="DE36" s="159"/>
      <c r="DF36" s="159"/>
      <c r="DG36" s="159"/>
      <c r="DH36" s="160"/>
      <c r="DI36" s="158"/>
      <c r="DJ36" s="161"/>
      <c r="DK36" s="159"/>
      <c r="DL36" s="159"/>
      <c r="DM36" s="159"/>
      <c r="DN36" s="159"/>
      <c r="DO36" s="159"/>
      <c r="DP36" s="159"/>
      <c r="DQ36" s="159"/>
      <c r="DR36" s="159"/>
      <c r="DS36" s="160"/>
      <c r="DT36" s="158"/>
      <c r="DU36" s="161"/>
      <c r="DV36" s="159"/>
      <c r="DW36" s="159"/>
      <c r="DX36" s="159"/>
      <c r="DY36" s="159"/>
      <c r="DZ36" s="159"/>
      <c r="EA36" s="159"/>
      <c r="EB36" s="159"/>
      <c r="EC36" s="159"/>
      <c r="ED36" s="160"/>
      <c r="EE36" s="158"/>
      <c r="EF36" s="161"/>
      <c r="EG36" s="159"/>
      <c r="EH36" s="159"/>
      <c r="EI36" s="159"/>
      <c r="EJ36" s="159"/>
      <c r="EK36" s="159"/>
      <c r="EL36" s="159"/>
      <c r="EM36" s="159"/>
      <c r="EN36" s="159"/>
      <c r="EO36" s="160"/>
      <c r="EP36" s="158"/>
      <c r="EQ36" s="161"/>
      <c r="ER36" s="159"/>
      <c r="ES36" s="159"/>
      <c r="ET36" s="159"/>
      <c r="EU36" s="159"/>
      <c r="EV36" s="159"/>
      <c r="EW36" s="159"/>
      <c r="EX36" s="159"/>
      <c r="EY36" s="159"/>
      <c r="EZ36" s="160"/>
      <c r="FA36" s="158"/>
      <c r="FB36" s="161"/>
      <c r="FC36" s="159"/>
      <c r="FD36" s="159"/>
      <c r="FE36" s="159"/>
      <c r="FF36" s="159"/>
      <c r="FG36" s="159"/>
      <c r="FH36" s="159"/>
      <c r="FI36" s="159"/>
      <c r="FJ36" s="159"/>
      <c r="FK36" s="160"/>
      <c r="FL36" s="158"/>
      <c r="FM36" s="161"/>
      <c r="FN36" s="159"/>
      <c r="FO36" s="159"/>
      <c r="FP36" s="159"/>
      <c r="FQ36" s="159"/>
      <c r="FR36" s="159"/>
      <c r="FS36" s="159"/>
      <c r="FT36" s="159"/>
      <c r="FU36" s="159"/>
      <c r="FV36" s="160"/>
      <c r="FW36" s="158"/>
      <c r="FX36" s="161"/>
      <c r="FY36" s="159"/>
      <c r="FZ36" s="159"/>
      <c r="GA36" s="159"/>
      <c r="GB36" s="159"/>
      <c r="GC36" s="159"/>
      <c r="GD36" s="159"/>
      <c r="GE36" s="159"/>
      <c r="GF36" s="159"/>
      <c r="GG36" s="160"/>
      <c r="GH36" s="158"/>
      <c r="GI36" s="161"/>
      <c r="GJ36" s="159"/>
      <c r="GK36" s="159"/>
      <c r="GL36" s="159"/>
      <c r="GM36" s="159"/>
      <c r="GN36" s="159"/>
      <c r="GO36" s="159"/>
      <c r="GP36" s="159"/>
      <c r="GQ36" s="159"/>
      <c r="GR36" s="160"/>
      <c r="GS36" s="158"/>
      <c r="GT36" s="161"/>
      <c r="GU36" s="159"/>
      <c r="GV36" s="159"/>
      <c r="GW36" s="159"/>
      <c r="GX36" s="159"/>
      <c r="GY36" s="159"/>
      <c r="GZ36" s="159"/>
      <c r="HA36" s="159"/>
      <c r="HB36" s="159"/>
      <c r="HC36" s="160"/>
      <c r="HD36" s="158"/>
      <c r="HE36" s="161"/>
      <c r="HF36" s="159"/>
      <c r="HG36" s="159"/>
      <c r="HH36" s="159"/>
      <c r="HI36" s="159"/>
      <c r="HJ36" s="159"/>
      <c r="HK36" s="159"/>
      <c r="HL36" s="159"/>
      <c r="HM36" s="159"/>
      <c r="HN36" s="160"/>
      <c r="HO36" s="158"/>
      <c r="HP36" s="161"/>
      <c r="HQ36" s="159"/>
      <c r="HR36" s="159"/>
      <c r="HS36" s="159"/>
      <c r="HT36" s="159"/>
      <c r="HU36" s="159"/>
      <c r="HV36" s="159"/>
      <c r="HW36" s="159"/>
      <c r="HX36" s="159"/>
      <c r="HY36" s="160"/>
      <c r="HZ36" s="158"/>
      <c r="IA36" s="161"/>
      <c r="IB36" s="159"/>
      <c r="IC36" s="159"/>
      <c r="ID36" s="159"/>
      <c r="IE36" s="159"/>
      <c r="IF36" s="159"/>
      <c r="IG36" s="159"/>
      <c r="IH36" s="159"/>
      <c r="II36" s="159"/>
      <c r="IJ36" s="160"/>
      <c r="IK36" s="158"/>
      <c r="IL36" s="161"/>
      <c r="IM36" s="159"/>
      <c r="IN36" s="159"/>
      <c r="IO36" s="159"/>
      <c r="IP36" s="159"/>
      <c r="IQ36" s="159"/>
      <c r="IR36" s="159"/>
      <c r="IS36" s="159"/>
      <c r="IT36" s="159"/>
      <c r="IU36" s="160"/>
      <c r="IV36" s="158"/>
      <c r="IW36" s="161"/>
      <c r="IX36" s="159"/>
      <c r="IY36" s="159"/>
      <c r="IZ36" s="159"/>
      <c r="JA36" s="159"/>
      <c r="JB36" s="159"/>
      <c r="JC36" s="159"/>
      <c r="JD36" s="159"/>
      <c r="JE36" s="159"/>
      <c r="JF36" s="160"/>
      <c r="JG36" s="158"/>
      <c r="JH36" s="161"/>
      <c r="JI36" s="159"/>
      <c r="JJ36" s="159"/>
      <c r="JK36" s="159"/>
      <c r="JL36" s="159"/>
      <c r="JM36" s="159"/>
      <c r="JN36" s="159"/>
      <c r="JO36" s="159"/>
      <c r="JP36" s="159"/>
      <c r="JQ36" s="160"/>
      <c r="JR36" s="158"/>
      <c r="JS36" s="161"/>
      <c r="JT36" s="159"/>
      <c r="JU36" s="159"/>
      <c r="JV36" s="159"/>
      <c r="JW36" s="159"/>
      <c r="JX36" s="159"/>
      <c r="JY36" s="159"/>
      <c r="JZ36" s="159"/>
      <c r="KA36" s="159"/>
      <c r="KB36" s="160"/>
      <c r="KC36" s="158"/>
      <c r="KD36" s="161"/>
      <c r="KE36" s="159"/>
      <c r="KF36" s="159"/>
      <c r="KG36" s="159"/>
      <c r="KH36" s="159"/>
      <c r="KI36" s="159"/>
      <c r="KJ36" s="159"/>
      <c r="KK36" s="159"/>
      <c r="KL36" s="159"/>
      <c r="KM36" s="160"/>
      <c r="KN36" s="158"/>
      <c r="KO36" s="161"/>
      <c r="KP36" s="159"/>
      <c r="KQ36" s="159"/>
      <c r="KR36" s="159"/>
      <c r="KS36" s="159"/>
      <c r="KT36" s="159"/>
      <c r="KU36" s="159"/>
      <c r="KV36" s="159"/>
      <c r="KW36" s="159"/>
      <c r="KX36" s="160"/>
      <c r="KY36" s="158"/>
      <c r="KZ36" s="161"/>
      <c r="LA36" s="159"/>
      <c r="LB36" s="159"/>
      <c r="LC36" s="159"/>
      <c r="LD36" s="159"/>
      <c r="LE36" s="159"/>
      <c r="LF36" s="159"/>
      <c r="LG36" s="159"/>
      <c r="LH36" s="159"/>
      <c r="LI36" s="160"/>
      <c r="LJ36" s="158"/>
      <c r="LK36" s="161"/>
      <c r="LL36" s="159"/>
      <c r="LM36" s="159"/>
      <c r="LN36" s="159"/>
      <c r="LO36" s="159"/>
      <c r="LP36" s="159"/>
      <c r="LQ36" s="159"/>
      <c r="LR36" s="159"/>
      <c r="LS36" s="159"/>
      <c r="LT36" s="160"/>
      <c r="LW36" s="158"/>
      <c r="LX36" s="155" t="n">
        <f aca="false">D190+O190+Z190+AK190+AV190+BG190+BR190+CC190+CN190+CY190+DJ190+DU190+EF190+EQ190+FB190+FM190+FX190+GI190+GT190+HE190+HP190+IA190+IL190+IW190+JH190+JS190+KD190+KO190+KZ190+LK190</f>
        <v>0</v>
      </c>
      <c r="LY36" s="156" t="n">
        <f aca="false">E190+P190+AA190+AL190+AW190+BH190+BS190+CD190+CO190+CZ190+DK190+DV190+EG190+ER190+FC190+FN190+FY190+GJ190+GU190+HF190+HQ190+IB190+IM190+IX190+JI190+JT190+KE190+KP190+LA190+LL190</f>
        <v>0</v>
      </c>
      <c r="LZ36" s="156" t="n">
        <f aca="false">F190+Q190+AB190+AM190+AX190+BI190+BT190+CE190+CP190+DA190+DL190+DW190+EH190+ES190+FD190+FO190+FZ190+GK190+GV190+HG190+HR190+IC190+IN190+IY190+JJ190+JU190+KF190+KQ190+LB190+LM190</f>
        <v>0</v>
      </c>
      <c r="MA36" s="156" t="n">
        <f aca="false">G190+R190+AC190+AN190+AY190+BJ190+BU190+CF190+CQ190+DB190+DM190+DX190+EI190+ET190+FE190+FP190+GA190+GL190+GW190+HH190+HS190+ID190+IO190+IZ190+JK190+JV190+KG190+KR190+LC190+LN190</f>
        <v>0</v>
      </c>
      <c r="MB36" s="156" t="n">
        <f aca="false">H190+S190+AD190+AO190+AZ190+BK190+BV190+CG190+CR190+DC190+DN190+DY190+EJ190+EU190+FF190+FQ190+GB190+GM190+GX190+HI190+HT190+IE190+IP190+JA190+JL190+JW190+KH190+KS190+LD190+LO190</f>
        <v>0</v>
      </c>
      <c r="MC36" s="156" t="n">
        <f aca="false">I190+T190+AE190+AP190+BA190+BL190+BW190+CH190+CS190+DD190+DO190+DZ190+EK190+EV190+FG190+FR190+GC190+GN190+GY190+HJ190+HU190+IF190+IQ190+JB190+JM190+JX190+KI190+KT190+LE190+LP190</f>
        <v>0</v>
      </c>
      <c r="MD36" s="156" t="n">
        <f aca="false">J190+U190+AF190+AQ190+BB190+BM190+BX190+CI190+CT190+DE190+DP190+EA190+EL190+EW190+FH190+FS190+GD190+GO190+GZ190+HK190+HV190+IG190+IR190+JC190+JN190+JY190+KJ190+KU190+LF190+LQ190</f>
        <v>0</v>
      </c>
      <c r="ME36" s="156" t="n">
        <f aca="false">K190+V190+AG190+AR190+BC190+BN190+BY190+CJ190+CU190+DF190+DQ190+EB190+EM190+EX190+FI190+FT190+GE190+GP190+HA190+HL190+HW190+IH190+IS190+JD190+JO190+JZ190+KK190+KV190+LG190+LR190</f>
        <v>0</v>
      </c>
      <c r="MF36" s="156" t="n">
        <f aca="false">L190+W190+AH190+AS190+BD190+BO190+BZ190+CK190+CV190+DG190+DR190+EC190+EN190+EY190+FJ190+FU190+GF190+GQ190+HB190+HM190+HX190+II190+IT190+JE190+JP190+KA190+KL190+KW190+LH190+LS190</f>
        <v>0</v>
      </c>
      <c r="MG36" s="157" t="n">
        <f aca="false">M190+X190+AI190+AT190+BE190+BP190+CA190+CL190+CW190+DH190+DS190+ED190+EO190+EZ190+FK190+FV190+GG190+GR190+HC190+HN190+HY190+IJ190+IU190+JF190+JQ190+KB190+KM190+KX190+LI190+LT190</f>
        <v>0</v>
      </c>
    </row>
    <row r="37" customFormat="false" ht="15" hidden="false" customHeight="false" outlineLevel="0" collapsed="false">
      <c r="A37" s="29" t="n">
        <v>32</v>
      </c>
      <c r="B37" s="162" t="str">
        <f aca="false">'Datos Iniciales'!T40</f>
        <v>Alumno32</v>
      </c>
      <c r="C37" s="158"/>
      <c r="D37" s="161"/>
      <c r="E37" s="159"/>
      <c r="F37" s="159"/>
      <c r="G37" s="159"/>
      <c r="H37" s="159"/>
      <c r="I37" s="159"/>
      <c r="J37" s="159"/>
      <c r="K37" s="159"/>
      <c r="L37" s="159"/>
      <c r="M37" s="160"/>
      <c r="N37" s="158"/>
      <c r="O37" s="161"/>
      <c r="P37" s="159"/>
      <c r="Q37" s="159"/>
      <c r="R37" s="159"/>
      <c r="S37" s="159"/>
      <c r="T37" s="159"/>
      <c r="U37" s="159"/>
      <c r="V37" s="159"/>
      <c r="W37" s="159"/>
      <c r="X37" s="160"/>
      <c r="Y37" s="158"/>
      <c r="Z37" s="161"/>
      <c r="AA37" s="159"/>
      <c r="AB37" s="159"/>
      <c r="AC37" s="159"/>
      <c r="AD37" s="159"/>
      <c r="AE37" s="159"/>
      <c r="AF37" s="159"/>
      <c r="AG37" s="159"/>
      <c r="AH37" s="159"/>
      <c r="AI37" s="160"/>
      <c r="AJ37" s="158"/>
      <c r="AK37" s="161"/>
      <c r="AL37" s="159"/>
      <c r="AM37" s="159"/>
      <c r="AN37" s="159"/>
      <c r="AO37" s="159"/>
      <c r="AP37" s="159"/>
      <c r="AQ37" s="159"/>
      <c r="AR37" s="159"/>
      <c r="AS37" s="159"/>
      <c r="AT37" s="160"/>
      <c r="AU37" s="158"/>
      <c r="AV37" s="161"/>
      <c r="AW37" s="159"/>
      <c r="AX37" s="159"/>
      <c r="AY37" s="159"/>
      <c r="AZ37" s="159"/>
      <c r="BA37" s="159"/>
      <c r="BB37" s="159"/>
      <c r="BC37" s="159"/>
      <c r="BD37" s="159"/>
      <c r="BE37" s="160"/>
      <c r="BF37" s="158"/>
      <c r="BG37" s="161"/>
      <c r="BH37" s="159"/>
      <c r="BI37" s="159"/>
      <c r="BJ37" s="159"/>
      <c r="BK37" s="159"/>
      <c r="BL37" s="159"/>
      <c r="BM37" s="159"/>
      <c r="BN37" s="159"/>
      <c r="BO37" s="159"/>
      <c r="BP37" s="160"/>
      <c r="BQ37" s="158"/>
      <c r="BR37" s="161"/>
      <c r="BS37" s="159"/>
      <c r="BT37" s="159"/>
      <c r="BU37" s="159"/>
      <c r="BV37" s="159"/>
      <c r="BW37" s="159"/>
      <c r="BX37" s="159"/>
      <c r="BY37" s="159"/>
      <c r="BZ37" s="159"/>
      <c r="CA37" s="160"/>
      <c r="CB37" s="158"/>
      <c r="CC37" s="161"/>
      <c r="CD37" s="159"/>
      <c r="CE37" s="159"/>
      <c r="CF37" s="159"/>
      <c r="CG37" s="159"/>
      <c r="CH37" s="159"/>
      <c r="CI37" s="159"/>
      <c r="CJ37" s="159"/>
      <c r="CK37" s="159"/>
      <c r="CL37" s="160"/>
      <c r="CM37" s="158"/>
      <c r="CN37" s="161"/>
      <c r="CO37" s="159"/>
      <c r="CP37" s="159"/>
      <c r="CQ37" s="159"/>
      <c r="CR37" s="159"/>
      <c r="CS37" s="159"/>
      <c r="CT37" s="159"/>
      <c r="CU37" s="159"/>
      <c r="CV37" s="159"/>
      <c r="CW37" s="160"/>
      <c r="CX37" s="158"/>
      <c r="CY37" s="161"/>
      <c r="CZ37" s="159"/>
      <c r="DA37" s="159"/>
      <c r="DB37" s="159"/>
      <c r="DC37" s="159"/>
      <c r="DD37" s="159"/>
      <c r="DE37" s="159"/>
      <c r="DF37" s="159"/>
      <c r="DG37" s="159"/>
      <c r="DH37" s="160"/>
      <c r="DI37" s="158"/>
      <c r="DJ37" s="161"/>
      <c r="DK37" s="159"/>
      <c r="DL37" s="159"/>
      <c r="DM37" s="159"/>
      <c r="DN37" s="159"/>
      <c r="DO37" s="159"/>
      <c r="DP37" s="159"/>
      <c r="DQ37" s="159"/>
      <c r="DR37" s="159"/>
      <c r="DS37" s="160"/>
      <c r="DT37" s="158"/>
      <c r="DU37" s="161"/>
      <c r="DV37" s="159"/>
      <c r="DW37" s="159"/>
      <c r="DX37" s="159"/>
      <c r="DY37" s="159"/>
      <c r="DZ37" s="159"/>
      <c r="EA37" s="159"/>
      <c r="EB37" s="159"/>
      <c r="EC37" s="159"/>
      <c r="ED37" s="160"/>
      <c r="EE37" s="158"/>
      <c r="EF37" s="161"/>
      <c r="EG37" s="159"/>
      <c r="EH37" s="159"/>
      <c r="EI37" s="159"/>
      <c r="EJ37" s="159"/>
      <c r="EK37" s="159"/>
      <c r="EL37" s="159"/>
      <c r="EM37" s="159"/>
      <c r="EN37" s="159"/>
      <c r="EO37" s="160"/>
      <c r="EP37" s="158"/>
      <c r="EQ37" s="161"/>
      <c r="ER37" s="159"/>
      <c r="ES37" s="159"/>
      <c r="ET37" s="159"/>
      <c r="EU37" s="159"/>
      <c r="EV37" s="159"/>
      <c r="EW37" s="159"/>
      <c r="EX37" s="159"/>
      <c r="EY37" s="159"/>
      <c r="EZ37" s="160"/>
      <c r="FA37" s="158"/>
      <c r="FB37" s="161"/>
      <c r="FC37" s="159"/>
      <c r="FD37" s="159"/>
      <c r="FE37" s="159"/>
      <c r="FF37" s="159"/>
      <c r="FG37" s="159"/>
      <c r="FH37" s="159"/>
      <c r="FI37" s="159"/>
      <c r="FJ37" s="159"/>
      <c r="FK37" s="160"/>
      <c r="FL37" s="158"/>
      <c r="FM37" s="161"/>
      <c r="FN37" s="159"/>
      <c r="FO37" s="159"/>
      <c r="FP37" s="159"/>
      <c r="FQ37" s="159"/>
      <c r="FR37" s="159"/>
      <c r="FS37" s="159"/>
      <c r="FT37" s="159"/>
      <c r="FU37" s="159"/>
      <c r="FV37" s="160"/>
      <c r="FW37" s="158"/>
      <c r="FX37" s="161"/>
      <c r="FY37" s="159"/>
      <c r="FZ37" s="159"/>
      <c r="GA37" s="159"/>
      <c r="GB37" s="159"/>
      <c r="GC37" s="159"/>
      <c r="GD37" s="159"/>
      <c r="GE37" s="159"/>
      <c r="GF37" s="159"/>
      <c r="GG37" s="160"/>
      <c r="GH37" s="158"/>
      <c r="GI37" s="161"/>
      <c r="GJ37" s="159"/>
      <c r="GK37" s="159"/>
      <c r="GL37" s="159"/>
      <c r="GM37" s="159"/>
      <c r="GN37" s="159"/>
      <c r="GO37" s="159"/>
      <c r="GP37" s="159"/>
      <c r="GQ37" s="159"/>
      <c r="GR37" s="160"/>
      <c r="GS37" s="158"/>
      <c r="GT37" s="161"/>
      <c r="GU37" s="159"/>
      <c r="GV37" s="159"/>
      <c r="GW37" s="159"/>
      <c r="GX37" s="159"/>
      <c r="GY37" s="159"/>
      <c r="GZ37" s="159"/>
      <c r="HA37" s="159"/>
      <c r="HB37" s="159"/>
      <c r="HC37" s="160"/>
      <c r="HD37" s="158"/>
      <c r="HE37" s="161"/>
      <c r="HF37" s="159"/>
      <c r="HG37" s="159"/>
      <c r="HH37" s="159"/>
      <c r="HI37" s="159"/>
      <c r="HJ37" s="159"/>
      <c r="HK37" s="159"/>
      <c r="HL37" s="159"/>
      <c r="HM37" s="159"/>
      <c r="HN37" s="160"/>
      <c r="HO37" s="158"/>
      <c r="HP37" s="161"/>
      <c r="HQ37" s="159"/>
      <c r="HR37" s="159"/>
      <c r="HS37" s="159"/>
      <c r="HT37" s="159"/>
      <c r="HU37" s="159"/>
      <c r="HV37" s="159"/>
      <c r="HW37" s="159"/>
      <c r="HX37" s="159"/>
      <c r="HY37" s="160"/>
      <c r="HZ37" s="158"/>
      <c r="IA37" s="161"/>
      <c r="IB37" s="159"/>
      <c r="IC37" s="159"/>
      <c r="ID37" s="159"/>
      <c r="IE37" s="159"/>
      <c r="IF37" s="159"/>
      <c r="IG37" s="159"/>
      <c r="IH37" s="159"/>
      <c r="II37" s="159"/>
      <c r="IJ37" s="160"/>
      <c r="IK37" s="158"/>
      <c r="IL37" s="161"/>
      <c r="IM37" s="159"/>
      <c r="IN37" s="159"/>
      <c r="IO37" s="159"/>
      <c r="IP37" s="159"/>
      <c r="IQ37" s="159"/>
      <c r="IR37" s="159"/>
      <c r="IS37" s="159"/>
      <c r="IT37" s="159"/>
      <c r="IU37" s="160"/>
      <c r="IV37" s="158"/>
      <c r="IW37" s="161"/>
      <c r="IX37" s="159"/>
      <c r="IY37" s="159"/>
      <c r="IZ37" s="159"/>
      <c r="JA37" s="159"/>
      <c r="JB37" s="159"/>
      <c r="JC37" s="159"/>
      <c r="JD37" s="159"/>
      <c r="JE37" s="159"/>
      <c r="JF37" s="160"/>
      <c r="JG37" s="158"/>
      <c r="JH37" s="161"/>
      <c r="JI37" s="159"/>
      <c r="JJ37" s="159"/>
      <c r="JK37" s="159"/>
      <c r="JL37" s="159"/>
      <c r="JM37" s="159"/>
      <c r="JN37" s="159"/>
      <c r="JO37" s="159"/>
      <c r="JP37" s="159"/>
      <c r="JQ37" s="160"/>
      <c r="JR37" s="158"/>
      <c r="JS37" s="161"/>
      <c r="JT37" s="159"/>
      <c r="JU37" s="159"/>
      <c r="JV37" s="159"/>
      <c r="JW37" s="159"/>
      <c r="JX37" s="159"/>
      <c r="JY37" s="159"/>
      <c r="JZ37" s="159"/>
      <c r="KA37" s="159"/>
      <c r="KB37" s="160"/>
      <c r="KC37" s="158"/>
      <c r="KD37" s="161"/>
      <c r="KE37" s="159"/>
      <c r="KF37" s="159"/>
      <c r="KG37" s="159"/>
      <c r="KH37" s="159"/>
      <c r="KI37" s="159"/>
      <c r="KJ37" s="159"/>
      <c r="KK37" s="159"/>
      <c r="KL37" s="159"/>
      <c r="KM37" s="160"/>
      <c r="KN37" s="158"/>
      <c r="KO37" s="161"/>
      <c r="KP37" s="159"/>
      <c r="KQ37" s="159"/>
      <c r="KR37" s="159"/>
      <c r="KS37" s="159"/>
      <c r="KT37" s="159"/>
      <c r="KU37" s="159"/>
      <c r="KV37" s="159"/>
      <c r="KW37" s="159"/>
      <c r="KX37" s="160"/>
      <c r="KY37" s="158"/>
      <c r="KZ37" s="161"/>
      <c r="LA37" s="159"/>
      <c r="LB37" s="159"/>
      <c r="LC37" s="159"/>
      <c r="LD37" s="159"/>
      <c r="LE37" s="159"/>
      <c r="LF37" s="159"/>
      <c r="LG37" s="159"/>
      <c r="LH37" s="159"/>
      <c r="LI37" s="160"/>
      <c r="LJ37" s="158"/>
      <c r="LK37" s="161"/>
      <c r="LL37" s="159"/>
      <c r="LM37" s="159"/>
      <c r="LN37" s="159"/>
      <c r="LO37" s="159"/>
      <c r="LP37" s="159"/>
      <c r="LQ37" s="159"/>
      <c r="LR37" s="159"/>
      <c r="LS37" s="159"/>
      <c r="LT37" s="160"/>
      <c r="LW37" s="158"/>
      <c r="LX37" s="155" t="n">
        <f aca="false">D191+O191+Z191+AK191+AV191+BG191+BR191+CC191+CN191+CY191+DJ191+DU191+EF191+EQ191+FB191+FM191+FX191+GI191+GT191+HE191+HP191+IA191+IL191+IW191+JH191+JS191+KD191+KO191+KZ191+LK191</f>
        <v>0</v>
      </c>
      <c r="LY37" s="156" t="n">
        <f aca="false">E191+P191+AA191+AL191+AW191+BH191+BS191+CD191+CO191+CZ191+DK191+DV191+EG191+ER191+FC191+FN191+FY191+GJ191+GU191+HF191+HQ191+IB191+IM191+IX191+JI191+JT191+KE191+KP191+LA191+LL191</f>
        <v>0</v>
      </c>
      <c r="LZ37" s="156" t="n">
        <f aca="false">F191+Q191+AB191+AM191+AX191+BI191+BT191+CE191+CP191+DA191+DL191+DW191+EH191+ES191+FD191+FO191+FZ191+GK191+GV191+HG191+HR191+IC191+IN191+IY191+JJ191+JU191+KF191+KQ191+LB191+LM191</f>
        <v>0</v>
      </c>
      <c r="MA37" s="156" t="n">
        <f aca="false">G191+R191+AC191+AN191+AY191+BJ191+BU191+CF191+CQ191+DB191+DM191+DX191+EI191+ET191+FE191+FP191+GA191+GL191+GW191+HH191+HS191+ID191+IO191+IZ191+JK191+JV191+KG191+KR191+LC191+LN191</f>
        <v>0</v>
      </c>
      <c r="MB37" s="156" t="n">
        <f aca="false">H191+S191+AD191+AO191+AZ191+BK191+BV191+CG191+CR191+DC191+DN191+DY191+EJ191+EU191+FF191+FQ191+GB191+GM191+GX191+HI191+HT191+IE191+IP191+JA191+JL191+JW191+KH191+KS191+LD191+LO191</f>
        <v>0</v>
      </c>
      <c r="MC37" s="156" t="n">
        <f aca="false">I191+T191+AE191+AP191+BA191+BL191+BW191+CH191+CS191+DD191+DO191+DZ191+EK191+EV191+FG191+FR191+GC191+GN191+GY191+HJ191+HU191+IF191+IQ191+JB191+JM191+JX191+KI191+KT191+LE191+LP191</f>
        <v>0</v>
      </c>
      <c r="MD37" s="156" t="n">
        <f aca="false">J191+U191+AF191+AQ191+BB191+BM191+BX191+CI191+CT191+DE191+DP191+EA191+EL191+EW191+FH191+FS191+GD191+GO191+GZ191+HK191+HV191+IG191+IR191+JC191+JN191+JY191+KJ191+KU191+LF191+LQ191</f>
        <v>0</v>
      </c>
      <c r="ME37" s="156" t="n">
        <f aca="false">K191+V191+AG191+AR191+BC191+BN191+BY191+CJ191+CU191+DF191+DQ191+EB191+EM191+EX191+FI191+FT191+GE191+GP191+HA191+HL191+HW191+IH191+IS191+JD191+JO191+JZ191+KK191+KV191+LG191+LR191</f>
        <v>0</v>
      </c>
      <c r="MF37" s="156" t="n">
        <f aca="false">L191+W191+AH191+AS191+BD191+BO191+BZ191+CK191+CV191+DG191+DR191+EC191+EN191+EY191+FJ191+FU191+GF191+GQ191+HB191+HM191+HX191+II191+IT191+JE191+JP191+KA191+KL191+KW191+LH191+LS191</f>
        <v>0</v>
      </c>
      <c r="MG37" s="157" t="n">
        <f aca="false">M191+X191+AI191+AT191+BE191+BP191+CA191+CL191+CW191+DH191+DS191+ED191+EO191+EZ191+FK191+FV191+GG191+GR191+HC191+HN191+HY191+IJ191+IU191+JF191+JQ191+KB191+KM191+KX191+LI191+LT191</f>
        <v>0</v>
      </c>
    </row>
    <row r="38" customFormat="false" ht="15" hidden="false" customHeight="false" outlineLevel="0" collapsed="false">
      <c r="A38" s="29" t="n">
        <v>33</v>
      </c>
      <c r="B38" s="162" t="str">
        <f aca="false">'Datos Iniciales'!T41</f>
        <v>Alumno33</v>
      </c>
      <c r="C38" s="158"/>
      <c r="D38" s="161"/>
      <c r="E38" s="159"/>
      <c r="F38" s="159"/>
      <c r="G38" s="159"/>
      <c r="H38" s="159"/>
      <c r="I38" s="159"/>
      <c r="J38" s="159"/>
      <c r="K38" s="159"/>
      <c r="L38" s="159"/>
      <c r="M38" s="160"/>
      <c r="N38" s="158"/>
      <c r="O38" s="161"/>
      <c r="P38" s="159"/>
      <c r="Q38" s="159"/>
      <c r="R38" s="159"/>
      <c r="S38" s="159"/>
      <c r="T38" s="159"/>
      <c r="U38" s="159"/>
      <c r="V38" s="159"/>
      <c r="W38" s="159"/>
      <c r="X38" s="160"/>
      <c r="Y38" s="158"/>
      <c r="Z38" s="161"/>
      <c r="AA38" s="159"/>
      <c r="AB38" s="159"/>
      <c r="AC38" s="159"/>
      <c r="AD38" s="159"/>
      <c r="AE38" s="159"/>
      <c r="AF38" s="159"/>
      <c r="AG38" s="159"/>
      <c r="AH38" s="159"/>
      <c r="AI38" s="160"/>
      <c r="AJ38" s="158"/>
      <c r="AK38" s="161"/>
      <c r="AL38" s="159"/>
      <c r="AM38" s="159"/>
      <c r="AN38" s="159"/>
      <c r="AO38" s="159"/>
      <c r="AP38" s="159"/>
      <c r="AQ38" s="159"/>
      <c r="AR38" s="159"/>
      <c r="AS38" s="159"/>
      <c r="AT38" s="160"/>
      <c r="AU38" s="158"/>
      <c r="AV38" s="161"/>
      <c r="AW38" s="159"/>
      <c r="AX38" s="159"/>
      <c r="AY38" s="159"/>
      <c r="AZ38" s="159"/>
      <c r="BA38" s="159"/>
      <c r="BB38" s="159"/>
      <c r="BC38" s="159"/>
      <c r="BD38" s="159"/>
      <c r="BE38" s="160"/>
      <c r="BF38" s="158"/>
      <c r="BG38" s="161"/>
      <c r="BH38" s="159"/>
      <c r="BI38" s="159"/>
      <c r="BJ38" s="159"/>
      <c r="BK38" s="159"/>
      <c r="BL38" s="159"/>
      <c r="BM38" s="159"/>
      <c r="BN38" s="159"/>
      <c r="BO38" s="159"/>
      <c r="BP38" s="160"/>
      <c r="BQ38" s="158"/>
      <c r="BR38" s="161"/>
      <c r="BS38" s="159"/>
      <c r="BT38" s="159"/>
      <c r="BU38" s="159"/>
      <c r="BV38" s="159"/>
      <c r="BW38" s="159"/>
      <c r="BX38" s="159"/>
      <c r="BY38" s="159"/>
      <c r="BZ38" s="159"/>
      <c r="CA38" s="160"/>
      <c r="CB38" s="158"/>
      <c r="CC38" s="161"/>
      <c r="CD38" s="159"/>
      <c r="CE38" s="159"/>
      <c r="CF38" s="159"/>
      <c r="CG38" s="159"/>
      <c r="CH38" s="159"/>
      <c r="CI38" s="159"/>
      <c r="CJ38" s="159"/>
      <c r="CK38" s="159"/>
      <c r="CL38" s="160"/>
      <c r="CM38" s="158"/>
      <c r="CN38" s="161"/>
      <c r="CO38" s="159"/>
      <c r="CP38" s="159"/>
      <c r="CQ38" s="159"/>
      <c r="CR38" s="159"/>
      <c r="CS38" s="159"/>
      <c r="CT38" s="159"/>
      <c r="CU38" s="159"/>
      <c r="CV38" s="159"/>
      <c r="CW38" s="160"/>
      <c r="CX38" s="158"/>
      <c r="CY38" s="161"/>
      <c r="CZ38" s="159"/>
      <c r="DA38" s="159"/>
      <c r="DB38" s="159"/>
      <c r="DC38" s="159"/>
      <c r="DD38" s="159"/>
      <c r="DE38" s="159"/>
      <c r="DF38" s="159"/>
      <c r="DG38" s="159"/>
      <c r="DH38" s="160"/>
      <c r="DI38" s="158"/>
      <c r="DJ38" s="161"/>
      <c r="DK38" s="159"/>
      <c r="DL38" s="159"/>
      <c r="DM38" s="159"/>
      <c r="DN38" s="159"/>
      <c r="DO38" s="159"/>
      <c r="DP38" s="159"/>
      <c r="DQ38" s="159"/>
      <c r="DR38" s="159"/>
      <c r="DS38" s="160"/>
      <c r="DT38" s="158"/>
      <c r="DU38" s="161"/>
      <c r="DV38" s="159"/>
      <c r="DW38" s="159"/>
      <c r="DX38" s="159"/>
      <c r="DY38" s="159"/>
      <c r="DZ38" s="159"/>
      <c r="EA38" s="159"/>
      <c r="EB38" s="159"/>
      <c r="EC38" s="159"/>
      <c r="ED38" s="160"/>
      <c r="EE38" s="158"/>
      <c r="EF38" s="161"/>
      <c r="EG38" s="159"/>
      <c r="EH38" s="159"/>
      <c r="EI38" s="159"/>
      <c r="EJ38" s="159"/>
      <c r="EK38" s="159"/>
      <c r="EL38" s="159"/>
      <c r="EM38" s="159"/>
      <c r="EN38" s="159"/>
      <c r="EO38" s="160"/>
      <c r="EP38" s="158"/>
      <c r="EQ38" s="161"/>
      <c r="ER38" s="159"/>
      <c r="ES38" s="159"/>
      <c r="ET38" s="159"/>
      <c r="EU38" s="159"/>
      <c r="EV38" s="159"/>
      <c r="EW38" s="159"/>
      <c r="EX38" s="159"/>
      <c r="EY38" s="159"/>
      <c r="EZ38" s="160"/>
      <c r="FA38" s="158"/>
      <c r="FB38" s="161"/>
      <c r="FC38" s="159"/>
      <c r="FD38" s="159"/>
      <c r="FE38" s="159"/>
      <c r="FF38" s="159"/>
      <c r="FG38" s="159"/>
      <c r="FH38" s="159"/>
      <c r="FI38" s="159"/>
      <c r="FJ38" s="159"/>
      <c r="FK38" s="160"/>
      <c r="FL38" s="158"/>
      <c r="FM38" s="161"/>
      <c r="FN38" s="159"/>
      <c r="FO38" s="159"/>
      <c r="FP38" s="159"/>
      <c r="FQ38" s="159"/>
      <c r="FR38" s="159"/>
      <c r="FS38" s="159"/>
      <c r="FT38" s="159"/>
      <c r="FU38" s="159"/>
      <c r="FV38" s="160"/>
      <c r="FW38" s="158"/>
      <c r="FX38" s="161"/>
      <c r="FY38" s="159"/>
      <c r="FZ38" s="159"/>
      <c r="GA38" s="159"/>
      <c r="GB38" s="159"/>
      <c r="GC38" s="159"/>
      <c r="GD38" s="159"/>
      <c r="GE38" s="159"/>
      <c r="GF38" s="159"/>
      <c r="GG38" s="160"/>
      <c r="GH38" s="158"/>
      <c r="GI38" s="161"/>
      <c r="GJ38" s="159"/>
      <c r="GK38" s="159"/>
      <c r="GL38" s="159"/>
      <c r="GM38" s="159"/>
      <c r="GN38" s="159"/>
      <c r="GO38" s="159"/>
      <c r="GP38" s="159"/>
      <c r="GQ38" s="159"/>
      <c r="GR38" s="160"/>
      <c r="GS38" s="158"/>
      <c r="GT38" s="161"/>
      <c r="GU38" s="159"/>
      <c r="GV38" s="159"/>
      <c r="GW38" s="159"/>
      <c r="GX38" s="159"/>
      <c r="GY38" s="159"/>
      <c r="GZ38" s="159"/>
      <c r="HA38" s="159"/>
      <c r="HB38" s="159"/>
      <c r="HC38" s="160"/>
      <c r="HD38" s="158"/>
      <c r="HE38" s="161"/>
      <c r="HF38" s="159"/>
      <c r="HG38" s="159"/>
      <c r="HH38" s="159"/>
      <c r="HI38" s="159"/>
      <c r="HJ38" s="159"/>
      <c r="HK38" s="159"/>
      <c r="HL38" s="159"/>
      <c r="HM38" s="159"/>
      <c r="HN38" s="160"/>
      <c r="HO38" s="158"/>
      <c r="HP38" s="161"/>
      <c r="HQ38" s="159"/>
      <c r="HR38" s="159"/>
      <c r="HS38" s="159"/>
      <c r="HT38" s="159"/>
      <c r="HU38" s="159"/>
      <c r="HV38" s="159"/>
      <c r="HW38" s="159"/>
      <c r="HX38" s="159"/>
      <c r="HY38" s="160"/>
      <c r="HZ38" s="158"/>
      <c r="IA38" s="161"/>
      <c r="IB38" s="159"/>
      <c r="IC38" s="159"/>
      <c r="ID38" s="159"/>
      <c r="IE38" s="159"/>
      <c r="IF38" s="159"/>
      <c r="IG38" s="159"/>
      <c r="IH38" s="159"/>
      <c r="II38" s="159"/>
      <c r="IJ38" s="160"/>
      <c r="IK38" s="158"/>
      <c r="IL38" s="161"/>
      <c r="IM38" s="159"/>
      <c r="IN38" s="159"/>
      <c r="IO38" s="159"/>
      <c r="IP38" s="159"/>
      <c r="IQ38" s="159"/>
      <c r="IR38" s="159"/>
      <c r="IS38" s="159"/>
      <c r="IT38" s="159"/>
      <c r="IU38" s="160"/>
      <c r="IV38" s="158"/>
      <c r="IW38" s="161"/>
      <c r="IX38" s="159"/>
      <c r="IY38" s="159"/>
      <c r="IZ38" s="159"/>
      <c r="JA38" s="159"/>
      <c r="JB38" s="159"/>
      <c r="JC38" s="159"/>
      <c r="JD38" s="159"/>
      <c r="JE38" s="159"/>
      <c r="JF38" s="160"/>
      <c r="JG38" s="158"/>
      <c r="JH38" s="161"/>
      <c r="JI38" s="159"/>
      <c r="JJ38" s="159"/>
      <c r="JK38" s="159"/>
      <c r="JL38" s="159"/>
      <c r="JM38" s="159"/>
      <c r="JN38" s="159"/>
      <c r="JO38" s="159"/>
      <c r="JP38" s="159"/>
      <c r="JQ38" s="160"/>
      <c r="JR38" s="158"/>
      <c r="JS38" s="161"/>
      <c r="JT38" s="159"/>
      <c r="JU38" s="159"/>
      <c r="JV38" s="159"/>
      <c r="JW38" s="159"/>
      <c r="JX38" s="159"/>
      <c r="JY38" s="159"/>
      <c r="JZ38" s="159"/>
      <c r="KA38" s="159"/>
      <c r="KB38" s="160"/>
      <c r="KC38" s="158"/>
      <c r="KD38" s="161"/>
      <c r="KE38" s="159"/>
      <c r="KF38" s="159"/>
      <c r="KG38" s="159"/>
      <c r="KH38" s="159"/>
      <c r="KI38" s="159"/>
      <c r="KJ38" s="159"/>
      <c r="KK38" s="159"/>
      <c r="KL38" s="159"/>
      <c r="KM38" s="160"/>
      <c r="KN38" s="158"/>
      <c r="KO38" s="161"/>
      <c r="KP38" s="159"/>
      <c r="KQ38" s="159"/>
      <c r="KR38" s="159"/>
      <c r="KS38" s="159"/>
      <c r="KT38" s="159"/>
      <c r="KU38" s="159"/>
      <c r="KV38" s="159"/>
      <c r="KW38" s="159"/>
      <c r="KX38" s="160"/>
      <c r="KY38" s="158"/>
      <c r="KZ38" s="161"/>
      <c r="LA38" s="159"/>
      <c r="LB38" s="159"/>
      <c r="LC38" s="159"/>
      <c r="LD38" s="159"/>
      <c r="LE38" s="159"/>
      <c r="LF38" s="159"/>
      <c r="LG38" s="159"/>
      <c r="LH38" s="159"/>
      <c r="LI38" s="160"/>
      <c r="LJ38" s="158"/>
      <c r="LK38" s="161"/>
      <c r="LL38" s="159"/>
      <c r="LM38" s="159"/>
      <c r="LN38" s="159"/>
      <c r="LO38" s="159"/>
      <c r="LP38" s="159"/>
      <c r="LQ38" s="159"/>
      <c r="LR38" s="159"/>
      <c r="LS38" s="159"/>
      <c r="LT38" s="160"/>
      <c r="LW38" s="158"/>
      <c r="LX38" s="155" t="n">
        <f aca="false">D192+O192+Z192+AK192+AV192+BG192+BR192+CC192+CN192+CY192+DJ192+DU192+EF192+EQ192+FB192+FM192+FX192+GI192+GT192+HE192+HP192+IA192+IL192+IW192+JH192+JS192+KD192+KO192+KZ192+LK192</f>
        <v>0</v>
      </c>
      <c r="LY38" s="156" t="n">
        <f aca="false">E192+P192+AA192+AL192+AW192+BH192+BS192+CD192+CO192+CZ192+DK192+DV192+EG192+ER192+FC192+FN192+FY192+GJ192+GU192+HF192+HQ192+IB192+IM192+IX192+JI192+JT192+KE192+KP192+LA192+LL192</f>
        <v>0</v>
      </c>
      <c r="LZ38" s="156" t="n">
        <f aca="false">F192+Q192+AB192+AM192+AX192+BI192+BT192+CE192+CP192+DA192+DL192+DW192+EH192+ES192+FD192+FO192+FZ192+GK192+GV192+HG192+HR192+IC192+IN192+IY192+JJ192+JU192+KF192+KQ192+LB192+LM192</f>
        <v>0</v>
      </c>
      <c r="MA38" s="156" t="n">
        <f aca="false">G192+R192+AC192+AN192+AY192+BJ192+BU192+CF192+CQ192+DB192+DM192+DX192+EI192+ET192+FE192+FP192+GA192+GL192+GW192+HH192+HS192+ID192+IO192+IZ192+JK192+JV192+KG192+KR192+LC192+LN192</f>
        <v>0</v>
      </c>
      <c r="MB38" s="156" t="n">
        <f aca="false">H192+S192+AD192+AO192+AZ192+BK192+BV192+CG192+CR192+DC192+DN192+DY192+EJ192+EU192+FF192+FQ192+GB192+GM192+GX192+HI192+HT192+IE192+IP192+JA192+JL192+JW192+KH192+KS192+LD192+LO192</f>
        <v>0</v>
      </c>
      <c r="MC38" s="156" t="n">
        <f aca="false">I192+T192+AE192+AP192+BA192+BL192+BW192+CH192+CS192+DD192+DO192+DZ192+EK192+EV192+FG192+FR192+GC192+GN192+GY192+HJ192+HU192+IF192+IQ192+JB192+JM192+JX192+KI192+KT192+LE192+LP192</f>
        <v>0</v>
      </c>
      <c r="MD38" s="156" t="n">
        <f aca="false">J192+U192+AF192+AQ192+BB192+BM192+BX192+CI192+CT192+DE192+DP192+EA192+EL192+EW192+FH192+FS192+GD192+GO192+GZ192+HK192+HV192+IG192+IR192+JC192+JN192+JY192+KJ192+KU192+LF192+LQ192</f>
        <v>0</v>
      </c>
      <c r="ME38" s="156" t="n">
        <f aca="false">K192+V192+AG192+AR192+BC192+BN192+BY192+CJ192+CU192+DF192+DQ192+EB192+EM192+EX192+FI192+FT192+GE192+GP192+HA192+HL192+HW192+IH192+IS192+JD192+JO192+JZ192+KK192+KV192+LG192+LR192</f>
        <v>0</v>
      </c>
      <c r="MF38" s="156" t="n">
        <f aca="false">L192+W192+AH192+AS192+BD192+BO192+BZ192+CK192+CV192+DG192+DR192+EC192+EN192+EY192+FJ192+FU192+GF192+GQ192+HB192+HM192+HX192+II192+IT192+JE192+JP192+KA192+KL192+KW192+LH192+LS192</f>
        <v>0</v>
      </c>
      <c r="MG38" s="157" t="n">
        <f aca="false">M192+X192+AI192+AT192+BE192+BP192+CA192+CL192+CW192+DH192+DS192+ED192+EO192+EZ192+FK192+FV192+GG192+GR192+HC192+HN192+HY192+IJ192+IU192+JF192+JQ192+KB192+KM192+KX192+LI192+LT192</f>
        <v>0</v>
      </c>
    </row>
    <row r="39" customFormat="false" ht="15" hidden="false" customHeight="false" outlineLevel="0" collapsed="false">
      <c r="A39" s="29" t="n">
        <v>34</v>
      </c>
      <c r="B39" s="162" t="str">
        <f aca="false">'Datos Iniciales'!T42</f>
        <v>Alumno34</v>
      </c>
      <c r="C39" s="158"/>
      <c r="D39" s="161"/>
      <c r="E39" s="159"/>
      <c r="F39" s="159"/>
      <c r="G39" s="159"/>
      <c r="H39" s="159"/>
      <c r="I39" s="159"/>
      <c r="J39" s="159"/>
      <c r="K39" s="159"/>
      <c r="L39" s="159"/>
      <c r="M39" s="160"/>
      <c r="N39" s="158"/>
      <c r="O39" s="161"/>
      <c r="P39" s="159"/>
      <c r="Q39" s="159"/>
      <c r="R39" s="159"/>
      <c r="S39" s="159"/>
      <c r="T39" s="159"/>
      <c r="U39" s="159"/>
      <c r="V39" s="159"/>
      <c r="W39" s="159"/>
      <c r="X39" s="160"/>
      <c r="Y39" s="158"/>
      <c r="Z39" s="161"/>
      <c r="AA39" s="159"/>
      <c r="AB39" s="159"/>
      <c r="AC39" s="159"/>
      <c r="AD39" s="159"/>
      <c r="AE39" s="159"/>
      <c r="AF39" s="159"/>
      <c r="AG39" s="159"/>
      <c r="AH39" s="159"/>
      <c r="AI39" s="160"/>
      <c r="AJ39" s="158"/>
      <c r="AK39" s="161"/>
      <c r="AL39" s="159"/>
      <c r="AM39" s="159"/>
      <c r="AN39" s="159"/>
      <c r="AO39" s="159"/>
      <c r="AP39" s="159"/>
      <c r="AQ39" s="159"/>
      <c r="AR39" s="159"/>
      <c r="AS39" s="159"/>
      <c r="AT39" s="160"/>
      <c r="AU39" s="158"/>
      <c r="AV39" s="161"/>
      <c r="AW39" s="159"/>
      <c r="AX39" s="159"/>
      <c r="AY39" s="159"/>
      <c r="AZ39" s="159"/>
      <c r="BA39" s="159"/>
      <c r="BB39" s="159"/>
      <c r="BC39" s="159"/>
      <c r="BD39" s="159"/>
      <c r="BE39" s="160"/>
      <c r="BF39" s="158"/>
      <c r="BG39" s="161"/>
      <c r="BH39" s="159"/>
      <c r="BI39" s="159"/>
      <c r="BJ39" s="159"/>
      <c r="BK39" s="159"/>
      <c r="BL39" s="159"/>
      <c r="BM39" s="159"/>
      <c r="BN39" s="159"/>
      <c r="BO39" s="159"/>
      <c r="BP39" s="160"/>
      <c r="BQ39" s="158"/>
      <c r="BR39" s="161"/>
      <c r="BS39" s="159"/>
      <c r="BT39" s="159"/>
      <c r="BU39" s="159"/>
      <c r="BV39" s="159"/>
      <c r="BW39" s="159"/>
      <c r="BX39" s="159"/>
      <c r="BY39" s="159"/>
      <c r="BZ39" s="159"/>
      <c r="CA39" s="160"/>
      <c r="CB39" s="158"/>
      <c r="CC39" s="161"/>
      <c r="CD39" s="159"/>
      <c r="CE39" s="159"/>
      <c r="CF39" s="159"/>
      <c r="CG39" s="159"/>
      <c r="CH39" s="159"/>
      <c r="CI39" s="159"/>
      <c r="CJ39" s="159"/>
      <c r="CK39" s="159"/>
      <c r="CL39" s="160"/>
      <c r="CM39" s="158"/>
      <c r="CN39" s="161"/>
      <c r="CO39" s="159"/>
      <c r="CP39" s="159"/>
      <c r="CQ39" s="159"/>
      <c r="CR39" s="159"/>
      <c r="CS39" s="159"/>
      <c r="CT39" s="159"/>
      <c r="CU39" s="159"/>
      <c r="CV39" s="159"/>
      <c r="CW39" s="160"/>
      <c r="CX39" s="158"/>
      <c r="CY39" s="161"/>
      <c r="CZ39" s="159"/>
      <c r="DA39" s="159"/>
      <c r="DB39" s="159"/>
      <c r="DC39" s="159"/>
      <c r="DD39" s="159"/>
      <c r="DE39" s="159"/>
      <c r="DF39" s="159"/>
      <c r="DG39" s="159"/>
      <c r="DH39" s="160"/>
      <c r="DI39" s="158"/>
      <c r="DJ39" s="161"/>
      <c r="DK39" s="159"/>
      <c r="DL39" s="159"/>
      <c r="DM39" s="159"/>
      <c r="DN39" s="159"/>
      <c r="DO39" s="159"/>
      <c r="DP39" s="159"/>
      <c r="DQ39" s="159"/>
      <c r="DR39" s="159"/>
      <c r="DS39" s="160"/>
      <c r="DT39" s="158"/>
      <c r="DU39" s="161"/>
      <c r="DV39" s="159"/>
      <c r="DW39" s="159"/>
      <c r="DX39" s="159"/>
      <c r="DY39" s="159"/>
      <c r="DZ39" s="159"/>
      <c r="EA39" s="159"/>
      <c r="EB39" s="159"/>
      <c r="EC39" s="159"/>
      <c r="ED39" s="160"/>
      <c r="EE39" s="158"/>
      <c r="EF39" s="161"/>
      <c r="EG39" s="159"/>
      <c r="EH39" s="159"/>
      <c r="EI39" s="159"/>
      <c r="EJ39" s="159"/>
      <c r="EK39" s="159"/>
      <c r="EL39" s="159"/>
      <c r="EM39" s="159"/>
      <c r="EN39" s="159"/>
      <c r="EO39" s="160"/>
      <c r="EP39" s="158"/>
      <c r="EQ39" s="161"/>
      <c r="ER39" s="159"/>
      <c r="ES39" s="159"/>
      <c r="ET39" s="159"/>
      <c r="EU39" s="159"/>
      <c r="EV39" s="159"/>
      <c r="EW39" s="159"/>
      <c r="EX39" s="159"/>
      <c r="EY39" s="159"/>
      <c r="EZ39" s="160"/>
      <c r="FA39" s="158"/>
      <c r="FB39" s="161"/>
      <c r="FC39" s="159"/>
      <c r="FD39" s="159"/>
      <c r="FE39" s="159"/>
      <c r="FF39" s="159"/>
      <c r="FG39" s="159"/>
      <c r="FH39" s="159"/>
      <c r="FI39" s="159"/>
      <c r="FJ39" s="159"/>
      <c r="FK39" s="160"/>
      <c r="FL39" s="158"/>
      <c r="FM39" s="161"/>
      <c r="FN39" s="159"/>
      <c r="FO39" s="159"/>
      <c r="FP39" s="159"/>
      <c r="FQ39" s="159"/>
      <c r="FR39" s="159"/>
      <c r="FS39" s="159"/>
      <c r="FT39" s="159"/>
      <c r="FU39" s="159"/>
      <c r="FV39" s="160"/>
      <c r="FW39" s="158"/>
      <c r="FX39" s="161"/>
      <c r="FY39" s="159"/>
      <c r="FZ39" s="159"/>
      <c r="GA39" s="159"/>
      <c r="GB39" s="159"/>
      <c r="GC39" s="159"/>
      <c r="GD39" s="159"/>
      <c r="GE39" s="159"/>
      <c r="GF39" s="159"/>
      <c r="GG39" s="160"/>
      <c r="GH39" s="158"/>
      <c r="GI39" s="161"/>
      <c r="GJ39" s="159"/>
      <c r="GK39" s="159"/>
      <c r="GL39" s="159"/>
      <c r="GM39" s="159"/>
      <c r="GN39" s="159"/>
      <c r="GO39" s="159"/>
      <c r="GP39" s="159"/>
      <c r="GQ39" s="159"/>
      <c r="GR39" s="160"/>
      <c r="GS39" s="158"/>
      <c r="GT39" s="161"/>
      <c r="GU39" s="159"/>
      <c r="GV39" s="159"/>
      <c r="GW39" s="159"/>
      <c r="GX39" s="159"/>
      <c r="GY39" s="159"/>
      <c r="GZ39" s="159"/>
      <c r="HA39" s="159"/>
      <c r="HB39" s="159"/>
      <c r="HC39" s="160"/>
      <c r="HD39" s="158"/>
      <c r="HE39" s="161"/>
      <c r="HF39" s="159"/>
      <c r="HG39" s="159"/>
      <c r="HH39" s="159"/>
      <c r="HI39" s="159"/>
      <c r="HJ39" s="159"/>
      <c r="HK39" s="159"/>
      <c r="HL39" s="159"/>
      <c r="HM39" s="159"/>
      <c r="HN39" s="160"/>
      <c r="HO39" s="158"/>
      <c r="HP39" s="161"/>
      <c r="HQ39" s="159"/>
      <c r="HR39" s="159"/>
      <c r="HS39" s="159"/>
      <c r="HT39" s="159"/>
      <c r="HU39" s="159"/>
      <c r="HV39" s="159"/>
      <c r="HW39" s="159"/>
      <c r="HX39" s="159"/>
      <c r="HY39" s="160"/>
      <c r="HZ39" s="158"/>
      <c r="IA39" s="161"/>
      <c r="IB39" s="159"/>
      <c r="IC39" s="159"/>
      <c r="ID39" s="159"/>
      <c r="IE39" s="159"/>
      <c r="IF39" s="159"/>
      <c r="IG39" s="159"/>
      <c r="IH39" s="159"/>
      <c r="II39" s="159"/>
      <c r="IJ39" s="160"/>
      <c r="IK39" s="158"/>
      <c r="IL39" s="161"/>
      <c r="IM39" s="159"/>
      <c r="IN39" s="159"/>
      <c r="IO39" s="159"/>
      <c r="IP39" s="159"/>
      <c r="IQ39" s="159"/>
      <c r="IR39" s="159"/>
      <c r="IS39" s="159"/>
      <c r="IT39" s="159"/>
      <c r="IU39" s="160"/>
      <c r="IV39" s="158"/>
      <c r="IW39" s="161"/>
      <c r="IX39" s="159"/>
      <c r="IY39" s="159"/>
      <c r="IZ39" s="159"/>
      <c r="JA39" s="159"/>
      <c r="JB39" s="159"/>
      <c r="JC39" s="159"/>
      <c r="JD39" s="159"/>
      <c r="JE39" s="159"/>
      <c r="JF39" s="160"/>
      <c r="JG39" s="158"/>
      <c r="JH39" s="161"/>
      <c r="JI39" s="159"/>
      <c r="JJ39" s="159"/>
      <c r="JK39" s="159"/>
      <c r="JL39" s="159"/>
      <c r="JM39" s="159"/>
      <c r="JN39" s="159"/>
      <c r="JO39" s="159"/>
      <c r="JP39" s="159"/>
      <c r="JQ39" s="160"/>
      <c r="JR39" s="158"/>
      <c r="JS39" s="161"/>
      <c r="JT39" s="159"/>
      <c r="JU39" s="159"/>
      <c r="JV39" s="159"/>
      <c r="JW39" s="159"/>
      <c r="JX39" s="159"/>
      <c r="JY39" s="159"/>
      <c r="JZ39" s="159"/>
      <c r="KA39" s="159"/>
      <c r="KB39" s="160"/>
      <c r="KC39" s="158"/>
      <c r="KD39" s="161"/>
      <c r="KE39" s="159"/>
      <c r="KF39" s="159"/>
      <c r="KG39" s="159"/>
      <c r="KH39" s="159"/>
      <c r="KI39" s="159"/>
      <c r="KJ39" s="159"/>
      <c r="KK39" s="159"/>
      <c r="KL39" s="159"/>
      <c r="KM39" s="160"/>
      <c r="KN39" s="158"/>
      <c r="KO39" s="161"/>
      <c r="KP39" s="159"/>
      <c r="KQ39" s="159"/>
      <c r="KR39" s="159"/>
      <c r="KS39" s="159"/>
      <c r="KT39" s="159"/>
      <c r="KU39" s="159"/>
      <c r="KV39" s="159"/>
      <c r="KW39" s="159"/>
      <c r="KX39" s="160"/>
      <c r="KY39" s="158"/>
      <c r="KZ39" s="161"/>
      <c r="LA39" s="159"/>
      <c r="LB39" s="159"/>
      <c r="LC39" s="159"/>
      <c r="LD39" s="159"/>
      <c r="LE39" s="159"/>
      <c r="LF39" s="159"/>
      <c r="LG39" s="159"/>
      <c r="LH39" s="159"/>
      <c r="LI39" s="160"/>
      <c r="LJ39" s="158"/>
      <c r="LK39" s="161"/>
      <c r="LL39" s="159"/>
      <c r="LM39" s="159"/>
      <c r="LN39" s="159"/>
      <c r="LO39" s="159"/>
      <c r="LP39" s="159"/>
      <c r="LQ39" s="159"/>
      <c r="LR39" s="159"/>
      <c r="LS39" s="159"/>
      <c r="LT39" s="160"/>
      <c r="LW39" s="158"/>
      <c r="LX39" s="155" t="n">
        <f aca="false">D193+O193+Z193+AK193+AV193+BG193+BR193+CC193+CN193+CY193+DJ193+DU193+EF193+EQ193+FB193+FM193+FX193+GI193+GT193+HE193+HP193+IA193+IL193+IW193+JH193+JS193+KD193+KO193+KZ193+LK193</f>
        <v>0</v>
      </c>
      <c r="LY39" s="156" t="n">
        <f aca="false">E193+P193+AA193+AL193+AW193+BH193+BS193+CD193+CO193+CZ193+DK193+DV193+EG193+ER193+FC193+FN193+FY193+GJ193+GU193+HF193+HQ193+IB193+IM193+IX193+JI193+JT193+KE193+KP193+LA193+LL193</f>
        <v>0</v>
      </c>
      <c r="LZ39" s="156" t="n">
        <f aca="false">F193+Q193+AB193+AM193+AX193+BI193+BT193+CE193+CP193+DA193+DL193+DW193+EH193+ES193+FD193+FO193+FZ193+GK193+GV193+HG193+HR193+IC193+IN193+IY193+JJ193+JU193+KF193+KQ193+LB193+LM193</f>
        <v>0</v>
      </c>
      <c r="MA39" s="156" t="n">
        <f aca="false">G193+R193+AC193+AN193+AY193+BJ193+BU193+CF193+CQ193+DB193+DM193+DX193+EI193+ET193+FE193+FP193+GA193+GL193+GW193+HH193+HS193+ID193+IO193+IZ193+JK193+JV193+KG193+KR193+LC193+LN193</f>
        <v>0</v>
      </c>
      <c r="MB39" s="156" t="n">
        <f aca="false">H193+S193+AD193+AO193+AZ193+BK193+BV193+CG193+CR193+DC193+DN193+DY193+EJ193+EU193+FF193+FQ193+GB193+GM193+GX193+HI193+HT193+IE193+IP193+JA193+JL193+JW193+KH193+KS193+LD193+LO193</f>
        <v>0</v>
      </c>
      <c r="MC39" s="156" t="n">
        <f aca="false">I193+T193+AE193+AP193+BA193+BL193+BW193+CH193+CS193+DD193+DO193+DZ193+EK193+EV193+FG193+FR193+GC193+GN193+GY193+HJ193+HU193+IF193+IQ193+JB193+JM193+JX193+KI193+KT193+LE193+LP193</f>
        <v>0</v>
      </c>
      <c r="MD39" s="156" t="n">
        <f aca="false">J193+U193+AF193+AQ193+BB193+BM193+BX193+CI193+CT193+DE193+DP193+EA193+EL193+EW193+FH193+FS193+GD193+GO193+GZ193+HK193+HV193+IG193+IR193+JC193+JN193+JY193+KJ193+KU193+LF193+LQ193</f>
        <v>0</v>
      </c>
      <c r="ME39" s="156" t="n">
        <f aca="false">K193+V193+AG193+AR193+BC193+BN193+BY193+CJ193+CU193+DF193+DQ193+EB193+EM193+EX193+FI193+FT193+GE193+GP193+HA193+HL193+HW193+IH193+IS193+JD193+JO193+JZ193+KK193+KV193+LG193+LR193</f>
        <v>0</v>
      </c>
      <c r="MF39" s="156" t="n">
        <f aca="false">L193+W193+AH193+AS193+BD193+BO193+BZ193+CK193+CV193+DG193+DR193+EC193+EN193+EY193+FJ193+FU193+GF193+GQ193+HB193+HM193+HX193+II193+IT193+JE193+JP193+KA193+KL193+KW193+LH193+LS193</f>
        <v>0</v>
      </c>
      <c r="MG39" s="157" t="n">
        <f aca="false">M193+X193+AI193+AT193+BE193+BP193+CA193+CL193+CW193+DH193+DS193+ED193+EO193+EZ193+FK193+FV193+GG193+GR193+HC193+HN193+HY193+IJ193+IU193+JF193+JQ193+KB193+KM193+KX193+LI193+LT193</f>
        <v>0</v>
      </c>
    </row>
    <row r="40" customFormat="false" ht="15" hidden="false" customHeight="false" outlineLevel="0" collapsed="false">
      <c r="A40" s="29" t="n">
        <v>35</v>
      </c>
      <c r="B40" s="162" t="str">
        <f aca="false">'Datos Iniciales'!T43</f>
        <v>Alumno35</v>
      </c>
      <c r="C40" s="158"/>
      <c r="D40" s="161"/>
      <c r="E40" s="159"/>
      <c r="F40" s="159"/>
      <c r="G40" s="159"/>
      <c r="H40" s="159"/>
      <c r="I40" s="159"/>
      <c r="J40" s="159"/>
      <c r="K40" s="159"/>
      <c r="L40" s="159"/>
      <c r="M40" s="160"/>
      <c r="N40" s="158"/>
      <c r="O40" s="161"/>
      <c r="P40" s="159"/>
      <c r="Q40" s="159"/>
      <c r="R40" s="159"/>
      <c r="S40" s="159"/>
      <c r="T40" s="159"/>
      <c r="U40" s="159"/>
      <c r="V40" s="159"/>
      <c r="W40" s="159"/>
      <c r="X40" s="160"/>
      <c r="Y40" s="158"/>
      <c r="Z40" s="161"/>
      <c r="AA40" s="159"/>
      <c r="AB40" s="159"/>
      <c r="AC40" s="159"/>
      <c r="AD40" s="159"/>
      <c r="AE40" s="159"/>
      <c r="AF40" s="159"/>
      <c r="AG40" s="159"/>
      <c r="AH40" s="159"/>
      <c r="AI40" s="160"/>
      <c r="AJ40" s="158"/>
      <c r="AK40" s="161"/>
      <c r="AL40" s="159"/>
      <c r="AM40" s="159"/>
      <c r="AN40" s="159"/>
      <c r="AO40" s="159"/>
      <c r="AP40" s="159"/>
      <c r="AQ40" s="159"/>
      <c r="AR40" s="159"/>
      <c r="AS40" s="159"/>
      <c r="AT40" s="160"/>
      <c r="AU40" s="158"/>
      <c r="AV40" s="161"/>
      <c r="AW40" s="159"/>
      <c r="AX40" s="159"/>
      <c r="AY40" s="159"/>
      <c r="AZ40" s="159"/>
      <c r="BA40" s="159"/>
      <c r="BB40" s="159"/>
      <c r="BC40" s="159"/>
      <c r="BD40" s="159"/>
      <c r="BE40" s="160"/>
      <c r="BF40" s="158"/>
      <c r="BG40" s="161"/>
      <c r="BH40" s="159"/>
      <c r="BI40" s="159"/>
      <c r="BJ40" s="159"/>
      <c r="BK40" s="159"/>
      <c r="BL40" s="159"/>
      <c r="BM40" s="159"/>
      <c r="BN40" s="159"/>
      <c r="BO40" s="159"/>
      <c r="BP40" s="160"/>
      <c r="BQ40" s="158"/>
      <c r="BR40" s="161"/>
      <c r="BS40" s="159"/>
      <c r="BT40" s="159"/>
      <c r="BU40" s="159"/>
      <c r="BV40" s="159"/>
      <c r="BW40" s="159"/>
      <c r="BX40" s="159"/>
      <c r="BY40" s="159"/>
      <c r="BZ40" s="159"/>
      <c r="CA40" s="160"/>
      <c r="CB40" s="158"/>
      <c r="CC40" s="161"/>
      <c r="CD40" s="159"/>
      <c r="CE40" s="159"/>
      <c r="CF40" s="159"/>
      <c r="CG40" s="159"/>
      <c r="CH40" s="159"/>
      <c r="CI40" s="159"/>
      <c r="CJ40" s="159"/>
      <c r="CK40" s="159"/>
      <c r="CL40" s="160"/>
      <c r="CM40" s="158"/>
      <c r="CN40" s="161"/>
      <c r="CO40" s="159"/>
      <c r="CP40" s="159"/>
      <c r="CQ40" s="159"/>
      <c r="CR40" s="159"/>
      <c r="CS40" s="159"/>
      <c r="CT40" s="159"/>
      <c r="CU40" s="159"/>
      <c r="CV40" s="159"/>
      <c r="CW40" s="160"/>
      <c r="CX40" s="158"/>
      <c r="CY40" s="161"/>
      <c r="CZ40" s="159"/>
      <c r="DA40" s="159"/>
      <c r="DB40" s="159"/>
      <c r="DC40" s="159"/>
      <c r="DD40" s="159"/>
      <c r="DE40" s="159"/>
      <c r="DF40" s="159"/>
      <c r="DG40" s="159"/>
      <c r="DH40" s="160"/>
      <c r="DI40" s="158"/>
      <c r="DJ40" s="161"/>
      <c r="DK40" s="159"/>
      <c r="DL40" s="159"/>
      <c r="DM40" s="159"/>
      <c r="DN40" s="159"/>
      <c r="DO40" s="159"/>
      <c r="DP40" s="159"/>
      <c r="DQ40" s="159"/>
      <c r="DR40" s="159"/>
      <c r="DS40" s="160"/>
      <c r="DT40" s="158"/>
      <c r="DU40" s="161"/>
      <c r="DV40" s="159"/>
      <c r="DW40" s="159"/>
      <c r="DX40" s="159"/>
      <c r="DY40" s="159"/>
      <c r="DZ40" s="159"/>
      <c r="EA40" s="159"/>
      <c r="EB40" s="159"/>
      <c r="EC40" s="159"/>
      <c r="ED40" s="160"/>
      <c r="EE40" s="158"/>
      <c r="EF40" s="161"/>
      <c r="EG40" s="159"/>
      <c r="EH40" s="159"/>
      <c r="EI40" s="159"/>
      <c r="EJ40" s="159"/>
      <c r="EK40" s="159"/>
      <c r="EL40" s="159"/>
      <c r="EM40" s="159"/>
      <c r="EN40" s="159"/>
      <c r="EO40" s="160"/>
      <c r="EP40" s="158"/>
      <c r="EQ40" s="161"/>
      <c r="ER40" s="159"/>
      <c r="ES40" s="159"/>
      <c r="ET40" s="159"/>
      <c r="EU40" s="159"/>
      <c r="EV40" s="159"/>
      <c r="EW40" s="159"/>
      <c r="EX40" s="159"/>
      <c r="EY40" s="159"/>
      <c r="EZ40" s="160"/>
      <c r="FA40" s="158"/>
      <c r="FB40" s="161"/>
      <c r="FC40" s="159"/>
      <c r="FD40" s="159"/>
      <c r="FE40" s="159"/>
      <c r="FF40" s="159"/>
      <c r="FG40" s="159"/>
      <c r="FH40" s="159"/>
      <c r="FI40" s="159"/>
      <c r="FJ40" s="159"/>
      <c r="FK40" s="160"/>
      <c r="FL40" s="158"/>
      <c r="FM40" s="161"/>
      <c r="FN40" s="159"/>
      <c r="FO40" s="159"/>
      <c r="FP40" s="159"/>
      <c r="FQ40" s="159"/>
      <c r="FR40" s="159"/>
      <c r="FS40" s="159"/>
      <c r="FT40" s="159"/>
      <c r="FU40" s="159"/>
      <c r="FV40" s="160"/>
      <c r="FW40" s="158"/>
      <c r="FX40" s="161"/>
      <c r="FY40" s="159"/>
      <c r="FZ40" s="159"/>
      <c r="GA40" s="159"/>
      <c r="GB40" s="159"/>
      <c r="GC40" s="159"/>
      <c r="GD40" s="159"/>
      <c r="GE40" s="159"/>
      <c r="GF40" s="159"/>
      <c r="GG40" s="160"/>
      <c r="GH40" s="158"/>
      <c r="GI40" s="161"/>
      <c r="GJ40" s="159"/>
      <c r="GK40" s="159"/>
      <c r="GL40" s="159"/>
      <c r="GM40" s="159"/>
      <c r="GN40" s="159"/>
      <c r="GO40" s="159"/>
      <c r="GP40" s="159"/>
      <c r="GQ40" s="159"/>
      <c r="GR40" s="160"/>
      <c r="GS40" s="158"/>
      <c r="GT40" s="161"/>
      <c r="GU40" s="159"/>
      <c r="GV40" s="159"/>
      <c r="GW40" s="159"/>
      <c r="GX40" s="159"/>
      <c r="GY40" s="159"/>
      <c r="GZ40" s="159"/>
      <c r="HA40" s="159"/>
      <c r="HB40" s="159"/>
      <c r="HC40" s="160"/>
      <c r="HD40" s="158"/>
      <c r="HE40" s="161"/>
      <c r="HF40" s="159"/>
      <c r="HG40" s="159"/>
      <c r="HH40" s="159"/>
      <c r="HI40" s="159"/>
      <c r="HJ40" s="159"/>
      <c r="HK40" s="159"/>
      <c r="HL40" s="159"/>
      <c r="HM40" s="159"/>
      <c r="HN40" s="160"/>
      <c r="HO40" s="158"/>
      <c r="HP40" s="161"/>
      <c r="HQ40" s="159"/>
      <c r="HR40" s="159"/>
      <c r="HS40" s="159"/>
      <c r="HT40" s="159"/>
      <c r="HU40" s="159"/>
      <c r="HV40" s="159"/>
      <c r="HW40" s="159"/>
      <c r="HX40" s="159"/>
      <c r="HY40" s="160"/>
      <c r="HZ40" s="158"/>
      <c r="IA40" s="161"/>
      <c r="IB40" s="159"/>
      <c r="IC40" s="159"/>
      <c r="ID40" s="159"/>
      <c r="IE40" s="159"/>
      <c r="IF40" s="159"/>
      <c r="IG40" s="159"/>
      <c r="IH40" s="159"/>
      <c r="II40" s="159"/>
      <c r="IJ40" s="160"/>
      <c r="IK40" s="158"/>
      <c r="IL40" s="161"/>
      <c r="IM40" s="159"/>
      <c r="IN40" s="159"/>
      <c r="IO40" s="159"/>
      <c r="IP40" s="159"/>
      <c r="IQ40" s="159"/>
      <c r="IR40" s="159"/>
      <c r="IS40" s="159"/>
      <c r="IT40" s="159"/>
      <c r="IU40" s="160"/>
      <c r="IV40" s="158"/>
      <c r="IW40" s="161"/>
      <c r="IX40" s="159"/>
      <c r="IY40" s="159"/>
      <c r="IZ40" s="159"/>
      <c r="JA40" s="159"/>
      <c r="JB40" s="159"/>
      <c r="JC40" s="159"/>
      <c r="JD40" s="159"/>
      <c r="JE40" s="159"/>
      <c r="JF40" s="160"/>
      <c r="JG40" s="158"/>
      <c r="JH40" s="161"/>
      <c r="JI40" s="159"/>
      <c r="JJ40" s="159"/>
      <c r="JK40" s="159"/>
      <c r="JL40" s="159"/>
      <c r="JM40" s="159"/>
      <c r="JN40" s="159"/>
      <c r="JO40" s="159"/>
      <c r="JP40" s="159"/>
      <c r="JQ40" s="160"/>
      <c r="JR40" s="158"/>
      <c r="JS40" s="161"/>
      <c r="JT40" s="159"/>
      <c r="JU40" s="159"/>
      <c r="JV40" s="159"/>
      <c r="JW40" s="159"/>
      <c r="JX40" s="159"/>
      <c r="JY40" s="159"/>
      <c r="JZ40" s="159"/>
      <c r="KA40" s="159"/>
      <c r="KB40" s="160"/>
      <c r="KC40" s="158"/>
      <c r="KD40" s="161"/>
      <c r="KE40" s="159"/>
      <c r="KF40" s="159"/>
      <c r="KG40" s="159"/>
      <c r="KH40" s="159"/>
      <c r="KI40" s="159"/>
      <c r="KJ40" s="159"/>
      <c r="KK40" s="159"/>
      <c r="KL40" s="159"/>
      <c r="KM40" s="160"/>
      <c r="KN40" s="158"/>
      <c r="KO40" s="161"/>
      <c r="KP40" s="159"/>
      <c r="KQ40" s="159"/>
      <c r="KR40" s="159"/>
      <c r="KS40" s="159"/>
      <c r="KT40" s="159"/>
      <c r="KU40" s="159"/>
      <c r="KV40" s="159"/>
      <c r="KW40" s="159"/>
      <c r="KX40" s="160"/>
      <c r="KY40" s="158"/>
      <c r="KZ40" s="161"/>
      <c r="LA40" s="159"/>
      <c r="LB40" s="159"/>
      <c r="LC40" s="159"/>
      <c r="LD40" s="159"/>
      <c r="LE40" s="159"/>
      <c r="LF40" s="159"/>
      <c r="LG40" s="159"/>
      <c r="LH40" s="159"/>
      <c r="LI40" s="160"/>
      <c r="LJ40" s="158"/>
      <c r="LK40" s="161"/>
      <c r="LL40" s="159"/>
      <c r="LM40" s="159"/>
      <c r="LN40" s="159"/>
      <c r="LO40" s="159"/>
      <c r="LP40" s="159"/>
      <c r="LQ40" s="159"/>
      <c r="LR40" s="159"/>
      <c r="LS40" s="159"/>
      <c r="LT40" s="160"/>
      <c r="LW40" s="158"/>
      <c r="LX40" s="155" t="n">
        <f aca="false">D194+O194+Z194+AK194+AV194+BG194+BR194+CC194+CN194+CY194+DJ194+DU194+EF194+EQ194+FB194+FM194+FX194+GI194+GT194+HE194+HP194+IA194+IL194+IW194+JH194+JS194+KD194+KO194+KZ194+LK194</f>
        <v>0</v>
      </c>
      <c r="LY40" s="156" t="n">
        <f aca="false">E194+P194+AA194+AL194+AW194+BH194+BS194+CD194+CO194+CZ194+DK194+DV194+EG194+ER194+FC194+FN194+FY194+GJ194+GU194+HF194+HQ194+IB194+IM194+IX194+JI194+JT194+KE194+KP194+LA194+LL194</f>
        <v>0</v>
      </c>
      <c r="LZ40" s="156" t="n">
        <f aca="false">F194+Q194+AB194+AM194+AX194+BI194+BT194+CE194+CP194+DA194+DL194+DW194+EH194+ES194+FD194+FO194+FZ194+GK194+GV194+HG194+HR194+IC194+IN194+IY194+JJ194+JU194+KF194+KQ194+LB194+LM194</f>
        <v>0</v>
      </c>
      <c r="MA40" s="156" t="n">
        <f aca="false">G194+R194+AC194+AN194+AY194+BJ194+BU194+CF194+CQ194+DB194+DM194+DX194+EI194+ET194+FE194+FP194+GA194+GL194+GW194+HH194+HS194+ID194+IO194+IZ194+JK194+JV194+KG194+KR194+LC194+LN194</f>
        <v>0</v>
      </c>
      <c r="MB40" s="156" t="n">
        <f aca="false">H194+S194+AD194+AO194+AZ194+BK194+BV194+CG194+CR194+DC194+DN194+DY194+EJ194+EU194+FF194+FQ194+GB194+GM194+GX194+HI194+HT194+IE194+IP194+JA194+JL194+JW194+KH194+KS194+LD194+LO194</f>
        <v>0</v>
      </c>
      <c r="MC40" s="156" t="n">
        <f aca="false">I194+T194+AE194+AP194+BA194+BL194+BW194+CH194+CS194+DD194+DO194+DZ194+EK194+EV194+FG194+FR194+GC194+GN194+GY194+HJ194+HU194+IF194+IQ194+JB194+JM194+JX194+KI194+KT194+LE194+LP194</f>
        <v>0</v>
      </c>
      <c r="MD40" s="156" t="n">
        <f aca="false">J194+U194+AF194+AQ194+BB194+BM194+BX194+CI194+CT194+DE194+DP194+EA194+EL194+EW194+FH194+FS194+GD194+GO194+GZ194+HK194+HV194+IG194+IR194+JC194+JN194+JY194+KJ194+KU194+LF194+LQ194</f>
        <v>0</v>
      </c>
      <c r="ME40" s="156" t="n">
        <f aca="false">K194+V194+AG194+AR194+BC194+BN194+BY194+CJ194+CU194+DF194+DQ194+EB194+EM194+EX194+FI194+FT194+GE194+GP194+HA194+HL194+HW194+IH194+IS194+JD194+JO194+JZ194+KK194+KV194+LG194+LR194</f>
        <v>0</v>
      </c>
      <c r="MF40" s="156" t="n">
        <f aca="false">L194+W194+AH194+AS194+BD194+BO194+BZ194+CK194+CV194+DG194+DR194+EC194+EN194+EY194+FJ194+FU194+GF194+GQ194+HB194+HM194+HX194+II194+IT194+JE194+JP194+KA194+KL194+KW194+LH194+LS194</f>
        <v>0</v>
      </c>
      <c r="MG40" s="157" t="n">
        <f aca="false">M194+X194+AI194+AT194+BE194+BP194+CA194+CL194+CW194+DH194+DS194+ED194+EO194+EZ194+FK194+FV194+GG194+GR194+HC194+HN194+HY194+IJ194+IU194+JF194+JQ194+KB194+KM194+KX194+LI194+LT194</f>
        <v>0</v>
      </c>
    </row>
    <row r="41" customFormat="false" ht="15" hidden="false" customHeight="false" outlineLevel="0" collapsed="false">
      <c r="A41" s="29" t="n">
        <v>36</v>
      </c>
      <c r="B41" s="162" t="str">
        <f aca="false">'Datos Iniciales'!T44</f>
        <v>Alumno36</v>
      </c>
      <c r="C41" s="158"/>
      <c r="D41" s="161"/>
      <c r="E41" s="159"/>
      <c r="F41" s="159"/>
      <c r="G41" s="159"/>
      <c r="H41" s="159"/>
      <c r="I41" s="159"/>
      <c r="J41" s="159"/>
      <c r="K41" s="159"/>
      <c r="L41" s="159"/>
      <c r="M41" s="160"/>
      <c r="N41" s="158"/>
      <c r="O41" s="161"/>
      <c r="P41" s="159"/>
      <c r="Q41" s="159"/>
      <c r="R41" s="159"/>
      <c r="S41" s="159"/>
      <c r="T41" s="159"/>
      <c r="U41" s="159"/>
      <c r="V41" s="159"/>
      <c r="W41" s="159"/>
      <c r="X41" s="160"/>
      <c r="Y41" s="158"/>
      <c r="Z41" s="161"/>
      <c r="AA41" s="159"/>
      <c r="AB41" s="159"/>
      <c r="AC41" s="159"/>
      <c r="AD41" s="159"/>
      <c r="AE41" s="159"/>
      <c r="AF41" s="159"/>
      <c r="AG41" s="159"/>
      <c r="AH41" s="159"/>
      <c r="AI41" s="160"/>
      <c r="AJ41" s="158"/>
      <c r="AK41" s="161"/>
      <c r="AL41" s="159"/>
      <c r="AM41" s="159"/>
      <c r="AN41" s="159"/>
      <c r="AO41" s="159"/>
      <c r="AP41" s="159"/>
      <c r="AQ41" s="159"/>
      <c r="AR41" s="159"/>
      <c r="AS41" s="159"/>
      <c r="AT41" s="160"/>
      <c r="AU41" s="158"/>
      <c r="AV41" s="161"/>
      <c r="AW41" s="159"/>
      <c r="AX41" s="159"/>
      <c r="AY41" s="159"/>
      <c r="AZ41" s="159"/>
      <c r="BA41" s="159"/>
      <c r="BB41" s="159"/>
      <c r="BC41" s="159"/>
      <c r="BD41" s="159"/>
      <c r="BE41" s="160"/>
      <c r="BF41" s="158"/>
      <c r="BG41" s="161"/>
      <c r="BH41" s="159"/>
      <c r="BI41" s="159"/>
      <c r="BJ41" s="159"/>
      <c r="BK41" s="159"/>
      <c r="BL41" s="159"/>
      <c r="BM41" s="159"/>
      <c r="BN41" s="159"/>
      <c r="BO41" s="159"/>
      <c r="BP41" s="160"/>
      <c r="BQ41" s="158"/>
      <c r="BR41" s="161"/>
      <c r="BS41" s="159"/>
      <c r="BT41" s="159"/>
      <c r="BU41" s="159"/>
      <c r="BV41" s="159"/>
      <c r="BW41" s="159"/>
      <c r="BX41" s="159"/>
      <c r="BY41" s="159"/>
      <c r="BZ41" s="159"/>
      <c r="CA41" s="160"/>
      <c r="CB41" s="158"/>
      <c r="CC41" s="161"/>
      <c r="CD41" s="159"/>
      <c r="CE41" s="159"/>
      <c r="CF41" s="159"/>
      <c r="CG41" s="159"/>
      <c r="CH41" s="159"/>
      <c r="CI41" s="159"/>
      <c r="CJ41" s="159"/>
      <c r="CK41" s="159"/>
      <c r="CL41" s="160"/>
      <c r="CM41" s="158"/>
      <c r="CN41" s="161"/>
      <c r="CO41" s="159"/>
      <c r="CP41" s="159"/>
      <c r="CQ41" s="159"/>
      <c r="CR41" s="159"/>
      <c r="CS41" s="159"/>
      <c r="CT41" s="159"/>
      <c r="CU41" s="159"/>
      <c r="CV41" s="159"/>
      <c r="CW41" s="160"/>
      <c r="CX41" s="158"/>
      <c r="CY41" s="161"/>
      <c r="CZ41" s="159"/>
      <c r="DA41" s="159"/>
      <c r="DB41" s="159"/>
      <c r="DC41" s="159"/>
      <c r="DD41" s="159"/>
      <c r="DE41" s="159"/>
      <c r="DF41" s="159"/>
      <c r="DG41" s="159"/>
      <c r="DH41" s="160"/>
      <c r="DI41" s="158"/>
      <c r="DJ41" s="161"/>
      <c r="DK41" s="159"/>
      <c r="DL41" s="159"/>
      <c r="DM41" s="159"/>
      <c r="DN41" s="159"/>
      <c r="DO41" s="159"/>
      <c r="DP41" s="159"/>
      <c r="DQ41" s="159"/>
      <c r="DR41" s="159"/>
      <c r="DS41" s="160"/>
      <c r="DT41" s="158"/>
      <c r="DU41" s="161"/>
      <c r="DV41" s="159"/>
      <c r="DW41" s="159"/>
      <c r="DX41" s="159"/>
      <c r="DY41" s="159"/>
      <c r="DZ41" s="159"/>
      <c r="EA41" s="159"/>
      <c r="EB41" s="159"/>
      <c r="EC41" s="159"/>
      <c r="ED41" s="160"/>
      <c r="EE41" s="158"/>
      <c r="EF41" s="161"/>
      <c r="EG41" s="159"/>
      <c r="EH41" s="159"/>
      <c r="EI41" s="159"/>
      <c r="EJ41" s="159"/>
      <c r="EK41" s="159"/>
      <c r="EL41" s="159"/>
      <c r="EM41" s="159"/>
      <c r="EN41" s="159"/>
      <c r="EO41" s="160"/>
      <c r="EP41" s="158"/>
      <c r="EQ41" s="161"/>
      <c r="ER41" s="159"/>
      <c r="ES41" s="159"/>
      <c r="ET41" s="159"/>
      <c r="EU41" s="159"/>
      <c r="EV41" s="159"/>
      <c r="EW41" s="159"/>
      <c r="EX41" s="159"/>
      <c r="EY41" s="159"/>
      <c r="EZ41" s="160"/>
      <c r="FA41" s="158"/>
      <c r="FB41" s="161"/>
      <c r="FC41" s="159"/>
      <c r="FD41" s="159"/>
      <c r="FE41" s="159"/>
      <c r="FF41" s="159"/>
      <c r="FG41" s="159"/>
      <c r="FH41" s="159"/>
      <c r="FI41" s="159"/>
      <c r="FJ41" s="159"/>
      <c r="FK41" s="160"/>
      <c r="FL41" s="158"/>
      <c r="FM41" s="161"/>
      <c r="FN41" s="159"/>
      <c r="FO41" s="159"/>
      <c r="FP41" s="159"/>
      <c r="FQ41" s="159"/>
      <c r="FR41" s="159"/>
      <c r="FS41" s="159"/>
      <c r="FT41" s="159"/>
      <c r="FU41" s="159"/>
      <c r="FV41" s="160"/>
      <c r="FW41" s="158"/>
      <c r="FX41" s="161"/>
      <c r="FY41" s="159"/>
      <c r="FZ41" s="159"/>
      <c r="GA41" s="159"/>
      <c r="GB41" s="159"/>
      <c r="GC41" s="159"/>
      <c r="GD41" s="159"/>
      <c r="GE41" s="159"/>
      <c r="GF41" s="159"/>
      <c r="GG41" s="160"/>
      <c r="GH41" s="158"/>
      <c r="GI41" s="161"/>
      <c r="GJ41" s="159"/>
      <c r="GK41" s="159"/>
      <c r="GL41" s="159"/>
      <c r="GM41" s="159"/>
      <c r="GN41" s="159"/>
      <c r="GO41" s="159"/>
      <c r="GP41" s="159"/>
      <c r="GQ41" s="159"/>
      <c r="GR41" s="160"/>
      <c r="GS41" s="158"/>
      <c r="GT41" s="161"/>
      <c r="GU41" s="159"/>
      <c r="GV41" s="159"/>
      <c r="GW41" s="159"/>
      <c r="GX41" s="159"/>
      <c r="GY41" s="159"/>
      <c r="GZ41" s="159"/>
      <c r="HA41" s="159"/>
      <c r="HB41" s="159"/>
      <c r="HC41" s="160"/>
      <c r="HD41" s="158"/>
      <c r="HE41" s="161"/>
      <c r="HF41" s="159"/>
      <c r="HG41" s="159"/>
      <c r="HH41" s="159"/>
      <c r="HI41" s="159"/>
      <c r="HJ41" s="159"/>
      <c r="HK41" s="159"/>
      <c r="HL41" s="159"/>
      <c r="HM41" s="159"/>
      <c r="HN41" s="160"/>
      <c r="HO41" s="158"/>
      <c r="HP41" s="161"/>
      <c r="HQ41" s="159"/>
      <c r="HR41" s="159"/>
      <c r="HS41" s="159"/>
      <c r="HT41" s="159"/>
      <c r="HU41" s="159"/>
      <c r="HV41" s="159"/>
      <c r="HW41" s="159"/>
      <c r="HX41" s="159"/>
      <c r="HY41" s="160"/>
      <c r="HZ41" s="158"/>
      <c r="IA41" s="161"/>
      <c r="IB41" s="159"/>
      <c r="IC41" s="159"/>
      <c r="ID41" s="159"/>
      <c r="IE41" s="159"/>
      <c r="IF41" s="159"/>
      <c r="IG41" s="159"/>
      <c r="IH41" s="159"/>
      <c r="II41" s="159"/>
      <c r="IJ41" s="160"/>
      <c r="IK41" s="158"/>
      <c r="IL41" s="161"/>
      <c r="IM41" s="159"/>
      <c r="IN41" s="159"/>
      <c r="IO41" s="159"/>
      <c r="IP41" s="159"/>
      <c r="IQ41" s="159"/>
      <c r="IR41" s="159"/>
      <c r="IS41" s="159"/>
      <c r="IT41" s="159"/>
      <c r="IU41" s="160"/>
      <c r="IV41" s="158"/>
      <c r="IW41" s="161"/>
      <c r="IX41" s="159"/>
      <c r="IY41" s="159"/>
      <c r="IZ41" s="159"/>
      <c r="JA41" s="159"/>
      <c r="JB41" s="159"/>
      <c r="JC41" s="159"/>
      <c r="JD41" s="159"/>
      <c r="JE41" s="159"/>
      <c r="JF41" s="160"/>
      <c r="JG41" s="158"/>
      <c r="JH41" s="161"/>
      <c r="JI41" s="159"/>
      <c r="JJ41" s="159"/>
      <c r="JK41" s="159"/>
      <c r="JL41" s="159"/>
      <c r="JM41" s="159"/>
      <c r="JN41" s="159"/>
      <c r="JO41" s="159"/>
      <c r="JP41" s="159"/>
      <c r="JQ41" s="160"/>
      <c r="JR41" s="158"/>
      <c r="JS41" s="161"/>
      <c r="JT41" s="159"/>
      <c r="JU41" s="159"/>
      <c r="JV41" s="159"/>
      <c r="JW41" s="159"/>
      <c r="JX41" s="159"/>
      <c r="JY41" s="159"/>
      <c r="JZ41" s="159"/>
      <c r="KA41" s="159"/>
      <c r="KB41" s="160"/>
      <c r="KC41" s="158"/>
      <c r="KD41" s="161"/>
      <c r="KE41" s="159"/>
      <c r="KF41" s="159"/>
      <c r="KG41" s="159"/>
      <c r="KH41" s="159"/>
      <c r="KI41" s="159"/>
      <c r="KJ41" s="159"/>
      <c r="KK41" s="159"/>
      <c r="KL41" s="159"/>
      <c r="KM41" s="160"/>
      <c r="KN41" s="158"/>
      <c r="KO41" s="161"/>
      <c r="KP41" s="159"/>
      <c r="KQ41" s="159"/>
      <c r="KR41" s="159"/>
      <c r="KS41" s="159"/>
      <c r="KT41" s="159"/>
      <c r="KU41" s="159"/>
      <c r="KV41" s="159"/>
      <c r="KW41" s="159"/>
      <c r="KX41" s="160"/>
      <c r="KY41" s="158"/>
      <c r="KZ41" s="161"/>
      <c r="LA41" s="159"/>
      <c r="LB41" s="159"/>
      <c r="LC41" s="159"/>
      <c r="LD41" s="159"/>
      <c r="LE41" s="159"/>
      <c r="LF41" s="159"/>
      <c r="LG41" s="159"/>
      <c r="LH41" s="159"/>
      <c r="LI41" s="160"/>
      <c r="LJ41" s="158"/>
      <c r="LK41" s="161"/>
      <c r="LL41" s="159"/>
      <c r="LM41" s="159"/>
      <c r="LN41" s="159"/>
      <c r="LO41" s="159"/>
      <c r="LP41" s="159"/>
      <c r="LQ41" s="159"/>
      <c r="LR41" s="159"/>
      <c r="LS41" s="159"/>
      <c r="LT41" s="160"/>
      <c r="LW41" s="158"/>
      <c r="LX41" s="155" t="n">
        <f aca="false">D195+O195+Z195+AK195+AV195+BG195+BR195+CC195+CN195+CY195+DJ195+DU195+EF195+EQ195+FB195+FM195+FX195+GI195+GT195+HE195+HP195+IA195+IL195+IW195+JH195+JS195+KD195+KO195+KZ195+LK195</f>
        <v>0</v>
      </c>
      <c r="LY41" s="156" t="n">
        <f aca="false">E195+P195+AA195+AL195+AW195+BH195+BS195+CD195+CO195+CZ195+DK195+DV195+EG195+ER195+FC195+FN195+FY195+GJ195+GU195+HF195+HQ195+IB195+IM195+IX195+JI195+JT195+KE195+KP195+LA195+LL195</f>
        <v>0</v>
      </c>
      <c r="LZ41" s="156" t="n">
        <f aca="false">F195+Q195+AB195+AM195+AX195+BI195+BT195+CE195+CP195+DA195+DL195+DW195+EH195+ES195+FD195+FO195+FZ195+GK195+GV195+HG195+HR195+IC195+IN195+IY195+JJ195+JU195+KF195+KQ195+LB195+LM195</f>
        <v>0</v>
      </c>
      <c r="MA41" s="156" t="n">
        <f aca="false">G195+R195+AC195+AN195+AY195+BJ195+BU195+CF195+CQ195+DB195+DM195+DX195+EI195+ET195+FE195+FP195+GA195+GL195+GW195+HH195+HS195+ID195+IO195+IZ195+JK195+JV195+KG195+KR195+LC195+LN195</f>
        <v>0</v>
      </c>
      <c r="MB41" s="156" t="n">
        <f aca="false">H195+S195+AD195+AO195+AZ195+BK195+BV195+CG195+CR195+DC195+DN195+DY195+EJ195+EU195+FF195+FQ195+GB195+GM195+GX195+HI195+HT195+IE195+IP195+JA195+JL195+JW195+KH195+KS195+LD195+LO195</f>
        <v>0</v>
      </c>
      <c r="MC41" s="156" t="n">
        <f aca="false">I195+T195+AE195+AP195+BA195+BL195+BW195+CH195+CS195+DD195+DO195+DZ195+EK195+EV195+FG195+FR195+GC195+GN195+GY195+HJ195+HU195+IF195+IQ195+JB195+JM195+JX195+KI195+KT195+LE195+LP195</f>
        <v>0</v>
      </c>
      <c r="MD41" s="156" t="n">
        <f aca="false">J195+U195+AF195+AQ195+BB195+BM195+BX195+CI195+CT195+DE195+DP195+EA195+EL195+EW195+FH195+FS195+GD195+GO195+GZ195+HK195+HV195+IG195+IR195+JC195+JN195+JY195+KJ195+KU195+LF195+LQ195</f>
        <v>0</v>
      </c>
      <c r="ME41" s="156" t="n">
        <f aca="false">K195+V195+AG195+AR195+BC195+BN195+BY195+CJ195+CU195+DF195+DQ195+EB195+EM195+EX195+FI195+FT195+GE195+GP195+HA195+HL195+HW195+IH195+IS195+JD195+JO195+JZ195+KK195+KV195+LG195+LR195</f>
        <v>0</v>
      </c>
      <c r="MF41" s="156" t="n">
        <f aca="false">L195+W195+AH195+AS195+BD195+BO195+BZ195+CK195+CV195+DG195+DR195+EC195+EN195+EY195+FJ195+FU195+GF195+GQ195+HB195+HM195+HX195+II195+IT195+JE195+JP195+KA195+KL195+KW195+LH195+LS195</f>
        <v>0</v>
      </c>
      <c r="MG41" s="157" t="n">
        <f aca="false">M195+X195+AI195+AT195+BE195+BP195+CA195+CL195+CW195+DH195+DS195+ED195+EO195+EZ195+FK195+FV195+GG195+GR195+HC195+HN195+HY195+IJ195+IU195+JF195+JQ195+KB195+KM195+KX195+LI195+LT195</f>
        <v>0</v>
      </c>
    </row>
    <row r="42" customFormat="false" ht="15" hidden="false" customHeight="false" outlineLevel="0" collapsed="false">
      <c r="A42" s="29" t="n">
        <v>37</v>
      </c>
      <c r="B42" s="162" t="str">
        <f aca="false">'Datos Iniciales'!T45</f>
        <v>Alumno37</v>
      </c>
      <c r="C42" s="158"/>
      <c r="D42" s="161"/>
      <c r="E42" s="159"/>
      <c r="F42" s="159"/>
      <c r="G42" s="159"/>
      <c r="H42" s="159"/>
      <c r="I42" s="159"/>
      <c r="J42" s="159"/>
      <c r="K42" s="159"/>
      <c r="L42" s="159"/>
      <c r="M42" s="160"/>
      <c r="N42" s="158"/>
      <c r="O42" s="161"/>
      <c r="P42" s="159"/>
      <c r="Q42" s="159"/>
      <c r="R42" s="159"/>
      <c r="S42" s="159"/>
      <c r="T42" s="159"/>
      <c r="U42" s="159"/>
      <c r="V42" s="159"/>
      <c r="W42" s="159"/>
      <c r="X42" s="160"/>
      <c r="Y42" s="158"/>
      <c r="Z42" s="161"/>
      <c r="AA42" s="159"/>
      <c r="AB42" s="159"/>
      <c r="AC42" s="159"/>
      <c r="AD42" s="159"/>
      <c r="AE42" s="159"/>
      <c r="AF42" s="159"/>
      <c r="AG42" s="159"/>
      <c r="AH42" s="159"/>
      <c r="AI42" s="160"/>
      <c r="AJ42" s="158"/>
      <c r="AK42" s="161"/>
      <c r="AL42" s="159"/>
      <c r="AM42" s="159"/>
      <c r="AN42" s="159"/>
      <c r="AO42" s="159"/>
      <c r="AP42" s="159"/>
      <c r="AQ42" s="159"/>
      <c r="AR42" s="159"/>
      <c r="AS42" s="159"/>
      <c r="AT42" s="160"/>
      <c r="AU42" s="158"/>
      <c r="AV42" s="161"/>
      <c r="AW42" s="159"/>
      <c r="AX42" s="159"/>
      <c r="AY42" s="159"/>
      <c r="AZ42" s="159"/>
      <c r="BA42" s="159"/>
      <c r="BB42" s="159"/>
      <c r="BC42" s="159"/>
      <c r="BD42" s="159"/>
      <c r="BE42" s="160"/>
      <c r="BF42" s="158"/>
      <c r="BG42" s="161"/>
      <c r="BH42" s="159"/>
      <c r="BI42" s="159"/>
      <c r="BJ42" s="159"/>
      <c r="BK42" s="159"/>
      <c r="BL42" s="159"/>
      <c r="BM42" s="159"/>
      <c r="BN42" s="159"/>
      <c r="BO42" s="159"/>
      <c r="BP42" s="160"/>
      <c r="BQ42" s="158"/>
      <c r="BR42" s="161"/>
      <c r="BS42" s="159"/>
      <c r="BT42" s="159"/>
      <c r="BU42" s="159"/>
      <c r="BV42" s="159"/>
      <c r="BW42" s="159"/>
      <c r="BX42" s="159"/>
      <c r="BY42" s="159"/>
      <c r="BZ42" s="159"/>
      <c r="CA42" s="160"/>
      <c r="CB42" s="158"/>
      <c r="CC42" s="161"/>
      <c r="CD42" s="159"/>
      <c r="CE42" s="159"/>
      <c r="CF42" s="159"/>
      <c r="CG42" s="159"/>
      <c r="CH42" s="159"/>
      <c r="CI42" s="159"/>
      <c r="CJ42" s="159"/>
      <c r="CK42" s="159"/>
      <c r="CL42" s="160"/>
      <c r="CM42" s="158"/>
      <c r="CN42" s="161"/>
      <c r="CO42" s="159"/>
      <c r="CP42" s="159"/>
      <c r="CQ42" s="159"/>
      <c r="CR42" s="159"/>
      <c r="CS42" s="159"/>
      <c r="CT42" s="159"/>
      <c r="CU42" s="159"/>
      <c r="CV42" s="159"/>
      <c r="CW42" s="160"/>
      <c r="CX42" s="158"/>
      <c r="CY42" s="161"/>
      <c r="CZ42" s="159"/>
      <c r="DA42" s="159"/>
      <c r="DB42" s="159"/>
      <c r="DC42" s="159"/>
      <c r="DD42" s="159"/>
      <c r="DE42" s="159"/>
      <c r="DF42" s="159"/>
      <c r="DG42" s="159"/>
      <c r="DH42" s="160"/>
      <c r="DI42" s="158"/>
      <c r="DJ42" s="161"/>
      <c r="DK42" s="159"/>
      <c r="DL42" s="159"/>
      <c r="DM42" s="159"/>
      <c r="DN42" s="159"/>
      <c r="DO42" s="159"/>
      <c r="DP42" s="159"/>
      <c r="DQ42" s="159"/>
      <c r="DR42" s="159"/>
      <c r="DS42" s="160"/>
      <c r="DT42" s="158"/>
      <c r="DU42" s="161"/>
      <c r="DV42" s="159"/>
      <c r="DW42" s="159"/>
      <c r="DX42" s="159"/>
      <c r="DY42" s="159"/>
      <c r="DZ42" s="159"/>
      <c r="EA42" s="159"/>
      <c r="EB42" s="159"/>
      <c r="EC42" s="159"/>
      <c r="ED42" s="160"/>
      <c r="EE42" s="158"/>
      <c r="EF42" s="161"/>
      <c r="EG42" s="159"/>
      <c r="EH42" s="159"/>
      <c r="EI42" s="159"/>
      <c r="EJ42" s="159"/>
      <c r="EK42" s="159"/>
      <c r="EL42" s="159"/>
      <c r="EM42" s="159"/>
      <c r="EN42" s="159"/>
      <c r="EO42" s="160"/>
      <c r="EP42" s="158"/>
      <c r="EQ42" s="161"/>
      <c r="ER42" s="159"/>
      <c r="ES42" s="159"/>
      <c r="ET42" s="159"/>
      <c r="EU42" s="159"/>
      <c r="EV42" s="159"/>
      <c r="EW42" s="159"/>
      <c r="EX42" s="159"/>
      <c r="EY42" s="159"/>
      <c r="EZ42" s="160"/>
      <c r="FA42" s="158"/>
      <c r="FB42" s="161"/>
      <c r="FC42" s="159"/>
      <c r="FD42" s="159"/>
      <c r="FE42" s="159"/>
      <c r="FF42" s="159"/>
      <c r="FG42" s="159"/>
      <c r="FH42" s="159"/>
      <c r="FI42" s="159"/>
      <c r="FJ42" s="159"/>
      <c r="FK42" s="160"/>
      <c r="FL42" s="158"/>
      <c r="FM42" s="161"/>
      <c r="FN42" s="159"/>
      <c r="FO42" s="159"/>
      <c r="FP42" s="159"/>
      <c r="FQ42" s="159"/>
      <c r="FR42" s="159"/>
      <c r="FS42" s="159"/>
      <c r="FT42" s="159"/>
      <c r="FU42" s="159"/>
      <c r="FV42" s="160"/>
      <c r="FW42" s="158"/>
      <c r="FX42" s="161"/>
      <c r="FY42" s="159"/>
      <c r="FZ42" s="159"/>
      <c r="GA42" s="159"/>
      <c r="GB42" s="159"/>
      <c r="GC42" s="159"/>
      <c r="GD42" s="159"/>
      <c r="GE42" s="159"/>
      <c r="GF42" s="159"/>
      <c r="GG42" s="160"/>
      <c r="GH42" s="158"/>
      <c r="GI42" s="161"/>
      <c r="GJ42" s="159"/>
      <c r="GK42" s="159"/>
      <c r="GL42" s="159"/>
      <c r="GM42" s="159"/>
      <c r="GN42" s="159"/>
      <c r="GO42" s="159"/>
      <c r="GP42" s="159"/>
      <c r="GQ42" s="159"/>
      <c r="GR42" s="160"/>
      <c r="GS42" s="158"/>
      <c r="GT42" s="161"/>
      <c r="GU42" s="159"/>
      <c r="GV42" s="159"/>
      <c r="GW42" s="159"/>
      <c r="GX42" s="159"/>
      <c r="GY42" s="159"/>
      <c r="GZ42" s="159"/>
      <c r="HA42" s="159"/>
      <c r="HB42" s="159"/>
      <c r="HC42" s="160"/>
      <c r="HD42" s="158"/>
      <c r="HE42" s="161"/>
      <c r="HF42" s="159"/>
      <c r="HG42" s="159"/>
      <c r="HH42" s="159"/>
      <c r="HI42" s="159"/>
      <c r="HJ42" s="159"/>
      <c r="HK42" s="159"/>
      <c r="HL42" s="159"/>
      <c r="HM42" s="159"/>
      <c r="HN42" s="160"/>
      <c r="HO42" s="158"/>
      <c r="HP42" s="161"/>
      <c r="HQ42" s="159"/>
      <c r="HR42" s="159"/>
      <c r="HS42" s="159"/>
      <c r="HT42" s="159"/>
      <c r="HU42" s="159"/>
      <c r="HV42" s="159"/>
      <c r="HW42" s="159"/>
      <c r="HX42" s="159"/>
      <c r="HY42" s="160"/>
      <c r="HZ42" s="158"/>
      <c r="IA42" s="161"/>
      <c r="IB42" s="159"/>
      <c r="IC42" s="159"/>
      <c r="ID42" s="159"/>
      <c r="IE42" s="159"/>
      <c r="IF42" s="159"/>
      <c r="IG42" s="159"/>
      <c r="IH42" s="159"/>
      <c r="II42" s="159"/>
      <c r="IJ42" s="160"/>
      <c r="IK42" s="158"/>
      <c r="IL42" s="161"/>
      <c r="IM42" s="159"/>
      <c r="IN42" s="159"/>
      <c r="IO42" s="159"/>
      <c r="IP42" s="159"/>
      <c r="IQ42" s="159"/>
      <c r="IR42" s="159"/>
      <c r="IS42" s="159"/>
      <c r="IT42" s="159"/>
      <c r="IU42" s="160"/>
      <c r="IV42" s="158"/>
      <c r="IW42" s="161"/>
      <c r="IX42" s="159"/>
      <c r="IY42" s="159"/>
      <c r="IZ42" s="159"/>
      <c r="JA42" s="159"/>
      <c r="JB42" s="159"/>
      <c r="JC42" s="159"/>
      <c r="JD42" s="159"/>
      <c r="JE42" s="159"/>
      <c r="JF42" s="160"/>
      <c r="JG42" s="158"/>
      <c r="JH42" s="161"/>
      <c r="JI42" s="159"/>
      <c r="JJ42" s="159"/>
      <c r="JK42" s="159"/>
      <c r="JL42" s="159"/>
      <c r="JM42" s="159"/>
      <c r="JN42" s="159"/>
      <c r="JO42" s="159"/>
      <c r="JP42" s="159"/>
      <c r="JQ42" s="160"/>
      <c r="JR42" s="158"/>
      <c r="JS42" s="161"/>
      <c r="JT42" s="159"/>
      <c r="JU42" s="159"/>
      <c r="JV42" s="159"/>
      <c r="JW42" s="159"/>
      <c r="JX42" s="159"/>
      <c r="JY42" s="159"/>
      <c r="JZ42" s="159"/>
      <c r="KA42" s="159"/>
      <c r="KB42" s="160"/>
      <c r="KC42" s="158"/>
      <c r="KD42" s="161"/>
      <c r="KE42" s="159"/>
      <c r="KF42" s="159"/>
      <c r="KG42" s="159"/>
      <c r="KH42" s="159"/>
      <c r="KI42" s="159"/>
      <c r="KJ42" s="159"/>
      <c r="KK42" s="159"/>
      <c r="KL42" s="159"/>
      <c r="KM42" s="160"/>
      <c r="KN42" s="158"/>
      <c r="KO42" s="161"/>
      <c r="KP42" s="159"/>
      <c r="KQ42" s="159"/>
      <c r="KR42" s="159"/>
      <c r="KS42" s="159"/>
      <c r="KT42" s="159"/>
      <c r="KU42" s="159"/>
      <c r="KV42" s="159"/>
      <c r="KW42" s="159"/>
      <c r="KX42" s="160"/>
      <c r="KY42" s="158"/>
      <c r="KZ42" s="161"/>
      <c r="LA42" s="159"/>
      <c r="LB42" s="159"/>
      <c r="LC42" s="159"/>
      <c r="LD42" s="159"/>
      <c r="LE42" s="159"/>
      <c r="LF42" s="159"/>
      <c r="LG42" s="159"/>
      <c r="LH42" s="159"/>
      <c r="LI42" s="160"/>
      <c r="LJ42" s="158"/>
      <c r="LK42" s="161"/>
      <c r="LL42" s="159"/>
      <c r="LM42" s="159"/>
      <c r="LN42" s="159"/>
      <c r="LO42" s="159"/>
      <c r="LP42" s="159"/>
      <c r="LQ42" s="159"/>
      <c r="LR42" s="159"/>
      <c r="LS42" s="159"/>
      <c r="LT42" s="160"/>
      <c r="LW42" s="158"/>
      <c r="LX42" s="155" t="n">
        <f aca="false">D196+O196+Z196+AK196+AV196+BG196+BR196+CC196+CN196+CY196+DJ196+DU196+EF196+EQ196+FB196+FM196+FX196+GI196+GT196+HE196+HP196+IA196+IL196+IW196+JH196+JS196+KD196+KO196+KZ196+LK196</f>
        <v>0</v>
      </c>
      <c r="LY42" s="156" t="n">
        <f aca="false">E196+P196+AA196+AL196+AW196+BH196+BS196+CD196+CO196+CZ196+DK196+DV196+EG196+ER196+FC196+FN196+FY196+GJ196+GU196+HF196+HQ196+IB196+IM196+IX196+JI196+JT196+KE196+KP196+LA196+LL196</f>
        <v>0</v>
      </c>
      <c r="LZ42" s="156" t="n">
        <f aca="false">F196+Q196+AB196+AM196+AX196+BI196+BT196+CE196+CP196+DA196+DL196+DW196+EH196+ES196+FD196+FO196+FZ196+GK196+GV196+HG196+HR196+IC196+IN196+IY196+JJ196+JU196+KF196+KQ196+LB196+LM196</f>
        <v>0</v>
      </c>
      <c r="MA42" s="156" t="n">
        <f aca="false">G196+R196+AC196+AN196+AY196+BJ196+BU196+CF196+CQ196+DB196+DM196+DX196+EI196+ET196+FE196+FP196+GA196+GL196+GW196+HH196+HS196+ID196+IO196+IZ196+JK196+JV196+KG196+KR196+LC196+LN196</f>
        <v>0</v>
      </c>
      <c r="MB42" s="156" t="n">
        <f aca="false">H196+S196+AD196+AO196+AZ196+BK196+BV196+CG196+CR196+DC196+DN196+DY196+EJ196+EU196+FF196+FQ196+GB196+GM196+GX196+HI196+HT196+IE196+IP196+JA196+JL196+JW196+KH196+KS196+LD196+LO196</f>
        <v>0</v>
      </c>
      <c r="MC42" s="156" t="n">
        <f aca="false">I196+T196+AE196+AP196+BA196+BL196+BW196+CH196+CS196+DD196+DO196+DZ196+EK196+EV196+FG196+FR196+GC196+GN196+GY196+HJ196+HU196+IF196+IQ196+JB196+JM196+JX196+KI196+KT196+LE196+LP196</f>
        <v>0</v>
      </c>
      <c r="MD42" s="156" t="n">
        <f aca="false">J196+U196+AF196+AQ196+BB196+BM196+BX196+CI196+CT196+DE196+DP196+EA196+EL196+EW196+FH196+FS196+GD196+GO196+GZ196+HK196+HV196+IG196+IR196+JC196+JN196+JY196+KJ196+KU196+LF196+LQ196</f>
        <v>0</v>
      </c>
      <c r="ME42" s="156" t="n">
        <f aca="false">K196+V196+AG196+AR196+BC196+BN196+BY196+CJ196+CU196+DF196+DQ196+EB196+EM196+EX196+FI196+FT196+GE196+GP196+HA196+HL196+HW196+IH196+IS196+JD196+JO196+JZ196+KK196+KV196+LG196+LR196</f>
        <v>0</v>
      </c>
      <c r="MF42" s="156" t="n">
        <f aca="false">L196+W196+AH196+AS196+BD196+BO196+BZ196+CK196+CV196+DG196+DR196+EC196+EN196+EY196+FJ196+FU196+GF196+GQ196+HB196+HM196+HX196+II196+IT196+JE196+JP196+KA196+KL196+KW196+LH196+LS196</f>
        <v>0</v>
      </c>
      <c r="MG42" s="157" t="n">
        <f aca="false">M196+X196+AI196+AT196+BE196+BP196+CA196+CL196+CW196+DH196+DS196+ED196+EO196+EZ196+FK196+FV196+GG196+GR196+HC196+HN196+HY196+IJ196+IU196+JF196+JQ196+KB196+KM196+KX196+LI196+LT196</f>
        <v>0</v>
      </c>
    </row>
    <row r="43" customFormat="false" ht="15" hidden="false" customHeight="false" outlineLevel="0" collapsed="false">
      <c r="A43" s="29" t="n">
        <v>38</v>
      </c>
      <c r="B43" s="162" t="str">
        <f aca="false">'Datos Iniciales'!T46</f>
        <v>Alumno38</v>
      </c>
      <c r="C43" s="158"/>
      <c r="D43" s="161"/>
      <c r="E43" s="159"/>
      <c r="F43" s="159"/>
      <c r="G43" s="159"/>
      <c r="H43" s="159"/>
      <c r="I43" s="159"/>
      <c r="J43" s="159"/>
      <c r="K43" s="159"/>
      <c r="L43" s="159"/>
      <c r="M43" s="160"/>
      <c r="N43" s="158"/>
      <c r="O43" s="161"/>
      <c r="P43" s="159"/>
      <c r="Q43" s="159"/>
      <c r="R43" s="159"/>
      <c r="S43" s="159"/>
      <c r="T43" s="159"/>
      <c r="U43" s="159"/>
      <c r="V43" s="159"/>
      <c r="W43" s="159"/>
      <c r="X43" s="160"/>
      <c r="Y43" s="158"/>
      <c r="Z43" s="161"/>
      <c r="AA43" s="159"/>
      <c r="AB43" s="159"/>
      <c r="AC43" s="159"/>
      <c r="AD43" s="159"/>
      <c r="AE43" s="159"/>
      <c r="AF43" s="159"/>
      <c r="AG43" s="159"/>
      <c r="AH43" s="159"/>
      <c r="AI43" s="160"/>
      <c r="AJ43" s="158"/>
      <c r="AK43" s="161"/>
      <c r="AL43" s="159"/>
      <c r="AM43" s="159"/>
      <c r="AN43" s="159"/>
      <c r="AO43" s="159"/>
      <c r="AP43" s="159"/>
      <c r="AQ43" s="159"/>
      <c r="AR43" s="159"/>
      <c r="AS43" s="159"/>
      <c r="AT43" s="160"/>
      <c r="AU43" s="158"/>
      <c r="AV43" s="161"/>
      <c r="AW43" s="159"/>
      <c r="AX43" s="159"/>
      <c r="AY43" s="159"/>
      <c r="AZ43" s="159"/>
      <c r="BA43" s="159"/>
      <c r="BB43" s="159"/>
      <c r="BC43" s="159"/>
      <c r="BD43" s="159"/>
      <c r="BE43" s="160"/>
      <c r="BF43" s="158"/>
      <c r="BG43" s="161"/>
      <c r="BH43" s="159"/>
      <c r="BI43" s="159"/>
      <c r="BJ43" s="159"/>
      <c r="BK43" s="159"/>
      <c r="BL43" s="159"/>
      <c r="BM43" s="159"/>
      <c r="BN43" s="159"/>
      <c r="BO43" s="159"/>
      <c r="BP43" s="160"/>
      <c r="BQ43" s="158"/>
      <c r="BR43" s="161"/>
      <c r="BS43" s="159"/>
      <c r="BT43" s="159"/>
      <c r="BU43" s="159"/>
      <c r="BV43" s="159"/>
      <c r="BW43" s="159"/>
      <c r="BX43" s="159"/>
      <c r="BY43" s="159"/>
      <c r="BZ43" s="159"/>
      <c r="CA43" s="160"/>
      <c r="CB43" s="158"/>
      <c r="CC43" s="161"/>
      <c r="CD43" s="159"/>
      <c r="CE43" s="159"/>
      <c r="CF43" s="159"/>
      <c r="CG43" s="159"/>
      <c r="CH43" s="159"/>
      <c r="CI43" s="159"/>
      <c r="CJ43" s="159"/>
      <c r="CK43" s="159"/>
      <c r="CL43" s="160"/>
      <c r="CM43" s="158"/>
      <c r="CN43" s="161"/>
      <c r="CO43" s="159"/>
      <c r="CP43" s="159"/>
      <c r="CQ43" s="159"/>
      <c r="CR43" s="159"/>
      <c r="CS43" s="159"/>
      <c r="CT43" s="159"/>
      <c r="CU43" s="159"/>
      <c r="CV43" s="159"/>
      <c r="CW43" s="160"/>
      <c r="CX43" s="158"/>
      <c r="CY43" s="161"/>
      <c r="CZ43" s="159"/>
      <c r="DA43" s="159"/>
      <c r="DB43" s="159"/>
      <c r="DC43" s="159"/>
      <c r="DD43" s="159"/>
      <c r="DE43" s="159"/>
      <c r="DF43" s="159"/>
      <c r="DG43" s="159"/>
      <c r="DH43" s="160"/>
      <c r="DI43" s="158"/>
      <c r="DJ43" s="161"/>
      <c r="DK43" s="159"/>
      <c r="DL43" s="159"/>
      <c r="DM43" s="159"/>
      <c r="DN43" s="159"/>
      <c r="DO43" s="159"/>
      <c r="DP43" s="159"/>
      <c r="DQ43" s="159"/>
      <c r="DR43" s="159"/>
      <c r="DS43" s="160"/>
      <c r="DT43" s="158"/>
      <c r="DU43" s="161"/>
      <c r="DV43" s="159"/>
      <c r="DW43" s="159"/>
      <c r="DX43" s="159"/>
      <c r="DY43" s="159"/>
      <c r="DZ43" s="159"/>
      <c r="EA43" s="159"/>
      <c r="EB43" s="159"/>
      <c r="EC43" s="159"/>
      <c r="ED43" s="160"/>
      <c r="EE43" s="158"/>
      <c r="EF43" s="161"/>
      <c r="EG43" s="159"/>
      <c r="EH43" s="159"/>
      <c r="EI43" s="159"/>
      <c r="EJ43" s="159"/>
      <c r="EK43" s="159"/>
      <c r="EL43" s="159"/>
      <c r="EM43" s="159"/>
      <c r="EN43" s="159"/>
      <c r="EO43" s="160"/>
      <c r="EP43" s="158"/>
      <c r="EQ43" s="161"/>
      <c r="ER43" s="159"/>
      <c r="ES43" s="159"/>
      <c r="ET43" s="159"/>
      <c r="EU43" s="159"/>
      <c r="EV43" s="159"/>
      <c r="EW43" s="159"/>
      <c r="EX43" s="159"/>
      <c r="EY43" s="159"/>
      <c r="EZ43" s="160"/>
      <c r="FA43" s="158"/>
      <c r="FB43" s="161"/>
      <c r="FC43" s="159"/>
      <c r="FD43" s="159"/>
      <c r="FE43" s="159"/>
      <c r="FF43" s="159"/>
      <c r="FG43" s="159"/>
      <c r="FH43" s="159"/>
      <c r="FI43" s="159"/>
      <c r="FJ43" s="159"/>
      <c r="FK43" s="160"/>
      <c r="FL43" s="158"/>
      <c r="FM43" s="161"/>
      <c r="FN43" s="159"/>
      <c r="FO43" s="159"/>
      <c r="FP43" s="159"/>
      <c r="FQ43" s="159"/>
      <c r="FR43" s="159"/>
      <c r="FS43" s="159"/>
      <c r="FT43" s="159"/>
      <c r="FU43" s="159"/>
      <c r="FV43" s="160"/>
      <c r="FW43" s="158"/>
      <c r="FX43" s="161"/>
      <c r="FY43" s="159"/>
      <c r="FZ43" s="159"/>
      <c r="GA43" s="159"/>
      <c r="GB43" s="159"/>
      <c r="GC43" s="159"/>
      <c r="GD43" s="159"/>
      <c r="GE43" s="159"/>
      <c r="GF43" s="159"/>
      <c r="GG43" s="160"/>
      <c r="GH43" s="158"/>
      <c r="GI43" s="161"/>
      <c r="GJ43" s="159"/>
      <c r="GK43" s="159"/>
      <c r="GL43" s="159"/>
      <c r="GM43" s="159"/>
      <c r="GN43" s="159"/>
      <c r="GO43" s="159"/>
      <c r="GP43" s="159"/>
      <c r="GQ43" s="159"/>
      <c r="GR43" s="160"/>
      <c r="GS43" s="158"/>
      <c r="GT43" s="161"/>
      <c r="GU43" s="159"/>
      <c r="GV43" s="159"/>
      <c r="GW43" s="159"/>
      <c r="GX43" s="159"/>
      <c r="GY43" s="159"/>
      <c r="GZ43" s="159"/>
      <c r="HA43" s="159"/>
      <c r="HB43" s="159"/>
      <c r="HC43" s="160"/>
      <c r="HD43" s="158"/>
      <c r="HE43" s="161"/>
      <c r="HF43" s="159"/>
      <c r="HG43" s="159"/>
      <c r="HH43" s="159"/>
      <c r="HI43" s="159"/>
      <c r="HJ43" s="159"/>
      <c r="HK43" s="159"/>
      <c r="HL43" s="159"/>
      <c r="HM43" s="159"/>
      <c r="HN43" s="160"/>
      <c r="HO43" s="158"/>
      <c r="HP43" s="161"/>
      <c r="HQ43" s="159"/>
      <c r="HR43" s="159"/>
      <c r="HS43" s="159"/>
      <c r="HT43" s="159"/>
      <c r="HU43" s="159"/>
      <c r="HV43" s="159"/>
      <c r="HW43" s="159"/>
      <c r="HX43" s="159"/>
      <c r="HY43" s="160"/>
      <c r="HZ43" s="158"/>
      <c r="IA43" s="161"/>
      <c r="IB43" s="159"/>
      <c r="IC43" s="159"/>
      <c r="ID43" s="159"/>
      <c r="IE43" s="159"/>
      <c r="IF43" s="159"/>
      <c r="IG43" s="159"/>
      <c r="IH43" s="159"/>
      <c r="II43" s="159"/>
      <c r="IJ43" s="160"/>
      <c r="IK43" s="158"/>
      <c r="IL43" s="161"/>
      <c r="IM43" s="159"/>
      <c r="IN43" s="159"/>
      <c r="IO43" s="159"/>
      <c r="IP43" s="159"/>
      <c r="IQ43" s="159"/>
      <c r="IR43" s="159"/>
      <c r="IS43" s="159"/>
      <c r="IT43" s="159"/>
      <c r="IU43" s="160"/>
      <c r="IV43" s="158"/>
      <c r="IW43" s="161"/>
      <c r="IX43" s="159"/>
      <c r="IY43" s="159"/>
      <c r="IZ43" s="159"/>
      <c r="JA43" s="159"/>
      <c r="JB43" s="159"/>
      <c r="JC43" s="159"/>
      <c r="JD43" s="159"/>
      <c r="JE43" s="159"/>
      <c r="JF43" s="160"/>
      <c r="JG43" s="158"/>
      <c r="JH43" s="161"/>
      <c r="JI43" s="159"/>
      <c r="JJ43" s="159"/>
      <c r="JK43" s="159"/>
      <c r="JL43" s="159"/>
      <c r="JM43" s="159"/>
      <c r="JN43" s="159"/>
      <c r="JO43" s="159"/>
      <c r="JP43" s="159"/>
      <c r="JQ43" s="160"/>
      <c r="JR43" s="158"/>
      <c r="JS43" s="161"/>
      <c r="JT43" s="159"/>
      <c r="JU43" s="159"/>
      <c r="JV43" s="159"/>
      <c r="JW43" s="159"/>
      <c r="JX43" s="159"/>
      <c r="JY43" s="159"/>
      <c r="JZ43" s="159"/>
      <c r="KA43" s="159"/>
      <c r="KB43" s="160"/>
      <c r="KC43" s="158"/>
      <c r="KD43" s="161"/>
      <c r="KE43" s="159"/>
      <c r="KF43" s="159"/>
      <c r="KG43" s="159"/>
      <c r="KH43" s="159"/>
      <c r="KI43" s="159"/>
      <c r="KJ43" s="159"/>
      <c r="KK43" s="159"/>
      <c r="KL43" s="159"/>
      <c r="KM43" s="160"/>
      <c r="KN43" s="158"/>
      <c r="KO43" s="161"/>
      <c r="KP43" s="159"/>
      <c r="KQ43" s="159"/>
      <c r="KR43" s="159"/>
      <c r="KS43" s="159"/>
      <c r="KT43" s="159"/>
      <c r="KU43" s="159"/>
      <c r="KV43" s="159"/>
      <c r="KW43" s="159"/>
      <c r="KX43" s="160"/>
      <c r="KY43" s="158"/>
      <c r="KZ43" s="161"/>
      <c r="LA43" s="159"/>
      <c r="LB43" s="159"/>
      <c r="LC43" s="159"/>
      <c r="LD43" s="159"/>
      <c r="LE43" s="159"/>
      <c r="LF43" s="159"/>
      <c r="LG43" s="159"/>
      <c r="LH43" s="159"/>
      <c r="LI43" s="160"/>
      <c r="LJ43" s="158"/>
      <c r="LK43" s="161"/>
      <c r="LL43" s="159"/>
      <c r="LM43" s="159"/>
      <c r="LN43" s="159"/>
      <c r="LO43" s="159"/>
      <c r="LP43" s="159"/>
      <c r="LQ43" s="159"/>
      <c r="LR43" s="159"/>
      <c r="LS43" s="159"/>
      <c r="LT43" s="160"/>
      <c r="LW43" s="158"/>
      <c r="LX43" s="155" t="n">
        <f aca="false">D197+O197+Z197+AK197+AV197+BG197+BR197+CC197+CN197+CY197+DJ197+DU197+EF197+EQ197+FB197+FM197+FX197+GI197+GT197+HE197+HP197+IA197+IL197+IW197+JH197+JS197+KD197+KO197+KZ197+LK197</f>
        <v>0</v>
      </c>
      <c r="LY43" s="156" t="n">
        <f aca="false">E197+P197+AA197+AL197+AW197+BH197+BS197+CD197+CO197+CZ197+DK197+DV197+EG197+ER197+FC197+FN197+FY197+GJ197+GU197+HF197+HQ197+IB197+IM197+IX197+JI197+JT197+KE197+KP197+LA197+LL197</f>
        <v>0</v>
      </c>
      <c r="LZ43" s="156" t="n">
        <f aca="false">F197+Q197+AB197+AM197+AX197+BI197+BT197+CE197+CP197+DA197+DL197+DW197+EH197+ES197+FD197+FO197+FZ197+GK197+GV197+HG197+HR197+IC197+IN197+IY197+JJ197+JU197+KF197+KQ197+LB197+LM197</f>
        <v>0</v>
      </c>
      <c r="MA43" s="156" t="n">
        <f aca="false">G197+R197+AC197+AN197+AY197+BJ197+BU197+CF197+CQ197+DB197+DM197+DX197+EI197+ET197+FE197+FP197+GA197+GL197+GW197+HH197+HS197+ID197+IO197+IZ197+JK197+JV197+KG197+KR197+LC197+LN197</f>
        <v>0</v>
      </c>
      <c r="MB43" s="156" t="n">
        <f aca="false">H197+S197+AD197+AO197+AZ197+BK197+BV197+CG197+CR197+DC197+DN197+DY197+EJ197+EU197+FF197+FQ197+GB197+GM197+GX197+HI197+HT197+IE197+IP197+JA197+JL197+JW197+KH197+KS197+LD197+LO197</f>
        <v>0</v>
      </c>
      <c r="MC43" s="156" t="n">
        <f aca="false">I197+T197+AE197+AP197+BA197+BL197+BW197+CH197+CS197+DD197+DO197+DZ197+EK197+EV197+FG197+FR197+GC197+GN197+GY197+HJ197+HU197+IF197+IQ197+JB197+JM197+JX197+KI197+KT197+LE197+LP197</f>
        <v>0</v>
      </c>
      <c r="MD43" s="156" t="n">
        <f aca="false">J197+U197+AF197+AQ197+BB197+BM197+BX197+CI197+CT197+DE197+DP197+EA197+EL197+EW197+FH197+FS197+GD197+GO197+GZ197+HK197+HV197+IG197+IR197+JC197+JN197+JY197+KJ197+KU197+LF197+LQ197</f>
        <v>0</v>
      </c>
      <c r="ME43" s="156" t="n">
        <f aca="false">K197+V197+AG197+AR197+BC197+BN197+BY197+CJ197+CU197+DF197+DQ197+EB197+EM197+EX197+FI197+FT197+GE197+GP197+HA197+HL197+HW197+IH197+IS197+JD197+JO197+JZ197+KK197+KV197+LG197+LR197</f>
        <v>0</v>
      </c>
      <c r="MF43" s="156" t="n">
        <f aca="false">L197+W197+AH197+AS197+BD197+BO197+BZ197+CK197+CV197+DG197+DR197+EC197+EN197+EY197+FJ197+FU197+GF197+GQ197+HB197+HM197+HX197+II197+IT197+JE197+JP197+KA197+KL197+KW197+LH197+LS197</f>
        <v>0</v>
      </c>
      <c r="MG43" s="157" t="n">
        <f aca="false">M197+X197+AI197+AT197+BE197+BP197+CA197+CL197+CW197+DH197+DS197+ED197+EO197+EZ197+FK197+FV197+GG197+GR197+HC197+HN197+HY197+IJ197+IU197+JF197+JQ197+KB197+KM197+KX197+LI197+LT197</f>
        <v>0</v>
      </c>
    </row>
    <row r="44" customFormat="false" ht="15" hidden="false" customHeight="false" outlineLevel="0" collapsed="false">
      <c r="A44" s="29" t="n">
        <v>39</v>
      </c>
      <c r="B44" s="162" t="str">
        <f aca="false">'Datos Iniciales'!T47</f>
        <v>Alumno39</v>
      </c>
      <c r="C44" s="158"/>
      <c r="D44" s="161"/>
      <c r="E44" s="159"/>
      <c r="F44" s="159"/>
      <c r="G44" s="159"/>
      <c r="H44" s="159"/>
      <c r="I44" s="159"/>
      <c r="J44" s="159"/>
      <c r="K44" s="159"/>
      <c r="L44" s="159"/>
      <c r="M44" s="160"/>
      <c r="N44" s="158"/>
      <c r="O44" s="161"/>
      <c r="P44" s="159"/>
      <c r="Q44" s="159"/>
      <c r="R44" s="159"/>
      <c r="S44" s="159"/>
      <c r="T44" s="159"/>
      <c r="U44" s="159"/>
      <c r="V44" s="159"/>
      <c r="W44" s="159"/>
      <c r="X44" s="160"/>
      <c r="Y44" s="158"/>
      <c r="Z44" s="161"/>
      <c r="AA44" s="159"/>
      <c r="AB44" s="159"/>
      <c r="AC44" s="159"/>
      <c r="AD44" s="159"/>
      <c r="AE44" s="159"/>
      <c r="AF44" s="159"/>
      <c r="AG44" s="159"/>
      <c r="AH44" s="159"/>
      <c r="AI44" s="160"/>
      <c r="AJ44" s="158"/>
      <c r="AK44" s="161"/>
      <c r="AL44" s="159"/>
      <c r="AM44" s="159"/>
      <c r="AN44" s="159"/>
      <c r="AO44" s="159"/>
      <c r="AP44" s="159"/>
      <c r="AQ44" s="159"/>
      <c r="AR44" s="159"/>
      <c r="AS44" s="159"/>
      <c r="AT44" s="160"/>
      <c r="AU44" s="158"/>
      <c r="AV44" s="161"/>
      <c r="AW44" s="159"/>
      <c r="AX44" s="159"/>
      <c r="AY44" s="159"/>
      <c r="AZ44" s="159"/>
      <c r="BA44" s="159"/>
      <c r="BB44" s="159"/>
      <c r="BC44" s="159"/>
      <c r="BD44" s="159"/>
      <c r="BE44" s="160"/>
      <c r="BF44" s="158"/>
      <c r="BG44" s="161"/>
      <c r="BH44" s="159"/>
      <c r="BI44" s="159"/>
      <c r="BJ44" s="159"/>
      <c r="BK44" s="159"/>
      <c r="BL44" s="159"/>
      <c r="BM44" s="159"/>
      <c r="BN44" s="159"/>
      <c r="BO44" s="159"/>
      <c r="BP44" s="160"/>
      <c r="BQ44" s="158"/>
      <c r="BR44" s="161"/>
      <c r="BS44" s="159"/>
      <c r="BT44" s="159"/>
      <c r="BU44" s="159"/>
      <c r="BV44" s="159"/>
      <c r="BW44" s="159"/>
      <c r="BX44" s="159"/>
      <c r="BY44" s="159"/>
      <c r="BZ44" s="159"/>
      <c r="CA44" s="160"/>
      <c r="CB44" s="158"/>
      <c r="CC44" s="161"/>
      <c r="CD44" s="159"/>
      <c r="CE44" s="159"/>
      <c r="CF44" s="159"/>
      <c r="CG44" s="159"/>
      <c r="CH44" s="159"/>
      <c r="CI44" s="159"/>
      <c r="CJ44" s="159"/>
      <c r="CK44" s="159"/>
      <c r="CL44" s="160"/>
      <c r="CM44" s="158"/>
      <c r="CN44" s="161"/>
      <c r="CO44" s="159"/>
      <c r="CP44" s="159"/>
      <c r="CQ44" s="159"/>
      <c r="CR44" s="159"/>
      <c r="CS44" s="159"/>
      <c r="CT44" s="159"/>
      <c r="CU44" s="159"/>
      <c r="CV44" s="159"/>
      <c r="CW44" s="160"/>
      <c r="CX44" s="158"/>
      <c r="CY44" s="161"/>
      <c r="CZ44" s="159"/>
      <c r="DA44" s="159"/>
      <c r="DB44" s="159"/>
      <c r="DC44" s="159"/>
      <c r="DD44" s="159"/>
      <c r="DE44" s="159"/>
      <c r="DF44" s="159"/>
      <c r="DG44" s="159"/>
      <c r="DH44" s="160"/>
      <c r="DI44" s="158"/>
      <c r="DJ44" s="161"/>
      <c r="DK44" s="159"/>
      <c r="DL44" s="159"/>
      <c r="DM44" s="159"/>
      <c r="DN44" s="159"/>
      <c r="DO44" s="159"/>
      <c r="DP44" s="159"/>
      <c r="DQ44" s="159"/>
      <c r="DR44" s="159"/>
      <c r="DS44" s="160"/>
      <c r="DT44" s="158"/>
      <c r="DU44" s="161"/>
      <c r="DV44" s="159"/>
      <c r="DW44" s="159"/>
      <c r="DX44" s="159"/>
      <c r="DY44" s="159"/>
      <c r="DZ44" s="159"/>
      <c r="EA44" s="159"/>
      <c r="EB44" s="159"/>
      <c r="EC44" s="159"/>
      <c r="ED44" s="160"/>
      <c r="EE44" s="158"/>
      <c r="EF44" s="161"/>
      <c r="EG44" s="159"/>
      <c r="EH44" s="159"/>
      <c r="EI44" s="159"/>
      <c r="EJ44" s="159"/>
      <c r="EK44" s="159"/>
      <c r="EL44" s="159"/>
      <c r="EM44" s="159"/>
      <c r="EN44" s="159"/>
      <c r="EO44" s="160"/>
      <c r="EP44" s="158"/>
      <c r="EQ44" s="161"/>
      <c r="ER44" s="159"/>
      <c r="ES44" s="159"/>
      <c r="ET44" s="159"/>
      <c r="EU44" s="159"/>
      <c r="EV44" s="159"/>
      <c r="EW44" s="159"/>
      <c r="EX44" s="159"/>
      <c r="EY44" s="159"/>
      <c r="EZ44" s="160"/>
      <c r="FA44" s="158"/>
      <c r="FB44" s="161"/>
      <c r="FC44" s="159"/>
      <c r="FD44" s="159"/>
      <c r="FE44" s="159"/>
      <c r="FF44" s="159"/>
      <c r="FG44" s="159"/>
      <c r="FH44" s="159"/>
      <c r="FI44" s="159"/>
      <c r="FJ44" s="159"/>
      <c r="FK44" s="160"/>
      <c r="FL44" s="158"/>
      <c r="FM44" s="161"/>
      <c r="FN44" s="159"/>
      <c r="FO44" s="159"/>
      <c r="FP44" s="159"/>
      <c r="FQ44" s="159"/>
      <c r="FR44" s="159"/>
      <c r="FS44" s="159"/>
      <c r="FT44" s="159"/>
      <c r="FU44" s="159"/>
      <c r="FV44" s="160"/>
      <c r="FW44" s="158"/>
      <c r="FX44" s="161"/>
      <c r="FY44" s="159"/>
      <c r="FZ44" s="159"/>
      <c r="GA44" s="159"/>
      <c r="GB44" s="159"/>
      <c r="GC44" s="159"/>
      <c r="GD44" s="159"/>
      <c r="GE44" s="159"/>
      <c r="GF44" s="159"/>
      <c r="GG44" s="160"/>
      <c r="GH44" s="158"/>
      <c r="GI44" s="161"/>
      <c r="GJ44" s="159"/>
      <c r="GK44" s="159"/>
      <c r="GL44" s="159"/>
      <c r="GM44" s="159"/>
      <c r="GN44" s="159"/>
      <c r="GO44" s="159"/>
      <c r="GP44" s="159"/>
      <c r="GQ44" s="159"/>
      <c r="GR44" s="160"/>
      <c r="GS44" s="158"/>
      <c r="GT44" s="161"/>
      <c r="GU44" s="159"/>
      <c r="GV44" s="159"/>
      <c r="GW44" s="159"/>
      <c r="GX44" s="159"/>
      <c r="GY44" s="159"/>
      <c r="GZ44" s="159"/>
      <c r="HA44" s="159"/>
      <c r="HB44" s="159"/>
      <c r="HC44" s="160"/>
      <c r="HD44" s="158"/>
      <c r="HE44" s="161"/>
      <c r="HF44" s="159"/>
      <c r="HG44" s="159"/>
      <c r="HH44" s="159"/>
      <c r="HI44" s="159"/>
      <c r="HJ44" s="159"/>
      <c r="HK44" s="159"/>
      <c r="HL44" s="159"/>
      <c r="HM44" s="159"/>
      <c r="HN44" s="160"/>
      <c r="HO44" s="158"/>
      <c r="HP44" s="161"/>
      <c r="HQ44" s="159"/>
      <c r="HR44" s="159"/>
      <c r="HS44" s="159"/>
      <c r="HT44" s="159"/>
      <c r="HU44" s="159"/>
      <c r="HV44" s="159"/>
      <c r="HW44" s="159"/>
      <c r="HX44" s="159"/>
      <c r="HY44" s="160"/>
      <c r="HZ44" s="158"/>
      <c r="IA44" s="161"/>
      <c r="IB44" s="159"/>
      <c r="IC44" s="159"/>
      <c r="ID44" s="159"/>
      <c r="IE44" s="159"/>
      <c r="IF44" s="159"/>
      <c r="IG44" s="159"/>
      <c r="IH44" s="159"/>
      <c r="II44" s="159"/>
      <c r="IJ44" s="160"/>
      <c r="IK44" s="158"/>
      <c r="IL44" s="161"/>
      <c r="IM44" s="159"/>
      <c r="IN44" s="159"/>
      <c r="IO44" s="159"/>
      <c r="IP44" s="159"/>
      <c r="IQ44" s="159"/>
      <c r="IR44" s="159"/>
      <c r="IS44" s="159"/>
      <c r="IT44" s="159"/>
      <c r="IU44" s="160"/>
      <c r="IV44" s="158"/>
      <c r="IW44" s="161"/>
      <c r="IX44" s="159"/>
      <c r="IY44" s="159"/>
      <c r="IZ44" s="159"/>
      <c r="JA44" s="159"/>
      <c r="JB44" s="159"/>
      <c r="JC44" s="159"/>
      <c r="JD44" s="159"/>
      <c r="JE44" s="159"/>
      <c r="JF44" s="160"/>
      <c r="JG44" s="158"/>
      <c r="JH44" s="161"/>
      <c r="JI44" s="159"/>
      <c r="JJ44" s="159"/>
      <c r="JK44" s="159"/>
      <c r="JL44" s="159"/>
      <c r="JM44" s="159"/>
      <c r="JN44" s="159"/>
      <c r="JO44" s="159"/>
      <c r="JP44" s="159"/>
      <c r="JQ44" s="160"/>
      <c r="JR44" s="158"/>
      <c r="JS44" s="161"/>
      <c r="JT44" s="159"/>
      <c r="JU44" s="159"/>
      <c r="JV44" s="159"/>
      <c r="JW44" s="159"/>
      <c r="JX44" s="159"/>
      <c r="JY44" s="159"/>
      <c r="JZ44" s="159"/>
      <c r="KA44" s="159"/>
      <c r="KB44" s="160"/>
      <c r="KC44" s="158"/>
      <c r="KD44" s="161"/>
      <c r="KE44" s="159"/>
      <c r="KF44" s="159"/>
      <c r="KG44" s="159"/>
      <c r="KH44" s="159"/>
      <c r="KI44" s="159"/>
      <c r="KJ44" s="159"/>
      <c r="KK44" s="159"/>
      <c r="KL44" s="159"/>
      <c r="KM44" s="160"/>
      <c r="KN44" s="158"/>
      <c r="KO44" s="161"/>
      <c r="KP44" s="159"/>
      <c r="KQ44" s="159"/>
      <c r="KR44" s="159"/>
      <c r="KS44" s="159"/>
      <c r="KT44" s="159"/>
      <c r="KU44" s="159"/>
      <c r="KV44" s="159"/>
      <c r="KW44" s="159"/>
      <c r="KX44" s="160"/>
      <c r="KY44" s="158"/>
      <c r="KZ44" s="161"/>
      <c r="LA44" s="159"/>
      <c r="LB44" s="159"/>
      <c r="LC44" s="159"/>
      <c r="LD44" s="159"/>
      <c r="LE44" s="159"/>
      <c r="LF44" s="159"/>
      <c r="LG44" s="159"/>
      <c r="LH44" s="159"/>
      <c r="LI44" s="160"/>
      <c r="LJ44" s="158"/>
      <c r="LK44" s="161"/>
      <c r="LL44" s="159"/>
      <c r="LM44" s="159"/>
      <c r="LN44" s="159"/>
      <c r="LO44" s="159"/>
      <c r="LP44" s="159"/>
      <c r="LQ44" s="159"/>
      <c r="LR44" s="159"/>
      <c r="LS44" s="159"/>
      <c r="LT44" s="160"/>
      <c r="LW44" s="158"/>
      <c r="LX44" s="155" t="n">
        <f aca="false">D198+O198+Z198+AK198+AV198+BG198+BR198+CC198+CN198+CY198+DJ198+DU198+EF198+EQ198+FB198+FM198+FX198+GI198+GT198+HE198+HP198+IA198+IL198+IW198+JH198+JS198+KD198+KO198+KZ198+LK198</f>
        <v>0</v>
      </c>
      <c r="LY44" s="156" t="n">
        <f aca="false">E198+P198+AA198+AL198+AW198+BH198+BS198+CD198+CO198+CZ198+DK198+DV198+EG198+ER198+FC198+FN198+FY198+GJ198+GU198+HF198+HQ198+IB198+IM198+IX198+JI198+JT198+KE198+KP198+LA198+LL198</f>
        <v>0</v>
      </c>
      <c r="LZ44" s="156" t="n">
        <f aca="false">F198+Q198+AB198+AM198+AX198+BI198+BT198+CE198+CP198+DA198+DL198+DW198+EH198+ES198+FD198+FO198+FZ198+GK198+GV198+HG198+HR198+IC198+IN198+IY198+JJ198+JU198+KF198+KQ198+LB198+LM198</f>
        <v>0</v>
      </c>
      <c r="MA44" s="156" t="n">
        <f aca="false">G198+R198+AC198+AN198+AY198+BJ198+BU198+CF198+CQ198+DB198+DM198+DX198+EI198+ET198+FE198+FP198+GA198+GL198+GW198+HH198+HS198+ID198+IO198+IZ198+JK198+JV198+KG198+KR198+LC198+LN198</f>
        <v>0</v>
      </c>
      <c r="MB44" s="156" t="n">
        <f aca="false">H198+S198+AD198+AO198+AZ198+BK198+BV198+CG198+CR198+DC198+DN198+DY198+EJ198+EU198+FF198+FQ198+GB198+GM198+GX198+HI198+HT198+IE198+IP198+JA198+JL198+JW198+KH198+KS198+LD198+LO198</f>
        <v>0</v>
      </c>
      <c r="MC44" s="156" t="n">
        <f aca="false">I198+T198+AE198+AP198+BA198+BL198+BW198+CH198+CS198+DD198+DO198+DZ198+EK198+EV198+FG198+FR198+GC198+GN198+GY198+HJ198+HU198+IF198+IQ198+JB198+JM198+JX198+KI198+KT198+LE198+LP198</f>
        <v>0</v>
      </c>
      <c r="MD44" s="156" t="n">
        <f aca="false">J198+U198+AF198+AQ198+BB198+BM198+BX198+CI198+CT198+DE198+DP198+EA198+EL198+EW198+FH198+FS198+GD198+GO198+GZ198+HK198+HV198+IG198+IR198+JC198+JN198+JY198+KJ198+KU198+LF198+LQ198</f>
        <v>0</v>
      </c>
      <c r="ME44" s="156" t="n">
        <f aca="false">K198+V198+AG198+AR198+BC198+BN198+BY198+CJ198+CU198+DF198+DQ198+EB198+EM198+EX198+FI198+FT198+GE198+GP198+HA198+HL198+HW198+IH198+IS198+JD198+JO198+JZ198+KK198+KV198+LG198+LR198</f>
        <v>0</v>
      </c>
      <c r="MF44" s="156" t="n">
        <f aca="false">L198+W198+AH198+AS198+BD198+BO198+BZ198+CK198+CV198+DG198+DR198+EC198+EN198+EY198+FJ198+FU198+GF198+GQ198+HB198+HM198+HX198+II198+IT198+JE198+JP198+KA198+KL198+KW198+LH198+LS198</f>
        <v>0</v>
      </c>
      <c r="MG44" s="157" t="n">
        <f aca="false">M198+X198+AI198+AT198+BE198+BP198+CA198+CL198+CW198+DH198+DS198+ED198+EO198+EZ198+FK198+FV198+GG198+GR198+HC198+HN198+HY198+IJ198+IU198+JF198+JQ198+KB198+KM198+KX198+LI198+LT198</f>
        <v>0</v>
      </c>
    </row>
    <row r="45" customFormat="false" ht="15" hidden="false" customHeight="false" outlineLevel="0" collapsed="false">
      <c r="A45" s="29" t="n">
        <v>40</v>
      </c>
      <c r="B45" s="162" t="str">
        <f aca="false">'Datos Iniciales'!T48</f>
        <v>Alumno40</v>
      </c>
      <c r="C45" s="158"/>
      <c r="D45" s="161"/>
      <c r="E45" s="159"/>
      <c r="F45" s="159"/>
      <c r="G45" s="159"/>
      <c r="H45" s="159"/>
      <c r="I45" s="159"/>
      <c r="J45" s="159"/>
      <c r="K45" s="159"/>
      <c r="L45" s="159"/>
      <c r="M45" s="160"/>
      <c r="N45" s="158"/>
      <c r="O45" s="161"/>
      <c r="P45" s="159"/>
      <c r="Q45" s="159"/>
      <c r="R45" s="159"/>
      <c r="S45" s="159"/>
      <c r="T45" s="159"/>
      <c r="U45" s="159"/>
      <c r="V45" s="159"/>
      <c r="W45" s="159"/>
      <c r="X45" s="160"/>
      <c r="Y45" s="158"/>
      <c r="Z45" s="161"/>
      <c r="AA45" s="159"/>
      <c r="AB45" s="159"/>
      <c r="AC45" s="159"/>
      <c r="AD45" s="159"/>
      <c r="AE45" s="159"/>
      <c r="AF45" s="159"/>
      <c r="AG45" s="159"/>
      <c r="AH45" s="159"/>
      <c r="AI45" s="160"/>
      <c r="AJ45" s="158"/>
      <c r="AK45" s="161"/>
      <c r="AL45" s="159"/>
      <c r="AM45" s="159"/>
      <c r="AN45" s="159"/>
      <c r="AO45" s="159"/>
      <c r="AP45" s="159"/>
      <c r="AQ45" s="159"/>
      <c r="AR45" s="159"/>
      <c r="AS45" s="159"/>
      <c r="AT45" s="160"/>
      <c r="AU45" s="158"/>
      <c r="AV45" s="161"/>
      <c r="AW45" s="159"/>
      <c r="AX45" s="159"/>
      <c r="AY45" s="159"/>
      <c r="AZ45" s="159"/>
      <c r="BA45" s="159"/>
      <c r="BB45" s="159"/>
      <c r="BC45" s="159"/>
      <c r="BD45" s="159"/>
      <c r="BE45" s="160"/>
      <c r="BF45" s="158"/>
      <c r="BG45" s="161"/>
      <c r="BH45" s="159"/>
      <c r="BI45" s="159"/>
      <c r="BJ45" s="159"/>
      <c r="BK45" s="159"/>
      <c r="BL45" s="159"/>
      <c r="BM45" s="159"/>
      <c r="BN45" s="159"/>
      <c r="BO45" s="159"/>
      <c r="BP45" s="160"/>
      <c r="BQ45" s="158"/>
      <c r="BR45" s="161"/>
      <c r="BS45" s="159"/>
      <c r="BT45" s="159"/>
      <c r="BU45" s="159"/>
      <c r="BV45" s="159"/>
      <c r="BW45" s="159"/>
      <c r="BX45" s="159"/>
      <c r="BY45" s="159"/>
      <c r="BZ45" s="159"/>
      <c r="CA45" s="160"/>
      <c r="CB45" s="158"/>
      <c r="CC45" s="161"/>
      <c r="CD45" s="159"/>
      <c r="CE45" s="159"/>
      <c r="CF45" s="159"/>
      <c r="CG45" s="159"/>
      <c r="CH45" s="159"/>
      <c r="CI45" s="159"/>
      <c r="CJ45" s="159"/>
      <c r="CK45" s="159"/>
      <c r="CL45" s="160"/>
      <c r="CM45" s="158"/>
      <c r="CN45" s="161"/>
      <c r="CO45" s="159"/>
      <c r="CP45" s="159"/>
      <c r="CQ45" s="159"/>
      <c r="CR45" s="159"/>
      <c r="CS45" s="159"/>
      <c r="CT45" s="159"/>
      <c r="CU45" s="159"/>
      <c r="CV45" s="159"/>
      <c r="CW45" s="160"/>
      <c r="CX45" s="158"/>
      <c r="CY45" s="161"/>
      <c r="CZ45" s="159"/>
      <c r="DA45" s="159"/>
      <c r="DB45" s="159"/>
      <c r="DC45" s="159"/>
      <c r="DD45" s="159"/>
      <c r="DE45" s="159"/>
      <c r="DF45" s="159"/>
      <c r="DG45" s="159"/>
      <c r="DH45" s="160"/>
      <c r="DI45" s="158"/>
      <c r="DJ45" s="161"/>
      <c r="DK45" s="159"/>
      <c r="DL45" s="159"/>
      <c r="DM45" s="159"/>
      <c r="DN45" s="159"/>
      <c r="DO45" s="159"/>
      <c r="DP45" s="159"/>
      <c r="DQ45" s="159"/>
      <c r="DR45" s="159"/>
      <c r="DS45" s="160"/>
      <c r="DT45" s="158"/>
      <c r="DU45" s="161"/>
      <c r="DV45" s="159"/>
      <c r="DW45" s="159"/>
      <c r="DX45" s="159"/>
      <c r="DY45" s="159"/>
      <c r="DZ45" s="159"/>
      <c r="EA45" s="159"/>
      <c r="EB45" s="159"/>
      <c r="EC45" s="159"/>
      <c r="ED45" s="160"/>
      <c r="EE45" s="158"/>
      <c r="EF45" s="161"/>
      <c r="EG45" s="159"/>
      <c r="EH45" s="159"/>
      <c r="EI45" s="159"/>
      <c r="EJ45" s="159"/>
      <c r="EK45" s="159"/>
      <c r="EL45" s="159"/>
      <c r="EM45" s="159"/>
      <c r="EN45" s="159"/>
      <c r="EO45" s="160"/>
      <c r="EP45" s="158"/>
      <c r="EQ45" s="161"/>
      <c r="ER45" s="159"/>
      <c r="ES45" s="159"/>
      <c r="ET45" s="159"/>
      <c r="EU45" s="159"/>
      <c r="EV45" s="159"/>
      <c r="EW45" s="159"/>
      <c r="EX45" s="159"/>
      <c r="EY45" s="159"/>
      <c r="EZ45" s="160"/>
      <c r="FA45" s="158"/>
      <c r="FB45" s="161"/>
      <c r="FC45" s="159"/>
      <c r="FD45" s="159"/>
      <c r="FE45" s="159"/>
      <c r="FF45" s="159"/>
      <c r="FG45" s="159"/>
      <c r="FH45" s="159"/>
      <c r="FI45" s="159"/>
      <c r="FJ45" s="159"/>
      <c r="FK45" s="160"/>
      <c r="FL45" s="158"/>
      <c r="FM45" s="161"/>
      <c r="FN45" s="159"/>
      <c r="FO45" s="159"/>
      <c r="FP45" s="159"/>
      <c r="FQ45" s="159"/>
      <c r="FR45" s="159"/>
      <c r="FS45" s="159"/>
      <c r="FT45" s="159"/>
      <c r="FU45" s="159"/>
      <c r="FV45" s="160"/>
      <c r="FW45" s="158"/>
      <c r="FX45" s="161"/>
      <c r="FY45" s="159"/>
      <c r="FZ45" s="159"/>
      <c r="GA45" s="159"/>
      <c r="GB45" s="159"/>
      <c r="GC45" s="159"/>
      <c r="GD45" s="159"/>
      <c r="GE45" s="159"/>
      <c r="GF45" s="159"/>
      <c r="GG45" s="160"/>
      <c r="GH45" s="158"/>
      <c r="GI45" s="161"/>
      <c r="GJ45" s="159"/>
      <c r="GK45" s="159"/>
      <c r="GL45" s="159"/>
      <c r="GM45" s="159"/>
      <c r="GN45" s="159"/>
      <c r="GO45" s="159"/>
      <c r="GP45" s="159"/>
      <c r="GQ45" s="159"/>
      <c r="GR45" s="160"/>
      <c r="GS45" s="158"/>
      <c r="GT45" s="161"/>
      <c r="GU45" s="159"/>
      <c r="GV45" s="159"/>
      <c r="GW45" s="159"/>
      <c r="GX45" s="159"/>
      <c r="GY45" s="159"/>
      <c r="GZ45" s="159"/>
      <c r="HA45" s="159"/>
      <c r="HB45" s="159"/>
      <c r="HC45" s="160"/>
      <c r="HD45" s="158"/>
      <c r="HE45" s="161"/>
      <c r="HF45" s="159"/>
      <c r="HG45" s="159"/>
      <c r="HH45" s="159"/>
      <c r="HI45" s="159"/>
      <c r="HJ45" s="159"/>
      <c r="HK45" s="159"/>
      <c r="HL45" s="159"/>
      <c r="HM45" s="159"/>
      <c r="HN45" s="160"/>
      <c r="HO45" s="158"/>
      <c r="HP45" s="161"/>
      <c r="HQ45" s="159"/>
      <c r="HR45" s="159"/>
      <c r="HS45" s="159"/>
      <c r="HT45" s="159"/>
      <c r="HU45" s="159"/>
      <c r="HV45" s="159"/>
      <c r="HW45" s="159"/>
      <c r="HX45" s="159"/>
      <c r="HY45" s="160"/>
      <c r="HZ45" s="158"/>
      <c r="IA45" s="161"/>
      <c r="IB45" s="159"/>
      <c r="IC45" s="159"/>
      <c r="ID45" s="159"/>
      <c r="IE45" s="159"/>
      <c r="IF45" s="159"/>
      <c r="IG45" s="159"/>
      <c r="IH45" s="159"/>
      <c r="II45" s="159"/>
      <c r="IJ45" s="160"/>
      <c r="IK45" s="158"/>
      <c r="IL45" s="161"/>
      <c r="IM45" s="159"/>
      <c r="IN45" s="159"/>
      <c r="IO45" s="159"/>
      <c r="IP45" s="159"/>
      <c r="IQ45" s="159"/>
      <c r="IR45" s="159"/>
      <c r="IS45" s="159"/>
      <c r="IT45" s="159"/>
      <c r="IU45" s="160"/>
      <c r="IV45" s="158"/>
      <c r="IW45" s="161"/>
      <c r="IX45" s="159"/>
      <c r="IY45" s="159"/>
      <c r="IZ45" s="159"/>
      <c r="JA45" s="159"/>
      <c r="JB45" s="159"/>
      <c r="JC45" s="159"/>
      <c r="JD45" s="159"/>
      <c r="JE45" s="159"/>
      <c r="JF45" s="160"/>
      <c r="JG45" s="158"/>
      <c r="JH45" s="161"/>
      <c r="JI45" s="159"/>
      <c r="JJ45" s="159"/>
      <c r="JK45" s="159"/>
      <c r="JL45" s="159"/>
      <c r="JM45" s="159"/>
      <c r="JN45" s="159"/>
      <c r="JO45" s="159"/>
      <c r="JP45" s="159"/>
      <c r="JQ45" s="160"/>
      <c r="JR45" s="158"/>
      <c r="JS45" s="161"/>
      <c r="JT45" s="159"/>
      <c r="JU45" s="159"/>
      <c r="JV45" s="159"/>
      <c r="JW45" s="159"/>
      <c r="JX45" s="159"/>
      <c r="JY45" s="159"/>
      <c r="JZ45" s="159"/>
      <c r="KA45" s="159"/>
      <c r="KB45" s="160"/>
      <c r="KC45" s="158"/>
      <c r="KD45" s="161"/>
      <c r="KE45" s="159"/>
      <c r="KF45" s="159"/>
      <c r="KG45" s="159"/>
      <c r="KH45" s="159"/>
      <c r="KI45" s="159"/>
      <c r="KJ45" s="159"/>
      <c r="KK45" s="159"/>
      <c r="KL45" s="159"/>
      <c r="KM45" s="160"/>
      <c r="KN45" s="158"/>
      <c r="KO45" s="161"/>
      <c r="KP45" s="159"/>
      <c r="KQ45" s="159"/>
      <c r="KR45" s="159"/>
      <c r="KS45" s="159"/>
      <c r="KT45" s="159"/>
      <c r="KU45" s="159"/>
      <c r="KV45" s="159"/>
      <c r="KW45" s="159"/>
      <c r="KX45" s="160"/>
      <c r="KY45" s="158"/>
      <c r="KZ45" s="161"/>
      <c r="LA45" s="159"/>
      <c r="LB45" s="159"/>
      <c r="LC45" s="159"/>
      <c r="LD45" s="159"/>
      <c r="LE45" s="159"/>
      <c r="LF45" s="159"/>
      <c r="LG45" s="159"/>
      <c r="LH45" s="159"/>
      <c r="LI45" s="160"/>
      <c r="LJ45" s="158"/>
      <c r="LK45" s="161"/>
      <c r="LL45" s="159"/>
      <c r="LM45" s="159"/>
      <c r="LN45" s="159"/>
      <c r="LO45" s="159"/>
      <c r="LP45" s="159"/>
      <c r="LQ45" s="159"/>
      <c r="LR45" s="159"/>
      <c r="LS45" s="159"/>
      <c r="LT45" s="160"/>
      <c r="LW45" s="158"/>
      <c r="LX45" s="155" t="n">
        <f aca="false">D199+O199+Z199+AK199+AV199+BG199+BR199+CC199+CN199+CY199+DJ199+DU199+EF199+EQ199+FB199+FM199+FX199+GI199+GT199+HE199+HP199+IA199+IL199+IW199+JH199+JS199+KD199+KO199+KZ199+LK199</f>
        <v>0</v>
      </c>
      <c r="LY45" s="156" t="n">
        <f aca="false">E199+P199+AA199+AL199+AW199+BH199+BS199+CD199+CO199+CZ199+DK199+DV199+EG199+ER199+FC199+FN199+FY199+GJ199+GU199+HF199+HQ199+IB199+IM199+IX199+JI199+JT199+KE199+KP199+LA199+LL199</f>
        <v>0</v>
      </c>
      <c r="LZ45" s="156" t="n">
        <f aca="false">F199+Q199+AB199+AM199+AX199+BI199+BT199+CE199+CP199+DA199+DL199+DW199+EH199+ES199+FD199+FO199+FZ199+GK199+GV199+HG199+HR199+IC199+IN199+IY199+JJ199+JU199+KF199+KQ199+LB199+LM199</f>
        <v>0</v>
      </c>
      <c r="MA45" s="156" t="n">
        <f aca="false">G199+R199+AC199+AN199+AY199+BJ199+BU199+CF199+CQ199+DB199+DM199+DX199+EI199+ET199+FE199+FP199+GA199+GL199+GW199+HH199+HS199+ID199+IO199+IZ199+JK199+JV199+KG199+KR199+LC199+LN199</f>
        <v>0</v>
      </c>
      <c r="MB45" s="156" t="n">
        <f aca="false">H199+S199+AD199+AO199+AZ199+BK199+BV199+CG199+CR199+DC199+DN199+DY199+EJ199+EU199+FF199+FQ199+GB199+GM199+GX199+HI199+HT199+IE199+IP199+JA199+JL199+JW199+KH199+KS199+LD199+LO199</f>
        <v>0</v>
      </c>
      <c r="MC45" s="156" t="n">
        <f aca="false">I199+T199+AE199+AP199+BA199+BL199+BW199+CH199+CS199+DD199+DO199+DZ199+EK199+EV199+FG199+FR199+GC199+GN199+GY199+HJ199+HU199+IF199+IQ199+JB199+JM199+JX199+KI199+KT199+LE199+LP199</f>
        <v>0</v>
      </c>
      <c r="MD45" s="156" t="n">
        <f aca="false">J199+U199+AF199+AQ199+BB199+BM199+BX199+CI199+CT199+DE199+DP199+EA199+EL199+EW199+FH199+FS199+GD199+GO199+GZ199+HK199+HV199+IG199+IR199+JC199+JN199+JY199+KJ199+KU199+LF199+LQ199</f>
        <v>0</v>
      </c>
      <c r="ME45" s="156" t="n">
        <f aca="false">K199+V199+AG199+AR199+BC199+BN199+BY199+CJ199+CU199+DF199+DQ199+EB199+EM199+EX199+FI199+FT199+GE199+GP199+HA199+HL199+HW199+IH199+IS199+JD199+JO199+JZ199+KK199+KV199+LG199+LR199</f>
        <v>0</v>
      </c>
      <c r="MF45" s="156" t="n">
        <f aca="false">L199+W199+AH199+AS199+BD199+BO199+BZ199+CK199+CV199+DG199+DR199+EC199+EN199+EY199+FJ199+FU199+GF199+GQ199+HB199+HM199+HX199+II199+IT199+JE199+JP199+KA199+KL199+KW199+LH199+LS199</f>
        <v>0</v>
      </c>
      <c r="MG45" s="157" t="n">
        <f aca="false">M199+X199+AI199+AT199+BE199+BP199+CA199+CL199+CW199+DH199+DS199+ED199+EO199+EZ199+FK199+FV199+GG199+GR199+HC199+HN199+HY199+IJ199+IU199+JF199+JQ199+KB199+KM199+KX199+LI199+LT199</f>
        <v>0</v>
      </c>
    </row>
    <row r="46" customFormat="false" ht="15" hidden="false" customHeight="false" outlineLevel="0" collapsed="false">
      <c r="A46" s="29" t="n">
        <v>41</v>
      </c>
      <c r="B46" s="162" t="str">
        <f aca="false">'Datos Iniciales'!T49</f>
        <v>Alumno41</v>
      </c>
      <c r="C46" s="158"/>
      <c r="D46" s="161"/>
      <c r="E46" s="159"/>
      <c r="F46" s="159"/>
      <c r="G46" s="159"/>
      <c r="H46" s="159"/>
      <c r="I46" s="159"/>
      <c r="J46" s="159"/>
      <c r="K46" s="159"/>
      <c r="L46" s="159"/>
      <c r="M46" s="160"/>
      <c r="N46" s="158"/>
      <c r="O46" s="161"/>
      <c r="P46" s="159"/>
      <c r="Q46" s="159"/>
      <c r="R46" s="159"/>
      <c r="S46" s="159"/>
      <c r="T46" s="159"/>
      <c r="U46" s="159"/>
      <c r="V46" s="159"/>
      <c r="W46" s="159"/>
      <c r="X46" s="160"/>
      <c r="Y46" s="158"/>
      <c r="Z46" s="161"/>
      <c r="AA46" s="159"/>
      <c r="AB46" s="159"/>
      <c r="AC46" s="159"/>
      <c r="AD46" s="159"/>
      <c r="AE46" s="159"/>
      <c r="AF46" s="159"/>
      <c r="AG46" s="159"/>
      <c r="AH46" s="159"/>
      <c r="AI46" s="160"/>
      <c r="AJ46" s="158"/>
      <c r="AK46" s="161"/>
      <c r="AL46" s="159"/>
      <c r="AM46" s="159"/>
      <c r="AN46" s="159"/>
      <c r="AO46" s="159"/>
      <c r="AP46" s="159"/>
      <c r="AQ46" s="159"/>
      <c r="AR46" s="159"/>
      <c r="AS46" s="159"/>
      <c r="AT46" s="160"/>
      <c r="AU46" s="158"/>
      <c r="AV46" s="161"/>
      <c r="AW46" s="159"/>
      <c r="AX46" s="159"/>
      <c r="AY46" s="159"/>
      <c r="AZ46" s="159"/>
      <c r="BA46" s="159"/>
      <c r="BB46" s="159"/>
      <c r="BC46" s="159"/>
      <c r="BD46" s="159"/>
      <c r="BE46" s="160"/>
      <c r="BF46" s="158"/>
      <c r="BG46" s="161"/>
      <c r="BH46" s="159"/>
      <c r="BI46" s="159"/>
      <c r="BJ46" s="159"/>
      <c r="BK46" s="159"/>
      <c r="BL46" s="159"/>
      <c r="BM46" s="159"/>
      <c r="BN46" s="159"/>
      <c r="BO46" s="159"/>
      <c r="BP46" s="160"/>
      <c r="BQ46" s="158"/>
      <c r="BR46" s="161"/>
      <c r="BS46" s="159"/>
      <c r="BT46" s="159"/>
      <c r="BU46" s="159"/>
      <c r="BV46" s="159"/>
      <c r="BW46" s="159"/>
      <c r="BX46" s="159"/>
      <c r="BY46" s="159"/>
      <c r="BZ46" s="159"/>
      <c r="CA46" s="160"/>
      <c r="CB46" s="158"/>
      <c r="CC46" s="161"/>
      <c r="CD46" s="159"/>
      <c r="CE46" s="159"/>
      <c r="CF46" s="159"/>
      <c r="CG46" s="159"/>
      <c r="CH46" s="159"/>
      <c r="CI46" s="159"/>
      <c r="CJ46" s="159"/>
      <c r="CK46" s="159"/>
      <c r="CL46" s="160"/>
      <c r="CM46" s="158"/>
      <c r="CN46" s="161"/>
      <c r="CO46" s="159"/>
      <c r="CP46" s="159"/>
      <c r="CQ46" s="159"/>
      <c r="CR46" s="159"/>
      <c r="CS46" s="159"/>
      <c r="CT46" s="159"/>
      <c r="CU46" s="159"/>
      <c r="CV46" s="159"/>
      <c r="CW46" s="160"/>
      <c r="CX46" s="158"/>
      <c r="CY46" s="161"/>
      <c r="CZ46" s="159"/>
      <c r="DA46" s="159"/>
      <c r="DB46" s="159"/>
      <c r="DC46" s="159"/>
      <c r="DD46" s="159"/>
      <c r="DE46" s="159"/>
      <c r="DF46" s="159"/>
      <c r="DG46" s="159"/>
      <c r="DH46" s="160"/>
      <c r="DI46" s="158"/>
      <c r="DJ46" s="161"/>
      <c r="DK46" s="159"/>
      <c r="DL46" s="159"/>
      <c r="DM46" s="159"/>
      <c r="DN46" s="159"/>
      <c r="DO46" s="159"/>
      <c r="DP46" s="159"/>
      <c r="DQ46" s="159"/>
      <c r="DR46" s="159"/>
      <c r="DS46" s="160"/>
      <c r="DT46" s="158"/>
      <c r="DU46" s="161"/>
      <c r="DV46" s="159"/>
      <c r="DW46" s="159"/>
      <c r="DX46" s="159"/>
      <c r="DY46" s="159"/>
      <c r="DZ46" s="159"/>
      <c r="EA46" s="159"/>
      <c r="EB46" s="159"/>
      <c r="EC46" s="159"/>
      <c r="ED46" s="160"/>
      <c r="EE46" s="158"/>
      <c r="EF46" s="161"/>
      <c r="EG46" s="159"/>
      <c r="EH46" s="159"/>
      <c r="EI46" s="159"/>
      <c r="EJ46" s="159"/>
      <c r="EK46" s="159"/>
      <c r="EL46" s="159"/>
      <c r="EM46" s="159"/>
      <c r="EN46" s="159"/>
      <c r="EO46" s="160"/>
      <c r="EP46" s="158"/>
      <c r="EQ46" s="161"/>
      <c r="ER46" s="159"/>
      <c r="ES46" s="159"/>
      <c r="ET46" s="159"/>
      <c r="EU46" s="159"/>
      <c r="EV46" s="159"/>
      <c r="EW46" s="159"/>
      <c r="EX46" s="159"/>
      <c r="EY46" s="159"/>
      <c r="EZ46" s="160"/>
      <c r="FA46" s="158"/>
      <c r="FB46" s="161"/>
      <c r="FC46" s="159"/>
      <c r="FD46" s="159"/>
      <c r="FE46" s="159"/>
      <c r="FF46" s="159"/>
      <c r="FG46" s="159"/>
      <c r="FH46" s="159"/>
      <c r="FI46" s="159"/>
      <c r="FJ46" s="159"/>
      <c r="FK46" s="160"/>
      <c r="FL46" s="158"/>
      <c r="FM46" s="161"/>
      <c r="FN46" s="159"/>
      <c r="FO46" s="159"/>
      <c r="FP46" s="159"/>
      <c r="FQ46" s="159"/>
      <c r="FR46" s="159"/>
      <c r="FS46" s="159"/>
      <c r="FT46" s="159"/>
      <c r="FU46" s="159"/>
      <c r="FV46" s="160"/>
      <c r="FW46" s="158"/>
      <c r="FX46" s="161"/>
      <c r="FY46" s="159"/>
      <c r="FZ46" s="159"/>
      <c r="GA46" s="159"/>
      <c r="GB46" s="159"/>
      <c r="GC46" s="159"/>
      <c r="GD46" s="159"/>
      <c r="GE46" s="159"/>
      <c r="GF46" s="159"/>
      <c r="GG46" s="160"/>
      <c r="GH46" s="158"/>
      <c r="GI46" s="161"/>
      <c r="GJ46" s="159"/>
      <c r="GK46" s="159"/>
      <c r="GL46" s="159"/>
      <c r="GM46" s="159"/>
      <c r="GN46" s="159"/>
      <c r="GO46" s="159"/>
      <c r="GP46" s="159"/>
      <c r="GQ46" s="159"/>
      <c r="GR46" s="160"/>
      <c r="GS46" s="158"/>
      <c r="GT46" s="161"/>
      <c r="GU46" s="159"/>
      <c r="GV46" s="159"/>
      <c r="GW46" s="159"/>
      <c r="GX46" s="159"/>
      <c r="GY46" s="159"/>
      <c r="GZ46" s="159"/>
      <c r="HA46" s="159"/>
      <c r="HB46" s="159"/>
      <c r="HC46" s="160"/>
      <c r="HD46" s="158"/>
      <c r="HE46" s="161"/>
      <c r="HF46" s="159"/>
      <c r="HG46" s="159"/>
      <c r="HH46" s="159"/>
      <c r="HI46" s="159"/>
      <c r="HJ46" s="159"/>
      <c r="HK46" s="159"/>
      <c r="HL46" s="159"/>
      <c r="HM46" s="159"/>
      <c r="HN46" s="160"/>
      <c r="HO46" s="158"/>
      <c r="HP46" s="161"/>
      <c r="HQ46" s="159"/>
      <c r="HR46" s="159"/>
      <c r="HS46" s="159"/>
      <c r="HT46" s="159"/>
      <c r="HU46" s="159"/>
      <c r="HV46" s="159"/>
      <c r="HW46" s="159"/>
      <c r="HX46" s="159"/>
      <c r="HY46" s="160"/>
      <c r="HZ46" s="158"/>
      <c r="IA46" s="161"/>
      <c r="IB46" s="159"/>
      <c r="IC46" s="159"/>
      <c r="ID46" s="159"/>
      <c r="IE46" s="159"/>
      <c r="IF46" s="159"/>
      <c r="IG46" s="159"/>
      <c r="IH46" s="159"/>
      <c r="II46" s="159"/>
      <c r="IJ46" s="160"/>
      <c r="IK46" s="158"/>
      <c r="IL46" s="161"/>
      <c r="IM46" s="159"/>
      <c r="IN46" s="159"/>
      <c r="IO46" s="159"/>
      <c r="IP46" s="159"/>
      <c r="IQ46" s="159"/>
      <c r="IR46" s="159"/>
      <c r="IS46" s="159"/>
      <c r="IT46" s="159"/>
      <c r="IU46" s="160"/>
      <c r="IV46" s="158"/>
      <c r="IW46" s="161"/>
      <c r="IX46" s="159"/>
      <c r="IY46" s="159"/>
      <c r="IZ46" s="159"/>
      <c r="JA46" s="159"/>
      <c r="JB46" s="159"/>
      <c r="JC46" s="159"/>
      <c r="JD46" s="159"/>
      <c r="JE46" s="159"/>
      <c r="JF46" s="160"/>
      <c r="JG46" s="158"/>
      <c r="JH46" s="161"/>
      <c r="JI46" s="159"/>
      <c r="JJ46" s="159"/>
      <c r="JK46" s="159"/>
      <c r="JL46" s="159"/>
      <c r="JM46" s="159"/>
      <c r="JN46" s="159"/>
      <c r="JO46" s="159"/>
      <c r="JP46" s="159"/>
      <c r="JQ46" s="160"/>
      <c r="JR46" s="158"/>
      <c r="JS46" s="161"/>
      <c r="JT46" s="159"/>
      <c r="JU46" s="159"/>
      <c r="JV46" s="159"/>
      <c r="JW46" s="159"/>
      <c r="JX46" s="159"/>
      <c r="JY46" s="159"/>
      <c r="JZ46" s="159"/>
      <c r="KA46" s="159"/>
      <c r="KB46" s="160"/>
      <c r="KC46" s="158"/>
      <c r="KD46" s="161"/>
      <c r="KE46" s="159"/>
      <c r="KF46" s="159"/>
      <c r="KG46" s="159"/>
      <c r="KH46" s="159"/>
      <c r="KI46" s="159"/>
      <c r="KJ46" s="159"/>
      <c r="KK46" s="159"/>
      <c r="KL46" s="159"/>
      <c r="KM46" s="160"/>
      <c r="KN46" s="158"/>
      <c r="KO46" s="161"/>
      <c r="KP46" s="159"/>
      <c r="KQ46" s="159"/>
      <c r="KR46" s="159"/>
      <c r="KS46" s="159"/>
      <c r="KT46" s="159"/>
      <c r="KU46" s="159"/>
      <c r="KV46" s="159"/>
      <c r="KW46" s="159"/>
      <c r="KX46" s="160"/>
      <c r="KY46" s="158"/>
      <c r="KZ46" s="161"/>
      <c r="LA46" s="159"/>
      <c r="LB46" s="159"/>
      <c r="LC46" s="159"/>
      <c r="LD46" s="159"/>
      <c r="LE46" s="159"/>
      <c r="LF46" s="159"/>
      <c r="LG46" s="159"/>
      <c r="LH46" s="159"/>
      <c r="LI46" s="160"/>
      <c r="LJ46" s="158"/>
      <c r="LK46" s="161"/>
      <c r="LL46" s="159"/>
      <c r="LM46" s="159"/>
      <c r="LN46" s="159"/>
      <c r="LO46" s="159"/>
      <c r="LP46" s="159"/>
      <c r="LQ46" s="159"/>
      <c r="LR46" s="159"/>
      <c r="LS46" s="159"/>
      <c r="LT46" s="160"/>
      <c r="LW46" s="158"/>
      <c r="LX46" s="155" t="n">
        <f aca="false">D200+O200+Z200+AK200+AV200+BG200+BR200+CC200+CN200+CY200+DJ200+DU200+EF200+EQ200+FB200+FM200+FX200+GI200+GT200+HE200+HP200+IA200+IL200+IW200+JH200+JS200+KD200+KO200+KZ200+LK200</f>
        <v>0</v>
      </c>
      <c r="LY46" s="156" t="n">
        <f aca="false">E200+P200+AA200+AL200+AW200+BH200+BS200+CD200+CO200+CZ200+DK200+DV200+EG200+ER200+FC200+FN200+FY200+GJ200+GU200+HF200+HQ200+IB200+IM200+IX200+JI200+JT200+KE200+KP200+LA200+LL200</f>
        <v>0</v>
      </c>
      <c r="LZ46" s="156" t="n">
        <f aca="false">F200+Q200+AB200+AM200+AX200+BI200+BT200+CE200+CP200+DA200+DL200+DW200+EH200+ES200+FD200+FO200+FZ200+GK200+GV200+HG200+HR200+IC200+IN200+IY200+JJ200+JU200+KF200+KQ200+LB200+LM200</f>
        <v>0</v>
      </c>
      <c r="MA46" s="156" t="n">
        <f aca="false">G200+R200+AC200+AN200+AY200+BJ200+BU200+CF200+CQ200+DB200+DM200+DX200+EI200+ET200+FE200+FP200+GA200+GL200+GW200+HH200+HS200+ID200+IO200+IZ200+JK200+JV200+KG200+KR200+LC200+LN200</f>
        <v>0</v>
      </c>
      <c r="MB46" s="156" t="n">
        <f aca="false">H200+S200+AD200+AO200+AZ200+BK200+BV200+CG200+CR200+DC200+DN200+DY200+EJ200+EU200+FF200+FQ200+GB200+GM200+GX200+HI200+HT200+IE200+IP200+JA200+JL200+JW200+KH200+KS200+LD200+LO200</f>
        <v>0</v>
      </c>
      <c r="MC46" s="156" t="n">
        <f aca="false">I200+T200+AE200+AP200+BA200+BL200+BW200+CH200+CS200+DD200+DO200+DZ200+EK200+EV200+FG200+FR200+GC200+GN200+GY200+HJ200+HU200+IF200+IQ200+JB200+JM200+JX200+KI200+KT200+LE200+LP200</f>
        <v>0</v>
      </c>
      <c r="MD46" s="156" t="n">
        <f aca="false">J200+U200+AF200+AQ200+BB200+BM200+BX200+CI200+CT200+DE200+DP200+EA200+EL200+EW200+FH200+FS200+GD200+GO200+GZ200+HK200+HV200+IG200+IR200+JC200+JN200+JY200+KJ200+KU200+LF200+LQ200</f>
        <v>0</v>
      </c>
      <c r="ME46" s="156" t="n">
        <f aca="false">K200+V200+AG200+AR200+BC200+BN200+BY200+CJ200+CU200+DF200+DQ200+EB200+EM200+EX200+FI200+FT200+GE200+GP200+HA200+HL200+HW200+IH200+IS200+JD200+JO200+JZ200+KK200+KV200+LG200+LR200</f>
        <v>0</v>
      </c>
      <c r="MF46" s="156" t="n">
        <f aca="false">L200+W200+AH200+AS200+BD200+BO200+BZ200+CK200+CV200+DG200+DR200+EC200+EN200+EY200+FJ200+FU200+GF200+GQ200+HB200+HM200+HX200+II200+IT200+JE200+JP200+KA200+KL200+KW200+LH200+LS200</f>
        <v>0</v>
      </c>
      <c r="MG46" s="157" t="n">
        <f aca="false">M200+X200+AI200+AT200+BE200+BP200+CA200+CL200+CW200+DH200+DS200+ED200+EO200+EZ200+FK200+FV200+GG200+GR200+HC200+HN200+HY200+IJ200+IU200+JF200+JQ200+KB200+KM200+KX200+LI200+LT200</f>
        <v>0</v>
      </c>
    </row>
    <row r="47" customFormat="false" ht="15" hidden="false" customHeight="false" outlineLevel="0" collapsed="false">
      <c r="A47" s="29" t="n">
        <v>42</v>
      </c>
      <c r="B47" s="162" t="str">
        <f aca="false">'Datos Iniciales'!T50</f>
        <v>Alumno42</v>
      </c>
      <c r="C47" s="158"/>
      <c r="D47" s="161"/>
      <c r="E47" s="159"/>
      <c r="F47" s="159"/>
      <c r="G47" s="159"/>
      <c r="H47" s="159"/>
      <c r="I47" s="159"/>
      <c r="J47" s="159"/>
      <c r="K47" s="159"/>
      <c r="L47" s="159"/>
      <c r="M47" s="160"/>
      <c r="N47" s="158"/>
      <c r="O47" s="161"/>
      <c r="P47" s="159"/>
      <c r="Q47" s="159"/>
      <c r="R47" s="159"/>
      <c r="S47" s="159"/>
      <c r="T47" s="159"/>
      <c r="U47" s="159"/>
      <c r="V47" s="159"/>
      <c r="W47" s="159"/>
      <c r="X47" s="160"/>
      <c r="Y47" s="158"/>
      <c r="Z47" s="161"/>
      <c r="AA47" s="159"/>
      <c r="AB47" s="159"/>
      <c r="AC47" s="159"/>
      <c r="AD47" s="159"/>
      <c r="AE47" s="159"/>
      <c r="AF47" s="159"/>
      <c r="AG47" s="159"/>
      <c r="AH47" s="159"/>
      <c r="AI47" s="160"/>
      <c r="AJ47" s="158"/>
      <c r="AK47" s="161"/>
      <c r="AL47" s="159"/>
      <c r="AM47" s="159"/>
      <c r="AN47" s="159"/>
      <c r="AO47" s="159"/>
      <c r="AP47" s="159"/>
      <c r="AQ47" s="159"/>
      <c r="AR47" s="159"/>
      <c r="AS47" s="159"/>
      <c r="AT47" s="160"/>
      <c r="AU47" s="158"/>
      <c r="AV47" s="161"/>
      <c r="AW47" s="159"/>
      <c r="AX47" s="159"/>
      <c r="AY47" s="159"/>
      <c r="AZ47" s="159"/>
      <c r="BA47" s="159"/>
      <c r="BB47" s="159"/>
      <c r="BC47" s="159"/>
      <c r="BD47" s="159"/>
      <c r="BE47" s="160"/>
      <c r="BF47" s="158"/>
      <c r="BG47" s="161"/>
      <c r="BH47" s="159"/>
      <c r="BI47" s="159"/>
      <c r="BJ47" s="159"/>
      <c r="BK47" s="159"/>
      <c r="BL47" s="159"/>
      <c r="BM47" s="159"/>
      <c r="BN47" s="159"/>
      <c r="BO47" s="159"/>
      <c r="BP47" s="160"/>
      <c r="BQ47" s="158"/>
      <c r="BR47" s="161"/>
      <c r="BS47" s="159"/>
      <c r="BT47" s="159"/>
      <c r="BU47" s="159"/>
      <c r="BV47" s="159"/>
      <c r="BW47" s="159"/>
      <c r="BX47" s="159"/>
      <c r="BY47" s="159"/>
      <c r="BZ47" s="159"/>
      <c r="CA47" s="160"/>
      <c r="CB47" s="158"/>
      <c r="CC47" s="161"/>
      <c r="CD47" s="159"/>
      <c r="CE47" s="159"/>
      <c r="CF47" s="159"/>
      <c r="CG47" s="159"/>
      <c r="CH47" s="159"/>
      <c r="CI47" s="159"/>
      <c r="CJ47" s="159"/>
      <c r="CK47" s="159"/>
      <c r="CL47" s="160"/>
      <c r="CM47" s="158"/>
      <c r="CN47" s="161"/>
      <c r="CO47" s="159"/>
      <c r="CP47" s="159"/>
      <c r="CQ47" s="159"/>
      <c r="CR47" s="159"/>
      <c r="CS47" s="159"/>
      <c r="CT47" s="159"/>
      <c r="CU47" s="159"/>
      <c r="CV47" s="159"/>
      <c r="CW47" s="160"/>
      <c r="CX47" s="158"/>
      <c r="CY47" s="161"/>
      <c r="CZ47" s="159"/>
      <c r="DA47" s="159"/>
      <c r="DB47" s="159"/>
      <c r="DC47" s="159"/>
      <c r="DD47" s="159"/>
      <c r="DE47" s="159"/>
      <c r="DF47" s="159"/>
      <c r="DG47" s="159"/>
      <c r="DH47" s="160"/>
      <c r="DI47" s="158"/>
      <c r="DJ47" s="161"/>
      <c r="DK47" s="159"/>
      <c r="DL47" s="159"/>
      <c r="DM47" s="159"/>
      <c r="DN47" s="159"/>
      <c r="DO47" s="159"/>
      <c r="DP47" s="159"/>
      <c r="DQ47" s="159"/>
      <c r="DR47" s="159"/>
      <c r="DS47" s="160"/>
      <c r="DT47" s="158"/>
      <c r="DU47" s="161"/>
      <c r="DV47" s="159"/>
      <c r="DW47" s="159"/>
      <c r="DX47" s="159"/>
      <c r="DY47" s="159"/>
      <c r="DZ47" s="159"/>
      <c r="EA47" s="159"/>
      <c r="EB47" s="159"/>
      <c r="EC47" s="159"/>
      <c r="ED47" s="160"/>
      <c r="EE47" s="158"/>
      <c r="EF47" s="161"/>
      <c r="EG47" s="159"/>
      <c r="EH47" s="159"/>
      <c r="EI47" s="159"/>
      <c r="EJ47" s="159"/>
      <c r="EK47" s="159"/>
      <c r="EL47" s="159"/>
      <c r="EM47" s="159"/>
      <c r="EN47" s="159"/>
      <c r="EO47" s="160"/>
      <c r="EP47" s="158"/>
      <c r="EQ47" s="161"/>
      <c r="ER47" s="159"/>
      <c r="ES47" s="159"/>
      <c r="ET47" s="159"/>
      <c r="EU47" s="159"/>
      <c r="EV47" s="159"/>
      <c r="EW47" s="159"/>
      <c r="EX47" s="159"/>
      <c r="EY47" s="159"/>
      <c r="EZ47" s="160"/>
      <c r="FA47" s="158"/>
      <c r="FB47" s="161"/>
      <c r="FC47" s="159"/>
      <c r="FD47" s="159"/>
      <c r="FE47" s="159"/>
      <c r="FF47" s="159"/>
      <c r="FG47" s="159"/>
      <c r="FH47" s="159"/>
      <c r="FI47" s="159"/>
      <c r="FJ47" s="159"/>
      <c r="FK47" s="160"/>
      <c r="FL47" s="158"/>
      <c r="FM47" s="161"/>
      <c r="FN47" s="159"/>
      <c r="FO47" s="159"/>
      <c r="FP47" s="159"/>
      <c r="FQ47" s="159"/>
      <c r="FR47" s="159"/>
      <c r="FS47" s="159"/>
      <c r="FT47" s="159"/>
      <c r="FU47" s="159"/>
      <c r="FV47" s="160"/>
      <c r="FW47" s="158"/>
      <c r="FX47" s="161"/>
      <c r="FY47" s="159"/>
      <c r="FZ47" s="159"/>
      <c r="GA47" s="159"/>
      <c r="GB47" s="159"/>
      <c r="GC47" s="159"/>
      <c r="GD47" s="159"/>
      <c r="GE47" s="159"/>
      <c r="GF47" s="159"/>
      <c r="GG47" s="160"/>
      <c r="GH47" s="158"/>
      <c r="GI47" s="161"/>
      <c r="GJ47" s="159"/>
      <c r="GK47" s="159"/>
      <c r="GL47" s="159"/>
      <c r="GM47" s="159"/>
      <c r="GN47" s="159"/>
      <c r="GO47" s="159"/>
      <c r="GP47" s="159"/>
      <c r="GQ47" s="159"/>
      <c r="GR47" s="160"/>
      <c r="GS47" s="158"/>
      <c r="GT47" s="161"/>
      <c r="GU47" s="159"/>
      <c r="GV47" s="159"/>
      <c r="GW47" s="159"/>
      <c r="GX47" s="159"/>
      <c r="GY47" s="159"/>
      <c r="GZ47" s="159"/>
      <c r="HA47" s="159"/>
      <c r="HB47" s="159"/>
      <c r="HC47" s="160"/>
      <c r="HD47" s="158"/>
      <c r="HE47" s="161"/>
      <c r="HF47" s="159"/>
      <c r="HG47" s="159"/>
      <c r="HH47" s="159"/>
      <c r="HI47" s="159"/>
      <c r="HJ47" s="159"/>
      <c r="HK47" s="159"/>
      <c r="HL47" s="159"/>
      <c r="HM47" s="159"/>
      <c r="HN47" s="160"/>
      <c r="HO47" s="158"/>
      <c r="HP47" s="161"/>
      <c r="HQ47" s="159"/>
      <c r="HR47" s="159"/>
      <c r="HS47" s="159"/>
      <c r="HT47" s="159"/>
      <c r="HU47" s="159"/>
      <c r="HV47" s="159"/>
      <c r="HW47" s="159"/>
      <c r="HX47" s="159"/>
      <c r="HY47" s="160"/>
      <c r="HZ47" s="158"/>
      <c r="IA47" s="161"/>
      <c r="IB47" s="159"/>
      <c r="IC47" s="159"/>
      <c r="ID47" s="159"/>
      <c r="IE47" s="159"/>
      <c r="IF47" s="159"/>
      <c r="IG47" s="159"/>
      <c r="IH47" s="159"/>
      <c r="II47" s="159"/>
      <c r="IJ47" s="160"/>
      <c r="IK47" s="158"/>
      <c r="IL47" s="161"/>
      <c r="IM47" s="159"/>
      <c r="IN47" s="159"/>
      <c r="IO47" s="159"/>
      <c r="IP47" s="159"/>
      <c r="IQ47" s="159"/>
      <c r="IR47" s="159"/>
      <c r="IS47" s="159"/>
      <c r="IT47" s="159"/>
      <c r="IU47" s="160"/>
      <c r="IV47" s="158"/>
      <c r="IW47" s="161"/>
      <c r="IX47" s="159"/>
      <c r="IY47" s="159"/>
      <c r="IZ47" s="159"/>
      <c r="JA47" s="159"/>
      <c r="JB47" s="159"/>
      <c r="JC47" s="159"/>
      <c r="JD47" s="159"/>
      <c r="JE47" s="159"/>
      <c r="JF47" s="160"/>
      <c r="JG47" s="158"/>
      <c r="JH47" s="161"/>
      <c r="JI47" s="159"/>
      <c r="JJ47" s="159"/>
      <c r="JK47" s="159"/>
      <c r="JL47" s="159"/>
      <c r="JM47" s="159"/>
      <c r="JN47" s="159"/>
      <c r="JO47" s="159"/>
      <c r="JP47" s="159"/>
      <c r="JQ47" s="160"/>
      <c r="JR47" s="158"/>
      <c r="JS47" s="161"/>
      <c r="JT47" s="159"/>
      <c r="JU47" s="159"/>
      <c r="JV47" s="159"/>
      <c r="JW47" s="159"/>
      <c r="JX47" s="159"/>
      <c r="JY47" s="159"/>
      <c r="JZ47" s="159"/>
      <c r="KA47" s="159"/>
      <c r="KB47" s="160"/>
      <c r="KC47" s="158"/>
      <c r="KD47" s="161"/>
      <c r="KE47" s="159"/>
      <c r="KF47" s="159"/>
      <c r="KG47" s="159"/>
      <c r="KH47" s="159"/>
      <c r="KI47" s="159"/>
      <c r="KJ47" s="159"/>
      <c r="KK47" s="159"/>
      <c r="KL47" s="159"/>
      <c r="KM47" s="160"/>
      <c r="KN47" s="158"/>
      <c r="KO47" s="161"/>
      <c r="KP47" s="159"/>
      <c r="KQ47" s="159"/>
      <c r="KR47" s="159"/>
      <c r="KS47" s="159"/>
      <c r="KT47" s="159"/>
      <c r="KU47" s="159"/>
      <c r="KV47" s="159"/>
      <c r="KW47" s="159"/>
      <c r="KX47" s="160"/>
      <c r="KY47" s="158"/>
      <c r="KZ47" s="161"/>
      <c r="LA47" s="159"/>
      <c r="LB47" s="159"/>
      <c r="LC47" s="159"/>
      <c r="LD47" s="159"/>
      <c r="LE47" s="159"/>
      <c r="LF47" s="159"/>
      <c r="LG47" s="159"/>
      <c r="LH47" s="159"/>
      <c r="LI47" s="160"/>
      <c r="LJ47" s="158"/>
      <c r="LK47" s="161"/>
      <c r="LL47" s="159"/>
      <c r="LM47" s="159"/>
      <c r="LN47" s="159"/>
      <c r="LO47" s="159"/>
      <c r="LP47" s="159"/>
      <c r="LQ47" s="159"/>
      <c r="LR47" s="159"/>
      <c r="LS47" s="159"/>
      <c r="LT47" s="160"/>
      <c r="LW47" s="158"/>
      <c r="LX47" s="155" t="n">
        <f aca="false">D201+O201+Z201+AK201+AV201+BG201+BR201+CC201+CN201+CY201+DJ201+DU201+EF201+EQ201+FB201+FM201+FX201+GI201+GT201+HE201+HP201+IA201+IL201+IW201+JH201+JS201+KD201+KO201+KZ201+LK201</f>
        <v>0</v>
      </c>
      <c r="LY47" s="156" t="n">
        <f aca="false">E201+P201+AA201+AL201+AW201+BH201+BS201+CD201+CO201+CZ201+DK201+DV201+EG201+ER201+FC201+FN201+FY201+GJ201+GU201+HF201+HQ201+IB201+IM201+IX201+JI201+JT201+KE201+KP201+LA201+LL201</f>
        <v>0</v>
      </c>
      <c r="LZ47" s="156" t="n">
        <f aca="false">F201+Q201+AB201+AM201+AX201+BI201+BT201+CE201+CP201+DA201+DL201+DW201+EH201+ES201+FD201+FO201+FZ201+GK201+GV201+HG201+HR201+IC201+IN201+IY201+JJ201+JU201+KF201+KQ201+LB201+LM201</f>
        <v>0</v>
      </c>
      <c r="MA47" s="156" t="n">
        <f aca="false">G201+R201+AC201+AN201+AY201+BJ201+BU201+CF201+CQ201+DB201+DM201+DX201+EI201+ET201+FE201+FP201+GA201+GL201+GW201+HH201+HS201+ID201+IO201+IZ201+JK201+JV201+KG201+KR201+LC201+LN201</f>
        <v>0</v>
      </c>
      <c r="MB47" s="156" t="n">
        <f aca="false">H201+S201+AD201+AO201+AZ201+BK201+BV201+CG201+CR201+DC201+DN201+DY201+EJ201+EU201+FF201+FQ201+GB201+GM201+GX201+HI201+HT201+IE201+IP201+JA201+JL201+JW201+KH201+KS201+LD201+LO201</f>
        <v>0</v>
      </c>
      <c r="MC47" s="156" t="n">
        <f aca="false">I201+T201+AE201+AP201+BA201+BL201+BW201+CH201+CS201+DD201+DO201+DZ201+EK201+EV201+FG201+FR201+GC201+GN201+GY201+HJ201+HU201+IF201+IQ201+JB201+JM201+JX201+KI201+KT201+LE201+LP201</f>
        <v>0</v>
      </c>
      <c r="MD47" s="156" t="n">
        <f aca="false">J201+U201+AF201+AQ201+BB201+BM201+BX201+CI201+CT201+DE201+DP201+EA201+EL201+EW201+FH201+FS201+GD201+GO201+GZ201+HK201+HV201+IG201+IR201+JC201+JN201+JY201+KJ201+KU201+LF201+LQ201</f>
        <v>0</v>
      </c>
      <c r="ME47" s="156" t="n">
        <f aca="false">K201+V201+AG201+AR201+BC201+BN201+BY201+CJ201+CU201+DF201+DQ201+EB201+EM201+EX201+FI201+FT201+GE201+GP201+HA201+HL201+HW201+IH201+IS201+JD201+JO201+JZ201+KK201+KV201+LG201+LR201</f>
        <v>0</v>
      </c>
      <c r="MF47" s="156" t="n">
        <f aca="false">L201+W201+AH201+AS201+BD201+BO201+BZ201+CK201+CV201+DG201+DR201+EC201+EN201+EY201+FJ201+FU201+GF201+GQ201+HB201+HM201+HX201+II201+IT201+JE201+JP201+KA201+KL201+KW201+LH201+LS201</f>
        <v>0</v>
      </c>
      <c r="MG47" s="157" t="n">
        <f aca="false">M201+X201+AI201+AT201+BE201+BP201+CA201+CL201+CW201+DH201+DS201+ED201+EO201+EZ201+FK201+FV201+GG201+GR201+HC201+HN201+HY201+IJ201+IU201+JF201+JQ201+KB201+KM201+KX201+LI201+LT201</f>
        <v>0</v>
      </c>
    </row>
    <row r="48" customFormat="false" ht="15" hidden="false" customHeight="false" outlineLevel="0" collapsed="false">
      <c r="A48" s="29" t="n">
        <v>43</v>
      </c>
      <c r="B48" s="162" t="str">
        <f aca="false">'Datos Iniciales'!T51</f>
        <v>Alumno43</v>
      </c>
      <c r="C48" s="158"/>
      <c r="D48" s="161"/>
      <c r="E48" s="159"/>
      <c r="F48" s="159"/>
      <c r="G48" s="159"/>
      <c r="H48" s="159"/>
      <c r="I48" s="159"/>
      <c r="J48" s="159"/>
      <c r="K48" s="159"/>
      <c r="L48" s="159"/>
      <c r="M48" s="160"/>
      <c r="N48" s="158"/>
      <c r="O48" s="161"/>
      <c r="P48" s="159"/>
      <c r="Q48" s="159"/>
      <c r="R48" s="159"/>
      <c r="S48" s="159"/>
      <c r="T48" s="159"/>
      <c r="U48" s="159"/>
      <c r="V48" s="159"/>
      <c r="W48" s="159"/>
      <c r="X48" s="160"/>
      <c r="Y48" s="158"/>
      <c r="Z48" s="161"/>
      <c r="AA48" s="159"/>
      <c r="AB48" s="159"/>
      <c r="AC48" s="159"/>
      <c r="AD48" s="159"/>
      <c r="AE48" s="159"/>
      <c r="AF48" s="159"/>
      <c r="AG48" s="159"/>
      <c r="AH48" s="159"/>
      <c r="AI48" s="160"/>
      <c r="AJ48" s="158"/>
      <c r="AK48" s="161"/>
      <c r="AL48" s="159"/>
      <c r="AM48" s="159"/>
      <c r="AN48" s="159"/>
      <c r="AO48" s="159"/>
      <c r="AP48" s="159"/>
      <c r="AQ48" s="159"/>
      <c r="AR48" s="159"/>
      <c r="AS48" s="159"/>
      <c r="AT48" s="160"/>
      <c r="AU48" s="158"/>
      <c r="AV48" s="161"/>
      <c r="AW48" s="159"/>
      <c r="AX48" s="159"/>
      <c r="AY48" s="159"/>
      <c r="AZ48" s="159"/>
      <c r="BA48" s="159"/>
      <c r="BB48" s="159"/>
      <c r="BC48" s="159"/>
      <c r="BD48" s="159"/>
      <c r="BE48" s="160"/>
      <c r="BF48" s="158"/>
      <c r="BG48" s="161"/>
      <c r="BH48" s="159"/>
      <c r="BI48" s="159"/>
      <c r="BJ48" s="159"/>
      <c r="BK48" s="159"/>
      <c r="BL48" s="159"/>
      <c r="BM48" s="159"/>
      <c r="BN48" s="159"/>
      <c r="BO48" s="159"/>
      <c r="BP48" s="160"/>
      <c r="BQ48" s="158"/>
      <c r="BR48" s="161"/>
      <c r="BS48" s="159"/>
      <c r="BT48" s="159"/>
      <c r="BU48" s="159"/>
      <c r="BV48" s="159"/>
      <c r="BW48" s="159"/>
      <c r="BX48" s="159"/>
      <c r="BY48" s="159"/>
      <c r="BZ48" s="159"/>
      <c r="CA48" s="160"/>
      <c r="CB48" s="158"/>
      <c r="CC48" s="161"/>
      <c r="CD48" s="159"/>
      <c r="CE48" s="159"/>
      <c r="CF48" s="159"/>
      <c r="CG48" s="159"/>
      <c r="CH48" s="159"/>
      <c r="CI48" s="159"/>
      <c r="CJ48" s="159"/>
      <c r="CK48" s="159"/>
      <c r="CL48" s="160"/>
      <c r="CM48" s="158"/>
      <c r="CN48" s="161"/>
      <c r="CO48" s="159"/>
      <c r="CP48" s="159"/>
      <c r="CQ48" s="159"/>
      <c r="CR48" s="159"/>
      <c r="CS48" s="159"/>
      <c r="CT48" s="159"/>
      <c r="CU48" s="159"/>
      <c r="CV48" s="159"/>
      <c r="CW48" s="160"/>
      <c r="CX48" s="158"/>
      <c r="CY48" s="161"/>
      <c r="CZ48" s="159"/>
      <c r="DA48" s="159"/>
      <c r="DB48" s="159"/>
      <c r="DC48" s="159"/>
      <c r="DD48" s="159"/>
      <c r="DE48" s="159"/>
      <c r="DF48" s="159"/>
      <c r="DG48" s="159"/>
      <c r="DH48" s="160"/>
      <c r="DI48" s="158"/>
      <c r="DJ48" s="161"/>
      <c r="DK48" s="159"/>
      <c r="DL48" s="159"/>
      <c r="DM48" s="159"/>
      <c r="DN48" s="159"/>
      <c r="DO48" s="159"/>
      <c r="DP48" s="159"/>
      <c r="DQ48" s="159"/>
      <c r="DR48" s="159"/>
      <c r="DS48" s="160"/>
      <c r="DT48" s="158"/>
      <c r="DU48" s="161"/>
      <c r="DV48" s="159"/>
      <c r="DW48" s="159"/>
      <c r="DX48" s="159"/>
      <c r="DY48" s="159"/>
      <c r="DZ48" s="159"/>
      <c r="EA48" s="159"/>
      <c r="EB48" s="159"/>
      <c r="EC48" s="159"/>
      <c r="ED48" s="160"/>
      <c r="EE48" s="158"/>
      <c r="EF48" s="161"/>
      <c r="EG48" s="159"/>
      <c r="EH48" s="159"/>
      <c r="EI48" s="159"/>
      <c r="EJ48" s="159"/>
      <c r="EK48" s="159"/>
      <c r="EL48" s="159"/>
      <c r="EM48" s="159"/>
      <c r="EN48" s="159"/>
      <c r="EO48" s="160"/>
      <c r="EP48" s="158"/>
      <c r="EQ48" s="161"/>
      <c r="ER48" s="159"/>
      <c r="ES48" s="159"/>
      <c r="ET48" s="159"/>
      <c r="EU48" s="159"/>
      <c r="EV48" s="159"/>
      <c r="EW48" s="159"/>
      <c r="EX48" s="159"/>
      <c r="EY48" s="159"/>
      <c r="EZ48" s="160"/>
      <c r="FA48" s="158"/>
      <c r="FB48" s="161"/>
      <c r="FC48" s="159"/>
      <c r="FD48" s="159"/>
      <c r="FE48" s="159"/>
      <c r="FF48" s="159"/>
      <c r="FG48" s="159"/>
      <c r="FH48" s="159"/>
      <c r="FI48" s="159"/>
      <c r="FJ48" s="159"/>
      <c r="FK48" s="160"/>
      <c r="FL48" s="158"/>
      <c r="FM48" s="161"/>
      <c r="FN48" s="159"/>
      <c r="FO48" s="159"/>
      <c r="FP48" s="159"/>
      <c r="FQ48" s="159"/>
      <c r="FR48" s="159"/>
      <c r="FS48" s="159"/>
      <c r="FT48" s="159"/>
      <c r="FU48" s="159"/>
      <c r="FV48" s="160"/>
      <c r="FW48" s="158"/>
      <c r="FX48" s="161"/>
      <c r="FY48" s="159"/>
      <c r="FZ48" s="159"/>
      <c r="GA48" s="159"/>
      <c r="GB48" s="159"/>
      <c r="GC48" s="159"/>
      <c r="GD48" s="159"/>
      <c r="GE48" s="159"/>
      <c r="GF48" s="159"/>
      <c r="GG48" s="160"/>
      <c r="GH48" s="158"/>
      <c r="GI48" s="161"/>
      <c r="GJ48" s="159"/>
      <c r="GK48" s="159"/>
      <c r="GL48" s="159"/>
      <c r="GM48" s="159"/>
      <c r="GN48" s="159"/>
      <c r="GO48" s="159"/>
      <c r="GP48" s="159"/>
      <c r="GQ48" s="159"/>
      <c r="GR48" s="160"/>
      <c r="GS48" s="158"/>
      <c r="GT48" s="161"/>
      <c r="GU48" s="159"/>
      <c r="GV48" s="159"/>
      <c r="GW48" s="159"/>
      <c r="GX48" s="159"/>
      <c r="GY48" s="159"/>
      <c r="GZ48" s="159"/>
      <c r="HA48" s="159"/>
      <c r="HB48" s="159"/>
      <c r="HC48" s="160"/>
      <c r="HD48" s="158"/>
      <c r="HE48" s="161"/>
      <c r="HF48" s="159"/>
      <c r="HG48" s="159"/>
      <c r="HH48" s="159"/>
      <c r="HI48" s="159"/>
      <c r="HJ48" s="159"/>
      <c r="HK48" s="159"/>
      <c r="HL48" s="159"/>
      <c r="HM48" s="159"/>
      <c r="HN48" s="160"/>
      <c r="HO48" s="158"/>
      <c r="HP48" s="161"/>
      <c r="HQ48" s="159"/>
      <c r="HR48" s="159"/>
      <c r="HS48" s="159"/>
      <c r="HT48" s="159"/>
      <c r="HU48" s="159"/>
      <c r="HV48" s="159"/>
      <c r="HW48" s="159"/>
      <c r="HX48" s="159"/>
      <c r="HY48" s="160"/>
      <c r="HZ48" s="158"/>
      <c r="IA48" s="161"/>
      <c r="IB48" s="159"/>
      <c r="IC48" s="159"/>
      <c r="ID48" s="159"/>
      <c r="IE48" s="159"/>
      <c r="IF48" s="159"/>
      <c r="IG48" s="159"/>
      <c r="IH48" s="159"/>
      <c r="II48" s="159"/>
      <c r="IJ48" s="160"/>
      <c r="IK48" s="158"/>
      <c r="IL48" s="161"/>
      <c r="IM48" s="159"/>
      <c r="IN48" s="159"/>
      <c r="IO48" s="159"/>
      <c r="IP48" s="159"/>
      <c r="IQ48" s="159"/>
      <c r="IR48" s="159"/>
      <c r="IS48" s="159"/>
      <c r="IT48" s="159"/>
      <c r="IU48" s="160"/>
      <c r="IV48" s="158"/>
      <c r="IW48" s="161"/>
      <c r="IX48" s="159"/>
      <c r="IY48" s="159"/>
      <c r="IZ48" s="159"/>
      <c r="JA48" s="159"/>
      <c r="JB48" s="159"/>
      <c r="JC48" s="159"/>
      <c r="JD48" s="159"/>
      <c r="JE48" s="159"/>
      <c r="JF48" s="160"/>
      <c r="JG48" s="158"/>
      <c r="JH48" s="161"/>
      <c r="JI48" s="159"/>
      <c r="JJ48" s="159"/>
      <c r="JK48" s="159"/>
      <c r="JL48" s="159"/>
      <c r="JM48" s="159"/>
      <c r="JN48" s="159"/>
      <c r="JO48" s="159"/>
      <c r="JP48" s="159"/>
      <c r="JQ48" s="160"/>
      <c r="JR48" s="158"/>
      <c r="JS48" s="161"/>
      <c r="JT48" s="159"/>
      <c r="JU48" s="159"/>
      <c r="JV48" s="159"/>
      <c r="JW48" s="159"/>
      <c r="JX48" s="159"/>
      <c r="JY48" s="159"/>
      <c r="JZ48" s="159"/>
      <c r="KA48" s="159"/>
      <c r="KB48" s="160"/>
      <c r="KC48" s="158"/>
      <c r="KD48" s="161"/>
      <c r="KE48" s="159"/>
      <c r="KF48" s="159"/>
      <c r="KG48" s="159"/>
      <c r="KH48" s="159"/>
      <c r="KI48" s="159"/>
      <c r="KJ48" s="159"/>
      <c r="KK48" s="159"/>
      <c r="KL48" s="159"/>
      <c r="KM48" s="160"/>
      <c r="KN48" s="158"/>
      <c r="KO48" s="161"/>
      <c r="KP48" s="159"/>
      <c r="KQ48" s="159"/>
      <c r="KR48" s="159"/>
      <c r="KS48" s="159"/>
      <c r="KT48" s="159"/>
      <c r="KU48" s="159"/>
      <c r="KV48" s="159"/>
      <c r="KW48" s="159"/>
      <c r="KX48" s="160"/>
      <c r="KY48" s="158"/>
      <c r="KZ48" s="161"/>
      <c r="LA48" s="159"/>
      <c r="LB48" s="159"/>
      <c r="LC48" s="159"/>
      <c r="LD48" s="159"/>
      <c r="LE48" s="159"/>
      <c r="LF48" s="159"/>
      <c r="LG48" s="159"/>
      <c r="LH48" s="159"/>
      <c r="LI48" s="160"/>
      <c r="LJ48" s="158"/>
      <c r="LK48" s="161"/>
      <c r="LL48" s="159"/>
      <c r="LM48" s="159"/>
      <c r="LN48" s="159"/>
      <c r="LO48" s="159"/>
      <c r="LP48" s="159"/>
      <c r="LQ48" s="159"/>
      <c r="LR48" s="159"/>
      <c r="LS48" s="159"/>
      <c r="LT48" s="160"/>
      <c r="LW48" s="158"/>
      <c r="LX48" s="155" t="n">
        <f aca="false">D202+O202+Z202+AK202+AV202+BG202+BR202+CC202+CN202+CY202+DJ202+DU202+EF202+EQ202+FB202+FM202+FX202+GI202+GT202+HE202+HP202+IA202+IL202+IW202+JH202+JS202+KD202+KO202+KZ202+LK202</f>
        <v>0</v>
      </c>
      <c r="LY48" s="156" t="n">
        <f aca="false">E202+P202+AA202+AL202+AW202+BH202+BS202+CD202+CO202+CZ202+DK202+DV202+EG202+ER202+FC202+FN202+FY202+GJ202+GU202+HF202+HQ202+IB202+IM202+IX202+JI202+JT202+KE202+KP202+LA202+LL202</f>
        <v>0</v>
      </c>
      <c r="LZ48" s="156" t="n">
        <f aca="false">F202+Q202+AB202+AM202+AX202+BI202+BT202+CE202+CP202+DA202+DL202+DW202+EH202+ES202+FD202+FO202+FZ202+GK202+GV202+HG202+HR202+IC202+IN202+IY202+JJ202+JU202+KF202+KQ202+LB202+LM202</f>
        <v>0</v>
      </c>
      <c r="MA48" s="156" t="n">
        <f aca="false">G202+R202+AC202+AN202+AY202+BJ202+BU202+CF202+CQ202+DB202+DM202+DX202+EI202+ET202+FE202+FP202+GA202+GL202+GW202+HH202+HS202+ID202+IO202+IZ202+JK202+JV202+KG202+KR202+LC202+LN202</f>
        <v>0</v>
      </c>
      <c r="MB48" s="156" t="n">
        <f aca="false">H202+S202+AD202+AO202+AZ202+BK202+BV202+CG202+CR202+DC202+DN202+DY202+EJ202+EU202+FF202+FQ202+GB202+GM202+GX202+HI202+HT202+IE202+IP202+JA202+JL202+JW202+KH202+KS202+LD202+LO202</f>
        <v>0</v>
      </c>
      <c r="MC48" s="156" t="n">
        <f aca="false">I202+T202+AE202+AP202+BA202+BL202+BW202+CH202+CS202+DD202+DO202+DZ202+EK202+EV202+FG202+FR202+GC202+GN202+GY202+HJ202+HU202+IF202+IQ202+JB202+JM202+JX202+KI202+KT202+LE202+LP202</f>
        <v>0</v>
      </c>
      <c r="MD48" s="156" t="n">
        <f aca="false">J202+U202+AF202+AQ202+BB202+BM202+BX202+CI202+CT202+DE202+DP202+EA202+EL202+EW202+FH202+FS202+GD202+GO202+GZ202+HK202+HV202+IG202+IR202+JC202+JN202+JY202+KJ202+KU202+LF202+LQ202</f>
        <v>0</v>
      </c>
      <c r="ME48" s="156" t="n">
        <f aca="false">K202+V202+AG202+AR202+BC202+BN202+BY202+CJ202+CU202+DF202+DQ202+EB202+EM202+EX202+FI202+FT202+GE202+GP202+HA202+HL202+HW202+IH202+IS202+JD202+JO202+JZ202+KK202+KV202+LG202+LR202</f>
        <v>0</v>
      </c>
      <c r="MF48" s="156" t="n">
        <f aca="false">L202+W202+AH202+AS202+BD202+BO202+BZ202+CK202+CV202+DG202+DR202+EC202+EN202+EY202+FJ202+FU202+GF202+GQ202+HB202+HM202+HX202+II202+IT202+JE202+JP202+KA202+KL202+KW202+LH202+LS202</f>
        <v>0</v>
      </c>
      <c r="MG48" s="157" t="n">
        <f aca="false">M202+X202+AI202+AT202+BE202+BP202+CA202+CL202+CW202+DH202+DS202+ED202+EO202+EZ202+FK202+FV202+GG202+GR202+HC202+HN202+HY202+IJ202+IU202+JF202+JQ202+KB202+KM202+KX202+LI202+LT202</f>
        <v>0</v>
      </c>
    </row>
    <row r="49" customFormat="false" ht="15" hidden="false" customHeight="false" outlineLevel="0" collapsed="false">
      <c r="A49" s="29" t="n">
        <v>44</v>
      </c>
      <c r="B49" s="162" t="str">
        <f aca="false">'Datos Iniciales'!T52</f>
        <v>Alumno44</v>
      </c>
      <c r="C49" s="158"/>
      <c r="D49" s="161"/>
      <c r="E49" s="159"/>
      <c r="F49" s="159"/>
      <c r="G49" s="159"/>
      <c r="H49" s="159"/>
      <c r="I49" s="159"/>
      <c r="J49" s="159"/>
      <c r="K49" s="159"/>
      <c r="L49" s="159"/>
      <c r="M49" s="160"/>
      <c r="N49" s="158"/>
      <c r="O49" s="161"/>
      <c r="P49" s="159"/>
      <c r="Q49" s="159"/>
      <c r="R49" s="159"/>
      <c r="S49" s="159"/>
      <c r="T49" s="159"/>
      <c r="U49" s="159"/>
      <c r="V49" s="159"/>
      <c r="W49" s="159"/>
      <c r="X49" s="160"/>
      <c r="Y49" s="158"/>
      <c r="Z49" s="161"/>
      <c r="AA49" s="159"/>
      <c r="AB49" s="159"/>
      <c r="AC49" s="159"/>
      <c r="AD49" s="159"/>
      <c r="AE49" s="159"/>
      <c r="AF49" s="159"/>
      <c r="AG49" s="159"/>
      <c r="AH49" s="159"/>
      <c r="AI49" s="160"/>
      <c r="AJ49" s="158"/>
      <c r="AK49" s="161"/>
      <c r="AL49" s="159"/>
      <c r="AM49" s="159"/>
      <c r="AN49" s="159"/>
      <c r="AO49" s="159"/>
      <c r="AP49" s="159"/>
      <c r="AQ49" s="159"/>
      <c r="AR49" s="159"/>
      <c r="AS49" s="159"/>
      <c r="AT49" s="160"/>
      <c r="AU49" s="158"/>
      <c r="AV49" s="161"/>
      <c r="AW49" s="159"/>
      <c r="AX49" s="159"/>
      <c r="AY49" s="159"/>
      <c r="AZ49" s="159"/>
      <c r="BA49" s="159"/>
      <c r="BB49" s="159"/>
      <c r="BC49" s="159"/>
      <c r="BD49" s="159"/>
      <c r="BE49" s="160"/>
      <c r="BF49" s="158"/>
      <c r="BG49" s="161"/>
      <c r="BH49" s="159"/>
      <c r="BI49" s="159"/>
      <c r="BJ49" s="159"/>
      <c r="BK49" s="159"/>
      <c r="BL49" s="159"/>
      <c r="BM49" s="159"/>
      <c r="BN49" s="159"/>
      <c r="BO49" s="159"/>
      <c r="BP49" s="160"/>
      <c r="BQ49" s="158"/>
      <c r="BR49" s="161"/>
      <c r="BS49" s="159"/>
      <c r="BT49" s="159"/>
      <c r="BU49" s="159"/>
      <c r="BV49" s="159"/>
      <c r="BW49" s="159"/>
      <c r="BX49" s="159"/>
      <c r="BY49" s="159"/>
      <c r="BZ49" s="159"/>
      <c r="CA49" s="160"/>
      <c r="CB49" s="158"/>
      <c r="CC49" s="161"/>
      <c r="CD49" s="159"/>
      <c r="CE49" s="159"/>
      <c r="CF49" s="159"/>
      <c r="CG49" s="159"/>
      <c r="CH49" s="159"/>
      <c r="CI49" s="159"/>
      <c r="CJ49" s="159"/>
      <c r="CK49" s="159"/>
      <c r="CL49" s="160"/>
      <c r="CM49" s="158"/>
      <c r="CN49" s="161"/>
      <c r="CO49" s="159"/>
      <c r="CP49" s="159"/>
      <c r="CQ49" s="159"/>
      <c r="CR49" s="159"/>
      <c r="CS49" s="159"/>
      <c r="CT49" s="159"/>
      <c r="CU49" s="159"/>
      <c r="CV49" s="159"/>
      <c r="CW49" s="160"/>
      <c r="CX49" s="158"/>
      <c r="CY49" s="161"/>
      <c r="CZ49" s="159"/>
      <c r="DA49" s="159"/>
      <c r="DB49" s="159"/>
      <c r="DC49" s="159"/>
      <c r="DD49" s="159"/>
      <c r="DE49" s="159"/>
      <c r="DF49" s="159"/>
      <c r="DG49" s="159"/>
      <c r="DH49" s="160"/>
      <c r="DI49" s="158"/>
      <c r="DJ49" s="161"/>
      <c r="DK49" s="159"/>
      <c r="DL49" s="159"/>
      <c r="DM49" s="159"/>
      <c r="DN49" s="159"/>
      <c r="DO49" s="159"/>
      <c r="DP49" s="159"/>
      <c r="DQ49" s="159"/>
      <c r="DR49" s="159"/>
      <c r="DS49" s="160"/>
      <c r="DT49" s="158"/>
      <c r="DU49" s="161"/>
      <c r="DV49" s="159"/>
      <c r="DW49" s="159"/>
      <c r="DX49" s="159"/>
      <c r="DY49" s="159"/>
      <c r="DZ49" s="159"/>
      <c r="EA49" s="159"/>
      <c r="EB49" s="159"/>
      <c r="EC49" s="159"/>
      <c r="ED49" s="160"/>
      <c r="EE49" s="158"/>
      <c r="EF49" s="161"/>
      <c r="EG49" s="159"/>
      <c r="EH49" s="159"/>
      <c r="EI49" s="159"/>
      <c r="EJ49" s="159"/>
      <c r="EK49" s="159"/>
      <c r="EL49" s="159"/>
      <c r="EM49" s="159"/>
      <c r="EN49" s="159"/>
      <c r="EO49" s="160"/>
      <c r="EP49" s="158"/>
      <c r="EQ49" s="161"/>
      <c r="ER49" s="159"/>
      <c r="ES49" s="159"/>
      <c r="ET49" s="159"/>
      <c r="EU49" s="159"/>
      <c r="EV49" s="159"/>
      <c r="EW49" s="159"/>
      <c r="EX49" s="159"/>
      <c r="EY49" s="159"/>
      <c r="EZ49" s="160"/>
      <c r="FA49" s="158"/>
      <c r="FB49" s="161"/>
      <c r="FC49" s="159"/>
      <c r="FD49" s="159"/>
      <c r="FE49" s="159"/>
      <c r="FF49" s="159"/>
      <c r="FG49" s="159"/>
      <c r="FH49" s="159"/>
      <c r="FI49" s="159"/>
      <c r="FJ49" s="159"/>
      <c r="FK49" s="160"/>
      <c r="FL49" s="158"/>
      <c r="FM49" s="161"/>
      <c r="FN49" s="159"/>
      <c r="FO49" s="159"/>
      <c r="FP49" s="159"/>
      <c r="FQ49" s="159"/>
      <c r="FR49" s="159"/>
      <c r="FS49" s="159"/>
      <c r="FT49" s="159"/>
      <c r="FU49" s="159"/>
      <c r="FV49" s="160"/>
      <c r="FW49" s="158"/>
      <c r="FX49" s="161"/>
      <c r="FY49" s="159"/>
      <c r="FZ49" s="159"/>
      <c r="GA49" s="159"/>
      <c r="GB49" s="159"/>
      <c r="GC49" s="159"/>
      <c r="GD49" s="159"/>
      <c r="GE49" s="159"/>
      <c r="GF49" s="159"/>
      <c r="GG49" s="160"/>
      <c r="GH49" s="158"/>
      <c r="GI49" s="161"/>
      <c r="GJ49" s="159"/>
      <c r="GK49" s="159"/>
      <c r="GL49" s="159"/>
      <c r="GM49" s="159"/>
      <c r="GN49" s="159"/>
      <c r="GO49" s="159"/>
      <c r="GP49" s="159"/>
      <c r="GQ49" s="159"/>
      <c r="GR49" s="160"/>
      <c r="GS49" s="158"/>
      <c r="GT49" s="161"/>
      <c r="GU49" s="159"/>
      <c r="GV49" s="159"/>
      <c r="GW49" s="159"/>
      <c r="GX49" s="159"/>
      <c r="GY49" s="159"/>
      <c r="GZ49" s="159"/>
      <c r="HA49" s="159"/>
      <c r="HB49" s="159"/>
      <c r="HC49" s="160"/>
      <c r="HD49" s="158"/>
      <c r="HE49" s="161"/>
      <c r="HF49" s="159"/>
      <c r="HG49" s="159"/>
      <c r="HH49" s="159"/>
      <c r="HI49" s="159"/>
      <c r="HJ49" s="159"/>
      <c r="HK49" s="159"/>
      <c r="HL49" s="159"/>
      <c r="HM49" s="159"/>
      <c r="HN49" s="160"/>
      <c r="HO49" s="158"/>
      <c r="HP49" s="161"/>
      <c r="HQ49" s="159"/>
      <c r="HR49" s="159"/>
      <c r="HS49" s="159"/>
      <c r="HT49" s="159"/>
      <c r="HU49" s="159"/>
      <c r="HV49" s="159"/>
      <c r="HW49" s="159"/>
      <c r="HX49" s="159"/>
      <c r="HY49" s="160"/>
      <c r="HZ49" s="158"/>
      <c r="IA49" s="161"/>
      <c r="IB49" s="159"/>
      <c r="IC49" s="159"/>
      <c r="ID49" s="159"/>
      <c r="IE49" s="159"/>
      <c r="IF49" s="159"/>
      <c r="IG49" s="159"/>
      <c r="IH49" s="159"/>
      <c r="II49" s="159"/>
      <c r="IJ49" s="160"/>
      <c r="IK49" s="158"/>
      <c r="IL49" s="161"/>
      <c r="IM49" s="159"/>
      <c r="IN49" s="159"/>
      <c r="IO49" s="159"/>
      <c r="IP49" s="159"/>
      <c r="IQ49" s="159"/>
      <c r="IR49" s="159"/>
      <c r="IS49" s="159"/>
      <c r="IT49" s="159"/>
      <c r="IU49" s="160"/>
      <c r="IV49" s="158"/>
      <c r="IW49" s="161"/>
      <c r="IX49" s="159"/>
      <c r="IY49" s="159"/>
      <c r="IZ49" s="159"/>
      <c r="JA49" s="159"/>
      <c r="JB49" s="159"/>
      <c r="JC49" s="159"/>
      <c r="JD49" s="159"/>
      <c r="JE49" s="159"/>
      <c r="JF49" s="160"/>
      <c r="JG49" s="158"/>
      <c r="JH49" s="161"/>
      <c r="JI49" s="159"/>
      <c r="JJ49" s="159"/>
      <c r="JK49" s="159"/>
      <c r="JL49" s="159"/>
      <c r="JM49" s="159"/>
      <c r="JN49" s="159"/>
      <c r="JO49" s="159"/>
      <c r="JP49" s="159"/>
      <c r="JQ49" s="160"/>
      <c r="JR49" s="158"/>
      <c r="JS49" s="161"/>
      <c r="JT49" s="159"/>
      <c r="JU49" s="159"/>
      <c r="JV49" s="159"/>
      <c r="JW49" s="159"/>
      <c r="JX49" s="159"/>
      <c r="JY49" s="159"/>
      <c r="JZ49" s="159"/>
      <c r="KA49" s="159"/>
      <c r="KB49" s="160"/>
      <c r="KC49" s="158"/>
      <c r="KD49" s="161"/>
      <c r="KE49" s="159"/>
      <c r="KF49" s="159"/>
      <c r="KG49" s="159"/>
      <c r="KH49" s="159"/>
      <c r="KI49" s="159"/>
      <c r="KJ49" s="159"/>
      <c r="KK49" s="159"/>
      <c r="KL49" s="159"/>
      <c r="KM49" s="160"/>
      <c r="KN49" s="158"/>
      <c r="KO49" s="161"/>
      <c r="KP49" s="159"/>
      <c r="KQ49" s="159"/>
      <c r="KR49" s="159"/>
      <c r="KS49" s="159"/>
      <c r="KT49" s="159"/>
      <c r="KU49" s="159"/>
      <c r="KV49" s="159"/>
      <c r="KW49" s="159"/>
      <c r="KX49" s="160"/>
      <c r="KY49" s="158"/>
      <c r="KZ49" s="161"/>
      <c r="LA49" s="159"/>
      <c r="LB49" s="159"/>
      <c r="LC49" s="159"/>
      <c r="LD49" s="159"/>
      <c r="LE49" s="159"/>
      <c r="LF49" s="159"/>
      <c r="LG49" s="159"/>
      <c r="LH49" s="159"/>
      <c r="LI49" s="160"/>
      <c r="LJ49" s="158"/>
      <c r="LK49" s="161"/>
      <c r="LL49" s="159"/>
      <c r="LM49" s="159"/>
      <c r="LN49" s="159"/>
      <c r="LO49" s="159"/>
      <c r="LP49" s="159"/>
      <c r="LQ49" s="159"/>
      <c r="LR49" s="159"/>
      <c r="LS49" s="159"/>
      <c r="LT49" s="160"/>
      <c r="LW49" s="158"/>
      <c r="LX49" s="155" t="n">
        <f aca="false">D203+O203+Z203+AK203+AV203+BG203+BR203+CC203+CN203+CY203+DJ203+DU203+EF203+EQ203+FB203+FM203+FX203+GI203+GT203+HE203+HP203+IA203+IL203+IW203+JH203+JS203+KD203+KO203+KZ203+LK203</f>
        <v>0</v>
      </c>
      <c r="LY49" s="156" t="n">
        <f aca="false">E203+P203+AA203+AL203+AW203+BH203+BS203+CD203+CO203+CZ203+DK203+DV203+EG203+ER203+FC203+FN203+FY203+GJ203+GU203+HF203+HQ203+IB203+IM203+IX203+JI203+JT203+KE203+KP203+LA203+LL203</f>
        <v>0</v>
      </c>
      <c r="LZ49" s="156" t="n">
        <f aca="false">F203+Q203+AB203+AM203+AX203+BI203+BT203+CE203+CP203+DA203+DL203+DW203+EH203+ES203+FD203+FO203+FZ203+GK203+GV203+HG203+HR203+IC203+IN203+IY203+JJ203+JU203+KF203+KQ203+LB203+LM203</f>
        <v>0</v>
      </c>
      <c r="MA49" s="156" t="n">
        <f aca="false">G203+R203+AC203+AN203+AY203+BJ203+BU203+CF203+CQ203+DB203+DM203+DX203+EI203+ET203+FE203+FP203+GA203+GL203+GW203+HH203+HS203+ID203+IO203+IZ203+JK203+JV203+KG203+KR203+LC203+LN203</f>
        <v>0</v>
      </c>
      <c r="MB49" s="156" t="n">
        <f aca="false">H203+S203+AD203+AO203+AZ203+BK203+BV203+CG203+CR203+DC203+DN203+DY203+EJ203+EU203+FF203+FQ203+GB203+GM203+GX203+HI203+HT203+IE203+IP203+JA203+JL203+JW203+KH203+KS203+LD203+LO203</f>
        <v>0</v>
      </c>
      <c r="MC49" s="156" t="n">
        <f aca="false">I203+T203+AE203+AP203+BA203+BL203+BW203+CH203+CS203+DD203+DO203+DZ203+EK203+EV203+FG203+FR203+GC203+GN203+GY203+HJ203+HU203+IF203+IQ203+JB203+JM203+JX203+KI203+KT203+LE203+LP203</f>
        <v>0</v>
      </c>
      <c r="MD49" s="156" t="n">
        <f aca="false">J203+U203+AF203+AQ203+BB203+BM203+BX203+CI203+CT203+DE203+DP203+EA203+EL203+EW203+FH203+FS203+GD203+GO203+GZ203+HK203+HV203+IG203+IR203+JC203+JN203+JY203+KJ203+KU203+LF203+LQ203</f>
        <v>0</v>
      </c>
      <c r="ME49" s="156" t="n">
        <f aca="false">K203+V203+AG203+AR203+BC203+BN203+BY203+CJ203+CU203+DF203+DQ203+EB203+EM203+EX203+FI203+FT203+GE203+GP203+HA203+HL203+HW203+IH203+IS203+JD203+JO203+JZ203+KK203+KV203+LG203+LR203</f>
        <v>0</v>
      </c>
      <c r="MF49" s="156" t="n">
        <f aca="false">L203+W203+AH203+AS203+BD203+BO203+BZ203+CK203+CV203+DG203+DR203+EC203+EN203+EY203+FJ203+FU203+GF203+GQ203+HB203+HM203+HX203+II203+IT203+JE203+JP203+KA203+KL203+KW203+LH203+LS203</f>
        <v>0</v>
      </c>
      <c r="MG49" s="157" t="n">
        <f aca="false">M203+X203+AI203+AT203+BE203+BP203+CA203+CL203+CW203+DH203+DS203+ED203+EO203+EZ203+FK203+FV203+GG203+GR203+HC203+HN203+HY203+IJ203+IU203+JF203+JQ203+KB203+KM203+KX203+LI203+LT203</f>
        <v>0</v>
      </c>
    </row>
    <row r="50" customFormat="false" ht="15.75" hidden="false" customHeight="false" outlineLevel="0" collapsed="false">
      <c r="A50" s="163" t="n">
        <v>45</v>
      </c>
      <c r="B50" s="164" t="str">
        <f aca="false">'Datos Iniciales'!T53</f>
        <v>Alumno45</v>
      </c>
      <c r="C50" s="165"/>
      <c r="D50" s="161"/>
      <c r="E50" s="159"/>
      <c r="F50" s="159"/>
      <c r="G50" s="159"/>
      <c r="H50" s="159"/>
      <c r="I50" s="159"/>
      <c r="J50" s="159"/>
      <c r="K50" s="159"/>
      <c r="L50" s="159"/>
      <c r="M50" s="160"/>
      <c r="N50" s="165"/>
      <c r="O50" s="161"/>
      <c r="P50" s="159"/>
      <c r="Q50" s="159"/>
      <c r="R50" s="159"/>
      <c r="S50" s="159"/>
      <c r="T50" s="159"/>
      <c r="U50" s="159"/>
      <c r="V50" s="159"/>
      <c r="W50" s="159"/>
      <c r="X50" s="160"/>
      <c r="Y50" s="165"/>
      <c r="Z50" s="161"/>
      <c r="AA50" s="159"/>
      <c r="AB50" s="159"/>
      <c r="AC50" s="159"/>
      <c r="AD50" s="159"/>
      <c r="AE50" s="159"/>
      <c r="AF50" s="159"/>
      <c r="AG50" s="159"/>
      <c r="AH50" s="159"/>
      <c r="AI50" s="160"/>
      <c r="AJ50" s="165"/>
      <c r="AK50" s="161"/>
      <c r="AL50" s="159"/>
      <c r="AM50" s="159"/>
      <c r="AN50" s="159"/>
      <c r="AO50" s="159"/>
      <c r="AP50" s="159"/>
      <c r="AQ50" s="159"/>
      <c r="AR50" s="159"/>
      <c r="AS50" s="159"/>
      <c r="AT50" s="160"/>
      <c r="AU50" s="165"/>
      <c r="AV50" s="161"/>
      <c r="AW50" s="159"/>
      <c r="AX50" s="159"/>
      <c r="AY50" s="159"/>
      <c r="AZ50" s="159"/>
      <c r="BA50" s="159"/>
      <c r="BB50" s="159"/>
      <c r="BC50" s="159"/>
      <c r="BD50" s="159"/>
      <c r="BE50" s="160"/>
      <c r="BF50" s="165"/>
      <c r="BG50" s="161"/>
      <c r="BH50" s="159"/>
      <c r="BI50" s="159"/>
      <c r="BJ50" s="159"/>
      <c r="BK50" s="159"/>
      <c r="BL50" s="159"/>
      <c r="BM50" s="159"/>
      <c r="BN50" s="159"/>
      <c r="BO50" s="159"/>
      <c r="BP50" s="160"/>
      <c r="BQ50" s="165"/>
      <c r="BR50" s="161"/>
      <c r="BS50" s="159"/>
      <c r="BT50" s="159"/>
      <c r="BU50" s="159"/>
      <c r="BV50" s="159"/>
      <c r="BW50" s="159"/>
      <c r="BX50" s="159"/>
      <c r="BY50" s="159"/>
      <c r="BZ50" s="159"/>
      <c r="CA50" s="160"/>
      <c r="CB50" s="165"/>
      <c r="CC50" s="161"/>
      <c r="CD50" s="159"/>
      <c r="CE50" s="159"/>
      <c r="CF50" s="159"/>
      <c r="CG50" s="159"/>
      <c r="CH50" s="159"/>
      <c r="CI50" s="159"/>
      <c r="CJ50" s="159"/>
      <c r="CK50" s="159"/>
      <c r="CL50" s="160"/>
      <c r="CM50" s="165"/>
      <c r="CN50" s="161"/>
      <c r="CO50" s="159"/>
      <c r="CP50" s="159"/>
      <c r="CQ50" s="159"/>
      <c r="CR50" s="159"/>
      <c r="CS50" s="159"/>
      <c r="CT50" s="159"/>
      <c r="CU50" s="159"/>
      <c r="CV50" s="159"/>
      <c r="CW50" s="160"/>
      <c r="CX50" s="165"/>
      <c r="CY50" s="161"/>
      <c r="CZ50" s="159"/>
      <c r="DA50" s="159"/>
      <c r="DB50" s="159"/>
      <c r="DC50" s="159"/>
      <c r="DD50" s="159"/>
      <c r="DE50" s="159"/>
      <c r="DF50" s="159"/>
      <c r="DG50" s="159"/>
      <c r="DH50" s="160"/>
      <c r="DI50" s="165"/>
      <c r="DJ50" s="161"/>
      <c r="DK50" s="159"/>
      <c r="DL50" s="159"/>
      <c r="DM50" s="159"/>
      <c r="DN50" s="159"/>
      <c r="DO50" s="159"/>
      <c r="DP50" s="159"/>
      <c r="DQ50" s="159"/>
      <c r="DR50" s="159"/>
      <c r="DS50" s="160"/>
      <c r="DT50" s="165"/>
      <c r="DU50" s="161"/>
      <c r="DV50" s="159"/>
      <c r="DW50" s="159"/>
      <c r="DX50" s="159"/>
      <c r="DY50" s="159"/>
      <c r="DZ50" s="159"/>
      <c r="EA50" s="159"/>
      <c r="EB50" s="159"/>
      <c r="EC50" s="159"/>
      <c r="ED50" s="160"/>
      <c r="EE50" s="165"/>
      <c r="EF50" s="161"/>
      <c r="EG50" s="159"/>
      <c r="EH50" s="159"/>
      <c r="EI50" s="159"/>
      <c r="EJ50" s="159"/>
      <c r="EK50" s="159"/>
      <c r="EL50" s="159"/>
      <c r="EM50" s="159"/>
      <c r="EN50" s="159"/>
      <c r="EO50" s="160"/>
      <c r="EP50" s="165"/>
      <c r="EQ50" s="161"/>
      <c r="ER50" s="159"/>
      <c r="ES50" s="159"/>
      <c r="ET50" s="159"/>
      <c r="EU50" s="159"/>
      <c r="EV50" s="159"/>
      <c r="EW50" s="159"/>
      <c r="EX50" s="159"/>
      <c r="EY50" s="159"/>
      <c r="EZ50" s="160"/>
      <c r="FA50" s="165"/>
      <c r="FB50" s="161"/>
      <c r="FC50" s="159"/>
      <c r="FD50" s="159"/>
      <c r="FE50" s="159"/>
      <c r="FF50" s="159"/>
      <c r="FG50" s="159"/>
      <c r="FH50" s="159"/>
      <c r="FI50" s="159"/>
      <c r="FJ50" s="159"/>
      <c r="FK50" s="160"/>
      <c r="FL50" s="165"/>
      <c r="FM50" s="161"/>
      <c r="FN50" s="159"/>
      <c r="FO50" s="159"/>
      <c r="FP50" s="159"/>
      <c r="FQ50" s="159"/>
      <c r="FR50" s="159"/>
      <c r="FS50" s="159"/>
      <c r="FT50" s="159"/>
      <c r="FU50" s="159"/>
      <c r="FV50" s="160"/>
      <c r="FW50" s="165"/>
      <c r="FX50" s="161"/>
      <c r="FY50" s="159"/>
      <c r="FZ50" s="159"/>
      <c r="GA50" s="159"/>
      <c r="GB50" s="159"/>
      <c r="GC50" s="159"/>
      <c r="GD50" s="159"/>
      <c r="GE50" s="159"/>
      <c r="GF50" s="159"/>
      <c r="GG50" s="160"/>
      <c r="GH50" s="165"/>
      <c r="GI50" s="161"/>
      <c r="GJ50" s="159"/>
      <c r="GK50" s="159"/>
      <c r="GL50" s="159"/>
      <c r="GM50" s="159"/>
      <c r="GN50" s="159"/>
      <c r="GO50" s="159"/>
      <c r="GP50" s="159"/>
      <c r="GQ50" s="159"/>
      <c r="GR50" s="160"/>
      <c r="GS50" s="165"/>
      <c r="GT50" s="161"/>
      <c r="GU50" s="159"/>
      <c r="GV50" s="159"/>
      <c r="GW50" s="159"/>
      <c r="GX50" s="159"/>
      <c r="GY50" s="159"/>
      <c r="GZ50" s="159"/>
      <c r="HA50" s="159"/>
      <c r="HB50" s="159"/>
      <c r="HC50" s="160"/>
      <c r="HD50" s="165"/>
      <c r="HE50" s="161"/>
      <c r="HF50" s="159"/>
      <c r="HG50" s="159"/>
      <c r="HH50" s="159"/>
      <c r="HI50" s="159"/>
      <c r="HJ50" s="159"/>
      <c r="HK50" s="159"/>
      <c r="HL50" s="159"/>
      <c r="HM50" s="159"/>
      <c r="HN50" s="160"/>
      <c r="HO50" s="165"/>
      <c r="HP50" s="161"/>
      <c r="HQ50" s="159"/>
      <c r="HR50" s="159"/>
      <c r="HS50" s="159"/>
      <c r="HT50" s="159"/>
      <c r="HU50" s="159"/>
      <c r="HV50" s="159"/>
      <c r="HW50" s="159"/>
      <c r="HX50" s="159"/>
      <c r="HY50" s="160"/>
      <c r="HZ50" s="165"/>
      <c r="IA50" s="161"/>
      <c r="IB50" s="159"/>
      <c r="IC50" s="159"/>
      <c r="ID50" s="159"/>
      <c r="IE50" s="159"/>
      <c r="IF50" s="159"/>
      <c r="IG50" s="159"/>
      <c r="IH50" s="159"/>
      <c r="II50" s="159"/>
      <c r="IJ50" s="160"/>
      <c r="IK50" s="165"/>
      <c r="IL50" s="161"/>
      <c r="IM50" s="159"/>
      <c r="IN50" s="159"/>
      <c r="IO50" s="159"/>
      <c r="IP50" s="159"/>
      <c r="IQ50" s="159"/>
      <c r="IR50" s="159"/>
      <c r="IS50" s="159"/>
      <c r="IT50" s="159"/>
      <c r="IU50" s="160"/>
      <c r="IV50" s="165"/>
      <c r="IW50" s="161"/>
      <c r="IX50" s="159"/>
      <c r="IY50" s="159"/>
      <c r="IZ50" s="159"/>
      <c r="JA50" s="159"/>
      <c r="JB50" s="159"/>
      <c r="JC50" s="159"/>
      <c r="JD50" s="159"/>
      <c r="JE50" s="159"/>
      <c r="JF50" s="160"/>
      <c r="JG50" s="165"/>
      <c r="JH50" s="161"/>
      <c r="JI50" s="159"/>
      <c r="JJ50" s="159"/>
      <c r="JK50" s="159"/>
      <c r="JL50" s="159"/>
      <c r="JM50" s="159"/>
      <c r="JN50" s="159"/>
      <c r="JO50" s="159"/>
      <c r="JP50" s="159"/>
      <c r="JQ50" s="160"/>
      <c r="JR50" s="165"/>
      <c r="JS50" s="161"/>
      <c r="JT50" s="159"/>
      <c r="JU50" s="159"/>
      <c r="JV50" s="159"/>
      <c r="JW50" s="159"/>
      <c r="JX50" s="159"/>
      <c r="JY50" s="159"/>
      <c r="JZ50" s="159"/>
      <c r="KA50" s="159"/>
      <c r="KB50" s="160"/>
      <c r="KC50" s="165"/>
      <c r="KD50" s="161"/>
      <c r="KE50" s="159"/>
      <c r="KF50" s="159"/>
      <c r="KG50" s="159"/>
      <c r="KH50" s="159"/>
      <c r="KI50" s="159"/>
      <c r="KJ50" s="159"/>
      <c r="KK50" s="159"/>
      <c r="KL50" s="159"/>
      <c r="KM50" s="160"/>
      <c r="KN50" s="165"/>
      <c r="KO50" s="161"/>
      <c r="KP50" s="159"/>
      <c r="KQ50" s="159"/>
      <c r="KR50" s="159"/>
      <c r="KS50" s="159"/>
      <c r="KT50" s="159"/>
      <c r="KU50" s="159"/>
      <c r="KV50" s="159"/>
      <c r="KW50" s="159"/>
      <c r="KX50" s="160"/>
      <c r="KY50" s="165"/>
      <c r="KZ50" s="161"/>
      <c r="LA50" s="159"/>
      <c r="LB50" s="159"/>
      <c r="LC50" s="159"/>
      <c r="LD50" s="159"/>
      <c r="LE50" s="159"/>
      <c r="LF50" s="159"/>
      <c r="LG50" s="159"/>
      <c r="LH50" s="159"/>
      <c r="LI50" s="160"/>
      <c r="LJ50" s="165"/>
      <c r="LK50" s="161"/>
      <c r="LL50" s="159"/>
      <c r="LM50" s="159"/>
      <c r="LN50" s="159"/>
      <c r="LO50" s="159"/>
      <c r="LP50" s="159"/>
      <c r="LQ50" s="159"/>
      <c r="LR50" s="159"/>
      <c r="LS50" s="159"/>
      <c r="LT50" s="160"/>
      <c r="LW50" s="166"/>
      <c r="LX50" s="167" t="n">
        <f aca="false">D204+O204+Z204+AK204+AV204+BG204+BR204+CC204+CN204+CY204+DJ204+DU204+EF204+EQ204+FB204+FM204+FX204+GI204+GT204+HE204+HP204+IA204+IL204+IW204+JH204+JS204+KD204+KO204+KZ204+LK204</f>
        <v>0</v>
      </c>
      <c r="LY50" s="168" t="n">
        <f aca="false">E204+P204+AA204+AL204+AW204+BH204+BS204+CD204+CO204+CZ204+DK204+DV204+EG204+ER204+FC204+FN204+FY204+GJ204+GU204+HF204+HQ204+IB204+IM204+IX204+JI204+JT204+KE204+KP204+LA204+LL204</f>
        <v>0</v>
      </c>
      <c r="LZ50" s="168" t="n">
        <f aca="false">F204+Q204+AB204+AM204+AX204+BI204+BT204+CE204+CP204+DA204+DL204+DW204+EH204+ES204+FD204+FO204+FZ204+GK204+GV204+HG204+HR204+IC204+IN204+IY204+JJ204+JU204+KF204+KQ204+LB204+LM204</f>
        <v>0</v>
      </c>
      <c r="MA50" s="168" t="n">
        <f aca="false">G204+R204+AC204+AN204+AY204+BJ204+BU204+CF204+CQ204+DB204+DM204+DX204+EI204+ET204+FE204+FP204+GA204+GL204+GW204+HH204+HS204+ID204+IO204+IZ204+JK204+JV204+KG204+KR204+LC204+LN204</f>
        <v>0</v>
      </c>
      <c r="MB50" s="168" t="n">
        <f aca="false">H204+S204+AD204+AO204+AZ204+BK204+BV204+CG204+CR204+DC204+DN204+DY204+EJ204+EU204+FF204+FQ204+GB204+GM204+GX204+HI204+HT204+IE204+IP204+JA204+JL204+JW204+KH204+KS204+LD204+LO204</f>
        <v>0</v>
      </c>
      <c r="MC50" s="168" t="n">
        <f aca="false">I204+T204+AE204+AP204+BA204+BL204+BW204+CH204+CS204+DD204+DO204+DZ204+EK204+EV204+FG204+FR204+GC204+GN204+GY204+HJ204+HU204+IF204+IQ204+JB204+JM204+JX204+KI204+KT204+LE204+LP204</f>
        <v>0</v>
      </c>
      <c r="MD50" s="168" t="n">
        <f aca="false">J204+U204+AF204+AQ204+BB204+BM204+BX204+CI204+CT204+DE204+DP204+EA204+EL204+EW204+FH204+FS204+GD204+GO204+GZ204+HK204+HV204+IG204+IR204+JC204+JN204+JY204+KJ204+KU204+LF204+LQ204</f>
        <v>0</v>
      </c>
      <c r="ME50" s="168" t="n">
        <f aca="false">K204+V204+AG204+AR204+BC204+BN204+BY204+CJ204+CU204+DF204+DQ204+EB204+EM204+EX204+FI204+FT204+GE204+GP204+HA204+HL204+HW204+IH204+IS204+JD204+JO204+JZ204+KK204+KV204+LG204+LR204</f>
        <v>0</v>
      </c>
      <c r="MF50" s="168" t="n">
        <f aca="false">L204+W204+AH204+AS204+BD204+BO204+BZ204+CK204+CV204+DG204+DR204+EC204+EN204+EY204+FJ204+FU204+GF204+GQ204+HB204+HM204+HX204+II204+IT204+JE204+JP204+KA204+KL204+KW204+LH204+LS204</f>
        <v>0</v>
      </c>
      <c r="MG50" s="169" t="n">
        <f aca="false">M204+X204+AI204+AT204+BE204+BP204+CA204+CL204+CW204+DH204+DS204+ED204+EO204+EZ204+FK204+FV204+GG204+GR204+HC204+HN204+HY204+IJ204+IU204+JF204+JQ204+KB204+KM204+KX204+LI204+LT204</f>
        <v>0</v>
      </c>
    </row>
    <row r="51" customFormat="false" ht="15" hidden="false" customHeight="false" outlineLevel="0" collapsed="false">
      <c r="C51" s="170" t="n">
        <f aca="false">AVERAGE(C6:C50)</f>
        <v>6.39833333333333</v>
      </c>
      <c r="D51" s="171" t="s">
        <v>157</v>
      </c>
      <c r="E51" s="171"/>
      <c r="F51" s="171"/>
      <c r="G51" s="171"/>
      <c r="H51" s="171"/>
      <c r="I51" s="171"/>
      <c r="J51" s="171"/>
      <c r="K51" s="171"/>
      <c r="L51" s="171"/>
      <c r="M51" s="171"/>
      <c r="N51" s="170" t="n">
        <f aca="false">AVERAGE(N6:N50)</f>
        <v>6.4</v>
      </c>
      <c r="O51" s="171" t="s">
        <v>157</v>
      </c>
      <c r="P51" s="171"/>
      <c r="Q51" s="171"/>
      <c r="R51" s="171"/>
      <c r="S51" s="171"/>
      <c r="T51" s="171"/>
      <c r="U51" s="171"/>
      <c r="V51" s="171"/>
      <c r="W51" s="171"/>
      <c r="X51" s="171"/>
      <c r="Y51" s="170" t="n">
        <f aca="false">AVERAGE(Y6:Y50)</f>
        <v>6.4</v>
      </c>
      <c r="Z51" s="172" t="s">
        <v>157</v>
      </c>
      <c r="AA51" s="173"/>
      <c r="AB51" s="173"/>
      <c r="AC51" s="173"/>
      <c r="AD51" s="173"/>
      <c r="AE51" s="173"/>
      <c r="AF51" s="173"/>
      <c r="AG51" s="173"/>
      <c r="AH51" s="173"/>
      <c r="AI51" s="174"/>
      <c r="AJ51" s="170" t="n">
        <f aca="false">AVERAGE(AJ6:AJ50)</f>
        <v>6.4</v>
      </c>
      <c r="AK51" s="172" t="s">
        <v>157</v>
      </c>
      <c r="AL51" s="173"/>
      <c r="AM51" s="173"/>
      <c r="AN51" s="173"/>
      <c r="AO51" s="173"/>
      <c r="AP51" s="173"/>
      <c r="AQ51" s="173"/>
      <c r="AR51" s="173"/>
      <c r="AS51" s="173"/>
      <c r="AT51" s="175"/>
      <c r="AU51" s="170" t="n">
        <f aca="false">AVERAGE(AU6:AU50)</f>
        <v>6.41333333333333</v>
      </c>
      <c r="AV51" s="172" t="s">
        <v>157</v>
      </c>
      <c r="AW51" s="173"/>
      <c r="AX51" s="173"/>
      <c r="AY51" s="173"/>
      <c r="AZ51" s="173"/>
      <c r="BA51" s="173"/>
      <c r="BB51" s="173"/>
      <c r="BC51" s="173"/>
      <c r="BD51" s="173"/>
      <c r="BE51" s="174"/>
      <c r="BF51" s="170" t="n">
        <f aca="false">AVERAGE(BF6:BF50)</f>
        <v>6.42333333333333</v>
      </c>
      <c r="BG51" s="172" t="s">
        <v>157</v>
      </c>
      <c r="BH51" s="173"/>
      <c r="BI51" s="173"/>
      <c r="BJ51" s="173"/>
      <c r="BK51" s="173"/>
      <c r="BL51" s="173"/>
      <c r="BM51" s="173"/>
      <c r="BN51" s="173"/>
      <c r="BO51" s="173"/>
      <c r="BP51" s="174"/>
      <c r="BQ51" s="170" t="n">
        <f aca="false">AVERAGE(BQ6:BQ50)</f>
        <v>6.42333333333333</v>
      </c>
      <c r="BR51" s="172" t="s">
        <v>157</v>
      </c>
      <c r="BS51" s="173"/>
      <c r="BT51" s="173"/>
      <c r="BU51" s="173"/>
      <c r="BV51" s="173"/>
      <c r="BW51" s="173"/>
      <c r="BX51" s="173"/>
      <c r="BY51" s="173"/>
      <c r="BZ51" s="173"/>
      <c r="CA51" s="174"/>
      <c r="CB51" s="170" t="n">
        <f aca="false">AVERAGE(CB6:CB50)</f>
        <v>0</v>
      </c>
      <c r="CC51" s="172" t="s">
        <v>157</v>
      </c>
      <c r="CD51" s="173"/>
      <c r="CE51" s="173"/>
      <c r="CF51" s="173"/>
      <c r="CG51" s="173"/>
      <c r="CH51" s="173"/>
      <c r="CI51" s="173"/>
      <c r="CJ51" s="173"/>
      <c r="CK51" s="173"/>
      <c r="CL51" s="175"/>
      <c r="CM51" s="170" t="n">
        <f aca="false">AVERAGE(CM6:CM50)</f>
        <v>0</v>
      </c>
      <c r="CN51" s="172" t="s">
        <v>157</v>
      </c>
      <c r="CO51" s="173"/>
      <c r="CP51" s="173"/>
      <c r="CQ51" s="173"/>
      <c r="CR51" s="173"/>
      <c r="CS51" s="173"/>
      <c r="CT51" s="173"/>
      <c r="CU51" s="173"/>
      <c r="CV51" s="173"/>
      <c r="CW51" s="175"/>
      <c r="CX51" s="170" t="n">
        <f aca="false">AVERAGE(CX6:CX50)</f>
        <v>0</v>
      </c>
      <c r="CY51" s="172" t="s">
        <v>157</v>
      </c>
      <c r="CZ51" s="173"/>
      <c r="DA51" s="173"/>
      <c r="DB51" s="173"/>
      <c r="DC51" s="173"/>
      <c r="DD51" s="173"/>
      <c r="DE51" s="173"/>
      <c r="DF51" s="173"/>
      <c r="DG51" s="173"/>
      <c r="DH51" s="175"/>
      <c r="DI51" s="170" t="n">
        <f aca="false">AVERAGE(DI6:DI50)</f>
        <v>0</v>
      </c>
      <c r="DJ51" s="172" t="s">
        <v>157</v>
      </c>
      <c r="DK51" s="173"/>
      <c r="DL51" s="173"/>
      <c r="DM51" s="173"/>
      <c r="DN51" s="173"/>
      <c r="DO51" s="173"/>
      <c r="DP51" s="173"/>
      <c r="DQ51" s="173"/>
      <c r="DR51" s="173"/>
      <c r="DS51" s="175"/>
      <c r="DT51" s="170" t="n">
        <f aca="false">AVERAGE(DT6:DT50)</f>
        <v>0</v>
      </c>
      <c r="DU51" s="172" t="s">
        <v>157</v>
      </c>
      <c r="DV51" s="173"/>
      <c r="DW51" s="173"/>
      <c r="DX51" s="173"/>
      <c r="DY51" s="173"/>
      <c r="DZ51" s="173"/>
      <c r="EA51" s="173"/>
      <c r="EB51" s="173"/>
      <c r="EC51" s="173"/>
      <c r="ED51" s="175"/>
      <c r="EE51" s="170" t="n">
        <f aca="false">AVERAGE(EE6:EE50)</f>
        <v>0</v>
      </c>
      <c r="EF51" s="172" t="s">
        <v>157</v>
      </c>
      <c r="EG51" s="173"/>
      <c r="EH51" s="173"/>
      <c r="EI51" s="173"/>
      <c r="EJ51" s="173"/>
      <c r="EK51" s="173"/>
      <c r="EL51" s="173"/>
      <c r="EM51" s="173"/>
      <c r="EN51" s="173"/>
      <c r="EO51" s="175"/>
      <c r="EP51" s="170" t="n">
        <f aca="false">AVERAGE(EP6:EP50)</f>
        <v>0</v>
      </c>
      <c r="EQ51" s="172" t="s">
        <v>157</v>
      </c>
      <c r="ER51" s="173"/>
      <c r="ES51" s="173"/>
      <c r="ET51" s="173"/>
      <c r="EU51" s="173"/>
      <c r="EV51" s="173"/>
      <c r="EW51" s="173"/>
      <c r="EX51" s="173"/>
      <c r="EY51" s="173"/>
      <c r="EZ51" s="175"/>
      <c r="FA51" s="170" t="n">
        <f aca="false">AVERAGE(FA6:FA50)</f>
        <v>0</v>
      </c>
      <c r="FB51" s="172" t="s">
        <v>157</v>
      </c>
      <c r="FC51" s="173"/>
      <c r="FD51" s="173"/>
      <c r="FE51" s="173"/>
      <c r="FF51" s="173"/>
      <c r="FG51" s="173"/>
      <c r="FH51" s="173"/>
      <c r="FI51" s="173"/>
      <c r="FJ51" s="173"/>
      <c r="FK51" s="175"/>
      <c r="FL51" s="170" t="n">
        <f aca="false">AVERAGE(FL6:FL50)</f>
        <v>0</v>
      </c>
      <c r="FM51" s="172" t="s">
        <v>157</v>
      </c>
      <c r="FN51" s="173"/>
      <c r="FO51" s="173"/>
      <c r="FP51" s="173"/>
      <c r="FQ51" s="173"/>
      <c r="FR51" s="173"/>
      <c r="FS51" s="173"/>
      <c r="FT51" s="173"/>
      <c r="FU51" s="173"/>
      <c r="FV51" s="175"/>
      <c r="FW51" s="170" t="n">
        <f aca="false">AVERAGE(FW6:FW50)</f>
        <v>0</v>
      </c>
      <c r="FX51" s="172" t="s">
        <v>157</v>
      </c>
      <c r="FY51" s="173"/>
      <c r="FZ51" s="173"/>
      <c r="GA51" s="173"/>
      <c r="GB51" s="173"/>
      <c r="GC51" s="173"/>
      <c r="GD51" s="173"/>
      <c r="GE51" s="173"/>
      <c r="GF51" s="173"/>
      <c r="GG51" s="175"/>
      <c r="GH51" s="170" t="n">
        <f aca="false">AVERAGE(GH6:GH50)</f>
        <v>0</v>
      </c>
      <c r="GI51" s="172" t="s">
        <v>157</v>
      </c>
      <c r="GJ51" s="173"/>
      <c r="GK51" s="173"/>
      <c r="GL51" s="173"/>
      <c r="GM51" s="173"/>
      <c r="GN51" s="173"/>
      <c r="GO51" s="173"/>
      <c r="GP51" s="173"/>
      <c r="GQ51" s="173"/>
      <c r="GR51" s="175"/>
      <c r="GS51" s="170" t="n">
        <f aca="false">AVERAGE(GS6:GS50)</f>
        <v>0</v>
      </c>
      <c r="GT51" s="172" t="s">
        <v>157</v>
      </c>
      <c r="GU51" s="173"/>
      <c r="GV51" s="173"/>
      <c r="GW51" s="173"/>
      <c r="GX51" s="173"/>
      <c r="GY51" s="173"/>
      <c r="GZ51" s="173"/>
      <c r="HA51" s="173"/>
      <c r="HB51" s="173"/>
      <c r="HC51" s="175"/>
      <c r="HD51" s="170" t="n">
        <f aca="false">AVERAGE(HD6:HD50)</f>
        <v>0</v>
      </c>
      <c r="HE51" s="172" t="s">
        <v>157</v>
      </c>
      <c r="HF51" s="173"/>
      <c r="HG51" s="173"/>
      <c r="HH51" s="173"/>
      <c r="HI51" s="173"/>
      <c r="HJ51" s="173"/>
      <c r="HK51" s="173"/>
      <c r="HL51" s="173"/>
      <c r="HM51" s="173"/>
      <c r="HN51" s="175"/>
      <c r="HO51" s="170" t="n">
        <f aca="false">AVERAGE(HO6:HO50)</f>
        <v>0</v>
      </c>
      <c r="HP51" s="172" t="s">
        <v>157</v>
      </c>
      <c r="HQ51" s="173"/>
      <c r="HR51" s="173"/>
      <c r="HS51" s="173"/>
      <c r="HT51" s="173"/>
      <c r="HU51" s="173"/>
      <c r="HV51" s="173"/>
      <c r="HW51" s="173"/>
      <c r="HX51" s="173"/>
      <c r="HY51" s="175"/>
      <c r="HZ51" s="170" t="n">
        <f aca="false">AVERAGE(HZ6:HZ50)</f>
        <v>0</v>
      </c>
      <c r="IA51" s="172" t="s">
        <v>157</v>
      </c>
      <c r="IB51" s="173"/>
      <c r="IC51" s="173"/>
      <c r="ID51" s="173"/>
      <c r="IE51" s="173"/>
      <c r="IF51" s="173"/>
      <c r="IG51" s="173"/>
      <c r="IH51" s="173"/>
      <c r="II51" s="173"/>
      <c r="IJ51" s="175"/>
      <c r="IK51" s="170" t="n">
        <f aca="false">AVERAGE(IK6:IK50)</f>
        <v>0</v>
      </c>
      <c r="IL51" s="172" t="s">
        <v>157</v>
      </c>
      <c r="IM51" s="173"/>
      <c r="IN51" s="173"/>
      <c r="IO51" s="173"/>
      <c r="IP51" s="173"/>
      <c r="IQ51" s="173"/>
      <c r="IR51" s="173"/>
      <c r="IS51" s="173"/>
      <c r="IT51" s="173"/>
      <c r="IU51" s="175"/>
      <c r="IV51" s="170" t="n">
        <f aca="false">AVERAGE(IV6:IV50)</f>
        <v>0</v>
      </c>
      <c r="IW51" s="172" t="s">
        <v>157</v>
      </c>
      <c r="IX51" s="173"/>
      <c r="IY51" s="173"/>
      <c r="IZ51" s="173"/>
      <c r="JA51" s="173"/>
      <c r="JB51" s="173"/>
      <c r="JC51" s="173"/>
      <c r="JD51" s="173"/>
      <c r="JE51" s="173"/>
      <c r="JF51" s="175"/>
      <c r="JG51" s="170" t="n">
        <f aca="false">AVERAGE(JG6:JG50)</f>
        <v>0</v>
      </c>
      <c r="JH51" s="172" t="s">
        <v>157</v>
      </c>
      <c r="JI51" s="173"/>
      <c r="JJ51" s="173"/>
      <c r="JK51" s="173"/>
      <c r="JL51" s="173"/>
      <c r="JM51" s="173"/>
      <c r="JN51" s="173"/>
      <c r="JO51" s="173"/>
      <c r="JP51" s="173"/>
      <c r="JQ51" s="175"/>
      <c r="JR51" s="170" t="n">
        <f aca="false">AVERAGE(JR6:JR50)</f>
        <v>0</v>
      </c>
      <c r="JS51" s="172" t="s">
        <v>157</v>
      </c>
      <c r="JT51" s="173"/>
      <c r="JU51" s="173"/>
      <c r="JV51" s="173"/>
      <c r="JW51" s="173"/>
      <c r="JX51" s="173"/>
      <c r="JY51" s="173"/>
      <c r="JZ51" s="173"/>
      <c r="KA51" s="173"/>
      <c r="KB51" s="175"/>
      <c r="KC51" s="170" t="n">
        <f aca="false">AVERAGE(KC6:KC50)</f>
        <v>0</v>
      </c>
      <c r="KD51" s="172" t="s">
        <v>157</v>
      </c>
      <c r="KE51" s="173"/>
      <c r="KF51" s="173"/>
      <c r="KG51" s="173"/>
      <c r="KH51" s="173"/>
      <c r="KI51" s="173"/>
      <c r="KJ51" s="173"/>
      <c r="KK51" s="173"/>
      <c r="KL51" s="173"/>
      <c r="KM51" s="175"/>
      <c r="KN51" s="170" t="n">
        <f aca="false">AVERAGE(KN6:KN50)</f>
        <v>0</v>
      </c>
      <c r="KO51" s="172" t="s">
        <v>157</v>
      </c>
      <c r="KP51" s="173"/>
      <c r="KQ51" s="173"/>
      <c r="KR51" s="173"/>
      <c r="KS51" s="173"/>
      <c r="KT51" s="173"/>
      <c r="KU51" s="173"/>
      <c r="KV51" s="173"/>
      <c r="KW51" s="173"/>
      <c r="KX51" s="175"/>
      <c r="KY51" s="170" t="n">
        <f aca="false">AVERAGE(KY6:KY50)</f>
        <v>0</v>
      </c>
      <c r="KZ51" s="172" t="s">
        <v>157</v>
      </c>
      <c r="LA51" s="173"/>
      <c r="LB51" s="173"/>
      <c r="LC51" s="173"/>
      <c r="LD51" s="173"/>
      <c r="LE51" s="173"/>
      <c r="LF51" s="173"/>
      <c r="LG51" s="173"/>
      <c r="LH51" s="173"/>
      <c r="LI51" s="175"/>
      <c r="LJ51" s="170" t="n">
        <f aca="false">AVERAGE(LJ6:LJ50)</f>
        <v>0</v>
      </c>
      <c r="LK51" s="172" t="s">
        <v>157</v>
      </c>
      <c r="LL51" s="173"/>
      <c r="LM51" s="173"/>
      <c r="LN51" s="173"/>
      <c r="LO51" s="173"/>
      <c r="LP51" s="173"/>
      <c r="LQ51" s="173"/>
      <c r="LR51" s="173"/>
      <c r="LS51" s="173"/>
      <c r="LT51" s="175"/>
      <c r="LW51" s="176"/>
      <c r="LX51" s="177"/>
      <c r="LY51" s="178"/>
      <c r="LZ51" s="178"/>
      <c r="MA51" s="178"/>
      <c r="MB51" s="178"/>
      <c r="MC51" s="178"/>
      <c r="MD51" s="178"/>
      <c r="ME51" s="178"/>
      <c r="MF51" s="178"/>
      <c r="MG51" s="179"/>
    </row>
    <row r="52" customFormat="false" ht="15.75" hidden="false" customHeight="false" outlineLevel="0" collapsed="false">
      <c r="C52" s="180" t="n">
        <f aca="false">COUNTIF(C6:C50,"&lt;5")</f>
        <v>4</v>
      </c>
      <c r="D52" s="181" t="s">
        <v>158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0" t="n">
        <f aca="false">COUNTIF(N6:N50,"&lt;5")</f>
        <v>7</v>
      </c>
      <c r="O52" s="181" t="s">
        <v>158</v>
      </c>
      <c r="P52" s="181"/>
      <c r="Q52" s="181"/>
      <c r="R52" s="181"/>
      <c r="S52" s="181"/>
      <c r="T52" s="181"/>
      <c r="U52" s="181"/>
      <c r="V52" s="181"/>
      <c r="W52" s="181"/>
      <c r="X52" s="181"/>
      <c r="Y52" s="180" t="n">
        <f aca="false">COUNTIF(Y6:Y50,"&lt;5")</f>
        <v>7</v>
      </c>
      <c r="Z52" s="182" t="s">
        <v>158</v>
      </c>
      <c r="AA52" s="183"/>
      <c r="AB52" s="183"/>
      <c r="AC52" s="183"/>
      <c r="AD52" s="183"/>
      <c r="AE52" s="183"/>
      <c r="AF52" s="183"/>
      <c r="AG52" s="183"/>
      <c r="AH52" s="183"/>
      <c r="AI52" s="184"/>
      <c r="AJ52" s="180" t="n">
        <f aca="false">COUNTIF(AJ6:AJ50,"&lt;5")</f>
        <v>7</v>
      </c>
      <c r="AK52" s="182" t="s">
        <v>158</v>
      </c>
      <c r="AL52" s="183"/>
      <c r="AM52" s="183"/>
      <c r="AN52" s="183"/>
      <c r="AO52" s="183"/>
      <c r="AP52" s="183"/>
      <c r="AQ52" s="183"/>
      <c r="AR52" s="183"/>
      <c r="AS52" s="183"/>
      <c r="AT52" s="185"/>
      <c r="AU52" s="180" t="n">
        <f aca="false">COUNTIF(AU6:AU50,"&lt;5")</f>
        <v>8</v>
      </c>
      <c r="AV52" s="182" t="s">
        <v>158</v>
      </c>
      <c r="AW52" s="183"/>
      <c r="AX52" s="183"/>
      <c r="AY52" s="183"/>
      <c r="AZ52" s="183"/>
      <c r="BA52" s="183"/>
      <c r="BB52" s="183"/>
      <c r="BC52" s="183"/>
      <c r="BD52" s="183"/>
      <c r="BE52" s="184"/>
      <c r="BF52" s="180" t="n">
        <f aca="false">COUNTIF(BF6:BF50,"&lt;5")</f>
        <v>8</v>
      </c>
      <c r="BG52" s="182" t="s">
        <v>158</v>
      </c>
      <c r="BH52" s="183"/>
      <c r="BI52" s="183"/>
      <c r="BJ52" s="183"/>
      <c r="BK52" s="183"/>
      <c r="BL52" s="183"/>
      <c r="BM52" s="183"/>
      <c r="BN52" s="183"/>
      <c r="BO52" s="183"/>
      <c r="BP52" s="184"/>
      <c r="BQ52" s="180" t="n">
        <f aca="false">COUNTIF(BQ6:BQ50,"&lt;5")</f>
        <v>8</v>
      </c>
      <c r="BR52" s="182" t="s">
        <v>158</v>
      </c>
      <c r="BS52" s="183"/>
      <c r="BT52" s="183"/>
      <c r="BU52" s="183"/>
      <c r="BV52" s="183"/>
      <c r="BW52" s="183"/>
      <c r="BX52" s="183"/>
      <c r="BY52" s="183"/>
      <c r="BZ52" s="183"/>
      <c r="CA52" s="184"/>
      <c r="CB52" s="180" t="n">
        <f aca="false">COUNTIF(CB6:CB50,"&lt;5")</f>
        <v>30</v>
      </c>
      <c r="CC52" s="182" t="s">
        <v>158</v>
      </c>
      <c r="CD52" s="183"/>
      <c r="CE52" s="183"/>
      <c r="CF52" s="183"/>
      <c r="CG52" s="183"/>
      <c r="CH52" s="183"/>
      <c r="CI52" s="183"/>
      <c r="CJ52" s="183"/>
      <c r="CK52" s="183"/>
      <c r="CL52" s="185"/>
      <c r="CM52" s="180" t="n">
        <f aca="false">COUNTIF(CM6:CM50,"&lt;5")</f>
        <v>30</v>
      </c>
      <c r="CN52" s="182" t="s">
        <v>158</v>
      </c>
      <c r="CO52" s="183"/>
      <c r="CP52" s="183"/>
      <c r="CQ52" s="183"/>
      <c r="CR52" s="183"/>
      <c r="CS52" s="183"/>
      <c r="CT52" s="183"/>
      <c r="CU52" s="183"/>
      <c r="CV52" s="183"/>
      <c r="CW52" s="185"/>
      <c r="CX52" s="180" t="n">
        <f aca="false">COUNTIF(CX6:CX50,"&lt;5")</f>
        <v>30</v>
      </c>
      <c r="CY52" s="182" t="s">
        <v>158</v>
      </c>
      <c r="CZ52" s="183"/>
      <c r="DA52" s="183"/>
      <c r="DB52" s="183"/>
      <c r="DC52" s="183"/>
      <c r="DD52" s="183"/>
      <c r="DE52" s="183"/>
      <c r="DF52" s="183"/>
      <c r="DG52" s="183"/>
      <c r="DH52" s="185"/>
      <c r="DI52" s="180" t="n">
        <f aca="false">COUNTIF(DI6:DI50,"&lt;5")</f>
        <v>30</v>
      </c>
      <c r="DJ52" s="182" t="s">
        <v>158</v>
      </c>
      <c r="DK52" s="183"/>
      <c r="DL52" s="183"/>
      <c r="DM52" s="183"/>
      <c r="DN52" s="183"/>
      <c r="DO52" s="183"/>
      <c r="DP52" s="183"/>
      <c r="DQ52" s="183"/>
      <c r="DR52" s="183"/>
      <c r="DS52" s="185"/>
      <c r="DT52" s="180" t="n">
        <f aca="false">COUNTIF(DT6:DT50,"&lt;5")</f>
        <v>30</v>
      </c>
      <c r="DU52" s="182" t="s">
        <v>158</v>
      </c>
      <c r="DV52" s="183"/>
      <c r="DW52" s="183"/>
      <c r="DX52" s="183"/>
      <c r="DY52" s="183"/>
      <c r="DZ52" s="183"/>
      <c r="EA52" s="183"/>
      <c r="EB52" s="183"/>
      <c r="EC52" s="183"/>
      <c r="ED52" s="185"/>
      <c r="EE52" s="180" t="n">
        <f aca="false">COUNTIF(EE6:EE50,"&lt;5")</f>
        <v>30</v>
      </c>
      <c r="EF52" s="182" t="s">
        <v>158</v>
      </c>
      <c r="EG52" s="183"/>
      <c r="EH52" s="183"/>
      <c r="EI52" s="183"/>
      <c r="EJ52" s="183"/>
      <c r="EK52" s="183"/>
      <c r="EL52" s="183"/>
      <c r="EM52" s="183"/>
      <c r="EN52" s="183"/>
      <c r="EO52" s="185"/>
      <c r="EP52" s="180" t="n">
        <f aca="false">COUNTIF(EP6:EP50,"&lt;5")</f>
        <v>30</v>
      </c>
      <c r="EQ52" s="182" t="s">
        <v>158</v>
      </c>
      <c r="ER52" s="183"/>
      <c r="ES52" s="183"/>
      <c r="ET52" s="183"/>
      <c r="EU52" s="183"/>
      <c r="EV52" s="183"/>
      <c r="EW52" s="183"/>
      <c r="EX52" s="183"/>
      <c r="EY52" s="183"/>
      <c r="EZ52" s="185"/>
      <c r="FA52" s="180" t="n">
        <f aca="false">COUNTIF(FA6:FA50,"&lt;5")</f>
        <v>30</v>
      </c>
      <c r="FB52" s="182" t="s">
        <v>158</v>
      </c>
      <c r="FC52" s="183"/>
      <c r="FD52" s="183"/>
      <c r="FE52" s="183"/>
      <c r="FF52" s="183"/>
      <c r="FG52" s="183"/>
      <c r="FH52" s="183"/>
      <c r="FI52" s="183"/>
      <c r="FJ52" s="183"/>
      <c r="FK52" s="185"/>
      <c r="FL52" s="180" t="n">
        <f aca="false">COUNTIF(FL6:FL50,"&lt;5")</f>
        <v>30</v>
      </c>
      <c r="FM52" s="182" t="s">
        <v>158</v>
      </c>
      <c r="FN52" s="183"/>
      <c r="FO52" s="183"/>
      <c r="FP52" s="183"/>
      <c r="FQ52" s="183"/>
      <c r="FR52" s="183"/>
      <c r="FS52" s="183"/>
      <c r="FT52" s="183"/>
      <c r="FU52" s="183"/>
      <c r="FV52" s="185"/>
      <c r="FW52" s="180" t="n">
        <f aca="false">COUNTIF(FW6:FW50,"&lt;5")</f>
        <v>30</v>
      </c>
      <c r="FX52" s="182" t="s">
        <v>158</v>
      </c>
      <c r="FY52" s="183"/>
      <c r="FZ52" s="183"/>
      <c r="GA52" s="183"/>
      <c r="GB52" s="183"/>
      <c r="GC52" s="183"/>
      <c r="GD52" s="183"/>
      <c r="GE52" s="183"/>
      <c r="GF52" s="183"/>
      <c r="GG52" s="185"/>
      <c r="GH52" s="180" t="n">
        <f aca="false">COUNTIF(GH6:GH50,"&lt;5")</f>
        <v>30</v>
      </c>
      <c r="GI52" s="182" t="s">
        <v>158</v>
      </c>
      <c r="GJ52" s="183"/>
      <c r="GK52" s="183"/>
      <c r="GL52" s="183"/>
      <c r="GM52" s="183"/>
      <c r="GN52" s="183"/>
      <c r="GO52" s="183"/>
      <c r="GP52" s="183"/>
      <c r="GQ52" s="183"/>
      <c r="GR52" s="185"/>
      <c r="GS52" s="180" t="n">
        <f aca="false">COUNTIF(GS6:GS50,"&lt;5")</f>
        <v>30</v>
      </c>
      <c r="GT52" s="182" t="s">
        <v>158</v>
      </c>
      <c r="GU52" s="183"/>
      <c r="GV52" s="183"/>
      <c r="GW52" s="183"/>
      <c r="GX52" s="183"/>
      <c r="GY52" s="183"/>
      <c r="GZ52" s="183"/>
      <c r="HA52" s="183"/>
      <c r="HB52" s="183"/>
      <c r="HC52" s="185"/>
      <c r="HD52" s="180" t="n">
        <f aca="false">COUNTIF(HD6:HD50,"&lt;5")</f>
        <v>30</v>
      </c>
      <c r="HE52" s="182" t="s">
        <v>158</v>
      </c>
      <c r="HF52" s="183"/>
      <c r="HG52" s="183"/>
      <c r="HH52" s="183"/>
      <c r="HI52" s="183"/>
      <c r="HJ52" s="183"/>
      <c r="HK52" s="183"/>
      <c r="HL52" s="183"/>
      <c r="HM52" s="183"/>
      <c r="HN52" s="185"/>
      <c r="HO52" s="180" t="n">
        <f aca="false">COUNTIF(HO6:HO50,"&lt;5")</f>
        <v>30</v>
      </c>
      <c r="HP52" s="182" t="s">
        <v>158</v>
      </c>
      <c r="HQ52" s="183"/>
      <c r="HR52" s="183"/>
      <c r="HS52" s="183"/>
      <c r="HT52" s="183"/>
      <c r="HU52" s="183"/>
      <c r="HV52" s="183"/>
      <c r="HW52" s="183"/>
      <c r="HX52" s="183"/>
      <c r="HY52" s="185"/>
      <c r="HZ52" s="180" t="n">
        <f aca="false">COUNTIF(HZ6:HZ50,"&lt;5")</f>
        <v>30</v>
      </c>
      <c r="IA52" s="182" t="s">
        <v>158</v>
      </c>
      <c r="IB52" s="183"/>
      <c r="IC52" s="183"/>
      <c r="ID52" s="183"/>
      <c r="IE52" s="183"/>
      <c r="IF52" s="183"/>
      <c r="IG52" s="183"/>
      <c r="IH52" s="183"/>
      <c r="II52" s="183"/>
      <c r="IJ52" s="185"/>
      <c r="IK52" s="180" t="n">
        <f aca="false">COUNTIF(IK6:IK50,"&lt;5")</f>
        <v>30</v>
      </c>
      <c r="IL52" s="182" t="s">
        <v>158</v>
      </c>
      <c r="IM52" s="183"/>
      <c r="IN52" s="183"/>
      <c r="IO52" s="183"/>
      <c r="IP52" s="183"/>
      <c r="IQ52" s="183"/>
      <c r="IR52" s="183"/>
      <c r="IS52" s="183"/>
      <c r="IT52" s="183"/>
      <c r="IU52" s="185"/>
      <c r="IV52" s="180" t="n">
        <f aca="false">COUNTIF(IV6:IV50,"&lt;5")</f>
        <v>30</v>
      </c>
      <c r="IW52" s="182" t="s">
        <v>158</v>
      </c>
      <c r="IX52" s="183"/>
      <c r="IY52" s="183"/>
      <c r="IZ52" s="183"/>
      <c r="JA52" s="183"/>
      <c r="JB52" s="183"/>
      <c r="JC52" s="183"/>
      <c r="JD52" s="183"/>
      <c r="JE52" s="183"/>
      <c r="JF52" s="185"/>
      <c r="JG52" s="180" t="n">
        <f aca="false">COUNTIF(JG6:JG50,"&lt;5")</f>
        <v>30</v>
      </c>
      <c r="JH52" s="182" t="s">
        <v>158</v>
      </c>
      <c r="JI52" s="183"/>
      <c r="JJ52" s="183"/>
      <c r="JK52" s="183"/>
      <c r="JL52" s="183"/>
      <c r="JM52" s="183"/>
      <c r="JN52" s="183"/>
      <c r="JO52" s="183"/>
      <c r="JP52" s="183"/>
      <c r="JQ52" s="185"/>
      <c r="JR52" s="180" t="n">
        <f aca="false">COUNTIF(JR6:JR50,"&lt;5")</f>
        <v>30</v>
      </c>
      <c r="JS52" s="182" t="s">
        <v>158</v>
      </c>
      <c r="JT52" s="183"/>
      <c r="JU52" s="183"/>
      <c r="JV52" s="183"/>
      <c r="JW52" s="183"/>
      <c r="JX52" s="183"/>
      <c r="JY52" s="183"/>
      <c r="JZ52" s="183"/>
      <c r="KA52" s="183"/>
      <c r="KB52" s="185"/>
      <c r="KC52" s="180" t="n">
        <f aca="false">COUNTIF(KC6:KC50,"&lt;5")</f>
        <v>30</v>
      </c>
      <c r="KD52" s="182" t="s">
        <v>158</v>
      </c>
      <c r="KE52" s="183"/>
      <c r="KF52" s="183"/>
      <c r="KG52" s="183"/>
      <c r="KH52" s="183"/>
      <c r="KI52" s="183"/>
      <c r="KJ52" s="183"/>
      <c r="KK52" s="183"/>
      <c r="KL52" s="183"/>
      <c r="KM52" s="185"/>
      <c r="KN52" s="180" t="n">
        <f aca="false">COUNTIF(KN6:KN50,"&lt;5")</f>
        <v>30</v>
      </c>
      <c r="KO52" s="182" t="s">
        <v>158</v>
      </c>
      <c r="KP52" s="183"/>
      <c r="KQ52" s="183"/>
      <c r="KR52" s="183"/>
      <c r="KS52" s="183"/>
      <c r="KT52" s="183"/>
      <c r="KU52" s="183"/>
      <c r="KV52" s="183"/>
      <c r="KW52" s="183"/>
      <c r="KX52" s="185"/>
      <c r="KY52" s="180" t="n">
        <f aca="false">COUNTIF(KY6:KY50,"&lt;5")</f>
        <v>30</v>
      </c>
      <c r="KZ52" s="182" t="s">
        <v>158</v>
      </c>
      <c r="LA52" s="183"/>
      <c r="LB52" s="183"/>
      <c r="LC52" s="183"/>
      <c r="LD52" s="183"/>
      <c r="LE52" s="183"/>
      <c r="LF52" s="183"/>
      <c r="LG52" s="183"/>
      <c r="LH52" s="183"/>
      <c r="LI52" s="185"/>
      <c r="LJ52" s="180" t="n">
        <f aca="false">COUNTIF(LJ6:LJ50,"&lt;5")</f>
        <v>30</v>
      </c>
      <c r="LK52" s="182" t="s">
        <v>158</v>
      </c>
      <c r="LL52" s="183"/>
      <c r="LM52" s="183"/>
      <c r="LN52" s="183"/>
      <c r="LO52" s="183"/>
      <c r="LP52" s="183"/>
      <c r="LQ52" s="183"/>
      <c r="LR52" s="183"/>
      <c r="LS52" s="183"/>
      <c r="LT52" s="185"/>
      <c r="LW52" s="180"/>
      <c r="LX52" s="182"/>
      <c r="LY52" s="183"/>
      <c r="LZ52" s="183"/>
      <c r="MA52" s="183"/>
      <c r="MB52" s="183"/>
      <c r="MC52" s="183"/>
      <c r="MD52" s="183"/>
      <c r="ME52" s="183"/>
      <c r="MF52" s="183"/>
      <c r="MG52" s="185"/>
    </row>
    <row r="55" customFormat="false" ht="15" hidden="true" customHeight="false" outlineLevel="0" collapsed="false"/>
    <row r="56" customFormat="false" ht="15" hidden="true" customHeight="false" outlineLevel="0" collapsed="false"/>
    <row r="57" customFormat="false" ht="15" hidden="true" customHeight="false" outlineLevel="0" collapsed="false"/>
    <row r="58" customFormat="false" ht="15" hidden="true" customHeight="false" outlineLevel="0" collapsed="false"/>
    <row r="59" customFormat="false" ht="15" hidden="true" customHeight="false" outlineLevel="0" collapsed="false"/>
    <row r="60" customFormat="false" ht="15.75" hidden="true" customHeight="false" outlineLevel="0" collapsed="false">
      <c r="D60" s="186" t="n">
        <v>1</v>
      </c>
      <c r="E60" s="186" t="n">
        <v>2</v>
      </c>
      <c r="F60" s="186" t="n">
        <v>3</v>
      </c>
      <c r="G60" s="186" t="n">
        <v>4</v>
      </c>
      <c r="H60" s="186" t="n">
        <v>5</v>
      </c>
      <c r="I60" s="186" t="n">
        <v>6</v>
      </c>
      <c r="J60" s="186" t="n">
        <v>7</v>
      </c>
      <c r="K60" s="186" t="n">
        <v>8</v>
      </c>
      <c r="L60" s="186" t="n">
        <v>9</v>
      </c>
      <c r="M60" s="186" t="n">
        <v>10</v>
      </c>
      <c r="O60" s="186" t="n">
        <v>1</v>
      </c>
      <c r="P60" s="186" t="n">
        <v>2</v>
      </c>
      <c r="Q60" s="186" t="n">
        <v>3</v>
      </c>
      <c r="R60" s="186" t="n">
        <v>4</v>
      </c>
      <c r="S60" s="186" t="n">
        <v>5</v>
      </c>
      <c r="T60" s="186" t="n">
        <v>6</v>
      </c>
      <c r="U60" s="186" t="n">
        <v>7</v>
      </c>
      <c r="V60" s="186" t="n">
        <v>8</v>
      </c>
      <c r="W60" s="186" t="n">
        <v>9</v>
      </c>
      <c r="X60" s="186" t="n">
        <v>10</v>
      </c>
      <c r="Z60" s="186" t="n">
        <v>1</v>
      </c>
      <c r="AA60" s="186" t="n">
        <v>2</v>
      </c>
      <c r="AB60" s="186" t="n">
        <v>3</v>
      </c>
      <c r="AC60" s="186" t="n">
        <v>4</v>
      </c>
      <c r="AD60" s="186" t="n">
        <v>5</v>
      </c>
      <c r="AE60" s="186" t="n">
        <v>6</v>
      </c>
      <c r="AF60" s="186" t="n">
        <v>7</v>
      </c>
      <c r="AG60" s="186" t="n">
        <v>8</v>
      </c>
      <c r="AH60" s="186" t="n">
        <v>9</v>
      </c>
      <c r="AI60" s="186" t="n">
        <v>10</v>
      </c>
      <c r="AK60" s="186" t="n">
        <v>1</v>
      </c>
      <c r="AL60" s="186" t="n">
        <v>2</v>
      </c>
      <c r="AM60" s="186" t="n">
        <v>3</v>
      </c>
      <c r="AN60" s="186" t="n">
        <v>4</v>
      </c>
      <c r="AO60" s="186" t="n">
        <v>5</v>
      </c>
      <c r="AP60" s="186" t="n">
        <v>6</v>
      </c>
      <c r="AQ60" s="186" t="n">
        <v>7</v>
      </c>
      <c r="AR60" s="186" t="n">
        <v>8</v>
      </c>
      <c r="AS60" s="186" t="n">
        <v>9</v>
      </c>
      <c r="AT60" s="186" t="n">
        <v>10</v>
      </c>
      <c r="AV60" s="186" t="n">
        <v>1</v>
      </c>
      <c r="AW60" s="186" t="n">
        <v>2</v>
      </c>
      <c r="AX60" s="186" t="n">
        <v>3</v>
      </c>
      <c r="AY60" s="186" t="n">
        <v>4</v>
      </c>
      <c r="AZ60" s="186" t="n">
        <v>5</v>
      </c>
      <c r="BA60" s="186" t="n">
        <v>6</v>
      </c>
      <c r="BB60" s="186" t="n">
        <v>7</v>
      </c>
      <c r="BC60" s="186" t="n">
        <v>8</v>
      </c>
      <c r="BD60" s="186" t="n">
        <v>9</v>
      </c>
      <c r="BE60" s="186" t="n">
        <v>10</v>
      </c>
      <c r="BG60" s="186" t="n">
        <v>1</v>
      </c>
      <c r="BH60" s="186" t="n">
        <v>2</v>
      </c>
      <c r="BI60" s="186" t="n">
        <v>3</v>
      </c>
      <c r="BJ60" s="186" t="n">
        <v>4</v>
      </c>
      <c r="BK60" s="186" t="n">
        <v>5</v>
      </c>
      <c r="BL60" s="186" t="n">
        <v>6</v>
      </c>
      <c r="BM60" s="186" t="n">
        <v>7</v>
      </c>
      <c r="BN60" s="186" t="n">
        <v>8</v>
      </c>
      <c r="BO60" s="186" t="n">
        <v>9</v>
      </c>
      <c r="BP60" s="186" t="n">
        <v>10</v>
      </c>
      <c r="BR60" s="186" t="n">
        <v>1</v>
      </c>
      <c r="BS60" s="186" t="n">
        <v>2</v>
      </c>
      <c r="BT60" s="186" t="n">
        <v>3</v>
      </c>
      <c r="BU60" s="186" t="n">
        <v>4</v>
      </c>
      <c r="BV60" s="186" t="n">
        <v>5</v>
      </c>
      <c r="BW60" s="186" t="n">
        <v>6</v>
      </c>
      <c r="BX60" s="186" t="n">
        <v>7</v>
      </c>
      <c r="BY60" s="186" t="n">
        <v>8</v>
      </c>
      <c r="BZ60" s="186" t="n">
        <v>9</v>
      </c>
      <c r="CA60" s="186" t="n">
        <v>10</v>
      </c>
      <c r="CC60" s="186" t="n">
        <v>1</v>
      </c>
      <c r="CD60" s="186" t="n">
        <v>2</v>
      </c>
      <c r="CE60" s="186" t="n">
        <v>3</v>
      </c>
      <c r="CF60" s="186" t="n">
        <v>4</v>
      </c>
      <c r="CG60" s="186" t="n">
        <v>5</v>
      </c>
      <c r="CH60" s="186" t="n">
        <v>6</v>
      </c>
      <c r="CI60" s="186" t="n">
        <v>7</v>
      </c>
      <c r="CJ60" s="186" t="n">
        <v>8</v>
      </c>
      <c r="CK60" s="186" t="n">
        <v>9</v>
      </c>
      <c r="CL60" s="186" t="n">
        <v>10</v>
      </c>
      <c r="CN60" s="186" t="n">
        <v>1</v>
      </c>
      <c r="CO60" s="186" t="n">
        <v>2</v>
      </c>
      <c r="CP60" s="186" t="n">
        <v>3</v>
      </c>
      <c r="CQ60" s="186" t="n">
        <v>4</v>
      </c>
      <c r="CR60" s="186" t="n">
        <v>5</v>
      </c>
      <c r="CS60" s="186" t="n">
        <v>6</v>
      </c>
      <c r="CT60" s="186" t="n">
        <v>7</v>
      </c>
      <c r="CU60" s="186" t="n">
        <v>8</v>
      </c>
      <c r="CV60" s="186" t="n">
        <v>9</v>
      </c>
      <c r="CW60" s="186" t="n">
        <v>10</v>
      </c>
      <c r="CY60" s="186" t="n">
        <v>1</v>
      </c>
      <c r="CZ60" s="186" t="n">
        <v>2</v>
      </c>
      <c r="DA60" s="186" t="n">
        <v>3</v>
      </c>
      <c r="DB60" s="186" t="n">
        <v>4</v>
      </c>
      <c r="DC60" s="186" t="n">
        <v>5</v>
      </c>
      <c r="DD60" s="186" t="n">
        <v>6</v>
      </c>
      <c r="DE60" s="186" t="n">
        <v>7</v>
      </c>
      <c r="DF60" s="186" t="n">
        <v>8</v>
      </c>
      <c r="DG60" s="186" t="n">
        <v>9</v>
      </c>
      <c r="DH60" s="186" t="n">
        <v>10</v>
      </c>
      <c r="DJ60" s="186" t="n">
        <v>1</v>
      </c>
      <c r="DK60" s="186" t="n">
        <v>2</v>
      </c>
      <c r="DL60" s="186" t="n">
        <v>3</v>
      </c>
      <c r="DM60" s="186" t="n">
        <v>4</v>
      </c>
      <c r="DN60" s="186" t="n">
        <v>5</v>
      </c>
      <c r="DO60" s="186" t="n">
        <v>6</v>
      </c>
      <c r="DP60" s="186" t="n">
        <v>7</v>
      </c>
      <c r="DQ60" s="186" t="n">
        <v>8</v>
      </c>
      <c r="DR60" s="186" t="n">
        <v>9</v>
      </c>
      <c r="DS60" s="186" t="n">
        <v>10</v>
      </c>
      <c r="DU60" s="186" t="n">
        <v>1</v>
      </c>
      <c r="DV60" s="186" t="n">
        <v>2</v>
      </c>
      <c r="DW60" s="186" t="n">
        <v>3</v>
      </c>
      <c r="DX60" s="186" t="n">
        <v>4</v>
      </c>
      <c r="DY60" s="186" t="n">
        <v>5</v>
      </c>
      <c r="DZ60" s="186" t="n">
        <v>6</v>
      </c>
      <c r="EA60" s="186" t="n">
        <v>7</v>
      </c>
      <c r="EB60" s="186" t="n">
        <v>8</v>
      </c>
      <c r="EC60" s="186" t="n">
        <v>9</v>
      </c>
      <c r="ED60" s="186" t="n">
        <v>10</v>
      </c>
      <c r="EF60" s="186" t="n">
        <v>1</v>
      </c>
      <c r="EG60" s="186" t="n">
        <v>2</v>
      </c>
      <c r="EH60" s="186" t="n">
        <v>3</v>
      </c>
      <c r="EI60" s="186" t="n">
        <v>4</v>
      </c>
      <c r="EJ60" s="186" t="n">
        <v>5</v>
      </c>
      <c r="EK60" s="186" t="n">
        <v>6</v>
      </c>
      <c r="EL60" s="186" t="n">
        <v>7</v>
      </c>
      <c r="EM60" s="186" t="n">
        <v>8</v>
      </c>
      <c r="EN60" s="186" t="n">
        <v>9</v>
      </c>
      <c r="EO60" s="186" t="n">
        <v>10</v>
      </c>
      <c r="EQ60" s="186" t="n">
        <v>1</v>
      </c>
      <c r="ER60" s="186" t="n">
        <v>2</v>
      </c>
      <c r="ES60" s="186" t="n">
        <v>3</v>
      </c>
      <c r="ET60" s="186" t="n">
        <v>4</v>
      </c>
      <c r="EU60" s="186" t="n">
        <v>5</v>
      </c>
      <c r="EV60" s="186" t="n">
        <v>6</v>
      </c>
      <c r="EW60" s="186" t="n">
        <v>7</v>
      </c>
      <c r="EX60" s="186" t="n">
        <v>8</v>
      </c>
      <c r="EY60" s="186" t="n">
        <v>9</v>
      </c>
      <c r="EZ60" s="186" t="n">
        <v>10</v>
      </c>
      <c r="FB60" s="186" t="n">
        <v>1</v>
      </c>
      <c r="FC60" s="186" t="n">
        <v>2</v>
      </c>
      <c r="FD60" s="186" t="n">
        <v>3</v>
      </c>
      <c r="FE60" s="186" t="n">
        <v>4</v>
      </c>
      <c r="FF60" s="186" t="n">
        <v>5</v>
      </c>
      <c r="FG60" s="186" t="n">
        <v>6</v>
      </c>
      <c r="FH60" s="186" t="n">
        <v>7</v>
      </c>
      <c r="FI60" s="186" t="n">
        <v>8</v>
      </c>
      <c r="FJ60" s="186" t="n">
        <v>9</v>
      </c>
      <c r="FK60" s="186" t="n">
        <v>10</v>
      </c>
      <c r="FM60" s="186" t="n">
        <v>1</v>
      </c>
      <c r="FN60" s="186" t="n">
        <v>2</v>
      </c>
      <c r="FO60" s="186" t="n">
        <v>3</v>
      </c>
      <c r="FP60" s="186" t="n">
        <v>4</v>
      </c>
      <c r="FQ60" s="186" t="n">
        <v>5</v>
      </c>
      <c r="FR60" s="186" t="n">
        <v>6</v>
      </c>
      <c r="FS60" s="186" t="n">
        <v>7</v>
      </c>
      <c r="FT60" s="186" t="n">
        <v>8</v>
      </c>
      <c r="FU60" s="186" t="n">
        <v>9</v>
      </c>
      <c r="FV60" s="186" t="n">
        <v>10</v>
      </c>
      <c r="FX60" s="186" t="n">
        <v>1</v>
      </c>
      <c r="FY60" s="186" t="n">
        <v>2</v>
      </c>
      <c r="FZ60" s="186" t="n">
        <v>3</v>
      </c>
      <c r="GA60" s="186" t="n">
        <v>4</v>
      </c>
      <c r="GB60" s="186" t="n">
        <v>5</v>
      </c>
      <c r="GC60" s="186" t="n">
        <v>6</v>
      </c>
      <c r="GD60" s="186" t="n">
        <v>7</v>
      </c>
      <c r="GE60" s="186" t="n">
        <v>8</v>
      </c>
      <c r="GF60" s="186" t="n">
        <v>9</v>
      </c>
      <c r="GG60" s="186" t="n">
        <v>10</v>
      </c>
      <c r="GI60" s="186" t="n">
        <v>1</v>
      </c>
      <c r="GJ60" s="186" t="n">
        <v>2</v>
      </c>
      <c r="GK60" s="186" t="n">
        <v>3</v>
      </c>
      <c r="GL60" s="186" t="n">
        <v>4</v>
      </c>
      <c r="GM60" s="186" t="n">
        <v>5</v>
      </c>
      <c r="GN60" s="186" t="n">
        <v>6</v>
      </c>
      <c r="GO60" s="186" t="n">
        <v>7</v>
      </c>
      <c r="GP60" s="186" t="n">
        <v>8</v>
      </c>
      <c r="GQ60" s="186" t="n">
        <v>9</v>
      </c>
      <c r="GR60" s="186" t="n">
        <v>10</v>
      </c>
      <c r="GT60" s="186" t="n">
        <v>1</v>
      </c>
      <c r="GU60" s="186" t="n">
        <v>2</v>
      </c>
      <c r="GV60" s="186" t="n">
        <v>3</v>
      </c>
      <c r="GW60" s="186" t="n">
        <v>4</v>
      </c>
      <c r="GX60" s="186" t="n">
        <v>5</v>
      </c>
      <c r="GY60" s="186" t="n">
        <v>6</v>
      </c>
      <c r="GZ60" s="186" t="n">
        <v>7</v>
      </c>
      <c r="HA60" s="186" t="n">
        <v>8</v>
      </c>
      <c r="HB60" s="186" t="n">
        <v>9</v>
      </c>
      <c r="HC60" s="186" t="n">
        <v>10</v>
      </c>
      <c r="HE60" s="186" t="n">
        <v>1</v>
      </c>
      <c r="HF60" s="186" t="n">
        <v>2</v>
      </c>
      <c r="HG60" s="186" t="n">
        <v>3</v>
      </c>
      <c r="HH60" s="186" t="n">
        <v>4</v>
      </c>
      <c r="HI60" s="186" t="n">
        <v>5</v>
      </c>
      <c r="HJ60" s="186" t="n">
        <v>6</v>
      </c>
      <c r="HK60" s="186" t="n">
        <v>7</v>
      </c>
      <c r="HL60" s="186" t="n">
        <v>8</v>
      </c>
      <c r="HM60" s="186" t="n">
        <v>9</v>
      </c>
      <c r="HN60" s="186" t="n">
        <v>10</v>
      </c>
      <c r="HP60" s="186" t="n">
        <v>1</v>
      </c>
      <c r="HQ60" s="186" t="n">
        <v>2</v>
      </c>
      <c r="HR60" s="186" t="n">
        <v>3</v>
      </c>
      <c r="HS60" s="186" t="n">
        <v>4</v>
      </c>
      <c r="HT60" s="186" t="n">
        <v>5</v>
      </c>
      <c r="HU60" s="186" t="n">
        <v>6</v>
      </c>
      <c r="HV60" s="186" t="n">
        <v>7</v>
      </c>
      <c r="HW60" s="186" t="n">
        <v>8</v>
      </c>
      <c r="HX60" s="186" t="n">
        <v>9</v>
      </c>
      <c r="HY60" s="186" t="n">
        <v>10</v>
      </c>
      <c r="IA60" s="186" t="n">
        <v>1</v>
      </c>
      <c r="IB60" s="186" t="n">
        <v>2</v>
      </c>
      <c r="IC60" s="186" t="n">
        <v>3</v>
      </c>
      <c r="ID60" s="186" t="n">
        <v>4</v>
      </c>
      <c r="IE60" s="186" t="n">
        <v>5</v>
      </c>
      <c r="IF60" s="186" t="n">
        <v>6</v>
      </c>
      <c r="IG60" s="186" t="n">
        <v>7</v>
      </c>
      <c r="IH60" s="186" t="n">
        <v>8</v>
      </c>
      <c r="II60" s="186" t="n">
        <v>9</v>
      </c>
      <c r="IJ60" s="186" t="n">
        <v>10</v>
      </c>
      <c r="IL60" s="186" t="n">
        <v>1</v>
      </c>
      <c r="IM60" s="186" t="n">
        <v>2</v>
      </c>
      <c r="IN60" s="186" t="n">
        <v>3</v>
      </c>
      <c r="IO60" s="186" t="n">
        <v>4</v>
      </c>
      <c r="IP60" s="186" t="n">
        <v>5</v>
      </c>
      <c r="IQ60" s="186" t="n">
        <v>6</v>
      </c>
      <c r="IR60" s="186" t="n">
        <v>7</v>
      </c>
      <c r="IS60" s="186" t="n">
        <v>8</v>
      </c>
      <c r="IT60" s="186" t="n">
        <v>9</v>
      </c>
      <c r="IU60" s="186" t="n">
        <v>10</v>
      </c>
      <c r="IW60" s="186" t="n">
        <v>1</v>
      </c>
      <c r="IX60" s="186" t="n">
        <v>2</v>
      </c>
      <c r="IY60" s="186" t="n">
        <v>3</v>
      </c>
      <c r="IZ60" s="186" t="n">
        <v>4</v>
      </c>
      <c r="JA60" s="186" t="n">
        <v>5</v>
      </c>
      <c r="JB60" s="186" t="n">
        <v>6</v>
      </c>
      <c r="JC60" s="186" t="n">
        <v>7</v>
      </c>
      <c r="JD60" s="186" t="n">
        <v>8</v>
      </c>
      <c r="JE60" s="186" t="n">
        <v>9</v>
      </c>
      <c r="JF60" s="186" t="n">
        <v>10</v>
      </c>
      <c r="JH60" s="186" t="n">
        <v>1</v>
      </c>
      <c r="JI60" s="186" t="n">
        <v>2</v>
      </c>
      <c r="JJ60" s="186" t="n">
        <v>3</v>
      </c>
      <c r="JK60" s="186" t="n">
        <v>4</v>
      </c>
      <c r="JL60" s="186" t="n">
        <v>5</v>
      </c>
      <c r="JM60" s="186" t="n">
        <v>6</v>
      </c>
      <c r="JN60" s="186" t="n">
        <v>7</v>
      </c>
      <c r="JO60" s="186" t="n">
        <v>8</v>
      </c>
      <c r="JP60" s="186" t="n">
        <v>9</v>
      </c>
      <c r="JQ60" s="186" t="n">
        <v>10</v>
      </c>
      <c r="JS60" s="186" t="n">
        <v>1</v>
      </c>
      <c r="JT60" s="186" t="n">
        <v>2</v>
      </c>
      <c r="JU60" s="186" t="n">
        <v>3</v>
      </c>
      <c r="JV60" s="186" t="n">
        <v>4</v>
      </c>
      <c r="JW60" s="186" t="n">
        <v>5</v>
      </c>
      <c r="JX60" s="186" t="n">
        <v>6</v>
      </c>
      <c r="JY60" s="186" t="n">
        <v>7</v>
      </c>
      <c r="JZ60" s="186" t="n">
        <v>8</v>
      </c>
      <c r="KA60" s="186" t="n">
        <v>9</v>
      </c>
      <c r="KB60" s="186" t="n">
        <v>10</v>
      </c>
      <c r="KD60" s="186" t="n">
        <v>1</v>
      </c>
      <c r="KE60" s="186" t="n">
        <v>2</v>
      </c>
      <c r="KF60" s="186" t="n">
        <v>3</v>
      </c>
      <c r="KG60" s="186" t="n">
        <v>4</v>
      </c>
      <c r="KH60" s="186" t="n">
        <v>5</v>
      </c>
      <c r="KI60" s="186" t="n">
        <v>6</v>
      </c>
      <c r="KJ60" s="186" t="n">
        <v>7</v>
      </c>
      <c r="KK60" s="186" t="n">
        <v>8</v>
      </c>
      <c r="KL60" s="186" t="n">
        <v>9</v>
      </c>
      <c r="KM60" s="186" t="n">
        <v>10</v>
      </c>
      <c r="KO60" s="186" t="n">
        <v>1</v>
      </c>
      <c r="KP60" s="186" t="n">
        <v>2</v>
      </c>
      <c r="KQ60" s="186" t="n">
        <v>3</v>
      </c>
      <c r="KR60" s="186" t="n">
        <v>4</v>
      </c>
      <c r="KS60" s="186" t="n">
        <v>5</v>
      </c>
      <c r="KT60" s="186" t="n">
        <v>6</v>
      </c>
      <c r="KU60" s="186" t="n">
        <v>7</v>
      </c>
      <c r="KV60" s="186" t="n">
        <v>8</v>
      </c>
      <c r="KW60" s="186" t="n">
        <v>9</v>
      </c>
      <c r="KX60" s="186" t="n">
        <v>10</v>
      </c>
      <c r="KZ60" s="186" t="n">
        <v>1</v>
      </c>
      <c r="LA60" s="186" t="n">
        <v>2</v>
      </c>
      <c r="LB60" s="186" t="n">
        <v>3</v>
      </c>
      <c r="LC60" s="186" t="n">
        <v>4</v>
      </c>
      <c r="LD60" s="186" t="n">
        <v>5</v>
      </c>
      <c r="LE60" s="186" t="n">
        <v>6</v>
      </c>
      <c r="LF60" s="186" t="n">
        <v>7</v>
      </c>
      <c r="LG60" s="186" t="n">
        <v>8</v>
      </c>
      <c r="LH60" s="186" t="n">
        <v>9</v>
      </c>
      <c r="LI60" s="186" t="n">
        <v>10</v>
      </c>
      <c r="LK60" s="186" t="n">
        <v>1</v>
      </c>
      <c r="LL60" s="186" t="n">
        <v>2</v>
      </c>
      <c r="LM60" s="186" t="n">
        <v>3</v>
      </c>
      <c r="LN60" s="186" t="n">
        <v>4</v>
      </c>
      <c r="LO60" s="186" t="n">
        <v>5</v>
      </c>
      <c r="LP60" s="186" t="n">
        <v>6</v>
      </c>
      <c r="LQ60" s="186" t="n">
        <v>7</v>
      </c>
      <c r="LR60" s="186" t="n">
        <v>8</v>
      </c>
      <c r="LS60" s="186" t="n">
        <v>9</v>
      </c>
      <c r="LT60" s="186" t="n">
        <v>10</v>
      </c>
    </row>
    <row r="61" customFormat="false" ht="45.75" hidden="true" customHeight="false" outlineLevel="0" collapsed="false">
      <c r="C61" s="187" t="s">
        <v>159</v>
      </c>
      <c r="D61" s="188" t="s">
        <v>17</v>
      </c>
      <c r="E61" s="136" t="s">
        <v>21</v>
      </c>
      <c r="F61" s="136" t="s">
        <v>25</v>
      </c>
      <c r="G61" s="136" t="s">
        <v>29</v>
      </c>
      <c r="H61" s="136" t="s">
        <v>33</v>
      </c>
      <c r="I61" s="136" t="s">
        <v>36</v>
      </c>
      <c r="J61" s="136" t="s">
        <v>39</v>
      </c>
      <c r="K61" s="136" t="s">
        <v>42</v>
      </c>
      <c r="L61" s="136" t="s">
        <v>45</v>
      </c>
      <c r="M61" s="189" t="s">
        <v>48</v>
      </c>
      <c r="N61" s="187" t="s">
        <v>159</v>
      </c>
      <c r="O61" s="188" t="s">
        <v>17</v>
      </c>
      <c r="P61" s="136" t="s">
        <v>21</v>
      </c>
      <c r="Q61" s="136" t="s">
        <v>25</v>
      </c>
      <c r="R61" s="136" t="s">
        <v>29</v>
      </c>
      <c r="S61" s="136" t="s">
        <v>33</v>
      </c>
      <c r="T61" s="136" t="s">
        <v>36</v>
      </c>
      <c r="U61" s="136" t="s">
        <v>39</v>
      </c>
      <c r="V61" s="136" t="s">
        <v>42</v>
      </c>
      <c r="W61" s="136" t="s">
        <v>45</v>
      </c>
      <c r="X61" s="189" t="s">
        <v>48</v>
      </c>
      <c r="Y61" s="187" t="s">
        <v>159</v>
      </c>
      <c r="Z61" s="188" t="s">
        <v>17</v>
      </c>
      <c r="AA61" s="136" t="s">
        <v>21</v>
      </c>
      <c r="AB61" s="136" t="s">
        <v>25</v>
      </c>
      <c r="AC61" s="136" t="s">
        <v>29</v>
      </c>
      <c r="AD61" s="136" t="s">
        <v>33</v>
      </c>
      <c r="AE61" s="136" t="s">
        <v>36</v>
      </c>
      <c r="AF61" s="136" t="s">
        <v>39</v>
      </c>
      <c r="AG61" s="136" t="s">
        <v>42</v>
      </c>
      <c r="AH61" s="136" t="s">
        <v>45</v>
      </c>
      <c r="AI61" s="189" t="s">
        <v>48</v>
      </c>
      <c r="AJ61" s="187" t="s">
        <v>159</v>
      </c>
      <c r="AK61" s="188" t="s">
        <v>17</v>
      </c>
      <c r="AL61" s="136" t="s">
        <v>21</v>
      </c>
      <c r="AM61" s="136" t="s">
        <v>25</v>
      </c>
      <c r="AN61" s="136" t="s">
        <v>29</v>
      </c>
      <c r="AO61" s="136" t="s">
        <v>33</v>
      </c>
      <c r="AP61" s="136" t="s">
        <v>36</v>
      </c>
      <c r="AQ61" s="136" t="s">
        <v>39</v>
      </c>
      <c r="AR61" s="136" t="s">
        <v>42</v>
      </c>
      <c r="AS61" s="136" t="s">
        <v>45</v>
      </c>
      <c r="AT61" s="189" t="s">
        <v>48</v>
      </c>
      <c r="AU61" s="187" t="s">
        <v>159</v>
      </c>
      <c r="AV61" s="188" t="s">
        <v>17</v>
      </c>
      <c r="AW61" s="136" t="s">
        <v>21</v>
      </c>
      <c r="AX61" s="136" t="s">
        <v>25</v>
      </c>
      <c r="AY61" s="136" t="s">
        <v>29</v>
      </c>
      <c r="AZ61" s="136" t="s">
        <v>33</v>
      </c>
      <c r="BA61" s="136" t="s">
        <v>36</v>
      </c>
      <c r="BB61" s="136" t="s">
        <v>39</v>
      </c>
      <c r="BC61" s="136" t="s">
        <v>42</v>
      </c>
      <c r="BD61" s="136" t="s">
        <v>45</v>
      </c>
      <c r="BE61" s="189" t="s">
        <v>48</v>
      </c>
      <c r="BF61" s="187" t="s">
        <v>159</v>
      </c>
      <c r="BG61" s="188" t="s">
        <v>17</v>
      </c>
      <c r="BH61" s="136" t="s">
        <v>21</v>
      </c>
      <c r="BI61" s="136" t="s">
        <v>25</v>
      </c>
      <c r="BJ61" s="136" t="s">
        <v>29</v>
      </c>
      <c r="BK61" s="136" t="s">
        <v>33</v>
      </c>
      <c r="BL61" s="136" t="s">
        <v>36</v>
      </c>
      <c r="BM61" s="136" t="s">
        <v>39</v>
      </c>
      <c r="BN61" s="136" t="s">
        <v>42</v>
      </c>
      <c r="BO61" s="136" t="s">
        <v>45</v>
      </c>
      <c r="BP61" s="189" t="s">
        <v>48</v>
      </c>
      <c r="BQ61" s="187" t="s">
        <v>159</v>
      </c>
      <c r="BR61" s="188" t="s">
        <v>17</v>
      </c>
      <c r="BS61" s="136" t="s">
        <v>21</v>
      </c>
      <c r="BT61" s="136" t="s">
        <v>25</v>
      </c>
      <c r="BU61" s="136" t="s">
        <v>29</v>
      </c>
      <c r="BV61" s="136" t="s">
        <v>33</v>
      </c>
      <c r="BW61" s="136" t="s">
        <v>36</v>
      </c>
      <c r="BX61" s="136" t="s">
        <v>39</v>
      </c>
      <c r="BY61" s="136" t="s">
        <v>42</v>
      </c>
      <c r="BZ61" s="136" t="s">
        <v>45</v>
      </c>
      <c r="CA61" s="189" t="s">
        <v>48</v>
      </c>
      <c r="CB61" s="187" t="s">
        <v>159</v>
      </c>
      <c r="CC61" s="188" t="s">
        <v>17</v>
      </c>
      <c r="CD61" s="136" t="s">
        <v>21</v>
      </c>
      <c r="CE61" s="136" t="s">
        <v>25</v>
      </c>
      <c r="CF61" s="136" t="s">
        <v>29</v>
      </c>
      <c r="CG61" s="136" t="s">
        <v>33</v>
      </c>
      <c r="CH61" s="136" t="s">
        <v>36</v>
      </c>
      <c r="CI61" s="136" t="s">
        <v>39</v>
      </c>
      <c r="CJ61" s="136" t="s">
        <v>42</v>
      </c>
      <c r="CK61" s="136" t="s">
        <v>45</v>
      </c>
      <c r="CL61" s="189" t="s">
        <v>48</v>
      </c>
      <c r="CM61" s="187" t="s">
        <v>159</v>
      </c>
      <c r="CN61" s="188" t="s">
        <v>17</v>
      </c>
      <c r="CO61" s="136" t="s">
        <v>21</v>
      </c>
      <c r="CP61" s="136" t="s">
        <v>25</v>
      </c>
      <c r="CQ61" s="136" t="s">
        <v>29</v>
      </c>
      <c r="CR61" s="136" t="s">
        <v>33</v>
      </c>
      <c r="CS61" s="136" t="s">
        <v>36</v>
      </c>
      <c r="CT61" s="136" t="s">
        <v>39</v>
      </c>
      <c r="CU61" s="136" t="s">
        <v>42</v>
      </c>
      <c r="CV61" s="136" t="s">
        <v>45</v>
      </c>
      <c r="CW61" s="189" t="s">
        <v>48</v>
      </c>
      <c r="CX61" s="187" t="s">
        <v>159</v>
      </c>
      <c r="CY61" s="188" t="s">
        <v>17</v>
      </c>
      <c r="CZ61" s="136" t="s">
        <v>21</v>
      </c>
      <c r="DA61" s="136" t="s">
        <v>25</v>
      </c>
      <c r="DB61" s="136" t="s">
        <v>29</v>
      </c>
      <c r="DC61" s="136" t="s">
        <v>33</v>
      </c>
      <c r="DD61" s="136" t="s">
        <v>36</v>
      </c>
      <c r="DE61" s="136" t="s">
        <v>39</v>
      </c>
      <c r="DF61" s="136" t="s">
        <v>42</v>
      </c>
      <c r="DG61" s="136" t="s">
        <v>45</v>
      </c>
      <c r="DH61" s="189" t="s">
        <v>48</v>
      </c>
      <c r="DI61" s="187" t="s">
        <v>159</v>
      </c>
      <c r="DJ61" s="188" t="s">
        <v>17</v>
      </c>
      <c r="DK61" s="136" t="s">
        <v>21</v>
      </c>
      <c r="DL61" s="136" t="s">
        <v>25</v>
      </c>
      <c r="DM61" s="136" t="s">
        <v>29</v>
      </c>
      <c r="DN61" s="136" t="s">
        <v>33</v>
      </c>
      <c r="DO61" s="136" t="s">
        <v>36</v>
      </c>
      <c r="DP61" s="136" t="s">
        <v>39</v>
      </c>
      <c r="DQ61" s="136" t="s">
        <v>42</v>
      </c>
      <c r="DR61" s="136" t="s">
        <v>45</v>
      </c>
      <c r="DS61" s="189" t="s">
        <v>48</v>
      </c>
      <c r="DT61" s="187" t="s">
        <v>159</v>
      </c>
      <c r="DU61" s="188" t="s">
        <v>17</v>
      </c>
      <c r="DV61" s="136" t="s">
        <v>21</v>
      </c>
      <c r="DW61" s="136" t="s">
        <v>25</v>
      </c>
      <c r="DX61" s="136" t="s">
        <v>29</v>
      </c>
      <c r="DY61" s="136" t="s">
        <v>33</v>
      </c>
      <c r="DZ61" s="136" t="s">
        <v>36</v>
      </c>
      <c r="EA61" s="136" t="s">
        <v>39</v>
      </c>
      <c r="EB61" s="136" t="s">
        <v>42</v>
      </c>
      <c r="EC61" s="136" t="s">
        <v>45</v>
      </c>
      <c r="ED61" s="189" t="s">
        <v>48</v>
      </c>
      <c r="EE61" s="187" t="s">
        <v>159</v>
      </c>
      <c r="EF61" s="188" t="s">
        <v>17</v>
      </c>
      <c r="EG61" s="136" t="s">
        <v>21</v>
      </c>
      <c r="EH61" s="136" t="s">
        <v>25</v>
      </c>
      <c r="EI61" s="136" t="s">
        <v>29</v>
      </c>
      <c r="EJ61" s="136" t="s">
        <v>33</v>
      </c>
      <c r="EK61" s="136" t="s">
        <v>36</v>
      </c>
      <c r="EL61" s="136" t="s">
        <v>39</v>
      </c>
      <c r="EM61" s="136" t="s">
        <v>42</v>
      </c>
      <c r="EN61" s="136" t="s">
        <v>45</v>
      </c>
      <c r="EO61" s="189" t="s">
        <v>48</v>
      </c>
      <c r="EP61" s="187" t="s">
        <v>159</v>
      </c>
      <c r="EQ61" s="188" t="s">
        <v>17</v>
      </c>
      <c r="ER61" s="136" t="s">
        <v>21</v>
      </c>
      <c r="ES61" s="136" t="s">
        <v>25</v>
      </c>
      <c r="ET61" s="136" t="s">
        <v>29</v>
      </c>
      <c r="EU61" s="136" t="s">
        <v>33</v>
      </c>
      <c r="EV61" s="136" t="s">
        <v>36</v>
      </c>
      <c r="EW61" s="136" t="s">
        <v>39</v>
      </c>
      <c r="EX61" s="136" t="s">
        <v>42</v>
      </c>
      <c r="EY61" s="136" t="s">
        <v>45</v>
      </c>
      <c r="EZ61" s="189" t="s">
        <v>48</v>
      </c>
      <c r="FA61" s="187" t="s">
        <v>159</v>
      </c>
      <c r="FB61" s="188" t="s">
        <v>17</v>
      </c>
      <c r="FC61" s="136" t="s">
        <v>21</v>
      </c>
      <c r="FD61" s="136" t="s">
        <v>25</v>
      </c>
      <c r="FE61" s="136" t="s">
        <v>29</v>
      </c>
      <c r="FF61" s="136" t="s">
        <v>33</v>
      </c>
      <c r="FG61" s="136" t="s">
        <v>36</v>
      </c>
      <c r="FH61" s="136" t="s">
        <v>39</v>
      </c>
      <c r="FI61" s="136" t="s">
        <v>42</v>
      </c>
      <c r="FJ61" s="136" t="s">
        <v>45</v>
      </c>
      <c r="FK61" s="189" t="s">
        <v>48</v>
      </c>
      <c r="FL61" s="187" t="s">
        <v>159</v>
      </c>
      <c r="FM61" s="188" t="s">
        <v>17</v>
      </c>
      <c r="FN61" s="136" t="s">
        <v>21</v>
      </c>
      <c r="FO61" s="136" t="s">
        <v>25</v>
      </c>
      <c r="FP61" s="136" t="s">
        <v>29</v>
      </c>
      <c r="FQ61" s="136" t="s">
        <v>33</v>
      </c>
      <c r="FR61" s="136" t="s">
        <v>36</v>
      </c>
      <c r="FS61" s="136" t="s">
        <v>39</v>
      </c>
      <c r="FT61" s="136" t="s">
        <v>42</v>
      </c>
      <c r="FU61" s="136" t="s">
        <v>45</v>
      </c>
      <c r="FV61" s="189" t="s">
        <v>48</v>
      </c>
      <c r="FW61" s="187" t="s">
        <v>159</v>
      </c>
      <c r="FX61" s="188" t="s">
        <v>17</v>
      </c>
      <c r="FY61" s="136" t="s">
        <v>21</v>
      </c>
      <c r="FZ61" s="136" t="s">
        <v>25</v>
      </c>
      <c r="GA61" s="136" t="s">
        <v>29</v>
      </c>
      <c r="GB61" s="136" t="s">
        <v>33</v>
      </c>
      <c r="GC61" s="136" t="s">
        <v>36</v>
      </c>
      <c r="GD61" s="136" t="s">
        <v>39</v>
      </c>
      <c r="GE61" s="136" t="s">
        <v>42</v>
      </c>
      <c r="GF61" s="136" t="s">
        <v>45</v>
      </c>
      <c r="GG61" s="189" t="s">
        <v>48</v>
      </c>
      <c r="GH61" s="187" t="s">
        <v>159</v>
      </c>
      <c r="GI61" s="188" t="s">
        <v>17</v>
      </c>
      <c r="GJ61" s="136" t="s">
        <v>21</v>
      </c>
      <c r="GK61" s="136" t="s">
        <v>25</v>
      </c>
      <c r="GL61" s="136" t="s">
        <v>29</v>
      </c>
      <c r="GM61" s="136" t="s">
        <v>33</v>
      </c>
      <c r="GN61" s="136" t="s">
        <v>36</v>
      </c>
      <c r="GO61" s="136" t="s">
        <v>39</v>
      </c>
      <c r="GP61" s="136" t="s">
        <v>42</v>
      </c>
      <c r="GQ61" s="136" t="s">
        <v>45</v>
      </c>
      <c r="GR61" s="189" t="s">
        <v>48</v>
      </c>
      <c r="GS61" s="187" t="s">
        <v>159</v>
      </c>
      <c r="GT61" s="188" t="s">
        <v>17</v>
      </c>
      <c r="GU61" s="136" t="s">
        <v>21</v>
      </c>
      <c r="GV61" s="136" t="s">
        <v>25</v>
      </c>
      <c r="GW61" s="136" t="s">
        <v>29</v>
      </c>
      <c r="GX61" s="136" t="s">
        <v>33</v>
      </c>
      <c r="GY61" s="136" t="s">
        <v>36</v>
      </c>
      <c r="GZ61" s="136" t="s">
        <v>39</v>
      </c>
      <c r="HA61" s="136" t="s">
        <v>42</v>
      </c>
      <c r="HB61" s="136" t="s">
        <v>45</v>
      </c>
      <c r="HC61" s="189" t="s">
        <v>48</v>
      </c>
      <c r="HD61" s="187" t="s">
        <v>159</v>
      </c>
      <c r="HE61" s="188" t="s">
        <v>17</v>
      </c>
      <c r="HF61" s="136" t="s">
        <v>21</v>
      </c>
      <c r="HG61" s="136" t="s">
        <v>25</v>
      </c>
      <c r="HH61" s="136" t="s">
        <v>29</v>
      </c>
      <c r="HI61" s="136" t="s">
        <v>33</v>
      </c>
      <c r="HJ61" s="136" t="s">
        <v>36</v>
      </c>
      <c r="HK61" s="136" t="s">
        <v>39</v>
      </c>
      <c r="HL61" s="136" t="s">
        <v>42</v>
      </c>
      <c r="HM61" s="136" t="s">
        <v>45</v>
      </c>
      <c r="HN61" s="189" t="s">
        <v>48</v>
      </c>
      <c r="HO61" s="187" t="s">
        <v>159</v>
      </c>
      <c r="HP61" s="188" t="s">
        <v>17</v>
      </c>
      <c r="HQ61" s="136" t="s">
        <v>21</v>
      </c>
      <c r="HR61" s="136" t="s">
        <v>25</v>
      </c>
      <c r="HS61" s="136" t="s">
        <v>29</v>
      </c>
      <c r="HT61" s="136" t="s">
        <v>33</v>
      </c>
      <c r="HU61" s="136" t="s">
        <v>36</v>
      </c>
      <c r="HV61" s="136" t="s">
        <v>39</v>
      </c>
      <c r="HW61" s="136" t="s">
        <v>42</v>
      </c>
      <c r="HX61" s="136" t="s">
        <v>45</v>
      </c>
      <c r="HY61" s="189" t="s">
        <v>48</v>
      </c>
      <c r="HZ61" s="187" t="s">
        <v>159</v>
      </c>
      <c r="IA61" s="188" t="s">
        <v>17</v>
      </c>
      <c r="IB61" s="136" t="s">
        <v>21</v>
      </c>
      <c r="IC61" s="136" t="s">
        <v>25</v>
      </c>
      <c r="ID61" s="136" t="s">
        <v>29</v>
      </c>
      <c r="IE61" s="136" t="s">
        <v>33</v>
      </c>
      <c r="IF61" s="136" t="s">
        <v>36</v>
      </c>
      <c r="IG61" s="136" t="s">
        <v>39</v>
      </c>
      <c r="IH61" s="136" t="s">
        <v>42</v>
      </c>
      <c r="II61" s="136" t="s">
        <v>45</v>
      </c>
      <c r="IJ61" s="189" t="s">
        <v>48</v>
      </c>
      <c r="IK61" s="187" t="s">
        <v>159</v>
      </c>
      <c r="IL61" s="188" t="s">
        <v>17</v>
      </c>
      <c r="IM61" s="136" t="s">
        <v>21</v>
      </c>
      <c r="IN61" s="136" t="s">
        <v>25</v>
      </c>
      <c r="IO61" s="136" t="s">
        <v>29</v>
      </c>
      <c r="IP61" s="136" t="s">
        <v>33</v>
      </c>
      <c r="IQ61" s="136" t="s">
        <v>36</v>
      </c>
      <c r="IR61" s="136" t="s">
        <v>39</v>
      </c>
      <c r="IS61" s="136" t="s">
        <v>42</v>
      </c>
      <c r="IT61" s="136" t="s">
        <v>45</v>
      </c>
      <c r="IU61" s="189" t="s">
        <v>48</v>
      </c>
      <c r="IV61" s="187" t="s">
        <v>159</v>
      </c>
      <c r="IW61" s="188" t="s">
        <v>17</v>
      </c>
      <c r="IX61" s="136" t="s">
        <v>21</v>
      </c>
      <c r="IY61" s="136" t="s">
        <v>25</v>
      </c>
      <c r="IZ61" s="136" t="s">
        <v>29</v>
      </c>
      <c r="JA61" s="136" t="s">
        <v>33</v>
      </c>
      <c r="JB61" s="136" t="s">
        <v>36</v>
      </c>
      <c r="JC61" s="136" t="s">
        <v>39</v>
      </c>
      <c r="JD61" s="136" t="s">
        <v>42</v>
      </c>
      <c r="JE61" s="136" t="s">
        <v>45</v>
      </c>
      <c r="JF61" s="189" t="s">
        <v>48</v>
      </c>
      <c r="JG61" s="187" t="s">
        <v>159</v>
      </c>
      <c r="JH61" s="188" t="s">
        <v>17</v>
      </c>
      <c r="JI61" s="136" t="s">
        <v>21</v>
      </c>
      <c r="JJ61" s="136" t="s">
        <v>25</v>
      </c>
      <c r="JK61" s="136" t="s">
        <v>29</v>
      </c>
      <c r="JL61" s="136" t="s">
        <v>33</v>
      </c>
      <c r="JM61" s="136" t="s">
        <v>36</v>
      </c>
      <c r="JN61" s="136" t="s">
        <v>39</v>
      </c>
      <c r="JO61" s="136" t="s">
        <v>42</v>
      </c>
      <c r="JP61" s="136" t="s">
        <v>45</v>
      </c>
      <c r="JQ61" s="189" t="s">
        <v>48</v>
      </c>
      <c r="JR61" s="187" t="s">
        <v>159</v>
      </c>
      <c r="JS61" s="188" t="s">
        <v>17</v>
      </c>
      <c r="JT61" s="136" t="s">
        <v>21</v>
      </c>
      <c r="JU61" s="136" t="s">
        <v>25</v>
      </c>
      <c r="JV61" s="136" t="s">
        <v>29</v>
      </c>
      <c r="JW61" s="136" t="s">
        <v>33</v>
      </c>
      <c r="JX61" s="136" t="s">
        <v>36</v>
      </c>
      <c r="JY61" s="136" t="s">
        <v>39</v>
      </c>
      <c r="JZ61" s="136" t="s">
        <v>42</v>
      </c>
      <c r="KA61" s="136" t="s">
        <v>45</v>
      </c>
      <c r="KB61" s="189" t="s">
        <v>48</v>
      </c>
      <c r="KC61" s="187" t="s">
        <v>159</v>
      </c>
      <c r="KD61" s="188" t="s">
        <v>17</v>
      </c>
      <c r="KE61" s="136" t="s">
        <v>21</v>
      </c>
      <c r="KF61" s="136" t="s">
        <v>25</v>
      </c>
      <c r="KG61" s="136" t="s">
        <v>29</v>
      </c>
      <c r="KH61" s="136" t="s">
        <v>33</v>
      </c>
      <c r="KI61" s="136" t="s">
        <v>36</v>
      </c>
      <c r="KJ61" s="136" t="s">
        <v>39</v>
      </c>
      <c r="KK61" s="136" t="s">
        <v>42</v>
      </c>
      <c r="KL61" s="136" t="s">
        <v>45</v>
      </c>
      <c r="KM61" s="189" t="s">
        <v>48</v>
      </c>
      <c r="KN61" s="187" t="s">
        <v>159</v>
      </c>
      <c r="KO61" s="188" t="s">
        <v>17</v>
      </c>
      <c r="KP61" s="136" t="s">
        <v>21</v>
      </c>
      <c r="KQ61" s="136" t="s">
        <v>25</v>
      </c>
      <c r="KR61" s="136" t="s">
        <v>29</v>
      </c>
      <c r="KS61" s="136" t="s">
        <v>33</v>
      </c>
      <c r="KT61" s="136" t="s">
        <v>36</v>
      </c>
      <c r="KU61" s="136" t="s">
        <v>39</v>
      </c>
      <c r="KV61" s="136" t="s">
        <v>42</v>
      </c>
      <c r="KW61" s="136" t="s">
        <v>45</v>
      </c>
      <c r="KX61" s="189" t="s">
        <v>48</v>
      </c>
      <c r="KY61" s="187" t="s">
        <v>159</v>
      </c>
      <c r="KZ61" s="188" t="s">
        <v>17</v>
      </c>
      <c r="LA61" s="136" t="s">
        <v>21</v>
      </c>
      <c r="LB61" s="136" t="s">
        <v>25</v>
      </c>
      <c r="LC61" s="136" t="s">
        <v>29</v>
      </c>
      <c r="LD61" s="136" t="s">
        <v>33</v>
      </c>
      <c r="LE61" s="136" t="s">
        <v>36</v>
      </c>
      <c r="LF61" s="136" t="s">
        <v>39</v>
      </c>
      <c r="LG61" s="136" t="s">
        <v>42</v>
      </c>
      <c r="LH61" s="136" t="s">
        <v>45</v>
      </c>
      <c r="LI61" s="189" t="s">
        <v>48</v>
      </c>
      <c r="LJ61" s="187" t="s">
        <v>159</v>
      </c>
      <c r="LK61" s="188" t="s">
        <v>17</v>
      </c>
      <c r="LL61" s="136" t="s">
        <v>21</v>
      </c>
      <c r="LM61" s="136" t="s">
        <v>25</v>
      </c>
      <c r="LN61" s="136" t="s">
        <v>29</v>
      </c>
      <c r="LO61" s="136" t="s">
        <v>33</v>
      </c>
      <c r="LP61" s="136" t="s">
        <v>36</v>
      </c>
      <c r="LQ61" s="136" t="s">
        <v>39</v>
      </c>
      <c r="LR61" s="136" t="s">
        <v>42</v>
      </c>
      <c r="LS61" s="136" t="s">
        <v>45</v>
      </c>
      <c r="LT61" s="189" t="s">
        <v>48</v>
      </c>
    </row>
    <row r="62" customFormat="false" ht="15" hidden="true" customHeight="false" outlineLevel="0" collapsed="false">
      <c r="C62" s="190" t="str">
        <f aca="false">B6</f>
        <v>Alumno1</v>
      </c>
      <c r="D62" s="191" t="n">
        <f aca="false">IF((SUMIF($D$3:$M$3,D$60,$D$4:$M$4))=0,0,((SUMIF($D$3:$M$3,D$60,$D111:$M111))/SUMIF($D$3:$M$3,D$60,$D$4:$M$4)))</f>
        <v>6.9</v>
      </c>
      <c r="E62" s="192" t="n">
        <f aca="false">IF((SUMIF($D$3:$M$3,E$60,$D$4:$M$4))=0,0,((SUMIF($D$3:$M$3,E$60,$D111:$M111))/SUMIF($D$3:$M$3,E$60,$D$4:$M$4)))</f>
        <v>0</v>
      </c>
      <c r="F62" s="192" t="n">
        <f aca="false">IF((SUMIF($D$3:$M$3,F$60,$D$4:$M$4))=0,0,((SUMIF($D$3:$M$3,F$60,$D111:$M111))/SUMIF($D$3:$M$3,F$60,$D$4:$M$4)))</f>
        <v>0</v>
      </c>
      <c r="G62" s="192" t="n">
        <f aca="false">IF((SUMIF($D$3:$M$3,G$60,$D$4:$M$4))=0,0,((SUMIF($D$3:$M$3,G$60,$D111:$M111))/SUMIF($D$3:$M$3,G$60,$D$4:$M$4)))</f>
        <v>0</v>
      </c>
      <c r="H62" s="192" t="n">
        <f aca="false">IF((SUMIF($D$3:$M$3,H$60,$D$4:$M$4))=0,0,((SUMIF($D$3:$M$3,H$60,$D111:$M111))/SUMIF($D$3:$M$3,H$60,$D$4:$M$4)))</f>
        <v>0</v>
      </c>
      <c r="I62" s="192" t="n">
        <f aca="false">IF((SUMIF($D$3:$M$3,I$60,$D$4:$M$4))=0,0,((SUMIF($D$3:$M$3,I$60,$D111:$M111))/SUMIF($D$3:$M$3,I$60,$D$4:$M$4)))</f>
        <v>0</v>
      </c>
      <c r="J62" s="192" t="n">
        <f aca="false">IF((SUMIF($D$3:$M$3,J$60,$D$4:$M$4))=0,0,((SUMIF($D$3:$M$3,J$60,$D111:$M111))/SUMIF($D$3:$M$3,J$60,$D$4:$M$4)))</f>
        <v>0</v>
      </c>
      <c r="K62" s="192" t="n">
        <f aca="false">IF((SUMIF($D$3:$M$3,K$60,$D$4:$M$4))=0,0,((SUMIF($D$3:$M$3,K$60,$D111:$M111))/SUMIF($D$3:$M$3,K$60,$D$4:$M$4)))</f>
        <v>0</v>
      </c>
      <c r="L62" s="192" t="n">
        <f aca="false">IF((SUMIF($D$3:$M$3,L$60,$D$4:$M$4))=0,0,((SUMIF($D$3:$M$3,L$60,$D111:$M111))/SUMIF($D$3:$M$3,L$60,$D$4:$M$4)))</f>
        <v>0</v>
      </c>
      <c r="M62" s="193" t="n">
        <f aca="false">IF((SUMIF($D$3:$M$3,M$60,$D$4:$M$4))=0,0,((SUMIF($D$3:$M$3,M$60,$D111:$M111))/SUMIF($D$3:$M$3,M$60,$D$4:$M$4)))</f>
        <v>0</v>
      </c>
      <c r="N62" s="190" t="str">
        <f aca="false">C62</f>
        <v>Alumno1</v>
      </c>
      <c r="O62" s="191" t="n">
        <f aca="false">IF((SUMIF($O$3:$X$3,O$60,$O$4:$X$4))=0,0,((SUMIF($O$3:$X$3,O$60,$O111:$X111))/SUMIF($O$3:$X$3,O$60,$O$4:$X$4)))</f>
        <v>6.75</v>
      </c>
      <c r="P62" s="192" t="n">
        <f aca="false">IF((SUMIF($O$3:$X$3,P$60,$O$4:$X$4))=0,0,((SUMIF($O$3:$X$3,P$60,$O111:$X111))/SUMIF($O$3:$X$3,P$60,$O$4:$X$4)))</f>
        <v>8</v>
      </c>
      <c r="Q62" s="192" t="n">
        <f aca="false">IF((SUMIF($O$3:$X$3,Q$60,$O$4:$X$4))=0,0,((SUMIF($O$3:$X$3,Q$60,$O111:$X111))/SUMIF($O$3:$X$3,Q$60,$O$4:$X$4)))</f>
        <v>0</v>
      </c>
      <c r="R62" s="192" t="n">
        <f aca="false">IF((SUMIF($O$3:$X$3,R$60,$O$4:$X$4))=0,0,((SUMIF($O$3:$X$3,R$60,$O111:$X111))/SUMIF($O$3:$X$3,R$60,$O$4:$X$4)))</f>
        <v>0</v>
      </c>
      <c r="S62" s="192" t="n">
        <f aca="false">IF((SUMIF($O$3:$X$3,S$60,$O$4:$X$4))=0,0,((SUMIF($O$3:$X$3,S$60,$O111:$X111))/SUMIF($O$3:$X$3,S$60,$O$4:$X$4)))</f>
        <v>0</v>
      </c>
      <c r="T62" s="192" t="n">
        <f aca="false">IF((SUMIF($O$3:$X$3,T$60,$O$4:$X$4))=0,0,((SUMIF($O$3:$X$3,T$60,$O111:$X111))/SUMIF($O$3:$X$3,T$60,$O$4:$X$4)))</f>
        <v>0</v>
      </c>
      <c r="U62" s="192" t="n">
        <f aca="false">IF((SUMIF($O$3:$X$3,U$60,$O$4:$X$4))=0,0,((SUMIF($O$3:$X$3,U$60,$O111:$X111))/SUMIF($O$3:$X$3,U$60,$O$4:$X$4)))</f>
        <v>0</v>
      </c>
      <c r="V62" s="192" t="n">
        <f aca="false">IF((SUMIF($O$3:$X$3,V$60,$O$4:$X$4))=0,0,((SUMIF($O$3:$X$3,V$60,$O111:$X111))/SUMIF($O$3:$X$3,V$60,$O$4:$X$4)))</f>
        <v>0</v>
      </c>
      <c r="W62" s="192" t="n">
        <f aca="false">IF((SUMIF($O$3:$X$3,W$60,$O$4:$X$4))=0,0,((SUMIF($O$3:$X$3,W$60,$O111:$X111))/SUMIF($O$3:$X$3,W$60,$O$4:$X$4)))</f>
        <v>0</v>
      </c>
      <c r="X62" s="193" t="n">
        <f aca="false">IF((SUMIF($O$3:$X$3,X$60,$O$4:$X$4))=0,0,((SUMIF($O$3:$X$3,X$60,$O111:$X111))/SUMIF($O$3:$X$3,X$60,$O$4:$X$4)))</f>
        <v>0</v>
      </c>
      <c r="Y62" s="190" t="str">
        <f aca="false">N62</f>
        <v>Alumno1</v>
      </c>
      <c r="Z62" s="191" t="n">
        <f aca="false">IF((SUMIF($Z$3:$AI$3,Z$60,$Z$4:$AI$4))=0,0,((SUMIF($Z$3:$AI$3,Z$60,$Z111:$AI111))/SUMIF($Z$3:$AI$3,Z$60,$Z$4:$AI$4)))</f>
        <v>6.5</v>
      </c>
      <c r="AA62" s="192" t="n">
        <f aca="false">IF((SUMIF($Z$3:$AI$3,AA$60,$Z$4:$AI$4))=0,0,((SUMIF($Z$3:$AI$3,AA$60,$Z111:$AI111))/SUMIF($Z$3:$AI$3,AA$60,$Z$4:$AI$4)))</f>
        <v>8.5</v>
      </c>
      <c r="AB62" s="192" t="n">
        <f aca="false">IF((SUMIF($Z$3:$AI$3,AB$60,$Z$4:$AI$4))=0,0,((SUMIF($Z$3:$AI$3,AB$60,$Z111:$AI111))/SUMIF($Z$3:$AI$3,AB$60,$Z$4:$AI$4)))</f>
        <v>5</v>
      </c>
      <c r="AC62" s="192" t="n">
        <f aca="false">IF((SUMIF($Z$3:$AI$3,AC$60,$Z$4:$AI$4))=0,0,((SUMIF($Z$3:$AI$3,AC$60,$Z111:$AI111))/SUMIF($Z$3:$AI$3,AC$60,$Z$4:$AI$4)))</f>
        <v>0</v>
      </c>
      <c r="AD62" s="192" t="n">
        <f aca="false">IF((SUMIF($Z$3:$AI$3,AD$60,$Z$4:$AI$4))=0,0,((SUMIF($Z$3:$AI$3,AD$60,$Z111:$AI111))/SUMIF($Z$3:$AI$3,AD$60,$Z$4:$AI$4)))</f>
        <v>0</v>
      </c>
      <c r="AE62" s="192" t="n">
        <f aca="false">IF((SUMIF($Z$3:$AI$3,AE$60,$Z$4:$AI$4))=0,0,((SUMIF($Z$3:$AI$3,AE$60,$Z111:$AI111))/SUMIF($Z$3:$AI$3,AE$60,$Z$4:$AI$4)))</f>
        <v>0</v>
      </c>
      <c r="AF62" s="192" t="n">
        <f aca="false">IF((SUMIF($Z$3:$AI$3,AF$60,$Z$4:$AI$4))=0,0,((SUMIF($Z$3:$AI$3,AF$60,$Z111:$AI111))/SUMIF($Z$3:$AI$3,AF$60,$Z$4:$AI$4)))</f>
        <v>0</v>
      </c>
      <c r="AG62" s="192" t="n">
        <f aca="false">IF((SUMIF($Z$3:$AI$3,AG$60,$Z$4:$AI$4))=0,0,((SUMIF($Z$3:$AI$3,AG$60,$Z111:$AI111))/SUMIF($Z$3:$AI$3,AG$60,$Z$4:$AI$4)))</f>
        <v>0</v>
      </c>
      <c r="AH62" s="192" t="n">
        <f aca="false">IF((SUMIF($Z$3:$AI$3,AH$60,$Z$4:$AI$4))=0,0,((SUMIF($Z$3:$AI$3,AH$60,$Z111:$AI111))/SUMIF($Z$3:$AI$3,AH$60,$Z$4:$AI$4)))</f>
        <v>0</v>
      </c>
      <c r="AI62" s="193" t="n">
        <f aca="false">IF((SUMIF($Z$3:$AI$3,AI$60,$Z$4:$AI$4))=0,0,((SUMIF($Z$3:$AI$3,AI$60,$Z111:$AI111))/SUMIF($Z$3:$AI$3,AI$60,$Z$4:$AI$4)))</f>
        <v>0</v>
      </c>
      <c r="AJ62" s="190" t="str">
        <f aca="false">Y62</f>
        <v>Alumno1</v>
      </c>
      <c r="AK62" s="191" t="n">
        <f aca="false">IF((SUMIF($AK$3:$AT$3,AK$60,$AK$4:$AT$4))=0,0,((SUMIF($AK$3:$AT$3,AK$60,$AK111:$AT111))/SUMIF($AK$3:$AT$3,AK$60,$AK$4:$AT$4)))</f>
        <v>6</v>
      </c>
      <c r="AL62" s="192" t="n">
        <f aca="false">IF((SUMIF($AK$3:$AT$3,AL$60,$AK$4:$AT$4))=0,0,((SUMIF($AK$3:$AT$3,AL$60,$AK111:$AT111))/SUMIF($AK$3:$AT$3,AL$60,$AK$4:$AT$4)))</f>
        <v>6</v>
      </c>
      <c r="AM62" s="192" t="n">
        <f aca="false">IF((SUMIF($AK$3:$AT$3,AM$60,$AK$4:$AT$4))=0,0,((SUMIF($AK$3:$AT$3,AM$60,$AK111:$AT111))/SUMIF($AK$3:$AT$3,AM$60,$AK$4:$AT$4)))</f>
        <v>8.5</v>
      </c>
      <c r="AN62" s="192" t="n">
        <f aca="false">IF((SUMIF($AK$3:$AT$3,AN$60,$AK$4:$AT$4))=0,0,((SUMIF($AK$3:$AT$3,AN$60,$AK111:$AT111))/SUMIF($AK$3:$AT$3,AN$60,$AK$4:$AT$4)))</f>
        <v>0</v>
      </c>
      <c r="AO62" s="192" t="n">
        <f aca="false">IF((SUMIF($AK$3:$AT$3,AO$60,$AK$4:$AT$4))=0,0,((SUMIF($AK$3:$AT$3,AO$60,$AK111:$AT111))/SUMIF($AK$3:$AT$3,AO$60,$AK$4:$AT$4)))</f>
        <v>0</v>
      </c>
      <c r="AP62" s="192" t="n">
        <f aca="false">IF((SUMIF($AK$3:$AT$3,AP$60,$AK$4:$AT$4))=0,0,((SUMIF($AK$3:$AT$3,AP$60,$AK111:$AT111))/SUMIF($AK$3:$AT$3,AP$60,$AK$4:$AT$4)))</f>
        <v>0</v>
      </c>
      <c r="AQ62" s="192" t="n">
        <f aca="false">IF((SUMIF($AK$3:$AT$3,AQ$60,$AK$4:$AT$4))=0,0,((SUMIF($AK$3:$AT$3,AQ$60,$AK111:$AT111))/SUMIF($AK$3:$AT$3,AQ$60,$AK$4:$AT$4)))</f>
        <v>0</v>
      </c>
      <c r="AR62" s="192" t="n">
        <f aca="false">IF((SUMIF($AK$3:$AT$3,AR$60,$AK$4:$AT$4))=0,0,((SUMIF($AK$3:$AT$3,AR$60,$AK111:$AT111))/SUMIF($AK$3:$AT$3,AR$60,$AK$4:$AT$4)))</f>
        <v>0</v>
      </c>
      <c r="AS62" s="192" t="n">
        <f aca="false">IF((SUMIF($AK$3:$AT$3,AS$60,$AK$4:$AT$4))=0,0,((SUMIF($AK$3:$AT$3,AS$60,$AK111:$AT111))/SUMIF($AK$3:$AT$3,AS$60,$AK$4:$AT$4)))</f>
        <v>0</v>
      </c>
      <c r="AT62" s="193" t="n">
        <f aca="false">IF((SUMIF($AK$3:$AT$3,AT$60,$AK$4:$AT$4))=0,0,((SUMIF($AK$3:$AT$3,AT$60,$AK111:$AT111))/SUMIF($AK$3:$AT$3,AT$60,$AK$4:$AT$4)))</f>
        <v>0</v>
      </c>
      <c r="AU62" s="190" t="str">
        <f aca="false">AJ62</f>
        <v>Alumno1</v>
      </c>
      <c r="AV62" s="191" t="n">
        <f aca="false">IF((SUMIF($AV$3:$BE$3,AV$60,$AV$4:$BE$4))=0,0,((SUMIF($AV$3:$BE$3,AV$60,$AV111:$BE111))/SUMIF($AV$3:$BE$3,AV$60,$AV$4:$BE$4)))</f>
        <v>8</v>
      </c>
      <c r="AW62" s="192" t="n">
        <f aca="false">IF((SUMIF($AV$3:$BE$3,AW$60,$AV$4:$BE$4))=0,0,((SUMIF($AV$3:$BE$3,AW$60,$AV111:$BE111))/SUMIF($AV$3:$BE$3,AW$60,$AV$4:$BE$4)))</f>
        <v>5</v>
      </c>
      <c r="AX62" s="192" t="n">
        <f aca="false">IF((SUMIF($AV$3:$BE$3,AX$60,$AV$4:$BE$4))=0,0,((SUMIF($AV$3:$BE$3,AX$60,$AV111:$BE111))/SUMIF($AV$3:$BE$3,AX$60,$AV$4:$BE$4)))</f>
        <v>5.2</v>
      </c>
      <c r="AY62" s="192" t="n">
        <f aca="false">IF((SUMIF($AV$3:$BE$3,AY$60,$AV$4:$BE$4))=0,0,((SUMIF($AV$3:$BE$3,AY$60,$AV111:$BE111))/SUMIF($AV$3:$BE$3,AY$60,$AV$4:$BE$4)))</f>
        <v>9</v>
      </c>
      <c r="AZ62" s="192" t="n">
        <f aca="false">IF((SUMIF($AV$3:$BE$3,AZ$60,$AV$4:$BE$4))=0,0,((SUMIF($AV$3:$BE$3,AZ$60,$AV111:$BE111))/SUMIF($AV$3:$BE$3,AZ$60,$AV$4:$BE$4)))</f>
        <v>0</v>
      </c>
      <c r="BA62" s="192" t="n">
        <f aca="false">IF((SUMIF($AV$3:$BE$3,BA$60,$AV$4:$BE$4))=0,0,((SUMIF($AV$3:$BE$3,BA$60,$AV111:$BE111))/SUMIF($AV$3:$BE$3,BA$60,$AV$4:$BE$4)))</f>
        <v>0</v>
      </c>
      <c r="BB62" s="192" t="n">
        <f aca="false">IF((SUMIF($AV$3:$BE$3,BB$60,$AV$4:$BE$4))=0,0,((SUMIF($AV$3:$BE$3,BB$60,$AV111:$BE111))/SUMIF($AV$3:$BE$3,BB$60,$AV$4:$BE$4)))</f>
        <v>0</v>
      </c>
      <c r="BC62" s="192" t="n">
        <f aca="false">IF((SUMIF($AV$3:$BE$3,BC$60,$AV$4:$BE$4))=0,0,((SUMIF($AV$3:$BE$3,BC$60,$AV111:$BE111))/SUMIF($AV$3:$BE$3,BC$60,$AV$4:$BE$4)))</f>
        <v>0</v>
      </c>
      <c r="BD62" s="192" t="n">
        <f aca="false">IF((SUMIF($AV$3:$BE$3,BD$60,$AV$4:$BE$4))=0,0,((SUMIF($AV$3:$BE$3,BD$60,$AV111:$BE111))/SUMIF($AV$3:$BE$3,BD$60,$AV$4:$BE$4)))</f>
        <v>0</v>
      </c>
      <c r="BE62" s="193" t="n">
        <f aca="false">IF((SUMIF($AV$3:$BE$3,BE$60,$AV$4:$BE$4))=0,0,((SUMIF($AV$3:$BE$3,BE$60,$AV111:$BE111))/SUMIF($AV$3:$BE$3,BE$60,$AV$4:$BE$4)))</f>
        <v>0</v>
      </c>
      <c r="BF62" s="190" t="str">
        <f aca="false">AU62</f>
        <v>Alumno1</v>
      </c>
      <c r="BG62" s="191" t="n">
        <f aca="false">IF((SUMIF($BG$3:$BP$3,BG$60,$BG$4:$BP$4))=0,0,((SUMIF($BG$3:$BP$3,BG$60,$BG111:$BP111))/SUMIF($BG$3:$BP$3,BG$60,$BG$4:$BP$4)))</f>
        <v>8</v>
      </c>
      <c r="BH62" s="192" t="n">
        <f aca="false">IF((SUMIF($BG$3:$BP$3,BH$60,$BG$4:$BP$4))=0,0,((SUMIF($BG$3:$BP$3,BH$60,$BG111:$BP111))/SUMIF($BG$3:$BP$3,BH$60,$BG$4:$BP$4)))</f>
        <v>5</v>
      </c>
      <c r="BI62" s="192" t="n">
        <f aca="false">IF((SUMIF($BG$3:$BP$3,BI$60,$BG$4:$BP$4))=0,0,((SUMIF($BG$3:$BP$3,BI$60,$BG111:$BP111))/SUMIF($BG$3:$BP$3,BI$60,$BG$4:$BP$4)))</f>
        <v>7</v>
      </c>
      <c r="BJ62" s="192" t="n">
        <f aca="false">IF((SUMIF($BG$3:$BP$3,BJ$60,$BG$4:$BP$4))=0,0,((SUMIF($BG$3:$BP$3,BJ$60,$BG111:$BP111))/SUMIF($BG$3:$BP$3,BJ$60,$BG$4:$BP$4)))</f>
        <v>7</v>
      </c>
      <c r="BK62" s="192" t="n">
        <f aca="false">IF((SUMIF($BG$3:$BP$3,BK$60,$BG$4:$BP$4))=0,0,((SUMIF($BG$3:$BP$3,BK$60,$BG111:$BP111))/SUMIF($BG$3:$BP$3,BK$60,$BG$4:$BP$4)))</f>
        <v>0</v>
      </c>
      <c r="BL62" s="192" t="n">
        <f aca="false">IF((SUMIF($BG$3:$BP$3,BL$60,$BG$4:$BP$4))=0,0,((SUMIF($BG$3:$BP$3,BL$60,$BG111:$BP111))/SUMIF($BG$3:$BP$3,BL$60,$BG$4:$BP$4)))</f>
        <v>0</v>
      </c>
      <c r="BM62" s="192" t="n">
        <f aca="false">IF((SUMIF($BG$3:$BP$3,BM$60,$BG$4:$BP$4))=0,0,((SUMIF($BG$3:$BP$3,BM$60,$BG111:$BP111))/SUMIF($BG$3:$BP$3,BM$60,$BG$4:$BP$4)))</f>
        <v>0</v>
      </c>
      <c r="BN62" s="192" t="n">
        <f aca="false">IF((SUMIF($BG$3:$BP$3,BN$60,$BG$4:$BP$4))=0,0,((SUMIF($BG$3:$BP$3,BN$60,$BG111:$BP111))/SUMIF($BG$3:$BP$3,BN$60,$BG$4:$BP$4)))</f>
        <v>0</v>
      </c>
      <c r="BO62" s="192" t="n">
        <f aca="false">IF((SUMIF($BG$3:$BP$3,BO$60,$BG$4:$BP$4))=0,0,((SUMIF($BG$3:$BP$3,BO$60,$BG111:$BP111))/SUMIF($BG$3:$BP$3,BO$60,$BG$4:$BP$4)))</f>
        <v>0</v>
      </c>
      <c r="BP62" s="193" t="n">
        <f aca="false">IF((SUMIF($BG$3:$BP$3,BP$60,$BG$4:$BP$4))=0,0,((SUMIF($BG$3:$BP$3,BP$60,$BG111:$BP111))/SUMIF($BG$3:$BP$3,BP$60,$BG$4:$BP$4)))</f>
        <v>0</v>
      </c>
      <c r="BQ62" s="190" t="str">
        <f aca="false">BF62</f>
        <v>Alumno1</v>
      </c>
      <c r="BR62" s="191" t="n">
        <f aca="false">IF((SUMIF($BR$3:$CA$3,BR$60,$BR$4:$CA$4))=0,0,((SUMIF($BR$3:$CA$3,BR$60,$BR111:$CA111))/SUMIF($BR$3:$CA$3,BR$60,$BR$4:$CA$4)))</f>
        <v>0</v>
      </c>
      <c r="BS62" s="192" t="n">
        <f aca="false">IF((SUMIF($BR$3:$CA$3,BS$60,$BR$4:$CA$4))=0,0,((SUMIF($BR$3:$CA$3,BS$60,$BR111:$CA111))/SUMIF($BR$3:$CA$3,BS$60,$BR$4:$CA$4)))</f>
        <v>4</v>
      </c>
      <c r="BT62" s="192" t="n">
        <f aca="false">IF((SUMIF($BR$3:$CA$3,BT$60,$BR$4:$CA$4))=0,0,((SUMIF($BR$3:$CA$3,BT$60,$BR111:$CA111))/SUMIF($BR$3:$CA$3,BT$60,$BR$4:$CA$4)))</f>
        <v>4.33333333333333</v>
      </c>
      <c r="BU62" s="192" t="n">
        <f aca="false">IF((SUMIF($BR$3:$CA$3,BU$60,$BR$4:$CA$4))=0,0,((SUMIF($BR$3:$CA$3,BU$60,$BR111:$CA111))/SUMIF($BR$3:$CA$3,BU$60,$BR$4:$CA$4)))</f>
        <v>4.8</v>
      </c>
      <c r="BV62" s="192" t="n">
        <f aca="false">IF((SUMIF($BR$3:$CA$3,BV$60,$BR$4:$CA$4))=0,0,((SUMIF($BR$3:$CA$3,BV$60,$BR111:$CA111))/SUMIF($BR$3:$CA$3,BV$60,$BR$4:$CA$4)))</f>
        <v>0</v>
      </c>
      <c r="BW62" s="192" t="n">
        <f aca="false">IF((SUMIF($BR$3:$CA$3,BW$60,$BR$4:$CA$4))=0,0,((SUMIF($BR$3:$CA$3,BW$60,$BR111:$CA111))/SUMIF($BR$3:$CA$3,BW$60,$BR$4:$CA$4)))</f>
        <v>0</v>
      </c>
      <c r="BX62" s="192" t="n">
        <f aca="false">IF((SUMIF($BR$3:$CA$3,BX$60,$BR$4:$CA$4))=0,0,((SUMIF($BR$3:$CA$3,BX$60,$BR111:$CA111))/SUMIF($BR$3:$CA$3,BX$60,$BR$4:$CA$4)))</f>
        <v>0</v>
      </c>
      <c r="BY62" s="192" t="n">
        <f aca="false">IF((SUMIF($BR$3:$CA$3,BY$60,$BR$4:$CA$4))=0,0,((SUMIF($BR$3:$CA$3,BY$60,$BR111:$CA111))/SUMIF($BR$3:$CA$3,BY$60,$BR$4:$CA$4)))</f>
        <v>0</v>
      </c>
      <c r="BZ62" s="192" t="n">
        <f aca="false">IF((SUMIF($BR$3:$CA$3,BZ$60,$BR$4:$CA$4))=0,0,((SUMIF($BR$3:$CA$3,BZ$60,$BR111:$CA111))/SUMIF($BR$3:$CA$3,BZ$60,$BR$4:$CA$4)))</f>
        <v>0</v>
      </c>
      <c r="CA62" s="193" t="n">
        <f aca="false">IF((SUMIF($BR$3:$CA$3,CA$60,$BR$4:$CA$4))=0,0,((SUMIF($BR$3:$CA$3,CA$60,$BR111:$CA111))/SUMIF($BR$3:$CA$3,CA$60,$BR$4:$CA$4)))</f>
        <v>0</v>
      </c>
      <c r="CB62" s="190" t="str">
        <f aca="false">BQ62</f>
        <v>Alumno1</v>
      </c>
      <c r="CC62" s="191" t="n">
        <f aca="false">IF((SUMIF($CC$3:$CL$3,CC$60,$CC$4:$CL$4))=0,0,((SUMIF($CC$3:$CL$3,CC$60,$CC111:$CL111))/SUMIF($CC$3:$CL$3,CC$60,$CC$4:$CL$4)))</f>
        <v>0</v>
      </c>
      <c r="CD62" s="192" t="n">
        <f aca="false">IF((SUMIF($CC$3:$CL$3,CD$60,$CC$4:$CL$4))=0,0,((SUMIF($CC$3:$CL$3,CD$60,$CC111:$CL111))/SUMIF($CC$3:$CL$3,CD$60,$CC$4:$CL$4)))</f>
        <v>0</v>
      </c>
      <c r="CE62" s="192" t="n">
        <f aca="false">IF((SUMIF($CC$3:$CL$3,CE$60,$CC$4:$CL$4))=0,0,((SUMIF($CC$3:$CL$3,CE$60,$CC111:$CL111))/SUMIF($CC$3:$CL$3,CE$60,$CC$4:$CL$4)))</f>
        <v>0</v>
      </c>
      <c r="CF62" s="192" t="n">
        <f aca="false">IF((SUMIF($CC$3:$CL$3,CF$60,$CC$4:$CL$4))=0,0,((SUMIF($CC$3:$CL$3,CF$60,$CC111:$CL111))/SUMIF($CC$3:$CL$3,CF$60,$CC$4:$CL$4)))</f>
        <v>0</v>
      </c>
      <c r="CG62" s="192" t="n">
        <f aca="false">IF((SUMIF($CC$3:$CL$3,CG$60,$CC$4:$CL$4))=0,0,((SUMIF($CC$3:$CL$3,CG$60,$CC111:$CL111))/SUMIF($CC$3:$CL$3,CG$60,$CC$4:$CL$4)))</f>
        <v>0</v>
      </c>
      <c r="CH62" s="192" t="n">
        <f aca="false">IF((SUMIF($CC$3:$CL$3,CH$60,$CC$4:$CL$4))=0,0,((SUMIF($CC$3:$CL$3,CH$60,$CC111:$CL111))/SUMIF($CC$3:$CL$3,CH$60,$CC$4:$CL$4)))</f>
        <v>0</v>
      </c>
      <c r="CI62" s="192" t="n">
        <f aca="false">IF((SUMIF($CC$3:$CL$3,CI$60,$CC$4:$CL$4))=0,0,((SUMIF($CC$3:$CL$3,CI$60,$CC111:$CL111))/SUMIF($CC$3:$CL$3,CI$60,$CC$4:$CL$4)))</f>
        <v>0</v>
      </c>
      <c r="CJ62" s="192" t="n">
        <f aca="false">IF((SUMIF($CC$3:$CL$3,CJ$60,$CC$4:$CL$4))=0,0,((SUMIF($CC$3:$CL$3,CJ$60,$CC111:$CL111))/SUMIF($CC$3:$CL$3,CJ$60,$CC$4:$CL$4)))</f>
        <v>0</v>
      </c>
      <c r="CK62" s="192" t="n">
        <f aca="false">IF((SUMIF($CC$3:$CL$3,CK$60,$CC$4:$CL$4))=0,0,((SUMIF($CC$3:$CL$3,CK$60,$CC111:$CL111))/SUMIF($CC$3:$CL$3,CK$60,$CC$4:$CL$4)))</f>
        <v>0</v>
      </c>
      <c r="CL62" s="193" t="n">
        <f aca="false">IF((SUMIF($CC$3:$CL$3,CL$60,$CC$4:$CL$4))=0,0,((SUMIF($CC$3:$CL$3,CL$60,$CC111:$CL111))/SUMIF($CC$3:$CL$3,CL$60,$CC$4:$CL$4)))</f>
        <v>0</v>
      </c>
      <c r="CM62" s="190" t="str">
        <f aca="false">CB62</f>
        <v>Alumno1</v>
      </c>
      <c r="CN62" s="191" t="n">
        <f aca="false">IF((SUMIF($CN$3:$CW$3,CN$60,$CN$4:$CW$4))=0,0,((SUMIF($CN$3:$CW$3,CN$60,$CN111:$CW111))/SUMIF($CN$3:$CW$3,CN$60,$CN$4:$CW$4)))</f>
        <v>0</v>
      </c>
      <c r="CO62" s="192" t="n">
        <f aca="false">IF((SUMIF($CN$3:$CW$3,CO$60,$CN$4:$CW$4))=0,0,((SUMIF($CN$3:$CW$3,CO$60,$CN111:$CW111))/SUMIF($CN$3:$CW$3,CO$60,$CN$4:$CW$4)))</f>
        <v>0</v>
      </c>
      <c r="CP62" s="192" t="n">
        <f aca="false">IF((SUMIF($CN$3:$CW$3,CP$60,$CN$4:$CW$4))=0,0,((SUMIF($CN$3:$CW$3,CP$60,$CN111:$CW111))/SUMIF($CN$3:$CW$3,CP$60,$CN$4:$CW$4)))</f>
        <v>0</v>
      </c>
      <c r="CQ62" s="192" t="n">
        <f aca="false">IF((SUMIF($CN$3:$CW$3,CQ$60,$CN$4:$CW$4))=0,0,((SUMIF($CN$3:$CW$3,CQ$60,$CN111:$CW111))/SUMIF($CN$3:$CW$3,CQ$60,$CN$4:$CW$4)))</f>
        <v>0</v>
      </c>
      <c r="CR62" s="192" t="n">
        <f aca="false">IF((SUMIF($CN$3:$CW$3,CR$60,$CN$4:$CW$4))=0,0,((SUMIF($CN$3:$CW$3,CR$60,$CN111:$CW111))/SUMIF($CN$3:$CW$3,CR$60,$CN$4:$CW$4)))</f>
        <v>0</v>
      </c>
      <c r="CS62" s="192" t="n">
        <f aca="false">IF((SUMIF($CN$3:$CW$3,CS$60,$CN$4:$CW$4))=0,0,((SUMIF($CN$3:$CW$3,CS$60,$CN111:$CW111))/SUMIF($CN$3:$CW$3,CS$60,$CN$4:$CW$4)))</f>
        <v>0</v>
      </c>
      <c r="CT62" s="192" t="n">
        <f aca="false">IF((SUMIF($CN$3:$CW$3,CT$60,$CN$4:$CW$4))=0,0,((SUMIF($CN$3:$CW$3,CT$60,$CN111:$CW111))/SUMIF($CN$3:$CW$3,CT$60,$CN$4:$CW$4)))</f>
        <v>0</v>
      </c>
      <c r="CU62" s="192" t="n">
        <f aca="false">IF((SUMIF($CN$3:$CW$3,CU$60,$CN$4:$CW$4))=0,0,((SUMIF($CN$3:$CW$3,CU$60,$CN111:$CW111))/SUMIF($CN$3:$CW$3,CU$60,$CN$4:$CW$4)))</f>
        <v>0</v>
      </c>
      <c r="CV62" s="192" t="n">
        <f aca="false">IF((SUMIF($CN$3:$CW$3,CV$60,$CN$4:$CW$4))=0,0,((SUMIF($CN$3:$CW$3,CV$60,$CN111:$CW111))/SUMIF($CN$3:$CW$3,CV$60,$CN$4:$CW$4)))</f>
        <v>0</v>
      </c>
      <c r="CW62" s="193" t="n">
        <f aca="false">IF((SUMIF($CN$3:$CW$3,CW$60,$CN$4:$CW$4))=0,0,((SUMIF($CN$3:$CW$3,CW$60,$CN111:$CW111))/SUMIF($CN$3:$CW$3,CW$60,$CN$4:$CW$4)))</f>
        <v>0</v>
      </c>
      <c r="CX62" s="190" t="str">
        <f aca="false">CM62</f>
        <v>Alumno1</v>
      </c>
      <c r="CY62" s="191" t="n">
        <f aca="false">IF((SUMIF($CY$3:$DH$3,CY$60,$CY$4:$DH$4))=0,0,((SUMIF($CY$3:$DH$3,CY$60,$CY111:$DH111))/SUMIF($CY$3:$DH$3,CY$60,$CY$4:$DH$4)))</f>
        <v>0</v>
      </c>
      <c r="CZ62" s="192" t="n">
        <f aca="false">IF((SUMIF($CY$3:$DH$3,CZ$60,$CY$4:$DH$4))=0,0,((SUMIF($CY$3:$DH$3,CZ$60,$CY111:$DH111))/SUMIF($CY$3:$DH$3,CZ$60,$CY$4:$DH$4)))</f>
        <v>0</v>
      </c>
      <c r="DA62" s="192" t="n">
        <f aca="false">IF((SUMIF($CY$3:$DH$3,DA$60,$CY$4:$DH$4))=0,0,((SUMIF($CY$3:$DH$3,DA$60,$CY111:$DH111))/SUMIF($CY$3:$DH$3,DA$60,$CY$4:$DH$4)))</f>
        <v>0</v>
      </c>
      <c r="DB62" s="192" t="n">
        <f aca="false">IF((SUMIF($CY$3:$DH$3,DB$60,$CY$4:$DH$4))=0,0,((SUMIF($CY$3:$DH$3,DB$60,$CY111:$DH111))/SUMIF($CY$3:$DH$3,DB$60,$CY$4:$DH$4)))</f>
        <v>0</v>
      </c>
      <c r="DC62" s="192" t="n">
        <f aca="false">IF((SUMIF($CY$3:$DH$3,DC$60,$CY$4:$DH$4))=0,0,((SUMIF($CY$3:$DH$3,DC$60,$CY111:$DH111))/SUMIF($CY$3:$DH$3,DC$60,$CY$4:$DH$4)))</f>
        <v>0</v>
      </c>
      <c r="DD62" s="192" t="n">
        <f aca="false">IF((SUMIF($CY$3:$DH$3,DD$60,$CY$4:$DH$4))=0,0,((SUMIF($CY$3:$DH$3,DD$60,$CY111:$DH111))/SUMIF($CY$3:$DH$3,DD$60,$CY$4:$DH$4)))</f>
        <v>0</v>
      </c>
      <c r="DE62" s="192" t="n">
        <f aca="false">IF((SUMIF($CY$3:$DH$3,DE$60,$CY$4:$DH$4))=0,0,((SUMIF($CY$3:$DH$3,DE$60,$CY111:$DH111))/SUMIF($CY$3:$DH$3,DE$60,$CY$4:$DH$4)))</f>
        <v>0</v>
      </c>
      <c r="DF62" s="192" t="n">
        <f aca="false">IF((SUMIF($CY$3:$DH$3,DF$60,$CY$4:$DH$4))=0,0,((SUMIF($CY$3:$DH$3,DF$60,$CY111:$DH111))/SUMIF($CY$3:$DH$3,DF$60,$CY$4:$DH$4)))</f>
        <v>0</v>
      </c>
      <c r="DG62" s="192" t="n">
        <f aca="false">IF((SUMIF($CY$3:$DH$3,DG$60,$CY$4:$DH$4))=0,0,((SUMIF($CY$3:$DH$3,DG$60,$CY111:$DH111))/SUMIF($CY$3:$DH$3,DG$60,$CY$4:$DH$4)))</f>
        <v>0</v>
      </c>
      <c r="DH62" s="193" t="n">
        <f aca="false">IF((SUMIF($CY$3:$DH$3,DH$60,$CY$4:$DH$4))=0,0,((SUMIF($CY$3:$DH$3,DH$60,$CY111:$DH111))/SUMIF($CY$3:$DH$3,DH$60,$CY$4:$DH$4)))</f>
        <v>0</v>
      </c>
      <c r="DI62" s="190" t="str">
        <f aca="false">CX62</f>
        <v>Alumno1</v>
      </c>
      <c r="DJ62" s="191" t="n">
        <f aca="false">IF((SUMIF($DJ$3:$DS$3,DJ$60,$DJ$4:$DS$4))=0,0,((SUMIF($DJ$3:$DS$3,DJ$60,$DJ111:$DS111))/SUMIF($DJ$3:$DS$3,DJ$60,$DJ$4:$DS$4)))</f>
        <v>0</v>
      </c>
      <c r="DK62" s="192" t="n">
        <f aca="false">IF((SUMIF($DJ$3:$DS$3,DK$60,$DJ$4:$DS$4))=0,0,((SUMIF($DJ$3:$DS$3,DK$60,$DJ111:$DS111))/SUMIF($DJ$3:$DS$3,DK$60,$DJ$4:$DS$4)))</f>
        <v>0</v>
      </c>
      <c r="DL62" s="192" t="n">
        <f aca="false">IF((SUMIF($DJ$3:$DS$3,DL$60,$DJ$4:$DS$4))=0,0,((SUMIF($DJ$3:$DS$3,DL$60,$DJ111:$DS111))/SUMIF($DJ$3:$DS$3,DL$60,$DJ$4:$DS$4)))</f>
        <v>0</v>
      </c>
      <c r="DM62" s="192" t="n">
        <f aca="false">IF((SUMIF($DJ$3:$DS$3,DM$60,$DJ$4:$DS$4))=0,0,((SUMIF($DJ$3:$DS$3,DM$60,$DJ111:$DS111))/SUMIF($DJ$3:$DS$3,DM$60,$DJ$4:$DS$4)))</f>
        <v>0</v>
      </c>
      <c r="DN62" s="192" t="n">
        <f aca="false">IF((SUMIF($DJ$3:$DS$3,DN$60,$DJ$4:$DS$4))=0,0,((SUMIF($DJ$3:$DS$3,DN$60,$DJ111:$DS111))/SUMIF($DJ$3:$DS$3,DN$60,$DJ$4:$DS$4)))</f>
        <v>0</v>
      </c>
      <c r="DO62" s="192" t="n">
        <f aca="false">IF((SUMIF($DJ$3:$DS$3,DO$60,$DJ$4:$DS$4))=0,0,((SUMIF($DJ$3:$DS$3,DO$60,$DJ111:$DS111))/SUMIF($DJ$3:$DS$3,DO$60,$DJ$4:$DS$4)))</f>
        <v>0</v>
      </c>
      <c r="DP62" s="192" t="n">
        <f aca="false">IF((SUMIF($DJ$3:$DS$3,DP$60,$DJ$4:$DS$4))=0,0,((SUMIF($DJ$3:$DS$3,DP$60,$DJ111:$DS111))/SUMIF($DJ$3:$DS$3,DP$60,$DJ$4:$DS$4)))</f>
        <v>0</v>
      </c>
      <c r="DQ62" s="192" t="n">
        <f aca="false">IF((SUMIF($DJ$3:$DS$3,DQ$60,$DJ$4:$DS$4))=0,0,((SUMIF($DJ$3:$DS$3,DQ$60,$DJ111:$DS111))/SUMIF($DJ$3:$DS$3,DQ$60,$DJ$4:$DS$4)))</f>
        <v>0</v>
      </c>
      <c r="DR62" s="192" t="n">
        <f aca="false">IF((SUMIF($DJ$3:$DS$3,DR$60,$DJ$4:$DS$4))=0,0,((SUMIF($DJ$3:$DS$3,DR$60,$DJ111:$DS111))/SUMIF($DJ$3:$DS$3,DR$60,$DJ$4:$DS$4)))</f>
        <v>0</v>
      </c>
      <c r="DS62" s="193" t="n">
        <f aca="false">IF((SUMIF($DJ$3:$DS$3,DS$60,$DJ$4:$DS$4))=0,0,((SUMIF($DJ$3:$DS$3,DS$60,$DJ111:$DS111))/SUMIF($DJ$3:$DS$3,DS$60,$DJ$4:$DS$4)))</f>
        <v>0</v>
      </c>
      <c r="DT62" s="190" t="str">
        <f aca="false">DI62</f>
        <v>Alumno1</v>
      </c>
      <c r="DU62" s="191" t="n">
        <f aca="false">IF((SUMIF($DU$3:$ED$3,DU$60,$DU$4:$ED$4))=0,0,((SUMIF($DU$3:$ED$3,DU$60,$DU111:$ED111))/SUMIF($DU$3:$ED$3,DU$60,$DU$4:$ED$4)))</f>
        <v>0</v>
      </c>
      <c r="DV62" s="192" t="n">
        <f aca="false">IF((SUMIF($DU$3:$ED$3,DV$60,$DU$4:$ED$4))=0,0,((SUMIF($DU$3:$ED$3,DV$60,$DU111:$ED111))/SUMIF($DU$3:$ED$3,DV$60,$DU$4:$ED$4)))</f>
        <v>0</v>
      </c>
      <c r="DW62" s="192" t="n">
        <f aca="false">IF((SUMIF($DU$3:$ED$3,DW$60,$DU$4:$ED$4))=0,0,((SUMIF($DU$3:$ED$3,DW$60,$DU111:$ED111))/SUMIF($DU$3:$ED$3,DW$60,$DU$4:$ED$4)))</f>
        <v>0</v>
      </c>
      <c r="DX62" s="192" t="n">
        <f aca="false">IF((SUMIF($DU$3:$ED$3,DX$60,$DU$4:$ED$4))=0,0,((SUMIF($DU$3:$ED$3,DX$60,$DU111:$ED111))/SUMIF($DU$3:$ED$3,DX$60,$DU$4:$ED$4)))</f>
        <v>0</v>
      </c>
      <c r="DY62" s="192" t="n">
        <f aca="false">IF((SUMIF($DU$3:$ED$3,DY$60,$DU$4:$ED$4))=0,0,((SUMIF($DU$3:$ED$3,DY$60,$DU111:$ED111))/SUMIF($DU$3:$ED$3,DY$60,$DU$4:$ED$4)))</f>
        <v>0</v>
      </c>
      <c r="DZ62" s="192" t="n">
        <f aca="false">IF((SUMIF($DU$3:$ED$3,DZ$60,$DU$4:$ED$4))=0,0,((SUMIF($DU$3:$ED$3,DZ$60,$DU111:$ED111))/SUMIF($DU$3:$ED$3,DZ$60,$DU$4:$ED$4)))</f>
        <v>0</v>
      </c>
      <c r="EA62" s="192" t="n">
        <f aca="false">IF((SUMIF($DU$3:$ED$3,EA$60,$DU$4:$ED$4))=0,0,((SUMIF($DU$3:$ED$3,EA$60,$DU111:$ED111))/SUMIF($DU$3:$ED$3,EA$60,$DU$4:$ED$4)))</f>
        <v>0</v>
      </c>
      <c r="EB62" s="192" t="n">
        <f aca="false">IF((SUMIF($DU$3:$ED$3,EB$60,$DU$4:$ED$4))=0,0,((SUMIF($DU$3:$ED$3,EB$60,$DU111:$ED111))/SUMIF($DU$3:$ED$3,EB$60,$DU$4:$ED$4)))</f>
        <v>0</v>
      </c>
      <c r="EC62" s="192" t="n">
        <f aca="false">IF((SUMIF($DU$3:$ED$3,EC$60,$DU$4:$ED$4))=0,0,((SUMIF($DU$3:$ED$3,EC$60,$DU111:$ED111))/SUMIF($DU$3:$ED$3,EC$60,$DU$4:$ED$4)))</f>
        <v>0</v>
      </c>
      <c r="ED62" s="193" t="n">
        <f aca="false">IF((SUMIF($DU$3:$ED$3,ED$60,$DU$4:$ED$4))=0,0,((SUMIF($DU$3:$ED$3,ED$60,$DU111:$ED111))/SUMIF($DU$3:$ED$3,ED$60,$DU$4:$ED$4)))</f>
        <v>0</v>
      </c>
      <c r="EE62" s="190" t="str">
        <f aca="false">DT62</f>
        <v>Alumno1</v>
      </c>
      <c r="EF62" s="191" t="n">
        <f aca="false">IF((SUMIF($EF$3:$EO$3,EF$60,$EF$4:$EO$4))=0,0,((SUMIF($EF$3:$EO$3,EF$60,$EF111:$EO111))/SUMIF($EF$3:$EO$3,EF$60,$EF$4:$EO$4)))</f>
        <v>0</v>
      </c>
      <c r="EG62" s="192" t="n">
        <f aca="false">IF((SUMIF($EF$3:$EO$3,EG$60,$EF$4:$EO$4))=0,0,((SUMIF($EF$3:$EO$3,EG$60,$EF111:$EO111))/SUMIF($EF$3:$EO$3,EG$60,$EF$4:$EO$4)))</f>
        <v>0</v>
      </c>
      <c r="EH62" s="192" t="n">
        <f aca="false">IF((SUMIF($EF$3:$EO$3,EH$60,$EF$4:$EO$4))=0,0,((SUMIF($EF$3:$EO$3,EH$60,$EF111:$EO111))/SUMIF($EF$3:$EO$3,EH$60,$EF$4:$EO$4)))</f>
        <v>0</v>
      </c>
      <c r="EI62" s="192" t="n">
        <f aca="false">IF((SUMIF($EF$3:$EO$3,EI$60,$EF$4:$EO$4))=0,0,((SUMIF($EF$3:$EO$3,EI$60,$EF111:$EO111))/SUMIF($EF$3:$EO$3,EI$60,$EF$4:$EO$4)))</f>
        <v>0</v>
      </c>
      <c r="EJ62" s="192" t="n">
        <f aca="false">IF((SUMIF($EF$3:$EO$3,EJ$60,$EF$4:$EO$4))=0,0,((SUMIF($EF$3:$EO$3,EJ$60,$EF111:$EO111))/SUMIF($EF$3:$EO$3,EJ$60,$EF$4:$EO$4)))</f>
        <v>0</v>
      </c>
      <c r="EK62" s="192" t="n">
        <f aca="false">IF((SUMIF($EF$3:$EO$3,EK$60,$EF$4:$EO$4))=0,0,((SUMIF($EF$3:$EO$3,EK$60,$EF111:$EO111))/SUMIF($EF$3:$EO$3,EK$60,$EF$4:$EO$4)))</f>
        <v>0</v>
      </c>
      <c r="EL62" s="192" t="n">
        <f aca="false">IF((SUMIF($EF$3:$EO$3,EL$60,$EF$4:$EO$4))=0,0,((SUMIF($EF$3:$EO$3,EL$60,$EF111:$EO111))/SUMIF($EF$3:$EO$3,EL$60,$EF$4:$EO$4)))</f>
        <v>0</v>
      </c>
      <c r="EM62" s="192" t="n">
        <f aca="false">IF((SUMIF($EF$3:$EO$3,EM$60,$EF$4:$EO$4))=0,0,((SUMIF($EF$3:$EO$3,EM$60,$EF111:$EO111))/SUMIF($EF$3:$EO$3,EM$60,$EF$4:$EO$4)))</f>
        <v>0</v>
      </c>
      <c r="EN62" s="192" t="n">
        <f aca="false">IF((SUMIF($EF$3:$EO$3,EN$60,$EF$4:$EO$4))=0,0,((SUMIF($EF$3:$EO$3,EN$60,$EF111:$EO111))/SUMIF($EF$3:$EO$3,EN$60,$EF$4:$EO$4)))</f>
        <v>0</v>
      </c>
      <c r="EO62" s="193" t="n">
        <f aca="false">IF((SUMIF($EF$3:$EO$3,EO$60,$EF$4:$EO$4))=0,0,((SUMIF($EF$3:$EO$3,EO$60,$EF111:$EO111))/SUMIF($EF$3:$EO$3,EO$60,$EF$4:$EO$4)))</f>
        <v>0</v>
      </c>
      <c r="EP62" s="190" t="str">
        <f aca="false">EE62</f>
        <v>Alumno1</v>
      </c>
      <c r="EQ62" s="191" t="n">
        <f aca="false">IF((SUMIF($EQ$3:$EZ$3,EQ$60,$EQ$4:$EZ$4))=0,0,((SUMIF($EQ$3:$EZ$3,EQ$60,$EQ111:$EZ111))/SUMIF($EQ$3:$EZ$3,EQ$60,$EQ$4:$EZ$4)))</f>
        <v>0</v>
      </c>
      <c r="ER62" s="192" t="n">
        <f aca="false">IF((SUMIF($EQ$3:$EZ$3,ER$60,$EQ$4:$EZ$4))=0,0,((SUMIF($EQ$3:$EZ$3,ER$60,$EQ111:$EZ111))/SUMIF($EQ$3:$EZ$3,ER$60,$EQ$4:$EZ$4)))</f>
        <v>0</v>
      </c>
      <c r="ES62" s="192" t="n">
        <f aca="false">IF((SUMIF($EQ$3:$EZ$3,ES$60,$EQ$4:$EZ$4))=0,0,((SUMIF($EQ$3:$EZ$3,ES$60,$EQ111:$EZ111))/SUMIF($EQ$3:$EZ$3,ES$60,$EQ$4:$EZ$4)))</f>
        <v>0</v>
      </c>
      <c r="ET62" s="192" t="n">
        <f aca="false">IF((SUMIF($EQ$3:$EZ$3,ET$60,$EQ$4:$EZ$4))=0,0,((SUMIF($EQ$3:$EZ$3,ET$60,$EQ111:$EZ111))/SUMIF($EQ$3:$EZ$3,ET$60,$EQ$4:$EZ$4)))</f>
        <v>0</v>
      </c>
      <c r="EU62" s="192" t="n">
        <f aca="false">IF((SUMIF($EQ$3:$EZ$3,EU$60,$EQ$4:$EZ$4))=0,0,((SUMIF($EQ$3:$EZ$3,EU$60,$EQ111:$EZ111))/SUMIF($EQ$3:$EZ$3,EU$60,$EQ$4:$EZ$4)))</f>
        <v>0</v>
      </c>
      <c r="EV62" s="192" t="n">
        <f aca="false">IF((SUMIF($EQ$3:$EZ$3,EV$60,$EQ$4:$EZ$4))=0,0,((SUMIF($EQ$3:$EZ$3,EV$60,$EQ111:$EZ111))/SUMIF($EQ$3:$EZ$3,EV$60,$EQ$4:$EZ$4)))</f>
        <v>0</v>
      </c>
      <c r="EW62" s="192" t="n">
        <f aca="false">IF((SUMIF($EQ$3:$EZ$3,EW$60,$EQ$4:$EZ$4))=0,0,((SUMIF($EQ$3:$EZ$3,EW$60,$EQ111:$EZ111))/SUMIF($EQ$3:$EZ$3,EW$60,$EQ$4:$EZ$4)))</f>
        <v>0</v>
      </c>
      <c r="EX62" s="192" t="n">
        <f aca="false">IF((SUMIF($EQ$3:$EZ$3,EX$60,$EQ$4:$EZ$4))=0,0,((SUMIF($EQ$3:$EZ$3,EX$60,$EQ111:$EZ111))/SUMIF($EQ$3:$EZ$3,EX$60,$EQ$4:$EZ$4)))</f>
        <v>0</v>
      </c>
      <c r="EY62" s="192" t="n">
        <f aca="false">IF((SUMIF($EQ$3:$EZ$3,EY$60,$EQ$4:$EZ$4))=0,0,((SUMIF($EQ$3:$EZ$3,EY$60,$EQ111:$EZ111))/SUMIF($EQ$3:$EZ$3,EY$60,$EQ$4:$EZ$4)))</f>
        <v>0</v>
      </c>
      <c r="EZ62" s="193" t="n">
        <f aca="false">IF((SUMIF($EQ$3:$EZ$3,EZ$60,$EQ$4:$EZ$4))=0,0,((SUMIF($EQ$3:$EZ$3,EZ$60,$EQ111:$EZ111))/SUMIF($EQ$3:$EZ$3,EZ$60,$EQ$4:$EZ$4)))</f>
        <v>0</v>
      </c>
      <c r="FA62" s="190" t="str">
        <f aca="false">EP62</f>
        <v>Alumno1</v>
      </c>
      <c r="FB62" s="191" t="n">
        <f aca="false">IF((SUMIF($FB$3:$FK$3,FB$60,$FB$4:$FK$4))=0,0,((SUMIF($FB$3:$FK$3,FB$60,$FB111:$FK111))/SUMIF($FB$3:$FK$3,FB$60,$FB$4:$FK$4)))</f>
        <v>0</v>
      </c>
      <c r="FC62" s="192" t="n">
        <f aca="false">IF((SUMIF($FB$3:$FK$3,FC$60,$FB$4:$FK$4))=0,0,((SUMIF($FB$3:$FK$3,FC$60,$FB111:$FK111))/SUMIF($FB$3:$FK$3,FC$60,$FB$4:$FK$4)))</f>
        <v>0</v>
      </c>
      <c r="FD62" s="192" t="n">
        <f aca="false">IF((SUMIF($FB$3:$FK$3,FD$60,$FB$4:$FK$4))=0,0,((SUMIF($FB$3:$FK$3,FD$60,$FB111:$FK111))/SUMIF($FB$3:$FK$3,FD$60,$FB$4:$FK$4)))</f>
        <v>0</v>
      </c>
      <c r="FE62" s="192" t="n">
        <f aca="false">IF((SUMIF($FB$3:$FK$3,FE$60,$FB$4:$FK$4))=0,0,((SUMIF($FB$3:$FK$3,FE$60,$FB111:$FK111))/SUMIF($FB$3:$FK$3,FE$60,$FB$4:$FK$4)))</f>
        <v>0</v>
      </c>
      <c r="FF62" s="192" t="n">
        <f aca="false">IF((SUMIF($FB$3:$FK$3,FF$60,$FB$4:$FK$4))=0,0,((SUMIF($FB$3:$FK$3,FF$60,$FB111:$FK111))/SUMIF($FB$3:$FK$3,FF$60,$FB$4:$FK$4)))</f>
        <v>0</v>
      </c>
      <c r="FG62" s="192" t="n">
        <f aca="false">IF((SUMIF($FB$3:$FK$3,FG$60,$FB$4:$FK$4))=0,0,((SUMIF($FB$3:$FK$3,FG$60,$FB111:$FK111))/SUMIF($FB$3:$FK$3,FG$60,$FB$4:$FK$4)))</f>
        <v>0</v>
      </c>
      <c r="FH62" s="192" t="n">
        <f aca="false">IF((SUMIF($FB$3:$FK$3,FH$60,$FB$4:$FK$4))=0,0,((SUMIF($FB$3:$FK$3,FH$60,$FB111:$FK111))/SUMIF($FB$3:$FK$3,FH$60,$FB$4:$FK$4)))</f>
        <v>0</v>
      </c>
      <c r="FI62" s="192" t="n">
        <f aca="false">IF((SUMIF($FB$3:$FK$3,FI$60,$FB$4:$FK$4))=0,0,((SUMIF($FB$3:$FK$3,FI$60,$FB111:$FK111))/SUMIF($FB$3:$FK$3,FI$60,$FB$4:$FK$4)))</f>
        <v>0</v>
      </c>
      <c r="FJ62" s="192" t="n">
        <f aca="false">IF((SUMIF($FB$3:$FK$3,FJ$60,$FB$4:$FK$4))=0,0,((SUMIF($FB$3:$FK$3,FJ$60,$FB111:$FK111))/SUMIF($FB$3:$FK$3,FJ$60,$FB$4:$FK$4)))</f>
        <v>0</v>
      </c>
      <c r="FK62" s="193" t="n">
        <f aca="false">IF((SUMIF($FB$3:$FK$3,FK$60,$FB$4:$FK$4))=0,0,((SUMIF($FB$3:$FK$3,FK$60,$FB111:$FK111))/SUMIF($FB$3:$FK$3,FK$60,$FB$4:$FK$4)))</f>
        <v>0</v>
      </c>
      <c r="FL62" s="190" t="str">
        <f aca="false">FA62</f>
        <v>Alumno1</v>
      </c>
      <c r="FM62" s="191" t="n">
        <f aca="false">IF((SUMIF($FM$3:$FV$3,FM$60,$FM$4:$FV$4))=0,0,((SUMIF($FM$3:$FV$3,FM$60,$FM111:$FV111))/SUMIF($FM$3:$FV$3,FM$60,$FM$4:$FV$4)))</f>
        <v>0</v>
      </c>
      <c r="FN62" s="192" t="n">
        <f aca="false">IF((SUMIF($FM$3:$FV$3,FN$60,$FM$4:$FV$4))=0,0,((SUMIF($FM$3:$FV$3,FN$60,$FM111:$FV111))/SUMIF($FM$3:$FV$3,FN$60,$FM$4:$FV$4)))</f>
        <v>0</v>
      </c>
      <c r="FO62" s="192" t="n">
        <f aca="false">IF((SUMIF($FM$3:$FV$3,FO$60,$FM$4:$FV$4))=0,0,((SUMIF($FM$3:$FV$3,FO$60,$FM111:$FV111))/SUMIF($FM$3:$FV$3,FO$60,$FM$4:$FV$4)))</f>
        <v>0</v>
      </c>
      <c r="FP62" s="192" t="n">
        <f aca="false">IF((SUMIF($FM$3:$FV$3,FP$60,$FM$4:$FV$4))=0,0,((SUMIF($FM$3:$FV$3,FP$60,$FM111:$FV111))/SUMIF($FM$3:$FV$3,FP$60,$FM$4:$FV$4)))</f>
        <v>0</v>
      </c>
      <c r="FQ62" s="192" t="n">
        <f aca="false">IF((SUMIF($FM$3:$FV$3,FQ$60,$FM$4:$FV$4))=0,0,((SUMIF($FM$3:$FV$3,FQ$60,$FM111:$FV111))/SUMIF($FM$3:$FV$3,FQ$60,$FM$4:$FV$4)))</f>
        <v>0</v>
      </c>
      <c r="FR62" s="192" t="n">
        <f aca="false">IF((SUMIF($FM$3:$FV$3,FR$60,$FM$4:$FV$4))=0,0,((SUMIF($FM$3:$FV$3,FR$60,$FM111:$FV111))/SUMIF($FM$3:$FV$3,FR$60,$FM$4:$FV$4)))</f>
        <v>0</v>
      </c>
      <c r="FS62" s="192" t="n">
        <f aca="false">IF((SUMIF($FM$3:$FV$3,FS$60,$FM$4:$FV$4))=0,0,((SUMIF($FM$3:$FV$3,FS$60,$FM111:$FV111))/SUMIF($FM$3:$FV$3,FS$60,$FM$4:$FV$4)))</f>
        <v>0</v>
      </c>
      <c r="FT62" s="192" t="n">
        <f aca="false">IF((SUMIF($FM$3:$FV$3,FT$60,$FM$4:$FV$4))=0,0,((SUMIF($FM$3:$FV$3,FT$60,$FM111:$FV111))/SUMIF($FM$3:$FV$3,FT$60,$FM$4:$FV$4)))</f>
        <v>0</v>
      </c>
      <c r="FU62" s="192" t="n">
        <f aca="false">IF((SUMIF($FM$3:$FV$3,FU$60,$FM$4:$FV$4))=0,0,((SUMIF($FM$3:$FV$3,FU$60,$FM111:$FV111))/SUMIF($FM$3:$FV$3,FU$60,$FM$4:$FV$4)))</f>
        <v>0</v>
      </c>
      <c r="FV62" s="193" t="n">
        <f aca="false">IF((SUMIF($FM$3:$FV$3,FV$60,$FM$4:$FV$4))=0,0,((SUMIF($FM$3:$FV$3,FV$60,$FM111:$FV111))/SUMIF($FM$3:$FV$3,FV$60,$FM$4:$FV$4)))</f>
        <v>0</v>
      </c>
      <c r="FW62" s="190" t="str">
        <f aca="false">FL62</f>
        <v>Alumno1</v>
      </c>
      <c r="FX62" s="191" t="n">
        <f aca="false">IF((SUMIF($FX$3:$GG$3,FX$60,$FX$4:$GG$4))=0,0,((SUMIF($FX$3:$GG$3,FX$60,$FX111:$GG111))/SUMIF($FX$3:$GG$3,FX$60,$FX$4:$GG$4)))</f>
        <v>0</v>
      </c>
      <c r="FY62" s="192" t="n">
        <f aca="false">IF((SUMIF($FX$3:$GG$3,FY$60,$FX$4:$GG$4))=0,0,((SUMIF($FX$3:$GG$3,FY$60,$FX111:$GG111))/SUMIF($FX$3:$GG$3,FY$60,$FX$4:$GG$4)))</f>
        <v>0</v>
      </c>
      <c r="FZ62" s="192" t="n">
        <f aca="false">IF((SUMIF($FX$3:$GG$3,FZ$60,$FX$4:$GG$4))=0,0,((SUMIF($FX$3:$GG$3,FZ$60,$FX111:$GG111))/SUMIF($FX$3:$GG$3,FZ$60,$FX$4:$GG$4)))</f>
        <v>0</v>
      </c>
      <c r="GA62" s="192" t="n">
        <f aca="false">IF((SUMIF($FX$3:$GG$3,GA$60,$FX$4:$GG$4))=0,0,((SUMIF($FX$3:$GG$3,GA$60,$FX111:$GG111))/SUMIF($FX$3:$GG$3,GA$60,$FX$4:$GG$4)))</f>
        <v>0</v>
      </c>
      <c r="GB62" s="192" t="n">
        <f aca="false">IF((SUMIF($FX$3:$GG$3,GB$60,$FX$4:$GG$4))=0,0,((SUMIF($FX$3:$GG$3,GB$60,$FX111:$GG111))/SUMIF($FX$3:$GG$3,GB$60,$FX$4:$GG$4)))</f>
        <v>0</v>
      </c>
      <c r="GC62" s="192" t="n">
        <f aca="false">IF((SUMIF($FX$3:$GG$3,GC$60,$FX$4:$GG$4))=0,0,((SUMIF($FX$3:$GG$3,GC$60,$FX111:$GG111))/SUMIF($FX$3:$GG$3,GC$60,$FX$4:$GG$4)))</f>
        <v>0</v>
      </c>
      <c r="GD62" s="192" t="n">
        <f aca="false">IF((SUMIF($FX$3:$GG$3,GD$60,$FX$4:$GG$4))=0,0,((SUMIF($FX$3:$GG$3,GD$60,$FX111:$GG111))/SUMIF($FX$3:$GG$3,GD$60,$FX$4:$GG$4)))</f>
        <v>0</v>
      </c>
      <c r="GE62" s="192" t="n">
        <f aca="false">IF((SUMIF($FX$3:$GG$3,GE$60,$FX$4:$GG$4))=0,0,((SUMIF($FX$3:$GG$3,GE$60,$FX111:$GG111))/SUMIF($FX$3:$GG$3,GE$60,$FX$4:$GG$4)))</f>
        <v>0</v>
      </c>
      <c r="GF62" s="192" t="n">
        <f aca="false">IF((SUMIF($FX$3:$GG$3,GF$60,$FX$4:$GG$4))=0,0,((SUMIF($FX$3:$GG$3,GF$60,$FX111:$GG111))/SUMIF($FX$3:$GG$3,GF$60,$FX$4:$GG$4)))</f>
        <v>0</v>
      </c>
      <c r="GG62" s="193" t="n">
        <f aca="false">IF((SUMIF($FX$3:$GG$3,GG$60,$FX$4:$GG$4))=0,0,((SUMIF($FX$3:$GG$3,GG$60,$FX111:$GG111))/SUMIF($FX$3:$GG$3,GG$60,$FX$4:$GG$4)))</f>
        <v>0</v>
      </c>
      <c r="GH62" s="190" t="str">
        <f aca="false">FW62</f>
        <v>Alumno1</v>
      </c>
      <c r="GI62" s="191" t="n">
        <f aca="false">IF((SUMIF($GI$3:$GR$3,GI$60,$GI$4:$GR$4))=0,0,((SUMIF($GI$3:$GR$3,GI$60,$GI111:$GR111))/SUMIF($GI$3:$GR$3,GI$60,$GI$4:$GR$4)))</f>
        <v>0</v>
      </c>
      <c r="GJ62" s="192" t="n">
        <f aca="false">IF((SUMIF($GI$3:$GR$3,GJ$60,$GI$4:$GR$4))=0,0,((SUMIF($GI$3:$GR$3,GJ$60,$GI111:$GR111))/SUMIF($GI$3:$GR$3,GJ$60,$GI$4:$GR$4)))</f>
        <v>0</v>
      </c>
      <c r="GK62" s="192" t="n">
        <f aca="false">IF((SUMIF($GI$3:$GR$3,GK$60,$GI$4:$GR$4))=0,0,((SUMIF($GI$3:$GR$3,GK$60,$GI111:$GR111))/SUMIF($GI$3:$GR$3,GK$60,$GI$4:$GR$4)))</f>
        <v>0</v>
      </c>
      <c r="GL62" s="192" t="n">
        <f aca="false">IF((SUMIF($GI$3:$GR$3,GL$60,$GI$4:$GR$4))=0,0,((SUMIF($GI$3:$GR$3,GL$60,$GI111:$GR111))/SUMIF($GI$3:$GR$3,GL$60,$GI$4:$GR$4)))</f>
        <v>0</v>
      </c>
      <c r="GM62" s="192" t="n">
        <f aca="false">IF((SUMIF($GI$3:$GR$3,GM$60,$GI$4:$GR$4))=0,0,((SUMIF($GI$3:$GR$3,GM$60,$GI111:$GR111))/SUMIF($GI$3:$GR$3,GM$60,$GI$4:$GR$4)))</f>
        <v>0</v>
      </c>
      <c r="GN62" s="192" t="n">
        <f aca="false">IF((SUMIF($GI$3:$GR$3,GN$60,$GI$4:$GR$4))=0,0,((SUMIF($GI$3:$GR$3,GN$60,$GI111:$GR111))/SUMIF($GI$3:$GR$3,GN$60,$GI$4:$GR$4)))</f>
        <v>0</v>
      </c>
      <c r="GO62" s="192" t="n">
        <f aca="false">IF((SUMIF($GI$3:$GR$3,GO$60,$GI$4:$GR$4))=0,0,((SUMIF($GI$3:$GR$3,GO$60,$GI111:$GR111))/SUMIF($GI$3:$GR$3,GO$60,$GI$4:$GR$4)))</f>
        <v>0</v>
      </c>
      <c r="GP62" s="192" t="n">
        <f aca="false">IF((SUMIF($GI$3:$GR$3,GP$60,$GI$4:$GR$4))=0,0,((SUMIF($GI$3:$GR$3,GP$60,$GI111:$GR111))/SUMIF($GI$3:$GR$3,GP$60,$GI$4:$GR$4)))</f>
        <v>0</v>
      </c>
      <c r="GQ62" s="192" t="n">
        <f aca="false">IF((SUMIF($GI$3:$GR$3,GQ$60,$GI$4:$GR$4))=0,0,((SUMIF($GI$3:$GR$3,GQ$60,$GI111:$GR111))/SUMIF($GI$3:$GR$3,GQ$60,$GI$4:$GR$4)))</f>
        <v>0</v>
      </c>
      <c r="GR62" s="193" t="n">
        <f aca="false">IF((SUMIF($GI$3:$GR$3,GR$60,$GI$4:$GR$4))=0,0,((SUMIF($GI$3:$GR$3,GR$60,$GI111:$GR111))/SUMIF($GI$3:$GR$3,GR$60,$GI$4:$GR$4)))</f>
        <v>0</v>
      </c>
      <c r="GS62" s="190" t="str">
        <f aca="false">GH62</f>
        <v>Alumno1</v>
      </c>
      <c r="GT62" s="191" t="n">
        <f aca="false">IF((SUMIF($GT$3:$HC$3,GT$60,$GT$4:$HC$4))=0,0,((SUMIF($GT$3:$HC$3,GT$60,$GT111:$HC111))/SUMIF($GT$3:$HC$3,GT$60,$GT$4:$HC$4)))</f>
        <v>0</v>
      </c>
      <c r="GU62" s="192" t="n">
        <f aca="false">IF((SUMIF($GT$3:$HC$3,GU$60,$GT$4:$HC$4))=0,0,((SUMIF($GT$3:$HC$3,GU$60,$GT111:$HC111))/SUMIF($GT$3:$HC$3,GU$60,$GT$4:$HC$4)))</f>
        <v>0</v>
      </c>
      <c r="GV62" s="192" t="n">
        <f aca="false">IF((SUMIF($GT$3:$HC$3,GV$60,$GT$4:$HC$4))=0,0,((SUMIF($GT$3:$HC$3,GV$60,$GT111:$HC111))/SUMIF($GT$3:$HC$3,GV$60,$GT$4:$HC$4)))</f>
        <v>0</v>
      </c>
      <c r="GW62" s="192" t="n">
        <f aca="false">IF((SUMIF($GT$3:$HC$3,GW$60,$GT$4:$HC$4))=0,0,((SUMIF($GT$3:$HC$3,GW$60,$GT111:$HC111))/SUMIF($GT$3:$HC$3,GW$60,$GT$4:$HC$4)))</f>
        <v>0</v>
      </c>
      <c r="GX62" s="192" t="n">
        <f aca="false">IF((SUMIF($GT$3:$HC$3,GX$60,$GT$4:$HC$4))=0,0,((SUMIF($GT$3:$HC$3,GX$60,$GT111:$HC111))/SUMIF($GT$3:$HC$3,GX$60,$GT$4:$HC$4)))</f>
        <v>0</v>
      </c>
      <c r="GY62" s="192" t="n">
        <f aca="false">IF((SUMIF($GT$3:$HC$3,GY$60,$GT$4:$HC$4))=0,0,((SUMIF($GT$3:$HC$3,GY$60,$GT111:$HC111))/SUMIF($GT$3:$HC$3,GY$60,$GT$4:$HC$4)))</f>
        <v>0</v>
      </c>
      <c r="GZ62" s="192" t="n">
        <f aca="false">IF((SUMIF($GT$3:$HC$3,GZ$60,$GT$4:$HC$4))=0,0,((SUMIF($GT$3:$HC$3,GZ$60,$GT111:$HC111))/SUMIF($GT$3:$HC$3,GZ$60,$GT$4:$HC$4)))</f>
        <v>0</v>
      </c>
      <c r="HA62" s="192" t="n">
        <f aca="false">IF((SUMIF($GT$3:$HC$3,HA$60,$GT$4:$HC$4))=0,0,((SUMIF($GT$3:$HC$3,HA$60,$GT111:$HC111))/SUMIF($GT$3:$HC$3,HA$60,$GT$4:$HC$4)))</f>
        <v>0</v>
      </c>
      <c r="HB62" s="192" t="n">
        <f aca="false">IF((SUMIF($GT$3:$HC$3,HB$60,$GT$4:$HC$4))=0,0,((SUMIF($GT$3:$HC$3,HB$60,$GT111:$HC111))/SUMIF($GT$3:$HC$3,HB$60,$GT$4:$HC$4)))</f>
        <v>0</v>
      </c>
      <c r="HC62" s="193" t="n">
        <f aca="false">IF((SUMIF($GT$3:$HC$3,HC$60,$GT$4:$HC$4))=0,0,((SUMIF($GT$3:$HC$3,HC$60,$GT111:$HC111))/SUMIF($GT$3:$HC$3,HC$60,$GT$4:$HC$4)))</f>
        <v>0</v>
      </c>
      <c r="HD62" s="190" t="str">
        <f aca="false">GS62</f>
        <v>Alumno1</v>
      </c>
      <c r="HE62" s="191" t="n">
        <f aca="false">IF((SUMIF($HE$3:$HN$3,HE$60,$HE$4:$HN$4))=0,0,((SUMIF($HE$3:$HN$3,HE$60,$HE111:$HN111))/SUMIF($HE$3:$HN$3,HE$60,$HE$4:$HN$4)))</f>
        <v>0</v>
      </c>
      <c r="HF62" s="192" t="n">
        <f aca="false">IF((SUMIF($HE$3:$HN$3,HF$60,$HE$4:$HN$4))=0,0,((SUMIF($HE$3:$HN$3,HF$60,$HE111:$HN111))/SUMIF($HE$3:$HN$3,HF$60,$HE$4:$HN$4)))</f>
        <v>0</v>
      </c>
      <c r="HG62" s="192" t="n">
        <f aca="false">IF((SUMIF($HE$3:$HN$3,HG$60,$HE$4:$HN$4))=0,0,((SUMIF($HE$3:$HN$3,HG$60,$HE111:$HN111))/SUMIF($HE$3:$HN$3,HG$60,$HE$4:$HN$4)))</f>
        <v>0</v>
      </c>
      <c r="HH62" s="192" t="n">
        <f aca="false">IF((SUMIF($HE$3:$HN$3,HH$60,$HE$4:$HN$4))=0,0,((SUMIF($HE$3:$HN$3,HH$60,$HE111:$HN111))/SUMIF($HE$3:$HN$3,HH$60,$HE$4:$HN$4)))</f>
        <v>0</v>
      </c>
      <c r="HI62" s="192" t="n">
        <f aca="false">IF((SUMIF($HE$3:$HN$3,HI$60,$HE$4:$HN$4))=0,0,((SUMIF($HE$3:$HN$3,HI$60,$HE111:$HN111))/SUMIF($HE$3:$HN$3,HI$60,$HE$4:$HN$4)))</f>
        <v>0</v>
      </c>
      <c r="HJ62" s="192" t="n">
        <f aca="false">IF((SUMIF($HE$3:$HN$3,HJ$60,$HE$4:$HN$4))=0,0,((SUMIF($HE$3:$HN$3,HJ$60,$HE111:$HN111))/SUMIF($HE$3:$HN$3,HJ$60,$HE$4:$HN$4)))</f>
        <v>0</v>
      </c>
      <c r="HK62" s="192" t="n">
        <f aca="false">IF((SUMIF($HE$3:$HN$3,HK$60,$HE$4:$HN$4))=0,0,((SUMIF($HE$3:$HN$3,HK$60,$HE111:$HN111))/SUMIF($HE$3:$HN$3,HK$60,$HE$4:$HN$4)))</f>
        <v>0</v>
      </c>
      <c r="HL62" s="192" t="n">
        <f aca="false">IF((SUMIF($HE$3:$HN$3,HL$60,$HE$4:$HN$4))=0,0,((SUMIF($HE$3:$HN$3,HL$60,$HE111:$HN111))/SUMIF($HE$3:$HN$3,HL$60,$HE$4:$HN$4)))</f>
        <v>0</v>
      </c>
      <c r="HM62" s="192" t="n">
        <f aca="false">IF((SUMIF($HE$3:$HN$3,HM$60,$HE$4:$HN$4))=0,0,((SUMIF($HE$3:$HN$3,HM$60,$HE111:$HN111))/SUMIF($HE$3:$HN$3,HM$60,$HE$4:$HN$4)))</f>
        <v>0</v>
      </c>
      <c r="HN62" s="193" t="n">
        <f aca="false">IF((SUMIF($HE$3:$HN$3,HN$60,$HE$4:$HN$4))=0,0,((SUMIF($HE$3:$HN$3,HN$60,$HE111:$HN111))/SUMIF($HE$3:$HN$3,HN$60,$HE$4:$HN$4)))</f>
        <v>0</v>
      </c>
      <c r="HO62" s="190" t="str">
        <f aca="false">HD62</f>
        <v>Alumno1</v>
      </c>
      <c r="HP62" s="191" t="n">
        <f aca="false">IF((SUMIF($HP$3:$HY$3,HP$60,$HP$4:$HY$4))=0,0,((SUMIF($HP$3:$HY$3,HP$60,$HP111:$HY111))/SUMIF($HP$3:$HY$3,HP$60,$HP$4:$HY$4)))</f>
        <v>0</v>
      </c>
      <c r="HQ62" s="192" t="n">
        <f aca="false">IF((SUMIF($HP$3:$HY$3,HQ$60,$HP$4:$HY$4))=0,0,((SUMIF($HP$3:$HY$3,HQ$60,$HP111:$HY111))/SUMIF($HP$3:$HY$3,HQ$60,$HP$4:$HY$4)))</f>
        <v>0</v>
      </c>
      <c r="HR62" s="192" t="n">
        <f aca="false">IF((SUMIF($HP$3:$HY$3,HR$60,$HP$4:$HY$4))=0,0,((SUMIF($HP$3:$HY$3,HR$60,$HP111:$HY111))/SUMIF($HP$3:$HY$3,HR$60,$HP$4:$HY$4)))</f>
        <v>0</v>
      </c>
      <c r="HS62" s="192" t="n">
        <f aca="false">IF((SUMIF($HP$3:$HY$3,HS$60,$HP$4:$HY$4))=0,0,((SUMIF($HP$3:$HY$3,HS$60,$HP111:$HY111))/SUMIF($HP$3:$HY$3,HS$60,$HP$4:$HY$4)))</f>
        <v>0</v>
      </c>
      <c r="HT62" s="192" t="n">
        <f aca="false">IF((SUMIF($HP$3:$HY$3,HT$60,$HP$4:$HY$4))=0,0,((SUMIF($HP$3:$HY$3,HT$60,$HP111:$HY111))/SUMIF($HP$3:$HY$3,HT$60,$HP$4:$HY$4)))</f>
        <v>0</v>
      </c>
      <c r="HU62" s="192" t="n">
        <f aca="false">IF((SUMIF($HP$3:$HY$3,HU$60,$HP$4:$HY$4))=0,0,((SUMIF($HP$3:$HY$3,HU$60,$HP111:$HY111))/SUMIF($HP$3:$HY$3,HU$60,$HP$4:$HY$4)))</f>
        <v>0</v>
      </c>
      <c r="HV62" s="192" t="n">
        <f aca="false">IF((SUMIF($HP$3:$HY$3,HV$60,$HP$4:$HY$4))=0,0,((SUMIF($HP$3:$HY$3,HV$60,$HP111:$HY111))/SUMIF($HP$3:$HY$3,HV$60,$HP$4:$HY$4)))</f>
        <v>0</v>
      </c>
      <c r="HW62" s="192" t="n">
        <f aca="false">IF((SUMIF($HP$3:$HY$3,HW$60,$HP$4:$HY$4))=0,0,((SUMIF($HP$3:$HY$3,HW$60,$HP111:$HY111))/SUMIF($HP$3:$HY$3,HW$60,$HP$4:$HY$4)))</f>
        <v>0</v>
      </c>
      <c r="HX62" s="192" t="n">
        <f aca="false">IF((SUMIF($HP$3:$HY$3,HX$60,$HP$4:$HY$4))=0,0,((SUMIF($HP$3:$HY$3,HX$60,$HP111:$HY111))/SUMIF($HP$3:$HY$3,HX$60,$HP$4:$HY$4)))</f>
        <v>0</v>
      </c>
      <c r="HY62" s="193" t="n">
        <f aca="false">IF((SUMIF($HP$3:$HY$3,HY$60,$HP$4:$HY$4))=0,0,((SUMIF($HP$3:$HY$3,HY$60,$HP111:$HY111))/SUMIF($HP$3:$HY$3,HY$60,$HP$4:$HY$4)))</f>
        <v>0</v>
      </c>
      <c r="HZ62" s="190" t="str">
        <f aca="false">HO62</f>
        <v>Alumno1</v>
      </c>
      <c r="IA62" s="191" t="n">
        <f aca="false">IF((SUMIF($IA$3:$IJ$3,IA$60,$IA$4:$IJ$4))=0,0,((SUMIF($IA$3:$IJ$3,IA$60,$IA111:$IJ111))/SUMIF($IA$3:$IJ$3,IA$60,$IA$4:$IJ$4)))</f>
        <v>0</v>
      </c>
      <c r="IB62" s="192" t="n">
        <f aca="false">IF((SUMIF($IA$3:$IJ$3,IB$60,$IA$4:$IJ$4))=0,0,((SUMIF($IA$3:$IJ$3,IB$60,$IA111:$IJ111))/SUMIF($IA$3:$IJ$3,IB$60,$IA$4:$IJ$4)))</f>
        <v>0</v>
      </c>
      <c r="IC62" s="192" t="n">
        <f aca="false">IF((SUMIF($IA$3:$IJ$3,IC$60,$IA$4:$IJ$4))=0,0,((SUMIF($IA$3:$IJ$3,IC$60,$IA111:$IJ111))/SUMIF($IA$3:$IJ$3,IC$60,$IA$4:$IJ$4)))</f>
        <v>0</v>
      </c>
      <c r="ID62" s="192" t="n">
        <f aca="false">IF((SUMIF($IA$3:$IJ$3,ID$60,$IA$4:$IJ$4))=0,0,((SUMIF($IA$3:$IJ$3,ID$60,$IA111:$IJ111))/SUMIF($IA$3:$IJ$3,ID$60,$IA$4:$IJ$4)))</f>
        <v>0</v>
      </c>
      <c r="IE62" s="192" t="n">
        <f aca="false">IF((SUMIF($IA$3:$IJ$3,IE$60,$IA$4:$IJ$4))=0,0,((SUMIF($IA$3:$IJ$3,IE$60,$IA111:$IJ111))/SUMIF($IA$3:$IJ$3,IE$60,$IA$4:$IJ$4)))</f>
        <v>0</v>
      </c>
      <c r="IF62" s="192" t="n">
        <f aca="false">IF((SUMIF($IA$3:$IJ$3,IF$60,$IA$4:$IJ$4))=0,0,((SUMIF($IA$3:$IJ$3,IF$60,$IA111:$IJ111))/SUMIF($IA$3:$IJ$3,IF$60,$IA$4:$IJ$4)))</f>
        <v>0</v>
      </c>
      <c r="IG62" s="192" t="n">
        <f aca="false">IF((SUMIF($IA$3:$IJ$3,IG$60,$IA$4:$IJ$4))=0,0,((SUMIF($IA$3:$IJ$3,IG$60,$IA111:$IJ111))/SUMIF($IA$3:$IJ$3,IG$60,$IA$4:$IJ$4)))</f>
        <v>0</v>
      </c>
      <c r="IH62" s="192" t="n">
        <f aca="false">IF((SUMIF($IA$3:$IJ$3,IH$60,$IA$4:$IJ$4))=0,0,((SUMIF($IA$3:$IJ$3,IH$60,$IA111:$IJ111))/SUMIF($IA$3:$IJ$3,IH$60,$IA$4:$IJ$4)))</f>
        <v>0</v>
      </c>
      <c r="II62" s="192" t="n">
        <f aca="false">IF((SUMIF($IA$3:$IJ$3,II$60,$IA$4:$IJ$4))=0,0,((SUMIF($IA$3:$IJ$3,II$60,$IA111:$IJ111))/SUMIF($IA$3:$IJ$3,II$60,$IA$4:$IJ$4)))</f>
        <v>0</v>
      </c>
      <c r="IJ62" s="193" t="n">
        <f aca="false">IF((SUMIF($IA$3:$IJ$3,IJ$60,$IA$4:$IJ$4))=0,0,((SUMIF($IA$3:$IJ$3,IJ$60,$IA111:$IJ111))/SUMIF($IA$3:$IJ$3,IJ$60,$IA$4:$IJ$4)))</f>
        <v>0</v>
      </c>
      <c r="IK62" s="190" t="str">
        <f aca="false">HZ62</f>
        <v>Alumno1</v>
      </c>
      <c r="IL62" s="191" t="n">
        <f aca="false">IF((SUMIF($IL$3:$IU$3,IL$60,$IL$4:$IU$4))=0,0,((SUMIF($IL$3:$IU$3,IL$60,$IL111:$IU111))/SUMIF($IL$3:$IU$3,IL$60,$IL$4:$IU$4)))</f>
        <v>0</v>
      </c>
      <c r="IM62" s="192" t="n">
        <f aca="false">IF((SUMIF($IL$3:$IU$3,IM$60,$IL$4:$IU$4))=0,0,((SUMIF($IL$3:$IU$3,IM$60,$IL111:$IU111))/SUMIF($IL$3:$IU$3,IM$60,$IL$4:$IU$4)))</f>
        <v>0</v>
      </c>
      <c r="IN62" s="192" t="n">
        <f aca="false">IF((SUMIF($IL$3:$IU$3,IN$60,$IL$4:$IU$4))=0,0,((SUMIF($IL$3:$IU$3,IN$60,$IL111:$IU111))/SUMIF($IL$3:$IU$3,IN$60,$IL$4:$IU$4)))</f>
        <v>0</v>
      </c>
      <c r="IO62" s="192" t="n">
        <f aca="false">IF((SUMIF($IL$3:$IU$3,IO$60,$IL$4:$IU$4))=0,0,((SUMIF($IL$3:$IU$3,IO$60,$IL111:$IU111))/SUMIF($IL$3:$IU$3,IO$60,$IL$4:$IU$4)))</f>
        <v>0</v>
      </c>
      <c r="IP62" s="192" t="n">
        <f aca="false">IF((SUMIF($IL$3:$IU$3,IP$60,$IL$4:$IU$4))=0,0,((SUMIF($IL$3:$IU$3,IP$60,$IL111:$IU111))/SUMIF($IL$3:$IU$3,IP$60,$IL$4:$IU$4)))</f>
        <v>0</v>
      </c>
      <c r="IQ62" s="192" t="n">
        <f aca="false">IF((SUMIF($IL$3:$IU$3,IQ$60,$IL$4:$IU$4))=0,0,((SUMIF($IL$3:$IU$3,IQ$60,$IL111:$IU111))/SUMIF($IL$3:$IU$3,IQ$60,$IL$4:$IU$4)))</f>
        <v>0</v>
      </c>
      <c r="IR62" s="192" t="n">
        <f aca="false">IF((SUMIF($IL$3:$IU$3,IR$60,$IL$4:$IU$4))=0,0,((SUMIF($IL$3:$IU$3,IR$60,$IL111:$IU111))/SUMIF($IL$3:$IU$3,IR$60,$IL$4:$IU$4)))</f>
        <v>0</v>
      </c>
      <c r="IS62" s="192" t="n">
        <f aca="false">IF((SUMIF($IL$3:$IU$3,IS$60,$IL$4:$IU$4))=0,0,((SUMIF($IL$3:$IU$3,IS$60,$IL111:$IU111))/SUMIF($IL$3:$IU$3,IS$60,$IL$4:$IU$4)))</f>
        <v>0</v>
      </c>
      <c r="IT62" s="192" t="n">
        <f aca="false">IF((SUMIF($IL$3:$IU$3,IT$60,$IL$4:$IU$4))=0,0,((SUMIF($IL$3:$IU$3,IT$60,$IL111:$IU111))/SUMIF($IL$3:$IU$3,IT$60,$IL$4:$IU$4)))</f>
        <v>0</v>
      </c>
      <c r="IU62" s="193" t="n">
        <f aca="false">IF((SUMIF($IL$3:$IU$3,IU$60,$IL$4:$IU$4))=0,0,((SUMIF($IL$3:$IU$3,IU$60,$IL111:$IU111))/SUMIF($IL$3:$IU$3,IU$60,$IL$4:$IU$4)))</f>
        <v>0</v>
      </c>
      <c r="IV62" s="190" t="str">
        <f aca="false">IK62</f>
        <v>Alumno1</v>
      </c>
      <c r="IW62" s="191" t="n">
        <f aca="false">IF((SUMIF($IW$3:$JF$3,IW$60,$IW$4:$JF$4))=0,0,((SUMIF($IW$3:$JF$3,IW$60,$IW111:$JF111))/SUMIF($IW$3:$JF$3,IW$60,$IW$4:$JF$4)))</f>
        <v>0</v>
      </c>
      <c r="IX62" s="192" t="n">
        <f aca="false">IF((SUMIF($IW$3:$JF$3,IX$60,$IW$4:$JF$4))=0,0,((SUMIF($IW$3:$JF$3,IX$60,$IW111:$JF111))/SUMIF($IW$3:$JF$3,IX$60,$IW$4:$JF$4)))</f>
        <v>0</v>
      </c>
      <c r="IY62" s="192" t="n">
        <f aca="false">IF((SUMIF($IW$3:$JF$3,IY$60,$IW$4:$JF$4))=0,0,((SUMIF($IW$3:$JF$3,IY$60,$IW111:$JF111))/SUMIF($IW$3:$JF$3,IY$60,$IW$4:$JF$4)))</f>
        <v>0</v>
      </c>
      <c r="IZ62" s="192" t="n">
        <f aca="false">IF((SUMIF($IW$3:$JF$3,IZ$60,$IW$4:$JF$4))=0,0,((SUMIF($IW$3:$JF$3,IZ$60,$IW111:$JF111))/SUMIF($IW$3:$JF$3,IZ$60,$IW$4:$JF$4)))</f>
        <v>0</v>
      </c>
      <c r="JA62" s="192" t="n">
        <f aca="false">IF((SUMIF($IW$3:$JF$3,JA$60,$IW$4:$JF$4))=0,0,((SUMIF($IW$3:$JF$3,JA$60,$IW111:$JF111))/SUMIF($IW$3:$JF$3,JA$60,$IW$4:$JF$4)))</f>
        <v>0</v>
      </c>
      <c r="JB62" s="192" t="n">
        <f aca="false">IF((SUMIF($IW$3:$JF$3,JB$60,$IW$4:$JF$4))=0,0,((SUMIF($IW$3:$JF$3,JB$60,$IW111:$JF111))/SUMIF($IW$3:$JF$3,JB$60,$IW$4:$JF$4)))</f>
        <v>0</v>
      </c>
      <c r="JC62" s="192" t="n">
        <f aca="false">IF((SUMIF($IW$3:$JF$3,JC$60,$IW$4:$JF$4))=0,0,((SUMIF($IW$3:$JF$3,JC$60,$IW111:$JF111))/SUMIF($IW$3:$JF$3,JC$60,$IW$4:$JF$4)))</f>
        <v>0</v>
      </c>
      <c r="JD62" s="192" t="n">
        <f aca="false">IF((SUMIF($IW$3:$JF$3,JD$60,$IW$4:$JF$4))=0,0,((SUMIF($IW$3:$JF$3,JD$60,$IW111:$JF111))/SUMIF($IW$3:$JF$3,JD$60,$IW$4:$JF$4)))</f>
        <v>0</v>
      </c>
      <c r="JE62" s="192" t="n">
        <f aca="false">IF((SUMIF($IW$3:$JF$3,JE$60,$IW$4:$JF$4))=0,0,((SUMIF($IW$3:$JF$3,JE$60,$IW111:$JF111))/SUMIF($IW$3:$JF$3,JE$60,$IW$4:$JF$4)))</f>
        <v>0</v>
      </c>
      <c r="JF62" s="193" t="n">
        <f aca="false">IF((SUMIF($IW$3:$JF$3,JF$60,$IW$4:$JF$4))=0,0,((SUMIF($IW$3:$JF$3,JF$60,$IW111:$JF111))/SUMIF($IW$3:$JF$3,JF$60,$IW$4:$JF$4)))</f>
        <v>0</v>
      </c>
      <c r="JG62" s="190" t="str">
        <f aca="false">IV62</f>
        <v>Alumno1</v>
      </c>
      <c r="JH62" s="191" t="n">
        <f aca="false">IF((SUMIF($JH$3:$JQ$3,JH$60,$JH$4:$JQ$4))=0,0,((SUMIF($JH$3:$JQ$3,JH$60,$JH111:$JQ111))/SUMIF($JH$3:$JQ$3,JH$60,$JH$4:$JQ$4)))</f>
        <v>0</v>
      </c>
      <c r="JI62" s="192" t="n">
        <f aca="false">IF((SUMIF($JH$3:$JQ$3,JI$60,$JH$4:$JQ$4))=0,0,((SUMIF($JH$3:$JQ$3,JI$60,$JH111:$JQ111))/SUMIF($JH$3:$JQ$3,JI$60,$JH$4:$JQ$4)))</f>
        <v>0</v>
      </c>
      <c r="JJ62" s="192" t="n">
        <f aca="false">IF((SUMIF($JH$3:$JQ$3,JJ$60,$JH$4:$JQ$4))=0,0,((SUMIF($JH$3:$JQ$3,JJ$60,$JH111:$JQ111))/SUMIF($JH$3:$JQ$3,JJ$60,$JH$4:$JQ$4)))</f>
        <v>0</v>
      </c>
      <c r="JK62" s="192" t="n">
        <f aca="false">IF((SUMIF($JH$3:$JQ$3,JK$60,$JH$4:$JQ$4))=0,0,((SUMIF($JH$3:$JQ$3,JK$60,$JH111:$JQ111))/SUMIF($JH$3:$JQ$3,JK$60,$JH$4:$JQ$4)))</f>
        <v>0</v>
      </c>
      <c r="JL62" s="192" t="n">
        <f aca="false">IF((SUMIF($JH$3:$JQ$3,JL$60,$JH$4:$JQ$4))=0,0,((SUMIF($JH$3:$JQ$3,JL$60,$JH111:$JQ111))/SUMIF($JH$3:$JQ$3,JL$60,$JH$4:$JQ$4)))</f>
        <v>0</v>
      </c>
      <c r="JM62" s="192" t="n">
        <f aca="false">IF((SUMIF($JH$3:$JQ$3,JM$60,$JH$4:$JQ$4))=0,0,((SUMIF($JH$3:$JQ$3,JM$60,$JH111:$JQ111))/SUMIF($JH$3:$JQ$3,JM$60,$JH$4:$JQ$4)))</f>
        <v>0</v>
      </c>
      <c r="JN62" s="192" t="n">
        <f aca="false">IF((SUMIF($JH$3:$JQ$3,JN$60,$JH$4:$JQ$4))=0,0,((SUMIF($JH$3:$JQ$3,JN$60,$JH111:$JQ111))/SUMIF($JH$3:$JQ$3,JN$60,$JH$4:$JQ$4)))</f>
        <v>0</v>
      </c>
      <c r="JO62" s="192" t="n">
        <f aca="false">IF((SUMIF($JH$3:$JQ$3,JO$60,$JH$4:$JQ$4))=0,0,((SUMIF($JH$3:$JQ$3,JO$60,$JH111:$JQ111))/SUMIF($JH$3:$JQ$3,JO$60,$JH$4:$JQ$4)))</f>
        <v>0</v>
      </c>
      <c r="JP62" s="192" t="n">
        <f aca="false">IF((SUMIF($JH$3:$JQ$3,JP$60,$JH$4:$JQ$4))=0,0,((SUMIF($JH$3:$JQ$3,JP$60,$JH111:$JQ111))/SUMIF($JH$3:$JQ$3,JP$60,$JH$4:$JQ$4)))</f>
        <v>0</v>
      </c>
      <c r="JQ62" s="193" t="n">
        <f aca="false">IF((SUMIF($JH$3:$JQ$3,JQ$60,$JH$4:$JQ$4))=0,0,((SUMIF($JH$3:$JQ$3,JQ$60,$JH111:$JQ111))/SUMIF($JH$3:$JQ$3,JQ$60,$JH$4:$JQ$4)))</f>
        <v>0</v>
      </c>
      <c r="JR62" s="190" t="str">
        <f aca="false">JG62</f>
        <v>Alumno1</v>
      </c>
      <c r="JS62" s="191" t="n">
        <f aca="false">IF((SUMIF($JS$3:$KB$3,JS$60,$JS$4:$KB$4))=0,0,((SUMIF($JS$3:$KB$3,JS$60,$JS111:$KB111))/SUMIF($JS$3:$KB$3,JS$60,$JS$4:$KB$4)))</f>
        <v>0</v>
      </c>
      <c r="JT62" s="192" t="n">
        <f aca="false">IF((SUMIF($JS$3:$KB$3,JT$60,$JS$4:$KB$4))=0,0,((SUMIF($JS$3:$KB$3,JT$60,$JS111:$KB111))/SUMIF($JS$3:$KB$3,JT$60,$JS$4:$KB$4)))</f>
        <v>0</v>
      </c>
      <c r="JU62" s="192" t="n">
        <f aca="false">IF((SUMIF($JS$3:$KB$3,JU$60,$JS$4:$KB$4))=0,0,((SUMIF($JS$3:$KB$3,JU$60,$JS111:$KB111))/SUMIF($JS$3:$KB$3,JU$60,$JS$4:$KB$4)))</f>
        <v>0</v>
      </c>
      <c r="JV62" s="192" t="n">
        <f aca="false">IF((SUMIF($JS$3:$KB$3,JV$60,$JS$4:$KB$4))=0,0,((SUMIF($JS$3:$KB$3,JV$60,$JS111:$KB111))/SUMIF($JS$3:$KB$3,JV$60,$JS$4:$KB$4)))</f>
        <v>0</v>
      </c>
      <c r="JW62" s="192" t="n">
        <f aca="false">IF((SUMIF($JS$3:$KB$3,JW$60,$JS$4:$KB$4))=0,0,((SUMIF($JS$3:$KB$3,JW$60,$JS111:$KB111))/SUMIF($JS$3:$KB$3,JW$60,$JS$4:$KB$4)))</f>
        <v>0</v>
      </c>
      <c r="JX62" s="192" t="n">
        <f aca="false">IF((SUMIF($JS$3:$KB$3,JX$60,$JS$4:$KB$4))=0,0,((SUMIF($JS$3:$KB$3,JX$60,$JS111:$KB111))/SUMIF($JS$3:$KB$3,JX$60,$JS$4:$KB$4)))</f>
        <v>0</v>
      </c>
      <c r="JY62" s="192" t="n">
        <f aca="false">IF((SUMIF($JS$3:$KB$3,JY$60,$JS$4:$KB$4))=0,0,((SUMIF($JS$3:$KB$3,JY$60,$JS111:$KB111))/SUMIF($JS$3:$KB$3,JY$60,$JS$4:$KB$4)))</f>
        <v>0</v>
      </c>
      <c r="JZ62" s="192" t="n">
        <f aca="false">IF((SUMIF($JS$3:$KB$3,JZ$60,$JS$4:$KB$4))=0,0,((SUMIF($JS$3:$KB$3,JZ$60,$JS111:$KB111))/SUMIF($JS$3:$KB$3,JZ$60,$JS$4:$KB$4)))</f>
        <v>0</v>
      </c>
      <c r="KA62" s="192" t="n">
        <f aca="false">IF((SUMIF($JS$3:$KB$3,KA$60,$JS$4:$KB$4))=0,0,((SUMIF($JS$3:$KB$3,KA$60,$JS111:$KB111))/SUMIF($JS$3:$KB$3,KA$60,$JS$4:$KB$4)))</f>
        <v>0</v>
      </c>
      <c r="KB62" s="193" t="n">
        <f aca="false">IF((SUMIF($JS$3:$KB$3,KB$60,$JS$4:$KB$4))=0,0,((SUMIF($JS$3:$KB$3,KB$60,$JS111:$KB111))/SUMIF($JS$3:$KB$3,KB$60,$JS$4:$KB$4)))</f>
        <v>0</v>
      </c>
      <c r="KC62" s="190" t="str">
        <f aca="false">JR62</f>
        <v>Alumno1</v>
      </c>
      <c r="KD62" s="191" t="n">
        <f aca="false">IF((SUMIF($KD$3:$KM$3,KD$60,$KD$4:$KM$4))=0,0,((SUMIF($KD$3:$KM$3,KD$60,$KD111:$KM111))/SUMIF($KD$3:$KM$3,KD$60,$KD$4:$KM$4)))</f>
        <v>0</v>
      </c>
      <c r="KE62" s="192" t="n">
        <f aca="false">IF((SUMIF($KD$3:$KM$3,KE$60,$KD$4:$KM$4))=0,0,((SUMIF($KD$3:$KM$3,KE$60,$KD111:$KM111))/SUMIF($KD$3:$KM$3,KE$60,$KD$4:$KM$4)))</f>
        <v>0</v>
      </c>
      <c r="KF62" s="192" t="n">
        <f aca="false">IF((SUMIF($KD$3:$KM$3,KF$60,$KD$4:$KM$4))=0,0,((SUMIF($KD$3:$KM$3,KF$60,$KD111:$KM111))/SUMIF($KD$3:$KM$3,KF$60,$KD$4:$KM$4)))</f>
        <v>0</v>
      </c>
      <c r="KG62" s="192" t="n">
        <f aca="false">IF((SUMIF($KD$3:$KM$3,KG$60,$KD$4:$KM$4))=0,0,((SUMIF($KD$3:$KM$3,KG$60,$KD111:$KM111))/SUMIF($KD$3:$KM$3,KG$60,$KD$4:$KM$4)))</f>
        <v>0</v>
      </c>
      <c r="KH62" s="192" t="n">
        <f aca="false">IF((SUMIF($KD$3:$KM$3,KH$60,$KD$4:$KM$4))=0,0,((SUMIF($KD$3:$KM$3,KH$60,$KD111:$KM111))/SUMIF($KD$3:$KM$3,KH$60,$KD$4:$KM$4)))</f>
        <v>0</v>
      </c>
      <c r="KI62" s="192" t="n">
        <f aca="false">IF((SUMIF($KD$3:$KM$3,KI$60,$KD$4:$KM$4))=0,0,((SUMIF($KD$3:$KM$3,KI$60,$KD111:$KM111))/SUMIF($KD$3:$KM$3,KI$60,$KD$4:$KM$4)))</f>
        <v>0</v>
      </c>
      <c r="KJ62" s="192" t="n">
        <f aca="false">IF((SUMIF($KD$3:$KM$3,KJ$60,$KD$4:$KM$4))=0,0,((SUMIF($KD$3:$KM$3,KJ$60,$KD111:$KM111))/SUMIF($KD$3:$KM$3,KJ$60,$KD$4:$KM$4)))</f>
        <v>0</v>
      </c>
      <c r="KK62" s="192" t="n">
        <f aca="false">IF((SUMIF($KD$3:$KM$3,KK$60,$KD$4:$KM$4))=0,0,((SUMIF($KD$3:$KM$3,KK$60,$KD111:$KM111))/SUMIF($KD$3:$KM$3,KK$60,$KD$4:$KM$4)))</f>
        <v>0</v>
      </c>
      <c r="KL62" s="192" t="n">
        <f aca="false">IF((SUMIF($KD$3:$KM$3,KL$60,$KD$4:$KM$4))=0,0,((SUMIF($KD$3:$KM$3,KL$60,$KD111:$KM111))/SUMIF($KD$3:$KM$3,KL$60,$KD$4:$KM$4)))</f>
        <v>0</v>
      </c>
      <c r="KM62" s="193" t="n">
        <f aca="false">IF((SUMIF($KD$3:$KM$3,KM$60,$KD$4:$KM$4))=0,0,((SUMIF($KD$3:$KM$3,KM$60,$KD111:$KM111))/SUMIF($KD$3:$KM$3,KM$60,$KD$4:$KM$4)))</f>
        <v>0</v>
      </c>
      <c r="KN62" s="190" t="str">
        <f aca="false">KC62</f>
        <v>Alumno1</v>
      </c>
      <c r="KO62" s="191" t="n">
        <f aca="false">IF((SUMIF($KO$3:$KX$3,KO$60,$KO$4:$KX$4))=0,0,((SUMIF($KO$3:$KX$3,KO$60,$KO111:$KX111))/SUMIF($KO$3:$KX$3,KO$60,$KO$4:$KX$4)))</f>
        <v>0</v>
      </c>
      <c r="KP62" s="192" t="n">
        <f aca="false">IF((SUMIF($KO$3:$KX$3,KP$60,$KO$4:$KX$4))=0,0,((SUMIF($KO$3:$KX$3,KP$60,$KO111:$KX111))/SUMIF($KO$3:$KX$3,KP$60,$KO$4:$KX$4)))</f>
        <v>0</v>
      </c>
      <c r="KQ62" s="192" t="n">
        <f aca="false">IF((SUMIF($KO$3:$KX$3,KQ$60,$KO$4:$KX$4))=0,0,((SUMIF($KO$3:$KX$3,KQ$60,$KO111:$KX111))/SUMIF($KO$3:$KX$3,KQ$60,$KO$4:$KX$4)))</f>
        <v>0</v>
      </c>
      <c r="KR62" s="192" t="n">
        <f aca="false">IF((SUMIF($KO$3:$KX$3,KR$60,$KO$4:$KX$4))=0,0,((SUMIF($KO$3:$KX$3,KR$60,$KO111:$KX111))/SUMIF($KO$3:$KX$3,KR$60,$KO$4:$KX$4)))</f>
        <v>0</v>
      </c>
      <c r="KS62" s="192" t="n">
        <f aca="false">IF((SUMIF($KO$3:$KX$3,KS$60,$KO$4:$KX$4))=0,0,((SUMIF($KO$3:$KX$3,KS$60,$KO111:$KX111))/SUMIF($KO$3:$KX$3,KS$60,$KO$4:$KX$4)))</f>
        <v>0</v>
      </c>
      <c r="KT62" s="192" t="n">
        <f aca="false">IF((SUMIF($KO$3:$KX$3,KT$60,$KO$4:$KX$4))=0,0,((SUMIF($KO$3:$KX$3,KT$60,$KO111:$KX111))/SUMIF($KO$3:$KX$3,KT$60,$KO$4:$KX$4)))</f>
        <v>0</v>
      </c>
      <c r="KU62" s="192" t="n">
        <f aca="false">IF((SUMIF($KO$3:$KX$3,KU$60,$KO$4:$KX$4))=0,0,((SUMIF($KO$3:$KX$3,KU$60,$KO111:$KX111))/SUMIF($KO$3:$KX$3,KU$60,$KO$4:$KX$4)))</f>
        <v>0</v>
      </c>
      <c r="KV62" s="192" t="n">
        <f aca="false">IF((SUMIF($KO$3:$KX$3,KV$60,$KO$4:$KX$4))=0,0,((SUMIF($KO$3:$KX$3,KV$60,$KO111:$KX111))/SUMIF($KO$3:$KX$3,KV$60,$KO$4:$KX$4)))</f>
        <v>0</v>
      </c>
      <c r="KW62" s="192" t="n">
        <f aca="false">IF((SUMIF($KO$3:$KX$3,KW$60,$KO$4:$KX$4))=0,0,((SUMIF($KO$3:$KX$3,KW$60,$KO111:$KX111))/SUMIF($KO$3:$KX$3,KW$60,$KO$4:$KX$4)))</f>
        <v>0</v>
      </c>
      <c r="KX62" s="193" t="n">
        <f aca="false">IF((SUMIF($KO$3:$KX$3,KX$60,$KO$4:$KX$4))=0,0,((SUMIF($KO$3:$KX$3,KX$60,$KO111:$KX111))/SUMIF($KO$3:$KX$3,KX$60,$KO$4:$KX$4)))</f>
        <v>0</v>
      </c>
      <c r="KY62" s="190" t="str">
        <f aca="false">KN62</f>
        <v>Alumno1</v>
      </c>
      <c r="KZ62" s="191" t="n">
        <f aca="false">IF((SUMIF($KZ$3:$LI$3,KZ$60,$KZ$4:$LI$4))=0,0,((SUMIF($KZ$3:$LI$3,KZ$60,$KZ111:$LI111))/SUMIF($KZ$3:$LI$3,KZ$60,$KZ$4:$LI$4)))</f>
        <v>0</v>
      </c>
      <c r="LA62" s="192" t="n">
        <f aca="false">IF((SUMIF($KZ$3:$LI$3,LA$60,$KZ$4:$LI$4))=0,0,((SUMIF($KZ$3:$LI$3,LA$60,$KZ111:$LI111))/SUMIF($KZ$3:$LI$3,LA$60,$KZ$4:$LI$4)))</f>
        <v>0</v>
      </c>
      <c r="LB62" s="192" t="n">
        <f aca="false">IF((SUMIF($KZ$3:$LI$3,LB$60,$KZ$4:$LI$4))=0,0,((SUMIF($KZ$3:$LI$3,LB$60,$KZ111:$LI111))/SUMIF($KZ$3:$LI$3,LB$60,$KZ$4:$LI$4)))</f>
        <v>0</v>
      </c>
      <c r="LC62" s="192" t="n">
        <f aca="false">IF((SUMIF($KZ$3:$LI$3,LC$60,$KZ$4:$LI$4))=0,0,((SUMIF($KZ$3:$LI$3,LC$60,$KZ111:$LI111))/SUMIF($KZ$3:$LI$3,LC$60,$KZ$4:$LI$4)))</f>
        <v>0</v>
      </c>
      <c r="LD62" s="192" t="n">
        <f aca="false">IF((SUMIF($KZ$3:$LI$3,LD$60,$KZ$4:$LI$4))=0,0,((SUMIF($KZ$3:$LI$3,LD$60,$KZ111:$LI111))/SUMIF($KZ$3:$LI$3,LD$60,$KZ$4:$LI$4)))</f>
        <v>0</v>
      </c>
      <c r="LE62" s="192" t="n">
        <f aca="false">IF((SUMIF($KZ$3:$LI$3,LE$60,$KZ$4:$LI$4))=0,0,((SUMIF($KZ$3:$LI$3,LE$60,$KZ111:$LI111))/SUMIF($KZ$3:$LI$3,LE$60,$KZ$4:$LI$4)))</f>
        <v>0</v>
      </c>
      <c r="LF62" s="192" t="n">
        <f aca="false">IF((SUMIF($KZ$3:$LI$3,LF$60,$KZ$4:$LI$4))=0,0,((SUMIF($KZ$3:$LI$3,LF$60,$KZ111:$LI111))/SUMIF($KZ$3:$LI$3,LF$60,$KZ$4:$LI$4)))</f>
        <v>0</v>
      </c>
      <c r="LG62" s="192" t="n">
        <f aca="false">IF((SUMIF($KZ$3:$LI$3,LG$60,$KZ$4:$LI$4))=0,0,((SUMIF($KZ$3:$LI$3,LG$60,$KZ111:$LI111))/SUMIF($KZ$3:$LI$3,LG$60,$KZ$4:$LI$4)))</f>
        <v>0</v>
      </c>
      <c r="LH62" s="192" t="n">
        <f aca="false">IF((SUMIF($KZ$3:$LI$3,LH$60,$KZ$4:$LI$4))=0,0,((SUMIF($KZ$3:$LI$3,LH$60,$KZ111:$LI111))/SUMIF($KZ$3:$LI$3,LH$60,$KZ$4:$LI$4)))</f>
        <v>0</v>
      </c>
      <c r="LI62" s="193" t="n">
        <f aca="false">IF((SUMIF($KZ$3:$LI$3,LI$60,$KZ$4:$LI$4))=0,0,((SUMIF($KZ$3:$LI$3,LI$60,$KZ111:$LI111))/SUMIF($KZ$3:$LI$3,LI$60,$KZ$4:$LI$4)))</f>
        <v>0</v>
      </c>
      <c r="LJ62" s="190" t="str">
        <f aca="false">KY62</f>
        <v>Alumno1</v>
      </c>
      <c r="LK62" s="191" t="n">
        <f aca="false">IF((SUMIF($LK$3:$LT$3,LK$60,$LK$4:$LT$4))=0,0,((SUMIF($LK$3:$LT$3,LK$60,$LK111:$LT111))/SUMIF($LK$3:$LT$3,LK$60,$LK$4:$LT$4)))</f>
        <v>0</v>
      </c>
      <c r="LL62" s="192" t="n">
        <f aca="false">IF((SUMIF($LK$3:$LT$3,LL$60,$LK$4:$LT$4))=0,0,((SUMIF($LK$3:$LT$3,LL$60,$LK111:$LT111))/SUMIF($LK$3:$LT$3,LL$60,$LK$4:$LT$4)))</f>
        <v>0</v>
      </c>
      <c r="LM62" s="192" t="n">
        <f aca="false">IF((SUMIF($LK$3:$LT$3,LM$60,$LK$4:$LT$4))=0,0,((SUMIF($LK$3:$LT$3,LM$60,$LK111:$LT111))/SUMIF($LK$3:$LT$3,LM$60,$LK$4:$LT$4)))</f>
        <v>0</v>
      </c>
      <c r="LN62" s="192" t="n">
        <f aca="false">IF((SUMIF($LK$3:$LT$3,LN$60,$LK$4:$LT$4))=0,0,((SUMIF($LK$3:$LT$3,LN$60,$LK111:$LT111))/SUMIF($LK$3:$LT$3,LN$60,$LK$4:$LT$4)))</f>
        <v>0</v>
      </c>
      <c r="LO62" s="192" t="n">
        <f aca="false">IF((SUMIF($LK$3:$LT$3,LO$60,$LK$4:$LT$4))=0,0,((SUMIF($LK$3:$LT$3,LO$60,$LK111:$LT111))/SUMIF($LK$3:$LT$3,LO$60,$LK$4:$LT$4)))</f>
        <v>0</v>
      </c>
      <c r="LP62" s="192" t="n">
        <f aca="false">IF((SUMIF($LK$3:$LT$3,LP$60,$LK$4:$LT$4))=0,0,((SUMIF($LK$3:$LT$3,LP$60,$LK111:$LT111))/SUMIF($LK$3:$LT$3,LP$60,$LK$4:$LT$4)))</f>
        <v>0</v>
      </c>
      <c r="LQ62" s="192" t="n">
        <f aca="false">IF((SUMIF($LK$3:$LT$3,LQ$60,$LK$4:$LT$4))=0,0,((SUMIF($LK$3:$LT$3,LQ$60,$LK111:$LT111))/SUMIF($LK$3:$LT$3,LQ$60,$LK$4:$LT$4)))</f>
        <v>0</v>
      </c>
      <c r="LR62" s="192" t="n">
        <f aca="false">IF((SUMIF($LK$3:$LT$3,LR$60,$LK$4:$LT$4))=0,0,((SUMIF($LK$3:$LT$3,LR$60,$LK111:$LT111))/SUMIF($LK$3:$LT$3,LR$60,$LK$4:$LT$4)))</f>
        <v>0</v>
      </c>
      <c r="LS62" s="192" t="n">
        <f aca="false">IF((SUMIF($LK$3:$LT$3,LS$60,$LK$4:$LT$4))=0,0,((SUMIF($LK$3:$LT$3,LS$60,$LK111:$LT111))/SUMIF($LK$3:$LT$3,LS$60,$LK$4:$LT$4)))</f>
        <v>0</v>
      </c>
      <c r="LT62" s="193" t="n">
        <f aca="false">IF((SUMIF($LK$3:$LT$3,LT$60,$LK$4:$LT$4))=0,0,((SUMIF($LK$3:$LT$3,LT$60,$LK111:$LT111))/SUMIF($LK$3:$LT$3,LT$60,$LK$4:$LT$4)))</f>
        <v>0</v>
      </c>
    </row>
    <row r="63" customFormat="false" ht="15" hidden="true" customHeight="false" outlineLevel="0" collapsed="false">
      <c r="C63" s="194" t="str">
        <f aca="false">B7</f>
        <v>Alumno2</v>
      </c>
      <c r="D63" s="195" t="n">
        <f aca="false">IF((SUMIF($D$3:$M$3,D$60,$D$4:$M$4))=0,0,((SUMIF($D$3:$M$3,D$60,$D112:$M112))/SUMIF($D$3:$M$3,D$60,$D$4:$M$4)))</f>
        <v>5</v>
      </c>
      <c r="E63" s="196" t="n">
        <f aca="false">IF((SUMIF($D$3:$M$3,E$60,$D$4:$M$4))=0,0,((SUMIF($D$3:$M$3,E$60,$D112:$M112))/SUMIF($D$3:$M$3,E$60,$D$4:$M$4)))</f>
        <v>0</v>
      </c>
      <c r="F63" s="196" t="n">
        <f aca="false">IF((SUMIF($D$3:$M$3,F$60,$D$4:$M$4))=0,0,((SUMIF($D$3:$M$3,F$60,$D112:$M112))/SUMIF($D$3:$M$3,F$60,$D$4:$M$4)))</f>
        <v>0</v>
      </c>
      <c r="G63" s="196" t="n">
        <f aca="false">IF((SUMIF($D$3:$M$3,G$60,$D$4:$M$4))=0,0,((SUMIF($D$3:$M$3,G$60,$D112:$M112))/SUMIF($D$3:$M$3,G$60,$D$4:$M$4)))</f>
        <v>0</v>
      </c>
      <c r="H63" s="196" t="n">
        <f aca="false">IF((SUMIF($D$3:$M$3,H$60,$D$4:$M$4))=0,0,((SUMIF($D$3:$M$3,H$60,$D112:$M112))/SUMIF($D$3:$M$3,H$60,$D$4:$M$4)))</f>
        <v>0</v>
      </c>
      <c r="I63" s="196" t="n">
        <f aca="false">IF((SUMIF($D$3:$M$3,I$60,$D$4:$M$4))=0,0,((SUMIF($D$3:$M$3,I$60,$D112:$M112))/SUMIF($D$3:$M$3,I$60,$D$4:$M$4)))</f>
        <v>0</v>
      </c>
      <c r="J63" s="196" t="n">
        <f aca="false">IF((SUMIF($D$3:$M$3,J$60,$D$4:$M$4))=0,0,((SUMIF($D$3:$M$3,J$60,$D112:$M112))/SUMIF($D$3:$M$3,J$60,$D$4:$M$4)))</f>
        <v>0</v>
      </c>
      <c r="K63" s="196" t="n">
        <f aca="false">IF((SUMIF($D$3:$M$3,K$60,$D$4:$M$4))=0,0,((SUMIF($D$3:$M$3,K$60,$D112:$M112))/SUMIF($D$3:$M$3,K$60,$D$4:$M$4)))</f>
        <v>0</v>
      </c>
      <c r="L63" s="196" t="n">
        <f aca="false">IF((SUMIF($D$3:$M$3,L$60,$D$4:$M$4))=0,0,((SUMIF($D$3:$M$3,L$60,$D112:$M112))/SUMIF($D$3:$M$3,L$60,$D$4:$M$4)))</f>
        <v>0</v>
      </c>
      <c r="M63" s="197" t="n">
        <f aca="false">IF((SUMIF($D$3:$M$3,M$60,$D$4:$M$4))=0,0,((SUMIF($D$3:$M$3,M$60,$D112:$M112))/SUMIF($D$3:$M$3,M$60,$D$4:$M$4)))</f>
        <v>0</v>
      </c>
      <c r="N63" s="194" t="str">
        <f aca="false">C63</f>
        <v>Alumno2</v>
      </c>
      <c r="O63" s="195" t="n">
        <f aca="false">IF((SUMIF($O$3:$X$3,O$60,$O$4:$X$4))=0,0,((SUMIF($O$3:$X$3,O$60,$O112:$X112))/SUMIF($O$3:$X$3,O$60,$O$4:$X$4)))</f>
        <v>5</v>
      </c>
      <c r="P63" s="196" t="n">
        <f aca="false">IF((SUMIF($O$3:$X$3,P$60,$O$4:$X$4))=0,0,((SUMIF($O$3:$X$3,P$60,$O112:$X112))/SUMIF($O$3:$X$3,P$60,$O$4:$X$4)))</f>
        <v>5</v>
      </c>
      <c r="Q63" s="196" t="n">
        <f aca="false">IF((SUMIF($O$3:$X$3,Q$60,$O$4:$X$4))=0,0,((SUMIF($O$3:$X$3,Q$60,$O112:$X112))/SUMIF($O$3:$X$3,Q$60,$O$4:$X$4)))</f>
        <v>0</v>
      </c>
      <c r="R63" s="196" t="n">
        <f aca="false">IF((SUMIF($O$3:$X$3,R$60,$O$4:$X$4))=0,0,((SUMIF($O$3:$X$3,R$60,$O112:$X112))/SUMIF($O$3:$X$3,R$60,$O$4:$X$4)))</f>
        <v>0</v>
      </c>
      <c r="S63" s="196" t="n">
        <f aca="false">IF((SUMIF($O$3:$X$3,S$60,$O$4:$X$4))=0,0,((SUMIF($O$3:$X$3,S$60,$O112:$X112))/SUMIF($O$3:$X$3,S$60,$O$4:$X$4)))</f>
        <v>0</v>
      </c>
      <c r="T63" s="196" t="n">
        <f aca="false">IF((SUMIF($O$3:$X$3,T$60,$O$4:$X$4))=0,0,((SUMIF($O$3:$X$3,T$60,$O112:$X112))/SUMIF($O$3:$X$3,T$60,$O$4:$X$4)))</f>
        <v>0</v>
      </c>
      <c r="U63" s="196" t="n">
        <f aca="false">IF((SUMIF($O$3:$X$3,U$60,$O$4:$X$4))=0,0,((SUMIF($O$3:$X$3,U$60,$O112:$X112))/SUMIF($O$3:$X$3,U$60,$O$4:$X$4)))</f>
        <v>0</v>
      </c>
      <c r="V63" s="196" t="n">
        <f aca="false">IF((SUMIF($O$3:$X$3,V$60,$O$4:$X$4))=0,0,((SUMIF($O$3:$X$3,V$60,$O112:$X112))/SUMIF($O$3:$X$3,V$60,$O$4:$X$4)))</f>
        <v>0</v>
      </c>
      <c r="W63" s="196" t="n">
        <f aca="false">IF((SUMIF($O$3:$X$3,W$60,$O$4:$X$4))=0,0,((SUMIF($O$3:$X$3,W$60,$O112:$X112))/SUMIF($O$3:$X$3,W$60,$O$4:$X$4)))</f>
        <v>0</v>
      </c>
      <c r="X63" s="197" t="n">
        <f aca="false">IF((SUMIF($O$3:$X$3,X$60,$O$4:$X$4))=0,0,((SUMIF($O$3:$X$3,X$60,$O112:$X112))/SUMIF($O$3:$X$3,X$60,$O$4:$X$4)))</f>
        <v>0</v>
      </c>
      <c r="Y63" s="194" t="str">
        <f aca="false">N63</f>
        <v>Alumno2</v>
      </c>
      <c r="Z63" s="195" t="n">
        <f aca="false">IF((SUMIF($Z$3:$AI$3,Z$60,$Z$4:$AI$4))=0,0,((SUMIF($Z$3:$AI$3,Z$60,$Z112:$AI112))/SUMIF($Z$3:$AI$3,Z$60,$Z$4:$AI$4)))</f>
        <v>5</v>
      </c>
      <c r="AA63" s="196" t="n">
        <f aca="false">IF((SUMIF($Z$3:$AI$3,AA$60,$Z$4:$AI$4))=0,0,((SUMIF($Z$3:$AI$3,AA$60,$Z112:$AI112))/SUMIF($Z$3:$AI$3,AA$60,$Z$4:$AI$4)))</f>
        <v>5</v>
      </c>
      <c r="AB63" s="196" t="n">
        <f aca="false">IF((SUMIF($Z$3:$AI$3,AB$60,$Z$4:$AI$4))=0,0,((SUMIF($Z$3:$AI$3,AB$60,$Z112:$AI112))/SUMIF($Z$3:$AI$3,AB$60,$Z$4:$AI$4)))</f>
        <v>5</v>
      </c>
      <c r="AC63" s="196" t="n">
        <f aca="false">IF((SUMIF($Z$3:$AI$3,AC$60,$Z$4:$AI$4))=0,0,((SUMIF($Z$3:$AI$3,AC$60,$Z112:$AI112))/SUMIF($Z$3:$AI$3,AC$60,$Z$4:$AI$4)))</f>
        <v>0</v>
      </c>
      <c r="AD63" s="196" t="n">
        <f aca="false">IF((SUMIF($Z$3:$AI$3,AD$60,$Z$4:$AI$4))=0,0,((SUMIF($Z$3:$AI$3,AD$60,$Z112:$AI112))/SUMIF($Z$3:$AI$3,AD$60,$Z$4:$AI$4)))</f>
        <v>0</v>
      </c>
      <c r="AE63" s="196" t="n">
        <f aca="false">IF((SUMIF($Z$3:$AI$3,AE$60,$Z$4:$AI$4))=0,0,((SUMIF($Z$3:$AI$3,AE$60,$Z112:$AI112))/SUMIF($Z$3:$AI$3,AE$60,$Z$4:$AI$4)))</f>
        <v>0</v>
      </c>
      <c r="AF63" s="196" t="n">
        <f aca="false">IF((SUMIF($Z$3:$AI$3,AF$60,$Z$4:$AI$4))=0,0,((SUMIF($Z$3:$AI$3,AF$60,$Z112:$AI112))/SUMIF($Z$3:$AI$3,AF$60,$Z$4:$AI$4)))</f>
        <v>0</v>
      </c>
      <c r="AG63" s="196" t="n">
        <f aca="false">IF((SUMIF($Z$3:$AI$3,AG$60,$Z$4:$AI$4))=0,0,((SUMIF($Z$3:$AI$3,AG$60,$Z112:$AI112))/SUMIF($Z$3:$AI$3,AG$60,$Z$4:$AI$4)))</f>
        <v>0</v>
      </c>
      <c r="AH63" s="196" t="n">
        <f aca="false">IF((SUMIF($Z$3:$AI$3,AH$60,$Z$4:$AI$4))=0,0,((SUMIF($Z$3:$AI$3,AH$60,$Z112:$AI112))/SUMIF($Z$3:$AI$3,AH$60,$Z$4:$AI$4)))</f>
        <v>0</v>
      </c>
      <c r="AI63" s="197" t="n">
        <f aca="false">IF((SUMIF($Z$3:$AI$3,AI$60,$Z$4:$AI$4))=0,0,((SUMIF($Z$3:$AI$3,AI$60,$Z112:$AI112))/SUMIF($Z$3:$AI$3,AI$60,$Z$4:$AI$4)))</f>
        <v>0</v>
      </c>
      <c r="AJ63" s="194" t="str">
        <f aca="false">Y63</f>
        <v>Alumno2</v>
      </c>
      <c r="AK63" s="195" t="n">
        <f aca="false">IF((SUMIF($AK$3:$AT$3,AK$60,$AK$4:$AT$4))=0,0,((SUMIF($AK$3:$AT$3,AK$60,$AK112:$AT112))/SUMIF($AK$3:$AT$3,AK$60,$AK$4:$AT$4)))</f>
        <v>5</v>
      </c>
      <c r="AL63" s="196" t="n">
        <f aca="false">IF((SUMIF($AK$3:$AT$3,AL$60,$AK$4:$AT$4))=0,0,((SUMIF($AK$3:$AT$3,AL$60,$AK112:$AT112))/SUMIF($AK$3:$AT$3,AL$60,$AK$4:$AT$4)))</f>
        <v>5</v>
      </c>
      <c r="AM63" s="196" t="n">
        <f aca="false">IF((SUMIF($AK$3:$AT$3,AM$60,$AK$4:$AT$4))=0,0,((SUMIF($AK$3:$AT$3,AM$60,$AK112:$AT112))/SUMIF($AK$3:$AT$3,AM$60,$AK$4:$AT$4)))</f>
        <v>5</v>
      </c>
      <c r="AN63" s="196" t="n">
        <f aca="false">IF((SUMIF($AK$3:$AT$3,AN$60,$AK$4:$AT$4))=0,0,((SUMIF($AK$3:$AT$3,AN$60,$AK112:$AT112))/SUMIF($AK$3:$AT$3,AN$60,$AK$4:$AT$4)))</f>
        <v>0</v>
      </c>
      <c r="AO63" s="196" t="n">
        <f aca="false">IF((SUMIF($AK$3:$AT$3,AO$60,$AK$4:$AT$4))=0,0,((SUMIF($AK$3:$AT$3,AO$60,$AK112:$AT112))/SUMIF($AK$3:$AT$3,AO$60,$AK$4:$AT$4)))</f>
        <v>0</v>
      </c>
      <c r="AP63" s="196" t="n">
        <f aca="false">IF((SUMIF($AK$3:$AT$3,AP$60,$AK$4:$AT$4))=0,0,((SUMIF($AK$3:$AT$3,AP$60,$AK112:$AT112))/SUMIF($AK$3:$AT$3,AP$60,$AK$4:$AT$4)))</f>
        <v>0</v>
      </c>
      <c r="AQ63" s="196" t="n">
        <f aca="false">IF((SUMIF($AK$3:$AT$3,AQ$60,$AK$4:$AT$4))=0,0,((SUMIF($AK$3:$AT$3,AQ$60,$AK112:$AT112))/SUMIF($AK$3:$AT$3,AQ$60,$AK$4:$AT$4)))</f>
        <v>0</v>
      </c>
      <c r="AR63" s="196" t="n">
        <f aca="false">IF((SUMIF($AK$3:$AT$3,AR$60,$AK$4:$AT$4))=0,0,((SUMIF($AK$3:$AT$3,AR$60,$AK112:$AT112))/SUMIF($AK$3:$AT$3,AR$60,$AK$4:$AT$4)))</f>
        <v>0</v>
      </c>
      <c r="AS63" s="196" t="n">
        <f aca="false">IF((SUMIF($AK$3:$AT$3,AS$60,$AK$4:$AT$4))=0,0,((SUMIF($AK$3:$AT$3,AS$60,$AK112:$AT112))/SUMIF($AK$3:$AT$3,AS$60,$AK$4:$AT$4)))</f>
        <v>0</v>
      </c>
      <c r="AT63" s="197" t="n">
        <f aca="false">IF((SUMIF($AK$3:$AT$3,AT$60,$AK$4:$AT$4))=0,0,((SUMIF($AK$3:$AT$3,AT$60,$AK112:$AT112))/SUMIF($AK$3:$AT$3,AT$60,$AK$4:$AT$4)))</f>
        <v>0</v>
      </c>
      <c r="AU63" s="194" t="str">
        <f aca="false">AJ63</f>
        <v>Alumno2</v>
      </c>
      <c r="AV63" s="195" t="n">
        <f aca="false">IF((SUMIF($AV$3:$BE$3,AV$60,$AV$4:$BE$4))=0,0,((SUMIF($AV$3:$BE$3,AV$60,$AV112:$BE112))/SUMIF($AV$3:$BE$3,AV$60,$AV$4:$BE$4)))</f>
        <v>5</v>
      </c>
      <c r="AW63" s="196" t="n">
        <f aca="false">IF((SUMIF($AV$3:$BE$3,AW$60,$AV$4:$BE$4))=0,0,((SUMIF($AV$3:$BE$3,AW$60,$AV112:$BE112))/SUMIF($AV$3:$BE$3,AW$60,$AV$4:$BE$4)))</f>
        <v>5</v>
      </c>
      <c r="AX63" s="196" t="n">
        <f aca="false">IF((SUMIF($AV$3:$BE$3,AX$60,$AV$4:$BE$4))=0,0,((SUMIF($AV$3:$BE$3,AX$60,$AV112:$BE112))/SUMIF($AV$3:$BE$3,AX$60,$AV$4:$BE$4)))</f>
        <v>5</v>
      </c>
      <c r="AY63" s="196" t="n">
        <f aca="false">IF((SUMIF($AV$3:$BE$3,AY$60,$AV$4:$BE$4))=0,0,((SUMIF($AV$3:$BE$3,AY$60,$AV112:$BE112))/SUMIF($AV$3:$BE$3,AY$60,$AV$4:$BE$4)))</f>
        <v>5</v>
      </c>
      <c r="AZ63" s="196" t="n">
        <f aca="false">IF((SUMIF($AV$3:$BE$3,AZ$60,$AV$4:$BE$4))=0,0,((SUMIF($AV$3:$BE$3,AZ$60,$AV112:$BE112))/SUMIF($AV$3:$BE$3,AZ$60,$AV$4:$BE$4)))</f>
        <v>0</v>
      </c>
      <c r="BA63" s="196" t="n">
        <f aca="false">IF((SUMIF($AV$3:$BE$3,BA$60,$AV$4:$BE$4))=0,0,((SUMIF($AV$3:$BE$3,BA$60,$AV112:$BE112))/SUMIF($AV$3:$BE$3,BA$60,$AV$4:$BE$4)))</f>
        <v>0</v>
      </c>
      <c r="BB63" s="196" t="n">
        <f aca="false">IF((SUMIF($AV$3:$BE$3,BB$60,$AV$4:$BE$4))=0,0,((SUMIF($AV$3:$BE$3,BB$60,$AV112:$BE112))/SUMIF($AV$3:$BE$3,BB$60,$AV$4:$BE$4)))</f>
        <v>0</v>
      </c>
      <c r="BC63" s="196" t="n">
        <f aca="false">IF((SUMIF($AV$3:$BE$3,BC$60,$AV$4:$BE$4))=0,0,((SUMIF($AV$3:$BE$3,BC$60,$AV112:$BE112))/SUMIF($AV$3:$BE$3,BC$60,$AV$4:$BE$4)))</f>
        <v>0</v>
      </c>
      <c r="BD63" s="196" t="n">
        <f aca="false">IF((SUMIF($AV$3:$BE$3,BD$60,$AV$4:$BE$4))=0,0,((SUMIF($AV$3:$BE$3,BD$60,$AV112:$BE112))/SUMIF($AV$3:$BE$3,BD$60,$AV$4:$BE$4)))</f>
        <v>0</v>
      </c>
      <c r="BE63" s="197" t="n">
        <f aca="false">IF((SUMIF($AV$3:$BE$3,BE$60,$AV$4:$BE$4))=0,0,((SUMIF($AV$3:$BE$3,BE$60,$AV112:$BE112))/SUMIF($AV$3:$BE$3,BE$60,$AV$4:$BE$4)))</f>
        <v>0</v>
      </c>
      <c r="BF63" s="194" t="str">
        <f aca="false">AU63</f>
        <v>Alumno2</v>
      </c>
      <c r="BG63" s="195" t="n">
        <f aca="false">IF((SUMIF($BG$3:$BP$3,BG$60,$BG$4:$BP$4))=0,0,((SUMIF($BG$3:$BP$3,BG$60,$BG112:$BP112))/SUMIF($BG$3:$BP$3,BG$60,$BG$4:$BP$4)))</f>
        <v>5</v>
      </c>
      <c r="BH63" s="196" t="n">
        <f aca="false">IF((SUMIF($BG$3:$BP$3,BH$60,$BG$4:$BP$4))=0,0,((SUMIF($BG$3:$BP$3,BH$60,$BG112:$BP112))/SUMIF($BG$3:$BP$3,BH$60,$BG$4:$BP$4)))</f>
        <v>5</v>
      </c>
      <c r="BI63" s="196" t="n">
        <f aca="false">IF((SUMIF($BG$3:$BP$3,BI$60,$BG$4:$BP$4))=0,0,((SUMIF($BG$3:$BP$3,BI$60,$BG112:$BP112))/SUMIF($BG$3:$BP$3,BI$60,$BG$4:$BP$4)))</f>
        <v>5</v>
      </c>
      <c r="BJ63" s="196" t="n">
        <f aca="false">IF((SUMIF($BG$3:$BP$3,BJ$60,$BG$4:$BP$4))=0,0,((SUMIF($BG$3:$BP$3,BJ$60,$BG112:$BP112))/SUMIF($BG$3:$BP$3,BJ$60,$BG$4:$BP$4)))</f>
        <v>5</v>
      </c>
      <c r="BK63" s="196" t="n">
        <f aca="false">IF((SUMIF($BG$3:$BP$3,BK$60,$BG$4:$BP$4))=0,0,((SUMIF($BG$3:$BP$3,BK$60,$BG112:$BP112))/SUMIF($BG$3:$BP$3,BK$60,$BG$4:$BP$4)))</f>
        <v>0</v>
      </c>
      <c r="BL63" s="196" t="n">
        <f aca="false">IF((SUMIF($BG$3:$BP$3,BL$60,$BG$4:$BP$4))=0,0,((SUMIF($BG$3:$BP$3,BL$60,$BG112:$BP112))/SUMIF($BG$3:$BP$3,BL$60,$BG$4:$BP$4)))</f>
        <v>0</v>
      </c>
      <c r="BM63" s="196" t="n">
        <f aca="false">IF((SUMIF($BG$3:$BP$3,BM$60,$BG$4:$BP$4))=0,0,((SUMIF($BG$3:$BP$3,BM$60,$BG112:$BP112))/SUMIF($BG$3:$BP$3,BM$60,$BG$4:$BP$4)))</f>
        <v>0</v>
      </c>
      <c r="BN63" s="196" t="n">
        <f aca="false">IF((SUMIF($BG$3:$BP$3,BN$60,$BG$4:$BP$4))=0,0,((SUMIF($BG$3:$BP$3,BN$60,$BG112:$BP112))/SUMIF($BG$3:$BP$3,BN$60,$BG$4:$BP$4)))</f>
        <v>0</v>
      </c>
      <c r="BO63" s="196" t="n">
        <f aca="false">IF((SUMIF($BG$3:$BP$3,BO$60,$BG$4:$BP$4))=0,0,((SUMIF($BG$3:$BP$3,BO$60,$BG112:$BP112))/SUMIF($BG$3:$BP$3,BO$60,$BG$4:$BP$4)))</f>
        <v>0</v>
      </c>
      <c r="BP63" s="197" t="n">
        <f aca="false">IF((SUMIF($BG$3:$BP$3,BP$60,$BG$4:$BP$4))=0,0,((SUMIF($BG$3:$BP$3,BP$60,$BG112:$BP112))/SUMIF($BG$3:$BP$3,BP$60,$BG$4:$BP$4)))</f>
        <v>0</v>
      </c>
      <c r="BQ63" s="194" t="str">
        <f aca="false">BF63</f>
        <v>Alumno2</v>
      </c>
      <c r="BR63" s="195" t="n">
        <f aca="false">IF((SUMIF($BR$3:$CA$3,BR$60,$BR$4:$CA$4))=0,0,((SUMIF($BR$3:$CA$3,BR$60,$BR112:$CA112))/SUMIF($BR$3:$CA$3,BR$60,$BR$4:$CA$4)))</f>
        <v>0</v>
      </c>
      <c r="BS63" s="196" t="n">
        <f aca="false">IF((SUMIF($BR$3:$CA$3,BS$60,$BR$4:$CA$4))=0,0,((SUMIF($BR$3:$CA$3,BS$60,$BR112:$CA112))/SUMIF($BR$3:$CA$3,BS$60,$BR$4:$CA$4)))</f>
        <v>3</v>
      </c>
      <c r="BT63" s="196" t="n">
        <f aca="false">IF((SUMIF($BR$3:$CA$3,BT$60,$BR$4:$CA$4))=0,0,((SUMIF($BR$3:$CA$3,BT$60,$BR112:$CA112))/SUMIF($BR$3:$CA$3,BT$60,$BR$4:$CA$4)))</f>
        <v>2.33333333333333</v>
      </c>
      <c r="BU63" s="196" t="n">
        <f aca="false">IF((SUMIF($BR$3:$CA$3,BU$60,$BR$4:$CA$4))=0,0,((SUMIF($BR$3:$CA$3,BU$60,$BR112:$CA112))/SUMIF($BR$3:$CA$3,BU$60,$BR$4:$CA$4)))</f>
        <v>4.6</v>
      </c>
      <c r="BV63" s="196" t="n">
        <f aca="false">IF((SUMIF($BR$3:$CA$3,BV$60,$BR$4:$CA$4))=0,0,((SUMIF($BR$3:$CA$3,BV$60,$BR112:$CA112))/SUMIF($BR$3:$CA$3,BV$60,$BR$4:$CA$4)))</f>
        <v>0</v>
      </c>
      <c r="BW63" s="196" t="n">
        <f aca="false">IF((SUMIF($BR$3:$CA$3,BW$60,$BR$4:$CA$4))=0,0,((SUMIF($BR$3:$CA$3,BW$60,$BR112:$CA112))/SUMIF($BR$3:$CA$3,BW$60,$BR$4:$CA$4)))</f>
        <v>0</v>
      </c>
      <c r="BX63" s="196" t="n">
        <f aca="false">IF((SUMIF($BR$3:$CA$3,BX$60,$BR$4:$CA$4))=0,0,((SUMIF($BR$3:$CA$3,BX$60,$BR112:$CA112))/SUMIF($BR$3:$CA$3,BX$60,$BR$4:$CA$4)))</f>
        <v>0</v>
      </c>
      <c r="BY63" s="196" t="n">
        <f aca="false">IF((SUMIF($BR$3:$CA$3,BY$60,$BR$4:$CA$4))=0,0,((SUMIF($BR$3:$CA$3,BY$60,$BR112:$CA112))/SUMIF($BR$3:$CA$3,BY$60,$BR$4:$CA$4)))</f>
        <v>0</v>
      </c>
      <c r="BZ63" s="196" t="n">
        <f aca="false">IF((SUMIF($BR$3:$CA$3,BZ$60,$BR$4:$CA$4))=0,0,((SUMIF($BR$3:$CA$3,BZ$60,$BR112:$CA112))/SUMIF($BR$3:$CA$3,BZ$60,$BR$4:$CA$4)))</f>
        <v>0</v>
      </c>
      <c r="CA63" s="197" t="n">
        <f aca="false">IF((SUMIF($BR$3:$CA$3,CA$60,$BR$4:$CA$4))=0,0,((SUMIF($BR$3:$CA$3,CA$60,$BR112:$CA112))/SUMIF($BR$3:$CA$3,CA$60,$BR$4:$CA$4)))</f>
        <v>0</v>
      </c>
      <c r="CB63" s="194" t="str">
        <f aca="false">BQ63</f>
        <v>Alumno2</v>
      </c>
      <c r="CC63" s="195" t="n">
        <f aca="false">IF((SUMIF($CC$3:$CL$3,CC$60,$CC$4:$CL$4))=0,0,((SUMIF($CC$3:$CL$3,CC$60,$CC112:$CL112))/SUMIF($CC$3:$CL$3,CC$60,$CC$4:$CL$4)))</f>
        <v>0</v>
      </c>
      <c r="CD63" s="196" t="n">
        <f aca="false">IF((SUMIF($CC$3:$CL$3,CD$60,$CC$4:$CL$4))=0,0,((SUMIF($CC$3:$CL$3,CD$60,$CC112:$CL112))/SUMIF($CC$3:$CL$3,CD$60,$CC$4:$CL$4)))</f>
        <v>0</v>
      </c>
      <c r="CE63" s="196" t="n">
        <f aca="false">IF((SUMIF($CC$3:$CL$3,CE$60,$CC$4:$CL$4))=0,0,((SUMIF($CC$3:$CL$3,CE$60,$CC112:$CL112))/SUMIF($CC$3:$CL$3,CE$60,$CC$4:$CL$4)))</f>
        <v>0</v>
      </c>
      <c r="CF63" s="196" t="n">
        <f aca="false">IF((SUMIF($CC$3:$CL$3,CF$60,$CC$4:$CL$4))=0,0,((SUMIF($CC$3:$CL$3,CF$60,$CC112:$CL112))/SUMIF($CC$3:$CL$3,CF$60,$CC$4:$CL$4)))</f>
        <v>0</v>
      </c>
      <c r="CG63" s="196" t="n">
        <f aca="false">IF((SUMIF($CC$3:$CL$3,CG$60,$CC$4:$CL$4))=0,0,((SUMIF($CC$3:$CL$3,CG$60,$CC112:$CL112))/SUMIF($CC$3:$CL$3,CG$60,$CC$4:$CL$4)))</f>
        <v>0</v>
      </c>
      <c r="CH63" s="196" t="n">
        <f aca="false">IF((SUMIF($CC$3:$CL$3,CH$60,$CC$4:$CL$4))=0,0,((SUMIF($CC$3:$CL$3,CH$60,$CC112:$CL112))/SUMIF($CC$3:$CL$3,CH$60,$CC$4:$CL$4)))</f>
        <v>0</v>
      </c>
      <c r="CI63" s="196" t="n">
        <f aca="false">IF((SUMIF($CC$3:$CL$3,CI$60,$CC$4:$CL$4))=0,0,((SUMIF($CC$3:$CL$3,CI$60,$CC112:$CL112))/SUMIF($CC$3:$CL$3,CI$60,$CC$4:$CL$4)))</f>
        <v>0</v>
      </c>
      <c r="CJ63" s="196" t="n">
        <f aca="false">IF((SUMIF($CC$3:$CL$3,CJ$60,$CC$4:$CL$4))=0,0,((SUMIF($CC$3:$CL$3,CJ$60,$CC112:$CL112))/SUMIF($CC$3:$CL$3,CJ$60,$CC$4:$CL$4)))</f>
        <v>0</v>
      </c>
      <c r="CK63" s="196" t="n">
        <f aca="false">IF((SUMIF($CC$3:$CL$3,CK$60,$CC$4:$CL$4))=0,0,((SUMIF($CC$3:$CL$3,CK$60,$CC112:$CL112))/SUMIF($CC$3:$CL$3,CK$60,$CC$4:$CL$4)))</f>
        <v>0</v>
      </c>
      <c r="CL63" s="197" t="n">
        <f aca="false">IF((SUMIF($CC$3:$CL$3,CL$60,$CC$4:$CL$4))=0,0,((SUMIF($CC$3:$CL$3,CL$60,$CC112:$CL112))/SUMIF($CC$3:$CL$3,CL$60,$CC$4:$CL$4)))</f>
        <v>0</v>
      </c>
      <c r="CM63" s="194" t="str">
        <f aca="false">CB63</f>
        <v>Alumno2</v>
      </c>
      <c r="CN63" s="195" t="n">
        <f aca="false">IF((SUMIF($CN$3:$CW$3,CN$60,$CN$4:$CW$4))=0,0,((SUMIF($CN$3:$CW$3,CN$60,$CN112:$CW112))/SUMIF($CN$3:$CW$3,CN$60,$CN$4:$CW$4)))</f>
        <v>0</v>
      </c>
      <c r="CO63" s="196" t="n">
        <f aca="false">IF((SUMIF($CN$3:$CW$3,CO$60,$CN$4:$CW$4))=0,0,((SUMIF($CN$3:$CW$3,CO$60,$CN112:$CW112))/SUMIF($CN$3:$CW$3,CO$60,$CN$4:$CW$4)))</f>
        <v>0</v>
      </c>
      <c r="CP63" s="196" t="n">
        <f aca="false">IF((SUMIF($CN$3:$CW$3,CP$60,$CN$4:$CW$4))=0,0,((SUMIF($CN$3:$CW$3,CP$60,$CN112:$CW112))/SUMIF($CN$3:$CW$3,CP$60,$CN$4:$CW$4)))</f>
        <v>0</v>
      </c>
      <c r="CQ63" s="196" t="n">
        <f aca="false">IF((SUMIF($CN$3:$CW$3,CQ$60,$CN$4:$CW$4))=0,0,((SUMIF($CN$3:$CW$3,CQ$60,$CN112:$CW112))/SUMIF($CN$3:$CW$3,CQ$60,$CN$4:$CW$4)))</f>
        <v>0</v>
      </c>
      <c r="CR63" s="196" t="n">
        <f aca="false">IF((SUMIF($CN$3:$CW$3,CR$60,$CN$4:$CW$4))=0,0,((SUMIF($CN$3:$CW$3,CR$60,$CN112:$CW112))/SUMIF($CN$3:$CW$3,CR$60,$CN$4:$CW$4)))</f>
        <v>0</v>
      </c>
      <c r="CS63" s="196" t="n">
        <f aca="false">IF((SUMIF($CN$3:$CW$3,CS$60,$CN$4:$CW$4))=0,0,((SUMIF($CN$3:$CW$3,CS$60,$CN112:$CW112))/SUMIF($CN$3:$CW$3,CS$60,$CN$4:$CW$4)))</f>
        <v>0</v>
      </c>
      <c r="CT63" s="196" t="n">
        <f aca="false">IF((SUMIF($CN$3:$CW$3,CT$60,$CN$4:$CW$4))=0,0,((SUMIF($CN$3:$CW$3,CT$60,$CN112:$CW112))/SUMIF($CN$3:$CW$3,CT$60,$CN$4:$CW$4)))</f>
        <v>0</v>
      </c>
      <c r="CU63" s="196" t="n">
        <f aca="false">IF((SUMIF($CN$3:$CW$3,CU$60,$CN$4:$CW$4))=0,0,((SUMIF($CN$3:$CW$3,CU$60,$CN112:$CW112))/SUMIF($CN$3:$CW$3,CU$60,$CN$4:$CW$4)))</f>
        <v>0</v>
      </c>
      <c r="CV63" s="196" t="n">
        <f aca="false">IF((SUMIF($CN$3:$CW$3,CV$60,$CN$4:$CW$4))=0,0,((SUMIF($CN$3:$CW$3,CV$60,$CN112:$CW112))/SUMIF($CN$3:$CW$3,CV$60,$CN$4:$CW$4)))</f>
        <v>0</v>
      </c>
      <c r="CW63" s="197" t="n">
        <f aca="false">IF((SUMIF($CN$3:$CW$3,CW$60,$CN$4:$CW$4))=0,0,((SUMIF($CN$3:$CW$3,CW$60,$CN112:$CW112))/SUMIF($CN$3:$CW$3,CW$60,$CN$4:$CW$4)))</f>
        <v>0</v>
      </c>
      <c r="CX63" s="194" t="str">
        <f aca="false">CM63</f>
        <v>Alumno2</v>
      </c>
      <c r="CY63" s="195" t="n">
        <f aca="false">IF((SUMIF($CY$3:$DH$3,CY$60,$CY$4:$DH$4))=0,0,((SUMIF($CY$3:$DH$3,CY$60,$CY112:$DH112))/SUMIF($CY$3:$DH$3,CY$60,$CY$4:$DH$4)))</f>
        <v>0</v>
      </c>
      <c r="CZ63" s="196" t="n">
        <f aca="false">IF((SUMIF($CY$3:$DH$3,CZ$60,$CY$4:$DH$4))=0,0,((SUMIF($CY$3:$DH$3,CZ$60,$CY112:$DH112))/SUMIF($CY$3:$DH$3,CZ$60,$CY$4:$DH$4)))</f>
        <v>0</v>
      </c>
      <c r="DA63" s="196" t="n">
        <f aca="false">IF((SUMIF($CY$3:$DH$3,DA$60,$CY$4:$DH$4))=0,0,((SUMIF($CY$3:$DH$3,DA$60,$CY112:$DH112))/SUMIF($CY$3:$DH$3,DA$60,$CY$4:$DH$4)))</f>
        <v>0</v>
      </c>
      <c r="DB63" s="196" t="n">
        <f aca="false">IF((SUMIF($CY$3:$DH$3,DB$60,$CY$4:$DH$4))=0,0,((SUMIF($CY$3:$DH$3,DB$60,$CY112:$DH112))/SUMIF($CY$3:$DH$3,DB$60,$CY$4:$DH$4)))</f>
        <v>0</v>
      </c>
      <c r="DC63" s="196" t="n">
        <f aca="false">IF((SUMIF($CY$3:$DH$3,DC$60,$CY$4:$DH$4))=0,0,((SUMIF($CY$3:$DH$3,DC$60,$CY112:$DH112))/SUMIF($CY$3:$DH$3,DC$60,$CY$4:$DH$4)))</f>
        <v>0</v>
      </c>
      <c r="DD63" s="196" t="n">
        <f aca="false">IF((SUMIF($CY$3:$DH$3,DD$60,$CY$4:$DH$4))=0,0,((SUMIF($CY$3:$DH$3,DD$60,$CY112:$DH112))/SUMIF($CY$3:$DH$3,DD$60,$CY$4:$DH$4)))</f>
        <v>0</v>
      </c>
      <c r="DE63" s="196" t="n">
        <f aca="false">IF((SUMIF($CY$3:$DH$3,DE$60,$CY$4:$DH$4))=0,0,((SUMIF($CY$3:$DH$3,DE$60,$CY112:$DH112))/SUMIF($CY$3:$DH$3,DE$60,$CY$4:$DH$4)))</f>
        <v>0</v>
      </c>
      <c r="DF63" s="196" t="n">
        <f aca="false">IF((SUMIF($CY$3:$DH$3,DF$60,$CY$4:$DH$4))=0,0,((SUMIF($CY$3:$DH$3,DF$60,$CY112:$DH112))/SUMIF($CY$3:$DH$3,DF$60,$CY$4:$DH$4)))</f>
        <v>0</v>
      </c>
      <c r="DG63" s="196" t="n">
        <f aca="false">IF((SUMIF($CY$3:$DH$3,DG$60,$CY$4:$DH$4))=0,0,((SUMIF($CY$3:$DH$3,DG$60,$CY112:$DH112))/SUMIF($CY$3:$DH$3,DG$60,$CY$4:$DH$4)))</f>
        <v>0</v>
      </c>
      <c r="DH63" s="197" t="n">
        <f aca="false">IF((SUMIF($CY$3:$DH$3,DH$60,$CY$4:$DH$4))=0,0,((SUMIF($CY$3:$DH$3,DH$60,$CY112:$DH112))/SUMIF($CY$3:$DH$3,DH$60,$CY$4:$DH$4)))</f>
        <v>0</v>
      </c>
      <c r="DI63" s="194" t="str">
        <f aca="false">CX63</f>
        <v>Alumno2</v>
      </c>
      <c r="DJ63" s="195" t="n">
        <f aca="false">IF((SUMIF($DJ$3:$DS$3,DJ$60,$DJ$4:$DS$4))=0,0,((SUMIF($DJ$3:$DS$3,DJ$60,$DJ112:$DS112))/SUMIF($DJ$3:$DS$3,DJ$60,$DJ$4:$DS$4)))</f>
        <v>0</v>
      </c>
      <c r="DK63" s="196" t="n">
        <f aca="false">IF((SUMIF($DJ$3:$DS$3,DK$60,$DJ$4:$DS$4))=0,0,((SUMIF($DJ$3:$DS$3,DK$60,$DJ112:$DS112))/SUMIF($DJ$3:$DS$3,DK$60,$DJ$4:$DS$4)))</f>
        <v>0</v>
      </c>
      <c r="DL63" s="196" t="n">
        <f aca="false">IF((SUMIF($DJ$3:$DS$3,DL$60,$DJ$4:$DS$4))=0,0,((SUMIF($DJ$3:$DS$3,DL$60,$DJ112:$DS112))/SUMIF($DJ$3:$DS$3,DL$60,$DJ$4:$DS$4)))</f>
        <v>0</v>
      </c>
      <c r="DM63" s="196" t="n">
        <f aca="false">IF((SUMIF($DJ$3:$DS$3,DM$60,$DJ$4:$DS$4))=0,0,((SUMIF($DJ$3:$DS$3,DM$60,$DJ112:$DS112))/SUMIF($DJ$3:$DS$3,DM$60,$DJ$4:$DS$4)))</f>
        <v>0</v>
      </c>
      <c r="DN63" s="196" t="n">
        <f aca="false">IF((SUMIF($DJ$3:$DS$3,DN$60,$DJ$4:$DS$4))=0,0,((SUMIF($DJ$3:$DS$3,DN$60,$DJ112:$DS112))/SUMIF($DJ$3:$DS$3,DN$60,$DJ$4:$DS$4)))</f>
        <v>0</v>
      </c>
      <c r="DO63" s="196" t="n">
        <f aca="false">IF((SUMIF($DJ$3:$DS$3,DO$60,$DJ$4:$DS$4))=0,0,((SUMIF($DJ$3:$DS$3,DO$60,$DJ112:$DS112))/SUMIF($DJ$3:$DS$3,DO$60,$DJ$4:$DS$4)))</f>
        <v>0</v>
      </c>
      <c r="DP63" s="196" t="n">
        <f aca="false">IF((SUMIF($DJ$3:$DS$3,DP$60,$DJ$4:$DS$4))=0,0,((SUMIF($DJ$3:$DS$3,DP$60,$DJ112:$DS112))/SUMIF($DJ$3:$DS$3,DP$60,$DJ$4:$DS$4)))</f>
        <v>0</v>
      </c>
      <c r="DQ63" s="196" t="n">
        <f aca="false">IF((SUMIF($DJ$3:$DS$3,DQ$60,$DJ$4:$DS$4))=0,0,((SUMIF($DJ$3:$DS$3,DQ$60,$DJ112:$DS112))/SUMIF($DJ$3:$DS$3,DQ$60,$DJ$4:$DS$4)))</f>
        <v>0</v>
      </c>
      <c r="DR63" s="196" t="n">
        <f aca="false">IF((SUMIF($DJ$3:$DS$3,DR$60,$DJ$4:$DS$4))=0,0,((SUMIF($DJ$3:$DS$3,DR$60,$DJ112:$DS112))/SUMIF($DJ$3:$DS$3,DR$60,$DJ$4:$DS$4)))</f>
        <v>0</v>
      </c>
      <c r="DS63" s="197" t="n">
        <f aca="false">IF((SUMIF($DJ$3:$DS$3,DS$60,$DJ$4:$DS$4))=0,0,((SUMIF($DJ$3:$DS$3,DS$60,$DJ112:$DS112))/SUMIF($DJ$3:$DS$3,DS$60,$DJ$4:$DS$4)))</f>
        <v>0</v>
      </c>
      <c r="DT63" s="194" t="str">
        <f aca="false">DI63</f>
        <v>Alumno2</v>
      </c>
      <c r="DU63" s="195" t="n">
        <f aca="false">IF((SUMIF($DU$3:$ED$3,DU$60,$DU$4:$ED$4))=0,0,((SUMIF($DU$3:$ED$3,DU$60,$DU112:$ED112))/SUMIF($DU$3:$ED$3,DU$60,$DU$4:$ED$4)))</f>
        <v>0</v>
      </c>
      <c r="DV63" s="196" t="n">
        <f aca="false">IF((SUMIF($DU$3:$ED$3,DV$60,$DU$4:$ED$4))=0,0,((SUMIF($DU$3:$ED$3,DV$60,$DU112:$ED112))/SUMIF($DU$3:$ED$3,DV$60,$DU$4:$ED$4)))</f>
        <v>0</v>
      </c>
      <c r="DW63" s="196" t="n">
        <f aca="false">IF((SUMIF($DU$3:$ED$3,DW$60,$DU$4:$ED$4))=0,0,((SUMIF($DU$3:$ED$3,DW$60,$DU112:$ED112))/SUMIF($DU$3:$ED$3,DW$60,$DU$4:$ED$4)))</f>
        <v>0</v>
      </c>
      <c r="DX63" s="196" t="n">
        <f aca="false">IF((SUMIF($DU$3:$ED$3,DX$60,$DU$4:$ED$4))=0,0,((SUMIF($DU$3:$ED$3,DX$60,$DU112:$ED112))/SUMIF($DU$3:$ED$3,DX$60,$DU$4:$ED$4)))</f>
        <v>0</v>
      </c>
      <c r="DY63" s="196" t="n">
        <f aca="false">IF((SUMIF($DU$3:$ED$3,DY$60,$DU$4:$ED$4))=0,0,((SUMIF($DU$3:$ED$3,DY$60,$DU112:$ED112))/SUMIF($DU$3:$ED$3,DY$60,$DU$4:$ED$4)))</f>
        <v>0</v>
      </c>
      <c r="DZ63" s="196" t="n">
        <f aca="false">IF((SUMIF($DU$3:$ED$3,DZ$60,$DU$4:$ED$4))=0,0,((SUMIF($DU$3:$ED$3,DZ$60,$DU112:$ED112))/SUMIF($DU$3:$ED$3,DZ$60,$DU$4:$ED$4)))</f>
        <v>0</v>
      </c>
      <c r="EA63" s="196" t="n">
        <f aca="false">IF((SUMIF($DU$3:$ED$3,EA$60,$DU$4:$ED$4))=0,0,((SUMIF($DU$3:$ED$3,EA$60,$DU112:$ED112))/SUMIF($DU$3:$ED$3,EA$60,$DU$4:$ED$4)))</f>
        <v>0</v>
      </c>
      <c r="EB63" s="196" t="n">
        <f aca="false">IF((SUMIF($DU$3:$ED$3,EB$60,$DU$4:$ED$4))=0,0,((SUMIF($DU$3:$ED$3,EB$60,$DU112:$ED112))/SUMIF($DU$3:$ED$3,EB$60,$DU$4:$ED$4)))</f>
        <v>0</v>
      </c>
      <c r="EC63" s="196" t="n">
        <f aca="false">IF((SUMIF($DU$3:$ED$3,EC$60,$DU$4:$ED$4))=0,0,((SUMIF($DU$3:$ED$3,EC$60,$DU112:$ED112))/SUMIF($DU$3:$ED$3,EC$60,$DU$4:$ED$4)))</f>
        <v>0</v>
      </c>
      <c r="ED63" s="197" t="n">
        <f aca="false">IF((SUMIF($DU$3:$ED$3,ED$60,$DU$4:$ED$4))=0,0,((SUMIF($DU$3:$ED$3,ED$60,$DU112:$ED112))/SUMIF($DU$3:$ED$3,ED$60,$DU$4:$ED$4)))</f>
        <v>0</v>
      </c>
      <c r="EE63" s="194" t="str">
        <f aca="false">DT63</f>
        <v>Alumno2</v>
      </c>
      <c r="EF63" s="195" t="n">
        <f aca="false">IF((SUMIF($EF$3:$EO$3,EF$60,$EF$4:$EO$4))=0,0,((SUMIF($EF$3:$EO$3,EF$60,$EF112:$EO112))/SUMIF($EF$3:$EO$3,EF$60,$EF$4:$EO$4)))</f>
        <v>0</v>
      </c>
      <c r="EG63" s="196" t="n">
        <f aca="false">IF((SUMIF($EF$3:$EO$3,EG$60,$EF$4:$EO$4))=0,0,((SUMIF($EF$3:$EO$3,EG$60,$EF112:$EO112))/SUMIF($EF$3:$EO$3,EG$60,$EF$4:$EO$4)))</f>
        <v>0</v>
      </c>
      <c r="EH63" s="196" t="n">
        <f aca="false">IF((SUMIF($EF$3:$EO$3,EH$60,$EF$4:$EO$4))=0,0,((SUMIF($EF$3:$EO$3,EH$60,$EF112:$EO112))/SUMIF($EF$3:$EO$3,EH$60,$EF$4:$EO$4)))</f>
        <v>0</v>
      </c>
      <c r="EI63" s="196" t="n">
        <f aca="false">IF((SUMIF($EF$3:$EO$3,EI$60,$EF$4:$EO$4))=0,0,((SUMIF($EF$3:$EO$3,EI$60,$EF112:$EO112))/SUMIF($EF$3:$EO$3,EI$60,$EF$4:$EO$4)))</f>
        <v>0</v>
      </c>
      <c r="EJ63" s="196" t="n">
        <f aca="false">IF((SUMIF($EF$3:$EO$3,EJ$60,$EF$4:$EO$4))=0,0,((SUMIF($EF$3:$EO$3,EJ$60,$EF112:$EO112))/SUMIF($EF$3:$EO$3,EJ$60,$EF$4:$EO$4)))</f>
        <v>0</v>
      </c>
      <c r="EK63" s="196" t="n">
        <f aca="false">IF((SUMIF($EF$3:$EO$3,EK$60,$EF$4:$EO$4))=0,0,((SUMIF($EF$3:$EO$3,EK$60,$EF112:$EO112))/SUMIF($EF$3:$EO$3,EK$60,$EF$4:$EO$4)))</f>
        <v>0</v>
      </c>
      <c r="EL63" s="196" t="n">
        <f aca="false">IF((SUMIF($EF$3:$EO$3,EL$60,$EF$4:$EO$4))=0,0,((SUMIF($EF$3:$EO$3,EL$60,$EF112:$EO112))/SUMIF($EF$3:$EO$3,EL$60,$EF$4:$EO$4)))</f>
        <v>0</v>
      </c>
      <c r="EM63" s="196" t="n">
        <f aca="false">IF((SUMIF($EF$3:$EO$3,EM$60,$EF$4:$EO$4))=0,0,((SUMIF($EF$3:$EO$3,EM$60,$EF112:$EO112))/SUMIF($EF$3:$EO$3,EM$60,$EF$4:$EO$4)))</f>
        <v>0</v>
      </c>
      <c r="EN63" s="196" t="n">
        <f aca="false">IF((SUMIF($EF$3:$EO$3,EN$60,$EF$4:$EO$4))=0,0,((SUMIF($EF$3:$EO$3,EN$60,$EF112:$EO112))/SUMIF($EF$3:$EO$3,EN$60,$EF$4:$EO$4)))</f>
        <v>0</v>
      </c>
      <c r="EO63" s="197" t="n">
        <f aca="false">IF((SUMIF($EF$3:$EO$3,EO$60,$EF$4:$EO$4))=0,0,((SUMIF($EF$3:$EO$3,EO$60,$EF112:$EO112))/SUMIF($EF$3:$EO$3,EO$60,$EF$4:$EO$4)))</f>
        <v>0</v>
      </c>
      <c r="EP63" s="194" t="str">
        <f aca="false">EE63</f>
        <v>Alumno2</v>
      </c>
      <c r="EQ63" s="195" t="n">
        <f aca="false">IF((SUMIF($EQ$3:$EZ$3,EQ$60,$EQ$4:$EZ$4))=0,0,((SUMIF($EQ$3:$EZ$3,EQ$60,$EQ112:$EZ112))/SUMIF($EQ$3:$EZ$3,EQ$60,$EQ$4:$EZ$4)))</f>
        <v>0</v>
      </c>
      <c r="ER63" s="196" t="n">
        <f aca="false">IF((SUMIF($EQ$3:$EZ$3,ER$60,$EQ$4:$EZ$4))=0,0,((SUMIF($EQ$3:$EZ$3,ER$60,$EQ112:$EZ112))/SUMIF($EQ$3:$EZ$3,ER$60,$EQ$4:$EZ$4)))</f>
        <v>0</v>
      </c>
      <c r="ES63" s="196" t="n">
        <f aca="false">IF((SUMIF($EQ$3:$EZ$3,ES$60,$EQ$4:$EZ$4))=0,0,((SUMIF($EQ$3:$EZ$3,ES$60,$EQ112:$EZ112))/SUMIF($EQ$3:$EZ$3,ES$60,$EQ$4:$EZ$4)))</f>
        <v>0</v>
      </c>
      <c r="ET63" s="196" t="n">
        <f aca="false">IF((SUMIF($EQ$3:$EZ$3,ET$60,$EQ$4:$EZ$4))=0,0,((SUMIF($EQ$3:$EZ$3,ET$60,$EQ112:$EZ112))/SUMIF($EQ$3:$EZ$3,ET$60,$EQ$4:$EZ$4)))</f>
        <v>0</v>
      </c>
      <c r="EU63" s="196" t="n">
        <f aca="false">IF((SUMIF($EQ$3:$EZ$3,EU$60,$EQ$4:$EZ$4))=0,0,((SUMIF($EQ$3:$EZ$3,EU$60,$EQ112:$EZ112))/SUMIF($EQ$3:$EZ$3,EU$60,$EQ$4:$EZ$4)))</f>
        <v>0</v>
      </c>
      <c r="EV63" s="196" t="n">
        <f aca="false">IF((SUMIF($EQ$3:$EZ$3,EV$60,$EQ$4:$EZ$4))=0,0,((SUMIF($EQ$3:$EZ$3,EV$60,$EQ112:$EZ112))/SUMIF($EQ$3:$EZ$3,EV$60,$EQ$4:$EZ$4)))</f>
        <v>0</v>
      </c>
      <c r="EW63" s="196" t="n">
        <f aca="false">IF((SUMIF($EQ$3:$EZ$3,EW$60,$EQ$4:$EZ$4))=0,0,((SUMIF($EQ$3:$EZ$3,EW$60,$EQ112:$EZ112))/SUMIF($EQ$3:$EZ$3,EW$60,$EQ$4:$EZ$4)))</f>
        <v>0</v>
      </c>
      <c r="EX63" s="196" t="n">
        <f aca="false">IF((SUMIF($EQ$3:$EZ$3,EX$60,$EQ$4:$EZ$4))=0,0,((SUMIF($EQ$3:$EZ$3,EX$60,$EQ112:$EZ112))/SUMIF($EQ$3:$EZ$3,EX$60,$EQ$4:$EZ$4)))</f>
        <v>0</v>
      </c>
      <c r="EY63" s="196" t="n">
        <f aca="false">IF((SUMIF($EQ$3:$EZ$3,EY$60,$EQ$4:$EZ$4))=0,0,((SUMIF($EQ$3:$EZ$3,EY$60,$EQ112:$EZ112))/SUMIF($EQ$3:$EZ$3,EY$60,$EQ$4:$EZ$4)))</f>
        <v>0</v>
      </c>
      <c r="EZ63" s="197" t="n">
        <f aca="false">IF((SUMIF($EQ$3:$EZ$3,EZ$60,$EQ$4:$EZ$4))=0,0,((SUMIF($EQ$3:$EZ$3,EZ$60,$EQ112:$EZ112))/SUMIF($EQ$3:$EZ$3,EZ$60,$EQ$4:$EZ$4)))</f>
        <v>0</v>
      </c>
      <c r="FA63" s="194" t="str">
        <f aca="false">EP63</f>
        <v>Alumno2</v>
      </c>
      <c r="FB63" s="195" t="n">
        <f aca="false">IF((SUMIF($FB$3:$FK$3,FB$60,$FB$4:$FK$4))=0,0,((SUMIF($FB$3:$FK$3,FB$60,$FB112:$FK112))/SUMIF($FB$3:$FK$3,FB$60,$FB$4:$FK$4)))</f>
        <v>0</v>
      </c>
      <c r="FC63" s="196" t="n">
        <f aca="false">IF((SUMIF($FB$3:$FK$3,FC$60,$FB$4:$FK$4))=0,0,((SUMIF($FB$3:$FK$3,FC$60,$FB112:$FK112))/SUMIF($FB$3:$FK$3,FC$60,$FB$4:$FK$4)))</f>
        <v>0</v>
      </c>
      <c r="FD63" s="196" t="n">
        <f aca="false">IF((SUMIF($FB$3:$FK$3,FD$60,$FB$4:$FK$4))=0,0,((SUMIF($FB$3:$FK$3,FD$60,$FB112:$FK112))/SUMIF($FB$3:$FK$3,FD$60,$FB$4:$FK$4)))</f>
        <v>0</v>
      </c>
      <c r="FE63" s="196" t="n">
        <f aca="false">IF((SUMIF($FB$3:$FK$3,FE$60,$FB$4:$FK$4))=0,0,((SUMIF($FB$3:$FK$3,FE$60,$FB112:$FK112))/SUMIF($FB$3:$FK$3,FE$60,$FB$4:$FK$4)))</f>
        <v>0</v>
      </c>
      <c r="FF63" s="196" t="n">
        <f aca="false">IF((SUMIF($FB$3:$FK$3,FF$60,$FB$4:$FK$4))=0,0,((SUMIF($FB$3:$FK$3,FF$60,$FB112:$FK112))/SUMIF($FB$3:$FK$3,FF$60,$FB$4:$FK$4)))</f>
        <v>0</v>
      </c>
      <c r="FG63" s="196" t="n">
        <f aca="false">IF((SUMIF($FB$3:$FK$3,FG$60,$FB$4:$FK$4))=0,0,((SUMIF($FB$3:$FK$3,FG$60,$FB112:$FK112))/SUMIF($FB$3:$FK$3,FG$60,$FB$4:$FK$4)))</f>
        <v>0</v>
      </c>
      <c r="FH63" s="196" t="n">
        <f aca="false">IF((SUMIF($FB$3:$FK$3,FH$60,$FB$4:$FK$4))=0,0,((SUMIF($FB$3:$FK$3,FH$60,$FB112:$FK112))/SUMIF($FB$3:$FK$3,FH$60,$FB$4:$FK$4)))</f>
        <v>0</v>
      </c>
      <c r="FI63" s="196" t="n">
        <f aca="false">IF((SUMIF($FB$3:$FK$3,FI$60,$FB$4:$FK$4))=0,0,((SUMIF($FB$3:$FK$3,FI$60,$FB112:$FK112))/SUMIF($FB$3:$FK$3,FI$60,$FB$4:$FK$4)))</f>
        <v>0</v>
      </c>
      <c r="FJ63" s="196" t="n">
        <f aca="false">IF((SUMIF($FB$3:$FK$3,FJ$60,$FB$4:$FK$4))=0,0,((SUMIF($FB$3:$FK$3,FJ$60,$FB112:$FK112))/SUMIF($FB$3:$FK$3,FJ$60,$FB$4:$FK$4)))</f>
        <v>0</v>
      </c>
      <c r="FK63" s="197" t="n">
        <f aca="false">IF((SUMIF($FB$3:$FK$3,FK$60,$FB$4:$FK$4))=0,0,((SUMIF($FB$3:$FK$3,FK$60,$FB112:$FK112))/SUMIF($FB$3:$FK$3,FK$60,$FB$4:$FK$4)))</f>
        <v>0</v>
      </c>
      <c r="FL63" s="194" t="str">
        <f aca="false">FA63</f>
        <v>Alumno2</v>
      </c>
      <c r="FM63" s="195" t="n">
        <f aca="false">IF((SUMIF($FM$3:$FV$3,FM$60,$FM$4:$FV$4))=0,0,((SUMIF($FM$3:$FV$3,FM$60,$FM112:$FV112))/SUMIF($FM$3:$FV$3,FM$60,$FM$4:$FV$4)))</f>
        <v>0</v>
      </c>
      <c r="FN63" s="196" t="n">
        <f aca="false">IF((SUMIF($FM$3:$FV$3,FN$60,$FM$4:$FV$4))=0,0,((SUMIF($FM$3:$FV$3,FN$60,$FM112:$FV112))/SUMIF($FM$3:$FV$3,FN$60,$FM$4:$FV$4)))</f>
        <v>0</v>
      </c>
      <c r="FO63" s="196" t="n">
        <f aca="false">IF((SUMIF($FM$3:$FV$3,FO$60,$FM$4:$FV$4))=0,0,((SUMIF($FM$3:$FV$3,FO$60,$FM112:$FV112))/SUMIF($FM$3:$FV$3,FO$60,$FM$4:$FV$4)))</f>
        <v>0</v>
      </c>
      <c r="FP63" s="196" t="n">
        <f aca="false">IF((SUMIF($FM$3:$FV$3,FP$60,$FM$4:$FV$4))=0,0,((SUMIF($FM$3:$FV$3,FP$60,$FM112:$FV112))/SUMIF($FM$3:$FV$3,FP$60,$FM$4:$FV$4)))</f>
        <v>0</v>
      </c>
      <c r="FQ63" s="196" t="n">
        <f aca="false">IF((SUMIF($FM$3:$FV$3,FQ$60,$FM$4:$FV$4))=0,0,((SUMIF($FM$3:$FV$3,FQ$60,$FM112:$FV112))/SUMIF($FM$3:$FV$3,FQ$60,$FM$4:$FV$4)))</f>
        <v>0</v>
      </c>
      <c r="FR63" s="196" t="n">
        <f aca="false">IF((SUMIF($FM$3:$FV$3,FR$60,$FM$4:$FV$4))=0,0,((SUMIF($FM$3:$FV$3,FR$60,$FM112:$FV112))/SUMIF($FM$3:$FV$3,FR$60,$FM$4:$FV$4)))</f>
        <v>0</v>
      </c>
      <c r="FS63" s="196" t="n">
        <f aca="false">IF((SUMIF($FM$3:$FV$3,FS$60,$FM$4:$FV$4))=0,0,((SUMIF($FM$3:$FV$3,FS$60,$FM112:$FV112))/SUMIF($FM$3:$FV$3,FS$60,$FM$4:$FV$4)))</f>
        <v>0</v>
      </c>
      <c r="FT63" s="196" t="n">
        <f aca="false">IF((SUMIF($FM$3:$FV$3,FT$60,$FM$4:$FV$4))=0,0,((SUMIF($FM$3:$FV$3,FT$60,$FM112:$FV112))/SUMIF($FM$3:$FV$3,FT$60,$FM$4:$FV$4)))</f>
        <v>0</v>
      </c>
      <c r="FU63" s="196" t="n">
        <f aca="false">IF((SUMIF($FM$3:$FV$3,FU$60,$FM$4:$FV$4))=0,0,((SUMIF($FM$3:$FV$3,FU$60,$FM112:$FV112))/SUMIF($FM$3:$FV$3,FU$60,$FM$4:$FV$4)))</f>
        <v>0</v>
      </c>
      <c r="FV63" s="197" t="n">
        <f aca="false">IF((SUMIF($FM$3:$FV$3,FV$60,$FM$4:$FV$4))=0,0,((SUMIF($FM$3:$FV$3,FV$60,$FM112:$FV112))/SUMIF($FM$3:$FV$3,FV$60,$FM$4:$FV$4)))</f>
        <v>0</v>
      </c>
      <c r="FW63" s="194" t="str">
        <f aca="false">FL63</f>
        <v>Alumno2</v>
      </c>
      <c r="FX63" s="195" t="n">
        <f aca="false">IF((SUMIF($FX$3:$GG$3,FX$60,$FX$4:$GG$4))=0,0,((SUMIF($FX$3:$GG$3,FX$60,$FX112:$GG112))/SUMIF($FX$3:$GG$3,FX$60,$FX$4:$GG$4)))</f>
        <v>0</v>
      </c>
      <c r="FY63" s="196" t="n">
        <f aca="false">IF((SUMIF($FX$3:$GG$3,FY$60,$FX$4:$GG$4))=0,0,((SUMIF($FX$3:$GG$3,FY$60,$FX112:$GG112))/SUMIF($FX$3:$GG$3,FY$60,$FX$4:$GG$4)))</f>
        <v>0</v>
      </c>
      <c r="FZ63" s="196" t="n">
        <f aca="false">IF((SUMIF($FX$3:$GG$3,FZ$60,$FX$4:$GG$4))=0,0,((SUMIF($FX$3:$GG$3,FZ$60,$FX112:$GG112))/SUMIF($FX$3:$GG$3,FZ$60,$FX$4:$GG$4)))</f>
        <v>0</v>
      </c>
      <c r="GA63" s="196" t="n">
        <f aca="false">IF((SUMIF($FX$3:$GG$3,GA$60,$FX$4:$GG$4))=0,0,((SUMIF($FX$3:$GG$3,GA$60,$FX112:$GG112))/SUMIF($FX$3:$GG$3,GA$60,$FX$4:$GG$4)))</f>
        <v>0</v>
      </c>
      <c r="GB63" s="196" t="n">
        <f aca="false">IF((SUMIF($FX$3:$GG$3,GB$60,$FX$4:$GG$4))=0,0,((SUMIF($FX$3:$GG$3,GB$60,$FX112:$GG112))/SUMIF($FX$3:$GG$3,GB$60,$FX$4:$GG$4)))</f>
        <v>0</v>
      </c>
      <c r="GC63" s="196" t="n">
        <f aca="false">IF((SUMIF($FX$3:$GG$3,GC$60,$FX$4:$GG$4))=0,0,((SUMIF($FX$3:$GG$3,GC$60,$FX112:$GG112))/SUMIF($FX$3:$GG$3,GC$60,$FX$4:$GG$4)))</f>
        <v>0</v>
      </c>
      <c r="GD63" s="196" t="n">
        <f aca="false">IF((SUMIF($FX$3:$GG$3,GD$60,$FX$4:$GG$4))=0,0,((SUMIF($FX$3:$GG$3,GD$60,$FX112:$GG112))/SUMIF($FX$3:$GG$3,GD$60,$FX$4:$GG$4)))</f>
        <v>0</v>
      </c>
      <c r="GE63" s="196" t="n">
        <f aca="false">IF((SUMIF($FX$3:$GG$3,GE$60,$FX$4:$GG$4))=0,0,((SUMIF($FX$3:$GG$3,GE$60,$FX112:$GG112))/SUMIF($FX$3:$GG$3,GE$60,$FX$4:$GG$4)))</f>
        <v>0</v>
      </c>
      <c r="GF63" s="196" t="n">
        <f aca="false">IF((SUMIF($FX$3:$GG$3,GF$60,$FX$4:$GG$4))=0,0,((SUMIF($FX$3:$GG$3,GF$60,$FX112:$GG112))/SUMIF($FX$3:$GG$3,GF$60,$FX$4:$GG$4)))</f>
        <v>0</v>
      </c>
      <c r="GG63" s="197" t="n">
        <f aca="false">IF((SUMIF($FX$3:$GG$3,GG$60,$FX$4:$GG$4))=0,0,((SUMIF($FX$3:$GG$3,GG$60,$FX112:$GG112))/SUMIF($FX$3:$GG$3,GG$60,$FX$4:$GG$4)))</f>
        <v>0</v>
      </c>
      <c r="GH63" s="194" t="str">
        <f aca="false">FW63</f>
        <v>Alumno2</v>
      </c>
      <c r="GI63" s="195" t="n">
        <f aca="false">IF((SUMIF($GI$3:$GR$3,GI$60,$GI$4:$GR$4))=0,0,((SUMIF($GI$3:$GR$3,GI$60,$GI112:$GR112))/SUMIF($GI$3:$GR$3,GI$60,$GI$4:$GR$4)))</f>
        <v>0</v>
      </c>
      <c r="GJ63" s="196" t="n">
        <f aca="false">IF((SUMIF($GI$3:$GR$3,GJ$60,$GI$4:$GR$4))=0,0,((SUMIF($GI$3:$GR$3,GJ$60,$GI112:$GR112))/SUMIF($GI$3:$GR$3,GJ$60,$GI$4:$GR$4)))</f>
        <v>0</v>
      </c>
      <c r="GK63" s="196" t="n">
        <f aca="false">IF((SUMIF($GI$3:$GR$3,GK$60,$GI$4:$GR$4))=0,0,((SUMIF($GI$3:$GR$3,GK$60,$GI112:$GR112))/SUMIF($GI$3:$GR$3,GK$60,$GI$4:$GR$4)))</f>
        <v>0</v>
      </c>
      <c r="GL63" s="196" t="n">
        <f aca="false">IF((SUMIF($GI$3:$GR$3,GL$60,$GI$4:$GR$4))=0,0,((SUMIF($GI$3:$GR$3,GL$60,$GI112:$GR112))/SUMIF($GI$3:$GR$3,GL$60,$GI$4:$GR$4)))</f>
        <v>0</v>
      </c>
      <c r="GM63" s="196" t="n">
        <f aca="false">IF((SUMIF($GI$3:$GR$3,GM$60,$GI$4:$GR$4))=0,0,((SUMIF($GI$3:$GR$3,GM$60,$GI112:$GR112))/SUMIF($GI$3:$GR$3,GM$60,$GI$4:$GR$4)))</f>
        <v>0</v>
      </c>
      <c r="GN63" s="196" t="n">
        <f aca="false">IF((SUMIF($GI$3:$GR$3,GN$60,$GI$4:$GR$4))=0,0,((SUMIF($GI$3:$GR$3,GN$60,$GI112:$GR112))/SUMIF($GI$3:$GR$3,GN$60,$GI$4:$GR$4)))</f>
        <v>0</v>
      </c>
      <c r="GO63" s="196" t="n">
        <f aca="false">IF((SUMIF($GI$3:$GR$3,GO$60,$GI$4:$GR$4))=0,0,((SUMIF($GI$3:$GR$3,GO$60,$GI112:$GR112))/SUMIF($GI$3:$GR$3,GO$60,$GI$4:$GR$4)))</f>
        <v>0</v>
      </c>
      <c r="GP63" s="196" t="n">
        <f aca="false">IF((SUMIF($GI$3:$GR$3,GP$60,$GI$4:$GR$4))=0,0,((SUMIF($GI$3:$GR$3,GP$60,$GI112:$GR112))/SUMIF($GI$3:$GR$3,GP$60,$GI$4:$GR$4)))</f>
        <v>0</v>
      </c>
      <c r="GQ63" s="196" t="n">
        <f aca="false">IF((SUMIF($GI$3:$GR$3,GQ$60,$GI$4:$GR$4))=0,0,((SUMIF($GI$3:$GR$3,GQ$60,$GI112:$GR112))/SUMIF($GI$3:$GR$3,GQ$60,$GI$4:$GR$4)))</f>
        <v>0</v>
      </c>
      <c r="GR63" s="197" t="n">
        <f aca="false">IF((SUMIF($GI$3:$GR$3,GR$60,$GI$4:$GR$4))=0,0,((SUMIF($GI$3:$GR$3,GR$60,$GI112:$GR112))/SUMIF($GI$3:$GR$3,GR$60,$GI$4:$GR$4)))</f>
        <v>0</v>
      </c>
      <c r="GS63" s="194" t="str">
        <f aca="false">GH63</f>
        <v>Alumno2</v>
      </c>
      <c r="GT63" s="195" t="n">
        <f aca="false">IF((SUMIF($GT$3:$HC$3,GT$60,$GT$4:$HC$4))=0,0,((SUMIF($GT$3:$HC$3,GT$60,$GT112:$HC112))/SUMIF($GT$3:$HC$3,GT$60,$GT$4:$HC$4)))</f>
        <v>0</v>
      </c>
      <c r="GU63" s="196" t="n">
        <f aca="false">IF((SUMIF($GT$3:$HC$3,GU$60,$GT$4:$HC$4))=0,0,((SUMIF($GT$3:$HC$3,GU$60,$GT112:$HC112))/SUMIF($GT$3:$HC$3,GU$60,$GT$4:$HC$4)))</f>
        <v>0</v>
      </c>
      <c r="GV63" s="196" t="n">
        <f aca="false">IF((SUMIF($GT$3:$HC$3,GV$60,$GT$4:$HC$4))=0,0,((SUMIF($GT$3:$HC$3,GV$60,$GT112:$HC112))/SUMIF($GT$3:$HC$3,GV$60,$GT$4:$HC$4)))</f>
        <v>0</v>
      </c>
      <c r="GW63" s="196" t="n">
        <f aca="false">IF((SUMIF($GT$3:$HC$3,GW$60,$GT$4:$HC$4))=0,0,((SUMIF($GT$3:$HC$3,GW$60,$GT112:$HC112))/SUMIF($GT$3:$HC$3,GW$60,$GT$4:$HC$4)))</f>
        <v>0</v>
      </c>
      <c r="GX63" s="196" t="n">
        <f aca="false">IF((SUMIF($GT$3:$HC$3,GX$60,$GT$4:$HC$4))=0,0,((SUMIF($GT$3:$HC$3,GX$60,$GT112:$HC112))/SUMIF($GT$3:$HC$3,GX$60,$GT$4:$HC$4)))</f>
        <v>0</v>
      </c>
      <c r="GY63" s="196" t="n">
        <f aca="false">IF((SUMIF($GT$3:$HC$3,GY$60,$GT$4:$HC$4))=0,0,((SUMIF($GT$3:$HC$3,GY$60,$GT112:$HC112))/SUMIF($GT$3:$HC$3,GY$60,$GT$4:$HC$4)))</f>
        <v>0</v>
      </c>
      <c r="GZ63" s="196" t="n">
        <f aca="false">IF((SUMIF($GT$3:$HC$3,GZ$60,$GT$4:$HC$4))=0,0,((SUMIF($GT$3:$HC$3,GZ$60,$GT112:$HC112))/SUMIF($GT$3:$HC$3,GZ$60,$GT$4:$HC$4)))</f>
        <v>0</v>
      </c>
      <c r="HA63" s="196" t="n">
        <f aca="false">IF((SUMIF($GT$3:$HC$3,HA$60,$GT$4:$HC$4))=0,0,((SUMIF($GT$3:$HC$3,HA$60,$GT112:$HC112))/SUMIF($GT$3:$HC$3,HA$60,$GT$4:$HC$4)))</f>
        <v>0</v>
      </c>
      <c r="HB63" s="196" t="n">
        <f aca="false">IF((SUMIF($GT$3:$HC$3,HB$60,$GT$4:$HC$4))=0,0,((SUMIF($GT$3:$HC$3,HB$60,$GT112:$HC112))/SUMIF($GT$3:$HC$3,HB$60,$GT$4:$HC$4)))</f>
        <v>0</v>
      </c>
      <c r="HC63" s="197" t="n">
        <f aca="false">IF((SUMIF($GT$3:$HC$3,HC$60,$GT$4:$HC$4))=0,0,((SUMIF($GT$3:$HC$3,HC$60,$GT112:$HC112))/SUMIF($GT$3:$HC$3,HC$60,$GT$4:$HC$4)))</f>
        <v>0</v>
      </c>
      <c r="HD63" s="194" t="str">
        <f aca="false">GS63</f>
        <v>Alumno2</v>
      </c>
      <c r="HE63" s="195" t="n">
        <f aca="false">IF((SUMIF($HE$3:$HN$3,HE$60,$HE$4:$HN$4))=0,0,((SUMIF($HE$3:$HN$3,HE$60,$HE112:$HN112))/SUMIF($HE$3:$HN$3,HE$60,$HE$4:$HN$4)))</f>
        <v>0</v>
      </c>
      <c r="HF63" s="196" t="n">
        <f aca="false">IF((SUMIF($HE$3:$HN$3,HF$60,$HE$4:$HN$4))=0,0,((SUMIF($HE$3:$HN$3,HF$60,$HE112:$HN112))/SUMIF($HE$3:$HN$3,HF$60,$HE$4:$HN$4)))</f>
        <v>0</v>
      </c>
      <c r="HG63" s="196" t="n">
        <f aca="false">IF((SUMIF($HE$3:$HN$3,HG$60,$HE$4:$HN$4))=0,0,((SUMIF($HE$3:$HN$3,HG$60,$HE112:$HN112))/SUMIF($HE$3:$HN$3,HG$60,$HE$4:$HN$4)))</f>
        <v>0</v>
      </c>
      <c r="HH63" s="196" t="n">
        <f aca="false">IF((SUMIF($HE$3:$HN$3,HH$60,$HE$4:$HN$4))=0,0,((SUMIF($HE$3:$HN$3,HH$60,$HE112:$HN112))/SUMIF($HE$3:$HN$3,HH$60,$HE$4:$HN$4)))</f>
        <v>0</v>
      </c>
      <c r="HI63" s="196" t="n">
        <f aca="false">IF((SUMIF($HE$3:$HN$3,HI$60,$HE$4:$HN$4))=0,0,((SUMIF($HE$3:$HN$3,HI$60,$HE112:$HN112))/SUMIF($HE$3:$HN$3,HI$60,$HE$4:$HN$4)))</f>
        <v>0</v>
      </c>
      <c r="HJ63" s="196" t="n">
        <f aca="false">IF((SUMIF($HE$3:$HN$3,HJ$60,$HE$4:$HN$4))=0,0,((SUMIF($HE$3:$HN$3,HJ$60,$HE112:$HN112))/SUMIF($HE$3:$HN$3,HJ$60,$HE$4:$HN$4)))</f>
        <v>0</v>
      </c>
      <c r="HK63" s="196" t="n">
        <f aca="false">IF((SUMIF($HE$3:$HN$3,HK$60,$HE$4:$HN$4))=0,0,((SUMIF($HE$3:$HN$3,HK$60,$HE112:$HN112))/SUMIF($HE$3:$HN$3,HK$60,$HE$4:$HN$4)))</f>
        <v>0</v>
      </c>
      <c r="HL63" s="196" t="n">
        <f aca="false">IF((SUMIF($HE$3:$HN$3,HL$60,$HE$4:$HN$4))=0,0,((SUMIF($HE$3:$HN$3,HL$60,$HE112:$HN112))/SUMIF($HE$3:$HN$3,HL$60,$HE$4:$HN$4)))</f>
        <v>0</v>
      </c>
      <c r="HM63" s="196" t="n">
        <f aca="false">IF((SUMIF($HE$3:$HN$3,HM$60,$HE$4:$HN$4))=0,0,((SUMIF($HE$3:$HN$3,HM$60,$HE112:$HN112))/SUMIF($HE$3:$HN$3,HM$60,$HE$4:$HN$4)))</f>
        <v>0</v>
      </c>
      <c r="HN63" s="197" t="n">
        <f aca="false">IF((SUMIF($HE$3:$HN$3,HN$60,$HE$4:$HN$4))=0,0,((SUMIF($HE$3:$HN$3,HN$60,$HE112:$HN112))/SUMIF($HE$3:$HN$3,HN$60,$HE$4:$HN$4)))</f>
        <v>0</v>
      </c>
      <c r="HO63" s="194" t="str">
        <f aca="false">HD63</f>
        <v>Alumno2</v>
      </c>
      <c r="HP63" s="195" t="n">
        <f aca="false">IF((SUMIF($HP$3:$HY$3,HP$60,$HP$4:$HY$4))=0,0,((SUMIF($HP$3:$HY$3,HP$60,$HP112:$HY112))/SUMIF($HP$3:$HY$3,HP$60,$HP$4:$HY$4)))</f>
        <v>0</v>
      </c>
      <c r="HQ63" s="196" t="n">
        <f aca="false">IF((SUMIF($HP$3:$HY$3,HQ$60,$HP$4:$HY$4))=0,0,((SUMIF($HP$3:$HY$3,HQ$60,$HP112:$HY112))/SUMIF($HP$3:$HY$3,HQ$60,$HP$4:$HY$4)))</f>
        <v>0</v>
      </c>
      <c r="HR63" s="196" t="n">
        <f aca="false">IF((SUMIF($HP$3:$HY$3,HR$60,$HP$4:$HY$4))=0,0,((SUMIF($HP$3:$HY$3,HR$60,$HP112:$HY112))/SUMIF($HP$3:$HY$3,HR$60,$HP$4:$HY$4)))</f>
        <v>0</v>
      </c>
      <c r="HS63" s="196" t="n">
        <f aca="false">IF((SUMIF($HP$3:$HY$3,HS$60,$HP$4:$HY$4))=0,0,((SUMIF($HP$3:$HY$3,HS$60,$HP112:$HY112))/SUMIF($HP$3:$HY$3,HS$60,$HP$4:$HY$4)))</f>
        <v>0</v>
      </c>
      <c r="HT63" s="196" t="n">
        <f aca="false">IF((SUMIF($HP$3:$HY$3,HT$60,$HP$4:$HY$4))=0,0,((SUMIF($HP$3:$HY$3,HT$60,$HP112:$HY112))/SUMIF($HP$3:$HY$3,HT$60,$HP$4:$HY$4)))</f>
        <v>0</v>
      </c>
      <c r="HU63" s="196" t="n">
        <f aca="false">IF((SUMIF($HP$3:$HY$3,HU$60,$HP$4:$HY$4))=0,0,((SUMIF($HP$3:$HY$3,HU$60,$HP112:$HY112))/SUMIF($HP$3:$HY$3,HU$60,$HP$4:$HY$4)))</f>
        <v>0</v>
      </c>
      <c r="HV63" s="196" t="n">
        <f aca="false">IF((SUMIF($HP$3:$HY$3,HV$60,$HP$4:$HY$4))=0,0,((SUMIF($HP$3:$HY$3,HV$60,$HP112:$HY112))/SUMIF($HP$3:$HY$3,HV$60,$HP$4:$HY$4)))</f>
        <v>0</v>
      </c>
      <c r="HW63" s="196" t="n">
        <f aca="false">IF((SUMIF($HP$3:$HY$3,HW$60,$HP$4:$HY$4))=0,0,((SUMIF($HP$3:$HY$3,HW$60,$HP112:$HY112))/SUMIF($HP$3:$HY$3,HW$60,$HP$4:$HY$4)))</f>
        <v>0</v>
      </c>
      <c r="HX63" s="196" t="n">
        <f aca="false">IF((SUMIF($HP$3:$HY$3,HX$60,$HP$4:$HY$4))=0,0,((SUMIF($HP$3:$HY$3,HX$60,$HP112:$HY112))/SUMIF($HP$3:$HY$3,HX$60,$HP$4:$HY$4)))</f>
        <v>0</v>
      </c>
      <c r="HY63" s="197" t="n">
        <f aca="false">IF((SUMIF($HP$3:$HY$3,HY$60,$HP$4:$HY$4))=0,0,((SUMIF($HP$3:$HY$3,HY$60,$HP112:$HY112))/SUMIF($HP$3:$HY$3,HY$60,$HP$4:$HY$4)))</f>
        <v>0</v>
      </c>
      <c r="HZ63" s="194" t="str">
        <f aca="false">HO63</f>
        <v>Alumno2</v>
      </c>
      <c r="IA63" s="195" t="n">
        <f aca="false">IF((SUMIF($IA$3:$IJ$3,IA$60,$IA$4:$IJ$4))=0,0,((SUMIF($IA$3:$IJ$3,IA$60,$IA112:$IJ112))/SUMIF($IA$3:$IJ$3,IA$60,$IA$4:$IJ$4)))</f>
        <v>0</v>
      </c>
      <c r="IB63" s="196" t="n">
        <f aca="false">IF((SUMIF($IA$3:$IJ$3,IB$60,$IA$4:$IJ$4))=0,0,((SUMIF($IA$3:$IJ$3,IB$60,$IA112:$IJ112))/SUMIF($IA$3:$IJ$3,IB$60,$IA$4:$IJ$4)))</f>
        <v>0</v>
      </c>
      <c r="IC63" s="196" t="n">
        <f aca="false">IF((SUMIF($IA$3:$IJ$3,IC$60,$IA$4:$IJ$4))=0,0,((SUMIF($IA$3:$IJ$3,IC$60,$IA112:$IJ112))/SUMIF($IA$3:$IJ$3,IC$60,$IA$4:$IJ$4)))</f>
        <v>0</v>
      </c>
      <c r="ID63" s="196" t="n">
        <f aca="false">IF((SUMIF($IA$3:$IJ$3,ID$60,$IA$4:$IJ$4))=0,0,((SUMIF($IA$3:$IJ$3,ID$60,$IA112:$IJ112))/SUMIF($IA$3:$IJ$3,ID$60,$IA$4:$IJ$4)))</f>
        <v>0</v>
      </c>
      <c r="IE63" s="196" t="n">
        <f aca="false">IF((SUMIF($IA$3:$IJ$3,IE$60,$IA$4:$IJ$4))=0,0,((SUMIF($IA$3:$IJ$3,IE$60,$IA112:$IJ112))/SUMIF($IA$3:$IJ$3,IE$60,$IA$4:$IJ$4)))</f>
        <v>0</v>
      </c>
      <c r="IF63" s="196" t="n">
        <f aca="false">IF((SUMIF($IA$3:$IJ$3,IF$60,$IA$4:$IJ$4))=0,0,((SUMIF($IA$3:$IJ$3,IF$60,$IA112:$IJ112))/SUMIF($IA$3:$IJ$3,IF$60,$IA$4:$IJ$4)))</f>
        <v>0</v>
      </c>
      <c r="IG63" s="196" t="n">
        <f aca="false">IF((SUMIF($IA$3:$IJ$3,IG$60,$IA$4:$IJ$4))=0,0,((SUMIF($IA$3:$IJ$3,IG$60,$IA112:$IJ112))/SUMIF($IA$3:$IJ$3,IG$60,$IA$4:$IJ$4)))</f>
        <v>0</v>
      </c>
      <c r="IH63" s="196" t="n">
        <f aca="false">IF((SUMIF($IA$3:$IJ$3,IH$60,$IA$4:$IJ$4))=0,0,((SUMIF($IA$3:$IJ$3,IH$60,$IA112:$IJ112))/SUMIF($IA$3:$IJ$3,IH$60,$IA$4:$IJ$4)))</f>
        <v>0</v>
      </c>
      <c r="II63" s="196" t="n">
        <f aca="false">IF((SUMIF($IA$3:$IJ$3,II$60,$IA$4:$IJ$4))=0,0,((SUMIF($IA$3:$IJ$3,II$60,$IA112:$IJ112))/SUMIF($IA$3:$IJ$3,II$60,$IA$4:$IJ$4)))</f>
        <v>0</v>
      </c>
      <c r="IJ63" s="197" t="n">
        <f aca="false">IF((SUMIF($IA$3:$IJ$3,IJ$60,$IA$4:$IJ$4))=0,0,((SUMIF($IA$3:$IJ$3,IJ$60,$IA112:$IJ112))/SUMIF($IA$3:$IJ$3,IJ$60,$IA$4:$IJ$4)))</f>
        <v>0</v>
      </c>
      <c r="IK63" s="194" t="str">
        <f aca="false">HZ63</f>
        <v>Alumno2</v>
      </c>
      <c r="IL63" s="195" t="n">
        <f aca="false">IF((SUMIF($IL$3:$IU$3,IL$60,$IL$4:$IU$4))=0,0,((SUMIF($IL$3:$IU$3,IL$60,$IL112:$IU112))/SUMIF($IL$3:$IU$3,IL$60,$IL$4:$IU$4)))</f>
        <v>0</v>
      </c>
      <c r="IM63" s="196" t="n">
        <f aca="false">IF((SUMIF($IL$3:$IU$3,IM$60,$IL$4:$IU$4))=0,0,((SUMIF($IL$3:$IU$3,IM$60,$IL112:$IU112))/SUMIF($IL$3:$IU$3,IM$60,$IL$4:$IU$4)))</f>
        <v>0</v>
      </c>
      <c r="IN63" s="196" t="n">
        <f aca="false">IF((SUMIF($IL$3:$IU$3,IN$60,$IL$4:$IU$4))=0,0,((SUMIF($IL$3:$IU$3,IN$60,$IL112:$IU112))/SUMIF($IL$3:$IU$3,IN$60,$IL$4:$IU$4)))</f>
        <v>0</v>
      </c>
      <c r="IO63" s="196" t="n">
        <f aca="false">IF((SUMIF($IL$3:$IU$3,IO$60,$IL$4:$IU$4))=0,0,((SUMIF($IL$3:$IU$3,IO$60,$IL112:$IU112))/SUMIF($IL$3:$IU$3,IO$60,$IL$4:$IU$4)))</f>
        <v>0</v>
      </c>
      <c r="IP63" s="196" t="n">
        <f aca="false">IF((SUMIF($IL$3:$IU$3,IP$60,$IL$4:$IU$4))=0,0,((SUMIF($IL$3:$IU$3,IP$60,$IL112:$IU112))/SUMIF($IL$3:$IU$3,IP$60,$IL$4:$IU$4)))</f>
        <v>0</v>
      </c>
      <c r="IQ63" s="196" t="n">
        <f aca="false">IF((SUMIF($IL$3:$IU$3,IQ$60,$IL$4:$IU$4))=0,0,((SUMIF($IL$3:$IU$3,IQ$60,$IL112:$IU112))/SUMIF($IL$3:$IU$3,IQ$60,$IL$4:$IU$4)))</f>
        <v>0</v>
      </c>
      <c r="IR63" s="196" t="n">
        <f aca="false">IF((SUMIF($IL$3:$IU$3,IR$60,$IL$4:$IU$4))=0,0,((SUMIF($IL$3:$IU$3,IR$60,$IL112:$IU112))/SUMIF($IL$3:$IU$3,IR$60,$IL$4:$IU$4)))</f>
        <v>0</v>
      </c>
      <c r="IS63" s="196" t="n">
        <f aca="false">IF((SUMIF($IL$3:$IU$3,IS$60,$IL$4:$IU$4))=0,0,((SUMIF($IL$3:$IU$3,IS$60,$IL112:$IU112))/SUMIF($IL$3:$IU$3,IS$60,$IL$4:$IU$4)))</f>
        <v>0</v>
      </c>
      <c r="IT63" s="196" t="n">
        <f aca="false">IF((SUMIF($IL$3:$IU$3,IT$60,$IL$4:$IU$4))=0,0,((SUMIF($IL$3:$IU$3,IT$60,$IL112:$IU112))/SUMIF($IL$3:$IU$3,IT$60,$IL$4:$IU$4)))</f>
        <v>0</v>
      </c>
      <c r="IU63" s="197" t="n">
        <f aca="false">IF((SUMIF($IL$3:$IU$3,IU$60,$IL$4:$IU$4))=0,0,((SUMIF($IL$3:$IU$3,IU$60,$IL112:$IU112))/SUMIF($IL$3:$IU$3,IU$60,$IL$4:$IU$4)))</f>
        <v>0</v>
      </c>
      <c r="IV63" s="194" t="str">
        <f aca="false">IK63</f>
        <v>Alumno2</v>
      </c>
      <c r="IW63" s="195" t="n">
        <f aca="false">IF((SUMIF($IW$3:$JF$3,IW$60,$IW$4:$JF$4))=0,0,((SUMIF($IW$3:$JF$3,IW$60,$IW112:$JF112))/SUMIF($IW$3:$JF$3,IW$60,$IW$4:$JF$4)))</f>
        <v>0</v>
      </c>
      <c r="IX63" s="196" t="n">
        <f aca="false">IF((SUMIF($IW$3:$JF$3,IX$60,$IW$4:$JF$4))=0,0,((SUMIF($IW$3:$JF$3,IX$60,$IW112:$JF112))/SUMIF($IW$3:$JF$3,IX$60,$IW$4:$JF$4)))</f>
        <v>0</v>
      </c>
      <c r="IY63" s="196" t="n">
        <f aca="false">IF((SUMIF($IW$3:$JF$3,IY$60,$IW$4:$JF$4))=0,0,((SUMIF($IW$3:$JF$3,IY$60,$IW112:$JF112))/SUMIF($IW$3:$JF$3,IY$60,$IW$4:$JF$4)))</f>
        <v>0</v>
      </c>
      <c r="IZ63" s="196" t="n">
        <f aca="false">IF((SUMIF($IW$3:$JF$3,IZ$60,$IW$4:$JF$4))=0,0,((SUMIF($IW$3:$JF$3,IZ$60,$IW112:$JF112))/SUMIF($IW$3:$JF$3,IZ$60,$IW$4:$JF$4)))</f>
        <v>0</v>
      </c>
      <c r="JA63" s="196" t="n">
        <f aca="false">IF((SUMIF($IW$3:$JF$3,JA$60,$IW$4:$JF$4))=0,0,((SUMIF($IW$3:$JF$3,JA$60,$IW112:$JF112))/SUMIF($IW$3:$JF$3,JA$60,$IW$4:$JF$4)))</f>
        <v>0</v>
      </c>
      <c r="JB63" s="196" t="n">
        <f aca="false">IF((SUMIF($IW$3:$JF$3,JB$60,$IW$4:$JF$4))=0,0,((SUMIF($IW$3:$JF$3,JB$60,$IW112:$JF112))/SUMIF($IW$3:$JF$3,JB$60,$IW$4:$JF$4)))</f>
        <v>0</v>
      </c>
      <c r="JC63" s="196" t="n">
        <f aca="false">IF((SUMIF($IW$3:$JF$3,JC$60,$IW$4:$JF$4))=0,0,((SUMIF($IW$3:$JF$3,JC$60,$IW112:$JF112))/SUMIF($IW$3:$JF$3,JC$60,$IW$4:$JF$4)))</f>
        <v>0</v>
      </c>
      <c r="JD63" s="196" t="n">
        <f aca="false">IF((SUMIF($IW$3:$JF$3,JD$60,$IW$4:$JF$4))=0,0,((SUMIF($IW$3:$JF$3,JD$60,$IW112:$JF112))/SUMIF($IW$3:$JF$3,JD$60,$IW$4:$JF$4)))</f>
        <v>0</v>
      </c>
      <c r="JE63" s="196" t="n">
        <f aca="false">IF((SUMIF($IW$3:$JF$3,JE$60,$IW$4:$JF$4))=0,0,((SUMIF($IW$3:$JF$3,JE$60,$IW112:$JF112))/SUMIF($IW$3:$JF$3,JE$60,$IW$4:$JF$4)))</f>
        <v>0</v>
      </c>
      <c r="JF63" s="197" t="n">
        <f aca="false">IF((SUMIF($IW$3:$JF$3,JF$60,$IW$4:$JF$4))=0,0,((SUMIF($IW$3:$JF$3,JF$60,$IW112:$JF112))/SUMIF($IW$3:$JF$3,JF$60,$IW$4:$JF$4)))</f>
        <v>0</v>
      </c>
      <c r="JG63" s="194" t="str">
        <f aca="false">IV63</f>
        <v>Alumno2</v>
      </c>
      <c r="JH63" s="195" t="n">
        <f aca="false">IF((SUMIF($JH$3:$JQ$3,JH$60,$JH$4:$JQ$4))=0,0,((SUMIF($JH$3:$JQ$3,JH$60,$JH112:$JQ112))/SUMIF($JH$3:$JQ$3,JH$60,$JH$4:$JQ$4)))</f>
        <v>0</v>
      </c>
      <c r="JI63" s="196" t="n">
        <f aca="false">IF((SUMIF($JH$3:$JQ$3,JI$60,$JH$4:$JQ$4))=0,0,((SUMIF($JH$3:$JQ$3,JI$60,$JH112:$JQ112))/SUMIF($JH$3:$JQ$3,JI$60,$JH$4:$JQ$4)))</f>
        <v>0</v>
      </c>
      <c r="JJ63" s="196" t="n">
        <f aca="false">IF((SUMIF($JH$3:$JQ$3,JJ$60,$JH$4:$JQ$4))=0,0,((SUMIF($JH$3:$JQ$3,JJ$60,$JH112:$JQ112))/SUMIF($JH$3:$JQ$3,JJ$60,$JH$4:$JQ$4)))</f>
        <v>0</v>
      </c>
      <c r="JK63" s="196" t="n">
        <f aca="false">IF((SUMIF($JH$3:$JQ$3,JK$60,$JH$4:$JQ$4))=0,0,((SUMIF($JH$3:$JQ$3,JK$60,$JH112:$JQ112))/SUMIF($JH$3:$JQ$3,JK$60,$JH$4:$JQ$4)))</f>
        <v>0</v>
      </c>
      <c r="JL63" s="196" t="n">
        <f aca="false">IF((SUMIF($JH$3:$JQ$3,JL$60,$JH$4:$JQ$4))=0,0,((SUMIF($JH$3:$JQ$3,JL$60,$JH112:$JQ112))/SUMIF($JH$3:$JQ$3,JL$60,$JH$4:$JQ$4)))</f>
        <v>0</v>
      </c>
      <c r="JM63" s="196" t="n">
        <f aca="false">IF((SUMIF($JH$3:$JQ$3,JM$60,$JH$4:$JQ$4))=0,0,((SUMIF($JH$3:$JQ$3,JM$60,$JH112:$JQ112))/SUMIF($JH$3:$JQ$3,JM$60,$JH$4:$JQ$4)))</f>
        <v>0</v>
      </c>
      <c r="JN63" s="196" t="n">
        <f aca="false">IF((SUMIF($JH$3:$JQ$3,JN$60,$JH$4:$JQ$4))=0,0,((SUMIF($JH$3:$JQ$3,JN$60,$JH112:$JQ112))/SUMIF($JH$3:$JQ$3,JN$60,$JH$4:$JQ$4)))</f>
        <v>0</v>
      </c>
      <c r="JO63" s="196" t="n">
        <f aca="false">IF((SUMIF($JH$3:$JQ$3,JO$60,$JH$4:$JQ$4))=0,0,((SUMIF($JH$3:$JQ$3,JO$60,$JH112:$JQ112))/SUMIF($JH$3:$JQ$3,JO$60,$JH$4:$JQ$4)))</f>
        <v>0</v>
      </c>
      <c r="JP63" s="196" t="n">
        <f aca="false">IF((SUMIF($JH$3:$JQ$3,JP$60,$JH$4:$JQ$4))=0,0,((SUMIF($JH$3:$JQ$3,JP$60,$JH112:$JQ112))/SUMIF($JH$3:$JQ$3,JP$60,$JH$4:$JQ$4)))</f>
        <v>0</v>
      </c>
      <c r="JQ63" s="197" t="n">
        <f aca="false">IF((SUMIF($JH$3:$JQ$3,JQ$60,$JH$4:$JQ$4))=0,0,((SUMIF($JH$3:$JQ$3,JQ$60,$JH112:$JQ112))/SUMIF($JH$3:$JQ$3,JQ$60,$JH$4:$JQ$4)))</f>
        <v>0</v>
      </c>
      <c r="JR63" s="194" t="str">
        <f aca="false">JG63</f>
        <v>Alumno2</v>
      </c>
      <c r="JS63" s="195" t="n">
        <f aca="false">IF((SUMIF($JS$3:$KB$3,JS$60,$JS$4:$KB$4))=0,0,((SUMIF($JS$3:$KB$3,JS$60,$JS112:$KB112))/SUMIF($JS$3:$KB$3,JS$60,$JS$4:$KB$4)))</f>
        <v>0</v>
      </c>
      <c r="JT63" s="196" t="n">
        <f aca="false">IF((SUMIF($JS$3:$KB$3,JT$60,$JS$4:$KB$4))=0,0,((SUMIF($JS$3:$KB$3,JT$60,$JS112:$KB112))/SUMIF($JS$3:$KB$3,JT$60,$JS$4:$KB$4)))</f>
        <v>0</v>
      </c>
      <c r="JU63" s="196" t="n">
        <f aca="false">IF((SUMIF($JS$3:$KB$3,JU$60,$JS$4:$KB$4))=0,0,((SUMIF($JS$3:$KB$3,JU$60,$JS112:$KB112))/SUMIF($JS$3:$KB$3,JU$60,$JS$4:$KB$4)))</f>
        <v>0</v>
      </c>
      <c r="JV63" s="196" t="n">
        <f aca="false">IF((SUMIF($JS$3:$KB$3,JV$60,$JS$4:$KB$4))=0,0,((SUMIF($JS$3:$KB$3,JV$60,$JS112:$KB112))/SUMIF($JS$3:$KB$3,JV$60,$JS$4:$KB$4)))</f>
        <v>0</v>
      </c>
      <c r="JW63" s="196" t="n">
        <f aca="false">IF((SUMIF($JS$3:$KB$3,JW$60,$JS$4:$KB$4))=0,0,((SUMIF($JS$3:$KB$3,JW$60,$JS112:$KB112))/SUMIF($JS$3:$KB$3,JW$60,$JS$4:$KB$4)))</f>
        <v>0</v>
      </c>
      <c r="JX63" s="196" t="n">
        <f aca="false">IF((SUMIF($JS$3:$KB$3,JX$60,$JS$4:$KB$4))=0,0,((SUMIF($JS$3:$KB$3,JX$60,$JS112:$KB112))/SUMIF($JS$3:$KB$3,JX$60,$JS$4:$KB$4)))</f>
        <v>0</v>
      </c>
      <c r="JY63" s="196" t="n">
        <f aca="false">IF((SUMIF($JS$3:$KB$3,JY$60,$JS$4:$KB$4))=0,0,((SUMIF($JS$3:$KB$3,JY$60,$JS112:$KB112))/SUMIF($JS$3:$KB$3,JY$60,$JS$4:$KB$4)))</f>
        <v>0</v>
      </c>
      <c r="JZ63" s="196" t="n">
        <f aca="false">IF((SUMIF($JS$3:$KB$3,JZ$60,$JS$4:$KB$4))=0,0,((SUMIF($JS$3:$KB$3,JZ$60,$JS112:$KB112))/SUMIF($JS$3:$KB$3,JZ$60,$JS$4:$KB$4)))</f>
        <v>0</v>
      </c>
      <c r="KA63" s="196" t="n">
        <f aca="false">IF((SUMIF($JS$3:$KB$3,KA$60,$JS$4:$KB$4))=0,0,((SUMIF($JS$3:$KB$3,KA$60,$JS112:$KB112))/SUMIF($JS$3:$KB$3,KA$60,$JS$4:$KB$4)))</f>
        <v>0</v>
      </c>
      <c r="KB63" s="197" t="n">
        <f aca="false">IF((SUMIF($JS$3:$KB$3,KB$60,$JS$4:$KB$4))=0,0,((SUMIF($JS$3:$KB$3,KB$60,$JS112:$KB112))/SUMIF($JS$3:$KB$3,KB$60,$JS$4:$KB$4)))</f>
        <v>0</v>
      </c>
      <c r="KC63" s="194" t="str">
        <f aca="false">JR63</f>
        <v>Alumno2</v>
      </c>
      <c r="KD63" s="195" t="n">
        <f aca="false">IF((SUMIF($KD$3:$KM$3,KD$60,$KD$4:$KM$4))=0,0,((SUMIF($KD$3:$KM$3,KD$60,$KD112:$KM112))/SUMIF($KD$3:$KM$3,KD$60,$KD$4:$KM$4)))</f>
        <v>0</v>
      </c>
      <c r="KE63" s="196" t="n">
        <f aca="false">IF((SUMIF($KD$3:$KM$3,KE$60,$KD$4:$KM$4))=0,0,((SUMIF($KD$3:$KM$3,KE$60,$KD112:$KM112))/SUMIF($KD$3:$KM$3,KE$60,$KD$4:$KM$4)))</f>
        <v>0</v>
      </c>
      <c r="KF63" s="196" t="n">
        <f aca="false">IF((SUMIF($KD$3:$KM$3,KF$60,$KD$4:$KM$4))=0,0,((SUMIF($KD$3:$KM$3,KF$60,$KD112:$KM112))/SUMIF($KD$3:$KM$3,KF$60,$KD$4:$KM$4)))</f>
        <v>0</v>
      </c>
      <c r="KG63" s="196" t="n">
        <f aca="false">IF((SUMIF($KD$3:$KM$3,KG$60,$KD$4:$KM$4))=0,0,((SUMIF($KD$3:$KM$3,KG$60,$KD112:$KM112))/SUMIF($KD$3:$KM$3,KG$60,$KD$4:$KM$4)))</f>
        <v>0</v>
      </c>
      <c r="KH63" s="196" t="n">
        <f aca="false">IF((SUMIF($KD$3:$KM$3,KH$60,$KD$4:$KM$4))=0,0,((SUMIF($KD$3:$KM$3,KH$60,$KD112:$KM112))/SUMIF($KD$3:$KM$3,KH$60,$KD$4:$KM$4)))</f>
        <v>0</v>
      </c>
      <c r="KI63" s="196" t="n">
        <f aca="false">IF((SUMIF($KD$3:$KM$3,KI$60,$KD$4:$KM$4))=0,0,((SUMIF($KD$3:$KM$3,KI$60,$KD112:$KM112))/SUMIF($KD$3:$KM$3,KI$60,$KD$4:$KM$4)))</f>
        <v>0</v>
      </c>
      <c r="KJ63" s="196" t="n">
        <f aca="false">IF((SUMIF($KD$3:$KM$3,KJ$60,$KD$4:$KM$4))=0,0,((SUMIF($KD$3:$KM$3,KJ$60,$KD112:$KM112))/SUMIF($KD$3:$KM$3,KJ$60,$KD$4:$KM$4)))</f>
        <v>0</v>
      </c>
      <c r="KK63" s="196" t="n">
        <f aca="false">IF((SUMIF($KD$3:$KM$3,KK$60,$KD$4:$KM$4))=0,0,((SUMIF($KD$3:$KM$3,KK$60,$KD112:$KM112))/SUMIF($KD$3:$KM$3,KK$60,$KD$4:$KM$4)))</f>
        <v>0</v>
      </c>
      <c r="KL63" s="196" t="n">
        <f aca="false">IF((SUMIF($KD$3:$KM$3,KL$60,$KD$4:$KM$4))=0,0,((SUMIF($KD$3:$KM$3,KL$60,$KD112:$KM112))/SUMIF($KD$3:$KM$3,KL$60,$KD$4:$KM$4)))</f>
        <v>0</v>
      </c>
      <c r="KM63" s="197" t="n">
        <f aca="false">IF((SUMIF($KD$3:$KM$3,KM$60,$KD$4:$KM$4))=0,0,((SUMIF($KD$3:$KM$3,KM$60,$KD112:$KM112))/SUMIF($KD$3:$KM$3,KM$60,$KD$4:$KM$4)))</f>
        <v>0</v>
      </c>
      <c r="KN63" s="194" t="str">
        <f aca="false">KC63</f>
        <v>Alumno2</v>
      </c>
      <c r="KO63" s="195" t="n">
        <f aca="false">IF((SUMIF($KO$3:$KX$3,KO$60,$KO$4:$KX$4))=0,0,((SUMIF($KO$3:$KX$3,KO$60,$KO112:$KX112))/SUMIF($KO$3:$KX$3,KO$60,$KO$4:$KX$4)))</f>
        <v>0</v>
      </c>
      <c r="KP63" s="196" t="n">
        <f aca="false">IF((SUMIF($KO$3:$KX$3,KP$60,$KO$4:$KX$4))=0,0,((SUMIF($KO$3:$KX$3,KP$60,$KO112:$KX112))/SUMIF($KO$3:$KX$3,KP$60,$KO$4:$KX$4)))</f>
        <v>0</v>
      </c>
      <c r="KQ63" s="196" t="n">
        <f aca="false">IF((SUMIF($KO$3:$KX$3,KQ$60,$KO$4:$KX$4))=0,0,((SUMIF($KO$3:$KX$3,KQ$60,$KO112:$KX112))/SUMIF($KO$3:$KX$3,KQ$60,$KO$4:$KX$4)))</f>
        <v>0</v>
      </c>
      <c r="KR63" s="196" t="n">
        <f aca="false">IF((SUMIF($KO$3:$KX$3,KR$60,$KO$4:$KX$4))=0,0,((SUMIF($KO$3:$KX$3,KR$60,$KO112:$KX112))/SUMIF($KO$3:$KX$3,KR$60,$KO$4:$KX$4)))</f>
        <v>0</v>
      </c>
      <c r="KS63" s="196" t="n">
        <f aca="false">IF((SUMIF($KO$3:$KX$3,KS$60,$KO$4:$KX$4))=0,0,((SUMIF($KO$3:$KX$3,KS$60,$KO112:$KX112))/SUMIF($KO$3:$KX$3,KS$60,$KO$4:$KX$4)))</f>
        <v>0</v>
      </c>
      <c r="KT63" s="196" t="n">
        <f aca="false">IF((SUMIF($KO$3:$KX$3,KT$60,$KO$4:$KX$4))=0,0,((SUMIF($KO$3:$KX$3,KT$60,$KO112:$KX112))/SUMIF($KO$3:$KX$3,KT$60,$KO$4:$KX$4)))</f>
        <v>0</v>
      </c>
      <c r="KU63" s="196" t="n">
        <f aca="false">IF((SUMIF($KO$3:$KX$3,KU$60,$KO$4:$KX$4))=0,0,((SUMIF($KO$3:$KX$3,KU$60,$KO112:$KX112))/SUMIF($KO$3:$KX$3,KU$60,$KO$4:$KX$4)))</f>
        <v>0</v>
      </c>
      <c r="KV63" s="196" t="n">
        <f aca="false">IF((SUMIF($KO$3:$KX$3,KV$60,$KO$4:$KX$4))=0,0,((SUMIF($KO$3:$KX$3,KV$60,$KO112:$KX112))/SUMIF($KO$3:$KX$3,KV$60,$KO$4:$KX$4)))</f>
        <v>0</v>
      </c>
      <c r="KW63" s="196" t="n">
        <f aca="false">IF((SUMIF($KO$3:$KX$3,KW$60,$KO$4:$KX$4))=0,0,((SUMIF($KO$3:$KX$3,KW$60,$KO112:$KX112))/SUMIF($KO$3:$KX$3,KW$60,$KO$4:$KX$4)))</f>
        <v>0</v>
      </c>
      <c r="KX63" s="197" t="n">
        <f aca="false">IF((SUMIF($KO$3:$KX$3,KX$60,$KO$4:$KX$4))=0,0,((SUMIF($KO$3:$KX$3,KX$60,$KO112:$KX112))/SUMIF($KO$3:$KX$3,KX$60,$KO$4:$KX$4)))</f>
        <v>0</v>
      </c>
      <c r="KY63" s="194" t="str">
        <f aca="false">KN63</f>
        <v>Alumno2</v>
      </c>
      <c r="KZ63" s="195" t="n">
        <f aca="false">IF((SUMIF($KZ$3:$LI$3,KZ$60,$KZ$4:$LI$4))=0,0,((SUMIF($KZ$3:$LI$3,KZ$60,$KZ112:$LI112))/SUMIF($KZ$3:$LI$3,KZ$60,$KZ$4:$LI$4)))</f>
        <v>0</v>
      </c>
      <c r="LA63" s="196" t="n">
        <f aca="false">IF((SUMIF($KZ$3:$LI$3,LA$60,$KZ$4:$LI$4))=0,0,((SUMIF($KZ$3:$LI$3,LA$60,$KZ112:$LI112))/SUMIF($KZ$3:$LI$3,LA$60,$KZ$4:$LI$4)))</f>
        <v>0</v>
      </c>
      <c r="LB63" s="196" t="n">
        <f aca="false">IF((SUMIF($KZ$3:$LI$3,LB$60,$KZ$4:$LI$4))=0,0,((SUMIF($KZ$3:$LI$3,LB$60,$KZ112:$LI112))/SUMIF($KZ$3:$LI$3,LB$60,$KZ$4:$LI$4)))</f>
        <v>0</v>
      </c>
      <c r="LC63" s="196" t="n">
        <f aca="false">IF((SUMIF($KZ$3:$LI$3,LC$60,$KZ$4:$LI$4))=0,0,((SUMIF($KZ$3:$LI$3,LC$60,$KZ112:$LI112))/SUMIF($KZ$3:$LI$3,LC$60,$KZ$4:$LI$4)))</f>
        <v>0</v>
      </c>
      <c r="LD63" s="196" t="n">
        <f aca="false">IF((SUMIF($KZ$3:$LI$3,LD$60,$KZ$4:$LI$4))=0,0,((SUMIF($KZ$3:$LI$3,LD$60,$KZ112:$LI112))/SUMIF($KZ$3:$LI$3,LD$60,$KZ$4:$LI$4)))</f>
        <v>0</v>
      </c>
      <c r="LE63" s="196" t="n">
        <f aca="false">IF((SUMIF($KZ$3:$LI$3,LE$60,$KZ$4:$LI$4))=0,0,((SUMIF($KZ$3:$LI$3,LE$60,$KZ112:$LI112))/SUMIF($KZ$3:$LI$3,LE$60,$KZ$4:$LI$4)))</f>
        <v>0</v>
      </c>
      <c r="LF63" s="196" t="n">
        <f aca="false">IF((SUMIF($KZ$3:$LI$3,LF$60,$KZ$4:$LI$4))=0,0,((SUMIF($KZ$3:$LI$3,LF$60,$KZ112:$LI112))/SUMIF($KZ$3:$LI$3,LF$60,$KZ$4:$LI$4)))</f>
        <v>0</v>
      </c>
      <c r="LG63" s="196" t="n">
        <f aca="false">IF((SUMIF($KZ$3:$LI$3,LG$60,$KZ$4:$LI$4))=0,0,((SUMIF($KZ$3:$LI$3,LG$60,$KZ112:$LI112))/SUMIF($KZ$3:$LI$3,LG$60,$KZ$4:$LI$4)))</f>
        <v>0</v>
      </c>
      <c r="LH63" s="196" t="n">
        <f aca="false">IF((SUMIF($KZ$3:$LI$3,LH$60,$KZ$4:$LI$4))=0,0,((SUMIF($KZ$3:$LI$3,LH$60,$KZ112:$LI112))/SUMIF($KZ$3:$LI$3,LH$60,$KZ$4:$LI$4)))</f>
        <v>0</v>
      </c>
      <c r="LI63" s="197" t="n">
        <f aca="false">IF((SUMIF($KZ$3:$LI$3,LI$60,$KZ$4:$LI$4))=0,0,((SUMIF($KZ$3:$LI$3,LI$60,$KZ112:$LI112))/SUMIF($KZ$3:$LI$3,LI$60,$KZ$4:$LI$4)))</f>
        <v>0</v>
      </c>
      <c r="LJ63" s="194" t="str">
        <f aca="false">KY63</f>
        <v>Alumno2</v>
      </c>
      <c r="LK63" s="195" t="n">
        <f aca="false">IF((SUMIF($LK$3:$LT$3,LK$60,$LK$4:$LT$4))=0,0,((SUMIF($LK$3:$LT$3,LK$60,$LK112:$LT112))/SUMIF($LK$3:$LT$3,LK$60,$LK$4:$LT$4)))</f>
        <v>0</v>
      </c>
      <c r="LL63" s="196" t="n">
        <f aca="false">IF((SUMIF($LK$3:$LT$3,LL$60,$LK$4:$LT$4))=0,0,((SUMIF($LK$3:$LT$3,LL$60,$LK112:$LT112))/SUMIF($LK$3:$LT$3,LL$60,$LK$4:$LT$4)))</f>
        <v>0</v>
      </c>
      <c r="LM63" s="196" t="n">
        <f aca="false">IF((SUMIF($LK$3:$LT$3,LM$60,$LK$4:$LT$4))=0,0,((SUMIF($LK$3:$LT$3,LM$60,$LK112:$LT112))/SUMIF($LK$3:$LT$3,LM$60,$LK$4:$LT$4)))</f>
        <v>0</v>
      </c>
      <c r="LN63" s="196" t="n">
        <f aca="false">IF((SUMIF($LK$3:$LT$3,LN$60,$LK$4:$LT$4))=0,0,((SUMIF($LK$3:$LT$3,LN$60,$LK112:$LT112))/SUMIF($LK$3:$LT$3,LN$60,$LK$4:$LT$4)))</f>
        <v>0</v>
      </c>
      <c r="LO63" s="196" t="n">
        <f aca="false">IF((SUMIF($LK$3:$LT$3,LO$60,$LK$4:$LT$4))=0,0,((SUMIF($LK$3:$LT$3,LO$60,$LK112:$LT112))/SUMIF($LK$3:$LT$3,LO$60,$LK$4:$LT$4)))</f>
        <v>0</v>
      </c>
      <c r="LP63" s="196" t="n">
        <f aca="false">IF((SUMIF($LK$3:$LT$3,LP$60,$LK$4:$LT$4))=0,0,((SUMIF($LK$3:$LT$3,LP$60,$LK112:$LT112))/SUMIF($LK$3:$LT$3,LP$60,$LK$4:$LT$4)))</f>
        <v>0</v>
      </c>
      <c r="LQ63" s="196" t="n">
        <f aca="false">IF((SUMIF($LK$3:$LT$3,LQ$60,$LK$4:$LT$4))=0,0,((SUMIF($LK$3:$LT$3,LQ$60,$LK112:$LT112))/SUMIF($LK$3:$LT$3,LQ$60,$LK$4:$LT$4)))</f>
        <v>0</v>
      </c>
      <c r="LR63" s="196" t="n">
        <f aca="false">IF((SUMIF($LK$3:$LT$3,LR$60,$LK$4:$LT$4))=0,0,((SUMIF($LK$3:$LT$3,LR$60,$LK112:$LT112))/SUMIF($LK$3:$LT$3,LR$60,$LK$4:$LT$4)))</f>
        <v>0</v>
      </c>
      <c r="LS63" s="196" t="n">
        <f aca="false">IF((SUMIF($LK$3:$LT$3,LS$60,$LK$4:$LT$4))=0,0,((SUMIF($LK$3:$LT$3,LS$60,$LK112:$LT112))/SUMIF($LK$3:$LT$3,LS$60,$LK$4:$LT$4)))</f>
        <v>0</v>
      </c>
      <c r="LT63" s="197" t="n">
        <f aca="false">IF((SUMIF($LK$3:$LT$3,LT$60,$LK$4:$LT$4))=0,0,((SUMIF($LK$3:$LT$3,LT$60,$LK112:$LT112))/SUMIF($LK$3:$LT$3,LT$60,$LK$4:$LT$4)))</f>
        <v>0</v>
      </c>
    </row>
    <row r="64" customFormat="false" ht="15" hidden="true" customHeight="false" outlineLevel="0" collapsed="false">
      <c r="C64" s="194" t="str">
        <f aca="false">B8</f>
        <v>Alumno3</v>
      </c>
      <c r="D64" s="195" t="n">
        <f aca="false">IF((SUMIF($D$3:$M$3,D$60,$D$4:$M$4))=0,0,((SUMIF($D$3:$M$3,D$60,$D113:$M113))/SUMIF($D$3:$M$3,D$60,$D$4:$M$4)))</f>
        <v>5.3</v>
      </c>
      <c r="E64" s="196" t="n">
        <f aca="false">IF((SUMIF($D$3:$M$3,E$60,$D$4:$M$4))=0,0,((SUMIF($D$3:$M$3,E$60,$D113:$M113))/SUMIF($D$3:$M$3,E$60,$D$4:$M$4)))</f>
        <v>0</v>
      </c>
      <c r="F64" s="196" t="n">
        <f aca="false">IF((SUMIF($D$3:$M$3,F$60,$D$4:$M$4))=0,0,((SUMIF($D$3:$M$3,F$60,$D113:$M113))/SUMIF($D$3:$M$3,F$60,$D$4:$M$4)))</f>
        <v>0</v>
      </c>
      <c r="G64" s="196" t="n">
        <f aca="false">IF((SUMIF($D$3:$M$3,G$60,$D$4:$M$4))=0,0,((SUMIF($D$3:$M$3,G$60,$D113:$M113))/SUMIF($D$3:$M$3,G$60,$D$4:$M$4)))</f>
        <v>0</v>
      </c>
      <c r="H64" s="196" t="n">
        <f aca="false">IF((SUMIF($D$3:$M$3,H$60,$D$4:$M$4))=0,0,((SUMIF($D$3:$M$3,H$60,$D113:$M113))/SUMIF($D$3:$M$3,H$60,$D$4:$M$4)))</f>
        <v>0</v>
      </c>
      <c r="I64" s="196" t="n">
        <f aca="false">IF((SUMIF($D$3:$M$3,I$60,$D$4:$M$4))=0,0,((SUMIF($D$3:$M$3,I$60,$D113:$M113))/SUMIF($D$3:$M$3,I$60,$D$4:$M$4)))</f>
        <v>0</v>
      </c>
      <c r="J64" s="196" t="n">
        <f aca="false">IF((SUMIF($D$3:$M$3,J$60,$D$4:$M$4))=0,0,((SUMIF($D$3:$M$3,J$60,$D113:$M113))/SUMIF($D$3:$M$3,J$60,$D$4:$M$4)))</f>
        <v>0</v>
      </c>
      <c r="K64" s="196" t="n">
        <f aca="false">IF((SUMIF($D$3:$M$3,K$60,$D$4:$M$4))=0,0,((SUMIF($D$3:$M$3,K$60,$D113:$M113))/SUMIF($D$3:$M$3,K$60,$D$4:$M$4)))</f>
        <v>0</v>
      </c>
      <c r="L64" s="196" t="n">
        <f aca="false">IF((SUMIF($D$3:$M$3,L$60,$D$4:$M$4))=0,0,((SUMIF($D$3:$M$3,L$60,$D113:$M113))/SUMIF($D$3:$M$3,L$60,$D$4:$M$4)))</f>
        <v>0</v>
      </c>
      <c r="M64" s="197" t="n">
        <f aca="false">IF((SUMIF($D$3:$M$3,M$60,$D$4:$M$4))=0,0,((SUMIF($D$3:$M$3,M$60,$D113:$M113))/SUMIF($D$3:$M$3,M$60,$D$4:$M$4)))</f>
        <v>0</v>
      </c>
      <c r="N64" s="194" t="str">
        <f aca="false">C64</f>
        <v>Alumno3</v>
      </c>
      <c r="O64" s="195" t="n">
        <f aca="false">IF((SUMIF($O$3:$X$3,O$60,$O$4:$X$4))=0,0,((SUMIF($O$3:$X$3,O$60,$O113:$X113))/SUMIF($O$3:$X$3,O$60,$O$4:$X$4)))</f>
        <v>5</v>
      </c>
      <c r="P64" s="196" t="n">
        <f aca="false">IF((SUMIF($O$3:$X$3,P$60,$O$4:$X$4))=0,0,((SUMIF($O$3:$X$3,P$60,$O113:$X113))/SUMIF($O$3:$X$3,P$60,$O$4:$X$4)))</f>
        <v>3</v>
      </c>
      <c r="Q64" s="196" t="n">
        <f aca="false">IF((SUMIF($O$3:$X$3,Q$60,$O$4:$X$4))=0,0,((SUMIF($O$3:$X$3,Q$60,$O113:$X113))/SUMIF($O$3:$X$3,Q$60,$O$4:$X$4)))</f>
        <v>0</v>
      </c>
      <c r="R64" s="196" t="n">
        <f aca="false">IF((SUMIF($O$3:$X$3,R$60,$O$4:$X$4))=0,0,((SUMIF($O$3:$X$3,R$60,$O113:$X113))/SUMIF($O$3:$X$3,R$60,$O$4:$X$4)))</f>
        <v>0</v>
      </c>
      <c r="S64" s="196" t="n">
        <f aca="false">IF((SUMIF($O$3:$X$3,S$60,$O$4:$X$4))=0,0,((SUMIF($O$3:$X$3,S$60,$O113:$X113))/SUMIF($O$3:$X$3,S$60,$O$4:$X$4)))</f>
        <v>0</v>
      </c>
      <c r="T64" s="196" t="n">
        <f aca="false">IF((SUMIF($O$3:$X$3,T$60,$O$4:$X$4))=0,0,((SUMIF($O$3:$X$3,T$60,$O113:$X113))/SUMIF($O$3:$X$3,T$60,$O$4:$X$4)))</f>
        <v>0</v>
      </c>
      <c r="U64" s="196" t="n">
        <f aca="false">IF((SUMIF($O$3:$X$3,U$60,$O$4:$X$4))=0,0,((SUMIF($O$3:$X$3,U$60,$O113:$X113))/SUMIF($O$3:$X$3,U$60,$O$4:$X$4)))</f>
        <v>0</v>
      </c>
      <c r="V64" s="196" t="n">
        <f aca="false">IF((SUMIF($O$3:$X$3,V$60,$O$4:$X$4))=0,0,((SUMIF($O$3:$X$3,V$60,$O113:$X113))/SUMIF($O$3:$X$3,V$60,$O$4:$X$4)))</f>
        <v>0</v>
      </c>
      <c r="W64" s="196" t="n">
        <f aca="false">IF((SUMIF($O$3:$X$3,W$60,$O$4:$X$4))=0,0,((SUMIF($O$3:$X$3,W$60,$O113:$X113))/SUMIF($O$3:$X$3,W$60,$O$4:$X$4)))</f>
        <v>0</v>
      </c>
      <c r="X64" s="197" t="n">
        <f aca="false">IF((SUMIF($O$3:$X$3,X$60,$O$4:$X$4))=0,0,((SUMIF($O$3:$X$3,X$60,$O113:$X113))/SUMIF($O$3:$X$3,X$60,$O$4:$X$4)))</f>
        <v>0</v>
      </c>
      <c r="Y64" s="194" t="str">
        <f aca="false">N64</f>
        <v>Alumno3</v>
      </c>
      <c r="Z64" s="195" t="n">
        <f aca="false">IF((SUMIF($Z$3:$AI$3,Z$60,$Z$4:$AI$4))=0,0,((SUMIF($Z$3:$AI$3,Z$60,$Z113:$AI113))/SUMIF($Z$3:$AI$3,Z$60,$Z$4:$AI$4)))</f>
        <v>5.5</v>
      </c>
      <c r="AA64" s="196" t="n">
        <f aca="false">IF((SUMIF($Z$3:$AI$3,AA$60,$Z$4:$AI$4))=0,0,((SUMIF($Z$3:$AI$3,AA$60,$Z113:$AI113))/SUMIF($Z$3:$AI$3,AA$60,$Z$4:$AI$4)))</f>
        <v>3.5</v>
      </c>
      <c r="AB64" s="196" t="n">
        <f aca="false">IF((SUMIF($Z$3:$AI$3,AB$60,$Z$4:$AI$4))=0,0,((SUMIF($Z$3:$AI$3,AB$60,$Z113:$AI113))/SUMIF($Z$3:$AI$3,AB$60,$Z$4:$AI$4)))</f>
        <v>5</v>
      </c>
      <c r="AC64" s="196" t="n">
        <f aca="false">IF((SUMIF($Z$3:$AI$3,AC$60,$Z$4:$AI$4))=0,0,((SUMIF($Z$3:$AI$3,AC$60,$Z113:$AI113))/SUMIF($Z$3:$AI$3,AC$60,$Z$4:$AI$4)))</f>
        <v>0</v>
      </c>
      <c r="AD64" s="196" t="n">
        <f aca="false">IF((SUMIF($Z$3:$AI$3,AD$60,$Z$4:$AI$4))=0,0,((SUMIF($Z$3:$AI$3,AD$60,$Z113:$AI113))/SUMIF($Z$3:$AI$3,AD$60,$Z$4:$AI$4)))</f>
        <v>0</v>
      </c>
      <c r="AE64" s="196" t="n">
        <f aca="false">IF((SUMIF($Z$3:$AI$3,AE$60,$Z$4:$AI$4))=0,0,((SUMIF($Z$3:$AI$3,AE$60,$Z113:$AI113))/SUMIF($Z$3:$AI$3,AE$60,$Z$4:$AI$4)))</f>
        <v>0</v>
      </c>
      <c r="AF64" s="196" t="n">
        <f aca="false">IF((SUMIF($Z$3:$AI$3,AF$60,$Z$4:$AI$4))=0,0,((SUMIF($Z$3:$AI$3,AF$60,$Z113:$AI113))/SUMIF($Z$3:$AI$3,AF$60,$Z$4:$AI$4)))</f>
        <v>0</v>
      </c>
      <c r="AG64" s="196" t="n">
        <f aca="false">IF((SUMIF($Z$3:$AI$3,AG$60,$Z$4:$AI$4))=0,0,((SUMIF($Z$3:$AI$3,AG$60,$Z113:$AI113))/SUMIF($Z$3:$AI$3,AG$60,$Z$4:$AI$4)))</f>
        <v>0</v>
      </c>
      <c r="AH64" s="196" t="n">
        <f aca="false">IF((SUMIF($Z$3:$AI$3,AH$60,$Z$4:$AI$4))=0,0,((SUMIF($Z$3:$AI$3,AH$60,$Z113:$AI113))/SUMIF($Z$3:$AI$3,AH$60,$Z$4:$AI$4)))</f>
        <v>0</v>
      </c>
      <c r="AI64" s="197" t="n">
        <f aca="false">IF((SUMIF($Z$3:$AI$3,AI$60,$Z$4:$AI$4))=0,0,((SUMIF($Z$3:$AI$3,AI$60,$Z113:$AI113))/SUMIF($Z$3:$AI$3,AI$60,$Z$4:$AI$4)))</f>
        <v>0</v>
      </c>
      <c r="AJ64" s="194" t="str">
        <f aca="false">Y64</f>
        <v>Alumno3</v>
      </c>
      <c r="AK64" s="195" t="n">
        <f aca="false">IF((SUMIF($AK$3:$AT$3,AK$60,$AK$4:$AT$4))=0,0,((SUMIF($AK$3:$AT$3,AK$60,$AK113:$AT113))/SUMIF($AK$3:$AT$3,AK$60,$AK$4:$AT$4)))</f>
        <v>5</v>
      </c>
      <c r="AL64" s="196" t="n">
        <f aca="false">IF((SUMIF($AK$3:$AT$3,AL$60,$AK$4:$AT$4))=0,0,((SUMIF($AK$3:$AT$3,AL$60,$AK113:$AT113))/SUMIF($AK$3:$AT$3,AL$60,$AK$4:$AT$4)))</f>
        <v>5.5</v>
      </c>
      <c r="AM64" s="196" t="n">
        <f aca="false">IF((SUMIF($AK$3:$AT$3,AM$60,$AK$4:$AT$4))=0,0,((SUMIF($AK$3:$AT$3,AM$60,$AK113:$AT113))/SUMIF($AK$3:$AT$3,AM$60,$AK$4:$AT$4)))</f>
        <v>3.5</v>
      </c>
      <c r="AN64" s="196" t="n">
        <f aca="false">IF((SUMIF($AK$3:$AT$3,AN$60,$AK$4:$AT$4))=0,0,((SUMIF($AK$3:$AT$3,AN$60,$AK113:$AT113))/SUMIF($AK$3:$AT$3,AN$60,$AK$4:$AT$4)))</f>
        <v>0</v>
      </c>
      <c r="AO64" s="196" t="n">
        <f aca="false">IF((SUMIF($AK$3:$AT$3,AO$60,$AK$4:$AT$4))=0,0,((SUMIF($AK$3:$AT$3,AO$60,$AK113:$AT113))/SUMIF($AK$3:$AT$3,AO$60,$AK$4:$AT$4)))</f>
        <v>0</v>
      </c>
      <c r="AP64" s="196" t="n">
        <f aca="false">IF((SUMIF($AK$3:$AT$3,AP$60,$AK$4:$AT$4))=0,0,((SUMIF($AK$3:$AT$3,AP$60,$AK113:$AT113))/SUMIF($AK$3:$AT$3,AP$60,$AK$4:$AT$4)))</f>
        <v>0</v>
      </c>
      <c r="AQ64" s="196" t="n">
        <f aca="false">IF((SUMIF($AK$3:$AT$3,AQ$60,$AK$4:$AT$4))=0,0,((SUMIF($AK$3:$AT$3,AQ$60,$AK113:$AT113))/SUMIF($AK$3:$AT$3,AQ$60,$AK$4:$AT$4)))</f>
        <v>0</v>
      </c>
      <c r="AR64" s="196" t="n">
        <f aca="false">IF((SUMIF($AK$3:$AT$3,AR$60,$AK$4:$AT$4))=0,0,((SUMIF($AK$3:$AT$3,AR$60,$AK113:$AT113))/SUMIF($AK$3:$AT$3,AR$60,$AK$4:$AT$4)))</f>
        <v>0</v>
      </c>
      <c r="AS64" s="196" t="n">
        <f aca="false">IF((SUMIF($AK$3:$AT$3,AS$60,$AK$4:$AT$4))=0,0,((SUMIF($AK$3:$AT$3,AS$60,$AK113:$AT113))/SUMIF($AK$3:$AT$3,AS$60,$AK$4:$AT$4)))</f>
        <v>0</v>
      </c>
      <c r="AT64" s="197" t="n">
        <f aca="false">IF((SUMIF($AK$3:$AT$3,AT$60,$AK$4:$AT$4))=0,0,((SUMIF($AK$3:$AT$3,AT$60,$AK113:$AT113))/SUMIF($AK$3:$AT$3,AT$60,$AK$4:$AT$4)))</f>
        <v>0</v>
      </c>
      <c r="AU64" s="194" t="str">
        <f aca="false">AJ64</f>
        <v>Alumno3</v>
      </c>
      <c r="AV64" s="195" t="n">
        <f aca="false">IF((SUMIF($AV$3:$BE$3,AV$60,$AV$4:$BE$4))=0,0,((SUMIF($AV$3:$BE$3,AV$60,$AV113:$BE113))/SUMIF($AV$3:$BE$3,AV$60,$AV$4:$BE$4)))</f>
        <v>6</v>
      </c>
      <c r="AW64" s="196" t="n">
        <f aca="false">IF((SUMIF($AV$3:$BE$3,AW$60,$AV$4:$BE$4))=0,0,((SUMIF($AV$3:$BE$3,AW$60,$AV113:$BE113))/SUMIF($AV$3:$BE$3,AW$60,$AV$4:$BE$4)))</f>
        <v>7</v>
      </c>
      <c r="AX64" s="196" t="n">
        <f aca="false">IF((SUMIF($AV$3:$BE$3,AX$60,$AV$4:$BE$4))=0,0,((SUMIF($AV$3:$BE$3,AX$60,$AV113:$BE113))/SUMIF($AV$3:$BE$3,AX$60,$AV$4:$BE$4)))</f>
        <v>4</v>
      </c>
      <c r="AY64" s="196" t="n">
        <f aca="false">IF((SUMIF($AV$3:$BE$3,AY$60,$AV$4:$BE$4))=0,0,((SUMIF($AV$3:$BE$3,AY$60,$AV113:$BE113))/SUMIF($AV$3:$BE$3,AY$60,$AV$4:$BE$4)))</f>
        <v>5</v>
      </c>
      <c r="AZ64" s="196" t="n">
        <f aca="false">IF((SUMIF($AV$3:$BE$3,AZ$60,$AV$4:$BE$4))=0,0,((SUMIF($AV$3:$BE$3,AZ$60,$AV113:$BE113))/SUMIF($AV$3:$BE$3,AZ$60,$AV$4:$BE$4)))</f>
        <v>0</v>
      </c>
      <c r="BA64" s="196" t="n">
        <f aca="false">IF((SUMIF($AV$3:$BE$3,BA$60,$AV$4:$BE$4))=0,0,((SUMIF($AV$3:$BE$3,BA$60,$AV113:$BE113))/SUMIF($AV$3:$BE$3,BA$60,$AV$4:$BE$4)))</f>
        <v>0</v>
      </c>
      <c r="BB64" s="196" t="n">
        <f aca="false">IF((SUMIF($AV$3:$BE$3,BB$60,$AV$4:$BE$4))=0,0,((SUMIF($AV$3:$BE$3,BB$60,$AV113:$BE113))/SUMIF($AV$3:$BE$3,BB$60,$AV$4:$BE$4)))</f>
        <v>0</v>
      </c>
      <c r="BC64" s="196" t="n">
        <f aca="false">IF((SUMIF($AV$3:$BE$3,BC$60,$AV$4:$BE$4))=0,0,((SUMIF($AV$3:$BE$3,BC$60,$AV113:$BE113))/SUMIF($AV$3:$BE$3,BC$60,$AV$4:$BE$4)))</f>
        <v>0</v>
      </c>
      <c r="BD64" s="196" t="n">
        <f aca="false">IF((SUMIF($AV$3:$BE$3,BD$60,$AV$4:$BE$4))=0,0,((SUMIF($AV$3:$BE$3,BD$60,$AV113:$BE113))/SUMIF($AV$3:$BE$3,BD$60,$AV$4:$BE$4)))</f>
        <v>0</v>
      </c>
      <c r="BE64" s="197" t="n">
        <f aca="false">IF((SUMIF($AV$3:$BE$3,BE$60,$AV$4:$BE$4))=0,0,((SUMIF($AV$3:$BE$3,BE$60,$AV113:$BE113))/SUMIF($AV$3:$BE$3,BE$60,$AV$4:$BE$4)))</f>
        <v>0</v>
      </c>
      <c r="BF64" s="194" t="str">
        <f aca="false">AU64</f>
        <v>Alumno3</v>
      </c>
      <c r="BG64" s="195" t="n">
        <f aca="false">IF((SUMIF($BG$3:$BP$3,BG$60,$BG$4:$BP$4))=0,0,((SUMIF($BG$3:$BP$3,BG$60,$BG113:$BP113))/SUMIF($BG$3:$BP$3,BG$60,$BG$4:$BP$4)))</f>
        <v>6</v>
      </c>
      <c r="BH64" s="196" t="n">
        <f aca="false">IF((SUMIF($BG$3:$BP$3,BH$60,$BG$4:$BP$4))=0,0,((SUMIF($BG$3:$BP$3,BH$60,$BG113:$BP113))/SUMIF($BG$3:$BP$3,BH$60,$BG$4:$BP$4)))</f>
        <v>7</v>
      </c>
      <c r="BI64" s="196" t="n">
        <f aca="false">IF((SUMIF($BG$3:$BP$3,BI$60,$BG$4:$BP$4))=0,0,((SUMIF($BG$3:$BP$3,BI$60,$BG113:$BP113))/SUMIF($BG$3:$BP$3,BI$60,$BG$4:$BP$4)))</f>
        <v>4</v>
      </c>
      <c r="BJ64" s="196" t="n">
        <f aca="false">IF((SUMIF($BG$3:$BP$3,BJ$60,$BG$4:$BP$4))=0,0,((SUMIF($BG$3:$BP$3,BJ$60,$BG113:$BP113))/SUMIF($BG$3:$BP$3,BJ$60,$BG$4:$BP$4)))</f>
        <v>4.6</v>
      </c>
      <c r="BK64" s="196" t="n">
        <f aca="false">IF((SUMIF($BG$3:$BP$3,BK$60,$BG$4:$BP$4))=0,0,((SUMIF($BG$3:$BP$3,BK$60,$BG113:$BP113))/SUMIF($BG$3:$BP$3,BK$60,$BG$4:$BP$4)))</f>
        <v>0</v>
      </c>
      <c r="BL64" s="196" t="n">
        <f aca="false">IF((SUMIF($BG$3:$BP$3,BL$60,$BG$4:$BP$4))=0,0,((SUMIF($BG$3:$BP$3,BL$60,$BG113:$BP113))/SUMIF($BG$3:$BP$3,BL$60,$BG$4:$BP$4)))</f>
        <v>0</v>
      </c>
      <c r="BM64" s="196" t="n">
        <f aca="false">IF((SUMIF($BG$3:$BP$3,BM$60,$BG$4:$BP$4))=0,0,((SUMIF($BG$3:$BP$3,BM$60,$BG113:$BP113))/SUMIF($BG$3:$BP$3,BM$60,$BG$4:$BP$4)))</f>
        <v>0</v>
      </c>
      <c r="BN64" s="196" t="n">
        <f aca="false">IF((SUMIF($BG$3:$BP$3,BN$60,$BG$4:$BP$4))=0,0,((SUMIF($BG$3:$BP$3,BN$60,$BG113:$BP113))/SUMIF($BG$3:$BP$3,BN$60,$BG$4:$BP$4)))</f>
        <v>0</v>
      </c>
      <c r="BO64" s="196" t="n">
        <f aca="false">IF((SUMIF($BG$3:$BP$3,BO$60,$BG$4:$BP$4))=0,0,((SUMIF($BG$3:$BP$3,BO$60,$BG113:$BP113))/SUMIF($BG$3:$BP$3,BO$60,$BG$4:$BP$4)))</f>
        <v>0</v>
      </c>
      <c r="BP64" s="197" t="n">
        <f aca="false">IF((SUMIF($BG$3:$BP$3,BP$60,$BG$4:$BP$4))=0,0,((SUMIF($BG$3:$BP$3,BP$60,$BG113:$BP113))/SUMIF($BG$3:$BP$3,BP$60,$BG$4:$BP$4)))</f>
        <v>0</v>
      </c>
      <c r="BQ64" s="194" t="str">
        <f aca="false">BF64</f>
        <v>Alumno3</v>
      </c>
      <c r="BR64" s="195" t="n">
        <f aca="false">IF((SUMIF($BR$3:$CA$3,BR$60,$BR$4:$CA$4))=0,0,((SUMIF($BR$3:$CA$3,BR$60,$BR113:$CA113))/SUMIF($BR$3:$CA$3,BR$60,$BR$4:$CA$4)))</f>
        <v>0</v>
      </c>
      <c r="BS64" s="196" t="n">
        <f aca="false">IF((SUMIF($BR$3:$CA$3,BS$60,$BR$4:$CA$4))=0,0,((SUMIF($BR$3:$CA$3,BS$60,$BR113:$CA113))/SUMIF($BR$3:$CA$3,BS$60,$BR$4:$CA$4)))</f>
        <v>9</v>
      </c>
      <c r="BT64" s="196" t="n">
        <f aca="false">IF((SUMIF($BR$3:$CA$3,BT$60,$BR$4:$CA$4))=0,0,((SUMIF($BR$3:$CA$3,BT$60,$BR113:$CA113))/SUMIF($BR$3:$CA$3,BT$60,$BR$4:$CA$4)))</f>
        <v>10</v>
      </c>
      <c r="BU64" s="196" t="n">
        <f aca="false">IF((SUMIF($BR$3:$CA$3,BU$60,$BR$4:$CA$4))=0,0,((SUMIF($BR$3:$CA$3,BU$60,$BR113:$CA113))/SUMIF($BR$3:$CA$3,BU$60,$BR$4:$CA$4)))</f>
        <v>9.4</v>
      </c>
      <c r="BV64" s="196" t="n">
        <f aca="false">IF((SUMIF($BR$3:$CA$3,BV$60,$BR$4:$CA$4))=0,0,((SUMIF($BR$3:$CA$3,BV$60,$BR113:$CA113))/SUMIF($BR$3:$CA$3,BV$60,$BR$4:$CA$4)))</f>
        <v>0</v>
      </c>
      <c r="BW64" s="196" t="n">
        <f aca="false">IF((SUMIF($BR$3:$CA$3,BW$60,$BR$4:$CA$4))=0,0,((SUMIF($BR$3:$CA$3,BW$60,$BR113:$CA113))/SUMIF($BR$3:$CA$3,BW$60,$BR$4:$CA$4)))</f>
        <v>0</v>
      </c>
      <c r="BX64" s="196" t="n">
        <f aca="false">IF((SUMIF($BR$3:$CA$3,BX$60,$BR$4:$CA$4))=0,0,((SUMIF($BR$3:$CA$3,BX$60,$BR113:$CA113))/SUMIF($BR$3:$CA$3,BX$60,$BR$4:$CA$4)))</f>
        <v>0</v>
      </c>
      <c r="BY64" s="196" t="n">
        <f aca="false">IF((SUMIF($BR$3:$CA$3,BY$60,$BR$4:$CA$4))=0,0,((SUMIF($BR$3:$CA$3,BY$60,$BR113:$CA113))/SUMIF($BR$3:$CA$3,BY$60,$BR$4:$CA$4)))</f>
        <v>0</v>
      </c>
      <c r="BZ64" s="196" t="n">
        <f aca="false">IF((SUMIF($BR$3:$CA$3,BZ$60,$BR$4:$CA$4))=0,0,((SUMIF($BR$3:$CA$3,BZ$60,$BR113:$CA113))/SUMIF($BR$3:$CA$3,BZ$60,$BR$4:$CA$4)))</f>
        <v>0</v>
      </c>
      <c r="CA64" s="197" t="n">
        <f aca="false">IF((SUMIF($BR$3:$CA$3,CA$60,$BR$4:$CA$4))=0,0,((SUMIF($BR$3:$CA$3,CA$60,$BR113:$CA113))/SUMIF($BR$3:$CA$3,CA$60,$BR$4:$CA$4)))</f>
        <v>0</v>
      </c>
      <c r="CB64" s="194" t="str">
        <f aca="false">BQ64</f>
        <v>Alumno3</v>
      </c>
      <c r="CC64" s="195" t="n">
        <f aca="false">IF((SUMIF($CC$3:$CL$3,CC$60,$CC$4:$CL$4))=0,0,((SUMIF($CC$3:$CL$3,CC$60,$CC113:$CL113))/SUMIF($CC$3:$CL$3,CC$60,$CC$4:$CL$4)))</f>
        <v>0</v>
      </c>
      <c r="CD64" s="196" t="n">
        <f aca="false">IF((SUMIF($CC$3:$CL$3,CD$60,$CC$4:$CL$4))=0,0,((SUMIF($CC$3:$CL$3,CD$60,$CC113:$CL113))/SUMIF($CC$3:$CL$3,CD$60,$CC$4:$CL$4)))</f>
        <v>0</v>
      </c>
      <c r="CE64" s="196" t="n">
        <f aca="false">IF((SUMIF($CC$3:$CL$3,CE$60,$CC$4:$CL$4))=0,0,((SUMIF($CC$3:$CL$3,CE$60,$CC113:$CL113))/SUMIF($CC$3:$CL$3,CE$60,$CC$4:$CL$4)))</f>
        <v>0</v>
      </c>
      <c r="CF64" s="196" t="n">
        <f aca="false">IF((SUMIF($CC$3:$CL$3,CF$60,$CC$4:$CL$4))=0,0,((SUMIF($CC$3:$CL$3,CF$60,$CC113:$CL113))/SUMIF($CC$3:$CL$3,CF$60,$CC$4:$CL$4)))</f>
        <v>0</v>
      </c>
      <c r="CG64" s="196" t="n">
        <f aca="false">IF((SUMIF($CC$3:$CL$3,CG$60,$CC$4:$CL$4))=0,0,((SUMIF($CC$3:$CL$3,CG$60,$CC113:$CL113))/SUMIF($CC$3:$CL$3,CG$60,$CC$4:$CL$4)))</f>
        <v>0</v>
      </c>
      <c r="CH64" s="196" t="n">
        <f aca="false">IF((SUMIF($CC$3:$CL$3,CH$60,$CC$4:$CL$4))=0,0,((SUMIF($CC$3:$CL$3,CH$60,$CC113:$CL113))/SUMIF($CC$3:$CL$3,CH$60,$CC$4:$CL$4)))</f>
        <v>0</v>
      </c>
      <c r="CI64" s="196" t="n">
        <f aca="false">IF((SUMIF($CC$3:$CL$3,CI$60,$CC$4:$CL$4))=0,0,((SUMIF($CC$3:$CL$3,CI$60,$CC113:$CL113))/SUMIF($CC$3:$CL$3,CI$60,$CC$4:$CL$4)))</f>
        <v>0</v>
      </c>
      <c r="CJ64" s="196" t="n">
        <f aca="false">IF((SUMIF($CC$3:$CL$3,CJ$60,$CC$4:$CL$4))=0,0,((SUMIF($CC$3:$CL$3,CJ$60,$CC113:$CL113))/SUMIF($CC$3:$CL$3,CJ$60,$CC$4:$CL$4)))</f>
        <v>0</v>
      </c>
      <c r="CK64" s="196" t="n">
        <f aca="false">IF((SUMIF($CC$3:$CL$3,CK$60,$CC$4:$CL$4))=0,0,((SUMIF($CC$3:$CL$3,CK$60,$CC113:$CL113))/SUMIF($CC$3:$CL$3,CK$60,$CC$4:$CL$4)))</f>
        <v>0</v>
      </c>
      <c r="CL64" s="197" t="n">
        <f aca="false">IF((SUMIF($CC$3:$CL$3,CL$60,$CC$4:$CL$4))=0,0,((SUMIF($CC$3:$CL$3,CL$60,$CC113:$CL113))/SUMIF($CC$3:$CL$3,CL$60,$CC$4:$CL$4)))</f>
        <v>0</v>
      </c>
      <c r="CM64" s="194" t="str">
        <f aca="false">CB64</f>
        <v>Alumno3</v>
      </c>
      <c r="CN64" s="195" t="n">
        <f aca="false">IF((SUMIF($CN$3:$CW$3,CN$60,$CN$4:$CW$4))=0,0,((SUMIF($CN$3:$CW$3,CN$60,$CN113:$CW113))/SUMIF($CN$3:$CW$3,CN$60,$CN$4:$CW$4)))</f>
        <v>0</v>
      </c>
      <c r="CO64" s="196" t="n">
        <f aca="false">IF((SUMIF($CN$3:$CW$3,CO$60,$CN$4:$CW$4))=0,0,((SUMIF($CN$3:$CW$3,CO$60,$CN113:$CW113))/SUMIF($CN$3:$CW$3,CO$60,$CN$4:$CW$4)))</f>
        <v>0</v>
      </c>
      <c r="CP64" s="196" t="n">
        <f aca="false">IF((SUMIF($CN$3:$CW$3,CP$60,$CN$4:$CW$4))=0,0,((SUMIF($CN$3:$CW$3,CP$60,$CN113:$CW113))/SUMIF($CN$3:$CW$3,CP$60,$CN$4:$CW$4)))</f>
        <v>0</v>
      </c>
      <c r="CQ64" s="196" t="n">
        <f aca="false">IF((SUMIF($CN$3:$CW$3,CQ$60,$CN$4:$CW$4))=0,0,((SUMIF($CN$3:$CW$3,CQ$60,$CN113:$CW113))/SUMIF($CN$3:$CW$3,CQ$60,$CN$4:$CW$4)))</f>
        <v>0</v>
      </c>
      <c r="CR64" s="196" t="n">
        <f aca="false">IF((SUMIF($CN$3:$CW$3,CR$60,$CN$4:$CW$4))=0,0,((SUMIF($CN$3:$CW$3,CR$60,$CN113:$CW113))/SUMIF($CN$3:$CW$3,CR$60,$CN$4:$CW$4)))</f>
        <v>0</v>
      </c>
      <c r="CS64" s="196" t="n">
        <f aca="false">IF((SUMIF($CN$3:$CW$3,CS$60,$CN$4:$CW$4))=0,0,((SUMIF($CN$3:$CW$3,CS$60,$CN113:$CW113))/SUMIF($CN$3:$CW$3,CS$60,$CN$4:$CW$4)))</f>
        <v>0</v>
      </c>
      <c r="CT64" s="196" t="n">
        <f aca="false">IF((SUMIF($CN$3:$CW$3,CT$60,$CN$4:$CW$4))=0,0,((SUMIF($CN$3:$CW$3,CT$60,$CN113:$CW113))/SUMIF($CN$3:$CW$3,CT$60,$CN$4:$CW$4)))</f>
        <v>0</v>
      </c>
      <c r="CU64" s="196" t="n">
        <f aca="false">IF((SUMIF($CN$3:$CW$3,CU$60,$CN$4:$CW$4))=0,0,((SUMIF($CN$3:$CW$3,CU$60,$CN113:$CW113))/SUMIF($CN$3:$CW$3,CU$60,$CN$4:$CW$4)))</f>
        <v>0</v>
      </c>
      <c r="CV64" s="196" t="n">
        <f aca="false">IF((SUMIF($CN$3:$CW$3,CV$60,$CN$4:$CW$4))=0,0,((SUMIF($CN$3:$CW$3,CV$60,$CN113:$CW113))/SUMIF($CN$3:$CW$3,CV$60,$CN$4:$CW$4)))</f>
        <v>0</v>
      </c>
      <c r="CW64" s="197" t="n">
        <f aca="false">IF((SUMIF($CN$3:$CW$3,CW$60,$CN$4:$CW$4))=0,0,((SUMIF($CN$3:$CW$3,CW$60,$CN113:$CW113))/SUMIF($CN$3:$CW$3,CW$60,$CN$4:$CW$4)))</f>
        <v>0</v>
      </c>
      <c r="CX64" s="194" t="str">
        <f aca="false">CM64</f>
        <v>Alumno3</v>
      </c>
      <c r="CY64" s="195" t="n">
        <f aca="false">IF((SUMIF($CY$3:$DH$3,CY$60,$CY$4:$DH$4))=0,0,((SUMIF($CY$3:$DH$3,CY$60,$CY113:$DH113))/SUMIF($CY$3:$DH$3,CY$60,$CY$4:$DH$4)))</f>
        <v>0</v>
      </c>
      <c r="CZ64" s="196" t="n">
        <f aca="false">IF((SUMIF($CY$3:$DH$3,CZ$60,$CY$4:$DH$4))=0,0,((SUMIF($CY$3:$DH$3,CZ$60,$CY113:$DH113))/SUMIF($CY$3:$DH$3,CZ$60,$CY$4:$DH$4)))</f>
        <v>0</v>
      </c>
      <c r="DA64" s="196" t="n">
        <f aca="false">IF((SUMIF($CY$3:$DH$3,DA$60,$CY$4:$DH$4))=0,0,((SUMIF($CY$3:$DH$3,DA$60,$CY113:$DH113))/SUMIF($CY$3:$DH$3,DA$60,$CY$4:$DH$4)))</f>
        <v>0</v>
      </c>
      <c r="DB64" s="196" t="n">
        <f aca="false">IF((SUMIF($CY$3:$DH$3,DB$60,$CY$4:$DH$4))=0,0,((SUMIF($CY$3:$DH$3,DB$60,$CY113:$DH113))/SUMIF($CY$3:$DH$3,DB$60,$CY$4:$DH$4)))</f>
        <v>0</v>
      </c>
      <c r="DC64" s="196" t="n">
        <f aca="false">IF((SUMIF($CY$3:$DH$3,DC$60,$CY$4:$DH$4))=0,0,((SUMIF($CY$3:$DH$3,DC$60,$CY113:$DH113))/SUMIF($CY$3:$DH$3,DC$60,$CY$4:$DH$4)))</f>
        <v>0</v>
      </c>
      <c r="DD64" s="196" t="n">
        <f aca="false">IF((SUMIF($CY$3:$DH$3,DD$60,$CY$4:$DH$4))=0,0,((SUMIF($CY$3:$DH$3,DD$60,$CY113:$DH113))/SUMIF($CY$3:$DH$3,DD$60,$CY$4:$DH$4)))</f>
        <v>0</v>
      </c>
      <c r="DE64" s="196" t="n">
        <f aca="false">IF((SUMIF($CY$3:$DH$3,DE$60,$CY$4:$DH$4))=0,0,((SUMIF($CY$3:$DH$3,DE$60,$CY113:$DH113))/SUMIF($CY$3:$DH$3,DE$60,$CY$4:$DH$4)))</f>
        <v>0</v>
      </c>
      <c r="DF64" s="196" t="n">
        <f aca="false">IF((SUMIF($CY$3:$DH$3,DF$60,$CY$4:$DH$4))=0,0,((SUMIF($CY$3:$DH$3,DF$60,$CY113:$DH113))/SUMIF($CY$3:$DH$3,DF$60,$CY$4:$DH$4)))</f>
        <v>0</v>
      </c>
      <c r="DG64" s="196" t="n">
        <f aca="false">IF((SUMIF($CY$3:$DH$3,DG$60,$CY$4:$DH$4))=0,0,((SUMIF($CY$3:$DH$3,DG$60,$CY113:$DH113))/SUMIF($CY$3:$DH$3,DG$60,$CY$4:$DH$4)))</f>
        <v>0</v>
      </c>
      <c r="DH64" s="197" t="n">
        <f aca="false">IF((SUMIF($CY$3:$DH$3,DH$60,$CY$4:$DH$4))=0,0,((SUMIF($CY$3:$DH$3,DH$60,$CY113:$DH113))/SUMIF($CY$3:$DH$3,DH$60,$CY$4:$DH$4)))</f>
        <v>0</v>
      </c>
      <c r="DI64" s="194" t="str">
        <f aca="false">CX64</f>
        <v>Alumno3</v>
      </c>
      <c r="DJ64" s="195" t="n">
        <f aca="false">IF((SUMIF($DJ$3:$DS$3,DJ$60,$DJ$4:$DS$4))=0,0,((SUMIF($DJ$3:$DS$3,DJ$60,$DJ113:$DS113))/SUMIF($DJ$3:$DS$3,DJ$60,$DJ$4:$DS$4)))</f>
        <v>0</v>
      </c>
      <c r="DK64" s="196" t="n">
        <f aca="false">IF((SUMIF($DJ$3:$DS$3,DK$60,$DJ$4:$DS$4))=0,0,((SUMIF($DJ$3:$DS$3,DK$60,$DJ113:$DS113))/SUMIF($DJ$3:$DS$3,DK$60,$DJ$4:$DS$4)))</f>
        <v>0</v>
      </c>
      <c r="DL64" s="196" t="n">
        <f aca="false">IF((SUMIF($DJ$3:$DS$3,DL$60,$DJ$4:$DS$4))=0,0,((SUMIF($DJ$3:$DS$3,DL$60,$DJ113:$DS113))/SUMIF($DJ$3:$DS$3,DL$60,$DJ$4:$DS$4)))</f>
        <v>0</v>
      </c>
      <c r="DM64" s="196" t="n">
        <f aca="false">IF((SUMIF($DJ$3:$DS$3,DM$60,$DJ$4:$DS$4))=0,0,((SUMIF($DJ$3:$DS$3,DM$60,$DJ113:$DS113))/SUMIF($DJ$3:$DS$3,DM$60,$DJ$4:$DS$4)))</f>
        <v>0</v>
      </c>
      <c r="DN64" s="196" t="n">
        <f aca="false">IF((SUMIF($DJ$3:$DS$3,DN$60,$DJ$4:$DS$4))=0,0,((SUMIF($DJ$3:$DS$3,DN$60,$DJ113:$DS113))/SUMIF($DJ$3:$DS$3,DN$60,$DJ$4:$DS$4)))</f>
        <v>0</v>
      </c>
      <c r="DO64" s="196" t="n">
        <f aca="false">IF((SUMIF($DJ$3:$DS$3,DO$60,$DJ$4:$DS$4))=0,0,((SUMIF($DJ$3:$DS$3,DO$60,$DJ113:$DS113))/SUMIF($DJ$3:$DS$3,DO$60,$DJ$4:$DS$4)))</f>
        <v>0</v>
      </c>
      <c r="DP64" s="196" t="n">
        <f aca="false">IF((SUMIF($DJ$3:$DS$3,DP$60,$DJ$4:$DS$4))=0,0,((SUMIF($DJ$3:$DS$3,DP$60,$DJ113:$DS113))/SUMIF($DJ$3:$DS$3,DP$60,$DJ$4:$DS$4)))</f>
        <v>0</v>
      </c>
      <c r="DQ64" s="196" t="n">
        <f aca="false">IF((SUMIF($DJ$3:$DS$3,DQ$60,$DJ$4:$DS$4))=0,0,((SUMIF($DJ$3:$DS$3,DQ$60,$DJ113:$DS113))/SUMIF($DJ$3:$DS$3,DQ$60,$DJ$4:$DS$4)))</f>
        <v>0</v>
      </c>
      <c r="DR64" s="196" t="n">
        <f aca="false">IF((SUMIF($DJ$3:$DS$3,DR$60,$DJ$4:$DS$4))=0,0,((SUMIF($DJ$3:$DS$3,DR$60,$DJ113:$DS113))/SUMIF($DJ$3:$DS$3,DR$60,$DJ$4:$DS$4)))</f>
        <v>0</v>
      </c>
      <c r="DS64" s="197" t="n">
        <f aca="false">IF((SUMIF($DJ$3:$DS$3,DS$60,$DJ$4:$DS$4))=0,0,((SUMIF($DJ$3:$DS$3,DS$60,$DJ113:$DS113))/SUMIF($DJ$3:$DS$3,DS$60,$DJ$4:$DS$4)))</f>
        <v>0</v>
      </c>
      <c r="DT64" s="194" t="str">
        <f aca="false">DI64</f>
        <v>Alumno3</v>
      </c>
      <c r="DU64" s="195" t="n">
        <f aca="false">IF((SUMIF($DU$3:$ED$3,DU$60,$DU$4:$ED$4))=0,0,((SUMIF($DU$3:$ED$3,DU$60,$DU113:$ED113))/SUMIF($DU$3:$ED$3,DU$60,$DU$4:$ED$4)))</f>
        <v>0</v>
      </c>
      <c r="DV64" s="196" t="n">
        <f aca="false">IF((SUMIF($DU$3:$ED$3,DV$60,$DU$4:$ED$4))=0,0,((SUMIF($DU$3:$ED$3,DV$60,$DU113:$ED113))/SUMIF($DU$3:$ED$3,DV$60,$DU$4:$ED$4)))</f>
        <v>0</v>
      </c>
      <c r="DW64" s="196" t="n">
        <f aca="false">IF((SUMIF($DU$3:$ED$3,DW$60,$DU$4:$ED$4))=0,0,((SUMIF($DU$3:$ED$3,DW$60,$DU113:$ED113))/SUMIF($DU$3:$ED$3,DW$60,$DU$4:$ED$4)))</f>
        <v>0</v>
      </c>
      <c r="DX64" s="196" t="n">
        <f aca="false">IF((SUMIF($DU$3:$ED$3,DX$60,$DU$4:$ED$4))=0,0,((SUMIF($DU$3:$ED$3,DX$60,$DU113:$ED113))/SUMIF($DU$3:$ED$3,DX$60,$DU$4:$ED$4)))</f>
        <v>0</v>
      </c>
      <c r="DY64" s="196" t="n">
        <f aca="false">IF((SUMIF($DU$3:$ED$3,DY$60,$DU$4:$ED$4))=0,0,((SUMIF($DU$3:$ED$3,DY$60,$DU113:$ED113))/SUMIF($DU$3:$ED$3,DY$60,$DU$4:$ED$4)))</f>
        <v>0</v>
      </c>
      <c r="DZ64" s="196" t="n">
        <f aca="false">IF((SUMIF($DU$3:$ED$3,DZ$60,$DU$4:$ED$4))=0,0,((SUMIF($DU$3:$ED$3,DZ$60,$DU113:$ED113))/SUMIF($DU$3:$ED$3,DZ$60,$DU$4:$ED$4)))</f>
        <v>0</v>
      </c>
      <c r="EA64" s="196" t="n">
        <f aca="false">IF((SUMIF($DU$3:$ED$3,EA$60,$DU$4:$ED$4))=0,0,((SUMIF($DU$3:$ED$3,EA$60,$DU113:$ED113))/SUMIF($DU$3:$ED$3,EA$60,$DU$4:$ED$4)))</f>
        <v>0</v>
      </c>
      <c r="EB64" s="196" t="n">
        <f aca="false">IF((SUMIF($DU$3:$ED$3,EB$60,$DU$4:$ED$4))=0,0,((SUMIF($DU$3:$ED$3,EB$60,$DU113:$ED113))/SUMIF($DU$3:$ED$3,EB$60,$DU$4:$ED$4)))</f>
        <v>0</v>
      </c>
      <c r="EC64" s="196" t="n">
        <f aca="false">IF((SUMIF($DU$3:$ED$3,EC$60,$DU$4:$ED$4))=0,0,((SUMIF($DU$3:$ED$3,EC$60,$DU113:$ED113))/SUMIF($DU$3:$ED$3,EC$60,$DU$4:$ED$4)))</f>
        <v>0</v>
      </c>
      <c r="ED64" s="197" t="n">
        <f aca="false">IF((SUMIF($DU$3:$ED$3,ED$60,$DU$4:$ED$4))=0,0,((SUMIF($DU$3:$ED$3,ED$60,$DU113:$ED113))/SUMIF($DU$3:$ED$3,ED$60,$DU$4:$ED$4)))</f>
        <v>0</v>
      </c>
      <c r="EE64" s="194" t="str">
        <f aca="false">DT64</f>
        <v>Alumno3</v>
      </c>
      <c r="EF64" s="195" t="n">
        <f aca="false">IF((SUMIF($EF$3:$EO$3,EF$60,$EF$4:$EO$4))=0,0,((SUMIF($EF$3:$EO$3,EF$60,$EF113:$EO113))/SUMIF($EF$3:$EO$3,EF$60,$EF$4:$EO$4)))</f>
        <v>0</v>
      </c>
      <c r="EG64" s="196" t="n">
        <f aca="false">IF((SUMIF($EF$3:$EO$3,EG$60,$EF$4:$EO$4))=0,0,((SUMIF($EF$3:$EO$3,EG$60,$EF113:$EO113))/SUMIF($EF$3:$EO$3,EG$60,$EF$4:$EO$4)))</f>
        <v>0</v>
      </c>
      <c r="EH64" s="196" t="n">
        <f aca="false">IF((SUMIF($EF$3:$EO$3,EH$60,$EF$4:$EO$4))=0,0,((SUMIF($EF$3:$EO$3,EH$60,$EF113:$EO113))/SUMIF($EF$3:$EO$3,EH$60,$EF$4:$EO$4)))</f>
        <v>0</v>
      </c>
      <c r="EI64" s="196" t="n">
        <f aca="false">IF((SUMIF($EF$3:$EO$3,EI$60,$EF$4:$EO$4))=0,0,((SUMIF($EF$3:$EO$3,EI$60,$EF113:$EO113))/SUMIF($EF$3:$EO$3,EI$60,$EF$4:$EO$4)))</f>
        <v>0</v>
      </c>
      <c r="EJ64" s="196" t="n">
        <f aca="false">IF((SUMIF($EF$3:$EO$3,EJ$60,$EF$4:$EO$4))=0,0,((SUMIF($EF$3:$EO$3,EJ$60,$EF113:$EO113))/SUMIF($EF$3:$EO$3,EJ$60,$EF$4:$EO$4)))</f>
        <v>0</v>
      </c>
      <c r="EK64" s="196" t="n">
        <f aca="false">IF((SUMIF($EF$3:$EO$3,EK$60,$EF$4:$EO$4))=0,0,((SUMIF($EF$3:$EO$3,EK$60,$EF113:$EO113))/SUMIF($EF$3:$EO$3,EK$60,$EF$4:$EO$4)))</f>
        <v>0</v>
      </c>
      <c r="EL64" s="196" t="n">
        <f aca="false">IF((SUMIF($EF$3:$EO$3,EL$60,$EF$4:$EO$4))=0,0,((SUMIF($EF$3:$EO$3,EL$60,$EF113:$EO113))/SUMIF($EF$3:$EO$3,EL$60,$EF$4:$EO$4)))</f>
        <v>0</v>
      </c>
      <c r="EM64" s="196" t="n">
        <f aca="false">IF((SUMIF($EF$3:$EO$3,EM$60,$EF$4:$EO$4))=0,0,((SUMIF($EF$3:$EO$3,EM$60,$EF113:$EO113))/SUMIF($EF$3:$EO$3,EM$60,$EF$4:$EO$4)))</f>
        <v>0</v>
      </c>
      <c r="EN64" s="196" t="n">
        <f aca="false">IF((SUMIF($EF$3:$EO$3,EN$60,$EF$4:$EO$4))=0,0,((SUMIF($EF$3:$EO$3,EN$60,$EF113:$EO113))/SUMIF($EF$3:$EO$3,EN$60,$EF$4:$EO$4)))</f>
        <v>0</v>
      </c>
      <c r="EO64" s="197" t="n">
        <f aca="false">IF((SUMIF($EF$3:$EO$3,EO$60,$EF$4:$EO$4))=0,0,((SUMIF($EF$3:$EO$3,EO$60,$EF113:$EO113))/SUMIF($EF$3:$EO$3,EO$60,$EF$4:$EO$4)))</f>
        <v>0</v>
      </c>
      <c r="EP64" s="194" t="str">
        <f aca="false">EE64</f>
        <v>Alumno3</v>
      </c>
      <c r="EQ64" s="195" t="n">
        <f aca="false">IF((SUMIF($EQ$3:$EZ$3,EQ$60,$EQ$4:$EZ$4))=0,0,((SUMIF($EQ$3:$EZ$3,EQ$60,$EQ113:$EZ113))/SUMIF($EQ$3:$EZ$3,EQ$60,$EQ$4:$EZ$4)))</f>
        <v>0</v>
      </c>
      <c r="ER64" s="196" t="n">
        <f aca="false">IF((SUMIF($EQ$3:$EZ$3,ER$60,$EQ$4:$EZ$4))=0,0,((SUMIF($EQ$3:$EZ$3,ER$60,$EQ113:$EZ113))/SUMIF($EQ$3:$EZ$3,ER$60,$EQ$4:$EZ$4)))</f>
        <v>0</v>
      </c>
      <c r="ES64" s="196" t="n">
        <f aca="false">IF((SUMIF($EQ$3:$EZ$3,ES$60,$EQ$4:$EZ$4))=0,0,((SUMIF($EQ$3:$EZ$3,ES$60,$EQ113:$EZ113))/SUMIF($EQ$3:$EZ$3,ES$60,$EQ$4:$EZ$4)))</f>
        <v>0</v>
      </c>
      <c r="ET64" s="196" t="n">
        <f aca="false">IF((SUMIF($EQ$3:$EZ$3,ET$60,$EQ$4:$EZ$4))=0,0,((SUMIF($EQ$3:$EZ$3,ET$60,$EQ113:$EZ113))/SUMIF($EQ$3:$EZ$3,ET$60,$EQ$4:$EZ$4)))</f>
        <v>0</v>
      </c>
      <c r="EU64" s="196" t="n">
        <f aca="false">IF((SUMIF($EQ$3:$EZ$3,EU$60,$EQ$4:$EZ$4))=0,0,((SUMIF($EQ$3:$EZ$3,EU$60,$EQ113:$EZ113))/SUMIF($EQ$3:$EZ$3,EU$60,$EQ$4:$EZ$4)))</f>
        <v>0</v>
      </c>
      <c r="EV64" s="196" t="n">
        <f aca="false">IF((SUMIF($EQ$3:$EZ$3,EV$60,$EQ$4:$EZ$4))=0,0,((SUMIF($EQ$3:$EZ$3,EV$60,$EQ113:$EZ113))/SUMIF($EQ$3:$EZ$3,EV$60,$EQ$4:$EZ$4)))</f>
        <v>0</v>
      </c>
      <c r="EW64" s="196" t="n">
        <f aca="false">IF((SUMIF($EQ$3:$EZ$3,EW$60,$EQ$4:$EZ$4))=0,0,((SUMIF($EQ$3:$EZ$3,EW$60,$EQ113:$EZ113))/SUMIF($EQ$3:$EZ$3,EW$60,$EQ$4:$EZ$4)))</f>
        <v>0</v>
      </c>
      <c r="EX64" s="196" t="n">
        <f aca="false">IF((SUMIF($EQ$3:$EZ$3,EX$60,$EQ$4:$EZ$4))=0,0,((SUMIF($EQ$3:$EZ$3,EX$60,$EQ113:$EZ113))/SUMIF($EQ$3:$EZ$3,EX$60,$EQ$4:$EZ$4)))</f>
        <v>0</v>
      </c>
      <c r="EY64" s="196" t="n">
        <f aca="false">IF((SUMIF($EQ$3:$EZ$3,EY$60,$EQ$4:$EZ$4))=0,0,((SUMIF($EQ$3:$EZ$3,EY$60,$EQ113:$EZ113))/SUMIF($EQ$3:$EZ$3,EY$60,$EQ$4:$EZ$4)))</f>
        <v>0</v>
      </c>
      <c r="EZ64" s="197" t="n">
        <f aca="false">IF((SUMIF($EQ$3:$EZ$3,EZ$60,$EQ$4:$EZ$4))=0,0,((SUMIF($EQ$3:$EZ$3,EZ$60,$EQ113:$EZ113))/SUMIF($EQ$3:$EZ$3,EZ$60,$EQ$4:$EZ$4)))</f>
        <v>0</v>
      </c>
      <c r="FA64" s="194" t="str">
        <f aca="false">EP64</f>
        <v>Alumno3</v>
      </c>
      <c r="FB64" s="195" t="n">
        <f aca="false">IF((SUMIF($FB$3:$FK$3,FB$60,$FB$4:$FK$4))=0,0,((SUMIF($FB$3:$FK$3,FB$60,$FB113:$FK113))/SUMIF($FB$3:$FK$3,FB$60,$FB$4:$FK$4)))</f>
        <v>0</v>
      </c>
      <c r="FC64" s="196" t="n">
        <f aca="false">IF((SUMIF($FB$3:$FK$3,FC$60,$FB$4:$FK$4))=0,0,((SUMIF($FB$3:$FK$3,FC$60,$FB113:$FK113))/SUMIF($FB$3:$FK$3,FC$60,$FB$4:$FK$4)))</f>
        <v>0</v>
      </c>
      <c r="FD64" s="196" t="n">
        <f aca="false">IF((SUMIF($FB$3:$FK$3,FD$60,$FB$4:$FK$4))=0,0,((SUMIF($FB$3:$FK$3,FD$60,$FB113:$FK113))/SUMIF($FB$3:$FK$3,FD$60,$FB$4:$FK$4)))</f>
        <v>0</v>
      </c>
      <c r="FE64" s="196" t="n">
        <f aca="false">IF((SUMIF($FB$3:$FK$3,FE$60,$FB$4:$FK$4))=0,0,((SUMIF($FB$3:$FK$3,FE$60,$FB113:$FK113))/SUMIF($FB$3:$FK$3,FE$60,$FB$4:$FK$4)))</f>
        <v>0</v>
      </c>
      <c r="FF64" s="196" t="n">
        <f aca="false">IF((SUMIF($FB$3:$FK$3,FF$60,$FB$4:$FK$4))=0,0,((SUMIF($FB$3:$FK$3,FF$60,$FB113:$FK113))/SUMIF($FB$3:$FK$3,FF$60,$FB$4:$FK$4)))</f>
        <v>0</v>
      </c>
      <c r="FG64" s="196" t="n">
        <f aca="false">IF((SUMIF($FB$3:$FK$3,FG$60,$FB$4:$FK$4))=0,0,((SUMIF($FB$3:$FK$3,FG$60,$FB113:$FK113))/SUMIF($FB$3:$FK$3,FG$60,$FB$4:$FK$4)))</f>
        <v>0</v>
      </c>
      <c r="FH64" s="196" t="n">
        <f aca="false">IF((SUMIF($FB$3:$FK$3,FH$60,$FB$4:$FK$4))=0,0,((SUMIF($FB$3:$FK$3,FH$60,$FB113:$FK113))/SUMIF($FB$3:$FK$3,FH$60,$FB$4:$FK$4)))</f>
        <v>0</v>
      </c>
      <c r="FI64" s="196" t="n">
        <f aca="false">IF((SUMIF($FB$3:$FK$3,FI$60,$FB$4:$FK$4))=0,0,((SUMIF($FB$3:$FK$3,FI$60,$FB113:$FK113))/SUMIF($FB$3:$FK$3,FI$60,$FB$4:$FK$4)))</f>
        <v>0</v>
      </c>
      <c r="FJ64" s="196" t="n">
        <f aca="false">IF((SUMIF($FB$3:$FK$3,FJ$60,$FB$4:$FK$4))=0,0,((SUMIF($FB$3:$FK$3,FJ$60,$FB113:$FK113))/SUMIF($FB$3:$FK$3,FJ$60,$FB$4:$FK$4)))</f>
        <v>0</v>
      </c>
      <c r="FK64" s="197" t="n">
        <f aca="false">IF((SUMIF($FB$3:$FK$3,FK$60,$FB$4:$FK$4))=0,0,((SUMIF($FB$3:$FK$3,FK$60,$FB113:$FK113))/SUMIF($FB$3:$FK$3,FK$60,$FB$4:$FK$4)))</f>
        <v>0</v>
      </c>
      <c r="FL64" s="194" t="str">
        <f aca="false">FA64</f>
        <v>Alumno3</v>
      </c>
      <c r="FM64" s="195" t="n">
        <f aca="false">IF((SUMIF($FM$3:$FV$3,FM$60,$FM$4:$FV$4))=0,0,((SUMIF($FM$3:$FV$3,FM$60,$FM113:$FV113))/SUMIF($FM$3:$FV$3,FM$60,$FM$4:$FV$4)))</f>
        <v>0</v>
      </c>
      <c r="FN64" s="196" t="n">
        <f aca="false">IF((SUMIF($FM$3:$FV$3,FN$60,$FM$4:$FV$4))=0,0,((SUMIF($FM$3:$FV$3,FN$60,$FM113:$FV113))/SUMIF($FM$3:$FV$3,FN$60,$FM$4:$FV$4)))</f>
        <v>0</v>
      </c>
      <c r="FO64" s="196" t="n">
        <f aca="false">IF((SUMIF($FM$3:$FV$3,FO$60,$FM$4:$FV$4))=0,0,((SUMIF($FM$3:$FV$3,FO$60,$FM113:$FV113))/SUMIF($FM$3:$FV$3,FO$60,$FM$4:$FV$4)))</f>
        <v>0</v>
      </c>
      <c r="FP64" s="196" t="n">
        <f aca="false">IF((SUMIF($FM$3:$FV$3,FP$60,$FM$4:$FV$4))=0,0,((SUMIF($FM$3:$FV$3,FP$60,$FM113:$FV113))/SUMIF($FM$3:$FV$3,FP$60,$FM$4:$FV$4)))</f>
        <v>0</v>
      </c>
      <c r="FQ64" s="196" t="n">
        <f aca="false">IF((SUMIF($FM$3:$FV$3,FQ$60,$FM$4:$FV$4))=0,0,((SUMIF($FM$3:$FV$3,FQ$60,$FM113:$FV113))/SUMIF($FM$3:$FV$3,FQ$60,$FM$4:$FV$4)))</f>
        <v>0</v>
      </c>
      <c r="FR64" s="196" t="n">
        <f aca="false">IF((SUMIF($FM$3:$FV$3,FR$60,$FM$4:$FV$4))=0,0,((SUMIF($FM$3:$FV$3,FR$60,$FM113:$FV113))/SUMIF($FM$3:$FV$3,FR$60,$FM$4:$FV$4)))</f>
        <v>0</v>
      </c>
      <c r="FS64" s="196" t="n">
        <f aca="false">IF((SUMIF($FM$3:$FV$3,FS$60,$FM$4:$FV$4))=0,0,((SUMIF($FM$3:$FV$3,FS$60,$FM113:$FV113))/SUMIF($FM$3:$FV$3,FS$60,$FM$4:$FV$4)))</f>
        <v>0</v>
      </c>
      <c r="FT64" s="196" t="n">
        <f aca="false">IF((SUMIF($FM$3:$FV$3,FT$60,$FM$4:$FV$4))=0,0,((SUMIF($FM$3:$FV$3,FT$60,$FM113:$FV113))/SUMIF($FM$3:$FV$3,FT$60,$FM$4:$FV$4)))</f>
        <v>0</v>
      </c>
      <c r="FU64" s="196" t="n">
        <f aca="false">IF((SUMIF($FM$3:$FV$3,FU$60,$FM$4:$FV$4))=0,0,((SUMIF($FM$3:$FV$3,FU$60,$FM113:$FV113))/SUMIF($FM$3:$FV$3,FU$60,$FM$4:$FV$4)))</f>
        <v>0</v>
      </c>
      <c r="FV64" s="197" t="n">
        <f aca="false">IF((SUMIF($FM$3:$FV$3,FV$60,$FM$4:$FV$4))=0,0,((SUMIF($FM$3:$FV$3,FV$60,$FM113:$FV113))/SUMIF($FM$3:$FV$3,FV$60,$FM$4:$FV$4)))</f>
        <v>0</v>
      </c>
      <c r="FW64" s="194" t="str">
        <f aca="false">FL64</f>
        <v>Alumno3</v>
      </c>
      <c r="FX64" s="195" t="n">
        <f aca="false">IF((SUMIF($FX$3:$GG$3,FX$60,$FX$4:$GG$4))=0,0,((SUMIF($FX$3:$GG$3,FX$60,$FX113:$GG113))/SUMIF($FX$3:$GG$3,FX$60,$FX$4:$GG$4)))</f>
        <v>0</v>
      </c>
      <c r="FY64" s="196" t="n">
        <f aca="false">IF((SUMIF($FX$3:$GG$3,FY$60,$FX$4:$GG$4))=0,0,((SUMIF($FX$3:$GG$3,FY$60,$FX113:$GG113))/SUMIF($FX$3:$GG$3,FY$60,$FX$4:$GG$4)))</f>
        <v>0</v>
      </c>
      <c r="FZ64" s="196" t="n">
        <f aca="false">IF((SUMIF($FX$3:$GG$3,FZ$60,$FX$4:$GG$4))=0,0,((SUMIF($FX$3:$GG$3,FZ$60,$FX113:$GG113))/SUMIF($FX$3:$GG$3,FZ$60,$FX$4:$GG$4)))</f>
        <v>0</v>
      </c>
      <c r="GA64" s="196" t="n">
        <f aca="false">IF((SUMIF($FX$3:$GG$3,GA$60,$FX$4:$GG$4))=0,0,((SUMIF($FX$3:$GG$3,GA$60,$FX113:$GG113))/SUMIF($FX$3:$GG$3,GA$60,$FX$4:$GG$4)))</f>
        <v>0</v>
      </c>
      <c r="GB64" s="196" t="n">
        <f aca="false">IF((SUMIF($FX$3:$GG$3,GB$60,$FX$4:$GG$4))=0,0,((SUMIF($FX$3:$GG$3,GB$60,$FX113:$GG113))/SUMIF($FX$3:$GG$3,GB$60,$FX$4:$GG$4)))</f>
        <v>0</v>
      </c>
      <c r="GC64" s="196" t="n">
        <f aca="false">IF((SUMIF($FX$3:$GG$3,GC$60,$FX$4:$GG$4))=0,0,((SUMIF($FX$3:$GG$3,GC$60,$FX113:$GG113))/SUMIF($FX$3:$GG$3,GC$60,$FX$4:$GG$4)))</f>
        <v>0</v>
      </c>
      <c r="GD64" s="196" t="n">
        <f aca="false">IF((SUMIF($FX$3:$GG$3,GD$60,$FX$4:$GG$4))=0,0,((SUMIF($FX$3:$GG$3,GD$60,$FX113:$GG113))/SUMIF($FX$3:$GG$3,GD$60,$FX$4:$GG$4)))</f>
        <v>0</v>
      </c>
      <c r="GE64" s="196" t="n">
        <f aca="false">IF((SUMIF($FX$3:$GG$3,GE$60,$FX$4:$GG$4))=0,0,((SUMIF($FX$3:$GG$3,GE$60,$FX113:$GG113))/SUMIF($FX$3:$GG$3,GE$60,$FX$4:$GG$4)))</f>
        <v>0</v>
      </c>
      <c r="GF64" s="196" t="n">
        <f aca="false">IF((SUMIF($FX$3:$GG$3,GF$60,$FX$4:$GG$4))=0,0,((SUMIF($FX$3:$GG$3,GF$60,$FX113:$GG113))/SUMIF($FX$3:$GG$3,GF$60,$FX$4:$GG$4)))</f>
        <v>0</v>
      </c>
      <c r="GG64" s="197" t="n">
        <f aca="false">IF((SUMIF($FX$3:$GG$3,GG$60,$FX$4:$GG$4))=0,0,((SUMIF($FX$3:$GG$3,GG$60,$FX113:$GG113))/SUMIF($FX$3:$GG$3,GG$60,$FX$4:$GG$4)))</f>
        <v>0</v>
      </c>
      <c r="GH64" s="194" t="str">
        <f aca="false">FW64</f>
        <v>Alumno3</v>
      </c>
      <c r="GI64" s="195" t="n">
        <f aca="false">IF((SUMIF($GI$3:$GR$3,GI$60,$GI$4:$GR$4))=0,0,((SUMIF($GI$3:$GR$3,GI$60,$GI113:$GR113))/SUMIF($GI$3:$GR$3,GI$60,$GI$4:$GR$4)))</f>
        <v>0</v>
      </c>
      <c r="GJ64" s="196" t="n">
        <f aca="false">IF((SUMIF($GI$3:$GR$3,GJ$60,$GI$4:$GR$4))=0,0,((SUMIF($GI$3:$GR$3,GJ$60,$GI113:$GR113))/SUMIF($GI$3:$GR$3,GJ$60,$GI$4:$GR$4)))</f>
        <v>0</v>
      </c>
      <c r="GK64" s="196" t="n">
        <f aca="false">IF((SUMIF($GI$3:$GR$3,GK$60,$GI$4:$GR$4))=0,0,((SUMIF($GI$3:$GR$3,GK$60,$GI113:$GR113))/SUMIF($GI$3:$GR$3,GK$60,$GI$4:$GR$4)))</f>
        <v>0</v>
      </c>
      <c r="GL64" s="196" t="n">
        <f aca="false">IF((SUMIF($GI$3:$GR$3,GL$60,$GI$4:$GR$4))=0,0,((SUMIF($GI$3:$GR$3,GL$60,$GI113:$GR113))/SUMIF($GI$3:$GR$3,GL$60,$GI$4:$GR$4)))</f>
        <v>0</v>
      </c>
      <c r="GM64" s="196" t="n">
        <f aca="false">IF((SUMIF($GI$3:$GR$3,GM$60,$GI$4:$GR$4))=0,0,((SUMIF($GI$3:$GR$3,GM$60,$GI113:$GR113))/SUMIF($GI$3:$GR$3,GM$60,$GI$4:$GR$4)))</f>
        <v>0</v>
      </c>
      <c r="GN64" s="196" t="n">
        <f aca="false">IF((SUMIF($GI$3:$GR$3,GN$60,$GI$4:$GR$4))=0,0,((SUMIF($GI$3:$GR$3,GN$60,$GI113:$GR113))/SUMIF($GI$3:$GR$3,GN$60,$GI$4:$GR$4)))</f>
        <v>0</v>
      </c>
      <c r="GO64" s="196" t="n">
        <f aca="false">IF((SUMIF($GI$3:$GR$3,GO$60,$GI$4:$GR$4))=0,0,((SUMIF($GI$3:$GR$3,GO$60,$GI113:$GR113))/SUMIF($GI$3:$GR$3,GO$60,$GI$4:$GR$4)))</f>
        <v>0</v>
      </c>
      <c r="GP64" s="196" t="n">
        <f aca="false">IF((SUMIF($GI$3:$GR$3,GP$60,$GI$4:$GR$4))=0,0,((SUMIF($GI$3:$GR$3,GP$60,$GI113:$GR113))/SUMIF($GI$3:$GR$3,GP$60,$GI$4:$GR$4)))</f>
        <v>0</v>
      </c>
      <c r="GQ64" s="196" t="n">
        <f aca="false">IF((SUMIF($GI$3:$GR$3,GQ$60,$GI$4:$GR$4))=0,0,((SUMIF($GI$3:$GR$3,GQ$60,$GI113:$GR113))/SUMIF($GI$3:$GR$3,GQ$60,$GI$4:$GR$4)))</f>
        <v>0</v>
      </c>
      <c r="GR64" s="197" t="n">
        <f aca="false">IF((SUMIF($GI$3:$GR$3,GR$60,$GI$4:$GR$4))=0,0,((SUMIF($GI$3:$GR$3,GR$60,$GI113:$GR113))/SUMIF($GI$3:$GR$3,GR$60,$GI$4:$GR$4)))</f>
        <v>0</v>
      </c>
      <c r="GS64" s="194" t="str">
        <f aca="false">GH64</f>
        <v>Alumno3</v>
      </c>
      <c r="GT64" s="195" t="n">
        <f aca="false">IF((SUMIF($GT$3:$HC$3,GT$60,$GT$4:$HC$4))=0,0,((SUMIF($GT$3:$HC$3,GT$60,$GT113:$HC113))/SUMIF($GT$3:$HC$3,GT$60,$GT$4:$HC$4)))</f>
        <v>0</v>
      </c>
      <c r="GU64" s="196" t="n">
        <f aca="false">IF((SUMIF($GT$3:$HC$3,GU$60,$GT$4:$HC$4))=0,0,((SUMIF($GT$3:$HC$3,GU$60,$GT113:$HC113))/SUMIF($GT$3:$HC$3,GU$60,$GT$4:$HC$4)))</f>
        <v>0</v>
      </c>
      <c r="GV64" s="196" t="n">
        <f aca="false">IF((SUMIF($GT$3:$HC$3,GV$60,$GT$4:$HC$4))=0,0,((SUMIF($GT$3:$HC$3,GV$60,$GT113:$HC113))/SUMIF($GT$3:$HC$3,GV$60,$GT$4:$HC$4)))</f>
        <v>0</v>
      </c>
      <c r="GW64" s="196" t="n">
        <f aca="false">IF((SUMIF($GT$3:$HC$3,GW$60,$GT$4:$HC$4))=0,0,((SUMIF($GT$3:$HC$3,GW$60,$GT113:$HC113))/SUMIF($GT$3:$HC$3,GW$60,$GT$4:$HC$4)))</f>
        <v>0</v>
      </c>
      <c r="GX64" s="196" t="n">
        <f aca="false">IF((SUMIF($GT$3:$HC$3,GX$60,$GT$4:$HC$4))=0,0,((SUMIF($GT$3:$HC$3,GX$60,$GT113:$HC113))/SUMIF($GT$3:$HC$3,GX$60,$GT$4:$HC$4)))</f>
        <v>0</v>
      </c>
      <c r="GY64" s="196" t="n">
        <f aca="false">IF((SUMIF($GT$3:$HC$3,GY$60,$GT$4:$HC$4))=0,0,((SUMIF($GT$3:$HC$3,GY$60,$GT113:$HC113))/SUMIF($GT$3:$HC$3,GY$60,$GT$4:$HC$4)))</f>
        <v>0</v>
      </c>
      <c r="GZ64" s="196" t="n">
        <f aca="false">IF((SUMIF($GT$3:$HC$3,GZ$60,$GT$4:$HC$4))=0,0,((SUMIF($GT$3:$HC$3,GZ$60,$GT113:$HC113))/SUMIF($GT$3:$HC$3,GZ$60,$GT$4:$HC$4)))</f>
        <v>0</v>
      </c>
      <c r="HA64" s="196" t="n">
        <f aca="false">IF((SUMIF($GT$3:$HC$3,HA$60,$GT$4:$HC$4))=0,0,((SUMIF($GT$3:$HC$3,HA$60,$GT113:$HC113))/SUMIF($GT$3:$HC$3,HA$60,$GT$4:$HC$4)))</f>
        <v>0</v>
      </c>
      <c r="HB64" s="196" t="n">
        <f aca="false">IF((SUMIF($GT$3:$HC$3,HB$60,$GT$4:$HC$4))=0,0,((SUMIF($GT$3:$HC$3,HB$60,$GT113:$HC113))/SUMIF($GT$3:$HC$3,HB$60,$GT$4:$HC$4)))</f>
        <v>0</v>
      </c>
      <c r="HC64" s="197" t="n">
        <f aca="false">IF((SUMIF($GT$3:$HC$3,HC$60,$GT$4:$HC$4))=0,0,((SUMIF($GT$3:$HC$3,HC$60,$GT113:$HC113))/SUMIF($GT$3:$HC$3,HC$60,$GT$4:$HC$4)))</f>
        <v>0</v>
      </c>
      <c r="HD64" s="194" t="str">
        <f aca="false">GS64</f>
        <v>Alumno3</v>
      </c>
      <c r="HE64" s="195" t="n">
        <f aca="false">IF((SUMIF($HE$3:$HN$3,HE$60,$HE$4:$HN$4))=0,0,((SUMIF($HE$3:$HN$3,HE$60,$HE113:$HN113))/SUMIF($HE$3:$HN$3,HE$60,$HE$4:$HN$4)))</f>
        <v>0</v>
      </c>
      <c r="HF64" s="196" t="n">
        <f aca="false">IF((SUMIF($HE$3:$HN$3,HF$60,$HE$4:$HN$4))=0,0,((SUMIF($HE$3:$HN$3,HF$60,$HE113:$HN113))/SUMIF($HE$3:$HN$3,HF$60,$HE$4:$HN$4)))</f>
        <v>0</v>
      </c>
      <c r="HG64" s="196" t="n">
        <f aca="false">IF((SUMIF($HE$3:$HN$3,HG$60,$HE$4:$HN$4))=0,0,((SUMIF($HE$3:$HN$3,HG$60,$HE113:$HN113))/SUMIF($HE$3:$HN$3,HG$60,$HE$4:$HN$4)))</f>
        <v>0</v>
      </c>
      <c r="HH64" s="196" t="n">
        <f aca="false">IF((SUMIF($HE$3:$HN$3,HH$60,$HE$4:$HN$4))=0,0,((SUMIF($HE$3:$HN$3,HH$60,$HE113:$HN113))/SUMIF($HE$3:$HN$3,HH$60,$HE$4:$HN$4)))</f>
        <v>0</v>
      </c>
      <c r="HI64" s="196" t="n">
        <f aca="false">IF((SUMIF($HE$3:$HN$3,HI$60,$HE$4:$HN$4))=0,0,((SUMIF($HE$3:$HN$3,HI$60,$HE113:$HN113))/SUMIF($HE$3:$HN$3,HI$60,$HE$4:$HN$4)))</f>
        <v>0</v>
      </c>
      <c r="HJ64" s="196" t="n">
        <f aca="false">IF((SUMIF($HE$3:$HN$3,HJ$60,$HE$4:$HN$4))=0,0,((SUMIF($HE$3:$HN$3,HJ$60,$HE113:$HN113))/SUMIF($HE$3:$HN$3,HJ$60,$HE$4:$HN$4)))</f>
        <v>0</v>
      </c>
      <c r="HK64" s="196" t="n">
        <f aca="false">IF((SUMIF($HE$3:$HN$3,HK$60,$HE$4:$HN$4))=0,0,((SUMIF($HE$3:$HN$3,HK$60,$HE113:$HN113))/SUMIF($HE$3:$HN$3,HK$60,$HE$4:$HN$4)))</f>
        <v>0</v>
      </c>
      <c r="HL64" s="196" t="n">
        <f aca="false">IF((SUMIF($HE$3:$HN$3,HL$60,$HE$4:$HN$4))=0,0,((SUMIF($HE$3:$HN$3,HL$60,$HE113:$HN113))/SUMIF($HE$3:$HN$3,HL$60,$HE$4:$HN$4)))</f>
        <v>0</v>
      </c>
      <c r="HM64" s="196" t="n">
        <f aca="false">IF((SUMIF($HE$3:$HN$3,HM$60,$HE$4:$HN$4))=0,0,((SUMIF($HE$3:$HN$3,HM$60,$HE113:$HN113))/SUMIF($HE$3:$HN$3,HM$60,$HE$4:$HN$4)))</f>
        <v>0</v>
      </c>
      <c r="HN64" s="197" t="n">
        <f aca="false">IF((SUMIF($HE$3:$HN$3,HN$60,$HE$4:$HN$4))=0,0,((SUMIF($HE$3:$HN$3,HN$60,$HE113:$HN113))/SUMIF($HE$3:$HN$3,HN$60,$HE$4:$HN$4)))</f>
        <v>0</v>
      </c>
      <c r="HO64" s="194" t="str">
        <f aca="false">HD64</f>
        <v>Alumno3</v>
      </c>
      <c r="HP64" s="195" t="n">
        <f aca="false">IF((SUMIF($HP$3:$HY$3,HP$60,$HP$4:$HY$4))=0,0,((SUMIF($HP$3:$HY$3,HP$60,$HP113:$HY113))/SUMIF($HP$3:$HY$3,HP$60,$HP$4:$HY$4)))</f>
        <v>0</v>
      </c>
      <c r="HQ64" s="196" t="n">
        <f aca="false">IF((SUMIF($HP$3:$HY$3,HQ$60,$HP$4:$HY$4))=0,0,((SUMIF($HP$3:$HY$3,HQ$60,$HP113:$HY113))/SUMIF($HP$3:$HY$3,HQ$60,$HP$4:$HY$4)))</f>
        <v>0</v>
      </c>
      <c r="HR64" s="196" t="n">
        <f aca="false">IF((SUMIF($HP$3:$HY$3,HR$60,$HP$4:$HY$4))=0,0,((SUMIF($HP$3:$HY$3,HR$60,$HP113:$HY113))/SUMIF($HP$3:$HY$3,HR$60,$HP$4:$HY$4)))</f>
        <v>0</v>
      </c>
      <c r="HS64" s="196" t="n">
        <f aca="false">IF((SUMIF($HP$3:$HY$3,HS$60,$HP$4:$HY$4))=0,0,((SUMIF($HP$3:$HY$3,HS$60,$HP113:$HY113))/SUMIF($HP$3:$HY$3,HS$60,$HP$4:$HY$4)))</f>
        <v>0</v>
      </c>
      <c r="HT64" s="196" t="n">
        <f aca="false">IF((SUMIF($HP$3:$HY$3,HT$60,$HP$4:$HY$4))=0,0,((SUMIF($HP$3:$HY$3,HT$60,$HP113:$HY113))/SUMIF($HP$3:$HY$3,HT$60,$HP$4:$HY$4)))</f>
        <v>0</v>
      </c>
      <c r="HU64" s="196" t="n">
        <f aca="false">IF((SUMIF($HP$3:$HY$3,HU$60,$HP$4:$HY$4))=0,0,((SUMIF($HP$3:$HY$3,HU$60,$HP113:$HY113))/SUMIF($HP$3:$HY$3,HU$60,$HP$4:$HY$4)))</f>
        <v>0</v>
      </c>
      <c r="HV64" s="196" t="n">
        <f aca="false">IF((SUMIF($HP$3:$HY$3,HV$60,$HP$4:$HY$4))=0,0,((SUMIF($HP$3:$HY$3,HV$60,$HP113:$HY113))/SUMIF($HP$3:$HY$3,HV$60,$HP$4:$HY$4)))</f>
        <v>0</v>
      </c>
      <c r="HW64" s="196" t="n">
        <f aca="false">IF((SUMIF($HP$3:$HY$3,HW$60,$HP$4:$HY$4))=0,0,((SUMIF($HP$3:$HY$3,HW$60,$HP113:$HY113))/SUMIF($HP$3:$HY$3,HW$60,$HP$4:$HY$4)))</f>
        <v>0</v>
      </c>
      <c r="HX64" s="196" t="n">
        <f aca="false">IF((SUMIF($HP$3:$HY$3,HX$60,$HP$4:$HY$4))=0,0,((SUMIF($HP$3:$HY$3,HX$60,$HP113:$HY113))/SUMIF($HP$3:$HY$3,HX$60,$HP$4:$HY$4)))</f>
        <v>0</v>
      </c>
      <c r="HY64" s="197" t="n">
        <f aca="false">IF((SUMIF($HP$3:$HY$3,HY$60,$HP$4:$HY$4))=0,0,((SUMIF($HP$3:$HY$3,HY$60,$HP113:$HY113))/SUMIF($HP$3:$HY$3,HY$60,$HP$4:$HY$4)))</f>
        <v>0</v>
      </c>
      <c r="HZ64" s="194" t="str">
        <f aca="false">HO64</f>
        <v>Alumno3</v>
      </c>
      <c r="IA64" s="195" t="n">
        <f aca="false">IF((SUMIF($IA$3:$IJ$3,IA$60,$IA$4:$IJ$4))=0,0,((SUMIF($IA$3:$IJ$3,IA$60,$IA113:$IJ113))/SUMIF($IA$3:$IJ$3,IA$60,$IA$4:$IJ$4)))</f>
        <v>0</v>
      </c>
      <c r="IB64" s="196" t="n">
        <f aca="false">IF((SUMIF($IA$3:$IJ$3,IB$60,$IA$4:$IJ$4))=0,0,((SUMIF($IA$3:$IJ$3,IB$60,$IA113:$IJ113))/SUMIF($IA$3:$IJ$3,IB$60,$IA$4:$IJ$4)))</f>
        <v>0</v>
      </c>
      <c r="IC64" s="196" t="n">
        <f aca="false">IF((SUMIF($IA$3:$IJ$3,IC$60,$IA$4:$IJ$4))=0,0,((SUMIF($IA$3:$IJ$3,IC$60,$IA113:$IJ113))/SUMIF($IA$3:$IJ$3,IC$60,$IA$4:$IJ$4)))</f>
        <v>0</v>
      </c>
      <c r="ID64" s="196" t="n">
        <f aca="false">IF((SUMIF($IA$3:$IJ$3,ID$60,$IA$4:$IJ$4))=0,0,((SUMIF($IA$3:$IJ$3,ID$60,$IA113:$IJ113))/SUMIF($IA$3:$IJ$3,ID$60,$IA$4:$IJ$4)))</f>
        <v>0</v>
      </c>
      <c r="IE64" s="196" t="n">
        <f aca="false">IF((SUMIF($IA$3:$IJ$3,IE$60,$IA$4:$IJ$4))=0,0,((SUMIF($IA$3:$IJ$3,IE$60,$IA113:$IJ113))/SUMIF($IA$3:$IJ$3,IE$60,$IA$4:$IJ$4)))</f>
        <v>0</v>
      </c>
      <c r="IF64" s="196" t="n">
        <f aca="false">IF((SUMIF($IA$3:$IJ$3,IF$60,$IA$4:$IJ$4))=0,0,((SUMIF($IA$3:$IJ$3,IF$60,$IA113:$IJ113))/SUMIF($IA$3:$IJ$3,IF$60,$IA$4:$IJ$4)))</f>
        <v>0</v>
      </c>
      <c r="IG64" s="196" t="n">
        <f aca="false">IF((SUMIF($IA$3:$IJ$3,IG$60,$IA$4:$IJ$4))=0,0,((SUMIF($IA$3:$IJ$3,IG$60,$IA113:$IJ113))/SUMIF($IA$3:$IJ$3,IG$60,$IA$4:$IJ$4)))</f>
        <v>0</v>
      </c>
      <c r="IH64" s="196" t="n">
        <f aca="false">IF((SUMIF($IA$3:$IJ$3,IH$60,$IA$4:$IJ$4))=0,0,((SUMIF($IA$3:$IJ$3,IH$60,$IA113:$IJ113))/SUMIF($IA$3:$IJ$3,IH$60,$IA$4:$IJ$4)))</f>
        <v>0</v>
      </c>
      <c r="II64" s="196" t="n">
        <f aca="false">IF((SUMIF($IA$3:$IJ$3,II$60,$IA$4:$IJ$4))=0,0,((SUMIF($IA$3:$IJ$3,II$60,$IA113:$IJ113))/SUMIF($IA$3:$IJ$3,II$60,$IA$4:$IJ$4)))</f>
        <v>0</v>
      </c>
      <c r="IJ64" s="197" t="n">
        <f aca="false">IF((SUMIF($IA$3:$IJ$3,IJ$60,$IA$4:$IJ$4))=0,0,((SUMIF($IA$3:$IJ$3,IJ$60,$IA113:$IJ113))/SUMIF($IA$3:$IJ$3,IJ$60,$IA$4:$IJ$4)))</f>
        <v>0</v>
      </c>
      <c r="IK64" s="194" t="str">
        <f aca="false">HZ64</f>
        <v>Alumno3</v>
      </c>
      <c r="IL64" s="195" t="n">
        <f aca="false">IF((SUMIF($IL$3:$IU$3,IL$60,$IL$4:$IU$4))=0,0,((SUMIF($IL$3:$IU$3,IL$60,$IL113:$IU113))/SUMIF($IL$3:$IU$3,IL$60,$IL$4:$IU$4)))</f>
        <v>0</v>
      </c>
      <c r="IM64" s="196" t="n">
        <f aca="false">IF((SUMIF($IL$3:$IU$3,IM$60,$IL$4:$IU$4))=0,0,((SUMIF($IL$3:$IU$3,IM$60,$IL113:$IU113))/SUMIF($IL$3:$IU$3,IM$60,$IL$4:$IU$4)))</f>
        <v>0</v>
      </c>
      <c r="IN64" s="196" t="n">
        <f aca="false">IF((SUMIF($IL$3:$IU$3,IN$60,$IL$4:$IU$4))=0,0,((SUMIF($IL$3:$IU$3,IN$60,$IL113:$IU113))/SUMIF($IL$3:$IU$3,IN$60,$IL$4:$IU$4)))</f>
        <v>0</v>
      </c>
      <c r="IO64" s="196" t="n">
        <f aca="false">IF((SUMIF($IL$3:$IU$3,IO$60,$IL$4:$IU$4))=0,0,((SUMIF($IL$3:$IU$3,IO$60,$IL113:$IU113))/SUMIF($IL$3:$IU$3,IO$60,$IL$4:$IU$4)))</f>
        <v>0</v>
      </c>
      <c r="IP64" s="196" t="n">
        <f aca="false">IF((SUMIF($IL$3:$IU$3,IP$60,$IL$4:$IU$4))=0,0,((SUMIF($IL$3:$IU$3,IP$60,$IL113:$IU113))/SUMIF($IL$3:$IU$3,IP$60,$IL$4:$IU$4)))</f>
        <v>0</v>
      </c>
      <c r="IQ64" s="196" t="n">
        <f aca="false">IF((SUMIF($IL$3:$IU$3,IQ$60,$IL$4:$IU$4))=0,0,((SUMIF($IL$3:$IU$3,IQ$60,$IL113:$IU113))/SUMIF($IL$3:$IU$3,IQ$60,$IL$4:$IU$4)))</f>
        <v>0</v>
      </c>
      <c r="IR64" s="196" t="n">
        <f aca="false">IF((SUMIF($IL$3:$IU$3,IR$60,$IL$4:$IU$4))=0,0,((SUMIF($IL$3:$IU$3,IR$60,$IL113:$IU113))/SUMIF($IL$3:$IU$3,IR$60,$IL$4:$IU$4)))</f>
        <v>0</v>
      </c>
      <c r="IS64" s="196" t="n">
        <f aca="false">IF((SUMIF($IL$3:$IU$3,IS$60,$IL$4:$IU$4))=0,0,((SUMIF($IL$3:$IU$3,IS$60,$IL113:$IU113))/SUMIF($IL$3:$IU$3,IS$60,$IL$4:$IU$4)))</f>
        <v>0</v>
      </c>
      <c r="IT64" s="196" t="n">
        <f aca="false">IF((SUMIF($IL$3:$IU$3,IT$60,$IL$4:$IU$4))=0,0,((SUMIF($IL$3:$IU$3,IT$60,$IL113:$IU113))/SUMIF($IL$3:$IU$3,IT$60,$IL$4:$IU$4)))</f>
        <v>0</v>
      </c>
      <c r="IU64" s="197" t="n">
        <f aca="false">IF((SUMIF($IL$3:$IU$3,IU$60,$IL$4:$IU$4))=0,0,((SUMIF($IL$3:$IU$3,IU$60,$IL113:$IU113))/SUMIF($IL$3:$IU$3,IU$60,$IL$4:$IU$4)))</f>
        <v>0</v>
      </c>
      <c r="IV64" s="194" t="str">
        <f aca="false">IK64</f>
        <v>Alumno3</v>
      </c>
      <c r="IW64" s="195" t="n">
        <f aca="false">IF((SUMIF($IW$3:$JF$3,IW$60,$IW$4:$JF$4))=0,0,((SUMIF($IW$3:$JF$3,IW$60,$IW113:$JF113))/SUMIF($IW$3:$JF$3,IW$60,$IW$4:$JF$4)))</f>
        <v>0</v>
      </c>
      <c r="IX64" s="196" t="n">
        <f aca="false">IF((SUMIF($IW$3:$JF$3,IX$60,$IW$4:$JF$4))=0,0,((SUMIF($IW$3:$JF$3,IX$60,$IW113:$JF113))/SUMIF($IW$3:$JF$3,IX$60,$IW$4:$JF$4)))</f>
        <v>0</v>
      </c>
      <c r="IY64" s="196" t="n">
        <f aca="false">IF((SUMIF($IW$3:$JF$3,IY$60,$IW$4:$JF$4))=0,0,((SUMIF($IW$3:$JF$3,IY$60,$IW113:$JF113))/SUMIF($IW$3:$JF$3,IY$60,$IW$4:$JF$4)))</f>
        <v>0</v>
      </c>
      <c r="IZ64" s="196" t="n">
        <f aca="false">IF((SUMIF($IW$3:$JF$3,IZ$60,$IW$4:$JF$4))=0,0,((SUMIF($IW$3:$JF$3,IZ$60,$IW113:$JF113))/SUMIF($IW$3:$JF$3,IZ$60,$IW$4:$JF$4)))</f>
        <v>0</v>
      </c>
      <c r="JA64" s="196" t="n">
        <f aca="false">IF((SUMIF($IW$3:$JF$3,JA$60,$IW$4:$JF$4))=0,0,((SUMIF($IW$3:$JF$3,JA$60,$IW113:$JF113))/SUMIF($IW$3:$JF$3,JA$60,$IW$4:$JF$4)))</f>
        <v>0</v>
      </c>
      <c r="JB64" s="196" t="n">
        <f aca="false">IF((SUMIF($IW$3:$JF$3,JB$60,$IW$4:$JF$4))=0,0,((SUMIF($IW$3:$JF$3,JB$60,$IW113:$JF113))/SUMIF($IW$3:$JF$3,JB$60,$IW$4:$JF$4)))</f>
        <v>0</v>
      </c>
      <c r="JC64" s="196" t="n">
        <f aca="false">IF((SUMIF($IW$3:$JF$3,JC$60,$IW$4:$JF$4))=0,0,((SUMIF($IW$3:$JF$3,JC$60,$IW113:$JF113))/SUMIF($IW$3:$JF$3,JC$60,$IW$4:$JF$4)))</f>
        <v>0</v>
      </c>
      <c r="JD64" s="196" t="n">
        <f aca="false">IF((SUMIF($IW$3:$JF$3,JD$60,$IW$4:$JF$4))=0,0,((SUMIF($IW$3:$JF$3,JD$60,$IW113:$JF113))/SUMIF($IW$3:$JF$3,JD$60,$IW$4:$JF$4)))</f>
        <v>0</v>
      </c>
      <c r="JE64" s="196" t="n">
        <f aca="false">IF((SUMIF($IW$3:$JF$3,JE$60,$IW$4:$JF$4))=0,0,((SUMIF($IW$3:$JF$3,JE$60,$IW113:$JF113))/SUMIF($IW$3:$JF$3,JE$60,$IW$4:$JF$4)))</f>
        <v>0</v>
      </c>
      <c r="JF64" s="197" t="n">
        <f aca="false">IF((SUMIF($IW$3:$JF$3,JF$60,$IW$4:$JF$4))=0,0,((SUMIF($IW$3:$JF$3,JF$60,$IW113:$JF113))/SUMIF($IW$3:$JF$3,JF$60,$IW$4:$JF$4)))</f>
        <v>0</v>
      </c>
      <c r="JG64" s="194" t="str">
        <f aca="false">IV64</f>
        <v>Alumno3</v>
      </c>
      <c r="JH64" s="195" t="n">
        <f aca="false">IF((SUMIF($JH$3:$JQ$3,JH$60,$JH$4:$JQ$4))=0,0,((SUMIF($JH$3:$JQ$3,JH$60,$JH113:$JQ113))/SUMIF($JH$3:$JQ$3,JH$60,$JH$4:$JQ$4)))</f>
        <v>0</v>
      </c>
      <c r="JI64" s="196" t="n">
        <f aca="false">IF((SUMIF($JH$3:$JQ$3,JI$60,$JH$4:$JQ$4))=0,0,((SUMIF($JH$3:$JQ$3,JI$60,$JH113:$JQ113))/SUMIF($JH$3:$JQ$3,JI$60,$JH$4:$JQ$4)))</f>
        <v>0</v>
      </c>
      <c r="JJ64" s="196" t="n">
        <f aca="false">IF((SUMIF($JH$3:$JQ$3,JJ$60,$JH$4:$JQ$4))=0,0,((SUMIF($JH$3:$JQ$3,JJ$60,$JH113:$JQ113))/SUMIF($JH$3:$JQ$3,JJ$60,$JH$4:$JQ$4)))</f>
        <v>0</v>
      </c>
      <c r="JK64" s="196" t="n">
        <f aca="false">IF((SUMIF($JH$3:$JQ$3,JK$60,$JH$4:$JQ$4))=0,0,((SUMIF($JH$3:$JQ$3,JK$60,$JH113:$JQ113))/SUMIF($JH$3:$JQ$3,JK$60,$JH$4:$JQ$4)))</f>
        <v>0</v>
      </c>
      <c r="JL64" s="196" t="n">
        <f aca="false">IF((SUMIF($JH$3:$JQ$3,JL$60,$JH$4:$JQ$4))=0,0,((SUMIF($JH$3:$JQ$3,JL$60,$JH113:$JQ113))/SUMIF($JH$3:$JQ$3,JL$60,$JH$4:$JQ$4)))</f>
        <v>0</v>
      </c>
      <c r="JM64" s="196" t="n">
        <f aca="false">IF((SUMIF($JH$3:$JQ$3,JM$60,$JH$4:$JQ$4))=0,0,((SUMIF($JH$3:$JQ$3,JM$60,$JH113:$JQ113))/SUMIF($JH$3:$JQ$3,JM$60,$JH$4:$JQ$4)))</f>
        <v>0</v>
      </c>
      <c r="JN64" s="196" t="n">
        <f aca="false">IF((SUMIF($JH$3:$JQ$3,JN$60,$JH$4:$JQ$4))=0,0,((SUMIF($JH$3:$JQ$3,JN$60,$JH113:$JQ113))/SUMIF($JH$3:$JQ$3,JN$60,$JH$4:$JQ$4)))</f>
        <v>0</v>
      </c>
      <c r="JO64" s="196" t="n">
        <f aca="false">IF((SUMIF($JH$3:$JQ$3,JO$60,$JH$4:$JQ$4))=0,0,((SUMIF($JH$3:$JQ$3,JO$60,$JH113:$JQ113))/SUMIF($JH$3:$JQ$3,JO$60,$JH$4:$JQ$4)))</f>
        <v>0</v>
      </c>
      <c r="JP64" s="196" t="n">
        <f aca="false">IF((SUMIF($JH$3:$JQ$3,JP$60,$JH$4:$JQ$4))=0,0,((SUMIF($JH$3:$JQ$3,JP$60,$JH113:$JQ113))/SUMIF($JH$3:$JQ$3,JP$60,$JH$4:$JQ$4)))</f>
        <v>0</v>
      </c>
      <c r="JQ64" s="197" t="n">
        <f aca="false">IF((SUMIF($JH$3:$JQ$3,JQ$60,$JH$4:$JQ$4))=0,0,((SUMIF($JH$3:$JQ$3,JQ$60,$JH113:$JQ113))/SUMIF($JH$3:$JQ$3,JQ$60,$JH$4:$JQ$4)))</f>
        <v>0</v>
      </c>
      <c r="JR64" s="194" t="str">
        <f aca="false">JG64</f>
        <v>Alumno3</v>
      </c>
      <c r="JS64" s="195" t="n">
        <f aca="false">IF((SUMIF($JS$3:$KB$3,JS$60,$JS$4:$KB$4))=0,0,((SUMIF($JS$3:$KB$3,JS$60,$JS113:$KB113))/SUMIF($JS$3:$KB$3,JS$60,$JS$4:$KB$4)))</f>
        <v>0</v>
      </c>
      <c r="JT64" s="196" t="n">
        <f aca="false">IF((SUMIF($JS$3:$KB$3,JT$60,$JS$4:$KB$4))=0,0,((SUMIF($JS$3:$KB$3,JT$60,$JS113:$KB113))/SUMIF($JS$3:$KB$3,JT$60,$JS$4:$KB$4)))</f>
        <v>0</v>
      </c>
      <c r="JU64" s="196" t="n">
        <f aca="false">IF((SUMIF($JS$3:$KB$3,JU$60,$JS$4:$KB$4))=0,0,((SUMIF($JS$3:$KB$3,JU$60,$JS113:$KB113))/SUMIF($JS$3:$KB$3,JU$60,$JS$4:$KB$4)))</f>
        <v>0</v>
      </c>
      <c r="JV64" s="196" t="n">
        <f aca="false">IF((SUMIF($JS$3:$KB$3,JV$60,$JS$4:$KB$4))=0,0,((SUMIF($JS$3:$KB$3,JV$60,$JS113:$KB113))/SUMIF($JS$3:$KB$3,JV$60,$JS$4:$KB$4)))</f>
        <v>0</v>
      </c>
      <c r="JW64" s="196" t="n">
        <f aca="false">IF((SUMIF($JS$3:$KB$3,JW$60,$JS$4:$KB$4))=0,0,((SUMIF($JS$3:$KB$3,JW$60,$JS113:$KB113))/SUMIF($JS$3:$KB$3,JW$60,$JS$4:$KB$4)))</f>
        <v>0</v>
      </c>
      <c r="JX64" s="196" t="n">
        <f aca="false">IF((SUMIF($JS$3:$KB$3,JX$60,$JS$4:$KB$4))=0,0,((SUMIF($JS$3:$KB$3,JX$60,$JS113:$KB113))/SUMIF($JS$3:$KB$3,JX$60,$JS$4:$KB$4)))</f>
        <v>0</v>
      </c>
      <c r="JY64" s="196" t="n">
        <f aca="false">IF((SUMIF($JS$3:$KB$3,JY$60,$JS$4:$KB$4))=0,0,((SUMIF($JS$3:$KB$3,JY$60,$JS113:$KB113))/SUMIF($JS$3:$KB$3,JY$60,$JS$4:$KB$4)))</f>
        <v>0</v>
      </c>
      <c r="JZ64" s="196" t="n">
        <f aca="false">IF((SUMIF($JS$3:$KB$3,JZ$60,$JS$4:$KB$4))=0,0,((SUMIF($JS$3:$KB$3,JZ$60,$JS113:$KB113))/SUMIF($JS$3:$KB$3,JZ$60,$JS$4:$KB$4)))</f>
        <v>0</v>
      </c>
      <c r="KA64" s="196" t="n">
        <f aca="false">IF((SUMIF($JS$3:$KB$3,KA$60,$JS$4:$KB$4))=0,0,((SUMIF($JS$3:$KB$3,KA$60,$JS113:$KB113))/SUMIF($JS$3:$KB$3,KA$60,$JS$4:$KB$4)))</f>
        <v>0</v>
      </c>
      <c r="KB64" s="197" t="n">
        <f aca="false">IF((SUMIF($JS$3:$KB$3,KB$60,$JS$4:$KB$4))=0,0,((SUMIF($JS$3:$KB$3,KB$60,$JS113:$KB113))/SUMIF($JS$3:$KB$3,KB$60,$JS$4:$KB$4)))</f>
        <v>0</v>
      </c>
      <c r="KC64" s="194" t="str">
        <f aca="false">JR64</f>
        <v>Alumno3</v>
      </c>
      <c r="KD64" s="195" t="n">
        <f aca="false">IF((SUMIF($KD$3:$KM$3,KD$60,$KD$4:$KM$4))=0,0,((SUMIF($KD$3:$KM$3,KD$60,$KD113:$KM113))/SUMIF($KD$3:$KM$3,KD$60,$KD$4:$KM$4)))</f>
        <v>0</v>
      </c>
      <c r="KE64" s="196" t="n">
        <f aca="false">IF((SUMIF($KD$3:$KM$3,KE$60,$KD$4:$KM$4))=0,0,((SUMIF($KD$3:$KM$3,KE$60,$KD113:$KM113))/SUMIF($KD$3:$KM$3,KE$60,$KD$4:$KM$4)))</f>
        <v>0</v>
      </c>
      <c r="KF64" s="196" t="n">
        <f aca="false">IF((SUMIF($KD$3:$KM$3,KF$60,$KD$4:$KM$4))=0,0,((SUMIF($KD$3:$KM$3,KF$60,$KD113:$KM113))/SUMIF($KD$3:$KM$3,KF$60,$KD$4:$KM$4)))</f>
        <v>0</v>
      </c>
      <c r="KG64" s="196" t="n">
        <f aca="false">IF((SUMIF($KD$3:$KM$3,KG$60,$KD$4:$KM$4))=0,0,((SUMIF($KD$3:$KM$3,KG$60,$KD113:$KM113))/SUMIF($KD$3:$KM$3,KG$60,$KD$4:$KM$4)))</f>
        <v>0</v>
      </c>
      <c r="KH64" s="196" t="n">
        <f aca="false">IF((SUMIF($KD$3:$KM$3,KH$60,$KD$4:$KM$4))=0,0,((SUMIF($KD$3:$KM$3,KH$60,$KD113:$KM113))/SUMIF($KD$3:$KM$3,KH$60,$KD$4:$KM$4)))</f>
        <v>0</v>
      </c>
      <c r="KI64" s="196" t="n">
        <f aca="false">IF((SUMIF($KD$3:$KM$3,KI$60,$KD$4:$KM$4))=0,0,((SUMIF($KD$3:$KM$3,KI$60,$KD113:$KM113))/SUMIF($KD$3:$KM$3,KI$60,$KD$4:$KM$4)))</f>
        <v>0</v>
      </c>
      <c r="KJ64" s="196" t="n">
        <f aca="false">IF((SUMIF($KD$3:$KM$3,KJ$60,$KD$4:$KM$4))=0,0,((SUMIF($KD$3:$KM$3,KJ$60,$KD113:$KM113))/SUMIF($KD$3:$KM$3,KJ$60,$KD$4:$KM$4)))</f>
        <v>0</v>
      </c>
      <c r="KK64" s="196" t="n">
        <f aca="false">IF((SUMIF($KD$3:$KM$3,KK$60,$KD$4:$KM$4))=0,0,((SUMIF($KD$3:$KM$3,KK$60,$KD113:$KM113))/SUMIF($KD$3:$KM$3,KK$60,$KD$4:$KM$4)))</f>
        <v>0</v>
      </c>
      <c r="KL64" s="196" t="n">
        <f aca="false">IF((SUMIF($KD$3:$KM$3,KL$60,$KD$4:$KM$4))=0,0,((SUMIF($KD$3:$KM$3,KL$60,$KD113:$KM113))/SUMIF($KD$3:$KM$3,KL$60,$KD$4:$KM$4)))</f>
        <v>0</v>
      </c>
      <c r="KM64" s="197" t="n">
        <f aca="false">IF((SUMIF($KD$3:$KM$3,KM$60,$KD$4:$KM$4))=0,0,((SUMIF($KD$3:$KM$3,KM$60,$KD113:$KM113))/SUMIF($KD$3:$KM$3,KM$60,$KD$4:$KM$4)))</f>
        <v>0</v>
      </c>
      <c r="KN64" s="194" t="str">
        <f aca="false">KC64</f>
        <v>Alumno3</v>
      </c>
      <c r="KO64" s="195" t="n">
        <f aca="false">IF((SUMIF($KO$3:$KX$3,KO$60,$KO$4:$KX$4))=0,0,((SUMIF($KO$3:$KX$3,KO$60,$KO113:$KX113))/SUMIF($KO$3:$KX$3,KO$60,$KO$4:$KX$4)))</f>
        <v>0</v>
      </c>
      <c r="KP64" s="196" t="n">
        <f aca="false">IF((SUMIF($KO$3:$KX$3,KP$60,$KO$4:$KX$4))=0,0,((SUMIF($KO$3:$KX$3,KP$60,$KO113:$KX113))/SUMIF($KO$3:$KX$3,KP$60,$KO$4:$KX$4)))</f>
        <v>0</v>
      </c>
      <c r="KQ64" s="196" t="n">
        <f aca="false">IF((SUMIF($KO$3:$KX$3,KQ$60,$KO$4:$KX$4))=0,0,((SUMIF($KO$3:$KX$3,KQ$60,$KO113:$KX113))/SUMIF($KO$3:$KX$3,KQ$60,$KO$4:$KX$4)))</f>
        <v>0</v>
      </c>
      <c r="KR64" s="196" t="n">
        <f aca="false">IF((SUMIF($KO$3:$KX$3,KR$60,$KO$4:$KX$4))=0,0,((SUMIF($KO$3:$KX$3,KR$60,$KO113:$KX113))/SUMIF($KO$3:$KX$3,KR$60,$KO$4:$KX$4)))</f>
        <v>0</v>
      </c>
      <c r="KS64" s="196" t="n">
        <f aca="false">IF((SUMIF($KO$3:$KX$3,KS$60,$KO$4:$KX$4))=0,0,((SUMIF($KO$3:$KX$3,KS$60,$KO113:$KX113))/SUMIF($KO$3:$KX$3,KS$60,$KO$4:$KX$4)))</f>
        <v>0</v>
      </c>
      <c r="KT64" s="196" t="n">
        <f aca="false">IF((SUMIF($KO$3:$KX$3,KT$60,$KO$4:$KX$4))=0,0,((SUMIF($KO$3:$KX$3,KT$60,$KO113:$KX113))/SUMIF($KO$3:$KX$3,KT$60,$KO$4:$KX$4)))</f>
        <v>0</v>
      </c>
      <c r="KU64" s="196" t="n">
        <f aca="false">IF((SUMIF($KO$3:$KX$3,KU$60,$KO$4:$KX$4))=0,0,((SUMIF($KO$3:$KX$3,KU$60,$KO113:$KX113))/SUMIF($KO$3:$KX$3,KU$60,$KO$4:$KX$4)))</f>
        <v>0</v>
      </c>
      <c r="KV64" s="196" t="n">
        <f aca="false">IF((SUMIF($KO$3:$KX$3,KV$60,$KO$4:$KX$4))=0,0,((SUMIF($KO$3:$KX$3,KV$60,$KO113:$KX113))/SUMIF($KO$3:$KX$3,KV$60,$KO$4:$KX$4)))</f>
        <v>0</v>
      </c>
      <c r="KW64" s="196" t="n">
        <f aca="false">IF((SUMIF($KO$3:$KX$3,KW$60,$KO$4:$KX$4))=0,0,((SUMIF($KO$3:$KX$3,KW$60,$KO113:$KX113))/SUMIF($KO$3:$KX$3,KW$60,$KO$4:$KX$4)))</f>
        <v>0</v>
      </c>
      <c r="KX64" s="197" t="n">
        <f aca="false">IF((SUMIF($KO$3:$KX$3,KX$60,$KO$4:$KX$4))=0,0,((SUMIF($KO$3:$KX$3,KX$60,$KO113:$KX113))/SUMIF($KO$3:$KX$3,KX$60,$KO$4:$KX$4)))</f>
        <v>0</v>
      </c>
      <c r="KY64" s="194" t="str">
        <f aca="false">KN64</f>
        <v>Alumno3</v>
      </c>
      <c r="KZ64" s="195" t="n">
        <f aca="false">IF((SUMIF($KZ$3:$LI$3,KZ$60,$KZ$4:$LI$4))=0,0,((SUMIF($KZ$3:$LI$3,KZ$60,$KZ113:$LI113))/SUMIF($KZ$3:$LI$3,KZ$60,$KZ$4:$LI$4)))</f>
        <v>0</v>
      </c>
      <c r="LA64" s="196" t="n">
        <f aca="false">IF((SUMIF($KZ$3:$LI$3,LA$60,$KZ$4:$LI$4))=0,0,((SUMIF($KZ$3:$LI$3,LA$60,$KZ113:$LI113))/SUMIF($KZ$3:$LI$3,LA$60,$KZ$4:$LI$4)))</f>
        <v>0</v>
      </c>
      <c r="LB64" s="196" t="n">
        <f aca="false">IF((SUMIF($KZ$3:$LI$3,LB$60,$KZ$4:$LI$4))=0,0,((SUMIF($KZ$3:$LI$3,LB$60,$KZ113:$LI113))/SUMIF($KZ$3:$LI$3,LB$60,$KZ$4:$LI$4)))</f>
        <v>0</v>
      </c>
      <c r="LC64" s="196" t="n">
        <f aca="false">IF((SUMIF($KZ$3:$LI$3,LC$60,$KZ$4:$LI$4))=0,0,((SUMIF($KZ$3:$LI$3,LC$60,$KZ113:$LI113))/SUMIF($KZ$3:$LI$3,LC$60,$KZ$4:$LI$4)))</f>
        <v>0</v>
      </c>
      <c r="LD64" s="196" t="n">
        <f aca="false">IF((SUMIF($KZ$3:$LI$3,LD$60,$KZ$4:$LI$4))=0,0,((SUMIF($KZ$3:$LI$3,LD$60,$KZ113:$LI113))/SUMIF($KZ$3:$LI$3,LD$60,$KZ$4:$LI$4)))</f>
        <v>0</v>
      </c>
      <c r="LE64" s="196" t="n">
        <f aca="false">IF((SUMIF($KZ$3:$LI$3,LE$60,$KZ$4:$LI$4))=0,0,((SUMIF($KZ$3:$LI$3,LE$60,$KZ113:$LI113))/SUMIF($KZ$3:$LI$3,LE$60,$KZ$4:$LI$4)))</f>
        <v>0</v>
      </c>
      <c r="LF64" s="196" t="n">
        <f aca="false">IF((SUMIF($KZ$3:$LI$3,LF$60,$KZ$4:$LI$4))=0,0,((SUMIF($KZ$3:$LI$3,LF$60,$KZ113:$LI113))/SUMIF($KZ$3:$LI$3,LF$60,$KZ$4:$LI$4)))</f>
        <v>0</v>
      </c>
      <c r="LG64" s="196" t="n">
        <f aca="false">IF((SUMIF($KZ$3:$LI$3,LG$60,$KZ$4:$LI$4))=0,0,((SUMIF($KZ$3:$LI$3,LG$60,$KZ113:$LI113))/SUMIF($KZ$3:$LI$3,LG$60,$KZ$4:$LI$4)))</f>
        <v>0</v>
      </c>
      <c r="LH64" s="196" t="n">
        <f aca="false">IF((SUMIF($KZ$3:$LI$3,LH$60,$KZ$4:$LI$4))=0,0,((SUMIF($KZ$3:$LI$3,LH$60,$KZ113:$LI113))/SUMIF($KZ$3:$LI$3,LH$60,$KZ$4:$LI$4)))</f>
        <v>0</v>
      </c>
      <c r="LI64" s="197" t="n">
        <f aca="false">IF((SUMIF($KZ$3:$LI$3,LI$60,$KZ$4:$LI$4))=0,0,((SUMIF($KZ$3:$LI$3,LI$60,$KZ113:$LI113))/SUMIF($KZ$3:$LI$3,LI$60,$KZ$4:$LI$4)))</f>
        <v>0</v>
      </c>
      <c r="LJ64" s="194" t="str">
        <f aca="false">KY64</f>
        <v>Alumno3</v>
      </c>
      <c r="LK64" s="195" t="n">
        <f aca="false">IF((SUMIF($LK$3:$LT$3,LK$60,$LK$4:$LT$4))=0,0,((SUMIF($LK$3:$LT$3,LK$60,$LK113:$LT113))/SUMIF($LK$3:$LT$3,LK$60,$LK$4:$LT$4)))</f>
        <v>0</v>
      </c>
      <c r="LL64" s="196" t="n">
        <f aca="false">IF((SUMIF($LK$3:$LT$3,LL$60,$LK$4:$LT$4))=0,0,((SUMIF($LK$3:$LT$3,LL$60,$LK113:$LT113))/SUMIF($LK$3:$LT$3,LL$60,$LK$4:$LT$4)))</f>
        <v>0</v>
      </c>
      <c r="LM64" s="196" t="n">
        <f aca="false">IF((SUMIF($LK$3:$LT$3,LM$60,$LK$4:$LT$4))=0,0,((SUMIF($LK$3:$LT$3,LM$60,$LK113:$LT113))/SUMIF($LK$3:$LT$3,LM$60,$LK$4:$LT$4)))</f>
        <v>0</v>
      </c>
      <c r="LN64" s="196" t="n">
        <f aca="false">IF((SUMIF($LK$3:$LT$3,LN$60,$LK$4:$LT$4))=0,0,((SUMIF($LK$3:$LT$3,LN$60,$LK113:$LT113))/SUMIF($LK$3:$LT$3,LN$60,$LK$4:$LT$4)))</f>
        <v>0</v>
      </c>
      <c r="LO64" s="196" t="n">
        <f aca="false">IF((SUMIF($LK$3:$LT$3,LO$60,$LK$4:$LT$4))=0,0,((SUMIF($LK$3:$LT$3,LO$60,$LK113:$LT113))/SUMIF($LK$3:$LT$3,LO$60,$LK$4:$LT$4)))</f>
        <v>0</v>
      </c>
      <c r="LP64" s="196" t="n">
        <f aca="false">IF((SUMIF($LK$3:$LT$3,LP$60,$LK$4:$LT$4))=0,0,((SUMIF($LK$3:$LT$3,LP$60,$LK113:$LT113))/SUMIF($LK$3:$LT$3,LP$60,$LK$4:$LT$4)))</f>
        <v>0</v>
      </c>
      <c r="LQ64" s="196" t="n">
        <f aca="false">IF((SUMIF($LK$3:$LT$3,LQ$60,$LK$4:$LT$4))=0,0,((SUMIF($LK$3:$LT$3,LQ$60,$LK113:$LT113))/SUMIF($LK$3:$LT$3,LQ$60,$LK$4:$LT$4)))</f>
        <v>0</v>
      </c>
      <c r="LR64" s="196" t="n">
        <f aca="false">IF((SUMIF($LK$3:$LT$3,LR$60,$LK$4:$LT$4))=0,0,((SUMIF($LK$3:$LT$3,LR$60,$LK113:$LT113))/SUMIF($LK$3:$LT$3,LR$60,$LK$4:$LT$4)))</f>
        <v>0</v>
      </c>
      <c r="LS64" s="196" t="n">
        <f aca="false">IF((SUMIF($LK$3:$LT$3,LS$60,$LK$4:$LT$4))=0,0,((SUMIF($LK$3:$LT$3,LS$60,$LK113:$LT113))/SUMIF($LK$3:$LT$3,LS$60,$LK$4:$LT$4)))</f>
        <v>0</v>
      </c>
      <c r="LT64" s="197" t="n">
        <f aca="false">IF((SUMIF($LK$3:$LT$3,LT$60,$LK$4:$LT$4))=0,0,((SUMIF($LK$3:$LT$3,LT$60,$LK113:$LT113))/SUMIF($LK$3:$LT$3,LT$60,$LK$4:$LT$4)))</f>
        <v>0</v>
      </c>
    </row>
    <row r="65" customFormat="false" ht="15" hidden="true" customHeight="false" outlineLevel="0" collapsed="false">
      <c r="C65" s="194" t="str">
        <f aca="false">B9</f>
        <v>Alumno4</v>
      </c>
      <c r="D65" s="195" t="n">
        <f aca="false">IF((SUMIF($D$3:$M$3,D$60,$D$4:$M$4))=0,0,((SUMIF($D$3:$M$3,D$60,$D114:$M114))/SUMIF($D$3:$M$3,D$60,$D$4:$M$4)))</f>
        <v>4.1</v>
      </c>
      <c r="E65" s="196" t="n">
        <f aca="false">IF((SUMIF($D$3:$M$3,E$60,$D$4:$M$4))=0,0,((SUMIF($D$3:$M$3,E$60,$D114:$M114))/SUMIF($D$3:$M$3,E$60,$D$4:$M$4)))</f>
        <v>0</v>
      </c>
      <c r="F65" s="196" t="n">
        <f aca="false">IF((SUMIF($D$3:$M$3,F$60,$D$4:$M$4))=0,0,((SUMIF($D$3:$M$3,F$60,$D114:$M114))/SUMIF($D$3:$M$3,F$60,$D$4:$M$4)))</f>
        <v>0</v>
      </c>
      <c r="G65" s="196" t="n">
        <f aca="false">IF((SUMIF($D$3:$M$3,G$60,$D$4:$M$4))=0,0,((SUMIF($D$3:$M$3,G$60,$D114:$M114))/SUMIF($D$3:$M$3,G$60,$D$4:$M$4)))</f>
        <v>0</v>
      </c>
      <c r="H65" s="196" t="n">
        <f aca="false">IF((SUMIF($D$3:$M$3,H$60,$D$4:$M$4))=0,0,((SUMIF($D$3:$M$3,H$60,$D114:$M114))/SUMIF($D$3:$M$3,H$60,$D$4:$M$4)))</f>
        <v>0</v>
      </c>
      <c r="I65" s="196" t="n">
        <f aca="false">IF((SUMIF($D$3:$M$3,I$60,$D$4:$M$4))=0,0,((SUMIF($D$3:$M$3,I$60,$D114:$M114))/SUMIF($D$3:$M$3,I$60,$D$4:$M$4)))</f>
        <v>0</v>
      </c>
      <c r="J65" s="196" t="n">
        <f aca="false">IF((SUMIF($D$3:$M$3,J$60,$D$4:$M$4))=0,0,((SUMIF($D$3:$M$3,J$60,$D114:$M114))/SUMIF($D$3:$M$3,J$60,$D$4:$M$4)))</f>
        <v>0</v>
      </c>
      <c r="K65" s="196" t="n">
        <f aca="false">IF((SUMIF($D$3:$M$3,K$60,$D$4:$M$4))=0,0,((SUMIF($D$3:$M$3,K$60,$D114:$M114))/SUMIF($D$3:$M$3,K$60,$D$4:$M$4)))</f>
        <v>0</v>
      </c>
      <c r="L65" s="196" t="n">
        <f aca="false">IF((SUMIF($D$3:$M$3,L$60,$D$4:$M$4))=0,0,((SUMIF($D$3:$M$3,L$60,$D114:$M114))/SUMIF($D$3:$M$3,L$60,$D$4:$M$4)))</f>
        <v>0</v>
      </c>
      <c r="M65" s="197" t="n">
        <f aca="false">IF((SUMIF($D$3:$M$3,M$60,$D$4:$M$4))=0,0,((SUMIF($D$3:$M$3,M$60,$D114:$M114))/SUMIF($D$3:$M$3,M$60,$D$4:$M$4)))</f>
        <v>0</v>
      </c>
      <c r="N65" s="194" t="str">
        <f aca="false">C65</f>
        <v>Alumno4</v>
      </c>
      <c r="O65" s="195" t="n">
        <f aca="false">IF((SUMIF($O$3:$X$3,O$60,$O$4:$X$4))=0,0,((SUMIF($O$3:$X$3,O$60,$O114:$X114))/SUMIF($O$3:$X$3,O$60,$O$4:$X$4)))</f>
        <v>5</v>
      </c>
      <c r="P65" s="196" t="n">
        <f aca="false">IF((SUMIF($O$3:$X$3,P$60,$O$4:$X$4))=0,0,((SUMIF($O$3:$X$3,P$60,$O114:$X114))/SUMIF($O$3:$X$3,P$60,$O$4:$X$4)))</f>
        <v>5</v>
      </c>
      <c r="Q65" s="196" t="n">
        <f aca="false">IF((SUMIF($O$3:$X$3,Q$60,$O$4:$X$4))=0,0,((SUMIF($O$3:$X$3,Q$60,$O114:$X114))/SUMIF($O$3:$X$3,Q$60,$O$4:$X$4)))</f>
        <v>0</v>
      </c>
      <c r="R65" s="196" t="n">
        <f aca="false">IF((SUMIF($O$3:$X$3,R$60,$O$4:$X$4))=0,0,((SUMIF($O$3:$X$3,R$60,$O114:$X114))/SUMIF($O$3:$X$3,R$60,$O$4:$X$4)))</f>
        <v>0</v>
      </c>
      <c r="S65" s="196" t="n">
        <f aca="false">IF((SUMIF($O$3:$X$3,S$60,$O$4:$X$4))=0,0,((SUMIF($O$3:$X$3,S$60,$O114:$X114))/SUMIF($O$3:$X$3,S$60,$O$4:$X$4)))</f>
        <v>0</v>
      </c>
      <c r="T65" s="196" t="n">
        <f aca="false">IF((SUMIF($O$3:$X$3,T$60,$O$4:$X$4))=0,0,((SUMIF($O$3:$X$3,T$60,$O114:$X114))/SUMIF($O$3:$X$3,T$60,$O$4:$X$4)))</f>
        <v>0</v>
      </c>
      <c r="U65" s="196" t="n">
        <f aca="false">IF((SUMIF($O$3:$X$3,U$60,$O$4:$X$4))=0,0,((SUMIF($O$3:$X$3,U$60,$O114:$X114))/SUMIF($O$3:$X$3,U$60,$O$4:$X$4)))</f>
        <v>0</v>
      </c>
      <c r="V65" s="196" t="n">
        <f aca="false">IF((SUMIF($O$3:$X$3,V$60,$O$4:$X$4))=0,0,((SUMIF($O$3:$X$3,V$60,$O114:$X114))/SUMIF($O$3:$X$3,V$60,$O$4:$X$4)))</f>
        <v>0</v>
      </c>
      <c r="W65" s="196" t="n">
        <f aca="false">IF((SUMIF($O$3:$X$3,W$60,$O$4:$X$4))=0,0,((SUMIF($O$3:$X$3,W$60,$O114:$X114))/SUMIF($O$3:$X$3,W$60,$O$4:$X$4)))</f>
        <v>0</v>
      </c>
      <c r="X65" s="197" t="n">
        <f aca="false">IF((SUMIF($O$3:$X$3,X$60,$O$4:$X$4))=0,0,((SUMIF($O$3:$X$3,X$60,$O114:$X114))/SUMIF($O$3:$X$3,X$60,$O$4:$X$4)))</f>
        <v>0</v>
      </c>
      <c r="Y65" s="194" t="str">
        <f aca="false">N65</f>
        <v>Alumno4</v>
      </c>
      <c r="Z65" s="195" t="n">
        <f aca="false">IF((SUMIF($Z$3:$AI$3,Z$60,$Z$4:$AI$4))=0,0,((SUMIF($Z$3:$AI$3,Z$60,$Z114:$AI114))/SUMIF($Z$3:$AI$3,Z$60,$Z$4:$AI$4)))</f>
        <v>5</v>
      </c>
      <c r="AA65" s="196" t="n">
        <f aca="false">IF((SUMIF($Z$3:$AI$3,AA$60,$Z$4:$AI$4))=0,0,((SUMIF($Z$3:$AI$3,AA$60,$Z114:$AI114))/SUMIF($Z$3:$AI$3,AA$60,$Z$4:$AI$4)))</f>
        <v>5</v>
      </c>
      <c r="AB65" s="196" t="n">
        <f aca="false">IF((SUMIF($Z$3:$AI$3,AB$60,$Z$4:$AI$4))=0,0,((SUMIF($Z$3:$AI$3,AB$60,$Z114:$AI114))/SUMIF($Z$3:$AI$3,AB$60,$Z$4:$AI$4)))</f>
        <v>5</v>
      </c>
      <c r="AC65" s="196" t="n">
        <f aca="false">IF((SUMIF($Z$3:$AI$3,AC$60,$Z$4:$AI$4))=0,0,((SUMIF($Z$3:$AI$3,AC$60,$Z114:$AI114))/SUMIF($Z$3:$AI$3,AC$60,$Z$4:$AI$4)))</f>
        <v>0</v>
      </c>
      <c r="AD65" s="196" t="n">
        <f aca="false">IF((SUMIF($Z$3:$AI$3,AD$60,$Z$4:$AI$4))=0,0,((SUMIF($Z$3:$AI$3,AD$60,$Z114:$AI114))/SUMIF($Z$3:$AI$3,AD$60,$Z$4:$AI$4)))</f>
        <v>0</v>
      </c>
      <c r="AE65" s="196" t="n">
        <f aca="false">IF((SUMIF($Z$3:$AI$3,AE$60,$Z$4:$AI$4))=0,0,((SUMIF($Z$3:$AI$3,AE$60,$Z114:$AI114))/SUMIF($Z$3:$AI$3,AE$60,$Z$4:$AI$4)))</f>
        <v>0</v>
      </c>
      <c r="AF65" s="196" t="n">
        <f aca="false">IF((SUMIF($Z$3:$AI$3,AF$60,$Z$4:$AI$4))=0,0,((SUMIF($Z$3:$AI$3,AF$60,$Z114:$AI114))/SUMIF($Z$3:$AI$3,AF$60,$Z$4:$AI$4)))</f>
        <v>0</v>
      </c>
      <c r="AG65" s="196" t="n">
        <f aca="false">IF((SUMIF($Z$3:$AI$3,AG$60,$Z$4:$AI$4))=0,0,((SUMIF($Z$3:$AI$3,AG$60,$Z114:$AI114))/SUMIF($Z$3:$AI$3,AG$60,$Z$4:$AI$4)))</f>
        <v>0</v>
      </c>
      <c r="AH65" s="196" t="n">
        <f aca="false">IF((SUMIF($Z$3:$AI$3,AH$60,$Z$4:$AI$4))=0,0,((SUMIF($Z$3:$AI$3,AH$60,$Z114:$AI114))/SUMIF($Z$3:$AI$3,AH$60,$Z$4:$AI$4)))</f>
        <v>0</v>
      </c>
      <c r="AI65" s="197" t="n">
        <f aca="false">IF((SUMIF($Z$3:$AI$3,AI$60,$Z$4:$AI$4))=0,0,((SUMIF($Z$3:$AI$3,AI$60,$Z114:$AI114))/SUMIF($Z$3:$AI$3,AI$60,$Z$4:$AI$4)))</f>
        <v>0</v>
      </c>
      <c r="AJ65" s="194" t="str">
        <f aca="false">Y65</f>
        <v>Alumno4</v>
      </c>
      <c r="AK65" s="195" t="n">
        <f aca="false">IF((SUMIF($AK$3:$AT$3,AK$60,$AK$4:$AT$4))=0,0,((SUMIF($AK$3:$AT$3,AK$60,$AK114:$AT114))/SUMIF($AK$3:$AT$3,AK$60,$AK$4:$AT$4)))</f>
        <v>5</v>
      </c>
      <c r="AL65" s="196" t="n">
        <f aca="false">IF((SUMIF($AK$3:$AT$3,AL$60,$AK$4:$AT$4))=0,0,((SUMIF($AK$3:$AT$3,AL$60,$AK114:$AT114))/SUMIF($AK$3:$AT$3,AL$60,$AK$4:$AT$4)))</f>
        <v>5</v>
      </c>
      <c r="AM65" s="196" t="n">
        <f aca="false">IF((SUMIF($AK$3:$AT$3,AM$60,$AK$4:$AT$4))=0,0,((SUMIF($AK$3:$AT$3,AM$60,$AK114:$AT114))/SUMIF($AK$3:$AT$3,AM$60,$AK$4:$AT$4)))</f>
        <v>5</v>
      </c>
      <c r="AN65" s="196" t="n">
        <f aca="false">IF((SUMIF($AK$3:$AT$3,AN$60,$AK$4:$AT$4))=0,0,((SUMIF($AK$3:$AT$3,AN$60,$AK114:$AT114))/SUMIF($AK$3:$AT$3,AN$60,$AK$4:$AT$4)))</f>
        <v>0</v>
      </c>
      <c r="AO65" s="196" t="n">
        <f aca="false">IF((SUMIF($AK$3:$AT$3,AO$60,$AK$4:$AT$4))=0,0,((SUMIF($AK$3:$AT$3,AO$60,$AK114:$AT114))/SUMIF($AK$3:$AT$3,AO$60,$AK$4:$AT$4)))</f>
        <v>0</v>
      </c>
      <c r="AP65" s="196" t="n">
        <f aca="false">IF((SUMIF($AK$3:$AT$3,AP$60,$AK$4:$AT$4))=0,0,((SUMIF($AK$3:$AT$3,AP$60,$AK114:$AT114))/SUMIF($AK$3:$AT$3,AP$60,$AK$4:$AT$4)))</f>
        <v>0</v>
      </c>
      <c r="AQ65" s="196" t="n">
        <f aca="false">IF((SUMIF($AK$3:$AT$3,AQ$60,$AK$4:$AT$4))=0,0,((SUMIF($AK$3:$AT$3,AQ$60,$AK114:$AT114))/SUMIF($AK$3:$AT$3,AQ$60,$AK$4:$AT$4)))</f>
        <v>0</v>
      </c>
      <c r="AR65" s="196" t="n">
        <f aca="false">IF((SUMIF($AK$3:$AT$3,AR$60,$AK$4:$AT$4))=0,0,((SUMIF($AK$3:$AT$3,AR$60,$AK114:$AT114))/SUMIF($AK$3:$AT$3,AR$60,$AK$4:$AT$4)))</f>
        <v>0</v>
      </c>
      <c r="AS65" s="196" t="n">
        <f aca="false">IF((SUMIF($AK$3:$AT$3,AS$60,$AK$4:$AT$4))=0,0,((SUMIF($AK$3:$AT$3,AS$60,$AK114:$AT114))/SUMIF($AK$3:$AT$3,AS$60,$AK$4:$AT$4)))</f>
        <v>0</v>
      </c>
      <c r="AT65" s="197" t="n">
        <f aca="false">IF((SUMIF($AK$3:$AT$3,AT$60,$AK$4:$AT$4))=0,0,((SUMIF($AK$3:$AT$3,AT$60,$AK114:$AT114))/SUMIF($AK$3:$AT$3,AT$60,$AK$4:$AT$4)))</f>
        <v>0</v>
      </c>
      <c r="AU65" s="194" t="str">
        <f aca="false">AJ65</f>
        <v>Alumno4</v>
      </c>
      <c r="AV65" s="195" t="n">
        <f aca="false">IF((SUMIF($AV$3:$BE$3,AV$60,$AV$4:$BE$4))=0,0,((SUMIF($AV$3:$BE$3,AV$60,$AV114:$BE114))/SUMIF($AV$3:$BE$3,AV$60,$AV$4:$BE$4)))</f>
        <v>4</v>
      </c>
      <c r="AW65" s="196" t="n">
        <f aca="false">IF((SUMIF($AV$3:$BE$3,AW$60,$AV$4:$BE$4))=0,0,((SUMIF($AV$3:$BE$3,AW$60,$AV114:$BE114))/SUMIF($AV$3:$BE$3,AW$60,$AV$4:$BE$4)))</f>
        <v>3</v>
      </c>
      <c r="AX65" s="196" t="n">
        <f aca="false">IF((SUMIF($AV$3:$BE$3,AX$60,$AV$4:$BE$4))=0,0,((SUMIF($AV$3:$BE$3,AX$60,$AV114:$BE114))/SUMIF($AV$3:$BE$3,AX$60,$AV$4:$BE$4)))</f>
        <v>5.6</v>
      </c>
      <c r="AY65" s="196" t="n">
        <f aca="false">IF((SUMIF($AV$3:$BE$3,AY$60,$AV$4:$BE$4))=0,0,((SUMIF($AV$3:$BE$3,AY$60,$AV114:$BE114))/SUMIF($AV$3:$BE$3,AY$60,$AV$4:$BE$4)))</f>
        <v>4</v>
      </c>
      <c r="AZ65" s="196" t="n">
        <f aca="false">IF((SUMIF($AV$3:$BE$3,AZ$60,$AV$4:$BE$4))=0,0,((SUMIF($AV$3:$BE$3,AZ$60,$AV114:$BE114))/SUMIF($AV$3:$BE$3,AZ$60,$AV$4:$BE$4)))</f>
        <v>0</v>
      </c>
      <c r="BA65" s="196" t="n">
        <f aca="false">IF((SUMIF($AV$3:$BE$3,BA$60,$AV$4:$BE$4))=0,0,((SUMIF($AV$3:$BE$3,BA$60,$AV114:$BE114))/SUMIF($AV$3:$BE$3,BA$60,$AV$4:$BE$4)))</f>
        <v>0</v>
      </c>
      <c r="BB65" s="196" t="n">
        <f aca="false">IF((SUMIF($AV$3:$BE$3,BB$60,$AV$4:$BE$4))=0,0,((SUMIF($AV$3:$BE$3,BB$60,$AV114:$BE114))/SUMIF($AV$3:$BE$3,BB$60,$AV$4:$BE$4)))</f>
        <v>0</v>
      </c>
      <c r="BC65" s="196" t="n">
        <f aca="false">IF((SUMIF($AV$3:$BE$3,BC$60,$AV$4:$BE$4))=0,0,((SUMIF($AV$3:$BE$3,BC$60,$AV114:$BE114))/SUMIF($AV$3:$BE$3,BC$60,$AV$4:$BE$4)))</f>
        <v>0</v>
      </c>
      <c r="BD65" s="196" t="n">
        <f aca="false">IF((SUMIF($AV$3:$BE$3,BD$60,$AV$4:$BE$4))=0,0,((SUMIF($AV$3:$BE$3,BD$60,$AV114:$BE114))/SUMIF($AV$3:$BE$3,BD$60,$AV$4:$BE$4)))</f>
        <v>0</v>
      </c>
      <c r="BE65" s="197" t="n">
        <f aca="false">IF((SUMIF($AV$3:$BE$3,BE$60,$AV$4:$BE$4))=0,0,((SUMIF($AV$3:$BE$3,BE$60,$AV114:$BE114))/SUMIF($AV$3:$BE$3,BE$60,$AV$4:$BE$4)))</f>
        <v>0</v>
      </c>
      <c r="BF65" s="194" t="str">
        <f aca="false">AU65</f>
        <v>Alumno4</v>
      </c>
      <c r="BG65" s="195" t="n">
        <f aca="false">IF((SUMIF($BG$3:$BP$3,BG$60,$BG$4:$BP$4))=0,0,((SUMIF($BG$3:$BP$3,BG$60,$BG114:$BP114))/SUMIF($BG$3:$BP$3,BG$60,$BG$4:$BP$4)))</f>
        <v>4</v>
      </c>
      <c r="BH65" s="196" t="n">
        <f aca="false">IF((SUMIF($BG$3:$BP$3,BH$60,$BG$4:$BP$4))=0,0,((SUMIF($BG$3:$BP$3,BH$60,$BG114:$BP114))/SUMIF($BG$3:$BP$3,BH$60,$BG$4:$BP$4)))</f>
        <v>3</v>
      </c>
      <c r="BI65" s="196" t="n">
        <f aca="false">IF((SUMIF($BG$3:$BP$3,BI$60,$BG$4:$BP$4))=0,0,((SUMIF($BG$3:$BP$3,BI$60,$BG114:$BP114))/SUMIF($BG$3:$BP$3,BI$60,$BG$4:$BP$4)))</f>
        <v>5</v>
      </c>
      <c r="BJ65" s="196" t="n">
        <f aca="false">IF((SUMIF($BG$3:$BP$3,BJ$60,$BG$4:$BP$4))=0,0,((SUMIF($BG$3:$BP$3,BJ$60,$BG114:$BP114))/SUMIF($BG$3:$BP$3,BJ$60,$BG$4:$BP$4)))</f>
        <v>4.8</v>
      </c>
      <c r="BK65" s="196" t="n">
        <f aca="false">IF((SUMIF($BG$3:$BP$3,BK$60,$BG$4:$BP$4))=0,0,((SUMIF($BG$3:$BP$3,BK$60,$BG114:$BP114))/SUMIF($BG$3:$BP$3,BK$60,$BG$4:$BP$4)))</f>
        <v>0</v>
      </c>
      <c r="BL65" s="196" t="n">
        <f aca="false">IF((SUMIF($BG$3:$BP$3,BL$60,$BG$4:$BP$4))=0,0,((SUMIF($BG$3:$BP$3,BL$60,$BG114:$BP114))/SUMIF($BG$3:$BP$3,BL$60,$BG$4:$BP$4)))</f>
        <v>0</v>
      </c>
      <c r="BM65" s="196" t="n">
        <f aca="false">IF((SUMIF($BG$3:$BP$3,BM$60,$BG$4:$BP$4))=0,0,((SUMIF($BG$3:$BP$3,BM$60,$BG114:$BP114))/SUMIF($BG$3:$BP$3,BM$60,$BG$4:$BP$4)))</f>
        <v>0</v>
      </c>
      <c r="BN65" s="196" t="n">
        <f aca="false">IF((SUMIF($BG$3:$BP$3,BN$60,$BG$4:$BP$4))=0,0,((SUMIF($BG$3:$BP$3,BN$60,$BG114:$BP114))/SUMIF($BG$3:$BP$3,BN$60,$BG$4:$BP$4)))</f>
        <v>0</v>
      </c>
      <c r="BO65" s="196" t="n">
        <f aca="false">IF((SUMIF($BG$3:$BP$3,BO$60,$BG$4:$BP$4))=0,0,((SUMIF($BG$3:$BP$3,BO$60,$BG114:$BP114))/SUMIF($BG$3:$BP$3,BO$60,$BG$4:$BP$4)))</f>
        <v>0</v>
      </c>
      <c r="BP65" s="197" t="n">
        <f aca="false">IF((SUMIF($BG$3:$BP$3,BP$60,$BG$4:$BP$4))=0,0,((SUMIF($BG$3:$BP$3,BP$60,$BG114:$BP114))/SUMIF($BG$3:$BP$3,BP$60,$BG$4:$BP$4)))</f>
        <v>0</v>
      </c>
      <c r="BQ65" s="194" t="str">
        <f aca="false">BF65</f>
        <v>Alumno4</v>
      </c>
      <c r="BR65" s="195" t="n">
        <f aca="false">IF((SUMIF($BR$3:$CA$3,BR$60,$BR$4:$CA$4))=0,0,((SUMIF($BR$3:$CA$3,BR$60,$BR114:$CA114))/SUMIF($BR$3:$CA$3,BR$60,$BR$4:$CA$4)))</f>
        <v>0</v>
      </c>
      <c r="BS65" s="196" t="n">
        <f aca="false">IF((SUMIF($BR$3:$CA$3,BS$60,$BR$4:$CA$4))=0,0,((SUMIF($BR$3:$CA$3,BS$60,$BR114:$CA114))/SUMIF($BR$3:$CA$3,BS$60,$BR$4:$CA$4)))</f>
        <v>9</v>
      </c>
      <c r="BT65" s="196" t="n">
        <f aca="false">IF((SUMIF($BR$3:$CA$3,BT$60,$BR$4:$CA$4))=0,0,((SUMIF($BR$3:$CA$3,BT$60,$BR114:$CA114))/SUMIF($BR$3:$CA$3,BT$60,$BR$4:$CA$4)))</f>
        <v>9</v>
      </c>
      <c r="BU65" s="196" t="n">
        <f aca="false">IF((SUMIF($BR$3:$CA$3,BU$60,$BR$4:$CA$4))=0,0,((SUMIF($BR$3:$CA$3,BU$60,$BR114:$CA114))/SUMIF($BR$3:$CA$3,BU$60,$BR$4:$CA$4)))</f>
        <v>9</v>
      </c>
      <c r="BV65" s="196" t="n">
        <f aca="false">IF((SUMIF($BR$3:$CA$3,BV$60,$BR$4:$CA$4))=0,0,((SUMIF($BR$3:$CA$3,BV$60,$BR114:$CA114))/SUMIF($BR$3:$CA$3,BV$60,$BR$4:$CA$4)))</f>
        <v>0</v>
      </c>
      <c r="BW65" s="196" t="n">
        <f aca="false">IF((SUMIF($BR$3:$CA$3,BW$60,$BR$4:$CA$4))=0,0,((SUMIF($BR$3:$CA$3,BW$60,$BR114:$CA114))/SUMIF($BR$3:$CA$3,BW$60,$BR$4:$CA$4)))</f>
        <v>0</v>
      </c>
      <c r="BX65" s="196" t="n">
        <f aca="false">IF((SUMIF($BR$3:$CA$3,BX$60,$BR$4:$CA$4))=0,0,((SUMIF($BR$3:$CA$3,BX$60,$BR114:$CA114))/SUMIF($BR$3:$CA$3,BX$60,$BR$4:$CA$4)))</f>
        <v>0</v>
      </c>
      <c r="BY65" s="196" t="n">
        <f aca="false">IF((SUMIF($BR$3:$CA$3,BY$60,$BR$4:$CA$4))=0,0,((SUMIF($BR$3:$CA$3,BY$60,$BR114:$CA114))/SUMIF($BR$3:$CA$3,BY$60,$BR$4:$CA$4)))</f>
        <v>0</v>
      </c>
      <c r="BZ65" s="196" t="n">
        <f aca="false">IF((SUMIF($BR$3:$CA$3,BZ$60,$BR$4:$CA$4))=0,0,((SUMIF($BR$3:$CA$3,BZ$60,$BR114:$CA114))/SUMIF($BR$3:$CA$3,BZ$60,$BR$4:$CA$4)))</f>
        <v>0</v>
      </c>
      <c r="CA65" s="197" t="n">
        <f aca="false">IF((SUMIF($BR$3:$CA$3,CA$60,$BR$4:$CA$4))=0,0,((SUMIF($BR$3:$CA$3,CA$60,$BR114:$CA114))/SUMIF($BR$3:$CA$3,CA$60,$BR$4:$CA$4)))</f>
        <v>0</v>
      </c>
      <c r="CB65" s="194" t="str">
        <f aca="false">BQ65</f>
        <v>Alumno4</v>
      </c>
      <c r="CC65" s="195" t="n">
        <f aca="false">IF((SUMIF($CC$3:$CL$3,CC$60,$CC$4:$CL$4))=0,0,((SUMIF($CC$3:$CL$3,CC$60,$CC114:$CL114))/SUMIF($CC$3:$CL$3,CC$60,$CC$4:$CL$4)))</f>
        <v>0</v>
      </c>
      <c r="CD65" s="196" t="n">
        <f aca="false">IF((SUMIF($CC$3:$CL$3,CD$60,$CC$4:$CL$4))=0,0,((SUMIF($CC$3:$CL$3,CD$60,$CC114:$CL114))/SUMIF($CC$3:$CL$3,CD$60,$CC$4:$CL$4)))</f>
        <v>0</v>
      </c>
      <c r="CE65" s="196" t="n">
        <f aca="false">IF((SUMIF($CC$3:$CL$3,CE$60,$CC$4:$CL$4))=0,0,((SUMIF($CC$3:$CL$3,CE$60,$CC114:$CL114))/SUMIF($CC$3:$CL$3,CE$60,$CC$4:$CL$4)))</f>
        <v>0</v>
      </c>
      <c r="CF65" s="196" t="n">
        <f aca="false">IF((SUMIF($CC$3:$CL$3,CF$60,$CC$4:$CL$4))=0,0,((SUMIF($CC$3:$CL$3,CF$60,$CC114:$CL114))/SUMIF($CC$3:$CL$3,CF$60,$CC$4:$CL$4)))</f>
        <v>0</v>
      </c>
      <c r="CG65" s="196" t="n">
        <f aca="false">IF((SUMIF($CC$3:$CL$3,CG$60,$CC$4:$CL$4))=0,0,((SUMIF($CC$3:$CL$3,CG$60,$CC114:$CL114))/SUMIF($CC$3:$CL$3,CG$60,$CC$4:$CL$4)))</f>
        <v>0</v>
      </c>
      <c r="CH65" s="196" t="n">
        <f aca="false">IF((SUMIF($CC$3:$CL$3,CH$60,$CC$4:$CL$4))=0,0,((SUMIF($CC$3:$CL$3,CH$60,$CC114:$CL114))/SUMIF($CC$3:$CL$3,CH$60,$CC$4:$CL$4)))</f>
        <v>0</v>
      </c>
      <c r="CI65" s="196" t="n">
        <f aca="false">IF((SUMIF($CC$3:$CL$3,CI$60,$CC$4:$CL$4))=0,0,((SUMIF($CC$3:$CL$3,CI$60,$CC114:$CL114))/SUMIF($CC$3:$CL$3,CI$60,$CC$4:$CL$4)))</f>
        <v>0</v>
      </c>
      <c r="CJ65" s="196" t="n">
        <f aca="false">IF((SUMIF($CC$3:$CL$3,CJ$60,$CC$4:$CL$4))=0,0,((SUMIF($CC$3:$CL$3,CJ$60,$CC114:$CL114))/SUMIF($CC$3:$CL$3,CJ$60,$CC$4:$CL$4)))</f>
        <v>0</v>
      </c>
      <c r="CK65" s="196" t="n">
        <f aca="false">IF((SUMIF($CC$3:$CL$3,CK$60,$CC$4:$CL$4))=0,0,((SUMIF($CC$3:$CL$3,CK$60,$CC114:$CL114))/SUMIF($CC$3:$CL$3,CK$60,$CC$4:$CL$4)))</f>
        <v>0</v>
      </c>
      <c r="CL65" s="197" t="n">
        <f aca="false">IF((SUMIF($CC$3:$CL$3,CL$60,$CC$4:$CL$4))=0,0,((SUMIF($CC$3:$CL$3,CL$60,$CC114:$CL114))/SUMIF($CC$3:$CL$3,CL$60,$CC$4:$CL$4)))</f>
        <v>0</v>
      </c>
      <c r="CM65" s="194" t="str">
        <f aca="false">CB65</f>
        <v>Alumno4</v>
      </c>
      <c r="CN65" s="195" t="n">
        <f aca="false">IF((SUMIF($CN$3:$CW$3,CN$60,$CN$4:$CW$4))=0,0,((SUMIF($CN$3:$CW$3,CN$60,$CN114:$CW114))/SUMIF($CN$3:$CW$3,CN$60,$CN$4:$CW$4)))</f>
        <v>0</v>
      </c>
      <c r="CO65" s="196" t="n">
        <f aca="false">IF((SUMIF($CN$3:$CW$3,CO$60,$CN$4:$CW$4))=0,0,((SUMIF($CN$3:$CW$3,CO$60,$CN114:$CW114))/SUMIF($CN$3:$CW$3,CO$60,$CN$4:$CW$4)))</f>
        <v>0</v>
      </c>
      <c r="CP65" s="196" t="n">
        <f aca="false">IF((SUMIF($CN$3:$CW$3,CP$60,$CN$4:$CW$4))=0,0,((SUMIF($CN$3:$CW$3,CP$60,$CN114:$CW114))/SUMIF($CN$3:$CW$3,CP$60,$CN$4:$CW$4)))</f>
        <v>0</v>
      </c>
      <c r="CQ65" s="196" t="n">
        <f aca="false">IF((SUMIF($CN$3:$CW$3,CQ$60,$CN$4:$CW$4))=0,0,((SUMIF($CN$3:$CW$3,CQ$60,$CN114:$CW114))/SUMIF($CN$3:$CW$3,CQ$60,$CN$4:$CW$4)))</f>
        <v>0</v>
      </c>
      <c r="CR65" s="196" t="n">
        <f aca="false">IF((SUMIF($CN$3:$CW$3,CR$60,$CN$4:$CW$4))=0,0,((SUMIF($CN$3:$CW$3,CR$60,$CN114:$CW114))/SUMIF($CN$3:$CW$3,CR$60,$CN$4:$CW$4)))</f>
        <v>0</v>
      </c>
      <c r="CS65" s="196" t="n">
        <f aca="false">IF((SUMIF($CN$3:$CW$3,CS$60,$CN$4:$CW$4))=0,0,((SUMIF($CN$3:$CW$3,CS$60,$CN114:$CW114))/SUMIF($CN$3:$CW$3,CS$60,$CN$4:$CW$4)))</f>
        <v>0</v>
      </c>
      <c r="CT65" s="196" t="n">
        <f aca="false">IF((SUMIF($CN$3:$CW$3,CT$60,$CN$4:$CW$4))=0,0,((SUMIF($CN$3:$CW$3,CT$60,$CN114:$CW114))/SUMIF($CN$3:$CW$3,CT$60,$CN$4:$CW$4)))</f>
        <v>0</v>
      </c>
      <c r="CU65" s="196" t="n">
        <f aca="false">IF((SUMIF($CN$3:$CW$3,CU$60,$CN$4:$CW$4))=0,0,((SUMIF($CN$3:$CW$3,CU$60,$CN114:$CW114))/SUMIF($CN$3:$CW$3,CU$60,$CN$4:$CW$4)))</f>
        <v>0</v>
      </c>
      <c r="CV65" s="196" t="n">
        <f aca="false">IF((SUMIF($CN$3:$CW$3,CV$60,$CN$4:$CW$4))=0,0,((SUMIF($CN$3:$CW$3,CV$60,$CN114:$CW114))/SUMIF($CN$3:$CW$3,CV$60,$CN$4:$CW$4)))</f>
        <v>0</v>
      </c>
      <c r="CW65" s="197" t="n">
        <f aca="false">IF((SUMIF($CN$3:$CW$3,CW$60,$CN$4:$CW$4))=0,0,((SUMIF($CN$3:$CW$3,CW$60,$CN114:$CW114))/SUMIF($CN$3:$CW$3,CW$60,$CN$4:$CW$4)))</f>
        <v>0</v>
      </c>
      <c r="CX65" s="194" t="str">
        <f aca="false">CM65</f>
        <v>Alumno4</v>
      </c>
      <c r="CY65" s="195" t="n">
        <f aca="false">IF((SUMIF($CY$3:$DH$3,CY$60,$CY$4:$DH$4))=0,0,((SUMIF($CY$3:$DH$3,CY$60,$CY114:$DH114))/SUMIF($CY$3:$DH$3,CY$60,$CY$4:$DH$4)))</f>
        <v>0</v>
      </c>
      <c r="CZ65" s="196" t="n">
        <f aca="false">IF((SUMIF($CY$3:$DH$3,CZ$60,$CY$4:$DH$4))=0,0,((SUMIF($CY$3:$DH$3,CZ$60,$CY114:$DH114))/SUMIF($CY$3:$DH$3,CZ$60,$CY$4:$DH$4)))</f>
        <v>0</v>
      </c>
      <c r="DA65" s="196" t="n">
        <f aca="false">IF((SUMIF($CY$3:$DH$3,DA$60,$CY$4:$DH$4))=0,0,((SUMIF($CY$3:$DH$3,DA$60,$CY114:$DH114))/SUMIF($CY$3:$DH$3,DA$60,$CY$4:$DH$4)))</f>
        <v>0</v>
      </c>
      <c r="DB65" s="196" t="n">
        <f aca="false">IF((SUMIF($CY$3:$DH$3,DB$60,$CY$4:$DH$4))=0,0,((SUMIF($CY$3:$DH$3,DB$60,$CY114:$DH114))/SUMIF($CY$3:$DH$3,DB$60,$CY$4:$DH$4)))</f>
        <v>0</v>
      </c>
      <c r="DC65" s="196" t="n">
        <f aca="false">IF((SUMIF($CY$3:$DH$3,DC$60,$CY$4:$DH$4))=0,0,((SUMIF($CY$3:$DH$3,DC$60,$CY114:$DH114))/SUMIF($CY$3:$DH$3,DC$60,$CY$4:$DH$4)))</f>
        <v>0</v>
      </c>
      <c r="DD65" s="196" t="n">
        <f aca="false">IF((SUMIF($CY$3:$DH$3,DD$60,$CY$4:$DH$4))=0,0,((SUMIF($CY$3:$DH$3,DD$60,$CY114:$DH114))/SUMIF($CY$3:$DH$3,DD$60,$CY$4:$DH$4)))</f>
        <v>0</v>
      </c>
      <c r="DE65" s="196" t="n">
        <f aca="false">IF((SUMIF($CY$3:$DH$3,DE$60,$CY$4:$DH$4))=0,0,((SUMIF($CY$3:$DH$3,DE$60,$CY114:$DH114))/SUMIF($CY$3:$DH$3,DE$60,$CY$4:$DH$4)))</f>
        <v>0</v>
      </c>
      <c r="DF65" s="196" t="n">
        <f aca="false">IF((SUMIF($CY$3:$DH$3,DF$60,$CY$4:$DH$4))=0,0,((SUMIF($CY$3:$DH$3,DF$60,$CY114:$DH114))/SUMIF($CY$3:$DH$3,DF$60,$CY$4:$DH$4)))</f>
        <v>0</v>
      </c>
      <c r="DG65" s="196" t="n">
        <f aca="false">IF((SUMIF($CY$3:$DH$3,DG$60,$CY$4:$DH$4))=0,0,((SUMIF($CY$3:$DH$3,DG$60,$CY114:$DH114))/SUMIF($CY$3:$DH$3,DG$60,$CY$4:$DH$4)))</f>
        <v>0</v>
      </c>
      <c r="DH65" s="197" t="n">
        <f aca="false">IF((SUMIF($CY$3:$DH$3,DH$60,$CY$4:$DH$4))=0,0,((SUMIF($CY$3:$DH$3,DH$60,$CY114:$DH114))/SUMIF($CY$3:$DH$3,DH$60,$CY$4:$DH$4)))</f>
        <v>0</v>
      </c>
      <c r="DI65" s="194" t="str">
        <f aca="false">CX65</f>
        <v>Alumno4</v>
      </c>
      <c r="DJ65" s="195" t="n">
        <f aca="false">IF((SUMIF($DJ$3:$DS$3,DJ$60,$DJ$4:$DS$4))=0,0,((SUMIF($DJ$3:$DS$3,DJ$60,$DJ114:$DS114))/SUMIF($DJ$3:$DS$3,DJ$60,$DJ$4:$DS$4)))</f>
        <v>0</v>
      </c>
      <c r="DK65" s="196" t="n">
        <f aca="false">IF((SUMIF($DJ$3:$DS$3,DK$60,$DJ$4:$DS$4))=0,0,((SUMIF($DJ$3:$DS$3,DK$60,$DJ114:$DS114))/SUMIF($DJ$3:$DS$3,DK$60,$DJ$4:$DS$4)))</f>
        <v>0</v>
      </c>
      <c r="DL65" s="196" t="n">
        <f aca="false">IF((SUMIF($DJ$3:$DS$3,DL$60,$DJ$4:$DS$4))=0,0,((SUMIF($DJ$3:$DS$3,DL$60,$DJ114:$DS114))/SUMIF($DJ$3:$DS$3,DL$60,$DJ$4:$DS$4)))</f>
        <v>0</v>
      </c>
      <c r="DM65" s="196" t="n">
        <f aca="false">IF((SUMIF($DJ$3:$DS$3,DM$60,$DJ$4:$DS$4))=0,0,((SUMIF($DJ$3:$DS$3,DM$60,$DJ114:$DS114))/SUMIF($DJ$3:$DS$3,DM$60,$DJ$4:$DS$4)))</f>
        <v>0</v>
      </c>
      <c r="DN65" s="196" t="n">
        <f aca="false">IF((SUMIF($DJ$3:$DS$3,DN$60,$DJ$4:$DS$4))=0,0,((SUMIF($DJ$3:$DS$3,DN$60,$DJ114:$DS114))/SUMIF($DJ$3:$DS$3,DN$60,$DJ$4:$DS$4)))</f>
        <v>0</v>
      </c>
      <c r="DO65" s="196" t="n">
        <f aca="false">IF((SUMIF($DJ$3:$DS$3,DO$60,$DJ$4:$DS$4))=0,0,((SUMIF($DJ$3:$DS$3,DO$60,$DJ114:$DS114))/SUMIF($DJ$3:$DS$3,DO$60,$DJ$4:$DS$4)))</f>
        <v>0</v>
      </c>
      <c r="DP65" s="196" t="n">
        <f aca="false">IF((SUMIF($DJ$3:$DS$3,DP$60,$DJ$4:$DS$4))=0,0,((SUMIF($DJ$3:$DS$3,DP$60,$DJ114:$DS114))/SUMIF($DJ$3:$DS$3,DP$60,$DJ$4:$DS$4)))</f>
        <v>0</v>
      </c>
      <c r="DQ65" s="196" t="n">
        <f aca="false">IF((SUMIF($DJ$3:$DS$3,DQ$60,$DJ$4:$DS$4))=0,0,((SUMIF($DJ$3:$DS$3,DQ$60,$DJ114:$DS114))/SUMIF($DJ$3:$DS$3,DQ$60,$DJ$4:$DS$4)))</f>
        <v>0</v>
      </c>
      <c r="DR65" s="196" t="n">
        <f aca="false">IF((SUMIF($DJ$3:$DS$3,DR$60,$DJ$4:$DS$4))=0,0,((SUMIF($DJ$3:$DS$3,DR$60,$DJ114:$DS114))/SUMIF($DJ$3:$DS$3,DR$60,$DJ$4:$DS$4)))</f>
        <v>0</v>
      </c>
      <c r="DS65" s="197" t="n">
        <f aca="false">IF((SUMIF($DJ$3:$DS$3,DS$60,$DJ$4:$DS$4))=0,0,((SUMIF($DJ$3:$DS$3,DS$60,$DJ114:$DS114))/SUMIF($DJ$3:$DS$3,DS$60,$DJ$4:$DS$4)))</f>
        <v>0</v>
      </c>
      <c r="DT65" s="194" t="str">
        <f aca="false">DI65</f>
        <v>Alumno4</v>
      </c>
      <c r="DU65" s="195" t="n">
        <f aca="false">IF((SUMIF($DU$3:$ED$3,DU$60,$DU$4:$ED$4))=0,0,((SUMIF($DU$3:$ED$3,DU$60,$DU114:$ED114))/SUMIF($DU$3:$ED$3,DU$60,$DU$4:$ED$4)))</f>
        <v>0</v>
      </c>
      <c r="DV65" s="196" t="n">
        <f aca="false">IF((SUMIF($DU$3:$ED$3,DV$60,$DU$4:$ED$4))=0,0,((SUMIF($DU$3:$ED$3,DV$60,$DU114:$ED114))/SUMIF($DU$3:$ED$3,DV$60,$DU$4:$ED$4)))</f>
        <v>0</v>
      </c>
      <c r="DW65" s="196" t="n">
        <f aca="false">IF((SUMIF($DU$3:$ED$3,DW$60,$DU$4:$ED$4))=0,0,((SUMIF($DU$3:$ED$3,DW$60,$DU114:$ED114))/SUMIF($DU$3:$ED$3,DW$60,$DU$4:$ED$4)))</f>
        <v>0</v>
      </c>
      <c r="DX65" s="196" t="n">
        <f aca="false">IF((SUMIF($DU$3:$ED$3,DX$60,$DU$4:$ED$4))=0,0,((SUMIF($DU$3:$ED$3,DX$60,$DU114:$ED114))/SUMIF($DU$3:$ED$3,DX$60,$DU$4:$ED$4)))</f>
        <v>0</v>
      </c>
      <c r="DY65" s="196" t="n">
        <f aca="false">IF((SUMIF($DU$3:$ED$3,DY$60,$DU$4:$ED$4))=0,0,((SUMIF($DU$3:$ED$3,DY$60,$DU114:$ED114))/SUMIF($DU$3:$ED$3,DY$60,$DU$4:$ED$4)))</f>
        <v>0</v>
      </c>
      <c r="DZ65" s="196" t="n">
        <f aca="false">IF((SUMIF($DU$3:$ED$3,DZ$60,$DU$4:$ED$4))=0,0,((SUMIF($DU$3:$ED$3,DZ$60,$DU114:$ED114))/SUMIF($DU$3:$ED$3,DZ$60,$DU$4:$ED$4)))</f>
        <v>0</v>
      </c>
      <c r="EA65" s="196" t="n">
        <f aca="false">IF((SUMIF($DU$3:$ED$3,EA$60,$DU$4:$ED$4))=0,0,((SUMIF($DU$3:$ED$3,EA$60,$DU114:$ED114))/SUMIF($DU$3:$ED$3,EA$60,$DU$4:$ED$4)))</f>
        <v>0</v>
      </c>
      <c r="EB65" s="196" t="n">
        <f aca="false">IF((SUMIF($DU$3:$ED$3,EB$60,$DU$4:$ED$4))=0,0,((SUMIF($DU$3:$ED$3,EB$60,$DU114:$ED114))/SUMIF($DU$3:$ED$3,EB$60,$DU$4:$ED$4)))</f>
        <v>0</v>
      </c>
      <c r="EC65" s="196" t="n">
        <f aca="false">IF((SUMIF($DU$3:$ED$3,EC$60,$DU$4:$ED$4))=0,0,((SUMIF($DU$3:$ED$3,EC$60,$DU114:$ED114))/SUMIF($DU$3:$ED$3,EC$60,$DU$4:$ED$4)))</f>
        <v>0</v>
      </c>
      <c r="ED65" s="197" t="n">
        <f aca="false">IF((SUMIF($DU$3:$ED$3,ED$60,$DU$4:$ED$4))=0,0,((SUMIF($DU$3:$ED$3,ED$60,$DU114:$ED114))/SUMIF($DU$3:$ED$3,ED$60,$DU$4:$ED$4)))</f>
        <v>0</v>
      </c>
      <c r="EE65" s="194" t="str">
        <f aca="false">DT65</f>
        <v>Alumno4</v>
      </c>
      <c r="EF65" s="195" t="n">
        <f aca="false">IF((SUMIF($EF$3:$EO$3,EF$60,$EF$4:$EO$4))=0,0,((SUMIF($EF$3:$EO$3,EF$60,$EF114:$EO114))/SUMIF($EF$3:$EO$3,EF$60,$EF$4:$EO$4)))</f>
        <v>0</v>
      </c>
      <c r="EG65" s="196" t="n">
        <f aca="false">IF((SUMIF($EF$3:$EO$3,EG$60,$EF$4:$EO$4))=0,0,((SUMIF($EF$3:$EO$3,EG$60,$EF114:$EO114))/SUMIF($EF$3:$EO$3,EG$60,$EF$4:$EO$4)))</f>
        <v>0</v>
      </c>
      <c r="EH65" s="196" t="n">
        <f aca="false">IF((SUMIF($EF$3:$EO$3,EH$60,$EF$4:$EO$4))=0,0,((SUMIF($EF$3:$EO$3,EH$60,$EF114:$EO114))/SUMIF($EF$3:$EO$3,EH$60,$EF$4:$EO$4)))</f>
        <v>0</v>
      </c>
      <c r="EI65" s="196" t="n">
        <f aca="false">IF((SUMIF($EF$3:$EO$3,EI$60,$EF$4:$EO$4))=0,0,((SUMIF($EF$3:$EO$3,EI$60,$EF114:$EO114))/SUMIF($EF$3:$EO$3,EI$60,$EF$4:$EO$4)))</f>
        <v>0</v>
      </c>
      <c r="EJ65" s="196" t="n">
        <f aca="false">IF((SUMIF($EF$3:$EO$3,EJ$60,$EF$4:$EO$4))=0,0,((SUMIF($EF$3:$EO$3,EJ$60,$EF114:$EO114))/SUMIF($EF$3:$EO$3,EJ$60,$EF$4:$EO$4)))</f>
        <v>0</v>
      </c>
      <c r="EK65" s="196" t="n">
        <f aca="false">IF((SUMIF($EF$3:$EO$3,EK$60,$EF$4:$EO$4))=0,0,((SUMIF($EF$3:$EO$3,EK$60,$EF114:$EO114))/SUMIF($EF$3:$EO$3,EK$60,$EF$4:$EO$4)))</f>
        <v>0</v>
      </c>
      <c r="EL65" s="196" t="n">
        <f aca="false">IF((SUMIF($EF$3:$EO$3,EL$60,$EF$4:$EO$4))=0,0,((SUMIF($EF$3:$EO$3,EL$60,$EF114:$EO114))/SUMIF($EF$3:$EO$3,EL$60,$EF$4:$EO$4)))</f>
        <v>0</v>
      </c>
      <c r="EM65" s="196" t="n">
        <f aca="false">IF((SUMIF($EF$3:$EO$3,EM$60,$EF$4:$EO$4))=0,0,((SUMIF($EF$3:$EO$3,EM$60,$EF114:$EO114))/SUMIF($EF$3:$EO$3,EM$60,$EF$4:$EO$4)))</f>
        <v>0</v>
      </c>
      <c r="EN65" s="196" t="n">
        <f aca="false">IF((SUMIF($EF$3:$EO$3,EN$60,$EF$4:$EO$4))=0,0,((SUMIF($EF$3:$EO$3,EN$60,$EF114:$EO114))/SUMIF($EF$3:$EO$3,EN$60,$EF$4:$EO$4)))</f>
        <v>0</v>
      </c>
      <c r="EO65" s="197" t="n">
        <f aca="false">IF((SUMIF($EF$3:$EO$3,EO$60,$EF$4:$EO$4))=0,0,((SUMIF($EF$3:$EO$3,EO$60,$EF114:$EO114))/SUMIF($EF$3:$EO$3,EO$60,$EF$4:$EO$4)))</f>
        <v>0</v>
      </c>
      <c r="EP65" s="194" t="str">
        <f aca="false">EE65</f>
        <v>Alumno4</v>
      </c>
      <c r="EQ65" s="195" t="n">
        <f aca="false">IF((SUMIF($EQ$3:$EZ$3,EQ$60,$EQ$4:$EZ$4))=0,0,((SUMIF($EQ$3:$EZ$3,EQ$60,$EQ114:$EZ114))/SUMIF($EQ$3:$EZ$3,EQ$60,$EQ$4:$EZ$4)))</f>
        <v>0</v>
      </c>
      <c r="ER65" s="196" t="n">
        <f aca="false">IF((SUMIF($EQ$3:$EZ$3,ER$60,$EQ$4:$EZ$4))=0,0,((SUMIF($EQ$3:$EZ$3,ER$60,$EQ114:$EZ114))/SUMIF($EQ$3:$EZ$3,ER$60,$EQ$4:$EZ$4)))</f>
        <v>0</v>
      </c>
      <c r="ES65" s="196" t="n">
        <f aca="false">IF((SUMIF($EQ$3:$EZ$3,ES$60,$EQ$4:$EZ$4))=0,0,((SUMIF($EQ$3:$EZ$3,ES$60,$EQ114:$EZ114))/SUMIF($EQ$3:$EZ$3,ES$60,$EQ$4:$EZ$4)))</f>
        <v>0</v>
      </c>
      <c r="ET65" s="196" t="n">
        <f aca="false">IF((SUMIF($EQ$3:$EZ$3,ET$60,$EQ$4:$EZ$4))=0,0,((SUMIF($EQ$3:$EZ$3,ET$60,$EQ114:$EZ114))/SUMIF($EQ$3:$EZ$3,ET$60,$EQ$4:$EZ$4)))</f>
        <v>0</v>
      </c>
      <c r="EU65" s="196" t="n">
        <f aca="false">IF((SUMIF($EQ$3:$EZ$3,EU$60,$EQ$4:$EZ$4))=0,0,((SUMIF($EQ$3:$EZ$3,EU$60,$EQ114:$EZ114))/SUMIF($EQ$3:$EZ$3,EU$60,$EQ$4:$EZ$4)))</f>
        <v>0</v>
      </c>
      <c r="EV65" s="196" t="n">
        <f aca="false">IF((SUMIF($EQ$3:$EZ$3,EV$60,$EQ$4:$EZ$4))=0,0,((SUMIF($EQ$3:$EZ$3,EV$60,$EQ114:$EZ114))/SUMIF($EQ$3:$EZ$3,EV$60,$EQ$4:$EZ$4)))</f>
        <v>0</v>
      </c>
      <c r="EW65" s="196" t="n">
        <f aca="false">IF((SUMIF($EQ$3:$EZ$3,EW$60,$EQ$4:$EZ$4))=0,0,((SUMIF($EQ$3:$EZ$3,EW$60,$EQ114:$EZ114))/SUMIF($EQ$3:$EZ$3,EW$60,$EQ$4:$EZ$4)))</f>
        <v>0</v>
      </c>
      <c r="EX65" s="196" t="n">
        <f aca="false">IF((SUMIF($EQ$3:$EZ$3,EX$60,$EQ$4:$EZ$4))=0,0,((SUMIF($EQ$3:$EZ$3,EX$60,$EQ114:$EZ114))/SUMIF($EQ$3:$EZ$3,EX$60,$EQ$4:$EZ$4)))</f>
        <v>0</v>
      </c>
      <c r="EY65" s="196" t="n">
        <f aca="false">IF((SUMIF($EQ$3:$EZ$3,EY$60,$EQ$4:$EZ$4))=0,0,((SUMIF($EQ$3:$EZ$3,EY$60,$EQ114:$EZ114))/SUMIF($EQ$3:$EZ$3,EY$60,$EQ$4:$EZ$4)))</f>
        <v>0</v>
      </c>
      <c r="EZ65" s="197" t="n">
        <f aca="false">IF((SUMIF($EQ$3:$EZ$3,EZ$60,$EQ$4:$EZ$4))=0,0,((SUMIF($EQ$3:$EZ$3,EZ$60,$EQ114:$EZ114))/SUMIF($EQ$3:$EZ$3,EZ$60,$EQ$4:$EZ$4)))</f>
        <v>0</v>
      </c>
      <c r="FA65" s="194" t="str">
        <f aca="false">EP65</f>
        <v>Alumno4</v>
      </c>
      <c r="FB65" s="195" t="n">
        <f aca="false">IF((SUMIF($FB$3:$FK$3,FB$60,$FB$4:$FK$4))=0,0,((SUMIF($FB$3:$FK$3,FB$60,$FB114:$FK114))/SUMIF($FB$3:$FK$3,FB$60,$FB$4:$FK$4)))</f>
        <v>0</v>
      </c>
      <c r="FC65" s="196" t="n">
        <f aca="false">IF((SUMIF($FB$3:$FK$3,FC$60,$FB$4:$FK$4))=0,0,((SUMIF($FB$3:$FK$3,FC$60,$FB114:$FK114))/SUMIF($FB$3:$FK$3,FC$60,$FB$4:$FK$4)))</f>
        <v>0</v>
      </c>
      <c r="FD65" s="196" t="n">
        <f aca="false">IF((SUMIF($FB$3:$FK$3,FD$60,$FB$4:$FK$4))=0,0,((SUMIF($FB$3:$FK$3,FD$60,$FB114:$FK114))/SUMIF($FB$3:$FK$3,FD$60,$FB$4:$FK$4)))</f>
        <v>0</v>
      </c>
      <c r="FE65" s="196" t="n">
        <f aca="false">IF((SUMIF($FB$3:$FK$3,FE$60,$FB$4:$FK$4))=0,0,((SUMIF($FB$3:$FK$3,FE$60,$FB114:$FK114))/SUMIF($FB$3:$FK$3,FE$60,$FB$4:$FK$4)))</f>
        <v>0</v>
      </c>
      <c r="FF65" s="196" t="n">
        <f aca="false">IF((SUMIF($FB$3:$FK$3,FF$60,$FB$4:$FK$4))=0,0,((SUMIF($FB$3:$FK$3,FF$60,$FB114:$FK114))/SUMIF($FB$3:$FK$3,FF$60,$FB$4:$FK$4)))</f>
        <v>0</v>
      </c>
      <c r="FG65" s="196" t="n">
        <f aca="false">IF((SUMIF($FB$3:$FK$3,FG$60,$FB$4:$FK$4))=0,0,((SUMIF($FB$3:$FK$3,FG$60,$FB114:$FK114))/SUMIF($FB$3:$FK$3,FG$60,$FB$4:$FK$4)))</f>
        <v>0</v>
      </c>
      <c r="FH65" s="196" t="n">
        <f aca="false">IF((SUMIF($FB$3:$FK$3,FH$60,$FB$4:$FK$4))=0,0,((SUMIF($FB$3:$FK$3,FH$60,$FB114:$FK114))/SUMIF($FB$3:$FK$3,FH$60,$FB$4:$FK$4)))</f>
        <v>0</v>
      </c>
      <c r="FI65" s="196" t="n">
        <f aca="false">IF((SUMIF($FB$3:$FK$3,FI$60,$FB$4:$FK$4))=0,0,((SUMIF($FB$3:$FK$3,FI$60,$FB114:$FK114))/SUMIF($FB$3:$FK$3,FI$60,$FB$4:$FK$4)))</f>
        <v>0</v>
      </c>
      <c r="FJ65" s="196" t="n">
        <f aca="false">IF((SUMIF($FB$3:$FK$3,FJ$60,$FB$4:$FK$4))=0,0,((SUMIF($FB$3:$FK$3,FJ$60,$FB114:$FK114))/SUMIF($FB$3:$FK$3,FJ$60,$FB$4:$FK$4)))</f>
        <v>0</v>
      </c>
      <c r="FK65" s="197" t="n">
        <f aca="false">IF((SUMIF($FB$3:$FK$3,FK$60,$FB$4:$FK$4))=0,0,((SUMIF($FB$3:$FK$3,FK$60,$FB114:$FK114))/SUMIF($FB$3:$FK$3,FK$60,$FB$4:$FK$4)))</f>
        <v>0</v>
      </c>
      <c r="FL65" s="194" t="str">
        <f aca="false">FA65</f>
        <v>Alumno4</v>
      </c>
      <c r="FM65" s="195" t="n">
        <f aca="false">IF((SUMIF($FM$3:$FV$3,FM$60,$FM$4:$FV$4))=0,0,((SUMIF($FM$3:$FV$3,FM$60,$FM114:$FV114))/SUMIF($FM$3:$FV$3,FM$60,$FM$4:$FV$4)))</f>
        <v>0</v>
      </c>
      <c r="FN65" s="196" t="n">
        <f aca="false">IF((SUMIF($FM$3:$FV$3,FN$60,$FM$4:$FV$4))=0,0,((SUMIF($FM$3:$FV$3,FN$60,$FM114:$FV114))/SUMIF($FM$3:$FV$3,FN$60,$FM$4:$FV$4)))</f>
        <v>0</v>
      </c>
      <c r="FO65" s="196" t="n">
        <f aca="false">IF((SUMIF($FM$3:$FV$3,FO$60,$FM$4:$FV$4))=0,0,((SUMIF($FM$3:$FV$3,FO$60,$FM114:$FV114))/SUMIF($FM$3:$FV$3,FO$60,$FM$4:$FV$4)))</f>
        <v>0</v>
      </c>
      <c r="FP65" s="196" t="n">
        <f aca="false">IF((SUMIF($FM$3:$FV$3,FP$60,$FM$4:$FV$4))=0,0,((SUMIF($FM$3:$FV$3,FP$60,$FM114:$FV114))/SUMIF($FM$3:$FV$3,FP$60,$FM$4:$FV$4)))</f>
        <v>0</v>
      </c>
      <c r="FQ65" s="196" t="n">
        <f aca="false">IF((SUMIF($FM$3:$FV$3,FQ$60,$FM$4:$FV$4))=0,0,((SUMIF($FM$3:$FV$3,FQ$60,$FM114:$FV114))/SUMIF($FM$3:$FV$3,FQ$60,$FM$4:$FV$4)))</f>
        <v>0</v>
      </c>
      <c r="FR65" s="196" t="n">
        <f aca="false">IF((SUMIF($FM$3:$FV$3,FR$60,$FM$4:$FV$4))=0,0,((SUMIF($FM$3:$FV$3,FR$60,$FM114:$FV114))/SUMIF($FM$3:$FV$3,FR$60,$FM$4:$FV$4)))</f>
        <v>0</v>
      </c>
      <c r="FS65" s="196" t="n">
        <f aca="false">IF((SUMIF($FM$3:$FV$3,FS$60,$FM$4:$FV$4))=0,0,((SUMIF($FM$3:$FV$3,FS$60,$FM114:$FV114))/SUMIF($FM$3:$FV$3,FS$60,$FM$4:$FV$4)))</f>
        <v>0</v>
      </c>
      <c r="FT65" s="196" t="n">
        <f aca="false">IF((SUMIF($FM$3:$FV$3,FT$60,$FM$4:$FV$4))=0,0,((SUMIF($FM$3:$FV$3,FT$60,$FM114:$FV114))/SUMIF($FM$3:$FV$3,FT$60,$FM$4:$FV$4)))</f>
        <v>0</v>
      </c>
      <c r="FU65" s="196" t="n">
        <f aca="false">IF((SUMIF($FM$3:$FV$3,FU$60,$FM$4:$FV$4))=0,0,((SUMIF($FM$3:$FV$3,FU$60,$FM114:$FV114))/SUMIF($FM$3:$FV$3,FU$60,$FM$4:$FV$4)))</f>
        <v>0</v>
      </c>
      <c r="FV65" s="197" t="n">
        <f aca="false">IF((SUMIF($FM$3:$FV$3,FV$60,$FM$4:$FV$4))=0,0,((SUMIF($FM$3:$FV$3,FV$60,$FM114:$FV114))/SUMIF($FM$3:$FV$3,FV$60,$FM$4:$FV$4)))</f>
        <v>0</v>
      </c>
      <c r="FW65" s="194" t="str">
        <f aca="false">FL65</f>
        <v>Alumno4</v>
      </c>
      <c r="FX65" s="195" t="n">
        <f aca="false">IF((SUMIF($FX$3:$GG$3,FX$60,$FX$4:$GG$4))=0,0,((SUMIF($FX$3:$GG$3,FX$60,$FX114:$GG114))/SUMIF($FX$3:$GG$3,FX$60,$FX$4:$GG$4)))</f>
        <v>0</v>
      </c>
      <c r="FY65" s="196" t="n">
        <f aca="false">IF((SUMIF($FX$3:$GG$3,FY$60,$FX$4:$GG$4))=0,0,((SUMIF($FX$3:$GG$3,FY$60,$FX114:$GG114))/SUMIF($FX$3:$GG$3,FY$60,$FX$4:$GG$4)))</f>
        <v>0</v>
      </c>
      <c r="FZ65" s="196" t="n">
        <f aca="false">IF((SUMIF($FX$3:$GG$3,FZ$60,$FX$4:$GG$4))=0,0,((SUMIF($FX$3:$GG$3,FZ$60,$FX114:$GG114))/SUMIF($FX$3:$GG$3,FZ$60,$FX$4:$GG$4)))</f>
        <v>0</v>
      </c>
      <c r="GA65" s="196" t="n">
        <f aca="false">IF((SUMIF($FX$3:$GG$3,GA$60,$FX$4:$GG$4))=0,0,((SUMIF($FX$3:$GG$3,GA$60,$FX114:$GG114))/SUMIF($FX$3:$GG$3,GA$60,$FX$4:$GG$4)))</f>
        <v>0</v>
      </c>
      <c r="GB65" s="196" t="n">
        <f aca="false">IF((SUMIF($FX$3:$GG$3,GB$60,$FX$4:$GG$4))=0,0,((SUMIF($FX$3:$GG$3,GB$60,$FX114:$GG114))/SUMIF($FX$3:$GG$3,GB$60,$FX$4:$GG$4)))</f>
        <v>0</v>
      </c>
      <c r="GC65" s="196" t="n">
        <f aca="false">IF((SUMIF($FX$3:$GG$3,GC$60,$FX$4:$GG$4))=0,0,((SUMIF($FX$3:$GG$3,GC$60,$FX114:$GG114))/SUMIF($FX$3:$GG$3,GC$60,$FX$4:$GG$4)))</f>
        <v>0</v>
      </c>
      <c r="GD65" s="196" t="n">
        <f aca="false">IF((SUMIF($FX$3:$GG$3,GD$60,$FX$4:$GG$4))=0,0,((SUMIF($FX$3:$GG$3,GD$60,$FX114:$GG114))/SUMIF($FX$3:$GG$3,GD$60,$FX$4:$GG$4)))</f>
        <v>0</v>
      </c>
      <c r="GE65" s="196" t="n">
        <f aca="false">IF((SUMIF($FX$3:$GG$3,GE$60,$FX$4:$GG$4))=0,0,((SUMIF($FX$3:$GG$3,GE$60,$FX114:$GG114))/SUMIF($FX$3:$GG$3,GE$60,$FX$4:$GG$4)))</f>
        <v>0</v>
      </c>
      <c r="GF65" s="196" t="n">
        <f aca="false">IF((SUMIF($FX$3:$GG$3,GF$60,$FX$4:$GG$4))=0,0,((SUMIF($FX$3:$GG$3,GF$60,$FX114:$GG114))/SUMIF($FX$3:$GG$3,GF$60,$FX$4:$GG$4)))</f>
        <v>0</v>
      </c>
      <c r="GG65" s="197" t="n">
        <f aca="false">IF((SUMIF($FX$3:$GG$3,GG$60,$FX$4:$GG$4))=0,0,((SUMIF($FX$3:$GG$3,GG$60,$FX114:$GG114))/SUMIF($FX$3:$GG$3,GG$60,$FX$4:$GG$4)))</f>
        <v>0</v>
      </c>
      <c r="GH65" s="194" t="str">
        <f aca="false">FW65</f>
        <v>Alumno4</v>
      </c>
      <c r="GI65" s="195" t="n">
        <f aca="false">IF((SUMIF($GI$3:$GR$3,GI$60,$GI$4:$GR$4))=0,0,((SUMIF($GI$3:$GR$3,GI$60,$GI114:$GR114))/SUMIF($GI$3:$GR$3,GI$60,$GI$4:$GR$4)))</f>
        <v>0</v>
      </c>
      <c r="GJ65" s="196" t="n">
        <f aca="false">IF((SUMIF($GI$3:$GR$3,GJ$60,$GI$4:$GR$4))=0,0,((SUMIF($GI$3:$GR$3,GJ$60,$GI114:$GR114))/SUMIF($GI$3:$GR$3,GJ$60,$GI$4:$GR$4)))</f>
        <v>0</v>
      </c>
      <c r="GK65" s="196" t="n">
        <f aca="false">IF((SUMIF($GI$3:$GR$3,GK$60,$GI$4:$GR$4))=0,0,((SUMIF($GI$3:$GR$3,GK$60,$GI114:$GR114))/SUMIF($GI$3:$GR$3,GK$60,$GI$4:$GR$4)))</f>
        <v>0</v>
      </c>
      <c r="GL65" s="196" t="n">
        <f aca="false">IF((SUMIF($GI$3:$GR$3,GL$60,$GI$4:$GR$4))=0,0,((SUMIF($GI$3:$GR$3,GL$60,$GI114:$GR114))/SUMIF($GI$3:$GR$3,GL$60,$GI$4:$GR$4)))</f>
        <v>0</v>
      </c>
      <c r="GM65" s="196" t="n">
        <f aca="false">IF((SUMIF($GI$3:$GR$3,GM$60,$GI$4:$GR$4))=0,0,((SUMIF($GI$3:$GR$3,GM$60,$GI114:$GR114))/SUMIF($GI$3:$GR$3,GM$60,$GI$4:$GR$4)))</f>
        <v>0</v>
      </c>
      <c r="GN65" s="196" t="n">
        <f aca="false">IF((SUMIF($GI$3:$GR$3,GN$60,$GI$4:$GR$4))=0,0,((SUMIF($GI$3:$GR$3,GN$60,$GI114:$GR114))/SUMIF($GI$3:$GR$3,GN$60,$GI$4:$GR$4)))</f>
        <v>0</v>
      </c>
      <c r="GO65" s="196" t="n">
        <f aca="false">IF((SUMIF($GI$3:$GR$3,GO$60,$GI$4:$GR$4))=0,0,((SUMIF($GI$3:$GR$3,GO$60,$GI114:$GR114))/SUMIF($GI$3:$GR$3,GO$60,$GI$4:$GR$4)))</f>
        <v>0</v>
      </c>
      <c r="GP65" s="196" t="n">
        <f aca="false">IF((SUMIF($GI$3:$GR$3,GP$60,$GI$4:$GR$4))=0,0,((SUMIF($GI$3:$GR$3,GP$60,$GI114:$GR114))/SUMIF($GI$3:$GR$3,GP$60,$GI$4:$GR$4)))</f>
        <v>0</v>
      </c>
      <c r="GQ65" s="196" t="n">
        <f aca="false">IF((SUMIF($GI$3:$GR$3,GQ$60,$GI$4:$GR$4))=0,0,((SUMIF($GI$3:$GR$3,GQ$60,$GI114:$GR114))/SUMIF($GI$3:$GR$3,GQ$60,$GI$4:$GR$4)))</f>
        <v>0</v>
      </c>
      <c r="GR65" s="197" t="n">
        <f aca="false">IF((SUMIF($GI$3:$GR$3,GR$60,$GI$4:$GR$4))=0,0,((SUMIF($GI$3:$GR$3,GR$60,$GI114:$GR114))/SUMIF($GI$3:$GR$3,GR$60,$GI$4:$GR$4)))</f>
        <v>0</v>
      </c>
      <c r="GS65" s="194" t="str">
        <f aca="false">GH65</f>
        <v>Alumno4</v>
      </c>
      <c r="GT65" s="195" t="n">
        <f aca="false">IF((SUMIF($GT$3:$HC$3,GT$60,$GT$4:$HC$4))=0,0,((SUMIF($GT$3:$HC$3,GT$60,$GT114:$HC114))/SUMIF($GT$3:$HC$3,GT$60,$GT$4:$HC$4)))</f>
        <v>0</v>
      </c>
      <c r="GU65" s="196" t="n">
        <f aca="false">IF((SUMIF($GT$3:$HC$3,GU$60,$GT$4:$HC$4))=0,0,((SUMIF($GT$3:$HC$3,GU$60,$GT114:$HC114))/SUMIF($GT$3:$HC$3,GU$60,$GT$4:$HC$4)))</f>
        <v>0</v>
      </c>
      <c r="GV65" s="196" t="n">
        <f aca="false">IF((SUMIF($GT$3:$HC$3,GV$60,$GT$4:$HC$4))=0,0,((SUMIF($GT$3:$HC$3,GV$60,$GT114:$HC114))/SUMIF($GT$3:$HC$3,GV$60,$GT$4:$HC$4)))</f>
        <v>0</v>
      </c>
      <c r="GW65" s="196" t="n">
        <f aca="false">IF((SUMIF($GT$3:$HC$3,GW$60,$GT$4:$HC$4))=0,0,((SUMIF($GT$3:$HC$3,GW$60,$GT114:$HC114))/SUMIF($GT$3:$HC$3,GW$60,$GT$4:$HC$4)))</f>
        <v>0</v>
      </c>
      <c r="GX65" s="196" t="n">
        <f aca="false">IF((SUMIF($GT$3:$HC$3,GX$60,$GT$4:$HC$4))=0,0,((SUMIF($GT$3:$HC$3,GX$60,$GT114:$HC114))/SUMIF($GT$3:$HC$3,GX$60,$GT$4:$HC$4)))</f>
        <v>0</v>
      </c>
      <c r="GY65" s="196" t="n">
        <f aca="false">IF((SUMIF($GT$3:$HC$3,GY$60,$GT$4:$HC$4))=0,0,((SUMIF($GT$3:$HC$3,GY$60,$GT114:$HC114))/SUMIF($GT$3:$HC$3,GY$60,$GT$4:$HC$4)))</f>
        <v>0</v>
      </c>
      <c r="GZ65" s="196" t="n">
        <f aca="false">IF((SUMIF($GT$3:$HC$3,GZ$60,$GT$4:$HC$4))=0,0,((SUMIF($GT$3:$HC$3,GZ$60,$GT114:$HC114))/SUMIF($GT$3:$HC$3,GZ$60,$GT$4:$HC$4)))</f>
        <v>0</v>
      </c>
      <c r="HA65" s="196" t="n">
        <f aca="false">IF((SUMIF($GT$3:$HC$3,HA$60,$GT$4:$HC$4))=0,0,((SUMIF($GT$3:$HC$3,HA$60,$GT114:$HC114))/SUMIF($GT$3:$HC$3,HA$60,$GT$4:$HC$4)))</f>
        <v>0</v>
      </c>
      <c r="HB65" s="196" t="n">
        <f aca="false">IF((SUMIF($GT$3:$HC$3,HB$60,$GT$4:$HC$4))=0,0,((SUMIF($GT$3:$HC$3,HB$60,$GT114:$HC114))/SUMIF($GT$3:$HC$3,HB$60,$GT$4:$HC$4)))</f>
        <v>0</v>
      </c>
      <c r="HC65" s="197" t="n">
        <f aca="false">IF((SUMIF($GT$3:$HC$3,HC$60,$GT$4:$HC$4))=0,0,((SUMIF($GT$3:$HC$3,HC$60,$GT114:$HC114))/SUMIF($GT$3:$HC$3,HC$60,$GT$4:$HC$4)))</f>
        <v>0</v>
      </c>
      <c r="HD65" s="194" t="str">
        <f aca="false">GS65</f>
        <v>Alumno4</v>
      </c>
      <c r="HE65" s="195" t="n">
        <f aca="false">IF((SUMIF($HE$3:$HN$3,HE$60,$HE$4:$HN$4))=0,0,((SUMIF($HE$3:$HN$3,HE$60,$HE114:$HN114))/SUMIF($HE$3:$HN$3,HE$60,$HE$4:$HN$4)))</f>
        <v>0</v>
      </c>
      <c r="HF65" s="196" t="n">
        <f aca="false">IF((SUMIF($HE$3:$HN$3,HF$60,$HE$4:$HN$4))=0,0,((SUMIF($HE$3:$HN$3,HF$60,$HE114:$HN114))/SUMIF($HE$3:$HN$3,HF$60,$HE$4:$HN$4)))</f>
        <v>0</v>
      </c>
      <c r="HG65" s="196" t="n">
        <f aca="false">IF((SUMIF($HE$3:$HN$3,HG$60,$HE$4:$HN$4))=0,0,((SUMIF($HE$3:$HN$3,HG$60,$HE114:$HN114))/SUMIF($HE$3:$HN$3,HG$60,$HE$4:$HN$4)))</f>
        <v>0</v>
      </c>
      <c r="HH65" s="196" t="n">
        <f aca="false">IF((SUMIF($HE$3:$HN$3,HH$60,$HE$4:$HN$4))=0,0,((SUMIF($HE$3:$HN$3,HH$60,$HE114:$HN114))/SUMIF($HE$3:$HN$3,HH$60,$HE$4:$HN$4)))</f>
        <v>0</v>
      </c>
      <c r="HI65" s="196" t="n">
        <f aca="false">IF((SUMIF($HE$3:$HN$3,HI$60,$HE$4:$HN$4))=0,0,((SUMIF($HE$3:$HN$3,HI$60,$HE114:$HN114))/SUMIF($HE$3:$HN$3,HI$60,$HE$4:$HN$4)))</f>
        <v>0</v>
      </c>
      <c r="HJ65" s="196" t="n">
        <f aca="false">IF((SUMIF($HE$3:$HN$3,HJ$60,$HE$4:$HN$4))=0,0,((SUMIF($HE$3:$HN$3,HJ$60,$HE114:$HN114))/SUMIF($HE$3:$HN$3,HJ$60,$HE$4:$HN$4)))</f>
        <v>0</v>
      </c>
      <c r="HK65" s="196" t="n">
        <f aca="false">IF((SUMIF($HE$3:$HN$3,HK$60,$HE$4:$HN$4))=0,0,((SUMIF($HE$3:$HN$3,HK$60,$HE114:$HN114))/SUMIF($HE$3:$HN$3,HK$60,$HE$4:$HN$4)))</f>
        <v>0</v>
      </c>
      <c r="HL65" s="196" t="n">
        <f aca="false">IF((SUMIF($HE$3:$HN$3,HL$60,$HE$4:$HN$4))=0,0,((SUMIF($HE$3:$HN$3,HL$60,$HE114:$HN114))/SUMIF($HE$3:$HN$3,HL$60,$HE$4:$HN$4)))</f>
        <v>0</v>
      </c>
      <c r="HM65" s="196" t="n">
        <f aca="false">IF((SUMIF($HE$3:$HN$3,HM$60,$HE$4:$HN$4))=0,0,((SUMIF($HE$3:$HN$3,HM$60,$HE114:$HN114))/SUMIF($HE$3:$HN$3,HM$60,$HE$4:$HN$4)))</f>
        <v>0</v>
      </c>
      <c r="HN65" s="197" t="n">
        <f aca="false">IF((SUMIF($HE$3:$HN$3,HN$60,$HE$4:$HN$4))=0,0,((SUMIF($HE$3:$HN$3,HN$60,$HE114:$HN114))/SUMIF($HE$3:$HN$3,HN$60,$HE$4:$HN$4)))</f>
        <v>0</v>
      </c>
      <c r="HO65" s="194" t="str">
        <f aca="false">HD65</f>
        <v>Alumno4</v>
      </c>
      <c r="HP65" s="195" t="n">
        <f aca="false">IF((SUMIF($HP$3:$HY$3,HP$60,$HP$4:$HY$4))=0,0,((SUMIF($HP$3:$HY$3,HP$60,$HP114:$HY114))/SUMIF($HP$3:$HY$3,HP$60,$HP$4:$HY$4)))</f>
        <v>0</v>
      </c>
      <c r="HQ65" s="196" t="n">
        <f aca="false">IF((SUMIF($HP$3:$HY$3,HQ$60,$HP$4:$HY$4))=0,0,((SUMIF($HP$3:$HY$3,HQ$60,$HP114:$HY114))/SUMIF($HP$3:$HY$3,HQ$60,$HP$4:$HY$4)))</f>
        <v>0</v>
      </c>
      <c r="HR65" s="196" t="n">
        <f aca="false">IF((SUMIF($HP$3:$HY$3,HR$60,$HP$4:$HY$4))=0,0,((SUMIF($HP$3:$HY$3,HR$60,$HP114:$HY114))/SUMIF($HP$3:$HY$3,HR$60,$HP$4:$HY$4)))</f>
        <v>0</v>
      </c>
      <c r="HS65" s="196" t="n">
        <f aca="false">IF((SUMIF($HP$3:$HY$3,HS$60,$HP$4:$HY$4))=0,0,((SUMIF($HP$3:$HY$3,HS$60,$HP114:$HY114))/SUMIF($HP$3:$HY$3,HS$60,$HP$4:$HY$4)))</f>
        <v>0</v>
      </c>
      <c r="HT65" s="196" t="n">
        <f aca="false">IF((SUMIF($HP$3:$HY$3,HT$60,$HP$4:$HY$4))=0,0,((SUMIF($HP$3:$HY$3,HT$60,$HP114:$HY114))/SUMIF($HP$3:$HY$3,HT$60,$HP$4:$HY$4)))</f>
        <v>0</v>
      </c>
      <c r="HU65" s="196" t="n">
        <f aca="false">IF((SUMIF($HP$3:$HY$3,HU$60,$HP$4:$HY$4))=0,0,((SUMIF($HP$3:$HY$3,HU$60,$HP114:$HY114))/SUMIF($HP$3:$HY$3,HU$60,$HP$4:$HY$4)))</f>
        <v>0</v>
      </c>
      <c r="HV65" s="196" t="n">
        <f aca="false">IF((SUMIF($HP$3:$HY$3,HV$60,$HP$4:$HY$4))=0,0,((SUMIF($HP$3:$HY$3,HV$60,$HP114:$HY114))/SUMIF($HP$3:$HY$3,HV$60,$HP$4:$HY$4)))</f>
        <v>0</v>
      </c>
      <c r="HW65" s="196" t="n">
        <f aca="false">IF((SUMIF($HP$3:$HY$3,HW$60,$HP$4:$HY$4))=0,0,((SUMIF($HP$3:$HY$3,HW$60,$HP114:$HY114))/SUMIF($HP$3:$HY$3,HW$60,$HP$4:$HY$4)))</f>
        <v>0</v>
      </c>
      <c r="HX65" s="196" t="n">
        <f aca="false">IF((SUMIF($HP$3:$HY$3,HX$60,$HP$4:$HY$4))=0,0,((SUMIF($HP$3:$HY$3,HX$60,$HP114:$HY114))/SUMIF($HP$3:$HY$3,HX$60,$HP$4:$HY$4)))</f>
        <v>0</v>
      </c>
      <c r="HY65" s="197" t="n">
        <f aca="false">IF((SUMIF($HP$3:$HY$3,HY$60,$HP$4:$HY$4))=0,0,((SUMIF($HP$3:$HY$3,HY$60,$HP114:$HY114))/SUMIF($HP$3:$HY$3,HY$60,$HP$4:$HY$4)))</f>
        <v>0</v>
      </c>
      <c r="HZ65" s="194" t="str">
        <f aca="false">HO65</f>
        <v>Alumno4</v>
      </c>
      <c r="IA65" s="195" t="n">
        <f aca="false">IF((SUMIF($IA$3:$IJ$3,IA$60,$IA$4:$IJ$4))=0,0,((SUMIF($IA$3:$IJ$3,IA$60,$IA114:$IJ114))/SUMIF($IA$3:$IJ$3,IA$60,$IA$4:$IJ$4)))</f>
        <v>0</v>
      </c>
      <c r="IB65" s="196" t="n">
        <f aca="false">IF((SUMIF($IA$3:$IJ$3,IB$60,$IA$4:$IJ$4))=0,0,((SUMIF($IA$3:$IJ$3,IB$60,$IA114:$IJ114))/SUMIF($IA$3:$IJ$3,IB$60,$IA$4:$IJ$4)))</f>
        <v>0</v>
      </c>
      <c r="IC65" s="196" t="n">
        <f aca="false">IF((SUMIF($IA$3:$IJ$3,IC$60,$IA$4:$IJ$4))=0,0,((SUMIF($IA$3:$IJ$3,IC$60,$IA114:$IJ114))/SUMIF($IA$3:$IJ$3,IC$60,$IA$4:$IJ$4)))</f>
        <v>0</v>
      </c>
      <c r="ID65" s="196" t="n">
        <f aca="false">IF((SUMIF($IA$3:$IJ$3,ID$60,$IA$4:$IJ$4))=0,0,((SUMIF($IA$3:$IJ$3,ID$60,$IA114:$IJ114))/SUMIF($IA$3:$IJ$3,ID$60,$IA$4:$IJ$4)))</f>
        <v>0</v>
      </c>
      <c r="IE65" s="196" t="n">
        <f aca="false">IF((SUMIF($IA$3:$IJ$3,IE$60,$IA$4:$IJ$4))=0,0,((SUMIF($IA$3:$IJ$3,IE$60,$IA114:$IJ114))/SUMIF($IA$3:$IJ$3,IE$60,$IA$4:$IJ$4)))</f>
        <v>0</v>
      </c>
      <c r="IF65" s="196" t="n">
        <f aca="false">IF((SUMIF($IA$3:$IJ$3,IF$60,$IA$4:$IJ$4))=0,0,((SUMIF($IA$3:$IJ$3,IF$60,$IA114:$IJ114))/SUMIF($IA$3:$IJ$3,IF$60,$IA$4:$IJ$4)))</f>
        <v>0</v>
      </c>
      <c r="IG65" s="196" t="n">
        <f aca="false">IF((SUMIF($IA$3:$IJ$3,IG$60,$IA$4:$IJ$4))=0,0,((SUMIF($IA$3:$IJ$3,IG$60,$IA114:$IJ114))/SUMIF($IA$3:$IJ$3,IG$60,$IA$4:$IJ$4)))</f>
        <v>0</v>
      </c>
      <c r="IH65" s="196" t="n">
        <f aca="false">IF((SUMIF($IA$3:$IJ$3,IH$60,$IA$4:$IJ$4))=0,0,((SUMIF($IA$3:$IJ$3,IH$60,$IA114:$IJ114))/SUMIF($IA$3:$IJ$3,IH$60,$IA$4:$IJ$4)))</f>
        <v>0</v>
      </c>
      <c r="II65" s="196" t="n">
        <f aca="false">IF((SUMIF($IA$3:$IJ$3,II$60,$IA$4:$IJ$4))=0,0,((SUMIF($IA$3:$IJ$3,II$60,$IA114:$IJ114))/SUMIF($IA$3:$IJ$3,II$60,$IA$4:$IJ$4)))</f>
        <v>0</v>
      </c>
      <c r="IJ65" s="197" t="n">
        <f aca="false">IF((SUMIF($IA$3:$IJ$3,IJ$60,$IA$4:$IJ$4))=0,0,((SUMIF($IA$3:$IJ$3,IJ$60,$IA114:$IJ114))/SUMIF($IA$3:$IJ$3,IJ$60,$IA$4:$IJ$4)))</f>
        <v>0</v>
      </c>
      <c r="IK65" s="194" t="str">
        <f aca="false">HZ65</f>
        <v>Alumno4</v>
      </c>
      <c r="IL65" s="195" t="n">
        <f aca="false">IF((SUMIF($IL$3:$IU$3,IL$60,$IL$4:$IU$4))=0,0,((SUMIF($IL$3:$IU$3,IL$60,$IL114:$IU114))/SUMIF($IL$3:$IU$3,IL$60,$IL$4:$IU$4)))</f>
        <v>0</v>
      </c>
      <c r="IM65" s="196" t="n">
        <f aca="false">IF((SUMIF($IL$3:$IU$3,IM$60,$IL$4:$IU$4))=0,0,((SUMIF($IL$3:$IU$3,IM$60,$IL114:$IU114))/SUMIF($IL$3:$IU$3,IM$60,$IL$4:$IU$4)))</f>
        <v>0</v>
      </c>
      <c r="IN65" s="196" t="n">
        <f aca="false">IF((SUMIF($IL$3:$IU$3,IN$60,$IL$4:$IU$4))=0,0,((SUMIF($IL$3:$IU$3,IN$60,$IL114:$IU114))/SUMIF($IL$3:$IU$3,IN$60,$IL$4:$IU$4)))</f>
        <v>0</v>
      </c>
      <c r="IO65" s="196" t="n">
        <f aca="false">IF((SUMIF($IL$3:$IU$3,IO$60,$IL$4:$IU$4))=0,0,((SUMIF($IL$3:$IU$3,IO$60,$IL114:$IU114))/SUMIF($IL$3:$IU$3,IO$60,$IL$4:$IU$4)))</f>
        <v>0</v>
      </c>
      <c r="IP65" s="196" t="n">
        <f aca="false">IF((SUMIF($IL$3:$IU$3,IP$60,$IL$4:$IU$4))=0,0,((SUMIF($IL$3:$IU$3,IP$60,$IL114:$IU114))/SUMIF($IL$3:$IU$3,IP$60,$IL$4:$IU$4)))</f>
        <v>0</v>
      </c>
      <c r="IQ65" s="196" t="n">
        <f aca="false">IF((SUMIF($IL$3:$IU$3,IQ$60,$IL$4:$IU$4))=0,0,((SUMIF($IL$3:$IU$3,IQ$60,$IL114:$IU114))/SUMIF($IL$3:$IU$3,IQ$60,$IL$4:$IU$4)))</f>
        <v>0</v>
      </c>
      <c r="IR65" s="196" t="n">
        <f aca="false">IF((SUMIF($IL$3:$IU$3,IR$60,$IL$4:$IU$4))=0,0,((SUMIF($IL$3:$IU$3,IR$60,$IL114:$IU114))/SUMIF($IL$3:$IU$3,IR$60,$IL$4:$IU$4)))</f>
        <v>0</v>
      </c>
      <c r="IS65" s="196" t="n">
        <f aca="false">IF((SUMIF($IL$3:$IU$3,IS$60,$IL$4:$IU$4))=0,0,((SUMIF($IL$3:$IU$3,IS$60,$IL114:$IU114))/SUMIF($IL$3:$IU$3,IS$60,$IL$4:$IU$4)))</f>
        <v>0</v>
      </c>
      <c r="IT65" s="196" t="n">
        <f aca="false">IF((SUMIF($IL$3:$IU$3,IT$60,$IL$4:$IU$4))=0,0,((SUMIF($IL$3:$IU$3,IT$60,$IL114:$IU114))/SUMIF($IL$3:$IU$3,IT$60,$IL$4:$IU$4)))</f>
        <v>0</v>
      </c>
      <c r="IU65" s="197" t="n">
        <f aca="false">IF((SUMIF($IL$3:$IU$3,IU$60,$IL$4:$IU$4))=0,0,((SUMIF($IL$3:$IU$3,IU$60,$IL114:$IU114))/SUMIF($IL$3:$IU$3,IU$60,$IL$4:$IU$4)))</f>
        <v>0</v>
      </c>
      <c r="IV65" s="194" t="str">
        <f aca="false">IK65</f>
        <v>Alumno4</v>
      </c>
      <c r="IW65" s="195" t="n">
        <f aca="false">IF((SUMIF($IW$3:$JF$3,IW$60,$IW$4:$JF$4))=0,0,((SUMIF($IW$3:$JF$3,IW$60,$IW114:$JF114))/SUMIF($IW$3:$JF$3,IW$60,$IW$4:$JF$4)))</f>
        <v>0</v>
      </c>
      <c r="IX65" s="196" t="n">
        <f aca="false">IF((SUMIF($IW$3:$JF$3,IX$60,$IW$4:$JF$4))=0,0,((SUMIF($IW$3:$JF$3,IX$60,$IW114:$JF114))/SUMIF($IW$3:$JF$3,IX$60,$IW$4:$JF$4)))</f>
        <v>0</v>
      </c>
      <c r="IY65" s="196" t="n">
        <f aca="false">IF((SUMIF($IW$3:$JF$3,IY$60,$IW$4:$JF$4))=0,0,((SUMIF($IW$3:$JF$3,IY$60,$IW114:$JF114))/SUMIF($IW$3:$JF$3,IY$60,$IW$4:$JF$4)))</f>
        <v>0</v>
      </c>
      <c r="IZ65" s="196" t="n">
        <f aca="false">IF((SUMIF($IW$3:$JF$3,IZ$60,$IW$4:$JF$4))=0,0,((SUMIF($IW$3:$JF$3,IZ$60,$IW114:$JF114))/SUMIF($IW$3:$JF$3,IZ$60,$IW$4:$JF$4)))</f>
        <v>0</v>
      </c>
      <c r="JA65" s="196" t="n">
        <f aca="false">IF((SUMIF($IW$3:$JF$3,JA$60,$IW$4:$JF$4))=0,0,((SUMIF($IW$3:$JF$3,JA$60,$IW114:$JF114))/SUMIF($IW$3:$JF$3,JA$60,$IW$4:$JF$4)))</f>
        <v>0</v>
      </c>
      <c r="JB65" s="196" t="n">
        <f aca="false">IF((SUMIF($IW$3:$JF$3,JB$60,$IW$4:$JF$4))=0,0,((SUMIF($IW$3:$JF$3,JB$60,$IW114:$JF114))/SUMIF($IW$3:$JF$3,JB$60,$IW$4:$JF$4)))</f>
        <v>0</v>
      </c>
      <c r="JC65" s="196" t="n">
        <f aca="false">IF((SUMIF($IW$3:$JF$3,JC$60,$IW$4:$JF$4))=0,0,((SUMIF($IW$3:$JF$3,JC$60,$IW114:$JF114))/SUMIF($IW$3:$JF$3,JC$60,$IW$4:$JF$4)))</f>
        <v>0</v>
      </c>
      <c r="JD65" s="196" t="n">
        <f aca="false">IF((SUMIF($IW$3:$JF$3,JD$60,$IW$4:$JF$4))=0,0,((SUMIF($IW$3:$JF$3,JD$60,$IW114:$JF114))/SUMIF($IW$3:$JF$3,JD$60,$IW$4:$JF$4)))</f>
        <v>0</v>
      </c>
      <c r="JE65" s="196" t="n">
        <f aca="false">IF((SUMIF($IW$3:$JF$3,JE$60,$IW$4:$JF$4))=0,0,((SUMIF($IW$3:$JF$3,JE$60,$IW114:$JF114))/SUMIF($IW$3:$JF$3,JE$60,$IW$4:$JF$4)))</f>
        <v>0</v>
      </c>
      <c r="JF65" s="197" t="n">
        <f aca="false">IF((SUMIF($IW$3:$JF$3,JF$60,$IW$4:$JF$4))=0,0,((SUMIF($IW$3:$JF$3,JF$60,$IW114:$JF114))/SUMIF($IW$3:$JF$3,JF$60,$IW$4:$JF$4)))</f>
        <v>0</v>
      </c>
      <c r="JG65" s="194" t="str">
        <f aca="false">IV65</f>
        <v>Alumno4</v>
      </c>
      <c r="JH65" s="195" t="n">
        <f aca="false">IF((SUMIF($JH$3:$JQ$3,JH$60,$JH$4:$JQ$4))=0,0,((SUMIF($JH$3:$JQ$3,JH$60,$JH114:$JQ114))/SUMIF($JH$3:$JQ$3,JH$60,$JH$4:$JQ$4)))</f>
        <v>0</v>
      </c>
      <c r="JI65" s="196" t="n">
        <f aca="false">IF((SUMIF($JH$3:$JQ$3,JI$60,$JH$4:$JQ$4))=0,0,((SUMIF($JH$3:$JQ$3,JI$60,$JH114:$JQ114))/SUMIF($JH$3:$JQ$3,JI$60,$JH$4:$JQ$4)))</f>
        <v>0</v>
      </c>
      <c r="JJ65" s="196" t="n">
        <f aca="false">IF((SUMIF($JH$3:$JQ$3,JJ$60,$JH$4:$JQ$4))=0,0,((SUMIF($JH$3:$JQ$3,JJ$60,$JH114:$JQ114))/SUMIF($JH$3:$JQ$3,JJ$60,$JH$4:$JQ$4)))</f>
        <v>0</v>
      </c>
      <c r="JK65" s="196" t="n">
        <f aca="false">IF((SUMIF($JH$3:$JQ$3,JK$60,$JH$4:$JQ$4))=0,0,((SUMIF($JH$3:$JQ$3,JK$60,$JH114:$JQ114))/SUMIF($JH$3:$JQ$3,JK$60,$JH$4:$JQ$4)))</f>
        <v>0</v>
      </c>
      <c r="JL65" s="196" t="n">
        <f aca="false">IF((SUMIF($JH$3:$JQ$3,JL$60,$JH$4:$JQ$4))=0,0,((SUMIF($JH$3:$JQ$3,JL$60,$JH114:$JQ114))/SUMIF($JH$3:$JQ$3,JL$60,$JH$4:$JQ$4)))</f>
        <v>0</v>
      </c>
      <c r="JM65" s="196" t="n">
        <f aca="false">IF((SUMIF($JH$3:$JQ$3,JM$60,$JH$4:$JQ$4))=0,0,((SUMIF($JH$3:$JQ$3,JM$60,$JH114:$JQ114))/SUMIF($JH$3:$JQ$3,JM$60,$JH$4:$JQ$4)))</f>
        <v>0</v>
      </c>
      <c r="JN65" s="196" t="n">
        <f aca="false">IF((SUMIF($JH$3:$JQ$3,JN$60,$JH$4:$JQ$4))=0,0,((SUMIF($JH$3:$JQ$3,JN$60,$JH114:$JQ114))/SUMIF($JH$3:$JQ$3,JN$60,$JH$4:$JQ$4)))</f>
        <v>0</v>
      </c>
      <c r="JO65" s="196" t="n">
        <f aca="false">IF((SUMIF($JH$3:$JQ$3,JO$60,$JH$4:$JQ$4))=0,0,((SUMIF($JH$3:$JQ$3,JO$60,$JH114:$JQ114))/SUMIF($JH$3:$JQ$3,JO$60,$JH$4:$JQ$4)))</f>
        <v>0</v>
      </c>
      <c r="JP65" s="196" t="n">
        <f aca="false">IF((SUMIF($JH$3:$JQ$3,JP$60,$JH$4:$JQ$4))=0,0,((SUMIF($JH$3:$JQ$3,JP$60,$JH114:$JQ114))/SUMIF($JH$3:$JQ$3,JP$60,$JH$4:$JQ$4)))</f>
        <v>0</v>
      </c>
      <c r="JQ65" s="197" t="n">
        <f aca="false">IF((SUMIF($JH$3:$JQ$3,JQ$60,$JH$4:$JQ$4))=0,0,((SUMIF($JH$3:$JQ$3,JQ$60,$JH114:$JQ114))/SUMIF($JH$3:$JQ$3,JQ$60,$JH$4:$JQ$4)))</f>
        <v>0</v>
      </c>
      <c r="JR65" s="194" t="str">
        <f aca="false">JG65</f>
        <v>Alumno4</v>
      </c>
      <c r="JS65" s="195" t="n">
        <f aca="false">IF((SUMIF($JS$3:$KB$3,JS$60,$JS$4:$KB$4))=0,0,((SUMIF($JS$3:$KB$3,JS$60,$JS114:$KB114))/SUMIF($JS$3:$KB$3,JS$60,$JS$4:$KB$4)))</f>
        <v>0</v>
      </c>
      <c r="JT65" s="196" t="n">
        <f aca="false">IF((SUMIF($JS$3:$KB$3,JT$60,$JS$4:$KB$4))=0,0,((SUMIF($JS$3:$KB$3,JT$60,$JS114:$KB114))/SUMIF($JS$3:$KB$3,JT$60,$JS$4:$KB$4)))</f>
        <v>0</v>
      </c>
      <c r="JU65" s="196" t="n">
        <f aca="false">IF((SUMIF($JS$3:$KB$3,JU$60,$JS$4:$KB$4))=0,0,((SUMIF($JS$3:$KB$3,JU$60,$JS114:$KB114))/SUMIF($JS$3:$KB$3,JU$60,$JS$4:$KB$4)))</f>
        <v>0</v>
      </c>
      <c r="JV65" s="196" t="n">
        <f aca="false">IF((SUMIF($JS$3:$KB$3,JV$60,$JS$4:$KB$4))=0,0,((SUMIF($JS$3:$KB$3,JV$60,$JS114:$KB114))/SUMIF($JS$3:$KB$3,JV$60,$JS$4:$KB$4)))</f>
        <v>0</v>
      </c>
      <c r="JW65" s="196" t="n">
        <f aca="false">IF((SUMIF($JS$3:$KB$3,JW$60,$JS$4:$KB$4))=0,0,((SUMIF($JS$3:$KB$3,JW$60,$JS114:$KB114))/SUMIF($JS$3:$KB$3,JW$60,$JS$4:$KB$4)))</f>
        <v>0</v>
      </c>
      <c r="JX65" s="196" t="n">
        <f aca="false">IF((SUMIF($JS$3:$KB$3,JX$60,$JS$4:$KB$4))=0,0,((SUMIF($JS$3:$KB$3,JX$60,$JS114:$KB114))/SUMIF($JS$3:$KB$3,JX$60,$JS$4:$KB$4)))</f>
        <v>0</v>
      </c>
      <c r="JY65" s="196" t="n">
        <f aca="false">IF((SUMIF($JS$3:$KB$3,JY$60,$JS$4:$KB$4))=0,0,((SUMIF($JS$3:$KB$3,JY$60,$JS114:$KB114))/SUMIF($JS$3:$KB$3,JY$60,$JS$4:$KB$4)))</f>
        <v>0</v>
      </c>
      <c r="JZ65" s="196" t="n">
        <f aca="false">IF((SUMIF($JS$3:$KB$3,JZ$60,$JS$4:$KB$4))=0,0,((SUMIF($JS$3:$KB$3,JZ$60,$JS114:$KB114))/SUMIF($JS$3:$KB$3,JZ$60,$JS$4:$KB$4)))</f>
        <v>0</v>
      </c>
      <c r="KA65" s="196" t="n">
        <f aca="false">IF((SUMIF($JS$3:$KB$3,KA$60,$JS$4:$KB$4))=0,0,((SUMIF($JS$3:$KB$3,KA$60,$JS114:$KB114))/SUMIF($JS$3:$KB$3,KA$60,$JS$4:$KB$4)))</f>
        <v>0</v>
      </c>
      <c r="KB65" s="197" t="n">
        <f aca="false">IF((SUMIF($JS$3:$KB$3,KB$60,$JS$4:$KB$4))=0,0,((SUMIF($JS$3:$KB$3,KB$60,$JS114:$KB114))/SUMIF($JS$3:$KB$3,KB$60,$JS$4:$KB$4)))</f>
        <v>0</v>
      </c>
      <c r="KC65" s="194" t="str">
        <f aca="false">JR65</f>
        <v>Alumno4</v>
      </c>
      <c r="KD65" s="195" t="n">
        <f aca="false">IF((SUMIF($KD$3:$KM$3,KD$60,$KD$4:$KM$4))=0,0,((SUMIF($KD$3:$KM$3,KD$60,$KD114:$KM114))/SUMIF($KD$3:$KM$3,KD$60,$KD$4:$KM$4)))</f>
        <v>0</v>
      </c>
      <c r="KE65" s="196" t="n">
        <f aca="false">IF((SUMIF($KD$3:$KM$3,KE$60,$KD$4:$KM$4))=0,0,((SUMIF($KD$3:$KM$3,KE$60,$KD114:$KM114))/SUMIF($KD$3:$KM$3,KE$60,$KD$4:$KM$4)))</f>
        <v>0</v>
      </c>
      <c r="KF65" s="196" t="n">
        <f aca="false">IF((SUMIF($KD$3:$KM$3,KF$60,$KD$4:$KM$4))=0,0,((SUMIF($KD$3:$KM$3,KF$60,$KD114:$KM114))/SUMIF($KD$3:$KM$3,KF$60,$KD$4:$KM$4)))</f>
        <v>0</v>
      </c>
      <c r="KG65" s="196" t="n">
        <f aca="false">IF((SUMIF($KD$3:$KM$3,KG$60,$KD$4:$KM$4))=0,0,((SUMIF($KD$3:$KM$3,KG$60,$KD114:$KM114))/SUMIF($KD$3:$KM$3,KG$60,$KD$4:$KM$4)))</f>
        <v>0</v>
      </c>
      <c r="KH65" s="196" t="n">
        <f aca="false">IF((SUMIF($KD$3:$KM$3,KH$60,$KD$4:$KM$4))=0,0,((SUMIF($KD$3:$KM$3,KH$60,$KD114:$KM114))/SUMIF($KD$3:$KM$3,KH$60,$KD$4:$KM$4)))</f>
        <v>0</v>
      </c>
      <c r="KI65" s="196" t="n">
        <f aca="false">IF((SUMIF($KD$3:$KM$3,KI$60,$KD$4:$KM$4))=0,0,((SUMIF($KD$3:$KM$3,KI$60,$KD114:$KM114))/SUMIF($KD$3:$KM$3,KI$60,$KD$4:$KM$4)))</f>
        <v>0</v>
      </c>
      <c r="KJ65" s="196" t="n">
        <f aca="false">IF((SUMIF($KD$3:$KM$3,KJ$60,$KD$4:$KM$4))=0,0,((SUMIF($KD$3:$KM$3,KJ$60,$KD114:$KM114))/SUMIF($KD$3:$KM$3,KJ$60,$KD$4:$KM$4)))</f>
        <v>0</v>
      </c>
      <c r="KK65" s="196" t="n">
        <f aca="false">IF((SUMIF($KD$3:$KM$3,KK$60,$KD$4:$KM$4))=0,0,((SUMIF($KD$3:$KM$3,KK$60,$KD114:$KM114))/SUMIF($KD$3:$KM$3,KK$60,$KD$4:$KM$4)))</f>
        <v>0</v>
      </c>
      <c r="KL65" s="196" t="n">
        <f aca="false">IF((SUMIF($KD$3:$KM$3,KL$60,$KD$4:$KM$4))=0,0,((SUMIF($KD$3:$KM$3,KL$60,$KD114:$KM114))/SUMIF($KD$3:$KM$3,KL$60,$KD$4:$KM$4)))</f>
        <v>0</v>
      </c>
      <c r="KM65" s="197" t="n">
        <f aca="false">IF((SUMIF($KD$3:$KM$3,KM$60,$KD$4:$KM$4))=0,0,((SUMIF($KD$3:$KM$3,KM$60,$KD114:$KM114))/SUMIF($KD$3:$KM$3,KM$60,$KD$4:$KM$4)))</f>
        <v>0</v>
      </c>
      <c r="KN65" s="194" t="str">
        <f aca="false">KC65</f>
        <v>Alumno4</v>
      </c>
      <c r="KO65" s="195" t="n">
        <f aca="false">IF((SUMIF($KO$3:$KX$3,KO$60,$KO$4:$KX$4))=0,0,((SUMIF($KO$3:$KX$3,KO$60,$KO114:$KX114))/SUMIF($KO$3:$KX$3,KO$60,$KO$4:$KX$4)))</f>
        <v>0</v>
      </c>
      <c r="KP65" s="196" t="n">
        <f aca="false">IF((SUMIF($KO$3:$KX$3,KP$60,$KO$4:$KX$4))=0,0,((SUMIF($KO$3:$KX$3,KP$60,$KO114:$KX114))/SUMIF($KO$3:$KX$3,KP$60,$KO$4:$KX$4)))</f>
        <v>0</v>
      </c>
      <c r="KQ65" s="196" t="n">
        <f aca="false">IF((SUMIF($KO$3:$KX$3,KQ$60,$KO$4:$KX$4))=0,0,((SUMIF($KO$3:$KX$3,KQ$60,$KO114:$KX114))/SUMIF($KO$3:$KX$3,KQ$60,$KO$4:$KX$4)))</f>
        <v>0</v>
      </c>
      <c r="KR65" s="196" t="n">
        <f aca="false">IF((SUMIF($KO$3:$KX$3,KR$60,$KO$4:$KX$4))=0,0,((SUMIF($KO$3:$KX$3,KR$60,$KO114:$KX114))/SUMIF($KO$3:$KX$3,KR$60,$KO$4:$KX$4)))</f>
        <v>0</v>
      </c>
      <c r="KS65" s="196" t="n">
        <f aca="false">IF((SUMIF($KO$3:$KX$3,KS$60,$KO$4:$KX$4))=0,0,((SUMIF($KO$3:$KX$3,KS$60,$KO114:$KX114))/SUMIF($KO$3:$KX$3,KS$60,$KO$4:$KX$4)))</f>
        <v>0</v>
      </c>
      <c r="KT65" s="196" t="n">
        <f aca="false">IF((SUMIF($KO$3:$KX$3,KT$60,$KO$4:$KX$4))=0,0,((SUMIF($KO$3:$KX$3,KT$60,$KO114:$KX114))/SUMIF($KO$3:$KX$3,KT$60,$KO$4:$KX$4)))</f>
        <v>0</v>
      </c>
      <c r="KU65" s="196" t="n">
        <f aca="false">IF((SUMIF($KO$3:$KX$3,KU$60,$KO$4:$KX$4))=0,0,((SUMIF($KO$3:$KX$3,KU$60,$KO114:$KX114))/SUMIF($KO$3:$KX$3,KU$60,$KO$4:$KX$4)))</f>
        <v>0</v>
      </c>
      <c r="KV65" s="196" t="n">
        <f aca="false">IF((SUMIF($KO$3:$KX$3,KV$60,$KO$4:$KX$4))=0,0,((SUMIF($KO$3:$KX$3,KV$60,$KO114:$KX114))/SUMIF($KO$3:$KX$3,KV$60,$KO$4:$KX$4)))</f>
        <v>0</v>
      </c>
      <c r="KW65" s="196" t="n">
        <f aca="false">IF((SUMIF($KO$3:$KX$3,KW$60,$KO$4:$KX$4))=0,0,((SUMIF($KO$3:$KX$3,KW$60,$KO114:$KX114))/SUMIF($KO$3:$KX$3,KW$60,$KO$4:$KX$4)))</f>
        <v>0</v>
      </c>
      <c r="KX65" s="197" t="n">
        <f aca="false">IF((SUMIF($KO$3:$KX$3,KX$60,$KO$4:$KX$4))=0,0,((SUMIF($KO$3:$KX$3,KX$60,$KO114:$KX114))/SUMIF($KO$3:$KX$3,KX$60,$KO$4:$KX$4)))</f>
        <v>0</v>
      </c>
      <c r="KY65" s="194" t="str">
        <f aca="false">KN65</f>
        <v>Alumno4</v>
      </c>
      <c r="KZ65" s="195" t="n">
        <f aca="false">IF((SUMIF($KZ$3:$LI$3,KZ$60,$KZ$4:$LI$4))=0,0,((SUMIF($KZ$3:$LI$3,KZ$60,$KZ114:$LI114))/SUMIF($KZ$3:$LI$3,KZ$60,$KZ$4:$LI$4)))</f>
        <v>0</v>
      </c>
      <c r="LA65" s="196" t="n">
        <f aca="false">IF((SUMIF($KZ$3:$LI$3,LA$60,$KZ$4:$LI$4))=0,0,((SUMIF($KZ$3:$LI$3,LA$60,$KZ114:$LI114))/SUMIF($KZ$3:$LI$3,LA$60,$KZ$4:$LI$4)))</f>
        <v>0</v>
      </c>
      <c r="LB65" s="196" t="n">
        <f aca="false">IF((SUMIF($KZ$3:$LI$3,LB$60,$KZ$4:$LI$4))=0,0,((SUMIF($KZ$3:$LI$3,LB$60,$KZ114:$LI114))/SUMIF($KZ$3:$LI$3,LB$60,$KZ$4:$LI$4)))</f>
        <v>0</v>
      </c>
      <c r="LC65" s="196" t="n">
        <f aca="false">IF((SUMIF($KZ$3:$LI$3,LC$60,$KZ$4:$LI$4))=0,0,((SUMIF($KZ$3:$LI$3,LC$60,$KZ114:$LI114))/SUMIF($KZ$3:$LI$3,LC$60,$KZ$4:$LI$4)))</f>
        <v>0</v>
      </c>
      <c r="LD65" s="196" t="n">
        <f aca="false">IF((SUMIF($KZ$3:$LI$3,LD$60,$KZ$4:$LI$4))=0,0,((SUMIF($KZ$3:$LI$3,LD$60,$KZ114:$LI114))/SUMIF($KZ$3:$LI$3,LD$60,$KZ$4:$LI$4)))</f>
        <v>0</v>
      </c>
      <c r="LE65" s="196" t="n">
        <f aca="false">IF((SUMIF($KZ$3:$LI$3,LE$60,$KZ$4:$LI$4))=0,0,((SUMIF($KZ$3:$LI$3,LE$60,$KZ114:$LI114))/SUMIF($KZ$3:$LI$3,LE$60,$KZ$4:$LI$4)))</f>
        <v>0</v>
      </c>
      <c r="LF65" s="196" t="n">
        <f aca="false">IF((SUMIF($KZ$3:$LI$3,LF$60,$KZ$4:$LI$4))=0,0,((SUMIF($KZ$3:$LI$3,LF$60,$KZ114:$LI114))/SUMIF($KZ$3:$LI$3,LF$60,$KZ$4:$LI$4)))</f>
        <v>0</v>
      </c>
      <c r="LG65" s="196" t="n">
        <f aca="false">IF((SUMIF($KZ$3:$LI$3,LG$60,$KZ$4:$LI$4))=0,0,((SUMIF($KZ$3:$LI$3,LG$60,$KZ114:$LI114))/SUMIF($KZ$3:$LI$3,LG$60,$KZ$4:$LI$4)))</f>
        <v>0</v>
      </c>
      <c r="LH65" s="196" t="n">
        <f aca="false">IF((SUMIF($KZ$3:$LI$3,LH$60,$KZ$4:$LI$4))=0,0,((SUMIF($KZ$3:$LI$3,LH$60,$KZ114:$LI114))/SUMIF($KZ$3:$LI$3,LH$60,$KZ$4:$LI$4)))</f>
        <v>0</v>
      </c>
      <c r="LI65" s="197" t="n">
        <f aca="false">IF((SUMIF($KZ$3:$LI$3,LI$60,$KZ$4:$LI$4))=0,0,((SUMIF($KZ$3:$LI$3,LI$60,$KZ114:$LI114))/SUMIF($KZ$3:$LI$3,LI$60,$KZ$4:$LI$4)))</f>
        <v>0</v>
      </c>
      <c r="LJ65" s="194" t="str">
        <f aca="false">KY65</f>
        <v>Alumno4</v>
      </c>
      <c r="LK65" s="195" t="n">
        <f aca="false">IF((SUMIF($LK$3:$LT$3,LK$60,$LK$4:$LT$4))=0,0,((SUMIF($LK$3:$LT$3,LK$60,$LK114:$LT114))/SUMIF($LK$3:$LT$3,LK$60,$LK$4:$LT$4)))</f>
        <v>0</v>
      </c>
      <c r="LL65" s="196" t="n">
        <f aca="false">IF((SUMIF($LK$3:$LT$3,LL$60,$LK$4:$LT$4))=0,0,((SUMIF($LK$3:$LT$3,LL$60,$LK114:$LT114))/SUMIF($LK$3:$LT$3,LL$60,$LK$4:$LT$4)))</f>
        <v>0</v>
      </c>
      <c r="LM65" s="196" t="n">
        <f aca="false">IF((SUMIF($LK$3:$LT$3,LM$60,$LK$4:$LT$4))=0,0,((SUMIF($LK$3:$LT$3,LM$60,$LK114:$LT114))/SUMIF($LK$3:$LT$3,LM$60,$LK$4:$LT$4)))</f>
        <v>0</v>
      </c>
      <c r="LN65" s="196" t="n">
        <f aca="false">IF((SUMIF($LK$3:$LT$3,LN$60,$LK$4:$LT$4))=0,0,((SUMIF($LK$3:$LT$3,LN$60,$LK114:$LT114))/SUMIF($LK$3:$LT$3,LN$60,$LK$4:$LT$4)))</f>
        <v>0</v>
      </c>
      <c r="LO65" s="196" t="n">
        <f aca="false">IF((SUMIF($LK$3:$LT$3,LO$60,$LK$4:$LT$4))=0,0,((SUMIF($LK$3:$LT$3,LO$60,$LK114:$LT114))/SUMIF($LK$3:$LT$3,LO$60,$LK$4:$LT$4)))</f>
        <v>0</v>
      </c>
      <c r="LP65" s="196" t="n">
        <f aca="false">IF((SUMIF($LK$3:$LT$3,LP$60,$LK$4:$LT$4))=0,0,((SUMIF($LK$3:$LT$3,LP$60,$LK114:$LT114))/SUMIF($LK$3:$LT$3,LP$60,$LK$4:$LT$4)))</f>
        <v>0</v>
      </c>
      <c r="LQ65" s="196" t="n">
        <f aca="false">IF((SUMIF($LK$3:$LT$3,LQ$60,$LK$4:$LT$4))=0,0,((SUMIF($LK$3:$LT$3,LQ$60,$LK114:$LT114))/SUMIF($LK$3:$LT$3,LQ$60,$LK$4:$LT$4)))</f>
        <v>0</v>
      </c>
      <c r="LR65" s="196" t="n">
        <f aca="false">IF((SUMIF($LK$3:$LT$3,LR$60,$LK$4:$LT$4))=0,0,((SUMIF($LK$3:$LT$3,LR$60,$LK114:$LT114))/SUMIF($LK$3:$LT$3,LR$60,$LK$4:$LT$4)))</f>
        <v>0</v>
      </c>
      <c r="LS65" s="196" t="n">
        <f aca="false">IF((SUMIF($LK$3:$LT$3,LS$60,$LK$4:$LT$4))=0,0,((SUMIF($LK$3:$LT$3,LS$60,$LK114:$LT114))/SUMIF($LK$3:$LT$3,LS$60,$LK$4:$LT$4)))</f>
        <v>0</v>
      </c>
      <c r="LT65" s="197" t="n">
        <f aca="false">IF((SUMIF($LK$3:$LT$3,LT$60,$LK$4:$LT$4))=0,0,((SUMIF($LK$3:$LT$3,LT$60,$LK114:$LT114))/SUMIF($LK$3:$LT$3,LT$60,$LK$4:$LT$4)))</f>
        <v>0</v>
      </c>
    </row>
    <row r="66" customFormat="false" ht="15" hidden="true" customHeight="false" outlineLevel="0" collapsed="false">
      <c r="C66" s="194" t="str">
        <f aca="false">B10</f>
        <v>Alumno5</v>
      </c>
      <c r="D66" s="195" t="n">
        <f aca="false">IF((SUMIF($D$3:$M$3,D$60,$D$4:$M$4))=0,0,((SUMIF($D$3:$M$3,D$60,$D115:$M115))/SUMIF($D$3:$M$3,D$60,$D$4:$M$4)))</f>
        <v>3.35</v>
      </c>
      <c r="E66" s="196" t="n">
        <f aca="false">IF((SUMIF($D$3:$M$3,E$60,$D$4:$M$4))=0,0,((SUMIF($D$3:$M$3,E$60,$D115:$M115))/SUMIF($D$3:$M$3,E$60,$D$4:$M$4)))</f>
        <v>0</v>
      </c>
      <c r="F66" s="196" t="n">
        <f aca="false">IF((SUMIF($D$3:$M$3,F$60,$D$4:$M$4))=0,0,((SUMIF($D$3:$M$3,F$60,$D115:$M115))/SUMIF($D$3:$M$3,F$60,$D$4:$M$4)))</f>
        <v>0</v>
      </c>
      <c r="G66" s="196" t="n">
        <f aca="false">IF((SUMIF($D$3:$M$3,G$60,$D$4:$M$4))=0,0,((SUMIF($D$3:$M$3,G$60,$D115:$M115))/SUMIF($D$3:$M$3,G$60,$D$4:$M$4)))</f>
        <v>0</v>
      </c>
      <c r="H66" s="196" t="n">
        <f aca="false">IF((SUMIF($D$3:$M$3,H$60,$D$4:$M$4))=0,0,((SUMIF($D$3:$M$3,H$60,$D115:$M115))/SUMIF($D$3:$M$3,H$60,$D$4:$M$4)))</f>
        <v>0</v>
      </c>
      <c r="I66" s="196" t="n">
        <f aca="false">IF((SUMIF($D$3:$M$3,I$60,$D$4:$M$4))=0,0,((SUMIF($D$3:$M$3,I$60,$D115:$M115))/SUMIF($D$3:$M$3,I$60,$D$4:$M$4)))</f>
        <v>0</v>
      </c>
      <c r="J66" s="196" t="n">
        <f aca="false">IF((SUMIF($D$3:$M$3,J$60,$D$4:$M$4))=0,0,((SUMIF($D$3:$M$3,J$60,$D115:$M115))/SUMIF($D$3:$M$3,J$60,$D$4:$M$4)))</f>
        <v>0</v>
      </c>
      <c r="K66" s="196" t="n">
        <f aca="false">IF((SUMIF($D$3:$M$3,K$60,$D$4:$M$4))=0,0,((SUMIF($D$3:$M$3,K$60,$D115:$M115))/SUMIF($D$3:$M$3,K$60,$D$4:$M$4)))</f>
        <v>0</v>
      </c>
      <c r="L66" s="196" t="n">
        <f aca="false">IF((SUMIF($D$3:$M$3,L$60,$D$4:$M$4))=0,0,((SUMIF($D$3:$M$3,L$60,$D115:$M115))/SUMIF($D$3:$M$3,L$60,$D$4:$M$4)))</f>
        <v>0</v>
      </c>
      <c r="M66" s="197" t="n">
        <f aca="false">IF((SUMIF($D$3:$M$3,M$60,$D$4:$M$4))=0,0,((SUMIF($D$3:$M$3,M$60,$D115:$M115))/SUMIF($D$3:$M$3,M$60,$D$4:$M$4)))</f>
        <v>0</v>
      </c>
      <c r="N66" s="194" t="str">
        <f aca="false">C66</f>
        <v>Alumno5</v>
      </c>
      <c r="O66" s="195" t="n">
        <f aca="false">IF((SUMIF($O$3:$X$3,O$60,$O$4:$X$4))=0,0,((SUMIF($O$3:$X$3,O$60,$O115:$X115))/SUMIF($O$3:$X$3,O$60,$O$4:$X$4)))</f>
        <v>9</v>
      </c>
      <c r="P66" s="196" t="n">
        <f aca="false">IF((SUMIF($O$3:$X$3,P$60,$O$4:$X$4))=0,0,((SUMIF($O$3:$X$3,P$60,$O115:$X115))/SUMIF($O$3:$X$3,P$60,$O$4:$X$4)))</f>
        <v>9</v>
      </c>
      <c r="Q66" s="196" t="n">
        <f aca="false">IF((SUMIF($O$3:$X$3,Q$60,$O$4:$X$4))=0,0,((SUMIF($O$3:$X$3,Q$60,$O115:$X115))/SUMIF($O$3:$X$3,Q$60,$O$4:$X$4)))</f>
        <v>0</v>
      </c>
      <c r="R66" s="196" t="n">
        <f aca="false">IF((SUMIF($O$3:$X$3,R$60,$O$4:$X$4))=0,0,((SUMIF($O$3:$X$3,R$60,$O115:$X115))/SUMIF($O$3:$X$3,R$60,$O$4:$X$4)))</f>
        <v>0</v>
      </c>
      <c r="S66" s="196" t="n">
        <f aca="false">IF((SUMIF($O$3:$X$3,S$60,$O$4:$X$4))=0,0,((SUMIF($O$3:$X$3,S$60,$O115:$X115))/SUMIF($O$3:$X$3,S$60,$O$4:$X$4)))</f>
        <v>0</v>
      </c>
      <c r="T66" s="196" t="n">
        <f aca="false">IF((SUMIF($O$3:$X$3,T$60,$O$4:$X$4))=0,0,((SUMIF($O$3:$X$3,T$60,$O115:$X115))/SUMIF($O$3:$X$3,T$60,$O$4:$X$4)))</f>
        <v>0</v>
      </c>
      <c r="U66" s="196" t="n">
        <f aca="false">IF((SUMIF($O$3:$X$3,U$60,$O$4:$X$4))=0,0,((SUMIF($O$3:$X$3,U$60,$O115:$X115))/SUMIF($O$3:$X$3,U$60,$O$4:$X$4)))</f>
        <v>0</v>
      </c>
      <c r="V66" s="196" t="n">
        <f aca="false">IF((SUMIF($O$3:$X$3,V$60,$O$4:$X$4))=0,0,((SUMIF($O$3:$X$3,V$60,$O115:$X115))/SUMIF($O$3:$X$3,V$60,$O$4:$X$4)))</f>
        <v>0</v>
      </c>
      <c r="W66" s="196" t="n">
        <f aca="false">IF((SUMIF($O$3:$X$3,W$60,$O$4:$X$4))=0,0,((SUMIF($O$3:$X$3,W$60,$O115:$X115))/SUMIF($O$3:$X$3,W$60,$O$4:$X$4)))</f>
        <v>0</v>
      </c>
      <c r="X66" s="197" t="n">
        <f aca="false">IF((SUMIF($O$3:$X$3,X$60,$O$4:$X$4))=0,0,((SUMIF($O$3:$X$3,X$60,$O115:$X115))/SUMIF($O$3:$X$3,X$60,$O$4:$X$4)))</f>
        <v>0</v>
      </c>
      <c r="Y66" s="194" t="str">
        <f aca="false">N66</f>
        <v>Alumno5</v>
      </c>
      <c r="Z66" s="195" t="n">
        <f aca="false">IF((SUMIF($Z$3:$AI$3,Z$60,$Z$4:$AI$4))=0,0,((SUMIF($Z$3:$AI$3,Z$60,$Z115:$AI115))/SUMIF($Z$3:$AI$3,Z$60,$Z$4:$AI$4)))</f>
        <v>9</v>
      </c>
      <c r="AA66" s="196" t="n">
        <f aca="false">IF((SUMIF($Z$3:$AI$3,AA$60,$Z$4:$AI$4))=0,0,((SUMIF($Z$3:$AI$3,AA$60,$Z115:$AI115))/SUMIF($Z$3:$AI$3,AA$60,$Z$4:$AI$4)))</f>
        <v>9</v>
      </c>
      <c r="AB66" s="196" t="n">
        <f aca="false">IF((SUMIF($Z$3:$AI$3,AB$60,$Z$4:$AI$4))=0,0,((SUMIF($Z$3:$AI$3,AB$60,$Z115:$AI115))/SUMIF($Z$3:$AI$3,AB$60,$Z$4:$AI$4)))</f>
        <v>9</v>
      </c>
      <c r="AC66" s="196" t="n">
        <f aca="false">IF((SUMIF($Z$3:$AI$3,AC$60,$Z$4:$AI$4))=0,0,((SUMIF($Z$3:$AI$3,AC$60,$Z115:$AI115))/SUMIF($Z$3:$AI$3,AC$60,$Z$4:$AI$4)))</f>
        <v>0</v>
      </c>
      <c r="AD66" s="196" t="n">
        <f aca="false">IF((SUMIF($Z$3:$AI$3,AD$60,$Z$4:$AI$4))=0,0,((SUMIF($Z$3:$AI$3,AD$60,$Z115:$AI115))/SUMIF($Z$3:$AI$3,AD$60,$Z$4:$AI$4)))</f>
        <v>0</v>
      </c>
      <c r="AE66" s="196" t="n">
        <f aca="false">IF((SUMIF($Z$3:$AI$3,AE$60,$Z$4:$AI$4))=0,0,((SUMIF($Z$3:$AI$3,AE$60,$Z115:$AI115))/SUMIF($Z$3:$AI$3,AE$60,$Z$4:$AI$4)))</f>
        <v>0</v>
      </c>
      <c r="AF66" s="196" t="n">
        <f aca="false">IF((SUMIF($Z$3:$AI$3,AF$60,$Z$4:$AI$4))=0,0,((SUMIF($Z$3:$AI$3,AF$60,$Z115:$AI115))/SUMIF($Z$3:$AI$3,AF$60,$Z$4:$AI$4)))</f>
        <v>0</v>
      </c>
      <c r="AG66" s="196" t="n">
        <f aca="false">IF((SUMIF($Z$3:$AI$3,AG$60,$Z$4:$AI$4))=0,0,((SUMIF($Z$3:$AI$3,AG$60,$Z115:$AI115))/SUMIF($Z$3:$AI$3,AG$60,$Z$4:$AI$4)))</f>
        <v>0</v>
      </c>
      <c r="AH66" s="196" t="n">
        <f aca="false">IF((SUMIF($Z$3:$AI$3,AH$60,$Z$4:$AI$4))=0,0,((SUMIF($Z$3:$AI$3,AH$60,$Z115:$AI115))/SUMIF($Z$3:$AI$3,AH$60,$Z$4:$AI$4)))</f>
        <v>0</v>
      </c>
      <c r="AI66" s="197" t="n">
        <f aca="false">IF((SUMIF($Z$3:$AI$3,AI$60,$Z$4:$AI$4))=0,0,((SUMIF($Z$3:$AI$3,AI$60,$Z115:$AI115))/SUMIF($Z$3:$AI$3,AI$60,$Z$4:$AI$4)))</f>
        <v>0</v>
      </c>
      <c r="AJ66" s="194" t="str">
        <f aca="false">Y66</f>
        <v>Alumno5</v>
      </c>
      <c r="AK66" s="195" t="n">
        <f aca="false">IF((SUMIF($AK$3:$AT$3,AK$60,$AK$4:$AT$4))=0,0,((SUMIF($AK$3:$AT$3,AK$60,$AK115:$AT115))/SUMIF($AK$3:$AT$3,AK$60,$AK$4:$AT$4)))</f>
        <v>9</v>
      </c>
      <c r="AL66" s="196" t="n">
        <f aca="false">IF((SUMIF($AK$3:$AT$3,AL$60,$AK$4:$AT$4))=0,0,((SUMIF($AK$3:$AT$3,AL$60,$AK115:$AT115))/SUMIF($AK$3:$AT$3,AL$60,$AK$4:$AT$4)))</f>
        <v>9</v>
      </c>
      <c r="AM66" s="196" t="n">
        <f aca="false">IF((SUMIF($AK$3:$AT$3,AM$60,$AK$4:$AT$4))=0,0,((SUMIF($AK$3:$AT$3,AM$60,$AK115:$AT115))/SUMIF($AK$3:$AT$3,AM$60,$AK$4:$AT$4)))</f>
        <v>9</v>
      </c>
      <c r="AN66" s="196" t="n">
        <f aca="false">IF((SUMIF($AK$3:$AT$3,AN$60,$AK$4:$AT$4))=0,0,((SUMIF($AK$3:$AT$3,AN$60,$AK115:$AT115))/SUMIF($AK$3:$AT$3,AN$60,$AK$4:$AT$4)))</f>
        <v>0</v>
      </c>
      <c r="AO66" s="196" t="n">
        <f aca="false">IF((SUMIF($AK$3:$AT$3,AO$60,$AK$4:$AT$4))=0,0,((SUMIF($AK$3:$AT$3,AO$60,$AK115:$AT115))/SUMIF($AK$3:$AT$3,AO$60,$AK$4:$AT$4)))</f>
        <v>0</v>
      </c>
      <c r="AP66" s="196" t="n">
        <f aca="false">IF((SUMIF($AK$3:$AT$3,AP$60,$AK$4:$AT$4))=0,0,((SUMIF($AK$3:$AT$3,AP$60,$AK115:$AT115))/SUMIF($AK$3:$AT$3,AP$60,$AK$4:$AT$4)))</f>
        <v>0</v>
      </c>
      <c r="AQ66" s="196" t="n">
        <f aca="false">IF((SUMIF($AK$3:$AT$3,AQ$60,$AK$4:$AT$4))=0,0,((SUMIF($AK$3:$AT$3,AQ$60,$AK115:$AT115))/SUMIF($AK$3:$AT$3,AQ$60,$AK$4:$AT$4)))</f>
        <v>0</v>
      </c>
      <c r="AR66" s="196" t="n">
        <f aca="false">IF((SUMIF($AK$3:$AT$3,AR$60,$AK$4:$AT$4))=0,0,((SUMIF($AK$3:$AT$3,AR$60,$AK115:$AT115))/SUMIF($AK$3:$AT$3,AR$60,$AK$4:$AT$4)))</f>
        <v>0</v>
      </c>
      <c r="AS66" s="196" t="n">
        <f aca="false">IF((SUMIF($AK$3:$AT$3,AS$60,$AK$4:$AT$4))=0,0,((SUMIF($AK$3:$AT$3,AS$60,$AK115:$AT115))/SUMIF($AK$3:$AT$3,AS$60,$AK$4:$AT$4)))</f>
        <v>0</v>
      </c>
      <c r="AT66" s="197" t="n">
        <f aca="false">IF((SUMIF($AK$3:$AT$3,AT$60,$AK$4:$AT$4))=0,0,((SUMIF($AK$3:$AT$3,AT$60,$AK115:$AT115))/SUMIF($AK$3:$AT$3,AT$60,$AK$4:$AT$4)))</f>
        <v>0</v>
      </c>
      <c r="AU66" s="194" t="str">
        <f aca="false">AJ66</f>
        <v>Alumno5</v>
      </c>
      <c r="AV66" s="195" t="n">
        <f aca="false">IF((SUMIF($AV$3:$BE$3,AV$60,$AV$4:$BE$4))=0,0,((SUMIF($AV$3:$BE$3,AV$60,$AV115:$BE115))/SUMIF($AV$3:$BE$3,AV$60,$AV$4:$BE$4)))</f>
        <v>3</v>
      </c>
      <c r="AW66" s="196" t="n">
        <f aca="false">IF((SUMIF($AV$3:$BE$3,AW$60,$AV$4:$BE$4))=0,0,((SUMIF($AV$3:$BE$3,AW$60,$AV115:$BE115))/SUMIF($AV$3:$BE$3,AW$60,$AV$4:$BE$4)))</f>
        <v>3</v>
      </c>
      <c r="AX66" s="196" t="n">
        <f aca="false">IF((SUMIF($AV$3:$BE$3,AX$60,$AV$4:$BE$4))=0,0,((SUMIF($AV$3:$BE$3,AX$60,$AV115:$BE115))/SUMIF($AV$3:$BE$3,AX$60,$AV$4:$BE$4)))</f>
        <v>3.2</v>
      </c>
      <c r="AY66" s="196" t="n">
        <f aca="false">IF((SUMIF($AV$3:$BE$3,AY$60,$AV$4:$BE$4))=0,0,((SUMIF($AV$3:$BE$3,AY$60,$AV115:$BE115))/SUMIF($AV$3:$BE$3,AY$60,$AV$4:$BE$4)))</f>
        <v>5</v>
      </c>
      <c r="AZ66" s="196" t="n">
        <f aca="false">IF((SUMIF($AV$3:$BE$3,AZ$60,$AV$4:$BE$4))=0,0,((SUMIF($AV$3:$BE$3,AZ$60,$AV115:$BE115))/SUMIF($AV$3:$BE$3,AZ$60,$AV$4:$BE$4)))</f>
        <v>0</v>
      </c>
      <c r="BA66" s="196" t="n">
        <f aca="false">IF((SUMIF($AV$3:$BE$3,BA$60,$AV$4:$BE$4))=0,0,((SUMIF($AV$3:$BE$3,BA$60,$AV115:$BE115))/SUMIF($AV$3:$BE$3,BA$60,$AV$4:$BE$4)))</f>
        <v>0</v>
      </c>
      <c r="BB66" s="196" t="n">
        <f aca="false">IF((SUMIF($AV$3:$BE$3,BB$60,$AV$4:$BE$4))=0,0,((SUMIF($AV$3:$BE$3,BB$60,$AV115:$BE115))/SUMIF($AV$3:$BE$3,BB$60,$AV$4:$BE$4)))</f>
        <v>0</v>
      </c>
      <c r="BC66" s="196" t="n">
        <f aca="false">IF((SUMIF($AV$3:$BE$3,BC$60,$AV$4:$BE$4))=0,0,((SUMIF($AV$3:$BE$3,BC$60,$AV115:$BE115))/SUMIF($AV$3:$BE$3,BC$60,$AV$4:$BE$4)))</f>
        <v>0</v>
      </c>
      <c r="BD66" s="196" t="n">
        <f aca="false">IF((SUMIF($AV$3:$BE$3,BD$60,$AV$4:$BE$4))=0,0,((SUMIF($AV$3:$BE$3,BD$60,$AV115:$BE115))/SUMIF($AV$3:$BE$3,BD$60,$AV$4:$BE$4)))</f>
        <v>0</v>
      </c>
      <c r="BE66" s="197" t="n">
        <f aca="false">IF((SUMIF($AV$3:$BE$3,BE$60,$AV$4:$BE$4))=0,0,((SUMIF($AV$3:$BE$3,BE$60,$AV115:$BE115))/SUMIF($AV$3:$BE$3,BE$60,$AV$4:$BE$4)))</f>
        <v>0</v>
      </c>
      <c r="BF66" s="194" t="str">
        <f aca="false">AU66</f>
        <v>Alumno5</v>
      </c>
      <c r="BG66" s="195" t="n">
        <f aca="false">IF((SUMIF($BG$3:$BP$3,BG$60,$BG$4:$BP$4))=0,0,((SUMIF($BG$3:$BP$3,BG$60,$BG115:$BP115))/SUMIF($BG$3:$BP$3,BG$60,$BG$4:$BP$4)))</f>
        <v>3</v>
      </c>
      <c r="BH66" s="196" t="n">
        <f aca="false">IF((SUMIF($BG$3:$BP$3,BH$60,$BG$4:$BP$4))=0,0,((SUMIF($BG$3:$BP$3,BH$60,$BG115:$BP115))/SUMIF($BG$3:$BP$3,BH$60,$BG$4:$BP$4)))</f>
        <v>3</v>
      </c>
      <c r="BI66" s="196" t="n">
        <f aca="false">IF((SUMIF($BG$3:$BP$3,BI$60,$BG$4:$BP$4))=0,0,((SUMIF($BG$3:$BP$3,BI$60,$BG115:$BP115))/SUMIF($BG$3:$BP$3,BI$60,$BG$4:$BP$4)))</f>
        <v>2</v>
      </c>
      <c r="BJ66" s="196" t="n">
        <f aca="false">IF((SUMIF($BG$3:$BP$3,BJ$60,$BG$4:$BP$4))=0,0,((SUMIF($BG$3:$BP$3,BJ$60,$BG115:$BP115))/SUMIF($BG$3:$BP$3,BJ$60,$BG$4:$BP$4)))</f>
        <v>4.6</v>
      </c>
      <c r="BK66" s="196" t="n">
        <f aca="false">IF((SUMIF($BG$3:$BP$3,BK$60,$BG$4:$BP$4))=0,0,((SUMIF($BG$3:$BP$3,BK$60,$BG115:$BP115))/SUMIF($BG$3:$BP$3,BK$60,$BG$4:$BP$4)))</f>
        <v>0</v>
      </c>
      <c r="BL66" s="196" t="n">
        <f aca="false">IF((SUMIF($BG$3:$BP$3,BL$60,$BG$4:$BP$4))=0,0,((SUMIF($BG$3:$BP$3,BL$60,$BG115:$BP115))/SUMIF($BG$3:$BP$3,BL$60,$BG$4:$BP$4)))</f>
        <v>0</v>
      </c>
      <c r="BM66" s="196" t="n">
        <f aca="false">IF((SUMIF($BG$3:$BP$3,BM$60,$BG$4:$BP$4))=0,0,((SUMIF($BG$3:$BP$3,BM$60,$BG115:$BP115))/SUMIF($BG$3:$BP$3,BM$60,$BG$4:$BP$4)))</f>
        <v>0</v>
      </c>
      <c r="BN66" s="196" t="n">
        <f aca="false">IF((SUMIF($BG$3:$BP$3,BN$60,$BG$4:$BP$4))=0,0,((SUMIF($BG$3:$BP$3,BN$60,$BG115:$BP115))/SUMIF($BG$3:$BP$3,BN$60,$BG$4:$BP$4)))</f>
        <v>0</v>
      </c>
      <c r="BO66" s="196" t="n">
        <f aca="false">IF((SUMIF($BG$3:$BP$3,BO$60,$BG$4:$BP$4))=0,0,((SUMIF($BG$3:$BP$3,BO$60,$BG115:$BP115))/SUMIF($BG$3:$BP$3,BO$60,$BG$4:$BP$4)))</f>
        <v>0</v>
      </c>
      <c r="BP66" s="197" t="n">
        <f aca="false">IF((SUMIF($BG$3:$BP$3,BP$60,$BG$4:$BP$4))=0,0,((SUMIF($BG$3:$BP$3,BP$60,$BG115:$BP115))/SUMIF($BG$3:$BP$3,BP$60,$BG$4:$BP$4)))</f>
        <v>0</v>
      </c>
      <c r="BQ66" s="194" t="str">
        <f aca="false">BF66</f>
        <v>Alumno5</v>
      </c>
      <c r="BR66" s="195" t="n">
        <f aca="false">IF((SUMIF($BR$3:$CA$3,BR$60,$BR$4:$CA$4))=0,0,((SUMIF($BR$3:$CA$3,BR$60,$BR115:$CA115))/SUMIF($BR$3:$CA$3,BR$60,$BR$4:$CA$4)))</f>
        <v>0</v>
      </c>
      <c r="BS66" s="196" t="n">
        <f aca="false">IF((SUMIF($BR$3:$CA$3,BS$60,$BR$4:$CA$4))=0,0,((SUMIF($BR$3:$CA$3,BS$60,$BR115:$CA115))/SUMIF($BR$3:$CA$3,BS$60,$BR$4:$CA$4)))</f>
        <v>10</v>
      </c>
      <c r="BT66" s="196" t="n">
        <f aca="false">IF((SUMIF($BR$3:$CA$3,BT$60,$BR$4:$CA$4))=0,0,((SUMIF($BR$3:$CA$3,BT$60,$BR115:$CA115))/SUMIF($BR$3:$CA$3,BT$60,$BR$4:$CA$4)))</f>
        <v>9.66666666666666</v>
      </c>
      <c r="BU66" s="196" t="n">
        <f aca="false">IF((SUMIF($BR$3:$CA$3,BU$60,$BR$4:$CA$4))=0,0,((SUMIF($BR$3:$CA$3,BU$60,$BR115:$CA115))/SUMIF($BR$3:$CA$3,BU$60,$BR$4:$CA$4)))</f>
        <v>9.6</v>
      </c>
      <c r="BV66" s="196" t="n">
        <f aca="false">IF((SUMIF($BR$3:$CA$3,BV$60,$BR$4:$CA$4))=0,0,((SUMIF($BR$3:$CA$3,BV$60,$BR115:$CA115))/SUMIF($BR$3:$CA$3,BV$60,$BR$4:$CA$4)))</f>
        <v>0</v>
      </c>
      <c r="BW66" s="196" t="n">
        <f aca="false">IF((SUMIF($BR$3:$CA$3,BW$60,$BR$4:$CA$4))=0,0,((SUMIF($BR$3:$CA$3,BW$60,$BR115:$CA115))/SUMIF($BR$3:$CA$3,BW$60,$BR$4:$CA$4)))</f>
        <v>0</v>
      </c>
      <c r="BX66" s="196" t="n">
        <f aca="false">IF((SUMIF($BR$3:$CA$3,BX$60,$BR$4:$CA$4))=0,0,((SUMIF($BR$3:$CA$3,BX$60,$BR115:$CA115))/SUMIF($BR$3:$CA$3,BX$60,$BR$4:$CA$4)))</f>
        <v>0</v>
      </c>
      <c r="BY66" s="196" t="n">
        <f aca="false">IF((SUMIF($BR$3:$CA$3,BY$60,$BR$4:$CA$4))=0,0,((SUMIF($BR$3:$CA$3,BY$60,$BR115:$CA115))/SUMIF($BR$3:$CA$3,BY$60,$BR$4:$CA$4)))</f>
        <v>0</v>
      </c>
      <c r="BZ66" s="196" t="n">
        <f aca="false">IF((SUMIF($BR$3:$CA$3,BZ$60,$BR$4:$CA$4))=0,0,((SUMIF($BR$3:$CA$3,BZ$60,$BR115:$CA115))/SUMIF($BR$3:$CA$3,BZ$60,$BR$4:$CA$4)))</f>
        <v>0</v>
      </c>
      <c r="CA66" s="197" t="n">
        <f aca="false">IF((SUMIF($BR$3:$CA$3,CA$60,$BR$4:$CA$4))=0,0,((SUMIF($BR$3:$CA$3,CA$60,$BR115:$CA115))/SUMIF($BR$3:$CA$3,CA$60,$BR$4:$CA$4)))</f>
        <v>0</v>
      </c>
      <c r="CB66" s="194" t="str">
        <f aca="false">BQ66</f>
        <v>Alumno5</v>
      </c>
      <c r="CC66" s="195" t="n">
        <f aca="false">IF((SUMIF($CC$3:$CL$3,CC$60,$CC$4:$CL$4))=0,0,((SUMIF($CC$3:$CL$3,CC$60,$CC115:$CL115))/SUMIF($CC$3:$CL$3,CC$60,$CC$4:$CL$4)))</f>
        <v>0</v>
      </c>
      <c r="CD66" s="196" t="n">
        <f aca="false">IF((SUMIF($CC$3:$CL$3,CD$60,$CC$4:$CL$4))=0,0,((SUMIF($CC$3:$CL$3,CD$60,$CC115:$CL115))/SUMIF($CC$3:$CL$3,CD$60,$CC$4:$CL$4)))</f>
        <v>0</v>
      </c>
      <c r="CE66" s="196" t="n">
        <f aca="false">IF((SUMIF($CC$3:$CL$3,CE$60,$CC$4:$CL$4))=0,0,((SUMIF($CC$3:$CL$3,CE$60,$CC115:$CL115))/SUMIF($CC$3:$CL$3,CE$60,$CC$4:$CL$4)))</f>
        <v>0</v>
      </c>
      <c r="CF66" s="196" t="n">
        <f aca="false">IF((SUMIF($CC$3:$CL$3,CF$60,$CC$4:$CL$4))=0,0,((SUMIF($CC$3:$CL$3,CF$60,$CC115:$CL115))/SUMIF($CC$3:$CL$3,CF$60,$CC$4:$CL$4)))</f>
        <v>0</v>
      </c>
      <c r="CG66" s="196" t="n">
        <f aca="false">IF((SUMIF($CC$3:$CL$3,CG$60,$CC$4:$CL$4))=0,0,((SUMIF($CC$3:$CL$3,CG$60,$CC115:$CL115))/SUMIF($CC$3:$CL$3,CG$60,$CC$4:$CL$4)))</f>
        <v>0</v>
      </c>
      <c r="CH66" s="196" t="n">
        <f aca="false">IF((SUMIF($CC$3:$CL$3,CH$60,$CC$4:$CL$4))=0,0,((SUMIF($CC$3:$CL$3,CH$60,$CC115:$CL115))/SUMIF($CC$3:$CL$3,CH$60,$CC$4:$CL$4)))</f>
        <v>0</v>
      </c>
      <c r="CI66" s="196" t="n">
        <f aca="false">IF((SUMIF($CC$3:$CL$3,CI$60,$CC$4:$CL$4))=0,0,((SUMIF($CC$3:$CL$3,CI$60,$CC115:$CL115))/SUMIF($CC$3:$CL$3,CI$60,$CC$4:$CL$4)))</f>
        <v>0</v>
      </c>
      <c r="CJ66" s="196" t="n">
        <f aca="false">IF((SUMIF($CC$3:$CL$3,CJ$60,$CC$4:$CL$4))=0,0,((SUMIF($CC$3:$CL$3,CJ$60,$CC115:$CL115))/SUMIF($CC$3:$CL$3,CJ$60,$CC$4:$CL$4)))</f>
        <v>0</v>
      </c>
      <c r="CK66" s="196" t="n">
        <f aca="false">IF((SUMIF($CC$3:$CL$3,CK$60,$CC$4:$CL$4))=0,0,((SUMIF($CC$3:$CL$3,CK$60,$CC115:$CL115))/SUMIF($CC$3:$CL$3,CK$60,$CC$4:$CL$4)))</f>
        <v>0</v>
      </c>
      <c r="CL66" s="197" t="n">
        <f aca="false">IF((SUMIF($CC$3:$CL$3,CL$60,$CC$4:$CL$4))=0,0,((SUMIF($CC$3:$CL$3,CL$60,$CC115:$CL115))/SUMIF($CC$3:$CL$3,CL$60,$CC$4:$CL$4)))</f>
        <v>0</v>
      </c>
      <c r="CM66" s="194" t="str">
        <f aca="false">CB66</f>
        <v>Alumno5</v>
      </c>
      <c r="CN66" s="195" t="n">
        <f aca="false">IF((SUMIF($CN$3:$CW$3,CN$60,$CN$4:$CW$4))=0,0,((SUMIF($CN$3:$CW$3,CN$60,$CN115:$CW115))/SUMIF($CN$3:$CW$3,CN$60,$CN$4:$CW$4)))</f>
        <v>0</v>
      </c>
      <c r="CO66" s="196" t="n">
        <f aca="false">IF((SUMIF($CN$3:$CW$3,CO$60,$CN$4:$CW$4))=0,0,((SUMIF($CN$3:$CW$3,CO$60,$CN115:$CW115))/SUMIF($CN$3:$CW$3,CO$60,$CN$4:$CW$4)))</f>
        <v>0</v>
      </c>
      <c r="CP66" s="196" t="n">
        <f aca="false">IF((SUMIF($CN$3:$CW$3,CP$60,$CN$4:$CW$4))=0,0,((SUMIF($CN$3:$CW$3,CP$60,$CN115:$CW115))/SUMIF($CN$3:$CW$3,CP$60,$CN$4:$CW$4)))</f>
        <v>0</v>
      </c>
      <c r="CQ66" s="196" t="n">
        <f aca="false">IF((SUMIF($CN$3:$CW$3,CQ$60,$CN$4:$CW$4))=0,0,((SUMIF($CN$3:$CW$3,CQ$60,$CN115:$CW115))/SUMIF($CN$3:$CW$3,CQ$60,$CN$4:$CW$4)))</f>
        <v>0</v>
      </c>
      <c r="CR66" s="196" t="n">
        <f aca="false">IF((SUMIF($CN$3:$CW$3,CR$60,$CN$4:$CW$4))=0,0,((SUMIF($CN$3:$CW$3,CR$60,$CN115:$CW115))/SUMIF($CN$3:$CW$3,CR$60,$CN$4:$CW$4)))</f>
        <v>0</v>
      </c>
      <c r="CS66" s="196" t="n">
        <f aca="false">IF((SUMIF($CN$3:$CW$3,CS$60,$CN$4:$CW$4))=0,0,((SUMIF($CN$3:$CW$3,CS$60,$CN115:$CW115))/SUMIF($CN$3:$CW$3,CS$60,$CN$4:$CW$4)))</f>
        <v>0</v>
      </c>
      <c r="CT66" s="196" t="n">
        <f aca="false">IF((SUMIF($CN$3:$CW$3,CT$60,$CN$4:$CW$4))=0,0,((SUMIF($CN$3:$CW$3,CT$60,$CN115:$CW115))/SUMIF($CN$3:$CW$3,CT$60,$CN$4:$CW$4)))</f>
        <v>0</v>
      </c>
      <c r="CU66" s="196" t="n">
        <f aca="false">IF((SUMIF($CN$3:$CW$3,CU$60,$CN$4:$CW$4))=0,0,((SUMIF($CN$3:$CW$3,CU$60,$CN115:$CW115))/SUMIF($CN$3:$CW$3,CU$60,$CN$4:$CW$4)))</f>
        <v>0</v>
      </c>
      <c r="CV66" s="196" t="n">
        <f aca="false">IF((SUMIF($CN$3:$CW$3,CV$60,$CN$4:$CW$4))=0,0,((SUMIF($CN$3:$CW$3,CV$60,$CN115:$CW115))/SUMIF($CN$3:$CW$3,CV$60,$CN$4:$CW$4)))</f>
        <v>0</v>
      </c>
      <c r="CW66" s="197" t="n">
        <f aca="false">IF((SUMIF($CN$3:$CW$3,CW$60,$CN$4:$CW$4))=0,0,((SUMIF($CN$3:$CW$3,CW$60,$CN115:$CW115))/SUMIF($CN$3:$CW$3,CW$60,$CN$4:$CW$4)))</f>
        <v>0</v>
      </c>
      <c r="CX66" s="194" t="str">
        <f aca="false">CM66</f>
        <v>Alumno5</v>
      </c>
      <c r="CY66" s="195" t="n">
        <f aca="false">IF((SUMIF($CY$3:$DH$3,CY$60,$CY$4:$DH$4))=0,0,((SUMIF($CY$3:$DH$3,CY$60,$CY115:$DH115))/SUMIF($CY$3:$DH$3,CY$60,$CY$4:$DH$4)))</f>
        <v>0</v>
      </c>
      <c r="CZ66" s="196" t="n">
        <f aca="false">IF((SUMIF($CY$3:$DH$3,CZ$60,$CY$4:$DH$4))=0,0,((SUMIF($CY$3:$DH$3,CZ$60,$CY115:$DH115))/SUMIF($CY$3:$DH$3,CZ$60,$CY$4:$DH$4)))</f>
        <v>0</v>
      </c>
      <c r="DA66" s="196" t="n">
        <f aca="false">IF((SUMIF($CY$3:$DH$3,DA$60,$CY$4:$DH$4))=0,0,((SUMIF($CY$3:$DH$3,DA$60,$CY115:$DH115))/SUMIF($CY$3:$DH$3,DA$60,$CY$4:$DH$4)))</f>
        <v>0</v>
      </c>
      <c r="DB66" s="196" t="n">
        <f aca="false">IF((SUMIF($CY$3:$DH$3,DB$60,$CY$4:$DH$4))=0,0,((SUMIF($CY$3:$DH$3,DB$60,$CY115:$DH115))/SUMIF($CY$3:$DH$3,DB$60,$CY$4:$DH$4)))</f>
        <v>0</v>
      </c>
      <c r="DC66" s="196" t="n">
        <f aca="false">IF((SUMIF($CY$3:$DH$3,DC$60,$CY$4:$DH$4))=0,0,((SUMIF($CY$3:$DH$3,DC$60,$CY115:$DH115))/SUMIF($CY$3:$DH$3,DC$60,$CY$4:$DH$4)))</f>
        <v>0</v>
      </c>
      <c r="DD66" s="196" t="n">
        <f aca="false">IF((SUMIF($CY$3:$DH$3,DD$60,$CY$4:$DH$4))=0,0,((SUMIF($CY$3:$DH$3,DD$60,$CY115:$DH115))/SUMIF($CY$3:$DH$3,DD$60,$CY$4:$DH$4)))</f>
        <v>0</v>
      </c>
      <c r="DE66" s="196" t="n">
        <f aca="false">IF((SUMIF($CY$3:$DH$3,DE$60,$CY$4:$DH$4))=0,0,((SUMIF($CY$3:$DH$3,DE$60,$CY115:$DH115))/SUMIF($CY$3:$DH$3,DE$60,$CY$4:$DH$4)))</f>
        <v>0</v>
      </c>
      <c r="DF66" s="196" t="n">
        <f aca="false">IF((SUMIF($CY$3:$DH$3,DF$60,$CY$4:$DH$4))=0,0,((SUMIF($CY$3:$DH$3,DF$60,$CY115:$DH115))/SUMIF($CY$3:$DH$3,DF$60,$CY$4:$DH$4)))</f>
        <v>0</v>
      </c>
      <c r="DG66" s="196" t="n">
        <f aca="false">IF((SUMIF($CY$3:$DH$3,DG$60,$CY$4:$DH$4))=0,0,((SUMIF($CY$3:$DH$3,DG$60,$CY115:$DH115))/SUMIF($CY$3:$DH$3,DG$60,$CY$4:$DH$4)))</f>
        <v>0</v>
      </c>
      <c r="DH66" s="197" t="n">
        <f aca="false">IF((SUMIF($CY$3:$DH$3,DH$60,$CY$4:$DH$4))=0,0,((SUMIF($CY$3:$DH$3,DH$60,$CY115:$DH115))/SUMIF($CY$3:$DH$3,DH$60,$CY$4:$DH$4)))</f>
        <v>0</v>
      </c>
      <c r="DI66" s="194" t="str">
        <f aca="false">CX66</f>
        <v>Alumno5</v>
      </c>
      <c r="DJ66" s="195" t="n">
        <f aca="false">IF((SUMIF($DJ$3:$DS$3,DJ$60,$DJ$4:$DS$4))=0,0,((SUMIF($DJ$3:$DS$3,DJ$60,$DJ115:$DS115))/SUMIF($DJ$3:$DS$3,DJ$60,$DJ$4:$DS$4)))</f>
        <v>0</v>
      </c>
      <c r="DK66" s="196" t="n">
        <f aca="false">IF((SUMIF($DJ$3:$DS$3,DK$60,$DJ$4:$DS$4))=0,0,((SUMIF($DJ$3:$DS$3,DK$60,$DJ115:$DS115))/SUMIF($DJ$3:$DS$3,DK$60,$DJ$4:$DS$4)))</f>
        <v>0</v>
      </c>
      <c r="DL66" s="196" t="n">
        <f aca="false">IF((SUMIF($DJ$3:$DS$3,DL$60,$DJ$4:$DS$4))=0,0,((SUMIF($DJ$3:$DS$3,DL$60,$DJ115:$DS115))/SUMIF($DJ$3:$DS$3,DL$60,$DJ$4:$DS$4)))</f>
        <v>0</v>
      </c>
      <c r="DM66" s="196" t="n">
        <f aca="false">IF((SUMIF($DJ$3:$DS$3,DM$60,$DJ$4:$DS$4))=0,0,((SUMIF($DJ$3:$DS$3,DM$60,$DJ115:$DS115))/SUMIF($DJ$3:$DS$3,DM$60,$DJ$4:$DS$4)))</f>
        <v>0</v>
      </c>
      <c r="DN66" s="196" t="n">
        <f aca="false">IF((SUMIF($DJ$3:$DS$3,DN$60,$DJ$4:$DS$4))=0,0,((SUMIF($DJ$3:$DS$3,DN$60,$DJ115:$DS115))/SUMIF($DJ$3:$DS$3,DN$60,$DJ$4:$DS$4)))</f>
        <v>0</v>
      </c>
      <c r="DO66" s="196" t="n">
        <f aca="false">IF((SUMIF($DJ$3:$DS$3,DO$60,$DJ$4:$DS$4))=0,0,((SUMIF($DJ$3:$DS$3,DO$60,$DJ115:$DS115))/SUMIF($DJ$3:$DS$3,DO$60,$DJ$4:$DS$4)))</f>
        <v>0</v>
      </c>
      <c r="DP66" s="196" t="n">
        <f aca="false">IF((SUMIF($DJ$3:$DS$3,DP$60,$DJ$4:$DS$4))=0,0,((SUMIF($DJ$3:$DS$3,DP$60,$DJ115:$DS115))/SUMIF($DJ$3:$DS$3,DP$60,$DJ$4:$DS$4)))</f>
        <v>0</v>
      </c>
      <c r="DQ66" s="196" t="n">
        <f aca="false">IF((SUMIF($DJ$3:$DS$3,DQ$60,$DJ$4:$DS$4))=0,0,((SUMIF($DJ$3:$DS$3,DQ$60,$DJ115:$DS115))/SUMIF($DJ$3:$DS$3,DQ$60,$DJ$4:$DS$4)))</f>
        <v>0</v>
      </c>
      <c r="DR66" s="196" t="n">
        <f aca="false">IF((SUMIF($DJ$3:$DS$3,DR$60,$DJ$4:$DS$4))=0,0,((SUMIF($DJ$3:$DS$3,DR$60,$DJ115:$DS115))/SUMIF($DJ$3:$DS$3,DR$60,$DJ$4:$DS$4)))</f>
        <v>0</v>
      </c>
      <c r="DS66" s="197" t="n">
        <f aca="false">IF((SUMIF($DJ$3:$DS$3,DS$60,$DJ$4:$DS$4))=0,0,((SUMIF($DJ$3:$DS$3,DS$60,$DJ115:$DS115))/SUMIF($DJ$3:$DS$3,DS$60,$DJ$4:$DS$4)))</f>
        <v>0</v>
      </c>
      <c r="DT66" s="194" t="str">
        <f aca="false">DI66</f>
        <v>Alumno5</v>
      </c>
      <c r="DU66" s="195" t="n">
        <f aca="false">IF((SUMIF($DU$3:$ED$3,DU$60,$DU$4:$ED$4))=0,0,((SUMIF($DU$3:$ED$3,DU$60,$DU115:$ED115))/SUMIF($DU$3:$ED$3,DU$60,$DU$4:$ED$4)))</f>
        <v>0</v>
      </c>
      <c r="DV66" s="196" t="n">
        <f aca="false">IF((SUMIF($DU$3:$ED$3,DV$60,$DU$4:$ED$4))=0,0,((SUMIF($DU$3:$ED$3,DV$60,$DU115:$ED115))/SUMIF($DU$3:$ED$3,DV$60,$DU$4:$ED$4)))</f>
        <v>0</v>
      </c>
      <c r="DW66" s="196" t="n">
        <f aca="false">IF((SUMIF($DU$3:$ED$3,DW$60,$DU$4:$ED$4))=0,0,((SUMIF($DU$3:$ED$3,DW$60,$DU115:$ED115))/SUMIF($DU$3:$ED$3,DW$60,$DU$4:$ED$4)))</f>
        <v>0</v>
      </c>
      <c r="DX66" s="196" t="n">
        <f aca="false">IF((SUMIF($DU$3:$ED$3,DX$60,$DU$4:$ED$4))=0,0,((SUMIF($DU$3:$ED$3,DX$60,$DU115:$ED115))/SUMIF($DU$3:$ED$3,DX$60,$DU$4:$ED$4)))</f>
        <v>0</v>
      </c>
      <c r="DY66" s="196" t="n">
        <f aca="false">IF((SUMIF($DU$3:$ED$3,DY$60,$DU$4:$ED$4))=0,0,((SUMIF($DU$3:$ED$3,DY$60,$DU115:$ED115))/SUMIF($DU$3:$ED$3,DY$60,$DU$4:$ED$4)))</f>
        <v>0</v>
      </c>
      <c r="DZ66" s="196" t="n">
        <f aca="false">IF((SUMIF($DU$3:$ED$3,DZ$60,$DU$4:$ED$4))=0,0,((SUMIF($DU$3:$ED$3,DZ$60,$DU115:$ED115))/SUMIF($DU$3:$ED$3,DZ$60,$DU$4:$ED$4)))</f>
        <v>0</v>
      </c>
      <c r="EA66" s="196" t="n">
        <f aca="false">IF((SUMIF($DU$3:$ED$3,EA$60,$DU$4:$ED$4))=0,0,((SUMIF($DU$3:$ED$3,EA$60,$DU115:$ED115))/SUMIF($DU$3:$ED$3,EA$60,$DU$4:$ED$4)))</f>
        <v>0</v>
      </c>
      <c r="EB66" s="196" t="n">
        <f aca="false">IF((SUMIF($DU$3:$ED$3,EB$60,$DU$4:$ED$4))=0,0,((SUMIF($DU$3:$ED$3,EB$60,$DU115:$ED115))/SUMIF($DU$3:$ED$3,EB$60,$DU$4:$ED$4)))</f>
        <v>0</v>
      </c>
      <c r="EC66" s="196" t="n">
        <f aca="false">IF((SUMIF($DU$3:$ED$3,EC$60,$DU$4:$ED$4))=0,0,((SUMIF($DU$3:$ED$3,EC$60,$DU115:$ED115))/SUMIF($DU$3:$ED$3,EC$60,$DU$4:$ED$4)))</f>
        <v>0</v>
      </c>
      <c r="ED66" s="197" t="n">
        <f aca="false">IF((SUMIF($DU$3:$ED$3,ED$60,$DU$4:$ED$4))=0,0,((SUMIF($DU$3:$ED$3,ED$60,$DU115:$ED115))/SUMIF($DU$3:$ED$3,ED$60,$DU$4:$ED$4)))</f>
        <v>0</v>
      </c>
      <c r="EE66" s="194" t="str">
        <f aca="false">DT66</f>
        <v>Alumno5</v>
      </c>
      <c r="EF66" s="195" t="n">
        <f aca="false">IF((SUMIF($EF$3:$EO$3,EF$60,$EF$4:$EO$4))=0,0,((SUMIF($EF$3:$EO$3,EF$60,$EF115:$EO115))/SUMIF($EF$3:$EO$3,EF$60,$EF$4:$EO$4)))</f>
        <v>0</v>
      </c>
      <c r="EG66" s="196" t="n">
        <f aca="false">IF((SUMIF($EF$3:$EO$3,EG$60,$EF$4:$EO$4))=0,0,((SUMIF($EF$3:$EO$3,EG$60,$EF115:$EO115))/SUMIF($EF$3:$EO$3,EG$60,$EF$4:$EO$4)))</f>
        <v>0</v>
      </c>
      <c r="EH66" s="196" t="n">
        <f aca="false">IF((SUMIF($EF$3:$EO$3,EH$60,$EF$4:$EO$4))=0,0,((SUMIF($EF$3:$EO$3,EH$60,$EF115:$EO115))/SUMIF($EF$3:$EO$3,EH$60,$EF$4:$EO$4)))</f>
        <v>0</v>
      </c>
      <c r="EI66" s="196" t="n">
        <f aca="false">IF((SUMIF($EF$3:$EO$3,EI$60,$EF$4:$EO$4))=0,0,((SUMIF($EF$3:$EO$3,EI$60,$EF115:$EO115))/SUMIF($EF$3:$EO$3,EI$60,$EF$4:$EO$4)))</f>
        <v>0</v>
      </c>
      <c r="EJ66" s="196" t="n">
        <f aca="false">IF((SUMIF($EF$3:$EO$3,EJ$60,$EF$4:$EO$4))=0,0,((SUMIF($EF$3:$EO$3,EJ$60,$EF115:$EO115))/SUMIF($EF$3:$EO$3,EJ$60,$EF$4:$EO$4)))</f>
        <v>0</v>
      </c>
      <c r="EK66" s="196" t="n">
        <f aca="false">IF((SUMIF($EF$3:$EO$3,EK$60,$EF$4:$EO$4))=0,0,((SUMIF($EF$3:$EO$3,EK$60,$EF115:$EO115))/SUMIF($EF$3:$EO$3,EK$60,$EF$4:$EO$4)))</f>
        <v>0</v>
      </c>
      <c r="EL66" s="196" t="n">
        <f aca="false">IF((SUMIF($EF$3:$EO$3,EL$60,$EF$4:$EO$4))=0,0,((SUMIF($EF$3:$EO$3,EL$60,$EF115:$EO115))/SUMIF($EF$3:$EO$3,EL$60,$EF$4:$EO$4)))</f>
        <v>0</v>
      </c>
      <c r="EM66" s="196" t="n">
        <f aca="false">IF((SUMIF($EF$3:$EO$3,EM$60,$EF$4:$EO$4))=0,0,((SUMIF($EF$3:$EO$3,EM$60,$EF115:$EO115))/SUMIF($EF$3:$EO$3,EM$60,$EF$4:$EO$4)))</f>
        <v>0</v>
      </c>
      <c r="EN66" s="196" t="n">
        <f aca="false">IF((SUMIF($EF$3:$EO$3,EN$60,$EF$4:$EO$4))=0,0,((SUMIF($EF$3:$EO$3,EN$60,$EF115:$EO115))/SUMIF($EF$3:$EO$3,EN$60,$EF$4:$EO$4)))</f>
        <v>0</v>
      </c>
      <c r="EO66" s="197" t="n">
        <f aca="false">IF((SUMIF($EF$3:$EO$3,EO$60,$EF$4:$EO$4))=0,0,((SUMIF($EF$3:$EO$3,EO$60,$EF115:$EO115))/SUMIF($EF$3:$EO$3,EO$60,$EF$4:$EO$4)))</f>
        <v>0</v>
      </c>
      <c r="EP66" s="194" t="str">
        <f aca="false">EE66</f>
        <v>Alumno5</v>
      </c>
      <c r="EQ66" s="195" t="n">
        <f aca="false">IF((SUMIF($EQ$3:$EZ$3,EQ$60,$EQ$4:$EZ$4))=0,0,((SUMIF($EQ$3:$EZ$3,EQ$60,$EQ115:$EZ115))/SUMIF($EQ$3:$EZ$3,EQ$60,$EQ$4:$EZ$4)))</f>
        <v>0</v>
      </c>
      <c r="ER66" s="196" t="n">
        <f aca="false">IF((SUMIF($EQ$3:$EZ$3,ER$60,$EQ$4:$EZ$4))=0,0,((SUMIF($EQ$3:$EZ$3,ER$60,$EQ115:$EZ115))/SUMIF($EQ$3:$EZ$3,ER$60,$EQ$4:$EZ$4)))</f>
        <v>0</v>
      </c>
      <c r="ES66" s="196" t="n">
        <f aca="false">IF((SUMIF($EQ$3:$EZ$3,ES$60,$EQ$4:$EZ$4))=0,0,((SUMIF($EQ$3:$EZ$3,ES$60,$EQ115:$EZ115))/SUMIF($EQ$3:$EZ$3,ES$60,$EQ$4:$EZ$4)))</f>
        <v>0</v>
      </c>
      <c r="ET66" s="196" t="n">
        <f aca="false">IF((SUMIF($EQ$3:$EZ$3,ET$60,$EQ$4:$EZ$4))=0,0,((SUMIF($EQ$3:$EZ$3,ET$60,$EQ115:$EZ115))/SUMIF($EQ$3:$EZ$3,ET$60,$EQ$4:$EZ$4)))</f>
        <v>0</v>
      </c>
      <c r="EU66" s="196" t="n">
        <f aca="false">IF((SUMIF($EQ$3:$EZ$3,EU$60,$EQ$4:$EZ$4))=0,0,((SUMIF($EQ$3:$EZ$3,EU$60,$EQ115:$EZ115))/SUMIF($EQ$3:$EZ$3,EU$60,$EQ$4:$EZ$4)))</f>
        <v>0</v>
      </c>
      <c r="EV66" s="196" t="n">
        <f aca="false">IF((SUMIF($EQ$3:$EZ$3,EV$60,$EQ$4:$EZ$4))=0,0,((SUMIF($EQ$3:$EZ$3,EV$60,$EQ115:$EZ115))/SUMIF($EQ$3:$EZ$3,EV$60,$EQ$4:$EZ$4)))</f>
        <v>0</v>
      </c>
      <c r="EW66" s="196" t="n">
        <f aca="false">IF((SUMIF($EQ$3:$EZ$3,EW$60,$EQ$4:$EZ$4))=0,0,((SUMIF($EQ$3:$EZ$3,EW$60,$EQ115:$EZ115))/SUMIF($EQ$3:$EZ$3,EW$60,$EQ$4:$EZ$4)))</f>
        <v>0</v>
      </c>
      <c r="EX66" s="196" t="n">
        <f aca="false">IF((SUMIF($EQ$3:$EZ$3,EX$60,$EQ$4:$EZ$4))=0,0,((SUMIF($EQ$3:$EZ$3,EX$60,$EQ115:$EZ115))/SUMIF($EQ$3:$EZ$3,EX$60,$EQ$4:$EZ$4)))</f>
        <v>0</v>
      </c>
      <c r="EY66" s="196" t="n">
        <f aca="false">IF((SUMIF($EQ$3:$EZ$3,EY$60,$EQ$4:$EZ$4))=0,0,((SUMIF($EQ$3:$EZ$3,EY$60,$EQ115:$EZ115))/SUMIF($EQ$3:$EZ$3,EY$60,$EQ$4:$EZ$4)))</f>
        <v>0</v>
      </c>
      <c r="EZ66" s="197" t="n">
        <f aca="false">IF((SUMIF($EQ$3:$EZ$3,EZ$60,$EQ$4:$EZ$4))=0,0,((SUMIF($EQ$3:$EZ$3,EZ$60,$EQ115:$EZ115))/SUMIF($EQ$3:$EZ$3,EZ$60,$EQ$4:$EZ$4)))</f>
        <v>0</v>
      </c>
      <c r="FA66" s="194" t="str">
        <f aca="false">EP66</f>
        <v>Alumno5</v>
      </c>
      <c r="FB66" s="195" t="n">
        <f aca="false">IF((SUMIF($FB$3:$FK$3,FB$60,$FB$4:$FK$4))=0,0,((SUMIF($FB$3:$FK$3,FB$60,$FB115:$FK115))/SUMIF($FB$3:$FK$3,FB$60,$FB$4:$FK$4)))</f>
        <v>0</v>
      </c>
      <c r="FC66" s="196" t="n">
        <f aca="false">IF((SUMIF($FB$3:$FK$3,FC$60,$FB$4:$FK$4))=0,0,((SUMIF($FB$3:$FK$3,FC$60,$FB115:$FK115))/SUMIF($FB$3:$FK$3,FC$60,$FB$4:$FK$4)))</f>
        <v>0</v>
      </c>
      <c r="FD66" s="196" t="n">
        <f aca="false">IF((SUMIF($FB$3:$FK$3,FD$60,$FB$4:$FK$4))=0,0,((SUMIF($FB$3:$FK$3,FD$60,$FB115:$FK115))/SUMIF($FB$3:$FK$3,FD$60,$FB$4:$FK$4)))</f>
        <v>0</v>
      </c>
      <c r="FE66" s="196" t="n">
        <f aca="false">IF((SUMIF($FB$3:$FK$3,FE$60,$FB$4:$FK$4))=0,0,((SUMIF($FB$3:$FK$3,FE$60,$FB115:$FK115))/SUMIF($FB$3:$FK$3,FE$60,$FB$4:$FK$4)))</f>
        <v>0</v>
      </c>
      <c r="FF66" s="196" t="n">
        <f aca="false">IF((SUMIF($FB$3:$FK$3,FF$60,$FB$4:$FK$4))=0,0,((SUMIF($FB$3:$FK$3,FF$60,$FB115:$FK115))/SUMIF($FB$3:$FK$3,FF$60,$FB$4:$FK$4)))</f>
        <v>0</v>
      </c>
      <c r="FG66" s="196" t="n">
        <f aca="false">IF((SUMIF($FB$3:$FK$3,FG$60,$FB$4:$FK$4))=0,0,((SUMIF($FB$3:$FK$3,FG$60,$FB115:$FK115))/SUMIF($FB$3:$FK$3,FG$60,$FB$4:$FK$4)))</f>
        <v>0</v>
      </c>
      <c r="FH66" s="196" t="n">
        <f aca="false">IF((SUMIF($FB$3:$FK$3,FH$60,$FB$4:$FK$4))=0,0,((SUMIF($FB$3:$FK$3,FH$60,$FB115:$FK115))/SUMIF($FB$3:$FK$3,FH$60,$FB$4:$FK$4)))</f>
        <v>0</v>
      </c>
      <c r="FI66" s="196" t="n">
        <f aca="false">IF((SUMIF($FB$3:$FK$3,FI$60,$FB$4:$FK$4))=0,0,((SUMIF($FB$3:$FK$3,FI$60,$FB115:$FK115))/SUMIF($FB$3:$FK$3,FI$60,$FB$4:$FK$4)))</f>
        <v>0</v>
      </c>
      <c r="FJ66" s="196" t="n">
        <f aca="false">IF((SUMIF($FB$3:$FK$3,FJ$60,$FB$4:$FK$4))=0,0,((SUMIF($FB$3:$FK$3,FJ$60,$FB115:$FK115))/SUMIF($FB$3:$FK$3,FJ$60,$FB$4:$FK$4)))</f>
        <v>0</v>
      </c>
      <c r="FK66" s="197" t="n">
        <f aca="false">IF((SUMIF($FB$3:$FK$3,FK$60,$FB$4:$FK$4))=0,0,((SUMIF($FB$3:$FK$3,FK$60,$FB115:$FK115))/SUMIF($FB$3:$FK$3,FK$60,$FB$4:$FK$4)))</f>
        <v>0</v>
      </c>
      <c r="FL66" s="194" t="str">
        <f aca="false">FA66</f>
        <v>Alumno5</v>
      </c>
      <c r="FM66" s="195" t="n">
        <f aca="false">IF((SUMIF($FM$3:$FV$3,FM$60,$FM$4:$FV$4))=0,0,((SUMIF($FM$3:$FV$3,FM$60,$FM115:$FV115))/SUMIF($FM$3:$FV$3,FM$60,$FM$4:$FV$4)))</f>
        <v>0</v>
      </c>
      <c r="FN66" s="196" t="n">
        <f aca="false">IF((SUMIF($FM$3:$FV$3,FN$60,$FM$4:$FV$4))=0,0,((SUMIF($FM$3:$FV$3,FN$60,$FM115:$FV115))/SUMIF($FM$3:$FV$3,FN$60,$FM$4:$FV$4)))</f>
        <v>0</v>
      </c>
      <c r="FO66" s="196" t="n">
        <f aca="false">IF((SUMIF($FM$3:$FV$3,FO$60,$FM$4:$FV$4))=0,0,((SUMIF($FM$3:$FV$3,FO$60,$FM115:$FV115))/SUMIF($FM$3:$FV$3,FO$60,$FM$4:$FV$4)))</f>
        <v>0</v>
      </c>
      <c r="FP66" s="196" t="n">
        <f aca="false">IF((SUMIF($FM$3:$FV$3,FP$60,$FM$4:$FV$4))=0,0,((SUMIF($FM$3:$FV$3,FP$60,$FM115:$FV115))/SUMIF($FM$3:$FV$3,FP$60,$FM$4:$FV$4)))</f>
        <v>0</v>
      </c>
      <c r="FQ66" s="196" t="n">
        <f aca="false">IF((SUMIF($FM$3:$FV$3,FQ$60,$FM$4:$FV$4))=0,0,((SUMIF($FM$3:$FV$3,FQ$60,$FM115:$FV115))/SUMIF($FM$3:$FV$3,FQ$60,$FM$4:$FV$4)))</f>
        <v>0</v>
      </c>
      <c r="FR66" s="196" t="n">
        <f aca="false">IF((SUMIF($FM$3:$FV$3,FR$60,$FM$4:$FV$4))=0,0,((SUMIF($FM$3:$FV$3,FR$60,$FM115:$FV115))/SUMIF($FM$3:$FV$3,FR$60,$FM$4:$FV$4)))</f>
        <v>0</v>
      </c>
      <c r="FS66" s="196" t="n">
        <f aca="false">IF((SUMIF($FM$3:$FV$3,FS$60,$FM$4:$FV$4))=0,0,((SUMIF($FM$3:$FV$3,FS$60,$FM115:$FV115))/SUMIF($FM$3:$FV$3,FS$60,$FM$4:$FV$4)))</f>
        <v>0</v>
      </c>
      <c r="FT66" s="196" t="n">
        <f aca="false">IF((SUMIF($FM$3:$FV$3,FT$60,$FM$4:$FV$4))=0,0,((SUMIF($FM$3:$FV$3,FT$60,$FM115:$FV115))/SUMIF($FM$3:$FV$3,FT$60,$FM$4:$FV$4)))</f>
        <v>0</v>
      </c>
      <c r="FU66" s="196" t="n">
        <f aca="false">IF((SUMIF($FM$3:$FV$3,FU$60,$FM$4:$FV$4))=0,0,((SUMIF($FM$3:$FV$3,FU$60,$FM115:$FV115))/SUMIF($FM$3:$FV$3,FU$60,$FM$4:$FV$4)))</f>
        <v>0</v>
      </c>
      <c r="FV66" s="197" t="n">
        <f aca="false">IF((SUMIF($FM$3:$FV$3,FV$60,$FM$4:$FV$4))=0,0,((SUMIF($FM$3:$FV$3,FV$60,$FM115:$FV115))/SUMIF($FM$3:$FV$3,FV$60,$FM$4:$FV$4)))</f>
        <v>0</v>
      </c>
      <c r="FW66" s="194" t="str">
        <f aca="false">FL66</f>
        <v>Alumno5</v>
      </c>
      <c r="FX66" s="195" t="n">
        <f aca="false">IF((SUMIF($FX$3:$GG$3,FX$60,$FX$4:$GG$4))=0,0,((SUMIF($FX$3:$GG$3,FX$60,$FX115:$GG115))/SUMIF($FX$3:$GG$3,FX$60,$FX$4:$GG$4)))</f>
        <v>0</v>
      </c>
      <c r="FY66" s="196" t="n">
        <f aca="false">IF((SUMIF($FX$3:$GG$3,FY$60,$FX$4:$GG$4))=0,0,((SUMIF($FX$3:$GG$3,FY$60,$FX115:$GG115))/SUMIF($FX$3:$GG$3,FY$60,$FX$4:$GG$4)))</f>
        <v>0</v>
      </c>
      <c r="FZ66" s="196" t="n">
        <f aca="false">IF((SUMIF($FX$3:$GG$3,FZ$60,$FX$4:$GG$4))=0,0,((SUMIF($FX$3:$GG$3,FZ$60,$FX115:$GG115))/SUMIF($FX$3:$GG$3,FZ$60,$FX$4:$GG$4)))</f>
        <v>0</v>
      </c>
      <c r="GA66" s="196" t="n">
        <f aca="false">IF((SUMIF($FX$3:$GG$3,GA$60,$FX$4:$GG$4))=0,0,((SUMIF($FX$3:$GG$3,GA$60,$FX115:$GG115))/SUMIF($FX$3:$GG$3,GA$60,$FX$4:$GG$4)))</f>
        <v>0</v>
      </c>
      <c r="GB66" s="196" t="n">
        <f aca="false">IF((SUMIF($FX$3:$GG$3,GB$60,$FX$4:$GG$4))=0,0,((SUMIF($FX$3:$GG$3,GB$60,$FX115:$GG115))/SUMIF($FX$3:$GG$3,GB$60,$FX$4:$GG$4)))</f>
        <v>0</v>
      </c>
      <c r="GC66" s="196" t="n">
        <f aca="false">IF((SUMIF($FX$3:$GG$3,GC$60,$FX$4:$GG$4))=0,0,((SUMIF($FX$3:$GG$3,GC$60,$FX115:$GG115))/SUMIF($FX$3:$GG$3,GC$60,$FX$4:$GG$4)))</f>
        <v>0</v>
      </c>
      <c r="GD66" s="196" t="n">
        <f aca="false">IF((SUMIF($FX$3:$GG$3,GD$60,$FX$4:$GG$4))=0,0,((SUMIF($FX$3:$GG$3,GD$60,$FX115:$GG115))/SUMIF($FX$3:$GG$3,GD$60,$FX$4:$GG$4)))</f>
        <v>0</v>
      </c>
      <c r="GE66" s="196" t="n">
        <f aca="false">IF((SUMIF($FX$3:$GG$3,GE$60,$FX$4:$GG$4))=0,0,((SUMIF($FX$3:$GG$3,GE$60,$FX115:$GG115))/SUMIF($FX$3:$GG$3,GE$60,$FX$4:$GG$4)))</f>
        <v>0</v>
      </c>
      <c r="GF66" s="196" t="n">
        <f aca="false">IF((SUMIF($FX$3:$GG$3,GF$60,$FX$4:$GG$4))=0,0,((SUMIF($FX$3:$GG$3,GF$60,$FX115:$GG115))/SUMIF($FX$3:$GG$3,GF$60,$FX$4:$GG$4)))</f>
        <v>0</v>
      </c>
      <c r="GG66" s="197" t="n">
        <f aca="false">IF((SUMIF($FX$3:$GG$3,GG$60,$FX$4:$GG$4))=0,0,((SUMIF($FX$3:$GG$3,GG$60,$FX115:$GG115))/SUMIF($FX$3:$GG$3,GG$60,$FX$4:$GG$4)))</f>
        <v>0</v>
      </c>
      <c r="GH66" s="194" t="str">
        <f aca="false">FW66</f>
        <v>Alumno5</v>
      </c>
      <c r="GI66" s="195" t="n">
        <f aca="false">IF((SUMIF($GI$3:$GR$3,GI$60,$GI$4:$GR$4))=0,0,((SUMIF($GI$3:$GR$3,GI$60,$GI115:$GR115))/SUMIF($GI$3:$GR$3,GI$60,$GI$4:$GR$4)))</f>
        <v>0</v>
      </c>
      <c r="GJ66" s="196" t="n">
        <f aca="false">IF((SUMIF($GI$3:$GR$3,GJ$60,$GI$4:$GR$4))=0,0,((SUMIF($GI$3:$GR$3,GJ$60,$GI115:$GR115))/SUMIF($GI$3:$GR$3,GJ$60,$GI$4:$GR$4)))</f>
        <v>0</v>
      </c>
      <c r="GK66" s="196" t="n">
        <f aca="false">IF((SUMIF($GI$3:$GR$3,GK$60,$GI$4:$GR$4))=0,0,((SUMIF($GI$3:$GR$3,GK$60,$GI115:$GR115))/SUMIF($GI$3:$GR$3,GK$60,$GI$4:$GR$4)))</f>
        <v>0</v>
      </c>
      <c r="GL66" s="196" t="n">
        <f aca="false">IF((SUMIF($GI$3:$GR$3,GL$60,$GI$4:$GR$4))=0,0,((SUMIF($GI$3:$GR$3,GL$60,$GI115:$GR115))/SUMIF($GI$3:$GR$3,GL$60,$GI$4:$GR$4)))</f>
        <v>0</v>
      </c>
      <c r="GM66" s="196" t="n">
        <f aca="false">IF((SUMIF($GI$3:$GR$3,GM$60,$GI$4:$GR$4))=0,0,((SUMIF($GI$3:$GR$3,GM$60,$GI115:$GR115))/SUMIF($GI$3:$GR$3,GM$60,$GI$4:$GR$4)))</f>
        <v>0</v>
      </c>
      <c r="GN66" s="196" t="n">
        <f aca="false">IF((SUMIF($GI$3:$GR$3,GN$60,$GI$4:$GR$4))=0,0,((SUMIF($GI$3:$GR$3,GN$60,$GI115:$GR115))/SUMIF($GI$3:$GR$3,GN$60,$GI$4:$GR$4)))</f>
        <v>0</v>
      </c>
      <c r="GO66" s="196" t="n">
        <f aca="false">IF((SUMIF($GI$3:$GR$3,GO$60,$GI$4:$GR$4))=0,0,((SUMIF($GI$3:$GR$3,GO$60,$GI115:$GR115))/SUMIF($GI$3:$GR$3,GO$60,$GI$4:$GR$4)))</f>
        <v>0</v>
      </c>
      <c r="GP66" s="196" t="n">
        <f aca="false">IF((SUMIF($GI$3:$GR$3,GP$60,$GI$4:$GR$4))=0,0,((SUMIF($GI$3:$GR$3,GP$60,$GI115:$GR115))/SUMIF($GI$3:$GR$3,GP$60,$GI$4:$GR$4)))</f>
        <v>0</v>
      </c>
      <c r="GQ66" s="196" t="n">
        <f aca="false">IF((SUMIF($GI$3:$GR$3,GQ$60,$GI$4:$GR$4))=0,0,((SUMIF($GI$3:$GR$3,GQ$60,$GI115:$GR115))/SUMIF($GI$3:$GR$3,GQ$60,$GI$4:$GR$4)))</f>
        <v>0</v>
      </c>
      <c r="GR66" s="197" t="n">
        <f aca="false">IF((SUMIF($GI$3:$GR$3,GR$60,$GI$4:$GR$4))=0,0,((SUMIF($GI$3:$GR$3,GR$60,$GI115:$GR115))/SUMIF($GI$3:$GR$3,GR$60,$GI$4:$GR$4)))</f>
        <v>0</v>
      </c>
      <c r="GS66" s="194" t="str">
        <f aca="false">GH66</f>
        <v>Alumno5</v>
      </c>
      <c r="GT66" s="195" t="n">
        <f aca="false">IF((SUMIF($GT$3:$HC$3,GT$60,$GT$4:$HC$4))=0,0,((SUMIF($GT$3:$HC$3,GT$60,$GT115:$HC115))/SUMIF($GT$3:$HC$3,GT$60,$GT$4:$HC$4)))</f>
        <v>0</v>
      </c>
      <c r="GU66" s="196" t="n">
        <f aca="false">IF((SUMIF($GT$3:$HC$3,GU$60,$GT$4:$HC$4))=0,0,((SUMIF($GT$3:$HC$3,GU$60,$GT115:$HC115))/SUMIF($GT$3:$HC$3,GU$60,$GT$4:$HC$4)))</f>
        <v>0</v>
      </c>
      <c r="GV66" s="196" t="n">
        <f aca="false">IF((SUMIF($GT$3:$HC$3,GV$60,$GT$4:$HC$4))=0,0,((SUMIF($GT$3:$HC$3,GV$60,$GT115:$HC115))/SUMIF($GT$3:$HC$3,GV$60,$GT$4:$HC$4)))</f>
        <v>0</v>
      </c>
      <c r="GW66" s="196" t="n">
        <f aca="false">IF((SUMIF($GT$3:$HC$3,GW$60,$GT$4:$HC$4))=0,0,((SUMIF($GT$3:$HC$3,GW$60,$GT115:$HC115))/SUMIF($GT$3:$HC$3,GW$60,$GT$4:$HC$4)))</f>
        <v>0</v>
      </c>
      <c r="GX66" s="196" t="n">
        <f aca="false">IF((SUMIF($GT$3:$HC$3,GX$60,$GT$4:$HC$4))=0,0,((SUMIF($GT$3:$HC$3,GX$60,$GT115:$HC115))/SUMIF($GT$3:$HC$3,GX$60,$GT$4:$HC$4)))</f>
        <v>0</v>
      </c>
      <c r="GY66" s="196" t="n">
        <f aca="false">IF((SUMIF($GT$3:$HC$3,GY$60,$GT$4:$HC$4))=0,0,((SUMIF($GT$3:$HC$3,GY$60,$GT115:$HC115))/SUMIF($GT$3:$HC$3,GY$60,$GT$4:$HC$4)))</f>
        <v>0</v>
      </c>
      <c r="GZ66" s="196" t="n">
        <f aca="false">IF((SUMIF($GT$3:$HC$3,GZ$60,$GT$4:$HC$4))=0,0,((SUMIF($GT$3:$HC$3,GZ$60,$GT115:$HC115))/SUMIF($GT$3:$HC$3,GZ$60,$GT$4:$HC$4)))</f>
        <v>0</v>
      </c>
      <c r="HA66" s="196" t="n">
        <f aca="false">IF((SUMIF($GT$3:$HC$3,HA$60,$GT$4:$HC$4))=0,0,((SUMIF($GT$3:$HC$3,HA$60,$GT115:$HC115))/SUMIF($GT$3:$HC$3,HA$60,$GT$4:$HC$4)))</f>
        <v>0</v>
      </c>
      <c r="HB66" s="196" t="n">
        <f aca="false">IF((SUMIF($GT$3:$HC$3,HB$60,$GT$4:$HC$4))=0,0,((SUMIF($GT$3:$HC$3,HB$60,$GT115:$HC115))/SUMIF($GT$3:$HC$3,HB$60,$GT$4:$HC$4)))</f>
        <v>0</v>
      </c>
      <c r="HC66" s="197" t="n">
        <f aca="false">IF((SUMIF($GT$3:$HC$3,HC$60,$GT$4:$HC$4))=0,0,((SUMIF($GT$3:$HC$3,HC$60,$GT115:$HC115))/SUMIF($GT$3:$HC$3,HC$60,$GT$4:$HC$4)))</f>
        <v>0</v>
      </c>
      <c r="HD66" s="194" t="str">
        <f aca="false">GS66</f>
        <v>Alumno5</v>
      </c>
      <c r="HE66" s="195" t="n">
        <f aca="false">IF((SUMIF($HE$3:$HN$3,HE$60,$HE$4:$HN$4))=0,0,((SUMIF($HE$3:$HN$3,HE$60,$HE115:$HN115))/SUMIF($HE$3:$HN$3,HE$60,$HE$4:$HN$4)))</f>
        <v>0</v>
      </c>
      <c r="HF66" s="196" t="n">
        <f aca="false">IF((SUMIF($HE$3:$HN$3,HF$60,$HE$4:$HN$4))=0,0,((SUMIF($HE$3:$HN$3,HF$60,$HE115:$HN115))/SUMIF($HE$3:$HN$3,HF$60,$HE$4:$HN$4)))</f>
        <v>0</v>
      </c>
      <c r="HG66" s="196" t="n">
        <f aca="false">IF((SUMIF($HE$3:$HN$3,HG$60,$HE$4:$HN$4))=0,0,((SUMIF($HE$3:$HN$3,HG$60,$HE115:$HN115))/SUMIF($HE$3:$HN$3,HG$60,$HE$4:$HN$4)))</f>
        <v>0</v>
      </c>
      <c r="HH66" s="196" t="n">
        <f aca="false">IF((SUMIF($HE$3:$HN$3,HH$60,$HE$4:$HN$4))=0,0,((SUMIF($HE$3:$HN$3,HH$60,$HE115:$HN115))/SUMIF($HE$3:$HN$3,HH$60,$HE$4:$HN$4)))</f>
        <v>0</v>
      </c>
      <c r="HI66" s="196" t="n">
        <f aca="false">IF((SUMIF($HE$3:$HN$3,HI$60,$HE$4:$HN$4))=0,0,((SUMIF($HE$3:$HN$3,HI$60,$HE115:$HN115))/SUMIF($HE$3:$HN$3,HI$60,$HE$4:$HN$4)))</f>
        <v>0</v>
      </c>
      <c r="HJ66" s="196" t="n">
        <f aca="false">IF((SUMIF($HE$3:$HN$3,HJ$60,$HE$4:$HN$4))=0,0,((SUMIF($HE$3:$HN$3,HJ$60,$HE115:$HN115))/SUMIF($HE$3:$HN$3,HJ$60,$HE$4:$HN$4)))</f>
        <v>0</v>
      </c>
      <c r="HK66" s="196" t="n">
        <f aca="false">IF((SUMIF($HE$3:$HN$3,HK$60,$HE$4:$HN$4))=0,0,((SUMIF($HE$3:$HN$3,HK$60,$HE115:$HN115))/SUMIF($HE$3:$HN$3,HK$60,$HE$4:$HN$4)))</f>
        <v>0</v>
      </c>
      <c r="HL66" s="196" t="n">
        <f aca="false">IF((SUMIF($HE$3:$HN$3,HL$60,$HE$4:$HN$4))=0,0,((SUMIF($HE$3:$HN$3,HL$60,$HE115:$HN115))/SUMIF($HE$3:$HN$3,HL$60,$HE$4:$HN$4)))</f>
        <v>0</v>
      </c>
      <c r="HM66" s="196" t="n">
        <f aca="false">IF((SUMIF($HE$3:$HN$3,HM$60,$HE$4:$HN$4))=0,0,((SUMIF($HE$3:$HN$3,HM$60,$HE115:$HN115))/SUMIF($HE$3:$HN$3,HM$60,$HE$4:$HN$4)))</f>
        <v>0</v>
      </c>
      <c r="HN66" s="197" t="n">
        <f aca="false">IF((SUMIF($HE$3:$HN$3,HN$60,$HE$4:$HN$4))=0,0,((SUMIF($HE$3:$HN$3,HN$60,$HE115:$HN115))/SUMIF($HE$3:$HN$3,HN$60,$HE$4:$HN$4)))</f>
        <v>0</v>
      </c>
      <c r="HO66" s="194" t="str">
        <f aca="false">HD66</f>
        <v>Alumno5</v>
      </c>
      <c r="HP66" s="195" t="n">
        <f aca="false">IF((SUMIF($HP$3:$HY$3,HP$60,$HP$4:$HY$4))=0,0,((SUMIF($HP$3:$HY$3,HP$60,$HP115:$HY115))/SUMIF($HP$3:$HY$3,HP$60,$HP$4:$HY$4)))</f>
        <v>0</v>
      </c>
      <c r="HQ66" s="196" t="n">
        <f aca="false">IF((SUMIF($HP$3:$HY$3,HQ$60,$HP$4:$HY$4))=0,0,((SUMIF($HP$3:$HY$3,HQ$60,$HP115:$HY115))/SUMIF($HP$3:$HY$3,HQ$60,$HP$4:$HY$4)))</f>
        <v>0</v>
      </c>
      <c r="HR66" s="196" t="n">
        <f aca="false">IF((SUMIF($HP$3:$HY$3,HR$60,$HP$4:$HY$4))=0,0,((SUMIF($HP$3:$HY$3,HR$60,$HP115:$HY115))/SUMIF($HP$3:$HY$3,HR$60,$HP$4:$HY$4)))</f>
        <v>0</v>
      </c>
      <c r="HS66" s="196" t="n">
        <f aca="false">IF((SUMIF($HP$3:$HY$3,HS$60,$HP$4:$HY$4))=0,0,((SUMIF($HP$3:$HY$3,HS$60,$HP115:$HY115))/SUMIF($HP$3:$HY$3,HS$60,$HP$4:$HY$4)))</f>
        <v>0</v>
      </c>
      <c r="HT66" s="196" t="n">
        <f aca="false">IF((SUMIF($HP$3:$HY$3,HT$60,$HP$4:$HY$4))=0,0,((SUMIF($HP$3:$HY$3,HT$60,$HP115:$HY115))/SUMIF($HP$3:$HY$3,HT$60,$HP$4:$HY$4)))</f>
        <v>0</v>
      </c>
      <c r="HU66" s="196" t="n">
        <f aca="false">IF((SUMIF($HP$3:$HY$3,HU$60,$HP$4:$HY$4))=0,0,((SUMIF($HP$3:$HY$3,HU$60,$HP115:$HY115))/SUMIF($HP$3:$HY$3,HU$60,$HP$4:$HY$4)))</f>
        <v>0</v>
      </c>
      <c r="HV66" s="196" t="n">
        <f aca="false">IF((SUMIF($HP$3:$HY$3,HV$60,$HP$4:$HY$4))=0,0,((SUMIF($HP$3:$HY$3,HV$60,$HP115:$HY115))/SUMIF($HP$3:$HY$3,HV$60,$HP$4:$HY$4)))</f>
        <v>0</v>
      </c>
      <c r="HW66" s="196" t="n">
        <f aca="false">IF((SUMIF($HP$3:$HY$3,HW$60,$HP$4:$HY$4))=0,0,((SUMIF($HP$3:$HY$3,HW$60,$HP115:$HY115))/SUMIF($HP$3:$HY$3,HW$60,$HP$4:$HY$4)))</f>
        <v>0</v>
      </c>
      <c r="HX66" s="196" t="n">
        <f aca="false">IF((SUMIF($HP$3:$HY$3,HX$60,$HP$4:$HY$4))=0,0,((SUMIF($HP$3:$HY$3,HX$60,$HP115:$HY115))/SUMIF($HP$3:$HY$3,HX$60,$HP$4:$HY$4)))</f>
        <v>0</v>
      </c>
      <c r="HY66" s="197" t="n">
        <f aca="false">IF((SUMIF($HP$3:$HY$3,HY$60,$HP$4:$HY$4))=0,0,((SUMIF($HP$3:$HY$3,HY$60,$HP115:$HY115))/SUMIF($HP$3:$HY$3,HY$60,$HP$4:$HY$4)))</f>
        <v>0</v>
      </c>
      <c r="HZ66" s="194" t="str">
        <f aca="false">HO66</f>
        <v>Alumno5</v>
      </c>
      <c r="IA66" s="195" t="n">
        <f aca="false">IF((SUMIF($IA$3:$IJ$3,IA$60,$IA$4:$IJ$4))=0,0,((SUMIF($IA$3:$IJ$3,IA$60,$IA115:$IJ115))/SUMIF($IA$3:$IJ$3,IA$60,$IA$4:$IJ$4)))</f>
        <v>0</v>
      </c>
      <c r="IB66" s="196" t="n">
        <f aca="false">IF((SUMIF($IA$3:$IJ$3,IB$60,$IA$4:$IJ$4))=0,0,((SUMIF($IA$3:$IJ$3,IB$60,$IA115:$IJ115))/SUMIF($IA$3:$IJ$3,IB$60,$IA$4:$IJ$4)))</f>
        <v>0</v>
      </c>
      <c r="IC66" s="196" t="n">
        <f aca="false">IF((SUMIF($IA$3:$IJ$3,IC$60,$IA$4:$IJ$4))=0,0,((SUMIF($IA$3:$IJ$3,IC$60,$IA115:$IJ115))/SUMIF($IA$3:$IJ$3,IC$60,$IA$4:$IJ$4)))</f>
        <v>0</v>
      </c>
      <c r="ID66" s="196" t="n">
        <f aca="false">IF((SUMIF($IA$3:$IJ$3,ID$60,$IA$4:$IJ$4))=0,0,((SUMIF($IA$3:$IJ$3,ID$60,$IA115:$IJ115))/SUMIF($IA$3:$IJ$3,ID$60,$IA$4:$IJ$4)))</f>
        <v>0</v>
      </c>
      <c r="IE66" s="196" t="n">
        <f aca="false">IF((SUMIF($IA$3:$IJ$3,IE$60,$IA$4:$IJ$4))=0,0,((SUMIF($IA$3:$IJ$3,IE$60,$IA115:$IJ115))/SUMIF($IA$3:$IJ$3,IE$60,$IA$4:$IJ$4)))</f>
        <v>0</v>
      </c>
      <c r="IF66" s="196" t="n">
        <f aca="false">IF((SUMIF($IA$3:$IJ$3,IF$60,$IA$4:$IJ$4))=0,0,((SUMIF($IA$3:$IJ$3,IF$60,$IA115:$IJ115))/SUMIF($IA$3:$IJ$3,IF$60,$IA$4:$IJ$4)))</f>
        <v>0</v>
      </c>
      <c r="IG66" s="196" t="n">
        <f aca="false">IF((SUMIF($IA$3:$IJ$3,IG$60,$IA$4:$IJ$4))=0,0,((SUMIF($IA$3:$IJ$3,IG$60,$IA115:$IJ115))/SUMIF($IA$3:$IJ$3,IG$60,$IA$4:$IJ$4)))</f>
        <v>0</v>
      </c>
      <c r="IH66" s="196" t="n">
        <f aca="false">IF((SUMIF($IA$3:$IJ$3,IH$60,$IA$4:$IJ$4))=0,0,((SUMIF($IA$3:$IJ$3,IH$60,$IA115:$IJ115))/SUMIF($IA$3:$IJ$3,IH$60,$IA$4:$IJ$4)))</f>
        <v>0</v>
      </c>
      <c r="II66" s="196" t="n">
        <f aca="false">IF((SUMIF($IA$3:$IJ$3,II$60,$IA$4:$IJ$4))=0,0,((SUMIF($IA$3:$IJ$3,II$60,$IA115:$IJ115))/SUMIF($IA$3:$IJ$3,II$60,$IA$4:$IJ$4)))</f>
        <v>0</v>
      </c>
      <c r="IJ66" s="197" t="n">
        <f aca="false">IF((SUMIF($IA$3:$IJ$3,IJ$60,$IA$4:$IJ$4))=0,0,((SUMIF($IA$3:$IJ$3,IJ$60,$IA115:$IJ115))/SUMIF($IA$3:$IJ$3,IJ$60,$IA$4:$IJ$4)))</f>
        <v>0</v>
      </c>
      <c r="IK66" s="194" t="str">
        <f aca="false">HZ66</f>
        <v>Alumno5</v>
      </c>
      <c r="IL66" s="195" t="n">
        <f aca="false">IF((SUMIF($IL$3:$IU$3,IL$60,$IL$4:$IU$4))=0,0,((SUMIF($IL$3:$IU$3,IL$60,$IL115:$IU115))/SUMIF($IL$3:$IU$3,IL$60,$IL$4:$IU$4)))</f>
        <v>0</v>
      </c>
      <c r="IM66" s="196" t="n">
        <f aca="false">IF((SUMIF($IL$3:$IU$3,IM$60,$IL$4:$IU$4))=0,0,((SUMIF($IL$3:$IU$3,IM$60,$IL115:$IU115))/SUMIF($IL$3:$IU$3,IM$60,$IL$4:$IU$4)))</f>
        <v>0</v>
      </c>
      <c r="IN66" s="196" t="n">
        <f aca="false">IF((SUMIF($IL$3:$IU$3,IN$60,$IL$4:$IU$4))=0,0,((SUMIF($IL$3:$IU$3,IN$60,$IL115:$IU115))/SUMIF($IL$3:$IU$3,IN$60,$IL$4:$IU$4)))</f>
        <v>0</v>
      </c>
      <c r="IO66" s="196" t="n">
        <f aca="false">IF((SUMIF($IL$3:$IU$3,IO$60,$IL$4:$IU$4))=0,0,((SUMIF($IL$3:$IU$3,IO$60,$IL115:$IU115))/SUMIF($IL$3:$IU$3,IO$60,$IL$4:$IU$4)))</f>
        <v>0</v>
      </c>
      <c r="IP66" s="196" t="n">
        <f aca="false">IF((SUMIF($IL$3:$IU$3,IP$60,$IL$4:$IU$4))=0,0,((SUMIF($IL$3:$IU$3,IP$60,$IL115:$IU115))/SUMIF($IL$3:$IU$3,IP$60,$IL$4:$IU$4)))</f>
        <v>0</v>
      </c>
      <c r="IQ66" s="196" t="n">
        <f aca="false">IF((SUMIF($IL$3:$IU$3,IQ$60,$IL$4:$IU$4))=0,0,((SUMIF($IL$3:$IU$3,IQ$60,$IL115:$IU115))/SUMIF($IL$3:$IU$3,IQ$60,$IL$4:$IU$4)))</f>
        <v>0</v>
      </c>
      <c r="IR66" s="196" t="n">
        <f aca="false">IF((SUMIF($IL$3:$IU$3,IR$60,$IL$4:$IU$4))=0,0,((SUMIF($IL$3:$IU$3,IR$60,$IL115:$IU115))/SUMIF($IL$3:$IU$3,IR$60,$IL$4:$IU$4)))</f>
        <v>0</v>
      </c>
      <c r="IS66" s="196" t="n">
        <f aca="false">IF((SUMIF($IL$3:$IU$3,IS$60,$IL$4:$IU$4))=0,0,((SUMIF($IL$3:$IU$3,IS$60,$IL115:$IU115))/SUMIF($IL$3:$IU$3,IS$60,$IL$4:$IU$4)))</f>
        <v>0</v>
      </c>
      <c r="IT66" s="196" t="n">
        <f aca="false">IF((SUMIF($IL$3:$IU$3,IT$60,$IL$4:$IU$4))=0,0,((SUMIF($IL$3:$IU$3,IT$60,$IL115:$IU115))/SUMIF($IL$3:$IU$3,IT$60,$IL$4:$IU$4)))</f>
        <v>0</v>
      </c>
      <c r="IU66" s="197" t="n">
        <f aca="false">IF((SUMIF($IL$3:$IU$3,IU$60,$IL$4:$IU$4))=0,0,((SUMIF($IL$3:$IU$3,IU$60,$IL115:$IU115))/SUMIF($IL$3:$IU$3,IU$60,$IL$4:$IU$4)))</f>
        <v>0</v>
      </c>
      <c r="IV66" s="194" t="str">
        <f aca="false">IK66</f>
        <v>Alumno5</v>
      </c>
      <c r="IW66" s="195" t="n">
        <f aca="false">IF((SUMIF($IW$3:$JF$3,IW$60,$IW$4:$JF$4))=0,0,((SUMIF($IW$3:$JF$3,IW$60,$IW115:$JF115))/SUMIF($IW$3:$JF$3,IW$60,$IW$4:$JF$4)))</f>
        <v>0</v>
      </c>
      <c r="IX66" s="196" t="n">
        <f aca="false">IF((SUMIF($IW$3:$JF$3,IX$60,$IW$4:$JF$4))=0,0,((SUMIF($IW$3:$JF$3,IX$60,$IW115:$JF115))/SUMIF($IW$3:$JF$3,IX$60,$IW$4:$JF$4)))</f>
        <v>0</v>
      </c>
      <c r="IY66" s="196" t="n">
        <f aca="false">IF((SUMIF($IW$3:$JF$3,IY$60,$IW$4:$JF$4))=0,0,((SUMIF($IW$3:$JF$3,IY$60,$IW115:$JF115))/SUMIF($IW$3:$JF$3,IY$60,$IW$4:$JF$4)))</f>
        <v>0</v>
      </c>
      <c r="IZ66" s="196" t="n">
        <f aca="false">IF((SUMIF($IW$3:$JF$3,IZ$60,$IW$4:$JF$4))=0,0,((SUMIF($IW$3:$JF$3,IZ$60,$IW115:$JF115))/SUMIF($IW$3:$JF$3,IZ$60,$IW$4:$JF$4)))</f>
        <v>0</v>
      </c>
      <c r="JA66" s="196" t="n">
        <f aca="false">IF((SUMIF($IW$3:$JF$3,JA$60,$IW$4:$JF$4))=0,0,((SUMIF($IW$3:$JF$3,JA$60,$IW115:$JF115))/SUMIF($IW$3:$JF$3,JA$60,$IW$4:$JF$4)))</f>
        <v>0</v>
      </c>
      <c r="JB66" s="196" t="n">
        <f aca="false">IF((SUMIF($IW$3:$JF$3,JB$60,$IW$4:$JF$4))=0,0,((SUMIF($IW$3:$JF$3,JB$60,$IW115:$JF115))/SUMIF($IW$3:$JF$3,JB$60,$IW$4:$JF$4)))</f>
        <v>0</v>
      </c>
      <c r="JC66" s="196" t="n">
        <f aca="false">IF((SUMIF($IW$3:$JF$3,JC$60,$IW$4:$JF$4))=0,0,((SUMIF($IW$3:$JF$3,JC$60,$IW115:$JF115))/SUMIF($IW$3:$JF$3,JC$60,$IW$4:$JF$4)))</f>
        <v>0</v>
      </c>
      <c r="JD66" s="196" t="n">
        <f aca="false">IF((SUMIF($IW$3:$JF$3,JD$60,$IW$4:$JF$4))=0,0,((SUMIF($IW$3:$JF$3,JD$60,$IW115:$JF115))/SUMIF($IW$3:$JF$3,JD$60,$IW$4:$JF$4)))</f>
        <v>0</v>
      </c>
      <c r="JE66" s="196" t="n">
        <f aca="false">IF((SUMIF($IW$3:$JF$3,JE$60,$IW$4:$JF$4))=0,0,((SUMIF($IW$3:$JF$3,JE$60,$IW115:$JF115))/SUMIF($IW$3:$JF$3,JE$60,$IW$4:$JF$4)))</f>
        <v>0</v>
      </c>
      <c r="JF66" s="197" t="n">
        <f aca="false">IF((SUMIF($IW$3:$JF$3,JF$60,$IW$4:$JF$4))=0,0,((SUMIF($IW$3:$JF$3,JF$60,$IW115:$JF115))/SUMIF($IW$3:$JF$3,JF$60,$IW$4:$JF$4)))</f>
        <v>0</v>
      </c>
      <c r="JG66" s="194" t="str">
        <f aca="false">IV66</f>
        <v>Alumno5</v>
      </c>
      <c r="JH66" s="195" t="n">
        <f aca="false">IF((SUMIF($JH$3:$JQ$3,JH$60,$JH$4:$JQ$4))=0,0,((SUMIF($JH$3:$JQ$3,JH$60,$JH115:$JQ115))/SUMIF($JH$3:$JQ$3,JH$60,$JH$4:$JQ$4)))</f>
        <v>0</v>
      </c>
      <c r="JI66" s="196" t="n">
        <f aca="false">IF((SUMIF($JH$3:$JQ$3,JI$60,$JH$4:$JQ$4))=0,0,((SUMIF($JH$3:$JQ$3,JI$60,$JH115:$JQ115))/SUMIF($JH$3:$JQ$3,JI$60,$JH$4:$JQ$4)))</f>
        <v>0</v>
      </c>
      <c r="JJ66" s="196" t="n">
        <f aca="false">IF((SUMIF($JH$3:$JQ$3,JJ$60,$JH$4:$JQ$4))=0,0,((SUMIF($JH$3:$JQ$3,JJ$60,$JH115:$JQ115))/SUMIF($JH$3:$JQ$3,JJ$60,$JH$4:$JQ$4)))</f>
        <v>0</v>
      </c>
      <c r="JK66" s="196" t="n">
        <f aca="false">IF((SUMIF($JH$3:$JQ$3,JK$60,$JH$4:$JQ$4))=0,0,((SUMIF($JH$3:$JQ$3,JK$60,$JH115:$JQ115))/SUMIF($JH$3:$JQ$3,JK$60,$JH$4:$JQ$4)))</f>
        <v>0</v>
      </c>
      <c r="JL66" s="196" t="n">
        <f aca="false">IF((SUMIF($JH$3:$JQ$3,JL$60,$JH$4:$JQ$4))=0,0,((SUMIF($JH$3:$JQ$3,JL$60,$JH115:$JQ115))/SUMIF($JH$3:$JQ$3,JL$60,$JH$4:$JQ$4)))</f>
        <v>0</v>
      </c>
      <c r="JM66" s="196" t="n">
        <f aca="false">IF((SUMIF($JH$3:$JQ$3,JM$60,$JH$4:$JQ$4))=0,0,((SUMIF($JH$3:$JQ$3,JM$60,$JH115:$JQ115))/SUMIF($JH$3:$JQ$3,JM$60,$JH$4:$JQ$4)))</f>
        <v>0</v>
      </c>
      <c r="JN66" s="196" t="n">
        <f aca="false">IF((SUMIF($JH$3:$JQ$3,JN$60,$JH$4:$JQ$4))=0,0,((SUMIF($JH$3:$JQ$3,JN$60,$JH115:$JQ115))/SUMIF($JH$3:$JQ$3,JN$60,$JH$4:$JQ$4)))</f>
        <v>0</v>
      </c>
      <c r="JO66" s="196" t="n">
        <f aca="false">IF((SUMIF($JH$3:$JQ$3,JO$60,$JH$4:$JQ$4))=0,0,((SUMIF($JH$3:$JQ$3,JO$60,$JH115:$JQ115))/SUMIF($JH$3:$JQ$3,JO$60,$JH$4:$JQ$4)))</f>
        <v>0</v>
      </c>
      <c r="JP66" s="196" t="n">
        <f aca="false">IF((SUMIF($JH$3:$JQ$3,JP$60,$JH$4:$JQ$4))=0,0,((SUMIF($JH$3:$JQ$3,JP$60,$JH115:$JQ115))/SUMIF($JH$3:$JQ$3,JP$60,$JH$4:$JQ$4)))</f>
        <v>0</v>
      </c>
      <c r="JQ66" s="197" t="n">
        <f aca="false">IF((SUMIF($JH$3:$JQ$3,JQ$60,$JH$4:$JQ$4))=0,0,((SUMIF($JH$3:$JQ$3,JQ$60,$JH115:$JQ115))/SUMIF($JH$3:$JQ$3,JQ$60,$JH$4:$JQ$4)))</f>
        <v>0</v>
      </c>
      <c r="JR66" s="194" t="str">
        <f aca="false">JG66</f>
        <v>Alumno5</v>
      </c>
      <c r="JS66" s="195" t="n">
        <f aca="false">IF((SUMIF($JS$3:$KB$3,JS$60,$JS$4:$KB$4))=0,0,((SUMIF($JS$3:$KB$3,JS$60,$JS115:$KB115))/SUMIF($JS$3:$KB$3,JS$60,$JS$4:$KB$4)))</f>
        <v>0</v>
      </c>
      <c r="JT66" s="196" t="n">
        <f aca="false">IF((SUMIF($JS$3:$KB$3,JT$60,$JS$4:$KB$4))=0,0,((SUMIF($JS$3:$KB$3,JT$60,$JS115:$KB115))/SUMIF($JS$3:$KB$3,JT$60,$JS$4:$KB$4)))</f>
        <v>0</v>
      </c>
      <c r="JU66" s="196" t="n">
        <f aca="false">IF((SUMIF($JS$3:$KB$3,JU$60,$JS$4:$KB$4))=0,0,((SUMIF($JS$3:$KB$3,JU$60,$JS115:$KB115))/SUMIF($JS$3:$KB$3,JU$60,$JS$4:$KB$4)))</f>
        <v>0</v>
      </c>
      <c r="JV66" s="196" t="n">
        <f aca="false">IF((SUMIF($JS$3:$KB$3,JV$60,$JS$4:$KB$4))=0,0,((SUMIF($JS$3:$KB$3,JV$60,$JS115:$KB115))/SUMIF($JS$3:$KB$3,JV$60,$JS$4:$KB$4)))</f>
        <v>0</v>
      </c>
      <c r="JW66" s="196" t="n">
        <f aca="false">IF((SUMIF($JS$3:$KB$3,JW$60,$JS$4:$KB$4))=0,0,((SUMIF($JS$3:$KB$3,JW$60,$JS115:$KB115))/SUMIF($JS$3:$KB$3,JW$60,$JS$4:$KB$4)))</f>
        <v>0</v>
      </c>
      <c r="JX66" s="196" t="n">
        <f aca="false">IF((SUMIF($JS$3:$KB$3,JX$60,$JS$4:$KB$4))=0,0,((SUMIF($JS$3:$KB$3,JX$60,$JS115:$KB115))/SUMIF($JS$3:$KB$3,JX$60,$JS$4:$KB$4)))</f>
        <v>0</v>
      </c>
      <c r="JY66" s="196" t="n">
        <f aca="false">IF((SUMIF($JS$3:$KB$3,JY$60,$JS$4:$KB$4))=0,0,((SUMIF($JS$3:$KB$3,JY$60,$JS115:$KB115))/SUMIF($JS$3:$KB$3,JY$60,$JS$4:$KB$4)))</f>
        <v>0</v>
      </c>
      <c r="JZ66" s="196" t="n">
        <f aca="false">IF((SUMIF($JS$3:$KB$3,JZ$60,$JS$4:$KB$4))=0,0,((SUMIF($JS$3:$KB$3,JZ$60,$JS115:$KB115))/SUMIF($JS$3:$KB$3,JZ$60,$JS$4:$KB$4)))</f>
        <v>0</v>
      </c>
      <c r="KA66" s="196" t="n">
        <f aca="false">IF((SUMIF($JS$3:$KB$3,KA$60,$JS$4:$KB$4))=0,0,((SUMIF($JS$3:$KB$3,KA$60,$JS115:$KB115))/SUMIF($JS$3:$KB$3,KA$60,$JS$4:$KB$4)))</f>
        <v>0</v>
      </c>
      <c r="KB66" s="197" t="n">
        <f aca="false">IF((SUMIF($JS$3:$KB$3,KB$60,$JS$4:$KB$4))=0,0,((SUMIF($JS$3:$KB$3,KB$60,$JS115:$KB115))/SUMIF($JS$3:$KB$3,KB$60,$JS$4:$KB$4)))</f>
        <v>0</v>
      </c>
      <c r="KC66" s="194" t="str">
        <f aca="false">JR66</f>
        <v>Alumno5</v>
      </c>
      <c r="KD66" s="195" t="n">
        <f aca="false">IF((SUMIF($KD$3:$KM$3,KD$60,$KD$4:$KM$4))=0,0,((SUMIF($KD$3:$KM$3,KD$60,$KD115:$KM115))/SUMIF($KD$3:$KM$3,KD$60,$KD$4:$KM$4)))</f>
        <v>0</v>
      </c>
      <c r="KE66" s="196" t="n">
        <f aca="false">IF((SUMIF($KD$3:$KM$3,KE$60,$KD$4:$KM$4))=0,0,((SUMIF($KD$3:$KM$3,KE$60,$KD115:$KM115))/SUMIF($KD$3:$KM$3,KE$60,$KD$4:$KM$4)))</f>
        <v>0</v>
      </c>
      <c r="KF66" s="196" t="n">
        <f aca="false">IF((SUMIF($KD$3:$KM$3,KF$60,$KD$4:$KM$4))=0,0,((SUMIF($KD$3:$KM$3,KF$60,$KD115:$KM115))/SUMIF($KD$3:$KM$3,KF$60,$KD$4:$KM$4)))</f>
        <v>0</v>
      </c>
      <c r="KG66" s="196" t="n">
        <f aca="false">IF((SUMIF($KD$3:$KM$3,KG$60,$KD$4:$KM$4))=0,0,((SUMIF($KD$3:$KM$3,KG$60,$KD115:$KM115))/SUMIF($KD$3:$KM$3,KG$60,$KD$4:$KM$4)))</f>
        <v>0</v>
      </c>
      <c r="KH66" s="196" t="n">
        <f aca="false">IF((SUMIF($KD$3:$KM$3,KH$60,$KD$4:$KM$4))=0,0,((SUMIF($KD$3:$KM$3,KH$60,$KD115:$KM115))/SUMIF($KD$3:$KM$3,KH$60,$KD$4:$KM$4)))</f>
        <v>0</v>
      </c>
      <c r="KI66" s="196" t="n">
        <f aca="false">IF((SUMIF($KD$3:$KM$3,KI$60,$KD$4:$KM$4))=0,0,((SUMIF($KD$3:$KM$3,KI$60,$KD115:$KM115))/SUMIF($KD$3:$KM$3,KI$60,$KD$4:$KM$4)))</f>
        <v>0</v>
      </c>
      <c r="KJ66" s="196" t="n">
        <f aca="false">IF((SUMIF($KD$3:$KM$3,KJ$60,$KD$4:$KM$4))=0,0,((SUMIF($KD$3:$KM$3,KJ$60,$KD115:$KM115))/SUMIF($KD$3:$KM$3,KJ$60,$KD$4:$KM$4)))</f>
        <v>0</v>
      </c>
      <c r="KK66" s="196" t="n">
        <f aca="false">IF((SUMIF($KD$3:$KM$3,KK$60,$KD$4:$KM$4))=0,0,((SUMIF($KD$3:$KM$3,KK$60,$KD115:$KM115))/SUMIF($KD$3:$KM$3,KK$60,$KD$4:$KM$4)))</f>
        <v>0</v>
      </c>
      <c r="KL66" s="196" t="n">
        <f aca="false">IF((SUMIF($KD$3:$KM$3,KL$60,$KD$4:$KM$4))=0,0,((SUMIF($KD$3:$KM$3,KL$60,$KD115:$KM115))/SUMIF($KD$3:$KM$3,KL$60,$KD$4:$KM$4)))</f>
        <v>0</v>
      </c>
      <c r="KM66" s="197" t="n">
        <f aca="false">IF((SUMIF($KD$3:$KM$3,KM$60,$KD$4:$KM$4))=0,0,((SUMIF($KD$3:$KM$3,KM$60,$KD115:$KM115))/SUMIF($KD$3:$KM$3,KM$60,$KD$4:$KM$4)))</f>
        <v>0</v>
      </c>
      <c r="KN66" s="194" t="str">
        <f aca="false">KC66</f>
        <v>Alumno5</v>
      </c>
      <c r="KO66" s="195" t="n">
        <f aca="false">IF((SUMIF($KO$3:$KX$3,KO$60,$KO$4:$KX$4))=0,0,((SUMIF($KO$3:$KX$3,KO$60,$KO115:$KX115))/SUMIF($KO$3:$KX$3,KO$60,$KO$4:$KX$4)))</f>
        <v>0</v>
      </c>
      <c r="KP66" s="196" t="n">
        <f aca="false">IF((SUMIF($KO$3:$KX$3,KP$60,$KO$4:$KX$4))=0,0,((SUMIF($KO$3:$KX$3,KP$60,$KO115:$KX115))/SUMIF($KO$3:$KX$3,KP$60,$KO$4:$KX$4)))</f>
        <v>0</v>
      </c>
      <c r="KQ66" s="196" t="n">
        <f aca="false">IF((SUMIF($KO$3:$KX$3,KQ$60,$KO$4:$KX$4))=0,0,((SUMIF($KO$3:$KX$3,KQ$60,$KO115:$KX115))/SUMIF($KO$3:$KX$3,KQ$60,$KO$4:$KX$4)))</f>
        <v>0</v>
      </c>
      <c r="KR66" s="196" t="n">
        <f aca="false">IF((SUMIF($KO$3:$KX$3,KR$60,$KO$4:$KX$4))=0,0,((SUMIF($KO$3:$KX$3,KR$60,$KO115:$KX115))/SUMIF($KO$3:$KX$3,KR$60,$KO$4:$KX$4)))</f>
        <v>0</v>
      </c>
      <c r="KS66" s="196" t="n">
        <f aca="false">IF((SUMIF($KO$3:$KX$3,KS$60,$KO$4:$KX$4))=0,0,((SUMIF($KO$3:$KX$3,KS$60,$KO115:$KX115))/SUMIF($KO$3:$KX$3,KS$60,$KO$4:$KX$4)))</f>
        <v>0</v>
      </c>
      <c r="KT66" s="196" t="n">
        <f aca="false">IF((SUMIF($KO$3:$KX$3,KT$60,$KO$4:$KX$4))=0,0,((SUMIF($KO$3:$KX$3,KT$60,$KO115:$KX115))/SUMIF($KO$3:$KX$3,KT$60,$KO$4:$KX$4)))</f>
        <v>0</v>
      </c>
      <c r="KU66" s="196" t="n">
        <f aca="false">IF((SUMIF($KO$3:$KX$3,KU$60,$KO$4:$KX$4))=0,0,((SUMIF($KO$3:$KX$3,KU$60,$KO115:$KX115))/SUMIF($KO$3:$KX$3,KU$60,$KO$4:$KX$4)))</f>
        <v>0</v>
      </c>
      <c r="KV66" s="196" t="n">
        <f aca="false">IF((SUMIF($KO$3:$KX$3,KV$60,$KO$4:$KX$4))=0,0,((SUMIF($KO$3:$KX$3,KV$60,$KO115:$KX115))/SUMIF($KO$3:$KX$3,KV$60,$KO$4:$KX$4)))</f>
        <v>0</v>
      </c>
      <c r="KW66" s="196" t="n">
        <f aca="false">IF((SUMIF($KO$3:$KX$3,KW$60,$KO$4:$KX$4))=0,0,((SUMIF($KO$3:$KX$3,KW$60,$KO115:$KX115))/SUMIF($KO$3:$KX$3,KW$60,$KO$4:$KX$4)))</f>
        <v>0</v>
      </c>
      <c r="KX66" s="197" t="n">
        <f aca="false">IF((SUMIF($KO$3:$KX$3,KX$60,$KO$4:$KX$4))=0,0,((SUMIF($KO$3:$KX$3,KX$60,$KO115:$KX115))/SUMIF($KO$3:$KX$3,KX$60,$KO$4:$KX$4)))</f>
        <v>0</v>
      </c>
      <c r="KY66" s="194" t="str">
        <f aca="false">KN66</f>
        <v>Alumno5</v>
      </c>
      <c r="KZ66" s="195" t="n">
        <f aca="false">IF((SUMIF($KZ$3:$LI$3,KZ$60,$KZ$4:$LI$4))=0,0,((SUMIF($KZ$3:$LI$3,KZ$60,$KZ115:$LI115))/SUMIF($KZ$3:$LI$3,KZ$60,$KZ$4:$LI$4)))</f>
        <v>0</v>
      </c>
      <c r="LA66" s="196" t="n">
        <f aca="false">IF((SUMIF($KZ$3:$LI$3,LA$60,$KZ$4:$LI$4))=0,0,((SUMIF($KZ$3:$LI$3,LA$60,$KZ115:$LI115))/SUMIF($KZ$3:$LI$3,LA$60,$KZ$4:$LI$4)))</f>
        <v>0</v>
      </c>
      <c r="LB66" s="196" t="n">
        <f aca="false">IF((SUMIF($KZ$3:$LI$3,LB$60,$KZ$4:$LI$4))=0,0,((SUMIF($KZ$3:$LI$3,LB$60,$KZ115:$LI115))/SUMIF($KZ$3:$LI$3,LB$60,$KZ$4:$LI$4)))</f>
        <v>0</v>
      </c>
      <c r="LC66" s="196" t="n">
        <f aca="false">IF((SUMIF($KZ$3:$LI$3,LC$60,$KZ$4:$LI$4))=0,0,((SUMIF($KZ$3:$LI$3,LC$60,$KZ115:$LI115))/SUMIF($KZ$3:$LI$3,LC$60,$KZ$4:$LI$4)))</f>
        <v>0</v>
      </c>
      <c r="LD66" s="196" t="n">
        <f aca="false">IF((SUMIF($KZ$3:$LI$3,LD$60,$KZ$4:$LI$4))=0,0,((SUMIF($KZ$3:$LI$3,LD$60,$KZ115:$LI115))/SUMIF($KZ$3:$LI$3,LD$60,$KZ$4:$LI$4)))</f>
        <v>0</v>
      </c>
      <c r="LE66" s="196" t="n">
        <f aca="false">IF((SUMIF($KZ$3:$LI$3,LE$60,$KZ$4:$LI$4))=0,0,((SUMIF($KZ$3:$LI$3,LE$60,$KZ115:$LI115))/SUMIF($KZ$3:$LI$3,LE$60,$KZ$4:$LI$4)))</f>
        <v>0</v>
      </c>
      <c r="LF66" s="196" t="n">
        <f aca="false">IF((SUMIF($KZ$3:$LI$3,LF$60,$KZ$4:$LI$4))=0,0,((SUMIF($KZ$3:$LI$3,LF$60,$KZ115:$LI115))/SUMIF($KZ$3:$LI$3,LF$60,$KZ$4:$LI$4)))</f>
        <v>0</v>
      </c>
      <c r="LG66" s="196" t="n">
        <f aca="false">IF((SUMIF($KZ$3:$LI$3,LG$60,$KZ$4:$LI$4))=0,0,((SUMIF($KZ$3:$LI$3,LG$60,$KZ115:$LI115))/SUMIF($KZ$3:$LI$3,LG$60,$KZ$4:$LI$4)))</f>
        <v>0</v>
      </c>
      <c r="LH66" s="196" t="n">
        <f aca="false">IF((SUMIF($KZ$3:$LI$3,LH$60,$KZ$4:$LI$4))=0,0,((SUMIF($KZ$3:$LI$3,LH$60,$KZ115:$LI115))/SUMIF($KZ$3:$LI$3,LH$60,$KZ$4:$LI$4)))</f>
        <v>0</v>
      </c>
      <c r="LI66" s="197" t="n">
        <f aca="false">IF((SUMIF($KZ$3:$LI$3,LI$60,$KZ$4:$LI$4))=0,0,((SUMIF($KZ$3:$LI$3,LI$60,$KZ115:$LI115))/SUMIF($KZ$3:$LI$3,LI$60,$KZ$4:$LI$4)))</f>
        <v>0</v>
      </c>
      <c r="LJ66" s="194" t="str">
        <f aca="false">KY66</f>
        <v>Alumno5</v>
      </c>
      <c r="LK66" s="195" t="n">
        <f aca="false">IF((SUMIF($LK$3:$LT$3,LK$60,$LK$4:$LT$4))=0,0,((SUMIF($LK$3:$LT$3,LK$60,$LK115:$LT115))/SUMIF($LK$3:$LT$3,LK$60,$LK$4:$LT$4)))</f>
        <v>0</v>
      </c>
      <c r="LL66" s="196" t="n">
        <f aca="false">IF((SUMIF($LK$3:$LT$3,LL$60,$LK$4:$LT$4))=0,0,((SUMIF($LK$3:$LT$3,LL$60,$LK115:$LT115))/SUMIF($LK$3:$LT$3,LL$60,$LK$4:$LT$4)))</f>
        <v>0</v>
      </c>
      <c r="LM66" s="196" t="n">
        <f aca="false">IF((SUMIF($LK$3:$LT$3,LM$60,$LK$4:$LT$4))=0,0,((SUMIF($LK$3:$LT$3,LM$60,$LK115:$LT115))/SUMIF($LK$3:$LT$3,LM$60,$LK$4:$LT$4)))</f>
        <v>0</v>
      </c>
      <c r="LN66" s="196" t="n">
        <f aca="false">IF((SUMIF($LK$3:$LT$3,LN$60,$LK$4:$LT$4))=0,0,((SUMIF($LK$3:$LT$3,LN$60,$LK115:$LT115))/SUMIF($LK$3:$LT$3,LN$60,$LK$4:$LT$4)))</f>
        <v>0</v>
      </c>
      <c r="LO66" s="196" t="n">
        <f aca="false">IF((SUMIF($LK$3:$LT$3,LO$60,$LK$4:$LT$4))=0,0,((SUMIF($LK$3:$LT$3,LO$60,$LK115:$LT115))/SUMIF($LK$3:$LT$3,LO$60,$LK$4:$LT$4)))</f>
        <v>0</v>
      </c>
      <c r="LP66" s="196" t="n">
        <f aca="false">IF((SUMIF($LK$3:$LT$3,LP$60,$LK$4:$LT$4))=0,0,((SUMIF($LK$3:$LT$3,LP$60,$LK115:$LT115))/SUMIF($LK$3:$LT$3,LP$60,$LK$4:$LT$4)))</f>
        <v>0</v>
      </c>
      <c r="LQ66" s="196" t="n">
        <f aca="false">IF((SUMIF($LK$3:$LT$3,LQ$60,$LK$4:$LT$4))=0,0,((SUMIF($LK$3:$LT$3,LQ$60,$LK115:$LT115))/SUMIF($LK$3:$LT$3,LQ$60,$LK$4:$LT$4)))</f>
        <v>0</v>
      </c>
      <c r="LR66" s="196" t="n">
        <f aca="false">IF((SUMIF($LK$3:$LT$3,LR$60,$LK$4:$LT$4))=0,0,((SUMIF($LK$3:$LT$3,LR$60,$LK115:$LT115))/SUMIF($LK$3:$LT$3,LR$60,$LK$4:$LT$4)))</f>
        <v>0</v>
      </c>
      <c r="LS66" s="196" t="n">
        <f aca="false">IF((SUMIF($LK$3:$LT$3,LS$60,$LK$4:$LT$4))=0,0,((SUMIF($LK$3:$LT$3,LS$60,$LK115:$LT115))/SUMIF($LK$3:$LT$3,LS$60,$LK$4:$LT$4)))</f>
        <v>0</v>
      </c>
      <c r="LT66" s="197" t="n">
        <f aca="false">IF((SUMIF($LK$3:$LT$3,LT$60,$LK$4:$LT$4))=0,0,((SUMIF($LK$3:$LT$3,LT$60,$LK115:$LT115))/SUMIF($LK$3:$LT$3,LT$60,$LK$4:$LT$4)))</f>
        <v>0</v>
      </c>
    </row>
    <row r="67" customFormat="false" ht="15" hidden="true" customHeight="false" outlineLevel="0" collapsed="false">
      <c r="C67" s="194" t="str">
        <f aca="false">B11</f>
        <v>Alumno6</v>
      </c>
      <c r="D67" s="195" t="n">
        <f aca="false">IF((SUMIF($D$3:$M$3,D$60,$D$4:$M$4))=0,0,((SUMIF($D$3:$M$3,D$60,$D116:$M116))/SUMIF($D$3:$M$3,D$60,$D$4:$M$4)))</f>
        <v>9.55</v>
      </c>
      <c r="E67" s="196" t="n">
        <f aca="false">IF((SUMIF($D$3:$M$3,E$60,$D$4:$M$4))=0,0,((SUMIF($D$3:$M$3,E$60,$D116:$M116))/SUMIF($D$3:$M$3,E$60,$D$4:$M$4)))</f>
        <v>0</v>
      </c>
      <c r="F67" s="196" t="n">
        <f aca="false">IF((SUMIF($D$3:$M$3,F$60,$D$4:$M$4))=0,0,((SUMIF($D$3:$M$3,F$60,$D116:$M116))/SUMIF($D$3:$M$3,F$60,$D$4:$M$4)))</f>
        <v>0</v>
      </c>
      <c r="G67" s="196" t="n">
        <f aca="false">IF((SUMIF($D$3:$M$3,G$60,$D$4:$M$4))=0,0,((SUMIF($D$3:$M$3,G$60,$D116:$M116))/SUMIF($D$3:$M$3,G$60,$D$4:$M$4)))</f>
        <v>0</v>
      </c>
      <c r="H67" s="196" t="n">
        <f aca="false">IF((SUMIF($D$3:$M$3,H$60,$D$4:$M$4))=0,0,((SUMIF($D$3:$M$3,H$60,$D116:$M116))/SUMIF($D$3:$M$3,H$60,$D$4:$M$4)))</f>
        <v>0</v>
      </c>
      <c r="I67" s="196" t="n">
        <f aca="false">IF((SUMIF($D$3:$M$3,I$60,$D$4:$M$4))=0,0,((SUMIF($D$3:$M$3,I$60,$D116:$M116))/SUMIF($D$3:$M$3,I$60,$D$4:$M$4)))</f>
        <v>0</v>
      </c>
      <c r="J67" s="196" t="n">
        <f aca="false">IF((SUMIF($D$3:$M$3,J$60,$D$4:$M$4))=0,0,((SUMIF($D$3:$M$3,J$60,$D116:$M116))/SUMIF($D$3:$M$3,J$60,$D$4:$M$4)))</f>
        <v>0</v>
      </c>
      <c r="K67" s="196" t="n">
        <f aca="false">IF((SUMIF($D$3:$M$3,K$60,$D$4:$M$4))=0,0,((SUMIF($D$3:$M$3,K$60,$D116:$M116))/SUMIF($D$3:$M$3,K$60,$D$4:$M$4)))</f>
        <v>0</v>
      </c>
      <c r="L67" s="196" t="n">
        <f aca="false">IF((SUMIF($D$3:$M$3,L$60,$D$4:$M$4))=0,0,((SUMIF($D$3:$M$3,L$60,$D116:$M116))/SUMIF($D$3:$M$3,L$60,$D$4:$M$4)))</f>
        <v>0</v>
      </c>
      <c r="M67" s="197" t="n">
        <f aca="false">IF((SUMIF($D$3:$M$3,M$60,$D$4:$M$4))=0,0,((SUMIF($D$3:$M$3,M$60,$D116:$M116))/SUMIF($D$3:$M$3,M$60,$D$4:$M$4)))</f>
        <v>0</v>
      </c>
      <c r="N67" s="194" t="str">
        <f aca="false">C67</f>
        <v>Alumno6</v>
      </c>
      <c r="O67" s="195" t="n">
        <f aca="false">IF((SUMIF($O$3:$X$3,O$60,$O$4:$X$4))=0,0,((SUMIF($O$3:$X$3,O$60,$O116:$X116))/SUMIF($O$3:$X$3,O$60,$O$4:$X$4)))</f>
        <v>9.5</v>
      </c>
      <c r="P67" s="196" t="n">
        <f aca="false">IF((SUMIF($O$3:$X$3,P$60,$O$4:$X$4))=0,0,((SUMIF($O$3:$X$3,P$60,$O116:$X116))/SUMIF($O$3:$X$3,P$60,$O$4:$X$4)))</f>
        <v>10</v>
      </c>
      <c r="Q67" s="196" t="n">
        <f aca="false">IF((SUMIF($O$3:$X$3,Q$60,$O$4:$X$4))=0,0,((SUMIF($O$3:$X$3,Q$60,$O116:$X116))/SUMIF($O$3:$X$3,Q$60,$O$4:$X$4)))</f>
        <v>0</v>
      </c>
      <c r="R67" s="196" t="n">
        <f aca="false">IF((SUMIF($O$3:$X$3,R$60,$O$4:$X$4))=0,0,((SUMIF($O$3:$X$3,R$60,$O116:$X116))/SUMIF($O$3:$X$3,R$60,$O$4:$X$4)))</f>
        <v>0</v>
      </c>
      <c r="S67" s="196" t="n">
        <f aca="false">IF((SUMIF($O$3:$X$3,S$60,$O$4:$X$4))=0,0,((SUMIF($O$3:$X$3,S$60,$O116:$X116))/SUMIF($O$3:$X$3,S$60,$O$4:$X$4)))</f>
        <v>0</v>
      </c>
      <c r="T67" s="196" t="n">
        <f aca="false">IF((SUMIF($O$3:$X$3,T$60,$O$4:$X$4))=0,0,((SUMIF($O$3:$X$3,T$60,$O116:$X116))/SUMIF($O$3:$X$3,T$60,$O$4:$X$4)))</f>
        <v>0</v>
      </c>
      <c r="U67" s="196" t="n">
        <f aca="false">IF((SUMIF($O$3:$X$3,U$60,$O$4:$X$4))=0,0,((SUMIF($O$3:$X$3,U$60,$O116:$X116))/SUMIF($O$3:$X$3,U$60,$O$4:$X$4)))</f>
        <v>0</v>
      </c>
      <c r="V67" s="196" t="n">
        <f aca="false">IF((SUMIF($O$3:$X$3,V$60,$O$4:$X$4))=0,0,((SUMIF($O$3:$X$3,V$60,$O116:$X116))/SUMIF($O$3:$X$3,V$60,$O$4:$X$4)))</f>
        <v>0</v>
      </c>
      <c r="W67" s="196" t="n">
        <f aca="false">IF((SUMIF($O$3:$X$3,W$60,$O$4:$X$4))=0,0,((SUMIF($O$3:$X$3,W$60,$O116:$X116))/SUMIF($O$3:$X$3,W$60,$O$4:$X$4)))</f>
        <v>0</v>
      </c>
      <c r="X67" s="197" t="n">
        <f aca="false">IF((SUMIF($O$3:$X$3,X$60,$O$4:$X$4))=0,0,((SUMIF($O$3:$X$3,X$60,$O116:$X116))/SUMIF($O$3:$X$3,X$60,$O$4:$X$4)))</f>
        <v>0</v>
      </c>
      <c r="Y67" s="194" t="str">
        <f aca="false">N67</f>
        <v>Alumno6</v>
      </c>
      <c r="Z67" s="195" t="n">
        <f aca="false">IF((SUMIF($Z$3:$AI$3,Z$60,$Z$4:$AI$4))=0,0,((SUMIF($Z$3:$AI$3,Z$60,$Z116:$AI116))/SUMIF($Z$3:$AI$3,Z$60,$Z$4:$AI$4)))</f>
        <v>9.5</v>
      </c>
      <c r="AA67" s="196" t="n">
        <f aca="false">IF((SUMIF($Z$3:$AI$3,AA$60,$Z$4:$AI$4))=0,0,((SUMIF($Z$3:$AI$3,AA$60,$Z116:$AI116))/SUMIF($Z$3:$AI$3,AA$60,$Z$4:$AI$4)))</f>
        <v>9.5</v>
      </c>
      <c r="AB67" s="196" t="n">
        <f aca="false">IF((SUMIF($Z$3:$AI$3,AB$60,$Z$4:$AI$4))=0,0,((SUMIF($Z$3:$AI$3,AB$60,$Z116:$AI116))/SUMIF($Z$3:$AI$3,AB$60,$Z$4:$AI$4)))</f>
        <v>10</v>
      </c>
      <c r="AC67" s="196" t="n">
        <f aca="false">IF((SUMIF($Z$3:$AI$3,AC$60,$Z$4:$AI$4))=0,0,((SUMIF($Z$3:$AI$3,AC$60,$Z116:$AI116))/SUMIF($Z$3:$AI$3,AC$60,$Z$4:$AI$4)))</f>
        <v>0</v>
      </c>
      <c r="AD67" s="196" t="n">
        <f aca="false">IF((SUMIF($Z$3:$AI$3,AD$60,$Z$4:$AI$4))=0,0,((SUMIF($Z$3:$AI$3,AD$60,$Z116:$AI116))/SUMIF($Z$3:$AI$3,AD$60,$Z$4:$AI$4)))</f>
        <v>0</v>
      </c>
      <c r="AE67" s="196" t="n">
        <f aca="false">IF((SUMIF($Z$3:$AI$3,AE$60,$Z$4:$AI$4))=0,0,((SUMIF($Z$3:$AI$3,AE$60,$Z116:$AI116))/SUMIF($Z$3:$AI$3,AE$60,$Z$4:$AI$4)))</f>
        <v>0</v>
      </c>
      <c r="AF67" s="196" t="n">
        <f aca="false">IF((SUMIF($Z$3:$AI$3,AF$60,$Z$4:$AI$4))=0,0,((SUMIF($Z$3:$AI$3,AF$60,$Z116:$AI116))/SUMIF($Z$3:$AI$3,AF$60,$Z$4:$AI$4)))</f>
        <v>0</v>
      </c>
      <c r="AG67" s="196" t="n">
        <f aca="false">IF((SUMIF($Z$3:$AI$3,AG$60,$Z$4:$AI$4))=0,0,((SUMIF($Z$3:$AI$3,AG$60,$Z116:$AI116))/SUMIF($Z$3:$AI$3,AG$60,$Z$4:$AI$4)))</f>
        <v>0</v>
      </c>
      <c r="AH67" s="196" t="n">
        <f aca="false">IF((SUMIF($Z$3:$AI$3,AH$60,$Z$4:$AI$4))=0,0,((SUMIF($Z$3:$AI$3,AH$60,$Z116:$AI116))/SUMIF($Z$3:$AI$3,AH$60,$Z$4:$AI$4)))</f>
        <v>0</v>
      </c>
      <c r="AI67" s="197" t="n">
        <f aca="false">IF((SUMIF($Z$3:$AI$3,AI$60,$Z$4:$AI$4))=0,0,((SUMIF($Z$3:$AI$3,AI$60,$Z116:$AI116))/SUMIF($Z$3:$AI$3,AI$60,$Z$4:$AI$4)))</f>
        <v>0</v>
      </c>
      <c r="AJ67" s="194" t="str">
        <f aca="false">Y67</f>
        <v>Alumno6</v>
      </c>
      <c r="AK67" s="195" t="n">
        <f aca="false">IF((SUMIF($AK$3:$AT$3,AK$60,$AK$4:$AT$4))=0,0,((SUMIF($AK$3:$AT$3,AK$60,$AK116:$AT116))/SUMIF($AK$3:$AT$3,AK$60,$AK$4:$AT$4)))</f>
        <v>10</v>
      </c>
      <c r="AL67" s="196" t="n">
        <f aca="false">IF((SUMIF($AK$3:$AT$3,AL$60,$AK$4:$AT$4))=0,0,((SUMIF($AK$3:$AT$3,AL$60,$AK116:$AT116))/SUMIF($AK$3:$AT$3,AL$60,$AK$4:$AT$4)))</f>
        <v>9.5</v>
      </c>
      <c r="AM67" s="196" t="n">
        <f aca="false">IF((SUMIF($AK$3:$AT$3,AM$60,$AK$4:$AT$4))=0,0,((SUMIF($AK$3:$AT$3,AM$60,$AK116:$AT116))/SUMIF($AK$3:$AT$3,AM$60,$AK$4:$AT$4)))</f>
        <v>9.5</v>
      </c>
      <c r="AN67" s="196" t="n">
        <f aca="false">IF((SUMIF($AK$3:$AT$3,AN$60,$AK$4:$AT$4))=0,0,((SUMIF($AK$3:$AT$3,AN$60,$AK116:$AT116))/SUMIF($AK$3:$AT$3,AN$60,$AK$4:$AT$4)))</f>
        <v>0</v>
      </c>
      <c r="AO67" s="196" t="n">
        <f aca="false">IF((SUMIF($AK$3:$AT$3,AO$60,$AK$4:$AT$4))=0,0,((SUMIF($AK$3:$AT$3,AO$60,$AK116:$AT116))/SUMIF($AK$3:$AT$3,AO$60,$AK$4:$AT$4)))</f>
        <v>0</v>
      </c>
      <c r="AP67" s="196" t="n">
        <f aca="false">IF((SUMIF($AK$3:$AT$3,AP$60,$AK$4:$AT$4))=0,0,((SUMIF($AK$3:$AT$3,AP$60,$AK116:$AT116))/SUMIF($AK$3:$AT$3,AP$60,$AK$4:$AT$4)))</f>
        <v>0</v>
      </c>
      <c r="AQ67" s="196" t="n">
        <f aca="false">IF((SUMIF($AK$3:$AT$3,AQ$60,$AK$4:$AT$4))=0,0,((SUMIF($AK$3:$AT$3,AQ$60,$AK116:$AT116))/SUMIF($AK$3:$AT$3,AQ$60,$AK$4:$AT$4)))</f>
        <v>0</v>
      </c>
      <c r="AR67" s="196" t="n">
        <f aca="false">IF((SUMIF($AK$3:$AT$3,AR$60,$AK$4:$AT$4))=0,0,((SUMIF($AK$3:$AT$3,AR$60,$AK116:$AT116))/SUMIF($AK$3:$AT$3,AR$60,$AK$4:$AT$4)))</f>
        <v>0</v>
      </c>
      <c r="AS67" s="196" t="n">
        <f aca="false">IF((SUMIF($AK$3:$AT$3,AS$60,$AK$4:$AT$4))=0,0,((SUMIF($AK$3:$AT$3,AS$60,$AK116:$AT116))/SUMIF($AK$3:$AT$3,AS$60,$AK$4:$AT$4)))</f>
        <v>0</v>
      </c>
      <c r="AT67" s="197" t="n">
        <f aca="false">IF((SUMIF($AK$3:$AT$3,AT$60,$AK$4:$AT$4))=0,0,((SUMIF($AK$3:$AT$3,AT$60,$AK116:$AT116))/SUMIF($AK$3:$AT$3,AT$60,$AK$4:$AT$4)))</f>
        <v>0</v>
      </c>
      <c r="AU67" s="194" t="str">
        <f aca="false">AJ67</f>
        <v>Alumno6</v>
      </c>
      <c r="AV67" s="195" t="n">
        <f aca="false">IF((SUMIF($AV$3:$BE$3,AV$60,$AV$4:$BE$4))=0,0,((SUMIF($AV$3:$BE$3,AV$60,$AV116:$BE116))/SUMIF($AV$3:$BE$3,AV$60,$AV$4:$BE$4)))</f>
        <v>9</v>
      </c>
      <c r="AW67" s="196" t="n">
        <f aca="false">IF((SUMIF($AV$3:$BE$3,AW$60,$AV$4:$BE$4))=0,0,((SUMIF($AV$3:$BE$3,AW$60,$AV116:$BE116))/SUMIF($AV$3:$BE$3,AW$60,$AV$4:$BE$4)))</f>
        <v>10</v>
      </c>
      <c r="AX67" s="196" t="n">
        <f aca="false">IF((SUMIF($AV$3:$BE$3,AX$60,$AV$4:$BE$4))=0,0,((SUMIF($AV$3:$BE$3,AX$60,$AV116:$BE116))/SUMIF($AV$3:$BE$3,AX$60,$AV$4:$BE$4)))</f>
        <v>10</v>
      </c>
      <c r="AY67" s="196" t="n">
        <f aca="false">IF((SUMIF($AV$3:$BE$3,AY$60,$AV$4:$BE$4))=0,0,((SUMIF($AV$3:$BE$3,AY$60,$AV116:$BE116))/SUMIF($AV$3:$BE$3,AY$60,$AV$4:$BE$4)))</f>
        <v>9</v>
      </c>
      <c r="AZ67" s="196" t="n">
        <f aca="false">IF((SUMIF($AV$3:$BE$3,AZ$60,$AV$4:$BE$4))=0,0,((SUMIF($AV$3:$BE$3,AZ$60,$AV116:$BE116))/SUMIF($AV$3:$BE$3,AZ$60,$AV$4:$BE$4)))</f>
        <v>0</v>
      </c>
      <c r="BA67" s="196" t="n">
        <f aca="false">IF((SUMIF($AV$3:$BE$3,BA$60,$AV$4:$BE$4))=0,0,((SUMIF($AV$3:$BE$3,BA$60,$AV116:$BE116))/SUMIF($AV$3:$BE$3,BA$60,$AV$4:$BE$4)))</f>
        <v>0</v>
      </c>
      <c r="BB67" s="196" t="n">
        <f aca="false">IF((SUMIF($AV$3:$BE$3,BB$60,$AV$4:$BE$4))=0,0,((SUMIF($AV$3:$BE$3,BB$60,$AV116:$BE116))/SUMIF($AV$3:$BE$3,BB$60,$AV$4:$BE$4)))</f>
        <v>0</v>
      </c>
      <c r="BC67" s="196" t="n">
        <f aca="false">IF((SUMIF($AV$3:$BE$3,BC$60,$AV$4:$BE$4))=0,0,((SUMIF($AV$3:$BE$3,BC$60,$AV116:$BE116))/SUMIF($AV$3:$BE$3,BC$60,$AV$4:$BE$4)))</f>
        <v>0</v>
      </c>
      <c r="BD67" s="196" t="n">
        <f aca="false">IF((SUMIF($AV$3:$BE$3,BD$60,$AV$4:$BE$4))=0,0,((SUMIF($AV$3:$BE$3,BD$60,$AV116:$BE116))/SUMIF($AV$3:$BE$3,BD$60,$AV$4:$BE$4)))</f>
        <v>0</v>
      </c>
      <c r="BE67" s="197" t="n">
        <f aca="false">IF((SUMIF($AV$3:$BE$3,BE$60,$AV$4:$BE$4))=0,0,((SUMIF($AV$3:$BE$3,BE$60,$AV116:$BE116))/SUMIF($AV$3:$BE$3,BE$60,$AV$4:$BE$4)))</f>
        <v>0</v>
      </c>
      <c r="BF67" s="194" t="str">
        <f aca="false">AU67</f>
        <v>Alumno6</v>
      </c>
      <c r="BG67" s="195" t="n">
        <f aca="false">IF((SUMIF($BG$3:$BP$3,BG$60,$BG$4:$BP$4))=0,0,((SUMIF($BG$3:$BP$3,BG$60,$BG116:$BP116))/SUMIF($BG$3:$BP$3,BG$60,$BG$4:$BP$4)))</f>
        <v>9</v>
      </c>
      <c r="BH67" s="196" t="n">
        <f aca="false">IF((SUMIF($BG$3:$BP$3,BH$60,$BG$4:$BP$4))=0,0,((SUMIF($BG$3:$BP$3,BH$60,$BG116:$BP116))/SUMIF($BG$3:$BP$3,BH$60,$BG$4:$BP$4)))</f>
        <v>10</v>
      </c>
      <c r="BI67" s="196" t="n">
        <f aca="false">IF((SUMIF($BG$3:$BP$3,BI$60,$BG$4:$BP$4))=0,0,((SUMIF($BG$3:$BP$3,BI$60,$BG116:$BP116))/SUMIF($BG$3:$BP$3,BI$60,$BG$4:$BP$4)))</f>
        <v>10</v>
      </c>
      <c r="BJ67" s="196" t="n">
        <f aca="false">IF((SUMIF($BG$3:$BP$3,BJ$60,$BG$4:$BP$4))=0,0,((SUMIF($BG$3:$BP$3,BJ$60,$BG116:$BP116))/SUMIF($BG$3:$BP$3,BJ$60,$BG$4:$BP$4)))</f>
        <v>9.4</v>
      </c>
      <c r="BK67" s="196" t="n">
        <f aca="false">IF((SUMIF($BG$3:$BP$3,BK$60,$BG$4:$BP$4))=0,0,((SUMIF($BG$3:$BP$3,BK$60,$BG116:$BP116))/SUMIF($BG$3:$BP$3,BK$60,$BG$4:$BP$4)))</f>
        <v>0</v>
      </c>
      <c r="BL67" s="196" t="n">
        <f aca="false">IF((SUMIF($BG$3:$BP$3,BL$60,$BG$4:$BP$4))=0,0,((SUMIF($BG$3:$BP$3,BL$60,$BG116:$BP116))/SUMIF($BG$3:$BP$3,BL$60,$BG$4:$BP$4)))</f>
        <v>0</v>
      </c>
      <c r="BM67" s="196" t="n">
        <f aca="false">IF((SUMIF($BG$3:$BP$3,BM$60,$BG$4:$BP$4))=0,0,((SUMIF($BG$3:$BP$3,BM$60,$BG116:$BP116))/SUMIF($BG$3:$BP$3,BM$60,$BG$4:$BP$4)))</f>
        <v>0</v>
      </c>
      <c r="BN67" s="196" t="n">
        <f aca="false">IF((SUMIF($BG$3:$BP$3,BN$60,$BG$4:$BP$4))=0,0,((SUMIF($BG$3:$BP$3,BN$60,$BG116:$BP116))/SUMIF($BG$3:$BP$3,BN$60,$BG$4:$BP$4)))</f>
        <v>0</v>
      </c>
      <c r="BO67" s="196" t="n">
        <f aca="false">IF((SUMIF($BG$3:$BP$3,BO$60,$BG$4:$BP$4))=0,0,((SUMIF($BG$3:$BP$3,BO$60,$BG116:$BP116))/SUMIF($BG$3:$BP$3,BO$60,$BG$4:$BP$4)))</f>
        <v>0</v>
      </c>
      <c r="BP67" s="197" t="n">
        <f aca="false">IF((SUMIF($BG$3:$BP$3,BP$60,$BG$4:$BP$4))=0,0,((SUMIF($BG$3:$BP$3,BP$60,$BG116:$BP116))/SUMIF($BG$3:$BP$3,BP$60,$BG$4:$BP$4)))</f>
        <v>0</v>
      </c>
      <c r="BQ67" s="194" t="str">
        <f aca="false">BF67</f>
        <v>Alumno6</v>
      </c>
      <c r="BR67" s="195" t="n">
        <f aca="false">IF((SUMIF($BR$3:$CA$3,BR$60,$BR$4:$CA$4))=0,0,((SUMIF($BR$3:$CA$3,BR$60,$BR116:$CA116))/SUMIF($BR$3:$CA$3,BR$60,$BR$4:$CA$4)))</f>
        <v>0</v>
      </c>
      <c r="BS67" s="196" t="n">
        <f aca="false">IF((SUMIF($BR$3:$CA$3,BS$60,$BR$4:$CA$4))=0,0,((SUMIF($BR$3:$CA$3,BS$60,$BR116:$CA116))/SUMIF($BR$3:$CA$3,BS$60,$BR$4:$CA$4)))</f>
        <v>6</v>
      </c>
      <c r="BT67" s="196" t="n">
        <f aca="false">IF((SUMIF($BR$3:$CA$3,BT$60,$BR$4:$CA$4))=0,0,((SUMIF($BR$3:$CA$3,BT$60,$BR116:$CA116))/SUMIF($BR$3:$CA$3,BT$60,$BR$4:$CA$4)))</f>
        <v>7.66666666666667</v>
      </c>
      <c r="BU67" s="196" t="n">
        <f aca="false">IF((SUMIF($BR$3:$CA$3,BU$60,$BR$4:$CA$4))=0,0,((SUMIF($BR$3:$CA$3,BU$60,$BR116:$CA116))/SUMIF($BR$3:$CA$3,BU$60,$BR$4:$CA$4)))</f>
        <v>6.6</v>
      </c>
      <c r="BV67" s="196" t="n">
        <f aca="false">IF((SUMIF($BR$3:$CA$3,BV$60,$BR$4:$CA$4))=0,0,((SUMIF($BR$3:$CA$3,BV$60,$BR116:$CA116))/SUMIF($BR$3:$CA$3,BV$60,$BR$4:$CA$4)))</f>
        <v>0</v>
      </c>
      <c r="BW67" s="196" t="n">
        <f aca="false">IF((SUMIF($BR$3:$CA$3,BW$60,$BR$4:$CA$4))=0,0,((SUMIF($BR$3:$CA$3,BW$60,$BR116:$CA116))/SUMIF($BR$3:$CA$3,BW$60,$BR$4:$CA$4)))</f>
        <v>0</v>
      </c>
      <c r="BX67" s="196" t="n">
        <f aca="false">IF((SUMIF($BR$3:$CA$3,BX$60,$BR$4:$CA$4))=0,0,((SUMIF($BR$3:$CA$3,BX$60,$BR116:$CA116))/SUMIF($BR$3:$CA$3,BX$60,$BR$4:$CA$4)))</f>
        <v>0</v>
      </c>
      <c r="BY67" s="196" t="n">
        <f aca="false">IF((SUMIF($BR$3:$CA$3,BY$60,$BR$4:$CA$4))=0,0,((SUMIF($BR$3:$CA$3,BY$60,$BR116:$CA116))/SUMIF($BR$3:$CA$3,BY$60,$BR$4:$CA$4)))</f>
        <v>0</v>
      </c>
      <c r="BZ67" s="196" t="n">
        <f aca="false">IF((SUMIF($BR$3:$CA$3,BZ$60,$BR$4:$CA$4))=0,0,((SUMIF($BR$3:$CA$3,BZ$60,$BR116:$CA116))/SUMIF($BR$3:$CA$3,BZ$60,$BR$4:$CA$4)))</f>
        <v>0</v>
      </c>
      <c r="CA67" s="197" t="n">
        <f aca="false">IF((SUMIF($BR$3:$CA$3,CA$60,$BR$4:$CA$4))=0,0,((SUMIF($BR$3:$CA$3,CA$60,$BR116:$CA116))/SUMIF($BR$3:$CA$3,CA$60,$BR$4:$CA$4)))</f>
        <v>0</v>
      </c>
      <c r="CB67" s="194" t="str">
        <f aca="false">BQ67</f>
        <v>Alumno6</v>
      </c>
      <c r="CC67" s="195" t="n">
        <f aca="false">IF((SUMIF($CC$3:$CL$3,CC$60,$CC$4:$CL$4))=0,0,((SUMIF($CC$3:$CL$3,CC$60,$CC116:$CL116))/SUMIF($CC$3:$CL$3,CC$60,$CC$4:$CL$4)))</f>
        <v>0</v>
      </c>
      <c r="CD67" s="196" t="n">
        <f aca="false">IF((SUMIF($CC$3:$CL$3,CD$60,$CC$4:$CL$4))=0,0,((SUMIF($CC$3:$CL$3,CD$60,$CC116:$CL116))/SUMIF($CC$3:$CL$3,CD$60,$CC$4:$CL$4)))</f>
        <v>0</v>
      </c>
      <c r="CE67" s="196" t="n">
        <f aca="false">IF((SUMIF($CC$3:$CL$3,CE$60,$CC$4:$CL$4))=0,0,((SUMIF($CC$3:$CL$3,CE$60,$CC116:$CL116))/SUMIF($CC$3:$CL$3,CE$60,$CC$4:$CL$4)))</f>
        <v>0</v>
      </c>
      <c r="CF67" s="196" t="n">
        <f aca="false">IF((SUMIF($CC$3:$CL$3,CF$60,$CC$4:$CL$4))=0,0,((SUMIF($CC$3:$CL$3,CF$60,$CC116:$CL116))/SUMIF($CC$3:$CL$3,CF$60,$CC$4:$CL$4)))</f>
        <v>0</v>
      </c>
      <c r="CG67" s="196" t="n">
        <f aca="false">IF((SUMIF($CC$3:$CL$3,CG$60,$CC$4:$CL$4))=0,0,((SUMIF($CC$3:$CL$3,CG$60,$CC116:$CL116))/SUMIF($CC$3:$CL$3,CG$60,$CC$4:$CL$4)))</f>
        <v>0</v>
      </c>
      <c r="CH67" s="196" t="n">
        <f aca="false">IF((SUMIF($CC$3:$CL$3,CH$60,$CC$4:$CL$4))=0,0,((SUMIF($CC$3:$CL$3,CH$60,$CC116:$CL116))/SUMIF($CC$3:$CL$3,CH$60,$CC$4:$CL$4)))</f>
        <v>0</v>
      </c>
      <c r="CI67" s="196" t="n">
        <f aca="false">IF((SUMIF($CC$3:$CL$3,CI$60,$CC$4:$CL$4))=0,0,((SUMIF($CC$3:$CL$3,CI$60,$CC116:$CL116))/SUMIF($CC$3:$CL$3,CI$60,$CC$4:$CL$4)))</f>
        <v>0</v>
      </c>
      <c r="CJ67" s="196" t="n">
        <f aca="false">IF((SUMIF($CC$3:$CL$3,CJ$60,$CC$4:$CL$4))=0,0,((SUMIF($CC$3:$CL$3,CJ$60,$CC116:$CL116))/SUMIF($CC$3:$CL$3,CJ$60,$CC$4:$CL$4)))</f>
        <v>0</v>
      </c>
      <c r="CK67" s="196" t="n">
        <f aca="false">IF((SUMIF($CC$3:$CL$3,CK$60,$CC$4:$CL$4))=0,0,((SUMIF($CC$3:$CL$3,CK$60,$CC116:$CL116))/SUMIF($CC$3:$CL$3,CK$60,$CC$4:$CL$4)))</f>
        <v>0</v>
      </c>
      <c r="CL67" s="197" t="n">
        <f aca="false">IF((SUMIF($CC$3:$CL$3,CL$60,$CC$4:$CL$4))=0,0,((SUMIF($CC$3:$CL$3,CL$60,$CC116:$CL116))/SUMIF($CC$3:$CL$3,CL$60,$CC$4:$CL$4)))</f>
        <v>0</v>
      </c>
      <c r="CM67" s="194" t="str">
        <f aca="false">CB67</f>
        <v>Alumno6</v>
      </c>
      <c r="CN67" s="195" t="n">
        <f aca="false">IF((SUMIF($CN$3:$CW$3,CN$60,$CN$4:$CW$4))=0,0,((SUMIF($CN$3:$CW$3,CN$60,$CN116:$CW116))/SUMIF($CN$3:$CW$3,CN$60,$CN$4:$CW$4)))</f>
        <v>0</v>
      </c>
      <c r="CO67" s="196" t="n">
        <f aca="false">IF((SUMIF($CN$3:$CW$3,CO$60,$CN$4:$CW$4))=0,0,((SUMIF($CN$3:$CW$3,CO$60,$CN116:$CW116))/SUMIF($CN$3:$CW$3,CO$60,$CN$4:$CW$4)))</f>
        <v>0</v>
      </c>
      <c r="CP67" s="196" t="n">
        <f aca="false">IF((SUMIF($CN$3:$CW$3,CP$60,$CN$4:$CW$4))=0,0,((SUMIF($CN$3:$CW$3,CP$60,$CN116:$CW116))/SUMIF($CN$3:$CW$3,CP$60,$CN$4:$CW$4)))</f>
        <v>0</v>
      </c>
      <c r="CQ67" s="196" t="n">
        <f aca="false">IF((SUMIF($CN$3:$CW$3,CQ$60,$CN$4:$CW$4))=0,0,((SUMIF($CN$3:$CW$3,CQ$60,$CN116:$CW116))/SUMIF($CN$3:$CW$3,CQ$60,$CN$4:$CW$4)))</f>
        <v>0</v>
      </c>
      <c r="CR67" s="196" t="n">
        <f aca="false">IF((SUMIF($CN$3:$CW$3,CR$60,$CN$4:$CW$4))=0,0,((SUMIF($CN$3:$CW$3,CR$60,$CN116:$CW116))/SUMIF($CN$3:$CW$3,CR$60,$CN$4:$CW$4)))</f>
        <v>0</v>
      </c>
      <c r="CS67" s="196" t="n">
        <f aca="false">IF((SUMIF($CN$3:$CW$3,CS$60,$CN$4:$CW$4))=0,0,((SUMIF($CN$3:$CW$3,CS$60,$CN116:$CW116))/SUMIF($CN$3:$CW$3,CS$60,$CN$4:$CW$4)))</f>
        <v>0</v>
      </c>
      <c r="CT67" s="196" t="n">
        <f aca="false">IF((SUMIF($CN$3:$CW$3,CT$60,$CN$4:$CW$4))=0,0,((SUMIF($CN$3:$CW$3,CT$60,$CN116:$CW116))/SUMIF($CN$3:$CW$3,CT$60,$CN$4:$CW$4)))</f>
        <v>0</v>
      </c>
      <c r="CU67" s="196" t="n">
        <f aca="false">IF((SUMIF($CN$3:$CW$3,CU$60,$CN$4:$CW$4))=0,0,((SUMIF($CN$3:$CW$3,CU$60,$CN116:$CW116))/SUMIF($CN$3:$CW$3,CU$60,$CN$4:$CW$4)))</f>
        <v>0</v>
      </c>
      <c r="CV67" s="196" t="n">
        <f aca="false">IF((SUMIF($CN$3:$CW$3,CV$60,$CN$4:$CW$4))=0,0,((SUMIF($CN$3:$CW$3,CV$60,$CN116:$CW116))/SUMIF($CN$3:$CW$3,CV$60,$CN$4:$CW$4)))</f>
        <v>0</v>
      </c>
      <c r="CW67" s="197" t="n">
        <f aca="false">IF((SUMIF($CN$3:$CW$3,CW$60,$CN$4:$CW$4))=0,0,((SUMIF($CN$3:$CW$3,CW$60,$CN116:$CW116))/SUMIF($CN$3:$CW$3,CW$60,$CN$4:$CW$4)))</f>
        <v>0</v>
      </c>
      <c r="CX67" s="194" t="str">
        <f aca="false">CM67</f>
        <v>Alumno6</v>
      </c>
      <c r="CY67" s="195" t="n">
        <f aca="false">IF((SUMIF($CY$3:$DH$3,CY$60,$CY$4:$DH$4))=0,0,((SUMIF($CY$3:$DH$3,CY$60,$CY116:$DH116))/SUMIF($CY$3:$DH$3,CY$60,$CY$4:$DH$4)))</f>
        <v>0</v>
      </c>
      <c r="CZ67" s="196" t="n">
        <f aca="false">IF((SUMIF($CY$3:$DH$3,CZ$60,$CY$4:$DH$4))=0,0,((SUMIF($CY$3:$DH$3,CZ$60,$CY116:$DH116))/SUMIF($CY$3:$DH$3,CZ$60,$CY$4:$DH$4)))</f>
        <v>0</v>
      </c>
      <c r="DA67" s="196" t="n">
        <f aca="false">IF((SUMIF($CY$3:$DH$3,DA$60,$CY$4:$DH$4))=0,0,((SUMIF($CY$3:$DH$3,DA$60,$CY116:$DH116))/SUMIF($CY$3:$DH$3,DA$60,$CY$4:$DH$4)))</f>
        <v>0</v>
      </c>
      <c r="DB67" s="196" t="n">
        <f aca="false">IF((SUMIF($CY$3:$DH$3,DB$60,$CY$4:$DH$4))=0,0,((SUMIF($CY$3:$DH$3,DB$60,$CY116:$DH116))/SUMIF($CY$3:$DH$3,DB$60,$CY$4:$DH$4)))</f>
        <v>0</v>
      </c>
      <c r="DC67" s="196" t="n">
        <f aca="false">IF((SUMIF($CY$3:$DH$3,DC$60,$CY$4:$DH$4))=0,0,((SUMIF($CY$3:$DH$3,DC$60,$CY116:$DH116))/SUMIF($CY$3:$DH$3,DC$60,$CY$4:$DH$4)))</f>
        <v>0</v>
      </c>
      <c r="DD67" s="196" t="n">
        <f aca="false">IF((SUMIF($CY$3:$DH$3,DD$60,$CY$4:$DH$4))=0,0,((SUMIF($CY$3:$DH$3,DD$60,$CY116:$DH116))/SUMIF($CY$3:$DH$3,DD$60,$CY$4:$DH$4)))</f>
        <v>0</v>
      </c>
      <c r="DE67" s="196" t="n">
        <f aca="false">IF((SUMIF($CY$3:$DH$3,DE$60,$CY$4:$DH$4))=0,0,((SUMIF($CY$3:$DH$3,DE$60,$CY116:$DH116))/SUMIF($CY$3:$DH$3,DE$60,$CY$4:$DH$4)))</f>
        <v>0</v>
      </c>
      <c r="DF67" s="196" t="n">
        <f aca="false">IF((SUMIF($CY$3:$DH$3,DF$60,$CY$4:$DH$4))=0,0,((SUMIF($CY$3:$DH$3,DF$60,$CY116:$DH116))/SUMIF($CY$3:$DH$3,DF$60,$CY$4:$DH$4)))</f>
        <v>0</v>
      </c>
      <c r="DG67" s="196" t="n">
        <f aca="false">IF((SUMIF($CY$3:$DH$3,DG$60,$CY$4:$DH$4))=0,0,((SUMIF($CY$3:$DH$3,DG$60,$CY116:$DH116))/SUMIF($CY$3:$DH$3,DG$60,$CY$4:$DH$4)))</f>
        <v>0</v>
      </c>
      <c r="DH67" s="197" t="n">
        <f aca="false">IF((SUMIF($CY$3:$DH$3,DH$60,$CY$4:$DH$4))=0,0,((SUMIF($CY$3:$DH$3,DH$60,$CY116:$DH116))/SUMIF($CY$3:$DH$3,DH$60,$CY$4:$DH$4)))</f>
        <v>0</v>
      </c>
      <c r="DI67" s="194" t="str">
        <f aca="false">CX67</f>
        <v>Alumno6</v>
      </c>
      <c r="DJ67" s="195" t="n">
        <f aca="false">IF((SUMIF($DJ$3:$DS$3,DJ$60,$DJ$4:$DS$4))=0,0,((SUMIF($DJ$3:$DS$3,DJ$60,$DJ116:$DS116))/SUMIF($DJ$3:$DS$3,DJ$60,$DJ$4:$DS$4)))</f>
        <v>0</v>
      </c>
      <c r="DK67" s="196" t="n">
        <f aca="false">IF((SUMIF($DJ$3:$DS$3,DK$60,$DJ$4:$DS$4))=0,0,((SUMIF($DJ$3:$DS$3,DK$60,$DJ116:$DS116))/SUMIF($DJ$3:$DS$3,DK$60,$DJ$4:$DS$4)))</f>
        <v>0</v>
      </c>
      <c r="DL67" s="196" t="n">
        <f aca="false">IF((SUMIF($DJ$3:$DS$3,DL$60,$DJ$4:$DS$4))=0,0,((SUMIF($DJ$3:$DS$3,DL$60,$DJ116:$DS116))/SUMIF($DJ$3:$DS$3,DL$60,$DJ$4:$DS$4)))</f>
        <v>0</v>
      </c>
      <c r="DM67" s="196" t="n">
        <f aca="false">IF((SUMIF($DJ$3:$DS$3,DM$60,$DJ$4:$DS$4))=0,0,((SUMIF($DJ$3:$DS$3,DM$60,$DJ116:$DS116))/SUMIF($DJ$3:$DS$3,DM$60,$DJ$4:$DS$4)))</f>
        <v>0</v>
      </c>
      <c r="DN67" s="196" t="n">
        <f aca="false">IF((SUMIF($DJ$3:$DS$3,DN$60,$DJ$4:$DS$4))=0,0,((SUMIF($DJ$3:$DS$3,DN$60,$DJ116:$DS116))/SUMIF($DJ$3:$DS$3,DN$60,$DJ$4:$DS$4)))</f>
        <v>0</v>
      </c>
      <c r="DO67" s="196" t="n">
        <f aca="false">IF((SUMIF($DJ$3:$DS$3,DO$60,$DJ$4:$DS$4))=0,0,((SUMIF($DJ$3:$DS$3,DO$60,$DJ116:$DS116))/SUMIF($DJ$3:$DS$3,DO$60,$DJ$4:$DS$4)))</f>
        <v>0</v>
      </c>
      <c r="DP67" s="196" t="n">
        <f aca="false">IF((SUMIF($DJ$3:$DS$3,DP$60,$DJ$4:$DS$4))=0,0,((SUMIF($DJ$3:$DS$3,DP$60,$DJ116:$DS116))/SUMIF($DJ$3:$DS$3,DP$60,$DJ$4:$DS$4)))</f>
        <v>0</v>
      </c>
      <c r="DQ67" s="196" t="n">
        <f aca="false">IF((SUMIF($DJ$3:$DS$3,DQ$60,$DJ$4:$DS$4))=0,0,((SUMIF($DJ$3:$DS$3,DQ$60,$DJ116:$DS116))/SUMIF($DJ$3:$DS$3,DQ$60,$DJ$4:$DS$4)))</f>
        <v>0</v>
      </c>
      <c r="DR67" s="196" t="n">
        <f aca="false">IF((SUMIF($DJ$3:$DS$3,DR$60,$DJ$4:$DS$4))=0,0,((SUMIF($DJ$3:$DS$3,DR$60,$DJ116:$DS116))/SUMIF($DJ$3:$DS$3,DR$60,$DJ$4:$DS$4)))</f>
        <v>0</v>
      </c>
      <c r="DS67" s="197" t="n">
        <f aca="false">IF((SUMIF($DJ$3:$DS$3,DS$60,$DJ$4:$DS$4))=0,0,((SUMIF($DJ$3:$DS$3,DS$60,$DJ116:$DS116))/SUMIF($DJ$3:$DS$3,DS$60,$DJ$4:$DS$4)))</f>
        <v>0</v>
      </c>
      <c r="DT67" s="194" t="str">
        <f aca="false">DI67</f>
        <v>Alumno6</v>
      </c>
      <c r="DU67" s="195" t="n">
        <f aca="false">IF((SUMIF($DU$3:$ED$3,DU$60,$DU$4:$ED$4))=0,0,((SUMIF($DU$3:$ED$3,DU$60,$DU116:$ED116))/SUMIF($DU$3:$ED$3,DU$60,$DU$4:$ED$4)))</f>
        <v>0</v>
      </c>
      <c r="DV67" s="196" t="n">
        <f aca="false">IF((SUMIF($DU$3:$ED$3,DV$60,$DU$4:$ED$4))=0,0,((SUMIF($DU$3:$ED$3,DV$60,$DU116:$ED116))/SUMIF($DU$3:$ED$3,DV$60,$DU$4:$ED$4)))</f>
        <v>0</v>
      </c>
      <c r="DW67" s="196" t="n">
        <f aca="false">IF((SUMIF($DU$3:$ED$3,DW$60,$DU$4:$ED$4))=0,0,((SUMIF($DU$3:$ED$3,DW$60,$DU116:$ED116))/SUMIF($DU$3:$ED$3,DW$60,$DU$4:$ED$4)))</f>
        <v>0</v>
      </c>
      <c r="DX67" s="196" t="n">
        <f aca="false">IF((SUMIF($DU$3:$ED$3,DX$60,$DU$4:$ED$4))=0,0,((SUMIF($DU$3:$ED$3,DX$60,$DU116:$ED116))/SUMIF($DU$3:$ED$3,DX$60,$DU$4:$ED$4)))</f>
        <v>0</v>
      </c>
      <c r="DY67" s="196" t="n">
        <f aca="false">IF((SUMIF($DU$3:$ED$3,DY$60,$DU$4:$ED$4))=0,0,((SUMIF($DU$3:$ED$3,DY$60,$DU116:$ED116))/SUMIF($DU$3:$ED$3,DY$60,$DU$4:$ED$4)))</f>
        <v>0</v>
      </c>
      <c r="DZ67" s="196" t="n">
        <f aca="false">IF((SUMIF($DU$3:$ED$3,DZ$60,$DU$4:$ED$4))=0,0,((SUMIF($DU$3:$ED$3,DZ$60,$DU116:$ED116))/SUMIF($DU$3:$ED$3,DZ$60,$DU$4:$ED$4)))</f>
        <v>0</v>
      </c>
      <c r="EA67" s="196" t="n">
        <f aca="false">IF((SUMIF($DU$3:$ED$3,EA$60,$DU$4:$ED$4))=0,0,((SUMIF($DU$3:$ED$3,EA$60,$DU116:$ED116))/SUMIF($DU$3:$ED$3,EA$60,$DU$4:$ED$4)))</f>
        <v>0</v>
      </c>
      <c r="EB67" s="196" t="n">
        <f aca="false">IF((SUMIF($DU$3:$ED$3,EB$60,$DU$4:$ED$4))=0,0,((SUMIF($DU$3:$ED$3,EB$60,$DU116:$ED116))/SUMIF($DU$3:$ED$3,EB$60,$DU$4:$ED$4)))</f>
        <v>0</v>
      </c>
      <c r="EC67" s="196" t="n">
        <f aca="false">IF((SUMIF($DU$3:$ED$3,EC$60,$DU$4:$ED$4))=0,0,((SUMIF($DU$3:$ED$3,EC$60,$DU116:$ED116))/SUMIF($DU$3:$ED$3,EC$60,$DU$4:$ED$4)))</f>
        <v>0</v>
      </c>
      <c r="ED67" s="197" t="n">
        <f aca="false">IF((SUMIF($DU$3:$ED$3,ED$60,$DU$4:$ED$4))=0,0,((SUMIF($DU$3:$ED$3,ED$60,$DU116:$ED116))/SUMIF($DU$3:$ED$3,ED$60,$DU$4:$ED$4)))</f>
        <v>0</v>
      </c>
      <c r="EE67" s="194" t="str">
        <f aca="false">DT67</f>
        <v>Alumno6</v>
      </c>
      <c r="EF67" s="195" t="n">
        <f aca="false">IF((SUMIF($EF$3:$EO$3,EF$60,$EF$4:$EO$4))=0,0,((SUMIF($EF$3:$EO$3,EF$60,$EF116:$EO116))/SUMIF($EF$3:$EO$3,EF$60,$EF$4:$EO$4)))</f>
        <v>0</v>
      </c>
      <c r="EG67" s="196" t="n">
        <f aca="false">IF((SUMIF($EF$3:$EO$3,EG$60,$EF$4:$EO$4))=0,0,((SUMIF($EF$3:$EO$3,EG$60,$EF116:$EO116))/SUMIF($EF$3:$EO$3,EG$60,$EF$4:$EO$4)))</f>
        <v>0</v>
      </c>
      <c r="EH67" s="196" t="n">
        <f aca="false">IF((SUMIF($EF$3:$EO$3,EH$60,$EF$4:$EO$4))=0,0,((SUMIF($EF$3:$EO$3,EH$60,$EF116:$EO116))/SUMIF($EF$3:$EO$3,EH$60,$EF$4:$EO$4)))</f>
        <v>0</v>
      </c>
      <c r="EI67" s="196" t="n">
        <f aca="false">IF((SUMIF($EF$3:$EO$3,EI$60,$EF$4:$EO$4))=0,0,((SUMIF($EF$3:$EO$3,EI$60,$EF116:$EO116))/SUMIF($EF$3:$EO$3,EI$60,$EF$4:$EO$4)))</f>
        <v>0</v>
      </c>
      <c r="EJ67" s="196" t="n">
        <f aca="false">IF((SUMIF($EF$3:$EO$3,EJ$60,$EF$4:$EO$4))=0,0,((SUMIF($EF$3:$EO$3,EJ$60,$EF116:$EO116))/SUMIF($EF$3:$EO$3,EJ$60,$EF$4:$EO$4)))</f>
        <v>0</v>
      </c>
      <c r="EK67" s="196" t="n">
        <f aca="false">IF((SUMIF($EF$3:$EO$3,EK$60,$EF$4:$EO$4))=0,0,((SUMIF($EF$3:$EO$3,EK$60,$EF116:$EO116))/SUMIF($EF$3:$EO$3,EK$60,$EF$4:$EO$4)))</f>
        <v>0</v>
      </c>
      <c r="EL67" s="196" t="n">
        <f aca="false">IF((SUMIF($EF$3:$EO$3,EL$60,$EF$4:$EO$4))=0,0,((SUMIF($EF$3:$EO$3,EL$60,$EF116:$EO116))/SUMIF($EF$3:$EO$3,EL$60,$EF$4:$EO$4)))</f>
        <v>0</v>
      </c>
      <c r="EM67" s="196" t="n">
        <f aca="false">IF((SUMIF($EF$3:$EO$3,EM$60,$EF$4:$EO$4))=0,0,((SUMIF($EF$3:$EO$3,EM$60,$EF116:$EO116))/SUMIF($EF$3:$EO$3,EM$60,$EF$4:$EO$4)))</f>
        <v>0</v>
      </c>
      <c r="EN67" s="196" t="n">
        <f aca="false">IF((SUMIF($EF$3:$EO$3,EN$60,$EF$4:$EO$4))=0,0,((SUMIF($EF$3:$EO$3,EN$60,$EF116:$EO116))/SUMIF($EF$3:$EO$3,EN$60,$EF$4:$EO$4)))</f>
        <v>0</v>
      </c>
      <c r="EO67" s="197" t="n">
        <f aca="false">IF((SUMIF($EF$3:$EO$3,EO$60,$EF$4:$EO$4))=0,0,((SUMIF($EF$3:$EO$3,EO$60,$EF116:$EO116))/SUMIF($EF$3:$EO$3,EO$60,$EF$4:$EO$4)))</f>
        <v>0</v>
      </c>
      <c r="EP67" s="194" t="str">
        <f aca="false">EE67</f>
        <v>Alumno6</v>
      </c>
      <c r="EQ67" s="195" t="n">
        <f aca="false">IF((SUMIF($EQ$3:$EZ$3,EQ$60,$EQ$4:$EZ$4))=0,0,((SUMIF($EQ$3:$EZ$3,EQ$60,$EQ116:$EZ116))/SUMIF($EQ$3:$EZ$3,EQ$60,$EQ$4:$EZ$4)))</f>
        <v>0</v>
      </c>
      <c r="ER67" s="196" t="n">
        <f aca="false">IF((SUMIF($EQ$3:$EZ$3,ER$60,$EQ$4:$EZ$4))=0,0,((SUMIF($EQ$3:$EZ$3,ER$60,$EQ116:$EZ116))/SUMIF($EQ$3:$EZ$3,ER$60,$EQ$4:$EZ$4)))</f>
        <v>0</v>
      </c>
      <c r="ES67" s="196" t="n">
        <f aca="false">IF((SUMIF($EQ$3:$EZ$3,ES$60,$EQ$4:$EZ$4))=0,0,((SUMIF($EQ$3:$EZ$3,ES$60,$EQ116:$EZ116))/SUMIF($EQ$3:$EZ$3,ES$60,$EQ$4:$EZ$4)))</f>
        <v>0</v>
      </c>
      <c r="ET67" s="196" t="n">
        <f aca="false">IF((SUMIF($EQ$3:$EZ$3,ET$60,$EQ$4:$EZ$4))=0,0,((SUMIF($EQ$3:$EZ$3,ET$60,$EQ116:$EZ116))/SUMIF($EQ$3:$EZ$3,ET$60,$EQ$4:$EZ$4)))</f>
        <v>0</v>
      </c>
      <c r="EU67" s="196" t="n">
        <f aca="false">IF((SUMIF($EQ$3:$EZ$3,EU$60,$EQ$4:$EZ$4))=0,0,((SUMIF($EQ$3:$EZ$3,EU$60,$EQ116:$EZ116))/SUMIF($EQ$3:$EZ$3,EU$60,$EQ$4:$EZ$4)))</f>
        <v>0</v>
      </c>
      <c r="EV67" s="196" t="n">
        <f aca="false">IF((SUMIF($EQ$3:$EZ$3,EV$60,$EQ$4:$EZ$4))=0,0,((SUMIF($EQ$3:$EZ$3,EV$60,$EQ116:$EZ116))/SUMIF($EQ$3:$EZ$3,EV$60,$EQ$4:$EZ$4)))</f>
        <v>0</v>
      </c>
      <c r="EW67" s="196" t="n">
        <f aca="false">IF((SUMIF($EQ$3:$EZ$3,EW$60,$EQ$4:$EZ$4))=0,0,((SUMIF($EQ$3:$EZ$3,EW$60,$EQ116:$EZ116))/SUMIF($EQ$3:$EZ$3,EW$60,$EQ$4:$EZ$4)))</f>
        <v>0</v>
      </c>
      <c r="EX67" s="196" t="n">
        <f aca="false">IF((SUMIF($EQ$3:$EZ$3,EX$60,$EQ$4:$EZ$4))=0,0,((SUMIF($EQ$3:$EZ$3,EX$60,$EQ116:$EZ116))/SUMIF($EQ$3:$EZ$3,EX$60,$EQ$4:$EZ$4)))</f>
        <v>0</v>
      </c>
      <c r="EY67" s="196" t="n">
        <f aca="false">IF((SUMIF($EQ$3:$EZ$3,EY$60,$EQ$4:$EZ$4))=0,0,((SUMIF($EQ$3:$EZ$3,EY$60,$EQ116:$EZ116))/SUMIF($EQ$3:$EZ$3,EY$60,$EQ$4:$EZ$4)))</f>
        <v>0</v>
      </c>
      <c r="EZ67" s="197" t="n">
        <f aca="false">IF((SUMIF($EQ$3:$EZ$3,EZ$60,$EQ$4:$EZ$4))=0,0,((SUMIF($EQ$3:$EZ$3,EZ$60,$EQ116:$EZ116))/SUMIF($EQ$3:$EZ$3,EZ$60,$EQ$4:$EZ$4)))</f>
        <v>0</v>
      </c>
      <c r="FA67" s="194" t="str">
        <f aca="false">EP67</f>
        <v>Alumno6</v>
      </c>
      <c r="FB67" s="195" t="n">
        <f aca="false">IF((SUMIF($FB$3:$FK$3,FB$60,$FB$4:$FK$4))=0,0,((SUMIF($FB$3:$FK$3,FB$60,$FB116:$FK116))/SUMIF($FB$3:$FK$3,FB$60,$FB$4:$FK$4)))</f>
        <v>0</v>
      </c>
      <c r="FC67" s="196" t="n">
        <f aca="false">IF((SUMIF($FB$3:$FK$3,FC$60,$FB$4:$FK$4))=0,0,((SUMIF($FB$3:$FK$3,FC$60,$FB116:$FK116))/SUMIF($FB$3:$FK$3,FC$60,$FB$4:$FK$4)))</f>
        <v>0</v>
      </c>
      <c r="FD67" s="196" t="n">
        <f aca="false">IF((SUMIF($FB$3:$FK$3,FD$60,$FB$4:$FK$4))=0,0,((SUMIF($FB$3:$FK$3,FD$60,$FB116:$FK116))/SUMIF($FB$3:$FK$3,FD$60,$FB$4:$FK$4)))</f>
        <v>0</v>
      </c>
      <c r="FE67" s="196" t="n">
        <f aca="false">IF((SUMIF($FB$3:$FK$3,FE$60,$FB$4:$FK$4))=0,0,((SUMIF($FB$3:$FK$3,FE$60,$FB116:$FK116))/SUMIF($FB$3:$FK$3,FE$60,$FB$4:$FK$4)))</f>
        <v>0</v>
      </c>
      <c r="FF67" s="196" t="n">
        <f aca="false">IF((SUMIF($FB$3:$FK$3,FF$60,$FB$4:$FK$4))=0,0,((SUMIF($FB$3:$FK$3,FF$60,$FB116:$FK116))/SUMIF($FB$3:$FK$3,FF$60,$FB$4:$FK$4)))</f>
        <v>0</v>
      </c>
      <c r="FG67" s="196" t="n">
        <f aca="false">IF((SUMIF($FB$3:$FK$3,FG$60,$FB$4:$FK$4))=0,0,((SUMIF($FB$3:$FK$3,FG$60,$FB116:$FK116))/SUMIF($FB$3:$FK$3,FG$60,$FB$4:$FK$4)))</f>
        <v>0</v>
      </c>
      <c r="FH67" s="196" t="n">
        <f aca="false">IF((SUMIF($FB$3:$FK$3,FH$60,$FB$4:$FK$4))=0,0,((SUMIF($FB$3:$FK$3,FH$60,$FB116:$FK116))/SUMIF($FB$3:$FK$3,FH$60,$FB$4:$FK$4)))</f>
        <v>0</v>
      </c>
      <c r="FI67" s="196" t="n">
        <f aca="false">IF((SUMIF($FB$3:$FK$3,FI$60,$FB$4:$FK$4))=0,0,((SUMIF($FB$3:$FK$3,FI$60,$FB116:$FK116))/SUMIF($FB$3:$FK$3,FI$60,$FB$4:$FK$4)))</f>
        <v>0</v>
      </c>
      <c r="FJ67" s="196" t="n">
        <f aca="false">IF((SUMIF($FB$3:$FK$3,FJ$60,$FB$4:$FK$4))=0,0,((SUMIF($FB$3:$FK$3,FJ$60,$FB116:$FK116))/SUMIF($FB$3:$FK$3,FJ$60,$FB$4:$FK$4)))</f>
        <v>0</v>
      </c>
      <c r="FK67" s="197" t="n">
        <f aca="false">IF((SUMIF($FB$3:$FK$3,FK$60,$FB$4:$FK$4))=0,0,((SUMIF($FB$3:$FK$3,FK$60,$FB116:$FK116))/SUMIF($FB$3:$FK$3,FK$60,$FB$4:$FK$4)))</f>
        <v>0</v>
      </c>
      <c r="FL67" s="194" t="str">
        <f aca="false">FA67</f>
        <v>Alumno6</v>
      </c>
      <c r="FM67" s="195" t="n">
        <f aca="false">IF((SUMIF($FM$3:$FV$3,FM$60,$FM$4:$FV$4))=0,0,((SUMIF($FM$3:$FV$3,FM$60,$FM116:$FV116))/SUMIF($FM$3:$FV$3,FM$60,$FM$4:$FV$4)))</f>
        <v>0</v>
      </c>
      <c r="FN67" s="196" t="n">
        <f aca="false">IF((SUMIF($FM$3:$FV$3,FN$60,$FM$4:$FV$4))=0,0,((SUMIF($FM$3:$FV$3,FN$60,$FM116:$FV116))/SUMIF($FM$3:$FV$3,FN$60,$FM$4:$FV$4)))</f>
        <v>0</v>
      </c>
      <c r="FO67" s="196" t="n">
        <f aca="false">IF((SUMIF($FM$3:$FV$3,FO$60,$FM$4:$FV$4))=0,0,((SUMIF($FM$3:$FV$3,FO$60,$FM116:$FV116))/SUMIF($FM$3:$FV$3,FO$60,$FM$4:$FV$4)))</f>
        <v>0</v>
      </c>
      <c r="FP67" s="196" t="n">
        <f aca="false">IF((SUMIF($FM$3:$FV$3,FP$60,$FM$4:$FV$4))=0,0,((SUMIF($FM$3:$FV$3,FP$60,$FM116:$FV116))/SUMIF($FM$3:$FV$3,FP$60,$FM$4:$FV$4)))</f>
        <v>0</v>
      </c>
      <c r="FQ67" s="196" t="n">
        <f aca="false">IF((SUMIF($FM$3:$FV$3,FQ$60,$FM$4:$FV$4))=0,0,((SUMIF($FM$3:$FV$3,FQ$60,$FM116:$FV116))/SUMIF($FM$3:$FV$3,FQ$60,$FM$4:$FV$4)))</f>
        <v>0</v>
      </c>
      <c r="FR67" s="196" t="n">
        <f aca="false">IF((SUMIF($FM$3:$FV$3,FR$60,$FM$4:$FV$4))=0,0,((SUMIF($FM$3:$FV$3,FR$60,$FM116:$FV116))/SUMIF($FM$3:$FV$3,FR$60,$FM$4:$FV$4)))</f>
        <v>0</v>
      </c>
      <c r="FS67" s="196" t="n">
        <f aca="false">IF((SUMIF($FM$3:$FV$3,FS$60,$FM$4:$FV$4))=0,0,((SUMIF($FM$3:$FV$3,FS$60,$FM116:$FV116))/SUMIF($FM$3:$FV$3,FS$60,$FM$4:$FV$4)))</f>
        <v>0</v>
      </c>
      <c r="FT67" s="196" t="n">
        <f aca="false">IF((SUMIF($FM$3:$FV$3,FT$60,$FM$4:$FV$4))=0,0,((SUMIF($FM$3:$FV$3,FT$60,$FM116:$FV116))/SUMIF($FM$3:$FV$3,FT$60,$FM$4:$FV$4)))</f>
        <v>0</v>
      </c>
      <c r="FU67" s="196" t="n">
        <f aca="false">IF((SUMIF($FM$3:$FV$3,FU$60,$FM$4:$FV$4))=0,0,((SUMIF($FM$3:$FV$3,FU$60,$FM116:$FV116))/SUMIF($FM$3:$FV$3,FU$60,$FM$4:$FV$4)))</f>
        <v>0</v>
      </c>
      <c r="FV67" s="197" t="n">
        <f aca="false">IF((SUMIF($FM$3:$FV$3,FV$60,$FM$4:$FV$4))=0,0,((SUMIF($FM$3:$FV$3,FV$60,$FM116:$FV116))/SUMIF($FM$3:$FV$3,FV$60,$FM$4:$FV$4)))</f>
        <v>0</v>
      </c>
      <c r="FW67" s="194" t="str">
        <f aca="false">FL67</f>
        <v>Alumno6</v>
      </c>
      <c r="FX67" s="195" t="n">
        <f aca="false">IF((SUMIF($FX$3:$GG$3,FX$60,$FX$4:$GG$4))=0,0,((SUMIF($FX$3:$GG$3,FX$60,$FX116:$GG116))/SUMIF($FX$3:$GG$3,FX$60,$FX$4:$GG$4)))</f>
        <v>0</v>
      </c>
      <c r="FY67" s="196" t="n">
        <f aca="false">IF((SUMIF($FX$3:$GG$3,FY$60,$FX$4:$GG$4))=0,0,((SUMIF($FX$3:$GG$3,FY$60,$FX116:$GG116))/SUMIF($FX$3:$GG$3,FY$60,$FX$4:$GG$4)))</f>
        <v>0</v>
      </c>
      <c r="FZ67" s="196" t="n">
        <f aca="false">IF((SUMIF($FX$3:$GG$3,FZ$60,$FX$4:$GG$4))=0,0,((SUMIF($FX$3:$GG$3,FZ$60,$FX116:$GG116))/SUMIF($FX$3:$GG$3,FZ$60,$FX$4:$GG$4)))</f>
        <v>0</v>
      </c>
      <c r="GA67" s="196" t="n">
        <f aca="false">IF((SUMIF($FX$3:$GG$3,GA$60,$FX$4:$GG$4))=0,0,((SUMIF($FX$3:$GG$3,GA$60,$FX116:$GG116))/SUMIF($FX$3:$GG$3,GA$60,$FX$4:$GG$4)))</f>
        <v>0</v>
      </c>
      <c r="GB67" s="196" t="n">
        <f aca="false">IF((SUMIF($FX$3:$GG$3,GB$60,$FX$4:$GG$4))=0,0,((SUMIF($FX$3:$GG$3,GB$60,$FX116:$GG116))/SUMIF($FX$3:$GG$3,GB$60,$FX$4:$GG$4)))</f>
        <v>0</v>
      </c>
      <c r="GC67" s="196" t="n">
        <f aca="false">IF((SUMIF($FX$3:$GG$3,GC$60,$FX$4:$GG$4))=0,0,((SUMIF($FX$3:$GG$3,GC$60,$FX116:$GG116))/SUMIF($FX$3:$GG$3,GC$60,$FX$4:$GG$4)))</f>
        <v>0</v>
      </c>
      <c r="GD67" s="196" t="n">
        <f aca="false">IF((SUMIF($FX$3:$GG$3,GD$60,$FX$4:$GG$4))=0,0,((SUMIF($FX$3:$GG$3,GD$60,$FX116:$GG116))/SUMIF($FX$3:$GG$3,GD$60,$FX$4:$GG$4)))</f>
        <v>0</v>
      </c>
      <c r="GE67" s="196" t="n">
        <f aca="false">IF((SUMIF($FX$3:$GG$3,GE$60,$FX$4:$GG$4))=0,0,((SUMIF($FX$3:$GG$3,GE$60,$FX116:$GG116))/SUMIF($FX$3:$GG$3,GE$60,$FX$4:$GG$4)))</f>
        <v>0</v>
      </c>
      <c r="GF67" s="196" t="n">
        <f aca="false">IF((SUMIF($FX$3:$GG$3,GF$60,$FX$4:$GG$4))=0,0,((SUMIF($FX$3:$GG$3,GF$60,$FX116:$GG116))/SUMIF($FX$3:$GG$3,GF$60,$FX$4:$GG$4)))</f>
        <v>0</v>
      </c>
      <c r="GG67" s="197" t="n">
        <f aca="false">IF((SUMIF($FX$3:$GG$3,GG$60,$FX$4:$GG$4))=0,0,((SUMIF($FX$3:$GG$3,GG$60,$FX116:$GG116))/SUMIF($FX$3:$GG$3,GG$60,$FX$4:$GG$4)))</f>
        <v>0</v>
      </c>
      <c r="GH67" s="194" t="str">
        <f aca="false">FW67</f>
        <v>Alumno6</v>
      </c>
      <c r="GI67" s="195" t="n">
        <f aca="false">IF((SUMIF($GI$3:$GR$3,GI$60,$GI$4:$GR$4))=0,0,((SUMIF($GI$3:$GR$3,GI$60,$GI116:$GR116))/SUMIF($GI$3:$GR$3,GI$60,$GI$4:$GR$4)))</f>
        <v>0</v>
      </c>
      <c r="GJ67" s="196" t="n">
        <f aca="false">IF((SUMIF($GI$3:$GR$3,GJ$60,$GI$4:$GR$4))=0,0,((SUMIF($GI$3:$GR$3,GJ$60,$GI116:$GR116))/SUMIF($GI$3:$GR$3,GJ$60,$GI$4:$GR$4)))</f>
        <v>0</v>
      </c>
      <c r="GK67" s="196" t="n">
        <f aca="false">IF((SUMIF($GI$3:$GR$3,GK$60,$GI$4:$GR$4))=0,0,((SUMIF($GI$3:$GR$3,GK$60,$GI116:$GR116))/SUMIF($GI$3:$GR$3,GK$60,$GI$4:$GR$4)))</f>
        <v>0</v>
      </c>
      <c r="GL67" s="196" t="n">
        <f aca="false">IF((SUMIF($GI$3:$GR$3,GL$60,$GI$4:$GR$4))=0,0,((SUMIF($GI$3:$GR$3,GL$60,$GI116:$GR116))/SUMIF($GI$3:$GR$3,GL$60,$GI$4:$GR$4)))</f>
        <v>0</v>
      </c>
      <c r="GM67" s="196" t="n">
        <f aca="false">IF((SUMIF($GI$3:$GR$3,GM$60,$GI$4:$GR$4))=0,0,((SUMIF($GI$3:$GR$3,GM$60,$GI116:$GR116))/SUMIF($GI$3:$GR$3,GM$60,$GI$4:$GR$4)))</f>
        <v>0</v>
      </c>
      <c r="GN67" s="196" t="n">
        <f aca="false">IF((SUMIF($GI$3:$GR$3,GN$60,$GI$4:$GR$4))=0,0,((SUMIF($GI$3:$GR$3,GN$60,$GI116:$GR116))/SUMIF($GI$3:$GR$3,GN$60,$GI$4:$GR$4)))</f>
        <v>0</v>
      </c>
      <c r="GO67" s="196" t="n">
        <f aca="false">IF((SUMIF($GI$3:$GR$3,GO$60,$GI$4:$GR$4))=0,0,((SUMIF($GI$3:$GR$3,GO$60,$GI116:$GR116))/SUMIF($GI$3:$GR$3,GO$60,$GI$4:$GR$4)))</f>
        <v>0</v>
      </c>
      <c r="GP67" s="196" t="n">
        <f aca="false">IF((SUMIF($GI$3:$GR$3,GP$60,$GI$4:$GR$4))=0,0,((SUMIF($GI$3:$GR$3,GP$60,$GI116:$GR116))/SUMIF($GI$3:$GR$3,GP$60,$GI$4:$GR$4)))</f>
        <v>0</v>
      </c>
      <c r="GQ67" s="196" t="n">
        <f aca="false">IF((SUMIF($GI$3:$GR$3,GQ$60,$GI$4:$GR$4))=0,0,((SUMIF($GI$3:$GR$3,GQ$60,$GI116:$GR116))/SUMIF($GI$3:$GR$3,GQ$60,$GI$4:$GR$4)))</f>
        <v>0</v>
      </c>
      <c r="GR67" s="197" t="n">
        <f aca="false">IF((SUMIF($GI$3:$GR$3,GR$60,$GI$4:$GR$4))=0,0,((SUMIF($GI$3:$GR$3,GR$60,$GI116:$GR116))/SUMIF($GI$3:$GR$3,GR$60,$GI$4:$GR$4)))</f>
        <v>0</v>
      </c>
      <c r="GS67" s="194" t="str">
        <f aca="false">GH67</f>
        <v>Alumno6</v>
      </c>
      <c r="GT67" s="195" t="n">
        <f aca="false">IF((SUMIF($GT$3:$HC$3,GT$60,$GT$4:$HC$4))=0,0,((SUMIF($GT$3:$HC$3,GT$60,$GT116:$HC116))/SUMIF($GT$3:$HC$3,GT$60,$GT$4:$HC$4)))</f>
        <v>0</v>
      </c>
      <c r="GU67" s="196" t="n">
        <f aca="false">IF((SUMIF($GT$3:$HC$3,GU$60,$GT$4:$HC$4))=0,0,((SUMIF($GT$3:$HC$3,GU$60,$GT116:$HC116))/SUMIF($GT$3:$HC$3,GU$60,$GT$4:$HC$4)))</f>
        <v>0</v>
      </c>
      <c r="GV67" s="196" t="n">
        <f aca="false">IF((SUMIF($GT$3:$HC$3,GV$60,$GT$4:$HC$4))=0,0,((SUMIF($GT$3:$HC$3,GV$60,$GT116:$HC116))/SUMIF($GT$3:$HC$3,GV$60,$GT$4:$HC$4)))</f>
        <v>0</v>
      </c>
      <c r="GW67" s="196" t="n">
        <f aca="false">IF((SUMIF($GT$3:$HC$3,GW$60,$GT$4:$HC$4))=0,0,((SUMIF($GT$3:$HC$3,GW$60,$GT116:$HC116))/SUMIF($GT$3:$HC$3,GW$60,$GT$4:$HC$4)))</f>
        <v>0</v>
      </c>
      <c r="GX67" s="196" t="n">
        <f aca="false">IF((SUMIF($GT$3:$HC$3,GX$60,$GT$4:$HC$4))=0,0,((SUMIF($GT$3:$HC$3,GX$60,$GT116:$HC116))/SUMIF($GT$3:$HC$3,GX$60,$GT$4:$HC$4)))</f>
        <v>0</v>
      </c>
      <c r="GY67" s="196" t="n">
        <f aca="false">IF((SUMIF($GT$3:$HC$3,GY$60,$GT$4:$HC$4))=0,0,((SUMIF($GT$3:$HC$3,GY$60,$GT116:$HC116))/SUMIF($GT$3:$HC$3,GY$60,$GT$4:$HC$4)))</f>
        <v>0</v>
      </c>
      <c r="GZ67" s="196" t="n">
        <f aca="false">IF((SUMIF($GT$3:$HC$3,GZ$60,$GT$4:$HC$4))=0,0,((SUMIF($GT$3:$HC$3,GZ$60,$GT116:$HC116))/SUMIF($GT$3:$HC$3,GZ$60,$GT$4:$HC$4)))</f>
        <v>0</v>
      </c>
      <c r="HA67" s="196" t="n">
        <f aca="false">IF((SUMIF($GT$3:$HC$3,HA$60,$GT$4:$HC$4))=0,0,((SUMIF($GT$3:$HC$3,HA$60,$GT116:$HC116))/SUMIF($GT$3:$HC$3,HA$60,$GT$4:$HC$4)))</f>
        <v>0</v>
      </c>
      <c r="HB67" s="196" t="n">
        <f aca="false">IF((SUMIF($GT$3:$HC$3,HB$60,$GT$4:$HC$4))=0,0,((SUMIF($GT$3:$HC$3,HB$60,$GT116:$HC116))/SUMIF($GT$3:$HC$3,HB$60,$GT$4:$HC$4)))</f>
        <v>0</v>
      </c>
      <c r="HC67" s="197" t="n">
        <f aca="false">IF((SUMIF($GT$3:$HC$3,HC$60,$GT$4:$HC$4))=0,0,((SUMIF($GT$3:$HC$3,HC$60,$GT116:$HC116))/SUMIF($GT$3:$HC$3,HC$60,$GT$4:$HC$4)))</f>
        <v>0</v>
      </c>
      <c r="HD67" s="194" t="str">
        <f aca="false">GS67</f>
        <v>Alumno6</v>
      </c>
      <c r="HE67" s="195" t="n">
        <f aca="false">IF((SUMIF($HE$3:$HN$3,HE$60,$HE$4:$HN$4))=0,0,((SUMIF($HE$3:$HN$3,HE$60,$HE116:$HN116))/SUMIF($HE$3:$HN$3,HE$60,$HE$4:$HN$4)))</f>
        <v>0</v>
      </c>
      <c r="HF67" s="196" t="n">
        <f aca="false">IF((SUMIF($HE$3:$HN$3,HF$60,$HE$4:$HN$4))=0,0,((SUMIF($HE$3:$HN$3,HF$60,$HE116:$HN116))/SUMIF($HE$3:$HN$3,HF$60,$HE$4:$HN$4)))</f>
        <v>0</v>
      </c>
      <c r="HG67" s="196" t="n">
        <f aca="false">IF((SUMIF($HE$3:$HN$3,HG$60,$HE$4:$HN$4))=0,0,((SUMIF($HE$3:$HN$3,HG$60,$HE116:$HN116))/SUMIF($HE$3:$HN$3,HG$60,$HE$4:$HN$4)))</f>
        <v>0</v>
      </c>
      <c r="HH67" s="196" t="n">
        <f aca="false">IF((SUMIF($HE$3:$HN$3,HH$60,$HE$4:$HN$4))=0,0,((SUMIF($HE$3:$HN$3,HH$60,$HE116:$HN116))/SUMIF($HE$3:$HN$3,HH$60,$HE$4:$HN$4)))</f>
        <v>0</v>
      </c>
      <c r="HI67" s="196" t="n">
        <f aca="false">IF((SUMIF($HE$3:$HN$3,HI$60,$HE$4:$HN$4))=0,0,((SUMIF($HE$3:$HN$3,HI$60,$HE116:$HN116))/SUMIF($HE$3:$HN$3,HI$60,$HE$4:$HN$4)))</f>
        <v>0</v>
      </c>
      <c r="HJ67" s="196" t="n">
        <f aca="false">IF((SUMIF($HE$3:$HN$3,HJ$60,$HE$4:$HN$4))=0,0,((SUMIF($HE$3:$HN$3,HJ$60,$HE116:$HN116))/SUMIF($HE$3:$HN$3,HJ$60,$HE$4:$HN$4)))</f>
        <v>0</v>
      </c>
      <c r="HK67" s="196" t="n">
        <f aca="false">IF((SUMIF($HE$3:$HN$3,HK$60,$HE$4:$HN$4))=0,0,((SUMIF($HE$3:$HN$3,HK$60,$HE116:$HN116))/SUMIF($HE$3:$HN$3,HK$60,$HE$4:$HN$4)))</f>
        <v>0</v>
      </c>
      <c r="HL67" s="196" t="n">
        <f aca="false">IF((SUMIF($HE$3:$HN$3,HL$60,$HE$4:$HN$4))=0,0,((SUMIF($HE$3:$HN$3,HL$60,$HE116:$HN116))/SUMIF($HE$3:$HN$3,HL$60,$HE$4:$HN$4)))</f>
        <v>0</v>
      </c>
      <c r="HM67" s="196" t="n">
        <f aca="false">IF((SUMIF($HE$3:$HN$3,HM$60,$HE$4:$HN$4))=0,0,((SUMIF($HE$3:$HN$3,HM$60,$HE116:$HN116))/SUMIF($HE$3:$HN$3,HM$60,$HE$4:$HN$4)))</f>
        <v>0</v>
      </c>
      <c r="HN67" s="197" t="n">
        <f aca="false">IF((SUMIF($HE$3:$HN$3,HN$60,$HE$4:$HN$4))=0,0,((SUMIF($HE$3:$HN$3,HN$60,$HE116:$HN116))/SUMIF($HE$3:$HN$3,HN$60,$HE$4:$HN$4)))</f>
        <v>0</v>
      </c>
      <c r="HO67" s="194" t="str">
        <f aca="false">HD67</f>
        <v>Alumno6</v>
      </c>
      <c r="HP67" s="195" t="n">
        <f aca="false">IF((SUMIF($HP$3:$HY$3,HP$60,$HP$4:$HY$4))=0,0,((SUMIF($HP$3:$HY$3,HP$60,$HP116:$HY116))/SUMIF($HP$3:$HY$3,HP$60,$HP$4:$HY$4)))</f>
        <v>0</v>
      </c>
      <c r="HQ67" s="196" t="n">
        <f aca="false">IF((SUMIF($HP$3:$HY$3,HQ$60,$HP$4:$HY$4))=0,0,((SUMIF($HP$3:$HY$3,HQ$60,$HP116:$HY116))/SUMIF($HP$3:$HY$3,HQ$60,$HP$4:$HY$4)))</f>
        <v>0</v>
      </c>
      <c r="HR67" s="196" t="n">
        <f aca="false">IF((SUMIF($HP$3:$HY$3,HR$60,$HP$4:$HY$4))=0,0,((SUMIF($HP$3:$HY$3,HR$60,$HP116:$HY116))/SUMIF($HP$3:$HY$3,HR$60,$HP$4:$HY$4)))</f>
        <v>0</v>
      </c>
      <c r="HS67" s="196" t="n">
        <f aca="false">IF((SUMIF($HP$3:$HY$3,HS$60,$HP$4:$HY$4))=0,0,((SUMIF($HP$3:$HY$3,HS$60,$HP116:$HY116))/SUMIF($HP$3:$HY$3,HS$60,$HP$4:$HY$4)))</f>
        <v>0</v>
      </c>
      <c r="HT67" s="196" t="n">
        <f aca="false">IF((SUMIF($HP$3:$HY$3,HT$60,$HP$4:$HY$4))=0,0,((SUMIF($HP$3:$HY$3,HT$60,$HP116:$HY116))/SUMIF($HP$3:$HY$3,HT$60,$HP$4:$HY$4)))</f>
        <v>0</v>
      </c>
      <c r="HU67" s="196" t="n">
        <f aca="false">IF((SUMIF($HP$3:$HY$3,HU$60,$HP$4:$HY$4))=0,0,((SUMIF($HP$3:$HY$3,HU$60,$HP116:$HY116))/SUMIF($HP$3:$HY$3,HU$60,$HP$4:$HY$4)))</f>
        <v>0</v>
      </c>
      <c r="HV67" s="196" t="n">
        <f aca="false">IF((SUMIF($HP$3:$HY$3,HV$60,$HP$4:$HY$4))=0,0,((SUMIF($HP$3:$HY$3,HV$60,$HP116:$HY116))/SUMIF($HP$3:$HY$3,HV$60,$HP$4:$HY$4)))</f>
        <v>0</v>
      </c>
      <c r="HW67" s="196" t="n">
        <f aca="false">IF((SUMIF($HP$3:$HY$3,HW$60,$HP$4:$HY$4))=0,0,((SUMIF($HP$3:$HY$3,HW$60,$HP116:$HY116))/SUMIF($HP$3:$HY$3,HW$60,$HP$4:$HY$4)))</f>
        <v>0</v>
      </c>
      <c r="HX67" s="196" t="n">
        <f aca="false">IF((SUMIF($HP$3:$HY$3,HX$60,$HP$4:$HY$4))=0,0,((SUMIF($HP$3:$HY$3,HX$60,$HP116:$HY116))/SUMIF($HP$3:$HY$3,HX$60,$HP$4:$HY$4)))</f>
        <v>0</v>
      </c>
      <c r="HY67" s="197" t="n">
        <f aca="false">IF((SUMIF($HP$3:$HY$3,HY$60,$HP$4:$HY$4))=0,0,((SUMIF($HP$3:$HY$3,HY$60,$HP116:$HY116))/SUMIF($HP$3:$HY$3,HY$60,$HP$4:$HY$4)))</f>
        <v>0</v>
      </c>
      <c r="HZ67" s="194" t="str">
        <f aca="false">HO67</f>
        <v>Alumno6</v>
      </c>
      <c r="IA67" s="195" t="n">
        <f aca="false">IF((SUMIF($IA$3:$IJ$3,IA$60,$IA$4:$IJ$4))=0,0,((SUMIF($IA$3:$IJ$3,IA$60,$IA116:$IJ116))/SUMIF($IA$3:$IJ$3,IA$60,$IA$4:$IJ$4)))</f>
        <v>0</v>
      </c>
      <c r="IB67" s="196" t="n">
        <f aca="false">IF((SUMIF($IA$3:$IJ$3,IB$60,$IA$4:$IJ$4))=0,0,((SUMIF($IA$3:$IJ$3,IB$60,$IA116:$IJ116))/SUMIF($IA$3:$IJ$3,IB$60,$IA$4:$IJ$4)))</f>
        <v>0</v>
      </c>
      <c r="IC67" s="196" t="n">
        <f aca="false">IF((SUMIF($IA$3:$IJ$3,IC$60,$IA$4:$IJ$4))=0,0,((SUMIF($IA$3:$IJ$3,IC$60,$IA116:$IJ116))/SUMIF($IA$3:$IJ$3,IC$60,$IA$4:$IJ$4)))</f>
        <v>0</v>
      </c>
      <c r="ID67" s="196" t="n">
        <f aca="false">IF((SUMIF($IA$3:$IJ$3,ID$60,$IA$4:$IJ$4))=0,0,((SUMIF($IA$3:$IJ$3,ID$60,$IA116:$IJ116))/SUMIF($IA$3:$IJ$3,ID$60,$IA$4:$IJ$4)))</f>
        <v>0</v>
      </c>
      <c r="IE67" s="196" t="n">
        <f aca="false">IF((SUMIF($IA$3:$IJ$3,IE$60,$IA$4:$IJ$4))=0,0,((SUMIF($IA$3:$IJ$3,IE$60,$IA116:$IJ116))/SUMIF($IA$3:$IJ$3,IE$60,$IA$4:$IJ$4)))</f>
        <v>0</v>
      </c>
      <c r="IF67" s="196" t="n">
        <f aca="false">IF((SUMIF($IA$3:$IJ$3,IF$60,$IA$4:$IJ$4))=0,0,((SUMIF($IA$3:$IJ$3,IF$60,$IA116:$IJ116))/SUMIF($IA$3:$IJ$3,IF$60,$IA$4:$IJ$4)))</f>
        <v>0</v>
      </c>
      <c r="IG67" s="196" t="n">
        <f aca="false">IF((SUMIF($IA$3:$IJ$3,IG$60,$IA$4:$IJ$4))=0,0,((SUMIF($IA$3:$IJ$3,IG$60,$IA116:$IJ116))/SUMIF($IA$3:$IJ$3,IG$60,$IA$4:$IJ$4)))</f>
        <v>0</v>
      </c>
      <c r="IH67" s="196" t="n">
        <f aca="false">IF((SUMIF($IA$3:$IJ$3,IH$60,$IA$4:$IJ$4))=0,0,((SUMIF($IA$3:$IJ$3,IH$60,$IA116:$IJ116))/SUMIF($IA$3:$IJ$3,IH$60,$IA$4:$IJ$4)))</f>
        <v>0</v>
      </c>
      <c r="II67" s="196" t="n">
        <f aca="false">IF((SUMIF($IA$3:$IJ$3,II$60,$IA$4:$IJ$4))=0,0,((SUMIF($IA$3:$IJ$3,II$60,$IA116:$IJ116))/SUMIF($IA$3:$IJ$3,II$60,$IA$4:$IJ$4)))</f>
        <v>0</v>
      </c>
      <c r="IJ67" s="197" t="n">
        <f aca="false">IF((SUMIF($IA$3:$IJ$3,IJ$60,$IA$4:$IJ$4))=0,0,((SUMIF($IA$3:$IJ$3,IJ$60,$IA116:$IJ116))/SUMIF($IA$3:$IJ$3,IJ$60,$IA$4:$IJ$4)))</f>
        <v>0</v>
      </c>
      <c r="IK67" s="194" t="str">
        <f aca="false">HZ67</f>
        <v>Alumno6</v>
      </c>
      <c r="IL67" s="195" t="n">
        <f aca="false">IF((SUMIF($IL$3:$IU$3,IL$60,$IL$4:$IU$4))=0,0,((SUMIF($IL$3:$IU$3,IL$60,$IL116:$IU116))/SUMIF($IL$3:$IU$3,IL$60,$IL$4:$IU$4)))</f>
        <v>0</v>
      </c>
      <c r="IM67" s="196" t="n">
        <f aca="false">IF((SUMIF($IL$3:$IU$3,IM$60,$IL$4:$IU$4))=0,0,((SUMIF($IL$3:$IU$3,IM$60,$IL116:$IU116))/SUMIF($IL$3:$IU$3,IM$60,$IL$4:$IU$4)))</f>
        <v>0</v>
      </c>
      <c r="IN67" s="196" t="n">
        <f aca="false">IF((SUMIF($IL$3:$IU$3,IN$60,$IL$4:$IU$4))=0,0,((SUMIF($IL$3:$IU$3,IN$60,$IL116:$IU116))/SUMIF($IL$3:$IU$3,IN$60,$IL$4:$IU$4)))</f>
        <v>0</v>
      </c>
      <c r="IO67" s="196" t="n">
        <f aca="false">IF((SUMIF($IL$3:$IU$3,IO$60,$IL$4:$IU$4))=0,0,((SUMIF($IL$3:$IU$3,IO$60,$IL116:$IU116))/SUMIF($IL$3:$IU$3,IO$60,$IL$4:$IU$4)))</f>
        <v>0</v>
      </c>
      <c r="IP67" s="196" t="n">
        <f aca="false">IF((SUMIF($IL$3:$IU$3,IP$60,$IL$4:$IU$4))=0,0,((SUMIF($IL$3:$IU$3,IP$60,$IL116:$IU116))/SUMIF($IL$3:$IU$3,IP$60,$IL$4:$IU$4)))</f>
        <v>0</v>
      </c>
      <c r="IQ67" s="196" t="n">
        <f aca="false">IF((SUMIF($IL$3:$IU$3,IQ$60,$IL$4:$IU$4))=0,0,((SUMIF($IL$3:$IU$3,IQ$60,$IL116:$IU116))/SUMIF($IL$3:$IU$3,IQ$60,$IL$4:$IU$4)))</f>
        <v>0</v>
      </c>
      <c r="IR67" s="196" t="n">
        <f aca="false">IF((SUMIF($IL$3:$IU$3,IR$60,$IL$4:$IU$4))=0,0,((SUMIF($IL$3:$IU$3,IR$60,$IL116:$IU116))/SUMIF($IL$3:$IU$3,IR$60,$IL$4:$IU$4)))</f>
        <v>0</v>
      </c>
      <c r="IS67" s="196" t="n">
        <f aca="false">IF((SUMIF($IL$3:$IU$3,IS$60,$IL$4:$IU$4))=0,0,((SUMIF($IL$3:$IU$3,IS$60,$IL116:$IU116))/SUMIF($IL$3:$IU$3,IS$60,$IL$4:$IU$4)))</f>
        <v>0</v>
      </c>
      <c r="IT67" s="196" t="n">
        <f aca="false">IF((SUMIF($IL$3:$IU$3,IT$60,$IL$4:$IU$4))=0,0,((SUMIF($IL$3:$IU$3,IT$60,$IL116:$IU116))/SUMIF($IL$3:$IU$3,IT$60,$IL$4:$IU$4)))</f>
        <v>0</v>
      </c>
      <c r="IU67" s="197" t="n">
        <f aca="false">IF((SUMIF($IL$3:$IU$3,IU$60,$IL$4:$IU$4))=0,0,((SUMIF($IL$3:$IU$3,IU$60,$IL116:$IU116))/SUMIF($IL$3:$IU$3,IU$60,$IL$4:$IU$4)))</f>
        <v>0</v>
      </c>
      <c r="IV67" s="194" t="str">
        <f aca="false">IK67</f>
        <v>Alumno6</v>
      </c>
      <c r="IW67" s="195" t="n">
        <f aca="false">IF((SUMIF($IW$3:$JF$3,IW$60,$IW$4:$JF$4))=0,0,((SUMIF($IW$3:$JF$3,IW$60,$IW116:$JF116))/SUMIF($IW$3:$JF$3,IW$60,$IW$4:$JF$4)))</f>
        <v>0</v>
      </c>
      <c r="IX67" s="196" t="n">
        <f aca="false">IF((SUMIF($IW$3:$JF$3,IX$60,$IW$4:$JF$4))=0,0,((SUMIF($IW$3:$JF$3,IX$60,$IW116:$JF116))/SUMIF($IW$3:$JF$3,IX$60,$IW$4:$JF$4)))</f>
        <v>0</v>
      </c>
      <c r="IY67" s="196" t="n">
        <f aca="false">IF((SUMIF($IW$3:$JF$3,IY$60,$IW$4:$JF$4))=0,0,((SUMIF($IW$3:$JF$3,IY$60,$IW116:$JF116))/SUMIF($IW$3:$JF$3,IY$60,$IW$4:$JF$4)))</f>
        <v>0</v>
      </c>
      <c r="IZ67" s="196" t="n">
        <f aca="false">IF((SUMIF($IW$3:$JF$3,IZ$60,$IW$4:$JF$4))=0,0,((SUMIF($IW$3:$JF$3,IZ$60,$IW116:$JF116))/SUMIF($IW$3:$JF$3,IZ$60,$IW$4:$JF$4)))</f>
        <v>0</v>
      </c>
      <c r="JA67" s="196" t="n">
        <f aca="false">IF((SUMIF($IW$3:$JF$3,JA$60,$IW$4:$JF$4))=0,0,((SUMIF($IW$3:$JF$3,JA$60,$IW116:$JF116))/SUMIF($IW$3:$JF$3,JA$60,$IW$4:$JF$4)))</f>
        <v>0</v>
      </c>
      <c r="JB67" s="196" t="n">
        <f aca="false">IF((SUMIF($IW$3:$JF$3,JB$60,$IW$4:$JF$4))=0,0,((SUMIF($IW$3:$JF$3,JB$60,$IW116:$JF116))/SUMIF($IW$3:$JF$3,JB$60,$IW$4:$JF$4)))</f>
        <v>0</v>
      </c>
      <c r="JC67" s="196" t="n">
        <f aca="false">IF((SUMIF($IW$3:$JF$3,JC$60,$IW$4:$JF$4))=0,0,((SUMIF($IW$3:$JF$3,JC$60,$IW116:$JF116))/SUMIF($IW$3:$JF$3,JC$60,$IW$4:$JF$4)))</f>
        <v>0</v>
      </c>
      <c r="JD67" s="196" t="n">
        <f aca="false">IF((SUMIF($IW$3:$JF$3,JD$60,$IW$4:$JF$4))=0,0,((SUMIF($IW$3:$JF$3,JD$60,$IW116:$JF116))/SUMIF($IW$3:$JF$3,JD$60,$IW$4:$JF$4)))</f>
        <v>0</v>
      </c>
      <c r="JE67" s="196" t="n">
        <f aca="false">IF((SUMIF($IW$3:$JF$3,JE$60,$IW$4:$JF$4))=0,0,((SUMIF($IW$3:$JF$3,JE$60,$IW116:$JF116))/SUMIF($IW$3:$JF$3,JE$60,$IW$4:$JF$4)))</f>
        <v>0</v>
      </c>
      <c r="JF67" s="197" t="n">
        <f aca="false">IF((SUMIF($IW$3:$JF$3,JF$60,$IW$4:$JF$4))=0,0,((SUMIF($IW$3:$JF$3,JF$60,$IW116:$JF116))/SUMIF($IW$3:$JF$3,JF$60,$IW$4:$JF$4)))</f>
        <v>0</v>
      </c>
      <c r="JG67" s="194" t="str">
        <f aca="false">IV67</f>
        <v>Alumno6</v>
      </c>
      <c r="JH67" s="195" t="n">
        <f aca="false">IF((SUMIF($JH$3:$JQ$3,JH$60,$JH$4:$JQ$4))=0,0,((SUMIF($JH$3:$JQ$3,JH$60,$JH116:$JQ116))/SUMIF($JH$3:$JQ$3,JH$60,$JH$4:$JQ$4)))</f>
        <v>0</v>
      </c>
      <c r="JI67" s="196" t="n">
        <f aca="false">IF((SUMIF($JH$3:$JQ$3,JI$60,$JH$4:$JQ$4))=0,0,((SUMIF($JH$3:$JQ$3,JI$60,$JH116:$JQ116))/SUMIF($JH$3:$JQ$3,JI$60,$JH$4:$JQ$4)))</f>
        <v>0</v>
      </c>
      <c r="JJ67" s="196" t="n">
        <f aca="false">IF((SUMIF($JH$3:$JQ$3,JJ$60,$JH$4:$JQ$4))=0,0,((SUMIF($JH$3:$JQ$3,JJ$60,$JH116:$JQ116))/SUMIF($JH$3:$JQ$3,JJ$60,$JH$4:$JQ$4)))</f>
        <v>0</v>
      </c>
      <c r="JK67" s="196" t="n">
        <f aca="false">IF((SUMIF($JH$3:$JQ$3,JK$60,$JH$4:$JQ$4))=0,0,((SUMIF($JH$3:$JQ$3,JK$60,$JH116:$JQ116))/SUMIF($JH$3:$JQ$3,JK$60,$JH$4:$JQ$4)))</f>
        <v>0</v>
      </c>
      <c r="JL67" s="196" t="n">
        <f aca="false">IF((SUMIF($JH$3:$JQ$3,JL$60,$JH$4:$JQ$4))=0,0,((SUMIF($JH$3:$JQ$3,JL$60,$JH116:$JQ116))/SUMIF($JH$3:$JQ$3,JL$60,$JH$4:$JQ$4)))</f>
        <v>0</v>
      </c>
      <c r="JM67" s="196" t="n">
        <f aca="false">IF((SUMIF($JH$3:$JQ$3,JM$60,$JH$4:$JQ$4))=0,0,((SUMIF($JH$3:$JQ$3,JM$60,$JH116:$JQ116))/SUMIF($JH$3:$JQ$3,JM$60,$JH$4:$JQ$4)))</f>
        <v>0</v>
      </c>
      <c r="JN67" s="196" t="n">
        <f aca="false">IF((SUMIF($JH$3:$JQ$3,JN$60,$JH$4:$JQ$4))=0,0,((SUMIF($JH$3:$JQ$3,JN$60,$JH116:$JQ116))/SUMIF($JH$3:$JQ$3,JN$60,$JH$4:$JQ$4)))</f>
        <v>0</v>
      </c>
      <c r="JO67" s="196" t="n">
        <f aca="false">IF((SUMIF($JH$3:$JQ$3,JO$60,$JH$4:$JQ$4))=0,0,((SUMIF($JH$3:$JQ$3,JO$60,$JH116:$JQ116))/SUMIF($JH$3:$JQ$3,JO$60,$JH$4:$JQ$4)))</f>
        <v>0</v>
      </c>
      <c r="JP67" s="196" t="n">
        <f aca="false">IF((SUMIF($JH$3:$JQ$3,JP$60,$JH$4:$JQ$4))=0,0,((SUMIF($JH$3:$JQ$3,JP$60,$JH116:$JQ116))/SUMIF($JH$3:$JQ$3,JP$60,$JH$4:$JQ$4)))</f>
        <v>0</v>
      </c>
      <c r="JQ67" s="197" t="n">
        <f aca="false">IF((SUMIF($JH$3:$JQ$3,JQ$60,$JH$4:$JQ$4))=0,0,((SUMIF($JH$3:$JQ$3,JQ$60,$JH116:$JQ116))/SUMIF($JH$3:$JQ$3,JQ$60,$JH$4:$JQ$4)))</f>
        <v>0</v>
      </c>
      <c r="JR67" s="194" t="str">
        <f aca="false">JG67</f>
        <v>Alumno6</v>
      </c>
      <c r="JS67" s="195" t="n">
        <f aca="false">IF((SUMIF($JS$3:$KB$3,JS$60,$JS$4:$KB$4))=0,0,((SUMIF($JS$3:$KB$3,JS$60,$JS116:$KB116))/SUMIF($JS$3:$KB$3,JS$60,$JS$4:$KB$4)))</f>
        <v>0</v>
      </c>
      <c r="JT67" s="196" t="n">
        <f aca="false">IF((SUMIF($JS$3:$KB$3,JT$60,$JS$4:$KB$4))=0,0,((SUMIF($JS$3:$KB$3,JT$60,$JS116:$KB116))/SUMIF($JS$3:$KB$3,JT$60,$JS$4:$KB$4)))</f>
        <v>0</v>
      </c>
      <c r="JU67" s="196" t="n">
        <f aca="false">IF((SUMIF($JS$3:$KB$3,JU$60,$JS$4:$KB$4))=0,0,((SUMIF($JS$3:$KB$3,JU$60,$JS116:$KB116))/SUMIF($JS$3:$KB$3,JU$60,$JS$4:$KB$4)))</f>
        <v>0</v>
      </c>
      <c r="JV67" s="196" t="n">
        <f aca="false">IF((SUMIF($JS$3:$KB$3,JV$60,$JS$4:$KB$4))=0,0,((SUMIF($JS$3:$KB$3,JV$60,$JS116:$KB116))/SUMIF($JS$3:$KB$3,JV$60,$JS$4:$KB$4)))</f>
        <v>0</v>
      </c>
      <c r="JW67" s="196" t="n">
        <f aca="false">IF((SUMIF($JS$3:$KB$3,JW$60,$JS$4:$KB$4))=0,0,((SUMIF($JS$3:$KB$3,JW$60,$JS116:$KB116))/SUMIF($JS$3:$KB$3,JW$60,$JS$4:$KB$4)))</f>
        <v>0</v>
      </c>
      <c r="JX67" s="196" t="n">
        <f aca="false">IF((SUMIF($JS$3:$KB$3,JX$60,$JS$4:$KB$4))=0,0,((SUMIF($JS$3:$KB$3,JX$60,$JS116:$KB116))/SUMIF($JS$3:$KB$3,JX$60,$JS$4:$KB$4)))</f>
        <v>0</v>
      </c>
      <c r="JY67" s="196" t="n">
        <f aca="false">IF((SUMIF($JS$3:$KB$3,JY$60,$JS$4:$KB$4))=0,0,((SUMIF($JS$3:$KB$3,JY$60,$JS116:$KB116))/SUMIF($JS$3:$KB$3,JY$60,$JS$4:$KB$4)))</f>
        <v>0</v>
      </c>
      <c r="JZ67" s="196" t="n">
        <f aca="false">IF((SUMIF($JS$3:$KB$3,JZ$60,$JS$4:$KB$4))=0,0,((SUMIF($JS$3:$KB$3,JZ$60,$JS116:$KB116))/SUMIF($JS$3:$KB$3,JZ$60,$JS$4:$KB$4)))</f>
        <v>0</v>
      </c>
      <c r="KA67" s="196" t="n">
        <f aca="false">IF((SUMIF($JS$3:$KB$3,KA$60,$JS$4:$KB$4))=0,0,((SUMIF($JS$3:$KB$3,KA$60,$JS116:$KB116))/SUMIF($JS$3:$KB$3,KA$60,$JS$4:$KB$4)))</f>
        <v>0</v>
      </c>
      <c r="KB67" s="197" t="n">
        <f aca="false">IF((SUMIF($JS$3:$KB$3,KB$60,$JS$4:$KB$4))=0,0,((SUMIF($JS$3:$KB$3,KB$60,$JS116:$KB116))/SUMIF($JS$3:$KB$3,KB$60,$JS$4:$KB$4)))</f>
        <v>0</v>
      </c>
      <c r="KC67" s="194" t="str">
        <f aca="false">JR67</f>
        <v>Alumno6</v>
      </c>
      <c r="KD67" s="195" t="n">
        <f aca="false">IF((SUMIF($KD$3:$KM$3,KD$60,$KD$4:$KM$4))=0,0,((SUMIF($KD$3:$KM$3,KD$60,$KD116:$KM116))/SUMIF($KD$3:$KM$3,KD$60,$KD$4:$KM$4)))</f>
        <v>0</v>
      </c>
      <c r="KE67" s="196" t="n">
        <f aca="false">IF((SUMIF($KD$3:$KM$3,KE$60,$KD$4:$KM$4))=0,0,((SUMIF($KD$3:$KM$3,KE$60,$KD116:$KM116))/SUMIF($KD$3:$KM$3,KE$60,$KD$4:$KM$4)))</f>
        <v>0</v>
      </c>
      <c r="KF67" s="196" t="n">
        <f aca="false">IF((SUMIF($KD$3:$KM$3,KF$60,$KD$4:$KM$4))=0,0,((SUMIF($KD$3:$KM$3,KF$60,$KD116:$KM116))/SUMIF($KD$3:$KM$3,KF$60,$KD$4:$KM$4)))</f>
        <v>0</v>
      </c>
      <c r="KG67" s="196" t="n">
        <f aca="false">IF((SUMIF($KD$3:$KM$3,KG$60,$KD$4:$KM$4))=0,0,((SUMIF($KD$3:$KM$3,KG$60,$KD116:$KM116))/SUMIF($KD$3:$KM$3,KG$60,$KD$4:$KM$4)))</f>
        <v>0</v>
      </c>
      <c r="KH67" s="196" t="n">
        <f aca="false">IF((SUMIF($KD$3:$KM$3,KH$60,$KD$4:$KM$4))=0,0,((SUMIF($KD$3:$KM$3,KH$60,$KD116:$KM116))/SUMIF($KD$3:$KM$3,KH$60,$KD$4:$KM$4)))</f>
        <v>0</v>
      </c>
      <c r="KI67" s="196" t="n">
        <f aca="false">IF((SUMIF($KD$3:$KM$3,KI$60,$KD$4:$KM$4))=0,0,((SUMIF($KD$3:$KM$3,KI$60,$KD116:$KM116))/SUMIF($KD$3:$KM$3,KI$60,$KD$4:$KM$4)))</f>
        <v>0</v>
      </c>
      <c r="KJ67" s="196" t="n">
        <f aca="false">IF((SUMIF($KD$3:$KM$3,KJ$60,$KD$4:$KM$4))=0,0,((SUMIF($KD$3:$KM$3,KJ$60,$KD116:$KM116))/SUMIF($KD$3:$KM$3,KJ$60,$KD$4:$KM$4)))</f>
        <v>0</v>
      </c>
      <c r="KK67" s="196" t="n">
        <f aca="false">IF((SUMIF($KD$3:$KM$3,KK$60,$KD$4:$KM$4))=0,0,((SUMIF($KD$3:$KM$3,KK$60,$KD116:$KM116))/SUMIF($KD$3:$KM$3,KK$60,$KD$4:$KM$4)))</f>
        <v>0</v>
      </c>
      <c r="KL67" s="196" t="n">
        <f aca="false">IF((SUMIF($KD$3:$KM$3,KL$60,$KD$4:$KM$4))=0,0,((SUMIF($KD$3:$KM$3,KL$60,$KD116:$KM116))/SUMIF($KD$3:$KM$3,KL$60,$KD$4:$KM$4)))</f>
        <v>0</v>
      </c>
      <c r="KM67" s="197" t="n">
        <f aca="false">IF((SUMIF($KD$3:$KM$3,KM$60,$KD$4:$KM$4))=0,0,((SUMIF($KD$3:$KM$3,KM$60,$KD116:$KM116))/SUMIF($KD$3:$KM$3,KM$60,$KD$4:$KM$4)))</f>
        <v>0</v>
      </c>
      <c r="KN67" s="194" t="str">
        <f aca="false">KC67</f>
        <v>Alumno6</v>
      </c>
      <c r="KO67" s="195" t="n">
        <f aca="false">IF((SUMIF($KO$3:$KX$3,KO$60,$KO$4:$KX$4))=0,0,((SUMIF($KO$3:$KX$3,KO$60,$KO116:$KX116))/SUMIF($KO$3:$KX$3,KO$60,$KO$4:$KX$4)))</f>
        <v>0</v>
      </c>
      <c r="KP67" s="196" t="n">
        <f aca="false">IF((SUMIF($KO$3:$KX$3,KP$60,$KO$4:$KX$4))=0,0,((SUMIF($KO$3:$KX$3,KP$60,$KO116:$KX116))/SUMIF($KO$3:$KX$3,KP$60,$KO$4:$KX$4)))</f>
        <v>0</v>
      </c>
      <c r="KQ67" s="196" t="n">
        <f aca="false">IF((SUMIF($KO$3:$KX$3,KQ$60,$KO$4:$KX$4))=0,0,((SUMIF($KO$3:$KX$3,KQ$60,$KO116:$KX116))/SUMIF($KO$3:$KX$3,KQ$60,$KO$4:$KX$4)))</f>
        <v>0</v>
      </c>
      <c r="KR67" s="196" t="n">
        <f aca="false">IF((SUMIF($KO$3:$KX$3,KR$60,$KO$4:$KX$4))=0,0,((SUMIF($KO$3:$KX$3,KR$60,$KO116:$KX116))/SUMIF($KO$3:$KX$3,KR$60,$KO$4:$KX$4)))</f>
        <v>0</v>
      </c>
      <c r="KS67" s="196" t="n">
        <f aca="false">IF((SUMIF($KO$3:$KX$3,KS$60,$KO$4:$KX$4))=0,0,((SUMIF($KO$3:$KX$3,KS$60,$KO116:$KX116))/SUMIF($KO$3:$KX$3,KS$60,$KO$4:$KX$4)))</f>
        <v>0</v>
      </c>
      <c r="KT67" s="196" t="n">
        <f aca="false">IF((SUMIF($KO$3:$KX$3,KT$60,$KO$4:$KX$4))=0,0,((SUMIF($KO$3:$KX$3,KT$60,$KO116:$KX116))/SUMIF($KO$3:$KX$3,KT$60,$KO$4:$KX$4)))</f>
        <v>0</v>
      </c>
      <c r="KU67" s="196" t="n">
        <f aca="false">IF((SUMIF($KO$3:$KX$3,KU$60,$KO$4:$KX$4))=0,0,((SUMIF($KO$3:$KX$3,KU$60,$KO116:$KX116))/SUMIF($KO$3:$KX$3,KU$60,$KO$4:$KX$4)))</f>
        <v>0</v>
      </c>
      <c r="KV67" s="196" t="n">
        <f aca="false">IF((SUMIF($KO$3:$KX$3,KV$60,$KO$4:$KX$4))=0,0,((SUMIF($KO$3:$KX$3,KV$60,$KO116:$KX116))/SUMIF($KO$3:$KX$3,KV$60,$KO$4:$KX$4)))</f>
        <v>0</v>
      </c>
      <c r="KW67" s="196" t="n">
        <f aca="false">IF((SUMIF($KO$3:$KX$3,KW$60,$KO$4:$KX$4))=0,0,((SUMIF($KO$3:$KX$3,KW$60,$KO116:$KX116))/SUMIF($KO$3:$KX$3,KW$60,$KO$4:$KX$4)))</f>
        <v>0</v>
      </c>
      <c r="KX67" s="197" t="n">
        <f aca="false">IF((SUMIF($KO$3:$KX$3,KX$60,$KO$4:$KX$4))=0,0,((SUMIF($KO$3:$KX$3,KX$60,$KO116:$KX116))/SUMIF($KO$3:$KX$3,KX$60,$KO$4:$KX$4)))</f>
        <v>0</v>
      </c>
      <c r="KY67" s="194" t="str">
        <f aca="false">KN67</f>
        <v>Alumno6</v>
      </c>
      <c r="KZ67" s="195" t="n">
        <f aca="false">IF((SUMIF($KZ$3:$LI$3,KZ$60,$KZ$4:$LI$4))=0,0,((SUMIF($KZ$3:$LI$3,KZ$60,$KZ116:$LI116))/SUMIF($KZ$3:$LI$3,KZ$60,$KZ$4:$LI$4)))</f>
        <v>0</v>
      </c>
      <c r="LA67" s="196" t="n">
        <f aca="false">IF((SUMIF($KZ$3:$LI$3,LA$60,$KZ$4:$LI$4))=0,0,((SUMIF($KZ$3:$LI$3,LA$60,$KZ116:$LI116))/SUMIF($KZ$3:$LI$3,LA$60,$KZ$4:$LI$4)))</f>
        <v>0</v>
      </c>
      <c r="LB67" s="196" t="n">
        <f aca="false">IF((SUMIF($KZ$3:$LI$3,LB$60,$KZ$4:$LI$4))=0,0,((SUMIF($KZ$3:$LI$3,LB$60,$KZ116:$LI116))/SUMIF($KZ$3:$LI$3,LB$60,$KZ$4:$LI$4)))</f>
        <v>0</v>
      </c>
      <c r="LC67" s="196" t="n">
        <f aca="false">IF((SUMIF($KZ$3:$LI$3,LC$60,$KZ$4:$LI$4))=0,0,((SUMIF($KZ$3:$LI$3,LC$60,$KZ116:$LI116))/SUMIF($KZ$3:$LI$3,LC$60,$KZ$4:$LI$4)))</f>
        <v>0</v>
      </c>
      <c r="LD67" s="196" t="n">
        <f aca="false">IF((SUMIF($KZ$3:$LI$3,LD$60,$KZ$4:$LI$4))=0,0,((SUMIF($KZ$3:$LI$3,LD$60,$KZ116:$LI116))/SUMIF($KZ$3:$LI$3,LD$60,$KZ$4:$LI$4)))</f>
        <v>0</v>
      </c>
      <c r="LE67" s="196" t="n">
        <f aca="false">IF((SUMIF($KZ$3:$LI$3,LE$60,$KZ$4:$LI$4))=0,0,((SUMIF($KZ$3:$LI$3,LE$60,$KZ116:$LI116))/SUMIF($KZ$3:$LI$3,LE$60,$KZ$4:$LI$4)))</f>
        <v>0</v>
      </c>
      <c r="LF67" s="196" t="n">
        <f aca="false">IF((SUMIF($KZ$3:$LI$3,LF$60,$KZ$4:$LI$4))=0,0,((SUMIF($KZ$3:$LI$3,LF$60,$KZ116:$LI116))/SUMIF($KZ$3:$LI$3,LF$60,$KZ$4:$LI$4)))</f>
        <v>0</v>
      </c>
      <c r="LG67" s="196" t="n">
        <f aca="false">IF((SUMIF($KZ$3:$LI$3,LG$60,$KZ$4:$LI$4))=0,0,((SUMIF($KZ$3:$LI$3,LG$60,$KZ116:$LI116))/SUMIF($KZ$3:$LI$3,LG$60,$KZ$4:$LI$4)))</f>
        <v>0</v>
      </c>
      <c r="LH67" s="196" t="n">
        <f aca="false">IF((SUMIF($KZ$3:$LI$3,LH$60,$KZ$4:$LI$4))=0,0,((SUMIF($KZ$3:$LI$3,LH$60,$KZ116:$LI116))/SUMIF($KZ$3:$LI$3,LH$60,$KZ$4:$LI$4)))</f>
        <v>0</v>
      </c>
      <c r="LI67" s="197" t="n">
        <f aca="false">IF((SUMIF($KZ$3:$LI$3,LI$60,$KZ$4:$LI$4))=0,0,((SUMIF($KZ$3:$LI$3,LI$60,$KZ116:$LI116))/SUMIF($KZ$3:$LI$3,LI$60,$KZ$4:$LI$4)))</f>
        <v>0</v>
      </c>
      <c r="LJ67" s="194" t="str">
        <f aca="false">KY67</f>
        <v>Alumno6</v>
      </c>
      <c r="LK67" s="195" t="n">
        <f aca="false">IF((SUMIF($LK$3:$LT$3,LK$60,$LK$4:$LT$4))=0,0,((SUMIF($LK$3:$LT$3,LK$60,$LK116:$LT116))/SUMIF($LK$3:$LT$3,LK$60,$LK$4:$LT$4)))</f>
        <v>0</v>
      </c>
      <c r="LL67" s="196" t="n">
        <f aca="false">IF((SUMIF($LK$3:$LT$3,LL$60,$LK$4:$LT$4))=0,0,((SUMIF($LK$3:$LT$3,LL$60,$LK116:$LT116))/SUMIF($LK$3:$LT$3,LL$60,$LK$4:$LT$4)))</f>
        <v>0</v>
      </c>
      <c r="LM67" s="196" t="n">
        <f aca="false">IF((SUMIF($LK$3:$LT$3,LM$60,$LK$4:$LT$4))=0,0,((SUMIF($LK$3:$LT$3,LM$60,$LK116:$LT116))/SUMIF($LK$3:$LT$3,LM$60,$LK$4:$LT$4)))</f>
        <v>0</v>
      </c>
      <c r="LN67" s="196" t="n">
        <f aca="false">IF((SUMIF($LK$3:$LT$3,LN$60,$LK$4:$LT$4))=0,0,((SUMIF($LK$3:$LT$3,LN$60,$LK116:$LT116))/SUMIF($LK$3:$LT$3,LN$60,$LK$4:$LT$4)))</f>
        <v>0</v>
      </c>
      <c r="LO67" s="196" t="n">
        <f aca="false">IF((SUMIF($LK$3:$LT$3,LO$60,$LK$4:$LT$4))=0,0,((SUMIF($LK$3:$LT$3,LO$60,$LK116:$LT116))/SUMIF($LK$3:$LT$3,LO$60,$LK$4:$LT$4)))</f>
        <v>0</v>
      </c>
      <c r="LP67" s="196" t="n">
        <f aca="false">IF((SUMIF($LK$3:$LT$3,LP$60,$LK$4:$LT$4))=0,0,((SUMIF($LK$3:$LT$3,LP$60,$LK116:$LT116))/SUMIF($LK$3:$LT$3,LP$60,$LK$4:$LT$4)))</f>
        <v>0</v>
      </c>
      <c r="LQ67" s="196" t="n">
        <f aca="false">IF((SUMIF($LK$3:$LT$3,LQ$60,$LK$4:$LT$4))=0,0,((SUMIF($LK$3:$LT$3,LQ$60,$LK116:$LT116))/SUMIF($LK$3:$LT$3,LQ$60,$LK$4:$LT$4)))</f>
        <v>0</v>
      </c>
      <c r="LR67" s="196" t="n">
        <f aca="false">IF((SUMIF($LK$3:$LT$3,LR$60,$LK$4:$LT$4))=0,0,((SUMIF($LK$3:$LT$3,LR$60,$LK116:$LT116))/SUMIF($LK$3:$LT$3,LR$60,$LK$4:$LT$4)))</f>
        <v>0</v>
      </c>
      <c r="LS67" s="196" t="n">
        <f aca="false">IF((SUMIF($LK$3:$LT$3,LS$60,$LK$4:$LT$4))=0,0,((SUMIF($LK$3:$LT$3,LS$60,$LK116:$LT116))/SUMIF($LK$3:$LT$3,LS$60,$LK$4:$LT$4)))</f>
        <v>0</v>
      </c>
      <c r="LT67" s="197" t="n">
        <f aca="false">IF((SUMIF($LK$3:$LT$3,LT$60,$LK$4:$LT$4))=0,0,((SUMIF($LK$3:$LT$3,LT$60,$LK116:$LT116))/SUMIF($LK$3:$LT$3,LT$60,$LK$4:$LT$4)))</f>
        <v>0</v>
      </c>
    </row>
    <row r="68" customFormat="false" ht="15" hidden="true" customHeight="false" outlineLevel="0" collapsed="false">
      <c r="C68" s="194" t="str">
        <f aca="false">B12</f>
        <v>Alumno7</v>
      </c>
      <c r="D68" s="195" t="n">
        <f aca="false">IF((SUMIF($D$3:$M$3,D$60,$D$4:$M$4))=0,0,((SUMIF($D$3:$M$3,D$60,$D117:$M117))/SUMIF($D$3:$M$3,D$60,$D$4:$M$4)))</f>
        <v>8.85</v>
      </c>
      <c r="E68" s="196" t="n">
        <f aca="false">IF((SUMIF($D$3:$M$3,E$60,$D$4:$M$4))=0,0,((SUMIF($D$3:$M$3,E$60,$D117:$M117))/SUMIF($D$3:$M$3,E$60,$D$4:$M$4)))</f>
        <v>0</v>
      </c>
      <c r="F68" s="196" t="n">
        <f aca="false">IF((SUMIF($D$3:$M$3,F$60,$D$4:$M$4))=0,0,((SUMIF($D$3:$M$3,F$60,$D117:$M117))/SUMIF($D$3:$M$3,F$60,$D$4:$M$4)))</f>
        <v>0</v>
      </c>
      <c r="G68" s="196" t="n">
        <f aca="false">IF((SUMIF($D$3:$M$3,G$60,$D$4:$M$4))=0,0,((SUMIF($D$3:$M$3,G$60,$D117:$M117))/SUMIF($D$3:$M$3,G$60,$D$4:$M$4)))</f>
        <v>0</v>
      </c>
      <c r="H68" s="196" t="n">
        <f aca="false">IF((SUMIF($D$3:$M$3,H$60,$D$4:$M$4))=0,0,((SUMIF($D$3:$M$3,H$60,$D117:$M117))/SUMIF($D$3:$M$3,H$60,$D$4:$M$4)))</f>
        <v>0</v>
      </c>
      <c r="I68" s="196" t="n">
        <f aca="false">IF((SUMIF($D$3:$M$3,I$60,$D$4:$M$4))=0,0,((SUMIF($D$3:$M$3,I$60,$D117:$M117))/SUMIF($D$3:$M$3,I$60,$D$4:$M$4)))</f>
        <v>0</v>
      </c>
      <c r="J68" s="196" t="n">
        <f aca="false">IF((SUMIF($D$3:$M$3,J$60,$D$4:$M$4))=0,0,((SUMIF($D$3:$M$3,J$60,$D117:$M117))/SUMIF($D$3:$M$3,J$60,$D$4:$M$4)))</f>
        <v>0</v>
      </c>
      <c r="K68" s="196" t="n">
        <f aca="false">IF((SUMIF($D$3:$M$3,K$60,$D$4:$M$4))=0,0,((SUMIF($D$3:$M$3,K$60,$D117:$M117))/SUMIF($D$3:$M$3,K$60,$D$4:$M$4)))</f>
        <v>0</v>
      </c>
      <c r="L68" s="196" t="n">
        <f aca="false">IF((SUMIF($D$3:$M$3,L$60,$D$4:$M$4))=0,0,((SUMIF($D$3:$M$3,L$60,$D117:$M117))/SUMIF($D$3:$M$3,L$60,$D$4:$M$4)))</f>
        <v>0</v>
      </c>
      <c r="M68" s="197" t="n">
        <f aca="false">IF((SUMIF($D$3:$M$3,M$60,$D$4:$M$4))=0,0,((SUMIF($D$3:$M$3,M$60,$D117:$M117))/SUMIF($D$3:$M$3,M$60,$D$4:$M$4)))</f>
        <v>0</v>
      </c>
      <c r="N68" s="194" t="str">
        <f aca="false">C68</f>
        <v>Alumno7</v>
      </c>
      <c r="O68" s="195" t="n">
        <f aca="false">IF((SUMIF($O$3:$X$3,O$60,$O$4:$X$4))=0,0,((SUMIF($O$3:$X$3,O$60,$O117:$X117))/SUMIF($O$3:$X$3,O$60,$O$4:$X$4)))</f>
        <v>9</v>
      </c>
      <c r="P68" s="196" t="n">
        <f aca="false">IF((SUMIF($O$3:$X$3,P$60,$O$4:$X$4))=0,0,((SUMIF($O$3:$X$3,P$60,$O117:$X117))/SUMIF($O$3:$X$3,P$60,$O$4:$X$4)))</f>
        <v>9</v>
      </c>
      <c r="Q68" s="196" t="n">
        <f aca="false">IF((SUMIF($O$3:$X$3,Q$60,$O$4:$X$4))=0,0,((SUMIF($O$3:$X$3,Q$60,$O117:$X117))/SUMIF($O$3:$X$3,Q$60,$O$4:$X$4)))</f>
        <v>0</v>
      </c>
      <c r="R68" s="196" t="n">
        <f aca="false">IF((SUMIF($O$3:$X$3,R$60,$O$4:$X$4))=0,0,((SUMIF($O$3:$X$3,R$60,$O117:$X117))/SUMIF($O$3:$X$3,R$60,$O$4:$X$4)))</f>
        <v>0</v>
      </c>
      <c r="S68" s="196" t="n">
        <f aca="false">IF((SUMIF($O$3:$X$3,S$60,$O$4:$X$4))=0,0,((SUMIF($O$3:$X$3,S$60,$O117:$X117))/SUMIF($O$3:$X$3,S$60,$O$4:$X$4)))</f>
        <v>0</v>
      </c>
      <c r="T68" s="196" t="n">
        <f aca="false">IF((SUMIF($O$3:$X$3,T$60,$O$4:$X$4))=0,0,((SUMIF($O$3:$X$3,T$60,$O117:$X117))/SUMIF($O$3:$X$3,T$60,$O$4:$X$4)))</f>
        <v>0</v>
      </c>
      <c r="U68" s="196" t="n">
        <f aca="false">IF((SUMIF($O$3:$X$3,U$60,$O$4:$X$4))=0,0,((SUMIF($O$3:$X$3,U$60,$O117:$X117))/SUMIF($O$3:$X$3,U$60,$O$4:$X$4)))</f>
        <v>0</v>
      </c>
      <c r="V68" s="196" t="n">
        <f aca="false">IF((SUMIF($O$3:$X$3,V$60,$O$4:$X$4))=0,0,((SUMIF($O$3:$X$3,V$60,$O117:$X117))/SUMIF($O$3:$X$3,V$60,$O$4:$X$4)))</f>
        <v>0</v>
      </c>
      <c r="W68" s="196" t="n">
        <f aca="false">IF((SUMIF($O$3:$X$3,W$60,$O$4:$X$4))=0,0,((SUMIF($O$3:$X$3,W$60,$O117:$X117))/SUMIF($O$3:$X$3,W$60,$O$4:$X$4)))</f>
        <v>0</v>
      </c>
      <c r="X68" s="197" t="n">
        <f aca="false">IF((SUMIF($O$3:$X$3,X$60,$O$4:$X$4))=0,0,((SUMIF($O$3:$X$3,X$60,$O117:$X117))/SUMIF($O$3:$X$3,X$60,$O$4:$X$4)))</f>
        <v>0</v>
      </c>
      <c r="Y68" s="194" t="str">
        <f aca="false">N68</f>
        <v>Alumno7</v>
      </c>
      <c r="Z68" s="195" t="n">
        <f aca="false">IF((SUMIF($Z$3:$AI$3,Z$60,$Z$4:$AI$4))=0,0,((SUMIF($Z$3:$AI$3,Z$60,$Z117:$AI117))/SUMIF($Z$3:$AI$3,Z$60,$Z$4:$AI$4)))</f>
        <v>9</v>
      </c>
      <c r="AA68" s="196" t="n">
        <f aca="false">IF((SUMIF($Z$3:$AI$3,AA$60,$Z$4:$AI$4))=0,0,((SUMIF($Z$3:$AI$3,AA$60,$Z117:$AI117))/SUMIF($Z$3:$AI$3,AA$60,$Z$4:$AI$4)))</f>
        <v>9</v>
      </c>
      <c r="AB68" s="196" t="n">
        <f aca="false">IF((SUMIF($Z$3:$AI$3,AB$60,$Z$4:$AI$4))=0,0,((SUMIF($Z$3:$AI$3,AB$60,$Z117:$AI117))/SUMIF($Z$3:$AI$3,AB$60,$Z$4:$AI$4)))</f>
        <v>9</v>
      </c>
      <c r="AC68" s="196" t="n">
        <f aca="false">IF((SUMIF($Z$3:$AI$3,AC$60,$Z$4:$AI$4))=0,0,((SUMIF($Z$3:$AI$3,AC$60,$Z117:$AI117))/SUMIF($Z$3:$AI$3,AC$60,$Z$4:$AI$4)))</f>
        <v>0</v>
      </c>
      <c r="AD68" s="196" t="n">
        <f aca="false">IF((SUMIF($Z$3:$AI$3,AD$60,$Z$4:$AI$4))=0,0,((SUMIF($Z$3:$AI$3,AD$60,$Z117:$AI117))/SUMIF($Z$3:$AI$3,AD$60,$Z$4:$AI$4)))</f>
        <v>0</v>
      </c>
      <c r="AE68" s="196" t="n">
        <f aca="false">IF((SUMIF($Z$3:$AI$3,AE$60,$Z$4:$AI$4))=0,0,((SUMIF($Z$3:$AI$3,AE$60,$Z117:$AI117))/SUMIF($Z$3:$AI$3,AE$60,$Z$4:$AI$4)))</f>
        <v>0</v>
      </c>
      <c r="AF68" s="196" t="n">
        <f aca="false">IF((SUMIF($Z$3:$AI$3,AF$60,$Z$4:$AI$4))=0,0,((SUMIF($Z$3:$AI$3,AF$60,$Z117:$AI117))/SUMIF($Z$3:$AI$3,AF$60,$Z$4:$AI$4)))</f>
        <v>0</v>
      </c>
      <c r="AG68" s="196" t="n">
        <f aca="false">IF((SUMIF($Z$3:$AI$3,AG$60,$Z$4:$AI$4))=0,0,((SUMIF($Z$3:$AI$3,AG$60,$Z117:$AI117))/SUMIF($Z$3:$AI$3,AG$60,$Z$4:$AI$4)))</f>
        <v>0</v>
      </c>
      <c r="AH68" s="196" t="n">
        <f aca="false">IF((SUMIF($Z$3:$AI$3,AH$60,$Z$4:$AI$4))=0,0,((SUMIF($Z$3:$AI$3,AH$60,$Z117:$AI117))/SUMIF($Z$3:$AI$3,AH$60,$Z$4:$AI$4)))</f>
        <v>0</v>
      </c>
      <c r="AI68" s="197" t="n">
        <f aca="false">IF((SUMIF($Z$3:$AI$3,AI$60,$Z$4:$AI$4))=0,0,((SUMIF($Z$3:$AI$3,AI$60,$Z117:$AI117))/SUMIF($Z$3:$AI$3,AI$60,$Z$4:$AI$4)))</f>
        <v>0</v>
      </c>
      <c r="AJ68" s="194" t="str">
        <f aca="false">Y68</f>
        <v>Alumno7</v>
      </c>
      <c r="AK68" s="195" t="n">
        <f aca="false">IF((SUMIF($AK$3:$AT$3,AK$60,$AK$4:$AT$4))=0,0,((SUMIF($AK$3:$AT$3,AK$60,$AK117:$AT117))/SUMIF($AK$3:$AT$3,AK$60,$AK$4:$AT$4)))</f>
        <v>9</v>
      </c>
      <c r="AL68" s="196" t="n">
        <f aca="false">IF((SUMIF($AK$3:$AT$3,AL$60,$AK$4:$AT$4))=0,0,((SUMIF($AK$3:$AT$3,AL$60,$AK117:$AT117))/SUMIF($AK$3:$AT$3,AL$60,$AK$4:$AT$4)))</f>
        <v>9</v>
      </c>
      <c r="AM68" s="196" t="n">
        <f aca="false">IF((SUMIF($AK$3:$AT$3,AM$60,$AK$4:$AT$4))=0,0,((SUMIF($AK$3:$AT$3,AM$60,$AK117:$AT117))/SUMIF($AK$3:$AT$3,AM$60,$AK$4:$AT$4)))</f>
        <v>9</v>
      </c>
      <c r="AN68" s="196" t="n">
        <f aca="false">IF((SUMIF($AK$3:$AT$3,AN$60,$AK$4:$AT$4))=0,0,((SUMIF($AK$3:$AT$3,AN$60,$AK117:$AT117))/SUMIF($AK$3:$AT$3,AN$60,$AK$4:$AT$4)))</f>
        <v>0</v>
      </c>
      <c r="AO68" s="196" t="n">
        <f aca="false">IF((SUMIF($AK$3:$AT$3,AO$60,$AK$4:$AT$4))=0,0,((SUMIF($AK$3:$AT$3,AO$60,$AK117:$AT117))/SUMIF($AK$3:$AT$3,AO$60,$AK$4:$AT$4)))</f>
        <v>0</v>
      </c>
      <c r="AP68" s="196" t="n">
        <f aca="false">IF((SUMIF($AK$3:$AT$3,AP$60,$AK$4:$AT$4))=0,0,((SUMIF($AK$3:$AT$3,AP$60,$AK117:$AT117))/SUMIF($AK$3:$AT$3,AP$60,$AK$4:$AT$4)))</f>
        <v>0</v>
      </c>
      <c r="AQ68" s="196" t="n">
        <f aca="false">IF((SUMIF($AK$3:$AT$3,AQ$60,$AK$4:$AT$4))=0,0,((SUMIF($AK$3:$AT$3,AQ$60,$AK117:$AT117))/SUMIF($AK$3:$AT$3,AQ$60,$AK$4:$AT$4)))</f>
        <v>0</v>
      </c>
      <c r="AR68" s="196" t="n">
        <f aca="false">IF((SUMIF($AK$3:$AT$3,AR$60,$AK$4:$AT$4))=0,0,((SUMIF($AK$3:$AT$3,AR$60,$AK117:$AT117))/SUMIF($AK$3:$AT$3,AR$60,$AK$4:$AT$4)))</f>
        <v>0</v>
      </c>
      <c r="AS68" s="196" t="n">
        <f aca="false">IF((SUMIF($AK$3:$AT$3,AS$60,$AK$4:$AT$4))=0,0,((SUMIF($AK$3:$AT$3,AS$60,$AK117:$AT117))/SUMIF($AK$3:$AT$3,AS$60,$AK$4:$AT$4)))</f>
        <v>0</v>
      </c>
      <c r="AT68" s="197" t="n">
        <f aca="false">IF((SUMIF($AK$3:$AT$3,AT$60,$AK$4:$AT$4))=0,0,((SUMIF($AK$3:$AT$3,AT$60,$AK117:$AT117))/SUMIF($AK$3:$AT$3,AT$60,$AK$4:$AT$4)))</f>
        <v>0</v>
      </c>
      <c r="AU68" s="194" t="str">
        <f aca="false">AJ68</f>
        <v>Alumno7</v>
      </c>
      <c r="AV68" s="195" t="n">
        <f aca="false">IF((SUMIF($AV$3:$BE$3,AV$60,$AV$4:$BE$4))=0,0,((SUMIF($AV$3:$BE$3,AV$60,$AV117:$BE117))/SUMIF($AV$3:$BE$3,AV$60,$AV$4:$BE$4)))</f>
        <v>9</v>
      </c>
      <c r="AW68" s="196" t="n">
        <f aca="false">IF((SUMIF($AV$3:$BE$3,AW$60,$AV$4:$BE$4))=0,0,((SUMIF($AV$3:$BE$3,AW$60,$AV117:$BE117))/SUMIF($AV$3:$BE$3,AW$60,$AV$4:$BE$4)))</f>
        <v>9</v>
      </c>
      <c r="AX68" s="196" t="n">
        <f aca="false">IF((SUMIF($AV$3:$BE$3,AX$60,$AV$4:$BE$4))=0,0,((SUMIF($AV$3:$BE$3,AX$60,$AV117:$BE117))/SUMIF($AV$3:$BE$3,AX$60,$AV$4:$BE$4)))</f>
        <v>9</v>
      </c>
      <c r="AY68" s="196" t="n">
        <f aca="false">IF((SUMIF($AV$3:$BE$3,AY$60,$AV$4:$BE$4))=0,0,((SUMIF($AV$3:$BE$3,AY$60,$AV117:$BE117))/SUMIF($AV$3:$BE$3,AY$60,$AV$4:$BE$4)))</f>
        <v>9</v>
      </c>
      <c r="AZ68" s="196" t="n">
        <f aca="false">IF((SUMIF($AV$3:$BE$3,AZ$60,$AV$4:$BE$4))=0,0,((SUMIF($AV$3:$BE$3,AZ$60,$AV117:$BE117))/SUMIF($AV$3:$BE$3,AZ$60,$AV$4:$BE$4)))</f>
        <v>0</v>
      </c>
      <c r="BA68" s="196" t="n">
        <f aca="false">IF((SUMIF($AV$3:$BE$3,BA$60,$AV$4:$BE$4))=0,0,((SUMIF($AV$3:$BE$3,BA$60,$AV117:$BE117))/SUMIF($AV$3:$BE$3,BA$60,$AV$4:$BE$4)))</f>
        <v>0</v>
      </c>
      <c r="BB68" s="196" t="n">
        <f aca="false">IF((SUMIF($AV$3:$BE$3,BB$60,$AV$4:$BE$4))=0,0,((SUMIF($AV$3:$BE$3,BB$60,$AV117:$BE117))/SUMIF($AV$3:$BE$3,BB$60,$AV$4:$BE$4)))</f>
        <v>0</v>
      </c>
      <c r="BC68" s="196" t="n">
        <f aca="false">IF((SUMIF($AV$3:$BE$3,BC$60,$AV$4:$BE$4))=0,0,((SUMIF($AV$3:$BE$3,BC$60,$AV117:$BE117))/SUMIF($AV$3:$BE$3,BC$60,$AV$4:$BE$4)))</f>
        <v>0</v>
      </c>
      <c r="BD68" s="196" t="n">
        <f aca="false">IF((SUMIF($AV$3:$BE$3,BD$60,$AV$4:$BE$4))=0,0,((SUMIF($AV$3:$BE$3,BD$60,$AV117:$BE117))/SUMIF($AV$3:$BE$3,BD$60,$AV$4:$BE$4)))</f>
        <v>0</v>
      </c>
      <c r="BE68" s="197" t="n">
        <f aca="false">IF((SUMIF($AV$3:$BE$3,BE$60,$AV$4:$BE$4))=0,0,((SUMIF($AV$3:$BE$3,BE$60,$AV117:$BE117))/SUMIF($AV$3:$BE$3,BE$60,$AV$4:$BE$4)))</f>
        <v>0</v>
      </c>
      <c r="BF68" s="194" t="str">
        <f aca="false">AU68</f>
        <v>Alumno7</v>
      </c>
      <c r="BG68" s="195" t="n">
        <f aca="false">IF((SUMIF($BG$3:$BP$3,BG$60,$BG$4:$BP$4))=0,0,((SUMIF($BG$3:$BP$3,BG$60,$BG117:$BP117))/SUMIF($BG$3:$BP$3,BG$60,$BG$4:$BP$4)))</f>
        <v>9</v>
      </c>
      <c r="BH68" s="196" t="n">
        <f aca="false">IF((SUMIF($BG$3:$BP$3,BH$60,$BG$4:$BP$4))=0,0,((SUMIF($BG$3:$BP$3,BH$60,$BG117:$BP117))/SUMIF($BG$3:$BP$3,BH$60,$BG$4:$BP$4)))</f>
        <v>9</v>
      </c>
      <c r="BI68" s="196" t="n">
        <f aca="false">IF((SUMIF($BG$3:$BP$3,BI$60,$BG$4:$BP$4))=0,0,((SUMIF($BG$3:$BP$3,BI$60,$BG117:$BP117))/SUMIF($BG$3:$BP$3,BI$60,$BG$4:$BP$4)))</f>
        <v>9</v>
      </c>
      <c r="BJ68" s="196" t="n">
        <f aca="false">IF((SUMIF($BG$3:$BP$3,BJ$60,$BG$4:$BP$4))=0,0,((SUMIF($BG$3:$BP$3,BJ$60,$BG117:$BP117))/SUMIF($BG$3:$BP$3,BJ$60,$BG$4:$BP$4)))</f>
        <v>9</v>
      </c>
      <c r="BK68" s="196" t="n">
        <f aca="false">IF((SUMIF($BG$3:$BP$3,BK$60,$BG$4:$BP$4))=0,0,((SUMIF($BG$3:$BP$3,BK$60,$BG117:$BP117))/SUMIF($BG$3:$BP$3,BK$60,$BG$4:$BP$4)))</f>
        <v>0</v>
      </c>
      <c r="BL68" s="196" t="n">
        <f aca="false">IF((SUMIF($BG$3:$BP$3,BL$60,$BG$4:$BP$4))=0,0,((SUMIF($BG$3:$BP$3,BL$60,$BG117:$BP117))/SUMIF($BG$3:$BP$3,BL$60,$BG$4:$BP$4)))</f>
        <v>0</v>
      </c>
      <c r="BM68" s="196" t="n">
        <f aca="false">IF((SUMIF($BG$3:$BP$3,BM$60,$BG$4:$BP$4))=0,0,((SUMIF($BG$3:$BP$3,BM$60,$BG117:$BP117))/SUMIF($BG$3:$BP$3,BM$60,$BG$4:$BP$4)))</f>
        <v>0</v>
      </c>
      <c r="BN68" s="196" t="n">
        <f aca="false">IF((SUMIF($BG$3:$BP$3,BN$60,$BG$4:$BP$4))=0,0,((SUMIF($BG$3:$BP$3,BN$60,$BG117:$BP117))/SUMIF($BG$3:$BP$3,BN$60,$BG$4:$BP$4)))</f>
        <v>0</v>
      </c>
      <c r="BO68" s="196" t="n">
        <f aca="false">IF((SUMIF($BG$3:$BP$3,BO$60,$BG$4:$BP$4))=0,0,((SUMIF($BG$3:$BP$3,BO$60,$BG117:$BP117))/SUMIF($BG$3:$BP$3,BO$60,$BG$4:$BP$4)))</f>
        <v>0</v>
      </c>
      <c r="BP68" s="197" t="n">
        <f aca="false">IF((SUMIF($BG$3:$BP$3,BP$60,$BG$4:$BP$4))=0,0,((SUMIF($BG$3:$BP$3,BP$60,$BG117:$BP117))/SUMIF($BG$3:$BP$3,BP$60,$BG$4:$BP$4)))</f>
        <v>0</v>
      </c>
      <c r="BQ68" s="194" t="str">
        <f aca="false">BF68</f>
        <v>Alumno7</v>
      </c>
      <c r="BR68" s="195" t="n">
        <f aca="false">IF((SUMIF($BR$3:$CA$3,BR$60,$BR$4:$CA$4))=0,0,((SUMIF($BR$3:$CA$3,BR$60,$BR117:$CA117))/SUMIF($BR$3:$CA$3,BR$60,$BR$4:$CA$4)))</f>
        <v>0</v>
      </c>
      <c r="BS68" s="196" t="n">
        <f aca="false">IF((SUMIF($BR$3:$CA$3,BS$60,$BR$4:$CA$4))=0,0,((SUMIF($BR$3:$CA$3,BS$60,$BR117:$CA117))/SUMIF($BR$3:$CA$3,BS$60,$BR$4:$CA$4)))</f>
        <v>5</v>
      </c>
      <c r="BT68" s="196" t="n">
        <f aca="false">IF((SUMIF($BR$3:$CA$3,BT$60,$BR$4:$CA$4))=0,0,((SUMIF($BR$3:$CA$3,BT$60,$BR117:$CA117))/SUMIF($BR$3:$CA$3,BT$60,$BR$4:$CA$4)))</f>
        <v>4</v>
      </c>
      <c r="BU68" s="196" t="n">
        <f aca="false">IF((SUMIF($BR$3:$CA$3,BU$60,$BR$4:$CA$4))=0,0,((SUMIF($BR$3:$CA$3,BU$60,$BR117:$CA117))/SUMIF($BR$3:$CA$3,BU$60,$BR$4:$CA$4)))</f>
        <v>4.6</v>
      </c>
      <c r="BV68" s="196" t="n">
        <f aca="false">IF((SUMIF($BR$3:$CA$3,BV$60,$BR$4:$CA$4))=0,0,((SUMIF($BR$3:$CA$3,BV$60,$BR117:$CA117))/SUMIF($BR$3:$CA$3,BV$60,$BR$4:$CA$4)))</f>
        <v>0</v>
      </c>
      <c r="BW68" s="196" t="n">
        <f aca="false">IF((SUMIF($BR$3:$CA$3,BW$60,$BR$4:$CA$4))=0,0,((SUMIF($BR$3:$CA$3,BW$60,$BR117:$CA117))/SUMIF($BR$3:$CA$3,BW$60,$BR$4:$CA$4)))</f>
        <v>0</v>
      </c>
      <c r="BX68" s="196" t="n">
        <f aca="false">IF((SUMIF($BR$3:$CA$3,BX$60,$BR$4:$CA$4))=0,0,((SUMIF($BR$3:$CA$3,BX$60,$BR117:$CA117))/SUMIF($BR$3:$CA$3,BX$60,$BR$4:$CA$4)))</f>
        <v>0</v>
      </c>
      <c r="BY68" s="196" t="n">
        <f aca="false">IF((SUMIF($BR$3:$CA$3,BY$60,$BR$4:$CA$4))=0,0,((SUMIF($BR$3:$CA$3,BY$60,$BR117:$CA117))/SUMIF($BR$3:$CA$3,BY$60,$BR$4:$CA$4)))</f>
        <v>0</v>
      </c>
      <c r="BZ68" s="196" t="n">
        <f aca="false">IF((SUMIF($BR$3:$CA$3,BZ$60,$BR$4:$CA$4))=0,0,((SUMIF($BR$3:$CA$3,BZ$60,$BR117:$CA117))/SUMIF($BR$3:$CA$3,BZ$60,$BR$4:$CA$4)))</f>
        <v>0</v>
      </c>
      <c r="CA68" s="197" t="n">
        <f aca="false">IF((SUMIF($BR$3:$CA$3,CA$60,$BR$4:$CA$4))=0,0,((SUMIF($BR$3:$CA$3,CA$60,$BR117:$CA117))/SUMIF($BR$3:$CA$3,CA$60,$BR$4:$CA$4)))</f>
        <v>0</v>
      </c>
      <c r="CB68" s="194" t="str">
        <f aca="false">BQ68</f>
        <v>Alumno7</v>
      </c>
      <c r="CC68" s="195" t="n">
        <f aca="false">IF((SUMIF($CC$3:$CL$3,CC$60,$CC$4:$CL$4))=0,0,((SUMIF($CC$3:$CL$3,CC$60,$CC117:$CL117))/SUMIF($CC$3:$CL$3,CC$60,$CC$4:$CL$4)))</f>
        <v>0</v>
      </c>
      <c r="CD68" s="196" t="n">
        <f aca="false">IF((SUMIF($CC$3:$CL$3,CD$60,$CC$4:$CL$4))=0,0,((SUMIF($CC$3:$CL$3,CD$60,$CC117:$CL117))/SUMIF($CC$3:$CL$3,CD$60,$CC$4:$CL$4)))</f>
        <v>0</v>
      </c>
      <c r="CE68" s="196" t="n">
        <f aca="false">IF((SUMIF($CC$3:$CL$3,CE$60,$CC$4:$CL$4))=0,0,((SUMIF($CC$3:$CL$3,CE$60,$CC117:$CL117))/SUMIF($CC$3:$CL$3,CE$60,$CC$4:$CL$4)))</f>
        <v>0</v>
      </c>
      <c r="CF68" s="196" t="n">
        <f aca="false">IF((SUMIF($CC$3:$CL$3,CF$60,$CC$4:$CL$4))=0,0,((SUMIF($CC$3:$CL$3,CF$60,$CC117:$CL117))/SUMIF($CC$3:$CL$3,CF$60,$CC$4:$CL$4)))</f>
        <v>0</v>
      </c>
      <c r="CG68" s="196" t="n">
        <f aca="false">IF((SUMIF($CC$3:$CL$3,CG$60,$CC$4:$CL$4))=0,0,((SUMIF($CC$3:$CL$3,CG$60,$CC117:$CL117))/SUMIF($CC$3:$CL$3,CG$60,$CC$4:$CL$4)))</f>
        <v>0</v>
      </c>
      <c r="CH68" s="196" t="n">
        <f aca="false">IF((SUMIF($CC$3:$CL$3,CH$60,$CC$4:$CL$4))=0,0,((SUMIF($CC$3:$CL$3,CH$60,$CC117:$CL117))/SUMIF($CC$3:$CL$3,CH$60,$CC$4:$CL$4)))</f>
        <v>0</v>
      </c>
      <c r="CI68" s="196" t="n">
        <f aca="false">IF((SUMIF($CC$3:$CL$3,CI$60,$CC$4:$CL$4))=0,0,((SUMIF($CC$3:$CL$3,CI$60,$CC117:$CL117))/SUMIF($CC$3:$CL$3,CI$60,$CC$4:$CL$4)))</f>
        <v>0</v>
      </c>
      <c r="CJ68" s="196" t="n">
        <f aca="false">IF((SUMIF($CC$3:$CL$3,CJ$60,$CC$4:$CL$4))=0,0,((SUMIF($CC$3:$CL$3,CJ$60,$CC117:$CL117))/SUMIF($CC$3:$CL$3,CJ$60,$CC$4:$CL$4)))</f>
        <v>0</v>
      </c>
      <c r="CK68" s="196" t="n">
        <f aca="false">IF((SUMIF($CC$3:$CL$3,CK$60,$CC$4:$CL$4))=0,0,((SUMIF($CC$3:$CL$3,CK$60,$CC117:$CL117))/SUMIF($CC$3:$CL$3,CK$60,$CC$4:$CL$4)))</f>
        <v>0</v>
      </c>
      <c r="CL68" s="197" t="n">
        <f aca="false">IF((SUMIF($CC$3:$CL$3,CL$60,$CC$4:$CL$4))=0,0,((SUMIF($CC$3:$CL$3,CL$60,$CC117:$CL117))/SUMIF($CC$3:$CL$3,CL$60,$CC$4:$CL$4)))</f>
        <v>0</v>
      </c>
      <c r="CM68" s="194" t="str">
        <f aca="false">CB68</f>
        <v>Alumno7</v>
      </c>
      <c r="CN68" s="195" t="n">
        <f aca="false">IF((SUMIF($CN$3:$CW$3,CN$60,$CN$4:$CW$4))=0,0,((SUMIF($CN$3:$CW$3,CN$60,$CN117:$CW117))/SUMIF($CN$3:$CW$3,CN$60,$CN$4:$CW$4)))</f>
        <v>0</v>
      </c>
      <c r="CO68" s="196" t="n">
        <f aca="false">IF((SUMIF($CN$3:$CW$3,CO$60,$CN$4:$CW$4))=0,0,((SUMIF($CN$3:$CW$3,CO$60,$CN117:$CW117))/SUMIF($CN$3:$CW$3,CO$60,$CN$4:$CW$4)))</f>
        <v>0</v>
      </c>
      <c r="CP68" s="196" t="n">
        <f aca="false">IF((SUMIF($CN$3:$CW$3,CP$60,$CN$4:$CW$4))=0,0,((SUMIF($CN$3:$CW$3,CP$60,$CN117:$CW117))/SUMIF($CN$3:$CW$3,CP$60,$CN$4:$CW$4)))</f>
        <v>0</v>
      </c>
      <c r="CQ68" s="196" t="n">
        <f aca="false">IF((SUMIF($CN$3:$CW$3,CQ$60,$CN$4:$CW$4))=0,0,((SUMIF($CN$3:$CW$3,CQ$60,$CN117:$CW117))/SUMIF($CN$3:$CW$3,CQ$60,$CN$4:$CW$4)))</f>
        <v>0</v>
      </c>
      <c r="CR68" s="196" t="n">
        <f aca="false">IF((SUMIF($CN$3:$CW$3,CR$60,$CN$4:$CW$4))=0,0,((SUMIF($CN$3:$CW$3,CR$60,$CN117:$CW117))/SUMIF($CN$3:$CW$3,CR$60,$CN$4:$CW$4)))</f>
        <v>0</v>
      </c>
      <c r="CS68" s="196" t="n">
        <f aca="false">IF((SUMIF($CN$3:$CW$3,CS$60,$CN$4:$CW$4))=0,0,((SUMIF($CN$3:$CW$3,CS$60,$CN117:$CW117))/SUMIF($CN$3:$CW$3,CS$60,$CN$4:$CW$4)))</f>
        <v>0</v>
      </c>
      <c r="CT68" s="196" t="n">
        <f aca="false">IF((SUMIF($CN$3:$CW$3,CT$60,$CN$4:$CW$4))=0,0,((SUMIF($CN$3:$CW$3,CT$60,$CN117:$CW117))/SUMIF($CN$3:$CW$3,CT$60,$CN$4:$CW$4)))</f>
        <v>0</v>
      </c>
      <c r="CU68" s="196" t="n">
        <f aca="false">IF((SUMIF($CN$3:$CW$3,CU$60,$CN$4:$CW$4))=0,0,((SUMIF($CN$3:$CW$3,CU$60,$CN117:$CW117))/SUMIF($CN$3:$CW$3,CU$60,$CN$4:$CW$4)))</f>
        <v>0</v>
      </c>
      <c r="CV68" s="196" t="n">
        <f aca="false">IF((SUMIF($CN$3:$CW$3,CV$60,$CN$4:$CW$4))=0,0,((SUMIF($CN$3:$CW$3,CV$60,$CN117:$CW117))/SUMIF($CN$3:$CW$3,CV$60,$CN$4:$CW$4)))</f>
        <v>0</v>
      </c>
      <c r="CW68" s="197" t="n">
        <f aca="false">IF((SUMIF($CN$3:$CW$3,CW$60,$CN$4:$CW$4))=0,0,((SUMIF($CN$3:$CW$3,CW$60,$CN117:$CW117))/SUMIF($CN$3:$CW$3,CW$60,$CN$4:$CW$4)))</f>
        <v>0</v>
      </c>
      <c r="CX68" s="194" t="str">
        <f aca="false">CM68</f>
        <v>Alumno7</v>
      </c>
      <c r="CY68" s="195" t="n">
        <f aca="false">IF((SUMIF($CY$3:$DH$3,CY$60,$CY$4:$DH$4))=0,0,((SUMIF($CY$3:$DH$3,CY$60,$CY117:$DH117))/SUMIF($CY$3:$DH$3,CY$60,$CY$4:$DH$4)))</f>
        <v>0</v>
      </c>
      <c r="CZ68" s="196" t="n">
        <f aca="false">IF((SUMIF($CY$3:$DH$3,CZ$60,$CY$4:$DH$4))=0,0,((SUMIF($CY$3:$DH$3,CZ$60,$CY117:$DH117))/SUMIF($CY$3:$DH$3,CZ$60,$CY$4:$DH$4)))</f>
        <v>0</v>
      </c>
      <c r="DA68" s="196" t="n">
        <f aca="false">IF((SUMIF($CY$3:$DH$3,DA$60,$CY$4:$DH$4))=0,0,((SUMIF($CY$3:$DH$3,DA$60,$CY117:$DH117))/SUMIF($CY$3:$DH$3,DA$60,$CY$4:$DH$4)))</f>
        <v>0</v>
      </c>
      <c r="DB68" s="196" t="n">
        <f aca="false">IF((SUMIF($CY$3:$DH$3,DB$60,$CY$4:$DH$4))=0,0,((SUMIF($CY$3:$DH$3,DB$60,$CY117:$DH117))/SUMIF($CY$3:$DH$3,DB$60,$CY$4:$DH$4)))</f>
        <v>0</v>
      </c>
      <c r="DC68" s="196" t="n">
        <f aca="false">IF((SUMIF($CY$3:$DH$3,DC$60,$CY$4:$DH$4))=0,0,((SUMIF($CY$3:$DH$3,DC$60,$CY117:$DH117))/SUMIF($CY$3:$DH$3,DC$60,$CY$4:$DH$4)))</f>
        <v>0</v>
      </c>
      <c r="DD68" s="196" t="n">
        <f aca="false">IF((SUMIF($CY$3:$DH$3,DD$60,$CY$4:$DH$4))=0,0,((SUMIF($CY$3:$DH$3,DD$60,$CY117:$DH117))/SUMIF($CY$3:$DH$3,DD$60,$CY$4:$DH$4)))</f>
        <v>0</v>
      </c>
      <c r="DE68" s="196" t="n">
        <f aca="false">IF((SUMIF($CY$3:$DH$3,DE$60,$CY$4:$DH$4))=0,0,((SUMIF($CY$3:$DH$3,DE$60,$CY117:$DH117))/SUMIF($CY$3:$DH$3,DE$60,$CY$4:$DH$4)))</f>
        <v>0</v>
      </c>
      <c r="DF68" s="196" t="n">
        <f aca="false">IF((SUMIF($CY$3:$DH$3,DF$60,$CY$4:$DH$4))=0,0,((SUMIF($CY$3:$DH$3,DF$60,$CY117:$DH117))/SUMIF($CY$3:$DH$3,DF$60,$CY$4:$DH$4)))</f>
        <v>0</v>
      </c>
      <c r="DG68" s="196" t="n">
        <f aca="false">IF((SUMIF($CY$3:$DH$3,DG$60,$CY$4:$DH$4))=0,0,((SUMIF($CY$3:$DH$3,DG$60,$CY117:$DH117))/SUMIF($CY$3:$DH$3,DG$60,$CY$4:$DH$4)))</f>
        <v>0</v>
      </c>
      <c r="DH68" s="197" t="n">
        <f aca="false">IF((SUMIF($CY$3:$DH$3,DH$60,$CY$4:$DH$4))=0,0,((SUMIF($CY$3:$DH$3,DH$60,$CY117:$DH117))/SUMIF($CY$3:$DH$3,DH$60,$CY$4:$DH$4)))</f>
        <v>0</v>
      </c>
      <c r="DI68" s="194" t="str">
        <f aca="false">CX68</f>
        <v>Alumno7</v>
      </c>
      <c r="DJ68" s="195" t="n">
        <f aca="false">IF((SUMIF($DJ$3:$DS$3,DJ$60,$DJ$4:$DS$4))=0,0,((SUMIF($DJ$3:$DS$3,DJ$60,$DJ117:$DS117))/SUMIF($DJ$3:$DS$3,DJ$60,$DJ$4:$DS$4)))</f>
        <v>0</v>
      </c>
      <c r="DK68" s="196" t="n">
        <f aca="false">IF((SUMIF($DJ$3:$DS$3,DK$60,$DJ$4:$DS$4))=0,0,((SUMIF($DJ$3:$DS$3,DK$60,$DJ117:$DS117))/SUMIF($DJ$3:$DS$3,DK$60,$DJ$4:$DS$4)))</f>
        <v>0</v>
      </c>
      <c r="DL68" s="196" t="n">
        <f aca="false">IF((SUMIF($DJ$3:$DS$3,DL$60,$DJ$4:$DS$4))=0,0,((SUMIF($DJ$3:$DS$3,DL$60,$DJ117:$DS117))/SUMIF($DJ$3:$DS$3,DL$60,$DJ$4:$DS$4)))</f>
        <v>0</v>
      </c>
      <c r="DM68" s="196" t="n">
        <f aca="false">IF((SUMIF($DJ$3:$DS$3,DM$60,$DJ$4:$DS$4))=0,0,((SUMIF($DJ$3:$DS$3,DM$60,$DJ117:$DS117))/SUMIF($DJ$3:$DS$3,DM$60,$DJ$4:$DS$4)))</f>
        <v>0</v>
      </c>
      <c r="DN68" s="196" t="n">
        <f aca="false">IF((SUMIF($DJ$3:$DS$3,DN$60,$DJ$4:$DS$4))=0,0,((SUMIF($DJ$3:$DS$3,DN$60,$DJ117:$DS117))/SUMIF($DJ$3:$DS$3,DN$60,$DJ$4:$DS$4)))</f>
        <v>0</v>
      </c>
      <c r="DO68" s="196" t="n">
        <f aca="false">IF((SUMIF($DJ$3:$DS$3,DO$60,$DJ$4:$DS$4))=0,0,((SUMIF($DJ$3:$DS$3,DO$60,$DJ117:$DS117))/SUMIF($DJ$3:$DS$3,DO$60,$DJ$4:$DS$4)))</f>
        <v>0</v>
      </c>
      <c r="DP68" s="196" t="n">
        <f aca="false">IF((SUMIF($DJ$3:$DS$3,DP$60,$DJ$4:$DS$4))=0,0,((SUMIF($DJ$3:$DS$3,DP$60,$DJ117:$DS117))/SUMIF($DJ$3:$DS$3,DP$60,$DJ$4:$DS$4)))</f>
        <v>0</v>
      </c>
      <c r="DQ68" s="196" t="n">
        <f aca="false">IF((SUMIF($DJ$3:$DS$3,DQ$60,$DJ$4:$DS$4))=0,0,((SUMIF($DJ$3:$DS$3,DQ$60,$DJ117:$DS117))/SUMIF($DJ$3:$DS$3,DQ$60,$DJ$4:$DS$4)))</f>
        <v>0</v>
      </c>
      <c r="DR68" s="196" t="n">
        <f aca="false">IF((SUMIF($DJ$3:$DS$3,DR$60,$DJ$4:$DS$4))=0,0,((SUMIF($DJ$3:$DS$3,DR$60,$DJ117:$DS117))/SUMIF($DJ$3:$DS$3,DR$60,$DJ$4:$DS$4)))</f>
        <v>0</v>
      </c>
      <c r="DS68" s="197" t="n">
        <f aca="false">IF((SUMIF($DJ$3:$DS$3,DS$60,$DJ$4:$DS$4))=0,0,((SUMIF($DJ$3:$DS$3,DS$60,$DJ117:$DS117))/SUMIF($DJ$3:$DS$3,DS$60,$DJ$4:$DS$4)))</f>
        <v>0</v>
      </c>
      <c r="DT68" s="194" t="str">
        <f aca="false">DI68</f>
        <v>Alumno7</v>
      </c>
      <c r="DU68" s="195" t="n">
        <f aca="false">IF((SUMIF($DU$3:$ED$3,DU$60,$DU$4:$ED$4))=0,0,((SUMIF($DU$3:$ED$3,DU$60,$DU117:$ED117))/SUMIF($DU$3:$ED$3,DU$60,$DU$4:$ED$4)))</f>
        <v>0</v>
      </c>
      <c r="DV68" s="196" t="n">
        <f aca="false">IF((SUMIF($DU$3:$ED$3,DV$60,$DU$4:$ED$4))=0,0,((SUMIF($DU$3:$ED$3,DV$60,$DU117:$ED117))/SUMIF($DU$3:$ED$3,DV$60,$DU$4:$ED$4)))</f>
        <v>0</v>
      </c>
      <c r="DW68" s="196" t="n">
        <f aca="false">IF((SUMIF($DU$3:$ED$3,DW$60,$DU$4:$ED$4))=0,0,((SUMIF($DU$3:$ED$3,DW$60,$DU117:$ED117))/SUMIF($DU$3:$ED$3,DW$60,$DU$4:$ED$4)))</f>
        <v>0</v>
      </c>
      <c r="DX68" s="196" t="n">
        <f aca="false">IF((SUMIF($DU$3:$ED$3,DX$60,$DU$4:$ED$4))=0,0,((SUMIF($DU$3:$ED$3,DX$60,$DU117:$ED117))/SUMIF($DU$3:$ED$3,DX$60,$DU$4:$ED$4)))</f>
        <v>0</v>
      </c>
      <c r="DY68" s="196" t="n">
        <f aca="false">IF((SUMIF($DU$3:$ED$3,DY$60,$DU$4:$ED$4))=0,0,((SUMIF($DU$3:$ED$3,DY$60,$DU117:$ED117))/SUMIF($DU$3:$ED$3,DY$60,$DU$4:$ED$4)))</f>
        <v>0</v>
      </c>
      <c r="DZ68" s="196" t="n">
        <f aca="false">IF((SUMIF($DU$3:$ED$3,DZ$60,$DU$4:$ED$4))=0,0,((SUMIF($DU$3:$ED$3,DZ$60,$DU117:$ED117))/SUMIF($DU$3:$ED$3,DZ$60,$DU$4:$ED$4)))</f>
        <v>0</v>
      </c>
      <c r="EA68" s="196" t="n">
        <f aca="false">IF((SUMIF($DU$3:$ED$3,EA$60,$DU$4:$ED$4))=0,0,((SUMIF($DU$3:$ED$3,EA$60,$DU117:$ED117))/SUMIF($DU$3:$ED$3,EA$60,$DU$4:$ED$4)))</f>
        <v>0</v>
      </c>
      <c r="EB68" s="196" t="n">
        <f aca="false">IF((SUMIF($DU$3:$ED$3,EB$60,$DU$4:$ED$4))=0,0,((SUMIF($DU$3:$ED$3,EB$60,$DU117:$ED117))/SUMIF($DU$3:$ED$3,EB$60,$DU$4:$ED$4)))</f>
        <v>0</v>
      </c>
      <c r="EC68" s="196" t="n">
        <f aca="false">IF((SUMIF($DU$3:$ED$3,EC$60,$DU$4:$ED$4))=0,0,((SUMIF($DU$3:$ED$3,EC$60,$DU117:$ED117))/SUMIF($DU$3:$ED$3,EC$60,$DU$4:$ED$4)))</f>
        <v>0</v>
      </c>
      <c r="ED68" s="197" t="n">
        <f aca="false">IF((SUMIF($DU$3:$ED$3,ED$60,$DU$4:$ED$4))=0,0,((SUMIF($DU$3:$ED$3,ED$60,$DU117:$ED117))/SUMIF($DU$3:$ED$3,ED$60,$DU$4:$ED$4)))</f>
        <v>0</v>
      </c>
      <c r="EE68" s="194" t="str">
        <f aca="false">DT68</f>
        <v>Alumno7</v>
      </c>
      <c r="EF68" s="195" t="n">
        <f aca="false">IF((SUMIF($EF$3:$EO$3,EF$60,$EF$4:$EO$4))=0,0,((SUMIF($EF$3:$EO$3,EF$60,$EF117:$EO117))/SUMIF($EF$3:$EO$3,EF$60,$EF$4:$EO$4)))</f>
        <v>0</v>
      </c>
      <c r="EG68" s="196" t="n">
        <f aca="false">IF((SUMIF($EF$3:$EO$3,EG$60,$EF$4:$EO$4))=0,0,((SUMIF($EF$3:$EO$3,EG$60,$EF117:$EO117))/SUMIF($EF$3:$EO$3,EG$60,$EF$4:$EO$4)))</f>
        <v>0</v>
      </c>
      <c r="EH68" s="196" t="n">
        <f aca="false">IF((SUMIF($EF$3:$EO$3,EH$60,$EF$4:$EO$4))=0,0,((SUMIF($EF$3:$EO$3,EH$60,$EF117:$EO117))/SUMIF($EF$3:$EO$3,EH$60,$EF$4:$EO$4)))</f>
        <v>0</v>
      </c>
      <c r="EI68" s="196" t="n">
        <f aca="false">IF((SUMIF($EF$3:$EO$3,EI$60,$EF$4:$EO$4))=0,0,((SUMIF($EF$3:$EO$3,EI$60,$EF117:$EO117))/SUMIF($EF$3:$EO$3,EI$60,$EF$4:$EO$4)))</f>
        <v>0</v>
      </c>
      <c r="EJ68" s="196" t="n">
        <f aca="false">IF((SUMIF($EF$3:$EO$3,EJ$60,$EF$4:$EO$4))=0,0,((SUMIF($EF$3:$EO$3,EJ$60,$EF117:$EO117))/SUMIF($EF$3:$EO$3,EJ$60,$EF$4:$EO$4)))</f>
        <v>0</v>
      </c>
      <c r="EK68" s="196" t="n">
        <f aca="false">IF((SUMIF($EF$3:$EO$3,EK$60,$EF$4:$EO$4))=0,0,((SUMIF($EF$3:$EO$3,EK$60,$EF117:$EO117))/SUMIF($EF$3:$EO$3,EK$60,$EF$4:$EO$4)))</f>
        <v>0</v>
      </c>
      <c r="EL68" s="196" t="n">
        <f aca="false">IF((SUMIF($EF$3:$EO$3,EL$60,$EF$4:$EO$4))=0,0,((SUMIF($EF$3:$EO$3,EL$60,$EF117:$EO117))/SUMIF($EF$3:$EO$3,EL$60,$EF$4:$EO$4)))</f>
        <v>0</v>
      </c>
      <c r="EM68" s="196" t="n">
        <f aca="false">IF((SUMIF($EF$3:$EO$3,EM$60,$EF$4:$EO$4))=0,0,((SUMIF($EF$3:$EO$3,EM$60,$EF117:$EO117))/SUMIF($EF$3:$EO$3,EM$60,$EF$4:$EO$4)))</f>
        <v>0</v>
      </c>
      <c r="EN68" s="196" t="n">
        <f aca="false">IF((SUMIF($EF$3:$EO$3,EN$60,$EF$4:$EO$4))=0,0,((SUMIF($EF$3:$EO$3,EN$60,$EF117:$EO117))/SUMIF($EF$3:$EO$3,EN$60,$EF$4:$EO$4)))</f>
        <v>0</v>
      </c>
      <c r="EO68" s="197" t="n">
        <f aca="false">IF((SUMIF($EF$3:$EO$3,EO$60,$EF$4:$EO$4))=0,0,((SUMIF($EF$3:$EO$3,EO$60,$EF117:$EO117))/SUMIF($EF$3:$EO$3,EO$60,$EF$4:$EO$4)))</f>
        <v>0</v>
      </c>
      <c r="EP68" s="194" t="str">
        <f aca="false">EE68</f>
        <v>Alumno7</v>
      </c>
      <c r="EQ68" s="195" t="n">
        <f aca="false">IF((SUMIF($EQ$3:$EZ$3,EQ$60,$EQ$4:$EZ$4))=0,0,((SUMIF($EQ$3:$EZ$3,EQ$60,$EQ117:$EZ117))/SUMIF($EQ$3:$EZ$3,EQ$60,$EQ$4:$EZ$4)))</f>
        <v>0</v>
      </c>
      <c r="ER68" s="196" t="n">
        <f aca="false">IF((SUMIF($EQ$3:$EZ$3,ER$60,$EQ$4:$EZ$4))=0,0,((SUMIF($EQ$3:$EZ$3,ER$60,$EQ117:$EZ117))/SUMIF($EQ$3:$EZ$3,ER$60,$EQ$4:$EZ$4)))</f>
        <v>0</v>
      </c>
      <c r="ES68" s="196" t="n">
        <f aca="false">IF((SUMIF($EQ$3:$EZ$3,ES$60,$EQ$4:$EZ$4))=0,0,((SUMIF($EQ$3:$EZ$3,ES$60,$EQ117:$EZ117))/SUMIF($EQ$3:$EZ$3,ES$60,$EQ$4:$EZ$4)))</f>
        <v>0</v>
      </c>
      <c r="ET68" s="196" t="n">
        <f aca="false">IF((SUMIF($EQ$3:$EZ$3,ET$60,$EQ$4:$EZ$4))=0,0,((SUMIF($EQ$3:$EZ$3,ET$60,$EQ117:$EZ117))/SUMIF($EQ$3:$EZ$3,ET$60,$EQ$4:$EZ$4)))</f>
        <v>0</v>
      </c>
      <c r="EU68" s="196" t="n">
        <f aca="false">IF((SUMIF($EQ$3:$EZ$3,EU$60,$EQ$4:$EZ$4))=0,0,((SUMIF($EQ$3:$EZ$3,EU$60,$EQ117:$EZ117))/SUMIF($EQ$3:$EZ$3,EU$60,$EQ$4:$EZ$4)))</f>
        <v>0</v>
      </c>
      <c r="EV68" s="196" t="n">
        <f aca="false">IF((SUMIF($EQ$3:$EZ$3,EV$60,$EQ$4:$EZ$4))=0,0,((SUMIF($EQ$3:$EZ$3,EV$60,$EQ117:$EZ117))/SUMIF($EQ$3:$EZ$3,EV$60,$EQ$4:$EZ$4)))</f>
        <v>0</v>
      </c>
      <c r="EW68" s="196" t="n">
        <f aca="false">IF((SUMIF($EQ$3:$EZ$3,EW$60,$EQ$4:$EZ$4))=0,0,((SUMIF($EQ$3:$EZ$3,EW$60,$EQ117:$EZ117))/SUMIF($EQ$3:$EZ$3,EW$60,$EQ$4:$EZ$4)))</f>
        <v>0</v>
      </c>
      <c r="EX68" s="196" t="n">
        <f aca="false">IF((SUMIF($EQ$3:$EZ$3,EX$60,$EQ$4:$EZ$4))=0,0,((SUMIF($EQ$3:$EZ$3,EX$60,$EQ117:$EZ117))/SUMIF($EQ$3:$EZ$3,EX$60,$EQ$4:$EZ$4)))</f>
        <v>0</v>
      </c>
      <c r="EY68" s="196" t="n">
        <f aca="false">IF((SUMIF($EQ$3:$EZ$3,EY$60,$EQ$4:$EZ$4))=0,0,((SUMIF($EQ$3:$EZ$3,EY$60,$EQ117:$EZ117))/SUMIF($EQ$3:$EZ$3,EY$60,$EQ$4:$EZ$4)))</f>
        <v>0</v>
      </c>
      <c r="EZ68" s="197" t="n">
        <f aca="false">IF((SUMIF($EQ$3:$EZ$3,EZ$60,$EQ$4:$EZ$4))=0,0,((SUMIF($EQ$3:$EZ$3,EZ$60,$EQ117:$EZ117))/SUMIF($EQ$3:$EZ$3,EZ$60,$EQ$4:$EZ$4)))</f>
        <v>0</v>
      </c>
      <c r="FA68" s="194" t="str">
        <f aca="false">EP68</f>
        <v>Alumno7</v>
      </c>
      <c r="FB68" s="195" t="n">
        <f aca="false">IF((SUMIF($FB$3:$FK$3,FB$60,$FB$4:$FK$4))=0,0,((SUMIF($FB$3:$FK$3,FB$60,$FB117:$FK117))/SUMIF($FB$3:$FK$3,FB$60,$FB$4:$FK$4)))</f>
        <v>0</v>
      </c>
      <c r="FC68" s="196" t="n">
        <f aca="false">IF((SUMIF($FB$3:$FK$3,FC$60,$FB$4:$FK$4))=0,0,((SUMIF($FB$3:$FK$3,FC$60,$FB117:$FK117))/SUMIF($FB$3:$FK$3,FC$60,$FB$4:$FK$4)))</f>
        <v>0</v>
      </c>
      <c r="FD68" s="196" t="n">
        <f aca="false">IF((SUMIF($FB$3:$FK$3,FD$60,$FB$4:$FK$4))=0,0,((SUMIF($FB$3:$FK$3,FD$60,$FB117:$FK117))/SUMIF($FB$3:$FK$3,FD$60,$FB$4:$FK$4)))</f>
        <v>0</v>
      </c>
      <c r="FE68" s="196" t="n">
        <f aca="false">IF((SUMIF($FB$3:$FK$3,FE$60,$FB$4:$FK$4))=0,0,((SUMIF($FB$3:$FK$3,FE$60,$FB117:$FK117))/SUMIF($FB$3:$FK$3,FE$60,$FB$4:$FK$4)))</f>
        <v>0</v>
      </c>
      <c r="FF68" s="196" t="n">
        <f aca="false">IF((SUMIF($FB$3:$FK$3,FF$60,$FB$4:$FK$4))=0,0,((SUMIF($FB$3:$FK$3,FF$60,$FB117:$FK117))/SUMIF($FB$3:$FK$3,FF$60,$FB$4:$FK$4)))</f>
        <v>0</v>
      </c>
      <c r="FG68" s="196" t="n">
        <f aca="false">IF((SUMIF($FB$3:$FK$3,FG$60,$FB$4:$FK$4))=0,0,((SUMIF($FB$3:$FK$3,FG$60,$FB117:$FK117))/SUMIF($FB$3:$FK$3,FG$60,$FB$4:$FK$4)))</f>
        <v>0</v>
      </c>
      <c r="FH68" s="196" t="n">
        <f aca="false">IF((SUMIF($FB$3:$FK$3,FH$60,$FB$4:$FK$4))=0,0,((SUMIF($FB$3:$FK$3,FH$60,$FB117:$FK117))/SUMIF($FB$3:$FK$3,FH$60,$FB$4:$FK$4)))</f>
        <v>0</v>
      </c>
      <c r="FI68" s="196" t="n">
        <f aca="false">IF((SUMIF($FB$3:$FK$3,FI$60,$FB$4:$FK$4))=0,0,((SUMIF($FB$3:$FK$3,FI$60,$FB117:$FK117))/SUMIF($FB$3:$FK$3,FI$60,$FB$4:$FK$4)))</f>
        <v>0</v>
      </c>
      <c r="FJ68" s="196" t="n">
        <f aca="false">IF((SUMIF($FB$3:$FK$3,FJ$60,$FB$4:$FK$4))=0,0,((SUMIF($FB$3:$FK$3,FJ$60,$FB117:$FK117))/SUMIF($FB$3:$FK$3,FJ$60,$FB$4:$FK$4)))</f>
        <v>0</v>
      </c>
      <c r="FK68" s="197" t="n">
        <f aca="false">IF((SUMIF($FB$3:$FK$3,FK$60,$FB$4:$FK$4))=0,0,((SUMIF($FB$3:$FK$3,FK$60,$FB117:$FK117))/SUMIF($FB$3:$FK$3,FK$60,$FB$4:$FK$4)))</f>
        <v>0</v>
      </c>
      <c r="FL68" s="194" t="str">
        <f aca="false">FA68</f>
        <v>Alumno7</v>
      </c>
      <c r="FM68" s="195" t="n">
        <f aca="false">IF((SUMIF($FM$3:$FV$3,FM$60,$FM$4:$FV$4))=0,0,((SUMIF($FM$3:$FV$3,FM$60,$FM117:$FV117))/SUMIF($FM$3:$FV$3,FM$60,$FM$4:$FV$4)))</f>
        <v>0</v>
      </c>
      <c r="FN68" s="196" t="n">
        <f aca="false">IF((SUMIF($FM$3:$FV$3,FN$60,$FM$4:$FV$4))=0,0,((SUMIF($FM$3:$FV$3,FN$60,$FM117:$FV117))/SUMIF($FM$3:$FV$3,FN$60,$FM$4:$FV$4)))</f>
        <v>0</v>
      </c>
      <c r="FO68" s="196" t="n">
        <f aca="false">IF((SUMIF($FM$3:$FV$3,FO$60,$FM$4:$FV$4))=0,0,((SUMIF($FM$3:$FV$3,FO$60,$FM117:$FV117))/SUMIF($FM$3:$FV$3,FO$60,$FM$4:$FV$4)))</f>
        <v>0</v>
      </c>
      <c r="FP68" s="196" t="n">
        <f aca="false">IF((SUMIF($FM$3:$FV$3,FP$60,$FM$4:$FV$4))=0,0,((SUMIF($FM$3:$FV$3,FP$60,$FM117:$FV117))/SUMIF($FM$3:$FV$3,FP$60,$FM$4:$FV$4)))</f>
        <v>0</v>
      </c>
      <c r="FQ68" s="196" t="n">
        <f aca="false">IF((SUMIF($FM$3:$FV$3,FQ$60,$FM$4:$FV$4))=0,0,((SUMIF($FM$3:$FV$3,FQ$60,$FM117:$FV117))/SUMIF($FM$3:$FV$3,FQ$60,$FM$4:$FV$4)))</f>
        <v>0</v>
      </c>
      <c r="FR68" s="196" t="n">
        <f aca="false">IF((SUMIF($FM$3:$FV$3,FR$60,$FM$4:$FV$4))=0,0,((SUMIF($FM$3:$FV$3,FR$60,$FM117:$FV117))/SUMIF($FM$3:$FV$3,FR$60,$FM$4:$FV$4)))</f>
        <v>0</v>
      </c>
      <c r="FS68" s="196" t="n">
        <f aca="false">IF((SUMIF($FM$3:$FV$3,FS$60,$FM$4:$FV$4))=0,0,((SUMIF($FM$3:$FV$3,FS$60,$FM117:$FV117))/SUMIF($FM$3:$FV$3,FS$60,$FM$4:$FV$4)))</f>
        <v>0</v>
      </c>
      <c r="FT68" s="196" t="n">
        <f aca="false">IF((SUMIF($FM$3:$FV$3,FT$60,$FM$4:$FV$4))=0,0,((SUMIF($FM$3:$FV$3,FT$60,$FM117:$FV117))/SUMIF($FM$3:$FV$3,FT$60,$FM$4:$FV$4)))</f>
        <v>0</v>
      </c>
      <c r="FU68" s="196" t="n">
        <f aca="false">IF((SUMIF($FM$3:$FV$3,FU$60,$FM$4:$FV$4))=0,0,((SUMIF($FM$3:$FV$3,FU$60,$FM117:$FV117))/SUMIF($FM$3:$FV$3,FU$60,$FM$4:$FV$4)))</f>
        <v>0</v>
      </c>
      <c r="FV68" s="197" t="n">
        <f aca="false">IF((SUMIF($FM$3:$FV$3,FV$60,$FM$4:$FV$4))=0,0,((SUMIF($FM$3:$FV$3,FV$60,$FM117:$FV117))/SUMIF($FM$3:$FV$3,FV$60,$FM$4:$FV$4)))</f>
        <v>0</v>
      </c>
      <c r="FW68" s="194" t="str">
        <f aca="false">FL68</f>
        <v>Alumno7</v>
      </c>
      <c r="FX68" s="195" t="n">
        <f aca="false">IF((SUMIF($FX$3:$GG$3,FX$60,$FX$4:$GG$4))=0,0,((SUMIF($FX$3:$GG$3,FX$60,$FX117:$GG117))/SUMIF($FX$3:$GG$3,FX$60,$FX$4:$GG$4)))</f>
        <v>0</v>
      </c>
      <c r="FY68" s="196" t="n">
        <f aca="false">IF((SUMIF($FX$3:$GG$3,FY$60,$FX$4:$GG$4))=0,0,((SUMIF($FX$3:$GG$3,FY$60,$FX117:$GG117))/SUMIF($FX$3:$GG$3,FY$60,$FX$4:$GG$4)))</f>
        <v>0</v>
      </c>
      <c r="FZ68" s="196" t="n">
        <f aca="false">IF((SUMIF($FX$3:$GG$3,FZ$60,$FX$4:$GG$4))=0,0,((SUMIF($FX$3:$GG$3,FZ$60,$FX117:$GG117))/SUMIF($FX$3:$GG$3,FZ$60,$FX$4:$GG$4)))</f>
        <v>0</v>
      </c>
      <c r="GA68" s="196" t="n">
        <f aca="false">IF((SUMIF($FX$3:$GG$3,GA$60,$FX$4:$GG$4))=0,0,((SUMIF($FX$3:$GG$3,GA$60,$FX117:$GG117))/SUMIF($FX$3:$GG$3,GA$60,$FX$4:$GG$4)))</f>
        <v>0</v>
      </c>
      <c r="GB68" s="196" t="n">
        <f aca="false">IF((SUMIF($FX$3:$GG$3,GB$60,$FX$4:$GG$4))=0,0,((SUMIF($FX$3:$GG$3,GB$60,$FX117:$GG117))/SUMIF($FX$3:$GG$3,GB$60,$FX$4:$GG$4)))</f>
        <v>0</v>
      </c>
      <c r="GC68" s="196" t="n">
        <f aca="false">IF((SUMIF($FX$3:$GG$3,GC$60,$FX$4:$GG$4))=0,0,((SUMIF($FX$3:$GG$3,GC$60,$FX117:$GG117))/SUMIF($FX$3:$GG$3,GC$60,$FX$4:$GG$4)))</f>
        <v>0</v>
      </c>
      <c r="GD68" s="196" t="n">
        <f aca="false">IF((SUMIF($FX$3:$GG$3,GD$60,$FX$4:$GG$4))=0,0,((SUMIF($FX$3:$GG$3,GD$60,$FX117:$GG117))/SUMIF($FX$3:$GG$3,GD$60,$FX$4:$GG$4)))</f>
        <v>0</v>
      </c>
      <c r="GE68" s="196" t="n">
        <f aca="false">IF((SUMIF($FX$3:$GG$3,GE$60,$FX$4:$GG$4))=0,0,((SUMIF($FX$3:$GG$3,GE$60,$FX117:$GG117))/SUMIF($FX$3:$GG$3,GE$60,$FX$4:$GG$4)))</f>
        <v>0</v>
      </c>
      <c r="GF68" s="196" t="n">
        <f aca="false">IF((SUMIF($FX$3:$GG$3,GF$60,$FX$4:$GG$4))=0,0,((SUMIF($FX$3:$GG$3,GF$60,$FX117:$GG117))/SUMIF($FX$3:$GG$3,GF$60,$FX$4:$GG$4)))</f>
        <v>0</v>
      </c>
      <c r="GG68" s="197" t="n">
        <f aca="false">IF((SUMIF($FX$3:$GG$3,GG$60,$FX$4:$GG$4))=0,0,((SUMIF($FX$3:$GG$3,GG$60,$FX117:$GG117))/SUMIF($FX$3:$GG$3,GG$60,$FX$4:$GG$4)))</f>
        <v>0</v>
      </c>
      <c r="GH68" s="194" t="str">
        <f aca="false">FW68</f>
        <v>Alumno7</v>
      </c>
      <c r="GI68" s="195" t="n">
        <f aca="false">IF((SUMIF($GI$3:$GR$3,GI$60,$GI$4:$GR$4))=0,0,((SUMIF($GI$3:$GR$3,GI$60,$GI117:$GR117))/SUMIF($GI$3:$GR$3,GI$60,$GI$4:$GR$4)))</f>
        <v>0</v>
      </c>
      <c r="GJ68" s="196" t="n">
        <f aca="false">IF((SUMIF($GI$3:$GR$3,GJ$60,$GI$4:$GR$4))=0,0,((SUMIF($GI$3:$GR$3,GJ$60,$GI117:$GR117))/SUMIF($GI$3:$GR$3,GJ$60,$GI$4:$GR$4)))</f>
        <v>0</v>
      </c>
      <c r="GK68" s="196" t="n">
        <f aca="false">IF((SUMIF($GI$3:$GR$3,GK$60,$GI$4:$GR$4))=0,0,((SUMIF($GI$3:$GR$3,GK$60,$GI117:$GR117))/SUMIF($GI$3:$GR$3,GK$60,$GI$4:$GR$4)))</f>
        <v>0</v>
      </c>
      <c r="GL68" s="196" t="n">
        <f aca="false">IF((SUMIF($GI$3:$GR$3,GL$60,$GI$4:$GR$4))=0,0,((SUMIF($GI$3:$GR$3,GL$60,$GI117:$GR117))/SUMIF($GI$3:$GR$3,GL$60,$GI$4:$GR$4)))</f>
        <v>0</v>
      </c>
      <c r="GM68" s="196" t="n">
        <f aca="false">IF((SUMIF($GI$3:$GR$3,GM$60,$GI$4:$GR$4))=0,0,((SUMIF($GI$3:$GR$3,GM$60,$GI117:$GR117))/SUMIF($GI$3:$GR$3,GM$60,$GI$4:$GR$4)))</f>
        <v>0</v>
      </c>
      <c r="GN68" s="196" t="n">
        <f aca="false">IF((SUMIF($GI$3:$GR$3,GN$60,$GI$4:$GR$4))=0,0,((SUMIF($GI$3:$GR$3,GN$60,$GI117:$GR117))/SUMIF($GI$3:$GR$3,GN$60,$GI$4:$GR$4)))</f>
        <v>0</v>
      </c>
      <c r="GO68" s="196" t="n">
        <f aca="false">IF((SUMIF($GI$3:$GR$3,GO$60,$GI$4:$GR$4))=0,0,((SUMIF($GI$3:$GR$3,GO$60,$GI117:$GR117))/SUMIF($GI$3:$GR$3,GO$60,$GI$4:$GR$4)))</f>
        <v>0</v>
      </c>
      <c r="GP68" s="196" t="n">
        <f aca="false">IF((SUMIF($GI$3:$GR$3,GP$60,$GI$4:$GR$4))=0,0,((SUMIF($GI$3:$GR$3,GP$60,$GI117:$GR117))/SUMIF($GI$3:$GR$3,GP$60,$GI$4:$GR$4)))</f>
        <v>0</v>
      </c>
      <c r="GQ68" s="196" t="n">
        <f aca="false">IF((SUMIF($GI$3:$GR$3,GQ$60,$GI$4:$GR$4))=0,0,((SUMIF($GI$3:$GR$3,GQ$60,$GI117:$GR117))/SUMIF($GI$3:$GR$3,GQ$60,$GI$4:$GR$4)))</f>
        <v>0</v>
      </c>
      <c r="GR68" s="197" t="n">
        <f aca="false">IF((SUMIF($GI$3:$GR$3,GR$60,$GI$4:$GR$4))=0,0,((SUMIF($GI$3:$GR$3,GR$60,$GI117:$GR117))/SUMIF($GI$3:$GR$3,GR$60,$GI$4:$GR$4)))</f>
        <v>0</v>
      </c>
      <c r="GS68" s="194" t="str">
        <f aca="false">GH68</f>
        <v>Alumno7</v>
      </c>
      <c r="GT68" s="195" t="n">
        <f aca="false">IF((SUMIF($GT$3:$HC$3,GT$60,$GT$4:$HC$4))=0,0,((SUMIF($GT$3:$HC$3,GT$60,$GT117:$HC117))/SUMIF($GT$3:$HC$3,GT$60,$GT$4:$HC$4)))</f>
        <v>0</v>
      </c>
      <c r="GU68" s="196" t="n">
        <f aca="false">IF((SUMIF($GT$3:$HC$3,GU$60,$GT$4:$HC$4))=0,0,((SUMIF($GT$3:$HC$3,GU$60,$GT117:$HC117))/SUMIF($GT$3:$HC$3,GU$60,$GT$4:$HC$4)))</f>
        <v>0</v>
      </c>
      <c r="GV68" s="196" t="n">
        <f aca="false">IF((SUMIF($GT$3:$HC$3,GV$60,$GT$4:$HC$4))=0,0,((SUMIF($GT$3:$HC$3,GV$60,$GT117:$HC117))/SUMIF($GT$3:$HC$3,GV$60,$GT$4:$HC$4)))</f>
        <v>0</v>
      </c>
      <c r="GW68" s="196" t="n">
        <f aca="false">IF((SUMIF($GT$3:$HC$3,GW$60,$GT$4:$HC$4))=0,0,((SUMIF($GT$3:$HC$3,GW$60,$GT117:$HC117))/SUMIF($GT$3:$HC$3,GW$60,$GT$4:$HC$4)))</f>
        <v>0</v>
      </c>
      <c r="GX68" s="196" t="n">
        <f aca="false">IF((SUMIF($GT$3:$HC$3,GX$60,$GT$4:$HC$4))=0,0,((SUMIF($GT$3:$HC$3,GX$60,$GT117:$HC117))/SUMIF($GT$3:$HC$3,GX$60,$GT$4:$HC$4)))</f>
        <v>0</v>
      </c>
      <c r="GY68" s="196" t="n">
        <f aca="false">IF((SUMIF($GT$3:$HC$3,GY$60,$GT$4:$HC$4))=0,0,((SUMIF($GT$3:$HC$3,GY$60,$GT117:$HC117))/SUMIF($GT$3:$HC$3,GY$60,$GT$4:$HC$4)))</f>
        <v>0</v>
      </c>
      <c r="GZ68" s="196" t="n">
        <f aca="false">IF((SUMIF($GT$3:$HC$3,GZ$60,$GT$4:$HC$4))=0,0,((SUMIF($GT$3:$HC$3,GZ$60,$GT117:$HC117))/SUMIF($GT$3:$HC$3,GZ$60,$GT$4:$HC$4)))</f>
        <v>0</v>
      </c>
      <c r="HA68" s="196" t="n">
        <f aca="false">IF((SUMIF($GT$3:$HC$3,HA$60,$GT$4:$HC$4))=0,0,((SUMIF($GT$3:$HC$3,HA$60,$GT117:$HC117))/SUMIF($GT$3:$HC$3,HA$60,$GT$4:$HC$4)))</f>
        <v>0</v>
      </c>
      <c r="HB68" s="196" t="n">
        <f aca="false">IF((SUMIF($GT$3:$HC$3,HB$60,$GT$4:$HC$4))=0,0,((SUMIF($GT$3:$HC$3,HB$60,$GT117:$HC117))/SUMIF($GT$3:$HC$3,HB$60,$GT$4:$HC$4)))</f>
        <v>0</v>
      </c>
      <c r="HC68" s="197" t="n">
        <f aca="false">IF((SUMIF($GT$3:$HC$3,HC$60,$GT$4:$HC$4))=0,0,((SUMIF($GT$3:$HC$3,HC$60,$GT117:$HC117))/SUMIF($GT$3:$HC$3,HC$60,$GT$4:$HC$4)))</f>
        <v>0</v>
      </c>
      <c r="HD68" s="194" t="str">
        <f aca="false">GS68</f>
        <v>Alumno7</v>
      </c>
      <c r="HE68" s="195" t="n">
        <f aca="false">IF((SUMIF($HE$3:$HN$3,HE$60,$HE$4:$HN$4))=0,0,((SUMIF($HE$3:$HN$3,HE$60,$HE117:$HN117))/SUMIF($HE$3:$HN$3,HE$60,$HE$4:$HN$4)))</f>
        <v>0</v>
      </c>
      <c r="HF68" s="196" t="n">
        <f aca="false">IF((SUMIF($HE$3:$HN$3,HF$60,$HE$4:$HN$4))=0,0,((SUMIF($HE$3:$HN$3,HF$60,$HE117:$HN117))/SUMIF($HE$3:$HN$3,HF$60,$HE$4:$HN$4)))</f>
        <v>0</v>
      </c>
      <c r="HG68" s="196" t="n">
        <f aca="false">IF((SUMIF($HE$3:$HN$3,HG$60,$HE$4:$HN$4))=0,0,((SUMIF($HE$3:$HN$3,HG$60,$HE117:$HN117))/SUMIF($HE$3:$HN$3,HG$60,$HE$4:$HN$4)))</f>
        <v>0</v>
      </c>
      <c r="HH68" s="196" t="n">
        <f aca="false">IF((SUMIF($HE$3:$HN$3,HH$60,$HE$4:$HN$4))=0,0,((SUMIF($HE$3:$HN$3,HH$60,$HE117:$HN117))/SUMIF($HE$3:$HN$3,HH$60,$HE$4:$HN$4)))</f>
        <v>0</v>
      </c>
      <c r="HI68" s="196" t="n">
        <f aca="false">IF((SUMIF($HE$3:$HN$3,HI$60,$HE$4:$HN$4))=0,0,((SUMIF($HE$3:$HN$3,HI$60,$HE117:$HN117))/SUMIF($HE$3:$HN$3,HI$60,$HE$4:$HN$4)))</f>
        <v>0</v>
      </c>
      <c r="HJ68" s="196" t="n">
        <f aca="false">IF((SUMIF($HE$3:$HN$3,HJ$60,$HE$4:$HN$4))=0,0,((SUMIF($HE$3:$HN$3,HJ$60,$HE117:$HN117))/SUMIF($HE$3:$HN$3,HJ$60,$HE$4:$HN$4)))</f>
        <v>0</v>
      </c>
      <c r="HK68" s="196" t="n">
        <f aca="false">IF((SUMIF($HE$3:$HN$3,HK$60,$HE$4:$HN$4))=0,0,((SUMIF($HE$3:$HN$3,HK$60,$HE117:$HN117))/SUMIF($HE$3:$HN$3,HK$60,$HE$4:$HN$4)))</f>
        <v>0</v>
      </c>
      <c r="HL68" s="196" t="n">
        <f aca="false">IF((SUMIF($HE$3:$HN$3,HL$60,$HE$4:$HN$4))=0,0,((SUMIF($HE$3:$HN$3,HL$60,$HE117:$HN117))/SUMIF($HE$3:$HN$3,HL$60,$HE$4:$HN$4)))</f>
        <v>0</v>
      </c>
      <c r="HM68" s="196" t="n">
        <f aca="false">IF((SUMIF($HE$3:$HN$3,HM$60,$HE$4:$HN$4))=0,0,((SUMIF($HE$3:$HN$3,HM$60,$HE117:$HN117))/SUMIF($HE$3:$HN$3,HM$60,$HE$4:$HN$4)))</f>
        <v>0</v>
      </c>
      <c r="HN68" s="197" t="n">
        <f aca="false">IF((SUMIF($HE$3:$HN$3,HN$60,$HE$4:$HN$4))=0,0,((SUMIF($HE$3:$HN$3,HN$60,$HE117:$HN117))/SUMIF($HE$3:$HN$3,HN$60,$HE$4:$HN$4)))</f>
        <v>0</v>
      </c>
      <c r="HO68" s="194" t="str">
        <f aca="false">HD68</f>
        <v>Alumno7</v>
      </c>
      <c r="HP68" s="195" t="n">
        <f aca="false">IF((SUMIF($HP$3:$HY$3,HP$60,$HP$4:$HY$4))=0,0,((SUMIF($HP$3:$HY$3,HP$60,$HP117:$HY117))/SUMIF($HP$3:$HY$3,HP$60,$HP$4:$HY$4)))</f>
        <v>0</v>
      </c>
      <c r="HQ68" s="196" t="n">
        <f aca="false">IF((SUMIF($HP$3:$HY$3,HQ$60,$HP$4:$HY$4))=0,0,((SUMIF($HP$3:$HY$3,HQ$60,$HP117:$HY117))/SUMIF($HP$3:$HY$3,HQ$60,$HP$4:$HY$4)))</f>
        <v>0</v>
      </c>
      <c r="HR68" s="196" t="n">
        <f aca="false">IF((SUMIF($HP$3:$HY$3,HR$60,$HP$4:$HY$4))=0,0,((SUMIF($HP$3:$HY$3,HR$60,$HP117:$HY117))/SUMIF($HP$3:$HY$3,HR$60,$HP$4:$HY$4)))</f>
        <v>0</v>
      </c>
      <c r="HS68" s="196" t="n">
        <f aca="false">IF((SUMIF($HP$3:$HY$3,HS$60,$HP$4:$HY$4))=0,0,((SUMIF($HP$3:$HY$3,HS$60,$HP117:$HY117))/SUMIF($HP$3:$HY$3,HS$60,$HP$4:$HY$4)))</f>
        <v>0</v>
      </c>
      <c r="HT68" s="196" t="n">
        <f aca="false">IF((SUMIF($HP$3:$HY$3,HT$60,$HP$4:$HY$4))=0,0,((SUMIF($HP$3:$HY$3,HT$60,$HP117:$HY117))/SUMIF($HP$3:$HY$3,HT$60,$HP$4:$HY$4)))</f>
        <v>0</v>
      </c>
      <c r="HU68" s="196" t="n">
        <f aca="false">IF((SUMIF($HP$3:$HY$3,HU$60,$HP$4:$HY$4))=0,0,((SUMIF($HP$3:$HY$3,HU$60,$HP117:$HY117))/SUMIF($HP$3:$HY$3,HU$60,$HP$4:$HY$4)))</f>
        <v>0</v>
      </c>
      <c r="HV68" s="196" t="n">
        <f aca="false">IF((SUMIF($HP$3:$HY$3,HV$60,$HP$4:$HY$4))=0,0,((SUMIF($HP$3:$HY$3,HV$60,$HP117:$HY117))/SUMIF($HP$3:$HY$3,HV$60,$HP$4:$HY$4)))</f>
        <v>0</v>
      </c>
      <c r="HW68" s="196" t="n">
        <f aca="false">IF((SUMIF($HP$3:$HY$3,HW$60,$HP$4:$HY$4))=0,0,((SUMIF($HP$3:$HY$3,HW$60,$HP117:$HY117))/SUMIF($HP$3:$HY$3,HW$60,$HP$4:$HY$4)))</f>
        <v>0</v>
      </c>
      <c r="HX68" s="196" t="n">
        <f aca="false">IF((SUMIF($HP$3:$HY$3,HX$60,$HP$4:$HY$4))=0,0,((SUMIF($HP$3:$HY$3,HX$60,$HP117:$HY117))/SUMIF($HP$3:$HY$3,HX$60,$HP$4:$HY$4)))</f>
        <v>0</v>
      </c>
      <c r="HY68" s="197" t="n">
        <f aca="false">IF((SUMIF($HP$3:$HY$3,HY$60,$HP$4:$HY$4))=0,0,((SUMIF($HP$3:$HY$3,HY$60,$HP117:$HY117))/SUMIF($HP$3:$HY$3,HY$60,$HP$4:$HY$4)))</f>
        <v>0</v>
      </c>
      <c r="HZ68" s="194" t="str">
        <f aca="false">HO68</f>
        <v>Alumno7</v>
      </c>
      <c r="IA68" s="195" t="n">
        <f aca="false">IF((SUMIF($IA$3:$IJ$3,IA$60,$IA$4:$IJ$4))=0,0,((SUMIF($IA$3:$IJ$3,IA$60,$IA117:$IJ117))/SUMIF($IA$3:$IJ$3,IA$60,$IA$4:$IJ$4)))</f>
        <v>0</v>
      </c>
      <c r="IB68" s="196" t="n">
        <f aca="false">IF((SUMIF($IA$3:$IJ$3,IB$60,$IA$4:$IJ$4))=0,0,((SUMIF($IA$3:$IJ$3,IB$60,$IA117:$IJ117))/SUMIF($IA$3:$IJ$3,IB$60,$IA$4:$IJ$4)))</f>
        <v>0</v>
      </c>
      <c r="IC68" s="196" t="n">
        <f aca="false">IF((SUMIF($IA$3:$IJ$3,IC$60,$IA$4:$IJ$4))=0,0,((SUMIF($IA$3:$IJ$3,IC$60,$IA117:$IJ117))/SUMIF($IA$3:$IJ$3,IC$60,$IA$4:$IJ$4)))</f>
        <v>0</v>
      </c>
      <c r="ID68" s="196" t="n">
        <f aca="false">IF((SUMIF($IA$3:$IJ$3,ID$60,$IA$4:$IJ$4))=0,0,((SUMIF($IA$3:$IJ$3,ID$60,$IA117:$IJ117))/SUMIF($IA$3:$IJ$3,ID$60,$IA$4:$IJ$4)))</f>
        <v>0</v>
      </c>
      <c r="IE68" s="196" t="n">
        <f aca="false">IF((SUMIF($IA$3:$IJ$3,IE$60,$IA$4:$IJ$4))=0,0,((SUMIF($IA$3:$IJ$3,IE$60,$IA117:$IJ117))/SUMIF($IA$3:$IJ$3,IE$60,$IA$4:$IJ$4)))</f>
        <v>0</v>
      </c>
      <c r="IF68" s="196" t="n">
        <f aca="false">IF((SUMIF($IA$3:$IJ$3,IF$60,$IA$4:$IJ$4))=0,0,((SUMIF($IA$3:$IJ$3,IF$60,$IA117:$IJ117))/SUMIF($IA$3:$IJ$3,IF$60,$IA$4:$IJ$4)))</f>
        <v>0</v>
      </c>
      <c r="IG68" s="196" t="n">
        <f aca="false">IF((SUMIF($IA$3:$IJ$3,IG$60,$IA$4:$IJ$4))=0,0,((SUMIF($IA$3:$IJ$3,IG$60,$IA117:$IJ117))/SUMIF($IA$3:$IJ$3,IG$60,$IA$4:$IJ$4)))</f>
        <v>0</v>
      </c>
      <c r="IH68" s="196" t="n">
        <f aca="false">IF((SUMIF($IA$3:$IJ$3,IH$60,$IA$4:$IJ$4))=0,0,((SUMIF($IA$3:$IJ$3,IH$60,$IA117:$IJ117))/SUMIF($IA$3:$IJ$3,IH$60,$IA$4:$IJ$4)))</f>
        <v>0</v>
      </c>
      <c r="II68" s="196" t="n">
        <f aca="false">IF((SUMIF($IA$3:$IJ$3,II$60,$IA$4:$IJ$4))=0,0,((SUMIF($IA$3:$IJ$3,II$60,$IA117:$IJ117))/SUMIF($IA$3:$IJ$3,II$60,$IA$4:$IJ$4)))</f>
        <v>0</v>
      </c>
      <c r="IJ68" s="197" t="n">
        <f aca="false">IF((SUMIF($IA$3:$IJ$3,IJ$60,$IA$4:$IJ$4))=0,0,((SUMIF($IA$3:$IJ$3,IJ$60,$IA117:$IJ117))/SUMIF($IA$3:$IJ$3,IJ$60,$IA$4:$IJ$4)))</f>
        <v>0</v>
      </c>
      <c r="IK68" s="194" t="str">
        <f aca="false">HZ68</f>
        <v>Alumno7</v>
      </c>
      <c r="IL68" s="195" t="n">
        <f aca="false">IF((SUMIF($IL$3:$IU$3,IL$60,$IL$4:$IU$4))=0,0,((SUMIF($IL$3:$IU$3,IL$60,$IL117:$IU117))/SUMIF($IL$3:$IU$3,IL$60,$IL$4:$IU$4)))</f>
        <v>0</v>
      </c>
      <c r="IM68" s="196" t="n">
        <f aca="false">IF((SUMIF($IL$3:$IU$3,IM$60,$IL$4:$IU$4))=0,0,((SUMIF($IL$3:$IU$3,IM$60,$IL117:$IU117))/SUMIF($IL$3:$IU$3,IM$60,$IL$4:$IU$4)))</f>
        <v>0</v>
      </c>
      <c r="IN68" s="196" t="n">
        <f aca="false">IF((SUMIF($IL$3:$IU$3,IN$60,$IL$4:$IU$4))=0,0,((SUMIF($IL$3:$IU$3,IN$60,$IL117:$IU117))/SUMIF($IL$3:$IU$3,IN$60,$IL$4:$IU$4)))</f>
        <v>0</v>
      </c>
      <c r="IO68" s="196" t="n">
        <f aca="false">IF((SUMIF($IL$3:$IU$3,IO$60,$IL$4:$IU$4))=0,0,((SUMIF($IL$3:$IU$3,IO$60,$IL117:$IU117))/SUMIF($IL$3:$IU$3,IO$60,$IL$4:$IU$4)))</f>
        <v>0</v>
      </c>
      <c r="IP68" s="196" t="n">
        <f aca="false">IF((SUMIF($IL$3:$IU$3,IP$60,$IL$4:$IU$4))=0,0,((SUMIF($IL$3:$IU$3,IP$60,$IL117:$IU117))/SUMIF($IL$3:$IU$3,IP$60,$IL$4:$IU$4)))</f>
        <v>0</v>
      </c>
      <c r="IQ68" s="196" t="n">
        <f aca="false">IF((SUMIF($IL$3:$IU$3,IQ$60,$IL$4:$IU$4))=0,0,((SUMIF($IL$3:$IU$3,IQ$60,$IL117:$IU117))/SUMIF($IL$3:$IU$3,IQ$60,$IL$4:$IU$4)))</f>
        <v>0</v>
      </c>
      <c r="IR68" s="196" t="n">
        <f aca="false">IF((SUMIF($IL$3:$IU$3,IR$60,$IL$4:$IU$4))=0,0,((SUMIF($IL$3:$IU$3,IR$60,$IL117:$IU117))/SUMIF($IL$3:$IU$3,IR$60,$IL$4:$IU$4)))</f>
        <v>0</v>
      </c>
      <c r="IS68" s="196" t="n">
        <f aca="false">IF((SUMIF($IL$3:$IU$3,IS$60,$IL$4:$IU$4))=0,0,((SUMIF($IL$3:$IU$3,IS$60,$IL117:$IU117))/SUMIF($IL$3:$IU$3,IS$60,$IL$4:$IU$4)))</f>
        <v>0</v>
      </c>
      <c r="IT68" s="196" t="n">
        <f aca="false">IF((SUMIF($IL$3:$IU$3,IT$60,$IL$4:$IU$4))=0,0,((SUMIF($IL$3:$IU$3,IT$60,$IL117:$IU117))/SUMIF($IL$3:$IU$3,IT$60,$IL$4:$IU$4)))</f>
        <v>0</v>
      </c>
      <c r="IU68" s="197" t="n">
        <f aca="false">IF((SUMIF($IL$3:$IU$3,IU$60,$IL$4:$IU$4))=0,0,((SUMIF($IL$3:$IU$3,IU$60,$IL117:$IU117))/SUMIF($IL$3:$IU$3,IU$60,$IL$4:$IU$4)))</f>
        <v>0</v>
      </c>
      <c r="IV68" s="194" t="str">
        <f aca="false">IK68</f>
        <v>Alumno7</v>
      </c>
      <c r="IW68" s="195" t="n">
        <f aca="false">IF((SUMIF($IW$3:$JF$3,IW$60,$IW$4:$JF$4))=0,0,((SUMIF($IW$3:$JF$3,IW$60,$IW117:$JF117))/SUMIF($IW$3:$JF$3,IW$60,$IW$4:$JF$4)))</f>
        <v>0</v>
      </c>
      <c r="IX68" s="196" t="n">
        <f aca="false">IF((SUMIF($IW$3:$JF$3,IX$60,$IW$4:$JF$4))=0,0,((SUMIF($IW$3:$JF$3,IX$60,$IW117:$JF117))/SUMIF($IW$3:$JF$3,IX$60,$IW$4:$JF$4)))</f>
        <v>0</v>
      </c>
      <c r="IY68" s="196" t="n">
        <f aca="false">IF((SUMIF($IW$3:$JF$3,IY$60,$IW$4:$JF$4))=0,0,((SUMIF($IW$3:$JF$3,IY$60,$IW117:$JF117))/SUMIF($IW$3:$JF$3,IY$60,$IW$4:$JF$4)))</f>
        <v>0</v>
      </c>
      <c r="IZ68" s="196" t="n">
        <f aca="false">IF((SUMIF($IW$3:$JF$3,IZ$60,$IW$4:$JF$4))=0,0,((SUMIF($IW$3:$JF$3,IZ$60,$IW117:$JF117))/SUMIF($IW$3:$JF$3,IZ$60,$IW$4:$JF$4)))</f>
        <v>0</v>
      </c>
      <c r="JA68" s="196" t="n">
        <f aca="false">IF((SUMIF($IW$3:$JF$3,JA$60,$IW$4:$JF$4))=0,0,((SUMIF($IW$3:$JF$3,JA$60,$IW117:$JF117))/SUMIF($IW$3:$JF$3,JA$60,$IW$4:$JF$4)))</f>
        <v>0</v>
      </c>
      <c r="JB68" s="196" t="n">
        <f aca="false">IF((SUMIF($IW$3:$JF$3,JB$60,$IW$4:$JF$4))=0,0,((SUMIF($IW$3:$JF$3,JB$60,$IW117:$JF117))/SUMIF($IW$3:$JF$3,JB$60,$IW$4:$JF$4)))</f>
        <v>0</v>
      </c>
      <c r="JC68" s="196" t="n">
        <f aca="false">IF((SUMIF($IW$3:$JF$3,JC$60,$IW$4:$JF$4))=0,0,((SUMIF($IW$3:$JF$3,JC$60,$IW117:$JF117))/SUMIF($IW$3:$JF$3,JC$60,$IW$4:$JF$4)))</f>
        <v>0</v>
      </c>
      <c r="JD68" s="196" t="n">
        <f aca="false">IF((SUMIF($IW$3:$JF$3,JD$60,$IW$4:$JF$4))=0,0,((SUMIF($IW$3:$JF$3,JD$60,$IW117:$JF117))/SUMIF($IW$3:$JF$3,JD$60,$IW$4:$JF$4)))</f>
        <v>0</v>
      </c>
      <c r="JE68" s="196" t="n">
        <f aca="false">IF((SUMIF($IW$3:$JF$3,JE$60,$IW$4:$JF$4))=0,0,((SUMIF($IW$3:$JF$3,JE$60,$IW117:$JF117))/SUMIF($IW$3:$JF$3,JE$60,$IW$4:$JF$4)))</f>
        <v>0</v>
      </c>
      <c r="JF68" s="197" t="n">
        <f aca="false">IF((SUMIF($IW$3:$JF$3,JF$60,$IW$4:$JF$4))=0,0,((SUMIF($IW$3:$JF$3,JF$60,$IW117:$JF117))/SUMIF($IW$3:$JF$3,JF$60,$IW$4:$JF$4)))</f>
        <v>0</v>
      </c>
      <c r="JG68" s="194" t="str">
        <f aca="false">IV68</f>
        <v>Alumno7</v>
      </c>
      <c r="JH68" s="195" t="n">
        <f aca="false">IF((SUMIF($JH$3:$JQ$3,JH$60,$JH$4:$JQ$4))=0,0,((SUMIF($JH$3:$JQ$3,JH$60,$JH117:$JQ117))/SUMIF($JH$3:$JQ$3,JH$60,$JH$4:$JQ$4)))</f>
        <v>0</v>
      </c>
      <c r="JI68" s="196" t="n">
        <f aca="false">IF((SUMIF($JH$3:$JQ$3,JI$60,$JH$4:$JQ$4))=0,0,((SUMIF($JH$3:$JQ$3,JI$60,$JH117:$JQ117))/SUMIF($JH$3:$JQ$3,JI$60,$JH$4:$JQ$4)))</f>
        <v>0</v>
      </c>
      <c r="JJ68" s="196" t="n">
        <f aca="false">IF((SUMIF($JH$3:$JQ$3,JJ$60,$JH$4:$JQ$4))=0,0,((SUMIF($JH$3:$JQ$3,JJ$60,$JH117:$JQ117))/SUMIF($JH$3:$JQ$3,JJ$60,$JH$4:$JQ$4)))</f>
        <v>0</v>
      </c>
      <c r="JK68" s="196" t="n">
        <f aca="false">IF((SUMIF($JH$3:$JQ$3,JK$60,$JH$4:$JQ$4))=0,0,((SUMIF($JH$3:$JQ$3,JK$60,$JH117:$JQ117))/SUMIF($JH$3:$JQ$3,JK$60,$JH$4:$JQ$4)))</f>
        <v>0</v>
      </c>
      <c r="JL68" s="196" t="n">
        <f aca="false">IF((SUMIF($JH$3:$JQ$3,JL$60,$JH$4:$JQ$4))=0,0,((SUMIF($JH$3:$JQ$3,JL$60,$JH117:$JQ117))/SUMIF($JH$3:$JQ$3,JL$60,$JH$4:$JQ$4)))</f>
        <v>0</v>
      </c>
      <c r="JM68" s="196" t="n">
        <f aca="false">IF((SUMIF($JH$3:$JQ$3,JM$60,$JH$4:$JQ$4))=0,0,((SUMIF($JH$3:$JQ$3,JM$60,$JH117:$JQ117))/SUMIF($JH$3:$JQ$3,JM$60,$JH$4:$JQ$4)))</f>
        <v>0</v>
      </c>
      <c r="JN68" s="196" t="n">
        <f aca="false">IF((SUMIF($JH$3:$JQ$3,JN$60,$JH$4:$JQ$4))=0,0,((SUMIF($JH$3:$JQ$3,JN$60,$JH117:$JQ117))/SUMIF($JH$3:$JQ$3,JN$60,$JH$4:$JQ$4)))</f>
        <v>0</v>
      </c>
      <c r="JO68" s="196" t="n">
        <f aca="false">IF((SUMIF($JH$3:$JQ$3,JO$60,$JH$4:$JQ$4))=0,0,((SUMIF($JH$3:$JQ$3,JO$60,$JH117:$JQ117))/SUMIF($JH$3:$JQ$3,JO$60,$JH$4:$JQ$4)))</f>
        <v>0</v>
      </c>
      <c r="JP68" s="196" t="n">
        <f aca="false">IF((SUMIF($JH$3:$JQ$3,JP$60,$JH$4:$JQ$4))=0,0,((SUMIF($JH$3:$JQ$3,JP$60,$JH117:$JQ117))/SUMIF($JH$3:$JQ$3,JP$60,$JH$4:$JQ$4)))</f>
        <v>0</v>
      </c>
      <c r="JQ68" s="197" t="n">
        <f aca="false">IF((SUMIF($JH$3:$JQ$3,JQ$60,$JH$4:$JQ$4))=0,0,((SUMIF($JH$3:$JQ$3,JQ$60,$JH117:$JQ117))/SUMIF($JH$3:$JQ$3,JQ$60,$JH$4:$JQ$4)))</f>
        <v>0</v>
      </c>
      <c r="JR68" s="194" t="str">
        <f aca="false">JG68</f>
        <v>Alumno7</v>
      </c>
      <c r="JS68" s="195" t="n">
        <f aca="false">IF((SUMIF($JS$3:$KB$3,JS$60,$JS$4:$KB$4))=0,0,((SUMIF($JS$3:$KB$3,JS$60,$JS117:$KB117))/SUMIF($JS$3:$KB$3,JS$60,$JS$4:$KB$4)))</f>
        <v>0</v>
      </c>
      <c r="JT68" s="196" t="n">
        <f aca="false">IF((SUMIF($JS$3:$KB$3,JT$60,$JS$4:$KB$4))=0,0,((SUMIF($JS$3:$KB$3,JT$60,$JS117:$KB117))/SUMIF($JS$3:$KB$3,JT$60,$JS$4:$KB$4)))</f>
        <v>0</v>
      </c>
      <c r="JU68" s="196" t="n">
        <f aca="false">IF((SUMIF($JS$3:$KB$3,JU$60,$JS$4:$KB$4))=0,0,((SUMIF($JS$3:$KB$3,JU$60,$JS117:$KB117))/SUMIF($JS$3:$KB$3,JU$60,$JS$4:$KB$4)))</f>
        <v>0</v>
      </c>
      <c r="JV68" s="196" t="n">
        <f aca="false">IF((SUMIF($JS$3:$KB$3,JV$60,$JS$4:$KB$4))=0,0,((SUMIF($JS$3:$KB$3,JV$60,$JS117:$KB117))/SUMIF($JS$3:$KB$3,JV$60,$JS$4:$KB$4)))</f>
        <v>0</v>
      </c>
      <c r="JW68" s="196" t="n">
        <f aca="false">IF((SUMIF($JS$3:$KB$3,JW$60,$JS$4:$KB$4))=0,0,((SUMIF($JS$3:$KB$3,JW$60,$JS117:$KB117))/SUMIF($JS$3:$KB$3,JW$60,$JS$4:$KB$4)))</f>
        <v>0</v>
      </c>
      <c r="JX68" s="196" t="n">
        <f aca="false">IF((SUMIF($JS$3:$KB$3,JX$60,$JS$4:$KB$4))=0,0,((SUMIF($JS$3:$KB$3,JX$60,$JS117:$KB117))/SUMIF($JS$3:$KB$3,JX$60,$JS$4:$KB$4)))</f>
        <v>0</v>
      </c>
      <c r="JY68" s="196" t="n">
        <f aca="false">IF((SUMIF($JS$3:$KB$3,JY$60,$JS$4:$KB$4))=0,0,((SUMIF($JS$3:$KB$3,JY$60,$JS117:$KB117))/SUMIF($JS$3:$KB$3,JY$60,$JS$4:$KB$4)))</f>
        <v>0</v>
      </c>
      <c r="JZ68" s="196" t="n">
        <f aca="false">IF((SUMIF($JS$3:$KB$3,JZ$60,$JS$4:$KB$4))=0,0,((SUMIF($JS$3:$KB$3,JZ$60,$JS117:$KB117))/SUMIF($JS$3:$KB$3,JZ$60,$JS$4:$KB$4)))</f>
        <v>0</v>
      </c>
      <c r="KA68" s="196" t="n">
        <f aca="false">IF((SUMIF($JS$3:$KB$3,KA$60,$JS$4:$KB$4))=0,0,((SUMIF($JS$3:$KB$3,KA$60,$JS117:$KB117))/SUMIF($JS$3:$KB$3,KA$60,$JS$4:$KB$4)))</f>
        <v>0</v>
      </c>
      <c r="KB68" s="197" t="n">
        <f aca="false">IF((SUMIF($JS$3:$KB$3,KB$60,$JS$4:$KB$4))=0,0,((SUMIF($JS$3:$KB$3,KB$60,$JS117:$KB117))/SUMIF($JS$3:$KB$3,KB$60,$JS$4:$KB$4)))</f>
        <v>0</v>
      </c>
      <c r="KC68" s="194" t="str">
        <f aca="false">JR68</f>
        <v>Alumno7</v>
      </c>
      <c r="KD68" s="195" t="n">
        <f aca="false">IF((SUMIF($KD$3:$KM$3,KD$60,$KD$4:$KM$4))=0,0,((SUMIF($KD$3:$KM$3,KD$60,$KD117:$KM117))/SUMIF($KD$3:$KM$3,KD$60,$KD$4:$KM$4)))</f>
        <v>0</v>
      </c>
      <c r="KE68" s="196" t="n">
        <f aca="false">IF((SUMIF($KD$3:$KM$3,KE$60,$KD$4:$KM$4))=0,0,((SUMIF($KD$3:$KM$3,KE$60,$KD117:$KM117))/SUMIF($KD$3:$KM$3,KE$60,$KD$4:$KM$4)))</f>
        <v>0</v>
      </c>
      <c r="KF68" s="196" t="n">
        <f aca="false">IF((SUMIF($KD$3:$KM$3,KF$60,$KD$4:$KM$4))=0,0,((SUMIF($KD$3:$KM$3,KF$60,$KD117:$KM117))/SUMIF($KD$3:$KM$3,KF$60,$KD$4:$KM$4)))</f>
        <v>0</v>
      </c>
      <c r="KG68" s="196" t="n">
        <f aca="false">IF((SUMIF($KD$3:$KM$3,KG$60,$KD$4:$KM$4))=0,0,((SUMIF($KD$3:$KM$3,KG$60,$KD117:$KM117))/SUMIF($KD$3:$KM$3,KG$60,$KD$4:$KM$4)))</f>
        <v>0</v>
      </c>
      <c r="KH68" s="196" t="n">
        <f aca="false">IF((SUMIF($KD$3:$KM$3,KH$60,$KD$4:$KM$4))=0,0,((SUMIF($KD$3:$KM$3,KH$60,$KD117:$KM117))/SUMIF($KD$3:$KM$3,KH$60,$KD$4:$KM$4)))</f>
        <v>0</v>
      </c>
      <c r="KI68" s="196" t="n">
        <f aca="false">IF((SUMIF($KD$3:$KM$3,KI$60,$KD$4:$KM$4))=0,0,((SUMIF($KD$3:$KM$3,KI$60,$KD117:$KM117))/SUMIF($KD$3:$KM$3,KI$60,$KD$4:$KM$4)))</f>
        <v>0</v>
      </c>
      <c r="KJ68" s="196" t="n">
        <f aca="false">IF((SUMIF($KD$3:$KM$3,KJ$60,$KD$4:$KM$4))=0,0,((SUMIF($KD$3:$KM$3,KJ$60,$KD117:$KM117))/SUMIF($KD$3:$KM$3,KJ$60,$KD$4:$KM$4)))</f>
        <v>0</v>
      </c>
      <c r="KK68" s="196" t="n">
        <f aca="false">IF((SUMIF($KD$3:$KM$3,KK$60,$KD$4:$KM$4))=0,0,((SUMIF($KD$3:$KM$3,KK$60,$KD117:$KM117))/SUMIF($KD$3:$KM$3,KK$60,$KD$4:$KM$4)))</f>
        <v>0</v>
      </c>
      <c r="KL68" s="196" t="n">
        <f aca="false">IF((SUMIF($KD$3:$KM$3,KL$60,$KD$4:$KM$4))=0,0,((SUMIF($KD$3:$KM$3,KL$60,$KD117:$KM117))/SUMIF($KD$3:$KM$3,KL$60,$KD$4:$KM$4)))</f>
        <v>0</v>
      </c>
      <c r="KM68" s="197" t="n">
        <f aca="false">IF((SUMIF($KD$3:$KM$3,KM$60,$KD$4:$KM$4))=0,0,((SUMIF($KD$3:$KM$3,KM$60,$KD117:$KM117))/SUMIF($KD$3:$KM$3,KM$60,$KD$4:$KM$4)))</f>
        <v>0</v>
      </c>
      <c r="KN68" s="194" t="str">
        <f aca="false">KC68</f>
        <v>Alumno7</v>
      </c>
      <c r="KO68" s="195" t="n">
        <f aca="false">IF((SUMIF($KO$3:$KX$3,KO$60,$KO$4:$KX$4))=0,0,((SUMIF($KO$3:$KX$3,KO$60,$KO117:$KX117))/SUMIF($KO$3:$KX$3,KO$60,$KO$4:$KX$4)))</f>
        <v>0</v>
      </c>
      <c r="KP68" s="196" t="n">
        <f aca="false">IF((SUMIF($KO$3:$KX$3,KP$60,$KO$4:$KX$4))=0,0,((SUMIF($KO$3:$KX$3,KP$60,$KO117:$KX117))/SUMIF($KO$3:$KX$3,KP$60,$KO$4:$KX$4)))</f>
        <v>0</v>
      </c>
      <c r="KQ68" s="196" t="n">
        <f aca="false">IF((SUMIF($KO$3:$KX$3,KQ$60,$KO$4:$KX$4))=0,0,((SUMIF($KO$3:$KX$3,KQ$60,$KO117:$KX117))/SUMIF($KO$3:$KX$3,KQ$60,$KO$4:$KX$4)))</f>
        <v>0</v>
      </c>
      <c r="KR68" s="196" t="n">
        <f aca="false">IF((SUMIF($KO$3:$KX$3,KR$60,$KO$4:$KX$4))=0,0,((SUMIF($KO$3:$KX$3,KR$60,$KO117:$KX117))/SUMIF($KO$3:$KX$3,KR$60,$KO$4:$KX$4)))</f>
        <v>0</v>
      </c>
      <c r="KS68" s="196" t="n">
        <f aca="false">IF((SUMIF($KO$3:$KX$3,KS$60,$KO$4:$KX$4))=0,0,((SUMIF($KO$3:$KX$3,KS$60,$KO117:$KX117))/SUMIF($KO$3:$KX$3,KS$60,$KO$4:$KX$4)))</f>
        <v>0</v>
      </c>
      <c r="KT68" s="196" t="n">
        <f aca="false">IF((SUMIF($KO$3:$KX$3,KT$60,$KO$4:$KX$4))=0,0,((SUMIF($KO$3:$KX$3,KT$60,$KO117:$KX117))/SUMIF($KO$3:$KX$3,KT$60,$KO$4:$KX$4)))</f>
        <v>0</v>
      </c>
      <c r="KU68" s="196" t="n">
        <f aca="false">IF((SUMIF($KO$3:$KX$3,KU$60,$KO$4:$KX$4))=0,0,((SUMIF($KO$3:$KX$3,KU$60,$KO117:$KX117))/SUMIF($KO$3:$KX$3,KU$60,$KO$4:$KX$4)))</f>
        <v>0</v>
      </c>
      <c r="KV68" s="196" t="n">
        <f aca="false">IF((SUMIF($KO$3:$KX$3,KV$60,$KO$4:$KX$4))=0,0,((SUMIF($KO$3:$KX$3,KV$60,$KO117:$KX117))/SUMIF($KO$3:$KX$3,KV$60,$KO$4:$KX$4)))</f>
        <v>0</v>
      </c>
      <c r="KW68" s="196" t="n">
        <f aca="false">IF((SUMIF($KO$3:$KX$3,KW$60,$KO$4:$KX$4))=0,0,((SUMIF($KO$3:$KX$3,KW$60,$KO117:$KX117))/SUMIF($KO$3:$KX$3,KW$60,$KO$4:$KX$4)))</f>
        <v>0</v>
      </c>
      <c r="KX68" s="197" t="n">
        <f aca="false">IF((SUMIF($KO$3:$KX$3,KX$60,$KO$4:$KX$4))=0,0,((SUMIF($KO$3:$KX$3,KX$60,$KO117:$KX117))/SUMIF($KO$3:$KX$3,KX$60,$KO$4:$KX$4)))</f>
        <v>0</v>
      </c>
      <c r="KY68" s="194" t="str">
        <f aca="false">KN68</f>
        <v>Alumno7</v>
      </c>
      <c r="KZ68" s="195" t="n">
        <f aca="false">IF((SUMIF($KZ$3:$LI$3,KZ$60,$KZ$4:$LI$4))=0,0,((SUMIF($KZ$3:$LI$3,KZ$60,$KZ117:$LI117))/SUMIF($KZ$3:$LI$3,KZ$60,$KZ$4:$LI$4)))</f>
        <v>0</v>
      </c>
      <c r="LA68" s="196" t="n">
        <f aca="false">IF((SUMIF($KZ$3:$LI$3,LA$60,$KZ$4:$LI$4))=0,0,((SUMIF($KZ$3:$LI$3,LA$60,$KZ117:$LI117))/SUMIF($KZ$3:$LI$3,LA$60,$KZ$4:$LI$4)))</f>
        <v>0</v>
      </c>
      <c r="LB68" s="196" t="n">
        <f aca="false">IF((SUMIF($KZ$3:$LI$3,LB$60,$KZ$4:$LI$4))=0,0,((SUMIF($KZ$3:$LI$3,LB$60,$KZ117:$LI117))/SUMIF($KZ$3:$LI$3,LB$60,$KZ$4:$LI$4)))</f>
        <v>0</v>
      </c>
      <c r="LC68" s="196" t="n">
        <f aca="false">IF((SUMIF($KZ$3:$LI$3,LC$60,$KZ$4:$LI$4))=0,0,((SUMIF($KZ$3:$LI$3,LC$60,$KZ117:$LI117))/SUMIF($KZ$3:$LI$3,LC$60,$KZ$4:$LI$4)))</f>
        <v>0</v>
      </c>
      <c r="LD68" s="196" t="n">
        <f aca="false">IF((SUMIF($KZ$3:$LI$3,LD$60,$KZ$4:$LI$4))=0,0,((SUMIF($KZ$3:$LI$3,LD$60,$KZ117:$LI117))/SUMIF($KZ$3:$LI$3,LD$60,$KZ$4:$LI$4)))</f>
        <v>0</v>
      </c>
      <c r="LE68" s="196" t="n">
        <f aca="false">IF((SUMIF($KZ$3:$LI$3,LE$60,$KZ$4:$LI$4))=0,0,((SUMIF($KZ$3:$LI$3,LE$60,$KZ117:$LI117))/SUMIF($KZ$3:$LI$3,LE$60,$KZ$4:$LI$4)))</f>
        <v>0</v>
      </c>
      <c r="LF68" s="196" t="n">
        <f aca="false">IF((SUMIF($KZ$3:$LI$3,LF$60,$KZ$4:$LI$4))=0,0,((SUMIF($KZ$3:$LI$3,LF$60,$KZ117:$LI117))/SUMIF($KZ$3:$LI$3,LF$60,$KZ$4:$LI$4)))</f>
        <v>0</v>
      </c>
      <c r="LG68" s="196" t="n">
        <f aca="false">IF((SUMIF($KZ$3:$LI$3,LG$60,$KZ$4:$LI$4))=0,0,((SUMIF($KZ$3:$LI$3,LG$60,$KZ117:$LI117))/SUMIF($KZ$3:$LI$3,LG$60,$KZ$4:$LI$4)))</f>
        <v>0</v>
      </c>
      <c r="LH68" s="196" t="n">
        <f aca="false">IF((SUMIF($KZ$3:$LI$3,LH$60,$KZ$4:$LI$4))=0,0,((SUMIF($KZ$3:$LI$3,LH$60,$KZ117:$LI117))/SUMIF($KZ$3:$LI$3,LH$60,$KZ$4:$LI$4)))</f>
        <v>0</v>
      </c>
      <c r="LI68" s="197" t="n">
        <f aca="false">IF((SUMIF($KZ$3:$LI$3,LI$60,$KZ$4:$LI$4))=0,0,((SUMIF($KZ$3:$LI$3,LI$60,$KZ117:$LI117))/SUMIF($KZ$3:$LI$3,LI$60,$KZ$4:$LI$4)))</f>
        <v>0</v>
      </c>
      <c r="LJ68" s="194" t="str">
        <f aca="false">KY68</f>
        <v>Alumno7</v>
      </c>
      <c r="LK68" s="195" t="n">
        <f aca="false">IF((SUMIF($LK$3:$LT$3,LK$60,$LK$4:$LT$4))=0,0,((SUMIF($LK$3:$LT$3,LK$60,$LK117:$LT117))/SUMIF($LK$3:$LT$3,LK$60,$LK$4:$LT$4)))</f>
        <v>0</v>
      </c>
      <c r="LL68" s="196" t="n">
        <f aca="false">IF((SUMIF($LK$3:$LT$3,LL$60,$LK$4:$LT$4))=0,0,((SUMIF($LK$3:$LT$3,LL$60,$LK117:$LT117))/SUMIF($LK$3:$LT$3,LL$60,$LK$4:$LT$4)))</f>
        <v>0</v>
      </c>
      <c r="LM68" s="196" t="n">
        <f aca="false">IF((SUMIF($LK$3:$LT$3,LM$60,$LK$4:$LT$4))=0,0,((SUMIF($LK$3:$LT$3,LM$60,$LK117:$LT117))/SUMIF($LK$3:$LT$3,LM$60,$LK$4:$LT$4)))</f>
        <v>0</v>
      </c>
      <c r="LN68" s="196" t="n">
        <f aca="false">IF((SUMIF($LK$3:$LT$3,LN$60,$LK$4:$LT$4))=0,0,((SUMIF($LK$3:$LT$3,LN$60,$LK117:$LT117))/SUMIF($LK$3:$LT$3,LN$60,$LK$4:$LT$4)))</f>
        <v>0</v>
      </c>
      <c r="LO68" s="196" t="n">
        <f aca="false">IF((SUMIF($LK$3:$LT$3,LO$60,$LK$4:$LT$4))=0,0,((SUMIF($LK$3:$LT$3,LO$60,$LK117:$LT117))/SUMIF($LK$3:$LT$3,LO$60,$LK$4:$LT$4)))</f>
        <v>0</v>
      </c>
      <c r="LP68" s="196" t="n">
        <f aca="false">IF((SUMIF($LK$3:$LT$3,LP$60,$LK$4:$LT$4))=0,0,((SUMIF($LK$3:$LT$3,LP$60,$LK117:$LT117))/SUMIF($LK$3:$LT$3,LP$60,$LK$4:$LT$4)))</f>
        <v>0</v>
      </c>
      <c r="LQ68" s="196" t="n">
        <f aca="false">IF((SUMIF($LK$3:$LT$3,LQ$60,$LK$4:$LT$4))=0,0,((SUMIF($LK$3:$LT$3,LQ$60,$LK117:$LT117))/SUMIF($LK$3:$LT$3,LQ$60,$LK$4:$LT$4)))</f>
        <v>0</v>
      </c>
      <c r="LR68" s="196" t="n">
        <f aca="false">IF((SUMIF($LK$3:$LT$3,LR$60,$LK$4:$LT$4))=0,0,((SUMIF($LK$3:$LT$3,LR$60,$LK117:$LT117))/SUMIF($LK$3:$LT$3,LR$60,$LK$4:$LT$4)))</f>
        <v>0</v>
      </c>
      <c r="LS68" s="196" t="n">
        <f aca="false">IF((SUMIF($LK$3:$LT$3,LS$60,$LK$4:$LT$4))=0,0,((SUMIF($LK$3:$LT$3,LS$60,$LK117:$LT117))/SUMIF($LK$3:$LT$3,LS$60,$LK$4:$LT$4)))</f>
        <v>0</v>
      </c>
      <c r="LT68" s="197" t="n">
        <f aca="false">IF((SUMIF($LK$3:$LT$3,LT$60,$LK$4:$LT$4))=0,0,((SUMIF($LK$3:$LT$3,LT$60,$LK117:$LT117))/SUMIF($LK$3:$LT$3,LT$60,$LK$4:$LT$4)))</f>
        <v>0</v>
      </c>
    </row>
    <row r="69" customFormat="false" ht="15" hidden="true" customHeight="false" outlineLevel="0" collapsed="false">
      <c r="C69" s="194" t="str">
        <f aca="false">B13</f>
        <v>Alumno8</v>
      </c>
      <c r="D69" s="195" t="n">
        <f aca="false">IF((SUMIF($D$3:$M$3,D$60,$D$4:$M$4))=0,0,((SUMIF($D$3:$M$3,D$60,$D118:$M118))/SUMIF($D$3:$M$3,D$60,$D$4:$M$4)))</f>
        <v>9.65</v>
      </c>
      <c r="E69" s="196" t="n">
        <f aca="false">IF((SUMIF($D$3:$M$3,E$60,$D$4:$M$4))=0,0,((SUMIF($D$3:$M$3,E$60,$D118:$M118))/SUMIF($D$3:$M$3,E$60,$D$4:$M$4)))</f>
        <v>0</v>
      </c>
      <c r="F69" s="196" t="n">
        <f aca="false">IF((SUMIF($D$3:$M$3,F$60,$D$4:$M$4))=0,0,((SUMIF($D$3:$M$3,F$60,$D118:$M118))/SUMIF($D$3:$M$3,F$60,$D$4:$M$4)))</f>
        <v>0</v>
      </c>
      <c r="G69" s="196" t="n">
        <f aca="false">IF((SUMIF($D$3:$M$3,G$60,$D$4:$M$4))=0,0,((SUMIF($D$3:$M$3,G$60,$D118:$M118))/SUMIF($D$3:$M$3,G$60,$D$4:$M$4)))</f>
        <v>0</v>
      </c>
      <c r="H69" s="196" t="n">
        <f aca="false">IF((SUMIF($D$3:$M$3,H$60,$D$4:$M$4))=0,0,((SUMIF($D$3:$M$3,H$60,$D118:$M118))/SUMIF($D$3:$M$3,H$60,$D$4:$M$4)))</f>
        <v>0</v>
      </c>
      <c r="I69" s="196" t="n">
        <f aca="false">IF((SUMIF($D$3:$M$3,I$60,$D$4:$M$4))=0,0,((SUMIF($D$3:$M$3,I$60,$D118:$M118))/SUMIF($D$3:$M$3,I$60,$D$4:$M$4)))</f>
        <v>0</v>
      </c>
      <c r="J69" s="196" t="n">
        <f aca="false">IF((SUMIF($D$3:$M$3,J$60,$D$4:$M$4))=0,0,((SUMIF($D$3:$M$3,J$60,$D118:$M118))/SUMIF($D$3:$M$3,J$60,$D$4:$M$4)))</f>
        <v>0</v>
      </c>
      <c r="K69" s="196" t="n">
        <f aca="false">IF((SUMIF($D$3:$M$3,K$60,$D$4:$M$4))=0,0,((SUMIF($D$3:$M$3,K$60,$D118:$M118))/SUMIF($D$3:$M$3,K$60,$D$4:$M$4)))</f>
        <v>0</v>
      </c>
      <c r="L69" s="196" t="n">
        <f aca="false">IF((SUMIF($D$3:$M$3,L$60,$D$4:$M$4))=0,0,((SUMIF($D$3:$M$3,L$60,$D118:$M118))/SUMIF($D$3:$M$3,L$60,$D$4:$M$4)))</f>
        <v>0</v>
      </c>
      <c r="M69" s="197" t="n">
        <f aca="false">IF((SUMIF($D$3:$M$3,M$60,$D$4:$M$4))=0,0,((SUMIF($D$3:$M$3,M$60,$D118:$M118))/SUMIF($D$3:$M$3,M$60,$D$4:$M$4)))</f>
        <v>0</v>
      </c>
      <c r="N69" s="194" t="str">
        <f aca="false">C69</f>
        <v>Alumno8</v>
      </c>
      <c r="O69" s="195" t="n">
        <f aca="false">IF((SUMIF($O$3:$X$3,O$60,$O$4:$X$4))=0,0,((SUMIF($O$3:$X$3,O$60,$O118:$X118))/SUMIF($O$3:$X$3,O$60,$O$4:$X$4)))</f>
        <v>5</v>
      </c>
      <c r="P69" s="196" t="n">
        <f aca="false">IF((SUMIF($O$3:$X$3,P$60,$O$4:$X$4))=0,0,((SUMIF($O$3:$X$3,P$60,$O118:$X118))/SUMIF($O$3:$X$3,P$60,$O$4:$X$4)))</f>
        <v>5</v>
      </c>
      <c r="Q69" s="196" t="n">
        <f aca="false">IF((SUMIF($O$3:$X$3,Q$60,$O$4:$X$4))=0,0,((SUMIF($O$3:$X$3,Q$60,$O118:$X118))/SUMIF($O$3:$X$3,Q$60,$O$4:$X$4)))</f>
        <v>0</v>
      </c>
      <c r="R69" s="196" t="n">
        <f aca="false">IF((SUMIF($O$3:$X$3,R$60,$O$4:$X$4))=0,0,((SUMIF($O$3:$X$3,R$60,$O118:$X118))/SUMIF($O$3:$X$3,R$60,$O$4:$X$4)))</f>
        <v>0</v>
      </c>
      <c r="S69" s="196" t="n">
        <f aca="false">IF((SUMIF($O$3:$X$3,S$60,$O$4:$X$4))=0,0,((SUMIF($O$3:$X$3,S$60,$O118:$X118))/SUMIF($O$3:$X$3,S$60,$O$4:$X$4)))</f>
        <v>0</v>
      </c>
      <c r="T69" s="196" t="n">
        <f aca="false">IF((SUMIF($O$3:$X$3,T$60,$O$4:$X$4))=0,0,((SUMIF($O$3:$X$3,T$60,$O118:$X118))/SUMIF($O$3:$X$3,T$60,$O$4:$X$4)))</f>
        <v>0</v>
      </c>
      <c r="U69" s="196" t="n">
        <f aca="false">IF((SUMIF($O$3:$X$3,U$60,$O$4:$X$4))=0,0,((SUMIF($O$3:$X$3,U$60,$O118:$X118))/SUMIF($O$3:$X$3,U$60,$O$4:$X$4)))</f>
        <v>0</v>
      </c>
      <c r="V69" s="196" t="n">
        <f aca="false">IF((SUMIF($O$3:$X$3,V$60,$O$4:$X$4))=0,0,((SUMIF($O$3:$X$3,V$60,$O118:$X118))/SUMIF($O$3:$X$3,V$60,$O$4:$X$4)))</f>
        <v>0</v>
      </c>
      <c r="W69" s="196" t="n">
        <f aca="false">IF((SUMIF($O$3:$X$3,W$60,$O$4:$X$4))=0,0,((SUMIF($O$3:$X$3,W$60,$O118:$X118))/SUMIF($O$3:$X$3,W$60,$O$4:$X$4)))</f>
        <v>0</v>
      </c>
      <c r="X69" s="197" t="n">
        <f aca="false">IF((SUMIF($O$3:$X$3,X$60,$O$4:$X$4))=0,0,((SUMIF($O$3:$X$3,X$60,$O118:$X118))/SUMIF($O$3:$X$3,X$60,$O$4:$X$4)))</f>
        <v>0</v>
      </c>
      <c r="Y69" s="194" t="str">
        <f aca="false">N69</f>
        <v>Alumno8</v>
      </c>
      <c r="Z69" s="195" t="n">
        <f aca="false">IF((SUMIF($Z$3:$AI$3,Z$60,$Z$4:$AI$4))=0,0,((SUMIF($Z$3:$AI$3,Z$60,$Z118:$AI118))/SUMIF($Z$3:$AI$3,Z$60,$Z$4:$AI$4)))</f>
        <v>5</v>
      </c>
      <c r="AA69" s="196" t="n">
        <f aca="false">IF((SUMIF($Z$3:$AI$3,AA$60,$Z$4:$AI$4))=0,0,((SUMIF($Z$3:$AI$3,AA$60,$Z118:$AI118))/SUMIF($Z$3:$AI$3,AA$60,$Z$4:$AI$4)))</f>
        <v>5</v>
      </c>
      <c r="AB69" s="196" t="n">
        <f aca="false">IF((SUMIF($Z$3:$AI$3,AB$60,$Z$4:$AI$4))=0,0,((SUMIF($Z$3:$AI$3,AB$60,$Z118:$AI118))/SUMIF($Z$3:$AI$3,AB$60,$Z$4:$AI$4)))</f>
        <v>5</v>
      </c>
      <c r="AC69" s="196" t="n">
        <f aca="false">IF((SUMIF($Z$3:$AI$3,AC$60,$Z$4:$AI$4))=0,0,((SUMIF($Z$3:$AI$3,AC$60,$Z118:$AI118))/SUMIF($Z$3:$AI$3,AC$60,$Z$4:$AI$4)))</f>
        <v>0</v>
      </c>
      <c r="AD69" s="196" t="n">
        <f aca="false">IF((SUMIF($Z$3:$AI$3,AD$60,$Z$4:$AI$4))=0,0,((SUMIF($Z$3:$AI$3,AD$60,$Z118:$AI118))/SUMIF($Z$3:$AI$3,AD$60,$Z$4:$AI$4)))</f>
        <v>0</v>
      </c>
      <c r="AE69" s="196" t="n">
        <f aca="false">IF((SUMIF($Z$3:$AI$3,AE$60,$Z$4:$AI$4))=0,0,((SUMIF($Z$3:$AI$3,AE$60,$Z118:$AI118))/SUMIF($Z$3:$AI$3,AE$60,$Z$4:$AI$4)))</f>
        <v>0</v>
      </c>
      <c r="AF69" s="196" t="n">
        <f aca="false">IF((SUMIF($Z$3:$AI$3,AF$60,$Z$4:$AI$4))=0,0,((SUMIF($Z$3:$AI$3,AF$60,$Z118:$AI118))/SUMIF($Z$3:$AI$3,AF$60,$Z$4:$AI$4)))</f>
        <v>0</v>
      </c>
      <c r="AG69" s="196" t="n">
        <f aca="false">IF((SUMIF($Z$3:$AI$3,AG$60,$Z$4:$AI$4))=0,0,((SUMIF($Z$3:$AI$3,AG$60,$Z118:$AI118))/SUMIF($Z$3:$AI$3,AG$60,$Z$4:$AI$4)))</f>
        <v>0</v>
      </c>
      <c r="AH69" s="196" t="n">
        <f aca="false">IF((SUMIF($Z$3:$AI$3,AH$60,$Z$4:$AI$4))=0,0,((SUMIF($Z$3:$AI$3,AH$60,$Z118:$AI118))/SUMIF($Z$3:$AI$3,AH$60,$Z$4:$AI$4)))</f>
        <v>0</v>
      </c>
      <c r="AI69" s="197" t="n">
        <f aca="false">IF((SUMIF($Z$3:$AI$3,AI$60,$Z$4:$AI$4))=0,0,((SUMIF($Z$3:$AI$3,AI$60,$Z118:$AI118))/SUMIF($Z$3:$AI$3,AI$60,$Z$4:$AI$4)))</f>
        <v>0</v>
      </c>
      <c r="AJ69" s="194" t="str">
        <f aca="false">Y69</f>
        <v>Alumno8</v>
      </c>
      <c r="AK69" s="195" t="n">
        <f aca="false">IF((SUMIF($AK$3:$AT$3,AK$60,$AK$4:$AT$4))=0,0,((SUMIF($AK$3:$AT$3,AK$60,$AK118:$AT118))/SUMIF($AK$3:$AT$3,AK$60,$AK$4:$AT$4)))</f>
        <v>5</v>
      </c>
      <c r="AL69" s="196" t="n">
        <f aca="false">IF((SUMIF($AK$3:$AT$3,AL$60,$AK$4:$AT$4))=0,0,((SUMIF($AK$3:$AT$3,AL$60,$AK118:$AT118))/SUMIF($AK$3:$AT$3,AL$60,$AK$4:$AT$4)))</f>
        <v>5</v>
      </c>
      <c r="AM69" s="196" t="n">
        <f aca="false">IF((SUMIF($AK$3:$AT$3,AM$60,$AK$4:$AT$4))=0,0,((SUMIF($AK$3:$AT$3,AM$60,$AK118:$AT118))/SUMIF($AK$3:$AT$3,AM$60,$AK$4:$AT$4)))</f>
        <v>5</v>
      </c>
      <c r="AN69" s="196" t="n">
        <f aca="false">IF((SUMIF($AK$3:$AT$3,AN$60,$AK$4:$AT$4))=0,0,((SUMIF($AK$3:$AT$3,AN$60,$AK118:$AT118))/SUMIF($AK$3:$AT$3,AN$60,$AK$4:$AT$4)))</f>
        <v>0</v>
      </c>
      <c r="AO69" s="196" t="n">
        <f aca="false">IF((SUMIF($AK$3:$AT$3,AO$60,$AK$4:$AT$4))=0,0,((SUMIF($AK$3:$AT$3,AO$60,$AK118:$AT118))/SUMIF($AK$3:$AT$3,AO$60,$AK$4:$AT$4)))</f>
        <v>0</v>
      </c>
      <c r="AP69" s="196" t="n">
        <f aca="false">IF((SUMIF($AK$3:$AT$3,AP$60,$AK$4:$AT$4))=0,0,((SUMIF($AK$3:$AT$3,AP$60,$AK118:$AT118))/SUMIF($AK$3:$AT$3,AP$60,$AK$4:$AT$4)))</f>
        <v>0</v>
      </c>
      <c r="AQ69" s="196" t="n">
        <f aca="false">IF((SUMIF($AK$3:$AT$3,AQ$60,$AK$4:$AT$4))=0,0,((SUMIF($AK$3:$AT$3,AQ$60,$AK118:$AT118))/SUMIF($AK$3:$AT$3,AQ$60,$AK$4:$AT$4)))</f>
        <v>0</v>
      </c>
      <c r="AR69" s="196" t="n">
        <f aca="false">IF((SUMIF($AK$3:$AT$3,AR$60,$AK$4:$AT$4))=0,0,((SUMIF($AK$3:$AT$3,AR$60,$AK118:$AT118))/SUMIF($AK$3:$AT$3,AR$60,$AK$4:$AT$4)))</f>
        <v>0</v>
      </c>
      <c r="AS69" s="196" t="n">
        <f aca="false">IF((SUMIF($AK$3:$AT$3,AS$60,$AK$4:$AT$4))=0,0,((SUMIF($AK$3:$AT$3,AS$60,$AK118:$AT118))/SUMIF($AK$3:$AT$3,AS$60,$AK$4:$AT$4)))</f>
        <v>0</v>
      </c>
      <c r="AT69" s="197" t="n">
        <f aca="false">IF((SUMIF($AK$3:$AT$3,AT$60,$AK$4:$AT$4))=0,0,((SUMIF($AK$3:$AT$3,AT$60,$AK118:$AT118))/SUMIF($AK$3:$AT$3,AT$60,$AK$4:$AT$4)))</f>
        <v>0</v>
      </c>
      <c r="AU69" s="194" t="str">
        <f aca="false">AJ69</f>
        <v>Alumno8</v>
      </c>
      <c r="AV69" s="195" t="n">
        <f aca="false">IF((SUMIF($AV$3:$BE$3,AV$60,$AV$4:$BE$4))=0,0,((SUMIF($AV$3:$BE$3,AV$60,$AV118:$BE118))/SUMIF($AV$3:$BE$3,AV$60,$AV$4:$BE$4)))</f>
        <v>10</v>
      </c>
      <c r="AW69" s="196" t="n">
        <f aca="false">IF((SUMIF($AV$3:$BE$3,AW$60,$AV$4:$BE$4))=0,0,((SUMIF($AV$3:$BE$3,AW$60,$AV118:$BE118))/SUMIF($AV$3:$BE$3,AW$60,$AV$4:$BE$4)))</f>
        <v>9</v>
      </c>
      <c r="AX69" s="196" t="n">
        <f aca="false">IF((SUMIF($AV$3:$BE$3,AX$60,$AV$4:$BE$4))=0,0,((SUMIF($AV$3:$BE$3,AX$60,$AV118:$BE118))/SUMIF($AV$3:$BE$3,AX$60,$AV$4:$BE$4)))</f>
        <v>9.4</v>
      </c>
      <c r="AY69" s="196" t="n">
        <f aca="false">IF((SUMIF($AV$3:$BE$3,AY$60,$AV$4:$BE$4))=0,0,((SUMIF($AV$3:$BE$3,AY$60,$AV118:$BE118))/SUMIF($AV$3:$BE$3,AY$60,$AV$4:$BE$4)))</f>
        <v>10</v>
      </c>
      <c r="AZ69" s="196" t="n">
        <f aca="false">IF((SUMIF($AV$3:$BE$3,AZ$60,$AV$4:$BE$4))=0,0,((SUMIF($AV$3:$BE$3,AZ$60,$AV118:$BE118))/SUMIF($AV$3:$BE$3,AZ$60,$AV$4:$BE$4)))</f>
        <v>0</v>
      </c>
      <c r="BA69" s="196" t="n">
        <f aca="false">IF((SUMIF($AV$3:$BE$3,BA$60,$AV$4:$BE$4))=0,0,((SUMIF($AV$3:$BE$3,BA$60,$AV118:$BE118))/SUMIF($AV$3:$BE$3,BA$60,$AV$4:$BE$4)))</f>
        <v>0</v>
      </c>
      <c r="BB69" s="196" t="n">
        <f aca="false">IF((SUMIF($AV$3:$BE$3,BB$60,$AV$4:$BE$4))=0,0,((SUMIF($AV$3:$BE$3,BB$60,$AV118:$BE118))/SUMIF($AV$3:$BE$3,BB$60,$AV$4:$BE$4)))</f>
        <v>0</v>
      </c>
      <c r="BC69" s="196" t="n">
        <f aca="false">IF((SUMIF($AV$3:$BE$3,BC$60,$AV$4:$BE$4))=0,0,((SUMIF($AV$3:$BE$3,BC$60,$AV118:$BE118))/SUMIF($AV$3:$BE$3,BC$60,$AV$4:$BE$4)))</f>
        <v>0</v>
      </c>
      <c r="BD69" s="196" t="n">
        <f aca="false">IF((SUMIF($AV$3:$BE$3,BD$60,$AV$4:$BE$4))=0,0,((SUMIF($AV$3:$BE$3,BD$60,$AV118:$BE118))/SUMIF($AV$3:$BE$3,BD$60,$AV$4:$BE$4)))</f>
        <v>0</v>
      </c>
      <c r="BE69" s="197" t="n">
        <f aca="false">IF((SUMIF($AV$3:$BE$3,BE$60,$AV$4:$BE$4))=0,0,((SUMIF($AV$3:$BE$3,BE$60,$AV118:$BE118))/SUMIF($AV$3:$BE$3,BE$60,$AV$4:$BE$4)))</f>
        <v>0</v>
      </c>
      <c r="BF69" s="194" t="str">
        <f aca="false">AU69</f>
        <v>Alumno8</v>
      </c>
      <c r="BG69" s="195" t="n">
        <f aca="false">IF((SUMIF($BG$3:$BP$3,BG$60,$BG$4:$BP$4))=0,0,((SUMIF($BG$3:$BP$3,BG$60,$BG118:$BP118))/SUMIF($BG$3:$BP$3,BG$60,$BG$4:$BP$4)))</f>
        <v>10</v>
      </c>
      <c r="BH69" s="196" t="n">
        <f aca="false">IF((SUMIF($BG$3:$BP$3,BH$60,$BG$4:$BP$4))=0,0,((SUMIF($BG$3:$BP$3,BH$60,$BG118:$BP118))/SUMIF($BG$3:$BP$3,BH$60,$BG$4:$BP$4)))</f>
        <v>9</v>
      </c>
      <c r="BI69" s="196" t="n">
        <f aca="false">IF((SUMIF($BG$3:$BP$3,BI$60,$BG$4:$BP$4))=0,0,((SUMIF($BG$3:$BP$3,BI$60,$BG118:$BP118))/SUMIF($BG$3:$BP$3,BI$60,$BG$4:$BP$4)))</f>
        <v>10</v>
      </c>
      <c r="BJ69" s="196" t="n">
        <f aca="false">IF((SUMIF($BG$3:$BP$3,BJ$60,$BG$4:$BP$4))=0,0,((SUMIF($BG$3:$BP$3,BJ$60,$BG118:$BP118))/SUMIF($BG$3:$BP$3,BJ$60,$BG$4:$BP$4)))</f>
        <v>9.6</v>
      </c>
      <c r="BK69" s="196" t="n">
        <f aca="false">IF((SUMIF($BG$3:$BP$3,BK$60,$BG$4:$BP$4))=0,0,((SUMIF($BG$3:$BP$3,BK$60,$BG118:$BP118))/SUMIF($BG$3:$BP$3,BK$60,$BG$4:$BP$4)))</f>
        <v>0</v>
      </c>
      <c r="BL69" s="196" t="n">
        <f aca="false">IF((SUMIF($BG$3:$BP$3,BL$60,$BG$4:$BP$4))=0,0,((SUMIF($BG$3:$BP$3,BL$60,$BG118:$BP118))/SUMIF($BG$3:$BP$3,BL$60,$BG$4:$BP$4)))</f>
        <v>0</v>
      </c>
      <c r="BM69" s="196" t="n">
        <f aca="false">IF((SUMIF($BG$3:$BP$3,BM$60,$BG$4:$BP$4))=0,0,((SUMIF($BG$3:$BP$3,BM$60,$BG118:$BP118))/SUMIF($BG$3:$BP$3,BM$60,$BG$4:$BP$4)))</f>
        <v>0</v>
      </c>
      <c r="BN69" s="196" t="n">
        <f aca="false">IF((SUMIF($BG$3:$BP$3,BN$60,$BG$4:$BP$4))=0,0,((SUMIF($BG$3:$BP$3,BN$60,$BG118:$BP118))/SUMIF($BG$3:$BP$3,BN$60,$BG$4:$BP$4)))</f>
        <v>0</v>
      </c>
      <c r="BO69" s="196" t="n">
        <f aca="false">IF((SUMIF($BG$3:$BP$3,BO$60,$BG$4:$BP$4))=0,0,((SUMIF($BG$3:$BP$3,BO$60,$BG118:$BP118))/SUMIF($BG$3:$BP$3,BO$60,$BG$4:$BP$4)))</f>
        <v>0</v>
      </c>
      <c r="BP69" s="197" t="n">
        <f aca="false">IF((SUMIF($BG$3:$BP$3,BP$60,$BG$4:$BP$4))=0,0,((SUMIF($BG$3:$BP$3,BP$60,$BG118:$BP118))/SUMIF($BG$3:$BP$3,BP$60,$BG$4:$BP$4)))</f>
        <v>0</v>
      </c>
      <c r="BQ69" s="194" t="str">
        <f aca="false">BF69</f>
        <v>Alumno8</v>
      </c>
      <c r="BR69" s="195" t="n">
        <f aca="false">IF((SUMIF($BR$3:$CA$3,BR$60,$BR$4:$CA$4))=0,0,((SUMIF($BR$3:$CA$3,BR$60,$BR118:$CA118))/SUMIF($BR$3:$CA$3,BR$60,$BR$4:$CA$4)))</f>
        <v>0</v>
      </c>
      <c r="BS69" s="196" t="n">
        <f aca="false">IF((SUMIF($BR$3:$CA$3,BS$60,$BR$4:$CA$4))=0,0,((SUMIF($BR$3:$CA$3,BS$60,$BR118:$CA118))/SUMIF($BR$3:$CA$3,BS$60,$BR$4:$CA$4)))</f>
        <v>6</v>
      </c>
      <c r="BT69" s="196" t="n">
        <f aca="false">IF((SUMIF($BR$3:$CA$3,BT$60,$BR$4:$CA$4))=0,0,((SUMIF($BR$3:$CA$3,BT$60,$BR118:$CA118))/SUMIF($BR$3:$CA$3,BT$60,$BR$4:$CA$4)))</f>
        <v>7.66666666666667</v>
      </c>
      <c r="BU69" s="196" t="n">
        <f aca="false">IF((SUMIF($BR$3:$CA$3,BU$60,$BR$4:$CA$4))=0,0,((SUMIF($BR$3:$CA$3,BU$60,$BR118:$CA118))/SUMIF($BR$3:$CA$3,BU$60,$BR$4:$CA$4)))</f>
        <v>6.6</v>
      </c>
      <c r="BV69" s="196" t="n">
        <f aca="false">IF((SUMIF($BR$3:$CA$3,BV$60,$BR$4:$CA$4))=0,0,((SUMIF($BR$3:$CA$3,BV$60,$BR118:$CA118))/SUMIF($BR$3:$CA$3,BV$60,$BR$4:$CA$4)))</f>
        <v>0</v>
      </c>
      <c r="BW69" s="196" t="n">
        <f aca="false">IF((SUMIF($BR$3:$CA$3,BW$60,$BR$4:$CA$4))=0,0,((SUMIF($BR$3:$CA$3,BW$60,$BR118:$CA118))/SUMIF($BR$3:$CA$3,BW$60,$BR$4:$CA$4)))</f>
        <v>0</v>
      </c>
      <c r="BX69" s="196" t="n">
        <f aca="false">IF((SUMIF($BR$3:$CA$3,BX$60,$BR$4:$CA$4))=0,0,((SUMIF($BR$3:$CA$3,BX$60,$BR118:$CA118))/SUMIF($BR$3:$CA$3,BX$60,$BR$4:$CA$4)))</f>
        <v>0</v>
      </c>
      <c r="BY69" s="196" t="n">
        <f aca="false">IF((SUMIF($BR$3:$CA$3,BY$60,$BR$4:$CA$4))=0,0,((SUMIF($BR$3:$CA$3,BY$60,$BR118:$CA118))/SUMIF($BR$3:$CA$3,BY$60,$BR$4:$CA$4)))</f>
        <v>0</v>
      </c>
      <c r="BZ69" s="196" t="n">
        <f aca="false">IF((SUMIF($BR$3:$CA$3,BZ$60,$BR$4:$CA$4))=0,0,((SUMIF($BR$3:$CA$3,BZ$60,$BR118:$CA118))/SUMIF($BR$3:$CA$3,BZ$60,$BR$4:$CA$4)))</f>
        <v>0</v>
      </c>
      <c r="CA69" s="197" t="n">
        <f aca="false">IF((SUMIF($BR$3:$CA$3,CA$60,$BR$4:$CA$4))=0,0,((SUMIF($BR$3:$CA$3,CA$60,$BR118:$CA118))/SUMIF($BR$3:$CA$3,CA$60,$BR$4:$CA$4)))</f>
        <v>0</v>
      </c>
      <c r="CB69" s="194" t="str">
        <f aca="false">BQ69</f>
        <v>Alumno8</v>
      </c>
      <c r="CC69" s="195" t="n">
        <f aca="false">IF((SUMIF($CC$3:$CL$3,CC$60,$CC$4:$CL$4))=0,0,((SUMIF($CC$3:$CL$3,CC$60,$CC118:$CL118))/SUMIF($CC$3:$CL$3,CC$60,$CC$4:$CL$4)))</f>
        <v>0</v>
      </c>
      <c r="CD69" s="196" t="n">
        <f aca="false">IF((SUMIF($CC$3:$CL$3,CD$60,$CC$4:$CL$4))=0,0,((SUMIF($CC$3:$CL$3,CD$60,$CC118:$CL118))/SUMIF($CC$3:$CL$3,CD$60,$CC$4:$CL$4)))</f>
        <v>0</v>
      </c>
      <c r="CE69" s="196" t="n">
        <f aca="false">IF((SUMIF($CC$3:$CL$3,CE$60,$CC$4:$CL$4))=0,0,((SUMIF($CC$3:$CL$3,CE$60,$CC118:$CL118))/SUMIF($CC$3:$CL$3,CE$60,$CC$4:$CL$4)))</f>
        <v>0</v>
      </c>
      <c r="CF69" s="196" t="n">
        <f aca="false">IF((SUMIF($CC$3:$CL$3,CF$60,$CC$4:$CL$4))=0,0,((SUMIF($CC$3:$CL$3,CF$60,$CC118:$CL118))/SUMIF($CC$3:$CL$3,CF$60,$CC$4:$CL$4)))</f>
        <v>0</v>
      </c>
      <c r="CG69" s="196" t="n">
        <f aca="false">IF((SUMIF($CC$3:$CL$3,CG$60,$CC$4:$CL$4))=0,0,((SUMIF($CC$3:$CL$3,CG$60,$CC118:$CL118))/SUMIF($CC$3:$CL$3,CG$60,$CC$4:$CL$4)))</f>
        <v>0</v>
      </c>
      <c r="CH69" s="196" t="n">
        <f aca="false">IF((SUMIF($CC$3:$CL$3,CH$60,$CC$4:$CL$4))=0,0,((SUMIF($CC$3:$CL$3,CH$60,$CC118:$CL118))/SUMIF($CC$3:$CL$3,CH$60,$CC$4:$CL$4)))</f>
        <v>0</v>
      </c>
      <c r="CI69" s="196" t="n">
        <f aca="false">IF((SUMIF($CC$3:$CL$3,CI$60,$CC$4:$CL$4))=0,0,((SUMIF($CC$3:$CL$3,CI$60,$CC118:$CL118))/SUMIF($CC$3:$CL$3,CI$60,$CC$4:$CL$4)))</f>
        <v>0</v>
      </c>
      <c r="CJ69" s="196" t="n">
        <f aca="false">IF((SUMIF($CC$3:$CL$3,CJ$60,$CC$4:$CL$4))=0,0,((SUMIF($CC$3:$CL$3,CJ$60,$CC118:$CL118))/SUMIF($CC$3:$CL$3,CJ$60,$CC$4:$CL$4)))</f>
        <v>0</v>
      </c>
      <c r="CK69" s="196" t="n">
        <f aca="false">IF((SUMIF($CC$3:$CL$3,CK$60,$CC$4:$CL$4))=0,0,((SUMIF($CC$3:$CL$3,CK$60,$CC118:$CL118))/SUMIF($CC$3:$CL$3,CK$60,$CC$4:$CL$4)))</f>
        <v>0</v>
      </c>
      <c r="CL69" s="197" t="n">
        <f aca="false">IF((SUMIF($CC$3:$CL$3,CL$60,$CC$4:$CL$4))=0,0,((SUMIF($CC$3:$CL$3,CL$60,$CC118:$CL118))/SUMIF($CC$3:$CL$3,CL$60,$CC$4:$CL$4)))</f>
        <v>0</v>
      </c>
      <c r="CM69" s="194" t="str">
        <f aca="false">CB69</f>
        <v>Alumno8</v>
      </c>
      <c r="CN69" s="195" t="n">
        <f aca="false">IF((SUMIF($CN$3:$CW$3,CN$60,$CN$4:$CW$4))=0,0,((SUMIF($CN$3:$CW$3,CN$60,$CN118:$CW118))/SUMIF($CN$3:$CW$3,CN$60,$CN$4:$CW$4)))</f>
        <v>0</v>
      </c>
      <c r="CO69" s="196" t="n">
        <f aca="false">IF((SUMIF($CN$3:$CW$3,CO$60,$CN$4:$CW$4))=0,0,((SUMIF($CN$3:$CW$3,CO$60,$CN118:$CW118))/SUMIF($CN$3:$CW$3,CO$60,$CN$4:$CW$4)))</f>
        <v>0</v>
      </c>
      <c r="CP69" s="196" t="n">
        <f aca="false">IF((SUMIF($CN$3:$CW$3,CP$60,$CN$4:$CW$4))=0,0,((SUMIF($CN$3:$CW$3,CP$60,$CN118:$CW118))/SUMIF($CN$3:$CW$3,CP$60,$CN$4:$CW$4)))</f>
        <v>0</v>
      </c>
      <c r="CQ69" s="196" t="n">
        <f aca="false">IF((SUMIF($CN$3:$CW$3,CQ$60,$CN$4:$CW$4))=0,0,((SUMIF($CN$3:$CW$3,CQ$60,$CN118:$CW118))/SUMIF($CN$3:$CW$3,CQ$60,$CN$4:$CW$4)))</f>
        <v>0</v>
      </c>
      <c r="CR69" s="196" t="n">
        <f aca="false">IF((SUMIF($CN$3:$CW$3,CR$60,$CN$4:$CW$4))=0,0,((SUMIF($CN$3:$CW$3,CR$60,$CN118:$CW118))/SUMIF($CN$3:$CW$3,CR$60,$CN$4:$CW$4)))</f>
        <v>0</v>
      </c>
      <c r="CS69" s="196" t="n">
        <f aca="false">IF((SUMIF($CN$3:$CW$3,CS$60,$CN$4:$CW$4))=0,0,((SUMIF($CN$3:$CW$3,CS$60,$CN118:$CW118))/SUMIF($CN$3:$CW$3,CS$60,$CN$4:$CW$4)))</f>
        <v>0</v>
      </c>
      <c r="CT69" s="196" t="n">
        <f aca="false">IF((SUMIF($CN$3:$CW$3,CT$60,$CN$4:$CW$4))=0,0,((SUMIF($CN$3:$CW$3,CT$60,$CN118:$CW118))/SUMIF($CN$3:$CW$3,CT$60,$CN$4:$CW$4)))</f>
        <v>0</v>
      </c>
      <c r="CU69" s="196" t="n">
        <f aca="false">IF((SUMIF($CN$3:$CW$3,CU$60,$CN$4:$CW$4))=0,0,((SUMIF($CN$3:$CW$3,CU$60,$CN118:$CW118))/SUMIF($CN$3:$CW$3,CU$60,$CN$4:$CW$4)))</f>
        <v>0</v>
      </c>
      <c r="CV69" s="196" t="n">
        <f aca="false">IF((SUMIF($CN$3:$CW$3,CV$60,$CN$4:$CW$4))=0,0,((SUMIF($CN$3:$CW$3,CV$60,$CN118:$CW118))/SUMIF($CN$3:$CW$3,CV$60,$CN$4:$CW$4)))</f>
        <v>0</v>
      </c>
      <c r="CW69" s="197" t="n">
        <f aca="false">IF((SUMIF($CN$3:$CW$3,CW$60,$CN$4:$CW$4))=0,0,((SUMIF($CN$3:$CW$3,CW$60,$CN118:$CW118))/SUMIF($CN$3:$CW$3,CW$60,$CN$4:$CW$4)))</f>
        <v>0</v>
      </c>
      <c r="CX69" s="194" t="str">
        <f aca="false">CM69</f>
        <v>Alumno8</v>
      </c>
      <c r="CY69" s="195" t="n">
        <f aca="false">IF((SUMIF($CY$3:$DH$3,CY$60,$CY$4:$DH$4))=0,0,((SUMIF($CY$3:$DH$3,CY$60,$CY118:$DH118))/SUMIF($CY$3:$DH$3,CY$60,$CY$4:$DH$4)))</f>
        <v>0</v>
      </c>
      <c r="CZ69" s="196" t="n">
        <f aca="false">IF((SUMIF($CY$3:$DH$3,CZ$60,$CY$4:$DH$4))=0,0,((SUMIF($CY$3:$DH$3,CZ$60,$CY118:$DH118))/SUMIF($CY$3:$DH$3,CZ$60,$CY$4:$DH$4)))</f>
        <v>0</v>
      </c>
      <c r="DA69" s="196" t="n">
        <f aca="false">IF((SUMIF($CY$3:$DH$3,DA$60,$CY$4:$DH$4))=0,0,((SUMIF($CY$3:$DH$3,DA$60,$CY118:$DH118))/SUMIF($CY$3:$DH$3,DA$60,$CY$4:$DH$4)))</f>
        <v>0</v>
      </c>
      <c r="DB69" s="196" t="n">
        <f aca="false">IF((SUMIF($CY$3:$DH$3,DB$60,$CY$4:$DH$4))=0,0,((SUMIF($CY$3:$DH$3,DB$60,$CY118:$DH118))/SUMIF($CY$3:$DH$3,DB$60,$CY$4:$DH$4)))</f>
        <v>0</v>
      </c>
      <c r="DC69" s="196" t="n">
        <f aca="false">IF((SUMIF($CY$3:$DH$3,DC$60,$CY$4:$DH$4))=0,0,((SUMIF($CY$3:$DH$3,DC$60,$CY118:$DH118))/SUMIF($CY$3:$DH$3,DC$60,$CY$4:$DH$4)))</f>
        <v>0</v>
      </c>
      <c r="DD69" s="196" t="n">
        <f aca="false">IF((SUMIF($CY$3:$DH$3,DD$60,$CY$4:$DH$4))=0,0,((SUMIF($CY$3:$DH$3,DD$60,$CY118:$DH118))/SUMIF($CY$3:$DH$3,DD$60,$CY$4:$DH$4)))</f>
        <v>0</v>
      </c>
      <c r="DE69" s="196" t="n">
        <f aca="false">IF((SUMIF($CY$3:$DH$3,DE$60,$CY$4:$DH$4))=0,0,((SUMIF($CY$3:$DH$3,DE$60,$CY118:$DH118))/SUMIF($CY$3:$DH$3,DE$60,$CY$4:$DH$4)))</f>
        <v>0</v>
      </c>
      <c r="DF69" s="196" t="n">
        <f aca="false">IF((SUMIF($CY$3:$DH$3,DF$60,$CY$4:$DH$4))=0,0,((SUMIF($CY$3:$DH$3,DF$60,$CY118:$DH118))/SUMIF($CY$3:$DH$3,DF$60,$CY$4:$DH$4)))</f>
        <v>0</v>
      </c>
      <c r="DG69" s="196" t="n">
        <f aca="false">IF((SUMIF($CY$3:$DH$3,DG$60,$CY$4:$DH$4))=0,0,((SUMIF($CY$3:$DH$3,DG$60,$CY118:$DH118))/SUMIF($CY$3:$DH$3,DG$60,$CY$4:$DH$4)))</f>
        <v>0</v>
      </c>
      <c r="DH69" s="197" t="n">
        <f aca="false">IF((SUMIF($CY$3:$DH$3,DH$60,$CY$4:$DH$4))=0,0,((SUMIF($CY$3:$DH$3,DH$60,$CY118:$DH118))/SUMIF($CY$3:$DH$3,DH$60,$CY$4:$DH$4)))</f>
        <v>0</v>
      </c>
      <c r="DI69" s="194" t="str">
        <f aca="false">CX69</f>
        <v>Alumno8</v>
      </c>
      <c r="DJ69" s="195" t="n">
        <f aca="false">IF((SUMIF($DJ$3:$DS$3,DJ$60,$DJ$4:$DS$4))=0,0,((SUMIF($DJ$3:$DS$3,DJ$60,$DJ118:$DS118))/SUMIF($DJ$3:$DS$3,DJ$60,$DJ$4:$DS$4)))</f>
        <v>0</v>
      </c>
      <c r="DK69" s="196" t="n">
        <f aca="false">IF((SUMIF($DJ$3:$DS$3,DK$60,$DJ$4:$DS$4))=0,0,((SUMIF($DJ$3:$DS$3,DK$60,$DJ118:$DS118))/SUMIF($DJ$3:$DS$3,DK$60,$DJ$4:$DS$4)))</f>
        <v>0</v>
      </c>
      <c r="DL69" s="196" t="n">
        <f aca="false">IF((SUMIF($DJ$3:$DS$3,DL$60,$DJ$4:$DS$4))=0,0,((SUMIF($DJ$3:$DS$3,DL$60,$DJ118:$DS118))/SUMIF($DJ$3:$DS$3,DL$60,$DJ$4:$DS$4)))</f>
        <v>0</v>
      </c>
      <c r="DM69" s="196" t="n">
        <f aca="false">IF((SUMIF($DJ$3:$DS$3,DM$60,$DJ$4:$DS$4))=0,0,((SUMIF($DJ$3:$DS$3,DM$60,$DJ118:$DS118))/SUMIF($DJ$3:$DS$3,DM$60,$DJ$4:$DS$4)))</f>
        <v>0</v>
      </c>
      <c r="DN69" s="196" t="n">
        <f aca="false">IF((SUMIF($DJ$3:$DS$3,DN$60,$DJ$4:$DS$4))=0,0,((SUMIF($DJ$3:$DS$3,DN$60,$DJ118:$DS118))/SUMIF($DJ$3:$DS$3,DN$60,$DJ$4:$DS$4)))</f>
        <v>0</v>
      </c>
      <c r="DO69" s="196" t="n">
        <f aca="false">IF((SUMIF($DJ$3:$DS$3,DO$60,$DJ$4:$DS$4))=0,0,((SUMIF($DJ$3:$DS$3,DO$60,$DJ118:$DS118))/SUMIF($DJ$3:$DS$3,DO$60,$DJ$4:$DS$4)))</f>
        <v>0</v>
      </c>
      <c r="DP69" s="196" t="n">
        <f aca="false">IF((SUMIF($DJ$3:$DS$3,DP$60,$DJ$4:$DS$4))=0,0,((SUMIF($DJ$3:$DS$3,DP$60,$DJ118:$DS118))/SUMIF($DJ$3:$DS$3,DP$60,$DJ$4:$DS$4)))</f>
        <v>0</v>
      </c>
      <c r="DQ69" s="196" t="n">
        <f aca="false">IF((SUMIF($DJ$3:$DS$3,DQ$60,$DJ$4:$DS$4))=0,0,((SUMIF($DJ$3:$DS$3,DQ$60,$DJ118:$DS118))/SUMIF($DJ$3:$DS$3,DQ$60,$DJ$4:$DS$4)))</f>
        <v>0</v>
      </c>
      <c r="DR69" s="196" t="n">
        <f aca="false">IF((SUMIF($DJ$3:$DS$3,DR$60,$DJ$4:$DS$4))=0,0,((SUMIF($DJ$3:$DS$3,DR$60,$DJ118:$DS118))/SUMIF($DJ$3:$DS$3,DR$60,$DJ$4:$DS$4)))</f>
        <v>0</v>
      </c>
      <c r="DS69" s="197" t="n">
        <f aca="false">IF((SUMIF($DJ$3:$DS$3,DS$60,$DJ$4:$DS$4))=0,0,((SUMIF($DJ$3:$DS$3,DS$60,$DJ118:$DS118))/SUMIF($DJ$3:$DS$3,DS$60,$DJ$4:$DS$4)))</f>
        <v>0</v>
      </c>
      <c r="DT69" s="194" t="str">
        <f aca="false">DI69</f>
        <v>Alumno8</v>
      </c>
      <c r="DU69" s="195" t="n">
        <f aca="false">IF((SUMIF($DU$3:$ED$3,DU$60,$DU$4:$ED$4))=0,0,((SUMIF($DU$3:$ED$3,DU$60,$DU118:$ED118))/SUMIF($DU$3:$ED$3,DU$60,$DU$4:$ED$4)))</f>
        <v>0</v>
      </c>
      <c r="DV69" s="196" t="n">
        <f aca="false">IF((SUMIF($DU$3:$ED$3,DV$60,$DU$4:$ED$4))=0,0,((SUMIF($DU$3:$ED$3,DV$60,$DU118:$ED118))/SUMIF($DU$3:$ED$3,DV$60,$DU$4:$ED$4)))</f>
        <v>0</v>
      </c>
      <c r="DW69" s="196" t="n">
        <f aca="false">IF((SUMIF($DU$3:$ED$3,DW$60,$DU$4:$ED$4))=0,0,((SUMIF($DU$3:$ED$3,DW$60,$DU118:$ED118))/SUMIF($DU$3:$ED$3,DW$60,$DU$4:$ED$4)))</f>
        <v>0</v>
      </c>
      <c r="DX69" s="196" t="n">
        <f aca="false">IF((SUMIF($DU$3:$ED$3,DX$60,$DU$4:$ED$4))=0,0,((SUMIF($DU$3:$ED$3,DX$60,$DU118:$ED118))/SUMIF($DU$3:$ED$3,DX$60,$DU$4:$ED$4)))</f>
        <v>0</v>
      </c>
      <c r="DY69" s="196" t="n">
        <f aca="false">IF((SUMIF($DU$3:$ED$3,DY$60,$DU$4:$ED$4))=0,0,((SUMIF($DU$3:$ED$3,DY$60,$DU118:$ED118))/SUMIF($DU$3:$ED$3,DY$60,$DU$4:$ED$4)))</f>
        <v>0</v>
      </c>
      <c r="DZ69" s="196" t="n">
        <f aca="false">IF((SUMIF($DU$3:$ED$3,DZ$60,$DU$4:$ED$4))=0,0,((SUMIF($DU$3:$ED$3,DZ$60,$DU118:$ED118))/SUMIF($DU$3:$ED$3,DZ$60,$DU$4:$ED$4)))</f>
        <v>0</v>
      </c>
      <c r="EA69" s="196" t="n">
        <f aca="false">IF((SUMIF($DU$3:$ED$3,EA$60,$DU$4:$ED$4))=0,0,((SUMIF($DU$3:$ED$3,EA$60,$DU118:$ED118))/SUMIF($DU$3:$ED$3,EA$60,$DU$4:$ED$4)))</f>
        <v>0</v>
      </c>
      <c r="EB69" s="196" t="n">
        <f aca="false">IF((SUMIF($DU$3:$ED$3,EB$60,$DU$4:$ED$4))=0,0,((SUMIF($DU$3:$ED$3,EB$60,$DU118:$ED118))/SUMIF($DU$3:$ED$3,EB$60,$DU$4:$ED$4)))</f>
        <v>0</v>
      </c>
      <c r="EC69" s="196" t="n">
        <f aca="false">IF((SUMIF($DU$3:$ED$3,EC$60,$DU$4:$ED$4))=0,0,((SUMIF($DU$3:$ED$3,EC$60,$DU118:$ED118))/SUMIF($DU$3:$ED$3,EC$60,$DU$4:$ED$4)))</f>
        <v>0</v>
      </c>
      <c r="ED69" s="197" t="n">
        <f aca="false">IF((SUMIF($DU$3:$ED$3,ED$60,$DU$4:$ED$4))=0,0,((SUMIF($DU$3:$ED$3,ED$60,$DU118:$ED118))/SUMIF($DU$3:$ED$3,ED$60,$DU$4:$ED$4)))</f>
        <v>0</v>
      </c>
      <c r="EE69" s="194" t="str">
        <f aca="false">DT69</f>
        <v>Alumno8</v>
      </c>
      <c r="EF69" s="195" t="n">
        <f aca="false">IF((SUMIF($EF$3:$EO$3,EF$60,$EF$4:$EO$4))=0,0,((SUMIF($EF$3:$EO$3,EF$60,$EF118:$EO118))/SUMIF($EF$3:$EO$3,EF$60,$EF$4:$EO$4)))</f>
        <v>0</v>
      </c>
      <c r="EG69" s="196" t="n">
        <f aca="false">IF((SUMIF($EF$3:$EO$3,EG$60,$EF$4:$EO$4))=0,0,((SUMIF($EF$3:$EO$3,EG$60,$EF118:$EO118))/SUMIF($EF$3:$EO$3,EG$60,$EF$4:$EO$4)))</f>
        <v>0</v>
      </c>
      <c r="EH69" s="196" t="n">
        <f aca="false">IF((SUMIF($EF$3:$EO$3,EH$60,$EF$4:$EO$4))=0,0,((SUMIF($EF$3:$EO$3,EH$60,$EF118:$EO118))/SUMIF($EF$3:$EO$3,EH$60,$EF$4:$EO$4)))</f>
        <v>0</v>
      </c>
      <c r="EI69" s="196" t="n">
        <f aca="false">IF((SUMIF($EF$3:$EO$3,EI$60,$EF$4:$EO$4))=0,0,((SUMIF($EF$3:$EO$3,EI$60,$EF118:$EO118))/SUMIF($EF$3:$EO$3,EI$60,$EF$4:$EO$4)))</f>
        <v>0</v>
      </c>
      <c r="EJ69" s="196" t="n">
        <f aca="false">IF((SUMIF($EF$3:$EO$3,EJ$60,$EF$4:$EO$4))=0,0,((SUMIF($EF$3:$EO$3,EJ$60,$EF118:$EO118))/SUMIF($EF$3:$EO$3,EJ$60,$EF$4:$EO$4)))</f>
        <v>0</v>
      </c>
      <c r="EK69" s="196" t="n">
        <f aca="false">IF((SUMIF($EF$3:$EO$3,EK$60,$EF$4:$EO$4))=0,0,((SUMIF($EF$3:$EO$3,EK$60,$EF118:$EO118))/SUMIF($EF$3:$EO$3,EK$60,$EF$4:$EO$4)))</f>
        <v>0</v>
      </c>
      <c r="EL69" s="196" t="n">
        <f aca="false">IF((SUMIF($EF$3:$EO$3,EL$60,$EF$4:$EO$4))=0,0,((SUMIF($EF$3:$EO$3,EL$60,$EF118:$EO118))/SUMIF($EF$3:$EO$3,EL$60,$EF$4:$EO$4)))</f>
        <v>0</v>
      </c>
      <c r="EM69" s="196" t="n">
        <f aca="false">IF((SUMIF($EF$3:$EO$3,EM$60,$EF$4:$EO$4))=0,0,((SUMIF($EF$3:$EO$3,EM$60,$EF118:$EO118))/SUMIF($EF$3:$EO$3,EM$60,$EF$4:$EO$4)))</f>
        <v>0</v>
      </c>
      <c r="EN69" s="196" t="n">
        <f aca="false">IF((SUMIF($EF$3:$EO$3,EN$60,$EF$4:$EO$4))=0,0,((SUMIF($EF$3:$EO$3,EN$60,$EF118:$EO118))/SUMIF($EF$3:$EO$3,EN$60,$EF$4:$EO$4)))</f>
        <v>0</v>
      </c>
      <c r="EO69" s="197" t="n">
        <f aca="false">IF((SUMIF($EF$3:$EO$3,EO$60,$EF$4:$EO$4))=0,0,((SUMIF($EF$3:$EO$3,EO$60,$EF118:$EO118))/SUMIF($EF$3:$EO$3,EO$60,$EF$4:$EO$4)))</f>
        <v>0</v>
      </c>
      <c r="EP69" s="194" t="str">
        <f aca="false">EE69</f>
        <v>Alumno8</v>
      </c>
      <c r="EQ69" s="195" t="n">
        <f aca="false">IF((SUMIF($EQ$3:$EZ$3,EQ$60,$EQ$4:$EZ$4))=0,0,((SUMIF($EQ$3:$EZ$3,EQ$60,$EQ118:$EZ118))/SUMIF($EQ$3:$EZ$3,EQ$60,$EQ$4:$EZ$4)))</f>
        <v>0</v>
      </c>
      <c r="ER69" s="196" t="n">
        <f aca="false">IF((SUMIF($EQ$3:$EZ$3,ER$60,$EQ$4:$EZ$4))=0,0,((SUMIF($EQ$3:$EZ$3,ER$60,$EQ118:$EZ118))/SUMIF($EQ$3:$EZ$3,ER$60,$EQ$4:$EZ$4)))</f>
        <v>0</v>
      </c>
      <c r="ES69" s="196" t="n">
        <f aca="false">IF((SUMIF($EQ$3:$EZ$3,ES$60,$EQ$4:$EZ$4))=0,0,((SUMIF($EQ$3:$EZ$3,ES$60,$EQ118:$EZ118))/SUMIF($EQ$3:$EZ$3,ES$60,$EQ$4:$EZ$4)))</f>
        <v>0</v>
      </c>
      <c r="ET69" s="196" t="n">
        <f aca="false">IF((SUMIF($EQ$3:$EZ$3,ET$60,$EQ$4:$EZ$4))=0,0,((SUMIF($EQ$3:$EZ$3,ET$60,$EQ118:$EZ118))/SUMIF($EQ$3:$EZ$3,ET$60,$EQ$4:$EZ$4)))</f>
        <v>0</v>
      </c>
      <c r="EU69" s="196" t="n">
        <f aca="false">IF((SUMIF($EQ$3:$EZ$3,EU$60,$EQ$4:$EZ$4))=0,0,((SUMIF($EQ$3:$EZ$3,EU$60,$EQ118:$EZ118))/SUMIF($EQ$3:$EZ$3,EU$60,$EQ$4:$EZ$4)))</f>
        <v>0</v>
      </c>
      <c r="EV69" s="196" t="n">
        <f aca="false">IF((SUMIF($EQ$3:$EZ$3,EV$60,$EQ$4:$EZ$4))=0,0,((SUMIF($EQ$3:$EZ$3,EV$60,$EQ118:$EZ118))/SUMIF($EQ$3:$EZ$3,EV$60,$EQ$4:$EZ$4)))</f>
        <v>0</v>
      </c>
      <c r="EW69" s="196" t="n">
        <f aca="false">IF((SUMIF($EQ$3:$EZ$3,EW$60,$EQ$4:$EZ$4))=0,0,((SUMIF($EQ$3:$EZ$3,EW$60,$EQ118:$EZ118))/SUMIF($EQ$3:$EZ$3,EW$60,$EQ$4:$EZ$4)))</f>
        <v>0</v>
      </c>
      <c r="EX69" s="196" t="n">
        <f aca="false">IF((SUMIF($EQ$3:$EZ$3,EX$60,$EQ$4:$EZ$4))=0,0,((SUMIF($EQ$3:$EZ$3,EX$60,$EQ118:$EZ118))/SUMIF($EQ$3:$EZ$3,EX$60,$EQ$4:$EZ$4)))</f>
        <v>0</v>
      </c>
      <c r="EY69" s="196" t="n">
        <f aca="false">IF((SUMIF($EQ$3:$EZ$3,EY$60,$EQ$4:$EZ$4))=0,0,((SUMIF($EQ$3:$EZ$3,EY$60,$EQ118:$EZ118))/SUMIF($EQ$3:$EZ$3,EY$60,$EQ$4:$EZ$4)))</f>
        <v>0</v>
      </c>
      <c r="EZ69" s="197" t="n">
        <f aca="false">IF((SUMIF($EQ$3:$EZ$3,EZ$60,$EQ$4:$EZ$4))=0,0,((SUMIF($EQ$3:$EZ$3,EZ$60,$EQ118:$EZ118))/SUMIF($EQ$3:$EZ$3,EZ$60,$EQ$4:$EZ$4)))</f>
        <v>0</v>
      </c>
      <c r="FA69" s="194" t="str">
        <f aca="false">EP69</f>
        <v>Alumno8</v>
      </c>
      <c r="FB69" s="195" t="n">
        <f aca="false">IF((SUMIF($FB$3:$FK$3,FB$60,$FB$4:$FK$4))=0,0,((SUMIF($FB$3:$FK$3,FB$60,$FB118:$FK118))/SUMIF($FB$3:$FK$3,FB$60,$FB$4:$FK$4)))</f>
        <v>0</v>
      </c>
      <c r="FC69" s="196" t="n">
        <f aca="false">IF((SUMIF($FB$3:$FK$3,FC$60,$FB$4:$FK$4))=0,0,((SUMIF($FB$3:$FK$3,FC$60,$FB118:$FK118))/SUMIF($FB$3:$FK$3,FC$60,$FB$4:$FK$4)))</f>
        <v>0</v>
      </c>
      <c r="FD69" s="196" t="n">
        <f aca="false">IF((SUMIF($FB$3:$FK$3,FD$60,$FB$4:$FK$4))=0,0,((SUMIF($FB$3:$FK$3,FD$60,$FB118:$FK118))/SUMIF($FB$3:$FK$3,FD$60,$FB$4:$FK$4)))</f>
        <v>0</v>
      </c>
      <c r="FE69" s="196" t="n">
        <f aca="false">IF((SUMIF($FB$3:$FK$3,FE$60,$FB$4:$FK$4))=0,0,((SUMIF($FB$3:$FK$3,FE$60,$FB118:$FK118))/SUMIF($FB$3:$FK$3,FE$60,$FB$4:$FK$4)))</f>
        <v>0</v>
      </c>
      <c r="FF69" s="196" t="n">
        <f aca="false">IF((SUMIF($FB$3:$FK$3,FF$60,$FB$4:$FK$4))=0,0,((SUMIF($FB$3:$FK$3,FF$60,$FB118:$FK118))/SUMIF($FB$3:$FK$3,FF$60,$FB$4:$FK$4)))</f>
        <v>0</v>
      </c>
      <c r="FG69" s="196" t="n">
        <f aca="false">IF((SUMIF($FB$3:$FK$3,FG$60,$FB$4:$FK$4))=0,0,((SUMIF($FB$3:$FK$3,FG$60,$FB118:$FK118))/SUMIF($FB$3:$FK$3,FG$60,$FB$4:$FK$4)))</f>
        <v>0</v>
      </c>
      <c r="FH69" s="196" t="n">
        <f aca="false">IF((SUMIF($FB$3:$FK$3,FH$60,$FB$4:$FK$4))=0,0,((SUMIF($FB$3:$FK$3,FH$60,$FB118:$FK118))/SUMIF($FB$3:$FK$3,FH$60,$FB$4:$FK$4)))</f>
        <v>0</v>
      </c>
      <c r="FI69" s="196" t="n">
        <f aca="false">IF((SUMIF($FB$3:$FK$3,FI$60,$FB$4:$FK$4))=0,0,((SUMIF($FB$3:$FK$3,FI$60,$FB118:$FK118))/SUMIF($FB$3:$FK$3,FI$60,$FB$4:$FK$4)))</f>
        <v>0</v>
      </c>
      <c r="FJ69" s="196" t="n">
        <f aca="false">IF((SUMIF($FB$3:$FK$3,FJ$60,$FB$4:$FK$4))=0,0,((SUMIF($FB$3:$FK$3,FJ$60,$FB118:$FK118))/SUMIF($FB$3:$FK$3,FJ$60,$FB$4:$FK$4)))</f>
        <v>0</v>
      </c>
      <c r="FK69" s="197" t="n">
        <f aca="false">IF((SUMIF($FB$3:$FK$3,FK$60,$FB$4:$FK$4))=0,0,((SUMIF($FB$3:$FK$3,FK$60,$FB118:$FK118))/SUMIF($FB$3:$FK$3,FK$60,$FB$4:$FK$4)))</f>
        <v>0</v>
      </c>
      <c r="FL69" s="194" t="str">
        <f aca="false">FA69</f>
        <v>Alumno8</v>
      </c>
      <c r="FM69" s="195" t="n">
        <f aca="false">IF((SUMIF($FM$3:$FV$3,FM$60,$FM$4:$FV$4))=0,0,((SUMIF($FM$3:$FV$3,FM$60,$FM118:$FV118))/SUMIF($FM$3:$FV$3,FM$60,$FM$4:$FV$4)))</f>
        <v>0</v>
      </c>
      <c r="FN69" s="196" t="n">
        <f aca="false">IF((SUMIF($FM$3:$FV$3,FN$60,$FM$4:$FV$4))=0,0,((SUMIF($FM$3:$FV$3,FN$60,$FM118:$FV118))/SUMIF($FM$3:$FV$3,FN$60,$FM$4:$FV$4)))</f>
        <v>0</v>
      </c>
      <c r="FO69" s="196" t="n">
        <f aca="false">IF((SUMIF($FM$3:$FV$3,FO$60,$FM$4:$FV$4))=0,0,((SUMIF($FM$3:$FV$3,FO$60,$FM118:$FV118))/SUMIF($FM$3:$FV$3,FO$60,$FM$4:$FV$4)))</f>
        <v>0</v>
      </c>
      <c r="FP69" s="196" t="n">
        <f aca="false">IF((SUMIF($FM$3:$FV$3,FP$60,$FM$4:$FV$4))=0,0,((SUMIF($FM$3:$FV$3,FP$60,$FM118:$FV118))/SUMIF($FM$3:$FV$3,FP$60,$FM$4:$FV$4)))</f>
        <v>0</v>
      </c>
      <c r="FQ69" s="196" t="n">
        <f aca="false">IF((SUMIF($FM$3:$FV$3,FQ$60,$FM$4:$FV$4))=0,0,((SUMIF($FM$3:$FV$3,FQ$60,$FM118:$FV118))/SUMIF($FM$3:$FV$3,FQ$60,$FM$4:$FV$4)))</f>
        <v>0</v>
      </c>
      <c r="FR69" s="196" t="n">
        <f aca="false">IF((SUMIF($FM$3:$FV$3,FR$60,$FM$4:$FV$4))=0,0,((SUMIF($FM$3:$FV$3,FR$60,$FM118:$FV118))/SUMIF($FM$3:$FV$3,FR$60,$FM$4:$FV$4)))</f>
        <v>0</v>
      </c>
      <c r="FS69" s="196" t="n">
        <f aca="false">IF((SUMIF($FM$3:$FV$3,FS$60,$FM$4:$FV$4))=0,0,((SUMIF($FM$3:$FV$3,FS$60,$FM118:$FV118))/SUMIF($FM$3:$FV$3,FS$60,$FM$4:$FV$4)))</f>
        <v>0</v>
      </c>
      <c r="FT69" s="196" t="n">
        <f aca="false">IF((SUMIF($FM$3:$FV$3,FT$60,$FM$4:$FV$4))=0,0,((SUMIF($FM$3:$FV$3,FT$60,$FM118:$FV118))/SUMIF($FM$3:$FV$3,FT$60,$FM$4:$FV$4)))</f>
        <v>0</v>
      </c>
      <c r="FU69" s="196" t="n">
        <f aca="false">IF((SUMIF($FM$3:$FV$3,FU$60,$FM$4:$FV$4))=0,0,((SUMIF($FM$3:$FV$3,FU$60,$FM118:$FV118))/SUMIF($FM$3:$FV$3,FU$60,$FM$4:$FV$4)))</f>
        <v>0</v>
      </c>
      <c r="FV69" s="197" t="n">
        <f aca="false">IF((SUMIF($FM$3:$FV$3,FV$60,$FM$4:$FV$4))=0,0,((SUMIF($FM$3:$FV$3,FV$60,$FM118:$FV118))/SUMIF($FM$3:$FV$3,FV$60,$FM$4:$FV$4)))</f>
        <v>0</v>
      </c>
      <c r="FW69" s="194" t="str">
        <f aca="false">FL69</f>
        <v>Alumno8</v>
      </c>
      <c r="FX69" s="195" t="n">
        <f aca="false">IF((SUMIF($FX$3:$GG$3,FX$60,$FX$4:$GG$4))=0,0,((SUMIF($FX$3:$GG$3,FX$60,$FX118:$GG118))/SUMIF($FX$3:$GG$3,FX$60,$FX$4:$GG$4)))</f>
        <v>0</v>
      </c>
      <c r="FY69" s="196" t="n">
        <f aca="false">IF((SUMIF($FX$3:$GG$3,FY$60,$FX$4:$GG$4))=0,0,((SUMIF($FX$3:$GG$3,FY$60,$FX118:$GG118))/SUMIF($FX$3:$GG$3,FY$60,$FX$4:$GG$4)))</f>
        <v>0</v>
      </c>
      <c r="FZ69" s="196" t="n">
        <f aca="false">IF((SUMIF($FX$3:$GG$3,FZ$60,$FX$4:$GG$4))=0,0,((SUMIF($FX$3:$GG$3,FZ$60,$FX118:$GG118))/SUMIF($FX$3:$GG$3,FZ$60,$FX$4:$GG$4)))</f>
        <v>0</v>
      </c>
      <c r="GA69" s="196" t="n">
        <f aca="false">IF((SUMIF($FX$3:$GG$3,GA$60,$FX$4:$GG$4))=0,0,((SUMIF($FX$3:$GG$3,GA$60,$FX118:$GG118))/SUMIF($FX$3:$GG$3,GA$60,$FX$4:$GG$4)))</f>
        <v>0</v>
      </c>
      <c r="GB69" s="196" t="n">
        <f aca="false">IF((SUMIF($FX$3:$GG$3,GB$60,$FX$4:$GG$4))=0,0,((SUMIF($FX$3:$GG$3,GB$60,$FX118:$GG118))/SUMIF($FX$3:$GG$3,GB$60,$FX$4:$GG$4)))</f>
        <v>0</v>
      </c>
      <c r="GC69" s="196" t="n">
        <f aca="false">IF((SUMIF($FX$3:$GG$3,GC$60,$FX$4:$GG$4))=0,0,((SUMIF($FX$3:$GG$3,GC$60,$FX118:$GG118))/SUMIF($FX$3:$GG$3,GC$60,$FX$4:$GG$4)))</f>
        <v>0</v>
      </c>
      <c r="GD69" s="196" t="n">
        <f aca="false">IF((SUMIF($FX$3:$GG$3,GD$60,$FX$4:$GG$4))=0,0,((SUMIF($FX$3:$GG$3,GD$60,$FX118:$GG118))/SUMIF($FX$3:$GG$3,GD$60,$FX$4:$GG$4)))</f>
        <v>0</v>
      </c>
      <c r="GE69" s="196" t="n">
        <f aca="false">IF((SUMIF($FX$3:$GG$3,GE$60,$FX$4:$GG$4))=0,0,((SUMIF($FX$3:$GG$3,GE$60,$FX118:$GG118))/SUMIF($FX$3:$GG$3,GE$60,$FX$4:$GG$4)))</f>
        <v>0</v>
      </c>
      <c r="GF69" s="196" t="n">
        <f aca="false">IF((SUMIF($FX$3:$GG$3,GF$60,$FX$4:$GG$4))=0,0,((SUMIF($FX$3:$GG$3,GF$60,$FX118:$GG118))/SUMIF($FX$3:$GG$3,GF$60,$FX$4:$GG$4)))</f>
        <v>0</v>
      </c>
      <c r="GG69" s="197" t="n">
        <f aca="false">IF((SUMIF($FX$3:$GG$3,GG$60,$FX$4:$GG$4))=0,0,((SUMIF($FX$3:$GG$3,GG$60,$FX118:$GG118))/SUMIF($FX$3:$GG$3,GG$60,$FX$4:$GG$4)))</f>
        <v>0</v>
      </c>
      <c r="GH69" s="194" t="str">
        <f aca="false">FW69</f>
        <v>Alumno8</v>
      </c>
      <c r="GI69" s="195" t="n">
        <f aca="false">IF((SUMIF($GI$3:$GR$3,GI$60,$GI$4:$GR$4))=0,0,((SUMIF($GI$3:$GR$3,GI$60,$GI118:$GR118))/SUMIF($GI$3:$GR$3,GI$60,$GI$4:$GR$4)))</f>
        <v>0</v>
      </c>
      <c r="GJ69" s="196" t="n">
        <f aca="false">IF((SUMIF($GI$3:$GR$3,GJ$60,$GI$4:$GR$4))=0,0,((SUMIF($GI$3:$GR$3,GJ$60,$GI118:$GR118))/SUMIF($GI$3:$GR$3,GJ$60,$GI$4:$GR$4)))</f>
        <v>0</v>
      </c>
      <c r="GK69" s="196" t="n">
        <f aca="false">IF((SUMIF($GI$3:$GR$3,GK$60,$GI$4:$GR$4))=0,0,((SUMIF($GI$3:$GR$3,GK$60,$GI118:$GR118))/SUMIF($GI$3:$GR$3,GK$60,$GI$4:$GR$4)))</f>
        <v>0</v>
      </c>
      <c r="GL69" s="196" t="n">
        <f aca="false">IF((SUMIF($GI$3:$GR$3,GL$60,$GI$4:$GR$4))=0,0,((SUMIF($GI$3:$GR$3,GL$60,$GI118:$GR118))/SUMIF($GI$3:$GR$3,GL$60,$GI$4:$GR$4)))</f>
        <v>0</v>
      </c>
      <c r="GM69" s="196" t="n">
        <f aca="false">IF((SUMIF($GI$3:$GR$3,GM$60,$GI$4:$GR$4))=0,0,((SUMIF($GI$3:$GR$3,GM$60,$GI118:$GR118))/SUMIF($GI$3:$GR$3,GM$60,$GI$4:$GR$4)))</f>
        <v>0</v>
      </c>
      <c r="GN69" s="196" t="n">
        <f aca="false">IF((SUMIF($GI$3:$GR$3,GN$60,$GI$4:$GR$4))=0,0,((SUMIF($GI$3:$GR$3,GN$60,$GI118:$GR118))/SUMIF($GI$3:$GR$3,GN$60,$GI$4:$GR$4)))</f>
        <v>0</v>
      </c>
      <c r="GO69" s="196" t="n">
        <f aca="false">IF((SUMIF($GI$3:$GR$3,GO$60,$GI$4:$GR$4))=0,0,((SUMIF($GI$3:$GR$3,GO$60,$GI118:$GR118))/SUMIF($GI$3:$GR$3,GO$60,$GI$4:$GR$4)))</f>
        <v>0</v>
      </c>
      <c r="GP69" s="196" t="n">
        <f aca="false">IF((SUMIF($GI$3:$GR$3,GP$60,$GI$4:$GR$4))=0,0,((SUMIF($GI$3:$GR$3,GP$60,$GI118:$GR118))/SUMIF($GI$3:$GR$3,GP$60,$GI$4:$GR$4)))</f>
        <v>0</v>
      </c>
      <c r="GQ69" s="196" t="n">
        <f aca="false">IF((SUMIF($GI$3:$GR$3,GQ$60,$GI$4:$GR$4))=0,0,((SUMIF($GI$3:$GR$3,GQ$60,$GI118:$GR118))/SUMIF($GI$3:$GR$3,GQ$60,$GI$4:$GR$4)))</f>
        <v>0</v>
      </c>
      <c r="GR69" s="197" t="n">
        <f aca="false">IF((SUMIF($GI$3:$GR$3,GR$60,$GI$4:$GR$4))=0,0,((SUMIF($GI$3:$GR$3,GR$60,$GI118:$GR118))/SUMIF($GI$3:$GR$3,GR$60,$GI$4:$GR$4)))</f>
        <v>0</v>
      </c>
      <c r="GS69" s="194" t="str">
        <f aca="false">GH69</f>
        <v>Alumno8</v>
      </c>
      <c r="GT69" s="195" t="n">
        <f aca="false">IF((SUMIF($GT$3:$HC$3,GT$60,$GT$4:$HC$4))=0,0,((SUMIF($GT$3:$HC$3,GT$60,$GT118:$HC118))/SUMIF($GT$3:$HC$3,GT$60,$GT$4:$HC$4)))</f>
        <v>0</v>
      </c>
      <c r="GU69" s="196" t="n">
        <f aca="false">IF((SUMIF($GT$3:$HC$3,GU$60,$GT$4:$HC$4))=0,0,((SUMIF($GT$3:$HC$3,GU$60,$GT118:$HC118))/SUMIF($GT$3:$HC$3,GU$60,$GT$4:$HC$4)))</f>
        <v>0</v>
      </c>
      <c r="GV69" s="196" t="n">
        <f aca="false">IF((SUMIF($GT$3:$HC$3,GV$60,$GT$4:$HC$4))=0,0,((SUMIF($GT$3:$HC$3,GV$60,$GT118:$HC118))/SUMIF($GT$3:$HC$3,GV$60,$GT$4:$HC$4)))</f>
        <v>0</v>
      </c>
      <c r="GW69" s="196" t="n">
        <f aca="false">IF((SUMIF($GT$3:$HC$3,GW$60,$GT$4:$HC$4))=0,0,((SUMIF($GT$3:$HC$3,GW$60,$GT118:$HC118))/SUMIF($GT$3:$HC$3,GW$60,$GT$4:$HC$4)))</f>
        <v>0</v>
      </c>
      <c r="GX69" s="196" t="n">
        <f aca="false">IF((SUMIF($GT$3:$HC$3,GX$60,$GT$4:$HC$4))=0,0,((SUMIF($GT$3:$HC$3,GX$60,$GT118:$HC118))/SUMIF($GT$3:$HC$3,GX$60,$GT$4:$HC$4)))</f>
        <v>0</v>
      </c>
      <c r="GY69" s="196" t="n">
        <f aca="false">IF((SUMIF($GT$3:$HC$3,GY$60,$GT$4:$HC$4))=0,0,((SUMIF($GT$3:$HC$3,GY$60,$GT118:$HC118))/SUMIF($GT$3:$HC$3,GY$60,$GT$4:$HC$4)))</f>
        <v>0</v>
      </c>
      <c r="GZ69" s="196" t="n">
        <f aca="false">IF((SUMIF($GT$3:$HC$3,GZ$60,$GT$4:$HC$4))=0,0,((SUMIF($GT$3:$HC$3,GZ$60,$GT118:$HC118))/SUMIF($GT$3:$HC$3,GZ$60,$GT$4:$HC$4)))</f>
        <v>0</v>
      </c>
      <c r="HA69" s="196" t="n">
        <f aca="false">IF((SUMIF($GT$3:$HC$3,HA$60,$GT$4:$HC$4))=0,0,((SUMIF($GT$3:$HC$3,HA$60,$GT118:$HC118))/SUMIF($GT$3:$HC$3,HA$60,$GT$4:$HC$4)))</f>
        <v>0</v>
      </c>
      <c r="HB69" s="196" t="n">
        <f aca="false">IF((SUMIF($GT$3:$HC$3,HB$60,$GT$4:$HC$4))=0,0,((SUMIF($GT$3:$HC$3,HB$60,$GT118:$HC118))/SUMIF($GT$3:$HC$3,HB$60,$GT$4:$HC$4)))</f>
        <v>0</v>
      </c>
      <c r="HC69" s="197" t="n">
        <f aca="false">IF((SUMIF($GT$3:$HC$3,HC$60,$GT$4:$HC$4))=0,0,((SUMIF($GT$3:$HC$3,HC$60,$GT118:$HC118))/SUMIF($GT$3:$HC$3,HC$60,$GT$4:$HC$4)))</f>
        <v>0</v>
      </c>
      <c r="HD69" s="194" t="str">
        <f aca="false">GS69</f>
        <v>Alumno8</v>
      </c>
      <c r="HE69" s="195" t="n">
        <f aca="false">IF((SUMIF($HE$3:$HN$3,HE$60,$HE$4:$HN$4))=0,0,((SUMIF($HE$3:$HN$3,HE$60,$HE118:$HN118))/SUMIF($HE$3:$HN$3,HE$60,$HE$4:$HN$4)))</f>
        <v>0</v>
      </c>
      <c r="HF69" s="196" t="n">
        <f aca="false">IF((SUMIF($HE$3:$HN$3,HF$60,$HE$4:$HN$4))=0,0,((SUMIF($HE$3:$HN$3,HF$60,$HE118:$HN118))/SUMIF($HE$3:$HN$3,HF$60,$HE$4:$HN$4)))</f>
        <v>0</v>
      </c>
      <c r="HG69" s="196" t="n">
        <f aca="false">IF((SUMIF($HE$3:$HN$3,HG$60,$HE$4:$HN$4))=0,0,((SUMIF($HE$3:$HN$3,HG$60,$HE118:$HN118))/SUMIF($HE$3:$HN$3,HG$60,$HE$4:$HN$4)))</f>
        <v>0</v>
      </c>
      <c r="HH69" s="196" t="n">
        <f aca="false">IF((SUMIF($HE$3:$HN$3,HH$60,$HE$4:$HN$4))=0,0,((SUMIF($HE$3:$HN$3,HH$60,$HE118:$HN118))/SUMIF($HE$3:$HN$3,HH$60,$HE$4:$HN$4)))</f>
        <v>0</v>
      </c>
      <c r="HI69" s="196" t="n">
        <f aca="false">IF((SUMIF($HE$3:$HN$3,HI$60,$HE$4:$HN$4))=0,0,((SUMIF($HE$3:$HN$3,HI$60,$HE118:$HN118))/SUMIF($HE$3:$HN$3,HI$60,$HE$4:$HN$4)))</f>
        <v>0</v>
      </c>
      <c r="HJ69" s="196" t="n">
        <f aca="false">IF((SUMIF($HE$3:$HN$3,HJ$60,$HE$4:$HN$4))=0,0,((SUMIF($HE$3:$HN$3,HJ$60,$HE118:$HN118))/SUMIF($HE$3:$HN$3,HJ$60,$HE$4:$HN$4)))</f>
        <v>0</v>
      </c>
      <c r="HK69" s="196" t="n">
        <f aca="false">IF((SUMIF($HE$3:$HN$3,HK$60,$HE$4:$HN$4))=0,0,((SUMIF($HE$3:$HN$3,HK$60,$HE118:$HN118))/SUMIF($HE$3:$HN$3,HK$60,$HE$4:$HN$4)))</f>
        <v>0</v>
      </c>
      <c r="HL69" s="196" t="n">
        <f aca="false">IF((SUMIF($HE$3:$HN$3,HL$60,$HE$4:$HN$4))=0,0,((SUMIF($HE$3:$HN$3,HL$60,$HE118:$HN118))/SUMIF($HE$3:$HN$3,HL$60,$HE$4:$HN$4)))</f>
        <v>0</v>
      </c>
      <c r="HM69" s="196" t="n">
        <f aca="false">IF((SUMIF($HE$3:$HN$3,HM$60,$HE$4:$HN$4))=0,0,((SUMIF($HE$3:$HN$3,HM$60,$HE118:$HN118))/SUMIF($HE$3:$HN$3,HM$60,$HE$4:$HN$4)))</f>
        <v>0</v>
      </c>
      <c r="HN69" s="197" t="n">
        <f aca="false">IF((SUMIF($HE$3:$HN$3,HN$60,$HE$4:$HN$4))=0,0,((SUMIF($HE$3:$HN$3,HN$60,$HE118:$HN118))/SUMIF($HE$3:$HN$3,HN$60,$HE$4:$HN$4)))</f>
        <v>0</v>
      </c>
      <c r="HO69" s="194" t="str">
        <f aca="false">HD69</f>
        <v>Alumno8</v>
      </c>
      <c r="HP69" s="195" t="n">
        <f aca="false">IF((SUMIF($HP$3:$HY$3,HP$60,$HP$4:$HY$4))=0,0,((SUMIF($HP$3:$HY$3,HP$60,$HP118:$HY118))/SUMIF($HP$3:$HY$3,HP$60,$HP$4:$HY$4)))</f>
        <v>0</v>
      </c>
      <c r="HQ69" s="196" t="n">
        <f aca="false">IF((SUMIF($HP$3:$HY$3,HQ$60,$HP$4:$HY$4))=0,0,((SUMIF($HP$3:$HY$3,HQ$60,$HP118:$HY118))/SUMIF($HP$3:$HY$3,HQ$60,$HP$4:$HY$4)))</f>
        <v>0</v>
      </c>
      <c r="HR69" s="196" t="n">
        <f aca="false">IF((SUMIF($HP$3:$HY$3,HR$60,$HP$4:$HY$4))=0,0,((SUMIF($HP$3:$HY$3,HR$60,$HP118:$HY118))/SUMIF($HP$3:$HY$3,HR$60,$HP$4:$HY$4)))</f>
        <v>0</v>
      </c>
      <c r="HS69" s="196" t="n">
        <f aca="false">IF((SUMIF($HP$3:$HY$3,HS$60,$HP$4:$HY$4))=0,0,((SUMIF($HP$3:$HY$3,HS$60,$HP118:$HY118))/SUMIF($HP$3:$HY$3,HS$60,$HP$4:$HY$4)))</f>
        <v>0</v>
      </c>
      <c r="HT69" s="196" t="n">
        <f aca="false">IF((SUMIF($HP$3:$HY$3,HT$60,$HP$4:$HY$4))=0,0,((SUMIF($HP$3:$HY$3,HT$60,$HP118:$HY118))/SUMIF($HP$3:$HY$3,HT$60,$HP$4:$HY$4)))</f>
        <v>0</v>
      </c>
      <c r="HU69" s="196" t="n">
        <f aca="false">IF((SUMIF($HP$3:$HY$3,HU$60,$HP$4:$HY$4))=0,0,((SUMIF($HP$3:$HY$3,HU$60,$HP118:$HY118))/SUMIF($HP$3:$HY$3,HU$60,$HP$4:$HY$4)))</f>
        <v>0</v>
      </c>
      <c r="HV69" s="196" t="n">
        <f aca="false">IF((SUMIF($HP$3:$HY$3,HV$60,$HP$4:$HY$4))=0,0,((SUMIF($HP$3:$HY$3,HV$60,$HP118:$HY118))/SUMIF($HP$3:$HY$3,HV$60,$HP$4:$HY$4)))</f>
        <v>0</v>
      </c>
      <c r="HW69" s="196" t="n">
        <f aca="false">IF((SUMIF($HP$3:$HY$3,HW$60,$HP$4:$HY$4))=0,0,((SUMIF($HP$3:$HY$3,HW$60,$HP118:$HY118))/SUMIF($HP$3:$HY$3,HW$60,$HP$4:$HY$4)))</f>
        <v>0</v>
      </c>
      <c r="HX69" s="196" t="n">
        <f aca="false">IF((SUMIF($HP$3:$HY$3,HX$60,$HP$4:$HY$4))=0,0,((SUMIF($HP$3:$HY$3,HX$60,$HP118:$HY118))/SUMIF($HP$3:$HY$3,HX$60,$HP$4:$HY$4)))</f>
        <v>0</v>
      </c>
      <c r="HY69" s="197" t="n">
        <f aca="false">IF((SUMIF($HP$3:$HY$3,HY$60,$HP$4:$HY$4))=0,0,((SUMIF($HP$3:$HY$3,HY$60,$HP118:$HY118))/SUMIF($HP$3:$HY$3,HY$60,$HP$4:$HY$4)))</f>
        <v>0</v>
      </c>
      <c r="HZ69" s="194" t="str">
        <f aca="false">HO69</f>
        <v>Alumno8</v>
      </c>
      <c r="IA69" s="195" t="n">
        <f aca="false">IF((SUMIF($IA$3:$IJ$3,IA$60,$IA$4:$IJ$4))=0,0,((SUMIF($IA$3:$IJ$3,IA$60,$IA118:$IJ118))/SUMIF($IA$3:$IJ$3,IA$60,$IA$4:$IJ$4)))</f>
        <v>0</v>
      </c>
      <c r="IB69" s="196" t="n">
        <f aca="false">IF((SUMIF($IA$3:$IJ$3,IB$60,$IA$4:$IJ$4))=0,0,((SUMIF($IA$3:$IJ$3,IB$60,$IA118:$IJ118))/SUMIF($IA$3:$IJ$3,IB$60,$IA$4:$IJ$4)))</f>
        <v>0</v>
      </c>
      <c r="IC69" s="196" t="n">
        <f aca="false">IF((SUMIF($IA$3:$IJ$3,IC$60,$IA$4:$IJ$4))=0,0,((SUMIF($IA$3:$IJ$3,IC$60,$IA118:$IJ118))/SUMIF($IA$3:$IJ$3,IC$60,$IA$4:$IJ$4)))</f>
        <v>0</v>
      </c>
      <c r="ID69" s="196" t="n">
        <f aca="false">IF((SUMIF($IA$3:$IJ$3,ID$60,$IA$4:$IJ$4))=0,0,((SUMIF($IA$3:$IJ$3,ID$60,$IA118:$IJ118))/SUMIF($IA$3:$IJ$3,ID$60,$IA$4:$IJ$4)))</f>
        <v>0</v>
      </c>
      <c r="IE69" s="196" t="n">
        <f aca="false">IF((SUMIF($IA$3:$IJ$3,IE$60,$IA$4:$IJ$4))=0,0,((SUMIF($IA$3:$IJ$3,IE$60,$IA118:$IJ118))/SUMIF($IA$3:$IJ$3,IE$60,$IA$4:$IJ$4)))</f>
        <v>0</v>
      </c>
      <c r="IF69" s="196" t="n">
        <f aca="false">IF((SUMIF($IA$3:$IJ$3,IF$60,$IA$4:$IJ$4))=0,0,((SUMIF($IA$3:$IJ$3,IF$60,$IA118:$IJ118))/SUMIF($IA$3:$IJ$3,IF$60,$IA$4:$IJ$4)))</f>
        <v>0</v>
      </c>
      <c r="IG69" s="196" t="n">
        <f aca="false">IF((SUMIF($IA$3:$IJ$3,IG$60,$IA$4:$IJ$4))=0,0,((SUMIF($IA$3:$IJ$3,IG$60,$IA118:$IJ118))/SUMIF($IA$3:$IJ$3,IG$60,$IA$4:$IJ$4)))</f>
        <v>0</v>
      </c>
      <c r="IH69" s="196" t="n">
        <f aca="false">IF((SUMIF($IA$3:$IJ$3,IH$60,$IA$4:$IJ$4))=0,0,((SUMIF($IA$3:$IJ$3,IH$60,$IA118:$IJ118))/SUMIF($IA$3:$IJ$3,IH$60,$IA$4:$IJ$4)))</f>
        <v>0</v>
      </c>
      <c r="II69" s="196" t="n">
        <f aca="false">IF((SUMIF($IA$3:$IJ$3,II$60,$IA$4:$IJ$4))=0,0,((SUMIF($IA$3:$IJ$3,II$60,$IA118:$IJ118))/SUMIF($IA$3:$IJ$3,II$60,$IA$4:$IJ$4)))</f>
        <v>0</v>
      </c>
      <c r="IJ69" s="197" t="n">
        <f aca="false">IF((SUMIF($IA$3:$IJ$3,IJ$60,$IA$4:$IJ$4))=0,0,((SUMIF($IA$3:$IJ$3,IJ$60,$IA118:$IJ118))/SUMIF($IA$3:$IJ$3,IJ$60,$IA$4:$IJ$4)))</f>
        <v>0</v>
      </c>
      <c r="IK69" s="194" t="str">
        <f aca="false">HZ69</f>
        <v>Alumno8</v>
      </c>
      <c r="IL69" s="195" t="n">
        <f aca="false">IF((SUMIF($IL$3:$IU$3,IL$60,$IL$4:$IU$4))=0,0,((SUMIF($IL$3:$IU$3,IL$60,$IL118:$IU118))/SUMIF($IL$3:$IU$3,IL$60,$IL$4:$IU$4)))</f>
        <v>0</v>
      </c>
      <c r="IM69" s="196" t="n">
        <f aca="false">IF((SUMIF($IL$3:$IU$3,IM$60,$IL$4:$IU$4))=0,0,((SUMIF($IL$3:$IU$3,IM$60,$IL118:$IU118))/SUMIF($IL$3:$IU$3,IM$60,$IL$4:$IU$4)))</f>
        <v>0</v>
      </c>
      <c r="IN69" s="196" t="n">
        <f aca="false">IF((SUMIF($IL$3:$IU$3,IN$60,$IL$4:$IU$4))=0,0,((SUMIF($IL$3:$IU$3,IN$60,$IL118:$IU118))/SUMIF($IL$3:$IU$3,IN$60,$IL$4:$IU$4)))</f>
        <v>0</v>
      </c>
      <c r="IO69" s="196" t="n">
        <f aca="false">IF((SUMIF($IL$3:$IU$3,IO$60,$IL$4:$IU$4))=0,0,((SUMIF($IL$3:$IU$3,IO$60,$IL118:$IU118))/SUMIF($IL$3:$IU$3,IO$60,$IL$4:$IU$4)))</f>
        <v>0</v>
      </c>
      <c r="IP69" s="196" t="n">
        <f aca="false">IF((SUMIF($IL$3:$IU$3,IP$60,$IL$4:$IU$4))=0,0,((SUMIF($IL$3:$IU$3,IP$60,$IL118:$IU118))/SUMIF($IL$3:$IU$3,IP$60,$IL$4:$IU$4)))</f>
        <v>0</v>
      </c>
      <c r="IQ69" s="196" t="n">
        <f aca="false">IF((SUMIF($IL$3:$IU$3,IQ$60,$IL$4:$IU$4))=0,0,((SUMIF($IL$3:$IU$3,IQ$60,$IL118:$IU118))/SUMIF($IL$3:$IU$3,IQ$60,$IL$4:$IU$4)))</f>
        <v>0</v>
      </c>
      <c r="IR69" s="196" t="n">
        <f aca="false">IF((SUMIF($IL$3:$IU$3,IR$60,$IL$4:$IU$4))=0,0,((SUMIF($IL$3:$IU$3,IR$60,$IL118:$IU118))/SUMIF($IL$3:$IU$3,IR$60,$IL$4:$IU$4)))</f>
        <v>0</v>
      </c>
      <c r="IS69" s="196" t="n">
        <f aca="false">IF((SUMIF($IL$3:$IU$3,IS$60,$IL$4:$IU$4))=0,0,((SUMIF($IL$3:$IU$3,IS$60,$IL118:$IU118))/SUMIF($IL$3:$IU$3,IS$60,$IL$4:$IU$4)))</f>
        <v>0</v>
      </c>
      <c r="IT69" s="196" t="n">
        <f aca="false">IF((SUMIF($IL$3:$IU$3,IT$60,$IL$4:$IU$4))=0,0,((SUMIF($IL$3:$IU$3,IT$60,$IL118:$IU118))/SUMIF($IL$3:$IU$3,IT$60,$IL$4:$IU$4)))</f>
        <v>0</v>
      </c>
      <c r="IU69" s="197" t="n">
        <f aca="false">IF((SUMIF($IL$3:$IU$3,IU$60,$IL$4:$IU$4))=0,0,((SUMIF($IL$3:$IU$3,IU$60,$IL118:$IU118))/SUMIF($IL$3:$IU$3,IU$60,$IL$4:$IU$4)))</f>
        <v>0</v>
      </c>
      <c r="IV69" s="194" t="str">
        <f aca="false">IK69</f>
        <v>Alumno8</v>
      </c>
      <c r="IW69" s="195" t="n">
        <f aca="false">IF((SUMIF($IW$3:$JF$3,IW$60,$IW$4:$JF$4))=0,0,((SUMIF($IW$3:$JF$3,IW$60,$IW118:$JF118))/SUMIF($IW$3:$JF$3,IW$60,$IW$4:$JF$4)))</f>
        <v>0</v>
      </c>
      <c r="IX69" s="196" t="n">
        <f aca="false">IF((SUMIF($IW$3:$JF$3,IX$60,$IW$4:$JF$4))=0,0,((SUMIF($IW$3:$JF$3,IX$60,$IW118:$JF118))/SUMIF($IW$3:$JF$3,IX$60,$IW$4:$JF$4)))</f>
        <v>0</v>
      </c>
      <c r="IY69" s="196" t="n">
        <f aca="false">IF((SUMIF($IW$3:$JF$3,IY$60,$IW$4:$JF$4))=0,0,((SUMIF($IW$3:$JF$3,IY$60,$IW118:$JF118))/SUMIF($IW$3:$JF$3,IY$60,$IW$4:$JF$4)))</f>
        <v>0</v>
      </c>
      <c r="IZ69" s="196" t="n">
        <f aca="false">IF((SUMIF($IW$3:$JF$3,IZ$60,$IW$4:$JF$4))=0,0,((SUMIF($IW$3:$JF$3,IZ$60,$IW118:$JF118))/SUMIF($IW$3:$JF$3,IZ$60,$IW$4:$JF$4)))</f>
        <v>0</v>
      </c>
      <c r="JA69" s="196" t="n">
        <f aca="false">IF((SUMIF($IW$3:$JF$3,JA$60,$IW$4:$JF$4))=0,0,((SUMIF($IW$3:$JF$3,JA$60,$IW118:$JF118))/SUMIF($IW$3:$JF$3,JA$60,$IW$4:$JF$4)))</f>
        <v>0</v>
      </c>
      <c r="JB69" s="196" t="n">
        <f aca="false">IF((SUMIF($IW$3:$JF$3,JB$60,$IW$4:$JF$4))=0,0,((SUMIF($IW$3:$JF$3,JB$60,$IW118:$JF118))/SUMIF($IW$3:$JF$3,JB$60,$IW$4:$JF$4)))</f>
        <v>0</v>
      </c>
      <c r="JC69" s="196" t="n">
        <f aca="false">IF((SUMIF($IW$3:$JF$3,JC$60,$IW$4:$JF$4))=0,0,((SUMIF($IW$3:$JF$3,JC$60,$IW118:$JF118))/SUMIF($IW$3:$JF$3,JC$60,$IW$4:$JF$4)))</f>
        <v>0</v>
      </c>
      <c r="JD69" s="196" t="n">
        <f aca="false">IF((SUMIF($IW$3:$JF$3,JD$60,$IW$4:$JF$4))=0,0,((SUMIF($IW$3:$JF$3,JD$60,$IW118:$JF118))/SUMIF($IW$3:$JF$3,JD$60,$IW$4:$JF$4)))</f>
        <v>0</v>
      </c>
      <c r="JE69" s="196" t="n">
        <f aca="false">IF((SUMIF($IW$3:$JF$3,JE$60,$IW$4:$JF$4))=0,0,((SUMIF($IW$3:$JF$3,JE$60,$IW118:$JF118))/SUMIF($IW$3:$JF$3,JE$60,$IW$4:$JF$4)))</f>
        <v>0</v>
      </c>
      <c r="JF69" s="197" t="n">
        <f aca="false">IF((SUMIF($IW$3:$JF$3,JF$60,$IW$4:$JF$4))=0,0,((SUMIF($IW$3:$JF$3,JF$60,$IW118:$JF118))/SUMIF($IW$3:$JF$3,JF$60,$IW$4:$JF$4)))</f>
        <v>0</v>
      </c>
      <c r="JG69" s="194" t="str">
        <f aca="false">IV69</f>
        <v>Alumno8</v>
      </c>
      <c r="JH69" s="195" t="n">
        <f aca="false">IF((SUMIF($JH$3:$JQ$3,JH$60,$JH$4:$JQ$4))=0,0,((SUMIF($JH$3:$JQ$3,JH$60,$JH118:$JQ118))/SUMIF($JH$3:$JQ$3,JH$60,$JH$4:$JQ$4)))</f>
        <v>0</v>
      </c>
      <c r="JI69" s="196" t="n">
        <f aca="false">IF((SUMIF($JH$3:$JQ$3,JI$60,$JH$4:$JQ$4))=0,0,((SUMIF($JH$3:$JQ$3,JI$60,$JH118:$JQ118))/SUMIF($JH$3:$JQ$3,JI$60,$JH$4:$JQ$4)))</f>
        <v>0</v>
      </c>
      <c r="JJ69" s="196" t="n">
        <f aca="false">IF((SUMIF($JH$3:$JQ$3,JJ$60,$JH$4:$JQ$4))=0,0,((SUMIF($JH$3:$JQ$3,JJ$60,$JH118:$JQ118))/SUMIF($JH$3:$JQ$3,JJ$60,$JH$4:$JQ$4)))</f>
        <v>0</v>
      </c>
      <c r="JK69" s="196" t="n">
        <f aca="false">IF((SUMIF($JH$3:$JQ$3,JK$60,$JH$4:$JQ$4))=0,0,((SUMIF($JH$3:$JQ$3,JK$60,$JH118:$JQ118))/SUMIF($JH$3:$JQ$3,JK$60,$JH$4:$JQ$4)))</f>
        <v>0</v>
      </c>
      <c r="JL69" s="196" t="n">
        <f aca="false">IF((SUMIF($JH$3:$JQ$3,JL$60,$JH$4:$JQ$4))=0,0,((SUMIF($JH$3:$JQ$3,JL$60,$JH118:$JQ118))/SUMIF($JH$3:$JQ$3,JL$60,$JH$4:$JQ$4)))</f>
        <v>0</v>
      </c>
      <c r="JM69" s="196" t="n">
        <f aca="false">IF((SUMIF($JH$3:$JQ$3,JM$60,$JH$4:$JQ$4))=0,0,((SUMIF($JH$3:$JQ$3,JM$60,$JH118:$JQ118))/SUMIF($JH$3:$JQ$3,JM$60,$JH$4:$JQ$4)))</f>
        <v>0</v>
      </c>
      <c r="JN69" s="196" t="n">
        <f aca="false">IF((SUMIF($JH$3:$JQ$3,JN$60,$JH$4:$JQ$4))=0,0,((SUMIF($JH$3:$JQ$3,JN$60,$JH118:$JQ118))/SUMIF($JH$3:$JQ$3,JN$60,$JH$4:$JQ$4)))</f>
        <v>0</v>
      </c>
      <c r="JO69" s="196" t="n">
        <f aca="false">IF((SUMIF($JH$3:$JQ$3,JO$60,$JH$4:$JQ$4))=0,0,((SUMIF($JH$3:$JQ$3,JO$60,$JH118:$JQ118))/SUMIF($JH$3:$JQ$3,JO$60,$JH$4:$JQ$4)))</f>
        <v>0</v>
      </c>
      <c r="JP69" s="196" t="n">
        <f aca="false">IF((SUMIF($JH$3:$JQ$3,JP$60,$JH$4:$JQ$4))=0,0,((SUMIF($JH$3:$JQ$3,JP$60,$JH118:$JQ118))/SUMIF($JH$3:$JQ$3,JP$60,$JH$4:$JQ$4)))</f>
        <v>0</v>
      </c>
      <c r="JQ69" s="197" t="n">
        <f aca="false">IF((SUMIF($JH$3:$JQ$3,JQ$60,$JH$4:$JQ$4))=0,0,((SUMIF($JH$3:$JQ$3,JQ$60,$JH118:$JQ118))/SUMIF($JH$3:$JQ$3,JQ$60,$JH$4:$JQ$4)))</f>
        <v>0</v>
      </c>
      <c r="JR69" s="194" t="str">
        <f aca="false">JG69</f>
        <v>Alumno8</v>
      </c>
      <c r="JS69" s="195" t="n">
        <f aca="false">IF((SUMIF($JS$3:$KB$3,JS$60,$JS$4:$KB$4))=0,0,((SUMIF($JS$3:$KB$3,JS$60,$JS118:$KB118))/SUMIF($JS$3:$KB$3,JS$60,$JS$4:$KB$4)))</f>
        <v>0</v>
      </c>
      <c r="JT69" s="196" t="n">
        <f aca="false">IF((SUMIF($JS$3:$KB$3,JT$60,$JS$4:$KB$4))=0,0,((SUMIF($JS$3:$KB$3,JT$60,$JS118:$KB118))/SUMIF($JS$3:$KB$3,JT$60,$JS$4:$KB$4)))</f>
        <v>0</v>
      </c>
      <c r="JU69" s="196" t="n">
        <f aca="false">IF((SUMIF($JS$3:$KB$3,JU$60,$JS$4:$KB$4))=0,0,((SUMIF($JS$3:$KB$3,JU$60,$JS118:$KB118))/SUMIF($JS$3:$KB$3,JU$60,$JS$4:$KB$4)))</f>
        <v>0</v>
      </c>
      <c r="JV69" s="196" t="n">
        <f aca="false">IF((SUMIF($JS$3:$KB$3,JV$60,$JS$4:$KB$4))=0,0,((SUMIF($JS$3:$KB$3,JV$60,$JS118:$KB118))/SUMIF($JS$3:$KB$3,JV$60,$JS$4:$KB$4)))</f>
        <v>0</v>
      </c>
      <c r="JW69" s="196" t="n">
        <f aca="false">IF((SUMIF($JS$3:$KB$3,JW$60,$JS$4:$KB$4))=0,0,((SUMIF($JS$3:$KB$3,JW$60,$JS118:$KB118))/SUMIF($JS$3:$KB$3,JW$60,$JS$4:$KB$4)))</f>
        <v>0</v>
      </c>
      <c r="JX69" s="196" t="n">
        <f aca="false">IF((SUMIF($JS$3:$KB$3,JX$60,$JS$4:$KB$4))=0,0,((SUMIF($JS$3:$KB$3,JX$60,$JS118:$KB118))/SUMIF($JS$3:$KB$3,JX$60,$JS$4:$KB$4)))</f>
        <v>0</v>
      </c>
      <c r="JY69" s="196" t="n">
        <f aca="false">IF((SUMIF($JS$3:$KB$3,JY$60,$JS$4:$KB$4))=0,0,((SUMIF($JS$3:$KB$3,JY$60,$JS118:$KB118))/SUMIF($JS$3:$KB$3,JY$60,$JS$4:$KB$4)))</f>
        <v>0</v>
      </c>
      <c r="JZ69" s="196" t="n">
        <f aca="false">IF((SUMIF($JS$3:$KB$3,JZ$60,$JS$4:$KB$4))=0,0,((SUMIF($JS$3:$KB$3,JZ$60,$JS118:$KB118))/SUMIF($JS$3:$KB$3,JZ$60,$JS$4:$KB$4)))</f>
        <v>0</v>
      </c>
      <c r="KA69" s="196" t="n">
        <f aca="false">IF((SUMIF($JS$3:$KB$3,KA$60,$JS$4:$KB$4))=0,0,((SUMIF($JS$3:$KB$3,KA$60,$JS118:$KB118))/SUMIF($JS$3:$KB$3,KA$60,$JS$4:$KB$4)))</f>
        <v>0</v>
      </c>
      <c r="KB69" s="197" t="n">
        <f aca="false">IF((SUMIF($JS$3:$KB$3,KB$60,$JS$4:$KB$4))=0,0,((SUMIF($JS$3:$KB$3,KB$60,$JS118:$KB118))/SUMIF($JS$3:$KB$3,KB$60,$JS$4:$KB$4)))</f>
        <v>0</v>
      </c>
      <c r="KC69" s="194" t="str">
        <f aca="false">JR69</f>
        <v>Alumno8</v>
      </c>
      <c r="KD69" s="195" t="n">
        <f aca="false">IF((SUMIF($KD$3:$KM$3,KD$60,$KD$4:$KM$4))=0,0,((SUMIF($KD$3:$KM$3,KD$60,$KD118:$KM118))/SUMIF($KD$3:$KM$3,KD$60,$KD$4:$KM$4)))</f>
        <v>0</v>
      </c>
      <c r="KE69" s="196" t="n">
        <f aca="false">IF((SUMIF($KD$3:$KM$3,KE$60,$KD$4:$KM$4))=0,0,((SUMIF($KD$3:$KM$3,KE$60,$KD118:$KM118))/SUMIF($KD$3:$KM$3,KE$60,$KD$4:$KM$4)))</f>
        <v>0</v>
      </c>
      <c r="KF69" s="196" t="n">
        <f aca="false">IF((SUMIF($KD$3:$KM$3,KF$60,$KD$4:$KM$4))=0,0,((SUMIF($KD$3:$KM$3,KF$60,$KD118:$KM118))/SUMIF($KD$3:$KM$3,KF$60,$KD$4:$KM$4)))</f>
        <v>0</v>
      </c>
      <c r="KG69" s="196" t="n">
        <f aca="false">IF((SUMIF($KD$3:$KM$3,KG$60,$KD$4:$KM$4))=0,0,((SUMIF($KD$3:$KM$3,KG$60,$KD118:$KM118))/SUMIF($KD$3:$KM$3,KG$60,$KD$4:$KM$4)))</f>
        <v>0</v>
      </c>
      <c r="KH69" s="196" t="n">
        <f aca="false">IF((SUMIF($KD$3:$KM$3,KH$60,$KD$4:$KM$4))=0,0,((SUMIF($KD$3:$KM$3,KH$60,$KD118:$KM118))/SUMIF($KD$3:$KM$3,KH$60,$KD$4:$KM$4)))</f>
        <v>0</v>
      </c>
      <c r="KI69" s="196" t="n">
        <f aca="false">IF((SUMIF($KD$3:$KM$3,KI$60,$KD$4:$KM$4))=0,0,((SUMIF($KD$3:$KM$3,KI$60,$KD118:$KM118))/SUMIF($KD$3:$KM$3,KI$60,$KD$4:$KM$4)))</f>
        <v>0</v>
      </c>
      <c r="KJ69" s="196" t="n">
        <f aca="false">IF((SUMIF($KD$3:$KM$3,KJ$60,$KD$4:$KM$4))=0,0,((SUMIF($KD$3:$KM$3,KJ$60,$KD118:$KM118))/SUMIF($KD$3:$KM$3,KJ$60,$KD$4:$KM$4)))</f>
        <v>0</v>
      </c>
      <c r="KK69" s="196" t="n">
        <f aca="false">IF((SUMIF($KD$3:$KM$3,KK$60,$KD$4:$KM$4))=0,0,((SUMIF($KD$3:$KM$3,KK$60,$KD118:$KM118))/SUMIF($KD$3:$KM$3,KK$60,$KD$4:$KM$4)))</f>
        <v>0</v>
      </c>
      <c r="KL69" s="196" t="n">
        <f aca="false">IF((SUMIF($KD$3:$KM$3,KL$60,$KD$4:$KM$4))=0,0,((SUMIF($KD$3:$KM$3,KL$60,$KD118:$KM118))/SUMIF($KD$3:$KM$3,KL$60,$KD$4:$KM$4)))</f>
        <v>0</v>
      </c>
      <c r="KM69" s="197" t="n">
        <f aca="false">IF((SUMIF($KD$3:$KM$3,KM$60,$KD$4:$KM$4))=0,0,((SUMIF($KD$3:$KM$3,KM$60,$KD118:$KM118))/SUMIF($KD$3:$KM$3,KM$60,$KD$4:$KM$4)))</f>
        <v>0</v>
      </c>
      <c r="KN69" s="194" t="str">
        <f aca="false">KC69</f>
        <v>Alumno8</v>
      </c>
      <c r="KO69" s="195" t="n">
        <f aca="false">IF((SUMIF($KO$3:$KX$3,KO$60,$KO$4:$KX$4))=0,0,((SUMIF($KO$3:$KX$3,KO$60,$KO118:$KX118))/SUMIF($KO$3:$KX$3,KO$60,$KO$4:$KX$4)))</f>
        <v>0</v>
      </c>
      <c r="KP69" s="196" t="n">
        <f aca="false">IF((SUMIF($KO$3:$KX$3,KP$60,$KO$4:$KX$4))=0,0,((SUMIF($KO$3:$KX$3,KP$60,$KO118:$KX118))/SUMIF($KO$3:$KX$3,KP$60,$KO$4:$KX$4)))</f>
        <v>0</v>
      </c>
      <c r="KQ69" s="196" t="n">
        <f aca="false">IF((SUMIF($KO$3:$KX$3,KQ$60,$KO$4:$KX$4))=0,0,((SUMIF($KO$3:$KX$3,KQ$60,$KO118:$KX118))/SUMIF($KO$3:$KX$3,KQ$60,$KO$4:$KX$4)))</f>
        <v>0</v>
      </c>
      <c r="KR69" s="196" t="n">
        <f aca="false">IF((SUMIF($KO$3:$KX$3,KR$60,$KO$4:$KX$4))=0,0,((SUMIF($KO$3:$KX$3,KR$60,$KO118:$KX118))/SUMIF($KO$3:$KX$3,KR$60,$KO$4:$KX$4)))</f>
        <v>0</v>
      </c>
      <c r="KS69" s="196" t="n">
        <f aca="false">IF((SUMIF($KO$3:$KX$3,KS$60,$KO$4:$KX$4))=0,0,((SUMIF($KO$3:$KX$3,KS$60,$KO118:$KX118))/SUMIF($KO$3:$KX$3,KS$60,$KO$4:$KX$4)))</f>
        <v>0</v>
      </c>
      <c r="KT69" s="196" t="n">
        <f aca="false">IF((SUMIF($KO$3:$KX$3,KT$60,$KO$4:$KX$4))=0,0,((SUMIF($KO$3:$KX$3,KT$60,$KO118:$KX118))/SUMIF($KO$3:$KX$3,KT$60,$KO$4:$KX$4)))</f>
        <v>0</v>
      </c>
      <c r="KU69" s="196" t="n">
        <f aca="false">IF((SUMIF($KO$3:$KX$3,KU$60,$KO$4:$KX$4))=0,0,((SUMIF($KO$3:$KX$3,KU$60,$KO118:$KX118))/SUMIF($KO$3:$KX$3,KU$60,$KO$4:$KX$4)))</f>
        <v>0</v>
      </c>
      <c r="KV69" s="196" t="n">
        <f aca="false">IF((SUMIF($KO$3:$KX$3,KV$60,$KO$4:$KX$4))=0,0,((SUMIF($KO$3:$KX$3,KV$60,$KO118:$KX118))/SUMIF($KO$3:$KX$3,KV$60,$KO$4:$KX$4)))</f>
        <v>0</v>
      </c>
      <c r="KW69" s="196" t="n">
        <f aca="false">IF((SUMIF($KO$3:$KX$3,KW$60,$KO$4:$KX$4))=0,0,((SUMIF($KO$3:$KX$3,KW$60,$KO118:$KX118))/SUMIF($KO$3:$KX$3,KW$60,$KO$4:$KX$4)))</f>
        <v>0</v>
      </c>
      <c r="KX69" s="197" t="n">
        <f aca="false">IF((SUMIF($KO$3:$KX$3,KX$60,$KO$4:$KX$4))=0,0,((SUMIF($KO$3:$KX$3,KX$60,$KO118:$KX118))/SUMIF($KO$3:$KX$3,KX$60,$KO$4:$KX$4)))</f>
        <v>0</v>
      </c>
      <c r="KY69" s="194" t="str">
        <f aca="false">KN69</f>
        <v>Alumno8</v>
      </c>
      <c r="KZ69" s="195" t="n">
        <f aca="false">IF((SUMIF($KZ$3:$LI$3,KZ$60,$KZ$4:$LI$4))=0,0,((SUMIF($KZ$3:$LI$3,KZ$60,$KZ118:$LI118))/SUMIF($KZ$3:$LI$3,KZ$60,$KZ$4:$LI$4)))</f>
        <v>0</v>
      </c>
      <c r="LA69" s="196" t="n">
        <f aca="false">IF((SUMIF($KZ$3:$LI$3,LA$60,$KZ$4:$LI$4))=0,0,((SUMIF($KZ$3:$LI$3,LA$60,$KZ118:$LI118))/SUMIF($KZ$3:$LI$3,LA$60,$KZ$4:$LI$4)))</f>
        <v>0</v>
      </c>
      <c r="LB69" s="196" t="n">
        <f aca="false">IF((SUMIF($KZ$3:$LI$3,LB$60,$KZ$4:$LI$4))=0,0,((SUMIF($KZ$3:$LI$3,LB$60,$KZ118:$LI118))/SUMIF($KZ$3:$LI$3,LB$60,$KZ$4:$LI$4)))</f>
        <v>0</v>
      </c>
      <c r="LC69" s="196" t="n">
        <f aca="false">IF((SUMIF($KZ$3:$LI$3,LC$60,$KZ$4:$LI$4))=0,0,((SUMIF($KZ$3:$LI$3,LC$60,$KZ118:$LI118))/SUMIF($KZ$3:$LI$3,LC$60,$KZ$4:$LI$4)))</f>
        <v>0</v>
      </c>
      <c r="LD69" s="196" t="n">
        <f aca="false">IF((SUMIF($KZ$3:$LI$3,LD$60,$KZ$4:$LI$4))=0,0,((SUMIF($KZ$3:$LI$3,LD$60,$KZ118:$LI118))/SUMIF($KZ$3:$LI$3,LD$60,$KZ$4:$LI$4)))</f>
        <v>0</v>
      </c>
      <c r="LE69" s="196" t="n">
        <f aca="false">IF((SUMIF($KZ$3:$LI$3,LE$60,$KZ$4:$LI$4))=0,0,((SUMIF($KZ$3:$LI$3,LE$60,$KZ118:$LI118))/SUMIF($KZ$3:$LI$3,LE$60,$KZ$4:$LI$4)))</f>
        <v>0</v>
      </c>
      <c r="LF69" s="196" t="n">
        <f aca="false">IF((SUMIF($KZ$3:$LI$3,LF$60,$KZ$4:$LI$4))=0,0,((SUMIF($KZ$3:$LI$3,LF$60,$KZ118:$LI118))/SUMIF($KZ$3:$LI$3,LF$60,$KZ$4:$LI$4)))</f>
        <v>0</v>
      </c>
      <c r="LG69" s="196" t="n">
        <f aca="false">IF((SUMIF($KZ$3:$LI$3,LG$60,$KZ$4:$LI$4))=0,0,((SUMIF($KZ$3:$LI$3,LG$60,$KZ118:$LI118))/SUMIF($KZ$3:$LI$3,LG$60,$KZ$4:$LI$4)))</f>
        <v>0</v>
      </c>
      <c r="LH69" s="196" t="n">
        <f aca="false">IF((SUMIF($KZ$3:$LI$3,LH$60,$KZ$4:$LI$4))=0,0,((SUMIF($KZ$3:$LI$3,LH$60,$KZ118:$LI118))/SUMIF($KZ$3:$LI$3,LH$60,$KZ$4:$LI$4)))</f>
        <v>0</v>
      </c>
      <c r="LI69" s="197" t="n">
        <f aca="false">IF((SUMIF($KZ$3:$LI$3,LI$60,$KZ$4:$LI$4))=0,0,((SUMIF($KZ$3:$LI$3,LI$60,$KZ118:$LI118))/SUMIF($KZ$3:$LI$3,LI$60,$KZ$4:$LI$4)))</f>
        <v>0</v>
      </c>
      <c r="LJ69" s="194" t="str">
        <f aca="false">KY69</f>
        <v>Alumno8</v>
      </c>
      <c r="LK69" s="195" t="n">
        <f aca="false">IF((SUMIF($LK$3:$LT$3,LK$60,$LK$4:$LT$4))=0,0,((SUMIF($LK$3:$LT$3,LK$60,$LK118:$LT118))/SUMIF($LK$3:$LT$3,LK$60,$LK$4:$LT$4)))</f>
        <v>0</v>
      </c>
      <c r="LL69" s="196" t="n">
        <f aca="false">IF((SUMIF($LK$3:$LT$3,LL$60,$LK$4:$LT$4))=0,0,((SUMIF($LK$3:$LT$3,LL$60,$LK118:$LT118))/SUMIF($LK$3:$LT$3,LL$60,$LK$4:$LT$4)))</f>
        <v>0</v>
      </c>
      <c r="LM69" s="196" t="n">
        <f aca="false">IF((SUMIF($LK$3:$LT$3,LM$60,$LK$4:$LT$4))=0,0,((SUMIF($LK$3:$LT$3,LM$60,$LK118:$LT118))/SUMIF($LK$3:$LT$3,LM$60,$LK$4:$LT$4)))</f>
        <v>0</v>
      </c>
      <c r="LN69" s="196" t="n">
        <f aca="false">IF((SUMIF($LK$3:$LT$3,LN$60,$LK$4:$LT$4))=0,0,((SUMIF($LK$3:$LT$3,LN$60,$LK118:$LT118))/SUMIF($LK$3:$LT$3,LN$60,$LK$4:$LT$4)))</f>
        <v>0</v>
      </c>
      <c r="LO69" s="196" t="n">
        <f aca="false">IF((SUMIF($LK$3:$LT$3,LO$60,$LK$4:$LT$4))=0,0,((SUMIF($LK$3:$LT$3,LO$60,$LK118:$LT118))/SUMIF($LK$3:$LT$3,LO$60,$LK$4:$LT$4)))</f>
        <v>0</v>
      </c>
      <c r="LP69" s="196" t="n">
        <f aca="false">IF((SUMIF($LK$3:$LT$3,LP$60,$LK$4:$LT$4))=0,0,((SUMIF($LK$3:$LT$3,LP$60,$LK118:$LT118))/SUMIF($LK$3:$LT$3,LP$60,$LK$4:$LT$4)))</f>
        <v>0</v>
      </c>
      <c r="LQ69" s="196" t="n">
        <f aca="false">IF((SUMIF($LK$3:$LT$3,LQ$60,$LK$4:$LT$4))=0,0,((SUMIF($LK$3:$LT$3,LQ$60,$LK118:$LT118))/SUMIF($LK$3:$LT$3,LQ$60,$LK$4:$LT$4)))</f>
        <v>0</v>
      </c>
      <c r="LR69" s="196" t="n">
        <f aca="false">IF((SUMIF($LK$3:$LT$3,LR$60,$LK$4:$LT$4))=0,0,((SUMIF($LK$3:$LT$3,LR$60,$LK118:$LT118))/SUMIF($LK$3:$LT$3,LR$60,$LK$4:$LT$4)))</f>
        <v>0</v>
      </c>
      <c r="LS69" s="196" t="n">
        <f aca="false">IF((SUMIF($LK$3:$LT$3,LS$60,$LK$4:$LT$4))=0,0,((SUMIF($LK$3:$LT$3,LS$60,$LK118:$LT118))/SUMIF($LK$3:$LT$3,LS$60,$LK$4:$LT$4)))</f>
        <v>0</v>
      </c>
      <c r="LT69" s="197" t="n">
        <f aca="false">IF((SUMIF($LK$3:$LT$3,LT$60,$LK$4:$LT$4))=0,0,((SUMIF($LK$3:$LT$3,LT$60,$LK118:$LT118))/SUMIF($LK$3:$LT$3,LT$60,$LK$4:$LT$4)))</f>
        <v>0</v>
      </c>
    </row>
    <row r="70" customFormat="false" ht="15" hidden="true" customHeight="false" outlineLevel="0" collapsed="false">
      <c r="C70" s="194" t="str">
        <f aca="false">B14</f>
        <v>Alumno9</v>
      </c>
      <c r="D70" s="195" t="n">
        <f aca="false">IF((SUMIF($D$3:$M$3,D$60,$D$4:$M$4))=0,0,((SUMIF($D$3:$M$3,D$60,$D119:$M119))/SUMIF($D$3:$M$3,D$60,$D$4:$M$4)))</f>
        <v>6.4</v>
      </c>
      <c r="E70" s="196" t="n">
        <f aca="false">IF((SUMIF($D$3:$M$3,E$60,$D$4:$M$4))=0,0,((SUMIF($D$3:$M$3,E$60,$D119:$M119))/SUMIF($D$3:$M$3,E$60,$D$4:$M$4)))</f>
        <v>0</v>
      </c>
      <c r="F70" s="196" t="n">
        <f aca="false">IF((SUMIF($D$3:$M$3,F$60,$D$4:$M$4))=0,0,((SUMIF($D$3:$M$3,F$60,$D119:$M119))/SUMIF($D$3:$M$3,F$60,$D$4:$M$4)))</f>
        <v>0</v>
      </c>
      <c r="G70" s="196" t="n">
        <f aca="false">IF((SUMIF($D$3:$M$3,G$60,$D$4:$M$4))=0,0,((SUMIF($D$3:$M$3,G$60,$D119:$M119))/SUMIF($D$3:$M$3,G$60,$D$4:$M$4)))</f>
        <v>0</v>
      </c>
      <c r="H70" s="196" t="n">
        <f aca="false">IF((SUMIF($D$3:$M$3,H$60,$D$4:$M$4))=0,0,((SUMIF($D$3:$M$3,H$60,$D119:$M119))/SUMIF($D$3:$M$3,H$60,$D$4:$M$4)))</f>
        <v>0</v>
      </c>
      <c r="I70" s="196" t="n">
        <f aca="false">IF((SUMIF($D$3:$M$3,I$60,$D$4:$M$4))=0,0,((SUMIF($D$3:$M$3,I$60,$D119:$M119))/SUMIF($D$3:$M$3,I$60,$D$4:$M$4)))</f>
        <v>0</v>
      </c>
      <c r="J70" s="196" t="n">
        <f aca="false">IF((SUMIF($D$3:$M$3,J$60,$D$4:$M$4))=0,0,((SUMIF($D$3:$M$3,J$60,$D119:$M119))/SUMIF($D$3:$M$3,J$60,$D$4:$M$4)))</f>
        <v>0</v>
      </c>
      <c r="K70" s="196" t="n">
        <f aca="false">IF((SUMIF($D$3:$M$3,K$60,$D$4:$M$4))=0,0,((SUMIF($D$3:$M$3,K$60,$D119:$M119))/SUMIF($D$3:$M$3,K$60,$D$4:$M$4)))</f>
        <v>0</v>
      </c>
      <c r="L70" s="196" t="n">
        <f aca="false">IF((SUMIF($D$3:$M$3,L$60,$D$4:$M$4))=0,0,((SUMIF($D$3:$M$3,L$60,$D119:$M119))/SUMIF($D$3:$M$3,L$60,$D$4:$M$4)))</f>
        <v>0</v>
      </c>
      <c r="M70" s="197" t="n">
        <f aca="false">IF((SUMIF($D$3:$M$3,M$60,$D$4:$M$4))=0,0,((SUMIF($D$3:$M$3,M$60,$D119:$M119))/SUMIF($D$3:$M$3,M$60,$D$4:$M$4)))</f>
        <v>0</v>
      </c>
      <c r="N70" s="194" t="str">
        <f aca="false">C70</f>
        <v>Alumno9</v>
      </c>
      <c r="O70" s="195" t="n">
        <f aca="false">IF((SUMIF($O$3:$X$3,O$60,$O$4:$X$4))=0,0,((SUMIF($O$3:$X$3,O$60,$O119:$X119))/SUMIF($O$3:$X$3,O$60,$O$4:$X$4)))</f>
        <v>5</v>
      </c>
      <c r="P70" s="196" t="n">
        <f aca="false">IF((SUMIF($O$3:$X$3,P$60,$O$4:$X$4))=0,0,((SUMIF($O$3:$X$3,P$60,$O119:$X119))/SUMIF($O$3:$X$3,P$60,$O$4:$X$4)))</f>
        <v>3</v>
      </c>
      <c r="Q70" s="196" t="n">
        <f aca="false">IF((SUMIF($O$3:$X$3,Q$60,$O$4:$X$4))=0,0,((SUMIF($O$3:$X$3,Q$60,$O119:$X119))/SUMIF($O$3:$X$3,Q$60,$O$4:$X$4)))</f>
        <v>0</v>
      </c>
      <c r="R70" s="196" t="n">
        <f aca="false">IF((SUMIF($O$3:$X$3,R$60,$O$4:$X$4))=0,0,((SUMIF($O$3:$X$3,R$60,$O119:$X119))/SUMIF($O$3:$X$3,R$60,$O$4:$X$4)))</f>
        <v>0</v>
      </c>
      <c r="S70" s="196" t="n">
        <f aca="false">IF((SUMIF($O$3:$X$3,S$60,$O$4:$X$4))=0,0,((SUMIF($O$3:$X$3,S$60,$O119:$X119))/SUMIF($O$3:$X$3,S$60,$O$4:$X$4)))</f>
        <v>0</v>
      </c>
      <c r="T70" s="196" t="n">
        <f aca="false">IF((SUMIF($O$3:$X$3,T$60,$O$4:$X$4))=0,0,((SUMIF($O$3:$X$3,T$60,$O119:$X119))/SUMIF($O$3:$X$3,T$60,$O$4:$X$4)))</f>
        <v>0</v>
      </c>
      <c r="U70" s="196" t="n">
        <f aca="false">IF((SUMIF($O$3:$X$3,U$60,$O$4:$X$4))=0,0,((SUMIF($O$3:$X$3,U$60,$O119:$X119))/SUMIF($O$3:$X$3,U$60,$O$4:$X$4)))</f>
        <v>0</v>
      </c>
      <c r="V70" s="196" t="n">
        <f aca="false">IF((SUMIF($O$3:$X$3,V$60,$O$4:$X$4))=0,0,((SUMIF($O$3:$X$3,V$60,$O119:$X119))/SUMIF($O$3:$X$3,V$60,$O$4:$X$4)))</f>
        <v>0</v>
      </c>
      <c r="W70" s="196" t="n">
        <f aca="false">IF((SUMIF($O$3:$X$3,W$60,$O$4:$X$4))=0,0,((SUMIF($O$3:$X$3,W$60,$O119:$X119))/SUMIF($O$3:$X$3,W$60,$O$4:$X$4)))</f>
        <v>0</v>
      </c>
      <c r="X70" s="197" t="n">
        <f aca="false">IF((SUMIF($O$3:$X$3,X$60,$O$4:$X$4))=0,0,((SUMIF($O$3:$X$3,X$60,$O119:$X119))/SUMIF($O$3:$X$3,X$60,$O$4:$X$4)))</f>
        <v>0</v>
      </c>
      <c r="Y70" s="194" t="str">
        <f aca="false">N70</f>
        <v>Alumno9</v>
      </c>
      <c r="Z70" s="195" t="n">
        <f aca="false">IF((SUMIF($Z$3:$AI$3,Z$60,$Z$4:$AI$4))=0,0,((SUMIF($Z$3:$AI$3,Z$60,$Z119:$AI119))/SUMIF($Z$3:$AI$3,Z$60,$Z$4:$AI$4)))</f>
        <v>5.5</v>
      </c>
      <c r="AA70" s="196" t="n">
        <f aca="false">IF((SUMIF($Z$3:$AI$3,AA$60,$Z$4:$AI$4))=0,0,((SUMIF($Z$3:$AI$3,AA$60,$Z119:$AI119))/SUMIF($Z$3:$AI$3,AA$60,$Z$4:$AI$4)))</f>
        <v>3.5</v>
      </c>
      <c r="AB70" s="196" t="n">
        <f aca="false">IF((SUMIF($Z$3:$AI$3,AB$60,$Z$4:$AI$4))=0,0,((SUMIF($Z$3:$AI$3,AB$60,$Z119:$AI119))/SUMIF($Z$3:$AI$3,AB$60,$Z$4:$AI$4)))</f>
        <v>5</v>
      </c>
      <c r="AC70" s="196" t="n">
        <f aca="false">IF((SUMIF($Z$3:$AI$3,AC$60,$Z$4:$AI$4))=0,0,((SUMIF($Z$3:$AI$3,AC$60,$Z119:$AI119))/SUMIF($Z$3:$AI$3,AC$60,$Z$4:$AI$4)))</f>
        <v>0</v>
      </c>
      <c r="AD70" s="196" t="n">
        <f aca="false">IF((SUMIF($Z$3:$AI$3,AD$60,$Z$4:$AI$4))=0,0,((SUMIF($Z$3:$AI$3,AD$60,$Z119:$AI119))/SUMIF($Z$3:$AI$3,AD$60,$Z$4:$AI$4)))</f>
        <v>0</v>
      </c>
      <c r="AE70" s="196" t="n">
        <f aca="false">IF((SUMIF($Z$3:$AI$3,AE$60,$Z$4:$AI$4))=0,0,((SUMIF($Z$3:$AI$3,AE$60,$Z119:$AI119))/SUMIF($Z$3:$AI$3,AE$60,$Z$4:$AI$4)))</f>
        <v>0</v>
      </c>
      <c r="AF70" s="196" t="n">
        <f aca="false">IF((SUMIF($Z$3:$AI$3,AF$60,$Z$4:$AI$4))=0,0,((SUMIF($Z$3:$AI$3,AF$60,$Z119:$AI119))/SUMIF($Z$3:$AI$3,AF$60,$Z$4:$AI$4)))</f>
        <v>0</v>
      </c>
      <c r="AG70" s="196" t="n">
        <f aca="false">IF((SUMIF($Z$3:$AI$3,AG$60,$Z$4:$AI$4))=0,0,((SUMIF($Z$3:$AI$3,AG$60,$Z119:$AI119))/SUMIF($Z$3:$AI$3,AG$60,$Z$4:$AI$4)))</f>
        <v>0</v>
      </c>
      <c r="AH70" s="196" t="n">
        <f aca="false">IF((SUMIF($Z$3:$AI$3,AH$60,$Z$4:$AI$4))=0,0,((SUMIF($Z$3:$AI$3,AH$60,$Z119:$AI119))/SUMIF($Z$3:$AI$3,AH$60,$Z$4:$AI$4)))</f>
        <v>0</v>
      </c>
      <c r="AI70" s="197" t="n">
        <f aca="false">IF((SUMIF($Z$3:$AI$3,AI$60,$Z$4:$AI$4))=0,0,((SUMIF($Z$3:$AI$3,AI$60,$Z119:$AI119))/SUMIF($Z$3:$AI$3,AI$60,$Z$4:$AI$4)))</f>
        <v>0</v>
      </c>
      <c r="AJ70" s="194" t="str">
        <f aca="false">Y70</f>
        <v>Alumno9</v>
      </c>
      <c r="AK70" s="195" t="n">
        <f aca="false">IF((SUMIF($AK$3:$AT$3,AK$60,$AK$4:$AT$4))=0,0,((SUMIF($AK$3:$AT$3,AK$60,$AK119:$AT119))/SUMIF($AK$3:$AT$3,AK$60,$AK$4:$AT$4)))</f>
        <v>5</v>
      </c>
      <c r="AL70" s="196" t="n">
        <f aca="false">IF((SUMIF($AK$3:$AT$3,AL$60,$AK$4:$AT$4))=0,0,((SUMIF($AK$3:$AT$3,AL$60,$AK119:$AT119))/SUMIF($AK$3:$AT$3,AL$60,$AK$4:$AT$4)))</f>
        <v>5.5</v>
      </c>
      <c r="AM70" s="196" t="n">
        <f aca="false">IF((SUMIF($AK$3:$AT$3,AM$60,$AK$4:$AT$4))=0,0,((SUMIF($AK$3:$AT$3,AM$60,$AK119:$AT119))/SUMIF($AK$3:$AT$3,AM$60,$AK$4:$AT$4)))</f>
        <v>3.5</v>
      </c>
      <c r="AN70" s="196" t="n">
        <f aca="false">IF((SUMIF($AK$3:$AT$3,AN$60,$AK$4:$AT$4))=0,0,((SUMIF($AK$3:$AT$3,AN$60,$AK119:$AT119))/SUMIF($AK$3:$AT$3,AN$60,$AK$4:$AT$4)))</f>
        <v>0</v>
      </c>
      <c r="AO70" s="196" t="n">
        <f aca="false">IF((SUMIF($AK$3:$AT$3,AO$60,$AK$4:$AT$4))=0,0,((SUMIF($AK$3:$AT$3,AO$60,$AK119:$AT119))/SUMIF($AK$3:$AT$3,AO$60,$AK$4:$AT$4)))</f>
        <v>0</v>
      </c>
      <c r="AP70" s="196" t="n">
        <f aca="false">IF((SUMIF($AK$3:$AT$3,AP$60,$AK$4:$AT$4))=0,0,((SUMIF($AK$3:$AT$3,AP$60,$AK119:$AT119))/SUMIF($AK$3:$AT$3,AP$60,$AK$4:$AT$4)))</f>
        <v>0</v>
      </c>
      <c r="AQ70" s="196" t="n">
        <f aca="false">IF((SUMIF($AK$3:$AT$3,AQ$60,$AK$4:$AT$4))=0,0,((SUMIF($AK$3:$AT$3,AQ$60,$AK119:$AT119))/SUMIF($AK$3:$AT$3,AQ$60,$AK$4:$AT$4)))</f>
        <v>0</v>
      </c>
      <c r="AR70" s="196" t="n">
        <f aca="false">IF((SUMIF($AK$3:$AT$3,AR$60,$AK$4:$AT$4))=0,0,((SUMIF($AK$3:$AT$3,AR$60,$AK119:$AT119))/SUMIF($AK$3:$AT$3,AR$60,$AK$4:$AT$4)))</f>
        <v>0</v>
      </c>
      <c r="AS70" s="196" t="n">
        <f aca="false">IF((SUMIF($AK$3:$AT$3,AS$60,$AK$4:$AT$4))=0,0,((SUMIF($AK$3:$AT$3,AS$60,$AK119:$AT119))/SUMIF($AK$3:$AT$3,AS$60,$AK$4:$AT$4)))</f>
        <v>0</v>
      </c>
      <c r="AT70" s="197" t="n">
        <f aca="false">IF((SUMIF($AK$3:$AT$3,AT$60,$AK$4:$AT$4))=0,0,((SUMIF($AK$3:$AT$3,AT$60,$AK119:$AT119))/SUMIF($AK$3:$AT$3,AT$60,$AK$4:$AT$4)))</f>
        <v>0</v>
      </c>
      <c r="AU70" s="194" t="str">
        <f aca="false">AJ70</f>
        <v>Alumno9</v>
      </c>
      <c r="AV70" s="195" t="n">
        <f aca="false">IF((SUMIF($AV$3:$BE$3,AV$60,$AV$4:$BE$4))=0,0,((SUMIF($AV$3:$BE$3,AV$60,$AV119:$BE119))/SUMIF($AV$3:$BE$3,AV$60,$AV$4:$BE$4)))</f>
        <v>6</v>
      </c>
      <c r="AW70" s="196" t="n">
        <f aca="false">IF((SUMIF($AV$3:$BE$3,AW$60,$AV$4:$BE$4))=0,0,((SUMIF($AV$3:$BE$3,AW$60,$AV119:$BE119))/SUMIF($AV$3:$BE$3,AW$60,$AV$4:$BE$4)))</f>
        <v>7</v>
      </c>
      <c r="AX70" s="196" t="n">
        <f aca="false">IF((SUMIF($AV$3:$BE$3,AX$60,$AV$4:$BE$4))=0,0,((SUMIF($AV$3:$BE$3,AX$60,$AV119:$BE119))/SUMIF($AV$3:$BE$3,AX$60,$AV$4:$BE$4)))</f>
        <v>8.6</v>
      </c>
      <c r="AY70" s="196" t="n">
        <f aca="false">IF((SUMIF($AV$3:$BE$3,AY$60,$AV$4:$BE$4))=0,0,((SUMIF($AV$3:$BE$3,AY$60,$AV119:$BE119))/SUMIF($AV$3:$BE$3,AY$60,$AV$4:$BE$4)))</f>
        <v>5</v>
      </c>
      <c r="AZ70" s="196" t="n">
        <f aca="false">IF((SUMIF($AV$3:$BE$3,AZ$60,$AV$4:$BE$4))=0,0,((SUMIF($AV$3:$BE$3,AZ$60,$AV119:$BE119))/SUMIF($AV$3:$BE$3,AZ$60,$AV$4:$BE$4)))</f>
        <v>0</v>
      </c>
      <c r="BA70" s="196" t="n">
        <f aca="false">IF((SUMIF($AV$3:$BE$3,BA$60,$AV$4:$BE$4))=0,0,((SUMIF($AV$3:$BE$3,BA$60,$AV119:$BE119))/SUMIF($AV$3:$BE$3,BA$60,$AV$4:$BE$4)))</f>
        <v>0</v>
      </c>
      <c r="BB70" s="196" t="n">
        <f aca="false">IF((SUMIF($AV$3:$BE$3,BB$60,$AV$4:$BE$4))=0,0,((SUMIF($AV$3:$BE$3,BB$60,$AV119:$BE119))/SUMIF($AV$3:$BE$3,BB$60,$AV$4:$BE$4)))</f>
        <v>0</v>
      </c>
      <c r="BC70" s="196" t="n">
        <f aca="false">IF((SUMIF($AV$3:$BE$3,BC$60,$AV$4:$BE$4))=0,0,((SUMIF($AV$3:$BE$3,BC$60,$AV119:$BE119))/SUMIF($AV$3:$BE$3,BC$60,$AV$4:$BE$4)))</f>
        <v>0</v>
      </c>
      <c r="BD70" s="196" t="n">
        <f aca="false">IF((SUMIF($AV$3:$BE$3,BD$60,$AV$4:$BE$4))=0,0,((SUMIF($AV$3:$BE$3,BD$60,$AV119:$BE119))/SUMIF($AV$3:$BE$3,BD$60,$AV$4:$BE$4)))</f>
        <v>0</v>
      </c>
      <c r="BE70" s="197" t="n">
        <f aca="false">IF((SUMIF($AV$3:$BE$3,BE$60,$AV$4:$BE$4))=0,0,((SUMIF($AV$3:$BE$3,BE$60,$AV119:$BE119))/SUMIF($AV$3:$BE$3,BE$60,$AV$4:$BE$4)))</f>
        <v>0</v>
      </c>
      <c r="BF70" s="194" t="str">
        <f aca="false">AU70</f>
        <v>Alumno9</v>
      </c>
      <c r="BG70" s="195" t="n">
        <f aca="false">IF((SUMIF($BG$3:$BP$3,BG$60,$BG$4:$BP$4))=0,0,((SUMIF($BG$3:$BP$3,BG$60,$BG119:$BP119))/SUMIF($BG$3:$BP$3,BG$60,$BG$4:$BP$4)))</f>
        <v>6</v>
      </c>
      <c r="BH70" s="196" t="n">
        <f aca="false">IF((SUMIF($BG$3:$BP$3,BH$60,$BG$4:$BP$4))=0,0,((SUMIF($BG$3:$BP$3,BH$60,$BG119:$BP119))/SUMIF($BG$3:$BP$3,BH$60,$BG$4:$BP$4)))</f>
        <v>7</v>
      </c>
      <c r="BI70" s="196" t="n">
        <f aca="false">IF((SUMIF($BG$3:$BP$3,BI$60,$BG$4:$BP$4))=0,0,((SUMIF($BG$3:$BP$3,BI$60,$BG119:$BP119))/SUMIF($BG$3:$BP$3,BI$60,$BG$4:$BP$4)))</f>
        <v>8</v>
      </c>
      <c r="BJ70" s="196" t="n">
        <f aca="false">IF((SUMIF($BG$3:$BP$3,BJ$60,$BG$4:$BP$4))=0,0,((SUMIF($BG$3:$BP$3,BJ$60,$BG119:$BP119))/SUMIF($BG$3:$BP$3,BJ$60,$BG$4:$BP$4)))</f>
        <v>6.6</v>
      </c>
      <c r="BK70" s="196" t="n">
        <f aca="false">IF((SUMIF($BG$3:$BP$3,BK$60,$BG$4:$BP$4))=0,0,((SUMIF($BG$3:$BP$3,BK$60,$BG119:$BP119))/SUMIF($BG$3:$BP$3,BK$60,$BG$4:$BP$4)))</f>
        <v>0</v>
      </c>
      <c r="BL70" s="196" t="n">
        <f aca="false">IF((SUMIF($BG$3:$BP$3,BL$60,$BG$4:$BP$4))=0,0,((SUMIF($BG$3:$BP$3,BL$60,$BG119:$BP119))/SUMIF($BG$3:$BP$3,BL$60,$BG$4:$BP$4)))</f>
        <v>0</v>
      </c>
      <c r="BM70" s="196" t="n">
        <f aca="false">IF((SUMIF($BG$3:$BP$3,BM$60,$BG$4:$BP$4))=0,0,((SUMIF($BG$3:$BP$3,BM$60,$BG119:$BP119))/SUMIF($BG$3:$BP$3,BM$60,$BG$4:$BP$4)))</f>
        <v>0</v>
      </c>
      <c r="BN70" s="196" t="n">
        <f aca="false">IF((SUMIF($BG$3:$BP$3,BN$60,$BG$4:$BP$4))=0,0,((SUMIF($BG$3:$BP$3,BN$60,$BG119:$BP119))/SUMIF($BG$3:$BP$3,BN$60,$BG$4:$BP$4)))</f>
        <v>0</v>
      </c>
      <c r="BO70" s="196" t="n">
        <f aca="false">IF((SUMIF($BG$3:$BP$3,BO$60,$BG$4:$BP$4))=0,0,((SUMIF($BG$3:$BP$3,BO$60,$BG119:$BP119))/SUMIF($BG$3:$BP$3,BO$60,$BG$4:$BP$4)))</f>
        <v>0</v>
      </c>
      <c r="BP70" s="197" t="n">
        <f aca="false">IF((SUMIF($BG$3:$BP$3,BP$60,$BG$4:$BP$4))=0,0,((SUMIF($BG$3:$BP$3,BP$60,$BG119:$BP119))/SUMIF($BG$3:$BP$3,BP$60,$BG$4:$BP$4)))</f>
        <v>0</v>
      </c>
      <c r="BQ70" s="194" t="str">
        <f aca="false">BF70</f>
        <v>Alumno9</v>
      </c>
      <c r="BR70" s="195" t="n">
        <f aca="false">IF((SUMIF($BR$3:$CA$3,BR$60,$BR$4:$CA$4))=0,0,((SUMIF($BR$3:$CA$3,BR$60,$BR119:$CA119))/SUMIF($BR$3:$CA$3,BR$60,$BR$4:$CA$4)))</f>
        <v>0</v>
      </c>
      <c r="BS70" s="196" t="n">
        <f aca="false">IF((SUMIF($BR$3:$CA$3,BS$60,$BR$4:$CA$4))=0,0,((SUMIF($BR$3:$CA$3,BS$60,$BR119:$CA119))/SUMIF($BR$3:$CA$3,BS$60,$BR$4:$CA$4)))</f>
        <v>5</v>
      </c>
      <c r="BT70" s="196" t="n">
        <f aca="false">IF((SUMIF($BR$3:$CA$3,BT$60,$BR$4:$CA$4))=0,0,((SUMIF($BR$3:$CA$3,BT$60,$BR119:$CA119))/SUMIF($BR$3:$CA$3,BT$60,$BR$4:$CA$4)))</f>
        <v>5</v>
      </c>
      <c r="BU70" s="196" t="n">
        <f aca="false">IF((SUMIF($BR$3:$CA$3,BU$60,$BR$4:$CA$4))=0,0,((SUMIF($BR$3:$CA$3,BU$60,$BR119:$CA119))/SUMIF($BR$3:$CA$3,BU$60,$BR$4:$CA$4)))</f>
        <v>5</v>
      </c>
      <c r="BV70" s="196" t="n">
        <f aca="false">IF((SUMIF($BR$3:$CA$3,BV$60,$BR$4:$CA$4))=0,0,((SUMIF($BR$3:$CA$3,BV$60,$BR119:$CA119))/SUMIF($BR$3:$CA$3,BV$60,$BR$4:$CA$4)))</f>
        <v>0</v>
      </c>
      <c r="BW70" s="196" t="n">
        <f aca="false">IF((SUMIF($BR$3:$CA$3,BW$60,$BR$4:$CA$4))=0,0,((SUMIF($BR$3:$CA$3,BW$60,$BR119:$CA119))/SUMIF($BR$3:$CA$3,BW$60,$BR$4:$CA$4)))</f>
        <v>0</v>
      </c>
      <c r="BX70" s="196" t="n">
        <f aca="false">IF((SUMIF($BR$3:$CA$3,BX$60,$BR$4:$CA$4))=0,0,((SUMIF($BR$3:$CA$3,BX$60,$BR119:$CA119))/SUMIF($BR$3:$CA$3,BX$60,$BR$4:$CA$4)))</f>
        <v>0</v>
      </c>
      <c r="BY70" s="196" t="n">
        <f aca="false">IF((SUMIF($BR$3:$CA$3,BY$60,$BR$4:$CA$4))=0,0,((SUMIF($BR$3:$CA$3,BY$60,$BR119:$CA119))/SUMIF($BR$3:$CA$3,BY$60,$BR$4:$CA$4)))</f>
        <v>0</v>
      </c>
      <c r="BZ70" s="196" t="n">
        <f aca="false">IF((SUMIF($BR$3:$CA$3,BZ$60,$BR$4:$CA$4))=0,0,((SUMIF($BR$3:$CA$3,BZ$60,$BR119:$CA119))/SUMIF($BR$3:$CA$3,BZ$60,$BR$4:$CA$4)))</f>
        <v>0</v>
      </c>
      <c r="CA70" s="197" t="n">
        <f aca="false">IF((SUMIF($BR$3:$CA$3,CA$60,$BR$4:$CA$4))=0,0,((SUMIF($BR$3:$CA$3,CA$60,$BR119:$CA119))/SUMIF($BR$3:$CA$3,CA$60,$BR$4:$CA$4)))</f>
        <v>0</v>
      </c>
      <c r="CB70" s="194" t="str">
        <f aca="false">BQ70</f>
        <v>Alumno9</v>
      </c>
      <c r="CC70" s="195" t="n">
        <f aca="false">IF((SUMIF($CC$3:$CL$3,CC$60,$CC$4:$CL$4))=0,0,((SUMIF($CC$3:$CL$3,CC$60,$CC119:$CL119))/SUMIF($CC$3:$CL$3,CC$60,$CC$4:$CL$4)))</f>
        <v>0</v>
      </c>
      <c r="CD70" s="196" t="n">
        <f aca="false">IF((SUMIF($CC$3:$CL$3,CD$60,$CC$4:$CL$4))=0,0,((SUMIF($CC$3:$CL$3,CD$60,$CC119:$CL119))/SUMIF($CC$3:$CL$3,CD$60,$CC$4:$CL$4)))</f>
        <v>0</v>
      </c>
      <c r="CE70" s="196" t="n">
        <f aca="false">IF((SUMIF($CC$3:$CL$3,CE$60,$CC$4:$CL$4))=0,0,((SUMIF($CC$3:$CL$3,CE$60,$CC119:$CL119))/SUMIF($CC$3:$CL$3,CE$60,$CC$4:$CL$4)))</f>
        <v>0</v>
      </c>
      <c r="CF70" s="196" t="n">
        <f aca="false">IF((SUMIF($CC$3:$CL$3,CF$60,$CC$4:$CL$4))=0,0,((SUMIF($CC$3:$CL$3,CF$60,$CC119:$CL119))/SUMIF($CC$3:$CL$3,CF$60,$CC$4:$CL$4)))</f>
        <v>0</v>
      </c>
      <c r="CG70" s="196" t="n">
        <f aca="false">IF((SUMIF($CC$3:$CL$3,CG$60,$CC$4:$CL$4))=0,0,((SUMIF($CC$3:$CL$3,CG$60,$CC119:$CL119))/SUMIF($CC$3:$CL$3,CG$60,$CC$4:$CL$4)))</f>
        <v>0</v>
      </c>
      <c r="CH70" s="196" t="n">
        <f aca="false">IF((SUMIF($CC$3:$CL$3,CH$60,$CC$4:$CL$4))=0,0,((SUMIF($CC$3:$CL$3,CH$60,$CC119:$CL119))/SUMIF($CC$3:$CL$3,CH$60,$CC$4:$CL$4)))</f>
        <v>0</v>
      </c>
      <c r="CI70" s="196" t="n">
        <f aca="false">IF((SUMIF($CC$3:$CL$3,CI$60,$CC$4:$CL$4))=0,0,((SUMIF($CC$3:$CL$3,CI$60,$CC119:$CL119))/SUMIF($CC$3:$CL$3,CI$60,$CC$4:$CL$4)))</f>
        <v>0</v>
      </c>
      <c r="CJ70" s="196" t="n">
        <f aca="false">IF((SUMIF($CC$3:$CL$3,CJ$60,$CC$4:$CL$4))=0,0,((SUMIF($CC$3:$CL$3,CJ$60,$CC119:$CL119))/SUMIF($CC$3:$CL$3,CJ$60,$CC$4:$CL$4)))</f>
        <v>0</v>
      </c>
      <c r="CK70" s="196" t="n">
        <f aca="false">IF((SUMIF($CC$3:$CL$3,CK$60,$CC$4:$CL$4))=0,0,((SUMIF($CC$3:$CL$3,CK$60,$CC119:$CL119))/SUMIF($CC$3:$CL$3,CK$60,$CC$4:$CL$4)))</f>
        <v>0</v>
      </c>
      <c r="CL70" s="197" t="n">
        <f aca="false">IF((SUMIF($CC$3:$CL$3,CL$60,$CC$4:$CL$4))=0,0,((SUMIF($CC$3:$CL$3,CL$60,$CC119:$CL119))/SUMIF($CC$3:$CL$3,CL$60,$CC$4:$CL$4)))</f>
        <v>0</v>
      </c>
      <c r="CM70" s="194" t="str">
        <f aca="false">CB70</f>
        <v>Alumno9</v>
      </c>
      <c r="CN70" s="195" t="n">
        <f aca="false">IF((SUMIF($CN$3:$CW$3,CN$60,$CN$4:$CW$4))=0,0,((SUMIF($CN$3:$CW$3,CN$60,$CN119:$CW119))/SUMIF($CN$3:$CW$3,CN$60,$CN$4:$CW$4)))</f>
        <v>0</v>
      </c>
      <c r="CO70" s="196" t="n">
        <f aca="false">IF((SUMIF($CN$3:$CW$3,CO$60,$CN$4:$CW$4))=0,0,((SUMIF($CN$3:$CW$3,CO$60,$CN119:$CW119))/SUMIF($CN$3:$CW$3,CO$60,$CN$4:$CW$4)))</f>
        <v>0</v>
      </c>
      <c r="CP70" s="196" t="n">
        <f aca="false">IF((SUMIF($CN$3:$CW$3,CP$60,$CN$4:$CW$4))=0,0,((SUMIF($CN$3:$CW$3,CP$60,$CN119:$CW119))/SUMIF($CN$3:$CW$3,CP$60,$CN$4:$CW$4)))</f>
        <v>0</v>
      </c>
      <c r="CQ70" s="196" t="n">
        <f aca="false">IF((SUMIF($CN$3:$CW$3,CQ$60,$CN$4:$CW$4))=0,0,((SUMIF($CN$3:$CW$3,CQ$60,$CN119:$CW119))/SUMIF($CN$3:$CW$3,CQ$60,$CN$4:$CW$4)))</f>
        <v>0</v>
      </c>
      <c r="CR70" s="196" t="n">
        <f aca="false">IF((SUMIF($CN$3:$CW$3,CR$60,$CN$4:$CW$4))=0,0,((SUMIF($CN$3:$CW$3,CR$60,$CN119:$CW119))/SUMIF($CN$3:$CW$3,CR$60,$CN$4:$CW$4)))</f>
        <v>0</v>
      </c>
      <c r="CS70" s="196" t="n">
        <f aca="false">IF((SUMIF($CN$3:$CW$3,CS$60,$CN$4:$CW$4))=0,0,((SUMIF($CN$3:$CW$3,CS$60,$CN119:$CW119))/SUMIF($CN$3:$CW$3,CS$60,$CN$4:$CW$4)))</f>
        <v>0</v>
      </c>
      <c r="CT70" s="196" t="n">
        <f aca="false">IF((SUMIF($CN$3:$CW$3,CT$60,$CN$4:$CW$4))=0,0,((SUMIF($CN$3:$CW$3,CT$60,$CN119:$CW119))/SUMIF($CN$3:$CW$3,CT$60,$CN$4:$CW$4)))</f>
        <v>0</v>
      </c>
      <c r="CU70" s="196" t="n">
        <f aca="false">IF((SUMIF($CN$3:$CW$3,CU$60,$CN$4:$CW$4))=0,0,((SUMIF($CN$3:$CW$3,CU$60,$CN119:$CW119))/SUMIF($CN$3:$CW$3,CU$60,$CN$4:$CW$4)))</f>
        <v>0</v>
      </c>
      <c r="CV70" s="196" t="n">
        <f aca="false">IF((SUMIF($CN$3:$CW$3,CV$60,$CN$4:$CW$4))=0,0,((SUMIF($CN$3:$CW$3,CV$60,$CN119:$CW119))/SUMIF($CN$3:$CW$3,CV$60,$CN$4:$CW$4)))</f>
        <v>0</v>
      </c>
      <c r="CW70" s="197" t="n">
        <f aca="false">IF((SUMIF($CN$3:$CW$3,CW$60,$CN$4:$CW$4))=0,0,((SUMIF($CN$3:$CW$3,CW$60,$CN119:$CW119))/SUMIF($CN$3:$CW$3,CW$60,$CN$4:$CW$4)))</f>
        <v>0</v>
      </c>
      <c r="CX70" s="194" t="str">
        <f aca="false">CM70</f>
        <v>Alumno9</v>
      </c>
      <c r="CY70" s="195" t="n">
        <f aca="false">IF((SUMIF($CY$3:$DH$3,CY$60,$CY$4:$DH$4))=0,0,((SUMIF($CY$3:$DH$3,CY$60,$CY119:$DH119))/SUMIF($CY$3:$DH$3,CY$60,$CY$4:$DH$4)))</f>
        <v>0</v>
      </c>
      <c r="CZ70" s="196" t="n">
        <f aca="false">IF((SUMIF($CY$3:$DH$3,CZ$60,$CY$4:$DH$4))=0,0,((SUMIF($CY$3:$DH$3,CZ$60,$CY119:$DH119))/SUMIF($CY$3:$DH$3,CZ$60,$CY$4:$DH$4)))</f>
        <v>0</v>
      </c>
      <c r="DA70" s="196" t="n">
        <f aca="false">IF((SUMIF($CY$3:$DH$3,DA$60,$CY$4:$DH$4))=0,0,((SUMIF($CY$3:$DH$3,DA$60,$CY119:$DH119))/SUMIF($CY$3:$DH$3,DA$60,$CY$4:$DH$4)))</f>
        <v>0</v>
      </c>
      <c r="DB70" s="196" t="n">
        <f aca="false">IF((SUMIF($CY$3:$DH$3,DB$60,$CY$4:$DH$4))=0,0,((SUMIF($CY$3:$DH$3,DB$60,$CY119:$DH119))/SUMIF($CY$3:$DH$3,DB$60,$CY$4:$DH$4)))</f>
        <v>0</v>
      </c>
      <c r="DC70" s="196" t="n">
        <f aca="false">IF((SUMIF($CY$3:$DH$3,DC$60,$CY$4:$DH$4))=0,0,((SUMIF($CY$3:$DH$3,DC$60,$CY119:$DH119))/SUMIF($CY$3:$DH$3,DC$60,$CY$4:$DH$4)))</f>
        <v>0</v>
      </c>
      <c r="DD70" s="196" t="n">
        <f aca="false">IF((SUMIF($CY$3:$DH$3,DD$60,$CY$4:$DH$4))=0,0,((SUMIF($CY$3:$DH$3,DD$60,$CY119:$DH119))/SUMIF($CY$3:$DH$3,DD$60,$CY$4:$DH$4)))</f>
        <v>0</v>
      </c>
      <c r="DE70" s="196" t="n">
        <f aca="false">IF((SUMIF($CY$3:$DH$3,DE$60,$CY$4:$DH$4))=0,0,((SUMIF($CY$3:$DH$3,DE$60,$CY119:$DH119))/SUMIF($CY$3:$DH$3,DE$60,$CY$4:$DH$4)))</f>
        <v>0</v>
      </c>
      <c r="DF70" s="196" t="n">
        <f aca="false">IF((SUMIF($CY$3:$DH$3,DF$60,$CY$4:$DH$4))=0,0,((SUMIF($CY$3:$DH$3,DF$60,$CY119:$DH119))/SUMIF($CY$3:$DH$3,DF$60,$CY$4:$DH$4)))</f>
        <v>0</v>
      </c>
      <c r="DG70" s="196" t="n">
        <f aca="false">IF((SUMIF($CY$3:$DH$3,DG$60,$CY$4:$DH$4))=0,0,((SUMIF($CY$3:$DH$3,DG$60,$CY119:$DH119))/SUMIF($CY$3:$DH$3,DG$60,$CY$4:$DH$4)))</f>
        <v>0</v>
      </c>
      <c r="DH70" s="197" t="n">
        <f aca="false">IF((SUMIF($CY$3:$DH$3,DH$60,$CY$4:$DH$4))=0,0,((SUMIF($CY$3:$DH$3,DH$60,$CY119:$DH119))/SUMIF($CY$3:$DH$3,DH$60,$CY$4:$DH$4)))</f>
        <v>0</v>
      </c>
      <c r="DI70" s="194" t="str">
        <f aca="false">CX70</f>
        <v>Alumno9</v>
      </c>
      <c r="DJ70" s="195" t="n">
        <f aca="false">IF((SUMIF($DJ$3:$DS$3,DJ$60,$DJ$4:$DS$4))=0,0,((SUMIF($DJ$3:$DS$3,DJ$60,$DJ119:$DS119))/SUMIF($DJ$3:$DS$3,DJ$60,$DJ$4:$DS$4)))</f>
        <v>0</v>
      </c>
      <c r="DK70" s="196" t="n">
        <f aca="false">IF((SUMIF($DJ$3:$DS$3,DK$60,$DJ$4:$DS$4))=0,0,((SUMIF($DJ$3:$DS$3,DK$60,$DJ119:$DS119))/SUMIF($DJ$3:$DS$3,DK$60,$DJ$4:$DS$4)))</f>
        <v>0</v>
      </c>
      <c r="DL70" s="196" t="n">
        <f aca="false">IF((SUMIF($DJ$3:$DS$3,DL$60,$DJ$4:$DS$4))=0,0,((SUMIF($DJ$3:$DS$3,DL$60,$DJ119:$DS119))/SUMIF($DJ$3:$DS$3,DL$60,$DJ$4:$DS$4)))</f>
        <v>0</v>
      </c>
      <c r="DM70" s="196" t="n">
        <f aca="false">IF((SUMIF($DJ$3:$DS$3,DM$60,$DJ$4:$DS$4))=0,0,((SUMIF($DJ$3:$DS$3,DM$60,$DJ119:$DS119))/SUMIF($DJ$3:$DS$3,DM$60,$DJ$4:$DS$4)))</f>
        <v>0</v>
      </c>
      <c r="DN70" s="196" t="n">
        <f aca="false">IF((SUMIF($DJ$3:$DS$3,DN$60,$DJ$4:$DS$4))=0,0,((SUMIF($DJ$3:$DS$3,DN$60,$DJ119:$DS119))/SUMIF($DJ$3:$DS$3,DN$60,$DJ$4:$DS$4)))</f>
        <v>0</v>
      </c>
      <c r="DO70" s="196" t="n">
        <f aca="false">IF((SUMIF($DJ$3:$DS$3,DO$60,$DJ$4:$DS$4))=0,0,((SUMIF($DJ$3:$DS$3,DO$60,$DJ119:$DS119))/SUMIF($DJ$3:$DS$3,DO$60,$DJ$4:$DS$4)))</f>
        <v>0</v>
      </c>
      <c r="DP70" s="196" t="n">
        <f aca="false">IF((SUMIF($DJ$3:$DS$3,DP$60,$DJ$4:$DS$4))=0,0,((SUMIF($DJ$3:$DS$3,DP$60,$DJ119:$DS119))/SUMIF($DJ$3:$DS$3,DP$60,$DJ$4:$DS$4)))</f>
        <v>0</v>
      </c>
      <c r="DQ70" s="196" t="n">
        <f aca="false">IF((SUMIF($DJ$3:$DS$3,DQ$60,$DJ$4:$DS$4))=0,0,((SUMIF($DJ$3:$DS$3,DQ$60,$DJ119:$DS119))/SUMIF($DJ$3:$DS$3,DQ$60,$DJ$4:$DS$4)))</f>
        <v>0</v>
      </c>
      <c r="DR70" s="196" t="n">
        <f aca="false">IF((SUMIF($DJ$3:$DS$3,DR$60,$DJ$4:$DS$4))=0,0,((SUMIF($DJ$3:$DS$3,DR$60,$DJ119:$DS119))/SUMIF($DJ$3:$DS$3,DR$60,$DJ$4:$DS$4)))</f>
        <v>0</v>
      </c>
      <c r="DS70" s="197" t="n">
        <f aca="false">IF((SUMIF($DJ$3:$DS$3,DS$60,$DJ$4:$DS$4))=0,0,((SUMIF($DJ$3:$DS$3,DS$60,$DJ119:$DS119))/SUMIF($DJ$3:$DS$3,DS$60,$DJ$4:$DS$4)))</f>
        <v>0</v>
      </c>
      <c r="DT70" s="194" t="str">
        <f aca="false">DI70</f>
        <v>Alumno9</v>
      </c>
      <c r="DU70" s="195" t="n">
        <f aca="false">IF((SUMIF($DU$3:$ED$3,DU$60,$DU$4:$ED$4))=0,0,((SUMIF($DU$3:$ED$3,DU$60,$DU119:$ED119))/SUMIF($DU$3:$ED$3,DU$60,$DU$4:$ED$4)))</f>
        <v>0</v>
      </c>
      <c r="DV70" s="196" t="n">
        <f aca="false">IF((SUMIF($DU$3:$ED$3,DV$60,$DU$4:$ED$4))=0,0,((SUMIF($DU$3:$ED$3,DV$60,$DU119:$ED119))/SUMIF($DU$3:$ED$3,DV$60,$DU$4:$ED$4)))</f>
        <v>0</v>
      </c>
      <c r="DW70" s="196" t="n">
        <f aca="false">IF((SUMIF($DU$3:$ED$3,DW$60,$DU$4:$ED$4))=0,0,((SUMIF($DU$3:$ED$3,DW$60,$DU119:$ED119))/SUMIF($DU$3:$ED$3,DW$60,$DU$4:$ED$4)))</f>
        <v>0</v>
      </c>
      <c r="DX70" s="196" t="n">
        <f aca="false">IF((SUMIF($DU$3:$ED$3,DX$60,$DU$4:$ED$4))=0,0,((SUMIF($DU$3:$ED$3,DX$60,$DU119:$ED119))/SUMIF($DU$3:$ED$3,DX$60,$DU$4:$ED$4)))</f>
        <v>0</v>
      </c>
      <c r="DY70" s="196" t="n">
        <f aca="false">IF((SUMIF($DU$3:$ED$3,DY$60,$DU$4:$ED$4))=0,0,((SUMIF($DU$3:$ED$3,DY$60,$DU119:$ED119))/SUMIF($DU$3:$ED$3,DY$60,$DU$4:$ED$4)))</f>
        <v>0</v>
      </c>
      <c r="DZ70" s="196" t="n">
        <f aca="false">IF((SUMIF($DU$3:$ED$3,DZ$60,$DU$4:$ED$4))=0,0,((SUMIF($DU$3:$ED$3,DZ$60,$DU119:$ED119))/SUMIF($DU$3:$ED$3,DZ$60,$DU$4:$ED$4)))</f>
        <v>0</v>
      </c>
      <c r="EA70" s="196" t="n">
        <f aca="false">IF((SUMIF($DU$3:$ED$3,EA$60,$DU$4:$ED$4))=0,0,((SUMIF($DU$3:$ED$3,EA$60,$DU119:$ED119))/SUMIF($DU$3:$ED$3,EA$60,$DU$4:$ED$4)))</f>
        <v>0</v>
      </c>
      <c r="EB70" s="196" t="n">
        <f aca="false">IF((SUMIF($DU$3:$ED$3,EB$60,$DU$4:$ED$4))=0,0,((SUMIF($DU$3:$ED$3,EB$60,$DU119:$ED119))/SUMIF($DU$3:$ED$3,EB$60,$DU$4:$ED$4)))</f>
        <v>0</v>
      </c>
      <c r="EC70" s="196" t="n">
        <f aca="false">IF((SUMIF($DU$3:$ED$3,EC$60,$DU$4:$ED$4))=0,0,((SUMIF($DU$3:$ED$3,EC$60,$DU119:$ED119))/SUMIF($DU$3:$ED$3,EC$60,$DU$4:$ED$4)))</f>
        <v>0</v>
      </c>
      <c r="ED70" s="197" t="n">
        <f aca="false">IF((SUMIF($DU$3:$ED$3,ED$60,$DU$4:$ED$4))=0,0,((SUMIF($DU$3:$ED$3,ED$60,$DU119:$ED119))/SUMIF($DU$3:$ED$3,ED$60,$DU$4:$ED$4)))</f>
        <v>0</v>
      </c>
      <c r="EE70" s="194" t="str">
        <f aca="false">DT70</f>
        <v>Alumno9</v>
      </c>
      <c r="EF70" s="195" t="n">
        <f aca="false">IF((SUMIF($EF$3:$EO$3,EF$60,$EF$4:$EO$4))=0,0,((SUMIF($EF$3:$EO$3,EF$60,$EF119:$EO119))/SUMIF($EF$3:$EO$3,EF$60,$EF$4:$EO$4)))</f>
        <v>0</v>
      </c>
      <c r="EG70" s="196" t="n">
        <f aca="false">IF((SUMIF($EF$3:$EO$3,EG$60,$EF$4:$EO$4))=0,0,((SUMIF($EF$3:$EO$3,EG$60,$EF119:$EO119))/SUMIF($EF$3:$EO$3,EG$60,$EF$4:$EO$4)))</f>
        <v>0</v>
      </c>
      <c r="EH70" s="196" t="n">
        <f aca="false">IF((SUMIF($EF$3:$EO$3,EH$60,$EF$4:$EO$4))=0,0,((SUMIF($EF$3:$EO$3,EH$60,$EF119:$EO119))/SUMIF($EF$3:$EO$3,EH$60,$EF$4:$EO$4)))</f>
        <v>0</v>
      </c>
      <c r="EI70" s="196" t="n">
        <f aca="false">IF((SUMIF($EF$3:$EO$3,EI$60,$EF$4:$EO$4))=0,0,((SUMIF($EF$3:$EO$3,EI$60,$EF119:$EO119))/SUMIF($EF$3:$EO$3,EI$60,$EF$4:$EO$4)))</f>
        <v>0</v>
      </c>
      <c r="EJ70" s="196" t="n">
        <f aca="false">IF((SUMIF($EF$3:$EO$3,EJ$60,$EF$4:$EO$4))=0,0,((SUMIF($EF$3:$EO$3,EJ$60,$EF119:$EO119))/SUMIF($EF$3:$EO$3,EJ$60,$EF$4:$EO$4)))</f>
        <v>0</v>
      </c>
      <c r="EK70" s="196" t="n">
        <f aca="false">IF((SUMIF($EF$3:$EO$3,EK$60,$EF$4:$EO$4))=0,0,((SUMIF($EF$3:$EO$3,EK$60,$EF119:$EO119))/SUMIF($EF$3:$EO$3,EK$60,$EF$4:$EO$4)))</f>
        <v>0</v>
      </c>
      <c r="EL70" s="196" t="n">
        <f aca="false">IF((SUMIF($EF$3:$EO$3,EL$60,$EF$4:$EO$4))=0,0,((SUMIF($EF$3:$EO$3,EL$60,$EF119:$EO119))/SUMIF($EF$3:$EO$3,EL$60,$EF$4:$EO$4)))</f>
        <v>0</v>
      </c>
      <c r="EM70" s="196" t="n">
        <f aca="false">IF((SUMIF($EF$3:$EO$3,EM$60,$EF$4:$EO$4))=0,0,((SUMIF($EF$3:$EO$3,EM$60,$EF119:$EO119))/SUMIF($EF$3:$EO$3,EM$60,$EF$4:$EO$4)))</f>
        <v>0</v>
      </c>
      <c r="EN70" s="196" t="n">
        <f aca="false">IF((SUMIF($EF$3:$EO$3,EN$60,$EF$4:$EO$4))=0,0,((SUMIF($EF$3:$EO$3,EN$60,$EF119:$EO119))/SUMIF($EF$3:$EO$3,EN$60,$EF$4:$EO$4)))</f>
        <v>0</v>
      </c>
      <c r="EO70" s="197" t="n">
        <f aca="false">IF((SUMIF($EF$3:$EO$3,EO$60,$EF$4:$EO$4))=0,0,((SUMIF($EF$3:$EO$3,EO$60,$EF119:$EO119))/SUMIF($EF$3:$EO$3,EO$60,$EF$4:$EO$4)))</f>
        <v>0</v>
      </c>
      <c r="EP70" s="194" t="str">
        <f aca="false">EE70</f>
        <v>Alumno9</v>
      </c>
      <c r="EQ70" s="195" t="n">
        <f aca="false">IF((SUMIF($EQ$3:$EZ$3,EQ$60,$EQ$4:$EZ$4))=0,0,((SUMIF($EQ$3:$EZ$3,EQ$60,$EQ119:$EZ119))/SUMIF($EQ$3:$EZ$3,EQ$60,$EQ$4:$EZ$4)))</f>
        <v>0</v>
      </c>
      <c r="ER70" s="196" t="n">
        <f aca="false">IF((SUMIF($EQ$3:$EZ$3,ER$60,$EQ$4:$EZ$4))=0,0,((SUMIF($EQ$3:$EZ$3,ER$60,$EQ119:$EZ119))/SUMIF($EQ$3:$EZ$3,ER$60,$EQ$4:$EZ$4)))</f>
        <v>0</v>
      </c>
      <c r="ES70" s="196" t="n">
        <f aca="false">IF((SUMIF($EQ$3:$EZ$3,ES$60,$EQ$4:$EZ$4))=0,0,((SUMIF($EQ$3:$EZ$3,ES$60,$EQ119:$EZ119))/SUMIF($EQ$3:$EZ$3,ES$60,$EQ$4:$EZ$4)))</f>
        <v>0</v>
      </c>
      <c r="ET70" s="196" t="n">
        <f aca="false">IF((SUMIF($EQ$3:$EZ$3,ET$60,$EQ$4:$EZ$4))=0,0,((SUMIF($EQ$3:$EZ$3,ET$60,$EQ119:$EZ119))/SUMIF($EQ$3:$EZ$3,ET$60,$EQ$4:$EZ$4)))</f>
        <v>0</v>
      </c>
      <c r="EU70" s="196" t="n">
        <f aca="false">IF((SUMIF($EQ$3:$EZ$3,EU$60,$EQ$4:$EZ$4))=0,0,((SUMIF($EQ$3:$EZ$3,EU$60,$EQ119:$EZ119))/SUMIF($EQ$3:$EZ$3,EU$60,$EQ$4:$EZ$4)))</f>
        <v>0</v>
      </c>
      <c r="EV70" s="196" t="n">
        <f aca="false">IF((SUMIF($EQ$3:$EZ$3,EV$60,$EQ$4:$EZ$4))=0,0,((SUMIF($EQ$3:$EZ$3,EV$60,$EQ119:$EZ119))/SUMIF($EQ$3:$EZ$3,EV$60,$EQ$4:$EZ$4)))</f>
        <v>0</v>
      </c>
      <c r="EW70" s="196" t="n">
        <f aca="false">IF((SUMIF($EQ$3:$EZ$3,EW$60,$EQ$4:$EZ$4))=0,0,((SUMIF($EQ$3:$EZ$3,EW$60,$EQ119:$EZ119))/SUMIF($EQ$3:$EZ$3,EW$60,$EQ$4:$EZ$4)))</f>
        <v>0</v>
      </c>
      <c r="EX70" s="196" t="n">
        <f aca="false">IF((SUMIF($EQ$3:$EZ$3,EX$60,$EQ$4:$EZ$4))=0,0,((SUMIF($EQ$3:$EZ$3,EX$60,$EQ119:$EZ119))/SUMIF($EQ$3:$EZ$3,EX$60,$EQ$4:$EZ$4)))</f>
        <v>0</v>
      </c>
      <c r="EY70" s="196" t="n">
        <f aca="false">IF((SUMIF($EQ$3:$EZ$3,EY$60,$EQ$4:$EZ$4))=0,0,((SUMIF($EQ$3:$EZ$3,EY$60,$EQ119:$EZ119))/SUMIF($EQ$3:$EZ$3,EY$60,$EQ$4:$EZ$4)))</f>
        <v>0</v>
      </c>
      <c r="EZ70" s="197" t="n">
        <f aca="false">IF((SUMIF($EQ$3:$EZ$3,EZ$60,$EQ$4:$EZ$4))=0,0,((SUMIF($EQ$3:$EZ$3,EZ$60,$EQ119:$EZ119))/SUMIF($EQ$3:$EZ$3,EZ$60,$EQ$4:$EZ$4)))</f>
        <v>0</v>
      </c>
      <c r="FA70" s="194" t="str">
        <f aca="false">EP70</f>
        <v>Alumno9</v>
      </c>
      <c r="FB70" s="195" t="n">
        <f aca="false">IF((SUMIF($FB$3:$FK$3,FB$60,$FB$4:$FK$4))=0,0,((SUMIF($FB$3:$FK$3,FB$60,$FB119:$FK119))/SUMIF($FB$3:$FK$3,FB$60,$FB$4:$FK$4)))</f>
        <v>0</v>
      </c>
      <c r="FC70" s="196" t="n">
        <f aca="false">IF((SUMIF($FB$3:$FK$3,FC$60,$FB$4:$FK$4))=0,0,((SUMIF($FB$3:$FK$3,FC$60,$FB119:$FK119))/SUMIF($FB$3:$FK$3,FC$60,$FB$4:$FK$4)))</f>
        <v>0</v>
      </c>
      <c r="FD70" s="196" t="n">
        <f aca="false">IF((SUMIF($FB$3:$FK$3,FD$60,$FB$4:$FK$4))=0,0,((SUMIF($FB$3:$FK$3,FD$60,$FB119:$FK119))/SUMIF($FB$3:$FK$3,FD$60,$FB$4:$FK$4)))</f>
        <v>0</v>
      </c>
      <c r="FE70" s="196" t="n">
        <f aca="false">IF((SUMIF($FB$3:$FK$3,FE$60,$FB$4:$FK$4))=0,0,((SUMIF($FB$3:$FK$3,FE$60,$FB119:$FK119))/SUMIF($FB$3:$FK$3,FE$60,$FB$4:$FK$4)))</f>
        <v>0</v>
      </c>
      <c r="FF70" s="196" t="n">
        <f aca="false">IF((SUMIF($FB$3:$FK$3,FF$60,$FB$4:$FK$4))=0,0,((SUMIF($FB$3:$FK$3,FF$60,$FB119:$FK119))/SUMIF($FB$3:$FK$3,FF$60,$FB$4:$FK$4)))</f>
        <v>0</v>
      </c>
      <c r="FG70" s="196" t="n">
        <f aca="false">IF((SUMIF($FB$3:$FK$3,FG$60,$FB$4:$FK$4))=0,0,((SUMIF($FB$3:$FK$3,FG$60,$FB119:$FK119))/SUMIF($FB$3:$FK$3,FG$60,$FB$4:$FK$4)))</f>
        <v>0</v>
      </c>
      <c r="FH70" s="196" t="n">
        <f aca="false">IF((SUMIF($FB$3:$FK$3,FH$60,$FB$4:$FK$4))=0,0,((SUMIF($FB$3:$FK$3,FH$60,$FB119:$FK119))/SUMIF($FB$3:$FK$3,FH$60,$FB$4:$FK$4)))</f>
        <v>0</v>
      </c>
      <c r="FI70" s="196" t="n">
        <f aca="false">IF((SUMIF($FB$3:$FK$3,FI$60,$FB$4:$FK$4))=0,0,((SUMIF($FB$3:$FK$3,FI$60,$FB119:$FK119))/SUMIF($FB$3:$FK$3,FI$60,$FB$4:$FK$4)))</f>
        <v>0</v>
      </c>
      <c r="FJ70" s="196" t="n">
        <f aca="false">IF((SUMIF($FB$3:$FK$3,FJ$60,$FB$4:$FK$4))=0,0,((SUMIF($FB$3:$FK$3,FJ$60,$FB119:$FK119))/SUMIF($FB$3:$FK$3,FJ$60,$FB$4:$FK$4)))</f>
        <v>0</v>
      </c>
      <c r="FK70" s="197" t="n">
        <f aca="false">IF((SUMIF($FB$3:$FK$3,FK$60,$FB$4:$FK$4))=0,0,((SUMIF($FB$3:$FK$3,FK$60,$FB119:$FK119))/SUMIF($FB$3:$FK$3,FK$60,$FB$4:$FK$4)))</f>
        <v>0</v>
      </c>
      <c r="FL70" s="194" t="str">
        <f aca="false">FA70</f>
        <v>Alumno9</v>
      </c>
      <c r="FM70" s="195" t="n">
        <f aca="false">IF((SUMIF($FM$3:$FV$3,FM$60,$FM$4:$FV$4))=0,0,((SUMIF($FM$3:$FV$3,FM$60,$FM119:$FV119))/SUMIF($FM$3:$FV$3,FM$60,$FM$4:$FV$4)))</f>
        <v>0</v>
      </c>
      <c r="FN70" s="196" t="n">
        <f aca="false">IF((SUMIF($FM$3:$FV$3,FN$60,$FM$4:$FV$4))=0,0,((SUMIF($FM$3:$FV$3,FN$60,$FM119:$FV119))/SUMIF($FM$3:$FV$3,FN$60,$FM$4:$FV$4)))</f>
        <v>0</v>
      </c>
      <c r="FO70" s="196" t="n">
        <f aca="false">IF((SUMIF($FM$3:$FV$3,FO$60,$FM$4:$FV$4))=0,0,((SUMIF($FM$3:$FV$3,FO$60,$FM119:$FV119))/SUMIF($FM$3:$FV$3,FO$60,$FM$4:$FV$4)))</f>
        <v>0</v>
      </c>
      <c r="FP70" s="196" t="n">
        <f aca="false">IF((SUMIF($FM$3:$FV$3,FP$60,$FM$4:$FV$4))=0,0,((SUMIF($FM$3:$FV$3,FP$60,$FM119:$FV119))/SUMIF($FM$3:$FV$3,FP$60,$FM$4:$FV$4)))</f>
        <v>0</v>
      </c>
      <c r="FQ70" s="196" t="n">
        <f aca="false">IF((SUMIF($FM$3:$FV$3,FQ$60,$FM$4:$FV$4))=0,0,((SUMIF($FM$3:$FV$3,FQ$60,$FM119:$FV119))/SUMIF($FM$3:$FV$3,FQ$60,$FM$4:$FV$4)))</f>
        <v>0</v>
      </c>
      <c r="FR70" s="196" t="n">
        <f aca="false">IF((SUMIF($FM$3:$FV$3,FR$60,$FM$4:$FV$4))=0,0,((SUMIF($FM$3:$FV$3,FR$60,$FM119:$FV119))/SUMIF($FM$3:$FV$3,FR$60,$FM$4:$FV$4)))</f>
        <v>0</v>
      </c>
      <c r="FS70" s="196" t="n">
        <f aca="false">IF((SUMIF($FM$3:$FV$3,FS$60,$FM$4:$FV$4))=0,0,((SUMIF($FM$3:$FV$3,FS$60,$FM119:$FV119))/SUMIF($FM$3:$FV$3,FS$60,$FM$4:$FV$4)))</f>
        <v>0</v>
      </c>
      <c r="FT70" s="196" t="n">
        <f aca="false">IF((SUMIF($FM$3:$FV$3,FT$60,$FM$4:$FV$4))=0,0,((SUMIF($FM$3:$FV$3,FT$60,$FM119:$FV119))/SUMIF($FM$3:$FV$3,FT$60,$FM$4:$FV$4)))</f>
        <v>0</v>
      </c>
      <c r="FU70" s="196" t="n">
        <f aca="false">IF((SUMIF($FM$3:$FV$3,FU$60,$FM$4:$FV$4))=0,0,((SUMIF($FM$3:$FV$3,FU$60,$FM119:$FV119))/SUMIF($FM$3:$FV$3,FU$60,$FM$4:$FV$4)))</f>
        <v>0</v>
      </c>
      <c r="FV70" s="197" t="n">
        <f aca="false">IF((SUMIF($FM$3:$FV$3,FV$60,$FM$4:$FV$4))=0,0,((SUMIF($FM$3:$FV$3,FV$60,$FM119:$FV119))/SUMIF($FM$3:$FV$3,FV$60,$FM$4:$FV$4)))</f>
        <v>0</v>
      </c>
      <c r="FW70" s="194" t="str">
        <f aca="false">FL70</f>
        <v>Alumno9</v>
      </c>
      <c r="FX70" s="195" t="n">
        <f aca="false">IF((SUMIF($FX$3:$GG$3,FX$60,$FX$4:$GG$4))=0,0,((SUMIF($FX$3:$GG$3,FX$60,$FX119:$GG119))/SUMIF($FX$3:$GG$3,FX$60,$FX$4:$GG$4)))</f>
        <v>0</v>
      </c>
      <c r="FY70" s="196" t="n">
        <f aca="false">IF((SUMIF($FX$3:$GG$3,FY$60,$FX$4:$GG$4))=0,0,((SUMIF($FX$3:$GG$3,FY$60,$FX119:$GG119))/SUMIF($FX$3:$GG$3,FY$60,$FX$4:$GG$4)))</f>
        <v>0</v>
      </c>
      <c r="FZ70" s="196" t="n">
        <f aca="false">IF((SUMIF($FX$3:$GG$3,FZ$60,$FX$4:$GG$4))=0,0,((SUMIF($FX$3:$GG$3,FZ$60,$FX119:$GG119))/SUMIF($FX$3:$GG$3,FZ$60,$FX$4:$GG$4)))</f>
        <v>0</v>
      </c>
      <c r="GA70" s="196" t="n">
        <f aca="false">IF((SUMIF($FX$3:$GG$3,GA$60,$FX$4:$GG$4))=0,0,((SUMIF($FX$3:$GG$3,GA$60,$FX119:$GG119))/SUMIF($FX$3:$GG$3,GA$60,$FX$4:$GG$4)))</f>
        <v>0</v>
      </c>
      <c r="GB70" s="196" t="n">
        <f aca="false">IF((SUMIF($FX$3:$GG$3,GB$60,$FX$4:$GG$4))=0,0,((SUMIF($FX$3:$GG$3,GB$60,$FX119:$GG119))/SUMIF($FX$3:$GG$3,GB$60,$FX$4:$GG$4)))</f>
        <v>0</v>
      </c>
      <c r="GC70" s="196" t="n">
        <f aca="false">IF((SUMIF($FX$3:$GG$3,GC$60,$FX$4:$GG$4))=0,0,((SUMIF($FX$3:$GG$3,GC$60,$FX119:$GG119))/SUMIF($FX$3:$GG$3,GC$60,$FX$4:$GG$4)))</f>
        <v>0</v>
      </c>
      <c r="GD70" s="196" t="n">
        <f aca="false">IF((SUMIF($FX$3:$GG$3,GD$60,$FX$4:$GG$4))=0,0,((SUMIF($FX$3:$GG$3,GD$60,$FX119:$GG119))/SUMIF($FX$3:$GG$3,GD$60,$FX$4:$GG$4)))</f>
        <v>0</v>
      </c>
      <c r="GE70" s="196" t="n">
        <f aca="false">IF((SUMIF($FX$3:$GG$3,GE$60,$FX$4:$GG$4))=0,0,((SUMIF($FX$3:$GG$3,GE$60,$FX119:$GG119))/SUMIF($FX$3:$GG$3,GE$60,$FX$4:$GG$4)))</f>
        <v>0</v>
      </c>
      <c r="GF70" s="196" t="n">
        <f aca="false">IF((SUMIF($FX$3:$GG$3,GF$60,$FX$4:$GG$4))=0,0,((SUMIF($FX$3:$GG$3,GF$60,$FX119:$GG119))/SUMIF($FX$3:$GG$3,GF$60,$FX$4:$GG$4)))</f>
        <v>0</v>
      </c>
      <c r="GG70" s="197" t="n">
        <f aca="false">IF((SUMIF($FX$3:$GG$3,GG$60,$FX$4:$GG$4))=0,0,((SUMIF($FX$3:$GG$3,GG$60,$FX119:$GG119))/SUMIF($FX$3:$GG$3,GG$60,$FX$4:$GG$4)))</f>
        <v>0</v>
      </c>
      <c r="GH70" s="194" t="str">
        <f aca="false">FW70</f>
        <v>Alumno9</v>
      </c>
      <c r="GI70" s="195" t="n">
        <f aca="false">IF((SUMIF($GI$3:$GR$3,GI$60,$GI$4:$GR$4))=0,0,((SUMIF($GI$3:$GR$3,GI$60,$GI119:$GR119))/SUMIF($GI$3:$GR$3,GI$60,$GI$4:$GR$4)))</f>
        <v>0</v>
      </c>
      <c r="GJ70" s="196" t="n">
        <f aca="false">IF((SUMIF($GI$3:$GR$3,GJ$60,$GI$4:$GR$4))=0,0,((SUMIF($GI$3:$GR$3,GJ$60,$GI119:$GR119))/SUMIF($GI$3:$GR$3,GJ$60,$GI$4:$GR$4)))</f>
        <v>0</v>
      </c>
      <c r="GK70" s="196" t="n">
        <f aca="false">IF((SUMIF($GI$3:$GR$3,GK$60,$GI$4:$GR$4))=0,0,((SUMIF($GI$3:$GR$3,GK$60,$GI119:$GR119))/SUMIF($GI$3:$GR$3,GK$60,$GI$4:$GR$4)))</f>
        <v>0</v>
      </c>
      <c r="GL70" s="196" t="n">
        <f aca="false">IF((SUMIF($GI$3:$GR$3,GL$60,$GI$4:$GR$4))=0,0,((SUMIF($GI$3:$GR$3,GL$60,$GI119:$GR119))/SUMIF($GI$3:$GR$3,GL$60,$GI$4:$GR$4)))</f>
        <v>0</v>
      </c>
      <c r="GM70" s="196" t="n">
        <f aca="false">IF((SUMIF($GI$3:$GR$3,GM$60,$GI$4:$GR$4))=0,0,((SUMIF($GI$3:$GR$3,GM$60,$GI119:$GR119))/SUMIF($GI$3:$GR$3,GM$60,$GI$4:$GR$4)))</f>
        <v>0</v>
      </c>
      <c r="GN70" s="196" t="n">
        <f aca="false">IF((SUMIF($GI$3:$GR$3,GN$60,$GI$4:$GR$4))=0,0,((SUMIF($GI$3:$GR$3,GN$60,$GI119:$GR119))/SUMIF($GI$3:$GR$3,GN$60,$GI$4:$GR$4)))</f>
        <v>0</v>
      </c>
      <c r="GO70" s="196" t="n">
        <f aca="false">IF((SUMIF($GI$3:$GR$3,GO$60,$GI$4:$GR$4))=0,0,((SUMIF($GI$3:$GR$3,GO$60,$GI119:$GR119))/SUMIF($GI$3:$GR$3,GO$60,$GI$4:$GR$4)))</f>
        <v>0</v>
      </c>
      <c r="GP70" s="196" t="n">
        <f aca="false">IF((SUMIF($GI$3:$GR$3,GP$60,$GI$4:$GR$4))=0,0,((SUMIF($GI$3:$GR$3,GP$60,$GI119:$GR119))/SUMIF($GI$3:$GR$3,GP$60,$GI$4:$GR$4)))</f>
        <v>0</v>
      </c>
      <c r="GQ70" s="196" t="n">
        <f aca="false">IF((SUMIF($GI$3:$GR$3,GQ$60,$GI$4:$GR$4))=0,0,((SUMIF($GI$3:$GR$3,GQ$60,$GI119:$GR119))/SUMIF($GI$3:$GR$3,GQ$60,$GI$4:$GR$4)))</f>
        <v>0</v>
      </c>
      <c r="GR70" s="197" t="n">
        <f aca="false">IF((SUMIF($GI$3:$GR$3,GR$60,$GI$4:$GR$4))=0,0,((SUMIF($GI$3:$GR$3,GR$60,$GI119:$GR119))/SUMIF($GI$3:$GR$3,GR$60,$GI$4:$GR$4)))</f>
        <v>0</v>
      </c>
      <c r="GS70" s="194" t="str">
        <f aca="false">GH70</f>
        <v>Alumno9</v>
      </c>
      <c r="GT70" s="195" t="n">
        <f aca="false">IF((SUMIF($GT$3:$HC$3,GT$60,$GT$4:$HC$4))=0,0,((SUMIF($GT$3:$HC$3,GT$60,$GT119:$HC119))/SUMIF($GT$3:$HC$3,GT$60,$GT$4:$HC$4)))</f>
        <v>0</v>
      </c>
      <c r="GU70" s="196" t="n">
        <f aca="false">IF((SUMIF($GT$3:$HC$3,GU$60,$GT$4:$HC$4))=0,0,((SUMIF($GT$3:$HC$3,GU$60,$GT119:$HC119))/SUMIF($GT$3:$HC$3,GU$60,$GT$4:$HC$4)))</f>
        <v>0</v>
      </c>
      <c r="GV70" s="196" t="n">
        <f aca="false">IF((SUMIF($GT$3:$HC$3,GV$60,$GT$4:$HC$4))=0,0,((SUMIF($GT$3:$HC$3,GV$60,$GT119:$HC119))/SUMIF($GT$3:$HC$3,GV$60,$GT$4:$HC$4)))</f>
        <v>0</v>
      </c>
      <c r="GW70" s="196" t="n">
        <f aca="false">IF((SUMIF($GT$3:$HC$3,GW$60,$GT$4:$HC$4))=0,0,((SUMIF($GT$3:$HC$3,GW$60,$GT119:$HC119))/SUMIF($GT$3:$HC$3,GW$60,$GT$4:$HC$4)))</f>
        <v>0</v>
      </c>
      <c r="GX70" s="196" t="n">
        <f aca="false">IF((SUMIF($GT$3:$HC$3,GX$60,$GT$4:$HC$4))=0,0,((SUMIF($GT$3:$HC$3,GX$60,$GT119:$HC119))/SUMIF($GT$3:$HC$3,GX$60,$GT$4:$HC$4)))</f>
        <v>0</v>
      </c>
      <c r="GY70" s="196" t="n">
        <f aca="false">IF((SUMIF($GT$3:$HC$3,GY$60,$GT$4:$HC$4))=0,0,((SUMIF($GT$3:$HC$3,GY$60,$GT119:$HC119))/SUMIF($GT$3:$HC$3,GY$60,$GT$4:$HC$4)))</f>
        <v>0</v>
      </c>
      <c r="GZ70" s="196" t="n">
        <f aca="false">IF((SUMIF($GT$3:$HC$3,GZ$60,$GT$4:$HC$4))=0,0,((SUMIF($GT$3:$HC$3,GZ$60,$GT119:$HC119))/SUMIF($GT$3:$HC$3,GZ$60,$GT$4:$HC$4)))</f>
        <v>0</v>
      </c>
      <c r="HA70" s="196" t="n">
        <f aca="false">IF((SUMIF($GT$3:$HC$3,HA$60,$GT$4:$HC$4))=0,0,((SUMIF($GT$3:$HC$3,HA$60,$GT119:$HC119))/SUMIF($GT$3:$HC$3,HA$60,$GT$4:$HC$4)))</f>
        <v>0</v>
      </c>
      <c r="HB70" s="196" t="n">
        <f aca="false">IF((SUMIF($GT$3:$HC$3,HB$60,$GT$4:$HC$4))=0,0,((SUMIF($GT$3:$HC$3,HB$60,$GT119:$HC119))/SUMIF($GT$3:$HC$3,HB$60,$GT$4:$HC$4)))</f>
        <v>0</v>
      </c>
      <c r="HC70" s="197" t="n">
        <f aca="false">IF((SUMIF($GT$3:$HC$3,HC$60,$GT$4:$HC$4))=0,0,((SUMIF($GT$3:$HC$3,HC$60,$GT119:$HC119))/SUMIF($GT$3:$HC$3,HC$60,$GT$4:$HC$4)))</f>
        <v>0</v>
      </c>
      <c r="HD70" s="194" t="str">
        <f aca="false">GS70</f>
        <v>Alumno9</v>
      </c>
      <c r="HE70" s="195" t="n">
        <f aca="false">IF((SUMIF($HE$3:$HN$3,HE$60,$HE$4:$HN$4))=0,0,((SUMIF($HE$3:$HN$3,HE$60,$HE119:$HN119))/SUMIF($HE$3:$HN$3,HE$60,$HE$4:$HN$4)))</f>
        <v>0</v>
      </c>
      <c r="HF70" s="196" t="n">
        <f aca="false">IF((SUMIF($HE$3:$HN$3,HF$60,$HE$4:$HN$4))=0,0,((SUMIF($HE$3:$HN$3,HF$60,$HE119:$HN119))/SUMIF($HE$3:$HN$3,HF$60,$HE$4:$HN$4)))</f>
        <v>0</v>
      </c>
      <c r="HG70" s="196" t="n">
        <f aca="false">IF((SUMIF($HE$3:$HN$3,HG$60,$HE$4:$HN$4))=0,0,((SUMIF($HE$3:$HN$3,HG$60,$HE119:$HN119))/SUMIF($HE$3:$HN$3,HG$60,$HE$4:$HN$4)))</f>
        <v>0</v>
      </c>
      <c r="HH70" s="196" t="n">
        <f aca="false">IF((SUMIF($HE$3:$HN$3,HH$60,$HE$4:$HN$4))=0,0,((SUMIF($HE$3:$HN$3,HH$60,$HE119:$HN119))/SUMIF($HE$3:$HN$3,HH$60,$HE$4:$HN$4)))</f>
        <v>0</v>
      </c>
      <c r="HI70" s="196" t="n">
        <f aca="false">IF((SUMIF($HE$3:$HN$3,HI$60,$HE$4:$HN$4))=0,0,((SUMIF($HE$3:$HN$3,HI$60,$HE119:$HN119))/SUMIF($HE$3:$HN$3,HI$60,$HE$4:$HN$4)))</f>
        <v>0</v>
      </c>
      <c r="HJ70" s="196" t="n">
        <f aca="false">IF((SUMIF($HE$3:$HN$3,HJ$60,$HE$4:$HN$4))=0,0,((SUMIF($HE$3:$HN$3,HJ$60,$HE119:$HN119))/SUMIF($HE$3:$HN$3,HJ$60,$HE$4:$HN$4)))</f>
        <v>0</v>
      </c>
      <c r="HK70" s="196" t="n">
        <f aca="false">IF((SUMIF($HE$3:$HN$3,HK$60,$HE$4:$HN$4))=0,0,((SUMIF($HE$3:$HN$3,HK$60,$HE119:$HN119))/SUMIF($HE$3:$HN$3,HK$60,$HE$4:$HN$4)))</f>
        <v>0</v>
      </c>
      <c r="HL70" s="196" t="n">
        <f aca="false">IF((SUMIF($HE$3:$HN$3,HL$60,$HE$4:$HN$4))=0,0,((SUMIF($HE$3:$HN$3,HL$60,$HE119:$HN119))/SUMIF($HE$3:$HN$3,HL$60,$HE$4:$HN$4)))</f>
        <v>0</v>
      </c>
      <c r="HM70" s="196" t="n">
        <f aca="false">IF((SUMIF($HE$3:$HN$3,HM$60,$HE$4:$HN$4))=0,0,((SUMIF($HE$3:$HN$3,HM$60,$HE119:$HN119))/SUMIF($HE$3:$HN$3,HM$60,$HE$4:$HN$4)))</f>
        <v>0</v>
      </c>
      <c r="HN70" s="197" t="n">
        <f aca="false">IF((SUMIF($HE$3:$HN$3,HN$60,$HE$4:$HN$4))=0,0,((SUMIF($HE$3:$HN$3,HN$60,$HE119:$HN119))/SUMIF($HE$3:$HN$3,HN$60,$HE$4:$HN$4)))</f>
        <v>0</v>
      </c>
      <c r="HO70" s="194" t="str">
        <f aca="false">HD70</f>
        <v>Alumno9</v>
      </c>
      <c r="HP70" s="195" t="n">
        <f aca="false">IF((SUMIF($HP$3:$HY$3,HP$60,$HP$4:$HY$4))=0,0,((SUMIF($HP$3:$HY$3,HP$60,$HP119:$HY119))/SUMIF($HP$3:$HY$3,HP$60,$HP$4:$HY$4)))</f>
        <v>0</v>
      </c>
      <c r="HQ70" s="196" t="n">
        <f aca="false">IF((SUMIF($HP$3:$HY$3,HQ$60,$HP$4:$HY$4))=0,0,((SUMIF($HP$3:$HY$3,HQ$60,$HP119:$HY119))/SUMIF($HP$3:$HY$3,HQ$60,$HP$4:$HY$4)))</f>
        <v>0</v>
      </c>
      <c r="HR70" s="196" t="n">
        <f aca="false">IF((SUMIF($HP$3:$HY$3,HR$60,$HP$4:$HY$4))=0,0,((SUMIF($HP$3:$HY$3,HR$60,$HP119:$HY119))/SUMIF($HP$3:$HY$3,HR$60,$HP$4:$HY$4)))</f>
        <v>0</v>
      </c>
      <c r="HS70" s="196" t="n">
        <f aca="false">IF((SUMIF($HP$3:$HY$3,HS$60,$HP$4:$HY$4))=0,0,((SUMIF($HP$3:$HY$3,HS$60,$HP119:$HY119))/SUMIF($HP$3:$HY$3,HS$60,$HP$4:$HY$4)))</f>
        <v>0</v>
      </c>
      <c r="HT70" s="196" t="n">
        <f aca="false">IF((SUMIF($HP$3:$HY$3,HT$60,$HP$4:$HY$4))=0,0,((SUMIF($HP$3:$HY$3,HT$60,$HP119:$HY119))/SUMIF($HP$3:$HY$3,HT$60,$HP$4:$HY$4)))</f>
        <v>0</v>
      </c>
      <c r="HU70" s="196" t="n">
        <f aca="false">IF((SUMIF($HP$3:$HY$3,HU$60,$HP$4:$HY$4))=0,0,((SUMIF($HP$3:$HY$3,HU$60,$HP119:$HY119))/SUMIF($HP$3:$HY$3,HU$60,$HP$4:$HY$4)))</f>
        <v>0</v>
      </c>
      <c r="HV70" s="196" t="n">
        <f aca="false">IF((SUMIF($HP$3:$HY$3,HV$60,$HP$4:$HY$4))=0,0,((SUMIF($HP$3:$HY$3,HV$60,$HP119:$HY119))/SUMIF($HP$3:$HY$3,HV$60,$HP$4:$HY$4)))</f>
        <v>0</v>
      </c>
      <c r="HW70" s="196" t="n">
        <f aca="false">IF((SUMIF($HP$3:$HY$3,HW$60,$HP$4:$HY$4))=0,0,((SUMIF($HP$3:$HY$3,HW$60,$HP119:$HY119))/SUMIF($HP$3:$HY$3,HW$60,$HP$4:$HY$4)))</f>
        <v>0</v>
      </c>
      <c r="HX70" s="196" t="n">
        <f aca="false">IF((SUMIF($HP$3:$HY$3,HX$60,$HP$4:$HY$4))=0,0,((SUMIF($HP$3:$HY$3,HX$60,$HP119:$HY119))/SUMIF($HP$3:$HY$3,HX$60,$HP$4:$HY$4)))</f>
        <v>0</v>
      </c>
      <c r="HY70" s="197" t="n">
        <f aca="false">IF((SUMIF($HP$3:$HY$3,HY$60,$HP$4:$HY$4))=0,0,((SUMIF($HP$3:$HY$3,HY$60,$HP119:$HY119))/SUMIF($HP$3:$HY$3,HY$60,$HP$4:$HY$4)))</f>
        <v>0</v>
      </c>
      <c r="HZ70" s="194" t="str">
        <f aca="false">HO70</f>
        <v>Alumno9</v>
      </c>
      <c r="IA70" s="195" t="n">
        <f aca="false">IF((SUMIF($IA$3:$IJ$3,IA$60,$IA$4:$IJ$4))=0,0,((SUMIF($IA$3:$IJ$3,IA$60,$IA119:$IJ119))/SUMIF($IA$3:$IJ$3,IA$60,$IA$4:$IJ$4)))</f>
        <v>0</v>
      </c>
      <c r="IB70" s="196" t="n">
        <f aca="false">IF((SUMIF($IA$3:$IJ$3,IB$60,$IA$4:$IJ$4))=0,0,((SUMIF($IA$3:$IJ$3,IB$60,$IA119:$IJ119))/SUMIF($IA$3:$IJ$3,IB$60,$IA$4:$IJ$4)))</f>
        <v>0</v>
      </c>
      <c r="IC70" s="196" t="n">
        <f aca="false">IF((SUMIF($IA$3:$IJ$3,IC$60,$IA$4:$IJ$4))=0,0,((SUMIF($IA$3:$IJ$3,IC$60,$IA119:$IJ119))/SUMIF($IA$3:$IJ$3,IC$60,$IA$4:$IJ$4)))</f>
        <v>0</v>
      </c>
      <c r="ID70" s="196" t="n">
        <f aca="false">IF((SUMIF($IA$3:$IJ$3,ID$60,$IA$4:$IJ$4))=0,0,((SUMIF($IA$3:$IJ$3,ID$60,$IA119:$IJ119))/SUMIF($IA$3:$IJ$3,ID$60,$IA$4:$IJ$4)))</f>
        <v>0</v>
      </c>
      <c r="IE70" s="196" t="n">
        <f aca="false">IF((SUMIF($IA$3:$IJ$3,IE$60,$IA$4:$IJ$4))=0,0,((SUMIF($IA$3:$IJ$3,IE$60,$IA119:$IJ119))/SUMIF($IA$3:$IJ$3,IE$60,$IA$4:$IJ$4)))</f>
        <v>0</v>
      </c>
      <c r="IF70" s="196" t="n">
        <f aca="false">IF((SUMIF($IA$3:$IJ$3,IF$60,$IA$4:$IJ$4))=0,0,((SUMIF($IA$3:$IJ$3,IF$60,$IA119:$IJ119))/SUMIF($IA$3:$IJ$3,IF$60,$IA$4:$IJ$4)))</f>
        <v>0</v>
      </c>
      <c r="IG70" s="196" t="n">
        <f aca="false">IF((SUMIF($IA$3:$IJ$3,IG$60,$IA$4:$IJ$4))=0,0,((SUMIF($IA$3:$IJ$3,IG$60,$IA119:$IJ119))/SUMIF($IA$3:$IJ$3,IG$60,$IA$4:$IJ$4)))</f>
        <v>0</v>
      </c>
      <c r="IH70" s="196" t="n">
        <f aca="false">IF((SUMIF($IA$3:$IJ$3,IH$60,$IA$4:$IJ$4))=0,0,((SUMIF($IA$3:$IJ$3,IH$60,$IA119:$IJ119))/SUMIF($IA$3:$IJ$3,IH$60,$IA$4:$IJ$4)))</f>
        <v>0</v>
      </c>
      <c r="II70" s="196" t="n">
        <f aca="false">IF((SUMIF($IA$3:$IJ$3,II$60,$IA$4:$IJ$4))=0,0,((SUMIF($IA$3:$IJ$3,II$60,$IA119:$IJ119))/SUMIF($IA$3:$IJ$3,II$60,$IA$4:$IJ$4)))</f>
        <v>0</v>
      </c>
      <c r="IJ70" s="197" t="n">
        <f aca="false">IF((SUMIF($IA$3:$IJ$3,IJ$60,$IA$4:$IJ$4))=0,0,((SUMIF($IA$3:$IJ$3,IJ$60,$IA119:$IJ119))/SUMIF($IA$3:$IJ$3,IJ$60,$IA$4:$IJ$4)))</f>
        <v>0</v>
      </c>
      <c r="IK70" s="194" t="str">
        <f aca="false">HZ70</f>
        <v>Alumno9</v>
      </c>
      <c r="IL70" s="195" t="n">
        <f aca="false">IF((SUMIF($IL$3:$IU$3,IL$60,$IL$4:$IU$4))=0,0,((SUMIF($IL$3:$IU$3,IL$60,$IL119:$IU119))/SUMIF($IL$3:$IU$3,IL$60,$IL$4:$IU$4)))</f>
        <v>0</v>
      </c>
      <c r="IM70" s="196" t="n">
        <f aca="false">IF((SUMIF($IL$3:$IU$3,IM$60,$IL$4:$IU$4))=0,0,((SUMIF($IL$3:$IU$3,IM$60,$IL119:$IU119))/SUMIF($IL$3:$IU$3,IM$60,$IL$4:$IU$4)))</f>
        <v>0</v>
      </c>
      <c r="IN70" s="196" t="n">
        <f aca="false">IF((SUMIF($IL$3:$IU$3,IN$60,$IL$4:$IU$4))=0,0,((SUMIF($IL$3:$IU$3,IN$60,$IL119:$IU119))/SUMIF($IL$3:$IU$3,IN$60,$IL$4:$IU$4)))</f>
        <v>0</v>
      </c>
      <c r="IO70" s="196" t="n">
        <f aca="false">IF((SUMIF($IL$3:$IU$3,IO$60,$IL$4:$IU$4))=0,0,((SUMIF($IL$3:$IU$3,IO$60,$IL119:$IU119))/SUMIF($IL$3:$IU$3,IO$60,$IL$4:$IU$4)))</f>
        <v>0</v>
      </c>
      <c r="IP70" s="196" t="n">
        <f aca="false">IF((SUMIF($IL$3:$IU$3,IP$60,$IL$4:$IU$4))=0,0,((SUMIF($IL$3:$IU$3,IP$60,$IL119:$IU119))/SUMIF($IL$3:$IU$3,IP$60,$IL$4:$IU$4)))</f>
        <v>0</v>
      </c>
      <c r="IQ70" s="196" t="n">
        <f aca="false">IF((SUMIF($IL$3:$IU$3,IQ$60,$IL$4:$IU$4))=0,0,((SUMIF($IL$3:$IU$3,IQ$60,$IL119:$IU119))/SUMIF($IL$3:$IU$3,IQ$60,$IL$4:$IU$4)))</f>
        <v>0</v>
      </c>
      <c r="IR70" s="196" t="n">
        <f aca="false">IF((SUMIF($IL$3:$IU$3,IR$60,$IL$4:$IU$4))=0,0,((SUMIF($IL$3:$IU$3,IR$60,$IL119:$IU119))/SUMIF($IL$3:$IU$3,IR$60,$IL$4:$IU$4)))</f>
        <v>0</v>
      </c>
      <c r="IS70" s="196" t="n">
        <f aca="false">IF((SUMIF($IL$3:$IU$3,IS$60,$IL$4:$IU$4))=0,0,((SUMIF($IL$3:$IU$3,IS$60,$IL119:$IU119))/SUMIF($IL$3:$IU$3,IS$60,$IL$4:$IU$4)))</f>
        <v>0</v>
      </c>
      <c r="IT70" s="196" t="n">
        <f aca="false">IF((SUMIF($IL$3:$IU$3,IT$60,$IL$4:$IU$4))=0,0,((SUMIF($IL$3:$IU$3,IT$60,$IL119:$IU119))/SUMIF($IL$3:$IU$3,IT$60,$IL$4:$IU$4)))</f>
        <v>0</v>
      </c>
      <c r="IU70" s="197" t="n">
        <f aca="false">IF((SUMIF($IL$3:$IU$3,IU$60,$IL$4:$IU$4))=0,0,((SUMIF($IL$3:$IU$3,IU$60,$IL119:$IU119))/SUMIF($IL$3:$IU$3,IU$60,$IL$4:$IU$4)))</f>
        <v>0</v>
      </c>
      <c r="IV70" s="194" t="str">
        <f aca="false">IK70</f>
        <v>Alumno9</v>
      </c>
      <c r="IW70" s="195" t="n">
        <f aca="false">IF((SUMIF($IW$3:$JF$3,IW$60,$IW$4:$JF$4))=0,0,((SUMIF($IW$3:$JF$3,IW$60,$IW119:$JF119))/SUMIF($IW$3:$JF$3,IW$60,$IW$4:$JF$4)))</f>
        <v>0</v>
      </c>
      <c r="IX70" s="196" t="n">
        <f aca="false">IF((SUMIF($IW$3:$JF$3,IX$60,$IW$4:$JF$4))=0,0,((SUMIF($IW$3:$JF$3,IX$60,$IW119:$JF119))/SUMIF($IW$3:$JF$3,IX$60,$IW$4:$JF$4)))</f>
        <v>0</v>
      </c>
      <c r="IY70" s="196" t="n">
        <f aca="false">IF((SUMIF($IW$3:$JF$3,IY$60,$IW$4:$JF$4))=0,0,((SUMIF($IW$3:$JF$3,IY$60,$IW119:$JF119))/SUMIF($IW$3:$JF$3,IY$60,$IW$4:$JF$4)))</f>
        <v>0</v>
      </c>
      <c r="IZ70" s="196" t="n">
        <f aca="false">IF((SUMIF($IW$3:$JF$3,IZ$60,$IW$4:$JF$4))=0,0,((SUMIF($IW$3:$JF$3,IZ$60,$IW119:$JF119))/SUMIF($IW$3:$JF$3,IZ$60,$IW$4:$JF$4)))</f>
        <v>0</v>
      </c>
      <c r="JA70" s="196" t="n">
        <f aca="false">IF((SUMIF($IW$3:$JF$3,JA$60,$IW$4:$JF$4))=0,0,((SUMIF($IW$3:$JF$3,JA$60,$IW119:$JF119))/SUMIF($IW$3:$JF$3,JA$60,$IW$4:$JF$4)))</f>
        <v>0</v>
      </c>
      <c r="JB70" s="196" t="n">
        <f aca="false">IF((SUMIF($IW$3:$JF$3,JB$60,$IW$4:$JF$4))=0,0,((SUMIF($IW$3:$JF$3,JB$60,$IW119:$JF119))/SUMIF($IW$3:$JF$3,JB$60,$IW$4:$JF$4)))</f>
        <v>0</v>
      </c>
      <c r="JC70" s="196" t="n">
        <f aca="false">IF((SUMIF($IW$3:$JF$3,JC$60,$IW$4:$JF$4))=0,0,((SUMIF($IW$3:$JF$3,JC$60,$IW119:$JF119))/SUMIF($IW$3:$JF$3,JC$60,$IW$4:$JF$4)))</f>
        <v>0</v>
      </c>
      <c r="JD70" s="196" t="n">
        <f aca="false">IF((SUMIF($IW$3:$JF$3,JD$60,$IW$4:$JF$4))=0,0,((SUMIF($IW$3:$JF$3,JD$60,$IW119:$JF119))/SUMIF($IW$3:$JF$3,JD$60,$IW$4:$JF$4)))</f>
        <v>0</v>
      </c>
      <c r="JE70" s="196" t="n">
        <f aca="false">IF((SUMIF($IW$3:$JF$3,JE$60,$IW$4:$JF$4))=0,0,((SUMIF($IW$3:$JF$3,JE$60,$IW119:$JF119))/SUMIF($IW$3:$JF$3,JE$60,$IW$4:$JF$4)))</f>
        <v>0</v>
      </c>
      <c r="JF70" s="197" t="n">
        <f aca="false">IF((SUMIF($IW$3:$JF$3,JF$60,$IW$4:$JF$4))=0,0,((SUMIF($IW$3:$JF$3,JF$60,$IW119:$JF119))/SUMIF($IW$3:$JF$3,JF$60,$IW$4:$JF$4)))</f>
        <v>0</v>
      </c>
      <c r="JG70" s="194" t="str">
        <f aca="false">IV70</f>
        <v>Alumno9</v>
      </c>
      <c r="JH70" s="195" t="n">
        <f aca="false">IF((SUMIF($JH$3:$JQ$3,JH$60,$JH$4:$JQ$4))=0,0,((SUMIF($JH$3:$JQ$3,JH$60,$JH119:$JQ119))/SUMIF($JH$3:$JQ$3,JH$60,$JH$4:$JQ$4)))</f>
        <v>0</v>
      </c>
      <c r="JI70" s="196" t="n">
        <f aca="false">IF((SUMIF($JH$3:$JQ$3,JI$60,$JH$4:$JQ$4))=0,0,((SUMIF($JH$3:$JQ$3,JI$60,$JH119:$JQ119))/SUMIF($JH$3:$JQ$3,JI$60,$JH$4:$JQ$4)))</f>
        <v>0</v>
      </c>
      <c r="JJ70" s="196" t="n">
        <f aca="false">IF((SUMIF($JH$3:$JQ$3,JJ$60,$JH$4:$JQ$4))=0,0,((SUMIF($JH$3:$JQ$3,JJ$60,$JH119:$JQ119))/SUMIF($JH$3:$JQ$3,JJ$60,$JH$4:$JQ$4)))</f>
        <v>0</v>
      </c>
      <c r="JK70" s="196" t="n">
        <f aca="false">IF((SUMIF($JH$3:$JQ$3,JK$60,$JH$4:$JQ$4))=0,0,((SUMIF($JH$3:$JQ$3,JK$60,$JH119:$JQ119))/SUMIF($JH$3:$JQ$3,JK$60,$JH$4:$JQ$4)))</f>
        <v>0</v>
      </c>
      <c r="JL70" s="196" t="n">
        <f aca="false">IF((SUMIF($JH$3:$JQ$3,JL$60,$JH$4:$JQ$4))=0,0,((SUMIF($JH$3:$JQ$3,JL$60,$JH119:$JQ119))/SUMIF($JH$3:$JQ$3,JL$60,$JH$4:$JQ$4)))</f>
        <v>0</v>
      </c>
      <c r="JM70" s="196" t="n">
        <f aca="false">IF((SUMIF($JH$3:$JQ$3,JM$60,$JH$4:$JQ$4))=0,0,((SUMIF($JH$3:$JQ$3,JM$60,$JH119:$JQ119))/SUMIF($JH$3:$JQ$3,JM$60,$JH$4:$JQ$4)))</f>
        <v>0</v>
      </c>
      <c r="JN70" s="196" t="n">
        <f aca="false">IF((SUMIF($JH$3:$JQ$3,JN$60,$JH$4:$JQ$4))=0,0,((SUMIF($JH$3:$JQ$3,JN$60,$JH119:$JQ119))/SUMIF($JH$3:$JQ$3,JN$60,$JH$4:$JQ$4)))</f>
        <v>0</v>
      </c>
      <c r="JO70" s="196" t="n">
        <f aca="false">IF((SUMIF($JH$3:$JQ$3,JO$60,$JH$4:$JQ$4))=0,0,((SUMIF($JH$3:$JQ$3,JO$60,$JH119:$JQ119))/SUMIF($JH$3:$JQ$3,JO$60,$JH$4:$JQ$4)))</f>
        <v>0</v>
      </c>
      <c r="JP70" s="196" t="n">
        <f aca="false">IF((SUMIF($JH$3:$JQ$3,JP$60,$JH$4:$JQ$4))=0,0,((SUMIF($JH$3:$JQ$3,JP$60,$JH119:$JQ119))/SUMIF($JH$3:$JQ$3,JP$60,$JH$4:$JQ$4)))</f>
        <v>0</v>
      </c>
      <c r="JQ70" s="197" t="n">
        <f aca="false">IF((SUMIF($JH$3:$JQ$3,JQ$60,$JH$4:$JQ$4))=0,0,((SUMIF($JH$3:$JQ$3,JQ$60,$JH119:$JQ119))/SUMIF($JH$3:$JQ$3,JQ$60,$JH$4:$JQ$4)))</f>
        <v>0</v>
      </c>
      <c r="JR70" s="194" t="str">
        <f aca="false">JG70</f>
        <v>Alumno9</v>
      </c>
      <c r="JS70" s="195" t="n">
        <f aca="false">IF((SUMIF($JS$3:$KB$3,JS$60,$JS$4:$KB$4))=0,0,((SUMIF($JS$3:$KB$3,JS$60,$JS119:$KB119))/SUMIF($JS$3:$KB$3,JS$60,$JS$4:$KB$4)))</f>
        <v>0</v>
      </c>
      <c r="JT70" s="196" t="n">
        <f aca="false">IF((SUMIF($JS$3:$KB$3,JT$60,$JS$4:$KB$4))=0,0,((SUMIF($JS$3:$KB$3,JT$60,$JS119:$KB119))/SUMIF($JS$3:$KB$3,JT$60,$JS$4:$KB$4)))</f>
        <v>0</v>
      </c>
      <c r="JU70" s="196" t="n">
        <f aca="false">IF((SUMIF($JS$3:$KB$3,JU$60,$JS$4:$KB$4))=0,0,((SUMIF($JS$3:$KB$3,JU$60,$JS119:$KB119))/SUMIF($JS$3:$KB$3,JU$60,$JS$4:$KB$4)))</f>
        <v>0</v>
      </c>
      <c r="JV70" s="196" t="n">
        <f aca="false">IF((SUMIF($JS$3:$KB$3,JV$60,$JS$4:$KB$4))=0,0,((SUMIF($JS$3:$KB$3,JV$60,$JS119:$KB119))/SUMIF($JS$3:$KB$3,JV$60,$JS$4:$KB$4)))</f>
        <v>0</v>
      </c>
      <c r="JW70" s="196" t="n">
        <f aca="false">IF((SUMIF($JS$3:$KB$3,JW$60,$JS$4:$KB$4))=0,0,((SUMIF($JS$3:$KB$3,JW$60,$JS119:$KB119))/SUMIF($JS$3:$KB$3,JW$60,$JS$4:$KB$4)))</f>
        <v>0</v>
      </c>
      <c r="JX70" s="196" t="n">
        <f aca="false">IF((SUMIF($JS$3:$KB$3,JX$60,$JS$4:$KB$4))=0,0,((SUMIF($JS$3:$KB$3,JX$60,$JS119:$KB119))/SUMIF($JS$3:$KB$3,JX$60,$JS$4:$KB$4)))</f>
        <v>0</v>
      </c>
      <c r="JY70" s="196" t="n">
        <f aca="false">IF((SUMIF($JS$3:$KB$3,JY$60,$JS$4:$KB$4))=0,0,((SUMIF($JS$3:$KB$3,JY$60,$JS119:$KB119))/SUMIF($JS$3:$KB$3,JY$60,$JS$4:$KB$4)))</f>
        <v>0</v>
      </c>
      <c r="JZ70" s="196" t="n">
        <f aca="false">IF((SUMIF($JS$3:$KB$3,JZ$60,$JS$4:$KB$4))=0,0,((SUMIF($JS$3:$KB$3,JZ$60,$JS119:$KB119))/SUMIF($JS$3:$KB$3,JZ$60,$JS$4:$KB$4)))</f>
        <v>0</v>
      </c>
      <c r="KA70" s="196" t="n">
        <f aca="false">IF((SUMIF($JS$3:$KB$3,KA$60,$JS$4:$KB$4))=0,0,((SUMIF($JS$3:$KB$3,KA$60,$JS119:$KB119))/SUMIF($JS$3:$KB$3,KA$60,$JS$4:$KB$4)))</f>
        <v>0</v>
      </c>
      <c r="KB70" s="197" t="n">
        <f aca="false">IF((SUMIF($JS$3:$KB$3,KB$60,$JS$4:$KB$4))=0,0,((SUMIF($JS$3:$KB$3,KB$60,$JS119:$KB119))/SUMIF($JS$3:$KB$3,KB$60,$JS$4:$KB$4)))</f>
        <v>0</v>
      </c>
      <c r="KC70" s="194" t="str">
        <f aca="false">JR70</f>
        <v>Alumno9</v>
      </c>
      <c r="KD70" s="195" t="n">
        <f aca="false">IF((SUMIF($KD$3:$KM$3,KD$60,$KD$4:$KM$4))=0,0,((SUMIF($KD$3:$KM$3,KD$60,$KD119:$KM119))/SUMIF($KD$3:$KM$3,KD$60,$KD$4:$KM$4)))</f>
        <v>0</v>
      </c>
      <c r="KE70" s="196" t="n">
        <f aca="false">IF((SUMIF($KD$3:$KM$3,KE$60,$KD$4:$KM$4))=0,0,((SUMIF($KD$3:$KM$3,KE$60,$KD119:$KM119))/SUMIF($KD$3:$KM$3,KE$60,$KD$4:$KM$4)))</f>
        <v>0</v>
      </c>
      <c r="KF70" s="196" t="n">
        <f aca="false">IF((SUMIF($KD$3:$KM$3,KF$60,$KD$4:$KM$4))=0,0,((SUMIF($KD$3:$KM$3,KF$60,$KD119:$KM119))/SUMIF($KD$3:$KM$3,KF$60,$KD$4:$KM$4)))</f>
        <v>0</v>
      </c>
      <c r="KG70" s="196" t="n">
        <f aca="false">IF((SUMIF($KD$3:$KM$3,KG$60,$KD$4:$KM$4))=0,0,((SUMIF($KD$3:$KM$3,KG$60,$KD119:$KM119))/SUMIF($KD$3:$KM$3,KG$60,$KD$4:$KM$4)))</f>
        <v>0</v>
      </c>
      <c r="KH70" s="196" t="n">
        <f aca="false">IF((SUMIF($KD$3:$KM$3,KH$60,$KD$4:$KM$4))=0,0,((SUMIF($KD$3:$KM$3,KH$60,$KD119:$KM119))/SUMIF($KD$3:$KM$3,KH$60,$KD$4:$KM$4)))</f>
        <v>0</v>
      </c>
      <c r="KI70" s="196" t="n">
        <f aca="false">IF((SUMIF($KD$3:$KM$3,KI$60,$KD$4:$KM$4))=0,0,((SUMIF($KD$3:$KM$3,KI$60,$KD119:$KM119))/SUMIF($KD$3:$KM$3,KI$60,$KD$4:$KM$4)))</f>
        <v>0</v>
      </c>
      <c r="KJ70" s="196" t="n">
        <f aca="false">IF((SUMIF($KD$3:$KM$3,KJ$60,$KD$4:$KM$4))=0,0,((SUMIF($KD$3:$KM$3,KJ$60,$KD119:$KM119))/SUMIF($KD$3:$KM$3,KJ$60,$KD$4:$KM$4)))</f>
        <v>0</v>
      </c>
      <c r="KK70" s="196" t="n">
        <f aca="false">IF((SUMIF($KD$3:$KM$3,KK$60,$KD$4:$KM$4))=0,0,((SUMIF($KD$3:$KM$3,KK$60,$KD119:$KM119))/SUMIF($KD$3:$KM$3,KK$60,$KD$4:$KM$4)))</f>
        <v>0</v>
      </c>
      <c r="KL70" s="196" t="n">
        <f aca="false">IF((SUMIF($KD$3:$KM$3,KL$60,$KD$4:$KM$4))=0,0,((SUMIF($KD$3:$KM$3,KL$60,$KD119:$KM119))/SUMIF($KD$3:$KM$3,KL$60,$KD$4:$KM$4)))</f>
        <v>0</v>
      </c>
      <c r="KM70" s="197" t="n">
        <f aca="false">IF((SUMIF($KD$3:$KM$3,KM$60,$KD$4:$KM$4))=0,0,((SUMIF($KD$3:$KM$3,KM$60,$KD119:$KM119))/SUMIF($KD$3:$KM$3,KM$60,$KD$4:$KM$4)))</f>
        <v>0</v>
      </c>
      <c r="KN70" s="194" t="str">
        <f aca="false">KC70</f>
        <v>Alumno9</v>
      </c>
      <c r="KO70" s="195" t="n">
        <f aca="false">IF((SUMIF($KO$3:$KX$3,KO$60,$KO$4:$KX$4))=0,0,((SUMIF($KO$3:$KX$3,KO$60,$KO119:$KX119))/SUMIF($KO$3:$KX$3,KO$60,$KO$4:$KX$4)))</f>
        <v>0</v>
      </c>
      <c r="KP70" s="196" t="n">
        <f aca="false">IF((SUMIF($KO$3:$KX$3,KP$60,$KO$4:$KX$4))=0,0,((SUMIF($KO$3:$KX$3,KP$60,$KO119:$KX119))/SUMIF($KO$3:$KX$3,KP$60,$KO$4:$KX$4)))</f>
        <v>0</v>
      </c>
      <c r="KQ70" s="196" t="n">
        <f aca="false">IF((SUMIF($KO$3:$KX$3,KQ$60,$KO$4:$KX$4))=0,0,((SUMIF($KO$3:$KX$3,KQ$60,$KO119:$KX119))/SUMIF($KO$3:$KX$3,KQ$60,$KO$4:$KX$4)))</f>
        <v>0</v>
      </c>
      <c r="KR70" s="196" t="n">
        <f aca="false">IF((SUMIF($KO$3:$KX$3,KR$60,$KO$4:$KX$4))=0,0,((SUMIF($KO$3:$KX$3,KR$60,$KO119:$KX119))/SUMIF($KO$3:$KX$3,KR$60,$KO$4:$KX$4)))</f>
        <v>0</v>
      </c>
      <c r="KS70" s="196" t="n">
        <f aca="false">IF((SUMIF($KO$3:$KX$3,KS$60,$KO$4:$KX$4))=0,0,((SUMIF($KO$3:$KX$3,KS$60,$KO119:$KX119))/SUMIF($KO$3:$KX$3,KS$60,$KO$4:$KX$4)))</f>
        <v>0</v>
      </c>
      <c r="KT70" s="196" t="n">
        <f aca="false">IF((SUMIF($KO$3:$KX$3,KT$60,$KO$4:$KX$4))=0,0,((SUMIF($KO$3:$KX$3,KT$60,$KO119:$KX119))/SUMIF($KO$3:$KX$3,KT$60,$KO$4:$KX$4)))</f>
        <v>0</v>
      </c>
      <c r="KU70" s="196" t="n">
        <f aca="false">IF((SUMIF($KO$3:$KX$3,KU$60,$KO$4:$KX$4))=0,0,((SUMIF($KO$3:$KX$3,KU$60,$KO119:$KX119))/SUMIF($KO$3:$KX$3,KU$60,$KO$4:$KX$4)))</f>
        <v>0</v>
      </c>
      <c r="KV70" s="196" t="n">
        <f aca="false">IF((SUMIF($KO$3:$KX$3,KV$60,$KO$4:$KX$4))=0,0,((SUMIF($KO$3:$KX$3,KV$60,$KO119:$KX119))/SUMIF($KO$3:$KX$3,KV$60,$KO$4:$KX$4)))</f>
        <v>0</v>
      </c>
      <c r="KW70" s="196" t="n">
        <f aca="false">IF((SUMIF($KO$3:$KX$3,KW$60,$KO$4:$KX$4))=0,0,((SUMIF($KO$3:$KX$3,KW$60,$KO119:$KX119))/SUMIF($KO$3:$KX$3,KW$60,$KO$4:$KX$4)))</f>
        <v>0</v>
      </c>
      <c r="KX70" s="197" t="n">
        <f aca="false">IF((SUMIF($KO$3:$KX$3,KX$60,$KO$4:$KX$4))=0,0,((SUMIF($KO$3:$KX$3,KX$60,$KO119:$KX119))/SUMIF($KO$3:$KX$3,KX$60,$KO$4:$KX$4)))</f>
        <v>0</v>
      </c>
      <c r="KY70" s="194" t="str">
        <f aca="false">KN70</f>
        <v>Alumno9</v>
      </c>
      <c r="KZ70" s="195" t="n">
        <f aca="false">IF((SUMIF($KZ$3:$LI$3,KZ$60,$KZ$4:$LI$4))=0,0,((SUMIF($KZ$3:$LI$3,KZ$60,$KZ119:$LI119))/SUMIF($KZ$3:$LI$3,KZ$60,$KZ$4:$LI$4)))</f>
        <v>0</v>
      </c>
      <c r="LA70" s="196" t="n">
        <f aca="false">IF((SUMIF($KZ$3:$LI$3,LA$60,$KZ$4:$LI$4))=0,0,((SUMIF($KZ$3:$LI$3,LA$60,$KZ119:$LI119))/SUMIF($KZ$3:$LI$3,LA$60,$KZ$4:$LI$4)))</f>
        <v>0</v>
      </c>
      <c r="LB70" s="196" t="n">
        <f aca="false">IF((SUMIF($KZ$3:$LI$3,LB$60,$KZ$4:$LI$4))=0,0,((SUMIF($KZ$3:$LI$3,LB$60,$KZ119:$LI119))/SUMIF($KZ$3:$LI$3,LB$60,$KZ$4:$LI$4)))</f>
        <v>0</v>
      </c>
      <c r="LC70" s="196" t="n">
        <f aca="false">IF((SUMIF($KZ$3:$LI$3,LC$60,$KZ$4:$LI$4))=0,0,((SUMIF($KZ$3:$LI$3,LC$60,$KZ119:$LI119))/SUMIF($KZ$3:$LI$3,LC$60,$KZ$4:$LI$4)))</f>
        <v>0</v>
      </c>
      <c r="LD70" s="196" t="n">
        <f aca="false">IF((SUMIF($KZ$3:$LI$3,LD$60,$KZ$4:$LI$4))=0,0,((SUMIF($KZ$3:$LI$3,LD$60,$KZ119:$LI119))/SUMIF($KZ$3:$LI$3,LD$60,$KZ$4:$LI$4)))</f>
        <v>0</v>
      </c>
      <c r="LE70" s="196" t="n">
        <f aca="false">IF((SUMIF($KZ$3:$LI$3,LE$60,$KZ$4:$LI$4))=0,0,((SUMIF($KZ$3:$LI$3,LE$60,$KZ119:$LI119))/SUMIF($KZ$3:$LI$3,LE$60,$KZ$4:$LI$4)))</f>
        <v>0</v>
      </c>
      <c r="LF70" s="196" t="n">
        <f aca="false">IF((SUMIF($KZ$3:$LI$3,LF$60,$KZ$4:$LI$4))=0,0,((SUMIF($KZ$3:$LI$3,LF$60,$KZ119:$LI119))/SUMIF($KZ$3:$LI$3,LF$60,$KZ$4:$LI$4)))</f>
        <v>0</v>
      </c>
      <c r="LG70" s="196" t="n">
        <f aca="false">IF((SUMIF($KZ$3:$LI$3,LG$60,$KZ$4:$LI$4))=0,0,((SUMIF($KZ$3:$LI$3,LG$60,$KZ119:$LI119))/SUMIF($KZ$3:$LI$3,LG$60,$KZ$4:$LI$4)))</f>
        <v>0</v>
      </c>
      <c r="LH70" s="196" t="n">
        <f aca="false">IF((SUMIF($KZ$3:$LI$3,LH$60,$KZ$4:$LI$4))=0,0,((SUMIF($KZ$3:$LI$3,LH$60,$KZ119:$LI119))/SUMIF($KZ$3:$LI$3,LH$60,$KZ$4:$LI$4)))</f>
        <v>0</v>
      </c>
      <c r="LI70" s="197" t="n">
        <f aca="false">IF((SUMIF($KZ$3:$LI$3,LI$60,$KZ$4:$LI$4))=0,0,((SUMIF($KZ$3:$LI$3,LI$60,$KZ119:$LI119))/SUMIF($KZ$3:$LI$3,LI$60,$KZ$4:$LI$4)))</f>
        <v>0</v>
      </c>
      <c r="LJ70" s="194" t="str">
        <f aca="false">KY70</f>
        <v>Alumno9</v>
      </c>
      <c r="LK70" s="195" t="n">
        <f aca="false">IF((SUMIF($LK$3:$LT$3,LK$60,$LK$4:$LT$4))=0,0,((SUMIF($LK$3:$LT$3,LK$60,$LK119:$LT119))/SUMIF($LK$3:$LT$3,LK$60,$LK$4:$LT$4)))</f>
        <v>0</v>
      </c>
      <c r="LL70" s="196" t="n">
        <f aca="false">IF((SUMIF($LK$3:$LT$3,LL$60,$LK$4:$LT$4))=0,0,((SUMIF($LK$3:$LT$3,LL$60,$LK119:$LT119))/SUMIF($LK$3:$LT$3,LL$60,$LK$4:$LT$4)))</f>
        <v>0</v>
      </c>
      <c r="LM70" s="196" t="n">
        <f aca="false">IF((SUMIF($LK$3:$LT$3,LM$60,$LK$4:$LT$4))=0,0,((SUMIF($LK$3:$LT$3,LM$60,$LK119:$LT119))/SUMIF($LK$3:$LT$3,LM$60,$LK$4:$LT$4)))</f>
        <v>0</v>
      </c>
      <c r="LN70" s="196" t="n">
        <f aca="false">IF((SUMIF($LK$3:$LT$3,LN$60,$LK$4:$LT$4))=0,0,((SUMIF($LK$3:$LT$3,LN$60,$LK119:$LT119))/SUMIF($LK$3:$LT$3,LN$60,$LK$4:$LT$4)))</f>
        <v>0</v>
      </c>
      <c r="LO70" s="196" t="n">
        <f aca="false">IF((SUMIF($LK$3:$LT$3,LO$60,$LK$4:$LT$4))=0,0,((SUMIF($LK$3:$LT$3,LO$60,$LK119:$LT119))/SUMIF($LK$3:$LT$3,LO$60,$LK$4:$LT$4)))</f>
        <v>0</v>
      </c>
      <c r="LP70" s="196" t="n">
        <f aca="false">IF((SUMIF($LK$3:$LT$3,LP$60,$LK$4:$LT$4))=0,0,((SUMIF($LK$3:$LT$3,LP$60,$LK119:$LT119))/SUMIF($LK$3:$LT$3,LP$60,$LK$4:$LT$4)))</f>
        <v>0</v>
      </c>
      <c r="LQ70" s="196" t="n">
        <f aca="false">IF((SUMIF($LK$3:$LT$3,LQ$60,$LK$4:$LT$4))=0,0,((SUMIF($LK$3:$LT$3,LQ$60,$LK119:$LT119))/SUMIF($LK$3:$LT$3,LQ$60,$LK$4:$LT$4)))</f>
        <v>0</v>
      </c>
      <c r="LR70" s="196" t="n">
        <f aca="false">IF((SUMIF($LK$3:$LT$3,LR$60,$LK$4:$LT$4))=0,0,((SUMIF($LK$3:$LT$3,LR$60,$LK119:$LT119))/SUMIF($LK$3:$LT$3,LR$60,$LK$4:$LT$4)))</f>
        <v>0</v>
      </c>
      <c r="LS70" s="196" t="n">
        <f aca="false">IF((SUMIF($LK$3:$LT$3,LS$60,$LK$4:$LT$4))=0,0,((SUMIF($LK$3:$LT$3,LS$60,$LK119:$LT119))/SUMIF($LK$3:$LT$3,LS$60,$LK$4:$LT$4)))</f>
        <v>0</v>
      </c>
      <c r="LT70" s="197" t="n">
        <f aca="false">IF((SUMIF($LK$3:$LT$3,LT$60,$LK$4:$LT$4))=0,0,((SUMIF($LK$3:$LT$3,LT$60,$LK119:$LT119))/SUMIF($LK$3:$LT$3,LT$60,$LK$4:$LT$4)))</f>
        <v>0</v>
      </c>
    </row>
    <row r="71" customFormat="false" ht="15" hidden="true" customHeight="false" outlineLevel="0" collapsed="false">
      <c r="C71" s="194" t="str">
        <f aca="false">B15</f>
        <v>Alumno10</v>
      </c>
      <c r="D71" s="195" t="n">
        <f aca="false">IF((SUMIF($D$3:$M$3,D$60,$D$4:$M$4))=0,0,((SUMIF($D$3:$M$3,D$60,$D120:$M120))/SUMIF($D$3:$M$3,D$60,$D$4:$M$4)))</f>
        <v>5</v>
      </c>
      <c r="E71" s="196" t="n">
        <f aca="false">IF((SUMIF($D$3:$M$3,E$60,$D$4:$M$4))=0,0,((SUMIF($D$3:$M$3,E$60,$D120:$M120))/SUMIF($D$3:$M$3,E$60,$D$4:$M$4)))</f>
        <v>0</v>
      </c>
      <c r="F71" s="196" t="n">
        <f aca="false">IF((SUMIF($D$3:$M$3,F$60,$D$4:$M$4))=0,0,((SUMIF($D$3:$M$3,F$60,$D120:$M120))/SUMIF($D$3:$M$3,F$60,$D$4:$M$4)))</f>
        <v>0</v>
      </c>
      <c r="G71" s="196" t="n">
        <f aca="false">IF((SUMIF($D$3:$M$3,G$60,$D$4:$M$4))=0,0,((SUMIF($D$3:$M$3,G$60,$D120:$M120))/SUMIF($D$3:$M$3,G$60,$D$4:$M$4)))</f>
        <v>0</v>
      </c>
      <c r="H71" s="196" t="n">
        <f aca="false">IF((SUMIF($D$3:$M$3,H$60,$D$4:$M$4))=0,0,((SUMIF($D$3:$M$3,H$60,$D120:$M120))/SUMIF($D$3:$M$3,H$60,$D$4:$M$4)))</f>
        <v>0</v>
      </c>
      <c r="I71" s="196" t="n">
        <f aca="false">IF((SUMIF($D$3:$M$3,I$60,$D$4:$M$4))=0,0,((SUMIF($D$3:$M$3,I$60,$D120:$M120))/SUMIF($D$3:$M$3,I$60,$D$4:$M$4)))</f>
        <v>0</v>
      </c>
      <c r="J71" s="196" t="n">
        <f aca="false">IF((SUMIF($D$3:$M$3,J$60,$D$4:$M$4))=0,0,((SUMIF($D$3:$M$3,J$60,$D120:$M120))/SUMIF($D$3:$M$3,J$60,$D$4:$M$4)))</f>
        <v>0</v>
      </c>
      <c r="K71" s="196" t="n">
        <f aca="false">IF((SUMIF($D$3:$M$3,K$60,$D$4:$M$4))=0,0,((SUMIF($D$3:$M$3,K$60,$D120:$M120))/SUMIF($D$3:$M$3,K$60,$D$4:$M$4)))</f>
        <v>0</v>
      </c>
      <c r="L71" s="196" t="n">
        <f aca="false">IF((SUMIF($D$3:$M$3,L$60,$D$4:$M$4))=0,0,((SUMIF($D$3:$M$3,L$60,$D120:$M120))/SUMIF($D$3:$M$3,L$60,$D$4:$M$4)))</f>
        <v>0</v>
      </c>
      <c r="M71" s="197" t="n">
        <f aca="false">IF((SUMIF($D$3:$M$3,M$60,$D$4:$M$4))=0,0,((SUMIF($D$3:$M$3,M$60,$D120:$M120))/SUMIF($D$3:$M$3,M$60,$D$4:$M$4)))</f>
        <v>0</v>
      </c>
      <c r="N71" s="194" t="str">
        <f aca="false">C71</f>
        <v>Alumno10</v>
      </c>
      <c r="O71" s="195" t="n">
        <f aca="false">IF((SUMIF($O$3:$X$3,O$60,$O$4:$X$4))=0,0,((SUMIF($O$3:$X$3,O$60,$O120:$X120))/SUMIF($O$3:$X$3,O$60,$O$4:$X$4)))</f>
        <v>5</v>
      </c>
      <c r="P71" s="196" t="n">
        <f aca="false">IF((SUMIF($O$3:$X$3,P$60,$O$4:$X$4))=0,0,((SUMIF($O$3:$X$3,P$60,$O120:$X120))/SUMIF($O$3:$X$3,P$60,$O$4:$X$4)))</f>
        <v>5</v>
      </c>
      <c r="Q71" s="196" t="n">
        <f aca="false">IF((SUMIF($O$3:$X$3,Q$60,$O$4:$X$4))=0,0,((SUMIF($O$3:$X$3,Q$60,$O120:$X120))/SUMIF($O$3:$X$3,Q$60,$O$4:$X$4)))</f>
        <v>0</v>
      </c>
      <c r="R71" s="196" t="n">
        <f aca="false">IF((SUMIF($O$3:$X$3,R$60,$O$4:$X$4))=0,0,((SUMIF($O$3:$X$3,R$60,$O120:$X120))/SUMIF($O$3:$X$3,R$60,$O$4:$X$4)))</f>
        <v>0</v>
      </c>
      <c r="S71" s="196" t="n">
        <f aca="false">IF((SUMIF($O$3:$X$3,S$60,$O$4:$X$4))=0,0,((SUMIF($O$3:$X$3,S$60,$O120:$X120))/SUMIF($O$3:$X$3,S$60,$O$4:$X$4)))</f>
        <v>0</v>
      </c>
      <c r="T71" s="196" t="n">
        <f aca="false">IF((SUMIF($O$3:$X$3,T$60,$O$4:$X$4))=0,0,((SUMIF($O$3:$X$3,T$60,$O120:$X120))/SUMIF($O$3:$X$3,T$60,$O$4:$X$4)))</f>
        <v>0</v>
      </c>
      <c r="U71" s="196" t="n">
        <f aca="false">IF((SUMIF($O$3:$X$3,U$60,$O$4:$X$4))=0,0,((SUMIF($O$3:$X$3,U$60,$O120:$X120))/SUMIF($O$3:$X$3,U$60,$O$4:$X$4)))</f>
        <v>0</v>
      </c>
      <c r="V71" s="196" t="n">
        <f aca="false">IF((SUMIF($O$3:$X$3,V$60,$O$4:$X$4))=0,0,((SUMIF($O$3:$X$3,V$60,$O120:$X120))/SUMIF($O$3:$X$3,V$60,$O$4:$X$4)))</f>
        <v>0</v>
      </c>
      <c r="W71" s="196" t="n">
        <f aca="false">IF((SUMIF($O$3:$X$3,W$60,$O$4:$X$4))=0,0,((SUMIF($O$3:$X$3,W$60,$O120:$X120))/SUMIF($O$3:$X$3,W$60,$O$4:$X$4)))</f>
        <v>0</v>
      </c>
      <c r="X71" s="197" t="n">
        <f aca="false">IF((SUMIF($O$3:$X$3,X$60,$O$4:$X$4))=0,0,((SUMIF($O$3:$X$3,X$60,$O120:$X120))/SUMIF($O$3:$X$3,X$60,$O$4:$X$4)))</f>
        <v>0</v>
      </c>
      <c r="Y71" s="194" t="str">
        <f aca="false">N71</f>
        <v>Alumno10</v>
      </c>
      <c r="Z71" s="195" t="n">
        <f aca="false">IF((SUMIF($Z$3:$AI$3,Z$60,$Z$4:$AI$4))=0,0,((SUMIF($Z$3:$AI$3,Z$60,$Z120:$AI120))/SUMIF($Z$3:$AI$3,Z$60,$Z$4:$AI$4)))</f>
        <v>5</v>
      </c>
      <c r="AA71" s="196" t="n">
        <f aca="false">IF((SUMIF($Z$3:$AI$3,AA$60,$Z$4:$AI$4))=0,0,((SUMIF($Z$3:$AI$3,AA$60,$Z120:$AI120))/SUMIF($Z$3:$AI$3,AA$60,$Z$4:$AI$4)))</f>
        <v>5</v>
      </c>
      <c r="AB71" s="196" t="n">
        <f aca="false">IF((SUMIF($Z$3:$AI$3,AB$60,$Z$4:$AI$4))=0,0,((SUMIF($Z$3:$AI$3,AB$60,$Z120:$AI120))/SUMIF($Z$3:$AI$3,AB$60,$Z$4:$AI$4)))</f>
        <v>5</v>
      </c>
      <c r="AC71" s="196" t="n">
        <f aca="false">IF((SUMIF($Z$3:$AI$3,AC$60,$Z$4:$AI$4))=0,0,((SUMIF($Z$3:$AI$3,AC$60,$Z120:$AI120))/SUMIF($Z$3:$AI$3,AC$60,$Z$4:$AI$4)))</f>
        <v>0</v>
      </c>
      <c r="AD71" s="196" t="n">
        <f aca="false">IF((SUMIF($Z$3:$AI$3,AD$60,$Z$4:$AI$4))=0,0,((SUMIF($Z$3:$AI$3,AD$60,$Z120:$AI120))/SUMIF($Z$3:$AI$3,AD$60,$Z$4:$AI$4)))</f>
        <v>0</v>
      </c>
      <c r="AE71" s="196" t="n">
        <f aca="false">IF((SUMIF($Z$3:$AI$3,AE$60,$Z$4:$AI$4))=0,0,((SUMIF($Z$3:$AI$3,AE$60,$Z120:$AI120))/SUMIF($Z$3:$AI$3,AE$60,$Z$4:$AI$4)))</f>
        <v>0</v>
      </c>
      <c r="AF71" s="196" t="n">
        <f aca="false">IF((SUMIF($Z$3:$AI$3,AF$60,$Z$4:$AI$4))=0,0,((SUMIF($Z$3:$AI$3,AF$60,$Z120:$AI120))/SUMIF($Z$3:$AI$3,AF$60,$Z$4:$AI$4)))</f>
        <v>0</v>
      </c>
      <c r="AG71" s="196" t="n">
        <f aca="false">IF((SUMIF($Z$3:$AI$3,AG$60,$Z$4:$AI$4))=0,0,((SUMIF($Z$3:$AI$3,AG$60,$Z120:$AI120))/SUMIF($Z$3:$AI$3,AG$60,$Z$4:$AI$4)))</f>
        <v>0</v>
      </c>
      <c r="AH71" s="196" t="n">
        <f aca="false">IF((SUMIF($Z$3:$AI$3,AH$60,$Z$4:$AI$4))=0,0,((SUMIF($Z$3:$AI$3,AH$60,$Z120:$AI120))/SUMIF($Z$3:$AI$3,AH$60,$Z$4:$AI$4)))</f>
        <v>0</v>
      </c>
      <c r="AI71" s="197" t="n">
        <f aca="false">IF((SUMIF($Z$3:$AI$3,AI$60,$Z$4:$AI$4))=0,0,((SUMIF($Z$3:$AI$3,AI$60,$Z120:$AI120))/SUMIF($Z$3:$AI$3,AI$60,$Z$4:$AI$4)))</f>
        <v>0</v>
      </c>
      <c r="AJ71" s="194" t="str">
        <f aca="false">Y71</f>
        <v>Alumno10</v>
      </c>
      <c r="AK71" s="195" t="n">
        <f aca="false">IF((SUMIF($AK$3:$AT$3,AK$60,$AK$4:$AT$4))=0,0,((SUMIF($AK$3:$AT$3,AK$60,$AK120:$AT120))/SUMIF($AK$3:$AT$3,AK$60,$AK$4:$AT$4)))</f>
        <v>5</v>
      </c>
      <c r="AL71" s="196" t="n">
        <f aca="false">IF((SUMIF($AK$3:$AT$3,AL$60,$AK$4:$AT$4))=0,0,((SUMIF($AK$3:$AT$3,AL$60,$AK120:$AT120))/SUMIF($AK$3:$AT$3,AL$60,$AK$4:$AT$4)))</f>
        <v>5</v>
      </c>
      <c r="AM71" s="196" t="n">
        <f aca="false">IF((SUMIF($AK$3:$AT$3,AM$60,$AK$4:$AT$4))=0,0,((SUMIF($AK$3:$AT$3,AM$60,$AK120:$AT120))/SUMIF($AK$3:$AT$3,AM$60,$AK$4:$AT$4)))</f>
        <v>5</v>
      </c>
      <c r="AN71" s="196" t="n">
        <f aca="false">IF((SUMIF($AK$3:$AT$3,AN$60,$AK$4:$AT$4))=0,0,((SUMIF($AK$3:$AT$3,AN$60,$AK120:$AT120))/SUMIF($AK$3:$AT$3,AN$60,$AK$4:$AT$4)))</f>
        <v>0</v>
      </c>
      <c r="AO71" s="196" t="n">
        <f aca="false">IF((SUMIF($AK$3:$AT$3,AO$60,$AK$4:$AT$4))=0,0,((SUMIF($AK$3:$AT$3,AO$60,$AK120:$AT120))/SUMIF($AK$3:$AT$3,AO$60,$AK$4:$AT$4)))</f>
        <v>0</v>
      </c>
      <c r="AP71" s="196" t="n">
        <f aca="false">IF((SUMIF($AK$3:$AT$3,AP$60,$AK$4:$AT$4))=0,0,((SUMIF($AK$3:$AT$3,AP$60,$AK120:$AT120))/SUMIF($AK$3:$AT$3,AP$60,$AK$4:$AT$4)))</f>
        <v>0</v>
      </c>
      <c r="AQ71" s="196" t="n">
        <f aca="false">IF((SUMIF($AK$3:$AT$3,AQ$60,$AK$4:$AT$4))=0,0,((SUMIF($AK$3:$AT$3,AQ$60,$AK120:$AT120))/SUMIF($AK$3:$AT$3,AQ$60,$AK$4:$AT$4)))</f>
        <v>0</v>
      </c>
      <c r="AR71" s="196" t="n">
        <f aca="false">IF((SUMIF($AK$3:$AT$3,AR$60,$AK$4:$AT$4))=0,0,((SUMIF($AK$3:$AT$3,AR$60,$AK120:$AT120))/SUMIF($AK$3:$AT$3,AR$60,$AK$4:$AT$4)))</f>
        <v>0</v>
      </c>
      <c r="AS71" s="196" t="n">
        <f aca="false">IF((SUMIF($AK$3:$AT$3,AS$60,$AK$4:$AT$4))=0,0,((SUMIF($AK$3:$AT$3,AS$60,$AK120:$AT120))/SUMIF($AK$3:$AT$3,AS$60,$AK$4:$AT$4)))</f>
        <v>0</v>
      </c>
      <c r="AT71" s="197" t="n">
        <f aca="false">IF((SUMIF($AK$3:$AT$3,AT$60,$AK$4:$AT$4))=0,0,((SUMIF($AK$3:$AT$3,AT$60,$AK120:$AT120))/SUMIF($AK$3:$AT$3,AT$60,$AK$4:$AT$4)))</f>
        <v>0</v>
      </c>
      <c r="AU71" s="194" t="str">
        <f aca="false">AJ71</f>
        <v>Alumno10</v>
      </c>
      <c r="AV71" s="195" t="n">
        <f aca="false">IF((SUMIF($AV$3:$BE$3,AV$60,$AV$4:$BE$4))=0,0,((SUMIF($AV$3:$BE$3,AV$60,$AV120:$BE120))/SUMIF($AV$3:$BE$3,AV$60,$AV$4:$BE$4)))</f>
        <v>5</v>
      </c>
      <c r="AW71" s="196" t="n">
        <f aca="false">IF((SUMIF($AV$3:$BE$3,AW$60,$AV$4:$BE$4))=0,0,((SUMIF($AV$3:$BE$3,AW$60,$AV120:$BE120))/SUMIF($AV$3:$BE$3,AW$60,$AV$4:$BE$4)))</f>
        <v>6</v>
      </c>
      <c r="AX71" s="196" t="n">
        <f aca="false">IF((SUMIF($AV$3:$BE$3,AX$60,$AV$4:$BE$4))=0,0,((SUMIF($AV$3:$BE$3,AX$60,$AV120:$BE120))/SUMIF($AV$3:$BE$3,AX$60,$AV$4:$BE$4)))</f>
        <v>3.6</v>
      </c>
      <c r="AY71" s="196" t="n">
        <f aca="false">IF((SUMIF($AV$3:$BE$3,AY$60,$AV$4:$BE$4))=0,0,((SUMIF($AV$3:$BE$3,AY$60,$AV120:$BE120))/SUMIF($AV$3:$BE$3,AY$60,$AV$4:$BE$4)))</f>
        <v>5</v>
      </c>
      <c r="AZ71" s="196" t="n">
        <f aca="false">IF((SUMIF($AV$3:$BE$3,AZ$60,$AV$4:$BE$4))=0,0,((SUMIF($AV$3:$BE$3,AZ$60,$AV120:$BE120))/SUMIF($AV$3:$BE$3,AZ$60,$AV$4:$BE$4)))</f>
        <v>0</v>
      </c>
      <c r="BA71" s="196" t="n">
        <f aca="false">IF((SUMIF($AV$3:$BE$3,BA$60,$AV$4:$BE$4))=0,0,((SUMIF($AV$3:$BE$3,BA$60,$AV120:$BE120))/SUMIF($AV$3:$BE$3,BA$60,$AV$4:$BE$4)))</f>
        <v>0</v>
      </c>
      <c r="BB71" s="196" t="n">
        <f aca="false">IF((SUMIF($AV$3:$BE$3,BB$60,$AV$4:$BE$4))=0,0,((SUMIF($AV$3:$BE$3,BB$60,$AV120:$BE120))/SUMIF($AV$3:$BE$3,BB$60,$AV$4:$BE$4)))</f>
        <v>0</v>
      </c>
      <c r="BC71" s="196" t="n">
        <f aca="false">IF((SUMIF($AV$3:$BE$3,BC$60,$AV$4:$BE$4))=0,0,((SUMIF($AV$3:$BE$3,BC$60,$AV120:$BE120))/SUMIF($AV$3:$BE$3,BC$60,$AV$4:$BE$4)))</f>
        <v>0</v>
      </c>
      <c r="BD71" s="196" t="n">
        <f aca="false">IF((SUMIF($AV$3:$BE$3,BD$60,$AV$4:$BE$4))=0,0,((SUMIF($AV$3:$BE$3,BD$60,$AV120:$BE120))/SUMIF($AV$3:$BE$3,BD$60,$AV$4:$BE$4)))</f>
        <v>0</v>
      </c>
      <c r="BE71" s="197" t="n">
        <f aca="false">IF((SUMIF($AV$3:$BE$3,BE$60,$AV$4:$BE$4))=0,0,((SUMIF($AV$3:$BE$3,BE$60,$AV120:$BE120))/SUMIF($AV$3:$BE$3,BE$60,$AV$4:$BE$4)))</f>
        <v>0</v>
      </c>
      <c r="BF71" s="194" t="str">
        <f aca="false">AU71</f>
        <v>Alumno10</v>
      </c>
      <c r="BG71" s="195" t="n">
        <f aca="false">IF((SUMIF($BG$3:$BP$3,BG$60,$BG$4:$BP$4))=0,0,((SUMIF($BG$3:$BP$3,BG$60,$BG120:$BP120))/SUMIF($BG$3:$BP$3,BG$60,$BG$4:$BP$4)))</f>
        <v>5</v>
      </c>
      <c r="BH71" s="196" t="n">
        <f aca="false">IF((SUMIF($BG$3:$BP$3,BH$60,$BG$4:$BP$4))=0,0,((SUMIF($BG$3:$BP$3,BH$60,$BG120:$BP120))/SUMIF($BG$3:$BP$3,BH$60,$BG$4:$BP$4)))</f>
        <v>6</v>
      </c>
      <c r="BI71" s="196" t="n">
        <f aca="false">IF((SUMIF($BG$3:$BP$3,BI$60,$BG$4:$BP$4))=0,0,((SUMIF($BG$3:$BP$3,BI$60,$BG120:$BP120))/SUMIF($BG$3:$BP$3,BI$60,$BG$4:$BP$4)))</f>
        <v>3</v>
      </c>
      <c r="BJ71" s="196" t="n">
        <f aca="false">IF((SUMIF($BG$3:$BP$3,BJ$60,$BG$4:$BP$4))=0,0,((SUMIF($BG$3:$BP$3,BJ$60,$BG120:$BP120))/SUMIF($BG$3:$BP$3,BJ$60,$BG$4:$BP$4)))</f>
        <v>4.6</v>
      </c>
      <c r="BK71" s="196" t="n">
        <f aca="false">IF((SUMIF($BG$3:$BP$3,BK$60,$BG$4:$BP$4))=0,0,((SUMIF($BG$3:$BP$3,BK$60,$BG120:$BP120))/SUMIF($BG$3:$BP$3,BK$60,$BG$4:$BP$4)))</f>
        <v>0</v>
      </c>
      <c r="BL71" s="196" t="n">
        <f aca="false">IF((SUMIF($BG$3:$BP$3,BL$60,$BG$4:$BP$4))=0,0,((SUMIF($BG$3:$BP$3,BL$60,$BG120:$BP120))/SUMIF($BG$3:$BP$3,BL$60,$BG$4:$BP$4)))</f>
        <v>0</v>
      </c>
      <c r="BM71" s="196" t="n">
        <f aca="false">IF((SUMIF($BG$3:$BP$3,BM$60,$BG$4:$BP$4))=0,0,((SUMIF($BG$3:$BP$3,BM$60,$BG120:$BP120))/SUMIF($BG$3:$BP$3,BM$60,$BG$4:$BP$4)))</f>
        <v>0</v>
      </c>
      <c r="BN71" s="196" t="n">
        <f aca="false">IF((SUMIF($BG$3:$BP$3,BN$60,$BG$4:$BP$4))=0,0,((SUMIF($BG$3:$BP$3,BN$60,$BG120:$BP120))/SUMIF($BG$3:$BP$3,BN$60,$BG$4:$BP$4)))</f>
        <v>0</v>
      </c>
      <c r="BO71" s="196" t="n">
        <f aca="false">IF((SUMIF($BG$3:$BP$3,BO$60,$BG$4:$BP$4))=0,0,((SUMIF($BG$3:$BP$3,BO$60,$BG120:$BP120))/SUMIF($BG$3:$BP$3,BO$60,$BG$4:$BP$4)))</f>
        <v>0</v>
      </c>
      <c r="BP71" s="197" t="n">
        <f aca="false">IF((SUMIF($BG$3:$BP$3,BP$60,$BG$4:$BP$4))=0,0,((SUMIF($BG$3:$BP$3,BP$60,$BG120:$BP120))/SUMIF($BG$3:$BP$3,BP$60,$BG$4:$BP$4)))</f>
        <v>0</v>
      </c>
      <c r="BQ71" s="194" t="str">
        <f aca="false">BF71</f>
        <v>Alumno10</v>
      </c>
      <c r="BR71" s="195" t="n">
        <f aca="false">IF((SUMIF($BR$3:$CA$3,BR$60,$BR$4:$CA$4))=0,0,((SUMIF($BR$3:$CA$3,BR$60,$BR120:$CA120))/SUMIF($BR$3:$CA$3,BR$60,$BR$4:$CA$4)))</f>
        <v>0</v>
      </c>
      <c r="BS71" s="196" t="n">
        <f aca="false">IF((SUMIF($BR$3:$CA$3,BS$60,$BR$4:$CA$4))=0,0,((SUMIF($BR$3:$CA$3,BS$60,$BR120:$CA120))/SUMIF($BR$3:$CA$3,BS$60,$BR$4:$CA$4)))</f>
        <v>5</v>
      </c>
      <c r="BT71" s="196" t="n">
        <f aca="false">IF((SUMIF($BR$3:$CA$3,BT$60,$BR$4:$CA$4))=0,0,((SUMIF($BR$3:$CA$3,BT$60,$BR120:$CA120))/SUMIF($BR$3:$CA$3,BT$60,$BR$4:$CA$4)))</f>
        <v>4</v>
      </c>
      <c r="BU71" s="196" t="n">
        <f aca="false">IF((SUMIF($BR$3:$CA$3,BU$60,$BR$4:$CA$4))=0,0,((SUMIF($BR$3:$CA$3,BU$60,$BR120:$CA120))/SUMIF($BR$3:$CA$3,BU$60,$BR$4:$CA$4)))</f>
        <v>4.6</v>
      </c>
      <c r="BV71" s="196" t="n">
        <f aca="false">IF((SUMIF($BR$3:$CA$3,BV$60,$BR$4:$CA$4))=0,0,((SUMIF($BR$3:$CA$3,BV$60,$BR120:$CA120))/SUMIF($BR$3:$CA$3,BV$60,$BR$4:$CA$4)))</f>
        <v>0</v>
      </c>
      <c r="BW71" s="196" t="n">
        <f aca="false">IF((SUMIF($BR$3:$CA$3,BW$60,$BR$4:$CA$4))=0,0,((SUMIF($BR$3:$CA$3,BW$60,$BR120:$CA120))/SUMIF($BR$3:$CA$3,BW$60,$BR$4:$CA$4)))</f>
        <v>0</v>
      </c>
      <c r="BX71" s="196" t="n">
        <f aca="false">IF((SUMIF($BR$3:$CA$3,BX$60,$BR$4:$CA$4))=0,0,((SUMIF($BR$3:$CA$3,BX$60,$BR120:$CA120))/SUMIF($BR$3:$CA$3,BX$60,$BR$4:$CA$4)))</f>
        <v>0</v>
      </c>
      <c r="BY71" s="196" t="n">
        <f aca="false">IF((SUMIF($BR$3:$CA$3,BY$60,$BR$4:$CA$4))=0,0,((SUMIF($BR$3:$CA$3,BY$60,$BR120:$CA120))/SUMIF($BR$3:$CA$3,BY$60,$BR$4:$CA$4)))</f>
        <v>0</v>
      </c>
      <c r="BZ71" s="196" t="n">
        <f aca="false">IF((SUMIF($BR$3:$CA$3,BZ$60,$BR$4:$CA$4))=0,0,((SUMIF($BR$3:$CA$3,BZ$60,$BR120:$CA120))/SUMIF($BR$3:$CA$3,BZ$60,$BR$4:$CA$4)))</f>
        <v>0</v>
      </c>
      <c r="CA71" s="197" t="n">
        <f aca="false">IF((SUMIF($BR$3:$CA$3,CA$60,$BR$4:$CA$4))=0,0,((SUMIF($BR$3:$CA$3,CA$60,$BR120:$CA120))/SUMIF($BR$3:$CA$3,CA$60,$BR$4:$CA$4)))</f>
        <v>0</v>
      </c>
      <c r="CB71" s="194" t="str">
        <f aca="false">BQ71</f>
        <v>Alumno10</v>
      </c>
      <c r="CC71" s="195" t="n">
        <f aca="false">IF((SUMIF($CC$3:$CL$3,CC$60,$CC$4:$CL$4))=0,0,((SUMIF($CC$3:$CL$3,CC$60,$CC120:$CL120))/SUMIF($CC$3:$CL$3,CC$60,$CC$4:$CL$4)))</f>
        <v>0</v>
      </c>
      <c r="CD71" s="196" t="n">
        <f aca="false">IF((SUMIF($CC$3:$CL$3,CD$60,$CC$4:$CL$4))=0,0,((SUMIF($CC$3:$CL$3,CD$60,$CC120:$CL120))/SUMIF($CC$3:$CL$3,CD$60,$CC$4:$CL$4)))</f>
        <v>0</v>
      </c>
      <c r="CE71" s="196" t="n">
        <f aca="false">IF((SUMIF($CC$3:$CL$3,CE$60,$CC$4:$CL$4))=0,0,((SUMIF($CC$3:$CL$3,CE$60,$CC120:$CL120))/SUMIF($CC$3:$CL$3,CE$60,$CC$4:$CL$4)))</f>
        <v>0</v>
      </c>
      <c r="CF71" s="196" t="n">
        <f aca="false">IF((SUMIF($CC$3:$CL$3,CF$60,$CC$4:$CL$4))=0,0,((SUMIF($CC$3:$CL$3,CF$60,$CC120:$CL120))/SUMIF($CC$3:$CL$3,CF$60,$CC$4:$CL$4)))</f>
        <v>0</v>
      </c>
      <c r="CG71" s="196" t="n">
        <f aca="false">IF((SUMIF($CC$3:$CL$3,CG$60,$CC$4:$CL$4))=0,0,((SUMIF($CC$3:$CL$3,CG$60,$CC120:$CL120))/SUMIF($CC$3:$CL$3,CG$60,$CC$4:$CL$4)))</f>
        <v>0</v>
      </c>
      <c r="CH71" s="196" t="n">
        <f aca="false">IF((SUMIF($CC$3:$CL$3,CH$60,$CC$4:$CL$4))=0,0,((SUMIF($CC$3:$CL$3,CH$60,$CC120:$CL120))/SUMIF($CC$3:$CL$3,CH$60,$CC$4:$CL$4)))</f>
        <v>0</v>
      </c>
      <c r="CI71" s="196" t="n">
        <f aca="false">IF((SUMIF($CC$3:$CL$3,CI$60,$CC$4:$CL$4))=0,0,((SUMIF($CC$3:$CL$3,CI$60,$CC120:$CL120))/SUMIF($CC$3:$CL$3,CI$60,$CC$4:$CL$4)))</f>
        <v>0</v>
      </c>
      <c r="CJ71" s="196" t="n">
        <f aca="false">IF((SUMIF($CC$3:$CL$3,CJ$60,$CC$4:$CL$4))=0,0,((SUMIF($CC$3:$CL$3,CJ$60,$CC120:$CL120))/SUMIF($CC$3:$CL$3,CJ$60,$CC$4:$CL$4)))</f>
        <v>0</v>
      </c>
      <c r="CK71" s="196" t="n">
        <f aca="false">IF((SUMIF($CC$3:$CL$3,CK$60,$CC$4:$CL$4))=0,0,((SUMIF($CC$3:$CL$3,CK$60,$CC120:$CL120))/SUMIF($CC$3:$CL$3,CK$60,$CC$4:$CL$4)))</f>
        <v>0</v>
      </c>
      <c r="CL71" s="197" t="n">
        <f aca="false">IF((SUMIF($CC$3:$CL$3,CL$60,$CC$4:$CL$4))=0,0,((SUMIF($CC$3:$CL$3,CL$60,$CC120:$CL120))/SUMIF($CC$3:$CL$3,CL$60,$CC$4:$CL$4)))</f>
        <v>0</v>
      </c>
      <c r="CM71" s="194" t="str">
        <f aca="false">CB71</f>
        <v>Alumno10</v>
      </c>
      <c r="CN71" s="195" t="n">
        <f aca="false">IF((SUMIF($CN$3:$CW$3,CN$60,$CN$4:$CW$4))=0,0,((SUMIF($CN$3:$CW$3,CN$60,$CN120:$CW120))/SUMIF($CN$3:$CW$3,CN$60,$CN$4:$CW$4)))</f>
        <v>0</v>
      </c>
      <c r="CO71" s="196" t="n">
        <f aca="false">IF((SUMIF($CN$3:$CW$3,CO$60,$CN$4:$CW$4))=0,0,((SUMIF($CN$3:$CW$3,CO$60,$CN120:$CW120))/SUMIF($CN$3:$CW$3,CO$60,$CN$4:$CW$4)))</f>
        <v>0</v>
      </c>
      <c r="CP71" s="196" t="n">
        <f aca="false">IF((SUMIF($CN$3:$CW$3,CP$60,$CN$4:$CW$4))=0,0,((SUMIF($CN$3:$CW$3,CP$60,$CN120:$CW120))/SUMIF($CN$3:$CW$3,CP$60,$CN$4:$CW$4)))</f>
        <v>0</v>
      </c>
      <c r="CQ71" s="196" t="n">
        <f aca="false">IF((SUMIF($CN$3:$CW$3,CQ$60,$CN$4:$CW$4))=0,0,((SUMIF($CN$3:$CW$3,CQ$60,$CN120:$CW120))/SUMIF($CN$3:$CW$3,CQ$60,$CN$4:$CW$4)))</f>
        <v>0</v>
      </c>
      <c r="CR71" s="196" t="n">
        <f aca="false">IF((SUMIF($CN$3:$CW$3,CR$60,$CN$4:$CW$4))=0,0,((SUMIF($CN$3:$CW$3,CR$60,$CN120:$CW120))/SUMIF($CN$3:$CW$3,CR$60,$CN$4:$CW$4)))</f>
        <v>0</v>
      </c>
      <c r="CS71" s="196" t="n">
        <f aca="false">IF((SUMIF($CN$3:$CW$3,CS$60,$CN$4:$CW$4))=0,0,((SUMIF($CN$3:$CW$3,CS$60,$CN120:$CW120))/SUMIF($CN$3:$CW$3,CS$60,$CN$4:$CW$4)))</f>
        <v>0</v>
      </c>
      <c r="CT71" s="196" t="n">
        <f aca="false">IF((SUMIF($CN$3:$CW$3,CT$60,$CN$4:$CW$4))=0,0,((SUMIF($CN$3:$CW$3,CT$60,$CN120:$CW120))/SUMIF($CN$3:$CW$3,CT$60,$CN$4:$CW$4)))</f>
        <v>0</v>
      </c>
      <c r="CU71" s="196" t="n">
        <f aca="false">IF((SUMIF($CN$3:$CW$3,CU$60,$CN$4:$CW$4))=0,0,((SUMIF($CN$3:$CW$3,CU$60,$CN120:$CW120))/SUMIF($CN$3:$CW$3,CU$60,$CN$4:$CW$4)))</f>
        <v>0</v>
      </c>
      <c r="CV71" s="196" t="n">
        <f aca="false">IF((SUMIF($CN$3:$CW$3,CV$60,$CN$4:$CW$4))=0,0,((SUMIF($CN$3:$CW$3,CV$60,$CN120:$CW120))/SUMIF($CN$3:$CW$3,CV$60,$CN$4:$CW$4)))</f>
        <v>0</v>
      </c>
      <c r="CW71" s="197" t="n">
        <f aca="false">IF((SUMIF($CN$3:$CW$3,CW$60,$CN$4:$CW$4))=0,0,((SUMIF($CN$3:$CW$3,CW$60,$CN120:$CW120))/SUMIF($CN$3:$CW$3,CW$60,$CN$4:$CW$4)))</f>
        <v>0</v>
      </c>
      <c r="CX71" s="194" t="str">
        <f aca="false">CM71</f>
        <v>Alumno10</v>
      </c>
      <c r="CY71" s="195" t="n">
        <f aca="false">IF((SUMIF($CY$3:$DH$3,CY$60,$CY$4:$DH$4))=0,0,((SUMIF($CY$3:$DH$3,CY$60,$CY120:$DH120))/SUMIF($CY$3:$DH$3,CY$60,$CY$4:$DH$4)))</f>
        <v>0</v>
      </c>
      <c r="CZ71" s="196" t="n">
        <f aca="false">IF((SUMIF($CY$3:$DH$3,CZ$60,$CY$4:$DH$4))=0,0,((SUMIF($CY$3:$DH$3,CZ$60,$CY120:$DH120))/SUMIF($CY$3:$DH$3,CZ$60,$CY$4:$DH$4)))</f>
        <v>0</v>
      </c>
      <c r="DA71" s="196" t="n">
        <f aca="false">IF((SUMIF($CY$3:$DH$3,DA$60,$CY$4:$DH$4))=0,0,((SUMIF($CY$3:$DH$3,DA$60,$CY120:$DH120))/SUMIF($CY$3:$DH$3,DA$60,$CY$4:$DH$4)))</f>
        <v>0</v>
      </c>
      <c r="DB71" s="196" t="n">
        <f aca="false">IF((SUMIF($CY$3:$DH$3,DB$60,$CY$4:$DH$4))=0,0,((SUMIF($CY$3:$DH$3,DB$60,$CY120:$DH120))/SUMIF($CY$3:$DH$3,DB$60,$CY$4:$DH$4)))</f>
        <v>0</v>
      </c>
      <c r="DC71" s="196" t="n">
        <f aca="false">IF((SUMIF($CY$3:$DH$3,DC$60,$CY$4:$DH$4))=0,0,((SUMIF($CY$3:$DH$3,DC$60,$CY120:$DH120))/SUMIF($CY$3:$DH$3,DC$60,$CY$4:$DH$4)))</f>
        <v>0</v>
      </c>
      <c r="DD71" s="196" t="n">
        <f aca="false">IF((SUMIF($CY$3:$DH$3,DD$60,$CY$4:$DH$4))=0,0,((SUMIF($CY$3:$DH$3,DD$60,$CY120:$DH120))/SUMIF($CY$3:$DH$3,DD$60,$CY$4:$DH$4)))</f>
        <v>0</v>
      </c>
      <c r="DE71" s="196" t="n">
        <f aca="false">IF((SUMIF($CY$3:$DH$3,DE$60,$CY$4:$DH$4))=0,0,((SUMIF($CY$3:$DH$3,DE$60,$CY120:$DH120))/SUMIF($CY$3:$DH$3,DE$60,$CY$4:$DH$4)))</f>
        <v>0</v>
      </c>
      <c r="DF71" s="196" t="n">
        <f aca="false">IF((SUMIF($CY$3:$DH$3,DF$60,$CY$4:$DH$4))=0,0,((SUMIF($CY$3:$DH$3,DF$60,$CY120:$DH120))/SUMIF($CY$3:$DH$3,DF$60,$CY$4:$DH$4)))</f>
        <v>0</v>
      </c>
      <c r="DG71" s="196" t="n">
        <f aca="false">IF((SUMIF($CY$3:$DH$3,DG$60,$CY$4:$DH$4))=0,0,((SUMIF($CY$3:$DH$3,DG$60,$CY120:$DH120))/SUMIF($CY$3:$DH$3,DG$60,$CY$4:$DH$4)))</f>
        <v>0</v>
      </c>
      <c r="DH71" s="197" t="n">
        <f aca="false">IF((SUMIF($CY$3:$DH$3,DH$60,$CY$4:$DH$4))=0,0,((SUMIF($CY$3:$DH$3,DH$60,$CY120:$DH120))/SUMIF($CY$3:$DH$3,DH$60,$CY$4:$DH$4)))</f>
        <v>0</v>
      </c>
      <c r="DI71" s="194" t="str">
        <f aca="false">CX71</f>
        <v>Alumno10</v>
      </c>
      <c r="DJ71" s="195" t="n">
        <f aca="false">IF((SUMIF($DJ$3:$DS$3,DJ$60,$DJ$4:$DS$4))=0,0,((SUMIF($DJ$3:$DS$3,DJ$60,$DJ120:$DS120))/SUMIF($DJ$3:$DS$3,DJ$60,$DJ$4:$DS$4)))</f>
        <v>0</v>
      </c>
      <c r="DK71" s="196" t="n">
        <f aca="false">IF((SUMIF($DJ$3:$DS$3,DK$60,$DJ$4:$DS$4))=0,0,((SUMIF($DJ$3:$DS$3,DK$60,$DJ120:$DS120))/SUMIF($DJ$3:$DS$3,DK$60,$DJ$4:$DS$4)))</f>
        <v>0</v>
      </c>
      <c r="DL71" s="196" t="n">
        <f aca="false">IF((SUMIF($DJ$3:$DS$3,DL$60,$DJ$4:$DS$4))=0,0,((SUMIF($DJ$3:$DS$3,DL$60,$DJ120:$DS120))/SUMIF($DJ$3:$DS$3,DL$60,$DJ$4:$DS$4)))</f>
        <v>0</v>
      </c>
      <c r="DM71" s="196" t="n">
        <f aca="false">IF((SUMIF($DJ$3:$DS$3,DM$60,$DJ$4:$DS$4))=0,0,((SUMIF($DJ$3:$DS$3,DM$60,$DJ120:$DS120))/SUMIF($DJ$3:$DS$3,DM$60,$DJ$4:$DS$4)))</f>
        <v>0</v>
      </c>
      <c r="DN71" s="196" t="n">
        <f aca="false">IF((SUMIF($DJ$3:$DS$3,DN$60,$DJ$4:$DS$4))=0,0,((SUMIF($DJ$3:$DS$3,DN$60,$DJ120:$DS120))/SUMIF($DJ$3:$DS$3,DN$60,$DJ$4:$DS$4)))</f>
        <v>0</v>
      </c>
      <c r="DO71" s="196" t="n">
        <f aca="false">IF((SUMIF($DJ$3:$DS$3,DO$60,$DJ$4:$DS$4))=0,0,((SUMIF($DJ$3:$DS$3,DO$60,$DJ120:$DS120))/SUMIF($DJ$3:$DS$3,DO$60,$DJ$4:$DS$4)))</f>
        <v>0</v>
      </c>
      <c r="DP71" s="196" t="n">
        <f aca="false">IF((SUMIF($DJ$3:$DS$3,DP$60,$DJ$4:$DS$4))=0,0,((SUMIF($DJ$3:$DS$3,DP$60,$DJ120:$DS120))/SUMIF($DJ$3:$DS$3,DP$60,$DJ$4:$DS$4)))</f>
        <v>0</v>
      </c>
      <c r="DQ71" s="196" t="n">
        <f aca="false">IF((SUMIF($DJ$3:$DS$3,DQ$60,$DJ$4:$DS$4))=0,0,((SUMIF($DJ$3:$DS$3,DQ$60,$DJ120:$DS120))/SUMIF($DJ$3:$DS$3,DQ$60,$DJ$4:$DS$4)))</f>
        <v>0</v>
      </c>
      <c r="DR71" s="196" t="n">
        <f aca="false">IF((SUMIF($DJ$3:$DS$3,DR$60,$DJ$4:$DS$4))=0,0,((SUMIF($DJ$3:$DS$3,DR$60,$DJ120:$DS120))/SUMIF($DJ$3:$DS$3,DR$60,$DJ$4:$DS$4)))</f>
        <v>0</v>
      </c>
      <c r="DS71" s="197" t="n">
        <f aca="false">IF((SUMIF($DJ$3:$DS$3,DS$60,$DJ$4:$DS$4))=0,0,((SUMIF($DJ$3:$DS$3,DS$60,$DJ120:$DS120))/SUMIF($DJ$3:$DS$3,DS$60,$DJ$4:$DS$4)))</f>
        <v>0</v>
      </c>
      <c r="DT71" s="194" t="str">
        <f aca="false">DI71</f>
        <v>Alumno10</v>
      </c>
      <c r="DU71" s="195" t="n">
        <f aca="false">IF((SUMIF($DU$3:$ED$3,DU$60,$DU$4:$ED$4))=0,0,((SUMIF($DU$3:$ED$3,DU$60,$DU120:$ED120))/SUMIF($DU$3:$ED$3,DU$60,$DU$4:$ED$4)))</f>
        <v>0</v>
      </c>
      <c r="DV71" s="196" t="n">
        <f aca="false">IF((SUMIF($DU$3:$ED$3,DV$60,$DU$4:$ED$4))=0,0,((SUMIF($DU$3:$ED$3,DV$60,$DU120:$ED120))/SUMIF($DU$3:$ED$3,DV$60,$DU$4:$ED$4)))</f>
        <v>0</v>
      </c>
      <c r="DW71" s="196" t="n">
        <f aca="false">IF((SUMIF($DU$3:$ED$3,DW$60,$DU$4:$ED$4))=0,0,((SUMIF($DU$3:$ED$3,DW$60,$DU120:$ED120))/SUMIF($DU$3:$ED$3,DW$60,$DU$4:$ED$4)))</f>
        <v>0</v>
      </c>
      <c r="DX71" s="196" t="n">
        <f aca="false">IF((SUMIF($DU$3:$ED$3,DX$60,$DU$4:$ED$4))=0,0,((SUMIF($DU$3:$ED$3,DX$60,$DU120:$ED120))/SUMIF($DU$3:$ED$3,DX$60,$DU$4:$ED$4)))</f>
        <v>0</v>
      </c>
      <c r="DY71" s="196" t="n">
        <f aca="false">IF((SUMIF($DU$3:$ED$3,DY$60,$DU$4:$ED$4))=0,0,((SUMIF($DU$3:$ED$3,DY$60,$DU120:$ED120))/SUMIF($DU$3:$ED$3,DY$60,$DU$4:$ED$4)))</f>
        <v>0</v>
      </c>
      <c r="DZ71" s="196" t="n">
        <f aca="false">IF((SUMIF($DU$3:$ED$3,DZ$60,$DU$4:$ED$4))=0,0,((SUMIF($DU$3:$ED$3,DZ$60,$DU120:$ED120))/SUMIF($DU$3:$ED$3,DZ$60,$DU$4:$ED$4)))</f>
        <v>0</v>
      </c>
      <c r="EA71" s="196" t="n">
        <f aca="false">IF((SUMIF($DU$3:$ED$3,EA$60,$DU$4:$ED$4))=0,0,((SUMIF($DU$3:$ED$3,EA$60,$DU120:$ED120))/SUMIF($DU$3:$ED$3,EA$60,$DU$4:$ED$4)))</f>
        <v>0</v>
      </c>
      <c r="EB71" s="196" t="n">
        <f aca="false">IF((SUMIF($DU$3:$ED$3,EB$60,$DU$4:$ED$4))=0,0,((SUMIF($DU$3:$ED$3,EB$60,$DU120:$ED120))/SUMIF($DU$3:$ED$3,EB$60,$DU$4:$ED$4)))</f>
        <v>0</v>
      </c>
      <c r="EC71" s="196" t="n">
        <f aca="false">IF((SUMIF($DU$3:$ED$3,EC$60,$DU$4:$ED$4))=0,0,((SUMIF($DU$3:$ED$3,EC$60,$DU120:$ED120))/SUMIF($DU$3:$ED$3,EC$60,$DU$4:$ED$4)))</f>
        <v>0</v>
      </c>
      <c r="ED71" s="197" t="n">
        <f aca="false">IF((SUMIF($DU$3:$ED$3,ED$60,$DU$4:$ED$4))=0,0,((SUMIF($DU$3:$ED$3,ED$60,$DU120:$ED120))/SUMIF($DU$3:$ED$3,ED$60,$DU$4:$ED$4)))</f>
        <v>0</v>
      </c>
      <c r="EE71" s="194" t="str">
        <f aca="false">DT71</f>
        <v>Alumno10</v>
      </c>
      <c r="EF71" s="195" t="n">
        <f aca="false">IF((SUMIF($EF$3:$EO$3,EF$60,$EF$4:$EO$4))=0,0,((SUMIF($EF$3:$EO$3,EF$60,$EF120:$EO120))/SUMIF($EF$3:$EO$3,EF$60,$EF$4:$EO$4)))</f>
        <v>0</v>
      </c>
      <c r="EG71" s="196" t="n">
        <f aca="false">IF((SUMIF($EF$3:$EO$3,EG$60,$EF$4:$EO$4))=0,0,((SUMIF($EF$3:$EO$3,EG$60,$EF120:$EO120))/SUMIF($EF$3:$EO$3,EG$60,$EF$4:$EO$4)))</f>
        <v>0</v>
      </c>
      <c r="EH71" s="196" t="n">
        <f aca="false">IF((SUMIF($EF$3:$EO$3,EH$60,$EF$4:$EO$4))=0,0,((SUMIF($EF$3:$EO$3,EH$60,$EF120:$EO120))/SUMIF($EF$3:$EO$3,EH$60,$EF$4:$EO$4)))</f>
        <v>0</v>
      </c>
      <c r="EI71" s="196" t="n">
        <f aca="false">IF((SUMIF($EF$3:$EO$3,EI$60,$EF$4:$EO$4))=0,0,((SUMIF($EF$3:$EO$3,EI$60,$EF120:$EO120))/SUMIF($EF$3:$EO$3,EI$60,$EF$4:$EO$4)))</f>
        <v>0</v>
      </c>
      <c r="EJ71" s="196" t="n">
        <f aca="false">IF((SUMIF($EF$3:$EO$3,EJ$60,$EF$4:$EO$4))=0,0,((SUMIF($EF$3:$EO$3,EJ$60,$EF120:$EO120))/SUMIF($EF$3:$EO$3,EJ$60,$EF$4:$EO$4)))</f>
        <v>0</v>
      </c>
      <c r="EK71" s="196" t="n">
        <f aca="false">IF((SUMIF($EF$3:$EO$3,EK$60,$EF$4:$EO$4))=0,0,((SUMIF($EF$3:$EO$3,EK$60,$EF120:$EO120))/SUMIF($EF$3:$EO$3,EK$60,$EF$4:$EO$4)))</f>
        <v>0</v>
      </c>
      <c r="EL71" s="196" t="n">
        <f aca="false">IF((SUMIF($EF$3:$EO$3,EL$60,$EF$4:$EO$4))=0,0,((SUMIF($EF$3:$EO$3,EL$60,$EF120:$EO120))/SUMIF($EF$3:$EO$3,EL$60,$EF$4:$EO$4)))</f>
        <v>0</v>
      </c>
      <c r="EM71" s="196" t="n">
        <f aca="false">IF((SUMIF($EF$3:$EO$3,EM$60,$EF$4:$EO$4))=0,0,((SUMIF($EF$3:$EO$3,EM$60,$EF120:$EO120))/SUMIF($EF$3:$EO$3,EM$60,$EF$4:$EO$4)))</f>
        <v>0</v>
      </c>
      <c r="EN71" s="196" t="n">
        <f aca="false">IF((SUMIF($EF$3:$EO$3,EN$60,$EF$4:$EO$4))=0,0,((SUMIF($EF$3:$EO$3,EN$60,$EF120:$EO120))/SUMIF($EF$3:$EO$3,EN$60,$EF$4:$EO$4)))</f>
        <v>0</v>
      </c>
      <c r="EO71" s="197" t="n">
        <f aca="false">IF((SUMIF($EF$3:$EO$3,EO$60,$EF$4:$EO$4))=0,0,((SUMIF($EF$3:$EO$3,EO$60,$EF120:$EO120))/SUMIF($EF$3:$EO$3,EO$60,$EF$4:$EO$4)))</f>
        <v>0</v>
      </c>
      <c r="EP71" s="194" t="str">
        <f aca="false">EE71</f>
        <v>Alumno10</v>
      </c>
      <c r="EQ71" s="195" t="n">
        <f aca="false">IF((SUMIF($EQ$3:$EZ$3,EQ$60,$EQ$4:$EZ$4))=0,0,((SUMIF($EQ$3:$EZ$3,EQ$60,$EQ120:$EZ120))/SUMIF($EQ$3:$EZ$3,EQ$60,$EQ$4:$EZ$4)))</f>
        <v>0</v>
      </c>
      <c r="ER71" s="196" t="n">
        <f aca="false">IF((SUMIF($EQ$3:$EZ$3,ER$60,$EQ$4:$EZ$4))=0,0,((SUMIF($EQ$3:$EZ$3,ER$60,$EQ120:$EZ120))/SUMIF($EQ$3:$EZ$3,ER$60,$EQ$4:$EZ$4)))</f>
        <v>0</v>
      </c>
      <c r="ES71" s="196" t="n">
        <f aca="false">IF((SUMIF($EQ$3:$EZ$3,ES$60,$EQ$4:$EZ$4))=0,0,((SUMIF($EQ$3:$EZ$3,ES$60,$EQ120:$EZ120))/SUMIF($EQ$3:$EZ$3,ES$60,$EQ$4:$EZ$4)))</f>
        <v>0</v>
      </c>
      <c r="ET71" s="196" t="n">
        <f aca="false">IF((SUMIF($EQ$3:$EZ$3,ET$60,$EQ$4:$EZ$4))=0,0,((SUMIF($EQ$3:$EZ$3,ET$60,$EQ120:$EZ120))/SUMIF($EQ$3:$EZ$3,ET$60,$EQ$4:$EZ$4)))</f>
        <v>0</v>
      </c>
      <c r="EU71" s="196" t="n">
        <f aca="false">IF((SUMIF($EQ$3:$EZ$3,EU$60,$EQ$4:$EZ$4))=0,0,((SUMIF($EQ$3:$EZ$3,EU$60,$EQ120:$EZ120))/SUMIF($EQ$3:$EZ$3,EU$60,$EQ$4:$EZ$4)))</f>
        <v>0</v>
      </c>
      <c r="EV71" s="196" t="n">
        <f aca="false">IF((SUMIF($EQ$3:$EZ$3,EV$60,$EQ$4:$EZ$4))=0,0,((SUMIF($EQ$3:$EZ$3,EV$60,$EQ120:$EZ120))/SUMIF($EQ$3:$EZ$3,EV$60,$EQ$4:$EZ$4)))</f>
        <v>0</v>
      </c>
      <c r="EW71" s="196" t="n">
        <f aca="false">IF((SUMIF($EQ$3:$EZ$3,EW$60,$EQ$4:$EZ$4))=0,0,((SUMIF($EQ$3:$EZ$3,EW$60,$EQ120:$EZ120))/SUMIF($EQ$3:$EZ$3,EW$60,$EQ$4:$EZ$4)))</f>
        <v>0</v>
      </c>
      <c r="EX71" s="196" t="n">
        <f aca="false">IF((SUMIF($EQ$3:$EZ$3,EX$60,$EQ$4:$EZ$4))=0,0,((SUMIF($EQ$3:$EZ$3,EX$60,$EQ120:$EZ120))/SUMIF($EQ$3:$EZ$3,EX$60,$EQ$4:$EZ$4)))</f>
        <v>0</v>
      </c>
      <c r="EY71" s="196" t="n">
        <f aca="false">IF((SUMIF($EQ$3:$EZ$3,EY$60,$EQ$4:$EZ$4))=0,0,((SUMIF($EQ$3:$EZ$3,EY$60,$EQ120:$EZ120))/SUMIF($EQ$3:$EZ$3,EY$60,$EQ$4:$EZ$4)))</f>
        <v>0</v>
      </c>
      <c r="EZ71" s="197" t="n">
        <f aca="false">IF((SUMIF($EQ$3:$EZ$3,EZ$60,$EQ$4:$EZ$4))=0,0,((SUMIF($EQ$3:$EZ$3,EZ$60,$EQ120:$EZ120))/SUMIF($EQ$3:$EZ$3,EZ$60,$EQ$4:$EZ$4)))</f>
        <v>0</v>
      </c>
      <c r="FA71" s="194" t="str">
        <f aca="false">EP71</f>
        <v>Alumno10</v>
      </c>
      <c r="FB71" s="195" t="n">
        <f aca="false">IF((SUMIF($FB$3:$FK$3,FB$60,$FB$4:$FK$4))=0,0,((SUMIF($FB$3:$FK$3,FB$60,$FB120:$FK120))/SUMIF($FB$3:$FK$3,FB$60,$FB$4:$FK$4)))</f>
        <v>0</v>
      </c>
      <c r="FC71" s="196" t="n">
        <f aca="false">IF((SUMIF($FB$3:$FK$3,FC$60,$FB$4:$FK$4))=0,0,((SUMIF($FB$3:$FK$3,FC$60,$FB120:$FK120))/SUMIF($FB$3:$FK$3,FC$60,$FB$4:$FK$4)))</f>
        <v>0</v>
      </c>
      <c r="FD71" s="196" t="n">
        <f aca="false">IF((SUMIF($FB$3:$FK$3,FD$60,$FB$4:$FK$4))=0,0,((SUMIF($FB$3:$FK$3,FD$60,$FB120:$FK120))/SUMIF($FB$3:$FK$3,FD$60,$FB$4:$FK$4)))</f>
        <v>0</v>
      </c>
      <c r="FE71" s="196" t="n">
        <f aca="false">IF((SUMIF($FB$3:$FK$3,FE$60,$FB$4:$FK$4))=0,0,((SUMIF($FB$3:$FK$3,FE$60,$FB120:$FK120))/SUMIF($FB$3:$FK$3,FE$60,$FB$4:$FK$4)))</f>
        <v>0</v>
      </c>
      <c r="FF71" s="196" t="n">
        <f aca="false">IF((SUMIF($FB$3:$FK$3,FF$60,$FB$4:$FK$4))=0,0,((SUMIF($FB$3:$FK$3,FF$60,$FB120:$FK120))/SUMIF($FB$3:$FK$3,FF$60,$FB$4:$FK$4)))</f>
        <v>0</v>
      </c>
      <c r="FG71" s="196" t="n">
        <f aca="false">IF((SUMIF($FB$3:$FK$3,FG$60,$FB$4:$FK$4))=0,0,((SUMIF($FB$3:$FK$3,FG$60,$FB120:$FK120))/SUMIF($FB$3:$FK$3,FG$60,$FB$4:$FK$4)))</f>
        <v>0</v>
      </c>
      <c r="FH71" s="196" t="n">
        <f aca="false">IF((SUMIF($FB$3:$FK$3,FH$60,$FB$4:$FK$4))=0,0,((SUMIF($FB$3:$FK$3,FH$60,$FB120:$FK120))/SUMIF($FB$3:$FK$3,FH$60,$FB$4:$FK$4)))</f>
        <v>0</v>
      </c>
      <c r="FI71" s="196" t="n">
        <f aca="false">IF((SUMIF($FB$3:$FK$3,FI$60,$FB$4:$FK$4))=0,0,((SUMIF($FB$3:$FK$3,FI$60,$FB120:$FK120))/SUMIF($FB$3:$FK$3,FI$60,$FB$4:$FK$4)))</f>
        <v>0</v>
      </c>
      <c r="FJ71" s="196" t="n">
        <f aca="false">IF((SUMIF($FB$3:$FK$3,FJ$60,$FB$4:$FK$4))=0,0,((SUMIF($FB$3:$FK$3,FJ$60,$FB120:$FK120))/SUMIF($FB$3:$FK$3,FJ$60,$FB$4:$FK$4)))</f>
        <v>0</v>
      </c>
      <c r="FK71" s="197" t="n">
        <f aca="false">IF((SUMIF($FB$3:$FK$3,FK$60,$FB$4:$FK$4))=0,0,((SUMIF($FB$3:$FK$3,FK$60,$FB120:$FK120))/SUMIF($FB$3:$FK$3,FK$60,$FB$4:$FK$4)))</f>
        <v>0</v>
      </c>
      <c r="FL71" s="194" t="str">
        <f aca="false">FA71</f>
        <v>Alumno10</v>
      </c>
      <c r="FM71" s="195" t="n">
        <f aca="false">IF((SUMIF($FM$3:$FV$3,FM$60,$FM$4:$FV$4))=0,0,((SUMIF($FM$3:$FV$3,FM$60,$FM120:$FV120))/SUMIF($FM$3:$FV$3,FM$60,$FM$4:$FV$4)))</f>
        <v>0</v>
      </c>
      <c r="FN71" s="196" t="n">
        <f aca="false">IF((SUMIF($FM$3:$FV$3,FN$60,$FM$4:$FV$4))=0,0,((SUMIF($FM$3:$FV$3,FN$60,$FM120:$FV120))/SUMIF($FM$3:$FV$3,FN$60,$FM$4:$FV$4)))</f>
        <v>0</v>
      </c>
      <c r="FO71" s="196" t="n">
        <f aca="false">IF((SUMIF($FM$3:$FV$3,FO$60,$FM$4:$FV$4))=0,0,((SUMIF($FM$3:$FV$3,FO$60,$FM120:$FV120))/SUMIF($FM$3:$FV$3,FO$60,$FM$4:$FV$4)))</f>
        <v>0</v>
      </c>
      <c r="FP71" s="196" t="n">
        <f aca="false">IF((SUMIF($FM$3:$FV$3,FP$60,$FM$4:$FV$4))=0,0,((SUMIF($FM$3:$FV$3,FP$60,$FM120:$FV120))/SUMIF($FM$3:$FV$3,FP$60,$FM$4:$FV$4)))</f>
        <v>0</v>
      </c>
      <c r="FQ71" s="196" t="n">
        <f aca="false">IF((SUMIF($FM$3:$FV$3,FQ$60,$FM$4:$FV$4))=0,0,((SUMIF($FM$3:$FV$3,FQ$60,$FM120:$FV120))/SUMIF($FM$3:$FV$3,FQ$60,$FM$4:$FV$4)))</f>
        <v>0</v>
      </c>
      <c r="FR71" s="196" t="n">
        <f aca="false">IF((SUMIF($FM$3:$FV$3,FR$60,$FM$4:$FV$4))=0,0,((SUMIF($FM$3:$FV$3,FR$60,$FM120:$FV120))/SUMIF($FM$3:$FV$3,FR$60,$FM$4:$FV$4)))</f>
        <v>0</v>
      </c>
      <c r="FS71" s="196" t="n">
        <f aca="false">IF((SUMIF($FM$3:$FV$3,FS$60,$FM$4:$FV$4))=0,0,((SUMIF($FM$3:$FV$3,FS$60,$FM120:$FV120))/SUMIF($FM$3:$FV$3,FS$60,$FM$4:$FV$4)))</f>
        <v>0</v>
      </c>
      <c r="FT71" s="196" t="n">
        <f aca="false">IF((SUMIF($FM$3:$FV$3,FT$60,$FM$4:$FV$4))=0,0,((SUMIF($FM$3:$FV$3,FT$60,$FM120:$FV120))/SUMIF($FM$3:$FV$3,FT$60,$FM$4:$FV$4)))</f>
        <v>0</v>
      </c>
      <c r="FU71" s="196" t="n">
        <f aca="false">IF((SUMIF($FM$3:$FV$3,FU$60,$FM$4:$FV$4))=0,0,((SUMIF($FM$3:$FV$3,FU$60,$FM120:$FV120))/SUMIF($FM$3:$FV$3,FU$60,$FM$4:$FV$4)))</f>
        <v>0</v>
      </c>
      <c r="FV71" s="197" t="n">
        <f aca="false">IF((SUMIF($FM$3:$FV$3,FV$60,$FM$4:$FV$4))=0,0,((SUMIF($FM$3:$FV$3,FV$60,$FM120:$FV120))/SUMIF($FM$3:$FV$3,FV$60,$FM$4:$FV$4)))</f>
        <v>0</v>
      </c>
      <c r="FW71" s="194" t="str">
        <f aca="false">FL71</f>
        <v>Alumno10</v>
      </c>
      <c r="FX71" s="195" t="n">
        <f aca="false">IF((SUMIF($FX$3:$GG$3,FX$60,$FX$4:$GG$4))=0,0,((SUMIF($FX$3:$GG$3,FX$60,$FX120:$GG120))/SUMIF($FX$3:$GG$3,FX$60,$FX$4:$GG$4)))</f>
        <v>0</v>
      </c>
      <c r="FY71" s="196" t="n">
        <f aca="false">IF((SUMIF($FX$3:$GG$3,FY$60,$FX$4:$GG$4))=0,0,((SUMIF($FX$3:$GG$3,FY$60,$FX120:$GG120))/SUMIF($FX$3:$GG$3,FY$60,$FX$4:$GG$4)))</f>
        <v>0</v>
      </c>
      <c r="FZ71" s="196" t="n">
        <f aca="false">IF((SUMIF($FX$3:$GG$3,FZ$60,$FX$4:$GG$4))=0,0,((SUMIF($FX$3:$GG$3,FZ$60,$FX120:$GG120))/SUMIF($FX$3:$GG$3,FZ$60,$FX$4:$GG$4)))</f>
        <v>0</v>
      </c>
      <c r="GA71" s="196" t="n">
        <f aca="false">IF((SUMIF($FX$3:$GG$3,GA$60,$FX$4:$GG$4))=0,0,((SUMIF($FX$3:$GG$3,GA$60,$FX120:$GG120))/SUMIF($FX$3:$GG$3,GA$60,$FX$4:$GG$4)))</f>
        <v>0</v>
      </c>
      <c r="GB71" s="196" t="n">
        <f aca="false">IF((SUMIF($FX$3:$GG$3,GB$60,$FX$4:$GG$4))=0,0,((SUMIF($FX$3:$GG$3,GB$60,$FX120:$GG120))/SUMIF($FX$3:$GG$3,GB$60,$FX$4:$GG$4)))</f>
        <v>0</v>
      </c>
      <c r="GC71" s="196" t="n">
        <f aca="false">IF((SUMIF($FX$3:$GG$3,GC$60,$FX$4:$GG$4))=0,0,((SUMIF($FX$3:$GG$3,GC$60,$FX120:$GG120))/SUMIF($FX$3:$GG$3,GC$60,$FX$4:$GG$4)))</f>
        <v>0</v>
      </c>
      <c r="GD71" s="196" t="n">
        <f aca="false">IF((SUMIF($FX$3:$GG$3,GD$60,$FX$4:$GG$4))=0,0,((SUMIF($FX$3:$GG$3,GD$60,$FX120:$GG120))/SUMIF($FX$3:$GG$3,GD$60,$FX$4:$GG$4)))</f>
        <v>0</v>
      </c>
      <c r="GE71" s="196" t="n">
        <f aca="false">IF((SUMIF($FX$3:$GG$3,GE$60,$FX$4:$GG$4))=0,0,((SUMIF($FX$3:$GG$3,GE$60,$FX120:$GG120))/SUMIF($FX$3:$GG$3,GE$60,$FX$4:$GG$4)))</f>
        <v>0</v>
      </c>
      <c r="GF71" s="196" t="n">
        <f aca="false">IF((SUMIF($FX$3:$GG$3,GF$60,$FX$4:$GG$4))=0,0,((SUMIF($FX$3:$GG$3,GF$60,$FX120:$GG120))/SUMIF($FX$3:$GG$3,GF$60,$FX$4:$GG$4)))</f>
        <v>0</v>
      </c>
      <c r="GG71" s="197" t="n">
        <f aca="false">IF((SUMIF($FX$3:$GG$3,GG$60,$FX$4:$GG$4))=0,0,((SUMIF($FX$3:$GG$3,GG$60,$FX120:$GG120))/SUMIF($FX$3:$GG$3,GG$60,$FX$4:$GG$4)))</f>
        <v>0</v>
      </c>
      <c r="GH71" s="194" t="str">
        <f aca="false">FW71</f>
        <v>Alumno10</v>
      </c>
      <c r="GI71" s="195" t="n">
        <f aca="false">IF((SUMIF($GI$3:$GR$3,GI$60,$GI$4:$GR$4))=0,0,((SUMIF($GI$3:$GR$3,GI$60,$GI120:$GR120))/SUMIF($GI$3:$GR$3,GI$60,$GI$4:$GR$4)))</f>
        <v>0</v>
      </c>
      <c r="GJ71" s="196" t="n">
        <f aca="false">IF((SUMIF($GI$3:$GR$3,GJ$60,$GI$4:$GR$4))=0,0,((SUMIF($GI$3:$GR$3,GJ$60,$GI120:$GR120))/SUMIF($GI$3:$GR$3,GJ$60,$GI$4:$GR$4)))</f>
        <v>0</v>
      </c>
      <c r="GK71" s="196" t="n">
        <f aca="false">IF((SUMIF($GI$3:$GR$3,GK$60,$GI$4:$GR$4))=0,0,((SUMIF($GI$3:$GR$3,GK$60,$GI120:$GR120))/SUMIF($GI$3:$GR$3,GK$60,$GI$4:$GR$4)))</f>
        <v>0</v>
      </c>
      <c r="GL71" s="196" t="n">
        <f aca="false">IF((SUMIF($GI$3:$GR$3,GL$60,$GI$4:$GR$4))=0,0,((SUMIF($GI$3:$GR$3,GL$60,$GI120:$GR120))/SUMIF($GI$3:$GR$3,GL$60,$GI$4:$GR$4)))</f>
        <v>0</v>
      </c>
      <c r="GM71" s="196" t="n">
        <f aca="false">IF((SUMIF($GI$3:$GR$3,GM$60,$GI$4:$GR$4))=0,0,((SUMIF($GI$3:$GR$3,GM$60,$GI120:$GR120))/SUMIF($GI$3:$GR$3,GM$60,$GI$4:$GR$4)))</f>
        <v>0</v>
      </c>
      <c r="GN71" s="196" t="n">
        <f aca="false">IF((SUMIF($GI$3:$GR$3,GN$60,$GI$4:$GR$4))=0,0,((SUMIF($GI$3:$GR$3,GN$60,$GI120:$GR120))/SUMIF($GI$3:$GR$3,GN$60,$GI$4:$GR$4)))</f>
        <v>0</v>
      </c>
      <c r="GO71" s="196" t="n">
        <f aca="false">IF((SUMIF($GI$3:$GR$3,GO$60,$GI$4:$GR$4))=0,0,((SUMIF($GI$3:$GR$3,GO$60,$GI120:$GR120))/SUMIF($GI$3:$GR$3,GO$60,$GI$4:$GR$4)))</f>
        <v>0</v>
      </c>
      <c r="GP71" s="196" t="n">
        <f aca="false">IF((SUMIF($GI$3:$GR$3,GP$60,$GI$4:$GR$4))=0,0,((SUMIF($GI$3:$GR$3,GP$60,$GI120:$GR120))/SUMIF($GI$3:$GR$3,GP$60,$GI$4:$GR$4)))</f>
        <v>0</v>
      </c>
      <c r="GQ71" s="196" t="n">
        <f aca="false">IF((SUMIF($GI$3:$GR$3,GQ$60,$GI$4:$GR$4))=0,0,((SUMIF($GI$3:$GR$3,GQ$60,$GI120:$GR120))/SUMIF($GI$3:$GR$3,GQ$60,$GI$4:$GR$4)))</f>
        <v>0</v>
      </c>
      <c r="GR71" s="197" t="n">
        <f aca="false">IF((SUMIF($GI$3:$GR$3,GR$60,$GI$4:$GR$4))=0,0,((SUMIF($GI$3:$GR$3,GR$60,$GI120:$GR120))/SUMIF($GI$3:$GR$3,GR$60,$GI$4:$GR$4)))</f>
        <v>0</v>
      </c>
      <c r="GS71" s="194" t="str">
        <f aca="false">GH71</f>
        <v>Alumno10</v>
      </c>
      <c r="GT71" s="195" t="n">
        <f aca="false">IF((SUMIF($GT$3:$HC$3,GT$60,$GT$4:$HC$4))=0,0,((SUMIF($GT$3:$HC$3,GT$60,$GT120:$HC120))/SUMIF($GT$3:$HC$3,GT$60,$GT$4:$HC$4)))</f>
        <v>0</v>
      </c>
      <c r="GU71" s="196" t="n">
        <f aca="false">IF((SUMIF($GT$3:$HC$3,GU$60,$GT$4:$HC$4))=0,0,((SUMIF($GT$3:$HC$3,GU$60,$GT120:$HC120))/SUMIF($GT$3:$HC$3,GU$60,$GT$4:$HC$4)))</f>
        <v>0</v>
      </c>
      <c r="GV71" s="196" t="n">
        <f aca="false">IF((SUMIF($GT$3:$HC$3,GV$60,$GT$4:$HC$4))=0,0,((SUMIF($GT$3:$HC$3,GV$60,$GT120:$HC120))/SUMIF($GT$3:$HC$3,GV$60,$GT$4:$HC$4)))</f>
        <v>0</v>
      </c>
      <c r="GW71" s="196" t="n">
        <f aca="false">IF((SUMIF($GT$3:$HC$3,GW$60,$GT$4:$HC$4))=0,0,((SUMIF($GT$3:$HC$3,GW$60,$GT120:$HC120))/SUMIF($GT$3:$HC$3,GW$60,$GT$4:$HC$4)))</f>
        <v>0</v>
      </c>
      <c r="GX71" s="196" t="n">
        <f aca="false">IF((SUMIF($GT$3:$HC$3,GX$60,$GT$4:$HC$4))=0,0,((SUMIF($GT$3:$HC$3,GX$60,$GT120:$HC120))/SUMIF($GT$3:$HC$3,GX$60,$GT$4:$HC$4)))</f>
        <v>0</v>
      </c>
      <c r="GY71" s="196" t="n">
        <f aca="false">IF((SUMIF($GT$3:$HC$3,GY$60,$GT$4:$HC$4))=0,0,((SUMIF($GT$3:$HC$3,GY$60,$GT120:$HC120))/SUMIF($GT$3:$HC$3,GY$60,$GT$4:$HC$4)))</f>
        <v>0</v>
      </c>
      <c r="GZ71" s="196" t="n">
        <f aca="false">IF((SUMIF($GT$3:$HC$3,GZ$60,$GT$4:$HC$4))=0,0,((SUMIF($GT$3:$HC$3,GZ$60,$GT120:$HC120))/SUMIF($GT$3:$HC$3,GZ$60,$GT$4:$HC$4)))</f>
        <v>0</v>
      </c>
      <c r="HA71" s="196" t="n">
        <f aca="false">IF((SUMIF($GT$3:$HC$3,HA$60,$GT$4:$HC$4))=0,0,((SUMIF($GT$3:$HC$3,HA$60,$GT120:$HC120))/SUMIF($GT$3:$HC$3,HA$60,$GT$4:$HC$4)))</f>
        <v>0</v>
      </c>
      <c r="HB71" s="196" t="n">
        <f aca="false">IF((SUMIF($GT$3:$HC$3,HB$60,$GT$4:$HC$4))=0,0,((SUMIF($GT$3:$HC$3,HB$60,$GT120:$HC120))/SUMIF($GT$3:$HC$3,HB$60,$GT$4:$HC$4)))</f>
        <v>0</v>
      </c>
      <c r="HC71" s="197" t="n">
        <f aca="false">IF((SUMIF($GT$3:$HC$3,HC$60,$GT$4:$HC$4))=0,0,((SUMIF($GT$3:$HC$3,HC$60,$GT120:$HC120))/SUMIF($GT$3:$HC$3,HC$60,$GT$4:$HC$4)))</f>
        <v>0</v>
      </c>
      <c r="HD71" s="194" t="str">
        <f aca="false">GS71</f>
        <v>Alumno10</v>
      </c>
      <c r="HE71" s="195" t="n">
        <f aca="false">IF((SUMIF($HE$3:$HN$3,HE$60,$HE$4:$HN$4))=0,0,((SUMIF($HE$3:$HN$3,HE$60,$HE120:$HN120))/SUMIF($HE$3:$HN$3,HE$60,$HE$4:$HN$4)))</f>
        <v>0</v>
      </c>
      <c r="HF71" s="196" t="n">
        <f aca="false">IF((SUMIF($HE$3:$HN$3,HF$60,$HE$4:$HN$4))=0,0,((SUMIF($HE$3:$HN$3,HF$60,$HE120:$HN120))/SUMIF($HE$3:$HN$3,HF$60,$HE$4:$HN$4)))</f>
        <v>0</v>
      </c>
      <c r="HG71" s="196" t="n">
        <f aca="false">IF((SUMIF($HE$3:$HN$3,HG$60,$HE$4:$HN$4))=0,0,((SUMIF($HE$3:$HN$3,HG$60,$HE120:$HN120))/SUMIF($HE$3:$HN$3,HG$60,$HE$4:$HN$4)))</f>
        <v>0</v>
      </c>
      <c r="HH71" s="196" t="n">
        <f aca="false">IF((SUMIF($HE$3:$HN$3,HH$60,$HE$4:$HN$4))=0,0,((SUMIF($HE$3:$HN$3,HH$60,$HE120:$HN120))/SUMIF($HE$3:$HN$3,HH$60,$HE$4:$HN$4)))</f>
        <v>0</v>
      </c>
      <c r="HI71" s="196" t="n">
        <f aca="false">IF((SUMIF($HE$3:$HN$3,HI$60,$HE$4:$HN$4))=0,0,((SUMIF($HE$3:$HN$3,HI$60,$HE120:$HN120))/SUMIF($HE$3:$HN$3,HI$60,$HE$4:$HN$4)))</f>
        <v>0</v>
      </c>
      <c r="HJ71" s="196" t="n">
        <f aca="false">IF((SUMIF($HE$3:$HN$3,HJ$60,$HE$4:$HN$4))=0,0,((SUMIF($HE$3:$HN$3,HJ$60,$HE120:$HN120))/SUMIF($HE$3:$HN$3,HJ$60,$HE$4:$HN$4)))</f>
        <v>0</v>
      </c>
      <c r="HK71" s="196" t="n">
        <f aca="false">IF((SUMIF($HE$3:$HN$3,HK$60,$HE$4:$HN$4))=0,0,((SUMIF($HE$3:$HN$3,HK$60,$HE120:$HN120))/SUMIF($HE$3:$HN$3,HK$60,$HE$4:$HN$4)))</f>
        <v>0</v>
      </c>
      <c r="HL71" s="196" t="n">
        <f aca="false">IF((SUMIF($HE$3:$HN$3,HL$60,$HE$4:$HN$4))=0,0,((SUMIF($HE$3:$HN$3,HL$60,$HE120:$HN120))/SUMIF($HE$3:$HN$3,HL$60,$HE$4:$HN$4)))</f>
        <v>0</v>
      </c>
      <c r="HM71" s="196" t="n">
        <f aca="false">IF((SUMIF($HE$3:$HN$3,HM$60,$HE$4:$HN$4))=0,0,((SUMIF($HE$3:$HN$3,HM$60,$HE120:$HN120))/SUMIF($HE$3:$HN$3,HM$60,$HE$4:$HN$4)))</f>
        <v>0</v>
      </c>
      <c r="HN71" s="197" t="n">
        <f aca="false">IF((SUMIF($HE$3:$HN$3,HN$60,$HE$4:$HN$4))=0,0,((SUMIF($HE$3:$HN$3,HN$60,$HE120:$HN120))/SUMIF($HE$3:$HN$3,HN$60,$HE$4:$HN$4)))</f>
        <v>0</v>
      </c>
      <c r="HO71" s="194" t="str">
        <f aca="false">HD71</f>
        <v>Alumno10</v>
      </c>
      <c r="HP71" s="195" t="n">
        <f aca="false">IF((SUMIF($HP$3:$HY$3,HP$60,$HP$4:$HY$4))=0,0,((SUMIF($HP$3:$HY$3,HP$60,$HP120:$HY120))/SUMIF($HP$3:$HY$3,HP$60,$HP$4:$HY$4)))</f>
        <v>0</v>
      </c>
      <c r="HQ71" s="196" t="n">
        <f aca="false">IF((SUMIF($HP$3:$HY$3,HQ$60,$HP$4:$HY$4))=0,0,((SUMIF($HP$3:$HY$3,HQ$60,$HP120:$HY120))/SUMIF($HP$3:$HY$3,HQ$60,$HP$4:$HY$4)))</f>
        <v>0</v>
      </c>
      <c r="HR71" s="196" t="n">
        <f aca="false">IF((SUMIF($HP$3:$HY$3,HR$60,$HP$4:$HY$4))=0,0,((SUMIF($HP$3:$HY$3,HR$60,$HP120:$HY120))/SUMIF($HP$3:$HY$3,HR$60,$HP$4:$HY$4)))</f>
        <v>0</v>
      </c>
      <c r="HS71" s="196" t="n">
        <f aca="false">IF((SUMIF($HP$3:$HY$3,HS$60,$HP$4:$HY$4))=0,0,((SUMIF($HP$3:$HY$3,HS$60,$HP120:$HY120))/SUMIF($HP$3:$HY$3,HS$60,$HP$4:$HY$4)))</f>
        <v>0</v>
      </c>
      <c r="HT71" s="196" t="n">
        <f aca="false">IF((SUMIF($HP$3:$HY$3,HT$60,$HP$4:$HY$4))=0,0,((SUMIF($HP$3:$HY$3,HT$60,$HP120:$HY120))/SUMIF($HP$3:$HY$3,HT$60,$HP$4:$HY$4)))</f>
        <v>0</v>
      </c>
      <c r="HU71" s="196" t="n">
        <f aca="false">IF((SUMIF($HP$3:$HY$3,HU$60,$HP$4:$HY$4))=0,0,((SUMIF($HP$3:$HY$3,HU$60,$HP120:$HY120))/SUMIF($HP$3:$HY$3,HU$60,$HP$4:$HY$4)))</f>
        <v>0</v>
      </c>
      <c r="HV71" s="196" t="n">
        <f aca="false">IF((SUMIF($HP$3:$HY$3,HV$60,$HP$4:$HY$4))=0,0,((SUMIF($HP$3:$HY$3,HV$60,$HP120:$HY120))/SUMIF($HP$3:$HY$3,HV$60,$HP$4:$HY$4)))</f>
        <v>0</v>
      </c>
      <c r="HW71" s="196" t="n">
        <f aca="false">IF((SUMIF($HP$3:$HY$3,HW$60,$HP$4:$HY$4))=0,0,((SUMIF($HP$3:$HY$3,HW$60,$HP120:$HY120))/SUMIF($HP$3:$HY$3,HW$60,$HP$4:$HY$4)))</f>
        <v>0</v>
      </c>
      <c r="HX71" s="196" t="n">
        <f aca="false">IF((SUMIF($HP$3:$HY$3,HX$60,$HP$4:$HY$4))=0,0,((SUMIF($HP$3:$HY$3,HX$60,$HP120:$HY120))/SUMIF($HP$3:$HY$3,HX$60,$HP$4:$HY$4)))</f>
        <v>0</v>
      </c>
      <c r="HY71" s="197" t="n">
        <f aca="false">IF((SUMIF($HP$3:$HY$3,HY$60,$HP$4:$HY$4))=0,0,((SUMIF($HP$3:$HY$3,HY$60,$HP120:$HY120))/SUMIF($HP$3:$HY$3,HY$60,$HP$4:$HY$4)))</f>
        <v>0</v>
      </c>
      <c r="HZ71" s="194" t="str">
        <f aca="false">HO71</f>
        <v>Alumno10</v>
      </c>
      <c r="IA71" s="195" t="n">
        <f aca="false">IF((SUMIF($IA$3:$IJ$3,IA$60,$IA$4:$IJ$4))=0,0,((SUMIF($IA$3:$IJ$3,IA$60,$IA120:$IJ120))/SUMIF($IA$3:$IJ$3,IA$60,$IA$4:$IJ$4)))</f>
        <v>0</v>
      </c>
      <c r="IB71" s="196" t="n">
        <f aca="false">IF((SUMIF($IA$3:$IJ$3,IB$60,$IA$4:$IJ$4))=0,0,((SUMIF($IA$3:$IJ$3,IB$60,$IA120:$IJ120))/SUMIF($IA$3:$IJ$3,IB$60,$IA$4:$IJ$4)))</f>
        <v>0</v>
      </c>
      <c r="IC71" s="196" t="n">
        <f aca="false">IF((SUMIF($IA$3:$IJ$3,IC$60,$IA$4:$IJ$4))=0,0,((SUMIF($IA$3:$IJ$3,IC$60,$IA120:$IJ120))/SUMIF($IA$3:$IJ$3,IC$60,$IA$4:$IJ$4)))</f>
        <v>0</v>
      </c>
      <c r="ID71" s="196" t="n">
        <f aca="false">IF((SUMIF($IA$3:$IJ$3,ID$60,$IA$4:$IJ$4))=0,0,((SUMIF($IA$3:$IJ$3,ID$60,$IA120:$IJ120))/SUMIF($IA$3:$IJ$3,ID$60,$IA$4:$IJ$4)))</f>
        <v>0</v>
      </c>
      <c r="IE71" s="196" t="n">
        <f aca="false">IF((SUMIF($IA$3:$IJ$3,IE$60,$IA$4:$IJ$4))=0,0,((SUMIF($IA$3:$IJ$3,IE$60,$IA120:$IJ120))/SUMIF($IA$3:$IJ$3,IE$60,$IA$4:$IJ$4)))</f>
        <v>0</v>
      </c>
      <c r="IF71" s="196" t="n">
        <f aca="false">IF((SUMIF($IA$3:$IJ$3,IF$60,$IA$4:$IJ$4))=0,0,((SUMIF($IA$3:$IJ$3,IF$60,$IA120:$IJ120))/SUMIF($IA$3:$IJ$3,IF$60,$IA$4:$IJ$4)))</f>
        <v>0</v>
      </c>
      <c r="IG71" s="196" t="n">
        <f aca="false">IF((SUMIF($IA$3:$IJ$3,IG$60,$IA$4:$IJ$4))=0,0,((SUMIF($IA$3:$IJ$3,IG$60,$IA120:$IJ120))/SUMIF($IA$3:$IJ$3,IG$60,$IA$4:$IJ$4)))</f>
        <v>0</v>
      </c>
      <c r="IH71" s="196" t="n">
        <f aca="false">IF((SUMIF($IA$3:$IJ$3,IH$60,$IA$4:$IJ$4))=0,0,((SUMIF($IA$3:$IJ$3,IH$60,$IA120:$IJ120))/SUMIF($IA$3:$IJ$3,IH$60,$IA$4:$IJ$4)))</f>
        <v>0</v>
      </c>
      <c r="II71" s="196" t="n">
        <f aca="false">IF((SUMIF($IA$3:$IJ$3,II$60,$IA$4:$IJ$4))=0,0,((SUMIF($IA$3:$IJ$3,II$60,$IA120:$IJ120))/SUMIF($IA$3:$IJ$3,II$60,$IA$4:$IJ$4)))</f>
        <v>0</v>
      </c>
      <c r="IJ71" s="197" t="n">
        <f aca="false">IF((SUMIF($IA$3:$IJ$3,IJ$60,$IA$4:$IJ$4))=0,0,((SUMIF($IA$3:$IJ$3,IJ$60,$IA120:$IJ120))/SUMIF($IA$3:$IJ$3,IJ$60,$IA$4:$IJ$4)))</f>
        <v>0</v>
      </c>
      <c r="IK71" s="194" t="str">
        <f aca="false">HZ71</f>
        <v>Alumno10</v>
      </c>
      <c r="IL71" s="195" t="n">
        <f aca="false">IF((SUMIF($IL$3:$IU$3,IL$60,$IL$4:$IU$4))=0,0,((SUMIF($IL$3:$IU$3,IL$60,$IL120:$IU120))/SUMIF($IL$3:$IU$3,IL$60,$IL$4:$IU$4)))</f>
        <v>0</v>
      </c>
      <c r="IM71" s="196" t="n">
        <f aca="false">IF((SUMIF($IL$3:$IU$3,IM$60,$IL$4:$IU$4))=0,0,((SUMIF($IL$3:$IU$3,IM$60,$IL120:$IU120))/SUMIF($IL$3:$IU$3,IM$60,$IL$4:$IU$4)))</f>
        <v>0</v>
      </c>
      <c r="IN71" s="196" t="n">
        <f aca="false">IF((SUMIF($IL$3:$IU$3,IN$60,$IL$4:$IU$4))=0,0,((SUMIF($IL$3:$IU$3,IN$60,$IL120:$IU120))/SUMIF($IL$3:$IU$3,IN$60,$IL$4:$IU$4)))</f>
        <v>0</v>
      </c>
      <c r="IO71" s="196" t="n">
        <f aca="false">IF((SUMIF($IL$3:$IU$3,IO$60,$IL$4:$IU$4))=0,0,((SUMIF($IL$3:$IU$3,IO$60,$IL120:$IU120))/SUMIF($IL$3:$IU$3,IO$60,$IL$4:$IU$4)))</f>
        <v>0</v>
      </c>
      <c r="IP71" s="196" t="n">
        <f aca="false">IF((SUMIF($IL$3:$IU$3,IP$60,$IL$4:$IU$4))=0,0,((SUMIF($IL$3:$IU$3,IP$60,$IL120:$IU120))/SUMIF($IL$3:$IU$3,IP$60,$IL$4:$IU$4)))</f>
        <v>0</v>
      </c>
      <c r="IQ71" s="196" t="n">
        <f aca="false">IF((SUMIF($IL$3:$IU$3,IQ$60,$IL$4:$IU$4))=0,0,((SUMIF($IL$3:$IU$3,IQ$60,$IL120:$IU120))/SUMIF($IL$3:$IU$3,IQ$60,$IL$4:$IU$4)))</f>
        <v>0</v>
      </c>
      <c r="IR71" s="196" t="n">
        <f aca="false">IF((SUMIF($IL$3:$IU$3,IR$60,$IL$4:$IU$4))=0,0,((SUMIF($IL$3:$IU$3,IR$60,$IL120:$IU120))/SUMIF($IL$3:$IU$3,IR$60,$IL$4:$IU$4)))</f>
        <v>0</v>
      </c>
      <c r="IS71" s="196" t="n">
        <f aca="false">IF((SUMIF($IL$3:$IU$3,IS$60,$IL$4:$IU$4))=0,0,((SUMIF($IL$3:$IU$3,IS$60,$IL120:$IU120))/SUMIF($IL$3:$IU$3,IS$60,$IL$4:$IU$4)))</f>
        <v>0</v>
      </c>
      <c r="IT71" s="196" t="n">
        <f aca="false">IF((SUMIF($IL$3:$IU$3,IT$60,$IL$4:$IU$4))=0,0,((SUMIF($IL$3:$IU$3,IT$60,$IL120:$IU120))/SUMIF($IL$3:$IU$3,IT$60,$IL$4:$IU$4)))</f>
        <v>0</v>
      </c>
      <c r="IU71" s="197" t="n">
        <f aca="false">IF((SUMIF($IL$3:$IU$3,IU$60,$IL$4:$IU$4))=0,0,((SUMIF($IL$3:$IU$3,IU$60,$IL120:$IU120))/SUMIF($IL$3:$IU$3,IU$60,$IL$4:$IU$4)))</f>
        <v>0</v>
      </c>
      <c r="IV71" s="194" t="str">
        <f aca="false">IK71</f>
        <v>Alumno10</v>
      </c>
      <c r="IW71" s="195" t="n">
        <f aca="false">IF((SUMIF($IW$3:$JF$3,IW$60,$IW$4:$JF$4))=0,0,((SUMIF($IW$3:$JF$3,IW$60,$IW120:$JF120))/SUMIF($IW$3:$JF$3,IW$60,$IW$4:$JF$4)))</f>
        <v>0</v>
      </c>
      <c r="IX71" s="196" t="n">
        <f aca="false">IF((SUMIF($IW$3:$JF$3,IX$60,$IW$4:$JF$4))=0,0,((SUMIF($IW$3:$JF$3,IX$60,$IW120:$JF120))/SUMIF($IW$3:$JF$3,IX$60,$IW$4:$JF$4)))</f>
        <v>0</v>
      </c>
      <c r="IY71" s="196" t="n">
        <f aca="false">IF((SUMIF($IW$3:$JF$3,IY$60,$IW$4:$JF$4))=0,0,((SUMIF($IW$3:$JF$3,IY$60,$IW120:$JF120))/SUMIF($IW$3:$JF$3,IY$60,$IW$4:$JF$4)))</f>
        <v>0</v>
      </c>
      <c r="IZ71" s="196" t="n">
        <f aca="false">IF((SUMIF($IW$3:$JF$3,IZ$60,$IW$4:$JF$4))=0,0,((SUMIF($IW$3:$JF$3,IZ$60,$IW120:$JF120))/SUMIF($IW$3:$JF$3,IZ$60,$IW$4:$JF$4)))</f>
        <v>0</v>
      </c>
      <c r="JA71" s="196" t="n">
        <f aca="false">IF((SUMIF($IW$3:$JF$3,JA$60,$IW$4:$JF$4))=0,0,((SUMIF($IW$3:$JF$3,JA$60,$IW120:$JF120))/SUMIF($IW$3:$JF$3,JA$60,$IW$4:$JF$4)))</f>
        <v>0</v>
      </c>
      <c r="JB71" s="196" t="n">
        <f aca="false">IF((SUMIF($IW$3:$JF$3,JB$60,$IW$4:$JF$4))=0,0,((SUMIF($IW$3:$JF$3,JB$60,$IW120:$JF120))/SUMIF($IW$3:$JF$3,JB$60,$IW$4:$JF$4)))</f>
        <v>0</v>
      </c>
      <c r="JC71" s="196" t="n">
        <f aca="false">IF((SUMIF($IW$3:$JF$3,JC$60,$IW$4:$JF$4))=0,0,((SUMIF($IW$3:$JF$3,JC$60,$IW120:$JF120))/SUMIF($IW$3:$JF$3,JC$60,$IW$4:$JF$4)))</f>
        <v>0</v>
      </c>
      <c r="JD71" s="196" t="n">
        <f aca="false">IF((SUMIF($IW$3:$JF$3,JD$60,$IW$4:$JF$4))=0,0,((SUMIF($IW$3:$JF$3,JD$60,$IW120:$JF120))/SUMIF($IW$3:$JF$3,JD$60,$IW$4:$JF$4)))</f>
        <v>0</v>
      </c>
      <c r="JE71" s="196" t="n">
        <f aca="false">IF((SUMIF($IW$3:$JF$3,JE$60,$IW$4:$JF$4))=0,0,((SUMIF($IW$3:$JF$3,JE$60,$IW120:$JF120))/SUMIF($IW$3:$JF$3,JE$60,$IW$4:$JF$4)))</f>
        <v>0</v>
      </c>
      <c r="JF71" s="197" t="n">
        <f aca="false">IF((SUMIF($IW$3:$JF$3,JF$60,$IW$4:$JF$4))=0,0,((SUMIF($IW$3:$JF$3,JF$60,$IW120:$JF120))/SUMIF($IW$3:$JF$3,JF$60,$IW$4:$JF$4)))</f>
        <v>0</v>
      </c>
      <c r="JG71" s="194" t="str">
        <f aca="false">IV71</f>
        <v>Alumno10</v>
      </c>
      <c r="JH71" s="195" t="n">
        <f aca="false">IF((SUMIF($JH$3:$JQ$3,JH$60,$JH$4:$JQ$4))=0,0,((SUMIF($JH$3:$JQ$3,JH$60,$JH120:$JQ120))/SUMIF($JH$3:$JQ$3,JH$60,$JH$4:$JQ$4)))</f>
        <v>0</v>
      </c>
      <c r="JI71" s="196" t="n">
        <f aca="false">IF((SUMIF($JH$3:$JQ$3,JI$60,$JH$4:$JQ$4))=0,0,((SUMIF($JH$3:$JQ$3,JI$60,$JH120:$JQ120))/SUMIF($JH$3:$JQ$3,JI$60,$JH$4:$JQ$4)))</f>
        <v>0</v>
      </c>
      <c r="JJ71" s="196" t="n">
        <f aca="false">IF((SUMIF($JH$3:$JQ$3,JJ$60,$JH$4:$JQ$4))=0,0,((SUMIF($JH$3:$JQ$3,JJ$60,$JH120:$JQ120))/SUMIF($JH$3:$JQ$3,JJ$60,$JH$4:$JQ$4)))</f>
        <v>0</v>
      </c>
      <c r="JK71" s="196" t="n">
        <f aca="false">IF((SUMIF($JH$3:$JQ$3,JK$60,$JH$4:$JQ$4))=0,0,((SUMIF($JH$3:$JQ$3,JK$60,$JH120:$JQ120))/SUMIF($JH$3:$JQ$3,JK$60,$JH$4:$JQ$4)))</f>
        <v>0</v>
      </c>
      <c r="JL71" s="196" t="n">
        <f aca="false">IF((SUMIF($JH$3:$JQ$3,JL$60,$JH$4:$JQ$4))=0,0,((SUMIF($JH$3:$JQ$3,JL$60,$JH120:$JQ120))/SUMIF($JH$3:$JQ$3,JL$60,$JH$4:$JQ$4)))</f>
        <v>0</v>
      </c>
      <c r="JM71" s="196" t="n">
        <f aca="false">IF((SUMIF($JH$3:$JQ$3,JM$60,$JH$4:$JQ$4))=0,0,((SUMIF($JH$3:$JQ$3,JM$60,$JH120:$JQ120))/SUMIF($JH$3:$JQ$3,JM$60,$JH$4:$JQ$4)))</f>
        <v>0</v>
      </c>
      <c r="JN71" s="196" t="n">
        <f aca="false">IF((SUMIF($JH$3:$JQ$3,JN$60,$JH$4:$JQ$4))=0,0,((SUMIF($JH$3:$JQ$3,JN$60,$JH120:$JQ120))/SUMIF($JH$3:$JQ$3,JN$60,$JH$4:$JQ$4)))</f>
        <v>0</v>
      </c>
      <c r="JO71" s="196" t="n">
        <f aca="false">IF((SUMIF($JH$3:$JQ$3,JO$60,$JH$4:$JQ$4))=0,0,((SUMIF($JH$3:$JQ$3,JO$60,$JH120:$JQ120))/SUMIF($JH$3:$JQ$3,JO$60,$JH$4:$JQ$4)))</f>
        <v>0</v>
      </c>
      <c r="JP71" s="196" t="n">
        <f aca="false">IF((SUMIF($JH$3:$JQ$3,JP$60,$JH$4:$JQ$4))=0,0,((SUMIF($JH$3:$JQ$3,JP$60,$JH120:$JQ120))/SUMIF($JH$3:$JQ$3,JP$60,$JH$4:$JQ$4)))</f>
        <v>0</v>
      </c>
      <c r="JQ71" s="197" t="n">
        <f aca="false">IF((SUMIF($JH$3:$JQ$3,JQ$60,$JH$4:$JQ$4))=0,0,((SUMIF($JH$3:$JQ$3,JQ$60,$JH120:$JQ120))/SUMIF($JH$3:$JQ$3,JQ$60,$JH$4:$JQ$4)))</f>
        <v>0</v>
      </c>
      <c r="JR71" s="194" t="str">
        <f aca="false">JG71</f>
        <v>Alumno10</v>
      </c>
      <c r="JS71" s="195" t="n">
        <f aca="false">IF((SUMIF($JS$3:$KB$3,JS$60,$JS$4:$KB$4))=0,0,((SUMIF($JS$3:$KB$3,JS$60,$JS120:$KB120))/SUMIF($JS$3:$KB$3,JS$60,$JS$4:$KB$4)))</f>
        <v>0</v>
      </c>
      <c r="JT71" s="196" t="n">
        <f aca="false">IF((SUMIF($JS$3:$KB$3,JT$60,$JS$4:$KB$4))=0,0,((SUMIF($JS$3:$KB$3,JT$60,$JS120:$KB120))/SUMIF($JS$3:$KB$3,JT$60,$JS$4:$KB$4)))</f>
        <v>0</v>
      </c>
      <c r="JU71" s="196" t="n">
        <f aca="false">IF((SUMIF($JS$3:$KB$3,JU$60,$JS$4:$KB$4))=0,0,((SUMIF($JS$3:$KB$3,JU$60,$JS120:$KB120))/SUMIF($JS$3:$KB$3,JU$60,$JS$4:$KB$4)))</f>
        <v>0</v>
      </c>
      <c r="JV71" s="196" t="n">
        <f aca="false">IF((SUMIF($JS$3:$KB$3,JV$60,$JS$4:$KB$4))=0,0,((SUMIF($JS$3:$KB$3,JV$60,$JS120:$KB120))/SUMIF($JS$3:$KB$3,JV$60,$JS$4:$KB$4)))</f>
        <v>0</v>
      </c>
      <c r="JW71" s="196" t="n">
        <f aca="false">IF((SUMIF($JS$3:$KB$3,JW$60,$JS$4:$KB$4))=0,0,((SUMIF($JS$3:$KB$3,JW$60,$JS120:$KB120))/SUMIF($JS$3:$KB$3,JW$60,$JS$4:$KB$4)))</f>
        <v>0</v>
      </c>
      <c r="JX71" s="196" t="n">
        <f aca="false">IF((SUMIF($JS$3:$KB$3,JX$60,$JS$4:$KB$4))=0,0,((SUMIF($JS$3:$KB$3,JX$60,$JS120:$KB120))/SUMIF($JS$3:$KB$3,JX$60,$JS$4:$KB$4)))</f>
        <v>0</v>
      </c>
      <c r="JY71" s="196" t="n">
        <f aca="false">IF((SUMIF($JS$3:$KB$3,JY$60,$JS$4:$KB$4))=0,0,((SUMIF($JS$3:$KB$3,JY$60,$JS120:$KB120))/SUMIF($JS$3:$KB$3,JY$60,$JS$4:$KB$4)))</f>
        <v>0</v>
      </c>
      <c r="JZ71" s="196" t="n">
        <f aca="false">IF((SUMIF($JS$3:$KB$3,JZ$60,$JS$4:$KB$4))=0,0,((SUMIF($JS$3:$KB$3,JZ$60,$JS120:$KB120))/SUMIF($JS$3:$KB$3,JZ$60,$JS$4:$KB$4)))</f>
        <v>0</v>
      </c>
      <c r="KA71" s="196" t="n">
        <f aca="false">IF((SUMIF($JS$3:$KB$3,KA$60,$JS$4:$KB$4))=0,0,((SUMIF($JS$3:$KB$3,KA$60,$JS120:$KB120))/SUMIF($JS$3:$KB$3,KA$60,$JS$4:$KB$4)))</f>
        <v>0</v>
      </c>
      <c r="KB71" s="197" t="n">
        <f aca="false">IF((SUMIF($JS$3:$KB$3,KB$60,$JS$4:$KB$4))=0,0,((SUMIF($JS$3:$KB$3,KB$60,$JS120:$KB120))/SUMIF($JS$3:$KB$3,KB$60,$JS$4:$KB$4)))</f>
        <v>0</v>
      </c>
      <c r="KC71" s="194" t="str">
        <f aca="false">JR71</f>
        <v>Alumno10</v>
      </c>
      <c r="KD71" s="195" t="n">
        <f aca="false">IF((SUMIF($KD$3:$KM$3,KD$60,$KD$4:$KM$4))=0,0,((SUMIF($KD$3:$KM$3,KD$60,$KD120:$KM120))/SUMIF($KD$3:$KM$3,KD$60,$KD$4:$KM$4)))</f>
        <v>0</v>
      </c>
      <c r="KE71" s="196" t="n">
        <f aca="false">IF((SUMIF($KD$3:$KM$3,KE$60,$KD$4:$KM$4))=0,0,((SUMIF($KD$3:$KM$3,KE$60,$KD120:$KM120))/SUMIF($KD$3:$KM$3,KE$60,$KD$4:$KM$4)))</f>
        <v>0</v>
      </c>
      <c r="KF71" s="196" t="n">
        <f aca="false">IF((SUMIF($KD$3:$KM$3,KF$60,$KD$4:$KM$4))=0,0,((SUMIF($KD$3:$KM$3,KF$60,$KD120:$KM120))/SUMIF($KD$3:$KM$3,KF$60,$KD$4:$KM$4)))</f>
        <v>0</v>
      </c>
      <c r="KG71" s="196" t="n">
        <f aca="false">IF((SUMIF($KD$3:$KM$3,KG$60,$KD$4:$KM$4))=0,0,((SUMIF($KD$3:$KM$3,KG$60,$KD120:$KM120))/SUMIF($KD$3:$KM$3,KG$60,$KD$4:$KM$4)))</f>
        <v>0</v>
      </c>
      <c r="KH71" s="196" t="n">
        <f aca="false">IF((SUMIF($KD$3:$KM$3,KH$60,$KD$4:$KM$4))=0,0,((SUMIF($KD$3:$KM$3,KH$60,$KD120:$KM120))/SUMIF($KD$3:$KM$3,KH$60,$KD$4:$KM$4)))</f>
        <v>0</v>
      </c>
      <c r="KI71" s="196" t="n">
        <f aca="false">IF((SUMIF($KD$3:$KM$3,KI$60,$KD$4:$KM$4))=0,0,((SUMIF($KD$3:$KM$3,KI$60,$KD120:$KM120))/SUMIF($KD$3:$KM$3,KI$60,$KD$4:$KM$4)))</f>
        <v>0</v>
      </c>
      <c r="KJ71" s="196" t="n">
        <f aca="false">IF((SUMIF($KD$3:$KM$3,KJ$60,$KD$4:$KM$4))=0,0,((SUMIF($KD$3:$KM$3,KJ$60,$KD120:$KM120))/SUMIF($KD$3:$KM$3,KJ$60,$KD$4:$KM$4)))</f>
        <v>0</v>
      </c>
      <c r="KK71" s="196" t="n">
        <f aca="false">IF((SUMIF($KD$3:$KM$3,KK$60,$KD$4:$KM$4))=0,0,((SUMIF($KD$3:$KM$3,KK$60,$KD120:$KM120))/SUMIF($KD$3:$KM$3,KK$60,$KD$4:$KM$4)))</f>
        <v>0</v>
      </c>
      <c r="KL71" s="196" t="n">
        <f aca="false">IF((SUMIF($KD$3:$KM$3,KL$60,$KD$4:$KM$4))=0,0,((SUMIF($KD$3:$KM$3,KL$60,$KD120:$KM120))/SUMIF($KD$3:$KM$3,KL$60,$KD$4:$KM$4)))</f>
        <v>0</v>
      </c>
      <c r="KM71" s="197" t="n">
        <f aca="false">IF((SUMIF($KD$3:$KM$3,KM$60,$KD$4:$KM$4))=0,0,((SUMIF($KD$3:$KM$3,KM$60,$KD120:$KM120))/SUMIF($KD$3:$KM$3,KM$60,$KD$4:$KM$4)))</f>
        <v>0</v>
      </c>
      <c r="KN71" s="194" t="str">
        <f aca="false">KC71</f>
        <v>Alumno10</v>
      </c>
      <c r="KO71" s="195" t="n">
        <f aca="false">IF((SUMIF($KO$3:$KX$3,KO$60,$KO$4:$KX$4))=0,0,((SUMIF($KO$3:$KX$3,KO$60,$KO120:$KX120))/SUMIF($KO$3:$KX$3,KO$60,$KO$4:$KX$4)))</f>
        <v>0</v>
      </c>
      <c r="KP71" s="196" t="n">
        <f aca="false">IF((SUMIF($KO$3:$KX$3,KP$60,$KO$4:$KX$4))=0,0,((SUMIF($KO$3:$KX$3,KP$60,$KO120:$KX120))/SUMIF($KO$3:$KX$3,KP$60,$KO$4:$KX$4)))</f>
        <v>0</v>
      </c>
      <c r="KQ71" s="196" t="n">
        <f aca="false">IF((SUMIF($KO$3:$KX$3,KQ$60,$KO$4:$KX$4))=0,0,((SUMIF($KO$3:$KX$3,KQ$60,$KO120:$KX120))/SUMIF($KO$3:$KX$3,KQ$60,$KO$4:$KX$4)))</f>
        <v>0</v>
      </c>
      <c r="KR71" s="196" t="n">
        <f aca="false">IF((SUMIF($KO$3:$KX$3,KR$60,$KO$4:$KX$4))=0,0,((SUMIF($KO$3:$KX$3,KR$60,$KO120:$KX120))/SUMIF($KO$3:$KX$3,KR$60,$KO$4:$KX$4)))</f>
        <v>0</v>
      </c>
      <c r="KS71" s="196" t="n">
        <f aca="false">IF((SUMIF($KO$3:$KX$3,KS$60,$KO$4:$KX$4))=0,0,((SUMIF($KO$3:$KX$3,KS$60,$KO120:$KX120))/SUMIF($KO$3:$KX$3,KS$60,$KO$4:$KX$4)))</f>
        <v>0</v>
      </c>
      <c r="KT71" s="196" t="n">
        <f aca="false">IF((SUMIF($KO$3:$KX$3,KT$60,$KO$4:$KX$4))=0,0,((SUMIF($KO$3:$KX$3,KT$60,$KO120:$KX120))/SUMIF($KO$3:$KX$3,KT$60,$KO$4:$KX$4)))</f>
        <v>0</v>
      </c>
      <c r="KU71" s="196" t="n">
        <f aca="false">IF((SUMIF($KO$3:$KX$3,KU$60,$KO$4:$KX$4))=0,0,((SUMIF($KO$3:$KX$3,KU$60,$KO120:$KX120))/SUMIF($KO$3:$KX$3,KU$60,$KO$4:$KX$4)))</f>
        <v>0</v>
      </c>
      <c r="KV71" s="196" t="n">
        <f aca="false">IF((SUMIF($KO$3:$KX$3,KV$60,$KO$4:$KX$4))=0,0,((SUMIF($KO$3:$KX$3,KV$60,$KO120:$KX120))/SUMIF($KO$3:$KX$3,KV$60,$KO$4:$KX$4)))</f>
        <v>0</v>
      </c>
      <c r="KW71" s="196" t="n">
        <f aca="false">IF((SUMIF($KO$3:$KX$3,KW$60,$KO$4:$KX$4))=0,0,((SUMIF($KO$3:$KX$3,KW$60,$KO120:$KX120))/SUMIF($KO$3:$KX$3,KW$60,$KO$4:$KX$4)))</f>
        <v>0</v>
      </c>
      <c r="KX71" s="197" t="n">
        <f aca="false">IF((SUMIF($KO$3:$KX$3,KX$60,$KO$4:$KX$4))=0,0,((SUMIF($KO$3:$KX$3,KX$60,$KO120:$KX120))/SUMIF($KO$3:$KX$3,KX$60,$KO$4:$KX$4)))</f>
        <v>0</v>
      </c>
      <c r="KY71" s="194" t="str">
        <f aca="false">KN71</f>
        <v>Alumno10</v>
      </c>
      <c r="KZ71" s="195" t="n">
        <f aca="false">IF((SUMIF($KZ$3:$LI$3,KZ$60,$KZ$4:$LI$4))=0,0,((SUMIF($KZ$3:$LI$3,KZ$60,$KZ120:$LI120))/SUMIF($KZ$3:$LI$3,KZ$60,$KZ$4:$LI$4)))</f>
        <v>0</v>
      </c>
      <c r="LA71" s="196" t="n">
        <f aca="false">IF((SUMIF($KZ$3:$LI$3,LA$60,$KZ$4:$LI$4))=0,0,((SUMIF($KZ$3:$LI$3,LA$60,$KZ120:$LI120))/SUMIF($KZ$3:$LI$3,LA$60,$KZ$4:$LI$4)))</f>
        <v>0</v>
      </c>
      <c r="LB71" s="196" t="n">
        <f aca="false">IF((SUMIF($KZ$3:$LI$3,LB$60,$KZ$4:$LI$4))=0,0,((SUMIF($KZ$3:$LI$3,LB$60,$KZ120:$LI120))/SUMIF($KZ$3:$LI$3,LB$60,$KZ$4:$LI$4)))</f>
        <v>0</v>
      </c>
      <c r="LC71" s="196" t="n">
        <f aca="false">IF((SUMIF($KZ$3:$LI$3,LC$60,$KZ$4:$LI$4))=0,0,((SUMIF($KZ$3:$LI$3,LC$60,$KZ120:$LI120))/SUMIF($KZ$3:$LI$3,LC$60,$KZ$4:$LI$4)))</f>
        <v>0</v>
      </c>
      <c r="LD71" s="196" t="n">
        <f aca="false">IF((SUMIF($KZ$3:$LI$3,LD$60,$KZ$4:$LI$4))=0,0,((SUMIF($KZ$3:$LI$3,LD$60,$KZ120:$LI120))/SUMIF($KZ$3:$LI$3,LD$60,$KZ$4:$LI$4)))</f>
        <v>0</v>
      </c>
      <c r="LE71" s="196" t="n">
        <f aca="false">IF((SUMIF($KZ$3:$LI$3,LE$60,$KZ$4:$LI$4))=0,0,((SUMIF($KZ$3:$LI$3,LE$60,$KZ120:$LI120))/SUMIF($KZ$3:$LI$3,LE$60,$KZ$4:$LI$4)))</f>
        <v>0</v>
      </c>
      <c r="LF71" s="196" t="n">
        <f aca="false">IF((SUMIF($KZ$3:$LI$3,LF$60,$KZ$4:$LI$4))=0,0,((SUMIF($KZ$3:$LI$3,LF$60,$KZ120:$LI120))/SUMIF($KZ$3:$LI$3,LF$60,$KZ$4:$LI$4)))</f>
        <v>0</v>
      </c>
      <c r="LG71" s="196" t="n">
        <f aca="false">IF((SUMIF($KZ$3:$LI$3,LG$60,$KZ$4:$LI$4))=0,0,((SUMIF($KZ$3:$LI$3,LG$60,$KZ120:$LI120))/SUMIF($KZ$3:$LI$3,LG$60,$KZ$4:$LI$4)))</f>
        <v>0</v>
      </c>
      <c r="LH71" s="196" t="n">
        <f aca="false">IF((SUMIF($KZ$3:$LI$3,LH$60,$KZ$4:$LI$4))=0,0,((SUMIF($KZ$3:$LI$3,LH$60,$KZ120:$LI120))/SUMIF($KZ$3:$LI$3,LH$60,$KZ$4:$LI$4)))</f>
        <v>0</v>
      </c>
      <c r="LI71" s="197" t="n">
        <f aca="false">IF((SUMIF($KZ$3:$LI$3,LI$60,$KZ$4:$LI$4))=0,0,((SUMIF($KZ$3:$LI$3,LI$60,$KZ120:$LI120))/SUMIF($KZ$3:$LI$3,LI$60,$KZ$4:$LI$4)))</f>
        <v>0</v>
      </c>
      <c r="LJ71" s="194" t="str">
        <f aca="false">KY71</f>
        <v>Alumno10</v>
      </c>
      <c r="LK71" s="195" t="n">
        <f aca="false">IF((SUMIF($LK$3:$LT$3,LK$60,$LK$4:$LT$4))=0,0,((SUMIF($LK$3:$LT$3,LK$60,$LK120:$LT120))/SUMIF($LK$3:$LT$3,LK$60,$LK$4:$LT$4)))</f>
        <v>0</v>
      </c>
      <c r="LL71" s="196" t="n">
        <f aca="false">IF((SUMIF($LK$3:$LT$3,LL$60,$LK$4:$LT$4))=0,0,((SUMIF($LK$3:$LT$3,LL$60,$LK120:$LT120))/SUMIF($LK$3:$LT$3,LL$60,$LK$4:$LT$4)))</f>
        <v>0</v>
      </c>
      <c r="LM71" s="196" t="n">
        <f aca="false">IF((SUMIF($LK$3:$LT$3,LM$60,$LK$4:$LT$4))=0,0,((SUMIF($LK$3:$LT$3,LM$60,$LK120:$LT120))/SUMIF($LK$3:$LT$3,LM$60,$LK$4:$LT$4)))</f>
        <v>0</v>
      </c>
      <c r="LN71" s="196" t="n">
        <f aca="false">IF((SUMIF($LK$3:$LT$3,LN$60,$LK$4:$LT$4))=0,0,((SUMIF($LK$3:$LT$3,LN$60,$LK120:$LT120))/SUMIF($LK$3:$LT$3,LN$60,$LK$4:$LT$4)))</f>
        <v>0</v>
      </c>
      <c r="LO71" s="196" t="n">
        <f aca="false">IF((SUMIF($LK$3:$LT$3,LO$60,$LK$4:$LT$4))=0,0,((SUMIF($LK$3:$LT$3,LO$60,$LK120:$LT120))/SUMIF($LK$3:$LT$3,LO$60,$LK$4:$LT$4)))</f>
        <v>0</v>
      </c>
      <c r="LP71" s="196" t="n">
        <f aca="false">IF((SUMIF($LK$3:$LT$3,LP$60,$LK$4:$LT$4))=0,0,((SUMIF($LK$3:$LT$3,LP$60,$LK120:$LT120))/SUMIF($LK$3:$LT$3,LP$60,$LK$4:$LT$4)))</f>
        <v>0</v>
      </c>
      <c r="LQ71" s="196" t="n">
        <f aca="false">IF((SUMIF($LK$3:$LT$3,LQ$60,$LK$4:$LT$4))=0,0,((SUMIF($LK$3:$LT$3,LQ$60,$LK120:$LT120))/SUMIF($LK$3:$LT$3,LQ$60,$LK$4:$LT$4)))</f>
        <v>0</v>
      </c>
      <c r="LR71" s="196" t="n">
        <f aca="false">IF((SUMIF($LK$3:$LT$3,LR$60,$LK$4:$LT$4))=0,0,((SUMIF($LK$3:$LT$3,LR$60,$LK120:$LT120))/SUMIF($LK$3:$LT$3,LR$60,$LK$4:$LT$4)))</f>
        <v>0</v>
      </c>
      <c r="LS71" s="196" t="n">
        <f aca="false">IF((SUMIF($LK$3:$LT$3,LS$60,$LK$4:$LT$4))=0,0,((SUMIF($LK$3:$LT$3,LS$60,$LK120:$LT120))/SUMIF($LK$3:$LT$3,LS$60,$LK$4:$LT$4)))</f>
        <v>0</v>
      </c>
      <c r="LT71" s="197" t="n">
        <f aca="false">IF((SUMIF($LK$3:$LT$3,LT$60,$LK$4:$LT$4))=0,0,((SUMIF($LK$3:$LT$3,LT$60,$LK120:$LT120))/SUMIF($LK$3:$LT$3,LT$60,$LK$4:$LT$4)))</f>
        <v>0</v>
      </c>
    </row>
    <row r="72" customFormat="false" ht="15" hidden="true" customHeight="false" outlineLevel="0" collapsed="false">
      <c r="C72" s="194" t="str">
        <f aca="false">B16</f>
        <v>Alumno11</v>
      </c>
      <c r="D72" s="195" t="n">
        <f aca="false">IF((SUMIF($D$3:$M$3,D$60,$D$4:$M$4))=0,0,((SUMIF($D$3:$M$3,D$60,$D121:$M121))/SUMIF($D$3:$M$3,D$60,$D$4:$M$4)))</f>
        <v>6.9</v>
      </c>
      <c r="E72" s="196" t="n">
        <f aca="false">IF((SUMIF($D$3:$M$3,E$60,$D$4:$M$4))=0,0,((SUMIF($D$3:$M$3,E$60,$D121:$M121))/SUMIF($D$3:$M$3,E$60,$D$4:$M$4)))</f>
        <v>0</v>
      </c>
      <c r="F72" s="196" t="n">
        <f aca="false">IF((SUMIF($D$3:$M$3,F$60,$D$4:$M$4))=0,0,((SUMIF($D$3:$M$3,F$60,$D121:$M121))/SUMIF($D$3:$M$3,F$60,$D$4:$M$4)))</f>
        <v>0</v>
      </c>
      <c r="G72" s="196" t="n">
        <f aca="false">IF((SUMIF($D$3:$M$3,G$60,$D$4:$M$4))=0,0,((SUMIF($D$3:$M$3,G$60,$D121:$M121))/SUMIF($D$3:$M$3,G$60,$D$4:$M$4)))</f>
        <v>0</v>
      </c>
      <c r="H72" s="196" t="n">
        <f aca="false">IF((SUMIF($D$3:$M$3,H$60,$D$4:$M$4))=0,0,((SUMIF($D$3:$M$3,H$60,$D121:$M121))/SUMIF($D$3:$M$3,H$60,$D$4:$M$4)))</f>
        <v>0</v>
      </c>
      <c r="I72" s="196" t="n">
        <f aca="false">IF((SUMIF($D$3:$M$3,I$60,$D$4:$M$4))=0,0,((SUMIF($D$3:$M$3,I$60,$D121:$M121))/SUMIF($D$3:$M$3,I$60,$D$4:$M$4)))</f>
        <v>0</v>
      </c>
      <c r="J72" s="196" t="n">
        <f aca="false">IF((SUMIF($D$3:$M$3,J$60,$D$4:$M$4))=0,0,((SUMIF($D$3:$M$3,J$60,$D121:$M121))/SUMIF($D$3:$M$3,J$60,$D$4:$M$4)))</f>
        <v>0</v>
      </c>
      <c r="K72" s="196" t="n">
        <f aca="false">IF((SUMIF($D$3:$M$3,K$60,$D$4:$M$4))=0,0,((SUMIF($D$3:$M$3,K$60,$D121:$M121))/SUMIF($D$3:$M$3,K$60,$D$4:$M$4)))</f>
        <v>0</v>
      </c>
      <c r="L72" s="196" t="n">
        <f aca="false">IF((SUMIF($D$3:$M$3,L$60,$D$4:$M$4))=0,0,((SUMIF($D$3:$M$3,L$60,$D121:$M121))/SUMIF($D$3:$M$3,L$60,$D$4:$M$4)))</f>
        <v>0</v>
      </c>
      <c r="M72" s="197" t="n">
        <f aca="false">IF((SUMIF($D$3:$M$3,M$60,$D$4:$M$4))=0,0,((SUMIF($D$3:$M$3,M$60,$D121:$M121))/SUMIF($D$3:$M$3,M$60,$D$4:$M$4)))</f>
        <v>0</v>
      </c>
      <c r="N72" s="194" t="str">
        <f aca="false">C72</f>
        <v>Alumno11</v>
      </c>
      <c r="O72" s="195" t="n">
        <f aca="false">IF((SUMIF($O$3:$X$3,O$60,$O$4:$X$4))=0,0,((SUMIF($O$3:$X$3,O$60,$O121:$X121))/SUMIF($O$3:$X$3,O$60,$O$4:$X$4)))</f>
        <v>6.5</v>
      </c>
      <c r="P72" s="196" t="n">
        <f aca="false">IF((SUMIF($O$3:$X$3,P$60,$O$4:$X$4))=0,0,((SUMIF($O$3:$X$3,P$60,$O121:$X121))/SUMIF($O$3:$X$3,P$60,$O$4:$X$4)))</f>
        <v>7</v>
      </c>
      <c r="Q72" s="196" t="n">
        <f aca="false">IF((SUMIF($O$3:$X$3,Q$60,$O$4:$X$4))=0,0,((SUMIF($O$3:$X$3,Q$60,$O121:$X121))/SUMIF($O$3:$X$3,Q$60,$O$4:$X$4)))</f>
        <v>0</v>
      </c>
      <c r="R72" s="196" t="n">
        <f aca="false">IF((SUMIF($O$3:$X$3,R$60,$O$4:$X$4))=0,0,((SUMIF($O$3:$X$3,R$60,$O121:$X121))/SUMIF($O$3:$X$3,R$60,$O$4:$X$4)))</f>
        <v>0</v>
      </c>
      <c r="S72" s="196" t="n">
        <f aca="false">IF((SUMIF($O$3:$X$3,S$60,$O$4:$X$4))=0,0,((SUMIF($O$3:$X$3,S$60,$O121:$X121))/SUMIF($O$3:$X$3,S$60,$O$4:$X$4)))</f>
        <v>0</v>
      </c>
      <c r="T72" s="196" t="n">
        <f aca="false">IF((SUMIF($O$3:$X$3,T$60,$O$4:$X$4))=0,0,((SUMIF($O$3:$X$3,T$60,$O121:$X121))/SUMIF($O$3:$X$3,T$60,$O$4:$X$4)))</f>
        <v>0</v>
      </c>
      <c r="U72" s="196" t="n">
        <f aca="false">IF((SUMIF($O$3:$X$3,U$60,$O$4:$X$4))=0,0,((SUMIF($O$3:$X$3,U$60,$O121:$X121))/SUMIF($O$3:$X$3,U$60,$O$4:$X$4)))</f>
        <v>0</v>
      </c>
      <c r="V72" s="196" t="n">
        <f aca="false">IF((SUMIF($O$3:$X$3,V$60,$O$4:$X$4))=0,0,((SUMIF($O$3:$X$3,V$60,$O121:$X121))/SUMIF($O$3:$X$3,V$60,$O$4:$X$4)))</f>
        <v>0</v>
      </c>
      <c r="W72" s="196" t="n">
        <f aca="false">IF((SUMIF($O$3:$X$3,W$60,$O$4:$X$4))=0,0,((SUMIF($O$3:$X$3,W$60,$O121:$X121))/SUMIF($O$3:$X$3,W$60,$O$4:$X$4)))</f>
        <v>0</v>
      </c>
      <c r="X72" s="197" t="n">
        <f aca="false">IF((SUMIF($O$3:$X$3,X$60,$O$4:$X$4))=0,0,((SUMIF($O$3:$X$3,X$60,$O121:$X121))/SUMIF($O$3:$X$3,X$60,$O$4:$X$4)))</f>
        <v>0</v>
      </c>
      <c r="Y72" s="194" t="str">
        <f aca="false">N72</f>
        <v>Alumno11</v>
      </c>
      <c r="Z72" s="195" t="n">
        <f aca="false">IF((SUMIF($Z$3:$AI$3,Z$60,$Z$4:$AI$4))=0,0,((SUMIF($Z$3:$AI$3,Z$60,$Z121:$AI121))/SUMIF($Z$3:$AI$3,Z$60,$Z$4:$AI$4)))</f>
        <v>9</v>
      </c>
      <c r="AA72" s="196" t="n">
        <f aca="false">IF((SUMIF($Z$3:$AI$3,AA$60,$Z$4:$AI$4))=0,0,((SUMIF($Z$3:$AI$3,AA$60,$Z121:$AI121))/SUMIF($Z$3:$AI$3,AA$60,$Z$4:$AI$4)))</f>
        <v>9</v>
      </c>
      <c r="AB72" s="196" t="n">
        <f aca="false">IF((SUMIF($Z$3:$AI$3,AB$60,$Z$4:$AI$4))=0,0,((SUMIF($Z$3:$AI$3,AB$60,$Z121:$AI121))/SUMIF($Z$3:$AI$3,AB$60,$Z$4:$AI$4)))</f>
        <v>9</v>
      </c>
      <c r="AC72" s="196" t="n">
        <f aca="false">IF((SUMIF($Z$3:$AI$3,AC$60,$Z$4:$AI$4))=0,0,((SUMIF($Z$3:$AI$3,AC$60,$Z121:$AI121))/SUMIF($Z$3:$AI$3,AC$60,$Z$4:$AI$4)))</f>
        <v>0</v>
      </c>
      <c r="AD72" s="196" t="n">
        <f aca="false">IF((SUMIF($Z$3:$AI$3,AD$60,$Z$4:$AI$4))=0,0,((SUMIF($Z$3:$AI$3,AD$60,$Z121:$AI121))/SUMIF($Z$3:$AI$3,AD$60,$Z$4:$AI$4)))</f>
        <v>0</v>
      </c>
      <c r="AE72" s="196" t="n">
        <f aca="false">IF((SUMIF($Z$3:$AI$3,AE$60,$Z$4:$AI$4))=0,0,((SUMIF($Z$3:$AI$3,AE$60,$Z121:$AI121))/SUMIF($Z$3:$AI$3,AE$60,$Z$4:$AI$4)))</f>
        <v>0</v>
      </c>
      <c r="AF72" s="196" t="n">
        <f aca="false">IF((SUMIF($Z$3:$AI$3,AF$60,$Z$4:$AI$4))=0,0,((SUMIF($Z$3:$AI$3,AF$60,$Z121:$AI121))/SUMIF($Z$3:$AI$3,AF$60,$Z$4:$AI$4)))</f>
        <v>0</v>
      </c>
      <c r="AG72" s="196" t="n">
        <f aca="false">IF((SUMIF($Z$3:$AI$3,AG$60,$Z$4:$AI$4))=0,0,((SUMIF($Z$3:$AI$3,AG$60,$Z121:$AI121))/SUMIF($Z$3:$AI$3,AG$60,$Z$4:$AI$4)))</f>
        <v>0</v>
      </c>
      <c r="AH72" s="196" t="n">
        <f aca="false">IF((SUMIF($Z$3:$AI$3,AH$60,$Z$4:$AI$4))=0,0,((SUMIF($Z$3:$AI$3,AH$60,$Z121:$AI121))/SUMIF($Z$3:$AI$3,AH$60,$Z$4:$AI$4)))</f>
        <v>0</v>
      </c>
      <c r="AI72" s="197" t="n">
        <f aca="false">IF((SUMIF($Z$3:$AI$3,AI$60,$Z$4:$AI$4))=0,0,((SUMIF($Z$3:$AI$3,AI$60,$Z121:$AI121))/SUMIF($Z$3:$AI$3,AI$60,$Z$4:$AI$4)))</f>
        <v>0</v>
      </c>
      <c r="AJ72" s="194" t="str">
        <f aca="false">Y72</f>
        <v>Alumno11</v>
      </c>
      <c r="AK72" s="195" t="n">
        <f aca="false">IF((SUMIF($AK$3:$AT$3,AK$60,$AK$4:$AT$4))=0,0,((SUMIF($AK$3:$AT$3,AK$60,$AK121:$AT121))/SUMIF($AK$3:$AT$3,AK$60,$AK$4:$AT$4)))</f>
        <v>9</v>
      </c>
      <c r="AL72" s="196" t="n">
        <f aca="false">IF((SUMIF($AK$3:$AT$3,AL$60,$AK$4:$AT$4))=0,0,((SUMIF($AK$3:$AT$3,AL$60,$AK121:$AT121))/SUMIF($AK$3:$AT$3,AL$60,$AK$4:$AT$4)))</f>
        <v>9</v>
      </c>
      <c r="AM72" s="196" t="n">
        <f aca="false">IF((SUMIF($AK$3:$AT$3,AM$60,$AK$4:$AT$4))=0,0,((SUMIF($AK$3:$AT$3,AM$60,$AK121:$AT121))/SUMIF($AK$3:$AT$3,AM$60,$AK$4:$AT$4)))</f>
        <v>9</v>
      </c>
      <c r="AN72" s="196" t="n">
        <f aca="false">IF((SUMIF($AK$3:$AT$3,AN$60,$AK$4:$AT$4))=0,0,((SUMIF($AK$3:$AT$3,AN$60,$AK121:$AT121))/SUMIF($AK$3:$AT$3,AN$60,$AK$4:$AT$4)))</f>
        <v>0</v>
      </c>
      <c r="AO72" s="196" t="n">
        <f aca="false">IF((SUMIF($AK$3:$AT$3,AO$60,$AK$4:$AT$4))=0,0,((SUMIF($AK$3:$AT$3,AO$60,$AK121:$AT121))/SUMIF($AK$3:$AT$3,AO$60,$AK$4:$AT$4)))</f>
        <v>0</v>
      </c>
      <c r="AP72" s="196" t="n">
        <f aca="false">IF((SUMIF($AK$3:$AT$3,AP$60,$AK$4:$AT$4))=0,0,((SUMIF($AK$3:$AT$3,AP$60,$AK121:$AT121))/SUMIF($AK$3:$AT$3,AP$60,$AK$4:$AT$4)))</f>
        <v>0</v>
      </c>
      <c r="AQ72" s="196" t="n">
        <f aca="false">IF((SUMIF($AK$3:$AT$3,AQ$60,$AK$4:$AT$4))=0,0,((SUMIF($AK$3:$AT$3,AQ$60,$AK121:$AT121))/SUMIF($AK$3:$AT$3,AQ$60,$AK$4:$AT$4)))</f>
        <v>0</v>
      </c>
      <c r="AR72" s="196" t="n">
        <f aca="false">IF((SUMIF($AK$3:$AT$3,AR$60,$AK$4:$AT$4))=0,0,((SUMIF($AK$3:$AT$3,AR$60,$AK121:$AT121))/SUMIF($AK$3:$AT$3,AR$60,$AK$4:$AT$4)))</f>
        <v>0</v>
      </c>
      <c r="AS72" s="196" t="n">
        <f aca="false">IF((SUMIF($AK$3:$AT$3,AS$60,$AK$4:$AT$4))=0,0,((SUMIF($AK$3:$AT$3,AS$60,$AK121:$AT121))/SUMIF($AK$3:$AT$3,AS$60,$AK$4:$AT$4)))</f>
        <v>0</v>
      </c>
      <c r="AT72" s="197" t="n">
        <f aca="false">IF((SUMIF($AK$3:$AT$3,AT$60,$AK$4:$AT$4))=0,0,((SUMIF($AK$3:$AT$3,AT$60,$AK121:$AT121))/SUMIF($AK$3:$AT$3,AT$60,$AK$4:$AT$4)))</f>
        <v>0</v>
      </c>
      <c r="AU72" s="194" t="str">
        <f aca="false">AJ72</f>
        <v>Alumno11</v>
      </c>
      <c r="AV72" s="195" t="n">
        <f aca="false">IF((SUMIF($AV$3:$BE$3,AV$60,$AV$4:$BE$4))=0,0,((SUMIF($AV$3:$BE$3,AV$60,$AV121:$BE121))/SUMIF($AV$3:$BE$3,AV$60,$AV$4:$BE$4)))</f>
        <v>8</v>
      </c>
      <c r="AW72" s="196" t="n">
        <f aca="false">IF((SUMIF($AV$3:$BE$3,AW$60,$AV$4:$BE$4))=0,0,((SUMIF($AV$3:$BE$3,AW$60,$AV121:$BE121))/SUMIF($AV$3:$BE$3,AW$60,$AV$4:$BE$4)))</f>
        <v>5</v>
      </c>
      <c r="AX72" s="196" t="n">
        <f aca="false">IF((SUMIF($AV$3:$BE$3,AX$60,$AV$4:$BE$4))=0,0,((SUMIF($AV$3:$BE$3,AX$60,$AV121:$BE121))/SUMIF($AV$3:$BE$3,AX$60,$AV$4:$BE$4)))</f>
        <v>5.2</v>
      </c>
      <c r="AY72" s="196" t="n">
        <f aca="false">IF((SUMIF($AV$3:$BE$3,AY$60,$AV$4:$BE$4))=0,0,((SUMIF($AV$3:$BE$3,AY$60,$AV121:$BE121))/SUMIF($AV$3:$BE$3,AY$60,$AV$4:$BE$4)))</f>
        <v>9</v>
      </c>
      <c r="AZ72" s="196" t="n">
        <f aca="false">IF((SUMIF($AV$3:$BE$3,AZ$60,$AV$4:$BE$4))=0,0,((SUMIF($AV$3:$BE$3,AZ$60,$AV121:$BE121))/SUMIF($AV$3:$BE$3,AZ$60,$AV$4:$BE$4)))</f>
        <v>0</v>
      </c>
      <c r="BA72" s="196" t="n">
        <f aca="false">IF((SUMIF($AV$3:$BE$3,BA$60,$AV$4:$BE$4))=0,0,((SUMIF($AV$3:$BE$3,BA$60,$AV121:$BE121))/SUMIF($AV$3:$BE$3,BA$60,$AV$4:$BE$4)))</f>
        <v>0</v>
      </c>
      <c r="BB72" s="196" t="n">
        <f aca="false">IF((SUMIF($AV$3:$BE$3,BB$60,$AV$4:$BE$4))=0,0,((SUMIF($AV$3:$BE$3,BB$60,$AV121:$BE121))/SUMIF($AV$3:$BE$3,BB$60,$AV$4:$BE$4)))</f>
        <v>0</v>
      </c>
      <c r="BC72" s="196" t="n">
        <f aca="false">IF((SUMIF($AV$3:$BE$3,BC$60,$AV$4:$BE$4))=0,0,((SUMIF($AV$3:$BE$3,BC$60,$AV121:$BE121))/SUMIF($AV$3:$BE$3,BC$60,$AV$4:$BE$4)))</f>
        <v>0</v>
      </c>
      <c r="BD72" s="196" t="n">
        <f aca="false">IF((SUMIF($AV$3:$BE$3,BD$60,$AV$4:$BE$4))=0,0,((SUMIF($AV$3:$BE$3,BD$60,$AV121:$BE121))/SUMIF($AV$3:$BE$3,BD$60,$AV$4:$BE$4)))</f>
        <v>0</v>
      </c>
      <c r="BE72" s="197" t="n">
        <f aca="false">IF((SUMIF($AV$3:$BE$3,BE$60,$AV$4:$BE$4))=0,0,((SUMIF($AV$3:$BE$3,BE$60,$AV121:$BE121))/SUMIF($AV$3:$BE$3,BE$60,$AV$4:$BE$4)))</f>
        <v>0</v>
      </c>
      <c r="BF72" s="194" t="str">
        <f aca="false">AU72</f>
        <v>Alumno11</v>
      </c>
      <c r="BG72" s="195" t="n">
        <f aca="false">IF((SUMIF($BG$3:$BP$3,BG$60,$BG$4:$BP$4))=0,0,((SUMIF($BG$3:$BP$3,BG$60,$BG121:$BP121))/SUMIF($BG$3:$BP$3,BG$60,$BG$4:$BP$4)))</f>
        <v>8</v>
      </c>
      <c r="BH72" s="196" t="n">
        <f aca="false">IF((SUMIF($BG$3:$BP$3,BH$60,$BG$4:$BP$4))=0,0,((SUMIF($BG$3:$BP$3,BH$60,$BG121:$BP121))/SUMIF($BG$3:$BP$3,BH$60,$BG$4:$BP$4)))</f>
        <v>5</v>
      </c>
      <c r="BI72" s="196" t="n">
        <f aca="false">IF((SUMIF($BG$3:$BP$3,BI$60,$BG$4:$BP$4))=0,0,((SUMIF($BG$3:$BP$3,BI$60,$BG121:$BP121))/SUMIF($BG$3:$BP$3,BI$60,$BG$4:$BP$4)))</f>
        <v>7</v>
      </c>
      <c r="BJ72" s="196" t="n">
        <f aca="false">IF((SUMIF($BG$3:$BP$3,BJ$60,$BG$4:$BP$4))=0,0,((SUMIF($BG$3:$BP$3,BJ$60,$BG121:$BP121))/SUMIF($BG$3:$BP$3,BJ$60,$BG$4:$BP$4)))</f>
        <v>7</v>
      </c>
      <c r="BK72" s="196" t="n">
        <f aca="false">IF((SUMIF($BG$3:$BP$3,BK$60,$BG$4:$BP$4))=0,0,((SUMIF($BG$3:$BP$3,BK$60,$BG121:$BP121))/SUMIF($BG$3:$BP$3,BK$60,$BG$4:$BP$4)))</f>
        <v>0</v>
      </c>
      <c r="BL72" s="196" t="n">
        <f aca="false">IF((SUMIF($BG$3:$BP$3,BL$60,$BG$4:$BP$4))=0,0,((SUMIF($BG$3:$BP$3,BL$60,$BG121:$BP121))/SUMIF($BG$3:$BP$3,BL$60,$BG$4:$BP$4)))</f>
        <v>0</v>
      </c>
      <c r="BM72" s="196" t="n">
        <f aca="false">IF((SUMIF($BG$3:$BP$3,BM$60,$BG$4:$BP$4))=0,0,((SUMIF($BG$3:$BP$3,BM$60,$BG121:$BP121))/SUMIF($BG$3:$BP$3,BM$60,$BG$4:$BP$4)))</f>
        <v>0</v>
      </c>
      <c r="BN72" s="196" t="n">
        <f aca="false">IF((SUMIF($BG$3:$BP$3,BN$60,$BG$4:$BP$4))=0,0,((SUMIF($BG$3:$BP$3,BN$60,$BG121:$BP121))/SUMIF($BG$3:$BP$3,BN$60,$BG$4:$BP$4)))</f>
        <v>0</v>
      </c>
      <c r="BO72" s="196" t="n">
        <f aca="false">IF((SUMIF($BG$3:$BP$3,BO$60,$BG$4:$BP$4))=0,0,((SUMIF($BG$3:$BP$3,BO$60,$BG121:$BP121))/SUMIF($BG$3:$BP$3,BO$60,$BG$4:$BP$4)))</f>
        <v>0</v>
      </c>
      <c r="BP72" s="197" t="n">
        <f aca="false">IF((SUMIF($BG$3:$BP$3,BP$60,$BG$4:$BP$4))=0,0,((SUMIF($BG$3:$BP$3,BP$60,$BG121:$BP121))/SUMIF($BG$3:$BP$3,BP$60,$BG$4:$BP$4)))</f>
        <v>0</v>
      </c>
      <c r="BQ72" s="194" t="str">
        <f aca="false">BF72</f>
        <v>Alumno11</v>
      </c>
      <c r="BR72" s="195" t="n">
        <f aca="false">IF((SUMIF($BR$3:$CA$3,BR$60,$BR$4:$CA$4))=0,0,((SUMIF($BR$3:$CA$3,BR$60,$BR121:$CA121))/SUMIF($BR$3:$CA$3,BR$60,$BR$4:$CA$4)))</f>
        <v>0</v>
      </c>
      <c r="BS72" s="196" t="n">
        <f aca="false">IF((SUMIF($BR$3:$CA$3,BS$60,$BR$4:$CA$4))=0,0,((SUMIF($BR$3:$CA$3,BS$60,$BR121:$CA121))/SUMIF($BR$3:$CA$3,BS$60,$BR$4:$CA$4)))</f>
        <v>5</v>
      </c>
      <c r="BT72" s="196" t="n">
        <f aca="false">IF((SUMIF($BR$3:$CA$3,BT$60,$BR$4:$CA$4))=0,0,((SUMIF($BR$3:$CA$3,BT$60,$BR121:$CA121))/SUMIF($BR$3:$CA$3,BT$60,$BR$4:$CA$4)))</f>
        <v>5</v>
      </c>
      <c r="BU72" s="196" t="n">
        <f aca="false">IF((SUMIF($BR$3:$CA$3,BU$60,$BR$4:$CA$4))=0,0,((SUMIF($BR$3:$CA$3,BU$60,$BR121:$CA121))/SUMIF($BR$3:$CA$3,BU$60,$BR$4:$CA$4)))</f>
        <v>5</v>
      </c>
      <c r="BV72" s="196" t="n">
        <f aca="false">IF((SUMIF($BR$3:$CA$3,BV$60,$BR$4:$CA$4))=0,0,((SUMIF($BR$3:$CA$3,BV$60,$BR121:$CA121))/SUMIF($BR$3:$CA$3,BV$60,$BR$4:$CA$4)))</f>
        <v>0</v>
      </c>
      <c r="BW72" s="196" t="n">
        <f aca="false">IF((SUMIF($BR$3:$CA$3,BW$60,$BR$4:$CA$4))=0,0,((SUMIF($BR$3:$CA$3,BW$60,$BR121:$CA121))/SUMIF($BR$3:$CA$3,BW$60,$BR$4:$CA$4)))</f>
        <v>0</v>
      </c>
      <c r="BX72" s="196" t="n">
        <f aca="false">IF((SUMIF($BR$3:$CA$3,BX$60,$BR$4:$CA$4))=0,0,((SUMIF($BR$3:$CA$3,BX$60,$BR121:$CA121))/SUMIF($BR$3:$CA$3,BX$60,$BR$4:$CA$4)))</f>
        <v>0</v>
      </c>
      <c r="BY72" s="196" t="n">
        <f aca="false">IF((SUMIF($BR$3:$CA$3,BY$60,$BR$4:$CA$4))=0,0,((SUMIF($BR$3:$CA$3,BY$60,$BR121:$CA121))/SUMIF($BR$3:$CA$3,BY$60,$BR$4:$CA$4)))</f>
        <v>0</v>
      </c>
      <c r="BZ72" s="196" t="n">
        <f aca="false">IF((SUMIF($BR$3:$CA$3,BZ$60,$BR$4:$CA$4))=0,0,((SUMIF($BR$3:$CA$3,BZ$60,$BR121:$CA121))/SUMIF($BR$3:$CA$3,BZ$60,$BR$4:$CA$4)))</f>
        <v>0</v>
      </c>
      <c r="CA72" s="197" t="n">
        <f aca="false">IF((SUMIF($BR$3:$CA$3,CA$60,$BR$4:$CA$4))=0,0,((SUMIF($BR$3:$CA$3,CA$60,$BR121:$CA121))/SUMIF($BR$3:$CA$3,CA$60,$BR$4:$CA$4)))</f>
        <v>0</v>
      </c>
      <c r="CB72" s="194" t="str">
        <f aca="false">BQ72</f>
        <v>Alumno11</v>
      </c>
      <c r="CC72" s="195" t="n">
        <f aca="false">IF((SUMIF($CC$3:$CL$3,CC$60,$CC$4:$CL$4))=0,0,((SUMIF($CC$3:$CL$3,CC$60,$CC121:$CL121))/SUMIF($CC$3:$CL$3,CC$60,$CC$4:$CL$4)))</f>
        <v>0</v>
      </c>
      <c r="CD72" s="196" t="n">
        <f aca="false">IF((SUMIF($CC$3:$CL$3,CD$60,$CC$4:$CL$4))=0,0,((SUMIF($CC$3:$CL$3,CD$60,$CC121:$CL121))/SUMIF($CC$3:$CL$3,CD$60,$CC$4:$CL$4)))</f>
        <v>0</v>
      </c>
      <c r="CE72" s="196" t="n">
        <f aca="false">IF((SUMIF($CC$3:$CL$3,CE$60,$CC$4:$CL$4))=0,0,((SUMIF($CC$3:$CL$3,CE$60,$CC121:$CL121))/SUMIF($CC$3:$CL$3,CE$60,$CC$4:$CL$4)))</f>
        <v>0</v>
      </c>
      <c r="CF72" s="196" t="n">
        <f aca="false">IF((SUMIF($CC$3:$CL$3,CF$60,$CC$4:$CL$4))=0,0,((SUMIF($CC$3:$CL$3,CF$60,$CC121:$CL121))/SUMIF($CC$3:$CL$3,CF$60,$CC$4:$CL$4)))</f>
        <v>0</v>
      </c>
      <c r="CG72" s="196" t="n">
        <f aca="false">IF((SUMIF($CC$3:$CL$3,CG$60,$CC$4:$CL$4))=0,0,((SUMIF($CC$3:$CL$3,CG$60,$CC121:$CL121))/SUMIF($CC$3:$CL$3,CG$60,$CC$4:$CL$4)))</f>
        <v>0</v>
      </c>
      <c r="CH72" s="196" t="n">
        <f aca="false">IF((SUMIF($CC$3:$CL$3,CH$60,$CC$4:$CL$4))=0,0,((SUMIF($CC$3:$CL$3,CH$60,$CC121:$CL121))/SUMIF($CC$3:$CL$3,CH$60,$CC$4:$CL$4)))</f>
        <v>0</v>
      </c>
      <c r="CI72" s="196" t="n">
        <f aca="false">IF((SUMIF($CC$3:$CL$3,CI$60,$CC$4:$CL$4))=0,0,((SUMIF($CC$3:$CL$3,CI$60,$CC121:$CL121))/SUMIF($CC$3:$CL$3,CI$60,$CC$4:$CL$4)))</f>
        <v>0</v>
      </c>
      <c r="CJ72" s="196" t="n">
        <f aca="false">IF((SUMIF($CC$3:$CL$3,CJ$60,$CC$4:$CL$4))=0,0,((SUMIF($CC$3:$CL$3,CJ$60,$CC121:$CL121))/SUMIF($CC$3:$CL$3,CJ$60,$CC$4:$CL$4)))</f>
        <v>0</v>
      </c>
      <c r="CK72" s="196" t="n">
        <f aca="false">IF((SUMIF($CC$3:$CL$3,CK$60,$CC$4:$CL$4))=0,0,((SUMIF($CC$3:$CL$3,CK$60,$CC121:$CL121))/SUMIF($CC$3:$CL$3,CK$60,$CC$4:$CL$4)))</f>
        <v>0</v>
      </c>
      <c r="CL72" s="197" t="n">
        <f aca="false">IF((SUMIF($CC$3:$CL$3,CL$60,$CC$4:$CL$4))=0,0,((SUMIF($CC$3:$CL$3,CL$60,$CC121:$CL121))/SUMIF($CC$3:$CL$3,CL$60,$CC$4:$CL$4)))</f>
        <v>0</v>
      </c>
      <c r="CM72" s="194" t="str">
        <f aca="false">CB72</f>
        <v>Alumno11</v>
      </c>
      <c r="CN72" s="195" t="n">
        <f aca="false">IF((SUMIF($CN$3:$CW$3,CN$60,$CN$4:$CW$4))=0,0,((SUMIF($CN$3:$CW$3,CN$60,$CN121:$CW121))/SUMIF($CN$3:$CW$3,CN$60,$CN$4:$CW$4)))</f>
        <v>0</v>
      </c>
      <c r="CO72" s="196" t="n">
        <f aca="false">IF((SUMIF($CN$3:$CW$3,CO$60,$CN$4:$CW$4))=0,0,((SUMIF($CN$3:$CW$3,CO$60,$CN121:$CW121))/SUMIF($CN$3:$CW$3,CO$60,$CN$4:$CW$4)))</f>
        <v>0</v>
      </c>
      <c r="CP72" s="196" t="n">
        <f aca="false">IF((SUMIF($CN$3:$CW$3,CP$60,$CN$4:$CW$4))=0,0,((SUMIF($CN$3:$CW$3,CP$60,$CN121:$CW121))/SUMIF($CN$3:$CW$3,CP$60,$CN$4:$CW$4)))</f>
        <v>0</v>
      </c>
      <c r="CQ72" s="196" t="n">
        <f aca="false">IF((SUMIF($CN$3:$CW$3,CQ$60,$CN$4:$CW$4))=0,0,((SUMIF($CN$3:$CW$3,CQ$60,$CN121:$CW121))/SUMIF($CN$3:$CW$3,CQ$60,$CN$4:$CW$4)))</f>
        <v>0</v>
      </c>
      <c r="CR72" s="196" t="n">
        <f aca="false">IF((SUMIF($CN$3:$CW$3,CR$60,$CN$4:$CW$4))=0,0,((SUMIF($CN$3:$CW$3,CR$60,$CN121:$CW121))/SUMIF($CN$3:$CW$3,CR$60,$CN$4:$CW$4)))</f>
        <v>0</v>
      </c>
      <c r="CS72" s="196" t="n">
        <f aca="false">IF((SUMIF($CN$3:$CW$3,CS$60,$CN$4:$CW$4))=0,0,((SUMIF($CN$3:$CW$3,CS$60,$CN121:$CW121))/SUMIF($CN$3:$CW$3,CS$60,$CN$4:$CW$4)))</f>
        <v>0</v>
      </c>
      <c r="CT72" s="196" t="n">
        <f aca="false">IF((SUMIF($CN$3:$CW$3,CT$60,$CN$4:$CW$4))=0,0,((SUMIF($CN$3:$CW$3,CT$60,$CN121:$CW121))/SUMIF($CN$3:$CW$3,CT$60,$CN$4:$CW$4)))</f>
        <v>0</v>
      </c>
      <c r="CU72" s="196" t="n">
        <f aca="false">IF((SUMIF($CN$3:$CW$3,CU$60,$CN$4:$CW$4))=0,0,((SUMIF($CN$3:$CW$3,CU$60,$CN121:$CW121))/SUMIF($CN$3:$CW$3,CU$60,$CN$4:$CW$4)))</f>
        <v>0</v>
      </c>
      <c r="CV72" s="196" t="n">
        <f aca="false">IF((SUMIF($CN$3:$CW$3,CV$60,$CN$4:$CW$4))=0,0,((SUMIF($CN$3:$CW$3,CV$60,$CN121:$CW121))/SUMIF($CN$3:$CW$3,CV$60,$CN$4:$CW$4)))</f>
        <v>0</v>
      </c>
      <c r="CW72" s="197" t="n">
        <f aca="false">IF((SUMIF($CN$3:$CW$3,CW$60,$CN$4:$CW$4))=0,0,((SUMIF($CN$3:$CW$3,CW$60,$CN121:$CW121))/SUMIF($CN$3:$CW$3,CW$60,$CN$4:$CW$4)))</f>
        <v>0</v>
      </c>
      <c r="CX72" s="194" t="str">
        <f aca="false">CM72</f>
        <v>Alumno11</v>
      </c>
      <c r="CY72" s="195" t="n">
        <f aca="false">IF((SUMIF($CY$3:$DH$3,CY$60,$CY$4:$DH$4))=0,0,((SUMIF($CY$3:$DH$3,CY$60,$CY121:$DH121))/SUMIF($CY$3:$DH$3,CY$60,$CY$4:$DH$4)))</f>
        <v>0</v>
      </c>
      <c r="CZ72" s="196" t="n">
        <f aca="false">IF((SUMIF($CY$3:$DH$3,CZ$60,$CY$4:$DH$4))=0,0,((SUMIF($CY$3:$DH$3,CZ$60,$CY121:$DH121))/SUMIF($CY$3:$DH$3,CZ$60,$CY$4:$DH$4)))</f>
        <v>0</v>
      </c>
      <c r="DA72" s="196" t="n">
        <f aca="false">IF((SUMIF($CY$3:$DH$3,DA$60,$CY$4:$DH$4))=0,0,((SUMIF($CY$3:$DH$3,DA$60,$CY121:$DH121))/SUMIF($CY$3:$DH$3,DA$60,$CY$4:$DH$4)))</f>
        <v>0</v>
      </c>
      <c r="DB72" s="196" t="n">
        <f aca="false">IF((SUMIF($CY$3:$DH$3,DB$60,$CY$4:$DH$4))=0,0,((SUMIF($CY$3:$DH$3,DB$60,$CY121:$DH121))/SUMIF($CY$3:$DH$3,DB$60,$CY$4:$DH$4)))</f>
        <v>0</v>
      </c>
      <c r="DC72" s="196" t="n">
        <f aca="false">IF((SUMIF($CY$3:$DH$3,DC$60,$CY$4:$DH$4))=0,0,((SUMIF($CY$3:$DH$3,DC$60,$CY121:$DH121))/SUMIF($CY$3:$DH$3,DC$60,$CY$4:$DH$4)))</f>
        <v>0</v>
      </c>
      <c r="DD72" s="196" t="n">
        <f aca="false">IF((SUMIF($CY$3:$DH$3,DD$60,$CY$4:$DH$4))=0,0,((SUMIF($CY$3:$DH$3,DD$60,$CY121:$DH121))/SUMIF($CY$3:$DH$3,DD$60,$CY$4:$DH$4)))</f>
        <v>0</v>
      </c>
      <c r="DE72" s="196" t="n">
        <f aca="false">IF((SUMIF($CY$3:$DH$3,DE$60,$CY$4:$DH$4))=0,0,((SUMIF($CY$3:$DH$3,DE$60,$CY121:$DH121))/SUMIF($CY$3:$DH$3,DE$60,$CY$4:$DH$4)))</f>
        <v>0</v>
      </c>
      <c r="DF72" s="196" t="n">
        <f aca="false">IF((SUMIF($CY$3:$DH$3,DF$60,$CY$4:$DH$4))=0,0,((SUMIF($CY$3:$DH$3,DF$60,$CY121:$DH121))/SUMIF($CY$3:$DH$3,DF$60,$CY$4:$DH$4)))</f>
        <v>0</v>
      </c>
      <c r="DG72" s="196" t="n">
        <f aca="false">IF((SUMIF($CY$3:$DH$3,DG$60,$CY$4:$DH$4))=0,0,((SUMIF($CY$3:$DH$3,DG$60,$CY121:$DH121))/SUMIF($CY$3:$DH$3,DG$60,$CY$4:$DH$4)))</f>
        <v>0</v>
      </c>
      <c r="DH72" s="197" t="n">
        <f aca="false">IF((SUMIF($CY$3:$DH$3,DH$60,$CY$4:$DH$4))=0,0,((SUMIF($CY$3:$DH$3,DH$60,$CY121:$DH121))/SUMIF($CY$3:$DH$3,DH$60,$CY$4:$DH$4)))</f>
        <v>0</v>
      </c>
      <c r="DI72" s="194" t="str">
        <f aca="false">CX72</f>
        <v>Alumno11</v>
      </c>
      <c r="DJ72" s="195" t="n">
        <f aca="false">IF((SUMIF($DJ$3:$DS$3,DJ$60,$DJ$4:$DS$4))=0,0,((SUMIF($DJ$3:$DS$3,DJ$60,$DJ121:$DS121))/SUMIF($DJ$3:$DS$3,DJ$60,$DJ$4:$DS$4)))</f>
        <v>0</v>
      </c>
      <c r="DK72" s="196" t="n">
        <f aca="false">IF((SUMIF($DJ$3:$DS$3,DK$60,$DJ$4:$DS$4))=0,0,((SUMIF($DJ$3:$DS$3,DK$60,$DJ121:$DS121))/SUMIF($DJ$3:$DS$3,DK$60,$DJ$4:$DS$4)))</f>
        <v>0</v>
      </c>
      <c r="DL72" s="196" t="n">
        <f aca="false">IF((SUMIF($DJ$3:$DS$3,DL$60,$DJ$4:$DS$4))=0,0,((SUMIF($DJ$3:$DS$3,DL$60,$DJ121:$DS121))/SUMIF($DJ$3:$DS$3,DL$60,$DJ$4:$DS$4)))</f>
        <v>0</v>
      </c>
      <c r="DM72" s="196" t="n">
        <f aca="false">IF((SUMIF($DJ$3:$DS$3,DM$60,$DJ$4:$DS$4))=0,0,((SUMIF($DJ$3:$DS$3,DM$60,$DJ121:$DS121))/SUMIF($DJ$3:$DS$3,DM$60,$DJ$4:$DS$4)))</f>
        <v>0</v>
      </c>
      <c r="DN72" s="196" t="n">
        <f aca="false">IF((SUMIF($DJ$3:$DS$3,DN$60,$DJ$4:$DS$4))=0,0,((SUMIF($DJ$3:$DS$3,DN$60,$DJ121:$DS121))/SUMIF($DJ$3:$DS$3,DN$60,$DJ$4:$DS$4)))</f>
        <v>0</v>
      </c>
      <c r="DO72" s="196" t="n">
        <f aca="false">IF((SUMIF($DJ$3:$DS$3,DO$60,$DJ$4:$DS$4))=0,0,((SUMIF($DJ$3:$DS$3,DO$60,$DJ121:$DS121))/SUMIF($DJ$3:$DS$3,DO$60,$DJ$4:$DS$4)))</f>
        <v>0</v>
      </c>
      <c r="DP72" s="196" t="n">
        <f aca="false">IF((SUMIF($DJ$3:$DS$3,DP$60,$DJ$4:$DS$4))=0,0,((SUMIF($DJ$3:$DS$3,DP$60,$DJ121:$DS121))/SUMIF($DJ$3:$DS$3,DP$60,$DJ$4:$DS$4)))</f>
        <v>0</v>
      </c>
      <c r="DQ72" s="196" t="n">
        <f aca="false">IF((SUMIF($DJ$3:$DS$3,DQ$60,$DJ$4:$DS$4))=0,0,((SUMIF($DJ$3:$DS$3,DQ$60,$DJ121:$DS121))/SUMIF($DJ$3:$DS$3,DQ$60,$DJ$4:$DS$4)))</f>
        <v>0</v>
      </c>
      <c r="DR72" s="196" t="n">
        <f aca="false">IF((SUMIF($DJ$3:$DS$3,DR$60,$DJ$4:$DS$4))=0,0,((SUMIF($DJ$3:$DS$3,DR$60,$DJ121:$DS121))/SUMIF($DJ$3:$DS$3,DR$60,$DJ$4:$DS$4)))</f>
        <v>0</v>
      </c>
      <c r="DS72" s="197" t="n">
        <f aca="false">IF((SUMIF($DJ$3:$DS$3,DS$60,$DJ$4:$DS$4))=0,0,((SUMIF($DJ$3:$DS$3,DS$60,$DJ121:$DS121))/SUMIF($DJ$3:$DS$3,DS$60,$DJ$4:$DS$4)))</f>
        <v>0</v>
      </c>
      <c r="DT72" s="194" t="str">
        <f aca="false">DI72</f>
        <v>Alumno11</v>
      </c>
      <c r="DU72" s="195" t="n">
        <f aca="false">IF((SUMIF($DU$3:$ED$3,DU$60,$DU$4:$ED$4))=0,0,((SUMIF($DU$3:$ED$3,DU$60,$DU121:$ED121))/SUMIF($DU$3:$ED$3,DU$60,$DU$4:$ED$4)))</f>
        <v>0</v>
      </c>
      <c r="DV72" s="196" t="n">
        <f aca="false">IF((SUMIF($DU$3:$ED$3,DV$60,$DU$4:$ED$4))=0,0,((SUMIF($DU$3:$ED$3,DV$60,$DU121:$ED121))/SUMIF($DU$3:$ED$3,DV$60,$DU$4:$ED$4)))</f>
        <v>0</v>
      </c>
      <c r="DW72" s="196" t="n">
        <f aca="false">IF((SUMIF($DU$3:$ED$3,DW$60,$DU$4:$ED$4))=0,0,((SUMIF($DU$3:$ED$3,DW$60,$DU121:$ED121))/SUMIF($DU$3:$ED$3,DW$60,$DU$4:$ED$4)))</f>
        <v>0</v>
      </c>
      <c r="DX72" s="196" t="n">
        <f aca="false">IF((SUMIF($DU$3:$ED$3,DX$60,$DU$4:$ED$4))=0,0,((SUMIF($DU$3:$ED$3,DX$60,$DU121:$ED121))/SUMIF($DU$3:$ED$3,DX$60,$DU$4:$ED$4)))</f>
        <v>0</v>
      </c>
      <c r="DY72" s="196" t="n">
        <f aca="false">IF((SUMIF($DU$3:$ED$3,DY$60,$DU$4:$ED$4))=0,0,((SUMIF($DU$3:$ED$3,DY$60,$DU121:$ED121))/SUMIF($DU$3:$ED$3,DY$60,$DU$4:$ED$4)))</f>
        <v>0</v>
      </c>
      <c r="DZ72" s="196" t="n">
        <f aca="false">IF((SUMIF($DU$3:$ED$3,DZ$60,$DU$4:$ED$4))=0,0,((SUMIF($DU$3:$ED$3,DZ$60,$DU121:$ED121))/SUMIF($DU$3:$ED$3,DZ$60,$DU$4:$ED$4)))</f>
        <v>0</v>
      </c>
      <c r="EA72" s="196" t="n">
        <f aca="false">IF((SUMIF($DU$3:$ED$3,EA$60,$DU$4:$ED$4))=0,0,((SUMIF($DU$3:$ED$3,EA$60,$DU121:$ED121))/SUMIF($DU$3:$ED$3,EA$60,$DU$4:$ED$4)))</f>
        <v>0</v>
      </c>
      <c r="EB72" s="196" t="n">
        <f aca="false">IF((SUMIF($DU$3:$ED$3,EB$60,$DU$4:$ED$4))=0,0,((SUMIF($DU$3:$ED$3,EB$60,$DU121:$ED121))/SUMIF($DU$3:$ED$3,EB$60,$DU$4:$ED$4)))</f>
        <v>0</v>
      </c>
      <c r="EC72" s="196" t="n">
        <f aca="false">IF((SUMIF($DU$3:$ED$3,EC$60,$DU$4:$ED$4))=0,0,((SUMIF($DU$3:$ED$3,EC$60,$DU121:$ED121))/SUMIF($DU$3:$ED$3,EC$60,$DU$4:$ED$4)))</f>
        <v>0</v>
      </c>
      <c r="ED72" s="197" t="n">
        <f aca="false">IF((SUMIF($DU$3:$ED$3,ED$60,$DU$4:$ED$4))=0,0,((SUMIF($DU$3:$ED$3,ED$60,$DU121:$ED121))/SUMIF($DU$3:$ED$3,ED$60,$DU$4:$ED$4)))</f>
        <v>0</v>
      </c>
      <c r="EE72" s="194" t="str">
        <f aca="false">DT72</f>
        <v>Alumno11</v>
      </c>
      <c r="EF72" s="195" t="n">
        <f aca="false">IF((SUMIF($EF$3:$EO$3,EF$60,$EF$4:$EO$4))=0,0,((SUMIF($EF$3:$EO$3,EF$60,$EF121:$EO121))/SUMIF($EF$3:$EO$3,EF$60,$EF$4:$EO$4)))</f>
        <v>0</v>
      </c>
      <c r="EG72" s="196" t="n">
        <f aca="false">IF((SUMIF($EF$3:$EO$3,EG$60,$EF$4:$EO$4))=0,0,((SUMIF($EF$3:$EO$3,EG$60,$EF121:$EO121))/SUMIF($EF$3:$EO$3,EG$60,$EF$4:$EO$4)))</f>
        <v>0</v>
      </c>
      <c r="EH72" s="196" t="n">
        <f aca="false">IF((SUMIF($EF$3:$EO$3,EH$60,$EF$4:$EO$4))=0,0,((SUMIF($EF$3:$EO$3,EH$60,$EF121:$EO121))/SUMIF($EF$3:$EO$3,EH$60,$EF$4:$EO$4)))</f>
        <v>0</v>
      </c>
      <c r="EI72" s="196" t="n">
        <f aca="false">IF((SUMIF($EF$3:$EO$3,EI$60,$EF$4:$EO$4))=0,0,((SUMIF($EF$3:$EO$3,EI$60,$EF121:$EO121))/SUMIF($EF$3:$EO$3,EI$60,$EF$4:$EO$4)))</f>
        <v>0</v>
      </c>
      <c r="EJ72" s="196" t="n">
        <f aca="false">IF((SUMIF($EF$3:$EO$3,EJ$60,$EF$4:$EO$4))=0,0,((SUMIF($EF$3:$EO$3,EJ$60,$EF121:$EO121))/SUMIF($EF$3:$EO$3,EJ$60,$EF$4:$EO$4)))</f>
        <v>0</v>
      </c>
      <c r="EK72" s="196" t="n">
        <f aca="false">IF((SUMIF($EF$3:$EO$3,EK$60,$EF$4:$EO$4))=0,0,((SUMIF($EF$3:$EO$3,EK$60,$EF121:$EO121))/SUMIF($EF$3:$EO$3,EK$60,$EF$4:$EO$4)))</f>
        <v>0</v>
      </c>
      <c r="EL72" s="196" t="n">
        <f aca="false">IF((SUMIF($EF$3:$EO$3,EL$60,$EF$4:$EO$4))=0,0,((SUMIF($EF$3:$EO$3,EL$60,$EF121:$EO121))/SUMIF($EF$3:$EO$3,EL$60,$EF$4:$EO$4)))</f>
        <v>0</v>
      </c>
      <c r="EM72" s="196" t="n">
        <f aca="false">IF((SUMIF($EF$3:$EO$3,EM$60,$EF$4:$EO$4))=0,0,((SUMIF($EF$3:$EO$3,EM$60,$EF121:$EO121))/SUMIF($EF$3:$EO$3,EM$60,$EF$4:$EO$4)))</f>
        <v>0</v>
      </c>
      <c r="EN72" s="196" t="n">
        <f aca="false">IF((SUMIF($EF$3:$EO$3,EN$60,$EF$4:$EO$4))=0,0,((SUMIF($EF$3:$EO$3,EN$60,$EF121:$EO121))/SUMIF($EF$3:$EO$3,EN$60,$EF$4:$EO$4)))</f>
        <v>0</v>
      </c>
      <c r="EO72" s="197" t="n">
        <f aca="false">IF((SUMIF($EF$3:$EO$3,EO$60,$EF$4:$EO$4))=0,0,((SUMIF($EF$3:$EO$3,EO$60,$EF121:$EO121))/SUMIF($EF$3:$EO$3,EO$60,$EF$4:$EO$4)))</f>
        <v>0</v>
      </c>
      <c r="EP72" s="194" t="str">
        <f aca="false">EE72</f>
        <v>Alumno11</v>
      </c>
      <c r="EQ72" s="195" t="n">
        <f aca="false">IF((SUMIF($EQ$3:$EZ$3,EQ$60,$EQ$4:$EZ$4))=0,0,((SUMIF($EQ$3:$EZ$3,EQ$60,$EQ121:$EZ121))/SUMIF($EQ$3:$EZ$3,EQ$60,$EQ$4:$EZ$4)))</f>
        <v>0</v>
      </c>
      <c r="ER72" s="196" t="n">
        <f aca="false">IF((SUMIF($EQ$3:$EZ$3,ER$60,$EQ$4:$EZ$4))=0,0,((SUMIF($EQ$3:$EZ$3,ER$60,$EQ121:$EZ121))/SUMIF($EQ$3:$EZ$3,ER$60,$EQ$4:$EZ$4)))</f>
        <v>0</v>
      </c>
      <c r="ES72" s="196" t="n">
        <f aca="false">IF((SUMIF($EQ$3:$EZ$3,ES$60,$EQ$4:$EZ$4))=0,0,((SUMIF($EQ$3:$EZ$3,ES$60,$EQ121:$EZ121))/SUMIF($EQ$3:$EZ$3,ES$60,$EQ$4:$EZ$4)))</f>
        <v>0</v>
      </c>
      <c r="ET72" s="196" t="n">
        <f aca="false">IF((SUMIF($EQ$3:$EZ$3,ET$60,$EQ$4:$EZ$4))=0,0,((SUMIF($EQ$3:$EZ$3,ET$60,$EQ121:$EZ121))/SUMIF($EQ$3:$EZ$3,ET$60,$EQ$4:$EZ$4)))</f>
        <v>0</v>
      </c>
      <c r="EU72" s="196" t="n">
        <f aca="false">IF((SUMIF($EQ$3:$EZ$3,EU$60,$EQ$4:$EZ$4))=0,0,((SUMIF($EQ$3:$EZ$3,EU$60,$EQ121:$EZ121))/SUMIF($EQ$3:$EZ$3,EU$60,$EQ$4:$EZ$4)))</f>
        <v>0</v>
      </c>
      <c r="EV72" s="196" t="n">
        <f aca="false">IF((SUMIF($EQ$3:$EZ$3,EV$60,$EQ$4:$EZ$4))=0,0,((SUMIF($EQ$3:$EZ$3,EV$60,$EQ121:$EZ121))/SUMIF($EQ$3:$EZ$3,EV$60,$EQ$4:$EZ$4)))</f>
        <v>0</v>
      </c>
      <c r="EW72" s="196" t="n">
        <f aca="false">IF((SUMIF($EQ$3:$EZ$3,EW$60,$EQ$4:$EZ$4))=0,0,((SUMIF($EQ$3:$EZ$3,EW$60,$EQ121:$EZ121))/SUMIF($EQ$3:$EZ$3,EW$60,$EQ$4:$EZ$4)))</f>
        <v>0</v>
      </c>
      <c r="EX72" s="196" t="n">
        <f aca="false">IF((SUMIF($EQ$3:$EZ$3,EX$60,$EQ$4:$EZ$4))=0,0,((SUMIF($EQ$3:$EZ$3,EX$60,$EQ121:$EZ121))/SUMIF($EQ$3:$EZ$3,EX$60,$EQ$4:$EZ$4)))</f>
        <v>0</v>
      </c>
      <c r="EY72" s="196" t="n">
        <f aca="false">IF((SUMIF($EQ$3:$EZ$3,EY$60,$EQ$4:$EZ$4))=0,0,((SUMIF($EQ$3:$EZ$3,EY$60,$EQ121:$EZ121))/SUMIF($EQ$3:$EZ$3,EY$60,$EQ$4:$EZ$4)))</f>
        <v>0</v>
      </c>
      <c r="EZ72" s="197" t="n">
        <f aca="false">IF((SUMIF($EQ$3:$EZ$3,EZ$60,$EQ$4:$EZ$4))=0,0,((SUMIF($EQ$3:$EZ$3,EZ$60,$EQ121:$EZ121))/SUMIF($EQ$3:$EZ$3,EZ$60,$EQ$4:$EZ$4)))</f>
        <v>0</v>
      </c>
      <c r="FA72" s="194" t="str">
        <f aca="false">EP72</f>
        <v>Alumno11</v>
      </c>
      <c r="FB72" s="195" t="n">
        <f aca="false">IF((SUMIF($FB$3:$FK$3,FB$60,$FB$4:$FK$4))=0,0,((SUMIF($FB$3:$FK$3,FB$60,$FB121:$FK121))/SUMIF($FB$3:$FK$3,FB$60,$FB$4:$FK$4)))</f>
        <v>0</v>
      </c>
      <c r="FC72" s="196" t="n">
        <f aca="false">IF((SUMIF($FB$3:$FK$3,FC$60,$FB$4:$FK$4))=0,0,((SUMIF($FB$3:$FK$3,FC$60,$FB121:$FK121))/SUMIF($FB$3:$FK$3,FC$60,$FB$4:$FK$4)))</f>
        <v>0</v>
      </c>
      <c r="FD72" s="196" t="n">
        <f aca="false">IF((SUMIF($FB$3:$FK$3,FD$60,$FB$4:$FK$4))=0,0,((SUMIF($FB$3:$FK$3,FD$60,$FB121:$FK121))/SUMIF($FB$3:$FK$3,FD$60,$FB$4:$FK$4)))</f>
        <v>0</v>
      </c>
      <c r="FE72" s="196" t="n">
        <f aca="false">IF((SUMIF($FB$3:$FK$3,FE$60,$FB$4:$FK$4))=0,0,((SUMIF($FB$3:$FK$3,FE$60,$FB121:$FK121))/SUMIF($FB$3:$FK$3,FE$60,$FB$4:$FK$4)))</f>
        <v>0</v>
      </c>
      <c r="FF72" s="196" t="n">
        <f aca="false">IF((SUMIF($FB$3:$FK$3,FF$60,$FB$4:$FK$4))=0,0,((SUMIF($FB$3:$FK$3,FF$60,$FB121:$FK121))/SUMIF($FB$3:$FK$3,FF$60,$FB$4:$FK$4)))</f>
        <v>0</v>
      </c>
      <c r="FG72" s="196" t="n">
        <f aca="false">IF((SUMIF($FB$3:$FK$3,FG$60,$FB$4:$FK$4))=0,0,((SUMIF($FB$3:$FK$3,FG$60,$FB121:$FK121))/SUMIF($FB$3:$FK$3,FG$60,$FB$4:$FK$4)))</f>
        <v>0</v>
      </c>
      <c r="FH72" s="196" t="n">
        <f aca="false">IF((SUMIF($FB$3:$FK$3,FH$60,$FB$4:$FK$4))=0,0,((SUMIF($FB$3:$FK$3,FH$60,$FB121:$FK121))/SUMIF($FB$3:$FK$3,FH$60,$FB$4:$FK$4)))</f>
        <v>0</v>
      </c>
      <c r="FI72" s="196" t="n">
        <f aca="false">IF((SUMIF($FB$3:$FK$3,FI$60,$FB$4:$FK$4))=0,0,((SUMIF($FB$3:$FK$3,FI$60,$FB121:$FK121))/SUMIF($FB$3:$FK$3,FI$60,$FB$4:$FK$4)))</f>
        <v>0</v>
      </c>
      <c r="FJ72" s="196" t="n">
        <f aca="false">IF((SUMIF($FB$3:$FK$3,FJ$60,$FB$4:$FK$4))=0,0,((SUMIF($FB$3:$FK$3,FJ$60,$FB121:$FK121))/SUMIF($FB$3:$FK$3,FJ$60,$FB$4:$FK$4)))</f>
        <v>0</v>
      </c>
      <c r="FK72" s="197" t="n">
        <f aca="false">IF((SUMIF($FB$3:$FK$3,FK$60,$FB$4:$FK$4))=0,0,((SUMIF($FB$3:$FK$3,FK$60,$FB121:$FK121))/SUMIF($FB$3:$FK$3,FK$60,$FB$4:$FK$4)))</f>
        <v>0</v>
      </c>
      <c r="FL72" s="194" t="str">
        <f aca="false">FA72</f>
        <v>Alumno11</v>
      </c>
      <c r="FM72" s="195" t="n">
        <f aca="false">IF((SUMIF($FM$3:$FV$3,FM$60,$FM$4:$FV$4))=0,0,((SUMIF($FM$3:$FV$3,FM$60,$FM121:$FV121))/SUMIF($FM$3:$FV$3,FM$60,$FM$4:$FV$4)))</f>
        <v>0</v>
      </c>
      <c r="FN72" s="196" t="n">
        <f aca="false">IF((SUMIF($FM$3:$FV$3,FN$60,$FM$4:$FV$4))=0,0,((SUMIF($FM$3:$FV$3,FN$60,$FM121:$FV121))/SUMIF($FM$3:$FV$3,FN$60,$FM$4:$FV$4)))</f>
        <v>0</v>
      </c>
      <c r="FO72" s="196" t="n">
        <f aca="false">IF((SUMIF($FM$3:$FV$3,FO$60,$FM$4:$FV$4))=0,0,((SUMIF($FM$3:$FV$3,FO$60,$FM121:$FV121))/SUMIF($FM$3:$FV$3,FO$60,$FM$4:$FV$4)))</f>
        <v>0</v>
      </c>
      <c r="FP72" s="196" t="n">
        <f aca="false">IF((SUMIF($FM$3:$FV$3,FP$60,$FM$4:$FV$4))=0,0,((SUMIF($FM$3:$FV$3,FP$60,$FM121:$FV121))/SUMIF($FM$3:$FV$3,FP$60,$FM$4:$FV$4)))</f>
        <v>0</v>
      </c>
      <c r="FQ72" s="196" t="n">
        <f aca="false">IF((SUMIF($FM$3:$FV$3,FQ$60,$FM$4:$FV$4))=0,0,((SUMIF($FM$3:$FV$3,FQ$60,$FM121:$FV121))/SUMIF($FM$3:$FV$3,FQ$60,$FM$4:$FV$4)))</f>
        <v>0</v>
      </c>
      <c r="FR72" s="196" t="n">
        <f aca="false">IF((SUMIF($FM$3:$FV$3,FR$60,$FM$4:$FV$4))=0,0,((SUMIF($FM$3:$FV$3,FR$60,$FM121:$FV121))/SUMIF($FM$3:$FV$3,FR$60,$FM$4:$FV$4)))</f>
        <v>0</v>
      </c>
      <c r="FS72" s="196" t="n">
        <f aca="false">IF((SUMIF($FM$3:$FV$3,FS$60,$FM$4:$FV$4))=0,0,((SUMIF($FM$3:$FV$3,FS$60,$FM121:$FV121))/SUMIF($FM$3:$FV$3,FS$60,$FM$4:$FV$4)))</f>
        <v>0</v>
      </c>
      <c r="FT72" s="196" t="n">
        <f aca="false">IF((SUMIF($FM$3:$FV$3,FT$60,$FM$4:$FV$4))=0,0,((SUMIF($FM$3:$FV$3,FT$60,$FM121:$FV121))/SUMIF($FM$3:$FV$3,FT$60,$FM$4:$FV$4)))</f>
        <v>0</v>
      </c>
      <c r="FU72" s="196" t="n">
        <f aca="false">IF((SUMIF($FM$3:$FV$3,FU$60,$FM$4:$FV$4))=0,0,((SUMIF($FM$3:$FV$3,FU$60,$FM121:$FV121))/SUMIF($FM$3:$FV$3,FU$60,$FM$4:$FV$4)))</f>
        <v>0</v>
      </c>
      <c r="FV72" s="197" t="n">
        <f aca="false">IF((SUMIF($FM$3:$FV$3,FV$60,$FM$4:$FV$4))=0,0,((SUMIF($FM$3:$FV$3,FV$60,$FM121:$FV121))/SUMIF($FM$3:$FV$3,FV$60,$FM$4:$FV$4)))</f>
        <v>0</v>
      </c>
      <c r="FW72" s="194" t="str">
        <f aca="false">FL72</f>
        <v>Alumno11</v>
      </c>
      <c r="FX72" s="195" t="n">
        <f aca="false">IF((SUMIF($FX$3:$GG$3,FX$60,$FX$4:$GG$4))=0,0,((SUMIF($FX$3:$GG$3,FX$60,$FX121:$GG121))/SUMIF($FX$3:$GG$3,FX$60,$FX$4:$GG$4)))</f>
        <v>0</v>
      </c>
      <c r="FY72" s="196" t="n">
        <f aca="false">IF((SUMIF($FX$3:$GG$3,FY$60,$FX$4:$GG$4))=0,0,((SUMIF($FX$3:$GG$3,FY$60,$FX121:$GG121))/SUMIF($FX$3:$GG$3,FY$60,$FX$4:$GG$4)))</f>
        <v>0</v>
      </c>
      <c r="FZ72" s="196" t="n">
        <f aca="false">IF((SUMIF($FX$3:$GG$3,FZ$60,$FX$4:$GG$4))=0,0,((SUMIF($FX$3:$GG$3,FZ$60,$FX121:$GG121))/SUMIF($FX$3:$GG$3,FZ$60,$FX$4:$GG$4)))</f>
        <v>0</v>
      </c>
      <c r="GA72" s="196" t="n">
        <f aca="false">IF((SUMIF($FX$3:$GG$3,GA$60,$FX$4:$GG$4))=0,0,((SUMIF($FX$3:$GG$3,GA$60,$FX121:$GG121))/SUMIF($FX$3:$GG$3,GA$60,$FX$4:$GG$4)))</f>
        <v>0</v>
      </c>
      <c r="GB72" s="196" t="n">
        <f aca="false">IF((SUMIF($FX$3:$GG$3,GB$60,$FX$4:$GG$4))=0,0,((SUMIF($FX$3:$GG$3,GB$60,$FX121:$GG121))/SUMIF($FX$3:$GG$3,GB$60,$FX$4:$GG$4)))</f>
        <v>0</v>
      </c>
      <c r="GC72" s="196" t="n">
        <f aca="false">IF((SUMIF($FX$3:$GG$3,GC$60,$FX$4:$GG$4))=0,0,((SUMIF($FX$3:$GG$3,GC$60,$FX121:$GG121))/SUMIF($FX$3:$GG$3,GC$60,$FX$4:$GG$4)))</f>
        <v>0</v>
      </c>
      <c r="GD72" s="196" t="n">
        <f aca="false">IF((SUMIF($FX$3:$GG$3,GD$60,$FX$4:$GG$4))=0,0,((SUMIF($FX$3:$GG$3,GD$60,$FX121:$GG121))/SUMIF($FX$3:$GG$3,GD$60,$FX$4:$GG$4)))</f>
        <v>0</v>
      </c>
      <c r="GE72" s="196" t="n">
        <f aca="false">IF((SUMIF($FX$3:$GG$3,GE$60,$FX$4:$GG$4))=0,0,((SUMIF($FX$3:$GG$3,GE$60,$FX121:$GG121))/SUMIF($FX$3:$GG$3,GE$60,$FX$4:$GG$4)))</f>
        <v>0</v>
      </c>
      <c r="GF72" s="196" t="n">
        <f aca="false">IF((SUMIF($FX$3:$GG$3,GF$60,$FX$4:$GG$4))=0,0,((SUMIF($FX$3:$GG$3,GF$60,$FX121:$GG121))/SUMIF($FX$3:$GG$3,GF$60,$FX$4:$GG$4)))</f>
        <v>0</v>
      </c>
      <c r="GG72" s="197" t="n">
        <f aca="false">IF((SUMIF($FX$3:$GG$3,GG$60,$FX$4:$GG$4))=0,0,((SUMIF($FX$3:$GG$3,GG$60,$FX121:$GG121))/SUMIF($FX$3:$GG$3,GG$60,$FX$4:$GG$4)))</f>
        <v>0</v>
      </c>
      <c r="GH72" s="194" t="str">
        <f aca="false">FW72</f>
        <v>Alumno11</v>
      </c>
      <c r="GI72" s="195" t="n">
        <f aca="false">IF((SUMIF($GI$3:$GR$3,GI$60,$GI$4:$GR$4))=0,0,((SUMIF($GI$3:$GR$3,GI$60,$GI121:$GR121))/SUMIF($GI$3:$GR$3,GI$60,$GI$4:$GR$4)))</f>
        <v>0</v>
      </c>
      <c r="GJ72" s="196" t="n">
        <f aca="false">IF((SUMIF($GI$3:$GR$3,GJ$60,$GI$4:$GR$4))=0,0,((SUMIF($GI$3:$GR$3,GJ$60,$GI121:$GR121))/SUMIF($GI$3:$GR$3,GJ$60,$GI$4:$GR$4)))</f>
        <v>0</v>
      </c>
      <c r="GK72" s="196" t="n">
        <f aca="false">IF((SUMIF($GI$3:$GR$3,GK$60,$GI$4:$GR$4))=0,0,((SUMIF($GI$3:$GR$3,GK$60,$GI121:$GR121))/SUMIF($GI$3:$GR$3,GK$60,$GI$4:$GR$4)))</f>
        <v>0</v>
      </c>
      <c r="GL72" s="196" t="n">
        <f aca="false">IF((SUMIF($GI$3:$GR$3,GL$60,$GI$4:$GR$4))=0,0,((SUMIF($GI$3:$GR$3,GL$60,$GI121:$GR121))/SUMIF($GI$3:$GR$3,GL$60,$GI$4:$GR$4)))</f>
        <v>0</v>
      </c>
      <c r="GM72" s="196" t="n">
        <f aca="false">IF((SUMIF($GI$3:$GR$3,GM$60,$GI$4:$GR$4))=0,0,((SUMIF($GI$3:$GR$3,GM$60,$GI121:$GR121))/SUMIF($GI$3:$GR$3,GM$60,$GI$4:$GR$4)))</f>
        <v>0</v>
      </c>
      <c r="GN72" s="196" t="n">
        <f aca="false">IF((SUMIF($GI$3:$GR$3,GN$60,$GI$4:$GR$4))=0,0,((SUMIF($GI$3:$GR$3,GN$60,$GI121:$GR121))/SUMIF($GI$3:$GR$3,GN$60,$GI$4:$GR$4)))</f>
        <v>0</v>
      </c>
      <c r="GO72" s="196" t="n">
        <f aca="false">IF((SUMIF($GI$3:$GR$3,GO$60,$GI$4:$GR$4))=0,0,((SUMIF($GI$3:$GR$3,GO$60,$GI121:$GR121))/SUMIF($GI$3:$GR$3,GO$60,$GI$4:$GR$4)))</f>
        <v>0</v>
      </c>
      <c r="GP72" s="196" t="n">
        <f aca="false">IF((SUMIF($GI$3:$GR$3,GP$60,$GI$4:$GR$4))=0,0,((SUMIF($GI$3:$GR$3,GP$60,$GI121:$GR121))/SUMIF($GI$3:$GR$3,GP$60,$GI$4:$GR$4)))</f>
        <v>0</v>
      </c>
      <c r="GQ72" s="196" t="n">
        <f aca="false">IF((SUMIF($GI$3:$GR$3,GQ$60,$GI$4:$GR$4))=0,0,((SUMIF($GI$3:$GR$3,GQ$60,$GI121:$GR121))/SUMIF($GI$3:$GR$3,GQ$60,$GI$4:$GR$4)))</f>
        <v>0</v>
      </c>
      <c r="GR72" s="197" t="n">
        <f aca="false">IF((SUMIF($GI$3:$GR$3,GR$60,$GI$4:$GR$4))=0,0,((SUMIF($GI$3:$GR$3,GR$60,$GI121:$GR121))/SUMIF($GI$3:$GR$3,GR$60,$GI$4:$GR$4)))</f>
        <v>0</v>
      </c>
      <c r="GS72" s="194" t="str">
        <f aca="false">GH72</f>
        <v>Alumno11</v>
      </c>
      <c r="GT72" s="195" t="n">
        <f aca="false">IF((SUMIF($GT$3:$HC$3,GT$60,$GT$4:$HC$4))=0,0,((SUMIF($GT$3:$HC$3,GT$60,$GT121:$HC121))/SUMIF($GT$3:$HC$3,GT$60,$GT$4:$HC$4)))</f>
        <v>0</v>
      </c>
      <c r="GU72" s="196" t="n">
        <f aca="false">IF((SUMIF($GT$3:$HC$3,GU$60,$GT$4:$HC$4))=0,0,((SUMIF($GT$3:$HC$3,GU$60,$GT121:$HC121))/SUMIF($GT$3:$HC$3,GU$60,$GT$4:$HC$4)))</f>
        <v>0</v>
      </c>
      <c r="GV72" s="196" t="n">
        <f aca="false">IF((SUMIF($GT$3:$HC$3,GV$60,$GT$4:$HC$4))=0,0,((SUMIF($GT$3:$HC$3,GV$60,$GT121:$HC121))/SUMIF($GT$3:$HC$3,GV$60,$GT$4:$HC$4)))</f>
        <v>0</v>
      </c>
      <c r="GW72" s="196" t="n">
        <f aca="false">IF((SUMIF($GT$3:$HC$3,GW$60,$GT$4:$HC$4))=0,0,((SUMIF($GT$3:$HC$3,GW$60,$GT121:$HC121))/SUMIF($GT$3:$HC$3,GW$60,$GT$4:$HC$4)))</f>
        <v>0</v>
      </c>
      <c r="GX72" s="196" t="n">
        <f aca="false">IF((SUMIF($GT$3:$HC$3,GX$60,$GT$4:$HC$4))=0,0,((SUMIF($GT$3:$HC$3,GX$60,$GT121:$HC121))/SUMIF($GT$3:$HC$3,GX$60,$GT$4:$HC$4)))</f>
        <v>0</v>
      </c>
      <c r="GY72" s="196" t="n">
        <f aca="false">IF((SUMIF($GT$3:$HC$3,GY$60,$GT$4:$HC$4))=0,0,((SUMIF($GT$3:$HC$3,GY$60,$GT121:$HC121))/SUMIF($GT$3:$HC$3,GY$60,$GT$4:$HC$4)))</f>
        <v>0</v>
      </c>
      <c r="GZ72" s="196" t="n">
        <f aca="false">IF((SUMIF($GT$3:$HC$3,GZ$60,$GT$4:$HC$4))=0,0,((SUMIF($GT$3:$HC$3,GZ$60,$GT121:$HC121))/SUMIF($GT$3:$HC$3,GZ$60,$GT$4:$HC$4)))</f>
        <v>0</v>
      </c>
      <c r="HA72" s="196" t="n">
        <f aca="false">IF((SUMIF($GT$3:$HC$3,HA$60,$GT$4:$HC$4))=0,0,((SUMIF($GT$3:$HC$3,HA$60,$GT121:$HC121))/SUMIF($GT$3:$HC$3,HA$60,$GT$4:$HC$4)))</f>
        <v>0</v>
      </c>
      <c r="HB72" s="196" t="n">
        <f aca="false">IF((SUMIF($GT$3:$HC$3,HB$60,$GT$4:$HC$4))=0,0,((SUMIF($GT$3:$HC$3,HB$60,$GT121:$HC121))/SUMIF($GT$3:$HC$3,HB$60,$GT$4:$HC$4)))</f>
        <v>0</v>
      </c>
      <c r="HC72" s="197" t="n">
        <f aca="false">IF((SUMIF($GT$3:$HC$3,HC$60,$GT$4:$HC$4))=0,0,((SUMIF($GT$3:$HC$3,HC$60,$GT121:$HC121))/SUMIF($GT$3:$HC$3,HC$60,$GT$4:$HC$4)))</f>
        <v>0</v>
      </c>
      <c r="HD72" s="194" t="str">
        <f aca="false">GS72</f>
        <v>Alumno11</v>
      </c>
      <c r="HE72" s="195" t="n">
        <f aca="false">IF((SUMIF($HE$3:$HN$3,HE$60,$HE$4:$HN$4))=0,0,((SUMIF($HE$3:$HN$3,HE$60,$HE121:$HN121))/SUMIF($HE$3:$HN$3,HE$60,$HE$4:$HN$4)))</f>
        <v>0</v>
      </c>
      <c r="HF72" s="196" t="n">
        <f aca="false">IF((SUMIF($HE$3:$HN$3,HF$60,$HE$4:$HN$4))=0,0,((SUMIF($HE$3:$HN$3,HF$60,$HE121:$HN121))/SUMIF($HE$3:$HN$3,HF$60,$HE$4:$HN$4)))</f>
        <v>0</v>
      </c>
      <c r="HG72" s="196" t="n">
        <f aca="false">IF((SUMIF($HE$3:$HN$3,HG$60,$HE$4:$HN$4))=0,0,((SUMIF($HE$3:$HN$3,HG$60,$HE121:$HN121))/SUMIF($HE$3:$HN$3,HG$60,$HE$4:$HN$4)))</f>
        <v>0</v>
      </c>
      <c r="HH72" s="196" t="n">
        <f aca="false">IF((SUMIF($HE$3:$HN$3,HH$60,$HE$4:$HN$4))=0,0,((SUMIF($HE$3:$HN$3,HH$60,$HE121:$HN121))/SUMIF($HE$3:$HN$3,HH$60,$HE$4:$HN$4)))</f>
        <v>0</v>
      </c>
      <c r="HI72" s="196" t="n">
        <f aca="false">IF((SUMIF($HE$3:$HN$3,HI$60,$HE$4:$HN$4))=0,0,((SUMIF($HE$3:$HN$3,HI$60,$HE121:$HN121))/SUMIF($HE$3:$HN$3,HI$60,$HE$4:$HN$4)))</f>
        <v>0</v>
      </c>
      <c r="HJ72" s="196" t="n">
        <f aca="false">IF((SUMIF($HE$3:$HN$3,HJ$60,$HE$4:$HN$4))=0,0,((SUMIF($HE$3:$HN$3,HJ$60,$HE121:$HN121))/SUMIF($HE$3:$HN$3,HJ$60,$HE$4:$HN$4)))</f>
        <v>0</v>
      </c>
      <c r="HK72" s="196" t="n">
        <f aca="false">IF((SUMIF($HE$3:$HN$3,HK$60,$HE$4:$HN$4))=0,0,((SUMIF($HE$3:$HN$3,HK$60,$HE121:$HN121))/SUMIF($HE$3:$HN$3,HK$60,$HE$4:$HN$4)))</f>
        <v>0</v>
      </c>
      <c r="HL72" s="196" t="n">
        <f aca="false">IF((SUMIF($HE$3:$HN$3,HL$60,$HE$4:$HN$4))=0,0,((SUMIF($HE$3:$HN$3,HL$60,$HE121:$HN121))/SUMIF($HE$3:$HN$3,HL$60,$HE$4:$HN$4)))</f>
        <v>0</v>
      </c>
      <c r="HM72" s="196" t="n">
        <f aca="false">IF((SUMIF($HE$3:$HN$3,HM$60,$HE$4:$HN$4))=0,0,((SUMIF($HE$3:$HN$3,HM$60,$HE121:$HN121))/SUMIF($HE$3:$HN$3,HM$60,$HE$4:$HN$4)))</f>
        <v>0</v>
      </c>
      <c r="HN72" s="197" t="n">
        <f aca="false">IF((SUMIF($HE$3:$HN$3,HN$60,$HE$4:$HN$4))=0,0,((SUMIF($HE$3:$HN$3,HN$60,$HE121:$HN121))/SUMIF($HE$3:$HN$3,HN$60,$HE$4:$HN$4)))</f>
        <v>0</v>
      </c>
      <c r="HO72" s="194" t="str">
        <f aca="false">HD72</f>
        <v>Alumno11</v>
      </c>
      <c r="HP72" s="195" t="n">
        <f aca="false">IF((SUMIF($HP$3:$HY$3,HP$60,$HP$4:$HY$4))=0,0,((SUMIF($HP$3:$HY$3,HP$60,$HP121:$HY121))/SUMIF($HP$3:$HY$3,HP$60,$HP$4:$HY$4)))</f>
        <v>0</v>
      </c>
      <c r="HQ72" s="196" t="n">
        <f aca="false">IF((SUMIF($HP$3:$HY$3,HQ$60,$HP$4:$HY$4))=0,0,((SUMIF($HP$3:$HY$3,HQ$60,$HP121:$HY121))/SUMIF($HP$3:$HY$3,HQ$60,$HP$4:$HY$4)))</f>
        <v>0</v>
      </c>
      <c r="HR72" s="196" t="n">
        <f aca="false">IF((SUMIF($HP$3:$HY$3,HR$60,$HP$4:$HY$4))=0,0,((SUMIF($HP$3:$HY$3,HR$60,$HP121:$HY121))/SUMIF($HP$3:$HY$3,HR$60,$HP$4:$HY$4)))</f>
        <v>0</v>
      </c>
      <c r="HS72" s="196" t="n">
        <f aca="false">IF((SUMIF($HP$3:$HY$3,HS$60,$HP$4:$HY$4))=0,0,((SUMIF($HP$3:$HY$3,HS$60,$HP121:$HY121))/SUMIF($HP$3:$HY$3,HS$60,$HP$4:$HY$4)))</f>
        <v>0</v>
      </c>
      <c r="HT72" s="196" t="n">
        <f aca="false">IF((SUMIF($HP$3:$HY$3,HT$60,$HP$4:$HY$4))=0,0,((SUMIF($HP$3:$HY$3,HT$60,$HP121:$HY121))/SUMIF($HP$3:$HY$3,HT$60,$HP$4:$HY$4)))</f>
        <v>0</v>
      </c>
      <c r="HU72" s="196" t="n">
        <f aca="false">IF((SUMIF($HP$3:$HY$3,HU$60,$HP$4:$HY$4))=0,0,((SUMIF($HP$3:$HY$3,HU$60,$HP121:$HY121))/SUMIF($HP$3:$HY$3,HU$60,$HP$4:$HY$4)))</f>
        <v>0</v>
      </c>
      <c r="HV72" s="196" t="n">
        <f aca="false">IF((SUMIF($HP$3:$HY$3,HV$60,$HP$4:$HY$4))=0,0,((SUMIF($HP$3:$HY$3,HV$60,$HP121:$HY121))/SUMIF($HP$3:$HY$3,HV$60,$HP$4:$HY$4)))</f>
        <v>0</v>
      </c>
      <c r="HW72" s="196" t="n">
        <f aca="false">IF((SUMIF($HP$3:$HY$3,HW$60,$HP$4:$HY$4))=0,0,((SUMIF($HP$3:$HY$3,HW$60,$HP121:$HY121))/SUMIF($HP$3:$HY$3,HW$60,$HP$4:$HY$4)))</f>
        <v>0</v>
      </c>
      <c r="HX72" s="196" t="n">
        <f aca="false">IF((SUMIF($HP$3:$HY$3,HX$60,$HP$4:$HY$4))=0,0,((SUMIF($HP$3:$HY$3,HX$60,$HP121:$HY121))/SUMIF($HP$3:$HY$3,HX$60,$HP$4:$HY$4)))</f>
        <v>0</v>
      </c>
      <c r="HY72" s="197" t="n">
        <f aca="false">IF((SUMIF($HP$3:$HY$3,HY$60,$HP$4:$HY$4))=0,0,((SUMIF($HP$3:$HY$3,HY$60,$HP121:$HY121))/SUMIF($HP$3:$HY$3,HY$60,$HP$4:$HY$4)))</f>
        <v>0</v>
      </c>
      <c r="HZ72" s="194" t="str">
        <f aca="false">HO72</f>
        <v>Alumno11</v>
      </c>
      <c r="IA72" s="195" t="n">
        <f aca="false">IF((SUMIF($IA$3:$IJ$3,IA$60,$IA$4:$IJ$4))=0,0,((SUMIF($IA$3:$IJ$3,IA$60,$IA121:$IJ121))/SUMIF($IA$3:$IJ$3,IA$60,$IA$4:$IJ$4)))</f>
        <v>0</v>
      </c>
      <c r="IB72" s="196" t="n">
        <f aca="false">IF((SUMIF($IA$3:$IJ$3,IB$60,$IA$4:$IJ$4))=0,0,((SUMIF($IA$3:$IJ$3,IB$60,$IA121:$IJ121))/SUMIF($IA$3:$IJ$3,IB$60,$IA$4:$IJ$4)))</f>
        <v>0</v>
      </c>
      <c r="IC72" s="196" t="n">
        <f aca="false">IF((SUMIF($IA$3:$IJ$3,IC$60,$IA$4:$IJ$4))=0,0,((SUMIF($IA$3:$IJ$3,IC$60,$IA121:$IJ121))/SUMIF($IA$3:$IJ$3,IC$60,$IA$4:$IJ$4)))</f>
        <v>0</v>
      </c>
      <c r="ID72" s="196" t="n">
        <f aca="false">IF((SUMIF($IA$3:$IJ$3,ID$60,$IA$4:$IJ$4))=0,0,((SUMIF($IA$3:$IJ$3,ID$60,$IA121:$IJ121))/SUMIF($IA$3:$IJ$3,ID$60,$IA$4:$IJ$4)))</f>
        <v>0</v>
      </c>
      <c r="IE72" s="196" t="n">
        <f aca="false">IF((SUMIF($IA$3:$IJ$3,IE$60,$IA$4:$IJ$4))=0,0,((SUMIF($IA$3:$IJ$3,IE$60,$IA121:$IJ121))/SUMIF($IA$3:$IJ$3,IE$60,$IA$4:$IJ$4)))</f>
        <v>0</v>
      </c>
      <c r="IF72" s="196" t="n">
        <f aca="false">IF((SUMIF($IA$3:$IJ$3,IF$60,$IA$4:$IJ$4))=0,0,((SUMIF($IA$3:$IJ$3,IF$60,$IA121:$IJ121))/SUMIF($IA$3:$IJ$3,IF$60,$IA$4:$IJ$4)))</f>
        <v>0</v>
      </c>
      <c r="IG72" s="196" t="n">
        <f aca="false">IF((SUMIF($IA$3:$IJ$3,IG$60,$IA$4:$IJ$4))=0,0,((SUMIF($IA$3:$IJ$3,IG$60,$IA121:$IJ121))/SUMIF($IA$3:$IJ$3,IG$60,$IA$4:$IJ$4)))</f>
        <v>0</v>
      </c>
      <c r="IH72" s="196" t="n">
        <f aca="false">IF((SUMIF($IA$3:$IJ$3,IH$60,$IA$4:$IJ$4))=0,0,((SUMIF($IA$3:$IJ$3,IH$60,$IA121:$IJ121))/SUMIF($IA$3:$IJ$3,IH$60,$IA$4:$IJ$4)))</f>
        <v>0</v>
      </c>
      <c r="II72" s="196" t="n">
        <f aca="false">IF((SUMIF($IA$3:$IJ$3,II$60,$IA$4:$IJ$4))=0,0,((SUMIF($IA$3:$IJ$3,II$60,$IA121:$IJ121))/SUMIF($IA$3:$IJ$3,II$60,$IA$4:$IJ$4)))</f>
        <v>0</v>
      </c>
      <c r="IJ72" s="197" t="n">
        <f aca="false">IF((SUMIF($IA$3:$IJ$3,IJ$60,$IA$4:$IJ$4))=0,0,((SUMIF($IA$3:$IJ$3,IJ$60,$IA121:$IJ121))/SUMIF($IA$3:$IJ$3,IJ$60,$IA$4:$IJ$4)))</f>
        <v>0</v>
      </c>
      <c r="IK72" s="194" t="str">
        <f aca="false">HZ72</f>
        <v>Alumno11</v>
      </c>
      <c r="IL72" s="195" t="n">
        <f aca="false">IF((SUMIF($IL$3:$IU$3,IL$60,$IL$4:$IU$4))=0,0,((SUMIF($IL$3:$IU$3,IL$60,$IL121:$IU121))/SUMIF($IL$3:$IU$3,IL$60,$IL$4:$IU$4)))</f>
        <v>0</v>
      </c>
      <c r="IM72" s="196" t="n">
        <f aca="false">IF((SUMIF($IL$3:$IU$3,IM$60,$IL$4:$IU$4))=0,0,((SUMIF($IL$3:$IU$3,IM$60,$IL121:$IU121))/SUMIF($IL$3:$IU$3,IM$60,$IL$4:$IU$4)))</f>
        <v>0</v>
      </c>
      <c r="IN72" s="196" t="n">
        <f aca="false">IF((SUMIF($IL$3:$IU$3,IN$60,$IL$4:$IU$4))=0,0,((SUMIF($IL$3:$IU$3,IN$60,$IL121:$IU121))/SUMIF($IL$3:$IU$3,IN$60,$IL$4:$IU$4)))</f>
        <v>0</v>
      </c>
      <c r="IO72" s="196" t="n">
        <f aca="false">IF((SUMIF($IL$3:$IU$3,IO$60,$IL$4:$IU$4))=0,0,((SUMIF($IL$3:$IU$3,IO$60,$IL121:$IU121))/SUMIF($IL$3:$IU$3,IO$60,$IL$4:$IU$4)))</f>
        <v>0</v>
      </c>
      <c r="IP72" s="196" t="n">
        <f aca="false">IF((SUMIF($IL$3:$IU$3,IP$60,$IL$4:$IU$4))=0,0,((SUMIF($IL$3:$IU$3,IP$60,$IL121:$IU121))/SUMIF($IL$3:$IU$3,IP$60,$IL$4:$IU$4)))</f>
        <v>0</v>
      </c>
      <c r="IQ72" s="196" t="n">
        <f aca="false">IF((SUMIF($IL$3:$IU$3,IQ$60,$IL$4:$IU$4))=0,0,((SUMIF($IL$3:$IU$3,IQ$60,$IL121:$IU121))/SUMIF($IL$3:$IU$3,IQ$60,$IL$4:$IU$4)))</f>
        <v>0</v>
      </c>
      <c r="IR72" s="196" t="n">
        <f aca="false">IF((SUMIF($IL$3:$IU$3,IR$60,$IL$4:$IU$4))=0,0,((SUMIF($IL$3:$IU$3,IR$60,$IL121:$IU121))/SUMIF($IL$3:$IU$3,IR$60,$IL$4:$IU$4)))</f>
        <v>0</v>
      </c>
      <c r="IS72" s="196" t="n">
        <f aca="false">IF((SUMIF($IL$3:$IU$3,IS$60,$IL$4:$IU$4))=0,0,((SUMIF($IL$3:$IU$3,IS$60,$IL121:$IU121))/SUMIF($IL$3:$IU$3,IS$60,$IL$4:$IU$4)))</f>
        <v>0</v>
      </c>
      <c r="IT72" s="196" t="n">
        <f aca="false">IF((SUMIF($IL$3:$IU$3,IT$60,$IL$4:$IU$4))=0,0,((SUMIF($IL$3:$IU$3,IT$60,$IL121:$IU121))/SUMIF($IL$3:$IU$3,IT$60,$IL$4:$IU$4)))</f>
        <v>0</v>
      </c>
      <c r="IU72" s="197" t="n">
        <f aca="false">IF((SUMIF($IL$3:$IU$3,IU$60,$IL$4:$IU$4))=0,0,((SUMIF($IL$3:$IU$3,IU$60,$IL121:$IU121))/SUMIF($IL$3:$IU$3,IU$60,$IL$4:$IU$4)))</f>
        <v>0</v>
      </c>
      <c r="IV72" s="194" t="str">
        <f aca="false">IK72</f>
        <v>Alumno11</v>
      </c>
      <c r="IW72" s="195" t="n">
        <f aca="false">IF((SUMIF($IW$3:$JF$3,IW$60,$IW$4:$JF$4))=0,0,((SUMIF($IW$3:$JF$3,IW$60,$IW121:$JF121))/SUMIF($IW$3:$JF$3,IW$60,$IW$4:$JF$4)))</f>
        <v>0</v>
      </c>
      <c r="IX72" s="196" t="n">
        <f aca="false">IF((SUMIF($IW$3:$JF$3,IX$60,$IW$4:$JF$4))=0,0,((SUMIF($IW$3:$JF$3,IX$60,$IW121:$JF121))/SUMIF($IW$3:$JF$3,IX$60,$IW$4:$JF$4)))</f>
        <v>0</v>
      </c>
      <c r="IY72" s="196" t="n">
        <f aca="false">IF((SUMIF($IW$3:$JF$3,IY$60,$IW$4:$JF$4))=0,0,((SUMIF($IW$3:$JF$3,IY$60,$IW121:$JF121))/SUMIF($IW$3:$JF$3,IY$60,$IW$4:$JF$4)))</f>
        <v>0</v>
      </c>
      <c r="IZ72" s="196" t="n">
        <f aca="false">IF((SUMIF($IW$3:$JF$3,IZ$60,$IW$4:$JF$4))=0,0,((SUMIF($IW$3:$JF$3,IZ$60,$IW121:$JF121))/SUMIF($IW$3:$JF$3,IZ$60,$IW$4:$JF$4)))</f>
        <v>0</v>
      </c>
      <c r="JA72" s="196" t="n">
        <f aca="false">IF((SUMIF($IW$3:$JF$3,JA$60,$IW$4:$JF$4))=0,0,((SUMIF($IW$3:$JF$3,JA$60,$IW121:$JF121))/SUMIF($IW$3:$JF$3,JA$60,$IW$4:$JF$4)))</f>
        <v>0</v>
      </c>
      <c r="JB72" s="196" t="n">
        <f aca="false">IF((SUMIF($IW$3:$JF$3,JB$60,$IW$4:$JF$4))=0,0,((SUMIF($IW$3:$JF$3,JB$60,$IW121:$JF121))/SUMIF($IW$3:$JF$3,JB$60,$IW$4:$JF$4)))</f>
        <v>0</v>
      </c>
      <c r="JC72" s="196" t="n">
        <f aca="false">IF((SUMIF($IW$3:$JF$3,JC$60,$IW$4:$JF$4))=0,0,((SUMIF($IW$3:$JF$3,JC$60,$IW121:$JF121))/SUMIF($IW$3:$JF$3,JC$60,$IW$4:$JF$4)))</f>
        <v>0</v>
      </c>
      <c r="JD72" s="196" t="n">
        <f aca="false">IF((SUMIF($IW$3:$JF$3,JD$60,$IW$4:$JF$4))=0,0,((SUMIF($IW$3:$JF$3,JD$60,$IW121:$JF121))/SUMIF($IW$3:$JF$3,JD$60,$IW$4:$JF$4)))</f>
        <v>0</v>
      </c>
      <c r="JE72" s="196" t="n">
        <f aca="false">IF((SUMIF($IW$3:$JF$3,JE$60,$IW$4:$JF$4))=0,0,((SUMIF($IW$3:$JF$3,JE$60,$IW121:$JF121))/SUMIF($IW$3:$JF$3,JE$60,$IW$4:$JF$4)))</f>
        <v>0</v>
      </c>
      <c r="JF72" s="197" t="n">
        <f aca="false">IF((SUMIF($IW$3:$JF$3,JF$60,$IW$4:$JF$4))=0,0,((SUMIF($IW$3:$JF$3,JF$60,$IW121:$JF121))/SUMIF($IW$3:$JF$3,JF$60,$IW$4:$JF$4)))</f>
        <v>0</v>
      </c>
      <c r="JG72" s="194" t="str">
        <f aca="false">IV72</f>
        <v>Alumno11</v>
      </c>
      <c r="JH72" s="195" t="n">
        <f aca="false">IF((SUMIF($JH$3:$JQ$3,JH$60,$JH$4:$JQ$4))=0,0,((SUMIF($JH$3:$JQ$3,JH$60,$JH121:$JQ121))/SUMIF($JH$3:$JQ$3,JH$60,$JH$4:$JQ$4)))</f>
        <v>0</v>
      </c>
      <c r="JI72" s="196" t="n">
        <f aca="false">IF((SUMIF($JH$3:$JQ$3,JI$60,$JH$4:$JQ$4))=0,0,((SUMIF($JH$3:$JQ$3,JI$60,$JH121:$JQ121))/SUMIF($JH$3:$JQ$3,JI$60,$JH$4:$JQ$4)))</f>
        <v>0</v>
      </c>
      <c r="JJ72" s="196" t="n">
        <f aca="false">IF((SUMIF($JH$3:$JQ$3,JJ$60,$JH$4:$JQ$4))=0,0,((SUMIF($JH$3:$JQ$3,JJ$60,$JH121:$JQ121))/SUMIF($JH$3:$JQ$3,JJ$60,$JH$4:$JQ$4)))</f>
        <v>0</v>
      </c>
      <c r="JK72" s="196" t="n">
        <f aca="false">IF((SUMIF($JH$3:$JQ$3,JK$60,$JH$4:$JQ$4))=0,0,((SUMIF($JH$3:$JQ$3,JK$60,$JH121:$JQ121))/SUMIF($JH$3:$JQ$3,JK$60,$JH$4:$JQ$4)))</f>
        <v>0</v>
      </c>
      <c r="JL72" s="196" t="n">
        <f aca="false">IF((SUMIF($JH$3:$JQ$3,JL$60,$JH$4:$JQ$4))=0,0,((SUMIF($JH$3:$JQ$3,JL$60,$JH121:$JQ121))/SUMIF($JH$3:$JQ$3,JL$60,$JH$4:$JQ$4)))</f>
        <v>0</v>
      </c>
      <c r="JM72" s="196" t="n">
        <f aca="false">IF((SUMIF($JH$3:$JQ$3,JM$60,$JH$4:$JQ$4))=0,0,((SUMIF($JH$3:$JQ$3,JM$60,$JH121:$JQ121))/SUMIF($JH$3:$JQ$3,JM$60,$JH$4:$JQ$4)))</f>
        <v>0</v>
      </c>
      <c r="JN72" s="196" t="n">
        <f aca="false">IF((SUMIF($JH$3:$JQ$3,JN$60,$JH$4:$JQ$4))=0,0,((SUMIF($JH$3:$JQ$3,JN$60,$JH121:$JQ121))/SUMIF($JH$3:$JQ$3,JN$60,$JH$4:$JQ$4)))</f>
        <v>0</v>
      </c>
      <c r="JO72" s="196" t="n">
        <f aca="false">IF((SUMIF($JH$3:$JQ$3,JO$60,$JH$4:$JQ$4))=0,0,((SUMIF($JH$3:$JQ$3,JO$60,$JH121:$JQ121))/SUMIF($JH$3:$JQ$3,JO$60,$JH$4:$JQ$4)))</f>
        <v>0</v>
      </c>
      <c r="JP72" s="196" t="n">
        <f aca="false">IF((SUMIF($JH$3:$JQ$3,JP$60,$JH$4:$JQ$4))=0,0,((SUMIF($JH$3:$JQ$3,JP$60,$JH121:$JQ121))/SUMIF($JH$3:$JQ$3,JP$60,$JH$4:$JQ$4)))</f>
        <v>0</v>
      </c>
      <c r="JQ72" s="197" t="n">
        <f aca="false">IF((SUMIF($JH$3:$JQ$3,JQ$60,$JH$4:$JQ$4))=0,0,((SUMIF($JH$3:$JQ$3,JQ$60,$JH121:$JQ121))/SUMIF($JH$3:$JQ$3,JQ$60,$JH$4:$JQ$4)))</f>
        <v>0</v>
      </c>
      <c r="JR72" s="194" t="str">
        <f aca="false">JG72</f>
        <v>Alumno11</v>
      </c>
      <c r="JS72" s="195" t="n">
        <f aca="false">IF((SUMIF($JS$3:$KB$3,JS$60,$JS$4:$KB$4))=0,0,((SUMIF($JS$3:$KB$3,JS$60,$JS121:$KB121))/SUMIF($JS$3:$KB$3,JS$60,$JS$4:$KB$4)))</f>
        <v>0</v>
      </c>
      <c r="JT72" s="196" t="n">
        <f aca="false">IF((SUMIF($JS$3:$KB$3,JT$60,$JS$4:$KB$4))=0,0,((SUMIF($JS$3:$KB$3,JT$60,$JS121:$KB121))/SUMIF($JS$3:$KB$3,JT$60,$JS$4:$KB$4)))</f>
        <v>0</v>
      </c>
      <c r="JU72" s="196" t="n">
        <f aca="false">IF((SUMIF($JS$3:$KB$3,JU$60,$JS$4:$KB$4))=0,0,((SUMIF($JS$3:$KB$3,JU$60,$JS121:$KB121))/SUMIF($JS$3:$KB$3,JU$60,$JS$4:$KB$4)))</f>
        <v>0</v>
      </c>
      <c r="JV72" s="196" t="n">
        <f aca="false">IF((SUMIF($JS$3:$KB$3,JV$60,$JS$4:$KB$4))=0,0,((SUMIF($JS$3:$KB$3,JV$60,$JS121:$KB121))/SUMIF($JS$3:$KB$3,JV$60,$JS$4:$KB$4)))</f>
        <v>0</v>
      </c>
      <c r="JW72" s="196" t="n">
        <f aca="false">IF((SUMIF($JS$3:$KB$3,JW$60,$JS$4:$KB$4))=0,0,((SUMIF($JS$3:$KB$3,JW$60,$JS121:$KB121))/SUMIF($JS$3:$KB$3,JW$60,$JS$4:$KB$4)))</f>
        <v>0</v>
      </c>
      <c r="JX72" s="196" t="n">
        <f aca="false">IF((SUMIF($JS$3:$KB$3,JX$60,$JS$4:$KB$4))=0,0,((SUMIF($JS$3:$KB$3,JX$60,$JS121:$KB121))/SUMIF($JS$3:$KB$3,JX$60,$JS$4:$KB$4)))</f>
        <v>0</v>
      </c>
      <c r="JY72" s="196" t="n">
        <f aca="false">IF((SUMIF($JS$3:$KB$3,JY$60,$JS$4:$KB$4))=0,0,((SUMIF($JS$3:$KB$3,JY$60,$JS121:$KB121))/SUMIF($JS$3:$KB$3,JY$60,$JS$4:$KB$4)))</f>
        <v>0</v>
      </c>
      <c r="JZ72" s="196" t="n">
        <f aca="false">IF((SUMIF($JS$3:$KB$3,JZ$60,$JS$4:$KB$4))=0,0,((SUMIF($JS$3:$KB$3,JZ$60,$JS121:$KB121))/SUMIF($JS$3:$KB$3,JZ$60,$JS$4:$KB$4)))</f>
        <v>0</v>
      </c>
      <c r="KA72" s="196" t="n">
        <f aca="false">IF((SUMIF($JS$3:$KB$3,KA$60,$JS$4:$KB$4))=0,0,((SUMIF($JS$3:$KB$3,KA$60,$JS121:$KB121))/SUMIF($JS$3:$KB$3,KA$60,$JS$4:$KB$4)))</f>
        <v>0</v>
      </c>
      <c r="KB72" s="197" t="n">
        <f aca="false">IF((SUMIF($JS$3:$KB$3,KB$60,$JS$4:$KB$4))=0,0,((SUMIF($JS$3:$KB$3,KB$60,$JS121:$KB121))/SUMIF($JS$3:$KB$3,KB$60,$JS$4:$KB$4)))</f>
        <v>0</v>
      </c>
      <c r="KC72" s="194" t="str">
        <f aca="false">JR72</f>
        <v>Alumno11</v>
      </c>
      <c r="KD72" s="195" t="n">
        <f aca="false">IF((SUMIF($KD$3:$KM$3,KD$60,$KD$4:$KM$4))=0,0,((SUMIF($KD$3:$KM$3,KD$60,$KD121:$KM121))/SUMIF($KD$3:$KM$3,KD$60,$KD$4:$KM$4)))</f>
        <v>0</v>
      </c>
      <c r="KE72" s="196" t="n">
        <f aca="false">IF((SUMIF($KD$3:$KM$3,KE$60,$KD$4:$KM$4))=0,0,((SUMIF($KD$3:$KM$3,KE$60,$KD121:$KM121))/SUMIF($KD$3:$KM$3,KE$60,$KD$4:$KM$4)))</f>
        <v>0</v>
      </c>
      <c r="KF72" s="196" t="n">
        <f aca="false">IF((SUMIF($KD$3:$KM$3,KF$60,$KD$4:$KM$4))=0,0,((SUMIF($KD$3:$KM$3,KF$60,$KD121:$KM121))/SUMIF($KD$3:$KM$3,KF$60,$KD$4:$KM$4)))</f>
        <v>0</v>
      </c>
      <c r="KG72" s="196" t="n">
        <f aca="false">IF((SUMIF($KD$3:$KM$3,KG$60,$KD$4:$KM$4))=0,0,((SUMIF($KD$3:$KM$3,KG$60,$KD121:$KM121))/SUMIF($KD$3:$KM$3,KG$60,$KD$4:$KM$4)))</f>
        <v>0</v>
      </c>
      <c r="KH72" s="196" t="n">
        <f aca="false">IF((SUMIF($KD$3:$KM$3,KH$60,$KD$4:$KM$4))=0,0,((SUMIF($KD$3:$KM$3,KH$60,$KD121:$KM121))/SUMIF($KD$3:$KM$3,KH$60,$KD$4:$KM$4)))</f>
        <v>0</v>
      </c>
      <c r="KI72" s="196" t="n">
        <f aca="false">IF((SUMIF($KD$3:$KM$3,KI$60,$KD$4:$KM$4))=0,0,((SUMIF($KD$3:$KM$3,KI$60,$KD121:$KM121))/SUMIF($KD$3:$KM$3,KI$60,$KD$4:$KM$4)))</f>
        <v>0</v>
      </c>
      <c r="KJ72" s="196" t="n">
        <f aca="false">IF((SUMIF($KD$3:$KM$3,KJ$60,$KD$4:$KM$4))=0,0,((SUMIF($KD$3:$KM$3,KJ$60,$KD121:$KM121))/SUMIF($KD$3:$KM$3,KJ$60,$KD$4:$KM$4)))</f>
        <v>0</v>
      </c>
      <c r="KK72" s="196" t="n">
        <f aca="false">IF((SUMIF($KD$3:$KM$3,KK$60,$KD$4:$KM$4))=0,0,((SUMIF($KD$3:$KM$3,KK$60,$KD121:$KM121))/SUMIF($KD$3:$KM$3,KK$60,$KD$4:$KM$4)))</f>
        <v>0</v>
      </c>
      <c r="KL72" s="196" t="n">
        <f aca="false">IF((SUMIF($KD$3:$KM$3,KL$60,$KD$4:$KM$4))=0,0,((SUMIF($KD$3:$KM$3,KL$60,$KD121:$KM121))/SUMIF($KD$3:$KM$3,KL$60,$KD$4:$KM$4)))</f>
        <v>0</v>
      </c>
      <c r="KM72" s="197" t="n">
        <f aca="false">IF((SUMIF($KD$3:$KM$3,KM$60,$KD$4:$KM$4))=0,0,((SUMIF($KD$3:$KM$3,KM$60,$KD121:$KM121))/SUMIF($KD$3:$KM$3,KM$60,$KD$4:$KM$4)))</f>
        <v>0</v>
      </c>
      <c r="KN72" s="194" t="str">
        <f aca="false">KC72</f>
        <v>Alumno11</v>
      </c>
      <c r="KO72" s="195" t="n">
        <f aca="false">IF((SUMIF($KO$3:$KX$3,KO$60,$KO$4:$KX$4))=0,0,((SUMIF($KO$3:$KX$3,KO$60,$KO121:$KX121))/SUMIF($KO$3:$KX$3,KO$60,$KO$4:$KX$4)))</f>
        <v>0</v>
      </c>
      <c r="KP72" s="196" t="n">
        <f aca="false">IF((SUMIF($KO$3:$KX$3,KP$60,$KO$4:$KX$4))=0,0,((SUMIF($KO$3:$KX$3,KP$60,$KO121:$KX121))/SUMIF($KO$3:$KX$3,KP$60,$KO$4:$KX$4)))</f>
        <v>0</v>
      </c>
      <c r="KQ72" s="196" t="n">
        <f aca="false">IF((SUMIF($KO$3:$KX$3,KQ$60,$KO$4:$KX$4))=0,0,((SUMIF($KO$3:$KX$3,KQ$60,$KO121:$KX121))/SUMIF($KO$3:$KX$3,KQ$60,$KO$4:$KX$4)))</f>
        <v>0</v>
      </c>
      <c r="KR72" s="196" t="n">
        <f aca="false">IF((SUMIF($KO$3:$KX$3,KR$60,$KO$4:$KX$4))=0,0,((SUMIF($KO$3:$KX$3,KR$60,$KO121:$KX121))/SUMIF($KO$3:$KX$3,KR$60,$KO$4:$KX$4)))</f>
        <v>0</v>
      </c>
      <c r="KS72" s="196" t="n">
        <f aca="false">IF((SUMIF($KO$3:$KX$3,KS$60,$KO$4:$KX$4))=0,0,((SUMIF($KO$3:$KX$3,KS$60,$KO121:$KX121))/SUMIF($KO$3:$KX$3,KS$60,$KO$4:$KX$4)))</f>
        <v>0</v>
      </c>
      <c r="KT72" s="196" t="n">
        <f aca="false">IF((SUMIF($KO$3:$KX$3,KT$60,$KO$4:$KX$4))=0,0,((SUMIF($KO$3:$KX$3,KT$60,$KO121:$KX121))/SUMIF($KO$3:$KX$3,KT$60,$KO$4:$KX$4)))</f>
        <v>0</v>
      </c>
      <c r="KU72" s="196" t="n">
        <f aca="false">IF((SUMIF($KO$3:$KX$3,KU$60,$KO$4:$KX$4))=0,0,((SUMIF($KO$3:$KX$3,KU$60,$KO121:$KX121))/SUMIF($KO$3:$KX$3,KU$60,$KO$4:$KX$4)))</f>
        <v>0</v>
      </c>
      <c r="KV72" s="196" t="n">
        <f aca="false">IF((SUMIF($KO$3:$KX$3,KV$60,$KO$4:$KX$4))=0,0,((SUMIF($KO$3:$KX$3,KV$60,$KO121:$KX121))/SUMIF($KO$3:$KX$3,KV$60,$KO$4:$KX$4)))</f>
        <v>0</v>
      </c>
      <c r="KW72" s="196" t="n">
        <f aca="false">IF((SUMIF($KO$3:$KX$3,KW$60,$KO$4:$KX$4))=0,0,((SUMIF($KO$3:$KX$3,KW$60,$KO121:$KX121))/SUMIF($KO$3:$KX$3,KW$60,$KO$4:$KX$4)))</f>
        <v>0</v>
      </c>
      <c r="KX72" s="197" t="n">
        <f aca="false">IF((SUMIF($KO$3:$KX$3,KX$60,$KO$4:$KX$4))=0,0,((SUMIF($KO$3:$KX$3,KX$60,$KO121:$KX121))/SUMIF($KO$3:$KX$3,KX$60,$KO$4:$KX$4)))</f>
        <v>0</v>
      </c>
      <c r="KY72" s="194" t="str">
        <f aca="false">KN72</f>
        <v>Alumno11</v>
      </c>
      <c r="KZ72" s="195" t="n">
        <f aca="false">IF((SUMIF($KZ$3:$LI$3,KZ$60,$KZ$4:$LI$4))=0,0,((SUMIF($KZ$3:$LI$3,KZ$60,$KZ121:$LI121))/SUMIF($KZ$3:$LI$3,KZ$60,$KZ$4:$LI$4)))</f>
        <v>0</v>
      </c>
      <c r="LA72" s="196" t="n">
        <f aca="false">IF((SUMIF($KZ$3:$LI$3,LA$60,$KZ$4:$LI$4))=0,0,((SUMIF($KZ$3:$LI$3,LA$60,$KZ121:$LI121))/SUMIF($KZ$3:$LI$3,LA$60,$KZ$4:$LI$4)))</f>
        <v>0</v>
      </c>
      <c r="LB72" s="196" t="n">
        <f aca="false">IF((SUMIF($KZ$3:$LI$3,LB$60,$KZ$4:$LI$4))=0,0,((SUMIF($KZ$3:$LI$3,LB$60,$KZ121:$LI121))/SUMIF($KZ$3:$LI$3,LB$60,$KZ$4:$LI$4)))</f>
        <v>0</v>
      </c>
      <c r="LC72" s="196" t="n">
        <f aca="false">IF((SUMIF($KZ$3:$LI$3,LC$60,$KZ$4:$LI$4))=0,0,((SUMIF($KZ$3:$LI$3,LC$60,$KZ121:$LI121))/SUMIF($KZ$3:$LI$3,LC$60,$KZ$4:$LI$4)))</f>
        <v>0</v>
      </c>
      <c r="LD72" s="196" t="n">
        <f aca="false">IF((SUMIF($KZ$3:$LI$3,LD$60,$KZ$4:$LI$4))=0,0,((SUMIF($KZ$3:$LI$3,LD$60,$KZ121:$LI121))/SUMIF($KZ$3:$LI$3,LD$60,$KZ$4:$LI$4)))</f>
        <v>0</v>
      </c>
      <c r="LE72" s="196" t="n">
        <f aca="false">IF((SUMIF($KZ$3:$LI$3,LE$60,$KZ$4:$LI$4))=0,0,((SUMIF($KZ$3:$LI$3,LE$60,$KZ121:$LI121))/SUMIF($KZ$3:$LI$3,LE$60,$KZ$4:$LI$4)))</f>
        <v>0</v>
      </c>
      <c r="LF72" s="196" t="n">
        <f aca="false">IF((SUMIF($KZ$3:$LI$3,LF$60,$KZ$4:$LI$4))=0,0,((SUMIF($KZ$3:$LI$3,LF$60,$KZ121:$LI121))/SUMIF($KZ$3:$LI$3,LF$60,$KZ$4:$LI$4)))</f>
        <v>0</v>
      </c>
      <c r="LG72" s="196" t="n">
        <f aca="false">IF((SUMIF($KZ$3:$LI$3,LG$60,$KZ$4:$LI$4))=0,0,((SUMIF($KZ$3:$LI$3,LG$60,$KZ121:$LI121))/SUMIF($KZ$3:$LI$3,LG$60,$KZ$4:$LI$4)))</f>
        <v>0</v>
      </c>
      <c r="LH72" s="196" t="n">
        <f aca="false">IF((SUMIF($KZ$3:$LI$3,LH$60,$KZ$4:$LI$4))=0,0,((SUMIF($KZ$3:$LI$3,LH$60,$KZ121:$LI121))/SUMIF($KZ$3:$LI$3,LH$60,$KZ$4:$LI$4)))</f>
        <v>0</v>
      </c>
      <c r="LI72" s="197" t="n">
        <f aca="false">IF((SUMIF($KZ$3:$LI$3,LI$60,$KZ$4:$LI$4))=0,0,((SUMIF($KZ$3:$LI$3,LI$60,$KZ121:$LI121))/SUMIF($KZ$3:$LI$3,LI$60,$KZ$4:$LI$4)))</f>
        <v>0</v>
      </c>
      <c r="LJ72" s="194" t="str">
        <f aca="false">KY72</f>
        <v>Alumno11</v>
      </c>
      <c r="LK72" s="195" t="n">
        <f aca="false">IF((SUMIF($LK$3:$LT$3,LK$60,$LK$4:$LT$4))=0,0,((SUMIF($LK$3:$LT$3,LK$60,$LK121:$LT121))/SUMIF($LK$3:$LT$3,LK$60,$LK$4:$LT$4)))</f>
        <v>0</v>
      </c>
      <c r="LL72" s="196" t="n">
        <f aca="false">IF((SUMIF($LK$3:$LT$3,LL$60,$LK$4:$LT$4))=0,0,((SUMIF($LK$3:$LT$3,LL$60,$LK121:$LT121))/SUMIF($LK$3:$LT$3,LL$60,$LK$4:$LT$4)))</f>
        <v>0</v>
      </c>
      <c r="LM72" s="196" t="n">
        <f aca="false">IF((SUMIF($LK$3:$LT$3,LM$60,$LK$4:$LT$4))=0,0,((SUMIF($LK$3:$LT$3,LM$60,$LK121:$LT121))/SUMIF($LK$3:$LT$3,LM$60,$LK$4:$LT$4)))</f>
        <v>0</v>
      </c>
      <c r="LN72" s="196" t="n">
        <f aca="false">IF((SUMIF($LK$3:$LT$3,LN$60,$LK$4:$LT$4))=0,0,((SUMIF($LK$3:$LT$3,LN$60,$LK121:$LT121))/SUMIF($LK$3:$LT$3,LN$60,$LK$4:$LT$4)))</f>
        <v>0</v>
      </c>
      <c r="LO72" s="196" t="n">
        <f aca="false">IF((SUMIF($LK$3:$LT$3,LO$60,$LK$4:$LT$4))=0,0,((SUMIF($LK$3:$LT$3,LO$60,$LK121:$LT121))/SUMIF($LK$3:$LT$3,LO$60,$LK$4:$LT$4)))</f>
        <v>0</v>
      </c>
      <c r="LP72" s="196" t="n">
        <f aca="false">IF((SUMIF($LK$3:$LT$3,LP$60,$LK$4:$LT$4))=0,0,((SUMIF($LK$3:$LT$3,LP$60,$LK121:$LT121))/SUMIF($LK$3:$LT$3,LP$60,$LK$4:$LT$4)))</f>
        <v>0</v>
      </c>
      <c r="LQ72" s="196" t="n">
        <f aca="false">IF((SUMIF($LK$3:$LT$3,LQ$60,$LK$4:$LT$4))=0,0,((SUMIF($LK$3:$LT$3,LQ$60,$LK121:$LT121))/SUMIF($LK$3:$LT$3,LQ$60,$LK$4:$LT$4)))</f>
        <v>0</v>
      </c>
      <c r="LR72" s="196" t="n">
        <f aca="false">IF((SUMIF($LK$3:$LT$3,LR$60,$LK$4:$LT$4))=0,0,((SUMIF($LK$3:$LT$3,LR$60,$LK121:$LT121))/SUMIF($LK$3:$LT$3,LR$60,$LK$4:$LT$4)))</f>
        <v>0</v>
      </c>
      <c r="LS72" s="196" t="n">
        <f aca="false">IF((SUMIF($LK$3:$LT$3,LS$60,$LK$4:$LT$4))=0,0,((SUMIF($LK$3:$LT$3,LS$60,$LK121:$LT121))/SUMIF($LK$3:$LT$3,LS$60,$LK$4:$LT$4)))</f>
        <v>0</v>
      </c>
      <c r="LT72" s="197" t="n">
        <f aca="false">IF((SUMIF($LK$3:$LT$3,LT$60,$LK$4:$LT$4))=0,0,((SUMIF($LK$3:$LT$3,LT$60,$LK121:$LT121))/SUMIF($LK$3:$LT$3,LT$60,$LK$4:$LT$4)))</f>
        <v>0</v>
      </c>
    </row>
    <row r="73" customFormat="false" ht="15" hidden="true" customHeight="false" outlineLevel="0" collapsed="false">
      <c r="C73" s="194" t="str">
        <f aca="false">B17</f>
        <v>Alumno12</v>
      </c>
      <c r="D73" s="195" t="n">
        <f aca="false">IF((SUMIF($D$3:$M$3,D$60,$D$4:$M$4))=0,0,((SUMIF($D$3:$M$3,D$60,$D122:$M122))/SUMIF($D$3:$M$3,D$60,$D$4:$M$4)))</f>
        <v>5</v>
      </c>
      <c r="E73" s="196" t="n">
        <f aca="false">IF((SUMIF($D$3:$M$3,E$60,$D$4:$M$4))=0,0,((SUMIF($D$3:$M$3,E$60,$D122:$M122))/SUMIF($D$3:$M$3,E$60,$D$4:$M$4)))</f>
        <v>0</v>
      </c>
      <c r="F73" s="196" t="n">
        <f aca="false">IF((SUMIF($D$3:$M$3,F$60,$D$4:$M$4))=0,0,((SUMIF($D$3:$M$3,F$60,$D122:$M122))/SUMIF($D$3:$M$3,F$60,$D$4:$M$4)))</f>
        <v>0</v>
      </c>
      <c r="G73" s="196" t="n">
        <f aca="false">IF((SUMIF($D$3:$M$3,G$60,$D$4:$M$4))=0,0,((SUMIF($D$3:$M$3,G$60,$D122:$M122))/SUMIF($D$3:$M$3,G$60,$D$4:$M$4)))</f>
        <v>0</v>
      </c>
      <c r="H73" s="196" t="n">
        <f aca="false">IF((SUMIF($D$3:$M$3,H$60,$D$4:$M$4))=0,0,((SUMIF($D$3:$M$3,H$60,$D122:$M122))/SUMIF($D$3:$M$3,H$60,$D$4:$M$4)))</f>
        <v>0</v>
      </c>
      <c r="I73" s="196" t="n">
        <f aca="false">IF((SUMIF($D$3:$M$3,I$60,$D$4:$M$4))=0,0,((SUMIF($D$3:$M$3,I$60,$D122:$M122))/SUMIF($D$3:$M$3,I$60,$D$4:$M$4)))</f>
        <v>0</v>
      </c>
      <c r="J73" s="196" t="n">
        <f aca="false">IF((SUMIF($D$3:$M$3,J$60,$D$4:$M$4))=0,0,((SUMIF($D$3:$M$3,J$60,$D122:$M122))/SUMIF($D$3:$M$3,J$60,$D$4:$M$4)))</f>
        <v>0</v>
      </c>
      <c r="K73" s="196" t="n">
        <f aca="false">IF((SUMIF($D$3:$M$3,K$60,$D$4:$M$4))=0,0,((SUMIF($D$3:$M$3,K$60,$D122:$M122))/SUMIF($D$3:$M$3,K$60,$D$4:$M$4)))</f>
        <v>0</v>
      </c>
      <c r="L73" s="196" t="n">
        <f aca="false">IF((SUMIF($D$3:$M$3,L$60,$D$4:$M$4))=0,0,((SUMIF($D$3:$M$3,L$60,$D122:$M122))/SUMIF($D$3:$M$3,L$60,$D$4:$M$4)))</f>
        <v>0</v>
      </c>
      <c r="M73" s="197" t="n">
        <f aca="false">IF((SUMIF($D$3:$M$3,M$60,$D$4:$M$4))=0,0,((SUMIF($D$3:$M$3,M$60,$D122:$M122))/SUMIF($D$3:$M$3,M$60,$D$4:$M$4)))</f>
        <v>0</v>
      </c>
      <c r="N73" s="194" t="str">
        <f aca="false">C73</f>
        <v>Alumno12</v>
      </c>
      <c r="O73" s="195" t="n">
        <f aca="false">IF((SUMIF($O$3:$X$3,O$60,$O$4:$X$4))=0,0,((SUMIF($O$3:$X$3,O$60,$O122:$X122))/SUMIF($O$3:$X$3,O$60,$O$4:$X$4)))</f>
        <v>5</v>
      </c>
      <c r="P73" s="196" t="n">
        <f aca="false">IF((SUMIF($O$3:$X$3,P$60,$O$4:$X$4))=0,0,((SUMIF($O$3:$X$3,P$60,$O122:$X122))/SUMIF($O$3:$X$3,P$60,$O$4:$X$4)))</f>
        <v>5</v>
      </c>
      <c r="Q73" s="196" t="n">
        <f aca="false">IF((SUMIF($O$3:$X$3,Q$60,$O$4:$X$4))=0,0,((SUMIF($O$3:$X$3,Q$60,$O122:$X122))/SUMIF($O$3:$X$3,Q$60,$O$4:$X$4)))</f>
        <v>0</v>
      </c>
      <c r="R73" s="196" t="n">
        <f aca="false">IF((SUMIF($O$3:$X$3,R$60,$O$4:$X$4))=0,0,((SUMIF($O$3:$X$3,R$60,$O122:$X122))/SUMIF($O$3:$X$3,R$60,$O$4:$X$4)))</f>
        <v>0</v>
      </c>
      <c r="S73" s="196" t="n">
        <f aca="false">IF((SUMIF($O$3:$X$3,S$60,$O$4:$X$4))=0,0,((SUMIF($O$3:$X$3,S$60,$O122:$X122))/SUMIF($O$3:$X$3,S$60,$O$4:$X$4)))</f>
        <v>0</v>
      </c>
      <c r="T73" s="196" t="n">
        <f aca="false">IF((SUMIF($O$3:$X$3,T$60,$O$4:$X$4))=0,0,((SUMIF($O$3:$X$3,T$60,$O122:$X122))/SUMIF($O$3:$X$3,T$60,$O$4:$X$4)))</f>
        <v>0</v>
      </c>
      <c r="U73" s="196" t="n">
        <f aca="false">IF((SUMIF($O$3:$X$3,U$60,$O$4:$X$4))=0,0,((SUMIF($O$3:$X$3,U$60,$O122:$X122))/SUMIF($O$3:$X$3,U$60,$O$4:$X$4)))</f>
        <v>0</v>
      </c>
      <c r="V73" s="196" t="n">
        <f aca="false">IF((SUMIF($O$3:$X$3,V$60,$O$4:$X$4))=0,0,((SUMIF($O$3:$X$3,V$60,$O122:$X122))/SUMIF($O$3:$X$3,V$60,$O$4:$X$4)))</f>
        <v>0</v>
      </c>
      <c r="W73" s="196" t="n">
        <f aca="false">IF((SUMIF($O$3:$X$3,W$60,$O$4:$X$4))=0,0,((SUMIF($O$3:$X$3,W$60,$O122:$X122))/SUMIF($O$3:$X$3,W$60,$O$4:$X$4)))</f>
        <v>0</v>
      </c>
      <c r="X73" s="197" t="n">
        <f aca="false">IF((SUMIF($O$3:$X$3,X$60,$O$4:$X$4))=0,0,((SUMIF($O$3:$X$3,X$60,$O122:$X122))/SUMIF($O$3:$X$3,X$60,$O$4:$X$4)))</f>
        <v>0</v>
      </c>
      <c r="Y73" s="194" t="str">
        <f aca="false">N73</f>
        <v>Alumno12</v>
      </c>
      <c r="Z73" s="195" t="n">
        <f aca="false">IF((SUMIF($Z$3:$AI$3,Z$60,$Z$4:$AI$4))=0,0,((SUMIF($Z$3:$AI$3,Z$60,$Z122:$AI122))/SUMIF($Z$3:$AI$3,Z$60,$Z$4:$AI$4)))</f>
        <v>5</v>
      </c>
      <c r="AA73" s="196" t="n">
        <f aca="false">IF((SUMIF($Z$3:$AI$3,AA$60,$Z$4:$AI$4))=0,0,((SUMIF($Z$3:$AI$3,AA$60,$Z122:$AI122))/SUMIF($Z$3:$AI$3,AA$60,$Z$4:$AI$4)))</f>
        <v>5</v>
      </c>
      <c r="AB73" s="196" t="n">
        <f aca="false">IF((SUMIF($Z$3:$AI$3,AB$60,$Z$4:$AI$4))=0,0,((SUMIF($Z$3:$AI$3,AB$60,$Z122:$AI122))/SUMIF($Z$3:$AI$3,AB$60,$Z$4:$AI$4)))</f>
        <v>5</v>
      </c>
      <c r="AC73" s="196" t="n">
        <f aca="false">IF((SUMIF($Z$3:$AI$3,AC$60,$Z$4:$AI$4))=0,0,((SUMIF($Z$3:$AI$3,AC$60,$Z122:$AI122))/SUMIF($Z$3:$AI$3,AC$60,$Z$4:$AI$4)))</f>
        <v>0</v>
      </c>
      <c r="AD73" s="196" t="n">
        <f aca="false">IF((SUMIF($Z$3:$AI$3,AD$60,$Z$4:$AI$4))=0,0,((SUMIF($Z$3:$AI$3,AD$60,$Z122:$AI122))/SUMIF($Z$3:$AI$3,AD$60,$Z$4:$AI$4)))</f>
        <v>0</v>
      </c>
      <c r="AE73" s="196" t="n">
        <f aca="false">IF((SUMIF($Z$3:$AI$3,AE$60,$Z$4:$AI$4))=0,0,((SUMIF($Z$3:$AI$3,AE$60,$Z122:$AI122))/SUMIF($Z$3:$AI$3,AE$60,$Z$4:$AI$4)))</f>
        <v>0</v>
      </c>
      <c r="AF73" s="196" t="n">
        <f aca="false">IF((SUMIF($Z$3:$AI$3,AF$60,$Z$4:$AI$4))=0,0,((SUMIF($Z$3:$AI$3,AF$60,$Z122:$AI122))/SUMIF($Z$3:$AI$3,AF$60,$Z$4:$AI$4)))</f>
        <v>0</v>
      </c>
      <c r="AG73" s="196" t="n">
        <f aca="false">IF((SUMIF($Z$3:$AI$3,AG$60,$Z$4:$AI$4))=0,0,((SUMIF($Z$3:$AI$3,AG$60,$Z122:$AI122))/SUMIF($Z$3:$AI$3,AG$60,$Z$4:$AI$4)))</f>
        <v>0</v>
      </c>
      <c r="AH73" s="196" t="n">
        <f aca="false">IF((SUMIF($Z$3:$AI$3,AH$60,$Z$4:$AI$4))=0,0,((SUMIF($Z$3:$AI$3,AH$60,$Z122:$AI122))/SUMIF($Z$3:$AI$3,AH$60,$Z$4:$AI$4)))</f>
        <v>0</v>
      </c>
      <c r="AI73" s="197" t="n">
        <f aca="false">IF((SUMIF($Z$3:$AI$3,AI$60,$Z$4:$AI$4))=0,0,((SUMIF($Z$3:$AI$3,AI$60,$Z122:$AI122))/SUMIF($Z$3:$AI$3,AI$60,$Z$4:$AI$4)))</f>
        <v>0</v>
      </c>
      <c r="AJ73" s="194" t="str">
        <f aca="false">Y73</f>
        <v>Alumno12</v>
      </c>
      <c r="AK73" s="195" t="n">
        <f aca="false">IF((SUMIF($AK$3:$AT$3,AK$60,$AK$4:$AT$4))=0,0,((SUMIF($AK$3:$AT$3,AK$60,$AK122:$AT122))/SUMIF($AK$3:$AT$3,AK$60,$AK$4:$AT$4)))</f>
        <v>5</v>
      </c>
      <c r="AL73" s="196" t="n">
        <f aca="false">IF((SUMIF($AK$3:$AT$3,AL$60,$AK$4:$AT$4))=0,0,((SUMIF($AK$3:$AT$3,AL$60,$AK122:$AT122))/SUMIF($AK$3:$AT$3,AL$60,$AK$4:$AT$4)))</f>
        <v>5</v>
      </c>
      <c r="AM73" s="196" t="n">
        <f aca="false">IF((SUMIF($AK$3:$AT$3,AM$60,$AK$4:$AT$4))=0,0,((SUMIF($AK$3:$AT$3,AM$60,$AK122:$AT122))/SUMIF($AK$3:$AT$3,AM$60,$AK$4:$AT$4)))</f>
        <v>5</v>
      </c>
      <c r="AN73" s="196" t="n">
        <f aca="false">IF((SUMIF($AK$3:$AT$3,AN$60,$AK$4:$AT$4))=0,0,((SUMIF($AK$3:$AT$3,AN$60,$AK122:$AT122))/SUMIF($AK$3:$AT$3,AN$60,$AK$4:$AT$4)))</f>
        <v>0</v>
      </c>
      <c r="AO73" s="196" t="n">
        <f aca="false">IF((SUMIF($AK$3:$AT$3,AO$60,$AK$4:$AT$4))=0,0,((SUMIF($AK$3:$AT$3,AO$60,$AK122:$AT122))/SUMIF($AK$3:$AT$3,AO$60,$AK$4:$AT$4)))</f>
        <v>0</v>
      </c>
      <c r="AP73" s="196" t="n">
        <f aca="false">IF((SUMIF($AK$3:$AT$3,AP$60,$AK$4:$AT$4))=0,0,((SUMIF($AK$3:$AT$3,AP$60,$AK122:$AT122))/SUMIF($AK$3:$AT$3,AP$60,$AK$4:$AT$4)))</f>
        <v>0</v>
      </c>
      <c r="AQ73" s="196" t="n">
        <f aca="false">IF((SUMIF($AK$3:$AT$3,AQ$60,$AK$4:$AT$4))=0,0,((SUMIF($AK$3:$AT$3,AQ$60,$AK122:$AT122))/SUMIF($AK$3:$AT$3,AQ$60,$AK$4:$AT$4)))</f>
        <v>0</v>
      </c>
      <c r="AR73" s="196" t="n">
        <f aca="false">IF((SUMIF($AK$3:$AT$3,AR$60,$AK$4:$AT$4))=0,0,((SUMIF($AK$3:$AT$3,AR$60,$AK122:$AT122))/SUMIF($AK$3:$AT$3,AR$60,$AK$4:$AT$4)))</f>
        <v>0</v>
      </c>
      <c r="AS73" s="196" t="n">
        <f aca="false">IF((SUMIF($AK$3:$AT$3,AS$60,$AK$4:$AT$4))=0,0,((SUMIF($AK$3:$AT$3,AS$60,$AK122:$AT122))/SUMIF($AK$3:$AT$3,AS$60,$AK$4:$AT$4)))</f>
        <v>0</v>
      </c>
      <c r="AT73" s="197" t="n">
        <f aca="false">IF((SUMIF($AK$3:$AT$3,AT$60,$AK$4:$AT$4))=0,0,((SUMIF($AK$3:$AT$3,AT$60,$AK122:$AT122))/SUMIF($AK$3:$AT$3,AT$60,$AK$4:$AT$4)))</f>
        <v>0</v>
      </c>
      <c r="AU73" s="194" t="str">
        <f aca="false">AJ73</f>
        <v>Alumno12</v>
      </c>
      <c r="AV73" s="195" t="n">
        <f aca="false">IF((SUMIF($AV$3:$BE$3,AV$60,$AV$4:$BE$4))=0,0,((SUMIF($AV$3:$BE$3,AV$60,$AV122:$BE122))/SUMIF($AV$3:$BE$3,AV$60,$AV$4:$BE$4)))</f>
        <v>5</v>
      </c>
      <c r="AW73" s="196" t="n">
        <f aca="false">IF((SUMIF($AV$3:$BE$3,AW$60,$AV$4:$BE$4))=0,0,((SUMIF($AV$3:$BE$3,AW$60,$AV122:$BE122))/SUMIF($AV$3:$BE$3,AW$60,$AV$4:$BE$4)))</f>
        <v>5</v>
      </c>
      <c r="AX73" s="196" t="n">
        <f aca="false">IF((SUMIF($AV$3:$BE$3,AX$60,$AV$4:$BE$4))=0,0,((SUMIF($AV$3:$BE$3,AX$60,$AV122:$BE122))/SUMIF($AV$3:$BE$3,AX$60,$AV$4:$BE$4)))</f>
        <v>5</v>
      </c>
      <c r="AY73" s="196" t="n">
        <f aca="false">IF((SUMIF($AV$3:$BE$3,AY$60,$AV$4:$BE$4))=0,0,((SUMIF($AV$3:$BE$3,AY$60,$AV122:$BE122))/SUMIF($AV$3:$BE$3,AY$60,$AV$4:$BE$4)))</f>
        <v>5</v>
      </c>
      <c r="AZ73" s="196" t="n">
        <f aca="false">IF((SUMIF($AV$3:$BE$3,AZ$60,$AV$4:$BE$4))=0,0,((SUMIF($AV$3:$BE$3,AZ$60,$AV122:$BE122))/SUMIF($AV$3:$BE$3,AZ$60,$AV$4:$BE$4)))</f>
        <v>0</v>
      </c>
      <c r="BA73" s="196" t="n">
        <f aca="false">IF((SUMIF($AV$3:$BE$3,BA$60,$AV$4:$BE$4))=0,0,((SUMIF($AV$3:$BE$3,BA$60,$AV122:$BE122))/SUMIF($AV$3:$BE$3,BA$60,$AV$4:$BE$4)))</f>
        <v>0</v>
      </c>
      <c r="BB73" s="196" t="n">
        <f aca="false">IF((SUMIF($AV$3:$BE$3,BB$60,$AV$4:$BE$4))=0,0,((SUMIF($AV$3:$BE$3,BB$60,$AV122:$BE122))/SUMIF($AV$3:$BE$3,BB$60,$AV$4:$BE$4)))</f>
        <v>0</v>
      </c>
      <c r="BC73" s="196" t="n">
        <f aca="false">IF((SUMIF($AV$3:$BE$3,BC$60,$AV$4:$BE$4))=0,0,((SUMIF($AV$3:$BE$3,BC$60,$AV122:$BE122))/SUMIF($AV$3:$BE$3,BC$60,$AV$4:$BE$4)))</f>
        <v>0</v>
      </c>
      <c r="BD73" s="196" t="n">
        <f aca="false">IF((SUMIF($AV$3:$BE$3,BD$60,$AV$4:$BE$4))=0,0,((SUMIF($AV$3:$BE$3,BD$60,$AV122:$BE122))/SUMIF($AV$3:$BE$3,BD$60,$AV$4:$BE$4)))</f>
        <v>0</v>
      </c>
      <c r="BE73" s="197" t="n">
        <f aca="false">IF((SUMIF($AV$3:$BE$3,BE$60,$AV$4:$BE$4))=0,0,((SUMIF($AV$3:$BE$3,BE$60,$AV122:$BE122))/SUMIF($AV$3:$BE$3,BE$60,$AV$4:$BE$4)))</f>
        <v>0</v>
      </c>
      <c r="BF73" s="194" t="str">
        <f aca="false">AU73</f>
        <v>Alumno12</v>
      </c>
      <c r="BG73" s="195" t="n">
        <f aca="false">IF((SUMIF($BG$3:$BP$3,BG$60,$BG$4:$BP$4))=0,0,((SUMIF($BG$3:$BP$3,BG$60,$BG122:$BP122))/SUMIF($BG$3:$BP$3,BG$60,$BG$4:$BP$4)))</f>
        <v>5</v>
      </c>
      <c r="BH73" s="196" t="n">
        <f aca="false">IF((SUMIF($BG$3:$BP$3,BH$60,$BG$4:$BP$4))=0,0,((SUMIF($BG$3:$BP$3,BH$60,$BG122:$BP122))/SUMIF($BG$3:$BP$3,BH$60,$BG$4:$BP$4)))</f>
        <v>5</v>
      </c>
      <c r="BI73" s="196" t="n">
        <f aca="false">IF((SUMIF($BG$3:$BP$3,BI$60,$BG$4:$BP$4))=0,0,((SUMIF($BG$3:$BP$3,BI$60,$BG122:$BP122))/SUMIF($BG$3:$BP$3,BI$60,$BG$4:$BP$4)))</f>
        <v>5</v>
      </c>
      <c r="BJ73" s="196" t="n">
        <f aca="false">IF((SUMIF($BG$3:$BP$3,BJ$60,$BG$4:$BP$4))=0,0,((SUMIF($BG$3:$BP$3,BJ$60,$BG122:$BP122))/SUMIF($BG$3:$BP$3,BJ$60,$BG$4:$BP$4)))</f>
        <v>5</v>
      </c>
      <c r="BK73" s="196" t="n">
        <f aca="false">IF((SUMIF($BG$3:$BP$3,BK$60,$BG$4:$BP$4))=0,0,((SUMIF($BG$3:$BP$3,BK$60,$BG122:$BP122))/SUMIF($BG$3:$BP$3,BK$60,$BG$4:$BP$4)))</f>
        <v>0</v>
      </c>
      <c r="BL73" s="196" t="n">
        <f aca="false">IF((SUMIF($BG$3:$BP$3,BL$60,$BG$4:$BP$4))=0,0,((SUMIF($BG$3:$BP$3,BL$60,$BG122:$BP122))/SUMIF($BG$3:$BP$3,BL$60,$BG$4:$BP$4)))</f>
        <v>0</v>
      </c>
      <c r="BM73" s="196" t="n">
        <f aca="false">IF((SUMIF($BG$3:$BP$3,BM$60,$BG$4:$BP$4))=0,0,((SUMIF($BG$3:$BP$3,BM$60,$BG122:$BP122))/SUMIF($BG$3:$BP$3,BM$60,$BG$4:$BP$4)))</f>
        <v>0</v>
      </c>
      <c r="BN73" s="196" t="n">
        <f aca="false">IF((SUMIF($BG$3:$BP$3,BN$60,$BG$4:$BP$4))=0,0,((SUMIF($BG$3:$BP$3,BN$60,$BG122:$BP122))/SUMIF($BG$3:$BP$3,BN$60,$BG$4:$BP$4)))</f>
        <v>0</v>
      </c>
      <c r="BO73" s="196" t="n">
        <f aca="false">IF((SUMIF($BG$3:$BP$3,BO$60,$BG$4:$BP$4))=0,0,((SUMIF($BG$3:$BP$3,BO$60,$BG122:$BP122))/SUMIF($BG$3:$BP$3,BO$60,$BG$4:$BP$4)))</f>
        <v>0</v>
      </c>
      <c r="BP73" s="197" t="n">
        <f aca="false">IF((SUMIF($BG$3:$BP$3,BP$60,$BG$4:$BP$4))=0,0,((SUMIF($BG$3:$BP$3,BP$60,$BG122:$BP122))/SUMIF($BG$3:$BP$3,BP$60,$BG$4:$BP$4)))</f>
        <v>0</v>
      </c>
      <c r="BQ73" s="194" t="str">
        <f aca="false">BF73</f>
        <v>Alumno12</v>
      </c>
      <c r="BR73" s="195" t="n">
        <f aca="false">IF((SUMIF($BR$3:$CA$3,BR$60,$BR$4:$CA$4))=0,0,((SUMIF($BR$3:$CA$3,BR$60,$BR122:$CA122))/SUMIF($BR$3:$CA$3,BR$60,$BR$4:$CA$4)))</f>
        <v>0</v>
      </c>
      <c r="BS73" s="196" t="n">
        <f aca="false">IF((SUMIF($BR$3:$CA$3,BS$60,$BR$4:$CA$4))=0,0,((SUMIF($BR$3:$CA$3,BS$60,$BR122:$CA122))/SUMIF($BR$3:$CA$3,BS$60,$BR$4:$CA$4)))</f>
        <v>9</v>
      </c>
      <c r="BT73" s="196" t="n">
        <f aca="false">IF((SUMIF($BR$3:$CA$3,BT$60,$BR$4:$CA$4))=0,0,((SUMIF($BR$3:$CA$3,BT$60,$BR122:$CA122))/SUMIF($BR$3:$CA$3,BT$60,$BR$4:$CA$4)))</f>
        <v>9</v>
      </c>
      <c r="BU73" s="196" t="n">
        <f aca="false">IF((SUMIF($BR$3:$CA$3,BU$60,$BR$4:$CA$4))=0,0,((SUMIF($BR$3:$CA$3,BU$60,$BR122:$CA122))/SUMIF($BR$3:$CA$3,BU$60,$BR$4:$CA$4)))</f>
        <v>9</v>
      </c>
      <c r="BV73" s="196" t="n">
        <f aca="false">IF((SUMIF($BR$3:$CA$3,BV$60,$BR$4:$CA$4))=0,0,((SUMIF($BR$3:$CA$3,BV$60,$BR122:$CA122))/SUMIF($BR$3:$CA$3,BV$60,$BR$4:$CA$4)))</f>
        <v>0</v>
      </c>
      <c r="BW73" s="196" t="n">
        <f aca="false">IF((SUMIF($BR$3:$CA$3,BW$60,$BR$4:$CA$4))=0,0,((SUMIF($BR$3:$CA$3,BW$60,$BR122:$CA122))/SUMIF($BR$3:$CA$3,BW$60,$BR$4:$CA$4)))</f>
        <v>0</v>
      </c>
      <c r="BX73" s="196" t="n">
        <f aca="false">IF((SUMIF($BR$3:$CA$3,BX$60,$BR$4:$CA$4))=0,0,((SUMIF($BR$3:$CA$3,BX$60,$BR122:$CA122))/SUMIF($BR$3:$CA$3,BX$60,$BR$4:$CA$4)))</f>
        <v>0</v>
      </c>
      <c r="BY73" s="196" t="n">
        <f aca="false">IF((SUMIF($BR$3:$CA$3,BY$60,$BR$4:$CA$4))=0,0,((SUMIF($BR$3:$CA$3,BY$60,$BR122:$CA122))/SUMIF($BR$3:$CA$3,BY$60,$BR$4:$CA$4)))</f>
        <v>0</v>
      </c>
      <c r="BZ73" s="196" t="n">
        <f aca="false">IF((SUMIF($BR$3:$CA$3,BZ$60,$BR$4:$CA$4))=0,0,((SUMIF($BR$3:$CA$3,BZ$60,$BR122:$CA122))/SUMIF($BR$3:$CA$3,BZ$60,$BR$4:$CA$4)))</f>
        <v>0</v>
      </c>
      <c r="CA73" s="197" t="n">
        <f aca="false">IF((SUMIF($BR$3:$CA$3,CA$60,$BR$4:$CA$4))=0,0,((SUMIF($BR$3:$CA$3,CA$60,$BR122:$CA122))/SUMIF($BR$3:$CA$3,CA$60,$BR$4:$CA$4)))</f>
        <v>0</v>
      </c>
      <c r="CB73" s="194" t="str">
        <f aca="false">BQ73</f>
        <v>Alumno12</v>
      </c>
      <c r="CC73" s="195" t="n">
        <f aca="false">IF((SUMIF($CC$3:$CL$3,CC$60,$CC$4:$CL$4))=0,0,((SUMIF($CC$3:$CL$3,CC$60,$CC122:$CL122))/SUMIF($CC$3:$CL$3,CC$60,$CC$4:$CL$4)))</f>
        <v>0</v>
      </c>
      <c r="CD73" s="196" t="n">
        <f aca="false">IF((SUMIF($CC$3:$CL$3,CD$60,$CC$4:$CL$4))=0,0,((SUMIF($CC$3:$CL$3,CD$60,$CC122:$CL122))/SUMIF($CC$3:$CL$3,CD$60,$CC$4:$CL$4)))</f>
        <v>0</v>
      </c>
      <c r="CE73" s="196" t="n">
        <f aca="false">IF((SUMIF($CC$3:$CL$3,CE$60,$CC$4:$CL$4))=0,0,((SUMIF($CC$3:$CL$3,CE$60,$CC122:$CL122))/SUMIF($CC$3:$CL$3,CE$60,$CC$4:$CL$4)))</f>
        <v>0</v>
      </c>
      <c r="CF73" s="196" t="n">
        <f aca="false">IF((SUMIF($CC$3:$CL$3,CF$60,$CC$4:$CL$4))=0,0,((SUMIF($CC$3:$CL$3,CF$60,$CC122:$CL122))/SUMIF($CC$3:$CL$3,CF$60,$CC$4:$CL$4)))</f>
        <v>0</v>
      </c>
      <c r="CG73" s="196" t="n">
        <f aca="false">IF((SUMIF($CC$3:$CL$3,CG$60,$CC$4:$CL$4))=0,0,((SUMIF($CC$3:$CL$3,CG$60,$CC122:$CL122))/SUMIF($CC$3:$CL$3,CG$60,$CC$4:$CL$4)))</f>
        <v>0</v>
      </c>
      <c r="CH73" s="196" t="n">
        <f aca="false">IF((SUMIF($CC$3:$CL$3,CH$60,$CC$4:$CL$4))=0,0,((SUMIF($CC$3:$CL$3,CH$60,$CC122:$CL122))/SUMIF($CC$3:$CL$3,CH$60,$CC$4:$CL$4)))</f>
        <v>0</v>
      </c>
      <c r="CI73" s="196" t="n">
        <f aca="false">IF((SUMIF($CC$3:$CL$3,CI$60,$CC$4:$CL$4))=0,0,((SUMIF($CC$3:$CL$3,CI$60,$CC122:$CL122))/SUMIF($CC$3:$CL$3,CI$60,$CC$4:$CL$4)))</f>
        <v>0</v>
      </c>
      <c r="CJ73" s="196" t="n">
        <f aca="false">IF((SUMIF($CC$3:$CL$3,CJ$60,$CC$4:$CL$4))=0,0,((SUMIF($CC$3:$CL$3,CJ$60,$CC122:$CL122))/SUMIF($CC$3:$CL$3,CJ$60,$CC$4:$CL$4)))</f>
        <v>0</v>
      </c>
      <c r="CK73" s="196" t="n">
        <f aca="false">IF((SUMIF($CC$3:$CL$3,CK$60,$CC$4:$CL$4))=0,0,((SUMIF($CC$3:$CL$3,CK$60,$CC122:$CL122))/SUMIF($CC$3:$CL$3,CK$60,$CC$4:$CL$4)))</f>
        <v>0</v>
      </c>
      <c r="CL73" s="197" t="n">
        <f aca="false">IF((SUMIF($CC$3:$CL$3,CL$60,$CC$4:$CL$4))=0,0,((SUMIF($CC$3:$CL$3,CL$60,$CC122:$CL122))/SUMIF($CC$3:$CL$3,CL$60,$CC$4:$CL$4)))</f>
        <v>0</v>
      </c>
      <c r="CM73" s="194" t="str">
        <f aca="false">CB73</f>
        <v>Alumno12</v>
      </c>
      <c r="CN73" s="195" t="n">
        <f aca="false">IF((SUMIF($CN$3:$CW$3,CN$60,$CN$4:$CW$4))=0,0,((SUMIF($CN$3:$CW$3,CN$60,$CN122:$CW122))/SUMIF($CN$3:$CW$3,CN$60,$CN$4:$CW$4)))</f>
        <v>0</v>
      </c>
      <c r="CO73" s="196" t="n">
        <f aca="false">IF((SUMIF($CN$3:$CW$3,CO$60,$CN$4:$CW$4))=0,0,((SUMIF($CN$3:$CW$3,CO$60,$CN122:$CW122))/SUMIF($CN$3:$CW$3,CO$60,$CN$4:$CW$4)))</f>
        <v>0</v>
      </c>
      <c r="CP73" s="196" t="n">
        <f aca="false">IF((SUMIF($CN$3:$CW$3,CP$60,$CN$4:$CW$4))=0,0,((SUMIF($CN$3:$CW$3,CP$60,$CN122:$CW122))/SUMIF($CN$3:$CW$3,CP$60,$CN$4:$CW$4)))</f>
        <v>0</v>
      </c>
      <c r="CQ73" s="196" t="n">
        <f aca="false">IF((SUMIF($CN$3:$CW$3,CQ$60,$CN$4:$CW$4))=0,0,((SUMIF($CN$3:$CW$3,CQ$60,$CN122:$CW122))/SUMIF($CN$3:$CW$3,CQ$60,$CN$4:$CW$4)))</f>
        <v>0</v>
      </c>
      <c r="CR73" s="196" t="n">
        <f aca="false">IF((SUMIF($CN$3:$CW$3,CR$60,$CN$4:$CW$4))=0,0,((SUMIF($CN$3:$CW$3,CR$60,$CN122:$CW122))/SUMIF($CN$3:$CW$3,CR$60,$CN$4:$CW$4)))</f>
        <v>0</v>
      </c>
      <c r="CS73" s="196" t="n">
        <f aca="false">IF((SUMIF($CN$3:$CW$3,CS$60,$CN$4:$CW$4))=0,0,((SUMIF($CN$3:$CW$3,CS$60,$CN122:$CW122))/SUMIF($CN$3:$CW$3,CS$60,$CN$4:$CW$4)))</f>
        <v>0</v>
      </c>
      <c r="CT73" s="196" t="n">
        <f aca="false">IF((SUMIF($CN$3:$CW$3,CT$60,$CN$4:$CW$4))=0,0,((SUMIF($CN$3:$CW$3,CT$60,$CN122:$CW122))/SUMIF($CN$3:$CW$3,CT$60,$CN$4:$CW$4)))</f>
        <v>0</v>
      </c>
      <c r="CU73" s="196" t="n">
        <f aca="false">IF((SUMIF($CN$3:$CW$3,CU$60,$CN$4:$CW$4))=0,0,((SUMIF($CN$3:$CW$3,CU$60,$CN122:$CW122))/SUMIF($CN$3:$CW$3,CU$60,$CN$4:$CW$4)))</f>
        <v>0</v>
      </c>
      <c r="CV73" s="196" t="n">
        <f aca="false">IF((SUMIF($CN$3:$CW$3,CV$60,$CN$4:$CW$4))=0,0,((SUMIF($CN$3:$CW$3,CV$60,$CN122:$CW122))/SUMIF($CN$3:$CW$3,CV$60,$CN$4:$CW$4)))</f>
        <v>0</v>
      </c>
      <c r="CW73" s="197" t="n">
        <f aca="false">IF((SUMIF($CN$3:$CW$3,CW$60,$CN$4:$CW$4))=0,0,((SUMIF($CN$3:$CW$3,CW$60,$CN122:$CW122))/SUMIF($CN$3:$CW$3,CW$60,$CN$4:$CW$4)))</f>
        <v>0</v>
      </c>
      <c r="CX73" s="194" t="str">
        <f aca="false">CM73</f>
        <v>Alumno12</v>
      </c>
      <c r="CY73" s="195" t="n">
        <f aca="false">IF((SUMIF($CY$3:$DH$3,CY$60,$CY$4:$DH$4))=0,0,((SUMIF($CY$3:$DH$3,CY$60,$CY122:$DH122))/SUMIF($CY$3:$DH$3,CY$60,$CY$4:$DH$4)))</f>
        <v>0</v>
      </c>
      <c r="CZ73" s="196" t="n">
        <f aca="false">IF((SUMIF($CY$3:$DH$3,CZ$60,$CY$4:$DH$4))=0,0,((SUMIF($CY$3:$DH$3,CZ$60,$CY122:$DH122))/SUMIF($CY$3:$DH$3,CZ$60,$CY$4:$DH$4)))</f>
        <v>0</v>
      </c>
      <c r="DA73" s="196" t="n">
        <f aca="false">IF((SUMIF($CY$3:$DH$3,DA$60,$CY$4:$DH$4))=0,0,((SUMIF($CY$3:$DH$3,DA$60,$CY122:$DH122))/SUMIF($CY$3:$DH$3,DA$60,$CY$4:$DH$4)))</f>
        <v>0</v>
      </c>
      <c r="DB73" s="196" t="n">
        <f aca="false">IF((SUMIF($CY$3:$DH$3,DB$60,$CY$4:$DH$4))=0,0,((SUMIF($CY$3:$DH$3,DB$60,$CY122:$DH122))/SUMIF($CY$3:$DH$3,DB$60,$CY$4:$DH$4)))</f>
        <v>0</v>
      </c>
      <c r="DC73" s="196" t="n">
        <f aca="false">IF((SUMIF($CY$3:$DH$3,DC$60,$CY$4:$DH$4))=0,0,((SUMIF($CY$3:$DH$3,DC$60,$CY122:$DH122))/SUMIF($CY$3:$DH$3,DC$60,$CY$4:$DH$4)))</f>
        <v>0</v>
      </c>
      <c r="DD73" s="196" t="n">
        <f aca="false">IF((SUMIF($CY$3:$DH$3,DD$60,$CY$4:$DH$4))=0,0,((SUMIF($CY$3:$DH$3,DD$60,$CY122:$DH122))/SUMIF($CY$3:$DH$3,DD$60,$CY$4:$DH$4)))</f>
        <v>0</v>
      </c>
      <c r="DE73" s="196" t="n">
        <f aca="false">IF((SUMIF($CY$3:$DH$3,DE$60,$CY$4:$DH$4))=0,0,((SUMIF($CY$3:$DH$3,DE$60,$CY122:$DH122))/SUMIF($CY$3:$DH$3,DE$60,$CY$4:$DH$4)))</f>
        <v>0</v>
      </c>
      <c r="DF73" s="196" t="n">
        <f aca="false">IF((SUMIF($CY$3:$DH$3,DF$60,$CY$4:$DH$4))=0,0,((SUMIF($CY$3:$DH$3,DF$60,$CY122:$DH122))/SUMIF($CY$3:$DH$3,DF$60,$CY$4:$DH$4)))</f>
        <v>0</v>
      </c>
      <c r="DG73" s="196" t="n">
        <f aca="false">IF((SUMIF($CY$3:$DH$3,DG$60,$CY$4:$DH$4))=0,0,((SUMIF($CY$3:$DH$3,DG$60,$CY122:$DH122))/SUMIF($CY$3:$DH$3,DG$60,$CY$4:$DH$4)))</f>
        <v>0</v>
      </c>
      <c r="DH73" s="197" t="n">
        <f aca="false">IF((SUMIF($CY$3:$DH$3,DH$60,$CY$4:$DH$4))=0,0,((SUMIF($CY$3:$DH$3,DH$60,$CY122:$DH122))/SUMIF($CY$3:$DH$3,DH$60,$CY$4:$DH$4)))</f>
        <v>0</v>
      </c>
      <c r="DI73" s="194" t="str">
        <f aca="false">CX73</f>
        <v>Alumno12</v>
      </c>
      <c r="DJ73" s="195" t="n">
        <f aca="false">IF((SUMIF($DJ$3:$DS$3,DJ$60,$DJ$4:$DS$4))=0,0,((SUMIF($DJ$3:$DS$3,DJ$60,$DJ122:$DS122))/SUMIF($DJ$3:$DS$3,DJ$60,$DJ$4:$DS$4)))</f>
        <v>0</v>
      </c>
      <c r="DK73" s="196" t="n">
        <f aca="false">IF((SUMIF($DJ$3:$DS$3,DK$60,$DJ$4:$DS$4))=0,0,((SUMIF($DJ$3:$DS$3,DK$60,$DJ122:$DS122))/SUMIF($DJ$3:$DS$3,DK$60,$DJ$4:$DS$4)))</f>
        <v>0</v>
      </c>
      <c r="DL73" s="196" t="n">
        <f aca="false">IF((SUMIF($DJ$3:$DS$3,DL$60,$DJ$4:$DS$4))=0,0,((SUMIF($DJ$3:$DS$3,DL$60,$DJ122:$DS122))/SUMIF($DJ$3:$DS$3,DL$60,$DJ$4:$DS$4)))</f>
        <v>0</v>
      </c>
      <c r="DM73" s="196" t="n">
        <f aca="false">IF((SUMIF($DJ$3:$DS$3,DM$60,$DJ$4:$DS$4))=0,0,((SUMIF($DJ$3:$DS$3,DM$60,$DJ122:$DS122))/SUMIF($DJ$3:$DS$3,DM$60,$DJ$4:$DS$4)))</f>
        <v>0</v>
      </c>
      <c r="DN73" s="196" t="n">
        <f aca="false">IF((SUMIF($DJ$3:$DS$3,DN$60,$DJ$4:$DS$4))=0,0,((SUMIF($DJ$3:$DS$3,DN$60,$DJ122:$DS122))/SUMIF($DJ$3:$DS$3,DN$60,$DJ$4:$DS$4)))</f>
        <v>0</v>
      </c>
      <c r="DO73" s="196" t="n">
        <f aca="false">IF((SUMIF($DJ$3:$DS$3,DO$60,$DJ$4:$DS$4))=0,0,((SUMIF($DJ$3:$DS$3,DO$60,$DJ122:$DS122))/SUMIF($DJ$3:$DS$3,DO$60,$DJ$4:$DS$4)))</f>
        <v>0</v>
      </c>
      <c r="DP73" s="196" t="n">
        <f aca="false">IF((SUMIF($DJ$3:$DS$3,DP$60,$DJ$4:$DS$4))=0,0,((SUMIF($DJ$3:$DS$3,DP$60,$DJ122:$DS122))/SUMIF($DJ$3:$DS$3,DP$60,$DJ$4:$DS$4)))</f>
        <v>0</v>
      </c>
      <c r="DQ73" s="196" t="n">
        <f aca="false">IF((SUMIF($DJ$3:$DS$3,DQ$60,$DJ$4:$DS$4))=0,0,((SUMIF($DJ$3:$DS$3,DQ$60,$DJ122:$DS122))/SUMIF($DJ$3:$DS$3,DQ$60,$DJ$4:$DS$4)))</f>
        <v>0</v>
      </c>
      <c r="DR73" s="196" t="n">
        <f aca="false">IF((SUMIF($DJ$3:$DS$3,DR$60,$DJ$4:$DS$4))=0,0,((SUMIF($DJ$3:$DS$3,DR$60,$DJ122:$DS122))/SUMIF($DJ$3:$DS$3,DR$60,$DJ$4:$DS$4)))</f>
        <v>0</v>
      </c>
      <c r="DS73" s="197" t="n">
        <f aca="false">IF((SUMIF($DJ$3:$DS$3,DS$60,$DJ$4:$DS$4))=0,0,((SUMIF($DJ$3:$DS$3,DS$60,$DJ122:$DS122))/SUMIF($DJ$3:$DS$3,DS$60,$DJ$4:$DS$4)))</f>
        <v>0</v>
      </c>
      <c r="DT73" s="194" t="str">
        <f aca="false">DI73</f>
        <v>Alumno12</v>
      </c>
      <c r="DU73" s="195" t="n">
        <f aca="false">IF((SUMIF($DU$3:$ED$3,DU$60,$DU$4:$ED$4))=0,0,((SUMIF($DU$3:$ED$3,DU$60,$DU122:$ED122))/SUMIF($DU$3:$ED$3,DU$60,$DU$4:$ED$4)))</f>
        <v>0</v>
      </c>
      <c r="DV73" s="196" t="n">
        <f aca="false">IF((SUMIF($DU$3:$ED$3,DV$60,$DU$4:$ED$4))=0,0,((SUMIF($DU$3:$ED$3,DV$60,$DU122:$ED122))/SUMIF($DU$3:$ED$3,DV$60,$DU$4:$ED$4)))</f>
        <v>0</v>
      </c>
      <c r="DW73" s="196" t="n">
        <f aca="false">IF((SUMIF($DU$3:$ED$3,DW$60,$DU$4:$ED$4))=0,0,((SUMIF($DU$3:$ED$3,DW$60,$DU122:$ED122))/SUMIF($DU$3:$ED$3,DW$60,$DU$4:$ED$4)))</f>
        <v>0</v>
      </c>
      <c r="DX73" s="196" t="n">
        <f aca="false">IF((SUMIF($DU$3:$ED$3,DX$60,$DU$4:$ED$4))=0,0,((SUMIF($DU$3:$ED$3,DX$60,$DU122:$ED122))/SUMIF($DU$3:$ED$3,DX$60,$DU$4:$ED$4)))</f>
        <v>0</v>
      </c>
      <c r="DY73" s="196" t="n">
        <f aca="false">IF((SUMIF($DU$3:$ED$3,DY$60,$DU$4:$ED$4))=0,0,((SUMIF($DU$3:$ED$3,DY$60,$DU122:$ED122))/SUMIF($DU$3:$ED$3,DY$60,$DU$4:$ED$4)))</f>
        <v>0</v>
      </c>
      <c r="DZ73" s="196" t="n">
        <f aca="false">IF((SUMIF($DU$3:$ED$3,DZ$60,$DU$4:$ED$4))=0,0,((SUMIF($DU$3:$ED$3,DZ$60,$DU122:$ED122))/SUMIF($DU$3:$ED$3,DZ$60,$DU$4:$ED$4)))</f>
        <v>0</v>
      </c>
      <c r="EA73" s="196" t="n">
        <f aca="false">IF((SUMIF($DU$3:$ED$3,EA$60,$DU$4:$ED$4))=0,0,((SUMIF($DU$3:$ED$3,EA$60,$DU122:$ED122))/SUMIF($DU$3:$ED$3,EA$60,$DU$4:$ED$4)))</f>
        <v>0</v>
      </c>
      <c r="EB73" s="196" t="n">
        <f aca="false">IF((SUMIF($DU$3:$ED$3,EB$60,$DU$4:$ED$4))=0,0,((SUMIF($DU$3:$ED$3,EB$60,$DU122:$ED122))/SUMIF($DU$3:$ED$3,EB$60,$DU$4:$ED$4)))</f>
        <v>0</v>
      </c>
      <c r="EC73" s="196" t="n">
        <f aca="false">IF((SUMIF($DU$3:$ED$3,EC$60,$DU$4:$ED$4))=0,0,((SUMIF($DU$3:$ED$3,EC$60,$DU122:$ED122))/SUMIF($DU$3:$ED$3,EC$60,$DU$4:$ED$4)))</f>
        <v>0</v>
      </c>
      <c r="ED73" s="197" t="n">
        <f aca="false">IF((SUMIF($DU$3:$ED$3,ED$60,$DU$4:$ED$4))=0,0,((SUMIF($DU$3:$ED$3,ED$60,$DU122:$ED122))/SUMIF($DU$3:$ED$3,ED$60,$DU$4:$ED$4)))</f>
        <v>0</v>
      </c>
      <c r="EE73" s="194" t="str">
        <f aca="false">DT73</f>
        <v>Alumno12</v>
      </c>
      <c r="EF73" s="195" t="n">
        <f aca="false">IF((SUMIF($EF$3:$EO$3,EF$60,$EF$4:$EO$4))=0,0,((SUMIF($EF$3:$EO$3,EF$60,$EF122:$EO122))/SUMIF($EF$3:$EO$3,EF$60,$EF$4:$EO$4)))</f>
        <v>0</v>
      </c>
      <c r="EG73" s="196" t="n">
        <f aca="false">IF((SUMIF($EF$3:$EO$3,EG$60,$EF$4:$EO$4))=0,0,((SUMIF($EF$3:$EO$3,EG$60,$EF122:$EO122))/SUMIF($EF$3:$EO$3,EG$60,$EF$4:$EO$4)))</f>
        <v>0</v>
      </c>
      <c r="EH73" s="196" t="n">
        <f aca="false">IF((SUMIF($EF$3:$EO$3,EH$60,$EF$4:$EO$4))=0,0,((SUMIF($EF$3:$EO$3,EH$60,$EF122:$EO122))/SUMIF($EF$3:$EO$3,EH$60,$EF$4:$EO$4)))</f>
        <v>0</v>
      </c>
      <c r="EI73" s="196" t="n">
        <f aca="false">IF((SUMIF($EF$3:$EO$3,EI$60,$EF$4:$EO$4))=0,0,((SUMIF($EF$3:$EO$3,EI$60,$EF122:$EO122))/SUMIF($EF$3:$EO$3,EI$60,$EF$4:$EO$4)))</f>
        <v>0</v>
      </c>
      <c r="EJ73" s="196" t="n">
        <f aca="false">IF((SUMIF($EF$3:$EO$3,EJ$60,$EF$4:$EO$4))=0,0,((SUMIF($EF$3:$EO$3,EJ$60,$EF122:$EO122))/SUMIF($EF$3:$EO$3,EJ$60,$EF$4:$EO$4)))</f>
        <v>0</v>
      </c>
      <c r="EK73" s="196" t="n">
        <f aca="false">IF((SUMIF($EF$3:$EO$3,EK$60,$EF$4:$EO$4))=0,0,((SUMIF($EF$3:$EO$3,EK$60,$EF122:$EO122))/SUMIF($EF$3:$EO$3,EK$60,$EF$4:$EO$4)))</f>
        <v>0</v>
      </c>
      <c r="EL73" s="196" t="n">
        <f aca="false">IF((SUMIF($EF$3:$EO$3,EL$60,$EF$4:$EO$4))=0,0,((SUMIF($EF$3:$EO$3,EL$60,$EF122:$EO122))/SUMIF($EF$3:$EO$3,EL$60,$EF$4:$EO$4)))</f>
        <v>0</v>
      </c>
      <c r="EM73" s="196" t="n">
        <f aca="false">IF((SUMIF($EF$3:$EO$3,EM$60,$EF$4:$EO$4))=0,0,((SUMIF($EF$3:$EO$3,EM$60,$EF122:$EO122))/SUMIF($EF$3:$EO$3,EM$60,$EF$4:$EO$4)))</f>
        <v>0</v>
      </c>
      <c r="EN73" s="196" t="n">
        <f aca="false">IF((SUMIF($EF$3:$EO$3,EN$60,$EF$4:$EO$4))=0,0,((SUMIF($EF$3:$EO$3,EN$60,$EF122:$EO122))/SUMIF($EF$3:$EO$3,EN$60,$EF$4:$EO$4)))</f>
        <v>0</v>
      </c>
      <c r="EO73" s="197" t="n">
        <f aca="false">IF((SUMIF($EF$3:$EO$3,EO$60,$EF$4:$EO$4))=0,0,((SUMIF($EF$3:$EO$3,EO$60,$EF122:$EO122))/SUMIF($EF$3:$EO$3,EO$60,$EF$4:$EO$4)))</f>
        <v>0</v>
      </c>
      <c r="EP73" s="194" t="str">
        <f aca="false">EE73</f>
        <v>Alumno12</v>
      </c>
      <c r="EQ73" s="195" t="n">
        <f aca="false">IF((SUMIF($EQ$3:$EZ$3,EQ$60,$EQ$4:$EZ$4))=0,0,((SUMIF($EQ$3:$EZ$3,EQ$60,$EQ122:$EZ122))/SUMIF($EQ$3:$EZ$3,EQ$60,$EQ$4:$EZ$4)))</f>
        <v>0</v>
      </c>
      <c r="ER73" s="196" t="n">
        <f aca="false">IF((SUMIF($EQ$3:$EZ$3,ER$60,$EQ$4:$EZ$4))=0,0,((SUMIF($EQ$3:$EZ$3,ER$60,$EQ122:$EZ122))/SUMIF($EQ$3:$EZ$3,ER$60,$EQ$4:$EZ$4)))</f>
        <v>0</v>
      </c>
      <c r="ES73" s="196" t="n">
        <f aca="false">IF((SUMIF($EQ$3:$EZ$3,ES$60,$EQ$4:$EZ$4))=0,0,((SUMIF($EQ$3:$EZ$3,ES$60,$EQ122:$EZ122))/SUMIF($EQ$3:$EZ$3,ES$60,$EQ$4:$EZ$4)))</f>
        <v>0</v>
      </c>
      <c r="ET73" s="196" t="n">
        <f aca="false">IF((SUMIF($EQ$3:$EZ$3,ET$60,$EQ$4:$EZ$4))=0,0,((SUMIF($EQ$3:$EZ$3,ET$60,$EQ122:$EZ122))/SUMIF($EQ$3:$EZ$3,ET$60,$EQ$4:$EZ$4)))</f>
        <v>0</v>
      </c>
      <c r="EU73" s="196" t="n">
        <f aca="false">IF((SUMIF($EQ$3:$EZ$3,EU$60,$EQ$4:$EZ$4))=0,0,((SUMIF($EQ$3:$EZ$3,EU$60,$EQ122:$EZ122))/SUMIF($EQ$3:$EZ$3,EU$60,$EQ$4:$EZ$4)))</f>
        <v>0</v>
      </c>
      <c r="EV73" s="196" t="n">
        <f aca="false">IF((SUMIF($EQ$3:$EZ$3,EV$60,$EQ$4:$EZ$4))=0,0,((SUMIF($EQ$3:$EZ$3,EV$60,$EQ122:$EZ122))/SUMIF($EQ$3:$EZ$3,EV$60,$EQ$4:$EZ$4)))</f>
        <v>0</v>
      </c>
      <c r="EW73" s="196" t="n">
        <f aca="false">IF((SUMIF($EQ$3:$EZ$3,EW$60,$EQ$4:$EZ$4))=0,0,((SUMIF($EQ$3:$EZ$3,EW$60,$EQ122:$EZ122))/SUMIF($EQ$3:$EZ$3,EW$60,$EQ$4:$EZ$4)))</f>
        <v>0</v>
      </c>
      <c r="EX73" s="196" t="n">
        <f aca="false">IF((SUMIF($EQ$3:$EZ$3,EX$60,$EQ$4:$EZ$4))=0,0,((SUMIF($EQ$3:$EZ$3,EX$60,$EQ122:$EZ122))/SUMIF($EQ$3:$EZ$3,EX$60,$EQ$4:$EZ$4)))</f>
        <v>0</v>
      </c>
      <c r="EY73" s="196" t="n">
        <f aca="false">IF((SUMIF($EQ$3:$EZ$3,EY$60,$EQ$4:$EZ$4))=0,0,((SUMIF($EQ$3:$EZ$3,EY$60,$EQ122:$EZ122))/SUMIF($EQ$3:$EZ$3,EY$60,$EQ$4:$EZ$4)))</f>
        <v>0</v>
      </c>
      <c r="EZ73" s="197" t="n">
        <f aca="false">IF((SUMIF($EQ$3:$EZ$3,EZ$60,$EQ$4:$EZ$4))=0,0,((SUMIF($EQ$3:$EZ$3,EZ$60,$EQ122:$EZ122))/SUMIF($EQ$3:$EZ$3,EZ$60,$EQ$4:$EZ$4)))</f>
        <v>0</v>
      </c>
      <c r="FA73" s="194" t="str">
        <f aca="false">EP73</f>
        <v>Alumno12</v>
      </c>
      <c r="FB73" s="195" t="n">
        <f aca="false">IF((SUMIF($FB$3:$FK$3,FB$60,$FB$4:$FK$4))=0,0,((SUMIF($FB$3:$FK$3,FB$60,$FB122:$FK122))/SUMIF($FB$3:$FK$3,FB$60,$FB$4:$FK$4)))</f>
        <v>0</v>
      </c>
      <c r="FC73" s="196" t="n">
        <f aca="false">IF((SUMIF($FB$3:$FK$3,FC$60,$FB$4:$FK$4))=0,0,((SUMIF($FB$3:$FK$3,FC$60,$FB122:$FK122))/SUMIF($FB$3:$FK$3,FC$60,$FB$4:$FK$4)))</f>
        <v>0</v>
      </c>
      <c r="FD73" s="196" t="n">
        <f aca="false">IF((SUMIF($FB$3:$FK$3,FD$60,$FB$4:$FK$4))=0,0,((SUMIF($FB$3:$FK$3,FD$60,$FB122:$FK122))/SUMIF($FB$3:$FK$3,FD$60,$FB$4:$FK$4)))</f>
        <v>0</v>
      </c>
      <c r="FE73" s="196" t="n">
        <f aca="false">IF((SUMIF($FB$3:$FK$3,FE$60,$FB$4:$FK$4))=0,0,((SUMIF($FB$3:$FK$3,FE$60,$FB122:$FK122))/SUMIF($FB$3:$FK$3,FE$60,$FB$4:$FK$4)))</f>
        <v>0</v>
      </c>
      <c r="FF73" s="196" t="n">
        <f aca="false">IF((SUMIF($FB$3:$FK$3,FF$60,$FB$4:$FK$4))=0,0,((SUMIF($FB$3:$FK$3,FF$60,$FB122:$FK122))/SUMIF($FB$3:$FK$3,FF$60,$FB$4:$FK$4)))</f>
        <v>0</v>
      </c>
      <c r="FG73" s="196" t="n">
        <f aca="false">IF((SUMIF($FB$3:$FK$3,FG$60,$FB$4:$FK$4))=0,0,((SUMIF($FB$3:$FK$3,FG$60,$FB122:$FK122))/SUMIF($FB$3:$FK$3,FG$60,$FB$4:$FK$4)))</f>
        <v>0</v>
      </c>
      <c r="FH73" s="196" t="n">
        <f aca="false">IF((SUMIF($FB$3:$FK$3,FH$60,$FB$4:$FK$4))=0,0,((SUMIF($FB$3:$FK$3,FH$60,$FB122:$FK122))/SUMIF($FB$3:$FK$3,FH$60,$FB$4:$FK$4)))</f>
        <v>0</v>
      </c>
      <c r="FI73" s="196" t="n">
        <f aca="false">IF((SUMIF($FB$3:$FK$3,FI$60,$FB$4:$FK$4))=0,0,((SUMIF($FB$3:$FK$3,FI$60,$FB122:$FK122))/SUMIF($FB$3:$FK$3,FI$60,$FB$4:$FK$4)))</f>
        <v>0</v>
      </c>
      <c r="FJ73" s="196" t="n">
        <f aca="false">IF((SUMIF($FB$3:$FK$3,FJ$60,$FB$4:$FK$4))=0,0,((SUMIF($FB$3:$FK$3,FJ$60,$FB122:$FK122))/SUMIF($FB$3:$FK$3,FJ$60,$FB$4:$FK$4)))</f>
        <v>0</v>
      </c>
      <c r="FK73" s="197" t="n">
        <f aca="false">IF((SUMIF($FB$3:$FK$3,FK$60,$FB$4:$FK$4))=0,0,((SUMIF($FB$3:$FK$3,FK$60,$FB122:$FK122))/SUMIF($FB$3:$FK$3,FK$60,$FB$4:$FK$4)))</f>
        <v>0</v>
      </c>
      <c r="FL73" s="194" t="str">
        <f aca="false">FA73</f>
        <v>Alumno12</v>
      </c>
      <c r="FM73" s="195" t="n">
        <f aca="false">IF((SUMIF($FM$3:$FV$3,FM$60,$FM$4:$FV$4))=0,0,((SUMIF($FM$3:$FV$3,FM$60,$FM122:$FV122))/SUMIF($FM$3:$FV$3,FM$60,$FM$4:$FV$4)))</f>
        <v>0</v>
      </c>
      <c r="FN73" s="196" t="n">
        <f aca="false">IF((SUMIF($FM$3:$FV$3,FN$60,$FM$4:$FV$4))=0,0,((SUMIF($FM$3:$FV$3,FN$60,$FM122:$FV122))/SUMIF($FM$3:$FV$3,FN$60,$FM$4:$FV$4)))</f>
        <v>0</v>
      </c>
      <c r="FO73" s="196" t="n">
        <f aca="false">IF((SUMIF($FM$3:$FV$3,FO$60,$FM$4:$FV$4))=0,0,((SUMIF($FM$3:$FV$3,FO$60,$FM122:$FV122))/SUMIF($FM$3:$FV$3,FO$60,$FM$4:$FV$4)))</f>
        <v>0</v>
      </c>
      <c r="FP73" s="196" t="n">
        <f aca="false">IF((SUMIF($FM$3:$FV$3,FP$60,$FM$4:$FV$4))=0,0,((SUMIF($FM$3:$FV$3,FP$60,$FM122:$FV122))/SUMIF($FM$3:$FV$3,FP$60,$FM$4:$FV$4)))</f>
        <v>0</v>
      </c>
      <c r="FQ73" s="196" t="n">
        <f aca="false">IF((SUMIF($FM$3:$FV$3,FQ$60,$FM$4:$FV$4))=0,0,((SUMIF($FM$3:$FV$3,FQ$60,$FM122:$FV122))/SUMIF($FM$3:$FV$3,FQ$60,$FM$4:$FV$4)))</f>
        <v>0</v>
      </c>
      <c r="FR73" s="196" t="n">
        <f aca="false">IF((SUMIF($FM$3:$FV$3,FR$60,$FM$4:$FV$4))=0,0,((SUMIF($FM$3:$FV$3,FR$60,$FM122:$FV122))/SUMIF($FM$3:$FV$3,FR$60,$FM$4:$FV$4)))</f>
        <v>0</v>
      </c>
      <c r="FS73" s="196" t="n">
        <f aca="false">IF((SUMIF($FM$3:$FV$3,FS$60,$FM$4:$FV$4))=0,0,((SUMIF($FM$3:$FV$3,FS$60,$FM122:$FV122))/SUMIF($FM$3:$FV$3,FS$60,$FM$4:$FV$4)))</f>
        <v>0</v>
      </c>
      <c r="FT73" s="196" t="n">
        <f aca="false">IF((SUMIF($FM$3:$FV$3,FT$60,$FM$4:$FV$4))=0,0,((SUMIF($FM$3:$FV$3,FT$60,$FM122:$FV122))/SUMIF($FM$3:$FV$3,FT$60,$FM$4:$FV$4)))</f>
        <v>0</v>
      </c>
      <c r="FU73" s="196" t="n">
        <f aca="false">IF((SUMIF($FM$3:$FV$3,FU$60,$FM$4:$FV$4))=0,0,((SUMIF($FM$3:$FV$3,FU$60,$FM122:$FV122))/SUMIF($FM$3:$FV$3,FU$60,$FM$4:$FV$4)))</f>
        <v>0</v>
      </c>
      <c r="FV73" s="197" t="n">
        <f aca="false">IF((SUMIF($FM$3:$FV$3,FV$60,$FM$4:$FV$4))=0,0,((SUMIF($FM$3:$FV$3,FV$60,$FM122:$FV122))/SUMIF($FM$3:$FV$3,FV$60,$FM$4:$FV$4)))</f>
        <v>0</v>
      </c>
      <c r="FW73" s="194" t="str">
        <f aca="false">FL73</f>
        <v>Alumno12</v>
      </c>
      <c r="FX73" s="195" t="n">
        <f aca="false">IF((SUMIF($FX$3:$GG$3,FX$60,$FX$4:$GG$4))=0,0,((SUMIF($FX$3:$GG$3,FX$60,$FX122:$GG122))/SUMIF($FX$3:$GG$3,FX$60,$FX$4:$GG$4)))</f>
        <v>0</v>
      </c>
      <c r="FY73" s="196" t="n">
        <f aca="false">IF((SUMIF($FX$3:$GG$3,FY$60,$FX$4:$GG$4))=0,0,((SUMIF($FX$3:$GG$3,FY$60,$FX122:$GG122))/SUMIF($FX$3:$GG$3,FY$60,$FX$4:$GG$4)))</f>
        <v>0</v>
      </c>
      <c r="FZ73" s="196" t="n">
        <f aca="false">IF((SUMIF($FX$3:$GG$3,FZ$60,$FX$4:$GG$4))=0,0,((SUMIF($FX$3:$GG$3,FZ$60,$FX122:$GG122))/SUMIF($FX$3:$GG$3,FZ$60,$FX$4:$GG$4)))</f>
        <v>0</v>
      </c>
      <c r="GA73" s="196" t="n">
        <f aca="false">IF((SUMIF($FX$3:$GG$3,GA$60,$FX$4:$GG$4))=0,0,((SUMIF($FX$3:$GG$3,GA$60,$FX122:$GG122))/SUMIF($FX$3:$GG$3,GA$60,$FX$4:$GG$4)))</f>
        <v>0</v>
      </c>
      <c r="GB73" s="196" t="n">
        <f aca="false">IF((SUMIF($FX$3:$GG$3,GB$60,$FX$4:$GG$4))=0,0,((SUMIF($FX$3:$GG$3,GB$60,$FX122:$GG122))/SUMIF($FX$3:$GG$3,GB$60,$FX$4:$GG$4)))</f>
        <v>0</v>
      </c>
      <c r="GC73" s="196" t="n">
        <f aca="false">IF((SUMIF($FX$3:$GG$3,GC$60,$FX$4:$GG$4))=0,0,((SUMIF($FX$3:$GG$3,GC$60,$FX122:$GG122))/SUMIF($FX$3:$GG$3,GC$60,$FX$4:$GG$4)))</f>
        <v>0</v>
      </c>
      <c r="GD73" s="196" t="n">
        <f aca="false">IF((SUMIF($FX$3:$GG$3,GD$60,$FX$4:$GG$4))=0,0,((SUMIF($FX$3:$GG$3,GD$60,$FX122:$GG122))/SUMIF($FX$3:$GG$3,GD$60,$FX$4:$GG$4)))</f>
        <v>0</v>
      </c>
      <c r="GE73" s="196" t="n">
        <f aca="false">IF((SUMIF($FX$3:$GG$3,GE$60,$FX$4:$GG$4))=0,0,((SUMIF($FX$3:$GG$3,GE$60,$FX122:$GG122))/SUMIF($FX$3:$GG$3,GE$60,$FX$4:$GG$4)))</f>
        <v>0</v>
      </c>
      <c r="GF73" s="196" t="n">
        <f aca="false">IF((SUMIF($FX$3:$GG$3,GF$60,$FX$4:$GG$4))=0,0,((SUMIF($FX$3:$GG$3,GF$60,$FX122:$GG122))/SUMIF($FX$3:$GG$3,GF$60,$FX$4:$GG$4)))</f>
        <v>0</v>
      </c>
      <c r="GG73" s="197" t="n">
        <f aca="false">IF((SUMIF($FX$3:$GG$3,GG$60,$FX$4:$GG$4))=0,0,((SUMIF($FX$3:$GG$3,GG$60,$FX122:$GG122))/SUMIF($FX$3:$GG$3,GG$60,$FX$4:$GG$4)))</f>
        <v>0</v>
      </c>
      <c r="GH73" s="194" t="str">
        <f aca="false">FW73</f>
        <v>Alumno12</v>
      </c>
      <c r="GI73" s="195" t="n">
        <f aca="false">IF((SUMIF($GI$3:$GR$3,GI$60,$GI$4:$GR$4))=0,0,((SUMIF($GI$3:$GR$3,GI$60,$GI122:$GR122))/SUMIF($GI$3:$GR$3,GI$60,$GI$4:$GR$4)))</f>
        <v>0</v>
      </c>
      <c r="GJ73" s="196" t="n">
        <f aca="false">IF((SUMIF($GI$3:$GR$3,GJ$60,$GI$4:$GR$4))=0,0,((SUMIF($GI$3:$GR$3,GJ$60,$GI122:$GR122))/SUMIF($GI$3:$GR$3,GJ$60,$GI$4:$GR$4)))</f>
        <v>0</v>
      </c>
      <c r="GK73" s="196" t="n">
        <f aca="false">IF((SUMIF($GI$3:$GR$3,GK$60,$GI$4:$GR$4))=0,0,((SUMIF($GI$3:$GR$3,GK$60,$GI122:$GR122))/SUMIF($GI$3:$GR$3,GK$60,$GI$4:$GR$4)))</f>
        <v>0</v>
      </c>
      <c r="GL73" s="196" t="n">
        <f aca="false">IF((SUMIF($GI$3:$GR$3,GL$60,$GI$4:$GR$4))=0,0,((SUMIF($GI$3:$GR$3,GL$60,$GI122:$GR122))/SUMIF($GI$3:$GR$3,GL$60,$GI$4:$GR$4)))</f>
        <v>0</v>
      </c>
      <c r="GM73" s="196" t="n">
        <f aca="false">IF((SUMIF($GI$3:$GR$3,GM$60,$GI$4:$GR$4))=0,0,((SUMIF($GI$3:$GR$3,GM$60,$GI122:$GR122))/SUMIF($GI$3:$GR$3,GM$60,$GI$4:$GR$4)))</f>
        <v>0</v>
      </c>
      <c r="GN73" s="196" t="n">
        <f aca="false">IF((SUMIF($GI$3:$GR$3,GN$60,$GI$4:$GR$4))=0,0,((SUMIF($GI$3:$GR$3,GN$60,$GI122:$GR122))/SUMIF($GI$3:$GR$3,GN$60,$GI$4:$GR$4)))</f>
        <v>0</v>
      </c>
      <c r="GO73" s="196" t="n">
        <f aca="false">IF((SUMIF($GI$3:$GR$3,GO$60,$GI$4:$GR$4))=0,0,((SUMIF($GI$3:$GR$3,GO$60,$GI122:$GR122))/SUMIF($GI$3:$GR$3,GO$60,$GI$4:$GR$4)))</f>
        <v>0</v>
      </c>
      <c r="GP73" s="196" t="n">
        <f aca="false">IF((SUMIF($GI$3:$GR$3,GP$60,$GI$4:$GR$4))=0,0,((SUMIF($GI$3:$GR$3,GP$60,$GI122:$GR122))/SUMIF($GI$3:$GR$3,GP$60,$GI$4:$GR$4)))</f>
        <v>0</v>
      </c>
      <c r="GQ73" s="196" t="n">
        <f aca="false">IF((SUMIF($GI$3:$GR$3,GQ$60,$GI$4:$GR$4))=0,0,((SUMIF($GI$3:$GR$3,GQ$60,$GI122:$GR122))/SUMIF($GI$3:$GR$3,GQ$60,$GI$4:$GR$4)))</f>
        <v>0</v>
      </c>
      <c r="GR73" s="197" t="n">
        <f aca="false">IF((SUMIF($GI$3:$GR$3,GR$60,$GI$4:$GR$4))=0,0,((SUMIF($GI$3:$GR$3,GR$60,$GI122:$GR122))/SUMIF($GI$3:$GR$3,GR$60,$GI$4:$GR$4)))</f>
        <v>0</v>
      </c>
      <c r="GS73" s="194" t="str">
        <f aca="false">GH73</f>
        <v>Alumno12</v>
      </c>
      <c r="GT73" s="195" t="n">
        <f aca="false">IF((SUMIF($GT$3:$HC$3,GT$60,$GT$4:$HC$4))=0,0,((SUMIF($GT$3:$HC$3,GT$60,$GT122:$HC122))/SUMIF($GT$3:$HC$3,GT$60,$GT$4:$HC$4)))</f>
        <v>0</v>
      </c>
      <c r="GU73" s="196" t="n">
        <f aca="false">IF((SUMIF($GT$3:$HC$3,GU$60,$GT$4:$HC$4))=0,0,((SUMIF($GT$3:$HC$3,GU$60,$GT122:$HC122))/SUMIF($GT$3:$HC$3,GU$60,$GT$4:$HC$4)))</f>
        <v>0</v>
      </c>
      <c r="GV73" s="196" t="n">
        <f aca="false">IF((SUMIF($GT$3:$HC$3,GV$60,$GT$4:$HC$4))=0,0,((SUMIF($GT$3:$HC$3,GV$60,$GT122:$HC122))/SUMIF($GT$3:$HC$3,GV$60,$GT$4:$HC$4)))</f>
        <v>0</v>
      </c>
      <c r="GW73" s="196" t="n">
        <f aca="false">IF((SUMIF($GT$3:$HC$3,GW$60,$GT$4:$HC$4))=0,0,((SUMIF($GT$3:$HC$3,GW$60,$GT122:$HC122))/SUMIF($GT$3:$HC$3,GW$60,$GT$4:$HC$4)))</f>
        <v>0</v>
      </c>
      <c r="GX73" s="196" t="n">
        <f aca="false">IF((SUMIF($GT$3:$HC$3,GX$60,$GT$4:$HC$4))=0,0,((SUMIF($GT$3:$HC$3,GX$60,$GT122:$HC122))/SUMIF($GT$3:$HC$3,GX$60,$GT$4:$HC$4)))</f>
        <v>0</v>
      </c>
      <c r="GY73" s="196" t="n">
        <f aca="false">IF((SUMIF($GT$3:$HC$3,GY$60,$GT$4:$HC$4))=0,0,((SUMIF($GT$3:$HC$3,GY$60,$GT122:$HC122))/SUMIF($GT$3:$HC$3,GY$60,$GT$4:$HC$4)))</f>
        <v>0</v>
      </c>
      <c r="GZ73" s="196" t="n">
        <f aca="false">IF((SUMIF($GT$3:$HC$3,GZ$60,$GT$4:$HC$4))=0,0,((SUMIF($GT$3:$HC$3,GZ$60,$GT122:$HC122))/SUMIF($GT$3:$HC$3,GZ$60,$GT$4:$HC$4)))</f>
        <v>0</v>
      </c>
      <c r="HA73" s="196" t="n">
        <f aca="false">IF((SUMIF($GT$3:$HC$3,HA$60,$GT$4:$HC$4))=0,0,((SUMIF($GT$3:$HC$3,HA$60,$GT122:$HC122))/SUMIF($GT$3:$HC$3,HA$60,$GT$4:$HC$4)))</f>
        <v>0</v>
      </c>
      <c r="HB73" s="196" t="n">
        <f aca="false">IF((SUMIF($GT$3:$HC$3,HB$60,$GT$4:$HC$4))=0,0,((SUMIF($GT$3:$HC$3,HB$60,$GT122:$HC122))/SUMIF($GT$3:$HC$3,HB$60,$GT$4:$HC$4)))</f>
        <v>0</v>
      </c>
      <c r="HC73" s="197" t="n">
        <f aca="false">IF((SUMIF($GT$3:$HC$3,HC$60,$GT$4:$HC$4))=0,0,((SUMIF($GT$3:$HC$3,HC$60,$GT122:$HC122))/SUMIF($GT$3:$HC$3,HC$60,$GT$4:$HC$4)))</f>
        <v>0</v>
      </c>
      <c r="HD73" s="194" t="str">
        <f aca="false">GS73</f>
        <v>Alumno12</v>
      </c>
      <c r="HE73" s="195" t="n">
        <f aca="false">IF((SUMIF($HE$3:$HN$3,HE$60,$HE$4:$HN$4))=0,0,((SUMIF($HE$3:$HN$3,HE$60,$HE122:$HN122))/SUMIF($HE$3:$HN$3,HE$60,$HE$4:$HN$4)))</f>
        <v>0</v>
      </c>
      <c r="HF73" s="196" t="n">
        <f aca="false">IF((SUMIF($HE$3:$HN$3,HF$60,$HE$4:$HN$4))=0,0,((SUMIF($HE$3:$HN$3,HF$60,$HE122:$HN122))/SUMIF($HE$3:$HN$3,HF$60,$HE$4:$HN$4)))</f>
        <v>0</v>
      </c>
      <c r="HG73" s="196" t="n">
        <f aca="false">IF((SUMIF($HE$3:$HN$3,HG$60,$HE$4:$HN$4))=0,0,((SUMIF($HE$3:$HN$3,HG$60,$HE122:$HN122))/SUMIF($HE$3:$HN$3,HG$60,$HE$4:$HN$4)))</f>
        <v>0</v>
      </c>
      <c r="HH73" s="196" t="n">
        <f aca="false">IF((SUMIF($HE$3:$HN$3,HH$60,$HE$4:$HN$4))=0,0,((SUMIF($HE$3:$HN$3,HH$60,$HE122:$HN122))/SUMIF($HE$3:$HN$3,HH$60,$HE$4:$HN$4)))</f>
        <v>0</v>
      </c>
      <c r="HI73" s="196" t="n">
        <f aca="false">IF((SUMIF($HE$3:$HN$3,HI$60,$HE$4:$HN$4))=0,0,((SUMIF($HE$3:$HN$3,HI$60,$HE122:$HN122))/SUMIF($HE$3:$HN$3,HI$60,$HE$4:$HN$4)))</f>
        <v>0</v>
      </c>
      <c r="HJ73" s="196" t="n">
        <f aca="false">IF((SUMIF($HE$3:$HN$3,HJ$60,$HE$4:$HN$4))=0,0,((SUMIF($HE$3:$HN$3,HJ$60,$HE122:$HN122))/SUMIF($HE$3:$HN$3,HJ$60,$HE$4:$HN$4)))</f>
        <v>0</v>
      </c>
      <c r="HK73" s="196" t="n">
        <f aca="false">IF((SUMIF($HE$3:$HN$3,HK$60,$HE$4:$HN$4))=0,0,((SUMIF($HE$3:$HN$3,HK$60,$HE122:$HN122))/SUMIF($HE$3:$HN$3,HK$60,$HE$4:$HN$4)))</f>
        <v>0</v>
      </c>
      <c r="HL73" s="196" t="n">
        <f aca="false">IF((SUMIF($HE$3:$HN$3,HL$60,$HE$4:$HN$4))=0,0,((SUMIF($HE$3:$HN$3,HL$60,$HE122:$HN122))/SUMIF($HE$3:$HN$3,HL$60,$HE$4:$HN$4)))</f>
        <v>0</v>
      </c>
      <c r="HM73" s="196" t="n">
        <f aca="false">IF((SUMIF($HE$3:$HN$3,HM$60,$HE$4:$HN$4))=0,0,((SUMIF($HE$3:$HN$3,HM$60,$HE122:$HN122))/SUMIF($HE$3:$HN$3,HM$60,$HE$4:$HN$4)))</f>
        <v>0</v>
      </c>
      <c r="HN73" s="197" t="n">
        <f aca="false">IF((SUMIF($HE$3:$HN$3,HN$60,$HE$4:$HN$4))=0,0,((SUMIF($HE$3:$HN$3,HN$60,$HE122:$HN122))/SUMIF($HE$3:$HN$3,HN$60,$HE$4:$HN$4)))</f>
        <v>0</v>
      </c>
      <c r="HO73" s="194" t="str">
        <f aca="false">HD73</f>
        <v>Alumno12</v>
      </c>
      <c r="HP73" s="195" t="n">
        <f aca="false">IF((SUMIF($HP$3:$HY$3,HP$60,$HP$4:$HY$4))=0,0,((SUMIF($HP$3:$HY$3,HP$60,$HP122:$HY122))/SUMIF($HP$3:$HY$3,HP$60,$HP$4:$HY$4)))</f>
        <v>0</v>
      </c>
      <c r="HQ73" s="196" t="n">
        <f aca="false">IF((SUMIF($HP$3:$HY$3,HQ$60,$HP$4:$HY$4))=0,0,((SUMIF($HP$3:$HY$3,HQ$60,$HP122:$HY122))/SUMIF($HP$3:$HY$3,HQ$60,$HP$4:$HY$4)))</f>
        <v>0</v>
      </c>
      <c r="HR73" s="196" t="n">
        <f aca="false">IF((SUMIF($HP$3:$HY$3,HR$60,$HP$4:$HY$4))=0,0,((SUMIF($HP$3:$HY$3,HR$60,$HP122:$HY122))/SUMIF($HP$3:$HY$3,HR$60,$HP$4:$HY$4)))</f>
        <v>0</v>
      </c>
      <c r="HS73" s="196" t="n">
        <f aca="false">IF((SUMIF($HP$3:$HY$3,HS$60,$HP$4:$HY$4))=0,0,((SUMIF($HP$3:$HY$3,HS$60,$HP122:$HY122))/SUMIF($HP$3:$HY$3,HS$60,$HP$4:$HY$4)))</f>
        <v>0</v>
      </c>
      <c r="HT73" s="196" t="n">
        <f aca="false">IF((SUMIF($HP$3:$HY$3,HT$60,$HP$4:$HY$4))=0,0,((SUMIF($HP$3:$HY$3,HT$60,$HP122:$HY122))/SUMIF($HP$3:$HY$3,HT$60,$HP$4:$HY$4)))</f>
        <v>0</v>
      </c>
      <c r="HU73" s="196" t="n">
        <f aca="false">IF((SUMIF($HP$3:$HY$3,HU$60,$HP$4:$HY$4))=0,0,((SUMIF($HP$3:$HY$3,HU$60,$HP122:$HY122))/SUMIF($HP$3:$HY$3,HU$60,$HP$4:$HY$4)))</f>
        <v>0</v>
      </c>
      <c r="HV73" s="196" t="n">
        <f aca="false">IF((SUMIF($HP$3:$HY$3,HV$60,$HP$4:$HY$4))=0,0,((SUMIF($HP$3:$HY$3,HV$60,$HP122:$HY122))/SUMIF($HP$3:$HY$3,HV$60,$HP$4:$HY$4)))</f>
        <v>0</v>
      </c>
      <c r="HW73" s="196" t="n">
        <f aca="false">IF((SUMIF($HP$3:$HY$3,HW$60,$HP$4:$HY$4))=0,0,((SUMIF($HP$3:$HY$3,HW$60,$HP122:$HY122))/SUMIF($HP$3:$HY$3,HW$60,$HP$4:$HY$4)))</f>
        <v>0</v>
      </c>
      <c r="HX73" s="196" t="n">
        <f aca="false">IF((SUMIF($HP$3:$HY$3,HX$60,$HP$4:$HY$4))=0,0,((SUMIF($HP$3:$HY$3,HX$60,$HP122:$HY122))/SUMIF($HP$3:$HY$3,HX$60,$HP$4:$HY$4)))</f>
        <v>0</v>
      </c>
      <c r="HY73" s="197" t="n">
        <f aca="false">IF((SUMIF($HP$3:$HY$3,HY$60,$HP$4:$HY$4))=0,0,((SUMIF($HP$3:$HY$3,HY$60,$HP122:$HY122))/SUMIF($HP$3:$HY$3,HY$60,$HP$4:$HY$4)))</f>
        <v>0</v>
      </c>
      <c r="HZ73" s="194" t="str">
        <f aca="false">HO73</f>
        <v>Alumno12</v>
      </c>
      <c r="IA73" s="195" t="n">
        <f aca="false">IF((SUMIF($IA$3:$IJ$3,IA$60,$IA$4:$IJ$4))=0,0,((SUMIF($IA$3:$IJ$3,IA$60,$IA122:$IJ122))/SUMIF($IA$3:$IJ$3,IA$60,$IA$4:$IJ$4)))</f>
        <v>0</v>
      </c>
      <c r="IB73" s="196" t="n">
        <f aca="false">IF((SUMIF($IA$3:$IJ$3,IB$60,$IA$4:$IJ$4))=0,0,((SUMIF($IA$3:$IJ$3,IB$60,$IA122:$IJ122))/SUMIF($IA$3:$IJ$3,IB$60,$IA$4:$IJ$4)))</f>
        <v>0</v>
      </c>
      <c r="IC73" s="196" t="n">
        <f aca="false">IF((SUMIF($IA$3:$IJ$3,IC$60,$IA$4:$IJ$4))=0,0,((SUMIF($IA$3:$IJ$3,IC$60,$IA122:$IJ122))/SUMIF($IA$3:$IJ$3,IC$60,$IA$4:$IJ$4)))</f>
        <v>0</v>
      </c>
      <c r="ID73" s="196" t="n">
        <f aca="false">IF((SUMIF($IA$3:$IJ$3,ID$60,$IA$4:$IJ$4))=0,0,((SUMIF($IA$3:$IJ$3,ID$60,$IA122:$IJ122))/SUMIF($IA$3:$IJ$3,ID$60,$IA$4:$IJ$4)))</f>
        <v>0</v>
      </c>
      <c r="IE73" s="196" t="n">
        <f aca="false">IF((SUMIF($IA$3:$IJ$3,IE$60,$IA$4:$IJ$4))=0,0,((SUMIF($IA$3:$IJ$3,IE$60,$IA122:$IJ122))/SUMIF($IA$3:$IJ$3,IE$60,$IA$4:$IJ$4)))</f>
        <v>0</v>
      </c>
      <c r="IF73" s="196" t="n">
        <f aca="false">IF((SUMIF($IA$3:$IJ$3,IF$60,$IA$4:$IJ$4))=0,0,((SUMIF($IA$3:$IJ$3,IF$60,$IA122:$IJ122))/SUMIF($IA$3:$IJ$3,IF$60,$IA$4:$IJ$4)))</f>
        <v>0</v>
      </c>
      <c r="IG73" s="196" t="n">
        <f aca="false">IF((SUMIF($IA$3:$IJ$3,IG$60,$IA$4:$IJ$4))=0,0,((SUMIF($IA$3:$IJ$3,IG$60,$IA122:$IJ122))/SUMIF($IA$3:$IJ$3,IG$60,$IA$4:$IJ$4)))</f>
        <v>0</v>
      </c>
      <c r="IH73" s="196" t="n">
        <f aca="false">IF((SUMIF($IA$3:$IJ$3,IH$60,$IA$4:$IJ$4))=0,0,((SUMIF($IA$3:$IJ$3,IH$60,$IA122:$IJ122))/SUMIF($IA$3:$IJ$3,IH$60,$IA$4:$IJ$4)))</f>
        <v>0</v>
      </c>
      <c r="II73" s="196" t="n">
        <f aca="false">IF((SUMIF($IA$3:$IJ$3,II$60,$IA$4:$IJ$4))=0,0,((SUMIF($IA$3:$IJ$3,II$60,$IA122:$IJ122))/SUMIF($IA$3:$IJ$3,II$60,$IA$4:$IJ$4)))</f>
        <v>0</v>
      </c>
      <c r="IJ73" s="197" t="n">
        <f aca="false">IF((SUMIF($IA$3:$IJ$3,IJ$60,$IA$4:$IJ$4))=0,0,((SUMIF($IA$3:$IJ$3,IJ$60,$IA122:$IJ122))/SUMIF($IA$3:$IJ$3,IJ$60,$IA$4:$IJ$4)))</f>
        <v>0</v>
      </c>
      <c r="IK73" s="194" t="str">
        <f aca="false">HZ73</f>
        <v>Alumno12</v>
      </c>
      <c r="IL73" s="195" t="n">
        <f aca="false">IF((SUMIF($IL$3:$IU$3,IL$60,$IL$4:$IU$4))=0,0,((SUMIF($IL$3:$IU$3,IL$60,$IL122:$IU122))/SUMIF($IL$3:$IU$3,IL$60,$IL$4:$IU$4)))</f>
        <v>0</v>
      </c>
      <c r="IM73" s="196" t="n">
        <f aca="false">IF((SUMIF($IL$3:$IU$3,IM$60,$IL$4:$IU$4))=0,0,((SUMIF($IL$3:$IU$3,IM$60,$IL122:$IU122))/SUMIF($IL$3:$IU$3,IM$60,$IL$4:$IU$4)))</f>
        <v>0</v>
      </c>
      <c r="IN73" s="196" t="n">
        <f aca="false">IF((SUMIF($IL$3:$IU$3,IN$60,$IL$4:$IU$4))=0,0,((SUMIF($IL$3:$IU$3,IN$60,$IL122:$IU122))/SUMIF($IL$3:$IU$3,IN$60,$IL$4:$IU$4)))</f>
        <v>0</v>
      </c>
      <c r="IO73" s="196" t="n">
        <f aca="false">IF((SUMIF($IL$3:$IU$3,IO$60,$IL$4:$IU$4))=0,0,((SUMIF($IL$3:$IU$3,IO$60,$IL122:$IU122))/SUMIF($IL$3:$IU$3,IO$60,$IL$4:$IU$4)))</f>
        <v>0</v>
      </c>
      <c r="IP73" s="196" t="n">
        <f aca="false">IF((SUMIF($IL$3:$IU$3,IP$60,$IL$4:$IU$4))=0,0,((SUMIF($IL$3:$IU$3,IP$60,$IL122:$IU122))/SUMIF($IL$3:$IU$3,IP$60,$IL$4:$IU$4)))</f>
        <v>0</v>
      </c>
      <c r="IQ73" s="196" t="n">
        <f aca="false">IF((SUMIF($IL$3:$IU$3,IQ$60,$IL$4:$IU$4))=0,0,((SUMIF($IL$3:$IU$3,IQ$60,$IL122:$IU122))/SUMIF($IL$3:$IU$3,IQ$60,$IL$4:$IU$4)))</f>
        <v>0</v>
      </c>
      <c r="IR73" s="196" t="n">
        <f aca="false">IF((SUMIF($IL$3:$IU$3,IR$60,$IL$4:$IU$4))=0,0,((SUMIF($IL$3:$IU$3,IR$60,$IL122:$IU122))/SUMIF($IL$3:$IU$3,IR$60,$IL$4:$IU$4)))</f>
        <v>0</v>
      </c>
      <c r="IS73" s="196" t="n">
        <f aca="false">IF((SUMIF($IL$3:$IU$3,IS$60,$IL$4:$IU$4))=0,0,((SUMIF($IL$3:$IU$3,IS$60,$IL122:$IU122))/SUMIF($IL$3:$IU$3,IS$60,$IL$4:$IU$4)))</f>
        <v>0</v>
      </c>
      <c r="IT73" s="196" t="n">
        <f aca="false">IF((SUMIF($IL$3:$IU$3,IT$60,$IL$4:$IU$4))=0,0,((SUMIF($IL$3:$IU$3,IT$60,$IL122:$IU122))/SUMIF($IL$3:$IU$3,IT$60,$IL$4:$IU$4)))</f>
        <v>0</v>
      </c>
      <c r="IU73" s="197" t="n">
        <f aca="false">IF((SUMIF($IL$3:$IU$3,IU$60,$IL$4:$IU$4))=0,0,((SUMIF($IL$3:$IU$3,IU$60,$IL122:$IU122))/SUMIF($IL$3:$IU$3,IU$60,$IL$4:$IU$4)))</f>
        <v>0</v>
      </c>
      <c r="IV73" s="194" t="str">
        <f aca="false">IK73</f>
        <v>Alumno12</v>
      </c>
      <c r="IW73" s="195" t="n">
        <f aca="false">IF((SUMIF($IW$3:$JF$3,IW$60,$IW$4:$JF$4))=0,0,((SUMIF($IW$3:$JF$3,IW$60,$IW122:$JF122))/SUMIF($IW$3:$JF$3,IW$60,$IW$4:$JF$4)))</f>
        <v>0</v>
      </c>
      <c r="IX73" s="196" t="n">
        <f aca="false">IF((SUMIF($IW$3:$JF$3,IX$60,$IW$4:$JF$4))=0,0,((SUMIF($IW$3:$JF$3,IX$60,$IW122:$JF122))/SUMIF($IW$3:$JF$3,IX$60,$IW$4:$JF$4)))</f>
        <v>0</v>
      </c>
      <c r="IY73" s="196" t="n">
        <f aca="false">IF((SUMIF($IW$3:$JF$3,IY$60,$IW$4:$JF$4))=0,0,((SUMIF($IW$3:$JF$3,IY$60,$IW122:$JF122))/SUMIF($IW$3:$JF$3,IY$60,$IW$4:$JF$4)))</f>
        <v>0</v>
      </c>
      <c r="IZ73" s="196" t="n">
        <f aca="false">IF((SUMIF($IW$3:$JF$3,IZ$60,$IW$4:$JF$4))=0,0,((SUMIF($IW$3:$JF$3,IZ$60,$IW122:$JF122))/SUMIF($IW$3:$JF$3,IZ$60,$IW$4:$JF$4)))</f>
        <v>0</v>
      </c>
      <c r="JA73" s="196" t="n">
        <f aca="false">IF((SUMIF($IW$3:$JF$3,JA$60,$IW$4:$JF$4))=0,0,((SUMIF($IW$3:$JF$3,JA$60,$IW122:$JF122))/SUMIF($IW$3:$JF$3,JA$60,$IW$4:$JF$4)))</f>
        <v>0</v>
      </c>
      <c r="JB73" s="196" t="n">
        <f aca="false">IF((SUMIF($IW$3:$JF$3,JB$60,$IW$4:$JF$4))=0,0,((SUMIF($IW$3:$JF$3,JB$60,$IW122:$JF122))/SUMIF($IW$3:$JF$3,JB$60,$IW$4:$JF$4)))</f>
        <v>0</v>
      </c>
      <c r="JC73" s="196" t="n">
        <f aca="false">IF((SUMIF($IW$3:$JF$3,JC$60,$IW$4:$JF$4))=0,0,((SUMIF($IW$3:$JF$3,JC$60,$IW122:$JF122))/SUMIF($IW$3:$JF$3,JC$60,$IW$4:$JF$4)))</f>
        <v>0</v>
      </c>
      <c r="JD73" s="196" t="n">
        <f aca="false">IF((SUMIF($IW$3:$JF$3,JD$60,$IW$4:$JF$4))=0,0,((SUMIF($IW$3:$JF$3,JD$60,$IW122:$JF122))/SUMIF($IW$3:$JF$3,JD$60,$IW$4:$JF$4)))</f>
        <v>0</v>
      </c>
      <c r="JE73" s="196" t="n">
        <f aca="false">IF((SUMIF($IW$3:$JF$3,JE$60,$IW$4:$JF$4))=0,0,((SUMIF($IW$3:$JF$3,JE$60,$IW122:$JF122))/SUMIF($IW$3:$JF$3,JE$60,$IW$4:$JF$4)))</f>
        <v>0</v>
      </c>
      <c r="JF73" s="197" t="n">
        <f aca="false">IF((SUMIF($IW$3:$JF$3,JF$60,$IW$4:$JF$4))=0,0,((SUMIF($IW$3:$JF$3,JF$60,$IW122:$JF122))/SUMIF($IW$3:$JF$3,JF$60,$IW$4:$JF$4)))</f>
        <v>0</v>
      </c>
      <c r="JG73" s="194" t="str">
        <f aca="false">IV73</f>
        <v>Alumno12</v>
      </c>
      <c r="JH73" s="195" t="n">
        <f aca="false">IF((SUMIF($JH$3:$JQ$3,JH$60,$JH$4:$JQ$4))=0,0,((SUMIF($JH$3:$JQ$3,JH$60,$JH122:$JQ122))/SUMIF($JH$3:$JQ$3,JH$60,$JH$4:$JQ$4)))</f>
        <v>0</v>
      </c>
      <c r="JI73" s="196" t="n">
        <f aca="false">IF((SUMIF($JH$3:$JQ$3,JI$60,$JH$4:$JQ$4))=0,0,((SUMIF($JH$3:$JQ$3,JI$60,$JH122:$JQ122))/SUMIF($JH$3:$JQ$3,JI$60,$JH$4:$JQ$4)))</f>
        <v>0</v>
      </c>
      <c r="JJ73" s="196" t="n">
        <f aca="false">IF((SUMIF($JH$3:$JQ$3,JJ$60,$JH$4:$JQ$4))=0,0,((SUMIF($JH$3:$JQ$3,JJ$60,$JH122:$JQ122))/SUMIF($JH$3:$JQ$3,JJ$60,$JH$4:$JQ$4)))</f>
        <v>0</v>
      </c>
      <c r="JK73" s="196" t="n">
        <f aca="false">IF((SUMIF($JH$3:$JQ$3,JK$60,$JH$4:$JQ$4))=0,0,((SUMIF($JH$3:$JQ$3,JK$60,$JH122:$JQ122))/SUMIF($JH$3:$JQ$3,JK$60,$JH$4:$JQ$4)))</f>
        <v>0</v>
      </c>
      <c r="JL73" s="196" t="n">
        <f aca="false">IF((SUMIF($JH$3:$JQ$3,JL$60,$JH$4:$JQ$4))=0,0,((SUMIF($JH$3:$JQ$3,JL$60,$JH122:$JQ122))/SUMIF($JH$3:$JQ$3,JL$60,$JH$4:$JQ$4)))</f>
        <v>0</v>
      </c>
      <c r="JM73" s="196" t="n">
        <f aca="false">IF((SUMIF($JH$3:$JQ$3,JM$60,$JH$4:$JQ$4))=0,0,((SUMIF($JH$3:$JQ$3,JM$60,$JH122:$JQ122))/SUMIF($JH$3:$JQ$3,JM$60,$JH$4:$JQ$4)))</f>
        <v>0</v>
      </c>
      <c r="JN73" s="196" t="n">
        <f aca="false">IF((SUMIF($JH$3:$JQ$3,JN$60,$JH$4:$JQ$4))=0,0,((SUMIF($JH$3:$JQ$3,JN$60,$JH122:$JQ122))/SUMIF($JH$3:$JQ$3,JN$60,$JH$4:$JQ$4)))</f>
        <v>0</v>
      </c>
      <c r="JO73" s="196" t="n">
        <f aca="false">IF((SUMIF($JH$3:$JQ$3,JO$60,$JH$4:$JQ$4))=0,0,((SUMIF($JH$3:$JQ$3,JO$60,$JH122:$JQ122))/SUMIF($JH$3:$JQ$3,JO$60,$JH$4:$JQ$4)))</f>
        <v>0</v>
      </c>
      <c r="JP73" s="196" t="n">
        <f aca="false">IF((SUMIF($JH$3:$JQ$3,JP$60,$JH$4:$JQ$4))=0,0,((SUMIF($JH$3:$JQ$3,JP$60,$JH122:$JQ122))/SUMIF($JH$3:$JQ$3,JP$60,$JH$4:$JQ$4)))</f>
        <v>0</v>
      </c>
      <c r="JQ73" s="197" t="n">
        <f aca="false">IF((SUMIF($JH$3:$JQ$3,JQ$60,$JH$4:$JQ$4))=0,0,((SUMIF($JH$3:$JQ$3,JQ$60,$JH122:$JQ122))/SUMIF($JH$3:$JQ$3,JQ$60,$JH$4:$JQ$4)))</f>
        <v>0</v>
      </c>
      <c r="JR73" s="194" t="str">
        <f aca="false">JG73</f>
        <v>Alumno12</v>
      </c>
      <c r="JS73" s="195" t="n">
        <f aca="false">IF((SUMIF($JS$3:$KB$3,JS$60,$JS$4:$KB$4))=0,0,((SUMIF($JS$3:$KB$3,JS$60,$JS122:$KB122))/SUMIF($JS$3:$KB$3,JS$60,$JS$4:$KB$4)))</f>
        <v>0</v>
      </c>
      <c r="JT73" s="196" t="n">
        <f aca="false">IF((SUMIF($JS$3:$KB$3,JT$60,$JS$4:$KB$4))=0,0,((SUMIF($JS$3:$KB$3,JT$60,$JS122:$KB122))/SUMIF($JS$3:$KB$3,JT$60,$JS$4:$KB$4)))</f>
        <v>0</v>
      </c>
      <c r="JU73" s="196" t="n">
        <f aca="false">IF((SUMIF($JS$3:$KB$3,JU$60,$JS$4:$KB$4))=0,0,((SUMIF($JS$3:$KB$3,JU$60,$JS122:$KB122))/SUMIF($JS$3:$KB$3,JU$60,$JS$4:$KB$4)))</f>
        <v>0</v>
      </c>
      <c r="JV73" s="196" t="n">
        <f aca="false">IF((SUMIF($JS$3:$KB$3,JV$60,$JS$4:$KB$4))=0,0,((SUMIF($JS$3:$KB$3,JV$60,$JS122:$KB122))/SUMIF($JS$3:$KB$3,JV$60,$JS$4:$KB$4)))</f>
        <v>0</v>
      </c>
      <c r="JW73" s="196" t="n">
        <f aca="false">IF((SUMIF($JS$3:$KB$3,JW$60,$JS$4:$KB$4))=0,0,((SUMIF($JS$3:$KB$3,JW$60,$JS122:$KB122))/SUMIF($JS$3:$KB$3,JW$60,$JS$4:$KB$4)))</f>
        <v>0</v>
      </c>
      <c r="JX73" s="196" t="n">
        <f aca="false">IF((SUMIF($JS$3:$KB$3,JX$60,$JS$4:$KB$4))=0,0,((SUMIF($JS$3:$KB$3,JX$60,$JS122:$KB122))/SUMIF($JS$3:$KB$3,JX$60,$JS$4:$KB$4)))</f>
        <v>0</v>
      </c>
      <c r="JY73" s="196" t="n">
        <f aca="false">IF((SUMIF($JS$3:$KB$3,JY$60,$JS$4:$KB$4))=0,0,((SUMIF($JS$3:$KB$3,JY$60,$JS122:$KB122))/SUMIF($JS$3:$KB$3,JY$60,$JS$4:$KB$4)))</f>
        <v>0</v>
      </c>
      <c r="JZ73" s="196" t="n">
        <f aca="false">IF((SUMIF($JS$3:$KB$3,JZ$60,$JS$4:$KB$4))=0,0,((SUMIF($JS$3:$KB$3,JZ$60,$JS122:$KB122))/SUMIF($JS$3:$KB$3,JZ$60,$JS$4:$KB$4)))</f>
        <v>0</v>
      </c>
      <c r="KA73" s="196" t="n">
        <f aca="false">IF((SUMIF($JS$3:$KB$3,KA$60,$JS$4:$KB$4))=0,0,((SUMIF($JS$3:$KB$3,KA$60,$JS122:$KB122))/SUMIF($JS$3:$KB$3,KA$60,$JS$4:$KB$4)))</f>
        <v>0</v>
      </c>
      <c r="KB73" s="197" t="n">
        <f aca="false">IF((SUMIF($JS$3:$KB$3,KB$60,$JS$4:$KB$4))=0,0,((SUMIF($JS$3:$KB$3,KB$60,$JS122:$KB122))/SUMIF($JS$3:$KB$3,KB$60,$JS$4:$KB$4)))</f>
        <v>0</v>
      </c>
      <c r="KC73" s="194" t="str">
        <f aca="false">JR73</f>
        <v>Alumno12</v>
      </c>
      <c r="KD73" s="195" t="n">
        <f aca="false">IF((SUMIF($KD$3:$KM$3,KD$60,$KD$4:$KM$4))=0,0,((SUMIF($KD$3:$KM$3,KD$60,$KD122:$KM122))/SUMIF($KD$3:$KM$3,KD$60,$KD$4:$KM$4)))</f>
        <v>0</v>
      </c>
      <c r="KE73" s="196" t="n">
        <f aca="false">IF((SUMIF($KD$3:$KM$3,KE$60,$KD$4:$KM$4))=0,0,((SUMIF($KD$3:$KM$3,KE$60,$KD122:$KM122))/SUMIF($KD$3:$KM$3,KE$60,$KD$4:$KM$4)))</f>
        <v>0</v>
      </c>
      <c r="KF73" s="196" t="n">
        <f aca="false">IF((SUMIF($KD$3:$KM$3,KF$60,$KD$4:$KM$4))=0,0,((SUMIF($KD$3:$KM$3,KF$60,$KD122:$KM122))/SUMIF($KD$3:$KM$3,KF$60,$KD$4:$KM$4)))</f>
        <v>0</v>
      </c>
      <c r="KG73" s="196" t="n">
        <f aca="false">IF((SUMIF($KD$3:$KM$3,KG$60,$KD$4:$KM$4))=0,0,((SUMIF($KD$3:$KM$3,KG$60,$KD122:$KM122))/SUMIF($KD$3:$KM$3,KG$60,$KD$4:$KM$4)))</f>
        <v>0</v>
      </c>
      <c r="KH73" s="196" t="n">
        <f aca="false">IF((SUMIF($KD$3:$KM$3,KH$60,$KD$4:$KM$4))=0,0,((SUMIF($KD$3:$KM$3,KH$60,$KD122:$KM122))/SUMIF($KD$3:$KM$3,KH$60,$KD$4:$KM$4)))</f>
        <v>0</v>
      </c>
      <c r="KI73" s="196" t="n">
        <f aca="false">IF((SUMIF($KD$3:$KM$3,KI$60,$KD$4:$KM$4))=0,0,((SUMIF($KD$3:$KM$3,KI$60,$KD122:$KM122))/SUMIF($KD$3:$KM$3,KI$60,$KD$4:$KM$4)))</f>
        <v>0</v>
      </c>
      <c r="KJ73" s="196" t="n">
        <f aca="false">IF((SUMIF($KD$3:$KM$3,KJ$60,$KD$4:$KM$4))=0,0,((SUMIF($KD$3:$KM$3,KJ$60,$KD122:$KM122))/SUMIF($KD$3:$KM$3,KJ$60,$KD$4:$KM$4)))</f>
        <v>0</v>
      </c>
      <c r="KK73" s="196" t="n">
        <f aca="false">IF((SUMIF($KD$3:$KM$3,KK$60,$KD$4:$KM$4))=0,0,((SUMIF($KD$3:$KM$3,KK$60,$KD122:$KM122))/SUMIF($KD$3:$KM$3,KK$60,$KD$4:$KM$4)))</f>
        <v>0</v>
      </c>
      <c r="KL73" s="196" t="n">
        <f aca="false">IF((SUMIF($KD$3:$KM$3,KL$60,$KD$4:$KM$4))=0,0,((SUMIF($KD$3:$KM$3,KL$60,$KD122:$KM122))/SUMIF($KD$3:$KM$3,KL$60,$KD$4:$KM$4)))</f>
        <v>0</v>
      </c>
      <c r="KM73" s="197" t="n">
        <f aca="false">IF((SUMIF($KD$3:$KM$3,KM$60,$KD$4:$KM$4))=0,0,((SUMIF($KD$3:$KM$3,KM$60,$KD122:$KM122))/SUMIF($KD$3:$KM$3,KM$60,$KD$4:$KM$4)))</f>
        <v>0</v>
      </c>
      <c r="KN73" s="194" t="str">
        <f aca="false">KC73</f>
        <v>Alumno12</v>
      </c>
      <c r="KO73" s="195" t="n">
        <f aca="false">IF((SUMIF($KO$3:$KX$3,KO$60,$KO$4:$KX$4))=0,0,((SUMIF($KO$3:$KX$3,KO$60,$KO122:$KX122))/SUMIF($KO$3:$KX$3,KO$60,$KO$4:$KX$4)))</f>
        <v>0</v>
      </c>
      <c r="KP73" s="196" t="n">
        <f aca="false">IF((SUMIF($KO$3:$KX$3,KP$60,$KO$4:$KX$4))=0,0,((SUMIF($KO$3:$KX$3,KP$60,$KO122:$KX122))/SUMIF($KO$3:$KX$3,KP$60,$KO$4:$KX$4)))</f>
        <v>0</v>
      </c>
      <c r="KQ73" s="196" t="n">
        <f aca="false">IF((SUMIF($KO$3:$KX$3,KQ$60,$KO$4:$KX$4))=0,0,((SUMIF($KO$3:$KX$3,KQ$60,$KO122:$KX122))/SUMIF($KO$3:$KX$3,KQ$60,$KO$4:$KX$4)))</f>
        <v>0</v>
      </c>
      <c r="KR73" s="196" t="n">
        <f aca="false">IF((SUMIF($KO$3:$KX$3,KR$60,$KO$4:$KX$4))=0,0,((SUMIF($KO$3:$KX$3,KR$60,$KO122:$KX122))/SUMIF($KO$3:$KX$3,KR$60,$KO$4:$KX$4)))</f>
        <v>0</v>
      </c>
      <c r="KS73" s="196" t="n">
        <f aca="false">IF((SUMIF($KO$3:$KX$3,KS$60,$KO$4:$KX$4))=0,0,((SUMIF($KO$3:$KX$3,KS$60,$KO122:$KX122))/SUMIF($KO$3:$KX$3,KS$60,$KO$4:$KX$4)))</f>
        <v>0</v>
      </c>
      <c r="KT73" s="196" t="n">
        <f aca="false">IF((SUMIF($KO$3:$KX$3,KT$60,$KO$4:$KX$4))=0,0,((SUMIF($KO$3:$KX$3,KT$60,$KO122:$KX122))/SUMIF($KO$3:$KX$3,KT$60,$KO$4:$KX$4)))</f>
        <v>0</v>
      </c>
      <c r="KU73" s="196" t="n">
        <f aca="false">IF((SUMIF($KO$3:$KX$3,KU$60,$KO$4:$KX$4))=0,0,((SUMIF($KO$3:$KX$3,KU$60,$KO122:$KX122))/SUMIF($KO$3:$KX$3,KU$60,$KO$4:$KX$4)))</f>
        <v>0</v>
      </c>
      <c r="KV73" s="196" t="n">
        <f aca="false">IF((SUMIF($KO$3:$KX$3,KV$60,$KO$4:$KX$4))=0,0,((SUMIF($KO$3:$KX$3,KV$60,$KO122:$KX122))/SUMIF($KO$3:$KX$3,KV$60,$KO$4:$KX$4)))</f>
        <v>0</v>
      </c>
      <c r="KW73" s="196" t="n">
        <f aca="false">IF((SUMIF($KO$3:$KX$3,KW$60,$KO$4:$KX$4))=0,0,((SUMIF($KO$3:$KX$3,KW$60,$KO122:$KX122))/SUMIF($KO$3:$KX$3,KW$60,$KO$4:$KX$4)))</f>
        <v>0</v>
      </c>
      <c r="KX73" s="197" t="n">
        <f aca="false">IF((SUMIF($KO$3:$KX$3,KX$60,$KO$4:$KX$4))=0,0,((SUMIF($KO$3:$KX$3,KX$60,$KO122:$KX122))/SUMIF($KO$3:$KX$3,KX$60,$KO$4:$KX$4)))</f>
        <v>0</v>
      </c>
      <c r="KY73" s="194" t="str">
        <f aca="false">KN73</f>
        <v>Alumno12</v>
      </c>
      <c r="KZ73" s="195" t="n">
        <f aca="false">IF((SUMIF($KZ$3:$LI$3,KZ$60,$KZ$4:$LI$4))=0,0,((SUMIF($KZ$3:$LI$3,KZ$60,$KZ122:$LI122))/SUMIF($KZ$3:$LI$3,KZ$60,$KZ$4:$LI$4)))</f>
        <v>0</v>
      </c>
      <c r="LA73" s="196" t="n">
        <f aca="false">IF((SUMIF($KZ$3:$LI$3,LA$60,$KZ$4:$LI$4))=0,0,((SUMIF($KZ$3:$LI$3,LA$60,$KZ122:$LI122))/SUMIF($KZ$3:$LI$3,LA$60,$KZ$4:$LI$4)))</f>
        <v>0</v>
      </c>
      <c r="LB73" s="196" t="n">
        <f aca="false">IF((SUMIF($KZ$3:$LI$3,LB$60,$KZ$4:$LI$4))=0,0,((SUMIF($KZ$3:$LI$3,LB$60,$KZ122:$LI122))/SUMIF($KZ$3:$LI$3,LB$60,$KZ$4:$LI$4)))</f>
        <v>0</v>
      </c>
      <c r="LC73" s="196" t="n">
        <f aca="false">IF((SUMIF($KZ$3:$LI$3,LC$60,$KZ$4:$LI$4))=0,0,((SUMIF($KZ$3:$LI$3,LC$60,$KZ122:$LI122))/SUMIF($KZ$3:$LI$3,LC$60,$KZ$4:$LI$4)))</f>
        <v>0</v>
      </c>
      <c r="LD73" s="196" t="n">
        <f aca="false">IF((SUMIF($KZ$3:$LI$3,LD$60,$KZ$4:$LI$4))=0,0,((SUMIF($KZ$3:$LI$3,LD$60,$KZ122:$LI122))/SUMIF($KZ$3:$LI$3,LD$60,$KZ$4:$LI$4)))</f>
        <v>0</v>
      </c>
      <c r="LE73" s="196" t="n">
        <f aca="false">IF((SUMIF($KZ$3:$LI$3,LE$60,$KZ$4:$LI$4))=0,0,((SUMIF($KZ$3:$LI$3,LE$60,$KZ122:$LI122))/SUMIF($KZ$3:$LI$3,LE$60,$KZ$4:$LI$4)))</f>
        <v>0</v>
      </c>
      <c r="LF73" s="196" t="n">
        <f aca="false">IF((SUMIF($KZ$3:$LI$3,LF$60,$KZ$4:$LI$4))=0,0,((SUMIF($KZ$3:$LI$3,LF$60,$KZ122:$LI122))/SUMIF($KZ$3:$LI$3,LF$60,$KZ$4:$LI$4)))</f>
        <v>0</v>
      </c>
      <c r="LG73" s="196" t="n">
        <f aca="false">IF((SUMIF($KZ$3:$LI$3,LG$60,$KZ$4:$LI$4))=0,0,((SUMIF($KZ$3:$LI$3,LG$60,$KZ122:$LI122))/SUMIF($KZ$3:$LI$3,LG$60,$KZ$4:$LI$4)))</f>
        <v>0</v>
      </c>
      <c r="LH73" s="196" t="n">
        <f aca="false">IF((SUMIF($KZ$3:$LI$3,LH$60,$KZ$4:$LI$4))=0,0,((SUMIF($KZ$3:$LI$3,LH$60,$KZ122:$LI122))/SUMIF($KZ$3:$LI$3,LH$60,$KZ$4:$LI$4)))</f>
        <v>0</v>
      </c>
      <c r="LI73" s="197" t="n">
        <f aca="false">IF((SUMIF($KZ$3:$LI$3,LI$60,$KZ$4:$LI$4))=0,0,((SUMIF($KZ$3:$LI$3,LI$60,$KZ122:$LI122))/SUMIF($KZ$3:$LI$3,LI$60,$KZ$4:$LI$4)))</f>
        <v>0</v>
      </c>
      <c r="LJ73" s="194" t="str">
        <f aca="false">KY73</f>
        <v>Alumno12</v>
      </c>
      <c r="LK73" s="195" t="n">
        <f aca="false">IF((SUMIF($LK$3:$LT$3,LK$60,$LK$4:$LT$4))=0,0,((SUMIF($LK$3:$LT$3,LK$60,$LK122:$LT122))/SUMIF($LK$3:$LT$3,LK$60,$LK$4:$LT$4)))</f>
        <v>0</v>
      </c>
      <c r="LL73" s="196" t="n">
        <f aca="false">IF((SUMIF($LK$3:$LT$3,LL$60,$LK$4:$LT$4))=0,0,((SUMIF($LK$3:$LT$3,LL$60,$LK122:$LT122))/SUMIF($LK$3:$LT$3,LL$60,$LK$4:$LT$4)))</f>
        <v>0</v>
      </c>
      <c r="LM73" s="196" t="n">
        <f aca="false">IF((SUMIF($LK$3:$LT$3,LM$60,$LK$4:$LT$4))=0,0,((SUMIF($LK$3:$LT$3,LM$60,$LK122:$LT122))/SUMIF($LK$3:$LT$3,LM$60,$LK$4:$LT$4)))</f>
        <v>0</v>
      </c>
      <c r="LN73" s="196" t="n">
        <f aca="false">IF((SUMIF($LK$3:$LT$3,LN$60,$LK$4:$LT$4))=0,0,((SUMIF($LK$3:$LT$3,LN$60,$LK122:$LT122))/SUMIF($LK$3:$LT$3,LN$60,$LK$4:$LT$4)))</f>
        <v>0</v>
      </c>
      <c r="LO73" s="196" t="n">
        <f aca="false">IF((SUMIF($LK$3:$LT$3,LO$60,$LK$4:$LT$4))=0,0,((SUMIF($LK$3:$LT$3,LO$60,$LK122:$LT122))/SUMIF($LK$3:$LT$3,LO$60,$LK$4:$LT$4)))</f>
        <v>0</v>
      </c>
      <c r="LP73" s="196" t="n">
        <f aca="false">IF((SUMIF($LK$3:$LT$3,LP$60,$LK$4:$LT$4))=0,0,((SUMIF($LK$3:$LT$3,LP$60,$LK122:$LT122))/SUMIF($LK$3:$LT$3,LP$60,$LK$4:$LT$4)))</f>
        <v>0</v>
      </c>
      <c r="LQ73" s="196" t="n">
        <f aca="false">IF((SUMIF($LK$3:$LT$3,LQ$60,$LK$4:$LT$4))=0,0,((SUMIF($LK$3:$LT$3,LQ$60,$LK122:$LT122))/SUMIF($LK$3:$LT$3,LQ$60,$LK$4:$LT$4)))</f>
        <v>0</v>
      </c>
      <c r="LR73" s="196" t="n">
        <f aca="false">IF((SUMIF($LK$3:$LT$3,LR$60,$LK$4:$LT$4))=0,0,((SUMIF($LK$3:$LT$3,LR$60,$LK122:$LT122))/SUMIF($LK$3:$LT$3,LR$60,$LK$4:$LT$4)))</f>
        <v>0</v>
      </c>
      <c r="LS73" s="196" t="n">
        <f aca="false">IF((SUMIF($LK$3:$LT$3,LS$60,$LK$4:$LT$4))=0,0,((SUMIF($LK$3:$LT$3,LS$60,$LK122:$LT122))/SUMIF($LK$3:$LT$3,LS$60,$LK$4:$LT$4)))</f>
        <v>0</v>
      </c>
      <c r="LT73" s="197" t="n">
        <f aca="false">IF((SUMIF($LK$3:$LT$3,LT$60,$LK$4:$LT$4))=0,0,((SUMIF($LK$3:$LT$3,LT$60,$LK122:$LT122))/SUMIF($LK$3:$LT$3,LT$60,$LK$4:$LT$4)))</f>
        <v>0</v>
      </c>
    </row>
    <row r="74" customFormat="false" ht="15" hidden="true" customHeight="false" outlineLevel="0" collapsed="false">
      <c r="C74" s="194" t="str">
        <f aca="false">B18</f>
        <v>Alumno13</v>
      </c>
      <c r="D74" s="195" t="n">
        <f aca="false">IF((SUMIF($D$3:$M$3,D$60,$D$4:$M$4))=0,0,((SUMIF($D$3:$M$3,D$60,$D123:$M123))/SUMIF($D$3:$M$3,D$60,$D$4:$M$4)))</f>
        <v>5.3</v>
      </c>
      <c r="E74" s="196" t="n">
        <f aca="false">IF((SUMIF($D$3:$M$3,E$60,$D$4:$M$4))=0,0,((SUMIF($D$3:$M$3,E$60,$D123:$M123))/SUMIF($D$3:$M$3,E$60,$D$4:$M$4)))</f>
        <v>0</v>
      </c>
      <c r="F74" s="196" t="n">
        <f aca="false">IF((SUMIF($D$3:$M$3,F$60,$D$4:$M$4))=0,0,((SUMIF($D$3:$M$3,F$60,$D123:$M123))/SUMIF($D$3:$M$3,F$60,$D$4:$M$4)))</f>
        <v>0</v>
      </c>
      <c r="G74" s="196" t="n">
        <f aca="false">IF((SUMIF($D$3:$M$3,G$60,$D$4:$M$4))=0,0,((SUMIF($D$3:$M$3,G$60,$D123:$M123))/SUMIF($D$3:$M$3,G$60,$D$4:$M$4)))</f>
        <v>0</v>
      </c>
      <c r="H74" s="196" t="n">
        <f aca="false">IF((SUMIF($D$3:$M$3,H$60,$D$4:$M$4))=0,0,((SUMIF($D$3:$M$3,H$60,$D123:$M123))/SUMIF($D$3:$M$3,H$60,$D$4:$M$4)))</f>
        <v>0</v>
      </c>
      <c r="I74" s="196" t="n">
        <f aca="false">IF((SUMIF($D$3:$M$3,I$60,$D$4:$M$4))=0,0,((SUMIF($D$3:$M$3,I$60,$D123:$M123))/SUMIF($D$3:$M$3,I$60,$D$4:$M$4)))</f>
        <v>0</v>
      </c>
      <c r="J74" s="196" t="n">
        <f aca="false">IF((SUMIF($D$3:$M$3,J$60,$D$4:$M$4))=0,0,((SUMIF($D$3:$M$3,J$60,$D123:$M123))/SUMIF($D$3:$M$3,J$60,$D$4:$M$4)))</f>
        <v>0</v>
      </c>
      <c r="K74" s="196" t="n">
        <f aca="false">IF((SUMIF($D$3:$M$3,K$60,$D$4:$M$4))=0,0,((SUMIF($D$3:$M$3,K$60,$D123:$M123))/SUMIF($D$3:$M$3,K$60,$D$4:$M$4)))</f>
        <v>0</v>
      </c>
      <c r="L74" s="196" t="n">
        <f aca="false">IF((SUMIF($D$3:$M$3,L$60,$D$4:$M$4))=0,0,((SUMIF($D$3:$M$3,L$60,$D123:$M123))/SUMIF($D$3:$M$3,L$60,$D$4:$M$4)))</f>
        <v>0</v>
      </c>
      <c r="M74" s="197" t="n">
        <f aca="false">IF((SUMIF($D$3:$M$3,M$60,$D$4:$M$4))=0,0,((SUMIF($D$3:$M$3,M$60,$D123:$M123))/SUMIF($D$3:$M$3,M$60,$D$4:$M$4)))</f>
        <v>0</v>
      </c>
      <c r="N74" s="194" t="str">
        <f aca="false">C74</f>
        <v>Alumno13</v>
      </c>
      <c r="O74" s="195" t="n">
        <f aca="false">IF((SUMIF($O$3:$X$3,O$60,$O$4:$X$4))=0,0,((SUMIF($O$3:$X$3,O$60,$O123:$X123))/SUMIF($O$3:$X$3,O$60,$O$4:$X$4)))</f>
        <v>5.5</v>
      </c>
      <c r="P74" s="196" t="n">
        <f aca="false">IF((SUMIF($O$3:$X$3,P$60,$O$4:$X$4))=0,0,((SUMIF($O$3:$X$3,P$60,$O123:$X123))/SUMIF($O$3:$X$3,P$60,$O$4:$X$4)))</f>
        <v>4</v>
      </c>
      <c r="Q74" s="196" t="n">
        <f aca="false">IF((SUMIF($O$3:$X$3,Q$60,$O$4:$X$4))=0,0,((SUMIF($O$3:$X$3,Q$60,$O123:$X123))/SUMIF($O$3:$X$3,Q$60,$O$4:$X$4)))</f>
        <v>0</v>
      </c>
      <c r="R74" s="196" t="n">
        <f aca="false">IF((SUMIF($O$3:$X$3,R$60,$O$4:$X$4))=0,0,((SUMIF($O$3:$X$3,R$60,$O123:$X123))/SUMIF($O$3:$X$3,R$60,$O$4:$X$4)))</f>
        <v>0</v>
      </c>
      <c r="S74" s="196" t="n">
        <f aca="false">IF((SUMIF($O$3:$X$3,S$60,$O$4:$X$4))=0,0,((SUMIF($O$3:$X$3,S$60,$O123:$X123))/SUMIF($O$3:$X$3,S$60,$O$4:$X$4)))</f>
        <v>0</v>
      </c>
      <c r="T74" s="196" t="n">
        <f aca="false">IF((SUMIF($O$3:$X$3,T$60,$O$4:$X$4))=0,0,((SUMIF($O$3:$X$3,T$60,$O123:$X123))/SUMIF($O$3:$X$3,T$60,$O$4:$X$4)))</f>
        <v>0</v>
      </c>
      <c r="U74" s="196" t="n">
        <f aca="false">IF((SUMIF($O$3:$X$3,U$60,$O$4:$X$4))=0,0,((SUMIF($O$3:$X$3,U$60,$O123:$X123))/SUMIF($O$3:$X$3,U$60,$O$4:$X$4)))</f>
        <v>0</v>
      </c>
      <c r="V74" s="196" t="n">
        <f aca="false">IF((SUMIF($O$3:$X$3,V$60,$O$4:$X$4))=0,0,((SUMIF($O$3:$X$3,V$60,$O123:$X123))/SUMIF($O$3:$X$3,V$60,$O$4:$X$4)))</f>
        <v>0</v>
      </c>
      <c r="W74" s="196" t="n">
        <f aca="false">IF((SUMIF($O$3:$X$3,W$60,$O$4:$X$4))=0,0,((SUMIF($O$3:$X$3,W$60,$O123:$X123))/SUMIF($O$3:$X$3,W$60,$O$4:$X$4)))</f>
        <v>0</v>
      </c>
      <c r="X74" s="197" t="n">
        <f aca="false">IF((SUMIF($O$3:$X$3,X$60,$O$4:$X$4))=0,0,((SUMIF($O$3:$X$3,X$60,$O123:$X123))/SUMIF($O$3:$X$3,X$60,$O$4:$X$4)))</f>
        <v>0</v>
      </c>
      <c r="Y74" s="194" t="str">
        <f aca="false">N74</f>
        <v>Alumno13</v>
      </c>
      <c r="Z74" s="195" t="n">
        <f aca="false">IF((SUMIF($Z$3:$AI$3,Z$60,$Z$4:$AI$4))=0,0,((SUMIF($Z$3:$AI$3,Z$60,$Z123:$AI123))/SUMIF($Z$3:$AI$3,Z$60,$Z$4:$AI$4)))</f>
        <v>5.5</v>
      </c>
      <c r="AA74" s="196" t="n">
        <f aca="false">IF((SUMIF($Z$3:$AI$3,AA$60,$Z$4:$AI$4))=0,0,((SUMIF($Z$3:$AI$3,AA$60,$Z123:$AI123))/SUMIF($Z$3:$AI$3,AA$60,$Z$4:$AI$4)))</f>
        <v>3.5</v>
      </c>
      <c r="AB74" s="196" t="n">
        <f aca="false">IF((SUMIF($Z$3:$AI$3,AB$60,$Z$4:$AI$4))=0,0,((SUMIF($Z$3:$AI$3,AB$60,$Z123:$AI123))/SUMIF($Z$3:$AI$3,AB$60,$Z$4:$AI$4)))</f>
        <v>5</v>
      </c>
      <c r="AC74" s="196" t="n">
        <f aca="false">IF((SUMIF($Z$3:$AI$3,AC$60,$Z$4:$AI$4))=0,0,((SUMIF($Z$3:$AI$3,AC$60,$Z123:$AI123))/SUMIF($Z$3:$AI$3,AC$60,$Z$4:$AI$4)))</f>
        <v>0</v>
      </c>
      <c r="AD74" s="196" t="n">
        <f aca="false">IF((SUMIF($Z$3:$AI$3,AD$60,$Z$4:$AI$4))=0,0,((SUMIF($Z$3:$AI$3,AD$60,$Z123:$AI123))/SUMIF($Z$3:$AI$3,AD$60,$Z$4:$AI$4)))</f>
        <v>0</v>
      </c>
      <c r="AE74" s="196" t="n">
        <f aca="false">IF((SUMIF($Z$3:$AI$3,AE$60,$Z$4:$AI$4))=0,0,((SUMIF($Z$3:$AI$3,AE$60,$Z123:$AI123))/SUMIF($Z$3:$AI$3,AE$60,$Z$4:$AI$4)))</f>
        <v>0</v>
      </c>
      <c r="AF74" s="196" t="n">
        <f aca="false">IF((SUMIF($Z$3:$AI$3,AF$60,$Z$4:$AI$4))=0,0,((SUMIF($Z$3:$AI$3,AF$60,$Z123:$AI123))/SUMIF($Z$3:$AI$3,AF$60,$Z$4:$AI$4)))</f>
        <v>0</v>
      </c>
      <c r="AG74" s="196" t="n">
        <f aca="false">IF((SUMIF($Z$3:$AI$3,AG$60,$Z$4:$AI$4))=0,0,((SUMIF($Z$3:$AI$3,AG$60,$Z123:$AI123))/SUMIF($Z$3:$AI$3,AG$60,$Z$4:$AI$4)))</f>
        <v>0</v>
      </c>
      <c r="AH74" s="196" t="n">
        <f aca="false">IF((SUMIF($Z$3:$AI$3,AH$60,$Z$4:$AI$4))=0,0,((SUMIF($Z$3:$AI$3,AH$60,$Z123:$AI123))/SUMIF($Z$3:$AI$3,AH$60,$Z$4:$AI$4)))</f>
        <v>0</v>
      </c>
      <c r="AI74" s="197" t="n">
        <f aca="false">IF((SUMIF($Z$3:$AI$3,AI$60,$Z$4:$AI$4))=0,0,((SUMIF($Z$3:$AI$3,AI$60,$Z123:$AI123))/SUMIF($Z$3:$AI$3,AI$60,$Z$4:$AI$4)))</f>
        <v>0</v>
      </c>
      <c r="AJ74" s="194" t="str">
        <f aca="false">Y74</f>
        <v>Alumno13</v>
      </c>
      <c r="AK74" s="195" t="n">
        <f aca="false">IF((SUMIF($AK$3:$AT$3,AK$60,$AK$4:$AT$4))=0,0,((SUMIF($AK$3:$AT$3,AK$60,$AK123:$AT123))/SUMIF($AK$3:$AT$3,AK$60,$AK$4:$AT$4)))</f>
        <v>5</v>
      </c>
      <c r="AL74" s="196" t="n">
        <f aca="false">IF((SUMIF($AK$3:$AT$3,AL$60,$AK$4:$AT$4))=0,0,((SUMIF($AK$3:$AT$3,AL$60,$AK123:$AT123))/SUMIF($AK$3:$AT$3,AL$60,$AK$4:$AT$4)))</f>
        <v>5.5</v>
      </c>
      <c r="AM74" s="196" t="n">
        <f aca="false">IF((SUMIF($AK$3:$AT$3,AM$60,$AK$4:$AT$4))=0,0,((SUMIF($AK$3:$AT$3,AM$60,$AK123:$AT123))/SUMIF($AK$3:$AT$3,AM$60,$AK$4:$AT$4)))</f>
        <v>3.5</v>
      </c>
      <c r="AN74" s="196" t="n">
        <f aca="false">IF((SUMIF($AK$3:$AT$3,AN$60,$AK$4:$AT$4))=0,0,((SUMIF($AK$3:$AT$3,AN$60,$AK123:$AT123))/SUMIF($AK$3:$AT$3,AN$60,$AK$4:$AT$4)))</f>
        <v>0</v>
      </c>
      <c r="AO74" s="196" t="n">
        <f aca="false">IF((SUMIF($AK$3:$AT$3,AO$60,$AK$4:$AT$4))=0,0,((SUMIF($AK$3:$AT$3,AO$60,$AK123:$AT123))/SUMIF($AK$3:$AT$3,AO$60,$AK$4:$AT$4)))</f>
        <v>0</v>
      </c>
      <c r="AP74" s="196" t="n">
        <f aca="false">IF((SUMIF($AK$3:$AT$3,AP$60,$AK$4:$AT$4))=0,0,((SUMIF($AK$3:$AT$3,AP$60,$AK123:$AT123))/SUMIF($AK$3:$AT$3,AP$60,$AK$4:$AT$4)))</f>
        <v>0</v>
      </c>
      <c r="AQ74" s="196" t="n">
        <f aca="false">IF((SUMIF($AK$3:$AT$3,AQ$60,$AK$4:$AT$4))=0,0,((SUMIF($AK$3:$AT$3,AQ$60,$AK123:$AT123))/SUMIF($AK$3:$AT$3,AQ$60,$AK$4:$AT$4)))</f>
        <v>0</v>
      </c>
      <c r="AR74" s="196" t="n">
        <f aca="false">IF((SUMIF($AK$3:$AT$3,AR$60,$AK$4:$AT$4))=0,0,((SUMIF($AK$3:$AT$3,AR$60,$AK123:$AT123))/SUMIF($AK$3:$AT$3,AR$60,$AK$4:$AT$4)))</f>
        <v>0</v>
      </c>
      <c r="AS74" s="196" t="n">
        <f aca="false">IF((SUMIF($AK$3:$AT$3,AS$60,$AK$4:$AT$4))=0,0,((SUMIF($AK$3:$AT$3,AS$60,$AK123:$AT123))/SUMIF($AK$3:$AT$3,AS$60,$AK$4:$AT$4)))</f>
        <v>0</v>
      </c>
      <c r="AT74" s="197" t="n">
        <f aca="false">IF((SUMIF($AK$3:$AT$3,AT$60,$AK$4:$AT$4))=0,0,((SUMIF($AK$3:$AT$3,AT$60,$AK123:$AT123))/SUMIF($AK$3:$AT$3,AT$60,$AK$4:$AT$4)))</f>
        <v>0</v>
      </c>
      <c r="AU74" s="194" t="str">
        <f aca="false">AJ74</f>
        <v>Alumno13</v>
      </c>
      <c r="AV74" s="195" t="n">
        <f aca="false">IF((SUMIF($AV$3:$BE$3,AV$60,$AV$4:$BE$4))=0,0,((SUMIF($AV$3:$BE$3,AV$60,$AV123:$BE123))/SUMIF($AV$3:$BE$3,AV$60,$AV$4:$BE$4)))</f>
        <v>6</v>
      </c>
      <c r="AW74" s="196" t="n">
        <f aca="false">IF((SUMIF($AV$3:$BE$3,AW$60,$AV$4:$BE$4))=0,0,((SUMIF($AV$3:$BE$3,AW$60,$AV123:$BE123))/SUMIF($AV$3:$BE$3,AW$60,$AV$4:$BE$4)))</f>
        <v>7</v>
      </c>
      <c r="AX74" s="196" t="n">
        <f aca="false">IF((SUMIF($AV$3:$BE$3,AX$60,$AV$4:$BE$4))=0,0,((SUMIF($AV$3:$BE$3,AX$60,$AV123:$BE123))/SUMIF($AV$3:$BE$3,AX$60,$AV$4:$BE$4)))</f>
        <v>4</v>
      </c>
      <c r="AY74" s="196" t="n">
        <f aca="false">IF((SUMIF($AV$3:$BE$3,AY$60,$AV$4:$BE$4))=0,0,((SUMIF($AV$3:$BE$3,AY$60,$AV123:$BE123))/SUMIF($AV$3:$BE$3,AY$60,$AV$4:$BE$4)))</f>
        <v>5</v>
      </c>
      <c r="AZ74" s="196" t="n">
        <f aca="false">IF((SUMIF($AV$3:$BE$3,AZ$60,$AV$4:$BE$4))=0,0,((SUMIF($AV$3:$BE$3,AZ$60,$AV123:$BE123))/SUMIF($AV$3:$BE$3,AZ$60,$AV$4:$BE$4)))</f>
        <v>0</v>
      </c>
      <c r="BA74" s="196" t="n">
        <f aca="false">IF((SUMIF($AV$3:$BE$3,BA$60,$AV$4:$BE$4))=0,0,((SUMIF($AV$3:$BE$3,BA$60,$AV123:$BE123))/SUMIF($AV$3:$BE$3,BA$60,$AV$4:$BE$4)))</f>
        <v>0</v>
      </c>
      <c r="BB74" s="196" t="n">
        <f aca="false">IF((SUMIF($AV$3:$BE$3,BB$60,$AV$4:$BE$4))=0,0,((SUMIF($AV$3:$BE$3,BB$60,$AV123:$BE123))/SUMIF($AV$3:$BE$3,BB$60,$AV$4:$BE$4)))</f>
        <v>0</v>
      </c>
      <c r="BC74" s="196" t="n">
        <f aca="false">IF((SUMIF($AV$3:$BE$3,BC$60,$AV$4:$BE$4))=0,0,((SUMIF($AV$3:$BE$3,BC$60,$AV123:$BE123))/SUMIF($AV$3:$BE$3,BC$60,$AV$4:$BE$4)))</f>
        <v>0</v>
      </c>
      <c r="BD74" s="196" t="n">
        <f aca="false">IF((SUMIF($AV$3:$BE$3,BD$60,$AV$4:$BE$4))=0,0,((SUMIF($AV$3:$BE$3,BD$60,$AV123:$BE123))/SUMIF($AV$3:$BE$3,BD$60,$AV$4:$BE$4)))</f>
        <v>0</v>
      </c>
      <c r="BE74" s="197" t="n">
        <f aca="false">IF((SUMIF($AV$3:$BE$3,BE$60,$AV$4:$BE$4))=0,0,((SUMIF($AV$3:$BE$3,BE$60,$AV123:$BE123))/SUMIF($AV$3:$BE$3,BE$60,$AV$4:$BE$4)))</f>
        <v>0</v>
      </c>
      <c r="BF74" s="194" t="str">
        <f aca="false">AU74</f>
        <v>Alumno13</v>
      </c>
      <c r="BG74" s="195" t="n">
        <f aca="false">IF((SUMIF($BG$3:$BP$3,BG$60,$BG$4:$BP$4))=0,0,((SUMIF($BG$3:$BP$3,BG$60,$BG123:$BP123))/SUMIF($BG$3:$BP$3,BG$60,$BG$4:$BP$4)))</f>
        <v>6</v>
      </c>
      <c r="BH74" s="196" t="n">
        <f aca="false">IF((SUMIF($BG$3:$BP$3,BH$60,$BG$4:$BP$4))=0,0,((SUMIF($BG$3:$BP$3,BH$60,$BG123:$BP123))/SUMIF($BG$3:$BP$3,BH$60,$BG$4:$BP$4)))</f>
        <v>7</v>
      </c>
      <c r="BI74" s="196" t="n">
        <f aca="false">IF((SUMIF($BG$3:$BP$3,BI$60,$BG$4:$BP$4))=0,0,((SUMIF($BG$3:$BP$3,BI$60,$BG123:$BP123))/SUMIF($BG$3:$BP$3,BI$60,$BG$4:$BP$4)))</f>
        <v>4</v>
      </c>
      <c r="BJ74" s="196" t="n">
        <f aca="false">IF((SUMIF($BG$3:$BP$3,BJ$60,$BG$4:$BP$4))=0,0,((SUMIF($BG$3:$BP$3,BJ$60,$BG123:$BP123))/SUMIF($BG$3:$BP$3,BJ$60,$BG$4:$BP$4)))</f>
        <v>4.6</v>
      </c>
      <c r="BK74" s="196" t="n">
        <f aca="false">IF((SUMIF($BG$3:$BP$3,BK$60,$BG$4:$BP$4))=0,0,((SUMIF($BG$3:$BP$3,BK$60,$BG123:$BP123))/SUMIF($BG$3:$BP$3,BK$60,$BG$4:$BP$4)))</f>
        <v>0</v>
      </c>
      <c r="BL74" s="196" t="n">
        <f aca="false">IF((SUMIF($BG$3:$BP$3,BL$60,$BG$4:$BP$4))=0,0,((SUMIF($BG$3:$BP$3,BL$60,$BG123:$BP123))/SUMIF($BG$3:$BP$3,BL$60,$BG$4:$BP$4)))</f>
        <v>0</v>
      </c>
      <c r="BM74" s="196" t="n">
        <f aca="false">IF((SUMIF($BG$3:$BP$3,BM$60,$BG$4:$BP$4))=0,0,((SUMIF($BG$3:$BP$3,BM$60,$BG123:$BP123))/SUMIF($BG$3:$BP$3,BM$60,$BG$4:$BP$4)))</f>
        <v>0</v>
      </c>
      <c r="BN74" s="196" t="n">
        <f aca="false">IF((SUMIF($BG$3:$BP$3,BN$60,$BG$4:$BP$4))=0,0,((SUMIF($BG$3:$BP$3,BN$60,$BG123:$BP123))/SUMIF($BG$3:$BP$3,BN$60,$BG$4:$BP$4)))</f>
        <v>0</v>
      </c>
      <c r="BO74" s="196" t="n">
        <f aca="false">IF((SUMIF($BG$3:$BP$3,BO$60,$BG$4:$BP$4))=0,0,((SUMIF($BG$3:$BP$3,BO$60,$BG123:$BP123))/SUMIF($BG$3:$BP$3,BO$60,$BG$4:$BP$4)))</f>
        <v>0</v>
      </c>
      <c r="BP74" s="197" t="n">
        <f aca="false">IF((SUMIF($BG$3:$BP$3,BP$60,$BG$4:$BP$4))=0,0,((SUMIF($BG$3:$BP$3,BP$60,$BG123:$BP123))/SUMIF($BG$3:$BP$3,BP$60,$BG$4:$BP$4)))</f>
        <v>0</v>
      </c>
      <c r="BQ74" s="194" t="str">
        <f aca="false">BF74</f>
        <v>Alumno13</v>
      </c>
      <c r="BR74" s="195" t="n">
        <f aca="false">IF((SUMIF($BR$3:$CA$3,BR$60,$BR$4:$CA$4))=0,0,((SUMIF($BR$3:$CA$3,BR$60,$BR123:$CA123))/SUMIF($BR$3:$CA$3,BR$60,$BR$4:$CA$4)))</f>
        <v>0</v>
      </c>
      <c r="BS74" s="196" t="n">
        <f aca="false">IF((SUMIF($BR$3:$CA$3,BS$60,$BR$4:$CA$4))=0,0,((SUMIF($BR$3:$CA$3,BS$60,$BR123:$CA123))/SUMIF($BR$3:$CA$3,BS$60,$BR$4:$CA$4)))</f>
        <v>10</v>
      </c>
      <c r="BT74" s="196" t="n">
        <f aca="false">IF((SUMIF($BR$3:$CA$3,BT$60,$BR$4:$CA$4))=0,0,((SUMIF($BR$3:$CA$3,BT$60,$BR123:$CA123))/SUMIF($BR$3:$CA$3,BT$60,$BR$4:$CA$4)))</f>
        <v>9.66666666666666</v>
      </c>
      <c r="BU74" s="196" t="n">
        <f aca="false">IF((SUMIF($BR$3:$CA$3,BU$60,$BR$4:$CA$4))=0,0,((SUMIF($BR$3:$CA$3,BU$60,$BR123:$CA123))/SUMIF($BR$3:$CA$3,BU$60,$BR$4:$CA$4)))</f>
        <v>9.6</v>
      </c>
      <c r="BV74" s="196" t="n">
        <f aca="false">IF((SUMIF($BR$3:$CA$3,BV$60,$BR$4:$CA$4))=0,0,((SUMIF($BR$3:$CA$3,BV$60,$BR123:$CA123))/SUMIF($BR$3:$CA$3,BV$60,$BR$4:$CA$4)))</f>
        <v>0</v>
      </c>
      <c r="BW74" s="196" t="n">
        <f aca="false">IF((SUMIF($BR$3:$CA$3,BW$60,$BR$4:$CA$4))=0,0,((SUMIF($BR$3:$CA$3,BW$60,$BR123:$CA123))/SUMIF($BR$3:$CA$3,BW$60,$BR$4:$CA$4)))</f>
        <v>0</v>
      </c>
      <c r="BX74" s="196" t="n">
        <f aca="false">IF((SUMIF($BR$3:$CA$3,BX$60,$BR$4:$CA$4))=0,0,((SUMIF($BR$3:$CA$3,BX$60,$BR123:$CA123))/SUMIF($BR$3:$CA$3,BX$60,$BR$4:$CA$4)))</f>
        <v>0</v>
      </c>
      <c r="BY74" s="196" t="n">
        <f aca="false">IF((SUMIF($BR$3:$CA$3,BY$60,$BR$4:$CA$4))=0,0,((SUMIF($BR$3:$CA$3,BY$60,$BR123:$CA123))/SUMIF($BR$3:$CA$3,BY$60,$BR$4:$CA$4)))</f>
        <v>0</v>
      </c>
      <c r="BZ74" s="196" t="n">
        <f aca="false">IF((SUMIF($BR$3:$CA$3,BZ$60,$BR$4:$CA$4))=0,0,((SUMIF($BR$3:$CA$3,BZ$60,$BR123:$CA123))/SUMIF($BR$3:$CA$3,BZ$60,$BR$4:$CA$4)))</f>
        <v>0</v>
      </c>
      <c r="CA74" s="197" t="n">
        <f aca="false">IF((SUMIF($BR$3:$CA$3,CA$60,$BR$4:$CA$4))=0,0,((SUMIF($BR$3:$CA$3,CA$60,$BR123:$CA123))/SUMIF($BR$3:$CA$3,CA$60,$BR$4:$CA$4)))</f>
        <v>0</v>
      </c>
      <c r="CB74" s="194" t="str">
        <f aca="false">BQ74</f>
        <v>Alumno13</v>
      </c>
      <c r="CC74" s="195" t="n">
        <f aca="false">IF((SUMIF($CC$3:$CL$3,CC$60,$CC$4:$CL$4))=0,0,((SUMIF($CC$3:$CL$3,CC$60,$CC123:$CL123))/SUMIF($CC$3:$CL$3,CC$60,$CC$4:$CL$4)))</f>
        <v>0</v>
      </c>
      <c r="CD74" s="196" t="n">
        <f aca="false">IF((SUMIF($CC$3:$CL$3,CD$60,$CC$4:$CL$4))=0,0,((SUMIF($CC$3:$CL$3,CD$60,$CC123:$CL123))/SUMIF($CC$3:$CL$3,CD$60,$CC$4:$CL$4)))</f>
        <v>0</v>
      </c>
      <c r="CE74" s="196" t="n">
        <f aca="false">IF((SUMIF($CC$3:$CL$3,CE$60,$CC$4:$CL$4))=0,0,((SUMIF($CC$3:$CL$3,CE$60,$CC123:$CL123))/SUMIF($CC$3:$CL$3,CE$60,$CC$4:$CL$4)))</f>
        <v>0</v>
      </c>
      <c r="CF74" s="196" t="n">
        <f aca="false">IF((SUMIF($CC$3:$CL$3,CF$60,$CC$4:$CL$4))=0,0,((SUMIF($CC$3:$CL$3,CF$60,$CC123:$CL123))/SUMIF($CC$3:$CL$3,CF$60,$CC$4:$CL$4)))</f>
        <v>0</v>
      </c>
      <c r="CG74" s="196" t="n">
        <f aca="false">IF((SUMIF($CC$3:$CL$3,CG$60,$CC$4:$CL$4))=0,0,((SUMIF($CC$3:$CL$3,CG$60,$CC123:$CL123))/SUMIF($CC$3:$CL$3,CG$60,$CC$4:$CL$4)))</f>
        <v>0</v>
      </c>
      <c r="CH74" s="196" t="n">
        <f aca="false">IF((SUMIF($CC$3:$CL$3,CH$60,$CC$4:$CL$4))=0,0,((SUMIF($CC$3:$CL$3,CH$60,$CC123:$CL123))/SUMIF($CC$3:$CL$3,CH$60,$CC$4:$CL$4)))</f>
        <v>0</v>
      </c>
      <c r="CI74" s="196" t="n">
        <f aca="false">IF((SUMIF($CC$3:$CL$3,CI$60,$CC$4:$CL$4))=0,0,((SUMIF($CC$3:$CL$3,CI$60,$CC123:$CL123))/SUMIF($CC$3:$CL$3,CI$60,$CC$4:$CL$4)))</f>
        <v>0</v>
      </c>
      <c r="CJ74" s="196" t="n">
        <f aca="false">IF((SUMIF($CC$3:$CL$3,CJ$60,$CC$4:$CL$4))=0,0,((SUMIF($CC$3:$CL$3,CJ$60,$CC123:$CL123))/SUMIF($CC$3:$CL$3,CJ$60,$CC$4:$CL$4)))</f>
        <v>0</v>
      </c>
      <c r="CK74" s="196" t="n">
        <f aca="false">IF((SUMIF($CC$3:$CL$3,CK$60,$CC$4:$CL$4))=0,0,((SUMIF($CC$3:$CL$3,CK$60,$CC123:$CL123))/SUMIF($CC$3:$CL$3,CK$60,$CC$4:$CL$4)))</f>
        <v>0</v>
      </c>
      <c r="CL74" s="197" t="n">
        <f aca="false">IF((SUMIF($CC$3:$CL$3,CL$60,$CC$4:$CL$4))=0,0,((SUMIF($CC$3:$CL$3,CL$60,$CC123:$CL123))/SUMIF($CC$3:$CL$3,CL$60,$CC$4:$CL$4)))</f>
        <v>0</v>
      </c>
      <c r="CM74" s="194" t="str">
        <f aca="false">CB74</f>
        <v>Alumno13</v>
      </c>
      <c r="CN74" s="195" t="n">
        <f aca="false">IF((SUMIF($CN$3:$CW$3,CN$60,$CN$4:$CW$4))=0,0,((SUMIF($CN$3:$CW$3,CN$60,$CN123:$CW123))/SUMIF($CN$3:$CW$3,CN$60,$CN$4:$CW$4)))</f>
        <v>0</v>
      </c>
      <c r="CO74" s="196" t="n">
        <f aca="false">IF((SUMIF($CN$3:$CW$3,CO$60,$CN$4:$CW$4))=0,0,((SUMIF($CN$3:$CW$3,CO$60,$CN123:$CW123))/SUMIF($CN$3:$CW$3,CO$60,$CN$4:$CW$4)))</f>
        <v>0</v>
      </c>
      <c r="CP74" s="196" t="n">
        <f aca="false">IF((SUMIF($CN$3:$CW$3,CP$60,$CN$4:$CW$4))=0,0,((SUMIF($CN$3:$CW$3,CP$60,$CN123:$CW123))/SUMIF($CN$3:$CW$3,CP$60,$CN$4:$CW$4)))</f>
        <v>0</v>
      </c>
      <c r="CQ74" s="196" t="n">
        <f aca="false">IF((SUMIF($CN$3:$CW$3,CQ$60,$CN$4:$CW$4))=0,0,((SUMIF($CN$3:$CW$3,CQ$60,$CN123:$CW123))/SUMIF($CN$3:$CW$3,CQ$60,$CN$4:$CW$4)))</f>
        <v>0</v>
      </c>
      <c r="CR74" s="196" t="n">
        <f aca="false">IF((SUMIF($CN$3:$CW$3,CR$60,$CN$4:$CW$4))=0,0,((SUMIF($CN$3:$CW$3,CR$60,$CN123:$CW123))/SUMIF($CN$3:$CW$3,CR$60,$CN$4:$CW$4)))</f>
        <v>0</v>
      </c>
      <c r="CS74" s="196" t="n">
        <f aca="false">IF((SUMIF($CN$3:$CW$3,CS$60,$CN$4:$CW$4))=0,0,((SUMIF($CN$3:$CW$3,CS$60,$CN123:$CW123))/SUMIF($CN$3:$CW$3,CS$60,$CN$4:$CW$4)))</f>
        <v>0</v>
      </c>
      <c r="CT74" s="196" t="n">
        <f aca="false">IF((SUMIF($CN$3:$CW$3,CT$60,$CN$4:$CW$4))=0,0,((SUMIF($CN$3:$CW$3,CT$60,$CN123:$CW123))/SUMIF($CN$3:$CW$3,CT$60,$CN$4:$CW$4)))</f>
        <v>0</v>
      </c>
      <c r="CU74" s="196" t="n">
        <f aca="false">IF((SUMIF($CN$3:$CW$3,CU$60,$CN$4:$CW$4))=0,0,((SUMIF($CN$3:$CW$3,CU$60,$CN123:$CW123))/SUMIF($CN$3:$CW$3,CU$60,$CN$4:$CW$4)))</f>
        <v>0</v>
      </c>
      <c r="CV74" s="196" t="n">
        <f aca="false">IF((SUMIF($CN$3:$CW$3,CV$60,$CN$4:$CW$4))=0,0,((SUMIF($CN$3:$CW$3,CV$60,$CN123:$CW123))/SUMIF($CN$3:$CW$3,CV$60,$CN$4:$CW$4)))</f>
        <v>0</v>
      </c>
      <c r="CW74" s="197" t="n">
        <f aca="false">IF((SUMIF($CN$3:$CW$3,CW$60,$CN$4:$CW$4))=0,0,((SUMIF($CN$3:$CW$3,CW$60,$CN123:$CW123))/SUMIF($CN$3:$CW$3,CW$60,$CN$4:$CW$4)))</f>
        <v>0</v>
      </c>
      <c r="CX74" s="194" t="str">
        <f aca="false">CM74</f>
        <v>Alumno13</v>
      </c>
      <c r="CY74" s="195" t="n">
        <f aca="false">IF((SUMIF($CY$3:$DH$3,CY$60,$CY$4:$DH$4))=0,0,((SUMIF($CY$3:$DH$3,CY$60,$CY123:$DH123))/SUMIF($CY$3:$DH$3,CY$60,$CY$4:$DH$4)))</f>
        <v>0</v>
      </c>
      <c r="CZ74" s="196" t="n">
        <f aca="false">IF((SUMIF($CY$3:$DH$3,CZ$60,$CY$4:$DH$4))=0,0,((SUMIF($CY$3:$DH$3,CZ$60,$CY123:$DH123))/SUMIF($CY$3:$DH$3,CZ$60,$CY$4:$DH$4)))</f>
        <v>0</v>
      </c>
      <c r="DA74" s="196" t="n">
        <f aca="false">IF((SUMIF($CY$3:$DH$3,DA$60,$CY$4:$DH$4))=0,0,((SUMIF($CY$3:$DH$3,DA$60,$CY123:$DH123))/SUMIF($CY$3:$DH$3,DA$60,$CY$4:$DH$4)))</f>
        <v>0</v>
      </c>
      <c r="DB74" s="196" t="n">
        <f aca="false">IF((SUMIF($CY$3:$DH$3,DB$60,$CY$4:$DH$4))=0,0,((SUMIF($CY$3:$DH$3,DB$60,$CY123:$DH123))/SUMIF($CY$3:$DH$3,DB$60,$CY$4:$DH$4)))</f>
        <v>0</v>
      </c>
      <c r="DC74" s="196" t="n">
        <f aca="false">IF((SUMIF($CY$3:$DH$3,DC$60,$CY$4:$DH$4))=0,0,((SUMIF($CY$3:$DH$3,DC$60,$CY123:$DH123))/SUMIF($CY$3:$DH$3,DC$60,$CY$4:$DH$4)))</f>
        <v>0</v>
      </c>
      <c r="DD74" s="196" t="n">
        <f aca="false">IF((SUMIF($CY$3:$DH$3,DD$60,$CY$4:$DH$4))=0,0,((SUMIF($CY$3:$DH$3,DD$60,$CY123:$DH123))/SUMIF($CY$3:$DH$3,DD$60,$CY$4:$DH$4)))</f>
        <v>0</v>
      </c>
      <c r="DE74" s="196" t="n">
        <f aca="false">IF((SUMIF($CY$3:$DH$3,DE$60,$CY$4:$DH$4))=0,0,((SUMIF($CY$3:$DH$3,DE$60,$CY123:$DH123))/SUMIF($CY$3:$DH$3,DE$60,$CY$4:$DH$4)))</f>
        <v>0</v>
      </c>
      <c r="DF74" s="196" t="n">
        <f aca="false">IF((SUMIF($CY$3:$DH$3,DF$60,$CY$4:$DH$4))=0,0,((SUMIF($CY$3:$DH$3,DF$60,$CY123:$DH123))/SUMIF($CY$3:$DH$3,DF$60,$CY$4:$DH$4)))</f>
        <v>0</v>
      </c>
      <c r="DG74" s="196" t="n">
        <f aca="false">IF((SUMIF($CY$3:$DH$3,DG$60,$CY$4:$DH$4))=0,0,((SUMIF($CY$3:$DH$3,DG$60,$CY123:$DH123))/SUMIF($CY$3:$DH$3,DG$60,$CY$4:$DH$4)))</f>
        <v>0</v>
      </c>
      <c r="DH74" s="197" t="n">
        <f aca="false">IF((SUMIF($CY$3:$DH$3,DH$60,$CY$4:$DH$4))=0,0,((SUMIF($CY$3:$DH$3,DH$60,$CY123:$DH123))/SUMIF($CY$3:$DH$3,DH$60,$CY$4:$DH$4)))</f>
        <v>0</v>
      </c>
      <c r="DI74" s="194" t="str">
        <f aca="false">CX74</f>
        <v>Alumno13</v>
      </c>
      <c r="DJ74" s="195" t="n">
        <f aca="false">IF((SUMIF($DJ$3:$DS$3,DJ$60,$DJ$4:$DS$4))=0,0,((SUMIF($DJ$3:$DS$3,DJ$60,$DJ123:$DS123))/SUMIF($DJ$3:$DS$3,DJ$60,$DJ$4:$DS$4)))</f>
        <v>0</v>
      </c>
      <c r="DK74" s="196" t="n">
        <f aca="false">IF((SUMIF($DJ$3:$DS$3,DK$60,$DJ$4:$DS$4))=0,0,((SUMIF($DJ$3:$DS$3,DK$60,$DJ123:$DS123))/SUMIF($DJ$3:$DS$3,DK$60,$DJ$4:$DS$4)))</f>
        <v>0</v>
      </c>
      <c r="DL74" s="196" t="n">
        <f aca="false">IF((SUMIF($DJ$3:$DS$3,DL$60,$DJ$4:$DS$4))=0,0,((SUMIF($DJ$3:$DS$3,DL$60,$DJ123:$DS123))/SUMIF($DJ$3:$DS$3,DL$60,$DJ$4:$DS$4)))</f>
        <v>0</v>
      </c>
      <c r="DM74" s="196" t="n">
        <f aca="false">IF((SUMIF($DJ$3:$DS$3,DM$60,$DJ$4:$DS$4))=0,0,((SUMIF($DJ$3:$DS$3,DM$60,$DJ123:$DS123))/SUMIF($DJ$3:$DS$3,DM$60,$DJ$4:$DS$4)))</f>
        <v>0</v>
      </c>
      <c r="DN74" s="196" t="n">
        <f aca="false">IF((SUMIF($DJ$3:$DS$3,DN$60,$DJ$4:$DS$4))=0,0,((SUMIF($DJ$3:$DS$3,DN$60,$DJ123:$DS123))/SUMIF($DJ$3:$DS$3,DN$60,$DJ$4:$DS$4)))</f>
        <v>0</v>
      </c>
      <c r="DO74" s="196" t="n">
        <f aca="false">IF((SUMIF($DJ$3:$DS$3,DO$60,$DJ$4:$DS$4))=0,0,((SUMIF($DJ$3:$DS$3,DO$60,$DJ123:$DS123))/SUMIF($DJ$3:$DS$3,DO$60,$DJ$4:$DS$4)))</f>
        <v>0</v>
      </c>
      <c r="DP74" s="196" t="n">
        <f aca="false">IF((SUMIF($DJ$3:$DS$3,DP$60,$DJ$4:$DS$4))=0,0,((SUMIF($DJ$3:$DS$3,DP$60,$DJ123:$DS123))/SUMIF($DJ$3:$DS$3,DP$60,$DJ$4:$DS$4)))</f>
        <v>0</v>
      </c>
      <c r="DQ74" s="196" t="n">
        <f aca="false">IF((SUMIF($DJ$3:$DS$3,DQ$60,$DJ$4:$DS$4))=0,0,((SUMIF($DJ$3:$DS$3,DQ$60,$DJ123:$DS123))/SUMIF($DJ$3:$DS$3,DQ$60,$DJ$4:$DS$4)))</f>
        <v>0</v>
      </c>
      <c r="DR74" s="196" t="n">
        <f aca="false">IF((SUMIF($DJ$3:$DS$3,DR$60,$DJ$4:$DS$4))=0,0,((SUMIF($DJ$3:$DS$3,DR$60,$DJ123:$DS123))/SUMIF($DJ$3:$DS$3,DR$60,$DJ$4:$DS$4)))</f>
        <v>0</v>
      </c>
      <c r="DS74" s="197" t="n">
        <f aca="false">IF((SUMIF($DJ$3:$DS$3,DS$60,$DJ$4:$DS$4))=0,0,((SUMIF($DJ$3:$DS$3,DS$60,$DJ123:$DS123))/SUMIF($DJ$3:$DS$3,DS$60,$DJ$4:$DS$4)))</f>
        <v>0</v>
      </c>
      <c r="DT74" s="194" t="str">
        <f aca="false">DI74</f>
        <v>Alumno13</v>
      </c>
      <c r="DU74" s="195" t="n">
        <f aca="false">IF((SUMIF($DU$3:$ED$3,DU$60,$DU$4:$ED$4))=0,0,((SUMIF($DU$3:$ED$3,DU$60,$DU123:$ED123))/SUMIF($DU$3:$ED$3,DU$60,$DU$4:$ED$4)))</f>
        <v>0</v>
      </c>
      <c r="DV74" s="196" t="n">
        <f aca="false">IF((SUMIF($DU$3:$ED$3,DV$60,$DU$4:$ED$4))=0,0,((SUMIF($DU$3:$ED$3,DV$60,$DU123:$ED123))/SUMIF($DU$3:$ED$3,DV$60,$DU$4:$ED$4)))</f>
        <v>0</v>
      </c>
      <c r="DW74" s="196" t="n">
        <f aca="false">IF((SUMIF($DU$3:$ED$3,DW$60,$DU$4:$ED$4))=0,0,((SUMIF($DU$3:$ED$3,DW$60,$DU123:$ED123))/SUMIF($DU$3:$ED$3,DW$60,$DU$4:$ED$4)))</f>
        <v>0</v>
      </c>
      <c r="DX74" s="196" t="n">
        <f aca="false">IF((SUMIF($DU$3:$ED$3,DX$60,$DU$4:$ED$4))=0,0,((SUMIF($DU$3:$ED$3,DX$60,$DU123:$ED123))/SUMIF($DU$3:$ED$3,DX$60,$DU$4:$ED$4)))</f>
        <v>0</v>
      </c>
      <c r="DY74" s="196" t="n">
        <f aca="false">IF((SUMIF($DU$3:$ED$3,DY$60,$DU$4:$ED$4))=0,0,((SUMIF($DU$3:$ED$3,DY$60,$DU123:$ED123))/SUMIF($DU$3:$ED$3,DY$60,$DU$4:$ED$4)))</f>
        <v>0</v>
      </c>
      <c r="DZ74" s="196" t="n">
        <f aca="false">IF((SUMIF($DU$3:$ED$3,DZ$60,$DU$4:$ED$4))=0,0,((SUMIF($DU$3:$ED$3,DZ$60,$DU123:$ED123))/SUMIF($DU$3:$ED$3,DZ$60,$DU$4:$ED$4)))</f>
        <v>0</v>
      </c>
      <c r="EA74" s="196" t="n">
        <f aca="false">IF((SUMIF($DU$3:$ED$3,EA$60,$DU$4:$ED$4))=0,0,((SUMIF($DU$3:$ED$3,EA$60,$DU123:$ED123))/SUMIF($DU$3:$ED$3,EA$60,$DU$4:$ED$4)))</f>
        <v>0</v>
      </c>
      <c r="EB74" s="196" t="n">
        <f aca="false">IF((SUMIF($DU$3:$ED$3,EB$60,$DU$4:$ED$4))=0,0,((SUMIF($DU$3:$ED$3,EB$60,$DU123:$ED123))/SUMIF($DU$3:$ED$3,EB$60,$DU$4:$ED$4)))</f>
        <v>0</v>
      </c>
      <c r="EC74" s="196" t="n">
        <f aca="false">IF((SUMIF($DU$3:$ED$3,EC$60,$DU$4:$ED$4))=0,0,((SUMIF($DU$3:$ED$3,EC$60,$DU123:$ED123))/SUMIF($DU$3:$ED$3,EC$60,$DU$4:$ED$4)))</f>
        <v>0</v>
      </c>
      <c r="ED74" s="197" t="n">
        <f aca="false">IF((SUMIF($DU$3:$ED$3,ED$60,$DU$4:$ED$4))=0,0,((SUMIF($DU$3:$ED$3,ED$60,$DU123:$ED123))/SUMIF($DU$3:$ED$3,ED$60,$DU$4:$ED$4)))</f>
        <v>0</v>
      </c>
      <c r="EE74" s="194" t="str">
        <f aca="false">DT74</f>
        <v>Alumno13</v>
      </c>
      <c r="EF74" s="195" t="n">
        <f aca="false">IF((SUMIF($EF$3:$EO$3,EF$60,$EF$4:$EO$4))=0,0,((SUMIF($EF$3:$EO$3,EF$60,$EF123:$EO123))/SUMIF($EF$3:$EO$3,EF$60,$EF$4:$EO$4)))</f>
        <v>0</v>
      </c>
      <c r="EG74" s="196" t="n">
        <f aca="false">IF((SUMIF($EF$3:$EO$3,EG$60,$EF$4:$EO$4))=0,0,((SUMIF($EF$3:$EO$3,EG$60,$EF123:$EO123))/SUMIF($EF$3:$EO$3,EG$60,$EF$4:$EO$4)))</f>
        <v>0</v>
      </c>
      <c r="EH74" s="196" t="n">
        <f aca="false">IF((SUMIF($EF$3:$EO$3,EH$60,$EF$4:$EO$4))=0,0,((SUMIF($EF$3:$EO$3,EH$60,$EF123:$EO123))/SUMIF($EF$3:$EO$3,EH$60,$EF$4:$EO$4)))</f>
        <v>0</v>
      </c>
      <c r="EI74" s="196" t="n">
        <f aca="false">IF((SUMIF($EF$3:$EO$3,EI$60,$EF$4:$EO$4))=0,0,((SUMIF($EF$3:$EO$3,EI$60,$EF123:$EO123))/SUMIF($EF$3:$EO$3,EI$60,$EF$4:$EO$4)))</f>
        <v>0</v>
      </c>
      <c r="EJ74" s="196" t="n">
        <f aca="false">IF((SUMIF($EF$3:$EO$3,EJ$60,$EF$4:$EO$4))=0,0,((SUMIF($EF$3:$EO$3,EJ$60,$EF123:$EO123))/SUMIF($EF$3:$EO$3,EJ$60,$EF$4:$EO$4)))</f>
        <v>0</v>
      </c>
      <c r="EK74" s="196" t="n">
        <f aca="false">IF((SUMIF($EF$3:$EO$3,EK$60,$EF$4:$EO$4))=0,0,((SUMIF($EF$3:$EO$3,EK$60,$EF123:$EO123))/SUMIF($EF$3:$EO$3,EK$60,$EF$4:$EO$4)))</f>
        <v>0</v>
      </c>
      <c r="EL74" s="196" t="n">
        <f aca="false">IF((SUMIF($EF$3:$EO$3,EL$60,$EF$4:$EO$4))=0,0,((SUMIF($EF$3:$EO$3,EL$60,$EF123:$EO123))/SUMIF($EF$3:$EO$3,EL$60,$EF$4:$EO$4)))</f>
        <v>0</v>
      </c>
      <c r="EM74" s="196" t="n">
        <f aca="false">IF((SUMIF($EF$3:$EO$3,EM$60,$EF$4:$EO$4))=0,0,((SUMIF($EF$3:$EO$3,EM$60,$EF123:$EO123))/SUMIF($EF$3:$EO$3,EM$60,$EF$4:$EO$4)))</f>
        <v>0</v>
      </c>
      <c r="EN74" s="196" t="n">
        <f aca="false">IF((SUMIF($EF$3:$EO$3,EN$60,$EF$4:$EO$4))=0,0,((SUMIF($EF$3:$EO$3,EN$60,$EF123:$EO123))/SUMIF($EF$3:$EO$3,EN$60,$EF$4:$EO$4)))</f>
        <v>0</v>
      </c>
      <c r="EO74" s="197" t="n">
        <f aca="false">IF((SUMIF($EF$3:$EO$3,EO$60,$EF$4:$EO$4))=0,0,((SUMIF($EF$3:$EO$3,EO$60,$EF123:$EO123))/SUMIF($EF$3:$EO$3,EO$60,$EF$4:$EO$4)))</f>
        <v>0</v>
      </c>
      <c r="EP74" s="194" t="str">
        <f aca="false">EE74</f>
        <v>Alumno13</v>
      </c>
      <c r="EQ74" s="195" t="n">
        <f aca="false">IF((SUMIF($EQ$3:$EZ$3,EQ$60,$EQ$4:$EZ$4))=0,0,((SUMIF($EQ$3:$EZ$3,EQ$60,$EQ123:$EZ123))/SUMIF($EQ$3:$EZ$3,EQ$60,$EQ$4:$EZ$4)))</f>
        <v>0</v>
      </c>
      <c r="ER74" s="196" t="n">
        <f aca="false">IF((SUMIF($EQ$3:$EZ$3,ER$60,$EQ$4:$EZ$4))=0,0,((SUMIF($EQ$3:$EZ$3,ER$60,$EQ123:$EZ123))/SUMIF($EQ$3:$EZ$3,ER$60,$EQ$4:$EZ$4)))</f>
        <v>0</v>
      </c>
      <c r="ES74" s="196" t="n">
        <f aca="false">IF((SUMIF($EQ$3:$EZ$3,ES$60,$EQ$4:$EZ$4))=0,0,((SUMIF($EQ$3:$EZ$3,ES$60,$EQ123:$EZ123))/SUMIF($EQ$3:$EZ$3,ES$60,$EQ$4:$EZ$4)))</f>
        <v>0</v>
      </c>
      <c r="ET74" s="196" t="n">
        <f aca="false">IF((SUMIF($EQ$3:$EZ$3,ET$60,$EQ$4:$EZ$4))=0,0,((SUMIF($EQ$3:$EZ$3,ET$60,$EQ123:$EZ123))/SUMIF($EQ$3:$EZ$3,ET$60,$EQ$4:$EZ$4)))</f>
        <v>0</v>
      </c>
      <c r="EU74" s="196" t="n">
        <f aca="false">IF((SUMIF($EQ$3:$EZ$3,EU$60,$EQ$4:$EZ$4))=0,0,((SUMIF($EQ$3:$EZ$3,EU$60,$EQ123:$EZ123))/SUMIF($EQ$3:$EZ$3,EU$60,$EQ$4:$EZ$4)))</f>
        <v>0</v>
      </c>
      <c r="EV74" s="196" t="n">
        <f aca="false">IF((SUMIF($EQ$3:$EZ$3,EV$60,$EQ$4:$EZ$4))=0,0,((SUMIF($EQ$3:$EZ$3,EV$60,$EQ123:$EZ123))/SUMIF($EQ$3:$EZ$3,EV$60,$EQ$4:$EZ$4)))</f>
        <v>0</v>
      </c>
      <c r="EW74" s="196" t="n">
        <f aca="false">IF((SUMIF($EQ$3:$EZ$3,EW$60,$EQ$4:$EZ$4))=0,0,((SUMIF($EQ$3:$EZ$3,EW$60,$EQ123:$EZ123))/SUMIF($EQ$3:$EZ$3,EW$60,$EQ$4:$EZ$4)))</f>
        <v>0</v>
      </c>
      <c r="EX74" s="196" t="n">
        <f aca="false">IF((SUMIF($EQ$3:$EZ$3,EX$60,$EQ$4:$EZ$4))=0,0,((SUMIF($EQ$3:$EZ$3,EX$60,$EQ123:$EZ123))/SUMIF($EQ$3:$EZ$3,EX$60,$EQ$4:$EZ$4)))</f>
        <v>0</v>
      </c>
      <c r="EY74" s="196" t="n">
        <f aca="false">IF((SUMIF($EQ$3:$EZ$3,EY$60,$EQ$4:$EZ$4))=0,0,((SUMIF($EQ$3:$EZ$3,EY$60,$EQ123:$EZ123))/SUMIF($EQ$3:$EZ$3,EY$60,$EQ$4:$EZ$4)))</f>
        <v>0</v>
      </c>
      <c r="EZ74" s="197" t="n">
        <f aca="false">IF((SUMIF($EQ$3:$EZ$3,EZ$60,$EQ$4:$EZ$4))=0,0,((SUMIF($EQ$3:$EZ$3,EZ$60,$EQ123:$EZ123))/SUMIF($EQ$3:$EZ$3,EZ$60,$EQ$4:$EZ$4)))</f>
        <v>0</v>
      </c>
      <c r="FA74" s="194" t="str">
        <f aca="false">EP74</f>
        <v>Alumno13</v>
      </c>
      <c r="FB74" s="195" t="n">
        <f aca="false">IF((SUMIF($FB$3:$FK$3,FB$60,$FB$4:$FK$4))=0,0,((SUMIF($FB$3:$FK$3,FB$60,$FB123:$FK123))/SUMIF($FB$3:$FK$3,FB$60,$FB$4:$FK$4)))</f>
        <v>0</v>
      </c>
      <c r="FC74" s="196" t="n">
        <f aca="false">IF((SUMIF($FB$3:$FK$3,FC$60,$FB$4:$FK$4))=0,0,((SUMIF($FB$3:$FK$3,FC$60,$FB123:$FK123))/SUMIF($FB$3:$FK$3,FC$60,$FB$4:$FK$4)))</f>
        <v>0</v>
      </c>
      <c r="FD74" s="196" t="n">
        <f aca="false">IF((SUMIF($FB$3:$FK$3,FD$60,$FB$4:$FK$4))=0,0,((SUMIF($FB$3:$FK$3,FD$60,$FB123:$FK123))/SUMIF($FB$3:$FK$3,FD$60,$FB$4:$FK$4)))</f>
        <v>0</v>
      </c>
      <c r="FE74" s="196" t="n">
        <f aca="false">IF((SUMIF($FB$3:$FK$3,FE$60,$FB$4:$FK$4))=0,0,((SUMIF($FB$3:$FK$3,FE$60,$FB123:$FK123))/SUMIF($FB$3:$FK$3,FE$60,$FB$4:$FK$4)))</f>
        <v>0</v>
      </c>
      <c r="FF74" s="196" t="n">
        <f aca="false">IF((SUMIF($FB$3:$FK$3,FF$60,$FB$4:$FK$4))=0,0,((SUMIF($FB$3:$FK$3,FF$60,$FB123:$FK123))/SUMIF($FB$3:$FK$3,FF$60,$FB$4:$FK$4)))</f>
        <v>0</v>
      </c>
      <c r="FG74" s="196" t="n">
        <f aca="false">IF((SUMIF($FB$3:$FK$3,FG$60,$FB$4:$FK$4))=0,0,((SUMIF($FB$3:$FK$3,FG$60,$FB123:$FK123))/SUMIF($FB$3:$FK$3,FG$60,$FB$4:$FK$4)))</f>
        <v>0</v>
      </c>
      <c r="FH74" s="196" t="n">
        <f aca="false">IF((SUMIF($FB$3:$FK$3,FH$60,$FB$4:$FK$4))=0,0,((SUMIF($FB$3:$FK$3,FH$60,$FB123:$FK123))/SUMIF($FB$3:$FK$3,FH$60,$FB$4:$FK$4)))</f>
        <v>0</v>
      </c>
      <c r="FI74" s="196" t="n">
        <f aca="false">IF((SUMIF($FB$3:$FK$3,FI$60,$FB$4:$FK$4))=0,0,((SUMIF($FB$3:$FK$3,FI$60,$FB123:$FK123))/SUMIF($FB$3:$FK$3,FI$60,$FB$4:$FK$4)))</f>
        <v>0</v>
      </c>
      <c r="FJ74" s="196" t="n">
        <f aca="false">IF((SUMIF($FB$3:$FK$3,FJ$60,$FB$4:$FK$4))=0,0,((SUMIF($FB$3:$FK$3,FJ$60,$FB123:$FK123))/SUMIF($FB$3:$FK$3,FJ$60,$FB$4:$FK$4)))</f>
        <v>0</v>
      </c>
      <c r="FK74" s="197" t="n">
        <f aca="false">IF((SUMIF($FB$3:$FK$3,FK$60,$FB$4:$FK$4))=0,0,((SUMIF($FB$3:$FK$3,FK$60,$FB123:$FK123))/SUMIF($FB$3:$FK$3,FK$60,$FB$4:$FK$4)))</f>
        <v>0</v>
      </c>
      <c r="FL74" s="194" t="str">
        <f aca="false">FA74</f>
        <v>Alumno13</v>
      </c>
      <c r="FM74" s="195" t="n">
        <f aca="false">IF((SUMIF($FM$3:$FV$3,FM$60,$FM$4:$FV$4))=0,0,((SUMIF($FM$3:$FV$3,FM$60,$FM123:$FV123))/SUMIF($FM$3:$FV$3,FM$60,$FM$4:$FV$4)))</f>
        <v>0</v>
      </c>
      <c r="FN74" s="196" t="n">
        <f aca="false">IF((SUMIF($FM$3:$FV$3,FN$60,$FM$4:$FV$4))=0,0,((SUMIF($FM$3:$FV$3,FN$60,$FM123:$FV123))/SUMIF($FM$3:$FV$3,FN$60,$FM$4:$FV$4)))</f>
        <v>0</v>
      </c>
      <c r="FO74" s="196" t="n">
        <f aca="false">IF((SUMIF($FM$3:$FV$3,FO$60,$FM$4:$FV$4))=0,0,((SUMIF($FM$3:$FV$3,FO$60,$FM123:$FV123))/SUMIF($FM$3:$FV$3,FO$60,$FM$4:$FV$4)))</f>
        <v>0</v>
      </c>
      <c r="FP74" s="196" t="n">
        <f aca="false">IF((SUMIF($FM$3:$FV$3,FP$60,$FM$4:$FV$4))=0,0,((SUMIF($FM$3:$FV$3,FP$60,$FM123:$FV123))/SUMIF($FM$3:$FV$3,FP$60,$FM$4:$FV$4)))</f>
        <v>0</v>
      </c>
      <c r="FQ74" s="196" t="n">
        <f aca="false">IF((SUMIF($FM$3:$FV$3,FQ$60,$FM$4:$FV$4))=0,0,((SUMIF($FM$3:$FV$3,FQ$60,$FM123:$FV123))/SUMIF($FM$3:$FV$3,FQ$60,$FM$4:$FV$4)))</f>
        <v>0</v>
      </c>
      <c r="FR74" s="196" t="n">
        <f aca="false">IF((SUMIF($FM$3:$FV$3,FR$60,$FM$4:$FV$4))=0,0,((SUMIF($FM$3:$FV$3,FR$60,$FM123:$FV123))/SUMIF($FM$3:$FV$3,FR$60,$FM$4:$FV$4)))</f>
        <v>0</v>
      </c>
      <c r="FS74" s="196" t="n">
        <f aca="false">IF((SUMIF($FM$3:$FV$3,FS$60,$FM$4:$FV$4))=0,0,((SUMIF($FM$3:$FV$3,FS$60,$FM123:$FV123))/SUMIF($FM$3:$FV$3,FS$60,$FM$4:$FV$4)))</f>
        <v>0</v>
      </c>
      <c r="FT74" s="196" t="n">
        <f aca="false">IF((SUMIF($FM$3:$FV$3,FT$60,$FM$4:$FV$4))=0,0,((SUMIF($FM$3:$FV$3,FT$60,$FM123:$FV123))/SUMIF($FM$3:$FV$3,FT$60,$FM$4:$FV$4)))</f>
        <v>0</v>
      </c>
      <c r="FU74" s="196" t="n">
        <f aca="false">IF((SUMIF($FM$3:$FV$3,FU$60,$FM$4:$FV$4))=0,0,((SUMIF($FM$3:$FV$3,FU$60,$FM123:$FV123))/SUMIF($FM$3:$FV$3,FU$60,$FM$4:$FV$4)))</f>
        <v>0</v>
      </c>
      <c r="FV74" s="197" t="n">
        <f aca="false">IF((SUMIF($FM$3:$FV$3,FV$60,$FM$4:$FV$4))=0,0,((SUMIF($FM$3:$FV$3,FV$60,$FM123:$FV123))/SUMIF($FM$3:$FV$3,FV$60,$FM$4:$FV$4)))</f>
        <v>0</v>
      </c>
      <c r="FW74" s="194" t="str">
        <f aca="false">FL74</f>
        <v>Alumno13</v>
      </c>
      <c r="FX74" s="195" t="n">
        <f aca="false">IF((SUMIF($FX$3:$GG$3,FX$60,$FX$4:$GG$4))=0,0,((SUMIF($FX$3:$GG$3,FX$60,$FX123:$GG123))/SUMIF($FX$3:$GG$3,FX$60,$FX$4:$GG$4)))</f>
        <v>0</v>
      </c>
      <c r="FY74" s="196" t="n">
        <f aca="false">IF((SUMIF($FX$3:$GG$3,FY$60,$FX$4:$GG$4))=0,0,((SUMIF($FX$3:$GG$3,FY$60,$FX123:$GG123))/SUMIF($FX$3:$GG$3,FY$60,$FX$4:$GG$4)))</f>
        <v>0</v>
      </c>
      <c r="FZ74" s="196" t="n">
        <f aca="false">IF((SUMIF($FX$3:$GG$3,FZ$60,$FX$4:$GG$4))=0,0,((SUMIF($FX$3:$GG$3,FZ$60,$FX123:$GG123))/SUMIF($FX$3:$GG$3,FZ$60,$FX$4:$GG$4)))</f>
        <v>0</v>
      </c>
      <c r="GA74" s="196" t="n">
        <f aca="false">IF((SUMIF($FX$3:$GG$3,GA$60,$FX$4:$GG$4))=0,0,((SUMIF($FX$3:$GG$3,GA$60,$FX123:$GG123))/SUMIF($FX$3:$GG$3,GA$60,$FX$4:$GG$4)))</f>
        <v>0</v>
      </c>
      <c r="GB74" s="196" t="n">
        <f aca="false">IF((SUMIF($FX$3:$GG$3,GB$60,$FX$4:$GG$4))=0,0,((SUMIF($FX$3:$GG$3,GB$60,$FX123:$GG123))/SUMIF($FX$3:$GG$3,GB$60,$FX$4:$GG$4)))</f>
        <v>0</v>
      </c>
      <c r="GC74" s="196" t="n">
        <f aca="false">IF((SUMIF($FX$3:$GG$3,GC$60,$FX$4:$GG$4))=0,0,((SUMIF($FX$3:$GG$3,GC$60,$FX123:$GG123))/SUMIF($FX$3:$GG$3,GC$60,$FX$4:$GG$4)))</f>
        <v>0</v>
      </c>
      <c r="GD74" s="196" t="n">
        <f aca="false">IF((SUMIF($FX$3:$GG$3,GD$60,$FX$4:$GG$4))=0,0,((SUMIF($FX$3:$GG$3,GD$60,$FX123:$GG123))/SUMIF($FX$3:$GG$3,GD$60,$FX$4:$GG$4)))</f>
        <v>0</v>
      </c>
      <c r="GE74" s="196" t="n">
        <f aca="false">IF((SUMIF($FX$3:$GG$3,GE$60,$FX$4:$GG$4))=0,0,((SUMIF($FX$3:$GG$3,GE$60,$FX123:$GG123))/SUMIF($FX$3:$GG$3,GE$60,$FX$4:$GG$4)))</f>
        <v>0</v>
      </c>
      <c r="GF74" s="196" t="n">
        <f aca="false">IF((SUMIF($FX$3:$GG$3,GF$60,$FX$4:$GG$4))=0,0,((SUMIF($FX$3:$GG$3,GF$60,$FX123:$GG123))/SUMIF($FX$3:$GG$3,GF$60,$FX$4:$GG$4)))</f>
        <v>0</v>
      </c>
      <c r="GG74" s="197" t="n">
        <f aca="false">IF((SUMIF($FX$3:$GG$3,GG$60,$FX$4:$GG$4))=0,0,((SUMIF($FX$3:$GG$3,GG$60,$FX123:$GG123))/SUMIF($FX$3:$GG$3,GG$60,$FX$4:$GG$4)))</f>
        <v>0</v>
      </c>
      <c r="GH74" s="194" t="str">
        <f aca="false">FW74</f>
        <v>Alumno13</v>
      </c>
      <c r="GI74" s="195" t="n">
        <f aca="false">IF((SUMIF($GI$3:$GR$3,GI$60,$GI$4:$GR$4))=0,0,((SUMIF($GI$3:$GR$3,GI$60,$GI123:$GR123))/SUMIF($GI$3:$GR$3,GI$60,$GI$4:$GR$4)))</f>
        <v>0</v>
      </c>
      <c r="GJ74" s="196" t="n">
        <f aca="false">IF((SUMIF($GI$3:$GR$3,GJ$60,$GI$4:$GR$4))=0,0,((SUMIF($GI$3:$GR$3,GJ$60,$GI123:$GR123))/SUMIF($GI$3:$GR$3,GJ$60,$GI$4:$GR$4)))</f>
        <v>0</v>
      </c>
      <c r="GK74" s="196" t="n">
        <f aca="false">IF((SUMIF($GI$3:$GR$3,GK$60,$GI$4:$GR$4))=0,0,((SUMIF($GI$3:$GR$3,GK$60,$GI123:$GR123))/SUMIF($GI$3:$GR$3,GK$60,$GI$4:$GR$4)))</f>
        <v>0</v>
      </c>
      <c r="GL74" s="196" t="n">
        <f aca="false">IF((SUMIF($GI$3:$GR$3,GL$60,$GI$4:$GR$4))=0,0,((SUMIF($GI$3:$GR$3,GL$60,$GI123:$GR123))/SUMIF($GI$3:$GR$3,GL$60,$GI$4:$GR$4)))</f>
        <v>0</v>
      </c>
      <c r="GM74" s="196" t="n">
        <f aca="false">IF((SUMIF($GI$3:$GR$3,GM$60,$GI$4:$GR$4))=0,0,((SUMIF($GI$3:$GR$3,GM$60,$GI123:$GR123))/SUMIF($GI$3:$GR$3,GM$60,$GI$4:$GR$4)))</f>
        <v>0</v>
      </c>
      <c r="GN74" s="196" t="n">
        <f aca="false">IF((SUMIF($GI$3:$GR$3,GN$60,$GI$4:$GR$4))=0,0,((SUMIF($GI$3:$GR$3,GN$60,$GI123:$GR123))/SUMIF($GI$3:$GR$3,GN$60,$GI$4:$GR$4)))</f>
        <v>0</v>
      </c>
      <c r="GO74" s="196" t="n">
        <f aca="false">IF((SUMIF($GI$3:$GR$3,GO$60,$GI$4:$GR$4))=0,0,((SUMIF($GI$3:$GR$3,GO$60,$GI123:$GR123))/SUMIF($GI$3:$GR$3,GO$60,$GI$4:$GR$4)))</f>
        <v>0</v>
      </c>
      <c r="GP74" s="196" t="n">
        <f aca="false">IF((SUMIF($GI$3:$GR$3,GP$60,$GI$4:$GR$4))=0,0,((SUMIF($GI$3:$GR$3,GP$60,$GI123:$GR123))/SUMIF($GI$3:$GR$3,GP$60,$GI$4:$GR$4)))</f>
        <v>0</v>
      </c>
      <c r="GQ74" s="196" t="n">
        <f aca="false">IF((SUMIF($GI$3:$GR$3,GQ$60,$GI$4:$GR$4))=0,0,((SUMIF($GI$3:$GR$3,GQ$60,$GI123:$GR123))/SUMIF($GI$3:$GR$3,GQ$60,$GI$4:$GR$4)))</f>
        <v>0</v>
      </c>
      <c r="GR74" s="197" t="n">
        <f aca="false">IF((SUMIF($GI$3:$GR$3,GR$60,$GI$4:$GR$4))=0,0,((SUMIF($GI$3:$GR$3,GR$60,$GI123:$GR123))/SUMIF($GI$3:$GR$3,GR$60,$GI$4:$GR$4)))</f>
        <v>0</v>
      </c>
      <c r="GS74" s="194" t="str">
        <f aca="false">GH74</f>
        <v>Alumno13</v>
      </c>
      <c r="GT74" s="195" t="n">
        <f aca="false">IF((SUMIF($GT$3:$HC$3,GT$60,$GT$4:$HC$4))=0,0,((SUMIF($GT$3:$HC$3,GT$60,$GT123:$HC123))/SUMIF($GT$3:$HC$3,GT$60,$GT$4:$HC$4)))</f>
        <v>0</v>
      </c>
      <c r="GU74" s="196" t="n">
        <f aca="false">IF((SUMIF($GT$3:$HC$3,GU$60,$GT$4:$HC$4))=0,0,((SUMIF($GT$3:$HC$3,GU$60,$GT123:$HC123))/SUMIF($GT$3:$HC$3,GU$60,$GT$4:$HC$4)))</f>
        <v>0</v>
      </c>
      <c r="GV74" s="196" t="n">
        <f aca="false">IF((SUMIF($GT$3:$HC$3,GV$60,$GT$4:$HC$4))=0,0,((SUMIF($GT$3:$HC$3,GV$60,$GT123:$HC123))/SUMIF($GT$3:$HC$3,GV$60,$GT$4:$HC$4)))</f>
        <v>0</v>
      </c>
      <c r="GW74" s="196" t="n">
        <f aca="false">IF((SUMIF($GT$3:$HC$3,GW$60,$GT$4:$HC$4))=0,0,((SUMIF($GT$3:$HC$3,GW$60,$GT123:$HC123))/SUMIF($GT$3:$HC$3,GW$60,$GT$4:$HC$4)))</f>
        <v>0</v>
      </c>
      <c r="GX74" s="196" t="n">
        <f aca="false">IF((SUMIF($GT$3:$HC$3,GX$60,$GT$4:$HC$4))=0,0,((SUMIF($GT$3:$HC$3,GX$60,$GT123:$HC123))/SUMIF($GT$3:$HC$3,GX$60,$GT$4:$HC$4)))</f>
        <v>0</v>
      </c>
      <c r="GY74" s="196" t="n">
        <f aca="false">IF((SUMIF($GT$3:$HC$3,GY$60,$GT$4:$HC$4))=0,0,((SUMIF($GT$3:$HC$3,GY$60,$GT123:$HC123))/SUMIF($GT$3:$HC$3,GY$60,$GT$4:$HC$4)))</f>
        <v>0</v>
      </c>
      <c r="GZ74" s="196" t="n">
        <f aca="false">IF((SUMIF($GT$3:$HC$3,GZ$60,$GT$4:$HC$4))=0,0,((SUMIF($GT$3:$HC$3,GZ$60,$GT123:$HC123))/SUMIF($GT$3:$HC$3,GZ$60,$GT$4:$HC$4)))</f>
        <v>0</v>
      </c>
      <c r="HA74" s="196" t="n">
        <f aca="false">IF((SUMIF($GT$3:$HC$3,HA$60,$GT$4:$HC$4))=0,0,((SUMIF($GT$3:$HC$3,HA$60,$GT123:$HC123))/SUMIF($GT$3:$HC$3,HA$60,$GT$4:$HC$4)))</f>
        <v>0</v>
      </c>
      <c r="HB74" s="196" t="n">
        <f aca="false">IF((SUMIF($GT$3:$HC$3,HB$60,$GT$4:$HC$4))=0,0,((SUMIF($GT$3:$HC$3,HB$60,$GT123:$HC123))/SUMIF($GT$3:$HC$3,HB$60,$GT$4:$HC$4)))</f>
        <v>0</v>
      </c>
      <c r="HC74" s="197" t="n">
        <f aca="false">IF((SUMIF($GT$3:$HC$3,HC$60,$GT$4:$HC$4))=0,0,((SUMIF($GT$3:$HC$3,HC$60,$GT123:$HC123))/SUMIF($GT$3:$HC$3,HC$60,$GT$4:$HC$4)))</f>
        <v>0</v>
      </c>
      <c r="HD74" s="194" t="str">
        <f aca="false">GS74</f>
        <v>Alumno13</v>
      </c>
      <c r="HE74" s="195" t="n">
        <f aca="false">IF((SUMIF($HE$3:$HN$3,HE$60,$HE$4:$HN$4))=0,0,((SUMIF($HE$3:$HN$3,HE$60,$HE123:$HN123))/SUMIF($HE$3:$HN$3,HE$60,$HE$4:$HN$4)))</f>
        <v>0</v>
      </c>
      <c r="HF74" s="196" t="n">
        <f aca="false">IF((SUMIF($HE$3:$HN$3,HF$60,$HE$4:$HN$4))=0,0,((SUMIF($HE$3:$HN$3,HF$60,$HE123:$HN123))/SUMIF($HE$3:$HN$3,HF$60,$HE$4:$HN$4)))</f>
        <v>0</v>
      </c>
      <c r="HG74" s="196" t="n">
        <f aca="false">IF((SUMIF($HE$3:$HN$3,HG$60,$HE$4:$HN$4))=0,0,((SUMIF($HE$3:$HN$3,HG$60,$HE123:$HN123))/SUMIF($HE$3:$HN$3,HG$60,$HE$4:$HN$4)))</f>
        <v>0</v>
      </c>
      <c r="HH74" s="196" t="n">
        <f aca="false">IF((SUMIF($HE$3:$HN$3,HH$60,$HE$4:$HN$4))=0,0,((SUMIF($HE$3:$HN$3,HH$60,$HE123:$HN123))/SUMIF($HE$3:$HN$3,HH$60,$HE$4:$HN$4)))</f>
        <v>0</v>
      </c>
      <c r="HI74" s="196" t="n">
        <f aca="false">IF((SUMIF($HE$3:$HN$3,HI$60,$HE$4:$HN$4))=0,0,((SUMIF($HE$3:$HN$3,HI$60,$HE123:$HN123))/SUMIF($HE$3:$HN$3,HI$60,$HE$4:$HN$4)))</f>
        <v>0</v>
      </c>
      <c r="HJ74" s="196" t="n">
        <f aca="false">IF((SUMIF($HE$3:$HN$3,HJ$60,$HE$4:$HN$4))=0,0,((SUMIF($HE$3:$HN$3,HJ$60,$HE123:$HN123))/SUMIF($HE$3:$HN$3,HJ$60,$HE$4:$HN$4)))</f>
        <v>0</v>
      </c>
      <c r="HK74" s="196" t="n">
        <f aca="false">IF((SUMIF($HE$3:$HN$3,HK$60,$HE$4:$HN$4))=0,0,((SUMIF($HE$3:$HN$3,HK$60,$HE123:$HN123))/SUMIF($HE$3:$HN$3,HK$60,$HE$4:$HN$4)))</f>
        <v>0</v>
      </c>
      <c r="HL74" s="196" t="n">
        <f aca="false">IF((SUMIF($HE$3:$HN$3,HL$60,$HE$4:$HN$4))=0,0,((SUMIF($HE$3:$HN$3,HL$60,$HE123:$HN123))/SUMIF($HE$3:$HN$3,HL$60,$HE$4:$HN$4)))</f>
        <v>0</v>
      </c>
      <c r="HM74" s="196" t="n">
        <f aca="false">IF((SUMIF($HE$3:$HN$3,HM$60,$HE$4:$HN$4))=0,0,((SUMIF($HE$3:$HN$3,HM$60,$HE123:$HN123))/SUMIF($HE$3:$HN$3,HM$60,$HE$4:$HN$4)))</f>
        <v>0</v>
      </c>
      <c r="HN74" s="197" t="n">
        <f aca="false">IF((SUMIF($HE$3:$HN$3,HN$60,$HE$4:$HN$4))=0,0,((SUMIF($HE$3:$HN$3,HN$60,$HE123:$HN123))/SUMIF($HE$3:$HN$3,HN$60,$HE$4:$HN$4)))</f>
        <v>0</v>
      </c>
      <c r="HO74" s="194" t="str">
        <f aca="false">HD74</f>
        <v>Alumno13</v>
      </c>
      <c r="HP74" s="195" t="n">
        <f aca="false">IF((SUMIF($HP$3:$HY$3,HP$60,$HP$4:$HY$4))=0,0,((SUMIF($HP$3:$HY$3,HP$60,$HP123:$HY123))/SUMIF($HP$3:$HY$3,HP$60,$HP$4:$HY$4)))</f>
        <v>0</v>
      </c>
      <c r="HQ74" s="196" t="n">
        <f aca="false">IF((SUMIF($HP$3:$HY$3,HQ$60,$HP$4:$HY$4))=0,0,((SUMIF($HP$3:$HY$3,HQ$60,$HP123:$HY123))/SUMIF($HP$3:$HY$3,HQ$60,$HP$4:$HY$4)))</f>
        <v>0</v>
      </c>
      <c r="HR74" s="196" t="n">
        <f aca="false">IF((SUMIF($HP$3:$HY$3,HR$60,$HP$4:$HY$4))=0,0,((SUMIF($HP$3:$HY$3,HR$60,$HP123:$HY123))/SUMIF($HP$3:$HY$3,HR$60,$HP$4:$HY$4)))</f>
        <v>0</v>
      </c>
      <c r="HS74" s="196" t="n">
        <f aca="false">IF((SUMIF($HP$3:$HY$3,HS$60,$HP$4:$HY$4))=0,0,((SUMIF($HP$3:$HY$3,HS$60,$HP123:$HY123))/SUMIF($HP$3:$HY$3,HS$60,$HP$4:$HY$4)))</f>
        <v>0</v>
      </c>
      <c r="HT74" s="196" t="n">
        <f aca="false">IF((SUMIF($HP$3:$HY$3,HT$60,$HP$4:$HY$4))=0,0,((SUMIF($HP$3:$HY$3,HT$60,$HP123:$HY123))/SUMIF($HP$3:$HY$3,HT$60,$HP$4:$HY$4)))</f>
        <v>0</v>
      </c>
      <c r="HU74" s="196" t="n">
        <f aca="false">IF((SUMIF($HP$3:$HY$3,HU$60,$HP$4:$HY$4))=0,0,((SUMIF($HP$3:$HY$3,HU$60,$HP123:$HY123))/SUMIF($HP$3:$HY$3,HU$60,$HP$4:$HY$4)))</f>
        <v>0</v>
      </c>
      <c r="HV74" s="196" t="n">
        <f aca="false">IF((SUMIF($HP$3:$HY$3,HV$60,$HP$4:$HY$4))=0,0,((SUMIF($HP$3:$HY$3,HV$60,$HP123:$HY123))/SUMIF($HP$3:$HY$3,HV$60,$HP$4:$HY$4)))</f>
        <v>0</v>
      </c>
      <c r="HW74" s="196" t="n">
        <f aca="false">IF((SUMIF($HP$3:$HY$3,HW$60,$HP$4:$HY$4))=0,0,((SUMIF($HP$3:$HY$3,HW$60,$HP123:$HY123))/SUMIF($HP$3:$HY$3,HW$60,$HP$4:$HY$4)))</f>
        <v>0</v>
      </c>
      <c r="HX74" s="196" t="n">
        <f aca="false">IF((SUMIF($HP$3:$HY$3,HX$60,$HP$4:$HY$4))=0,0,((SUMIF($HP$3:$HY$3,HX$60,$HP123:$HY123))/SUMIF($HP$3:$HY$3,HX$60,$HP$4:$HY$4)))</f>
        <v>0</v>
      </c>
      <c r="HY74" s="197" t="n">
        <f aca="false">IF((SUMIF($HP$3:$HY$3,HY$60,$HP$4:$HY$4))=0,0,((SUMIF($HP$3:$HY$3,HY$60,$HP123:$HY123))/SUMIF($HP$3:$HY$3,HY$60,$HP$4:$HY$4)))</f>
        <v>0</v>
      </c>
      <c r="HZ74" s="194" t="str">
        <f aca="false">HO74</f>
        <v>Alumno13</v>
      </c>
      <c r="IA74" s="195" t="n">
        <f aca="false">IF((SUMIF($IA$3:$IJ$3,IA$60,$IA$4:$IJ$4))=0,0,((SUMIF($IA$3:$IJ$3,IA$60,$IA123:$IJ123))/SUMIF($IA$3:$IJ$3,IA$60,$IA$4:$IJ$4)))</f>
        <v>0</v>
      </c>
      <c r="IB74" s="196" t="n">
        <f aca="false">IF((SUMIF($IA$3:$IJ$3,IB$60,$IA$4:$IJ$4))=0,0,((SUMIF($IA$3:$IJ$3,IB$60,$IA123:$IJ123))/SUMIF($IA$3:$IJ$3,IB$60,$IA$4:$IJ$4)))</f>
        <v>0</v>
      </c>
      <c r="IC74" s="196" t="n">
        <f aca="false">IF((SUMIF($IA$3:$IJ$3,IC$60,$IA$4:$IJ$4))=0,0,((SUMIF($IA$3:$IJ$3,IC$60,$IA123:$IJ123))/SUMIF($IA$3:$IJ$3,IC$60,$IA$4:$IJ$4)))</f>
        <v>0</v>
      </c>
      <c r="ID74" s="196" t="n">
        <f aca="false">IF((SUMIF($IA$3:$IJ$3,ID$60,$IA$4:$IJ$4))=0,0,((SUMIF($IA$3:$IJ$3,ID$60,$IA123:$IJ123))/SUMIF($IA$3:$IJ$3,ID$60,$IA$4:$IJ$4)))</f>
        <v>0</v>
      </c>
      <c r="IE74" s="196" t="n">
        <f aca="false">IF((SUMIF($IA$3:$IJ$3,IE$60,$IA$4:$IJ$4))=0,0,((SUMIF($IA$3:$IJ$3,IE$60,$IA123:$IJ123))/SUMIF($IA$3:$IJ$3,IE$60,$IA$4:$IJ$4)))</f>
        <v>0</v>
      </c>
      <c r="IF74" s="196" t="n">
        <f aca="false">IF((SUMIF($IA$3:$IJ$3,IF$60,$IA$4:$IJ$4))=0,0,((SUMIF($IA$3:$IJ$3,IF$60,$IA123:$IJ123))/SUMIF($IA$3:$IJ$3,IF$60,$IA$4:$IJ$4)))</f>
        <v>0</v>
      </c>
      <c r="IG74" s="196" t="n">
        <f aca="false">IF((SUMIF($IA$3:$IJ$3,IG$60,$IA$4:$IJ$4))=0,0,((SUMIF($IA$3:$IJ$3,IG$60,$IA123:$IJ123))/SUMIF($IA$3:$IJ$3,IG$60,$IA$4:$IJ$4)))</f>
        <v>0</v>
      </c>
      <c r="IH74" s="196" t="n">
        <f aca="false">IF((SUMIF($IA$3:$IJ$3,IH$60,$IA$4:$IJ$4))=0,0,((SUMIF($IA$3:$IJ$3,IH$60,$IA123:$IJ123))/SUMIF($IA$3:$IJ$3,IH$60,$IA$4:$IJ$4)))</f>
        <v>0</v>
      </c>
      <c r="II74" s="196" t="n">
        <f aca="false">IF((SUMIF($IA$3:$IJ$3,II$60,$IA$4:$IJ$4))=0,0,((SUMIF($IA$3:$IJ$3,II$60,$IA123:$IJ123))/SUMIF($IA$3:$IJ$3,II$60,$IA$4:$IJ$4)))</f>
        <v>0</v>
      </c>
      <c r="IJ74" s="197" t="n">
        <f aca="false">IF((SUMIF($IA$3:$IJ$3,IJ$60,$IA$4:$IJ$4))=0,0,((SUMIF($IA$3:$IJ$3,IJ$60,$IA123:$IJ123))/SUMIF($IA$3:$IJ$3,IJ$60,$IA$4:$IJ$4)))</f>
        <v>0</v>
      </c>
      <c r="IK74" s="194" t="str">
        <f aca="false">HZ74</f>
        <v>Alumno13</v>
      </c>
      <c r="IL74" s="195" t="n">
        <f aca="false">IF((SUMIF($IL$3:$IU$3,IL$60,$IL$4:$IU$4))=0,0,((SUMIF($IL$3:$IU$3,IL$60,$IL123:$IU123))/SUMIF($IL$3:$IU$3,IL$60,$IL$4:$IU$4)))</f>
        <v>0</v>
      </c>
      <c r="IM74" s="196" t="n">
        <f aca="false">IF((SUMIF($IL$3:$IU$3,IM$60,$IL$4:$IU$4))=0,0,((SUMIF($IL$3:$IU$3,IM$60,$IL123:$IU123))/SUMIF($IL$3:$IU$3,IM$60,$IL$4:$IU$4)))</f>
        <v>0</v>
      </c>
      <c r="IN74" s="196" t="n">
        <f aca="false">IF((SUMIF($IL$3:$IU$3,IN$60,$IL$4:$IU$4))=0,0,((SUMIF($IL$3:$IU$3,IN$60,$IL123:$IU123))/SUMIF($IL$3:$IU$3,IN$60,$IL$4:$IU$4)))</f>
        <v>0</v>
      </c>
      <c r="IO74" s="196" t="n">
        <f aca="false">IF((SUMIF($IL$3:$IU$3,IO$60,$IL$4:$IU$4))=0,0,((SUMIF($IL$3:$IU$3,IO$60,$IL123:$IU123))/SUMIF($IL$3:$IU$3,IO$60,$IL$4:$IU$4)))</f>
        <v>0</v>
      </c>
      <c r="IP74" s="196" t="n">
        <f aca="false">IF((SUMIF($IL$3:$IU$3,IP$60,$IL$4:$IU$4))=0,0,((SUMIF($IL$3:$IU$3,IP$60,$IL123:$IU123))/SUMIF($IL$3:$IU$3,IP$60,$IL$4:$IU$4)))</f>
        <v>0</v>
      </c>
      <c r="IQ74" s="196" t="n">
        <f aca="false">IF((SUMIF($IL$3:$IU$3,IQ$60,$IL$4:$IU$4))=0,0,((SUMIF($IL$3:$IU$3,IQ$60,$IL123:$IU123))/SUMIF($IL$3:$IU$3,IQ$60,$IL$4:$IU$4)))</f>
        <v>0</v>
      </c>
      <c r="IR74" s="196" t="n">
        <f aca="false">IF((SUMIF($IL$3:$IU$3,IR$60,$IL$4:$IU$4))=0,0,((SUMIF($IL$3:$IU$3,IR$60,$IL123:$IU123))/SUMIF($IL$3:$IU$3,IR$60,$IL$4:$IU$4)))</f>
        <v>0</v>
      </c>
      <c r="IS74" s="196" t="n">
        <f aca="false">IF((SUMIF($IL$3:$IU$3,IS$60,$IL$4:$IU$4))=0,0,((SUMIF($IL$3:$IU$3,IS$60,$IL123:$IU123))/SUMIF($IL$3:$IU$3,IS$60,$IL$4:$IU$4)))</f>
        <v>0</v>
      </c>
      <c r="IT74" s="196" t="n">
        <f aca="false">IF((SUMIF($IL$3:$IU$3,IT$60,$IL$4:$IU$4))=0,0,((SUMIF($IL$3:$IU$3,IT$60,$IL123:$IU123))/SUMIF($IL$3:$IU$3,IT$60,$IL$4:$IU$4)))</f>
        <v>0</v>
      </c>
      <c r="IU74" s="197" t="n">
        <f aca="false">IF((SUMIF($IL$3:$IU$3,IU$60,$IL$4:$IU$4))=0,0,((SUMIF($IL$3:$IU$3,IU$60,$IL123:$IU123))/SUMIF($IL$3:$IU$3,IU$60,$IL$4:$IU$4)))</f>
        <v>0</v>
      </c>
      <c r="IV74" s="194" t="str">
        <f aca="false">IK74</f>
        <v>Alumno13</v>
      </c>
      <c r="IW74" s="195" t="n">
        <f aca="false">IF((SUMIF($IW$3:$JF$3,IW$60,$IW$4:$JF$4))=0,0,((SUMIF($IW$3:$JF$3,IW$60,$IW123:$JF123))/SUMIF($IW$3:$JF$3,IW$60,$IW$4:$JF$4)))</f>
        <v>0</v>
      </c>
      <c r="IX74" s="196" t="n">
        <f aca="false">IF((SUMIF($IW$3:$JF$3,IX$60,$IW$4:$JF$4))=0,0,((SUMIF($IW$3:$JF$3,IX$60,$IW123:$JF123))/SUMIF($IW$3:$JF$3,IX$60,$IW$4:$JF$4)))</f>
        <v>0</v>
      </c>
      <c r="IY74" s="196" t="n">
        <f aca="false">IF((SUMIF($IW$3:$JF$3,IY$60,$IW$4:$JF$4))=0,0,((SUMIF($IW$3:$JF$3,IY$60,$IW123:$JF123))/SUMIF($IW$3:$JF$3,IY$60,$IW$4:$JF$4)))</f>
        <v>0</v>
      </c>
      <c r="IZ74" s="196" t="n">
        <f aca="false">IF((SUMIF($IW$3:$JF$3,IZ$60,$IW$4:$JF$4))=0,0,((SUMIF($IW$3:$JF$3,IZ$60,$IW123:$JF123))/SUMIF($IW$3:$JF$3,IZ$60,$IW$4:$JF$4)))</f>
        <v>0</v>
      </c>
      <c r="JA74" s="196" t="n">
        <f aca="false">IF((SUMIF($IW$3:$JF$3,JA$60,$IW$4:$JF$4))=0,0,((SUMIF($IW$3:$JF$3,JA$60,$IW123:$JF123))/SUMIF($IW$3:$JF$3,JA$60,$IW$4:$JF$4)))</f>
        <v>0</v>
      </c>
      <c r="JB74" s="196" t="n">
        <f aca="false">IF((SUMIF($IW$3:$JF$3,JB$60,$IW$4:$JF$4))=0,0,((SUMIF($IW$3:$JF$3,JB$60,$IW123:$JF123))/SUMIF($IW$3:$JF$3,JB$60,$IW$4:$JF$4)))</f>
        <v>0</v>
      </c>
      <c r="JC74" s="196" t="n">
        <f aca="false">IF((SUMIF($IW$3:$JF$3,JC$60,$IW$4:$JF$4))=0,0,((SUMIF($IW$3:$JF$3,JC$60,$IW123:$JF123))/SUMIF($IW$3:$JF$3,JC$60,$IW$4:$JF$4)))</f>
        <v>0</v>
      </c>
      <c r="JD74" s="196" t="n">
        <f aca="false">IF((SUMIF($IW$3:$JF$3,JD$60,$IW$4:$JF$4))=0,0,((SUMIF($IW$3:$JF$3,JD$60,$IW123:$JF123))/SUMIF($IW$3:$JF$3,JD$60,$IW$4:$JF$4)))</f>
        <v>0</v>
      </c>
      <c r="JE74" s="196" t="n">
        <f aca="false">IF((SUMIF($IW$3:$JF$3,JE$60,$IW$4:$JF$4))=0,0,((SUMIF($IW$3:$JF$3,JE$60,$IW123:$JF123))/SUMIF($IW$3:$JF$3,JE$60,$IW$4:$JF$4)))</f>
        <v>0</v>
      </c>
      <c r="JF74" s="197" t="n">
        <f aca="false">IF((SUMIF($IW$3:$JF$3,JF$60,$IW$4:$JF$4))=0,0,((SUMIF($IW$3:$JF$3,JF$60,$IW123:$JF123))/SUMIF($IW$3:$JF$3,JF$60,$IW$4:$JF$4)))</f>
        <v>0</v>
      </c>
      <c r="JG74" s="194" t="str">
        <f aca="false">IV74</f>
        <v>Alumno13</v>
      </c>
      <c r="JH74" s="195" t="n">
        <f aca="false">IF((SUMIF($JH$3:$JQ$3,JH$60,$JH$4:$JQ$4))=0,0,((SUMIF($JH$3:$JQ$3,JH$60,$JH123:$JQ123))/SUMIF($JH$3:$JQ$3,JH$60,$JH$4:$JQ$4)))</f>
        <v>0</v>
      </c>
      <c r="JI74" s="196" t="n">
        <f aca="false">IF((SUMIF($JH$3:$JQ$3,JI$60,$JH$4:$JQ$4))=0,0,((SUMIF($JH$3:$JQ$3,JI$60,$JH123:$JQ123))/SUMIF($JH$3:$JQ$3,JI$60,$JH$4:$JQ$4)))</f>
        <v>0</v>
      </c>
      <c r="JJ74" s="196" t="n">
        <f aca="false">IF((SUMIF($JH$3:$JQ$3,JJ$60,$JH$4:$JQ$4))=0,0,((SUMIF($JH$3:$JQ$3,JJ$60,$JH123:$JQ123))/SUMIF($JH$3:$JQ$3,JJ$60,$JH$4:$JQ$4)))</f>
        <v>0</v>
      </c>
      <c r="JK74" s="196" t="n">
        <f aca="false">IF((SUMIF($JH$3:$JQ$3,JK$60,$JH$4:$JQ$4))=0,0,((SUMIF($JH$3:$JQ$3,JK$60,$JH123:$JQ123))/SUMIF($JH$3:$JQ$3,JK$60,$JH$4:$JQ$4)))</f>
        <v>0</v>
      </c>
      <c r="JL74" s="196" t="n">
        <f aca="false">IF((SUMIF($JH$3:$JQ$3,JL$60,$JH$4:$JQ$4))=0,0,((SUMIF($JH$3:$JQ$3,JL$60,$JH123:$JQ123))/SUMIF($JH$3:$JQ$3,JL$60,$JH$4:$JQ$4)))</f>
        <v>0</v>
      </c>
      <c r="JM74" s="196" t="n">
        <f aca="false">IF((SUMIF($JH$3:$JQ$3,JM$60,$JH$4:$JQ$4))=0,0,((SUMIF($JH$3:$JQ$3,JM$60,$JH123:$JQ123))/SUMIF($JH$3:$JQ$3,JM$60,$JH$4:$JQ$4)))</f>
        <v>0</v>
      </c>
      <c r="JN74" s="196" t="n">
        <f aca="false">IF((SUMIF($JH$3:$JQ$3,JN$60,$JH$4:$JQ$4))=0,0,((SUMIF($JH$3:$JQ$3,JN$60,$JH123:$JQ123))/SUMIF($JH$3:$JQ$3,JN$60,$JH$4:$JQ$4)))</f>
        <v>0</v>
      </c>
      <c r="JO74" s="196" t="n">
        <f aca="false">IF((SUMIF($JH$3:$JQ$3,JO$60,$JH$4:$JQ$4))=0,0,((SUMIF($JH$3:$JQ$3,JO$60,$JH123:$JQ123))/SUMIF($JH$3:$JQ$3,JO$60,$JH$4:$JQ$4)))</f>
        <v>0</v>
      </c>
      <c r="JP74" s="196" t="n">
        <f aca="false">IF((SUMIF($JH$3:$JQ$3,JP$60,$JH$4:$JQ$4))=0,0,((SUMIF($JH$3:$JQ$3,JP$60,$JH123:$JQ123))/SUMIF($JH$3:$JQ$3,JP$60,$JH$4:$JQ$4)))</f>
        <v>0</v>
      </c>
      <c r="JQ74" s="197" t="n">
        <f aca="false">IF((SUMIF($JH$3:$JQ$3,JQ$60,$JH$4:$JQ$4))=0,0,((SUMIF($JH$3:$JQ$3,JQ$60,$JH123:$JQ123))/SUMIF($JH$3:$JQ$3,JQ$60,$JH$4:$JQ$4)))</f>
        <v>0</v>
      </c>
      <c r="JR74" s="194" t="str">
        <f aca="false">JG74</f>
        <v>Alumno13</v>
      </c>
      <c r="JS74" s="195" t="n">
        <f aca="false">IF((SUMIF($JS$3:$KB$3,JS$60,$JS$4:$KB$4))=0,0,((SUMIF($JS$3:$KB$3,JS$60,$JS123:$KB123))/SUMIF($JS$3:$KB$3,JS$60,$JS$4:$KB$4)))</f>
        <v>0</v>
      </c>
      <c r="JT74" s="196" t="n">
        <f aca="false">IF((SUMIF($JS$3:$KB$3,JT$60,$JS$4:$KB$4))=0,0,((SUMIF($JS$3:$KB$3,JT$60,$JS123:$KB123))/SUMIF($JS$3:$KB$3,JT$60,$JS$4:$KB$4)))</f>
        <v>0</v>
      </c>
      <c r="JU74" s="196" t="n">
        <f aca="false">IF((SUMIF($JS$3:$KB$3,JU$60,$JS$4:$KB$4))=0,0,((SUMIF($JS$3:$KB$3,JU$60,$JS123:$KB123))/SUMIF($JS$3:$KB$3,JU$60,$JS$4:$KB$4)))</f>
        <v>0</v>
      </c>
      <c r="JV74" s="196" t="n">
        <f aca="false">IF((SUMIF($JS$3:$KB$3,JV$60,$JS$4:$KB$4))=0,0,((SUMIF($JS$3:$KB$3,JV$60,$JS123:$KB123))/SUMIF($JS$3:$KB$3,JV$60,$JS$4:$KB$4)))</f>
        <v>0</v>
      </c>
      <c r="JW74" s="196" t="n">
        <f aca="false">IF((SUMIF($JS$3:$KB$3,JW$60,$JS$4:$KB$4))=0,0,((SUMIF($JS$3:$KB$3,JW$60,$JS123:$KB123))/SUMIF($JS$3:$KB$3,JW$60,$JS$4:$KB$4)))</f>
        <v>0</v>
      </c>
      <c r="JX74" s="196" t="n">
        <f aca="false">IF((SUMIF($JS$3:$KB$3,JX$60,$JS$4:$KB$4))=0,0,((SUMIF($JS$3:$KB$3,JX$60,$JS123:$KB123))/SUMIF($JS$3:$KB$3,JX$60,$JS$4:$KB$4)))</f>
        <v>0</v>
      </c>
      <c r="JY74" s="196" t="n">
        <f aca="false">IF((SUMIF($JS$3:$KB$3,JY$60,$JS$4:$KB$4))=0,0,((SUMIF($JS$3:$KB$3,JY$60,$JS123:$KB123))/SUMIF($JS$3:$KB$3,JY$60,$JS$4:$KB$4)))</f>
        <v>0</v>
      </c>
      <c r="JZ74" s="196" t="n">
        <f aca="false">IF((SUMIF($JS$3:$KB$3,JZ$60,$JS$4:$KB$4))=0,0,((SUMIF($JS$3:$KB$3,JZ$60,$JS123:$KB123))/SUMIF($JS$3:$KB$3,JZ$60,$JS$4:$KB$4)))</f>
        <v>0</v>
      </c>
      <c r="KA74" s="196" t="n">
        <f aca="false">IF((SUMIF($JS$3:$KB$3,KA$60,$JS$4:$KB$4))=0,0,((SUMIF($JS$3:$KB$3,KA$60,$JS123:$KB123))/SUMIF($JS$3:$KB$3,KA$60,$JS$4:$KB$4)))</f>
        <v>0</v>
      </c>
      <c r="KB74" s="197" t="n">
        <f aca="false">IF((SUMIF($JS$3:$KB$3,KB$60,$JS$4:$KB$4))=0,0,((SUMIF($JS$3:$KB$3,KB$60,$JS123:$KB123))/SUMIF($JS$3:$KB$3,KB$60,$JS$4:$KB$4)))</f>
        <v>0</v>
      </c>
      <c r="KC74" s="194" t="str">
        <f aca="false">JR74</f>
        <v>Alumno13</v>
      </c>
      <c r="KD74" s="195" t="n">
        <f aca="false">IF((SUMIF($KD$3:$KM$3,KD$60,$KD$4:$KM$4))=0,0,((SUMIF($KD$3:$KM$3,KD$60,$KD123:$KM123))/SUMIF($KD$3:$KM$3,KD$60,$KD$4:$KM$4)))</f>
        <v>0</v>
      </c>
      <c r="KE74" s="196" t="n">
        <f aca="false">IF((SUMIF($KD$3:$KM$3,KE$60,$KD$4:$KM$4))=0,0,((SUMIF($KD$3:$KM$3,KE$60,$KD123:$KM123))/SUMIF($KD$3:$KM$3,KE$60,$KD$4:$KM$4)))</f>
        <v>0</v>
      </c>
      <c r="KF74" s="196" t="n">
        <f aca="false">IF((SUMIF($KD$3:$KM$3,KF$60,$KD$4:$KM$4))=0,0,((SUMIF($KD$3:$KM$3,KF$60,$KD123:$KM123))/SUMIF($KD$3:$KM$3,KF$60,$KD$4:$KM$4)))</f>
        <v>0</v>
      </c>
      <c r="KG74" s="196" t="n">
        <f aca="false">IF((SUMIF($KD$3:$KM$3,KG$60,$KD$4:$KM$4))=0,0,((SUMIF($KD$3:$KM$3,KG$60,$KD123:$KM123))/SUMIF($KD$3:$KM$3,KG$60,$KD$4:$KM$4)))</f>
        <v>0</v>
      </c>
      <c r="KH74" s="196" t="n">
        <f aca="false">IF((SUMIF($KD$3:$KM$3,KH$60,$KD$4:$KM$4))=0,0,((SUMIF($KD$3:$KM$3,KH$60,$KD123:$KM123))/SUMIF($KD$3:$KM$3,KH$60,$KD$4:$KM$4)))</f>
        <v>0</v>
      </c>
      <c r="KI74" s="196" t="n">
        <f aca="false">IF((SUMIF($KD$3:$KM$3,KI$60,$KD$4:$KM$4))=0,0,((SUMIF($KD$3:$KM$3,KI$60,$KD123:$KM123))/SUMIF($KD$3:$KM$3,KI$60,$KD$4:$KM$4)))</f>
        <v>0</v>
      </c>
      <c r="KJ74" s="196" t="n">
        <f aca="false">IF((SUMIF($KD$3:$KM$3,KJ$60,$KD$4:$KM$4))=0,0,((SUMIF($KD$3:$KM$3,KJ$60,$KD123:$KM123))/SUMIF($KD$3:$KM$3,KJ$60,$KD$4:$KM$4)))</f>
        <v>0</v>
      </c>
      <c r="KK74" s="196" t="n">
        <f aca="false">IF((SUMIF($KD$3:$KM$3,KK$60,$KD$4:$KM$4))=0,0,((SUMIF($KD$3:$KM$3,KK$60,$KD123:$KM123))/SUMIF($KD$3:$KM$3,KK$60,$KD$4:$KM$4)))</f>
        <v>0</v>
      </c>
      <c r="KL74" s="196" t="n">
        <f aca="false">IF((SUMIF($KD$3:$KM$3,KL$60,$KD$4:$KM$4))=0,0,((SUMIF($KD$3:$KM$3,KL$60,$KD123:$KM123))/SUMIF($KD$3:$KM$3,KL$60,$KD$4:$KM$4)))</f>
        <v>0</v>
      </c>
      <c r="KM74" s="197" t="n">
        <f aca="false">IF((SUMIF($KD$3:$KM$3,KM$60,$KD$4:$KM$4))=0,0,((SUMIF($KD$3:$KM$3,KM$60,$KD123:$KM123))/SUMIF($KD$3:$KM$3,KM$60,$KD$4:$KM$4)))</f>
        <v>0</v>
      </c>
      <c r="KN74" s="194" t="str">
        <f aca="false">KC74</f>
        <v>Alumno13</v>
      </c>
      <c r="KO74" s="195" t="n">
        <f aca="false">IF((SUMIF($KO$3:$KX$3,KO$60,$KO$4:$KX$4))=0,0,((SUMIF($KO$3:$KX$3,KO$60,$KO123:$KX123))/SUMIF($KO$3:$KX$3,KO$60,$KO$4:$KX$4)))</f>
        <v>0</v>
      </c>
      <c r="KP74" s="196" t="n">
        <f aca="false">IF((SUMIF($KO$3:$KX$3,KP$60,$KO$4:$KX$4))=0,0,((SUMIF($KO$3:$KX$3,KP$60,$KO123:$KX123))/SUMIF($KO$3:$KX$3,KP$60,$KO$4:$KX$4)))</f>
        <v>0</v>
      </c>
      <c r="KQ74" s="196" t="n">
        <f aca="false">IF((SUMIF($KO$3:$KX$3,KQ$60,$KO$4:$KX$4))=0,0,((SUMIF($KO$3:$KX$3,KQ$60,$KO123:$KX123))/SUMIF($KO$3:$KX$3,KQ$60,$KO$4:$KX$4)))</f>
        <v>0</v>
      </c>
      <c r="KR74" s="196" t="n">
        <f aca="false">IF((SUMIF($KO$3:$KX$3,KR$60,$KO$4:$KX$4))=0,0,((SUMIF($KO$3:$KX$3,KR$60,$KO123:$KX123))/SUMIF($KO$3:$KX$3,KR$60,$KO$4:$KX$4)))</f>
        <v>0</v>
      </c>
      <c r="KS74" s="196" t="n">
        <f aca="false">IF((SUMIF($KO$3:$KX$3,KS$60,$KO$4:$KX$4))=0,0,((SUMIF($KO$3:$KX$3,KS$60,$KO123:$KX123))/SUMIF($KO$3:$KX$3,KS$60,$KO$4:$KX$4)))</f>
        <v>0</v>
      </c>
      <c r="KT74" s="196" t="n">
        <f aca="false">IF((SUMIF($KO$3:$KX$3,KT$60,$KO$4:$KX$4))=0,0,((SUMIF($KO$3:$KX$3,KT$60,$KO123:$KX123))/SUMIF($KO$3:$KX$3,KT$60,$KO$4:$KX$4)))</f>
        <v>0</v>
      </c>
      <c r="KU74" s="196" t="n">
        <f aca="false">IF((SUMIF($KO$3:$KX$3,KU$60,$KO$4:$KX$4))=0,0,((SUMIF($KO$3:$KX$3,KU$60,$KO123:$KX123))/SUMIF($KO$3:$KX$3,KU$60,$KO$4:$KX$4)))</f>
        <v>0</v>
      </c>
      <c r="KV74" s="196" t="n">
        <f aca="false">IF((SUMIF($KO$3:$KX$3,KV$60,$KO$4:$KX$4))=0,0,((SUMIF($KO$3:$KX$3,KV$60,$KO123:$KX123))/SUMIF($KO$3:$KX$3,KV$60,$KO$4:$KX$4)))</f>
        <v>0</v>
      </c>
      <c r="KW74" s="196" t="n">
        <f aca="false">IF((SUMIF($KO$3:$KX$3,KW$60,$KO$4:$KX$4))=0,0,((SUMIF($KO$3:$KX$3,KW$60,$KO123:$KX123))/SUMIF($KO$3:$KX$3,KW$60,$KO$4:$KX$4)))</f>
        <v>0</v>
      </c>
      <c r="KX74" s="197" t="n">
        <f aca="false">IF((SUMIF($KO$3:$KX$3,KX$60,$KO$4:$KX$4))=0,0,((SUMIF($KO$3:$KX$3,KX$60,$KO123:$KX123))/SUMIF($KO$3:$KX$3,KX$60,$KO$4:$KX$4)))</f>
        <v>0</v>
      </c>
      <c r="KY74" s="194" t="str">
        <f aca="false">KN74</f>
        <v>Alumno13</v>
      </c>
      <c r="KZ74" s="195" t="n">
        <f aca="false">IF((SUMIF($KZ$3:$LI$3,KZ$60,$KZ$4:$LI$4))=0,0,((SUMIF($KZ$3:$LI$3,KZ$60,$KZ123:$LI123))/SUMIF($KZ$3:$LI$3,KZ$60,$KZ$4:$LI$4)))</f>
        <v>0</v>
      </c>
      <c r="LA74" s="196" t="n">
        <f aca="false">IF((SUMIF($KZ$3:$LI$3,LA$60,$KZ$4:$LI$4))=0,0,((SUMIF($KZ$3:$LI$3,LA$60,$KZ123:$LI123))/SUMIF($KZ$3:$LI$3,LA$60,$KZ$4:$LI$4)))</f>
        <v>0</v>
      </c>
      <c r="LB74" s="196" t="n">
        <f aca="false">IF((SUMIF($KZ$3:$LI$3,LB$60,$KZ$4:$LI$4))=0,0,((SUMIF($KZ$3:$LI$3,LB$60,$KZ123:$LI123))/SUMIF($KZ$3:$LI$3,LB$60,$KZ$4:$LI$4)))</f>
        <v>0</v>
      </c>
      <c r="LC74" s="196" t="n">
        <f aca="false">IF((SUMIF($KZ$3:$LI$3,LC$60,$KZ$4:$LI$4))=0,0,((SUMIF($KZ$3:$LI$3,LC$60,$KZ123:$LI123))/SUMIF($KZ$3:$LI$3,LC$60,$KZ$4:$LI$4)))</f>
        <v>0</v>
      </c>
      <c r="LD74" s="196" t="n">
        <f aca="false">IF((SUMIF($KZ$3:$LI$3,LD$60,$KZ$4:$LI$4))=0,0,((SUMIF($KZ$3:$LI$3,LD$60,$KZ123:$LI123))/SUMIF($KZ$3:$LI$3,LD$60,$KZ$4:$LI$4)))</f>
        <v>0</v>
      </c>
      <c r="LE74" s="196" t="n">
        <f aca="false">IF((SUMIF($KZ$3:$LI$3,LE$60,$KZ$4:$LI$4))=0,0,((SUMIF($KZ$3:$LI$3,LE$60,$KZ123:$LI123))/SUMIF($KZ$3:$LI$3,LE$60,$KZ$4:$LI$4)))</f>
        <v>0</v>
      </c>
      <c r="LF74" s="196" t="n">
        <f aca="false">IF((SUMIF($KZ$3:$LI$3,LF$60,$KZ$4:$LI$4))=0,0,((SUMIF($KZ$3:$LI$3,LF$60,$KZ123:$LI123))/SUMIF($KZ$3:$LI$3,LF$60,$KZ$4:$LI$4)))</f>
        <v>0</v>
      </c>
      <c r="LG74" s="196" t="n">
        <f aca="false">IF((SUMIF($KZ$3:$LI$3,LG$60,$KZ$4:$LI$4))=0,0,((SUMIF($KZ$3:$LI$3,LG$60,$KZ123:$LI123))/SUMIF($KZ$3:$LI$3,LG$60,$KZ$4:$LI$4)))</f>
        <v>0</v>
      </c>
      <c r="LH74" s="196" t="n">
        <f aca="false">IF((SUMIF($KZ$3:$LI$3,LH$60,$KZ$4:$LI$4))=0,0,((SUMIF($KZ$3:$LI$3,LH$60,$KZ123:$LI123))/SUMIF($KZ$3:$LI$3,LH$60,$KZ$4:$LI$4)))</f>
        <v>0</v>
      </c>
      <c r="LI74" s="197" t="n">
        <f aca="false">IF((SUMIF($KZ$3:$LI$3,LI$60,$KZ$4:$LI$4))=0,0,((SUMIF($KZ$3:$LI$3,LI$60,$KZ123:$LI123))/SUMIF($KZ$3:$LI$3,LI$60,$KZ$4:$LI$4)))</f>
        <v>0</v>
      </c>
      <c r="LJ74" s="194" t="str">
        <f aca="false">KY74</f>
        <v>Alumno13</v>
      </c>
      <c r="LK74" s="195" t="n">
        <f aca="false">IF((SUMIF($LK$3:$LT$3,LK$60,$LK$4:$LT$4))=0,0,((SUMIF($LK$3:$LT$3,LK$60,$LK123:$LT123))/SUMIF($LK$3:$LT$3,LK$60,$LK$4:$LT$4)))</f>
        <v>0</v>
      </c>
      <c r="LL74" s="196" t="n">
        <f aca="false">IF((SUMIF($LK$3:$LT$3,LL$60,$LK$4:$LT$4))=0,0,((SUMIF($LK$3:$LT$3,LL$60,$LK123:$LT123))/SUMIF($LK$3:$LT$3,LL$60,$LK$4:$LT$4)))</f>
        <v>0</v>
      </c>
      <c r="LM74" s="196" t="n">
        <f aca="false">IF((SUMIF($LK$3:$LT$3,LM$60,$LK$4:$LT$4))=0,0,((SUMIF($LK$3:$LT$3,LM$60,$LK123:$LT123))/SUMIF($LK$3:$LT$3,LM$60,$LK$4:$LT$4)))</f>
        <v>0</v>
      </c>
      <c r="LN74" s="196" t="n">
        <f aca="false">IF((SUMIF($LK$3:$LT$3,LN$60,$LK$4:$LT$4))=0,0,((SUMIF($LK$3:$LT$3,LN$60,$LK123:$LT123))/SUMIF($LK$3:$LT$3,LN$60,$LK$4:$LT$4)))</f>
        <v>0</v>
      </c>
      <c r="LO74" s="196" t="n">
        <f aca="false">IF((SUMIF($LK$3:$LT$3,LO$60,$LK$4:$LT$4))=0,0,((SUMIF($LK$3:$LT$3,LO$60,$LK123:$LT123))/SUMIF($LK$3:$LT$3,LO$60,$LK$4:$LT$4)))</f>
        <v>0</v>
      </c>
      <c r="LP74" s="196" t="n">
        <f aca="false">IF((SUMIF($LK$3:$LT$3,LP$60,$LK$4:$LT$4))=0,0,((SUMIF($LK$3:$LT$3,LP$60,$LK123:$LT123))/SUMIF($LK$3:$LT$3,LP$60,$LK$4:$LT$4)))</f>
        <v>0</v>
      </c>
      <c r="LQ74" s="196" t="n">
        <f aca="false">IF((SUMIF($LK$3:$LT$3,LQ$60,$LK$4:$LT$4))=0,0,((SUMIF($LK$3:$LT$3,LQ$60,$LK123:$LT123))/SUMIF($LK$3:$LT$3,LQ$60,$LK$4:$LT$4)))</f>
        <v>0</v>
      </c>
      <c r="LR74" s="196" t="n">
        <f aca="false">IF((SUMIF($LK$3:$LT$3,LR$60,$LK$4:$LT$4))=0,0,((SUMIF($LK$3:$LT$3,LR$60,$LK123:$LT123))/SUMIF($LK$3:$LT$3,LR$60,$LK$4:$LT$4)))</f>
        <v>0</v>
      </c>
      <c r="LS74" s="196" t="n">
        <f aca="false">IF((SUMIF($LK$3:$LT$3,LS$60,$LK$4:$LT$4))=0,0,((SUMIF($LK$3:$LT$3,LS$60,$LK123:$LT123))/SUMIF($LK$3:$LT$3,LS$60,$LK$4:$LT$4)))</f>
        <v>0</v>
      </c>
      <c r="LT74" s="197" t="n">
        <f aca="false">IF((SUMIF($LK$3:$LT$3,LT$60,$LK$4:$LT$4))=0,0,((SUMIF($LK$3:$LT$3,LT$60,$LK123:$LT123))/SUMIF($LK$3:$LT$3,LT$60,$LK$4:$LT$4)))</f>
        <v>0</v>
      </c>
    </row>
    <row r="75" customFormat="false" ht="15" hidden="true" customHeight="false" outlineLevel="0" collapsed="false">
      <c r="C75" s="194" t="str">
        <f aca="false">B19</f>
        <v>Alumno14</v>
      </c>
      <c r="D75" s="195" t="n">
        <f aca="false">IF((SUMIF($D$3:$M$3,D$60,$D$4:$M$4))=0,0,((SUMIF($D$3:$M$3,D$60,$D124:$M124))/SUMIF($D$3:$M$3,D$60,$D$4:$M$4)))</f>
        <v>4.1</v>
      </c>
      <c r="E75" s="196" t="n">
        <f aca="false">IF((SUMIF($D$3:$M$3,E$60,$D$4:$M$4))=0,0,((SUMIF($D$3:$M$3,E$60,$D124:$M124))/SUMIF($D$3:$M$3,E$60,$D$4:$M$4)))</f>
        <v>0</v>
      </c>
      <c r="F75" s="196" t="n">
        <f aca="false">IF((SUMIF($D$3:$M$3,F$60,$D$4:$M$4))=0,0,((SUMIF($D$3:$M$3,F$60,$D124:$M124))/SUMIF($D$3:$M$3,F$60,$D$4:$M$4)))</f>
        <v>0</v>
      </c>
      <c r="G75" s="196" t="n">
        <f aca="false">IF((SUMIF($D$3:$M$3,G$60,$D$4:$M$4))=0,0,((SUMIF($D$3:$M$3,G$60,$D124:$M124))/SUMIF($D$3:$M$3,G$60,$D$4:$M$4)))</f>
        <v>0</v>
      </c>
      <c r="H75" s="196" t="n">
        <f aca="false">IF((SUMIF($D$3:$M$3,H$60,$D$4:$M$4))=0,0,((SUMIF($D$3:$M$3,H$60,$D124:$M124))/SUMIF($D$3:$M$3,H$60,$D$4:$M$4)))</f>
        <v>0</v>
      </c>
      <c r="I75" s="196" t="n">
        <f aca="false">IF((SUMIF($D$3:$M$3,I$60,$D$4:$M$4))=0,0,((SUMIF($D$3:$M$3,I$60,$D124:$M124))/SUMIF($D$3:$M$3,I$60,$D$4:$M$4)))</f>
        <v>0</v>
      </c>
      <c r="J75" s="196" t="n">
        <f aca="false">IF((SUMIF($D$3:$M$3,J$60,$D$4:$M$4))=0,0,((SUMIF($D$3:$M$3,J$60,$D124:$M124))/SUMIF($D$3:$M$3,J$60,$D$4:$M$4)))</f>
        <v>0</v>
      </c>
      <c r="K75" s="196" t="n">
        <f aca="false">IF((SUMIF($D$3:$M$3,K$60,$D$4:$M$4))=0,0,((SUMIF($D$3:$M$3,K$60,$D124:$M124))/SUMIF($D$3:$M$3,K$60,$D$4:$M$4)))</f>
        <v>0</v>
      </c>
      <c r="L75" s="196" t="n">
        <f aca="false">IF((SUMIF($D$3:$M$3,L$60,$D$4:$M$4))=0,0,((SUMIF($D$3:$M$3,L$60,$D124:$M124))/SUMIF($D$3:$M$3,L$60,$D$4:$M$4)))</f>
        <v>0</v>
      </c>
      <c r="M75" s="197" t="n">
        <f aca="false">IF((SUMIF($D$3:$M$3,M$60,$D$4:$M$4))=0,0,((SUMIF($D$3:$M$3,M$60,$D124:$M124))/SUMIF($D$3:$M$3,M$60,$D$4:$M$4)))</f>
        <v>0</v>
      </c>
      <c r="N75" s="194" t="str">
        <f aca="false">C75</f>
        <v>Alumno14</v>
      </c>
      <c r="O75" s="195" t="n">
        <f aca="false">IF((SUMIF($O$3:$X$3,O$60,$O$4:$X$4))=0,0,((SUMIF($O$3:$X$3,O$60,$O124:$X124))/SUMIF($O$3:$X$3,O$60,$O$4:$X$4)))</f>
        <v>4.25</v>
      </c>
      <c r="P75" s="196" t="n">
        <f aca="false">IF((SUMIF($O$3:$X$3,P$60,$O$4:$X$4))=0,0,((SUMIF($O$3:$X$3,P$60,$O124:$X124))/SUMIF($O$3:$X$3,P$60,$O$4:$X$4)))</f>
        <v>5</v>
      </c>
      <c r="Q75" s="196" t="n">
        <f aca="false">IF((SUMIF($O$3:$X$3,Q$60,$O$4:$X$4))=0,0,((SUMIF($O$3:$X$3,Q$60,$O124:$X124))/SUMIF($O$3:$X$3,Q$60,$O$4:$X$4)))</f>
        <v>0</v>
      </c>
      <c r="R75" s="196" t="n">
        <f aca="false">IF((SUMIF($O$3:$X$3,R$60,$O$4:$X$4))=0,0,((SUMIF($O$3:$X$3,R$60,$O124:$X124))/SUMIF($O$3:$X$3,R$60,$O$4:$X$4)))</f>
        <v>0</v>
      </c>
      <c r="S75" s="196" t="n">
        <f aca="false">IF((SUMIF($O$3:$X$3,S$60,$O$4:$X$4))=0,0,((SUMIF($O$3:$X$3,S$60,$O124:$X124))/SUMIF($O$3:$X$3,S$60,$O$4:$X$4)))</f>
        <v>0</v>
      </c>
      <c r="T75" s="196" t="n">
        <f aca="false">IF((SUMIF($O$3:$X$3,T$60,$O$4:$X$4))=0,0,((SUMIF($O$3:$X$3,T$60,$O124:$X124))/SUMIF($O$3:$X$3,T$60,$O$4:$X$4)))</f>
        <v>0</v>
      </c>
      <c r="U75" s="196" t="n">
        <f aca="false">IF((SUMIF($O$3:$X$3,U$60,$O$4:$X$4))=0,0,((SUMIF($O$3:$X$3,U$60,$O124:$X124))/SUMIF($O$3:$X$3,U$60,$O$4:$X$4)))</f>
        <v>0</v>
      </c>
      <c r="V75" s="196" t="n">
        <f aca="false">IF((SUMIF($O$3:$X$3,V$60,$O$4:$X$4))=0,0,((SUMIF($O$3:$X$3,V$60,$O124:$X124))/SUMIF($O$3:$X$3,V$60,$O$4:$X$4)))</f>
        <v>0</v>
      </c>
      <c r="W75" s="196" t="n">
        <f aca="false">IF((SUMIF($O$3:$X$3,W$60,$O$4:$X$4))=0,0,((SUMIF($O$3:$X$3,W$60,$O124:$X124))/SUMIF($O$3:$X$3,W$60,$O$4:$X$4)))</f>
        <v>0</v>
      </c>
      <c r="X75" s="197" t="n">
        <f aca="false">IF((SUMIF($O$3:$X$3,X$60,$O$4:$X$4))=0,0,((SUMIF($O$3:$X$3,X$60,$O124:$X124))/SUMIF($O$3:$X$3,X$60,$O$4:$X$4)))</f>
        <v>0</v>
      </c>
      <c r="Y75" s="194" t="str">
        <f aca="false">N75</f>
        <v>Alumno14</v>
      </c>
      <c r="Z75" s="195" t="n">
        <f aca="false">IF((SUMIF($Z$3:$AI$3,Z$60,$Z$4:$AI$4))=0,0,((SUMIF($Z$3:$AI$3,Z$60,$Z124:$AI124))/SUMIF($Z$3:$AI$3,Z$60,$Z$4:$AI$4)))</f>
        <v>5</v>
      </c>
      <c r="AA75" s="196" t="n">
        <f aca="false">IF((SUMIF($Z$3:$AI$3,AA$60,$Z$4:$AI$4))=0,0,((SUMIF($Z$3:$AI$3,AA$60,$Z124:$AI124))/SUMIF($Z$3:$AI$3,AA$60,$Z$4:$AI$4)))</f>
        <v>5</v>
      </c>
      <c r="AB75" s="196" t="n">
        <f aca="false">IF((SUMIF($Z$3:$AI$3,AB$60,$Z$4:$AI$4))=0,0,((SUMIF($Z$3:$AI$3,AB$60,$Z124:$AI124))/SUMIF($Z$3:$AI$3,AB$60,$Z$4:$AI$4)))</f>
        <v>5</v>
      </c>
      <c r="AC75" s="196" t="n">
        <f aca="false">IF((SUMIF($Z$3:$AI$3,AC$60,$Z$4:$AI$4))=0,0,((SUMIF($Z$3:$AI$3,AC$60,$Z124:$AI124))/SUMIF($Z$3:$AI$3,AC$60,$Z$4:$AI$4)))</f>
        <v>0</v>
      </c>
      <c r="AD75" s="196" t="n">
        <f aca="false">IF((SUMIF($Z$3:$AI$3,AD$60,$Z$4:$AI$4))=0,0,((SUMIF($Z$3:$AI$3,AD$60,$Z124:$AI124))/SUMIF($Z$3:$AI$3,AD$60,$Z$4:$AI$4)))</f>
        <v>0</v>
      </c>
      <c r="AE75" s="196" t="n">
        <f aca="false">IF((SUMIF($Z$3:$AI$3,AE$60,$Z$4:$AI$4))=0,0,((SUMIF($Z$3:$AI$3,AE$60,$Z124:$AI124))/SUMIF($Z$3:$AI$3,AE$60,$Z$4:$AI$4)))</f>
        <v>0</v>
      </c>
      <c r="AF75" s="196" t="n">
        <f aca="false">IF((SUMIF($Z$3:$AI$3,AF$60,$Z$4:$AI$4))=0,0,((SUMIF($Z$3:$AI$3,AF$60,$Z124:$AI124))/SUMIF($Z$3:$AI$3,AF$60,$Z$4:$AI$4)))</f>
        <v>0</v>
      </c>
      <c r="AG75" s="196" t="n">
        <f aca="false">IF((SUMIF($Z$3:$AI$3,AG$60,$Z$4:$AI$4))=0,0,((SUMIF($Z$3:$AI$3,AG$60,$Z124:$AI124))/SUMIF($Z$3:$AI$3,AG$60,$Z$4:$AI$4)))</f>
        <v>0</v>
      </c>
      <c r="AH75" s="196" t="n">
        <f aca="false">IF((SUMIF($Z$3:$AI$3,AH$60,$Z$4:$AI$4))=0,0,((SUMIF($Z$3:$AI$3,AH$60,$Z124:$AI124))/SUMIF($Z$3:$AI$3,AH$60,$Z$4:$AI$4)))</f>
        <v>0</v>
      </c>
      <c r="AI75" s="197" t="n">
        <f aca="false">IF((SUMIF($Z$3:$AI$3,AI$60,$Z$4:$AI$4))=0,0,((SUMIF($Z$3:$AI$3,AI$60,$Z124:$AI124))/SUMIF($Z$3:$AI$3,AI$60,$Z$4:$AI$4)))</f>
        <v>0</v>
      </c>
      <c r="AJ75" s="194" t="str">
        <f aca="false">Y75</f>
        <v>Alumno14</v>
      </c>
      <c r="AK75" s="195" t="n">
        <f aca="false">IF((SUMIF($AK$3:$AT$3,AK$60,$AK$4:$AT$4))=0,0,((SUMIF($AK$3:$AT$3,AK$60,$AK124:$AT124))/SUMIF($AK$3:$AT$3,AK$60,$AK$4:$AT$4)))</f>
        <v>5</v>
      </c>
      <c r="AL75" s="196" t="n">
        <f aca="false">IF((SUMIF($AK$3:$AT$3,AL$60,$AK$4:$AT$4))=0,0,((SUMIF($AK$3:$AT$3,AL$60,$AK124:$AT124))/SUMIF($AK$3:$AT$3,AL$60,$AK$4:$AT$4)))</f>
        <v>5</v>
      </c>
      <c r="AM75" s="196" t="n">
        <f aca="false">IF((SUMIF($AK$3:$AT$3,AM$60,$AK$4:$AT$4))=0,0,((SUMIF($AK$3:$AT$3,AM$60,$AK124:$AT124))/SUMIF($AK$3:$AT$3,AM$60,$AK$4:$AT$4)))</f>
        <v>5</v>
      </c>
      <c r="AN75" s="196" t="n">
        <f aca="false">IF((SUMIF($AK$3:$AT$3,AN$60,$AK$4:$AT$4))=0,0,((SUMIF($AK$3:$AT$3,AN$60,$AK124:$AT124))/SUMIF($AK$3:$AT$3,AN$60,$AK$4:$AT$4)))</f>
        <v>0</v>
      </c>
      <c r="AO75" s="196" t="n">
        <f aca="false">IF((SUMIF($AK$3:$AT$3,AO$60,$AK$4:$AT$4))=0,0,((SUMIF($AK$3:$AT$3,AO$60,$AK124:$AT124))/SUMIF($AK$3:$AT$3,AO$60,$AK$4:$AT$4)))</f>
        <v>0</v>
      </c>
      <c r="AP75" s="196" t="n">
        <f aca="false">IF((SUMIF($AK$3:$AT$3,AP$60,$AK$4:$AT$4))=0,0,((SUMIF($AK$3:$AT$3,AP$60,$AK124:$AT124))/SUMIF($AK$3:$AT$3,AP$60,$AK$4:$AT$4)))</f>
        <v>0</v>
      </c>
      <c r="AQ75" s="196" t="n">
        <f aca="false">IF((SUMIF($AK$3:$AT$3,AQ$60,$AK$4:$AT$4))=0,0,((SUMIF($AK$3:$AT$3,AQ$60,$AK124:$AT124))/SUMIF($AK$3:$AT$3,AQ$60,$AK$4:$AT$4)))</f>
        <v>0</v>
      </c>
      <c r="AR75" s="196" t="n">
        <f aca="false">IF((SUMIF($AK$3:$AT$3,AR$60,$AK$4:$AT$4))=0,0,((SUMIF($AK$3:$AT$3,AR$60,$AK124:$AT124))/SUMIF($AK$3:$AT$3,AR$60,$AK$4:$AT$4)))</f>
        <v>0</v>
      </c>
      <c r="AS75" s="196" t="n">
        <f aca="false">IF((SUMIF($AK$3:$AT$3,AS$60,$AK$4:$AT$4))=0,0,((SUMIF($AK$3:$AT$3,AS$60,$AK124:$AT124))/SUMIF($AK$3:$AT$3,AS$60,$AK$4:$AT$4)))</f>
        <v>0</v>
      </c>
      <c r="AT75" s="197" t="n">
        <f aca="false">IF((SUMIF($AK$3:$AT$3,AT$60,$AK$4:$AT$4))=0,0,((SUMIF($AK$3:$AT$3,AT$60,$AK124:$AT124))/SUMIF($AK$3:$AT$3,AT$60,$AK$4:$AT$4)))</f>
        <v>0</v>
      </c>
      <c r="AU75" s="194" t="str">
        <f aca="false">AJ75</f>
        <v>Alumno14</v>
      </c>
      <c r="AV75" s="195" t="n">
        <f aca="false">IF((SUMIF($AV$3:$BE$3,AV$60,$AV$4:$BE$4))=0,0,((SUMIF($AV$3:$BE$3,AV$60,$AV124:$BE124))/SUMIF($AV$3:$BE$3,AV$60,$AV$4:$BE$4)))</f>
        <v>4</v>
      </c>
      <c r="AW75" s="196" t="n">
        <f aca="false">IF((SUMIF($AV$3:$BE$3,AW$60,$AV$4:$BE$4))=0,0,((SUMIF($AV$3:$BE$3,AW$60,$AV124:$BE124))/SUMIF($AV$3:$BE$3,AW$60,$AV$4:$BE$4)))</f>
        <v>3</v>
      </c>
      <c r="AX75" s="196" t="n">
        <f aca="false">IF((SUMIF($AV$3:$BE$3,AX$60,$AV$4:$BE$4))=0,0,((SUMIF($AV$3:$BE$3,AX$60,$AV124:$BE124))/SUMIF($AV$3:$BE$3,AX$60,$AV$4:$BE$4)))</f>
        <v>5.6</v>
      </c>
      <c r="AY75" s="196" t="n">
        <f aca="false">IF((SUMIF($AV$3:$BE$3,AY$60,$AV$4:$BE$4))=0,0,((SUMIF($AV$3:$BE$3,AY$60,$AV124:$BE124))/SUMIF($AV$3:$BE$3,AY$60,$AV$4:$BE$4)))</f>
        <v>4</v>
      </c>
      <c r="AZ75" s="196" t="n">
        <f aca="false">IF((SUMIF($AV$3:$BE$3,AZ$60,$AV$4:$BE$4))=0,0,((SUMIF($AV$3:$BE$3,AZ$60,$AV124:$BE124))/SUMIF($AV$3:$BE$3,AZ$60,$AV$4:$BE$4)))</f>
        <v>0</v>
      </c>
      <c r="BA75" s="196" t="n">
        <f aca="false">IF((SUMIF($AV$3:$BE$3,BA$60,$AV$4:$BE$4))=0,0,((SUMIF($AV$3:$BE$3,BA$60,$AV124:$BE124))/SUMIF($AV$3:$BE$3,BA$60,$AV$4:$BE$4)))</f>
        <v>0</v>
      </c>
      <c r="BB75" s="196" t="n">
        <f aca="false">IF((SUMIF($AV$3:$BE$3,BB$60,$AV$4:$BE$4))=0,0,((SUMIF($AV$3:$BE$3,BB$60,$AV124:$BE124))/SUMIF($AV$3:$BE$3,BB$60,$AV$4:$BE$4)))</f>
        <v>0</v>
      </c>
      <c r="BC75" s="196" t="n">
        <f aca="false">IF((SUMIF($AV$3:$BE$3,BC$60,$AV$4:$BE$4))=0,0,((SUMIF($AV$3:$BE$3,BC$60,$AV124:$BE124))/SUMIF($AV$3:$BE$3,BC$60,$AV$4:$BE$4)))</f>
        <v>0</v>
      </c>
      <c r="BD75" s="196" t="n">
        <f aca="false">IF((SUMIF($AV$3:$BE$3,BD$60,$AV$4:$BE$4))=0,0,((SUMIF($AV$3:$BE$3,BD$60,$AV124:$BE124))/SUMIF($AV$3:$BE$3,BD$60,$AV$4:$BE$4)))</f>
        <v>0</v>
      </c>
      <c r="BE75" s="197" t="n">
        <f aca="false">IF((SUMIF($AV$3:$BE$3,BE$60,$AV$4:$BE$4))=0,0,((SUMIF($AV$3:$BE$3,BE$60,$AV124:$BE124))/SUMIF($AV$3:$BE$3,BE$60,$AV$4:$BE$4)))</f>
        <v>0</v>
      </c>
      <c r="BF75" s="194" t="str">
        <f aca="false">AU75</f>
        <v>Alumno14</v>
      </c>
      <c r="BG75" s="195" t="n">
        <f aca="false">IF((SUMIF($BG$3:$BP$3,BG$60,$BG$4:$BP$4))=0,0,((SUMIF($BG$3:$BP$3,BG$60,$BG124:$BP124))/SUMIF($BG$3:$BP$3,BG$60,$BG$4:$BP$4)))</f>
        <v>4</v>
      </c>
      <c r="BH75" s="196" t="n">
        <f aca="false">IF((SUMIF($BG$3:$BP$3,BH$60,$BG$4:$BP$4))=0,0,((SUMIF($BG$3:$BP$3,BH$60,$BG124:$BP124))/SUMIF($BG$3:$BP$3,BH$60,$BG$4:$BP$4)))</f>
        <v>3</v>
      </c>
      <c r="BI75" s="196" t="n">
        <f aca="false">IF((SUMIF($BG$3:$BP$3,BI$60,$BG$4:$BP$4))=0,0,((SUMIF($BG$3:$BP$3,BI$60,$BG124:$BP124))/SUMIF($BG$3:$BP$3,BI$60,$BG$4:$BP$4)))</f>
        <v>5</v>
      </c>
      <c r="BJ75" s="196" t="n">
        <f aca="false">IF((SUMIF($BG$3:$BP$3,BJ$60,$BG$4:$BP$4))=0,0,((SUMIF($BG$3:$BP$3,BJ$60,$BG124:$BP124))/SUMIF($BG$3:$BP$3,BJ$60,$BG$4:$BP$4)))</f>
        <v>4.8</v>
      </c>
      <c r="BK75" s="196" t="n">
        <f aca="false">IF((SUMIF($BG$3:$BP$3,BK$60,$BG$4:$BP$4))=0,0,((SUMIF($BG$3:$BP$3,BK$60,$BG124:$BP124))/SUMIF($BG$3:$BP$3,BK$60,$BG$4:$BP$4)))</f>
        <v>0</v>
      </c>
      <c r="BL75" s="196" t="n">
        <f aca="false">IF((SUMIF($BG$3:$BP$3,BL$60,$BG$4:$BP$4))=0,0,((SUMIF($BG$3:$BP$3,BL$60,$BG124:$BP124))/SUMIF($BG$3:$BP$3,BL$60,$BG$4:$BP$4)))</f>
        <v>0</v>
      </c>
      <c r="BM75" s="196" t="n">
        <f aca="false">IF((SUMIF($BG$3:$BP$3,BM$60,$BG$4:$BP$4))=0,0,((SUMIF($BG$3:$BP$3,BM$60,$BG124:$BP124))/SUMIF($BG$3:$BP$3,BM$60,$BG$4:$BP$4)))</f>
        <v>0</v>
      </c>
      <c r="BN75" s="196" t="n">
        <f aca="false">IF((SUMIF($BG$3:$BP$3,BN$60,$BG$4:$BP$4))=0,0,((SUMIF($BG$3:$BP$3,BN$60,$BG124:$BP124))/SUMIF($BG$3:$BP$3,BN$60,$BG$4:$BP$4)))</f>
        <v>0</v>
      </c>
      <c r="BO75" s="196" t="n">
        <f aca="false">IF((SUMIF($BG$3:$BP$3,BO$60,$BG$4:$BP$4))=0,0,((SUMIF($BG$3:$BP$3,BO$60,$BG124:$BP124))/SUMIF($BG$3:$BP$3,BO$60,$BG$4:$BP$4)))</f>
        <v>0</v>
      </c>
      <c r="BP75" s="197" t="n">
        <f aca="false">IF((SUMIF($BG$3:$BP$3,BP$60,$BG$4:$BP$4))=0,0,((SUMIF($BG$3:$BP$3,BP$60,$BG124:$BP124))/SUMIF($BG$3:$BP$3,BP$60,$BG$4:$BP$4)))</f>
        <v>0</v>
      </c>
      <c r="BQ75" s="194" t="str">
        <f aca="false">BF75</f>
        <v>Alumno14</v>
      </c>
      <c r="BR75" s="195" t="n">
        <f aca="false">IF((SUMIF($BR$3:$CA$3,BR$60,$BR$4:$CA$4))=0,0,((SUMIF($BR$3:$CA$3,BR$60,$BR124:$CA124))/SUMIF($BR$3:$CA$3,BR$60,$BR$4:$CA$4)))</f>
        <v>0</v>
      </c>
      <c r="BS75" s="196" t="n">
        <f aca="false">IF((SUMIF($BR$3:$CA$3,BS$60,$BR$4:$CA$4))=0,0,((SUMIF($BR$3:$CA$3,BS$60,$BR124:$CA124))/SUMIF($BR$3:$CA$3,BS$60,$BR$4:$CA$4)))</f>
        <v>9</v>
      </c>
      <c r="BT75" s="196" t="n">
        <f aca="false">IF((SUMIF($BR$3:$CA$3,BT$60,$BR$4:$CA$4))=0,0,((SUMIF($BR$3:$CA$3,BT$60,$BR124:$CA124))/SUMIF($BR$3:$CA$3,BT$60,$BR$4:$CA$4)))</f>
        <v>9</v>
      </c>
      <c r="BU75" s="196" t="n">
        <f aca="false">IF((SUMIF($BR$3:$CA$3,BU$60,$BR$4:$CA$4))=0,0,((SUMIF($BR$3:$CA$3,BU$60,$BR124:$CA124))/SUMIF($BR$3:$CA$3,BU$60,$BR$4:$CA$4)))</f>
        <v>9</v>
      </c>
      <c r="BV75" s="196" t="n">
        <f aca="false">IF((SUMIF($BR$3:$CA$3,BV$60,$BR$4:$CA$4))=0,0,((SUMIF($BR$3:$CA$3,BV$60,$BR124:$CA124))/SUMIF($BR$3:$CA$3,BV$60,$BR$4:$CA$4)))</f>
        <v>0</v>
      </c>
      <c r="BW75" s="196" t="n">
        <f aca="false">IF((SUMIF($BR$3:$CA$3,BW$60,$BR$4:$CA$4))=0,0,((SUMIF($BR$3:$CA$3,BW$60,$BR124:$CA124))/SUMIF($BR$3:$CA$3,BW$60,$BR$4:$CA$4)))</f>
        <v>0</v>
      </c>
      <c r="BX75" s="196" t="n">
        <f aca="false">IF((SUMIF($BR$3:$CA$3,BX$60,$BR$4:$CA$4))=0,0,((SUMIF($BR$3:$CA$3,BX$60,$BR124:$CA124))/SUMIF($BR$3:$CA$3,BX$60,$BR$4:$CA$4)))</f>
        <v>0</v>
      </c>
      <c r="BY75" s="196" t="n">
        <f aca="false">IF((SUMIF($BR$3:$CA$3,BY$60,$BR$4:$CA$4))=0,0,((SUMIF($BR$3:$CA$3,BY$60,$BR124:$CA124))/SUMIF($BR$3:$CA$3,BY$60,$BR$4:$CA$4)))</f>
        <v>0</v>
      </c>
      <c r="BZ75" s="196" t="n">
        <f aca="false">IF((SUMIF($BR$3:$CA$3,BZ$60,$BR$4:$CA$4))=0,0,((SUMIF($BR$3:$CA$3,BZ$60,$BR124:$CA124))/SUMIF($BR$3:$CA$3,BZ$60,$BR$4:$CA$4)))</f>
        <v>0</v>
      </c>
      <c r="CA75" s="197" t="n">
        <f aca="false">IF((SUMIF($BR$3:$CA$3,CA$60,$BR$4:$CA$4))=0,0,((SUMIF($BR$3:$CA$3,CA$60,$BR124:$CA124))/SUMIF($BR$3:$CA$3,CA$60,$BR$4:$CA$4)))</f>
        <v>0</v>
      </c>
      <c r="CB75" s="194" t="str">
        <f aca="false">BQ75</f>
        <v>Alumno14</v>
      </c>
      <c r="CC75" s="195" t="n">
        <f aca="false">IF((SUMIF($CC$3:$CL$3,CC$60,$CC$4:$CL$4))=0,0,((SUMIF($CC$3:$CL$3,CC$60,$CC124:$CL124))/SUMIF($CC$3:$CL$3,CC$60,$CC$4:$CL$4)))</f>
        <v>0</v>
      </c>
      <c r="CD75" s="196" t="n">
        <f aca="false">IF((SUMIF($CC$3:$CL$3,CD$60,$CC$4:$CL$4))=0,0,((SUMIF($CC$3:$CL$3,CD$60,$CC124:$CL124))/SUMIF($CC$3:$CL$3,CD$60,$CC$4:$CL$4)))</f>
        <v>0</v>
      </c>
      <c r="CE75" s="196" t="n">
        <f aca="false">IF((SUMIF($CC$3:$CL$3,CE$60,$CC$4:$CL$4))=0,0,((SUMIF($CC$3:$CL$3,CE$60,$CC124:$CL124))/SUMIF($CC$3:$CL$3,CE$60,$CC$4:$CL$4)))</f>
        <v>0</v>
      </c>
      <c r="CF75" s="196" t="n">
        <f aca="false">IF((SUMIF($CC$3:$CL$3,CF$60,$CC$4:$CL$4))=0,0,((SUMIF($CC$3:$CL$3,CF$60,$CC124:$CL124))/SUMIF($CC$3:$CL$3,CF$60,$CC$4:$CL$4)))</f>
        <v>0</v>
      </c>
      <c r="CG75" s="196" t="n">
        <f aca="false">IF((SUMIF($CC$3:$CL$3,CG$60,$CC$4:$CL$4))=0,0,((SUMIF($CC$3:$CL$3,CG$60,$CC124:$CL124))/SUMIF($CC$3:$CL$3,CG$60,$CC$4:$CL$4)))</f>
        <v>0</v>
      </c>
      <c r="CH75" s="196" t="n">
        <f aca="false">IF((SUMIF($CC$3:$CL$3,CH$60,$CC$4:$CL$4))=0,0,((SUMIF($CC$3:$CL$3,CH$60,$CC124:$CL124))/SUMIF($CC$3:$CL$3,CH$60,$CC$4:$CL$4)))</f>
        <v>0</v>
      </c>
      <c r="CI75" s="196" t="n">
        <f aca="false">IF((SUMIF($CC$3:$CL$3,CI$60,$CC$4:$CL$4))=0,0,((SUMIF($CC$3:$CL$3,CI$60,$CC124:$CL124))/SUMIF($CC$3:$CL$3,CI$60,$CC$4:$CL$4)))</f>
        <v>0</v>
      </c>
      <c r="CJ75" s="196" t="n">
        <f aca="false">IF((SUMIF($CC$3:$CL$3,CJ$60,$CC$4:$CL$4))=0,0,((SUMIF($CC$3:$CL$3,CJ$60,$CC124:$CL124))/SUMIF($CC$3:$CL$3,CJ$60,$CC$4:$CL$4)))</f>
        <v>0</v>
      </c>
      <c r="CK75" s="196" t="n">
        <f aca="false">IF((SUMIF($CC$3:$CL$3,CK$60,$CC$4:$CL$4))=0,0,((SUMIF($CC$3:$CL$3,CK$60,$CC124:$CL124))/SUMIF($CC$3:$CL$3,CK$60,$CC$4:$CL$4)))</f>
        <v>0</v>
      </c>
      <c r="CL75" s="197" t="n">
        <f aca="false">IF((SUMIF($CC$3:$CL$3,CL$60,$CC$4:$CL$4))=0,0,((SUMIF($CC$3:$CL$3,CL$60,$CC124:$CL124))/SUMIF($CC$3:$CL$3,CL$60,$CC$4:$CL$4)))</f>
        <v>0</v>
      </c>
      <c r="CM75" s="194" t="str">
        <f aca="false">CB75</f>
        <v>Alumno14</v>
      </c>
      <c r="CN75" s="195" t="n">
        <f aca="false">IF((SUMIF($CN$3:$CW$3,CN$60,$CN$4:$CW$4))=0,0,((SUMIF($CN$3:$CW$3,CN$60,$CN124:$CW124))/SUMIF($CN$3:$CW$3,CN$60,$CN$4:$CW$4)))</f>
        <v>0</v>
      </c>
      <c r="CO75" s="196" t="n">
        <f aca="false">IF((SUMIF($CN$3:$CW$3,CO$60,$CN$4:$CW$4))=0,0,((SUMIF($CN$3:$CW$3,CO$60,$CN124:$CW124))/SUMIF($CN$3:$CW$3,CO$60,$CN$4:$CW$4)))</f>
        <v>0</v>
      </c>
      <c r="CP75" s="196" t="n">
        <f aca="false">IF((SUMIF($CN$3:$CW$3,CP$60,$CN$4:$CW$4))=0,0,((SUMIF($CN$3:$CW$3,CP$60,$CN124:$CW124))/SUMIF($CN$3:$CW$3,CP$60,$CN$4:$CW$4)))</f>
        <v>0</v>
      </c>
      <c r="CQ75" s="196" t="n">
        <f aca="false">IF((SUMIF($CN$3:$CW$3,CQ$60,$CN$4:$CW$4))=0,0,((SUMIF($CN$3:$CW$3,CQ$60,$CN124:$CW124))/SUMIF($CN$3:$CW$3,CQ$60,$CN$4:$CW$4)))</f>
        <v>0</v>
      </c>
      <c r="CR75" s="196" t="n">
        <f aca="false">IF((SUMIF($CN$3:$CW$3,CR$60,$CN$4:$CW$4))=0,0,((SUMIF($CN$3:$CW$3,CR$60,$CN124:$CW124))/SUMIF($CN$3:$CW$3,CR$60,$CN$4:$CW$4)))</f>
        <v>0</v>
      </c>
      <c r="CS75" s="196" t="n">
        <f aca="false">IF((SUMIF($CN$3:$CW$3,CS$60,$CN$4:$CW$4))=0,0,((SUMIF($CN$3:$CW$3,CS$60,$CN124:$CW124))/SUMIF($CN$3:$CW$3,CS$60,$CN$4:$CW$4)))</f>
        <v>0</v>
      </c>
      <c r="CT75" s="196" t="n">
        <f aca="false">IF((SUMIF($CN$3:$CW$3,CT$60,$CN$4:$CW$4))=0,0,((SUMIF($CN$3:$CW$3,CT$60,$CN124:$CW124))/SUMIF($CN$3:$CW$3,CT$60,$CN$4:$CW$4)))</f>
        <v>0</v>
      </c>
      <c r="CU75" s="196" t="n">
        <f aca="false">IF((SUMIF($CN$3:$CW$3,CU$60,$CN$4:$CW$4))=0,0,((SUMIF($CN$3:$CW$3,CU$60,$CN124:$CW124))/SUMIF($CN$3:$CW$3,CU$60,$CN$4:$CW$4)))</f>
        <v>0</v>
      </c>
      <c r="CV75" s="196" t="n">
        <f aca="false">IF((SUMIF($CN$3:$CW$3,CV$60,$CN$4:$CW$4))=0,0,((SUMIF($CN$3:$CW$3,CV$60,$CN124:$CW124))/SUMIF($CN$3:$CW$3,CV$60,$CN$4:$CW$4)))</f>
        <v>0</v>
      </c>
      <c r="CW75" s="197" t="n">
        <f aca="false">IF((SUMIF($CN$3:$CW$3,CW$60,$CN$4:$CW$4))=0,0,((SUMIF($CN$3:$CW$3,CW$60,$CN124:$CW124))/SUMIF($CN$3:$CW$3,CW$60,$CN$4:$CW$4)))</f>
        <v>0</v>
      </c>
      <c r="CX75" s="194" t="str">
        <f aca="false">CM75</f>
        <v>Alumno14</v>
      </c>
      <c r="CY75" s="195" t="n">
        <f aca="false">IF((SUMIF($CY$3:$DH$3,CY$60,$CY$4:$DH$4))=0,0,((SUMIF($CY$3:$DH$3,CY$60,$CY124:$DH124))/SUMIF($CY$3:$DH$3,CY$60,$CY$4:$DH$4)))</f>
        <v>0</v>
      </c>
      <c r="CZ75" s="196" t="n">
        <f aca="false">IF((SUMIF($CY$3:$DH$3,CZ$60,$CY$4:$DH$4))=0,0,((SUMIF($CY$3:$DH$3,CZ$60,$CY124:$DH124))/SUMIF($CY$3:$DH$3,CZ$60,$CY$4:$DH$4)))</f>
        <v>0</v>
      </c>
      <c r="DA75" s="196" t="n">
        <f aca="false">IF((SUMIF($CY$3:$DH$3,DA$60,$CY$4:$DH$4))=0,0,((SUMIF($CY$3:$DH$3,DA$60,$CY124:$DH124))/SUMIF($CY$3:$DH$3,DA$60,$CY$4:$DH$4)))</f>
        <v>0</v>
      </c>
      <c r="DB75" s="196" t="n">
        <f aca="false">IF((SUMIF($CY$3:$DH$3,DB$60,$CY$4:$DH$4))=0,0,((SUMIF($CY$3:$DH$3,DB$60,$CY124:$DH124))/SUMIF($CY$3:$DH$3,DB$60,$CY$4:$DH$4)))</f>
        <v>0</v>
      </c>
      <c r="DC75" s="196" t="n">
        <f aca="false">IF((SUMIF($CY$3:$DH$3,DC$60,$CY$4:$DH$4))=0,0,((SUMIF($CY$3:$DH$3,DC$60,$CY124:$DH124))/SUMIF($CY$3:$DH$3,DC$60,$CY$4:$DH$4)))</f>
        <v>0</v>
      </c>
      <c r="DD75" s="196" t="n">
        <f aca="false">IF((SUMIF($CY$3:$DH$3,DD$60,$CY$4:$DH$4))=0,0,((SUMIF($CY$3:$DH$3,DD$60,$CY124:$DH124))/SUMIF($CY$3:$DH$3,DD$60,$CY$4:$DH$4)))</f>
        <v>0</v>
      </c>
      <c r="DE75" s="196" t="n">
        <f aca="false">IF((SUMIF($CY$3:$DH$3,DE$60,$CY$4:$DH$4))=0,0,((SUMIF($CY$3:$DH$3,DE$60,$CY124:$DH124))/SUMIF($CY$3:$DH$3,DE$60,$CY$4:$DH$4)))</f>
        <v>0</v>
      </c>
      <c r="DF75" s="196" t="n">
        <f aca="false">IF((SUMIF($CY$3:$DH$3,DF$60,$CY$4:$DH$4))=0,0,((SUMIF($CY$3:$DH$3,DF$60,$CY124:$DH124))/SUMIF($CY$3:$DH$3,DF$60,$CY$4:$DH$4)))</f>
        <v>0</v>
      </c>
      <c r="DG75" s="196" t="n">
        <f aca="false">IF((SUMIF($CY$3:$DH$3,DG$60,$CY$4:$DH$4))=0,0,((SUMIF($CY$3:$DH$3,DG$60,$CY124:$DH124))/SUMIF($CY$3:$DH$3,DG$60,$CY$4:$DH$4)))</f>
        <v>0</v>
      </c>
      <c r="DH75" s="197" t="n">
        <f aca="false">IF((SUMIF($CY$3:$DH$3,DH$60,$CY$4:$DH$4))=0,0,((SUMIF($CY$3:$DH$3,DH$60,$CY124:$DH124))/SUMIF($CY$3:$DH$3,DH$60,$CY$4:$DH$4)))</f>
        <v>0</v>
      </c>
      <c r="DI75" s="194" t="str">
        <f aca="false">CX75</f>
        <v>Alumno14</v>
      </c>
      <c r="DJ75" s="195" t="n">
        <f aca="false">IF((SUMIF($DJ$3:$DS$3,DJ$60,$DJ$4:$DS$4))=0,0,((SUMIF($DJ$3:$DS$3,DJ$60,$DJ124:$DS124))/SUMIF($DJ$3:$DS$3,DJ$60,$DJ$4:$DS$4)))</f>
        <v>0</v>
      </c>
      <c r="DK75" s="196" t="n">
        <f aca="false">IF((SUMIF($DJ$3:$DS$3,DK$60,$DJ$4:$DS$4))=0,0,((SUMIF($DJ$3:$DS$3,DK$60,$DJ124:$DS124))/SUMIF($DJ$3:$DS$3,DK$60,$DJ$4:$DS$4)))</f>
        <v>0</v>
      </c>
      <c r="DL75" s="196" t="n">
        <f aca="false">IF((SUMIF($DJ$3:$DS$3,DL$60,$DJ$4:$DS$4))=0,0,((SUMIF($DJ$3:$DS$3,DL$60,$DJ124:$DS124))/SUMIF($DJ$3:$DS$3,DL$60,$DJ$4:$DS$4)))</f>
        <v>0</v>
      </c>
      <c r="DM75" s="196" t="n">
        <f aca="false">IF((SUMIF($DJ$3:$DS$3,DM$60,$DJ$4:$DS$4))=0,0,((SUMIF($DJ$3:$DS$3,DM$60,$DJ124:$DS124))/SUMIF($DJ$3:$DS$3,DM$60,$DJ$4:$DS$4)))</f>
        <v>0</v>
      </c>
      <c r="DN75" s="196" t="n">
        <f aca="false">IF((SUMIF($DJ$3:$DS$3,DN$60,$DJ$4:$DS$4))=0,0,((SUMIF($DJ$3:$DS$3,DN$60,$DJ124:$DS124))/SUMIF($DJ$3:$DS$3,DN$60,$DJ$4:$DS$4)))</f>
        <v>0</v>
      </c>
      <c r="DO75" s="196" t="n">
        <f aca="false">IF((SUMIF($DJ$3:$DS$3,DO$60,$DJ$4:$DS$4))=0,0,((SUMIF($DJ$3:$DS$3,DO$60,$DJ124:$DS124))/SUMIF($DJ$3:$DS$3,DO$60,$DJ$4:$DS$4)))</f>
        <v>0</v>
      </c>
      <c r="DP75" s="196" t="n">
        <f aca="false">IF((SUMIF($DJ$3:$DS$3,DP$60,$DJ$4:$DS$4))=0,0,((SUMIF($DJ$3:$DS$3,DP$60,$DJ124:$DS124))/SUMIF($DJ$3:$DS$3,DP$60,$DJ$4:$DS$4)))</f>
        <v>0</v>
      </c>
      <c r="DQ75" s="196" t="n">
        <f aca="false">IF((SUMIF($DJ$3:$DS$3,DQ$60,$DJ$4:$DS$4))=0,0,((SUMIF($DJ$3:$DS$3,DQ$60,$DJ124:$DS124))/SUMIF($DJ$3:$DS$3,DQ$60,$DJ$4:$DS$4)))</f>
        <v>0</v>
      </c>
      <c r="DR75" s="196" t="n">
        <f aca="false">IF((SUMIF($DJ$3:$DS$3,DR$60,$DJ$4:$DS$4))=0,0,((SUMIF($DJ$3:$DS$3,DR$60,$DJ124:$DS124))/SUMIF($DJ$3:$DS$3,DR$60,$DJ$4:$DS$4)))</f>
        <v>0</v>
      </c>
      <c r="DS75" s="197" t="n">
        <f aca="false">IF((SUMIF($DJ$3:$DS$3,DS$60,$DJ$4:$DS$4))=0,0,((SUMIF($DJ$3:$DS$3,DS$60,$DJ124:$DS124))/SUMIF($DJ$3:$DS$3,DS$60,$DJ$4:$DS$4)))</f>
        <v>0</v>
      </c>
      <c r="DT75" s="194" t="str">
        <f aca="false">DI75</f>
        <v>Alumno14</v>
      </c>
      <c r="DU75" s="195" t="n">
        <f aca="false">IF((SUMIF($DU$3:$ED$3,DU$60,$DU$4:$ED$4))=0,0,((SUMIF($DU$3:$ED$3,DU$60,$DU124:$ED124))/SUMIF($DU$3:$ED$3,DU$60,$DU$4:$ED$4)))</f>
        <v>0</v>
      </c>
      <c r="DV75" s="196" t="n">
        <f aca="false">IF((SUMIF($DU$3:$ED$3,DV$60,$DU$4:$ED$4))=0,0,((SUMIF($DU$3:$ED$3,DV$60,$DU124:$ED124))/SUMIF($DU$3:$ED$3,DV$60,$DU$4:$ED$4)))</f>
        <v>0</v>
      </c>
      <c r="DW75" s="196" t="n">
        <f aca="false">IF((SUMIF($DU$3:$ED$3,DW$60,$DU$4:$ED$4))=0,0,((SUMIF($DU$3:$ED$3,DW$60,$DU124:$ED124))/SUMIF($DU$3:$ED$3,DW$60,$DU$4:$ED$4)))</f>
        <v>0</v>
      </c>
      <c r="DX75" s="196" t="n">
        <f aca="false">IF((SUMIF($DU$3:$ED$3,DX$60,$DU$4:$ED$4))=0,0,((SUMIF($DU$3:$ED$3,DX$60,$DU124:$ED124))/SUMIF($DU$3:$ED$3,DX$60,$DU$4:$ED$4)))</f>
        <v>0</v>
      </c>
      <c r="DY75" s="196" t="n">
        <f aca="false">IF((SUMIF($DU$3:$ED$3,DY$60,$DU$4:$ED$4))=0,0,((SUMIF($DU$3:$ED$3,DY$60,$DU124:$ED124))/SUMIF($DU$3:$ED$3,DY$60,$DU$4:$ED$4)))</f>
        <v>0</v>
      </c>
      <c r="DZ75" s="196" t="n">
        <f aca="false">IF((SUMIF($DU$3:$ED$3,DZ$60,$DU$4:$ED$4))=0,0,((SUMIF($DU$3:$ED$3,DZ$60,$DU124:$ED124))/SUMIF($DU$3:$ED$3,DZ$60,$DU$4:$ED$4)))</f>
        <v>0</v>
      </c>
      <c r="EA75" s="196" t="n">
        <f aca="false">IF((SUMIF($DU$3:$ED$3,EA$60,$DU$4:$ED$4))=0,0,((SUMIF($DU$3:$ED$3,EA$60,$DU124:$ED124))/SUMIF($DU$3:$ED$3,EA$60,$DU$4:$ED$4)))</f>
        <v>0</v>
      </c>
      <c r="EB75" s="196" t="n">
        <f aca="false">IF((SUMIF($DU$3:$ED$3,EB$60,$DU$4:$ED$4))=0,0,((SUMIF($DU$3:$ED$3,EB$60,$DU124:$ED124))/SUMIF($DU$3:$ED$3,EB$60,$DU$4:$ED$4)))</f>
        <v>0</v>
      </c>
      <c r="EC75" s="196" t="n">
        <f aca="false">IF((SUMIF($DU$3:$ED$3,EC$60,$DU$4:$ED$4))=0,0,((SUMIF($DU$3:$ED$3,EC$60,$DU124:$ED124))/SUMIF($DU$3:$ED$3,EC$60,$DU$4:$ED$4)))</f>
        <v>0</v>
      </c>
      <c r="ED75" s="197" t="n">
        <f aca="false">IF((SUMIF($DU$3:$ED$3,ED$60,$DU$4:$ED$4))=0,0,((SUMIF($DU$3:$ED$3,ED$60,$DU124:$ED124))/SUMIF($DU$3:$ED$3,ED$60,$DU$4:$ED$4)))</f>
        <v>0</v>
      </c>
      <c r="EE75" s="194" t="str">
        <f aca="false">DT75</f>
        <v>Alumno14</v>
      </c>
      <c r="EF75" s="195" t="n">
        <f aca="false">IF((SUMIF($EF$3:$EO$3,EF$60,$EF$4:$EO$4))=0,0,((SUMIF($EF$3:$EO$3,EF$60,$EF124:$EO124))/SUMIF($EF$3:$EO$3,EF$60,$EF$4:$EO$4)))</f>
        <v>0</v>
      </c>
      <c r="EG75" s="196" t="n">
        <f aca="false">IF((SUMIF($EF$3:$EO$3,EG$60,$EF$4:$EO$4))=0,0,((SUMIF($EF$3:$EO$3,EG$60,$EF124:$EO124))/SUMIF($EF$3:$EO$3,EG$60,$EF$4:$EO$4)))</f>
        <v>0</v>
      </c>
      <c r="EH75" s="196" t="n">
        <f aca="false">IF((SUMIF($EF$3:$EO$3,EH$60,$EF$4:$EO$4))=0,0,((SUMIF($EF$3:$EO$3,EH$60,$EF124:$EO124))/SUMIF($EF$3:$EO$3,EH$60,$EF$4:$EO$4)))</f>
        <v>0</v>
      </c>
      <c r="EI75" s="196" t="n">
        <f aca="false">IF((SUMIF($EF$3:$EO$3,EI$60,$EF$4:$EO$4))=0,0,((SUMIF($EF$3:$EO$3,EI$60,$EF124:$EO124))/SUMIF($EF$3:$EO$3,EI$60,$EF$4:$EO$4)))</f>
        <v>0</v>
      </c>
      <c r="EJ75" s="196" t="n">
        <f aca="false">IF((SUMIF($EF$3:$EO$3,EJ$60,$EF$4:$EO$4))=0,0,((SUMIF($EF$3:$EO$3,EJ$60,$EF124:$EO124))/SUMIF($EF$3:$EO$3,EJ$60,$EF$4:$EO$4)))</f>
        <v>0</v>
      </c>
      <c r="EK75" s="196" t="n">
        <f aca="false">IF((SUMIF($EF$3:$EO$3,EK$60,$EF$4:$EO$4))=0,0,((SUMIF($EF$3:$EO$3,EK$60,$EF124:$EO124))/SUMIF($EF$3:$EO$3,EK$60,$EF$4:$EO$4)))</f>
        <v>0</v>
      </c>
      <c r="EL75" s="196" t="n">
        <f aca="false">IF((SUMIF($EF$3:$EO$3,EL$60,$EF$4:$EO$4))=0,0,((SUMIF($EF$3:$EO$3,EL$60,$EF124:$EO124))/SUMIF($EF$3:$EO$3,EL$60,$EF$4:$EO$4)))</f>
        <v>0</v>
      </c>
      <c r="EM75" s="196" t="n">
        <f aca="false">IF((SUMIF($EF$3:$EO$3,EM$60,$EF$4:$EO$4))=0,0,((SUMIF($EF$3:$EO$3,EM$60,$EF124:$EO124))/SUMIF($EF$3:$EO$3,EM$60,$EF$4:$EO$4)))</f>
        <v>0</v>
      </c>
      <c r="EN75" s="196" t="n">
        <f aca="false">IF((SUMIF($EF$3:$EO$3,EN$60,$EF$4:$EO$4))=0,0,((SUMIF($EF$3:$EO$3,EN$60,$EF124:$EO124))/SUMIF($EF$3:$EO$3,EN$60,$EF$4:$EO$4)))</f>
        <v>0</v>
      </c>
      <c r="EO75" s="197" t="n">
        <f aca="false">IF((SUMIF($EF$3:$EO$3,EO$60,$EF$4:$EO$4))=0,0,((SUMIF($EF$3:$EO$3,EO$60,$EF124:$EO124))/SUMIF($EF$3:$EO$3,EO$60,$EF$4:$EO$4)))</f>
        <v>0</v>
      </c>
      <c r="EP75" s="194" t="str">
        <f aca="false">EE75</f>
        <v>Alumno14</v>
      </c>
      <c r="EQ75" s="195" t="n">
        <f aca="false">IF((SUMIF($EQ$3:$EZ$3,EQ$60,$EQ$4:$EZ$4))=0,0,((SUMIF($EQ$3:$EZ$3,EQ$60,$EQ124:$EZ124))/SUMIF($EQ$3:$EZ$3,EQ$60,$EQ$4:$EZ$4)))</f>
        <v>0</v>
      </c>
      <c r="ER75" s="196" t="n">
        <f aca="false">IF((SUMIF($EQ$3:$EZ$3,ER$60,$EQ$4:$EZ$4))=0,0,((SUMIF($EQ$3:$EZ$3,ER$60,$EQ124:$EZ124))/SUMIF($EQ$3:$EZ$3,ER$60,$EQ$4:$EZ$4)))</f>
        <v>0</v>
      </c>
      <c r="ES75" s="196" t="n">
        <f aca="false">IF((SUMIF($EQ$3:$EZ$3,ES$60,$EQ$4:$EZ$4))=0,0,((SUMIF($EQ$3:$EZ$3,ES$60,$EQ124:$EZ124))/SUMIF($EQ$3:$EZ$3,ES$60,$EQ$4:$EZ$4)))</f>
        <v>0</v>
      </c>
      <c r="ET75" s="196" t="n">
        <f aca="false">IF((SUMIF($EQ$3:$EZ$3,ET$60,$EQ$4:$EZ$4))=0,0,((SUMIF($EQ$3:$EZ$3,ET$60,$EQ124:$EZ124))/SUMIF($EQ$3:$EZ$3,ET$60,$EQ$4:$EZ$4)))</f>
        <v>0</v>
      </c>
      <c r="EU75" s="196" t="n">
        <f aca="false">IF((SUMIF($EQ$3:$EZ$3,EU$60,$EQ$4:$EZ$4))=0,0,((SUMIF($EQ$3:$EZ$3,EU$60,$EQ124:$EZ124))/SUMIF($EQ$3:$EZ$3,EU$60,$EQ$4:$EZ$4)))</f>
        <v>0</v>
      </c>
      <c r="EV75" s="196" t="n">
        <f aca="false">IF((SUMIF($EQ$3:$EZ$3,EV$60,$EQ$4:$EZ$4))=0,0,((SUMIF($EQ$3:$EZ$3,EV$60,$EQ124:$EZ124))/SUMIF($EQ$3:$EZ$3,EV$60,$EQ$4:$EZ$4)))</f>
        <v>0</v>
      </c>
      <c r="EW75" s="196" t="n">
        <f aca="false">IF((SUMIF($EQ$3:$EZ$3,EW$60,$EQ$4:$EZ$4))=0,0,((SUMIF($EQ$3:$EZ$3,EW$60,$EQ124:$EZ124))/SUMIF($EQ$3:$EZ$3,EW$60,$EQ$4:$EZ$4)))</f>
        <v>0</v>
      </c>
      <c r="EX75" s="196" t="n">
        <f aca="false">IF((SUMIF($EQ$3:$EZ$3,EX$60,$EQ$4:$EZ$4))=0,0,((SUMIF($EQ$3:$EZ$3,EX$60,$EQ124:$EZ124))/SUMIF($EQ$3:$EZ$3,EX$60,$EQ$4:$EZ$4)))</f>
        <v>0</v>
      </c>
      <c r="EY75" s="196" t="n">
        <f aca="false">IF((SUMIF($EQ$3:$EZ$3,EY$60,$EQ$4:$EZ$4))=0,0,((SUMIF($EQ$3:$EZ$3,EY$60,$EQ124:$EZ124))/SUMIF($EQ$3:$EZ$3,EY$60,$EQ$4:$EZ$4)))</f>
        <v>0</v>
      </c>
      <c r="EZ75" s="197" t="n">
        <f aca="false">IF((SUMIF($EQ$3:$EZ$3,EZ$60,$EQ$4:$EZ$4))=0,0,((SUMIF($EQ$3:$EZ$3,EZ$60,$EQ124:$EZ124))/SUMIF($EQ$3:$EZ$3,EZ$60,$EQ$4:$EZ$4)))</f>
        <v>0</v>
      </c>
      <c r="FA75" s="194" t="str">
        <f aca="false">EP75</f>
        <v>Alumno14</v>
      </c>
      <c r="FB75" s="195" t="n">
        <f aca="false">IF((SUMIF($FB$3:$FK$3,FB$60,$FB$4:$FK$4))=0,0,((SUMIF($FB$3:$FK$3,FB$60,$FB124:$FK124))/SUMIF($FB$3:$FK$3,FB$60,$FB$4:$FK$4)))</f>
        <v>0</v>
      </c>
      <c r="FC75" s="196" t="n">
        <f aca="false">IF((SUMIF($FB$3:$FK$3,FC$60,$FB$4:$FK$4))=0,0,((SUMIF($FB$3:$FK$3,FC$60,$FB124:$FK124))/SUMIF($FB$3:$FK$3,FC$60,$FB$4:$FK$4)))</f>
        <v>0</v>
      </c>
      <c r="FD75" s="196" t="n">
        <f aca="false">IF((SUMIF($FB$3:$FK$3,FD$60,$FB$4:$FK$4))=0,0,((SUMIF($FB$3:$FK$3,FD$60,$FB124:$FK124))/SUMIF($FB$3:$FK$3,FD$60,$FB$4:$FK$4)))</f>
        <v>0</v>
      </c>
      <c r="FE75" s="196" t="n">
        <f aca="false">IF((SUMIF($FB$3:$FK$3,FE$60,$FB$4:$FK$4))=0,0,((SUMIF($FB$3:$FK$3,FE$60,$FB124:$FK124))/SUMIF($FB$3:$FK$3,FE$60,$FB$4:$FK$4)))</f>
        <v>0</v>
      </c>
      <c r="FF75" s="196" t="n">
        <f aca="false">IF((SUMIF($FB$3:$FK$3,FF$60,$FB$4:$FK$4))=0,0,((SUMIF($FB$3:$FK$3,FF$60,$FB124:$FK124))/SUMIF($FB$3:$FK$3,FF$60,$FB$4:$FK$4)))</f>
        <v>0</v>
      </c>
      <c r="FG75" s="196" t="n">
        <f aca="false">IF((SUMIF($FB$3:$FK$3,FG$60,$FB$4:$FK$4))=0,0,((SUMIF($FB$3:$FK$3,FG$60,$FB124:$FK124))/SUMIF($FB$3:$FK$3,FG$60,$FB$4:$FK$4)))</f>
        <v>0</v>
      </c>
      <c r="FH75" s="196" t="n">
        <f aca="false">IF((SUMIF($FB$3:$FK$3,FH$60,$FB$4:$FK$4))=0,0,((SUMIF($FB$3:$FK$3,FH$60,$FB124:$FK124))/SUMIF($FB$3:$FK$3,FH$60,$FB$4:$FK$4)))</f>
        <v>0</v>
      </c>
      <c r="FI75" s="196" t="n">
        <f aca="false">IF((SUMIF($FB$3:$FK$3,FI$60,$FB$4:$FK$4))=0,0,((SUMIF($FB$3:$FK$3,FI$60,$FB124:$FK124))/SUMIF($FB$3:$FK$3,FI$60,$FB$4:$FK$4)))</f>
        <v>0</v>
      </c>
      <c r="FJ75" s="196" t="n">
        <f aca="false">IF((SUMIF($FB$3:$FK$3,FJ$60,$FB$4:$FK$4))=0,0,((SUMIF($FB$3:$FK$3,FJ$60,$FB124:$FK124))/SUMIF($FB$3:$FK$3,FJ$60,$FB$4:$FK$4)))</f>
        <v>0</v>
      </c>
      <c r="FK75" s="197" t="n">
        <f aca="false">IF((SUMIF($FB$3:$FK$3,FK$60,$FB$4:$FK$4))=0,0,((SUMIF($FB$3:$FK$3,FK$60,$FB124:$FK124))/SUMIF($FB$3:$FK$3,FK$60,$FB$4:$FK$4)))</f>
        <v>0</v>
      </c>
      <c r="FL75" s="194" t="str">
        <f aca="false">FA75</f>
        <v>Alumno14</v>
      </c>
      <c r="FM75" s="195" t="n">
        <f aca="false">IF((SUMIF($FM$3:$FV$3,FM$60,$FM$4:$FV$4))=0,0,((SUMIF($FM$3:$FV$3,FM$60,$FM124:$FV124))/SUMIF($FM$3:$FV$3,FM$60,$FM$4:$FV$4)))</f>
        <v>0</v>
      </c>
      <c r="FN75" s="196" t="n">
        <f aca="false">IF((SUMIF($FM$3:$FV$3,FN$60,$FM$4:$FV$4))=0,0,((SUMIF($FM$3:$FV$3,FN$60,$FM124:$FV124))/SUMIF($FM$3:$FV$3,FN$60,$FM$4:$FV$4)))</f>
        <v>0</v>
      </c>
      <c r="FO75" s="196" t="n">
        <f aca="false">IF((SUMIF($FM$3:$FV$3,FO$60,$FM$4:$FV$4))=0,0,((SUMIF($FM$3:$FV$3,FO$60,$FM124:$FV124))/SUMIF($FM$3:$FV$3,FO$60,$FM$4:$FV$4)))</f>
        <v>0</v>
      </c>
      <c r="FP75" s="196" t="n">
        <f aca="false">IF((SUMIF($FM$3:$FV$3,FP$60,$FM$4:$FV$4))=0,0,((SUMIF($FM$3:$FV$3,FP$60,$FM124:$FV124))/SUMIF($FM$3:$FV$3,FP$60,$FM$4:$FV$4)))</f>
        <v>0</v>
      </c>
      <c r="FQ75" s="196" t="n">
        <f aca="false">IF((SUMIF($FM$3:$FV$3,FQ$60,$FM$4:$FV$4))=0,0,((SUMIF($FM$3:$FV$3,FQ$60,$FM124:$FV124))/SUMIF($FM$3:$FV$3,FQ$60,$FM$4:$FV$4)))</f>
        <v>0</v>
      </c>
      <c r="FR75" s="196" t="n">
        <f aca="false">IF((SUMIF($FM$3:$FV$3,FR$60,$FM$4:$FV$4))=0,0,((SUMIF($FM$3:$FV$3,FR$60,$FM124:$FV124))/SUMIF($FM$3:$FV$3,FR$60,$FM$4:$FV$4)))</f>
        <v>0</v>
      </c>
      <c r="FS75" s="196" t="n">
        <f aca="false">IF((SUMIF($FM$3:$FV$3,FS$60,$FM$4:$FV$4))=0,0,((SUMIF($FM$3:$FV$3,FS$60,$FM124:$FV124))/SUMIF($FM$3:$FV$3,FS$60,$FM$4:$FV$4)))</f>
        <v>0</v>
      </c>
      <c r="FT75" s="196" t="n">
        <f aca="false">IF((SUMIF($FM$3:$FV$3,FT$60,$FM$4:$FV$4))=0,0,((SUMIF($FM$3:$FV$3,FT$60,$FM124:$FV124))/SUMIF($FM$3:$FV$3,FT$60,$FM$4:$FV$4)))</f>
        <v>0</v>
      </c>
      <c r="FU75" s="196" t="n">
        <f aca="false">IF((SUMIF($FM$3:$FV$3,FU$60,$FM$4:$FV$4))=0,0,((SUMIF($FM$3:$FV$3,FU$60,$FM124:$FV124))/SUMIF($FM$3:$FV$3,FU$60,$FM$4:$FV$4)))</f>
        <v>0</v>
      </c>
      <c r="FV75" s="197" t="n">
        <f aca="false">IF((SUMIF($FM$3:$FV$3,FV$60,$FM$4:$FV$4))=0,0,((SUMIF($FM$3:$FV$3,FV$60,$FM124:$FV124))/SUMIF($FM$3:$FV$3,FV$60,$FM$4:$FV$4)))</f>
        <v>0</v>
      </c>
      <c r="FW75" s="194" t="str">
        <f aca="false">FL75</f>
        <v>Alumno14</v>
      </c>
      <c r="FX75" s="195" t="n">
        <f aca="false">IF((SUMIF($FX$3:$GG$3,FX$60,$FX$4:$GG$4))=0,0,((SUMIF($FX$3:$GG$3,FX$60,$FX124:$GG124))/SUMIF($FX$3:$GG$3,FX$60,$FX$4:$GG$4)))</f>
        <v>0</v>
      </c>
      <c r="FY75" s="196" t="n">
        <f aca="false">IF((SUMIF($FX$3:$GG$3,FY$60,$FX$4:$GG$4))=0,0,((SUMIF($FX$3:$GG$3,FY$60,$FX124:$GG124))/SUMIF($FX$3:$GG$3,FY$60,$FX$4:$GG$4)))</f>
        <v>0</v>
      </c>
      <c r="FZ75" s="196" t="n">
        <f aca="false">IF((SUMIF($FX$3:$GG$3,FZ$60,$FX$4:$GG$4))=0,0,((SUMIF($FX$3:$GG$3,FZ$60,$FX124:$GG124))/SUMIF($FX$3:$GG$3,FZ$60,$FX$4:$GG$4)))</f>
        <v>0</v>
      </c>
      <c r="GA75" s="196" t="n">
        <f aca="false">IF((SUMIF($FX$3:$GG$3,GA$60,$FX$4:$GG$4))=0,0,((SUMIF($FX$3:$GG$3,GA$60,$FX124:$GG124))/SUMIF($FX$3:$GG$3,GA$60,$FX$4:$GG$4)))</f>
        <v>0</v>
      </c>
      <c r="GB75" s="196" t="n">
        <f aca="false">IF((SUMIF($FX$3:$GG$3,GB$60,$FX$4:$GG$4))=0,0,((SUMIF($FX$3:$GG$3,GB$60,$FX124:$GG124))/SUMIF($FX$3:$GG$3,GB$60,$FX$4:$GG$4)))</f>
        <v>0</v>
      </c>
      <c r="GC75" s="196" t="n">
        <f aca="false">IF((SUMIF($FX$3:$GG$3,GC$60,$FX$4:$GG$4))=0,0,((SUMIF($FX$3:$GG$3,GC$60,$FX124:$GG124))/SUMIF($FX$3:$GG$3,GC$60,$FX$4:$GG$4)))</f>
        <v>0</v>
      </c>
      <c r="GD75" s="196" t="n">
        <f aca="false">IF((SUMIF($FX$3:$GG$3,GD$60,$FX$4:$GG$4))=0,0,((SUMIF($FX$3:$GG$3,GD$60,$FX124:$GG124))/SUMIF($FX$3:$GG$3,GD$60,$FX$4:$GG$4)))</f>
        <v>0</v>
      </c>
      <c r="GE75" s="196" t="n">
        <f aca="false">IF((SUMIF($FX$3:$GG$3,GE$60,$FX$4:$GG$4))=0,0,((SUMIF($FX$3:$GG$3,GE$60,$FX124:$GG124))/SUMIF($FX$3:$GG$3,GE$60,$FX$4:$GG$4)))</f>
        <v>0</v>
      </c>
      <c r="GF75" s="196" t="n">
        <f aca="false">IF((SUMIF($FX$3:$GG$3,GF$60,$FX$4:$GG$4))=0,0,((SUMIF($FX$3:$GG$3,GF$60,$FX124:$GG124))/SUMIF($FX$3:$GG$3,GF$60,$FX$4:$GG$4)))</f>
        <v>0</v>
      </c>
      <c r="GG75" s="197" t="n">
        <f aca="false">IF((SUMIF($FX$3:$GG$3,GG$60,$FX$4:$GG$4))=0,0,((SUMIF($FX$3:$GG$3,GG$60,$FX124:$GG124))/SUMIF($FX$3:$GG$3,GG$60,$FX$4:$GG$4)))</f>
        <v>0</v>
      </c>
      <c r="GH75" s="194" t="str">
        <f aca="false">FW75</f>
        <v>Alumno14</v>
      </c>
      <c r="GI75" s="195" t="n">
        <f aca="false">IF((SUMIF($GI$3:$GR$3,GI$60,$GI$4:$GR$4))=0,0,((SUMIF($GI$3:$GR$3,GI$60,$GI124:$GR124))/SUMIF($GI$3:$GR$3,GI$60,$GI$4:$GR$4)))</f>
        <v>0</v>
      </c>
      <c r="GJ75" s="196" t="n">
        <f aca="false">IF((SUMIF($GI$3:$GR$3,GJ$60,$GI$4:$GR$4))=0,0,((SUMIF($GI$3:$GR$3,GJ$60,$GI124:$GR124))/SUMIF($GI$3:$GR$3,GJ$60,$GI$4:$GR$4)))</f>
        <v>0</v>
      </c>
      <c r="GK75" s="196" t="n">
        <f aca="false">IF((SUMIF($GI$3:$GR$3,GK$60,$GI$4:$GR$4))=0,0,((SUMIF($GI$3:$GR$3,GK$60,$GI124:$GR124))/SUMIF($GI$3:$GR$3,GK$60,$GI$4:$GR$4)))</f>
        <v>0</v>
      </c>
      <c r="GL75" s="196" t="n">
        <f aca="false">IF((SUMIF($GI$3:$GR$3,GL$60,$GI$4:$GR$4))=0,0,((SUMIF($GI$3:$GR$3,GL$60,$GI124:$GR124))/SUMIF($GI$3:$GR$3,GL$60,$GI$4:$GR$4)))</f>
        <v>0</v>
      </c>
      <c r="GM75" s="196" t="n">
        <f aca="false">IF((SUMIF($GI$3:$GR$3,GM$60,$GI$4:$GR$4))=0,0,((SUMIF($GI$3:$GR$3,GM$60,$GI124:$GR124))/SUMIF($GI$3:$GR$3,GM$60,$GI$4:$GR$4)))</f>
        <v>0</v>
      </c>
      <c r="GN75" s="196" t="n">
        <f aca="false">IF((SUMIF($GI$3:$GR$3,GN$60,$GI$4:$GR$4))=0,0,((SUMIF($GI$3:$GR$3,GN$60,$GI124:$GR124))/SUMIF($GI$3:$GR$3,GN$60,$GI$4:$GR$4)))</f>
        <v>0</v>
      </c>
      <c r="GO75" s="196" t="n">
        <f aca="false">IF((SUMIF($GI$3:$GR$3,GO$60,$GI$4:$GR$4))=0,0,((SUMIF($GI$3:$GR$3,GO$60,$GI124:$GR124))/SUMIF($GI$3:$GR$3,GO$60,$GI$4:$GR$4)))</f>
        <v>0</v>
      </c>
      <c r="GP75" s="196" t="n">
        <f aca="false">IF((SUMIF($GI$3:$GR$3,GP$60,$GI$4:$GR$4))=0,0,((SUMIF($GI$3:$GR$3,GP$60,$GI124:$GR124))/SUMIF($GI$3:$GR$3,GP$60,$GI$4:$GR$4)))</f>
        <v>0</v>
      </c>
      <c r="GQ75" s="196" t="n">
        <f aca="false">IF((SUMIF($GI$3:$GR$3,GQ$60,$GI$4:$GR$4))=0,0,((SUMIF($GI$3:$GR$3,GQ$60,$GI124:$GR124))/SUMIF($GI$3:$GR$3,GQ$60,$GI$4:$GR$4)))</f>
        <v>0</v>
      </c>
      <c r="GR75" s="197" t="n">
        <f aca="false">IF((SUMIF($GI$3:$GR$3,GR$60,$GI$4:$GR$4))=0,0,((SUMIF($GI$3:$GR$3,GR$60,$GI124:$GR124))/SUMIF($GI$3:$GR$3,GR$60,$GI$4:$GR$4)))</f>
        <v>0</v>
      </c>
      <c r="GS75" s="194" t="str">
        <f aca="false">GH75</f>
        <v>Alumno14</v>
      </c>
      <c r="GT75" s="195" t="n">
        <f aca="false">IF((SUMIF($GT$3:$HC$3,GT$60,$GT$4:$HC$4))=0,0,((SUMIF($GT$3:$HC$3,GT$60,$GT124:$HC124))/SUMIF($GT$3:$HC$3,GT$60,$GT$4:$HC$4)))</f>
        <v>0</v>
      </c>
      <c r="GU75" s="196" t="n">
        <f aca="false">IF((SUMIF($GT$3:$HC$3,GU$60,$GT$4:$HC$4))=0,0,((SUMIF($GT$3:$HC$3,GU$60,$GT124:$HC124))/SUMIF($GT$3:$HC$3,GU$60,$GT$4:$HC$4)))</f>
        <v>0</v>
      </c>
      <c r="GV75" s="196" t="n">
        <f aca="false">IF((SUMIF($GT$3:$HC$3,GV$60,$GT$4:$HC$4))=0,0,((SUMIF($GT$3:$HC$3,GV$60,$GT124:$HC124))/SUMIF($GT$3:$HC$3,GV$60,$GT$4:$HC$4)))</f>
        <v>0</v>
      </c>
      <c r="GW75" s="196" t="n">
        <f aca="false">IF((SUMIF($GT$3:$HC$3,GW$60,$GT$4:$HC$4))=0,0,((SUMIF($GT$3:$HC$3,GW$60,$GT124:$HC124))/SUMIF($GT$3:$HC$3,GW$60,$GT$4:$HC$4)))</f>
        <v>0</v>
      </c>
      <c r="GX75" s="196" t="n">
        <f aca="false">IF((SUMIF($GT$3:$HC$3,GX$60,$GT$4:$HC$4))=0,0,((SUMIF($GT$3:$HC$3,GX$60,$GT124:$HC124))/SUMIF($GT$3:$HC$3,GX$60,$GT$4:$HC$4)))</f>
        <v>0</v>
      </c>
      <c r="GY75" s="196" t="n">
        <f aca="false">IF((SUMIF($GT$3:$HC$3,GY$60,$GT$4:$HC$4))=0,0,((SUMIF($GT$3:$HC$3,GY$60,$GT124:$HC124))/SUMIF($GT$3:$HC$3,GY$60,$GT$4:$HC$4)))</f>
        <v>0</v>
      </c>
      <c r="GZ75" s="196" t="n">
        <f aca="false">IF((SUMIF($GT$3:$HC$3,GZ$60,$GT$4:$HC$4))=0,0,((SUMIF($GT$3:$HC$3,GZ$60,$GT124:$HC124))/SUMIF($GT$3:$HC$3,GZ$60,$GT$4:$HC$4)))</f>
        <v>0</v>
      </c>
      <c r="HA75" s="196" t="n">
        <f aca="false">IF((SUMIF($GT$3:$HC$3,HA$60,$GT$4:$HC$4))=0,0,((SUMIF($GT$3:$HC$3,HA$60,$GT124:$HC124))/SUMIF($GT$3:$HC$3,HA$60,$GT$4:$HC$4)))</f>
        <v>0</v>
      </c>
      <c r="HB75" s="196" t="n">
        <f aca="false">IF((SUMIF($GT$3:$HC$3,HB$60,$GT$4:$HC$4))=0,0,((SUMIF($GT$3:$HC$3,HB$60,$GT124:$HC124))/SUMIF($GT$3:$HC$3,HB$60,$GT$4:$HC$4)))</f>
        <v>0</v>
      </c>
      <c r="HC75" s="197" t="n">
        <f aca="false">IF((SUMIF($GT$3:$HC$3,HC$60,$GT$4:$HC$4))=0,0,((SUMIF($GT$3:$HC$3,HC$60,$GT124:$HC124))/SUMIF($GT$3:$HC$3,HC$60,$GT$4:$HC$4)))</f>
        <v>0</v>
      </c>
      <c r="HD75" s="194" t="str">
        <f aca="false">GS75</f>
        <v>Alumno14</v>
      </c>
      <c r="HE75" s="195" t="n">
        <f aca="false">IF((SUMIF($HE$3:$HN$3,HE$60,$HE$4:$HN$4))=0,0,((SUMIF($HE$3:$HN$3,HE$60,$HE124:$HN124))/SUMIF($HE$3:$HN$3,HE$60,$HE$4:$HN$4)))</f>
        <v>0</v>
      </c>
      <c r="HF75" s="196" t="n">
        <f aca="false">IF((SUMIF($HE$3:$HN$3,HF$60,$HE$4:$HN$4))=0,0,((SUMIF($HE$3:$HN$3,HF$60,$HE124:$HN124))/SUMIF($HE$3:$HN$3,HF$60,$HE$4:$HN$4)))</f>
        <v>0</v>
      </c>
      <c r="HG75" s="196" t="n">
        <f aca="false">IF((SUMIF($HE$3:$HN$3,HG$60,$HE$4:$HN$4))=0,0,((SUMIF($HE$3:$HN$3,HG$60,$HE124:$HN124))/SUMIF($HE$3:$HN$3,HG$60,$HE$4:$HN$4)))</f>
        <v>0</v>
      </c>
      <c r="HH75" s="196" t="n">
        <f aca="false">IF((SUMIF($HE$3:$HN$3,HH$60,$HE$4:$HN$4))=0,0,((SUMIF($HE$3:$HN$3,HH$60,$HE124:$HN124))/SUMIF($HE$3:$HN$3,HH$60,$HE$4:$HN$4)))</f>
        <v>0</v>
      </c>
      <c r="HI75" s="196" t="n">
        <f aca="false">IF((SUMIF($HE$3:$HN$3,HI$60,$HE$4:$HN$4))=0,0,((SUMIF($HE$3:$HN$3,HI$60,$HE124:$HN124))/SUMIF($HE$3:$HN$3,HI$60,$HE$4:$HN$4)))</f>
        <v>0</v>
      </c>
      <c r="HJ75" s="196" t="n">
        <f aca="false">IF((SUMIF($HE$3:$HN$3,HJ$60,$HE$4:$HN$4))=0,0,((SUMIF($HE$3:$HN$3,HJ$60,$HE124:$HN124))/SUMIF($HE$3:$HN$3,HJ$60,$HE$4:$HN$4)))</f>
        <v>0</v>
      </c>
      <c r="HK75" s="196" t="n">
        <f aca="false">IF((SUMIF($HE$3:$HN$3,HK$60,$HE$4:$HN$4))=0,0,((SUMIF($HE$3:$HN$3,HK$60,$HE124:$HN124))/SUMIF($HE$3:$HN$3,HK$60,$HE$4:$HN$4)))</f>
        <v>0</v>
      </c>
      <c r="HL75" s="196" t="n">
        <f aca="false">IF((SUMIF($HE$3:$HN$3,HL$60,$HE$4:$HN$4))=0,0,((SUMIF($HE$3:$HN$3,HL$60,$HE124:$HN124))/SUMIF($HE$3:$HN$3,HL$60,$HE$4:$HN$4)))</f>
        <v>0</v>
      </c>
      <c r="HM75" s="196" t="n">
        <f aca="false">IF((SUMIF($HE$3:$HN$3,HM$60,$HE$4:$HN$4))=0,0,((SUMIF($HE$3:$HN$3,HM$60,$HE124:$HN124))/SUMIF($HE$3:$HN$3,HM$60,$HE$4:$HN$4)))</f>
        <v>0</v>
      </c>
      <c r="HN75" s="197" t="n">
        <f aca="false">IF((SUMIF($HE$3:$HN$3,HN$60,$HE$4:$HN$4))=0,0,((SUMIF($HE$3:$HN$3,HN$60,$HE124:$HN124))/SUMIF($HE$3:$HN$3,HN$60,$HE$4:$HN$4)))</f>
        <v>0</v>
      </c>
      <c r="HO75" s="194" t="str">
        <f aca="false">HD75</f>
        <v>Alumno14</v>
      </c>
      <c r="HP75" s="195" t="n">
        <f aca="false">IF((SUMIF($HP$3:$HY$3,HP$60,$HP$4:$HY$4))=0,0,((SUMIF($HP$3:$HY$3,HP$60,$HP124:$HY124))/SUMIF($HP$3:$HY$3,HP$60,$HP$4:$HY$4)))</f>
        <v>0</v>
      </c>
      <c r="HQ75" s="196" t="n">
        <f aca="false">IF((SUMIF($HP$3:$HY$3,HQ$60,$HP$4:$HY$4))=0,0,((SUMIF($HP$3:$HY$3,HQ$60,$HP124:$HY124))/SUMIF($HP$3:$HY$3,HQ$60,$HP$4:$HY$4)))</f>
        <v>0</v>
      </c>
      <c r="HR75" s="196" t="n">
        <f aca="false">IF((SUMIF($HP$3:$HY$3,HR$60,$HP$4:$HY$4))=0,0,((SUMIF($HP$3:$HY$3,HR$60,$HP124:$HY124))/SUMIF($HP$3:$HY$3,HR$60,$HP$4:$HY$4)))</f>
        <v>0</v>
      </c>
      <c r="HS75" s="196" t="n">
        <f aca="false">IF((SUMIF($HP$3:$HY$3,HS$60,$HP$4:$HY$4))=0,0,((SUMIF($HP$3:$HY$3,HS$60,$HP124:$HY124))/SUMIF($HP$3:$HY$3,HS$60,$HP$4:$HY$4)))</f>
        <v>0</v>
      </c>
      <c r="HT75" s="196" t="n">
        <f aca="false">IF((SUMIF($HP$3:$HY$3,HT$60,$HP$4:$HY$4))=0,0,((SUMIF($HP$3:$HY$3,HT$60,$HP124:$HY124))/SUMIF($HP$3:$HY$3,HT$60,$HP$4:$HY$4)))</f>
        <v>0</v>
      </c>
      <c r="HU75" s="196" t="n">
        <f aca="false">IF((SUMIF($HP$3:$HY$3,HU$60,$HP$4:$HY$4))=0,0,((SUMIF($HP$3:$HY$3,HU$60,$HP124:$HY124))/SUMIF($HP$3:$HY$3,HU$60,$HP$4:$HY$4)))</f>
        <v>0</v>
      </c>
      <c r="HV75" s="196" t="n">
        <f aca="false">IF((SUMIF($HP$3:$HY$3,HV$60,$HP$4:$HY$4))=0,0,((SUMIF($HP$3:$HY$3,HV$60,$HP124:$HY124))/SUMIF($HP$3:$HY$3,HV$60,$HP$4:$HY$4)))</f>
        <v>0</v>
      </c>
      <c r="HW75" s="196" t="n">
        <f aca="false">IF((SUMIF($HP$3:$HY$3,HW$60,$HP$4:$HY$4))=0,0,((SUMIF($HP$3:$HY$3,HW$60,$HP124:$HY124))/SUMIF($HP$3:$HY$3,HW$60,$HP$4:$HY$4)))</f>
        <v>0</v>
      </c>
      <c r="HX75" s="196" t="n">
        <f aca="false">IF((SUMIF($HP$3:$HY$3,HX$60,$HP$4:$HY$4))=0,0,((SUMIF($HP$3:$HY$3,HX$60,$HP124:$HY124))/SUMIF($HP$3:$HY$3,HX$60,$HP$4:$HY$4)))</f>
        <v>0</v>
      </c>
      <c r="HY75" s="197" t="n">
        <f aca="false">IF((SUMIF($HP$3:$HY$3,HY$60,$HP$4:$HY$4))=0,0,((SUMIF($HP$3:$HY$3,HY$60,$HP124:$HY124))/SUMIF($HP$3:$HY$3,HY$60,$HP$4:$HY$4)))</f>
        <v>0</v>
      </c>
      <c r="HZ75" s="194" t="str">
        <f aca="false">HO75</f>
        <v>Alumno14</v>
      </c>
      <c r="IA75" s="195" t="n">
        <f aca="false">IF((SUMIF($IA$3:$IJ$3,IA$60,$IA$4:$IJ$4))=0,0,((SUMIF($IA$3:$IJ$3,IA$60,$IA124:$IJ124))/SUMIF($IA$3:$IJ$3,IA$60,$IA$4:$IJ$4)))</f>
        <v>0</v>
      </c>
      <c r="IB75" s="196" t="n">
        <f aca="false">IF((SUMIF($IA$3:$IJ$3,IB$60,$IA$4:$IJ$4))=0,0,((SUMIF($IA$3:$IJ$3,IB$60,$IA124:$IJ124))/SUMIF($IA$3:$IJ$3,IB$60,$IA$4:$IJ$4)))</f>
        <v>0</v>
      </c>
      <c r="IC75" s="196" t="n">
        <f aca="false">IF((SUMIF($IA$3:$IJ$3,IC$60,$IA$4:$IJ$4))=0,0,((SUMIF($IA$3:$IJ$3,IC$60,$IA124:$IJ124))/SUMIF($IA$3:$IJ$3,IC$60,$IA$4:$IJ$4)))</f>
        <v>0</v>
      </c>
      <c r="ID75" s="196" t="n">
        <f aca="false">IF((SUMIF($IA$3:$IJ$3,ID$60,$IA$4:$IJ$4))=0,0,((SUMIF($IA$3:$IJ$3,ID$60,$IA124:$IJ124))/SUMIF($IA$3:$IJ$3,ID$60,$IA$4:$IJ$4)))</f>
        <v>0</v>
      </c>
      <c r="IE75" s="196" t="n">
        <f aca="false">IF((SUMIF($IA$3:$IJ$3,IE$60,$IA$4:$IJ$4))=0,0,((SUMIF($IA$3:$IJ$3,IE$60,$IA124:$IJ124))/SUMIF($IA$3:$IJ$3,IE$60,$IA$4:$IJ$4)))</f>
        <v>0</v>
      </c>
      <c r="IF75" s="196" t="n">
        <f aca="false">IF((SUMIF($IA$3:$IJ$3,IF$60,$IA$4:$IJ$4))=0,0,((SUMIF($IA$3:$IJ$3,IF$60,$IA124:$IJ124))/SUMIF($IA$3:$IJ$3,IF$60,$IA$4:$IJ$4)))</f>
        <v>0</v>
      </c>
      <c r="IG75" s="196" t="n">
        <f aca="false">IF((SUMIF($IA$3:$IJ$3,IG$60,$IA$4:$IJ$4))=0,0,((SUMIF($IA$3:$IJ$3,IG$60,$IA124:$IJ124))/SUMIF($IA$3:$IJ$3,IG$60,$IA$4:$IJ$4)))</f>
        <v>0</v>
      </c>
      <c r="IH75" s="196" t="n">
        <f aca="false">IF((SUMIF($IA$3:$IJ$3,IH$60,$IA$4:$IJ$4))=0,0,((SUMIF($IA$3:$IJ$3,IH$60,$IA124:$IJ124))/SUMIF($IA$3:$IJ$3,IH$60,$IA$4:$IJ$4)))</f>
        <v>0</v>
      </c>
      <c r="II75" s="196" t="n">
        <f aca="false">IF((SUMIF($IA$3:$IJ$3,II$60,$IA$4:$IJ$4))=0,0,((SUMIF($IA$3:$IJ$3,II$60,$IA124:$IJ124))/SUMIF($IA$3:$IJ$3,II$60,$IA$4:$IJ$4)))</f>
        <v>0</v>
      </c>
      <c r="IJ75" s="197" t="n">
        <f aca="false">IF((SUMIF($IA$3:$IJ$3,IJ$60,$IA$4:$IJ$4))=0,0,((SUMIF($IA$3:$IJ$3,IJ$60,$IA124:$IJ124))/SUMIF($IA$3:$IJ$3,IJ$60,$IA$4:$IJ$4)))</f>
        <v>0</v>
      </c>
      <c r="IK75" s="194" t="str">
        <f aca="false">HZ75</f>
        <v>Alumno14</v>
      </c>
      <c r="IL75" s="195" t="n">
        <f aca="false">IF((SUMIF($IL$3:$IU$3,IL$60,$IL$4:$IU$4))=0,0,((SUMIF($IL$3:$IU$3,IL$60,$IL124:$IU124))/SUMIF($IL$3:$IU$3,IL$60,$IL$4:$IU$4)))</f>
        <v>0</v>
      </c>
      <c r="IM75" s="196" t="n">
        <f aca="false">IF((SUMIF($IL$3:$IU$3,IM$60,$IL$4:$IU$4))=0,0,((SUMIF($IL$3:$IU$3,IM$60,$IL124:$IU124))/SUMIF($IL$3:$IU$3,IM$60,$IL$4:$IU$4)))</f>
        <v>0</v>
      </c>
      <c r="IN75" s="196" t="n">
        <f aca="false">IF((SUMIF($IL$3:$IU$3,IN$60,$IL$4:$IU$4))=0,0,((SUMIF($IL$3:$IU$3,IN$60,$IL124:$IU124))/SUMIF($IL$3:$IU$3,IN$60,$IL$4:$IU$4)))</f>
        <v>0</v>
      </c>
      <c r="IO75" s="196" t="n">
        <f aca="false">IF((SUMIF($IL$3:$IU$3,IO$60,$IL$4:$IU$4))=0,0,((SUMIF($IL$3:$IU$3,IO$60,$IL124:$IU124))/SUMIF($IL$3:$IU$3,IO$60,$IL$4:$IU$4)))</f>
        <v>0</v>
      </c>
      <c r="IP75" s="196" t="n">
        <f aca="false">IF((SUMIF($IL$3:$IU$3,IP$60,$IL$4:$IU$4))=0,0,((SUMIF($IL$3:$IU$3,IP$60,$IL124:$IU124))/SUMIF($IL$3:$IU$3,IP$60,$IL$4:$IU$4)))</f>
        <v>0</v>
      </c>
      <c r="IQ75" s="196" t="n">
        <f aca="false">IF((SUMIF($IL$3:$IU$3,IQ$60,$IL$4:$IU$4))=0,0,((SUMIF($IL$3:$IU$3,IQ$60,$IL124:$IU124))/SUMIF($IL$3:$IU$3,IQ$60,$IL$4:$IU$4)))</f>
        <v>0</v>
      </c>
      <c r="IR75" s="196" t="n">
        <f aca="false">IF((SUMIF($IL$3:$IU$3,IR$60,$IL$4:$IU$4))=0,0,((SUMIF($IL$3:$IU$3,IR$60,$IL124:$IU124))/SUMIF($IL$3:$IU$3,IR$60,$IL$4:$IU$4)))</f>
        <v>0</v>
      </c>
      <c r="IS75" s="196" t="n">
        <f aca="false">IF((SUMIF($IL$3:$IU$3,IS$60,$IL$4:$IU$4))=0,0,((SUMIF($IL$3:$IU$3,IS$60,$IL124:$IU124))/SUMIF($IL$3:$IU$3,IS$60,$IL$4:$IU$4)))</f>
        <v>0</v>
      </c>
      <c r="IT75" s="196" t="n">
        <f aca="false">IF((SUMIF($IL$3:$IU$3,IT$60,$IL$4:$IU$4))=0,0,((SUMIF($IL$3:$IU$3,IT$60,$IL124:$IU124))/SUMIF($IL$3:$IU$3,IT$60,$IL$4:$IU$4)))</f>
        <v>0</v>
      </c>
      <c r="IU75" s="197" t="n">
        <f aca="false">IF((SUMIF($IL$3:$IU$3,IU$60,$IL$4:$IU$4))=0,0,((SUMIF($IL$3:$IU$3,IU$60,$IL124:$IU124))/SUMIF($IL$3:$IU$3,IU$60,$IL$4:$IU$4)))</f>
        <v>0</v>
      </c>
      <c r="IV75" s="194" t="str">
        <f aca="false">IK75</f>
        <v>Alumno14</v>
      </c>
      <c r="IW75" s="195" t="n">
        <f aca="false">IF((SUMIF($IW$3:$JF$3,IW$60,$IW$4:$JF$4))=0,0,((SUMIF($IW$3:$JF$3,IW$60,$IW124:$JF124))/SUMIF($IW$3:$JF$3,IW$60,$IW$4:$JF$4)))</f>
        <v>0</v>
      </c>
      <c r="IX75" s="196" t="n">
        <f aca="false">IF((SUMIF($IW$3:$JF$3,IX$60,$IW$4:$JF$4))=0,0,((SUMIF($IW$3:$JF$3,IX$60,$IW124:$JF124))/SUMIF($IW$3:$JF$3,IX$60,$IW$4:$JF$4)))</f>
        <v>0</v>
      </c>
      <c r="IY75" s="196" t="n">
        <f aca="false">IF((SUMIF($IW$3:$JF$3,IY$60,$IW$4:$JF$4))=0,0,((SUMIF($IW$3:$JF$3,IY$60,$IW124:$JF124))/SUMIF($IW$3:$JF$3,IY$60,$IW$4:$JF$4)))</f>
        <v>0</v>
      </c>
      <c r="IZ75" s="196" t="n">
        <f aca="false">IF((SUMIF($IW$3:$JF$3,IZ$60,$IW$4:$JF$4))=0,0,((SUMIF($IW$3:$JF$3,IZ$60,$IW124:$JF124))/SUMIF($IW$3:$JF$3,IZ$60,$IW$4:$JF$4)))</f>
        <v>0</v>
      </c>
      <c r="JA75" s="196" t="n">
        <f aca="false">IF((SUMIF($IW$3:$JF$3,JA$60,$IW$4:$JF$4))=0,0,((SUMIF($IW$3:$JF$3,JA$60,$IW124:$JF124))/SUMIF($IW$3:$JF$3,JA$60,$IW$4:$JF$4)))</f>
        <v>0</v>
      </c>
      <c r="JB75" s="196" t="n">
        <f aca="false">IF((SUMIF($IW$3:$JF$3,JB$60,$IW$4:$JF$4))=0,0,((SUMIF($IW$3:$JF$3,JB$60,$IW124:$JF124))/SUMIF($IW$3:$JF$3,JB$60,$IW$4:$JF$4)))</f>
        <v>0</v>
      </c>
      <c r="JC75" s="196" t="n">
        <f aca="false">IF((SUMIF($IW$3:$JF$3,JC$60,$IW$4:$JF$4))=0,0,((SUMIF($IW$3:$JF$3,JC$60,$IW124:$JF124))/SUMIF($IW$3:$JF$3,JC$60,$IW$4:$JF$4)))</f>
        <v>0</v>
      </c>
      <c r="JD75" s="196" t="n">
        <f aca="false">IF((SUMIF($IW$3:$JF$3,JD$60,$IW$4:$JF$4))=0,0,((SUMIF($IW$3:$JF$3,JD$60,$IW124:$JF124))/SUMIF($IW$3:$JF$3,JD$60,$IW$4:$JF$4)))</f>
        <v>0</v>
      </c>
      <c r="JE75" s="196" t="n">
        <f aca="false">IF((SUMIF($IW$3:$JF$3,JE$60,$IW$4:$JF$4))=0,0,((SUMIF($IW$3:$JF$3,JE$60,$IW124:$JF124))/SUMIF($IW$3:$JF$3,JE$60,$IW$4:$JF$4)))</f>
        <v>0</v>
      </c>
      <c r="JF75" s="197" t="n">
        <f aca="false">IF((SUMIF($IW$3:$JF$3,JF$60,$IW$4:$JF$4))=0,0,((SUMIF($IW$3:$JF$3,JF$60,$IW124:$JF124))/SUMIF($IW$3:$JF$3,JF$60,$IW$4:$JF$4)))</f>
        <v>0</v>
      </c>
      <c r="JG75" s="194" t="str">
        <f aca="false">IV75</f>
        <v>Alumno14</v>
      </c>
      <c r="JH75" s="195" t="n">
        <f aca="false">IF((SUMIF($JH$3:$JQ$3,JH$60,$JH$4:$JQ$4))=0,0,((SUMIF($JH$3:$JQ$3,JH$60,$JH124:$JQ124))/SUMIF($JH$3:$JQ$3,JH$60,$JH$4:$JQ$4)))</f>
        <v>0</v>
      </c>
      <c r="JI75" s="196" t="n">
        <f aca="false">IF((SUMIF($JH$3:$JQ$3,JI$60,$JH$4:$JQ$4))=0,0,((SUMIF($JH$3:$JQ$3,JI$60,$JH124:$JQ124))/SUMIF($JH$3:$JQ$3,JI$60,$JH$4:$JQ$4)))</f>
        <v>0</v>
      </c>
      <c r="JJ75" s="196" t="n">
        <f aca="false">IF((SUMIF($JH$3:$JQ$3,JJ$60,$JH$4:$JQ$4))=0,0,((SUMIF($JH$3:$JQ$3,JJ$60,$JH124:$JQ124))/SUMIF($JH$3:$JQ$3,JJ$60,$JH$4:$JQ$4)))</f>
        <v>0</v>
      </c>
      <c r="JK75" s="196" t="n">
        <f aca="false">IF((SUMIF($JH$3:$JQ$3,JK$60,$JH$4:$JQ$4))=0,0,((SUMIF($JH$3:$JQ$3,JK$60,$JH124:$JQ124))/SUMIF($JH$3:$JQ$3,JK$60,$JH$4:$JQ$4)))</f>
        <v>0</v>
      </c>
      <c r="JL75" s="196" t="n">
        <f aca="false">IF((SUMIF($JH$3:$JQ$3,JL$60,$JH$4:$JQ$4))=0,0,((SUMIF($JH$3:$JQ$3,JL$60,$JH124:$JQ124))/SUMIF($JH$3:$JQ$3,JL$60,$JH$4:$JQ$4)))</f>
        <v>0</v>
      </c>
      <c r="JM75" s="196" t="n">
        <f aca="false">IF((SUMIF($JH$3:$JQ$3,JM$60,$JH$4:$JQ$4))=0,0,((SUMIF($JH$3:$JQ$3,JM$60,$JH124:$JQ124))/SUMIF($JH$3:$JQ$3,JM$60,$JH$4:$JQ$4)))</f>
        <v>0</v>
      </c>
      <c r="JN75" s="196" t="n">
        <f aca="false">IF((SUMIF($JH$3:$JQ$3,JN$60,$JH$4:$JQ$4))=0,0,((SUMIF($JH$3:$JQ$3,JN$60,$JH124:$JQ124))/SUMIF($JH$3:$JQ$3,JN$60,$JH$4:$JQ$4)))</f>
        <v>0</v>
      </c>
      <c r="JO75" s="196" t="n">
        <f aca="false">IF((SUMIF($JH$3:$JQ$3,JO$60,$JH$4:$JQ$4))=0,0,((SUMIF($JH$3:$JQ$3,JO$60,$JH124:$JQ124))/SUMIF($JH$3:$JQ$3,JO$60,$JH$4:$JQ$4)))</f>
        <v>0</v>
      </c>
      <c r="JP75" s="196" t="n">
        <f aca="false">IF((SUMIF($JH$3:$JQ$3,JP$60,$JH$4:$JQ$4))=0,0,((SUMIF($JH$3:$JQ$3,JP$60,$JH124:$JQ124))/SUMIF($JH$3:$JQ$3,JP$60,$JH$4:$JQ$4)))</f>
        <v>0</v>
      </c>
      <c r="JQ75" s="197" t="n">
        <f aca="false">IF((SUMIF($JH$3:$JQ$3,JQ$60,$JH$4:$JQ$4))=0,0,((SUMIF($JH$3:$JQ$3,JQ$60,$JH124:$JQ124))/SUMIF($JH$3:$JQ$3,JQ$60,$JH$4:$JQ$4)))</f>
        <v>0</v>
      </c>
      <c r="JR75" s="194" t="str">
        <f aca="false">JG75</f>
        <v>Alumno14</v>
      </c>
      <c r="JS75" s="195" t="n">
        <f aca="false">IF((SUMIF($JS$3:$KB$3,JS$60,$JS$4:$KB$4))=0,0,((SUMIF($JS$3:$KB$3,JS$60,$JS124:$KB124))/SUMIF($JS$3:$KB$3,JS$60,$JS$4:$KB$4)))</f>
        <v>0</v>
      </c>
      <c r="JT75" s="196" t="n">
        <f aca="false">IF((SUMIF($JS$3:$KB$3,JT$60,$JS$4:$KB$4))=0,0,((SUMIF($JS$3:$KB$3,JT$60,$JS124:$KB124))/SUMIF($JS$3:$KB$3,JT$60,$JS$4:$KB$4)))</f>
        <v>0</v>
      </c>
      <c r="JU75" s="196" t="n">
        <f aca="false">IF((SUMIF($JS$3:$KB$3,JU$60,$JS$4:$KB$4))=0,0,((SUMIF($JS$3:$KB$3,JU$60,$JS124:$KB124))/SUMIF($JS$3:$KB$3,JU$60,$JS$4:$KB$4)))</f>
        <v>0</v>
      </c>
      <c r="JV75" s="196" t="n">
        <f aca="false">IF((SUMIF($JS$3:$KB$3,JV$60,$JS$4:$KB$4))=0,0,((SUMIF($JS$3:$KB$3,JV$60,$JS124:$KB124))/SUMIF($JS$3:$KB$3,JV$60,$JS$4:$KB$4)))</f>
        <v>0</v>
      </c>
      <c r="JW75" s="196" t="n">
        <f aca="false">IF((SUMIF($JS$3:$KB$3,JW$60,$JS$4:$KB$4))=0,0,((SUMIF($JS$3:$KB$3,JW$60,$JS124:$KB124))/SUMIF($JS$3:$KB$3,JW$60,$JS$4:$KB$4)))</f>
        <v>0</v>
      </c>
      <c r="JX75" s="196" t="n">
        <f aca="false">IF((SUMIF($JS$3:$KB$3,JX$60,$JS$4:$KB$4))=0,0,((SUMIF($JS$3:$KB$3,JX$60,$JS124:$KB124))/SUMIF($JS$3:$KB$3,JX$60,$JS$4:$KB$4)))</f>
        <v>0</v>
      </c>
      <c r="JY75" s="196" t="n">
        <f aca="false">IF((SUMIF($JS$3:$KB$3,JY$60,$JS$4:$KB$4))=0,0,((SUMIF($JS$3:$KB$3,JY$60,$JS124:$KB124))/SUMIF($JS$3:$KB$3,JY$60,$JS$4:$KB$4)))</f>
        <v>0</v>
      </c>
      <c r="JZ75" s="196" t="n">
        <f aca="false">IF((SUMIF($JS$3:$KB$3,JZ$60,$JS$4:$KB$4))=0,0,((SUMIF($JS$3:$KB$3,JZ$60,$JS124:$KB124))/SUMIF($JS$3:$KB$3,JZ$60,$JS$4:$KB$4)))</f>
        <v>0</v>
      </c>
      <c r="KA75" s="196" t="n">
        <f aca="false">IF((SUMIF($JS$3:$KB$3,KA$60,$JS$4:$KB$4))=0,0,((SUMIF($JS$3:$KB$3,KA$60,$JS124:$KB124))/SUMIF($JS$3:$KB$3,KA$60,$JS$4:$KB$4)))</f>
        <v>0</v>
      </c>
      <c r="KB75" s="197" t="n">
        <f aca="false">IF((SUMIF($JS$3:$KB$3,KB$60,$JS$4:$KB$4))=0,0,((SUMIF($JS$3:$KB$3,KB$60,$JS124:$KB124))/SUMIF($JS$3:$KB$3,KB$60,$JS$4:$KB$4)))</f>
        <v>0</v>
      </c>
      <c r="KC75" s="194" t="str">
        <f aca="false">JR75</f>
        <v>Alumno14</v>
      </c>
      <c r="KD75" s="195" t="n">
        <f aca="false">IF((SUMIF($KD$3:$KM$3,KD$60,$KD$4:$KM$4))=0,0,((SUMIF($KD$3:$KM$3,KD$60,$KD124:$KM124))/SUMIF($KD$3:$KM$3,KD$60,$KD$4:$KM$4)))</f>
        <v>0</v>
      </c>
      <c r="KE75" s="196" t="n">
        <f aca="false">IF((SUMIF($KD$3:$KM$3,KE$60,$KD$4:$KM$4))=0,0,((SUMIF($KD$3:$KM$3,KE$60,$KD124:$KM124))/SUMIF($KD$3:$KM$3,KE$60,$KD$4:$KM$4)))</f>
        <v>0</v>
      </c>
      <c r="KF75" s="196" t="n">
        <f aca="false">IF((SUMIF($KD$3:$KM$3,KF$60,$KD$4:$KM$4))=0,0,((SUMIF($KD$3:$KM$3,KF$60,$KD124:$KM124))/SUMIF($KD$3:$KM$3,KF$60,$KD$4:$KM$4)))</f>
        <v>0</v>
      </c>
      <c r="KG75" s="196" t="n">
        <f aca="false">IF((SUMIF($KD$3:$KM$3,KG$60,$KD$4:$KM$4))=0,0,((SUMIF($KD$3:$KM$3,KG$60,$KD124:$KM124))/SUMIF($KD$3:$KM$3,KG$60,$KD$4:$KM$4)))</f>
        <v>0</v>
      </c>
      <c r="KH75" s="196" t="n">
        <f aca="false">IF((SUMIF($KD$3:$KM$3,KH$60,$KD$4:$KM$4))=0,0,((SUMIF($KD$3:$KM$3,KH$60,$KD124:$KM124))/SUMIF($KD$3:$KM$3,KH$60,$KD$4:$KM$4)))</f>
        <v>0</v>
      </c>
      <c r="KI75" s="196" t="n">
        <f aca="false">IF((SUMIF($KD$3:$KM$3,KI$60,$KD$4:$KM$4))=0,0,((SUMIF($KD$3:$KM$3,KI$60,$KD124:$KM124))/SUMIF($KD$3:$KM$3,KI$60,$KD$4:$KM$4)))</f>
        <v>0</v>
      </c>
      <c r="KJ75" s="196" t="n">
        <f aca="false">IF((SUMIF($KD$3:$KM$3,KJ$60,$KD$4:$KM$4))=0,0,((SUMIF($KD$3:$KM$3,KJ$60,$KD124:$KM124))/SUMIF($KD$3:$KM$3,KJ$60,$KD$4:$KM$4)))</f>
        <v>0</v>
      </c>
      <c r="KK75" s="196" t="n">
        <f aca="false">IF((SUMIF($KD$3:$KM$3,KK$60,$KD$4:$KM$4))=0,0,((SUMIF($KD$3:$KM$3,KK$60,$KD124:$KM124))/SUMIF($KD$3:$KM$3,KK$60,$KD$4:$KM$4)))</f>
        <v>0</v>
      </c>
      <c r="KL75" s="196" t="n">
        <f aca="false">IF((SUMIF($KD$3:$KM$3,KL$60,$KD$4:$KM$4))=0,0,((SUMIF($KD$3:$KM$3,KL$60,$KD124:$KM124))/SUMIF($KD$3:$KM$3,KL$60,$KD$4:$KM$4)))</f>
        <v>0</v>
      </c>
      <c r="KM75" s="197" t="n">
        <f aca="false">IF((SUMIF($KD$3:$KM$3,KM$60,$KD$4:$KM$4))=0,0,((SUMIF($KD$3:$KM$3,KM$60,$KD124:$KM124))/SUMIF($KD$3:$KM$3,KM$60,$KD$4:$KM$4)))</f>
        <v>0</v>
      </c>
      <c r="KN75" s="194" t="str">
        <f aca="false">KC75</f>
        <v>Alumno14</v>
      </c>
      <c r="KO75" s="195" t="n">
        <f aca="false">IF((SUMIF($KO$3:$KX$3,KO$60,$KO$4:$KX$4))=0,0,((SUMIF($KO$3:$KX$3,KO$60,$KO124:$KX124))/SUMIF($KO$3:$KX$3,KO$60,$KO$4:$KX$4)))</f>
        <v>0</v>
      </c>
      <c r="KP75" s="196" t="n">
        <f aca="false">IF((SUMIF($KO$3:$KX$3,KP$60,$KO$4:$KX$4))=0,0,((SUMIF($KO$3:$KX$3,KP$60,$KO124:$KX124))/SUMIF($KO$3:$KX$3,KP$60,$KO$4:$KX$4)))</f>
        <v>0</v>
      </c>
      <c r="KQ75" s="196" t="n">
        <f aca="false">IF((SUMIF($KO$3:$KX$3,KQ$60,$KO$4:$KX$4))=0,0,((SUMIF($KO$3:$KX$3,KQ$60,$KO124:$KX124))/SUMIF($KO$3:$KX$3,KQ$60,$KO$4:$KX$4)))</f>
        <v>0</v>
      </c>
      <c r="KR75" s="196" t="n">
        <f aca="false">IF((SUMIF($KO$3:$KX$3,KR$60,$KO$4:$KX$4))=0,0,((SUMIF($KO$3:$KX$3,KR$60,$KO124:$KX124))/SUMIF($KO$3:$KX$3,KR$60,$KO$4:$KX$4)))</f>
        <v>0</v>
      </c>
      <c r="KS75" s="196" t="n">
        <f aca="false">IF((SUMIF($KO$3:$KX$3,KS$60,$KO$4:$KX$4))=0,0,((SUMIF($KO$3:$KX$3,KS$60,$KO124:$KX124))/SUMIF($KO$3:$KX$3,KS$60,$KO$4:$KX$4)))</f>
        <v>0</v>
      </c>
      <c r="KT75" s="196" t="n">
        <f aca="false">IF((SUMIF($KO$3:$KX$3,KT$60,$KO$4:$KX$4))=0,0,((SUMIF($KO$3:$KX$3,KT$60,$KO124:$KX124))/SUMIF($KO$3:$KX$3,KT$60,$KO$4:$KX$4)))</f>
        <v>0</v>
      </c>
      <c r="KU75" s="196" t="n">
        <f aca="false">IF((SUMIF($KO$3:$KX$3,KU$60,$KO$4:$KX$4))=0,0,((SUMIF($KO$3:$KX$3,KU$60,$KO124:$KX124))/SUMIF($KO$3:$KX$3,KU$60,$KO$4:$KX$4)))</f>
        <v>0</v>
      </c>
      <c r="KV75" s="196" t="n">
        <f aca="false">IF((SUMIF($KO$3:$KX$3,KV$60,$KO$4:$KX$4))=0,0,((SUMIF($KO$3:$KX$3,KV$60,$KO124:$KX124))/SUMIF($KO$3:$KX$3,KV$60,$KO$4:$KX$4)))</f>
        <v>0</v>
      </c>
      <c r="KW75" s="196" t="n">
        <f aca="false">IF((SUMIF($KO$3:$KX$3,KW$60,$KO$4:$KX$4))=0,0,((SUMIF($KO$3:$KX$3,KW$60,$KO124:$KX124))/SUMIF($KO$3:$KX$3,KW$60,$KO$4:$KX$4)))</f>
        <v>0</v>
      </c>
      <c r="KX75" s="197" t="n">
        <f aca="false">IF((SUMIF($KO$3:$KX$3,KX$60,$KO$4:$KX$4))=0,0,((SUMIF($KO$3:$KX$3,KX$60,$KO124:$KX124))/SUMIF($KO$3:$KX$3,KX$60,$KO$4:$KX$4)))</f>
        <v>0</v>
      </c>
      <c r="KY75" s="194" t="str">
        <f aca="false">KN75</f>
        <v>Alumno14</v>
      </c>
      <c r="KZ75" s="195" t="n">
        <f aca="false">IF((SUMIF($KZ$3:$LI$3,KZ$60,$KZ$4:$LI$4))=0,0,((SUMIF($KZ$3:$LI$3,KZ$60,$KZ124:$LI124))/SUMIF($KZ$3:$LI$3,KZ$60,$KZ$4:$LI$4)))</f>
        <v>0</v>
      </c>
      <c r="LA75" s="196" t="n">
        <f aca="false">IF((SUMIF($KZ$3:$LI$3,LA$60,$KZ$4:$LI$4))=0,0,((SUMIF($KZ$3:$LI$3,LA$60,$KZ124:$LI124))/SUMIF($KZ$3:$LI$3,LA$60,$KZ$4:$LI$4)))</f>
        <v>0</v>
      </c>
      <c r="LB75" s="196" t="n">
        <f aca="false">IF((SUMIF($KZ$3:$LI$3,LB$60,$KZ$4:$LI$4))=0,0,((SUMIF($KZ$3:$LI$3,LB$60,$KZ124:$LI124))/SUMIF($KZ$3:$LI$3,LB$60,$KZ$4:$LI$4)))</f>
        <v>0</v>
      </c>
      <c r="LC75" s="196" t="n">
        <f aca="false">IF((SUMIF($KZ$3:$LI$3,LC$60,$KZ$4:$LI$4))=0,0,((SUMIF($KZ$3:$LI$3,LC$60,$KZ124:$LI124))/SUMIF($KZ$3:$LI$3,LC$60,$KZ$4:$LI$4)))</f>
        <v>0</v>
      </c>
      <c r="LD75" s="196" t="n">
        <f aca="false">IF((SUMIF($KZ$3:$LI$3,LD$60,$KZ$4:$LI$4))=0,0,((SUMIF($KZ$3:$LI$3,LD$60,$KZ124:$LI124))/SUMIF($KZ$3:$LI$3,LD$60,$KZ$4:$LI$4)))</f>
        <v>0</v>
      </c>
      <c r="LE75" s="196" t="n">
        <f aca="false">IF((SUMIF($KZ$3:$LI$3,LE$60,$KZ$4:$LI$4))=0,0,((SUMIF($KZ$3:$LI$3,LE$60,$KZ124:$LI124))/SUMIF($KZ$3:$LI$3,LE$60,$KZ$4:$LI$4)))</f>
        <v>0</v>
      </c>
      <c r="LF75" s="196" t="n">
        <f aca="false">IF((SUMIF($KZ$3:$LI$3,LF$60,$KZ$4:$LI$4))=0,0,((SUMIF($KZ$3:$LI$3,LF$60,$KZ124:$LI124))/SUMIF($KZ$3:$LI$3,LF$60,$KZ$4:$LI$4)))</f>
        <v>0</v>
      </c>
      <c r="LG75" s="196" t="n">
        <f aca="false">IF((SUMIF($KZ$3:$LI$3,LG$60,$KZ$4:$LI$4))=0,0,((SUMIF($KZ$3:$LI$3,LG$60,$KZ124:$LI124))/SUMIF($KZ$3:$LI$3,LG$60,$KZ$4:$LI$4)))</f>
        <v>0</v>
      </c>
      <c r="LH75" s="196" t="n">
        <f aca="false">IF((SUMIF($KZ$3:$LI$3,LH$60,$KZ$4:$LI$4))=0,0,((SUMIF($KZ$3:$LI$3,LH$60,$KZ124:$LI124))/SUMIF($KZ$3:$LI$3,LH$60,$KZ$4:$LI$4)))</f>
        <v>0</v>
      </c>
      <c r="LI75" s="197" t="n">
        <f aca="false">IF((SUMIF($KZ$3:$LI$3,LI$60,$KZ$4:$LI$4))=0,0,((SUMIF($KZ$3:$LI$3,LI$60,$KZ124:$LI124))/SUMIF($KZ$3:$LI$3,LI$60,$KZ$4:$LI$4)))</f>
        <v>0</v>
      </c>
      <c r="LJ75" s="194" t="str">
        <f aca="false">KY75</f>
        <v>Alumno14</v>
      </c>
      <c r="LK75" s="195" t="n">
        <f aca="false">IF((SUMIF($LK$3:$LT$3,LK$60,$LK$4:$LT$4))=0,0,((SUMIF($LK$3:$LT$3,LK$60,$LK124:$LT124))/SUMIF($LK$3:$LT$3,LK$60,$LK$4:$LT$4)))</f>
        <v>0</v>
      </c>
      <c r="LL75" s="196" t="n">
        <f aca="false">IF((SUMIF($LK$3:$LT$3,LL$60,$LK$4:$LT$4))=0,0,((SUMIF($LK$3:$LT$3,LL$60,$LK124:$LT124))/SUMIF($LK$3:$LT$3,LL$60,$LK$4:$LT$4)))</f>
        <v>0</v>
      </c>
      <c r="LM75" s="196" t="n">
        <f aca="false">IF((SUMIF($LK$3:$LT$3,LM$60,$LK$4:$LT$4))=0,0,((SUMIF($LK$3:$LT$3,LM$60,$LK124:$LT124))/SUMIF($LK$3:$LT$3,LM$60,$LK$4:$LT$4)))</f>
        <v>0</v>
      </c>
      <c r="LN75" s="196" t="n">
        <f aca="false">IF((SUMIF($LK$3:$LT$3,LN$60,$LK$4:$LT$4))=0,0,((SUMIF($LK$3:$LT$3,LN$60,$LK124:$LT124))/SUMIF($LK$3:$LT$3,LN$60,$LK$4:$LT$4)))</f>
        <v>0</v>
      </c>
      <c r="LO75" s="196" t="n">
        <f aca="false">IF((SUMIF($LK$3:$LT$3,LO$60,$LK$4:$LT$4))=0,0,((SUMIF($LK$3:$LT$3,LO$60,$LK124:$LT124))/SUMIF($LK$3:$LT$3,LO$60,$LK$4:$LT$4)))</f>
        <v>0</v>
      </c>
      <c r="LP75" s="196" t="n">
        <f aca="false">IF((SUMIF($LK$3:$LT$3,LP$60,$LK$4:$LT$4))=0,0,((SUMIF($LK$3:$LT$3,LP$60,$LK124:$LT124))/SUMIF($LK$3:$LT$3,LP$60,$LK$4:$LT$4)))</f>
        <v>0</v>
      </c>
      <c r="LQ75" s="196" t="n">
        <f aca="false">IF((SUMIF($LK$3:$LT$3,LQ$60,$LK$4:$LT$4))=0,0,((SUMIF($LK$3:$LT$3,LQ$60,$LK124:$LT124))/SUMIF($LK$3:$LT$3,LQ$60,$LK$4:$LT$4)))</f>
        <v>0</v>
      </c>
      <c r="LR75" s="196" t="n">
        <f aca="false">IF((SUMIF($LK$3:$LT$3,LR$60,$LK$4:$LT$4))=0,0,((SUMIF($LK$3:$LT$3,LR$60,$LK124:$LT124))/SUMIF($LK$3:$LT$3,LR$60,$LK$4:$LT$4)))</f>
        <v>0</v>
      </c>
      <c r="LS75" s="196" t="n">
        <f aca="false">IF((SUMIF($LK$3:$LT$3,LS$60,$LK$4:$LT$4))=0,0,((SUMIF($LK$3:$LT$3,LS$60,$LK124:$LT124))/SUMIF($LK$3:$LT$3,LS$60,$LK$4:$LT$4)))</f>
        <v>0</v>
      </c>
      <c r="LT75" s="197" t="n">
        <f aca="false">IF((SUMIF($LK$3:$LT$3,LT$60,$LK$4:$LT$4))=0,0,((SUMIF($LK$3:$LT$3,LT$60,$LK124:$LT124))/SUMIF($LK$3:$LT$3,LT$60,$LK$4:$LT$4)))</f>
        <v>0</v>
      </c>
    </row>
    <row r="76" customFormat="false" ht="15" hidden="true" customHeight="false" outlineLevel="0" collapsed="false">
      <c r="C76" s="194" t="str">
        <f aca="false">B20</f>
        <v>Alumno15</v>
      </c>
      <c r="D76" s="195" t="n">
        <f aca="false">IF((SUMIF($D$3:$M$3,D$60,$D$4:$M$4))=0,0,((SUMIF($D$3:$M$3,D$60,$D125:$M125))/SUMIF($D$3:$M$3,D$60,$D$4:$M$4)))</f>
        <v>3.35</v>
      </c>
      <c r="E76" s="196" t="n">
        <f aca="false">IF((SUMIF($D$3:$M$3,E$60,$D$4:$M$4))=0,0,((SUMIF($D$3:$M$3,E$60,$D125:$M125))/SUMIF($D$3:$M$3,E$60,$D$4:$M$4)))</f>
        <v>0</v>
      </c>
      <c r="F76" s="196" t="n">
        <f aca="false">IF((SUMIF($D$3:$M$3,F$60,$D$4:$M$4))=0,0,((SUMIF($D$3:$M$3,F$60,$D125:$M125))/SUMIF($D$3:$M$3,F$60,$D$4:$M$4)))</f>
        <v>0</v>
      </c>
      <c r="G76" s="196" t="n">
        <f aca="false">IF((SUMIF($D$3:$M$3,G$60,$D$4:$M$4))=0,0,((SUMIF($D$3:$M$3,G$60,$D125:$M125))/SUMIF($D$3:$M$3,G$60,$D$4:$M$4)))</f>
        <v>0</v>
      </c>
      <c r="H76" s="196" t="n">
        <f aca="false">IF((SUMIF($D$3:$M$3,H$60,$D$4:$M$4))=0,0,((SUMIF($D$3:$M$3,H$60,$D125:$M125))/SUMIF($D$3:$M$3,H$60,$D$4:$M$4)))</f>
        <v>0</v>
      </c>
      <c r="I76" s="196" t="n">
        <f aca="false">IF((SUMIF($D$3:$M$3,I$60,$D$4:$M$4))=0,0,((SUMIF($D$3:$M$3,I$60,$D125:$M125))/SUMIF($D$3:$M$3,I$60,$D$4:$M$4)))</f>
        <v>0</v>
      </c>
      <c r="J76" s="196" t="n">
        <f aca="false">IF((SUMIF($D$3:$M$3,J$60,$D$4:$M$4))=0,0,((SUMIF($D$3:$M$3,J$60,$D125:$M125))/SUMIF($D$3:$M$3,J$60,$D$4:$M$4)))</f>
        <v>0</v>
      </c>
      <c r="K76" s="196" t="n">
        <f aca="false">IF((SUMIF($D$3:$M$3,K$60,$D$4:$M$4))=0,0,((SUMIF($D$3:$M$3,K$60,$D125:$M125))/SUMIF($D$3:$M$3,K$60,$D$4:$M$4)))</f>
        <v>0</v>
      </c>
      <c r="L76" s="196" t="n">
        <f aca="false">IF((SUMIF($D$3:$M$3,L$60,$D$4:$M$4))=0,0,((SUMIF($D$3:$M$3,L$60,$D125:$M125))/SUMIF($D$3:$M$3,L$60,$D$4:$M$4)))</f>
        <v>0</v>
      </c>
      <c r="M76" s="197" t="n">
        <f aca="false">IF((SUMIF($D$3:$M$3,M$60,$D$4:$M$4))=0,0,((SUMIF($D$3:$M$3,M$60,$D125:$M125))/SUMIF($D$3:$M$3,M$60,$D$4:$M$4)))</f>
        <v>0</v>
      </c>
      <c r="N76" s="194" t="str">
        <f aca="false">C76</f>
        <v>Alumno15</v>
      </c>
      <c r="O76" s="195" t="n">
        <f aca="false">IF((SUMIF($O$3:$X$3,O$60,$O$4:$X$4))=0,0,((SUMIF($O$3:$X$3,O$60,$O125:$X125))/SUMIF($O$3:$X$3,O$60,$O$4:$X$4)))</f>
        <v>3.75</v>
      </c>
      <c r="P76" s="196" t="n">
        <f aca="false">IF((SUMIF($O$3:$X$3,P$60,$O$4:$X$4))=0,0,((SUMIF($O$3:$X$3,P$60,$O125:$X125))/SUMIF($O$3:$X$3,P$60,$O$4:$X$4)))</f>
        <v>2</v>
      </c>
      <c r="Q76" s="196" t="n">
        <f aca="false">IF((SUMIF($O$3:$X$3,Q$60,$O$4:$X$4))=0,0,((SUMIF($O$3:$X$3,Q$60,$O125:$X125))/SUMIF($O$3:$X$3,Q$60,$O$4:$X$4)))</f>
        <v>0</v>
      </c>
      <c r="R76" s="196" t="n">
        <f aca="false">IF((SUMIF($O$3:$X$3,R$60,$O$4:$X$4))=0,0,((SUMIF($O$3:$X$3,R$60,$O125:$X125))/SUMIF($O$3:$X$3,R$60,$O$4:$X$4)))</f>
        <v>0</v>
      </c>
      <c r="S76" s="196" t="n">
        <f aca="false">IF((SUMIF($O$3:$X$3,S$60,$O$4:$X$4))=0,0,((SUMIF($O$3:$X$3,S$60,$O125:$X125))/SUMIF($O$3:$X$3,S$60,$O$4:$X$4)))</f>
        <v>0</v>
      </c>
      <c r="T76" s="196" t="n">
        <f aca="false">IF((SUMIF($O$3:$X$3,T$60,$O$4:$X$4))=0,0,((SUMIF($O$3:$X$3,T$60,$O125:$X125))/SUMIF($O$3:$X$3,T$60,$O$4:$X$4)))</f>
        <v>0</v>
      </c>
      <c r="U76" s="196" t="n">
        <f aca="false">IF((SUMIF($O$3:$X$3,U$60,$O$4:$X$4))=0,0,((SUMIF($O$3:$X$3,U$60,$O125:$X125))/SUMIF($O$3:$X$3,U$60,$O$4:$X$4)))</f>
        <v>0</v>
      </c>
      <c r="V76" s="196" t="n">
        <f aca="false">IF((SUMIF($O$3:$X$3,V$60,$O$4:$X$4))=0,0,((SUMIF($O$3:$X$3,V$60,$O125:$X125))/SUMIF($O$3:$X$3,V$60,$O$4:$X$4)))</f>
        <v>0</v>
      </c>
      <c r="W76" s="196" t="n">
        <f aca="false">IF((SUMIF($O$3:$X$3,W$60,$O$4:$X$4))=0,0,((SUMIF($O$3:$X$3,W$60,$O125:$X125))/SUMIF($O$3:$X$3,W$60,$O$4:$X$4)))</f>
        <v>0</v>
      </c>
      <c r="X76" s="197" t="n">
        <f aca="false">IF((SUMIF($O$3:$X$3,X$60,$O$4:$X$4))=0,0,((SUMIF($O$3:$X$3,X$60,$O125:$X125))/SUMIF($O$3:$X$3,X$60,$O$4:$X$4)))</f>
        <v>0</v>
      </c>
      <c r="Y76" s="194" t="str">
        <f aca="false">N76</f>
        <v>Alumno15</v>
      </c>
      <c r="Z76" s="195" t="n">
        <f aca="false">IF((SUMIF($Z$3:$AI$3,Z$60,$Z$4:$AI$4))=0,0,((SUMIF($Z$3:$AI$3,Z$60,$Z125:$AI125))/SUMIF($Z$3:$AI$3,Z$60,$Z$4:$AI$4)))</f>
        <v>6.5</v>
      </c>
      <c r="AA76" s="196" t="n">
        <f aca="false">IF((SUMIF($Z$3:$AI$3,AA$60,$Z$4:$AI$4))=0,0,((SUMIF($Z$3:$AI$3,AA$60,$Z125:$AI125))/SUMIF($Z$3:$AI$3,AA$60,$Z$4:$AI$4)))</f>
        <v>5.5</v>
      </c>
      <c r="AB76" s="196" t="n">
        <f aca="false">IF((SUMIF($Z$3:$AI$3,AB$60,$Z$4:$AI$4))=0,0,((SUMIF($Z$3:$AI$3,AB$60,$Z125:$AI125))/SUMIF($Z$3:$AI$3,AB$60,$Z$4:$AI$4)))</f>
        <v>9</v>
      </c>
      <c r="AC76" s="196" t="n">
        <f aca="false">IF((SUMIF($Z$3:$AI$3,AC$60,$Z$4:$AI$4))=0,0,((SUMIF($Z$3:$AI$3,AC$60,$Z125:$AI125))/SUMIF($Z$3:$AI$3,AC$60,$Z$4:$AI$4)))</f>
        <v>0</v>
      </c>
      <c r="AD76" s="196" t="n">
        <f aca="false">IF((SUMIF($Z$3:$AI$3,AD$60,$Z$4:$AI$4))=0,0,((SUMIF($Z$3:$AI$3,AD$60,$Z125:$AI125))/SUMIF($Z$3:$AI$3,AD$60,$Z$4:$AI$4)))</f>
        <v>0</v>
      </c>
      <c r="AE76" s="196" t="n">
        <f aca="false">IF((SUMIF($Z$3:$AI$3,AE$60,$Z$4:$AI$4))=0,0,((SUMIF($Z$3:$AI$3,AE$60,$Z125:$AI125))/SUMIF($Z$3:$AI$3,AE$60,$Z$4:$AI$4)))</f>
        <v>0</v>
      </c>
      <c r="AF76" s="196" t="n">
        <f aca="false">IF((SUMIF($Z$3:$AI$3,AF$60,$Z$4:$AI$4))=0,0,((SUMIF($Z$3:$AI$3,AF$60,$Z125:$AI125))/SUMIF($Z$3:$AI$3,AF$60,$Z$4:$AI$4)))</f>
        <v>0</v>
      </c>
      <c r="AG76" s="196" t="n">
        <f aca="false">IF((SUMIF($Z$3:$AI$3,AG$60,$Z$4:$AI$4))=0,0,((SUMIF($Z$3:$AI$3,AG$60,$Z125:$AI125))/SUMIF($Z$3:$AI$3,AG$60,$Z$4:$AI$4)))</f>
        <v>0</v>
      </c>
      <c r="AH76" s="196" t="n">
        <f aca="false">IF((SUMIF($Z$3:$AI$3,AH$60,$Z$4:$AI$4))=0,0,((SUMIF($Z$3:$AI$3,AH$60,$Z125:$AI125))/SUMIF($Z$3:$AI$3,AH$60,$Z$4:$AI$4)))</f>
        <v>0</v>
      </c>
      <c r="AI76" s="197" t="n">
        <f aca="false">IF((SUMIF($Z$3:$AI$3,AI$60,$Z$4:$AI$4))=0,0,((SUMIF($Z$3:$AI$3,AI$60,$Z125:$AI125))/SUMIF($Z$3:$AI$3,AI$60,$Z$4:$AI$4)))</f>
        <v>0</v>
      </c>
      <c r="AJ76" s="194" t="str">
        <f aca="false">Y76</f>
        <v>Alumno15</v>
      </c>
      <c r="AK76" s="195" t="n">
        <f aca="false">IF((SUMIF($AK$3:$AT$3,AK$60,$AK$4:$AT$4))=0,0,((SUMIF($AK$3:$AT$3,AK$60,$AK125:$AT125))/SUMIF($AK$3:$AT$3,AK$60,$AK$4:$AT$4)))</f>
        <v>8</v>
      </c>
      <c r="AL76" s="196" t="n">
        <f aca="false">IF((SUMIF($AK$3:$AT$3,AL$60,$AK$4:$AT$4))=0,0,((SUMIF($AK$3:$AT$3,AL$60,$AK125:$AT125))/SUMIF($AK$3:$AT$3,AL$60,$AK$4:$AT$4)))</f>
        <v>7</v>
      </c>
      <c r="AM76" s="196" t="n">
        <f aca="false">IF((SUMIF($AK$3:$AT$3,AM$60,$AK$4:$AT$4))=0,0,((SUMIF($AK$3:$AT$3,AM$60,$AK125:$AT125))/SUMIF($AK$3:$AT$3,AM$60,$AK$4:$AT$4)))</f>
        <v>5.5</v>
      </c>
      <c r="AN76" s="196" t="n">
        <f aca="false">IF((SUMIF($AK$3:$AT$3,AN$60,$AK$4:$AT$4))=0,0,((SUMIF($AK$3:$AT$3,AN$60,$AK125:$AT125))/SUMIF($AK$3:$AT$3,AN$60,$AK$4:$AT$4)))</f>
        <v>0</v>
      </c>
      <c r="AO76" s="196" t="n">
        <f aca="false">IF((SUMIF($AK$3:$AT$3,AO$60,$AK$4:$AT$4))=0,0,((SUMIF($AK$3:$AT$3,AO$60,$AK125:$AT125))/SUMIF($AK$3:$AT$3,AO$60,$AK$4:$AT$4)))</f>
        <v>0</v>
      </c>
      <c r="AP76" s="196" t="n">
        <f aca="false">IF((SUMIF($AK$3:$AT$3,AP$60,$AK$4:$AT$4))=0,0,((SUMIF($AK$3:$AT$3,AP$60,$AK125:$AT125))/SUMIF($AK$3:$AT$3,AP$60,$AK$4:$AT$4)))</f>
        <v>0</v>
      </c>
      <c r="AQ76" s="196" t="n">
        <f aca="false">IF((SUMIF($AK$3:$AT$3,AQ$60,$AK$4:$AT$4))=0,0,((SUMIF($AK$3:$AT$3,AQ$60,$AK125:$AT125))/SUMIF($AK$3:$AT$3,AQ$60,$AK$4:$AT$4)))</f>
        <v>0</v>
      </c>
      <c r="AR76" s="196" t="n">
        <f aca="false">IF((SUMIF($AK$3:$AT$3,AR$60,$AK$4:$AT$4))=0,0,((SUMIF($AK$3:$AT$3,AR$60,$AK125:$AT125))/SUMIF($AK$3:$AT$3,AR$60,$AK$4:$AT$4)))</f>
        <v>0</v>
      </c>
      <c r="AS76" s="196" t="n">
        <f aca="false">IF((SUMIF($AK$3:$AT$3,AS$60,$AK$4:$AT$4))=0,0,((SUMIF($AK$3:$AT$3,AS$60,$AK125:$AT125))/SUMIF($AK$3:$AT$3,AS$60,$AK$4:$AT$4)))</f>
        <v>0</v>
      </c>
      <c r="AT76" s="197" t="n">
        <f aca="false">IF((SUMIF($AK$3:$AT$3,AT$60,$AK$4:$AT$4))=0,0,((SUMIF($AK$3:$AT$3,AT$60,$AK125:$AT125))/SUMIF($AK$3:$AT$3,AT$60,$AK$4:$AT$4)))</f>
        <v>0</v>
      </c>
      <c r="AU76" s="194" t="str">
        <f aca="false">AJ76</f>
        <v>Alumno15</v>
      </c>
      <c r="AV76" s="195" t="n">
        <f aca="false">IF((SUMIF($AV$3:$BE$3,AV$60,$AV$4:$BE$4))=0,0,((SUMIF($AV$3:$BE$3,AV$60,$AV125:$BE125))/SUMIF($AV$3:$BE$3,AV$60,$AV$4:$BE$4)))</f>
        <v>3</v>
      </c>
      <c r="AW76" s="196" t="n">
        <f aca="false">IF((SUMIF($AV$3:$BE$3,AW$60,$AV$4:$BE$4))=0,0,((SUMIF($AV$3:$BE$3,AW$60,$AV125:$BE125))/SUMIF($AV$3:$BE$3,AW$60,$AV$4:$BE$4)))</f>
        <v>3</v>
      </c>
      <c r="AX76" s="196" t="n">
        <f aca="false">IF((SUMIF($AV$3:$BE$3,AX$60,$AV$4:$BE$4))=0,0,((SUMIF($AV$3:$BE$3,AX$60,$AV125:$BE125))/SUMIF($AV$3:$BE$3,AX$60,$AV$4:$BE$4)))</f>
        <v>3.2</v>
      </c>
      <c r="AY76" s="196" t="n">
        <f aca="false">IF((SUMIF($AV$3:$BE$3,AY$60,$AV$4:$BE$4))=0,0,((SUMIF($AV$3:$BE$3,AY$60,$AV125:$BE125))/SUMIF($AV$3:$BE$3,AY$60,$AV$4:$BE$4)))</f>
        <v>5</v>
      </c>
      <c r="AZ76" s="196" t="n">
        <f aca="false">IF((SUMIF($AV$3:$BE$3,AZ$60,$AV$4:$BE$4))=0,0,((SUMIF($AV$3:$BE$3,AZ$60,$AV125:$BE125))/SUMIF($AV$3:$BE$3,AZ$60,$AV$4:$BE$4)))</f>
        <v>0</v>
      </c>
      <c r="BA76" s="196" t="n">
        <f aca="false">IF((SUMIF($AV$3:$BE$3,BA$60,$AV$4:$BE$4))=0,0,((SUMIF($AV$3:$BE$3,BA$60,$AV125:$BE125))/SUMIF($AV$3:$BE$3,BA$60,$AV$4:$BE$4)))</f>
        <v>0</v>
      </c>
      <c r="BB76" s="196" t="n">
        <f aca="false">IF((SUMIF($AV$3:$BE$3,BB$60,$AV$4:$BE$4))=0,0,((SUMIF($AV$3:$BE$3,BB$60,$AV125:$BE125))/SUMIF($AV$3:$BE$3,BB$60,$AV$4:$BE$4)))</f>
        <v>0</v>
      </c>
      <c r="BC76" s="196" t="n">
        <f aca="false">IF((SUMIF($AV$3:$BE$3,BC$60,$AV$4:$BE$4))=0,0,((SUMIF($AV$3:$BE$3,BC$60,$AV125:$BE125))/SUMIF($AV$3:$BE$3,BC$60,$AV$4:$BE$4)))</f>
        <v>0</v>
      </c>
      <c r="BD76" s="196" t="n">
        <f aca="false">IF((SUMIF($AV$3:$BE$3,BD$60,$AV$4:$BE$4))=0,0,((SUMIF($AV$3:$BE$3,BD$60,$AV125:$BE125))/SUMIF($AV$3:$BE$3,BD$60,$AV$4:$BE$4)))</f>
        <v>0</v>
      </c>
      <c r="BE76" s="197" t="n">
        <f aca="false">IF((SUMIF($AV$3:$BE$3,BE$60,$AV$4:$BE$4))=0,0,((SUMIF($AV$3:$BE$3,BE$60,$AV125:$BE125))/SUMIF($AV$3:$BE$3,BE$60,$AV$4:$BE$4)))</f>
        <v>0</v>
      </c>
      <c r="BF76" s="194" t="str">
        <f aca="false">AU76</f>
        <v>Alumno15</v>
      </c>
      <c r="BG76" s="195" t="n">
        <f aca="false">IF((SUMIF($BG$3:$BP$3,BG$60,$BG$4:$BP$4))=0,0,((SUMIF($BG$3:$BP$3,BG$60,$BG125:$BP125))/SUMIF($BG$3:$BP$3,BG$60,$BG$4:$BP$4)))</f>
        <v>3</v>
      </c>
      <c r="BH76" s="196" t="n">
        <f aca="false">IF((SUMIF($BG$3:$BP$3,BH$60,$BG$4:$BP$4))=0,0,((SUMIF($BG$3:$BP$3,BH$60,$BG125:$BP125))/SUMIF($BG$3:$BP$3,BH$60,$BG$4:$BP$4)))</f>
        <v>3</v>
      </c>
      <c r="BI76" s="196" t="n">
        <f aca="false">IF((SUMIF($BG$3:$BP$3,BI$60,$BG$4:$BP$4))=0,0,((SUMIF($BG$3:$BP$3,BI$60,$BG125:$BP125))/SUMIF($BG$3:$BP$3,BI$60,$BG$4:$BP$4)))</f>
        <v>2</v>
      </c>
      <c r="BJ76" s="196" t="n">
        <f aca="false">IF((SUMIF($BG$3:$BP$3,BJ$60,$BG$4:$BP$4))=0,0,((SUMIF($BG$3:$BP$3,BJ$60,$BG125:$BP125))/SUMIF($BG$3:$BP$3,BJ$60,$BG$4:$BP$4)))</f>
        <v>4.6</v>
      </c>
      <c r="BK76" s="196" t="n">
        <f aca="false">IF((SUMIF($BG$3:$BP$3,BK$60,$BG$4:$BP$4))=0,0,((SUMIF($BG$3:$BP$3,BK$60,$BG125:$BP125))/SUMIF($BG$3:$BP$3,BK$60,$BG$4:$BP$4)))</f>
        <v>0</v>
      </c>
      <c r="BL76" s="196" t="n">
        <f aca="false">IF((SUMIF($BG$3:$BP$3,BL$60,$BG$4:$BP$4))=0,0,((SUMIF($BG$3:$BP$3,BL$60,$BG125:$BP125))/SUMIF($BG$3:$BP$3,BL$60,$BG$4:$BP$4)))</f>
        <v>0</v>
      </c>
      <c r="BM76" s="196" t="n">
        <f aca="false">IF((SUMIF($BG$3:$BP$3,BM$60,$BG$4:$BP$4))=0,0,((SUMIF($BG$3:$BP$3,BM$60,$BG125:$BP125))/SUMIF($BG$3:$BP$3,BM$60,$BG$4:$BP$4)))</f>
        <v>0</v>
      </c>
      <c r="BN76" s="196" t="n">
        <f aca="false">IF((SUMIF($BG$3:$BP$3,BN$60,$BG$4:$BP$4))=0,0,((SUMIF($BG$3:$BP$3,BN$60,$BG125:$BP125))/SUMIF($BG$3:$BP$3,BN$60,$BG$4:$BP$4)))</f>
        <v>0</v>
      </c>
      <c r="BO76" s="196" t="n">
        <f aca="false">IF((SUMIF($BG$3:$BP$3,BO$60,$BG$4:$BP$4))=0,0,((SUMIF($BG$3:$BP$3,BO$60,$BG125:$BP125))/SUMIF($BG$3:$BP$3,BO$60,$BG$4:$BP$4)))</f>
        <v>0</v>
      </c>
      <c r="BP76" s="197" t="n">
        <f aca="false">IF((SUMIF($BG$3:$BP$3,BP$60,$BG$4:$BP$4))=0,0,((SUMIF($BG$3:$BP$3,BP$60,$BG125:$BP125))/SUMIF($BG$3:$BP$3,BP$60,$BG$4:$BP$4)))</f>
        <v>0</v>
      </c>
      <c r="BQ76" s="194" t="str">
        <f aca="false">BF76</f>
        <v>Alumno15</v>
      </c>
      <c r="BR76" s="195" t="n">
        <f aca="false">IF((SUMIF($BR$3:$CA$3,BR$60,$BR$4:$CA$4))=0,0,((SUMIF($BR$3:$CA$3,BR$60,$BR125:$CA125))/SUMIF($BR$3:$CA$3,BR$60,$BR$4:$CA$4)))</f>
        <v>0</v>
      </c>
      <c r="BS76" s="196" t="n">
        <f aca="false">IF((SUMIF($BR$3:$CA$3,BS$60,$BR$4:$CA$4))=0,0,((SUMIF($BR$3:$CA$3,BS$60,$BR125:$CA125))/SUMIF($BR$3:$CA$3,BS$60,$BR$4:$CA$4)))</f>
        <v>5</v>
      </c>
      <c r="BT76" s="196" t="n">
        <f aca="false">IF((SUMIF($BR$3:$CA$3,BT$60,$BR$4:$CA$4))=0,0,((SUMIF($BR$3:$CA$3,BT$60,$BR125:$CA125))/SUMIF($BR$3:$CA$3,BT$60,$BR$4:$CA$4)))</f>
        <v>5</v>
      </c>
      <c r="BU76" s="196" t="n">
        <f aca="false">IF((SUMIF($BR$3:$CA$3,BU$60,$BR$4:$CA$4))=0,0,((SUMIF($BR$3:$CA$3,BU$60,$BR125:$CA125))/SUMIF($BR$3:$CA$3,BU$60,$BR$4:$CA$4)))</f>
        <v>5</v>
      </c>
      <c r="BV76" s="196" t="n">
        <f aca="false">IF((SUMIF($BR$3:$CA$3,BV$60,$BR$4:$CA$4))=0,0,((SUMIF($BR$3:$CA$3,BV$60,$BR125:$CA125))/SUMIF($BR$3:$CA$3,BV$60,$BR$4:$CA$4)))</f>
        <v>0</v>
      </c>
      <c r="BW76" s="196" t="n">
        <f aca="false">IF((SUMIF($BR$3:$CA$3,BW$60,$BR$4:$CA$4))=0,0,((SUMIF($BR$3:$CA$3,BW$60,$BR125:$CA125))/SUMIF($BR$3:$CA$3,BW$60,$BR$4:$CA$4)))</f>
        <v>0</v>
      </c>
      <c r="BX76" s="196" t="n">
        <f aca="false">IF((SUMIF($BR$3:$CA$3,BX$60,$BR$4:$CA$4))=0,0,((SUMIF($BR$3:$CA$3,BX$60,$BR125:$CA125))/SUMIF($BR$3:$CA$3,BX$60,$BR$4:$CA$4)))</f>
        <v>0</v>
      </c>
      <c r="BY76" s="196" t="n">
        <f aca="false">IF((SUMIF($BR$3:$CA$3,BY$60,$BR$4:$CA$4))=0,0,((SUMIF($BR$3:$CA$3,BY$60,$BR125:$CA125))/SUMIF($BR$3:$CA$3,BY$60,$BR$4:$CA$4)))</f>
        <v>0</v>
      </c>
      <c r="BZ76" s="196" t="n">
        <f aca="false">IF((SUMIF($BR$3:$CA$3,BZ$60,$BR$4:$CA$4))=0,0,((SUMIF($BR$3:$CA$3,BZ$60,$BR125:$CA125))/SUMIF($BR$3:$CA$3,BZ$60,$BR$4:$CA$4)))</f>
        <v>0</v>
      </c>
      <c r="CA76" s="197" t="n">
        <f aca="false">IF((SUMIF($BR$3:$CA$3,CA$60,$BR$4:$CA$4))=0,0,((SUMIF($BR$3:$CA$3,CA$60,$BR125:$CA125))/SUMIF($BR$3:$CA$3,CA$60,$BR$4:$CA$4)))</f>
        <v>0</v>
      </c>
      <c r="CB76" s="194" t="str">
        <f aca="false">BQ76</f>
        <v>Alumno15</v>
      </c>
      <c r="CC76" s="195" t="n">
        <f aca="false">IF((SUMIF($CC$3:$CL$3,CC$60,$CC$4:$CL$4))=0,0,((SUMIF($CC$3:$CL$3,CC$60,$CC125:$CL125))/SUMIF($CC$3:$CL$3,CC$60,$CC$4:$CL$4)))</f>
        <v>0</v>
      </c>
      <c r="CD76" s="196" t="n">
        <f aca="false">IF((SUMIF($CC$3:$CL$3,CD$60,$CC$4:$CL$4))=0,0,((SUMIF($CC$3:$CL$3,CD$60,$CC125:$CL125))/SUMIF($CC$3:$CL$3,CD$60,$CC$4:$CL$4)))</f>
        <v>0</v>
      </c>
      <c r="CE76" s="196" t="n">
        <f aca="false">IF((SUMIF($CC$3:$CL$3,CE$60,$CC$4:$CL$4))=0,0,((SUMIF($CC$3:$CL$3,CE$60,$CC125:$CL125))/SUMIF($CC$3:$CL$3,CE$60,$CC$4:$CL$4)))</f>
        <v>0</v>
      </c>
      <c r="CF76" s="196" t="n">
        <f aca="false">IF((SUMIF($CC$3:$CL$3,CF$60,$CC$4:$CL$4))=0,0,((SUMIF($CC$3:$CL$3,CF$60,$CC125:$CL125))/SUMIF($CC$3:$CL$3,CF$60,$CC$4:$CL$4)))</f>
        <v>0</v>
      </c>
      <c r="CG76" s="196" t="n">
        <f aca="false">IF((SUMIF($CC$3:$CL$3,CG$60,$CC$4:$CL$4))=0,0,((SUMIF($CC$3:$CL$3,CG$60,$CC125:$CL125))/SUMIF($CC$3:$CL$3,CG$60,$CC$4:$CL$4)))</f>
        <v>0</v>
      </c>
      <c r="CH76" s="196" t="n">
        <f aca="false">IF((SUMIF($CC$3:$CL$3,CH$60,$CC$4:$CL$4))=0,0,((SUMIF($CC$3:$CL$3,CH$60,$CC125:$CL125))/SUMIF($CC$3:$CL$3,CH$60,$CC$4:$CL$4)))</f>
        <v>0</v>
      </c>
      <c r="CI76" s="196" t="n">
        <f aca="false">IF((SUMIF($CC$3:$CL$3,CI$60,$CC$4:$CL$4))=0,0,((SUMIF($CC$3:$CL$3,CI$60,$CC125:$CL125))/SUMIF($CC$3:$CL$3,CI$60,$CC$4:$CL$4)))</f>
        <v>0</v>
      </c>
      <c r="CJ76" s="196" t="n">
        <f aca="false">IF((SUMIF($CC$3:$CL$3,CJ$60,$CC$4:$CL$4))=0,0,((SUMIF($CC$3:$CL$3,CJ$60,$CC125:$CL125))/SUMIF($CC$3:$CL$3,CJ$60,$CC$4:$CL$4)))</f>
        <v>0</v>
      </c>
      <c r="CK76" s="196" t="n">
        <f aca="false">IF((SUMIF($CC$3:$CL$3,CK$60,$CC$4:$CL$4))=0,0,((SUMIF($CC$3:$CL$3,CK$60,$CC125:$CL125))/SUMIF($CC$3:$CL$3,CK$60,$CC$4:$CL$4)))</f>
        <v>0</v>
      </c>
      <c r="CL76" s="197" t="n">
        <f aca="false">IF((SUMIF($CC$3:$CL$3,CL$60,$CC$4:$CL$4))=0,0,((SUMIF($CC$3:$CL$3,CL$60,$CC125:$CL125))/SUMIF($CC$3:$CL$3,CL$60,$CC$4:$CL$4)))</f>
        <v>0</v>
      </c>
      <c r="CM76" s="194" t="str">
        <f aca="false">CB76</f>
        <v>Alumno15</v>
      </c>
      <c r="CN76" s="195" t="n">
        <f aca="false">IF((SUMIF($CN$3:$CW$3,CN$60,$CN$4:$CW$4))=0,0,((SUMIF($CN$3:$CW$3,CN$60,$CN125:$CW125))/SUMIF($CN$3:$CW$3,CN$60,$CN$4:$CW$4)))</f>
        <v>0</v>
      </c>
      <c r="CO76" s="196" t="n">
        <f aca="false">IF((SUMIF($CN$3:$CW$3,CO$60,$CN$4:$CW$4))=0,0,((SUMIF($CN$3:$CW$3,CO$60,$CN125:$CW125))/SUMIF($CN$3:$CW$3,CO$60,$CN$4:$CW$4)))</f>
        <v>0</v>
      </c>
      <c r="CP76" s="196" t="n">
        <f aca="false">IF((SUMIF($CN$3:$CW$3,CP$60,$CN$4:$CW$4))=0,0,((SUMIF($CN$3:$CW$3,CP$60,$CN125:$CW125))/SUMIF($CN$3:$CW$3,CP$60,$CN$4:$CW$4)))</f>
        <v>0</v>
      </c>
      <c r="CQ76" s="196" t="n">
        <f aca="false">IF((SUMIF($CN$3:$CW$3,CQ$60,$CN$4:$CW$4))=0,0,((SUMIF($CN$3:$CW$3,CQ$60,$CN125:$CW125))/SUMIF($CN$3:$CW$3,CQ$60,$CN$4:$CW$4)))</f>
        <v>0</v>
      </c>
      <c r="CR76" s="196" t="n">
        <f aca="false">IF((SUMIF($CN$3:$CW$3,CR$60,$CN$4:$CW$4))=0,0,((SUMIF($CN$3:$CW$3,CR$60,$CN125:$CW125))/SUMIF($CN$3:$CW$3,CR$60,$CN$4:$CW$4)))</f>
        <v>0</v>
      </c>
      <c r="CS76" s="196" t="n">
        <f aca="false">IF((SUMIF($CN$3:$CW$3,CS$60,$CN$4:$CW$4))=0,0,((SUMIF($CN$3:$CW$3,CS$60,$CN125:$CW125))/SUMIF($CN$3:$CW$3,CS$60,$CN$4:$CW$4)))</f>
        <v>0</v>
      </c>
      <c r="CT76" s="196" t="n">
        <f aca="false">IF((SUMIF($CN$3:$CW$3,CT$60,$CN$4:$CW$4))=0,0,((SUMIF($CN$3:$CW$3,CT$60,$CN125:$CW125))/SUMIF($CN$3:$CW$3,CT$60,$CN$4:$CW$4)))</f>
        <v>0</v>
      </c>
      <c r="CU76" s="196" t="n">
        <f aca="false">IF((SUMIF($CN$3:$CW$3,CU$60,$CN$4:$CW$4))=0,0,((SUMIF($CN$3:$CW$3,CU$60,$CN125:$CW125))/SUMIF($CN$3:$CW$3,CU$60,$CN$4:$CW$4)))</f>
        <v>0</v>
      </c>
      <c r="CV76" s="196" t="n">
        <f aca="false">IF((SUMIF($CN$3:$CW$3,CV$60,$CN$4:$CW$4))=0,0,((SUMIF($CN$3:$CW$3,CV$60,$CN125:$CW125))/SUMIF($CN$3:$CW$3,CV$60,$CN$4:$CW$4)))</f>
        <v>0</v>
      </c>
      <c r="CW76" s="197" t="n">
        <f aca="false">IF((SUMIF($CN$3:$CW$3,CW$60,$CN$4:$CW$4))=0,0,((SUMIF($CN$3:$CW$3,CW$60,$CN125:$CW125))/SUMIF($CN$3:$CW$3,CW$60,$CN$4:$CW$4)))</f>
        <v>0</v>
      </c>
      <c r="CX76" s="194" t="str">
        <f aca="false">CM76</f>
        <v>Alumno15</v>
      </c>
      <c r="CY76" s="195" t="n">
        <f aca="false">IF((SUMIF($CY$3:$DH$3,CY$60,$CY$4:$DH$4))=0,0,((SUMIF($CY$3:$DH$3,CY$60,$CY125:$DH125))/SUMIF($CY$3:$DH$3,CY$60,$CY$4:$DH$4)))</f>
        <v>0</v>
      </c>
      <c r="CZ76" s="196" t="n">
        <f aca="false">IF((SUMIF($CY$3:$DH$3,CZ$60,$CY$4:$DH$4))=0,0,((SUMIF($CY$3:$DH$3,CZ$60,$CY125:$DH125))/SUMIF($CY$3:$DH$3,CZ$60,$CY$4:$DH$4)))</f>
        <v>0</v>
      </c>
      <c r="DA76" s="196" t="n">
        <f aca="false">IF((SUMIF($CY$3:$DH$3,DA$60,$CY$4:$DH$4))=0,0,((SUMIF($CY$3:$DH$3,DA$60,$CY125:$DH125))/SUMIF($CY$3:$DH$3,DA$60,$CY$4:$DH$4)))</f>
        <v>0</v>
      </c>
      <c r="DB76" s="196" t="n">
        <f aca="false">IF((SUMIF($CY$3:$DH$3,DB$60,$CY$4:$DH$4))=0,0,((SUMIF($CY$3:$DH$3,DB$60,$CY125:$DH125))/SUMIF($CY$3:$DH$3,DB$60,$CY$4:$DH$4)))</f>
        <v>0</v>
      </c>
      <c r="DC76" s="196" t="n">
        <f aca="false">IF((SUMIF($CY$3:$DH$3,DC$60,$CY$4:$DH$4))=0,0,((SUMIF($CY$3:$DH$3,DC$60,$CY125:$DH125))/SUMIF($CY$3:$DH$3,DC$60,$CY$4:$DH$4)))</f>
        <v>0</v>
      </c>
      <c r="DD76" s="196" t="n">
        <f aca="false">IF((SUMIF($CY$3:$DH$3,DD$60,$CY$4:$DH$4))=0,0,((SUMIF($CY$3:$DH$3,DD$60,$CY125:$DH125))/SUMIF($CY$3:$DH$3,DD$60,$CY$4:$DH$4)))</f>
        <v>0</v>
      </c>
      <c r="DE76" s="196" t="n">
        <f aca="false">IF((SUMIF($CY$3:$DH$3,DE$60,$CY$4:$DH$4))=0,0,((SUMIF($CY$3:$DH$3,DE$60,$CY125:$DH125))/SUMIF($CY$3:$DH$3,DE$60,$CY$4:$DH$4)))</f>
        <v>0</v>
      </c>
      <c r="DF76" s="196" t="n">
        <f aca="false">IF((SUMIF($CY$3:$DH$3,DF$60,$CY$4:$DH$4))=0,0,((SUMIF($CY$3:$DH$3,DF$60,$CY125:$DH125))/SUMIF($CY$3:$DH$3,DF$60,$CY$4:$DH$4)))</f>
        <v>0</v>
      </c>
      <c r="DG76" s="196" t="n">
        <f aca="false">IF((SUMIF($CY$3:$DH$3,DG$60,$CY$4:$DH$4))=0,0,((SUMIF($CY$3:$DH$3,DG$60,$CY125:$DH125))/SUMIF($CY$3:$DH$3,DG$60,$CY$4:$DH$4)))</f>
        <v>0</v>
      </c>
      <c r="DH76" s="197" t="n">
        <f aca="false">IF((SUMIF($CY$3:$DH$3,DH$60,$CY$4:$DH$4))=0,0,((SUMIF($CY$3:$DH$3,DH$60,$CY125:$DH125))/SUMIF($CY$3:$DH$3,DH$60,$CY$4:$DH$4)))</f>
        <v>0</v>
      </c>
      <c r="DI76" s="194" t="str">
        <f aca="false">CX76</f>
        <v>Alumno15</v>
      </c>
      <c r="DJ76" s="195" t="n">
        <f aca="false">IF((SUMIF($DJ$3:$DS$3,DJ$60,$DJ$4:$DS$4))=0,0,((SUMIF($DJ$3:$DS$3,DJ$60,$DJ125:$DS125))/SUMIF($DJ$3:$DS$3,DJ$60,$DJ$4:$DS$4)))</f>
        <v>0</v>
      </c>
      <c r="DK76" s="196" t="n">
        <f aca="false">IF((SUMIF($DJ$3:$DS$3,DK$60,$DJ$4:$DS$4))=0,0,((SUMIF($DJ$3:$DS$3,DK$60,$DJ125:$DS125))/SUMIF($DJ$3:$DS$3,DK$60,$DJ$4:$DS$4)))</f>
        <v>0</v>
      </c>
      <c r="DL76" s="196" t="n">
        <f aca="false">IF((SUMIF($DJ$3:$DS$3,DL$60,$DJ$4:$DS$4))=0,0,((SUMIF($DJ$3:$DS$3,DL$60,$DJ125:$DS125))/SUMIF($DJ$3:$DS$3,DL$60,$DJ$4:$DS$4)))</f>
        <v>0</v>
      </c>
      <c r="DM76" s="196" t="n">
        <f aca="false">IF((SUMIF($DJ$3:$DS$3,DM$60,$DJ$4:$DS$4))=0,0,((SUMIF($DJ$3:$DS$3,DM$60,$DJ125:$DS125))/SUMIF($DJ$3:$DS$3,DM$60,$DJ$4:$DS$4)))</f>
        <v>0</v>
      </c>
      <c r="DN76" s="196" t="n">
        <f aca="false">IF((SUMIF($DJ$3:$DS$3,DN$60,$DJ$4:$DS$4))=0,0,((SUMIF($DJ$3:$DS$3,DN$60,$DJ125:$DS125))/SUMIF($DJ$3:$DS$3,DN$60,$DJ$4:$DS$4)))</f>
        <v>0</v>
      </c>
      <c r="DO76" s="196" t="n">
        <f aca="false">IF((SUMIF($DJ$3:$DS$3,DO$60,$DJ$4:$DS$4))=0,0,((SUMIF($DJ$3:$DS$3,DO$60,$DJ125:$DS125))/SUMIF($DJ$3:$DS$3,DO$60,$DJ$4:$DS$4)))</f>
        <v>0</v>
      </c>
      <c r="DP76" s="196" t="n">
        <f aca="false">IF((SUMIF($DJ$3:$DS$3,DP$60,$DJ$4:$DS$4))=0,0,((SUMIF($DJ$3:$DS$3,DP$60,$DJ125:$DS125))/SUMIF($DJ$3:$DS$3,DP$60,$DJ$4:$DS$4)))</f>
        <v>0</v>
      </c>
      <c r="DQ76" s="196" t="n">
        <f aca="false">IF((SUMIF($DJ$3:$DS$3,DQ$60,$DJ$4:$DS$4))=0,0,((SUMIF($DJ$3:$DS$3,DQ$60,$DJ125:$DS125))/SUMIF($DJ$3:$DS$3,DQ$60,$DJ$4:$DS$4)))</f>
        <v>0</v>
      </c>
      <c r="DR76" s="196" t="n">
        <f aca="false">IF((SUMIF($DJ$3:$DS$3,DR$60,$DJ$4:$DS$4))=0,0,((SUMIF($DJ$3:$DS$3,DR$60,$DJ125:$DS125))/SUMIF($DJ$3:$DS$3,DR$60,$DJ$4:$DS$4)))</f>
        <v>0</v>
      </c>
      <c r="DS76" s="197" t="n">
        <f aca="false">IF((SUMIF($DJ$3:$DS$3,DS$60,$DJ$4:$DS$4))=0,0,((SUMIF($DJ$3:$DS$3,DS$60,$DJ125:$DS125))/SUMIF($DJ$3:$DS$3,DS$60,$DJ$4:$DS$4)))</f>
        <v>0</v>
      </c>
      <c r="DT76" s="194" t="str">
        <f aca="false">DI76</f>
        <v>Alumno15</v>
      </c>
      <c r="DU76" s="195" t="n">
        <f aca="false">IF((SUMIF($DU$3:$ED$3,DU$60,$DU$4:$ED$4))=0,0,((SUMIF($DU$3:$ED$3,DU$60,$DU125:$ED125))/SUMIF($DU$3:$ED$3,DU$60,$DU$4:$ED$4)))</f>
        <v>0</v>
      </c>
      <c r="DV76" s="196" t="n">
        <f aca="false">IF((SUMIF($DU$3:$ED$3,DV$60,$DU$4:$ED$4))=0,0,((SUMIF($DU$3:$ED$3,DV$60,$DU125:$ED125))/SUMIF($DU$3:$ED$3,DV$60,$DU$4:$ED$4)))</f>
        <v>0</v>
      </c>
      <c r="DW76" s="196" t="n">
        <f aca="false">IF((SUMIF($DU$3:$ED$3,DW$60,$DU$4:$ED$4))=0,0,((SUMIF($DU$3:$ED$3,DW$60,$DU125:$ED125))/SUMIF($DU$3:$ED$3,DW$60,$DU$4:$ED$4)))</f>
        <v>0</v>
      </c>
      <c r="DX76" s="196" t="n">
        <f aca="false">IF((SUMIF($DU$3:$ED$3,DX$60,$DU$4:$ED$4))=0,0,((SUMIF($DU$3:$ED$3,DX$60,$DU125:$ED125))/SUMIF($DU$3:$ED$3,DX$60,$DU$4:$ED$4)))</f>
        <v>0</v>
      </c>
      <c r="DY76" s="196" t="n">
        <f aca="false">IF((SUMIF($DU$3:$ED$3,DY$60,$DU$4:$ED$4))=0,0,((SUMIF($DU$3:$ED$3,DY$60,$DU125:$ED125))/SUMIF($DU$3:$ED$3,DY$60,$DU$4:$ED$4)))</f>
        <v>0</v>
      </c>
      <c r="DZ76" s="196" t="n">
        <f aca="false">IF((SUMIF($DU$3:$ED$3,DZ$60,$DU$4:$ED$4))=0,0,((SUMIF($DU$3:$ED$3,DZ$60,$DU125:$ED125))/SUMIF($DU$3:$ED$3,DZ$60,$DU$4:$ED$4)))</f>
        <v>0</v>
      </c>
      <c r="EA76" s="196" t="n">
        <f aca="false">IF((SUMIF($DU$3:$ED$3,EA$60,$DU$4:$ED$4))=0,0,((SUMIF($DU$3:$ED$3,EA$60,$DU125:$ED125))/SUMIF($DU$3:$ED$3,EA$60,$DU$4:$ED$4)))</f>
        <v>0</v>
      </c>
      <c r="EB76" s="196" t="n">
        <f aca="false">IF((SUMIF($DU$3:$ED$3,EB$60,$DU$4:$ED$4))=0,0,((SUMIF($DU$3:$ED$3,EB$60,$DU125:$ED125))/SUMIF($DU$3:$ED$3,EB$60,$DU$4:$ED$4)))</f>
        <v>0</v>
      </c>
      <c r="EC76" s="196" t="n">
        <f aca="false">IF((SUMIF($DU$3:$ED$3,EC$60,$DU$4:$ED$4))=0,0,((SUMIF($DU$3:$ED$3,EC$60,$DU125:$ED125))/SUMIF($DU$3:$ED$3,EC$60,$DU$4:$ED$4)))</f>
        <v>0</v>
      </c>
      <c r="ED76" s="197" t="n">
        <f aca="false">IF((SUMIF($DU$3:$ED$3,ED$60,$DU$4:$ED$4))=0,0,((SUMIF($DU$3:$ED$3,ED$60,$DU125:$ED125))/SUMIF($DU$3:$ED$3,ED$60,$DU$4:$ED$4)))</f>
        <v>0</v>
      </c>
      <c r="EE76" s="194" t="str">
        <f aca="false">DT76</f>
        <v>Alumno15</v>
      </c>
      <c r="EF76" s="195" t="n">
        <f aca="false">IF((SUMIF($EF$3:$EO$3,EF$60,$EF$4:$EO$4))=0,0,((SUMIF($EF$3:$EO$3,EF$60,$EF125:$EO125))/SUMIF($EF$3:$EO$3,EF$60,$EF$4:$EO$4)))</f>
        <v>0</v>
      </c>
      <c r="EG76" s="196" t="n">
        <f aca="false">IF((SUMIF($EF$3:$EO$3,EG$60,$EF$4:$EO$4))=0,0,((SUMIF($EF$3:$EO$3,EG$60,$EF125:$EO125))/SUMIF($EF$3:$EO$3,EG$60,$EF$4:$EO$4)))</f>
        <v>0</v>
      </c>
      <c r="EH76" s="196" t="n">
        <f aca="false">IF((SUMIF($EF$3:$EO$3,EH$60,$EF$4:$EO$4))=0,0,((SUMIF($EF$3:$EO$3,EH$60,$EF125:$EO125))/SUMIF($EF$3:$EO$3,EH$60,$EF$4:$EO$4)))</f>
        <v>0</v>
      </c>
      <c r="EI76" s="196" t="n">
        <f aca="false">IF((SUMIF($EF$3:$EO$3,EI$60,$EF$4:$EO$4))=0,0,((SUMIF($EF$3:$EO$3,EI$60,$EF125:$EO125))/SUMIF($EF$3:$EO$3,EI$60,$EF$4:$EO$4)))</f>
        <v>0</v>
      </c>
      <c r="EJ76" s="196" t="n">
        <f aca="false">IF((SUMIF($EF$3:$EO$3,EJ$60,$EF$4:$EO$4))=0,0,((SUMIF($EF$3:$EO$3,EJ$60,$EF125:$EO125))/SUMIF($EF$3:$EO$3,EJ$60,$EF$4:$EO$4)))</f>
        <v>0</v>
      </c>
      <c r="EK76" s="196" t="n">
        <f aca="false">IF((SUMIF($EF$3:$EO$3,EK$60,$EF$4:$EO$4))=0,0,((SUMIF($EF$3:$EO$3,EK$60,$EF125:$EO125))/SUMIF($EF$3:$EO$3,EK$60,$EF$4:$EO$4)))</f>
        <v>0</v>
      </c>
      <c r="EL76" s="196" t="n">
        <f aca="false">IF((SUMIF($EF$3:$EO$3,EL$60,$EF$4:$EO$4))=0,0,((SUMIF($EF$3:$EO$3,EL$60,$EF125:$EO125))/SUMIF($EF$3:$EO$3,EL$60,$EF$4:$EO$4)))</f>
        <v>0</v>
      </c>
      <c r="EM76" s="196" t="n">
        <f aca="false">IF((SUMIF($EF$3:$EO$3,EM$60,$EF$4:$EO$4))=0,0,((SUMIF($EF$3:$EO$3,EM$60,$EF125:$EO125))/SUMIF($EF$3:$EO$3,EM$60,$EF$4:$EO$4)))</f>
        <v>0</v>
      </c>
      <c r="EN76" s="196" t="n">
        <f aca="false">IF((SUMIF($EF$3:$EO$3,EN$60,$EF$4:$EO$4))=0,0,((SUMIF($EF$3:$EO$3,EN$60,$EF125:$EO125))/SUMIF($EF$3:$EO$3,EN$60,$EF$4:$EO$4)))</f>
        <v>0</v>
      </c>
      <c r="EO76" s="197" t="n">
        <f aca="false">IF((SUMIF($EF$3:$EO$3,EO$60,$EF$4:$EO$4))=0,0,((SUMIF($EF$3:$EO$3,EO$60,$EF125:$EO125))/SUMIF($EF$3:$EO$3,EO$60,$EF$4:$EO$4)))</f>
        <v>0</v>
      </c>
      <c r="EP76" s="194" t="str">
        <f aca="false">EE76</f>
        <v>Alumno15</v>
      </c>
      <c r="EQ76" s="195" t="n">
        <f aca="false">IF((SUMIF($EQ$3:$EZ$3,EQ$60,$EQ$4:$EZ$4))=0,0,((SUMIF($EQ$3:$EZ$3,EQ$60,$EQ125:$EZ125))/SUMIF($EQ$3:$EZ$3,EQ$60,$EQ$4:$EZ$4)))</f>
        <v>0</v>
      </c>
      <c r="ER76" s="196" t="n">
        <f aca="false">IF((SUMIF($EQ$3:$EZ$3,ER$60,$EQ$4:$EZ$4))=0,0,((SUMIF($EQ$3:$EZ$3,ER$60,$EQ125:$EZ125))/SUMIF($EQ$3:$EZ$3,ER$60,$EQ$4:$EZ$4)))</f>
        <v>0</v>
      </c>
      <c r="ES76" s="196" t="n">
        <f aca="false">IF((SUMIF($EQ$3:$EZ$3,ES$60,$EQ$4:$EZ$4))=0,0,((SUMIF($EQ$3:$EZ$3,ES$60,$EQ125:$EZ125))/SUMIF($EQ$3:$EZ$3,ES$60,$EQ$4:$EZ$4)))</f>
        <v>0</v>
      </c>
      <c r="ET76" s="196" t="n">
        <f aca="false">IF((SUMIF($EQ$3:$EZ$3,ET$60,$EQ$4:$EZ$4))=0,0,((SUMIF($EQ$3:$EZ$3,ET$60,$EQ125:$EZ125))/SUMIF($EQ$3:$EZ$3,ET$60,$EQ$4:$EZ$4)))</f>
        <v>0</v>
      </c>
      <c r="EU76" s="196" t="n">
        <f aca="false">IF((SUMIF($EQ$3:$EZ$3,EU$60,$EQ$4:$EZ$4))=0,0,((SUMIF($EQ$3:$EZ$3,EU$60,$EQ125:$EZ125))/SUMIF($EQ$3:$EZ$3,EU$60,$EQ$4:$EZ$4)))</f>
        <v>0</v>
      </c>
      <c r="EV76" s="196" t="n">
        <f aca="false">IF((SUMIF($EQ$3:$EZ$3,EV$60,$EQ$4:$EZ$4))=0,0,((SUMIF($EQ$3:$EZ$3,EV$60,$EQ125:$EZ125))/SUMIF($EQ$3:$EZ$3,EV$60,$EQ$4:$EZ$4)))</f>
        <v>0</v>
      </c>
      <c r="EW76" s="196" t="n">
        <f aca="false">IF((SUMIF($EQ$3:$EZ$3,EW$60,$EQ$4:$EZ$4))=0,0,((SUMIF($EQ$3:$EZ$3,EW$60,$EQ125:$EZ125))/SUMIF($EQ$3:$EZ$3,EW$60,$EQ$4:$EZ$4)))</f>
        <v>0</v>
      </c>
      <c r="EX76" s="196" t="n">
        <f aca="false">IF((SUMIF($EQ$3:$EZ$3,EX$60,$EQ$4:$EZ$4))=0,0,((SUMIF($EQ$3:$EZ$3,EX$60,$EQ125:$EZ125))/SUMIF($EQ$3:$EZ$3,EX$60,$EQ$4:$EZ$4)))</f>
        <v>0</v>
      </c>
      <c r="EY76" s="196" t="n">
        <f aca="false">IF((SUMIF($EQ$3:$EZ$3,EY$60,$EQ$4:$EZ$4))=0,0,((SUMIF($EQ$3:$EZ$3,EY$60,$EQ125:$EZ125))/SUMIF($EQ$3:$EZ$3,EY$60,$EQ$4:$EZ$4)))</f>
        <v>0</v>
      </c>
      <c r="EZ76" s="197" t="n">
        <f aca="false">IF((SUMIF($EQ$3:$EZ$3,EZ$60,$EQ$4:$EZ$4))=0,0,((SUMIF($EQ$3:$EZ$3,EZ$60,$EQ125:$EZ125))/SUMIF($EQ$3:$EZ$3,EZ$60,$EQ$4:$EZ$4)))</f>
        <v>0</v>
      </c>
      <c r="FA76" s="194" t="str">
        <f aca="false">EP76</f>
        <v>Alumno15</v>
      </c>
      <c r="FB76" s="195" t="n">
        <f aca="false">IF((SUMIF($FB$3:$FK$3,FB$60,$FB$4:$FK$4))=0,0,((SUMIF($FB$3:$FK$3,FB$60,$FB125:$FK125))/SUMIF($FB$3:$FK$3,FB$60,$FB$4:$FK$4)))</f>
        <v>0</v>
      </c>
      <c r="FC76" s="196" t="n">
        <f aca="false">IF((SUMIF($FB$3:$FK$3,FC$60,$FB$4:$FK$4))=0,0,((SUMIF($FB$3:$FK$3,FC$60,$FB125:$FK125))/SUMIF($FB$3:$FK$3,FC$60,$FB$4:$FK$4)))</f>
        <v>0</v>
      </c>
      <c r="FD76" s="196" t="n">
        <f aca="false">IF((SUMIF($FB$3:$FK$3,FD$60,$FB$4:$FK$4))=0,0,((SUMIF($FB$3:$FK$3,FD$60,$FB125:$FK125))/SUMIF($FB$3:$FK$3,FD$60,$FB$4:$FK$4)))</f>
        <v>0</v>
      </c>
      <c r="FE76" s="196" t="n">
        <f aca="false">IF((SUMIF($FB$3:$FK$3,FE$60,$FB$4:$FK$4))=0,0,((SUMIF($FB$3:$FK$3,FE$60,$FB125:$FK125))/SUMIF($FB$3:$FK$3,FE$60,$FB$4:$FK$4)))</f>
        <v>0</v>
      </c>
      <c r="FF76" s="196" t="n">
        <f aca="false">IF((SUMIF($FB$3:$FK$3,FF$60,$FB$4:$FK$4))=0,0,((SUMIF($FB$3:$FK$3,FF$60,$FB125:$FK125))/SUMIF($FB$3:$FK$3,FF$60,$FB$4:$FK$4)))</f>
        <v>0</v>
      </c>
      <c r="FG76" s="196" t="n">
        <f aca="false">IF((SUMIF($FB$3:$FK$3,FG$60,$FB$4:$FK$4))=0,0,((SUMIF($FB$3:$FK$3,FG$60,$FB125:$FK125))/SUMIF($FB$3:$FK$3,FG$60,$FB$4:$FK$4)))</f>
        <v>0</v>
      </c>
      <c r="FH76" s="196" t="n">
        <f aca="false">IF((SUMIF($FB$3:$FK$3,FH$60,$FB$4:$FK$4))=0,0,((SUMIF($FB$3:$FK$3,FH$60,$FB125:$FK125))/SUMIF($FB$3:$FK$3,FH$60,$FB$4:$FK$4)))</f>
        <v>0</v>
      </c>
      <c r="FI76" s="196" t="n">
        <f aca="false">IF((SUMIF($FB$3:$FK$3,FI$60,$FB$4:$FK$4))=0,0,((SUMIF($FB$3:$FK$3,FI$60,$FB125:$FK125))/SUMIF($FB$3:$FK$3,FI$60,$FB$4:$FK$4)))</f>
        <v>0</v>
      </c>
      <c r="FJ76" s="196" t="n">
        <f aca="false">IF((SUMIF($FB$3:$FK$3,FJ$60,$FB$4:$FK$4))=0,0,((SUMIF($FB$3:$FK$3,FJ$60,$FB125:$FK125))/SUMIF($FB$3:$FK$3,FJ$60,$FB$4:$FK$4)))</f>
        <v>0</v>
      </c>
      <c r="FK76" s="197" t="n">
        <f aca="false">IF((SUMIF($FB$3:$FK$3,FK$60,$FB$4:$FK$4))=0,0,((SUMIF($FB$3:$FK$3,FK$60,$FB125:$FK125))/SUMIF($FB$3:$FK$3,FK$60,$FB$4:$FK$4)))</f>
        <v>0</v>
      </c>
      <c r="FL76" s="194" t="str">
        <f aca="false">FA76</f>
        <v>Alumno15</v>
      </c>
      <c r="FM76" s="195" t="n">
        <f aca="false">IF((SUMIF($FM$3:$FV$3,FM$60,$FM$4:$FV$4))=0,0,((SUMIF($FM$3:$FV$3,FM$60,$FM125:$FV125))/SUMIF($FM$3:$FV$3,FM$60,$FM$4:$FV$4)))</f>
        <v>0</v>
      </c>
      <c r="FN76" s="196" t="n">
        <f aca="false">IF((SUMIF($FM$3:$FV$3,FN$60,$FM$4:$FV$4))=0,0,((SUMIF($FM$3:$FV$3,FN$60,$FM125:$FV125))/SUMIF($FM$3:$FV$3,FN$60,$FM$4:$FV$4)))</f>
        <v>0</v>
      </c>
      <c r="FO76" s="196" t="n">
        <f aca="false">IF((SUMIF($FM$3:$FV$3,FO$60,$FM$4:$FV$4))=0,0,((SUMIF($FM$3:$FV$3,FO$60,$FM125:$FV125))/SUMIF($FM$3:$FV$3,FO$60,$FM$4:$FV$4)))</f>
        <v>0</v>
      </c>
      <c r="FP76" s="196" t="n">
        <f aca="false">IF((SUMIF($FM$3:$FV$3,FP$60,$FM$4:$FV$4))=0,0,((SUMIF($FM$3:$FV$3,FP$60,$FM125:$FV125))/SUMIF($FM$3:$FV$3,FP$60,$FM$4:$FV$4)))</f>
        <v>0</v>
      </c>
      <c r="FQ76" s="196" t="n">
        <f aca="false">IF((SUMIF($FM$3:$FV$3,FQ$60,$FM$4:$FV$4))=0,0,((SUMIF($FM$3:$FV$3,FQ$60,$FM125:$FV125))/SUMIF($FM$3:$FV$3,FQ$60,$FM$4:$FV$4)))</f>
        <v>0</v>
      </c>
      <c r="FR76" s="196" t="n">
        <f aca="false">IF((SUMIF($FM$3:$FV$3,FR$60,$FM$4:$FV$4))=0,0,((SUMIF($FM$3:$FV$3,FR$60,$FM125:$FV125))/SUMIF($FM$3:$FV$3,FR$60,$FM$4:$FV$4)))</f>
        <v>0</v>
      </c>
      <c r="FS76" s="196" t="n">
        <f aca="false">IF((SUMIF($FM$3:$FV$3,FS$60,$FM$4:$FV$4))=0,0,((SUMIF($FM$3:$FV$3,FS$60,$FM125:$FV125))/SUMIF($FM$3:$FV$3,FS$60,$FM$4:$FV$4)))</f>
        <v>0</v>
      </c>
      <c r="FT76" s="196" t="n">
        <f aca="false">IF((SUMIF($FM$3:$FV$3,FT$60,$FM$4:$FV$4))=0,0,((SUMIF($FM$3:$FV$3,FT$60,$FM125:$FV125))/SUMIF($FM$3:$FV$3,FT$60,$FM$4:$FV$4)))</f>
        <v>0</v>
      </c>
      <c r="FU76" s="196" t="n">
        <f aca="false">IF((SUMIF($FM$3:$FV$3,FU$60,$FM$4:$FV$4))=0,0,((SUMIF($FM$3:$FV$3,FU$60,$FM125:$FV125))/SUMIF($FM$3:$FV$3,FU$60,$FM$4:$FV$4)))</f>
        <v>0</v>
      </c>
      <c r="FV76" s="197" t="n">
        <f aca="false">IF((SUMIF($FM$3:$FV$3,FV$60,$FM$4:$FV$4))=0,0,((SUMIF($FM$3:$FV$3,FV$60,$FM125:$FV125))/SUMIF($FM$3:$FV$3,FV$60,$FM$4:$FV$4)))</f>
        <v>0</v>
      </c>
      <c r="FW76" s="194" t="str">
        <f aca="false">FL76</f>
        <v>Alumno15</v>
      </c>
      <c r="FX76" s="195" t="n">
        <f aca="false">IF((SUMIF($FX$3:$GG$3,FX$60,$FX$4:$GG$4))=0,0,((SUMIF($FX$3:$GG$3,FX$60,$FX125:$GG125))/SUMIF($FX$3:$GG$3,FX$60,$FX$4:$GG$4)))</f>
        <v>0</v>
      </c>
      <c r="FY76" s="196" t="n">
        <f aca="false">IF((SUMIF($FX$3:$GG$3,FY$60,$FX$4:$GG$4))=0,0,((SUMIF($FX$3:$GG$3,FY$60,$FX125:$GG125))/SUMIF($FX$3:$GG$3,FY$60,$FX$4:$GG$4)))</f>
        <v>0</v>
      </c>
      <c r="FZ76" s="196" t="n">
        <f aca="false">IF((SUMIF($FX$3:$GG$3,FZ$60,$FX$4:$GG$4))=0,0,((SUMIF($FX$3:$GG$3,FZ$60,$FX125:$GG125))/SUMIF($FX$3:$GG$3,FZ$60,$FX$4:$GG$4)))</f>
        <v>0</v>
      </c>
      <c r="GA76" s="196" t="n">
        <f aca="false">IF((SUMIF($FX$3:$GG$3,GA$60,$FX$4:$GG$4))=0,0,((SUMIF($FX$3:$GG$3,GA$60,$FX125:$GG125))/SUMIF($FX$3:$GG$3,GA$60,$FX$4:$GG$4)))</f>
        <v>0</v>
      </c>
      <c r="GB76" s="196" t="n">
        <f aca="false">IF((SUMIF($FX$3:$GG$3,GB$60,$FX$4:$GG$4))=0,0,((SUMIF($FX$3:$GG$3,GB$60,$FX125:$GG125))/SUMIF($FX$3:$GG$3,GB$60,$FX$4:$GG$4)))</f>
        <v>0</v>
      </c>
      <c r="GC76" s="196" t="n">
        <f aca="false">IF((SUMIF($FX$3:$GG$3,GC$60,$FX$4:$GG$4))=0,0,((SUMIF($FX$3:$GG$3,GC$60,$FX125:$GG125))/SUMIF($FX$3:$GG$3,GC$60,$FX$4:$GG$4)))</f>
        <v>0</v>
      </c>
      <c r="GD76" s="196" t="n">
        <f aca="false">IF((SUMIF($FX$3:$GG$3,GD$60,$FX$4:$GG$4))=0,0,((SUMIF($FX$3:$GG$3,GD$60,$FX125:$GG125))/SUMIF($FX$3:$GG$3,GD$60,$FX$4:$GG$4)))</f>
        <v>0</v>
      </c>
      <c r="GE76" s="196" t="n">
        <f aca="false">IF((SUMIF($FX$3:$GG$3,GE$60,$FX$4:$GG$4))=0,0,((SUMIF($FX$3:$GG$3,GE$60,$FX125:$GG125))/SUMIF($FX$3:$GG$3,GE$60,$FX$4:$GG$4)))</f>
        <v>0</v>
      </c>
      <c r="GF76" s="196" t="n">
        <f aca="false">IF((SUMIF($FX$3:$GG$3,GF$60,$FX$4:$GG$4))=0,0,((SUMIF($FX$3:$GG$3,GF$60,$FX125:$GG125))/SUMIF($FX$3:$GG$3,GF$60,$FX$4:$GG$4)))</f>
        <v>0</v>
      </c>
      <c r="GG76" s="197" t="n">
        <f aca="false">IF((SUMIF($FX$3:$GG$3,GG$60,$FX$4:$GG$4))=0,0,((SUMIF($FX$3:$GG$3,GG$60,$FX125:$GG125))/SUMIF($FX$3:$GG$3,GG$60,$FX$4:$GG$4)))</f>
        <v>0</v>
      </c>
      <c r="GH76" s="194" t="str">
        <f aca="false">FW76</f>
        <v>Alumno15</v>
      </c>
      <c r="GI76" s="195" t="n">
        <f aca="false">IF((SUMIF($GI$3:$GR$3,GI$60,$GI$4:$GR$4))=0,0,((SUMIF($GI$3:$GR$3,GI$60,$GI125:$GR125))/SUMIF($GI$3:$GR$3,GI$60,$GI$4:$GR$4)))</f>
        <v>0</v>
      </c>
      <c r="GJ76" s="196" t="n">
        <f aca="false">IF((SUMIF($GI$3:$GR$3,GJ$60,$GI$4:$GR$4))=0,0,((SUMIF($GI$3:$GR$3,GJ$60,$GI125:$GR125))/SUMIF($GI$3:$GR$3,GJ$60,$GI$4:$GR$4)))</f>
        <v>0</v>
      </c>
      <c r="GK76" s="196" t="n">
        <f aca="false">IF((SUMIF($GI$3:$GR$3,GK$60,$GI$4:$GR$4))=0,0,((SUMIF($GI$3:$GR$3,GK$60,$GI125:$GR125))/SUMIF($GI$3:$GR$3,GK$60,$GI$4:$GR$4)))</f>
        <v>0</v>
      </c>
      <c r="GL76" s="196" t="n">
        <f aca="false">IF((SUMIF($GI$3:$GR$3,GL$60,$GI$4:$GR$4))=0,0,((SUMIF($GI$3:$GR$3,GL$60,$GI125:$GR125))/SUMIF($GI$3:$GR$3,GL$60,$GI$4:$GR$4)))</f>
        <v>0</v>
      </c>
      <c r="GM76" s="196" t="n">
        <f aca="false">IF((SUMIF($GI$3:$GR$3,GM$60,$GI$4:$GR$4))=0,0,((SUMIF($GI$3:$GR$3,GM$60,$GI125:$GR125))/SUMIF($GI$3:$GR$3,GM$60,$GI$4:$GR$4)))</f>
        <v>0</v>
      </c>
      <c r="GN76" s="196" t="n">
        <f aca="false">IF((SUMIF($GI$3:$GR$3,GN$60,$GI$4:$GR$4))=0,0,((SUMIF($GI$3:$GR$3,GN$60,$GI125:$GR125))/SUMIF($GI$3:$GR$3,GN$60,$GI$4:$GR$4)))</f>
        <v>0</v>
      </c>
      <c r="GO76" s="196" t="n">
        <f aca="false">IF((SUMIF($GI$3:$GR$3,GO$60,$GI$4:$GR$4))=0,0,((SUMIF($GI$3:$GR$3,GO$60,$GI125:$GR125))/SUMIF($GI$3:$GR$3,GO$60,$GI$4:$GR$4)))</f>
        <v>0</v>
      </c>
      <c r="GP76" s="196" t="n">
        <f aca="false">IF((SUMIF($GI$3:$GR$3,GP$60,$GI$4:$GR$4))=0,0,((SUMIF($GI$3:$GR$3,GP$60,$GI125:$GR125))/SUMIF($GI$3:$GR$3,GP$60,$GI$4:$GR$4)))</f>
        <v>0</v>
      </c>
      <c r="GQ76" s="196" t="n">
        <f aca="false">IF((SUMIF($GI$3:$GR$3,GQ$60,$GI$4:$GR$4))=0,0,((SUMIF($GI$3:$GR$3,GQ$60,$GI125:$GR125))/SUMIF($GI$3:$GR$3,GQ$60,$GI$4:$GR$4)))</f>
        <v>0</v>
      </c>
      <c r="GR76" s="197" t="n">
        <f aca="false">IF((SUMIF($GI$3:$GR$3,GR$60,$GI$4:$GR$4))=0,0,((SUMIF($GI$3:$GR$3,GR$60,$GI125:$GR125))/SUMIF($GI$3:$GR$3,GR$60,$GI$4:$GR$4)))</f>
        <v>0</v>
      </c>
      <c r="GS76" s="194" t="str">
        <f aca="false">GH76</f>
        <v>Alumno15</v>
      </c>
      <c r="GT76" s="195" t="n">
        <f aca="false">IF((SUMIF($GT$3:$HC$3,GT$60,$GT$4:$HC$4))=0,0,((SUMIF($GT$3:$HC$3,GT$60,$GT125:$HC125))/SUMIF($GT$3:$HC$3,GT$60,$GT$4:$HC$4)))</f>
        <v>0</v>
      </c>
      <c r="GU76" s="196" t="n">
        <f aca="false">IF((SUMIF($GT$3:$HC$3,GU$60,$GT$4:$HC$4))=0,0,((SUMIF($GT$3:$HC$3,GU$60,$GT125:$HC125))/SUMIF($GT$3:$HC$3,GU$60,$GT$4:$HC$4)))</f>
        <v>0</v>
      </c>
      <c r="GV76" s="196" t="n">
        <f aca="false">IF((SUMIF($GT$3:$HC$3,GV$60,$GT$4:$HC$4))=0,0,((SUMIF($GT$3:$HC$3,GV$60,$GT125:$HC125))/SUMIF($GT$3:$HC$3,GV$60,$GT$4:$HC$4)))</f>
        <v>0</v>
      </c>
      <c r="GW76" s="196" t="n">
        <f aca="false">IF((SUMIF($GT$3:$HC$3,GW$60,$GT$4:$HC$4))=0,0,((SUMIF($GT$3:$HC$3,GW$60,$GT125:$HC125))/SUMIF($GT$3:$HC$3,GW$60,$GT$4:$HC$4)))</f>
        <v>0</v>
      </c>
      <c r="GX76" s="196" t="n">
        <f aca="false">IF((SUMIF($GT$3:$HC$3,GX$60,$GT$4:$HC$4))=0,0,((SUMIF($GT$3:$HC$3,GX$60,$GT125:$HC125))/SUMIF($GT$3:$HC$3,GX$60,$GT$4:$HC$4)))</f>
        <v>0</v>
      </c>
      <c r="GY76" s="196" t="n">
        <f aca="false">IF((SUMIF($GT$3:$HC$3,GY$60,$GT$4:$HC$4))=0,0,((SUMIF($GT$3:$HC$3,GY$60,$GT125:$HC125))/SUMIF($GT$3:$HC$3,GY$60,$GT$4:$HC$4)))</f>
        <v>0</v>
      </c>
      <c r="GZ76" s="196" t="n">
        <f aca="false">IF((SUMIF($GT$3:$HC$3,GZ$60,$GT$4:$HC$4))=0,0,((SUMIF($GT$3:$HC$3,GZ$60,$GT125:$HC125))/SUMIF($GT$3:$HC$3,GZ$60,$GT$4:$HC$4)))</f>
        <v>0</v>
      </c>
      <c r="HA76" s="196" t="n">
        <f aca="false">IF((SUMIF($GT$3:$HC$3,HA$60,$GT$4:$HC$4))=0,0,((SUMIF($GT$3:$HC$3,HA$60,$GT125:$HC125))/SUMIF($GT$3:$HC$3,HA$60,$GT$4:$HC$4)))</f>
        <v>0</v>
      </c>
      <c r="HB76" s="196" t="n">
        <f aca="false">IF((SUMIF($GT$3:$HC$3,HB$60,$GT$4:$HC$4))=0,0,((SUMIF($GT$3:$HC$3,HB$60,$GT125:$HC125))/SUMIF($GT$3:$HC$3,HB$60,$GT$4:$HC$4)))</f>
        <v>0</v>
      </c>
      <c r="HC76" s="197" t="n">
        <f aca="false">IF((SUMIF($GT$3:$HC$3,HC$60,$GT$4:$HC$4))=0,0,((SUMIF($GT$3:$HC$3,HC$60,$GT125:$HC125))/SUMIF($GT$3:$HC$3,HC$60,$GT$4:$HC$4)))</f>
        <v>0</v>
      </c>
      <c r="HD76" s="194" t="str">
        <f aca="false">GS76</f>
        <v>Alumno15</v>
      </c>
      <c r="HE76" s="195" t="n">
        <f aca="false">IF((SUMIF($HE$3:$HN$3,HE$60,$HE$4:$HN$4))=0,0,((SUMIF($HE$3:$HN$3,HE$60,$HE125:$HN125))/SUMIF($HE$3:$HN$3,HE$60,$HE$4:$HN$4)))</f>
        <v>0</v>
      </c>
      <c r="HF76" s="196" t="n">
        <f aca="false">IF((SUMIF($HE$3:$HN$3,HF$60,$HE$4:$HN$4))=0,0,((SUMIF($HE$3:$HN$3,HF$60,$HE125:$HN125))/SUMIF($HE$3:$HN$3,HF$60,$HE$4:$HN$4)))</f>
        <v>0</v>
      </c>
      <c r="HG76" s="196" t="n">
        <f aca="false">IF((SUMIF($HE$3:$HN$3,HG$60,$HE$4:$HN$4))=0,0,((SUMIF($HE$3:$HN$3,HG$60,$HE125:$HN125))/SUMIF($HE$3:$HN$3,HG$60,$HE$4:$HN$4)))</f>
        <v>0</v>
      </c>
      <c r="HH76" s="196" t="n">
        <f aca="false">IF((SUMIF($HE$3:$HN$3,HH$60,$HE$4:$HN$4))=0,0,((SUMIF($HE$3:$HN$3,HH$60,$HE125:$HN125))/SUMIF($HE$3:$HN$3,HH$60,$HE$4:$HN$4)))</f>
        <v>0</v>
      </c>
      <c r="HI76" s="196" t="n">
        <f aca="false">IF((SUMIF($HE$3:$HN$3,HI$60,$HE$4:$HN$4))=0,0,((SUMIF($HE$3:$HN$3,HI$60,$HE125:$HN125))/SUMIF($HE$3:$HN$3,HI$60,$HE$4:$HN$4)))</f>
        <v>0</v>
      </c>
      <c r="HJ76" s="196" t="n">
        <f aca="false">IF((SUMIF($HE$3:$HN$3,HJ$60,$HE$4:$HN$4))=0,0,((SUMIF($HE$3:$HN$3,HJ$60,$HE125:$HN125))/SUMIF($HE$3:$HN$3,HJ$60,$HE$4:$HN$4)))</f>
        <v>0</v>
      </c>
      <c r="HK76" s="196" t="n">
        <f aca="false">IF((SUMIF($HE$3:$HN$3,HK$60,$HE$4:$HN$4))=0,0,((SUMIF($HE$3:$HN$3,HK$60,$HE125:$HN125))/SUMIF($HE$3:$HN$3,HK$60,$HE$4:$HN$4)))</f>
        <v>0</v>
      </c>
      <c r="HL76" s="196" t="n">
        <f aca="false">IF((SUMIF($HE$3:$HN$3,HL$60,$HE$4:$HN$4))=0,0,((SUMIF($HE$3:$HN$3,HL$60,$HE125:$HN125))/SUMIF($HE$3:$HN$3,HL$60,$HE$4:$HN$4)))</f>
        <v>0</v>
      </c>
      <c r="HM76" s="196" t="n">
        <f aca="false">IF((SUMIF($HE$3:$HN$3,HM$60,$HE$4:$HN$4))=0,0,((SUMIF($HE$3:$HN$3,HM$60,$HE125:$HN125))/SUMIF($HE$3:$HN$3,HM$60,$HE$4:$HN$4)))</f>
        <v>0</v>
      </c>
      <c r="HN76" s="197" t="n">
        <f aca="false">IF((SUMIF($HE$3:$HN$3,HN$60,$HE$4:$HN$4))=0,0,((SUMIF($HE$3:$HN$3,HN$60,$HE125:$HN125))/SUMIF($HE$3:$HN$3,HN$60,$HE$4:$HN$4)))</f>
        <v>0</v>
      </c>
      <c r="HO76" s="194" t="str">
        <f aca="false">HD76</f>
        <v>Alumno15</v>
      </c>
      <c r="HP76" s="195" t="n">
        <f aca="false">IF((SUMIF($HP$3:$HY$3,HP$60,$HP$4:$HY$4))=0,0,((SUMIF($HP$3:$HY$3,HP$60,$HP125:$HY125))/SUMIF($HP$3:$HY$3,HP$60,$HP$4:$HY$4)))</f>
        <v>0</v>
      </c>
      <c r="HQ76" s="196" t="n">
        <f aca="false">IF((SUMIF($HP$3:$HY$3,HQ$60,$HP$4:$HY$4))=0,0,((SUMIF($HP$3:$HY$3,HQ$60,$HP125:$HY125))/SUMIF($HP$3:$HY$3,HQ$60,$HP$4:$HY$4)))</f>
        <v>0</v>
      </c>
      <c r="HR76" s="196" t="n">
        <f aca="false">IF((SUMIF($HP$3:$HY$3,HR$60,$HP$4:$HY$4))=0,0,((SUMIF($HP$3:$HY$3,HR$60,$HP125:$HY125))/SUMIF($HP$3:$HY$3,HR$60,$HP$4:$HY$4)))</f>
        <v>0</v>
      </c>
      <c r="HS76" s="196" t="n">
        <f aca="false">IF((SUMIF($HP$3:$HY$3,HS$60,$HP$4:$HY$4))=0,0,((SUMIF($HP$3:$HY$3,HS$60,$HP125:$HY125))/SUMIF($HP$3:$HY$3,HS$60,$HP$4:$HY$4)))</f>
        <v>0</v>
      </c>
      <c r="HT76" s="196" t="n">
        <f aca="false">IF((SUMIF($HP$3:$HY$3,HT$60,$HP$4:$HY$4))=0,0,((SUMIF($HP$3:$HY$3,HT$60,$HP125:$HY125))/SUMIF($HP$3:$HY$3,HT$60,$HP$4:$HY$4)))</f>
        <v>0</v>
      </c>
      <c r="HU76" s="196" t="n">
        <f aca="false">IF((SUMIF($HP$3:$HY$3,HU$60,$HP$4:$HY$4))=0,0,((SUMIF($HP$3:$HY$3,HU$60,$HP125:$HY125))/SUMIF($HP$3:$HY$3,HU$60,$HP$4:$HY$4)))</f>
        <v>0</v>
      </c>
      <c r="HV76" s="196" t="n">
        <f aca="false">IF((SUMIF($HP$3:$HY$3,HV$60,$HP$4:$HY$4))=0,0,((SUMIF($HP$3:$HY$3,HV$60,$HP125:$HY125))/SUMIF($HP$3:$HY$3,HV$60,$HP$4:$HY$4)))</f>
        <v>0</v>
      </c>
      <c r="HW76" s="196" t="n">
        <f aca="false">IF((SUMIF($HP$3:$HY$3,HW$60,$HP$4:$HY$4))=0,0,((SUMIF($HP$3:$HY$3,HW$60,$HP125:$HY125))/SUMIF($HP$3:$HY$3,HW$60,$HP$4:$HY$4)))</f>
        <v>0</v>
      </c>
      <c r="HX76" s="196" t="n">
        <f aca="false">IF((SUMIF($HP$3:$HY$3,HX$60,$HP$4:$HY$4))=0,0,((SUMIF($HP$3:$HY$3,HX$60,$HP125:$HY125))/SUMIF($HP$3:$HY$3,HX$60,$HP$4:$HY$4)))</f>
        <v>0</v>
      </c>
      <c r="HY76" s="197" t="n">
        <f aca="false">IF((SUMIF($HP$3:$HY$3,HY$60,$HP$4:$HY$4))=0,0,((SUMIF($HP$3:$HY$3,HY$60,$HP125:$HY125))/SUMIF($HP$3:$HY$3,HY$60,$HP$4:$HY$4)))</f>
        <v>0</v>
      </c>
      <c r="HZ76" s="194" t="str">
        <f aca="false">HO76</f>
        <v>Alumno15</v>
      </c>
      <c r="IA76" s="195" t="n">
        <f aca="false">IF((SUMIF($IA$3:$IJ$3,IA$60,$IA$4:$IJ$4))=0,0,((SUMIF($IA$3:$IJ$3,IA$60,$IA125:$IJ125))/SUMIF($IA$3:$IJ$3,IA$60,$IA$4:$IJ$4)))</f>
        <v>0</v>
      </c>
      <c r="IB76" s="196" t="n">
        <f aca="false">IF((SUMIF($IA$3:$IJ$3,IB$60,$IA$4:$IJ$4))=0,0,((SUMIF($IA$3:$IJ$3,IB$60,$IA125:$IJ125))/SUMIF($IA$3:$IJ$3,IB$60,$IA$4:$IJ$4)))</f>
        <v>0</v>
      </c>
      <c r="IC76" s="196" t="n">
        <f aca="false">IF((SUMIF($IA$3:$IJ$3,IC$60,$IA$4:$IJ$4))=0,0,((SUMIF($IA$3:$IJ$3,IC$60,$IA125:$IJ125))/SUMIF($IA$3:$IJ$3,IC$60,$IA$4:$IJ$4)))</f>
        <v>0</v>
      </c>
      <c r="ID76" s="196" t="n">
        <f aca="false">IF((SUMIF($IA$3:$IJ$3,ID$60,$IA$4:$IJ$4))=0,0,((SUMIF($IA$3:$IJ$3,ID$60,$IA125:$IJ125))/SUMIF($IA$3:$IJ$3,ID$60,$IA$4:$IJ$4)))</f>
        <v>0</v>
      </c>
      <c r="IE76" s="196" t="n">
        <f aca="false">IF((SUMIF($IA$3:$IJ$3,IE$60,$IA$4:$IJ$4))=0,0,((SUMIF($IA$3:$IJ$3,IE$60,$IA125:$IJ125))/SUMIF($IA$3:$IJ$3,IE$60,$IA$4:$IJ$4)))</f>
        <v>0</v>
      </c>
      <c r="IF76" s="196" t="n">
        <f aca="false">IF((SUMIF($IA$3:$IJ$3,IF$60,$IA$4:$IJ$4))=0,0,((SUMIF($IA$3:$IJ$3,IF$60,$IA125:$IJ125))/SUMIF($IA$3:$IJ$3,IF$60,$IA$4:$IJ$4)))</f>
        <v>0</v>
      </c>
      <c r="IG76" s="196" t="n">
        <f aca="false">IF((SUMIF($IA$3:$IJ$3,IG$60,$IA$4:$IJ$4))=0,0,((SUMIF($IA$3:$IJ$3,IG$60,$IA125:$IJ125))/SUMIF($IA$3:$IJ$3,IG$60,$IA$4:$IJ$4)))</f>
        <v>0</v>
      </c>
      <c r="IH76" s="196" t="n">
        <f aca="false">IF((SUMIF($IA$3:$IJ$3,IH$60,$IA$4:$IJ$4))=0,0,((SUMIF($IA$3:$IJ$3,IH$60,$IA125:$IJ125))/SUMIF($IA$3:$IJ$3,IH$60,$IA$4:$IJ$4)))</f>
        <v>0</v>
      </c>
      <c r="II76" s="196" t="n">
        <f aca="false">IF((SUMIF($IA$3:$IJ$3,II$60,$IA$4:$IJ$4))=0,0,((SUMIF($IA$3:$IJ$3,II$60,$IA125:$IJ125))/SUMIF($IA$3:$IJ$3,II$60,$IA$4:$IJ$4)))</f>
        <v>0</v>
      </c>
      <c r="IJ76" s="197" t="n">
        <f aca="false">IF((SUMIF($IA$3:$IJ$3,IJ$60,$IA$4:$IJ$4))=0,0,((SUMIF($IA$3:$IJ$3,IJ$60,$IA125:$IJ125))/SUMIF($IA$3:$IJ$3,IJ$60,$IA$4:$IJ$4)))</f>
        <v>0</v>
      </c>
      <c r="IK76" s="194" t="str">
        <f aca="false">HZ76</f>
        <v>Alumno15</v>
      </c>
      <c r="IL76" s="195" t="n">
        <f aca="false">IF((SUMIF($IL$3:$IU$3,IL$60,$IL$4:$IU$4))=0,0,((SUMIF($IL$3:$IU$3,IL$60,$IL125:$IU125))/SUMIF($IL$3:$IU$3,IL$60,$IL$4:$IU$4)))</f>
        <v>0</v>
      </c>
      <c r="IM76" s="196" t="n">
        <f aca="false">IF((SUMIF($IL$3:$IU$3,IM$60,$IL$4:$IU$4))=0,0,((SUMIF($IL$3:$IU$3,IM$60,$IL125:$IU125))/SUMIF($IL$3:$IU$3,IM$60,$IL$4:$IU$4)))</f>
        <v>0</v>
      </c>
      <c r="IN76" s="196" t="n">
        <f aca="false">IF((SUMIF($IL$3:$IU$3,IN$60,$IL$4:$IU$4))=0,0,((SUMIF($IL$3:$IU$3,IN$60,$IL125:$IU125))/SUMIF($IL$3:$IU$3,IN$60,$IL$4:$IU$4)))</f>
        <v>0</v>
      </c>
      <c r="IO76" s="196" t="n">
        <f aca="false">IF((SUMIF($IL$3:$IU$3,IO$60,$IL$4:$IU$4))=0,0,((SUMIF($IL$3:$IU$3,IO$60,$IL125:$IU125))/SUMIF($IL$3:$IU$3,IO$60,$IL$4:$IU$4)))</f>
        <v>0</v>
      </c>
      <c r="IP76" s="196" t="n">
        <f aca="false">IF((SUMIF($IL$3:$IU$3,IP$60,$IL$4:$IU$4))=0,0,((SUMIF($IL$3:$IU$3,IP$60,$IL125:$IU125))/SUMIF($IL$3:$IU$3,IP$60,$IL$4:$IU$4)))</f>
        <v>0</v>
      </c>
      <c r="IQ76" s="196" t="n">
        <f aca="false">IF((SUMIF($IL$3:$IU$3,IQ$60,$IL$4:$IU$4))=0,0,((SUMIF($IL$3:$IU$3,IQ$60,$IL125:$IU125))/SUMIF($IL$3:$IU$3,IQ$60,$IL$4:$IU$4)))</f>
        <v>0</v>
      </c>
      <c r="IR76" s="196" t="n">
        <f aca="false">IF((SUMIF($IL$3:$IU$3,IR$60,$IL$4:$IU$4))=0,0,((SUMIF($IL$3:$IU$3,IR$60,$IL125:$IU125))/SUMIF($IL$3:$IU$3,IR$60,$IL$4:$IU$4)))</f>
        <v>0</v>
      </c>
      <c r="IS76" s="196" t="n">
        <f aca="false">IF((SUMIF($IL$3:$IU$3,IS$60,$IL$4:$IU$4))=0,0,((SUMIF($IL$3:$IU$3,IS$60,$IL125:$IU125))/SUMIF($IL$3:$IU$3,IS$60,$IL$4:$IU$4)))</f>
        <v>0</v>
      </c>
      <c r="IT76" s="196" t="n">
        <f aca="false">IF((SUMIF($IL$3:$IU$3,IT$60,$IL$4:$IU$4))=0,0,((SUMIF($IL$3:$IU$3,IT$60,$IL125:$IU125))/SUMIF($IL$3:$IU$3,IT$60,$IL$4:$IU$4)))</f>
        <v>0</v>
      </c>
      <c r="IU76" s="197" t="n">
        <f aca="false">IF((SUMIF($IL$3:$IU$3,IU$60,$IL$4:$IU$4))=0,0,((SUMIF($IL$3:$IU$3,IU$60,$IL125:$IU125))/SUMIF($IL$3:$IU$3,IU$60,$IL$4:$IU$4)))</f>
        <v>0</v>
      </c>
      <c r="IV76" s="194" t="str">
        <f aca="false">IK76</f>
        <v>Alumno15</v>
      </c>
      <c r="IW76" s="195" t="n">
        <f aca="false">IF((SUMIF($IW$3:$JF$3,IW$60,$IW$4:$JF$4))=0,0,((SUMIF($IW$3:$JF$3,IW$60,$IW125:$JF125))/SUMIF($IW$3:$JF$3,IW$60,$IW$4:$JF$4)))</f>
        <v>0</v>
      </c>
      <c r="IX76" s="196" t="n">
        <f aca="false">IF((SUMIF($IW$3:$JF$3,IX$60,$IW$4:$JF$4))=0,0,((SUMIF($IW$3:$JF$3,IX$60,$IW125:$JF125))/SUMIF($IW$3:$JF$3,IX$60,$IW$4:$JF$4)))</f>
        <v>0</v>
      </c>
      <c r="IY76" s="196" t="n">
        <f aca="false">IF((SUMIF($IW$3:$JF$3,IY$60,$IW$4:$JF$4))=0,0,((SUMIF($IW$3:$JF$3,IY$60,$IW125:$JF125))/SUMIF($IW$3:$JF$3,IY$60,$IW$4:$JF$4)))</f>
        <v>0</v>
      </c>
      <c r="IZ76" s="196" t="n">
        <f aca="false">IF((SUMIF($IW$3:$JF$3,IZ$60,$IW$4:$JF$4))=0,0,((SUMIF($IW$3:$JF$3,IZ$60,$IW125:$JF125))/SUMIF($IW$3:$JF$3,IZ$60,$IW$4:$JF$4)))</f>
        <v>0</v>
      </c>
      <c r="JA76" s="196" t="n">
        <f aca="false">IF((SUMIF($IW$3:$JF$3,JA$60,$IW$4:$JF$4))=0,0,((SUMIF($IW$3:$JF$3,JA$60,$IW125:$JF125))/SUMIF($IW$3:$JF$3,JA$60,$IW$4:$JF$4)))</f>
        <v>0</v>
      </c>
      <c r="JB76" s="196" t="n">
        <f aca="false">IF((SUMIF($IW$3:$JF$3,JB$60,$IW$4:$JF$4))=0,0,((SUMIF($IW$3:$JF$3,JB$60,$IW125:$JF125))/SUMIF($IW$3:$JF$3,JB$60,$IW$4:$JF$4)))</f>
        <v>0</v>
      </c>
      <c r="JC76" s="196" t="n">
        <f aca="false">IF((SUMIF($IW$3:$JF$3,JC$60,$IW$4:$JF$4))=0,0,((SUMIF($IW$3:$JF$3,JC$60,$IW125:$JF125))/SUMIF($IW$3:$JF$3,JC$60,$IW$4:$JF$4)))</f>
        <v>0</v>
      </c>
      <c r="JD76" s="196" t="n">
        <f aca="false">IF((SUMIF($IW$3:$JF$3,JD$60,$IW$4:$JF$4))=0,0,((SUMIF($IW$3:$JF$3,JD$60,$IW125:$JF125))/SUMIF($IW$3:$JF$3,JD$60,$IW$4:$JF$4)))</f>
        <v>0</v>
      </c>
      <c r="JE76" s="196" t="n">
        <f aca="false">IF((SUMIF($IW$3:$JF$3,JE$60,$IW$4:$JF$4))=0,0,((SUMIF($IW$3:$JF$3,JE$60,$IW125:$JF125))/SUMIF($IW$3:$JF$3,JE$60,$IW$4:$JF$4)))</f>
        <v>0</v>
      </c>
      <c r="JF76" s="197" t="n">
        <f aca="false">IF((SUMIF($IW$3:$JF$3,JF$60,$IW$4:$JF$4))=0,0,((SUMIF($IW$3:$JF$3,JF$60,$IW125:$JF125))/SUMIF($IW$3:$JF$3,JF$60,$IW$4:$JF$4)))</f>
        <v>0</v>
      </c>
      <c r="JG76" s="194" t="str">
        <f aca="false">IV76</f>
        <v>Alumno15</v>
      </c>
      <c r="JH76" s="195" t="n">
        <f aca="false">IF((SUMIF($JH$3:$JQ$3,JH$60,$JH$4:$JQ$4))=0,0,((SUMIF($JH$3:$JQ$3,JH$60,$JH125:$JQ125))/SUMIF($JH$3:$JQ$3,JH$60,$JH$4:$JQ$4)))</f>
        <v>0</v>
      </c>
      <c r="JI76" s="196" t="n">
        <f aca="false">IF((SUMIF($JH$3:$JQ$3,JI$60,$JH$4:$JQ$4))=0,0,((SUMIF($JH$3:$JQ$3,JI$60,$JH125:$JQ125))/SUMIF($JH$3:$JQ$3,JI$60,$JH$4:$JQ$4)))</f>
        <v>0</v>
      </c>
      <c r="JJ76" s="196" t="n">
        <f aca="false">IF((SUMIF($JH$3:$JQ$3,JJ$60,$JH$4:$JQ$4))=0,0,((SUMIF($JH$3:$JQ$3,JJ$60,$JH125:$JQ125))/SUMIF($JH$3:$JQ$3,JJ$60,$JH$4:$JQ$4)))</f>
        <v>0</v>
      </c>
      <c r="JK76" s="196" t="n">
        <f aca="false">IF((SUMIF($JH$3:$JQ$3,JK$60,$JH$4:$JQ$4))=0,0,((SUMIF($JH$3:$JQ$3,JK$60,$JH125:$JQ125))/SUMIF($JH$3:$JQ$3,JK$60,$JH$4:$JQ$4)))</f>
        <v>0</v>
      </c>
      <c r="JL76" s="196" t="n">
        <f aca="false">IF((SUMIF($JH$3:$JQ$3,JL$60,$JH$4:$JQ$4))=0,0,((SUMIF($JH$3:$JQ$3,JL$60,$JH125:$JQ125))/SUMIF($JH$3:$JQ$3,JL$60,$JH$4:$JQ$4)))</f>
        <v>0</v>
      </c>
      <c r="JM76" s="196" t="n">
        <f aca="false">IF((SUMIF($JH$3:$JQ$3,JM$60,$JH$4:$JQ$4))=0,0,((SUMIF($JH$3:$JQ$3,JM$60,$JH125:$JQ125))/SUMIF($JH$3:$JQ$3,JM$60,$JH$4:$JQ$4)))</f>
        <v>0</v>
      </c>
      <c r="JN76" s="196" t="n">
        <f aca="false">IF((SUMIF($JH$3:$JQ$3,JN$60,$JH$4:$JQ$4))=0,0,((SUMIF($JH$3:$JQ$3,JN$60,$JH125:$JQ125))/SUMIF($JH$3:$JQ$3,JN$60,$JH$4:$JQ$4)))</f>
        <v>0</v>
      </c>
      <c r="JO76" s="196" t="n">
        <f aca="false">IF((SUMIF($JH$3:$JQ$3,JO$60,$JH$4:$JQ$4))=0,0,((SUMIF($JH$3:$JQ$3,JO$60,$JH125:$JQ125))/SUMIF($JH$3:$JQ$3,JO$60,$JH$4:$JQ$4)))</f>
        <v>0</v>
      </c>
      <c r="JP76" s="196" t="n">
        <f aca="false">IF((SUMIF($JH$3:$JQ$3,JP$60,$JH$4:$JQ$4))=0,0,((SUMIF($JH$3:$JQ$3,JP$60,$JH125:$JQ125))/SUMIF($JH$3:$JQ$3,JP$60,$JH$4:$JQ$4)))</f>
        <v>0</v>
      </c>
      <c r="JQ76" s="197" t="n">
        <f aca="false">IF((SUMIF($JH$3:$JQ$3,JQ$60,$JH$4:$JQ$4))=0,0,((SUMIF($JH$3:$JQ$3,JQ$60,$JH125:$JQ125))/SUMIF($JH$3:$JQ$3,JQ$60,$JH$4:$JQ$4)))</f>
        <v>0</v>
      </c>
      <c r="JR76" s="194" t="str">
        <f aca="false">JG76</f>
        <v>Alumno15</v>
      </c>
      <c r="JS76" s="195" t="n">
        <f aca="false">IF((SUMIF($JS$3:$KB$3,JS$60,$JS$4:$KB$4))=0,0,((SUMIF($JS$3:$KB$3,JS$60,$JS125:$KB125))/SUMIF($JS$3:$KB$3,JS$60,$JS$4:$KB$4)))</f>
        <v>0</v>
      </c>
      <c r="JT76" s="196" t="n">
        <f aca="false">IF((SUMIF($JS$3:$KB$3,JT$60,$JS$4:$KB$4))=0,0,((SUMIF($JS$3:$KB$3,JT$60,$JS125:$KB125))/SUMIF($JS$3:$KB$3,JT$60,$JS$4:$KB$4)))</f>
        <v>0</v>
      </c>
      <c r="JU76" s="196" t="n">
        <f aca="false">IF((SUMIF($JS$3:$KB$3,JU$60,$JS$4:$KB$4))=0,0,((SUMIF($JS$3:$KB$3,JU$60,$JS125:$KB125))/SUMIF($JS$3:$KB$3,JU$60,$JS$4:$KB$4)))</f>
        <v>0</v>
      </c>
      <c r="JV76" s="196" t="n">
        <f aca="false">IF((SUMIF($JS$3:$KB$3,JV$60,$JS$4:$KB$4))=0,0,((SUMIF($JS$3:$KB$3,JV$60,$JS125:$KB125))/SUMIF($JS$3:$KB$3,JV$60,$JS$4:$KB$4)))</f>
        <v>0</v>
      </c>
      <c r="JW76" s="196" t="n">
        <f aca="false">IF((SUMIF($JS$3:$KB$3,JW$60,$JS$4:$KB$4))=0,0,((SUMIF($JS$3:$KB$3,JW$60,$JS125:$KB125))/SUMIF($JS$3:$KB$3,JW$60,$JS$4:$KB$4)))</f>
        <v>0</v>
      </c>
      <c r="JX76" s="196" t="n">
        <f aca="false">IF((SUMIF($JS$3:$KB$3,JX$60,$JS$4:$KB$4))=0,0,((SUMIF($JS$3:$KB$3,JX$60,$JS125:$KB125))/SUMIF($JS$3:$KB$3,JX$60,$JS$4:$KB$4)))</f>
        <v>0</v>
      </c>
      <c r="JY76" s="196" t="n">
        <f aca="false">IF((SUMIF($JS$3:$KB$3,JY$60,$JS$4:$KB$4))=0,0,((SUMIF($JS$3:$KB$3,JY$60,$JS125:$KB125))/SUMIF($JS$3:$KB$3,JY$60,$JS$4:$KB$4)))</f>
        <v>0</v>
      </c>
      <c r="JZ76" s="196" t="n">
        <f aca="false">IF((SUMIF($JS$3:$KB$3,JZ$60,$JS$4:$KB$4))=0,0,((SUMIF($JS$3:$KB$3,JZ$60,$JS125:$KB125))/SUMIF($JS$3:$KB$3,JZ$60,$JS$4:$KB$4)))</f>
        <v>0</v>
      </c>
      <c r="KA76" s="196" t="n">
        <f aca="false">IF((SUMIF($JS$3:$KB$3,KA$60,$JS$4:$KB$4))=0,0,((SUMIF($JS$3:$KB$3,KA$60,$JS125:$KB125))/SUMIF($JS$3:$KB$3,KA$60,$JS$4:$KB$4)))</f>
        <v>0</v>
      </c>
      <c r="KB76" s="197" t="n">
        <f aca="false">IF((SUMIF($JS$3:$KB$3,KB$60,$JS$4:$KB$4))=0,0,((SUMIF($JS$3:$KB$3,KB$60,$JS125:$KB125))/SUMIF($JS$3:$KB$3,KB$60,$JS$4:$KB$4)))</f>
        <v>0</v>
      </c>
      <c r="KC76" s="194" t="str">
        <f aca="false">JR76</f>
        <v>Alumno15</v>
      </c>
      <c r="KD76" s="195" t="n">
        <f aca="false">IF((SUMIF($KD$3:$KM$3,KD$60,$KD$4:$KM$4))=0,0,((SUMIF($KD$3:$KM$3,KD$60,$KD125:$KM125))/SUMIF($KD$3:$KM$3,KD$60,$KD$4:$KM$4)))</f>
        <v>0</v>
      </c>
      <c r="KE76" s="196" t="n">
        <f aca="false">IF((SUMIF($KD$3:$KM$3,KE$60,$KD$4:$KM$4))=0,0,((SUMIF($KD$3:$KM$3,KE$60,$KD125:$KM125))/SUMIF($KD$3:$KM$3,KE$60,$KD$4:$KM$4)))</f>
        <v>0</v>
      </c>
      <c r="KF76" s="196" t="n">
        <f aca="false">IF((SUMIF($KD$3:$KM$3,KF$60,$KD$4:$KM$4))=0,0,((SUMIF($KD$3:$KM$3,KF$60,$KD125:$KM125))/SUMIF($KD$3:$KM$3,KF$60,$KD$4:$KM$4)))</f>
        <v>0</v>
      </c>
      <c r="KG76" s="196" t="n">
        <f aca="false">IF((SUMIF($KD$3:$KM$3,KG$60,$KD$4:$KM$4))=0,0,((SUMIF($KD$3:$KM$3,KG$60,$KD125:$KM125))/SUMIF($KD$3:$KM$3,KG$60,$KD$4:$KM$4)))</f>
        <v>0</v>
      </c>
      <c r="KH76" s="196" t="n">
        <f aca="false">IF((SUMIF($KD$3:$KM$3,KH$60,$KD$4:$KM$4))=0,0,((SUMIF($KD$3:$KM$3,KH$60,$KD125:$KM125))/SUMIF($KD$3:$KM$3,KH$60,$KD$4:$KM$4)))</f>
        <v>0</v>
      </c>
      <c r="KI76" s="196" t="n">
        <f aca="false">IF((SUMIF($KD$3:$KM$3,KI$60,$KD$4:$KM$4))=0,0,((SUMIF($KD$3:$KM$3,KI$60,$KD125:$KM125))/SUMIF($KD$3:$KM$3,KI$60,$KD$4:$KM$4)))</f>
        <v>0</v>
      </c>
      <c r="KJ76" s="196" t="n">
        <f aca="false">IF((SUMIF($KD$3:$KM$3,KJ$60,$KD$4:$KM$4))=0,0,((SUMIF($KD$3:$KM$3,KJ$60,$KD125:$KM125))/SUMIF($KD$3:$KM$3,KJ$60,$KD$4:$KM$4)))</f>
        <v>0</v>
      </c>
      <c r="KK76" s="196" t="n">
        <f aca="false">IF((SUMIF($KD$3:$KM$3,KK$60,$KD$4:$KM$4))=0,0,((SUMIF($KD$3:$KM$3,KK$60,$KD125:$KM125))/SUMIF($KD$3:$KM$3,KK$60,$KD$4:$KM$4)))</f>
        <v>0</v>
      </c>
      <c r="KL76" s="196" t="n">
        <f aca="false">IF((SUMIF($KD$3:$KM$3,KL$60,$KD$4:$KM$4))=0,0,((SUMIF($KD$3:$KM$3,KL$60,$KD125:$KM125))/SUMIF($KD$3:$KM$3,KL$60,$KD$4:$KM$4)))</f>
        <v>0</v>
      </c>
      <c r="KM76" s="197" t="n">
        <f aca="false">IF((SUMIF($KD$3:$KM$3,KM$60,$KD$4:$KM$4))=0,0,((SUMIF($KD$3:$KM$3,KM$60,$KD125:$KM125))/SUMIF($KD$3:$KM$3,KM$60,$KD$4:$KM$4)))</f>
        <v>0</v>
      </c>
      <c r="KN76" s="194" t="str">
        <f aca="false">KC76</f>
        <v>Alumno15</v>
      </c>
      <c r="KO76" s="195" t="n">
        <f aca="false">IF((SUMIF($KO$3:$KX$3,KO$60,$KO$4:$KX$4))=0,0,((SUMIF($KO$3:$KX$3,KO$60,$KO125:$KX125))/SUMIF($KO$3:$KX$3,KO$60,$KO$4:$KX$4)))</f>
        <v>0</v>
      </c>
      <c r="KP76" s="196" t="n">
        <f aca="false">IF((SUMIF($KO$3:$KX$3,KP$60,$KO$4:$KX$4))=0,0,((SUMIF($KO$3:$KX$3,KP$60,$KO125:$KX125))/SUMIF($KO$3:$KX$3,KP$60,$KO$4:$KX$4)))</f>
        <v>0</v>
      </c>
      <c r="KQ76" s="196" t="n">
        <f aca="false">IF((SUMIF($KO$3:$KX$3,KQ$60,$KO$4:$KX$4))=0,0,((SUMIF($KO$3:$KX$3,KQ$60,$KO125:$KX125))/SUMIF($KO$3:$KX$3,KQ$60,$KO$4:$KX$4)))</f>
        <v>0</v>
      </c>
      <c r="KR76" s="196" t="n">
        <f aca="false">IF((SUMIF($KO$3:$KX$3,KR$60,$KO$4:$KX$4))=0,0,((SUMIF($KO$3:$KX$3,KR$60,$KO125:$KX125))/SUMIF($KO$3:$KX$3,KR$60,$KO$4:$KX$4)))</f>
        <v>0</v>
      </c>
      <c r="KS76" s="196" t="n">
        <f aca="false">IF((SUMIF($KO$3:$KX$3,KS$60,$KO$4:$KX$4))=0,0,((SUMIF($KO$3:$KX$3,KS$60,$KO125:$KX125))/SUMIF($KO$3:$KX$3,KS$60,$KO$4:$KX$4)))</f>
        <v>0</v>
      </c>
      <c r="KT76" s="196" t="n">
        <f aca="false">IF((SUMIF($KO$3:$KX$3,KT$60,$KO$4:$KX$4))=0,0,((SUMIF($KO$3:$KX$3,KT$60,$KO125:$KX125))/SUMIF($KO$3:$KX$3,KT$60,$KO$4:$KX$4)))</f>
        <v>0</v>
      </c>
      <c r="KU76" s="196" t="n">
        <f aca="false">IF((SUMIF($KO$3:$KX$3,KU$60,$KO$4:$KX$4))=0,0,((SUMIF($KO$3:$KX$3,KU$60,$KO125:$KX125))/SUMIF($KO$3:$KX$3,KU$60,$KO$4:$KX$4)))</f>
        <v>0</v>
      </c>
      <c r="KV76" s="196" t="n">
        <f aca="false">IF((SUMIF($KO$3:$KX$3,KV$60,$KO$4:$KX$4))=0,0,((SUMIF($KO$3:$KX$3,KV$60,$KO125:$KX125))/SUMIF($KO$3:$KX$3,KV$60,$KO$4:$KX$4)))</f>
        <v>0</v>
      </c>
      <c r="KW76" s="196" t="n">
        <f aca="false">IF((SUMIF($KO$3:$KX$3,KW$60,$KO$4:$KX$4))=0,0,((SUMIF($KO$3:$KX$3,KW$60,$KO125:$KX125))/SUMIF($KO$3:$KX$3,KW$60,$KO$4:$KX$4)))</f>
        <v>0</v>
      </c>
      <c r="KX76" s="197" t="n">
        <f aca="false">IF((SUMIF($KO$3:$KX$3,KX$60,$KO$4:$KX$4))=0,0,((SUMIF($KO$3:$KX$3,KX$60,$KO125:$KX125))/SUMIF($KO$3:$KX$3,KX$60,$KO$4:$KX$4)))</f>
        <v>0</v>
      </c>
      <c r="KY76" s="194" t="str">
        <f aca="false">KN76</f>
        <v>Alumno15</v>
      </c>
      <c r="KZ76" s="195" t="n">
        <f aca="false">IF((SUMIF($KZ$3:$LI$3,KZ$60,$KZ$4:$LI$4))=0,0,((SUMIF($KZ$3:$LI$3,KZ$60,$KZ125:$LI125))/SUMIF($KZ$3:$LI$3,KZ$60,$KZ$4:$LI$4)))</f>
        <v>0</v>
      </c>
      <c r="LA76" s="196" t="n">
        <f aca="false">IF((SUMIF($KZ$3:$LI$3,LA$60,$KZ$4:$LI$4))=0,0,((SUMIF($KZ$3:$LI$3,LA$60,$KZ125:$LI125))/SUMIF($KZ$3:$LI$3,LA$60,$KZ$4:$LI$4)))</f>
        <v>0</v>
      </c>
      <c r="LB76" s="196" t="n">
        <f aca="false">IF((SUMIF($KZ$3:$LI$3,LB$60,$KZ$4:$LI$4))=0,0,((SUMIF($KZ$3:$LI$3,LB$60,$KZ125:$LI125))/SUMIF($KZ$3:$LI$3,LB$60,$KZ$4:$LI$4)))</f>
        <v>0</v>
      </c>
      <c r="LC76" s="196" t="n">
        <f aca="false">IF((SUMIF($KZ$3:$LI$3,LC$60,$KZ$4:$LI$4))=0,0,((SUMIF($KZ$3:$LI$3,LC$60,$KZ125:$LI125))/SUMIF($KZ$3:$LI$3,LC$60,$KZ$4:$LI$4)))</f>
        <v>0</v>
      </c>
      <c r="LD76" s="196" t="n">
        <f aca="false">IF((SUMIF($KZ$3:$LI$3,LD$60,$KZ$4:$LI$4))=0,0,((SUMIF($KZ$3:$LI$3,LD$60,$KZ125:$LI125))/SUMIF($KZ$3:$LI$3,LD$60,$KZ$4:$LI$4)))</f>
        <v>0</v>
      </c>
      <c r="LE76" s="196" t="n">
        <f aca="false">IF((SUMIF($KZ$3:$LI$3,LE$60,$KZ$4:$LI$4))=0,0,((SUMIF($KZ$3:$LI$3,LE$60,$KZ125:$LI125))/SUMIF($KZ$3:$LI$3,LE$60,$KZ$4:$LI$4)))</f>
        <v>0</v>
      </c>
      <c r="LF76" s="196" t="n">
        <f aca="false">IF((SUMIF($KZ$3:$LI$3,LF$60,$KZ$4:$LI$4))=0,0,((SUMIF($KZ$3:$LI$3,LF$60,$KZ125:$LI125))/SUMIF($KZ$3:$LI$3,LF$60,$KZ$4:$LI$4)))</f>
        <v>0</v>
      </c>
      <c r="LG76" s="196" t="n">
        <f aca="false">IF((SUMIF($KZ$3:$LI$3,LG$60,$KZ$4:$LI$4))=0,0,((SUMIF($KZ$3:$LI$3,LG$60,$KZ125:$LI125))/SUMIF($KZ$3:$LI$3,LG$60,$KZ$4:$LI$4)))</f>
        <v>0</v>
      </c>
      <c r="LH76" s="196" t="n">
        <f aca="false">IF((SUMIF($KZ$3:$LI$3,LH$60,$KZ$4:$LI$4))=0,0,((SUMIF($KZ$3:$LI$3,LH$60,$KZ125:$LI125))/SUMIF($KZ$3:$LI$3,LH$60,$KZ$4:$LI$4)))</f>
        <v>0</v>
      </c>
      <c r="LI76" s="197" t="n">
        <f aca="false">IF((SUMIF($KZ$3:$LI$3,LI$60,$KZ$4:$LI$4))=0,0,((SUMIF($KZ$3:$LI$3,LI$60,$KZ125:$LI125))/SUMIF($KZ$3:$LI$3,LI$60,$KZ$4:$LI$4)))</f>
        <v>0</v>
      </c>
      <c r="LJ76" s="194" t="str">
        <f aca="false">KY76</f>
        <v>Alumno15</v>
      </c>
      <c r="LK76" s="195" t="n">
        <f aca="false">IF((SUMIF($LK$3:$LT$3,LK$60,$LK$4:$LT$4))=0,0,((SUMIF($LK$3:$LT$3,LK$60,$LK125:$LT125))/SUMIF($LK$3:$LT$3,LK$60,$LK$4:$LT$4)))</f>
        <v>0</v>
      </c>
      <c r="LL76" s="196" t="n">
        <f aca="false">IF((SUMIF($LK$3:$LT$3,LL$60,$LK$4:$LT$4))=0,0,((SUMIF($LK$3:$LT$3,LL$60,$LK125:$LT125))/SUMIF($LK$3:$LT$3,LL$60,$LK$4:$LT$4)))</f>
        <v>0</v>
      </c>
      <c r="LM76" s="196" t="n">
        <f aca="false">IF((SUMIF($LK$3:$LT$3,LM$60,$LK$4:$LT$4))=0,0,((SUMIF($LK$3:$LT$3,LM$60,$LK125:$LT125))/SUMIF($LK$3:$LT$3,LM$60,$LK$4:$LT$4)))</f>
        <v>0</v>
      </c>
      <c r="LN76" s="196" t="n">
        <f aca="false">IF((SUMIF($LK$3:$LT$3,LN$60,$LK$4:$LT$4))=0,0,((SUMIF($LK$3:$LT$3,LN$60,$LK125:$LT125))/SUMIF($LK$3:$LT$3,LN$60,$LK$4:$LT$4)))</f>
        <v>0</v>
      </c>
      <c r="LO76" s="196" t="n">
        <f aca="false">IF((SUMIF($LK$3:$LT$3,LO$60,$LK$4:$LT$4))=0,0,((SUMIF($LK$3:$LT$3,LO$60,$LK125:$LT125))/SUMIF($LK$3:$LT$3,LO$60,$LK$4:$LT$4)))</f>
        <v>0</v>
      </c>
      <c r="LP76" s="196" t="n">
        <f aca="false">IF((SUMIF($LK$3:$LT$3,LP$60,$LK$4:$LT$4))=0,0,((SUMIF($LK$3:$LT$3,LP$60,$LK125:$LT125))/SUMIF($LK$3:$LT$3,LP$60,$LK$4:$LT$4)))</f>
        <v>0</v>
      </c>
      <c r="LQ76" s="196" t="n">
        <f aca="false">IF((SUMIF($LK$3:$LT$3,LQ$60,$LK$4:$LT$4))=0,0,((SUMIF($LK$3:$LT$3,LQ$60,$LK125:$LT125))/SUMIF($LK$3:$LT$3,LQ$60,$LK$4:$LT$4)))</f>
        <v>0</v>
      </c>
      <c r="LR76" s="196" t="n">
        <f aca="false">IF((SUMIF($LK$3:$LT$3,LR$60,$LK$4:$LT$4))=0,0,((SUMIF($LK$3:$LT$3,LR$60,$LK125:$LT125))/SUMIF($LK$3:$LT$3,LR$60,$LK$4:$LT$4)))</f>
        <v>0</v>
      </c>
      <c r="LS76" s="196" t="n">
        <f aca="false">IF((SUMIF($LK$3:$LT$3,LS$60,$LK$4:$LT$4))=0,0,((SUMIF($LK$3:$LT$3,LS$60,$LK125:$LT125))/SUMIF($LK$3:$LT$3,LS$60,$LK$4:$LT$4)))</f>
        <v>0</v>
      </c>
      <c r="LT76" s="197" t="n">
        <f aca="false">IF((SUMIF($LK$3:$LT$3,LT$60,$LK$4:$LT$4))=0,0,((SUMIF($LK$3:$LT$3,LT$60,$LK125:$LT125))/SUMIF($LK$3:$LT$3,LT$60,$LK$4:$LT$4)))</f>
        <v>0</v>
      </c>
    </row>
    <row r="77" customFormat="false" ht="15" hidden="true" customHeight="false" outlineLevel="0" collapsed="false">
      <c r="C77" s="194" t="str">
        <f aca="false">B21</f>
        <v>Alumno16</v>
      </c>
      <c r="D77" s="195" t="n">
        <f aca="false">IF((SUMIF($D$3:$M$3,D$60,$D$4:$M$4))=0,0,((SUMIF($D$3:$M$3,D$60,$D126:$M126))/SUMIF($D$3:$M$3,D$60,$D$4:$M$4)))</f>
        <v>9.55</v>
      </c>
      <c r="E77" s="196" t="n">
        <f aca="false">IF((SUMIF($D$3:$M$3,E$60,$D$4:$M$4))=0,0,((SUMIF($D$3:$M$3,E$60,$D126:$M126))/SUMIF($D$3:$M$3,E$60,$D$4:$M$4)))</f>
        <v>0</v>
      </c>
      <c r="F77" s="196" t="n">
        <f aca="false">IF((SUMIF($D$3:$M$3,F$60,$D$4:$M$4))=0,0,((SUMIF($D$3:$M$3,F$60,$D126:$M126))/SUMIF($D$3:$M$3,F$60,$D$4:$M$4)))</f>
        <v>0</v>
      </c>
      <c r="G77" s="196" t="n">
        <f aca="false">IF((SUMIF($D$3:$M$3,G$60,$D$4:$M$4))=0,0,((SUMIF($D$3:$M$3,G$60,$D126:$M126))/SUMIF($D$3:$M$3,G$60,$D$4:$M$4)))</f>
        <v>0</v>
      </c>
      <c r="H77" s="196" t="n">
        <f aca="false">IF((SUMIF($D$3:$M$3,H$60,$D$4:$M$4))=0,0,((SUMIF($D$3:$M$3,H$60,$D126:$M126))/SUMIF($D$3:$M$3,H$60,$D$4:$M$4)))</f>
        <v>0</v>
      </c>
      <c r="I77" s="196" t="n">
        <f aca="false">IF((SUMIF($D$3:$M$3,I$60,$D$4:$M$4))=0,0,((SUMIF($D$3:$M$3,I$60,$D126:$M126))/SUMIF($D$3:$M$3,I$60,$D$4:$M$4)))</f>
        <v>0</v>
      </c>
      <c r="J77" s="196" t="n">
        <f aca="false">IF((SUMIF($D$3:$M$3,J$60,$D$4:$M$4))=0,0,((SUMIF($D$3:$M$3,J$60,$D126:$M126))/SUMIF($D$3:$M$3,J$60,$D$4:$M$4)))</f>
        <v>0</v>
      </c>
      <c r="K77" s="196" t="n">
        <f aca="false">IF((SUMIF($D$3:$M$3,K$60,$D$4:$M$4))=0,0,((SUMIF($D$3:$M$3,K$60,$D126:$M126))/SUMIF($D$3:$M$3,K$60,$D$4:$M$4)))</f>
        <v>0</v>
      </c>
      <c r="L77" s="196" t="n">
        <f aca="false">IF((SUMIF($D$3:$M$3,L$60,$D$4:$M$4))=0,0,((SUMIF($D$3:$M$3,L$60,$D126:$M126))/SUMIF($D$3:$M$3,L$60,$D$4:$M$4)))</f>
        <v>0</v>
      </c>
      <c r="M77" s="197" t="n">
        <f aca="false">IF((SUMIF($D$3:$M$3,M$60,$D$4:$M$4))=0,0,((SUMIF($D$3:$M$3,M$60,$D126:$M126))/SUMIF($D$3:$M$3,M$60,$D$4:$M$4)))</f>
        <v>0</v>
      </c>
      <c r="N77" s="194" t="str">
        <f aca="false">C77</f>
        <v>Alumno16</v>
      </c>
      <c r="O77" s="195" t="n">
        <f aca="false">IF((SUMIF($O$3:$X$3,O$60,$O$4:$X$4))=0,0,((SUMIF($O$3:$X$3,O$60,$O126:$X126))/SUMIF($O$3:$X$3,O$60,$O$4:$X$4)))</f>
        <v>9.5</v>
      </c>
      <c r="P77" s="196" t="n">
        <f aca="false">IF((SUMIF($O$3:$X$3,P$60,$O$4:$X$4))=0,0,((SUMIF($O$3:$X$3,P$60,$O126:$X126))/SUMIF($O$3:$X$3,P$60,$O$4:$X$4)))</f>
        <v>10</v>
      </c>
      <c r="Q77" s="196" t="n">
        <f aca="false">IF((SUMIF($O$3:$X$3,Q$60,$O$4:$X$4))=0,0,((SUMIF($O$3:$X$3,Q$60,$O126:$X126))/SUMIF($O$3:$X$3,Q$60,$O$4:$X$4)))</f>
        <v>0</v>
      </c>
      <c r="R77" s="196" t="n">
        <f aca="false">IF((SUMIF($O$3:$X$3,R$60,$O$4:$X$4))=0,0,((SUMIF($O$3:$X$3,R$60,$O126:$X126))/SUMIF($O$3:$X$3,R$60,$O$4:$X$4)))</f>
        <v>0</v>
      </c>
      <c r="S77" s="196" t="n">
        <f aca="false">IF((SUMIF($O$3:$X$3,S$60,$O$4:$X$4))=0,0,((SUMIF($O$3:$X$3,S$60,$O126:$X126))/SUMIF($O$3:$X$3,S$60,$O$4:$X$4)))</f>
        <v>0</v>
      </c>
      <c r="T77" s="196" t="n">
        <f aca="false">IF((SUMIF($O$3:$X$3,T$60,$O$4:$X$4))=0,0,((SUMIF($O$3:$X$3,T$60,$O126:$X126))/SUMIF($O$3:$X$3,T$60,$O$4:$X$4)))</f>
        <v>0</v>
      </c>
      <c r="U77" s="196" t="n">
        <f aca="false">IF((SUMIF($O$3:$X$3,U$60,$O$4:$X$4))=0,0,((SUMIF($O$3:$X$3,U$60,$O126:$X126))/SUMIF($O$3:$X$3,U$60,$O$4:$X$4)))</f>
        <v>0</v>
      </c>
      <c r="V77" s="196" t="n">
        <f aca="false">IF((SUMIF($O$3:$X$3,V$60,$O$4:$X$4))=0,0,((SUMIF($O$3:$X$3,V$60,$O126:$X126))/SUMIF($O$3:$X$3,V$60,$O$4:$X$4)))</f>
        <v>0</v>
      </c>
      <c r="W77" s="196" t="n">
        <f aca="false">IF((SUMIF($O$3:$X$3,W$60,$O$4:$X$4))=0,0,((SUMIF($O$3:$X$3,W$60,$O126:$X126))/SUMIF($O$3:$X$3,W$60,$O$4:$X$4)))</f>
        <v>0</v>
      </c>
      <c r="X77" s="197" t="n">
        <f aca="false">IF((SUMIF($O$3:$X$3,X$60,$O$4:$X$4))=0,0,((SUMIF($O$3:$X$3,X$60,$O126:$X126))/SUMIF($O$3:$X$3,X$60,$O$4:$X$4)))</f>
        <v>0</v>
      </c>
      <c r="Y77" s="194" t="str">
        <f aca="false">N77</f>
        <v>Alumno16</v>
      </c>
      <c r="Z77" s="195" t="n">
        <f aca="false">IF((SUMIF($Z$3:$AI$3,Z$60,$Z$4:$AI$4))=0,0,((SUMIF($Z$3:$AI$3,Z$60,$Z126:$AI126))/SUMIF($Z$3:$AI$3,Z$60,$Z$4:$AI$4)))</f>
        <v>5</v>
      </c>
      <c r="AA77" s="196" t="n">
        <f aca="false">IF((SUMIF($Z$3:$AI$3,AA$60,$Z$4:$AI$4))=0,0,((SUMIF($Z$3:$AI$3,AA$60,$Z126:$AI126))/SUMIF($Z$3:$AI$3,AA$60,$Z$4:$AI$4)))</f>
        <v>5</v>
      </c>
      <c r="AB77" s="196" t="n">
        <f aca="false">IF((SUMIF($Z$3:$AI$3,AB$60,$Z$4:$AI$4))=0,0,((SUMIF($Z$3:$AI$3,AB$60,$Z126:$AI126))/SUMIF($Z$3:$AI$3,AB$60,$Z$4:$AI$4)))</f>
        <v>5</v>
      </c>
      <c r="AC77" s="196" t="n">
        <f aca="false">IF((SUMIF($Z$3:$AI$3,AC$60,$Z$4:$AI$4))=0,0,((SUMIF($Z$3:$AI$3,AC$60,$Z126:$AI126))/SUMIF($Z$3:$AI$3,AC$60,$Z$4:$AI$4)))</f>
        <v>0</v>
      </c>
      <c r="AD77" s="196" t="n">
        <f aca="false">IF((SUMIF($Z$3:$AI$3,AD$60,$Z$4:$AI$4))=0,0,((SUMIF($Z$3:$AI$3,AD$60,$Z126:$AI126))/SUMIF($Z$3:$AI$3,AD$60,$Z$4:$AI$4)))</f>
        <v>0</v>
      </c>
      <c r="AE77" s="196" t="n">
        <f aca="false">IF((SUMIF($Z$3:$AI$3,AE$60,$Z$4:$AI$4))=0,0,((SUMIF($Z$3:$AI$3,AE$60,$Z126:$AI126))/SUMIF($Z$3:$AI$3,AE$60,$Z$4:$AI$4)))</f>
        <v>0</v>
      </c>
      <c r="AF77" s="196" t="n">
        <f aca="false">IF((SUMIF($Z$3:$AI$3,AF$60,$Z$4:$AI$4))=0,0,((SUMIF($Z$3:$AI$3,AF$60,$Z126:$AI126))/SUMIF($Z$3:$AI$3,AF$60,$Z$4:$AI$4)))</f>
        <v>0</v>
      </c>
      <c r="AG77" s="196" t="n">
        <f aca="false">IF((SUMIF($Z$3:$AI$3,AG$60,$Z$4:$AI$4))=0,0,((SUMIF($Z$3:$AI$3,AG$60,$Z126:$AI126))/SUMIF($Z$3:$AI$3,AG$60,$Z$4:$AI$4)))</f>
        <v>0</v>
      </c>
      <c r="AH77" s="196" t="n">
        <f aca="false">IF((SUMIF($Z$3:$AI$3,AH$60,$Z$4:$AI$4))=0,0,((SUMIF($Z$3:$AI$3,AH$60,$Z126:$AI126))/SUMIF($Z$3:$AI$3,AH$60,$Z$4:$AI$4)))</f>
        <v>0</v>
      </c>
      <c r="AI77" s="197" t="n">
        <f aca="false">IF((SUMIF($Z$3:$AI$3,AI$60,$Z$4:$AI$4))=0,0,((SUMIF($Z$3:$AI$3,AI$60,$Z126:$AI126))/SUMIF($Z$3:$AI$3,AI$60,$Z$4:$AI$4)))</f>
        <v>0</v>
      </c>
      <c r="AJ77" s="194" t="str">
        <f aca="false">Y77</f>
        <v>Alumno16</v>
      </c>
      <c r="AK77" s="195" t="n">
        <f aca="false">IF((SUMIF($AK$3:$AT$3,AK$60,$AK$4:$AT$4))=0,0,((SUMIF($AK$3:$AT$3,AK$60,$AK126:$AT126))/SUMIF($AK$3:$AT$3,AK$60,$AK$4:$AT$4)))</f>
        <v>5</v>
      </c>
      <c r="AL77" s="196" t="n">
        <f aca="false">IF((SUMIF($AK$3:$AT$3,AL$60,$AK$4:$AT$4))=0,0,((SUMIF($AK$3:$AT$3,AL$60,$AK126:$AT126))/SUMIF($AK$3:$AT$3,AL$60,$AK$4:$AT$4)))</f>
        <v>5</v>
      </c>
      <c r="AM77" s="196" t="n">
        <f aca="false">IF((SUMIF($AK$3:$AT$3,AM$60,$AK$4:$AT$4))=0,0,((SUMIF($AK$3:$AT$3,AM$60,$AK126:$AT126))/SUMIF($AK$3:$AT$3,AM$60,$AK$4:$AT$4)))</f>
        <v>5</v>
      </c>
      <c r="AN77" s="196" t="n">
        <f aca="false">IF((SUMIF($AK$3:$AT$3,AN$60,$AK$4:$AT$4))=0,0,((SUMIF($AK$3:$AT$3,AN$60,$AK126:$AT126))/SUMIF($AK$3:$AT$3,AN$60,$AK$4:$AT$4)))</f>
        <v>0</v>
      </c>
      <c r="AO77" s="196" t="n">
        <f aca="false">IF((SUMIF($AK$3:$AT$3,AO$60,$AK$4:$AT$4))=0,0,((SUMIF($AK$3:$AT$3,AO$60,$AK126:$AT126))/SUMIF($AK$3:$AT$3,AO$60,$AK$4:$AT$4)))</f>
        <v>0</v>
      </c>
      <c r="AP77" s="196" t="n">
        <f aca="false">IF((SUMIF($AK$3:$AT$3,AP$60,$AK$4:$AT$4))=0,0,((SUMIF($AK$3:$AT$3,AP$60,$AK126:$AT126))/SUMIF($AK$3:$AT$3,AP$60,$AK$4:$AT$4)))</f>
        <v>0</v>
      </c>
      <c r="AQ77" s="196" t="n">
        <f aca="false">IF((SUMIF($AK$3:$AT$3,AQ$60,$AK$4:$AT$4))=0,0,((SUMIF($AK$3:$AT$3,AQ$60,$AK126:$AT126))/SUMIF($AK$3:$AT$3,AQ$60,$AK$4:$AT$4)))</f>
        <v>0</v>
      </c>
      <c r="AR77" s="196" t="n">
        <f aca="false">IF((SUMIF($AK$3:$AT$3,AR$60,$AK$4:$AT$4))=0,0,((SUMIF($AK$3:$AT$3,AR$60,$AK126:$AT126))/SUMIF($AK$3:$AT$3,AR$60,$AK$4:$AT$4)))</f>
        <v>0</v>
      </c>
      <c r="AS77" s="196" t="n">
        <f aca="false">IF((SUMIF($AK$3:$AT$3,AS$60,$AK$4:$AT$4))=0,0,((SUMIF($AK$3:$AT$3,AS$60,$AK126:$AT126))/SUMIF($AK$3:$AT$3,AS$60,$AK$4:$AT$4)))</f>
        <v>0</v>
      </c>
      <c r="AT77" s="197" t="n">
        <f aca="false">IF((SUMIF($AK$3:$AT$3,AT$60,$AK$4:$AT$4))=0,0,((SUMIF($AK$3:$AT$3,AT$60,$AK126:$AT126))/SUMIF($AK$3:$AT$3,AT$60,$AK$4:$AT$4)))</f>
        <v>0</v>
      </c>
      <c r="AU77" s="194" t="str">
        <f aca="false">AJ77</f>
        <v>Alumno16</v>
      </c>
      <c r="AV77" s="195" t="n">
        <f aca="false">IF((SUMIF($AV$3:$BE$3,AV$60,$AV$4:$BE$4))=0,0,((SUMIF($AV$3:$BE$3,AV$60,$AV126:$BE126))/SUMIF($AV$3:$BE$3,AV$60,$AV$4:$BE$4)))</f>
        <v>9</v>
      </c>
      <c r="AW77" s="196" t="n">
        <f aca="false">IF((SUMIF($AV$3:$BE$3,AW$60,$AV$4:$BE$4))=0,0,((SUMIF($AV$3:$BE$3,AW$60,$AV126:$BE126))/SUMIF($AV$3:$BE$3,AW$60,$AV$4:$BE$4)))</f>
        <v>10</v>
      </c>
      <c r="AX77" s="196" t="n">
        <f aca="false">IF((SUMIF($AV$3:$BE$3,AX$60,$AV$4:$BE$4))=0,0,((SUMIF($AV$3:$BE$3,AX$60,$AV126:$BE126))/SUMIF($AV$3:$BE$3,AX$60,$AV$4:$BE$4)))</f>
        <v>10</v>
      </c>
      <c r="AY77" s="196" t="n">
        <f aca="false">IF((SUMIF($AV$3:$BE$3,AY$60,$AV$4:$BE$4))=0,0,((SUMIF($AV$3:$BE$3,AY$60,$AV126:$BE126))/SUMIF($AV$3:$BE$3,AY$60,$AV$4:$BE$4)))</f>
        <v>9</v>
      </c>
      <c r="AZ77" s="196" t="n">
        <f aca="false">IF((SUMIF($AV$3:$BE$3,AZ$60,$AV$4:$BE$4))=0,0,((SUMIF($AV$3:$BE$3,AZ$60,$AV126:$BE126))/SUMIF($AV$3:$BE$3,AZ$60,$AV$4:$BE$4)))</f>
        <v>0</v>
      </c>
      <c r="BA77" s="196" t="n">
        <f aca="false">IF((SUMIF($AV$3:$BE$3,BA$60,$AV$4:$BE$4))=0,0,((SUMIF($AV$3:$BE$3,BA$60,$AV126:$BE126))/SUMIF($AV$3:$BE$3,BA$60,$AV$4:$BE$4)))</f>
        <v>0</v>
      </c>
      <c r="BB77" s="196" t="n">
        <f aca="false">IF((SUMIF($AV$3:$BE$3,BB$60,$AV$4:$BE$4))=0,0,((SUMIF($AV$3:$BE$3,BB$60,$AV126:$BE126))/SUMIF($AV$3:$BE$3,BB$60,$AV$4:$BE$4)))</f>
        <v>0</v>
      </c>
      <c r="BC77" s="196" t="n">
        <f aca="false">IF((SUMIF($AV$3:$BE$3,BC$60,$AV$4:$BE$4))=0,0,((SUMIF($AV$3:$BE$3,BC$60,$AV126:$BE126))/SUMIF($AV$3:$BE$3,BC$60,$AV$4:$BE$4)))</f>
        <v>0</v>
      </c>
      <c r="BD77" s="196" t="n">
        <f aca="false">IF((SUMIF($AV$3:$BE$3,BD$60,$AV$4:$BE$4))=0,0,((SUMIF($AV$3:$BE$3,BD$60,$AV126:$BE126))/SUMIF($AV$3:$BE$3,BD$60,$AV$4:$BE$4)))</f>
        <v>0</v>
      </c>
      <c r="BE77" s="197" t="n">
        <f aca="false">IF((SUMIF($AV$3:$BE$3,BE$60,$AV$4:$BE$4))=0,0,((SUMIF($AV$3:$BE$3,BE$60,$AV126:$BE126))/SUMIF($AV$3:$BE$3,BE$60,$AV$4:$BE$4)))</f>
        <v>0</v>
      </c>
      <c r="BF77" s="194" t="str">
        <f aca="false">AU77</f>
        <v>Alumno16</v>
      </c>
      <c r="BG77" s="195" t="n">
        <f aca="false">IF((SUMIF($BG$3:$BP$3,BG$60,$BG$4:$BP$4))=0,0,((SUMIF($BG$3:$BP$3,BG$60,$BG126:$BP126))/SUMIF($BG$3:$BP$3,BG$60,$BG$4:$BP$4)))</f>
        <v>9</v>
      </c>
      <c r="BH77" s="196" t="n">
        <f aca="false">IF((SUMIF($BG$3:$BP$3,BH$60,$BG$4:$BP$4))=0,0,((SUMIF($BG$3:$BP$3,BH$60,$BG126:$BP126))/SUMIF($BG$3:$BP$3,BH$60,$BG$4:$BP$4)))</f>
        <v>10</v>
      </c>
      <c r="BI77" s="196" t="n">
        <f aca="false">IF((SUMIF($BG$3:$BP$3,BI$60,$BG$4:$BP$4))=0,0,((SUMIF($BG$3:$BP$3,BI$60,$BG126:$BP126))/SUMIF($BG$3:$BP$3,BI$60,$BG$4:$BP$4)))</f>
        <v>10</v>
      </c>
      <c r="BJ77" s="196" t="n">
        <f aca="false">IF((SUMIF($BG$3:$BP$3,BJ$60,$BG$4:$BP$4))=0,0,((SUMIF($BG$3:$BP$3,BJ$60,$BG126:$BP126))/SUMIF($BG$3:$BP$3,BJ$60,$BG$4:$BP$4)))</f>
        <v>9.4</v>
      </c>
      <c r="BK77" s="196" t="n">
        <f aca="false">IF((SUMIF($BG$3:$BP$3,BK$60,$BG$4:$BP$4))=0,0,((SUMIF($BG$3:$BP$3,BK$60,$BG126:$BP126))/SUMIF($BG$3:$BP$3,BK$60,$BG$4:$BP$4)))</f>
        <v>0</v>
      </c>
      <c r="BL77" s="196" t="n">
        <f aca="false">IF((SUMIF($BG$3:$BP$3,BL$60,$BG$4:$BP$4))=0,0,((SUMIF($BG$3:$BP$3,BL$60,$BG126:$BP126))/SUMIF($BG$3:$BP$3,BL$60,$BG$4:$BP$4)))</f>
        <v>0</v>
      </c>
      <c r="BM77" s="196" t="n">
        <f aca="false">IF((SUMIF($BG$3:$BP$3,BM$60,$BG$4:$BP$4))=0,0,((SUMIF($BG$3:$BP$3,BM$60,$BG126:$BP126))/SUMIF($BG$3:$BP$3,BM$60,$BG$4:$BP$4)))</f>
        <v>0</v>
      </c>
      <c r="BN77" s="196" t="n">
        <f aca="false">IF((SUMIF($BG$3:$BP$3,BN$60,$BG$4:$BP$4))=0,0,((SUMIF($BG$3:$BP$3,BN$60,$BG126:$BP126))/SUMIF($BG$3:$BP$3,BN$60,$BG$4:$BP$4)))</f>
        <v>0</v>
      </c>
      <c r="BO77" s="196" t="n">
        <f aca="false">IF((SUMIF($BG$3:$BP$3,BO$60,$BG$4:$BP$4))=0,0,((SUMIF($BG$3:$BP$3,BO$60,$BG126:$BP126))/SUMIF($BG$3:$BP$3,BO$60,$BG$4:$BP$4)))</f>
        <v>0</v>
      </c>
      <c r="BP77" s="197" t="n">
        <f aca="false">IF((SUMIF($BG$3:$BP$3,BP$60,$BG$4:$BP$4))=0,0,((SUMIF($BG$3:$BP$3,BP$60,$BG126:$BP126))/SUMIF($BG$3:$BP$3,BP$60,$BG$4:$BP$4)))</f>
        <v>0</v>
      </c>
      <c r="BQ77" s="194" t="str">
        <f aca="false">BF77</f>
        <v>Alumno16</v>
      </c>
      <c r="BR77" s="195" t="n">
        <f aca="false">IF((SUMIF($BR$3:$CA$3,BR$60,$BR$4:$CA$4))=0,0,((SUMIF($BR$3:$CA$3,BR$60,$BR126:$CA126))/SUMIF($BR$3:$CA$3,BR$60,$BR$4:$CA$4)))</f>
        <v>0</v>
      </c>
      <c r="BS77" s="196" t="n">
        <f aca="false">IF((SUMIF($BR$3:$CA$3,BS$60,$BR$4:$CA$4))=0,0,((SUMIF($BR$3:$CA$3,BS$60,$BR126:$CA126))/SUMIF($BR$3:$CA$3,BS$60,$BR$4:$CA$4)))</f>
        <v>5</v>
      </c>
      <c r="BT77" s="196" t="n">
        <f aca="false">IF((SUMIF($BR$3:$CA$3,BT$60,$BR$4:$CA$4))=0,0,((SUMIF($BR$3:$CA$3,BT$60,$BR126:$CA126))/SUMIF($BR$3:$CA$3,BT$60,$BR$4:$CA$4)))</f>
        <v>4</v>
      </c>
      <c r="BU77" s="196" t="n">
        <f aca="false">IF((SUMIF($BR$3:$CA$3,BU$60,$BR$4:$CA$4))=0,0,((SUMIF($BR$3:$CA$3,BU$60,$BR126:$CA126))/SUMIF($BR$3:$CA$3,BU$60,$BR$4:$CA$4)))</f>
        <v>4.6</v>
      </c>
      <c r="BV77" s="196" t="n">
        <f aca="false">IF((SUMIF($BR$3:$CA$3,BV$60,$BR$4:$CA$4))=0,0,((SUMIF($BR$3:$CA$3,BV$60,$BR126:$CA126))/SUMIF($BR$3:$CA$3,BV$60,$BR$4:$CA$4)))</f>
        <v>0</v>
      </c>
      <c r="BW77" s="196" t="n">
        <f aca="false">IF((SUMIF($BR$3:$CA$3,BW$60,$BR$4:$CA$4))=0,0,((SUMIF($BR$3:$CA$3,BW$60,$BR126:$CA126))/SUMIF($BR$3:$CA$3,BW$60,$BR$4:$CA$4)))</f>
        <v>0</v>
      </c>
      <c r="BX77" s="196" t="n">
        <f aca="false">IF((SUMIF($BR$3:$CA$3,BX$60,$BR$4:$CA$4))=0,0,((SUMIF($BR$3:$CA$3,BX$60,$BR126:$CA126))/SUMIF($BR$3:$CA$3,BX$60,$BR$4:$CA$4)))</f>
        <v>0</v>
      </c>
      <c r="BY77" s="196" t="n">
        <f aca="false">IF((SUMIF($BR$3:$CA$3,BY$60,$BR$4:$CA$4))=0,0,((SUMIF($BR$3:$CA$3,BY$60,$BR126:$CA126))/SUMIF($BR$3:$CA$3,BY$60,$BR$4:$CA$4)))</f>
        <v>0</v>
      </c>
      <c r="BZ77" s="196" t="n">
        <f aca="false">IF((SUMIF($BR$3:$CA$3,BZ$60,$BR$4:$CA$4))=0,0,((SUMIF($BR$3:$CA$3,BZ$60,$BR126:$CA126))/SUMIF($BR$3:$CA$3,BZ$60,$BR$4:$CA$4)))</f>
        <v>0</v>
      </c>
      <c r="CA77" s="197" t="n">
        <f aca="false">IF((SUMIF($BR$3:$CA$3,CA$60,$BR$4:$CA$4))=0,0,((SUMIF($BR$3:$CA$3,CA$60,$BR126:$CA126))/SUMIF($BR$3:$CA$3,CA$60,$BR$4:$CA$4)))</f>
        <v>0</v>
      </c>
      <c r="CB77" s="194" t="str">
        <f aca="false">BQ77</f>
        <v>Alumno16</v>
      </c>
      <c r="CC77" s="195" t="n">
        <f aca="false">IF((SUMIF($CC$3:$CL$3,CC$60,$CC$4:$CL$4))=0,0,((SUMIF($CC$3:$CL$3,CC$60,$CC126:$CL126))/SUMIF($CC$3:$CL$3,CC$60,$CC$4:$CL$4)))</f>
        <v>0</v>
      </c>
      <c r="CD77" s="196" t="n">
        <f aca="false">IF((SUMIF($CC$3:$CL$3,CD$60,$CC$4:$CL$4))=0,0,((SUMIF($CC$3:$CL$3,CD$60,$CC126:$CL126))/SUMIF($CC$3:$CL$3,CD$60,$CC$4:$CL$4)))</f>
        <v>0</v>
      </c>
      <c r="CE77" s="196" t="n">
        <f aca="false">IF((SUMIF($CC$3:$CL$3,CE$60,$CC$4:$CL$4))=0,0,((SUMIF($CC$3:$CL$3,CE$60,$CC126:$CL126))/SUMIF($CC$3:$CL$3,CE$60,$CC$4:$CL$4)))</f>
        <v>0</v>
      </c>
      <c r="CF77" s="196" t="n">
        <f aca="false">IF((SUMIF($CC$3:$CL$3,CF$60,$CC$4:$CL$4))=0,0,((SUMIF($CC$3:$CL$3,CF$60,$CC126:$CL126))/SUMIF($CC$3:$CL$3,CF$60,$CC$4:$CL$4)))</f>
        <v>0</v>
      </c>
      <c r="CG77" s="196" t="n">
        <f aca="false">IF((SUMIF($CC$3:$CL$3,CG$60,$CC$4:$CL$4))=0,0,((SUMIF($CC$3:$CL$3,CG$60,$CC126:$CL126))/SUMIF($CC$3:$CL$3,CG$60,$CC$4:$CL$4)))</f>
        <v>0</v>
      </c>
      <c r="CH77" s="196" t="n">
        <f aca="false">IF((SUMIF($CC$3:$CL$3,CH$60,$CC$4:$CL$4))=0,0,((SUMIF($CC$3:$CL$3,CH$60,$CC126:$CL126))/SUMIF($CC$3:$CL$3,CH$60,$CC$4:$CL$4)))</f>
        <v>0</v>
      </c>
      <c r="CI77" s="196" t="n">
        <f aca="false">IF((SUMIF($CC$3:$CL$3,CI$60,$CC$4:$CL$4))=0,0,((SUMIF($CC$3:$CL$3,CI$60,$CC126:$CL126))/SUMIF($CC$3:$CL$3,CI$60,$CC$4:$CL$4)))</f>
        <v>0</v>
      </c>
      <c r="CJ77" s="196" t="n">
        <f aca="false">IF((SUMIF($CC$3:$CL$3,CJ$60,$CC$4:$CL$4))=0,0,((SUMIF($CC$3:$CL$3,CJ$60,$CC126:$CL126))/SUMIF($CC$3:$CL$3,CJ$60,$CC$4:$CL$4)))</f>
        <v>0</v>
      </c>
      <c r="CK77" s="196" t="n">
        <f aca="false">IF((SUMIF($CC$3:$CL$3,CK$60,$CC$4:$CL$4))=0,0,((SUMIF($CC$3:$CL$3,CK$60,$CC126:$CL126))/SUMIF($CC$3:$CL$3,CK$60,$CC$4:$CL$4)))</f>
        <v>0</v>
      </c>
      <c r="CL77" s="197" t="n">
        <f aca="false">IF((SUMIF($CC$3:$CL$3,CL$60,$CC$4:$CL$4))=0,0,((SUMIF($CC$3:$CL$3,CL$60,$CC126:$CL126))/SUMIF($CC$3:$CL$3,CL$60,$CC$4:$CL$4)))</f>
        <v>0</v>
      </c>
      <c r="CM77" s="194" t="str">
        <f aca="false">CB77</f>
        <v>Alumno16</v>
      </c>
      <c r="CN77" s="195" t="n">
        <f aca="false">IF((SUMIF($CN$3:$CW$3,CN$60,$CN$4:$CW$4))=0,0,((SUMIF($CN$3:$CW$3,CN$60,$CN126:$CW126))/SUMIF($CN$3:$CW$3,CN$60,$CN$4:$CW$4)))</f>
        <v>0</v>
      </c>
      <c r="CO77" s="196" t="n">
        <f aca="false">IF((SUMIF($CN$3:$CW$3,CO$60,$CN$4:$CW$4))=0,0,((SUMIF($CN$3:$CW$3,CO$60,$CN126:$CW126))/SUMIF($CN$3:$CW$3,CO$60,$CN$4:$CW$4)))</f>
        <v>0</v>
      </c>
      <c r="CP77" s="196" t="n">
        <f aca="false">IF((SUMIF($CN$3:$CW$3,CP$60,$CN$4:$CW$4))=0,0,((SUMIF($CN$3:$CW$3,CP$60,$CN126:$CW126))/SUMIF($CN$3:$CW$3,CP$60,$CN$4:$CW$4)))</f>
        <v>0</v>
      </c>
      <c r="CQ77" s="196" t="n">
        <f aca="false">IF((SUMIF($CN$3:$CW$3,CQ$60,$CN$4:$CW$4))=0,0,((SUMIF($CN$3:$CW$3,CQ$60,$CN126:$CW126))/SUMIF($CN$3:$CW$3,CQ$60,$CN$4:$CW$4)))</f>
        <v>0</v>
      </c>
      <c r="CR77" s="196" t="n">
        <f aca="false">IF((SUMIF($CN$3:$CW$3,CR$60,$CN$4:$CW$4))=0,0,((SUMIF($CN$3:$CW$3,CR$60,$CN126:$CW126))/SUMIF($CN$3:$CW$3,CR$60,$CN$4:$CW$4)))</f>
        <v>0</v>
      </c>
      <c r="CS77" s="196" t="n">
        <f aca="false">IF((SUMIF($CN$3:$CW$3,CS$60,$CN$4:$CW$4))=0,0,((SUMIF($CN$3:$CW$3,CS$60,$CN126:$CW126))/SUMIF($CN$3:$CW$3,CS$60,$CN$4:$CW$4)))</f>
        <v>0</v>
      </c>
      <c r="CT77" s="196" t="n">
        <f aca="false">IF((SUMIF($CN$3:$CW$3,CT$60,$CN$4:$CW$4))=0,0,((SUMIF($CN$3:$CW$3,CT$60,$CN126:$CW126))/SUMIF($CN$3:$CW$3,CT$60,$CN$4:$CW$4)))</f>
        <v>0</v>
      </c>
      <c r="CU77" s="196" t="n">
        <f aca="false">IF((SUMIF($CN$3:$CW$3,CU$60,$CN$4:$CW$4))=0,0,((SUMIF($CN$3:$CW$3,CU$60,$CN126:$CW126))/SUMIF($CN$3:$CW$3,CU$60,$CN$4:$CW$4)))</f>
        <v>0</v>
      </c>
      <c r="CV77" s="196" t="n">
        <f aca="false">IF((SUMIF($CN$3:$CW$3,CV$60,$CN$4:$CW$4))=0,0,((SUMIF($CN$3:$CW$3,CV$60,$CN126:$CW126))/SUMIF($CN$3:$CW$3,CV$60,$CN$4:$CW$4)))</f>
        <v>0</v>
      </c>
      <c r="CW77" s="197" t="n">
        <f aca="false">IF((SUMIF($CN$3:$CW$3,CW$60,$CN$4:$CW$4))=0,0,((SUMIF($CN$3:$CW$3,CW$60,$CN126:$CW126))/SUMIF($CN$3:$CW$3,CW$60,$CN$4:$CW$4)))</f>
        <v>0</v>
      </c>
      <c r="CX77" s="194" t="str">
        <f aca="false">CM77</f>
        <v>Alumno16</v>
      </c>
      <c r="CY77" s="195" t="n">
        <f aca="false">IF((SUMIF($CY$3:$DH$3,CY$60,$CY$4:$DH$4))=0,0,((SUMIF($CY$3:$DH$3,CY$60,$CY126:$DH126))/SUMIF($CY$3:$DH$3,CY$60,$CY$4:$DH$4)))</f>
        <v>0</v>
      </c>
      <c r="CZ77" s="196" t="n">
        <f aca="false">IF((SUMIF($CY$3:$DH$3,CZ$60,$CY$4:$DH$4))=0,0,((SUMIF($CY$3:$DH$3,CZ$60,$CY126:$DH126))/SUMIF($CY$3:$DH$3,CZ$60,$CY$4:$DH$4)))</f>
        <v>0</v>
      </c>
      <c r="DA77" s="196" t="n">
        <f aca="false">IF((SUMIF($CY$3:$DH$3,DA$60,$CY$4:$DH$4))=0,0,((SUMIF($CY$3:$DH$3,DA$60,$CY126:$DH126))/SUMIF($CY$3:$DH$3,DA$60,$CY$4:$DH$4)))</f>
        <v>0</v>
      </c>
      <c r="DB77" s="196" t="n">
        <f aca="false">IF((SUMIF($CY$3:$DH$3,DB$60,$CY$4:$DH$4))=0,0,((SUMIF($CY$3:$DH$3,DB$60,$CY126:$DH126))/SUMIF($CY$3:$DH$3,DB$60,$CY$4:$DH$4)))</f>
        <v>0</v>
      </c>
      <c r="DC77" s="196" t="n">
        <f aca="false">IF((SUMIF($CY$3:$DH$3,DC$60,$CY$4:$DH$4))=0,0,((SUMIF($CY$3:$DH$3,DC$60,$CY126:$DH126))/SUMIF($CY$3:$DH$3,DC$60,$CY$4:$DH$4)))</f>
        <v>0</v>
      </c>
      <c r="DD77" s="196" t="n">
        <f aca="false">IF((SUMIF($CY$3:$DH$3,DD$60,$CY$4:$DH$4))=0,0,((SUMIF($CY$3:$DH$3,DD$60,$CY126:$DH126))/SUMIF($CY$3:$DH$3,DD$60,$CY$4:$DH$4)))</f>
        <v>0</v>
      </c>
      <c r="DE77" s="196" t="n">
        <f aca="false">IF((SUMIF($CY$3:$DH$3,DE$60,$CY$4:$DH$4))=0,0,((SUMIF($CY$3:$DH$3,DE$60,$CY126:$DH126))/SUMIF($CY$3:$DH$3,DE$60,$CY$4:$DH$4)))</f>
        <v>0</v>
      </c>
      <c r="DF77" s="196" t="n">
        <f aca="false">IF((SUMIF($CY$3:$DH$3,DF$60,$CY$4:$DH$4))=0,0,((SUMIF($CY$3:$DH$3,DF$60,$CY126:$DH126))/SUMIF($CY$3:$DH$3,DF$60,$CY$4:$DH$4)))</f>
        <v>0</v>
      </c>
      <c r="DG77" s="196" t="n">
        <f aca="false">IF((SUMIF($CY$3:$DH$3,DG$60,$CY$4:$DH$4))=0,0,((SUMIF($CY$3:$DH$3,DG$60,$CY126:$DH126))/SUMIF($CY$3:$DH$3,DG$60,$CY$4:$DH$4)))</f>
        <v>0</v>
      </c>
      <c r="DH77" s="197" t="n">
        <f aca="false">IF((SUMIF($CY$3:$DH$3,DH$60,$CY$4:$DH$4))=0,0,((SUMIF($CY$3:$DH$3,DH$60,$CY126:$DH126))/SUMIF($CY$3:$DH$3,DH$60,$CY$4:$DH$4)))</f>
        <v>0</v>
      </c>
      <c r="DI77" s="194" t="str">
        <f aca="false">CX77</f>
        <v>Alumno16</v>
      </c>
      <c r="DJ77" s="195" t="n">
        <f aca="false">IF((SUMIF($DJ$3:$DS$3,DJ$60,$DJ$4:$DS$4))=0,0,((SUMIF($DJ$3:$DS$3,DJ$60,$DJ126:$DS126))/SUMIF($DJ$3:$DS$3,DJ$60,$DJ$4:$DS$4)))</f>
        <v>0</v>
      </c>
      <c r="DK77" s="196" t="n">
        <f aca="false">IF((SUMIF($DJ$3:$DS$3,DK$60,$DJ$4:$DS$4))=0,0,((SUMIF($DJ$3:$DS$3,DK$60,$DJ126:$DS126))/SUMIF($DJ$3:$DS$3,DK$60,$DJ$4:$DS$4)))</f>
        <v>0</v>
      </c>
      <c r="DL77" s="196" t="n">
        <f aca="false">IF((SUMIF($DJ$3:$DS$3,DL$60,$DJ$4:$DS$4))=0,0,((SUMIF($DJ$3:$DS$3,DL$60,$DJ126:$DS126))/SUMIF($DJ$3:$DS$3,DL$60,$DJ$4:$DS$4)))</f>
        <v>0</v>
      </c>
      <c r="DM77" s="196" t="n">
        <f aca="false">IF((SUMIF($DJ$3:$DS$3,DM$60,$DJ$4:$DS$4))=0,0,((SUMIF($DJ$3:$DS$3,DM$60,$DJ126:$DS126))/SUMIF($DJ$3:$DS$3,DM$60,$DJ$4:$DS$4)))</f>
        <v>0</v>
      </c>
      <c r="DN77" s="196" t="n">
        <f aca="false">IF((SUMIF($DJ$3:$DS$3,DN$60,$DJ$4:$DS$4))=0,0,((SUMIF($DJ$3:$DS$3,DN$60,$DJ126:$DS126))/SUMIF($DJ$3:$DS$3,DN$60,$DJ$4:$DS$4)))</f>
        <v>0</v>
      </c>
      <c r="DO77" s="196" t="n">
        <f aca="false">IF((SUMIF($DJ$3:$DS$3,DO$60,$DJ$4:$DS$4))=0,0,((SUMIF($DJ$3:$DS$3,DO$60,$DJ126:$DS126))/SUMIF($DJ$3:$DS$3,DO$60,$DJ$4:$DS$4)))</f>
        <v>0</v>
      </c>
      <c r="DP77" s="196" t="n">
        <f aca="false">IF((SUMIF($DJ$3:$DS$3,DP$60,$DJ$4:$DS$4))=0,0,((SUMIF($DJ$3:$DS$3,DP$60,$DJ126:$DS126))/SUMIF($DJ$3:$DS$3,DP$60,$DJ$4:$DS$4)))</f>
        <v>0</v>
      </c>
      <c r="DQ77" s="196" t="n">
        <f aca="false">IF((SUMIF($DJ$3:$DS$3,DQ$60,$DJ$4:$DS$4))=0,0,((SUMIF($DJ$3:$DS$3,DQ$60,$DJ126:$DS126))/SUMIF($DJ$3:$DS$3,DQ$60,$DJ$4:$DS$4)))</f>
        <v>0</v>
      </c>
      <c r="DR77" s="196" t="n">
        <f aca="false">IF((SUMIF($DJ$3:$DS$3,DR$60,$DJ$4:$DS$4))=0,0,((SUMIF($DJ$3:$DS$3,DR$60,$DJ126:$DS126))/SUMIF($DJ$3:$DS$3,DR$60,$DJ$4:$DS$4)))</f>
        <v>0</v>
      </c>
      <c r="DS77" s="197" t="n">
        <f aca="false">IF((SUMIF($DJ$3:$DS$3,DS$60,$DJ$4:$DS$4))=0,0,((SUMIF($DJ$3:$DS$3,DS$60,$DJ126:$DS126))/SUMIF($DJ$3:$DS$3,DS$60,$DJ$4:$DS$4)))</f>
        <v>0</v>
      </c>
      <c r="DT77" s="194" t="str">
        <f aca="false">DI77</f>
        <v>Alumno16</v>
      </c>
      <c r="DU77" s="195" t="n">
        <f aca="false">IF((SUMIF($DU$3:$ED$3,DU$60,$DU$4:$ED$4))=0,0,((SUMIF($DU$3:$ED$3,DU$60,$DU126:$ED126))/SUMIF($DU$3:$ED$3,DU$60,$DU$4:$ED$4)))</f>
        <v>0</v>
      </c>
      <c r="DV77" s="196" t="n">
        <f aca="false">IF((SUMIF($DU$3:$ED$3,DV$60,$DU$4:$ED$4))=0,0,((SUMIF($DU$3:$ED$3,DV$60,$DU126:$ED126))/SUMIF($DU$3:$ED$3,DV$60,$DU$4:$ED$4)))</f>
        <v>0</v>
      </c>
      <c r="DW77" s="196" t="n">
        <f aca="false">IF((SUMIF($DU$3:$ED$3,DW$60,$DU$4:$ED$4))=0,0,((SUMIF($DU$3:$ED$3,DW$60,$DU126:$ED126))/SUMIF($DU$3:$ED$3,DW$60,$DU$4:$ED$4)))</f>
        <v>0</v>
      </c>
      <c r="DX77" s="196" t="n">
        <f aca="false">IF((SUMIF($DU$3:$ED$3,DX$60,$DU$4:$ED$4))=0,0,((SUMIF($DU$3:$ED$3,DX$60,$DU126:$ED126))/SUMIF($DU$3:$ED$3,DX$60,$DU$4:$ED$4)))</f>
        <v>0</v>
      </c>
      <c r="DY77" s="196" t="n">
        <f aca="false">IF((SUMIF($DU$3:$ED$3,DY$60,$DU$4:$ED$4))=0,0,((SUMIF($DU$3:$ED$3,DY$60,$DU126:$ED126))/SUMIF($DU$3:$ED$3,DY$60,$DU$4:$ED$4)))</f>
        <v>0</v>
      </c>
      <c r="DZ77" s="196" t="n">
        <f aca="false">IF((SUMIF($DU$3:$ED$3,DZ$60,$DU$4:$ED$4))=0,0,((SUMIF($DU$3:$ED$3,DZ$60,$DU126:$ED126))/SUMIF($DU$3:$ED$3,DZ$60,$DU$4:$ED$4)))</f>
        <v>0</v>
      </c>
      <c r="EA77" s="196" t="n">
        <f aca="false">IF((SUMIF($DU$3:$ED$3,EA$60,$DU$4:$ED$4))=0,0,((SUMIF($DU$3:$ED$3,EA$60,$DU126:$ED126))/SUMIF($DU$3:$ED$3,EA$60,$DU$4:$ED$4)))</f>
        <v>0</v>
      </c>
      <c r="EB77" s="196" t="n">
        <f aca="false">IF((SUMIF($DU$3:$ED$3,EB$60,$DU$4:$ED$4))=0,0,((SUMIF($DU$3:$ED$3,EB$60,$DU126:$ED126))/SUMIF($DU$3:$ED$3,EB$60,$DU$4:$ED$4)))</f>
        <v>0</v>
      </c>
      <c r="EC77" s="196" t="n">
        <f aca="false">IF((SUMIF($DU$3:$ED$3,EC$60,$DU$4:$ED$4))=0,0,((SUMIF($DU$3:$ED$3,EC$60,$DU126:$ED126))/SUMIF($DU$3:$ED$3,EC$60,$DU$4:$ED$4)))</f>
        <v>0</v>
      </c>
      <c r="ED77" s="197" t="n">
        <f aca="false">IF((SUMIF($DU$3:$ED$3,ED$60,$DU$4:$ED$4))=0,0,((SUMIF($DU$3:$ED$3,ED$60,$DU126:$ED126))/SUMIF($DU$3:$ED$3,ED$60,$DU$4:$ED$4)))</f>
        <v>0</v>
      </c>
      <c r="EE77" s="194" t="str">
        <f aca="false">DT77</f>
        <v>Alumno16</v>
      </c>
      <c r="EF77" s="195" t="n">
        <f aca="false">IF((SUMIF($EF$3:$EO$3,EF$60,$EF$4:$EO$4))=0,0,((SUMIF($EF$3:$EO$3,EF$60,$EF126:$EO126))/SUMIF($EF$3:$EO$3,EF$60,$EF$4:$EO$4)))</f>
        <v>0</v>
      </c>
      <c r="EG77" s="196" t="n">
        <f aca="false">IF((SUMIF($EF$3:$EO$3,EG$60,$EF$4:$EO$4))=0,0,((SUMIF($EF$3:$EO$3,EG$60,$EF126:$EO126))/SUMIF($EF$3:$EO$3,EG$60,$EF$4:$EO$4)))</f>
        <v>0</v>
      </c>
      <c r="EH77" s="196" t="n">
        <f aca="false">IF((SUMIF($EF$3:$EO$3,EH$60,$EF$4:$EO$4))=0,0,((SUMIF($EF$3:$EO$3,EH$60,$EF126:$EO126))/SUMIF($EF$3:$EO$3,EH$60,$EF$4:$EO$4)))</f>
        <v>0</v>
      </c>
      <c r="EI77" s="196" t="n">
        <f aca="false">IF((SUMIF($EF$3:$EO$3,EI$60,$EF$4:$EO$4))=0,0,((SUMIF($EF$3:$EO$3,EI$60,$EF126:$EO126))/SUMIF($EF$3:$EO$3,EI$60,$EF$4:$EO$4)))</f>
        <v>0</v>
      </c>
      <c r="EJ77" s="196" t="n">
        <f aca="false">IF((SUMIF($EF$3:$EO$3,EJ$60,$EF$4:$EO$4))=0,0,((SUMIF($EF$3:$EO$3,EJ$60,$EF126:$EO126))/SUMIF($EF$3:$EO$3,EJ$60,$EF$4:$EO$4)))</f>
        <v>0</v>
      </c>
      <c r="EK77" s="196" t="n">
        <f aca="false">IF((SUMIF($EF$3:$EO$3,EK$60,$EF$4:$EO$4))=0,0,((SUMIF($EF$3:$EO$3,EK$60,$EF126:$EO126))/SUMIF($EF$3:$EO$3,EK$60,$EF$4:$EO$4)))</f>
        <v>0</v>
      </c>
      <c r="EL77" s="196" t="n">
        <f aca="false">IF((SUMIF($EF$3:$EO$3,EL$60,$EF$4:$EO$4))=0,0,((SUMIF($EF$3:$EO$3,EL$60,$EF126:$EO126))/SUMIF($EF$3:$EO$3,EL$60,$EF$4:$EO$4)))</f>
        <v>0</v>
      </c>
      <c r="EM77" s="196" t="n">
        <f aca="false">IF((SUMIF($EF$3:$EO$3,EM$60,$EF$4:$EO$4))=0,0,((SUMIF($EF$3:$EO$3,EM$60,$EF126:$EO126))/SUMIF($EF$3:$EO$3,EM$60,$EF$4:$EO$4)))</f>
        <v>0</v>
      </c>
      <c r="EN77" s="196" t="n">
        <f aca="false">IF((SUMIF($EF$3:$EO$3,EN$60,$EF$4:$EO$4))=0,0,((SUMIF($EF$3:$EO$3,EN$60,$EF126:$EO126))/SUMIF($EF$3:$EO$3,EN$60,$EF$4:$EO$4)))</f>
        <v>0</v>
      </c>
      <c r="EO77" s="197" t="n">
        <f aca="false">IF((SUMIF($EF$3:$EO$3,EO$60,$EF$4:$EO$4))=0,0,((SUMIF($EF$3:$EO$3,EO$60,$EF126:$EO126))/SUMIF($EF$3:$EO$3,EO$60,$EF$4:$EO$4)))</f>
        <v>0</v>
      </c>
      <c r="EP77" s="194" t="str">
        <f aca="false">EE77</f>
        <v>Alumno16</v>
      </c>
      <c r="EQ77" s="195" t="n">
        <f aca="false">IF((SUMIF($EQ$3:$EZ$3,EQ$60,$EQ$4:$EZ$4))=0,0,((SUMIF($EQ$3:$EZ$3,EQ$60,$EQ126:$EZ126))/SUMIF($EQ$3:$EZ$3,EQ$60,$EQ$4:$EZ$4)))</f>
        <v>0</v>
      </c>
      <c r="ER77" s="196" t="n">
        <f aca="false">IF((SUMIF($EQ$3:$EZ$3,ER$60,$EQ$4:$EZ$4))=0,0,((SUMIF($EQ$3:$EZ$3,ER$60,$EQ126:$EZ126))/SUMIF($EQ$3:$EZ$3,ER$60,$EQ$4:$EZ$4)))</f>
        <v>0</v>
      </c>
      <c r="ES77" s="196" t="n">
        <f aca="false">IF((SUMIF($EQ$3:$EZ$3,ES$60,$EQ$4:$EZ$4))=0,0,((SUMIF($EQ$3:$EZ$3,ES$60,$EQ126:$EZ126))/SUMIF($EQ$3:$EZ$3,ES$60,$EQ$4:$EZ$4)))</f>
        <v>0</v>
      </c>
      <c r="ET77" s="196" t="n">
        <f aca="false">IF((SUMIF($EQ$3:$EZ$3,ET$60,$EQ$4:$EZ$4))=0,0,((SUMIF($EQ$3:$EZ$3,ET$60,$EQ126:$EZ126))/SUMIF($EQ$3:$EZ$3,ET$60,$EQ$4:$EZ$4)))</f>
        <v>0</v>
      </c>
      <c r="EU77" s="196" t="n">
        <f aca="false">IF((SUMIF($EQ$3:$EZ$3,EU$60,$EQ$4:$EZ$4))=0,0,((SUMIF($EQ$3:$EZ$3,EU$60,$EQ126:$EZ126))/SUMIF($EQ$3:$EZ$3,EU$60,$EQ$4:$EZ$4)))</f>
        <v>0</v>
      </c>
      <c r="EV77" s="196" t="n">
        <f aca="false">IF((SUMIF($EQ$3:$EZ$3,EV$60,$EQ$4:$EZ$4))=0,0,((SUMIF($EQ$3:$EZ$3,EV$60,$EQ126:$EZ126))/SUMIF($EQ$3:$EZ$3,EV$60,$EQ$4:$EZ$4)))</f>
        <v>0</v>
      </c>
      <c r="EW77" s="196" t="n">
        <f aca="false">IF((SUMIF($EQ$3:$EZ$3,EW$60,$EQ$4:$EZ$4))=0,0,((SUMIF($EQ$3:$EZ$3,EW$60,$EQ126:$EZ126))/SUMIF($EQ$3:$EZ$3,EW$60,$EQ$4:$EZ$4)))</f>
        <v>0</v>
      </c>
      <c r="EX77" s="196" t="n">
        <f aca="false">IF((SUMIF($EQ$3:$EZ$3,EX$60,$EQ$4:$EZ$4))=0,0,((SUMIF($EQ$3:$EZ$3,EX$60,$EQ126:$EZ126))/SUMIF($EQ$3:$EZ$3,EX$60,$EQ$4:$EZ$4)))</f>
        <v>0</v>
      </c>
      <c r="EY77" s="196" t="n">
        <f aca="false">IF((SUMIF($EQ$3:$EZ$3,EY$60,$EQ$4:$EZ$4))=0,0,((SUMIF($EQ$3:$EZ$3,EY$60,$EQ126:$EZ126))/SUMIF($EQ$3:$EZ$3,EY$60,$EQ$4:$EZ$4)))</f>
        <v>0</v>
      </c>
      <c r="EZ77" s="197" t="n">
        <f aca="false">IF((SUMIF($EQ$3:$EZ$3,EZ$60,$EQ$4:$EZ$4))=0,0,((SUMIF($EQ$3:$EZ$3,EZ$60,$EQ126:$EZ126))/SUMIF($EQ$3:$EZ$3,EZ$60,$EQ$4:$EZ$4)))</f>
        <v>0</v>
      </c>
      <c r="FA77" s="194" t="str">
        <f aca="false">EP77</f>
        <v>Alumno16</v>
      </c>
      <c r="FB77" s="195" t="n">
        <f aca="false">IF((SUMIF($FB$3:$FK$3,FB$60,$FB$4:$FK$4))=0,0,((SUMIF($FB$3:$FK$3,FB$60,$FB126:$FK126))/SUMIF($FB$3:$FK$3,FB$60,$FB$4:$FK$4)))</f>
        <v>0</v>
      </c>
      <c r="FC77" s="196" t="n">
        <f aca="false">IF((SUMIF($FB$3:$FK$3,FC$60,$FB$4:$FK$4))=0,0,((SUMIF($FB$3:$FK$3,FC$60,$FB126:$FK126))/SUMIF($FB$3:$FK$3,FC$60,$FB$4:$FK$4)))</f>
        <v>0</v>
      </c>
      <c r="FD77" s="196" t="n">
        <f aca="false">IF((SUMIF($FB$3:$FK$3,FD$60,$FB$4:$FK$4))=0,0,((SUMIF($FB$3:$FK$3,FD$60,$FB126:$FK126))/SUMIF($FB$3:$FK$3,FD$60,$FB$4:$FK$4)))</f>
        <v>0</v>
      </c>
      <c r="FE77" s="196" t="n">
        <f aca="false">IF((SUMIF($FB$3:$FK$3,FE$60,$FB$4:$FK$4))=0,0,((SUMIF($FB$3:$FK$3,FE$60,$FB126:$FK126))/SUMIF($FB$3:$FK$3,FE$60,$FB$4:$FK$4)))</f>
        <v>0</v>
      </c>
      <c r="FF77" s="196" t="n">
        <f aca="false">IF((SUMIF($FB$3:$FK$3,FF$60,$FB$4:$FK$4))=0,0,((SUMIF($FB$3:$FK$3,FF$60,$FB126:$FK126))/SUMIF($FB$3:$FK$3,FF$60,$FB$4:$FK$4)))</f>
        <v>0</v>
      </c>
      <c r="FG77" s="196" t="n">
        <f aca="false">IF((SUMIF($FB$3:$FK$3,FG$60,$FB$4:$FK$4))=0,0,((SUMIF($FB$3:$FK$3,FG$60,$FB126:$FK126))/SUMIF($FB$3:$FK$3,FG$60,$FB$4:$FK$4)))</f>
        <v>0</v>
      </c>
      <c r="FH77" s="196" t="n">
        <f aca="false">IF((SUMIF($FB$3:$FK$3,FH$60,$FB$4:$FK$4))=0,0,((SUMIF($FB$3:$FK$3,FH$60,$FB126:$FK126))/SUMIF($FB$3:$FK$3,FH$60,$FB$4:$FK$4)))</f>
        <v>0</v>
      </c>
      <c r="FI77" s="196" t="n">
        <f aca="false">IF((SUMIF($FB$3:$FK$3,FI$60,$FB$4:$FK$4))=0,0,((SUMIF($FB$3:$FK$3,FI$60,$FB126:$FK126))/SUMIF($FB$3:$FK$3,FI$60,$FB$4:$FK$4)))</f>
        <v>0</v>
      </c>
      <c r="FJ77" s="196" t="n">
        <f aca="false">IF((SUMIF($FB$3:$FK$3,FJ$60,$FB$4:$FK$4))=0,0,((SUMIF($FB$3:$FK$3,FJ$60,$FB126:$FK126))/SUMIF($FB$3:$FK$3,FJ$60,$FB$4:$FK$4)))</f>
        <v>0</v>
      </c>
      <c r="FK77" s="197" t="n">
        <f aca="false">IF((SUMIF($FB$3:$FK$3,FK$60,$FB$4:$FK$4))=0,0,((SUMIF($FB$3:$FK$3,FK$60,$FB126:$FK126))/SUMIF($FB$3:$FK$3,FK$60,$FB$4:$FK$4)))</f>
        <v>0</v>
      </c>
      <c r="FL77" s="194" t="str">
        <f aca="false">FA77</f>
        <v>Alumno16</v>
      </c>
      <c r="FM77" s="195" t="n">
        <f aca="false">IF((SUMIF($FM$3:$FV$3,FM$60,$FM$4:$FV$4))=0,0,((SUMIF($FM$3:$FV$3,FM$60,$FM126:$FV126))/SUMIF($FM$3:$FV$3,FM$60,$FM$4:$FV$4)))</f>
        <v>0</v>
      </c>
      <c r="FN77" s="196" t="n">
        <f aca="false">IF((SUMIF($FM$3:$FV$3,FN$60,$FM$4:$FV$4))=0,0,((SUMIF($FM$3:$FV$3,FN$60,$FM126:$FV126))/SUMIF($FM$3:$FV$3,FN$60,$FM$4:$FV$4)))</f>
        <v>0</v>
      </c>
      <c r="FO77" s="196" t="n">
        <f aca="false">IF((SUMIF($FM$3:$FV$3,FO$60,$FM$4:$FV$4))=0,0,((SUMIF($FM$3:$FV$3,FO$60,$FM126:$FV126))/SUMIF($FM$3:$FV$3,FO$60,$FM$4:$FV$4)))</f>
        <v>0</v>
      </c>
      <c r="FP77" s="196" t="n">
        <f aca="false">IF((SUMIF($FM$3:$FV$3,FP$60,$FM$4:$FV$4))=0,0,((SUMIF($FM$3:$FV$3,FP$60,$FM126:$FV126))/SUMIF($FM$3:$FV$3,FP$60,$FM$4:$FV$4)))</f>
        <v>0</v>
      </c>
      <c r="FQ77" s="196" t="n">
        <f aca="false">IF((SUMIF($FM$3:$FV$3,FQ$60,$FM$4:$FV$4))=0,0,((SUMIF($FM$3:$FV$3,FQ$60,$FM126:$FV126))/SUMIF($FM$3:$FV$3,FQ$60,$FM$4:$FV$4)))</f>
        <v>0</v>
      </c>
      <c r="FR77" s="196" t="n">
        <f aca="false">IF((SUMIF($FM$3:$FV$3,FR$60,$FM$4:$FV$4))=0,0,((SUMIF($FM$3:$FV$3,FR$60,$FM126:$FV126))/SUMIF($FM$3:$FV$3,FR$60,$FM$4:$FV$4)))</f>
        <v>0</v>
      </c>
      <c r="FS77" s="196" t="n">
        <f aca="false">IF((SUMIF($FM$3:$FV$3,FS$60,$FM$4:$FV$4))=0,0,((SUMIF($FM$3:$FV$3,FS$60,$FM126:$FV126))/SUMIF($FM$3:$FV$3,FS$60,$FM$4:$FV$4)))</f>
        <v>0</v>
      </c>
      <c r="FT77" s="196" t="n">
        <f aca="false">IF((SUMIF($FM$3:$FV$3,FT$60,$FM$4:$FV$4))=0,0,((SUMIF($FM$3:$FV$3,FT$60,$FM126:$FV126))/SUMIF($FM$3:$FV$3,FT$60,$FM$4:$FV$4)))</f>
        <v>0</v>
      </c>
      <c r="FU77" s="196" t="n">
        <f aca="false">IF((SUMIF($FM$3:$FV$3,FU$60,$FM$4:$FV$4))=0,0,((SUMIF($FM$3:$FV$3,FU$60,$FM126:$FV126))/SUMIF($FM$3:$FV$3,FU$60,$FM$4:$FV$4)))</f>
        <v>0</v>
      </c>
      <c r="FV77" s="197" t="n">
        <f aca="false">IF((SUMIF($FM$3:$FV$3,FV$60,$FM$4:$FV$4))=0,0,((SUMIF($FM$3:$FV$3,FV$60,$FM126:$FV126))/SUMIF($FM$3:$FV$3,FV$60,$FM$4:$FV$4)))</f>
        <v>0</v>
      </c>
      <c r="FW77" s="194" t="str">
        <f aca="false">FL77</f>
        <v>Alumno16</v>
      </c>
      <c r="FX77" s="195" t="n">
        <f aca="false">IF((SUMIF($FX$3:$GG$3,FX$60,$FX$4:$GG$4))=0,0,((SUMIF($FX$3:$GG$3,FX$60,$FX126:$GG126))/SUMIF($FX$3:$GG$3,FX$60,$FX$4:$GG$4)))</f>
        <v>0</v>
      </c>
      <c r="FY77" s="196" t="n">
        <f aca="false">IF((SUMIF($FX$3:$GG$3,FY$60,$FX$4:$GG$4))=0,0,((SUMIF($FX$3:$GG$3,FY$60,$FX126:$GG126))/SUMIF($FX$3:$GG$3,FY$60,$FX$4:$GG$4)))</f>
        <v>0</v>
      </c>
      <c r="FZ77" s="196" t="n">
        <f aca="false">IF((SUMIF($FX$3:$GG$3,FZ$60,$FX$4:$GG$4))=0,0,((SUMIF($FX$3:$GG$3,FZ$60,$FX126:$GG126))/SUMIF($FX$3:$GG$3,FZ$60,$FX$4:$GG$4)))</f>
        <v>0</v>
      </c>
      <c r="GA77" s="196" t="n">
        <f aca="false">IF((SUMIF($FX$3:$GG$3,GA$60,$FX$4:$GG$4))=0,0,((SUMIF($FX$3:$GG$3,GA$60,$FX126:$GG126))/SUMIF($FX$3:$GG$3,GA$60,$FX$4:$GG$4)))</f>
        <v>0</v>
      </c>
      <c r="GB77" s="196" t="n">
        <f aca="false">IF((SUMIF($FX$3:$GG$3,GB$60,$FX$4:$GG$4))=0,0,((SUMIF($FX$3:$GG$3,GB$60,$FX126:$GG126))/SUMIF($FX$3:$GG$3,GB$60,$FX$4:$GG$4)))</f>
        <v>0</v>
      </c>
      <c r="GC77" s="196" t="n">
        <f aca="false">IF((SUMIF($FX$3:$GG$3,GC$60,$FX$4:$GG$4))=0,0,((SUMIF($FX$3:$GG$3,GC$60,$FX126:$GG126))/SUMIF($FX$3:$GG$3,GC$60,$FX$4:$GG$4)))</f>
        <v>0</v>
      </c>
      <c r="GD77" s="196" t="n">
        <f aca="false">IF((SUMIF($FX$3:$GG$3,GD$60,$FX$4:$GG$4))=0,0,((SUMIF($FX$3:$GG$3,GD$60,$FX126:$GG126))/SUMIF($FX$3:$GG$3,GD$60,$FX$4:$GG$4)))</f>
        <v>0</v>
      </c>
      <c r="GE77" s="196" t="n">
        <f aca="false">IF((SUMIF($FX$3:$GG$3,GE$60,$FX$4:$GG$4))=0,0,((SUMIF($FX$3:$GG$3,GE$60,$FX126:$GG126))/SUMIF($FX$3:$GG$3,GE$60,$FX$4:$GG$4)))</f>
        <v>0</v>
      </c>
      <c r="GF77" s="196" t="n">
        <f aca="false">IF((SUMIF($FX$3:$GG$3,GF$60,$FX$4:$GG$4))=0,0,((SUMIF($FX$3:$GG$3,GF$60,$FX126:$GG126))/SUMIF($FX$3:$GG$3,GF$60,$FX$4:$GG$4)))</f>
        <v>0</v>
      </c>
      <c r="GG77" s="197" t="n">
        <f aca="false">IF((SUMIF($FX$3:$GG$3,GG$60,$FX$4:$GG$4))=0,0,((SUMIF($FX$3:$GG$3,GG$60,$FX126:$GG126))/SUMIF($FX$3:$GG$3,GG$60,$FX$4:$GG$4)))</f>
        <v>0</v>
      </c>
      <c r="GH77" s="194" t="str">
        <f aca="false">FW77</f>
        <v>Alumno16</v>
      </c>
      <c r="GI77" s="195" t="n">
        <f aca="false">IF((SUMIF($GI$3:$GR$3,GI$60,$GI$4:$GR$4))=0,0,((SUMIF($GI$3:$GR$3,GI$60,$GI126:$GR126))/SUMIF($GI$3:$GR$3,GI$60,$GI$4:$GR$4)))</f>
        <v>0</v>
      </c>
      <c r="GJ77" s="196" t="n">
        <f aca="false">IF((SUMIF($GI$3:$GR$3,GJ$60,$GI$4:$GR$4))=0,0,((SUMIF($GI$3:$GR$3,GJ$60,$GI126:$GR126))/SUMIF($GI$3:$GR$3,GJ$60,$GI$4:$GR$4)))</f>
        <v>0</v>
      </c>
      <c r="GK77" s="196" t="n">
        <f aca="false">IF((SUMIF($GI$3:$GR$3,GK$60,$GI$4:$GR$4))=0,0,((SUMIF($GI$3:$GR$3,GK$60,$GI126:$GR126))/SUMIF($GI$3:$GR$3,GK$60,$GI$4:$GR$4)))</f>
        <v>0</v>
      </c>
      <c r="GL77" s="196" t="n">
        <f aca="false">IF((SUMIF($GI$3:$GR$3,GL$60,$GI$4:$GR$4))=0,0,((SUMIF($GI$3:$GR$3,GL$60,$GI126:$GR126))/SUMIF($GI$3:$GR$3,GL$60,$GI$4:$GR$4)))</f>
        <v>0</v>
      </c>
      <c r="GM77" s="196" t="n">
        <f aca="false">IF((SUMIF($GI$3:$GR$3,GM$60,$GI$4:$GR$4))=0,0,((SUMIF($GI$3:$GR$3,GM$60,$GI126:$GR126))/SUMIF($GI$3:$GR$3,GM$60,$GI$4:$GR$4)))</f>
        <v>0</v>
      </c>
      <c r="GN77" s="196" t="n">
        <f aca="false">IF((SUMIF($GI$3:$GR$3,GN$60,$GI$4:$GR$4))=0,0,((SUMIF($GI$3:$GR$3,GN$60,$GI126:$GR126))/SUMIF($GI$3:$GR$3,GN$60,$GI$4:$GR$4)))</f>
        <v>0</v>
      </c>
      <c r="GO77" s="196" t="n">
        <f aca="false">IF((SUMIF($GI$3:$GR$3,GO$60,$GI$4:$GR$4))=0,0,((SUMIF($GI$3:$GR$3,GO$60,$GI126:$GR126))/SUMIF($GI$3:$GR$3,GO$60,$GI$4:$GR$4)))</f>
        <v>0</v>
      </c>
      <c r="GP77" s="196" t="n">
        <f aca="false">IF((SUMIF($GI$3:$GR$3,GP$60,$GI$4:$GR$4))=0,0,((SUMIF($GI$3:$GR$3,GP$60,$GI126:$GR126))/SUMIF($GI$3:$GR$3,GP$60,$GI$4:$GR$4)))</f>
        <v>0</v>
      </c>
      <c r="GQ77" s="196" t="n">
        <f aca="false">IF((SUMIF($GI$3:$GR$3,GQ$60,$GI$4:$GR$4))=0,0,((SUMIF($GI$3:$GR$3,GQ$60,$GI126:$GR126))/SUMIF($GI$3:$GR$3,GQ$60,$GI$4:$GR$4)))</f>
        <v>0</v>
      </c>
      <c r="GR77" s="197" t="n">
        <f aca="false">IF((SUMIF($GI$3:$GR$3,GR$60,$GI$4:$GR$4))=0,0,((SUMIF($GI$3:$GR$3,GR$60,$GI126:$GR126))/SUMIF($GI$3:$GR$3,GR$60,$GI$4:$GR$4)))</f>
        <v>0</v>
      </c>
      <c r="GS77" s="194" t="str">
        <f aca="false">GH77</f>
        <v>Alumno16</v>
      </c>
      <c r="GT77" s="195" t="n">
        <f aca="false">IF((SUMIF($GT$3:$HC$3,GT$60,$GT$4:$HC$4))=0,0,((SUMIF($GT$3:$HC$3,GT$60,$GT126:$HC126))/SUMIF($GT$3:$HC$3,GT$60,$GT$4:$HC$4)))</f>
        <v>0</v>
      </c>
      <c r="GU77" s="196" t="n">
        <f aca="false">IF((SUMIF($GT$3:$HC$3,GU$60,$GT$4:$HC$4))=0,0,((SUMIF($GT$3:$HC$3,GU$60,$GT126:$HC126))/SUMIF($GT$3:$HC$3,GU$60,$GT$4:$HC$4)))</f>
        <v>0</v>
      </c>
      <c r="GV77" s="196" t="n">
        <f aca="false">IF((SUMIF($GT$3:$HC$3,GV$60,$GT$4:$HC$4))=0,0,((SUMIF($GT$3:$HC$3,GV$60,$GT126:$HC126))/SUMIF($GT$3:$HC$3,GV$60,$GT$4:$HC$4)))</f>
        <v>0</v>
      </c>
      <c r="GW77" s="196" t="n">
        <f aca="false">IF((SUMIF($GT$3:$HC$3,GW$60,$GT$4:$HC$4))=0,0,((SUMIF($GT$3:$HC$3,GW$60,$GT126:$HC126))/SUMIF($GT$3:$HC$3,GW$60,$GT$4:$HC$4)))</f>
        <v>0</v>
      </c>
      <c r="GX77" s="196" t="n">
        <f aca="false">IF((SUMIF($GT$3:$HC$3,GX$60,$GT$4:$HC$4))=0,0,((SUMIF($GT$3:$HC$3,GX$60,$GT126:$HC126))/SUMIF($GT$3:$HC$3,GX$60,$GT$4:$HC$4)))</f>
        <v>0</v>
      </c>
      <c r="GY77" s="196" t="n">
        <f aca="false">IF((SUMIF($GT$3:$HC$3,GY$60,$GT$4:$HC$4))=0,0,((SUMIF($GT$3:$HC$3,GY$60,$GT126:$HC126))/SUMIF($GT$3:$HC$3,GY$60,$GT$4:$HC$4)))</f>
        <v>0</v>
      </c>
      <c r="GZ77" s="196" t="n">
        <f aca="false">IF((SUMIF($GT$3:$HC$3,GZ$60,$GT$4:$HC$4))=0,0,((SUMIF($GT$3:$HC$3,GZ$60,$GT126:$HC126))/SUMIF($GT$3:$HC$3,GZ$60,$GT$4:$HC$4)))</f>
        <v>0</v>
      </c>
      <c r="HA77" s="196" t="n">
        <f aca="false">IF((SUMIF($GT$3:$HC$3,HA$60,$GT$4:$HC$4))=0,0,((SUMIF($GT$3:$HC$3,HA$60,$GT126:$HC126))/SUMIF($GT$3:$HC$3,HA$60,$GT$4:$HC$4)))</f>
        <v>0</v>
      </c>
      <c r="HB77" s="196" t="n">
        <f aca="false">IF((SUMIF($GT$3:$HC$3,HB$60,$GT$4:$HC$4))=0,0,((SUMIF($GT$3:$HC$3,HB$60,$GT126:$HC126))/SUMIF($GT$3:$HC$3,HB$60,$GT$4:$HC$4)))</f>
        <v>0</v>
      </c>
      <c r="HC77" s="197" t="n">
        <f aca="false">IF((SUMIF($GT$3:$HC$3,HC$60,$GT$4:$HC$4))=0,0,((SUMIF($GT$3:$HC$3,HC$60,$GT126:$HC126))/SUMIF($GT$3:$HC$3,HC$60,$GT$4:$HC$4)))</f>
        <v>0</v>
      </c>
      <c r="HD77" s="194" t="str">
        <f aca="false">GS77</f>
        <v>Alumno16</v>
      </c>
      <c r="HE77" s="195" t="n">
        <f aca="false">IF((SUMIF($HE$3:$HN$3,HE$60,$HE$4:$HN$4))=0,0,((SUMIF($HE$3:$HN$3,HE$60,$HE126:$HN126))/SUMIF($HE$3:$HN$3,HE$60,$HE$4:$HN$4)))</f>
        <v>0</v>
      </c>
      <c r="HF77" s="196" t="n">
        <f aca="false">IF((SUMIF($HE$3:$HN$3,HF$60,$HE$4:$HN$4))=0,0,((SUMIF($HE$3:$HN$3,HF$60,$HE126:$HN126))/SUMIF($HE$3:$HN$3,HF$60,$HE$4:$HN$4)))</f>
        <v>0</v>
      </c>
      <c r="HG77" s="196" t="n">
        <f aca="false">IF((SUMIF($HE$3:$HN$3,HG$60,$HE$4:$HN$4))=0,0,((SUMIF($HE$3:$HN$3,HG$60,$HE126:$HN126))/SUMIF($HE$3:$HN$3,HG$60,$HE$4:$HN$4)))</f>
        <v>0</v>
      </c>
      <c r="HH77" s="196" t="n">
        <f aca="false">IF((SUMIF($HE$3:$HN$3,HH$60,$HE$4:$HN$4))=0,0,((SUMIF($HE$3:$HN$3,HH$60,$HE126:$HN126))/SUMIF($HE$3:$HN$3,HH$60,$HE$4:$HN$4)))</f>
        <v>0</v>
      </c>
      <c r="HI77" s="196" t="n">
        <f aca="false">IF((SUMIF($HE$3:$HN$3,HI$60,$HE$4:$HN$4))=0,0,((SUMIF($HE$3:$HN$3,HI$60,$HE126:$HN126))/SUMIF($HE$3:$HN$3,HI$60,$HE$4:$HN$4)))</f>
        <v>0</v>
      </c>
      <c r="HJ77" s="196" t="n">
        <f aca="false">IF((SUMIF($HE$3:$HN$3,HJ$60,$HE$4:$HN$4))=0,0,((SUMIF($HE$3:$HN$3,HJ$60,$HE126:$HN126))/SUMIF($HE$3:$HN$3,HJ$60,$HE$4:$HN$4)))</f>
        <v>0</v>
      </c>
      <c r="HK77" s="196" t="n">
        <f aca="false">IF((SUMIF($HE$3:$HN$3,HK$60,$HE$4:$HN$4))=0,0,((SUMIF($HE$3:$HN$3,HK$60,$HE126:$HN126))/SUMIF($HE$3:$HN$3,HK$60,$HE$4:$HN$4)))</f>
        <v>0</v>
      </c>
      <c r="HL77" s="196" t="n">
        <f aca="false">IF((SUMIF($HE$3:$HN$3,HL$60,$HE$4:$HN$4))=0,0,((SUMIF($HE$3:$HN$3,HL$60,$HE126:$HN126))/SUMIF($HE$3:$HN$3,HL$60,$HE$4:$HN$4)))</f>
        <v>0</v>
      </c>
      <c r="HM77" s="196" t="n">
        <f aca="false">IF((SUMIF($HE$3:$HN$3,HM$60,$HE$4:$HN$4))=0,0,((SUMIF($HE$3:$HN$3,HM$60,$HE126:$HN126))/SUMIF($HE$3:$HN$3,HM$60,$HE$4:$HN$4)))</f>
        <v>0</v>
      </c>
      <c r="HN77" s="197" t="n">
        <f aca="false">IF((SUMIF($HE$3:$HN$3,HN$60,$HE$4:$HN$4))=0,0,((SUMIF($HE$3:$HN$3,HN$60,$HE126:$HN126))/SUMIF($HE$3:$HN$3,HN$60,$HE$4:$HN$4)))</f>
        <v>0</v>
      </c>
      <c r="HO77" s="194" t="str">
        <f aca="false">HD77</f>
        <v>Alumno16</v>
      </c>
      <c r="HP77" s="195" t="n">
        <f aca="false">IF((SUMIF($HP$3:$HY$3,HP$60,$HP$4:$HY$4))=0,0,((SUMIF($HP$3:$HY$3,HP$60,$HP126:$HY126))/SUMIF($HP$3:$HY$3,HP$60,$HP$4:$HY$4)))</f>
        <v>0</v>
      </c>
      <c r="HQ77" s="196" t="n">
        <f aca="false">IF((SUMIF($HP$3:$HY$3,HQ$60,$HP$4:$HY$4))=0,0,((SUMIF($HP$3:$HY$3,HQ$60,$HP126:$HY126))/SUMIF($HP$3:$HY$3,HQ$60,$HP$4:$HY$4)))</f>
        <v>0</v>
      </c>
      <c r="HR77" s="196" t="n">
        <f aca="false">IF((SUMIF($HP$3:$HY$3,HR$60,$HP$4:$HY$4))=0,0,((SUMIF($HP$3:$HY$3,HR$60,$HP126:$HY126))/SUMIF($HP$3:$HY$3,HR$60,$HP$4:$HY$4)))</f>
        <v>0</v>
      </c>
      <c r="HS77" s="196" t="n">
        <f aca="false">IF((SUMIF($HP$3:$HY$3,HS$60,$HP$4:$HY$4))=0,0,((SUMIF($HP$3:$HY$3,HS$60,$HP126:$HY126))/SUMIF($HP$3:$HY$3,HS$60,$HP$4:$HY$4)))</f>
        <v>0</v>
      </c>
      <c r="HT77" s="196" t="n">
        <f aca="false">IF((SUMIF($HP$3:$HY$3,HT$60,$HP$4:$HY$4))=0,0,((SUMIF($HP$3:$HY$3,HT$60,$HP126:$HY126))/SUMIF($HP$3:$HY$3,HT$60,$HP$4:$HY$4)))</f>
        <v>0</v>
      </c>
      <c r="HU77" s="196" t="n">
        <f aca="false">IF((SUMIF($HP$3:$HY$3,HU$60,$HP$4:$HY$4))=0,0,((SUMIF($HP$3:$HY$3,HU$60,$HP126:$HY126))/SUMIF($HP$3:$HY$3,HU$60,$HP$4:$HY$4)))</f>
        <v>0</v>
      </c>
      <c r="HV77" s="196" t="n">
        <f aca="false">IF((SUMIF($HP$3:$HY$3,HV$60,$HP$4:$HY$4))=0,0,((SUMIF($HP$3:$HY$3,HV$60,$HP126:$HY126))/SUMIF($HP$3:$HY$3,HV$60,$HP$4:$HY$4)))</f>
        <v>0</v>
      </c>
      <c r="HW77" s="196" t="n">
        <f aca="false">IF((SUMIF($HP$3:$HY$3,HW$60,$HP$4:$HY$4))=0,0,((SUMIF($HP$3:$HY$3,HW$60,$HP126:$HY126))/SUMIF($HP$3:$HY$3,HW$60,$HP$4:$HY$4)))</f>
        <v>0</v>
      </c>
      <c r="HX77" s="196" t="n">
        <f aca="false">IF((SUMIF($HP$3:$HY$3,HX$60,$HP$4:$HY$4))=0,0,((SUMIF($HP$3:$HY$3,HX$60,$HP126:$HY126))/SUMIF($HP$3:$HY$3,HX$60,$HP$4:$HY$4)))</f>
        <v>0</v>
      </c>
      <c r="HY77" s="197" t="n">
        <f aca="false">IF((SUMIF($HP$3:$HY$3,HY$60,$HP$4:$HY$4))=0,0,((SUMIF($HP$3:$HY$3,HY$60,$HP126:$HY126))/SUMIF($HP$3:$HY$3,HY$60,$HP$4:$HY$4)))</f>
        <v>0</v>
      </c>
      <c r="HZ77" s="194" t="str">
        <f aca="false">HO77</f>
        <v>Alumno16</v>
      </c>
      <c r="IA77" s="195" t="n">
        <f aca="false">IF((SUMIF($IA$3:$IJ$3,IA$60,$IA$4:$IJ$4))=0,0,((SUMIF($IA$3:$IJ$3,IA$60,$IA126:$IJ126))/SUMIF($IA$3:$IJ$3,IA$60,$IA$4:$IJ$4)))</f>
        <v>0</v>
      </c>
      <c r="IB77" s="196" t="n">
        <f aca="false">IF((SUMIF($IA$3:$IJ$3,IB$60,$IA$4:$IJ$4))=0,0,((SUMIF($IA$3:$IJ$3,IB$60,$IA126:$IJ126))/SUMIF($IA$3:$IJ$3,IB$60,$IA$4:$IJ$4)))</f>
        <v>0</v>
      </c>
      <c r="IC77" s="196" t="n">
        <f aca="false">IF((SUMIF($IA$3:$IJ$3,IC$60,$IA$4:$IJ$4))=0,0,((SUMIF($IA$3:$IJ$3,IC$60,$IA126:$IJ126))/SUMIF($IA$3:$IJ$3,IC$60,$IA$4:$IJ$4)))</f>
        <v>0</v>
      </c>
      <c r="ID77" s="196" t="n">
        <f aca="false">IF((SUMIF($IA$3:$IJ$3,ID$60,$IA$4:$IJ$4))=0,0,((SUMIF($IA$3:$IJ$3,ID$60,$IA126:$IJ126))/SUMIF($IA$3:$IJ$3,ID$60,$IA$4:$IJ$4)))</f>
        <v>0</v>
      </c>
      <c r="IE77" s="196" t="n">
        <f aca="false">IF((SUMIF($IA$3:$IJ$3,IE$60,$IA$4:$IJ$4))=0,0,((SUMIF($IA$3:$IJ$3,IE$60,$IA126:$IJ126))/SUMIF($IA$3:$IJ$3,IE$60,$IA$4:$IJ$4)))</f>
        <v>0</v>
      </c>
      <c r="IF77" s="196" t="n">
        <f aca="false">IF((SUMIF($IA$3:$IJ$3,IF$60,$IA$4:$IJ$4))=0,0,((SUMIF($IA$3:$IJ$3,IF$60,$IA126:$IJ126))/SUMIF($IA$3:$IJ$3,IF$60,$IA$4:$IJ$4)))</f>
        <v>0</v>
      </c>
      <c r="IG77" s="196" t="n">
        <f aca="false">IF((SUMIF($IA$3:$IJ$3,IG$60,$IA$4:$IJ$4))=0,0,((SUMIF($IA$3:$IJ$3,IG$60,$IA126:$IJ126))/SUMIF($IA$3:$IJ$3,IG$60,$IA$4:$IJ$4)))</f>
        <v>0</v>
      </c>
      <c r="IH77" s="196" t="n">
        <f aca="false">IF((SUMIF($IA$3:$IJ$3,IH$60,$IA$4:$IJ$4))=0,0,((SUMIF($IA$3:$IJ$3,IH$60,$IA126:$IJ126))/SUMIF($IA$3:$IJ$3,IH$60,$IA$4:$IJ$4)))</f>
        <v>0</v>
      </c>
      <c r="II77" s="196" t="n">
        <f aca="false">IF((SUMIF($IA$3:$IJ$3,II$60,$IA$4:$IJ$4))=0,0,((SUMIF($IA$3:$IJ$3,II$60,$IA126:$IJ126))/SUMIF($IA$3:$IJ$3,II$60,$IA$4:$IJ$4)))</f>
        <v>0</v>
      </c>
      <c r="IJ77" s="197" t="n">
        <f aca="false">IF((SUMIF($IA$3:$IJ$3,IJ$60,$IA$4:$IJ$4))=0,0,((SUMIF($IA$3:$IJ$3,IJ$60,$IA126:$IJ126))/SUMIF($IA$3:$IJ$3,IJ$60,$IA$4:$IJ$4)))</f>
        <v>0</v>
      </c>
      <c r="IK77" s="194" t="str">
        <f aca="false">HZ77</f>
        <v>Alumno16</v>
      </c>
      <c r="IL77" s="195" t="n">
        <f aca="false">IF((SUMIF($IL$3:$IU$3,IL$60,$IL$4:$IU$4))=0,0,((SUMIF($IL$3:$IU$3,IL$60,$IL126:$IU126))/SUMIF($IL$3:$IU$3,IL$60,$IL$4:$IU$4)))</f>
        <v>0</v>
      </c>
      <c r="IM77" s="196" t="n">
        <f aca="false">IF((SUMIF($IL$3:$IU$3,IM$60,$IL$4:$IU$4))=0,0,((SUMIF($IL$3:$IU$3,IM$60,$IL126:$IU126))/SUMIF($IL$3:$IU$3,IM$60,$IL$4:$IU$4)))</f>
        <v>0</v>
      </c>
      <c r="IN77" s="196" t="n">
        <f aca="false">IF((SUMIF($IL$3:$IU$3,IN$60,$IL$4:$IU$4))=0,0,((SUMIF($IL$3:$IU$3,IN$60,$IL126:$IU126))/SUMIF($IL$3:$IU$3,IN$60,$IL$4:$IU$4)))</f>
        <v>0</v>
      </c>
      <c r="IO77" s="196" t="n">
        <f aca="false">IF((SUMIF($IL$3:$IU$3,IO$60,$IL$4:$IU$4))=0,0,((SUMIF($IL$3:$IU$3,IO$60,$IL126:$IU126))/SUMIF($IL$3:$IU$3,IO$60,$IL$4:$IU$4)))</f>
        <v>0</v>
      </c>
      <c r="IP77" s="196" t="n">
        <f aca="false">IF((SUMIF($IL$3:$IU$3,IP$60,$IL$4:$IU$4))=0,0,((SUMIF($IL$3:$IU$3,IP$60,$IL126:$IU126))/SUMIF($IL$3:$IU$3,IP$60,$IL$4:$IU$4)))</f>
        <v>0</v>
      </c>
      <c r="IQ77" s="196" t="n">
        <f aca="false">IF((SUMIF($IL$3:$IU$3,IQ$60,$IL$4:$IU$4))=0,0,((SUMIF($IL$3:$IU$3,IQ$60,$IL126:$IU126))/SUMIF($IL$3:$IU$3,IQ$60,$IL$4:$IU$4)))</f>
        <v>0</v>
      </c>
      <c r="IR77" s="196" t="n">
        <f aca="false">IF((SUMIF($IL$3:$IU$3,IR$60,$IL$4:$IU$4))=0,0,((SUMIF($IL$3:$IU$3,IR$60,$IL126:$IU126))/SUMIF($IL$3:$IU$3,IR$60,$IL$4:$IU$4)))</f>
        <v>0</v>
      </c>
      <c r="IS77" s="196" t="n">
        <f aca="false">IF((SUMIF($IL$3:$IU$3,IS$60,$IL$4:$IU$4))=0,0,((SUMIF($IL$3:$IU$3,IS$60,$IL126:$IU126))/SUMIF($IL$3:$IU$3,IS$60,$IL$4:$IU$4)))</f>
        <v>0</v>
      </c>
      <c r="IT77" s="196" t="n">
        <f aca="false">IF((SUMIF($IL$3:$IU$3,IT$60,$IL$4:$IU$4))=0,0,((SUMIF($IL$3:$IU$3,IT$60,$IL126:$IU126))/SUMIF($IL$3:$IU$3,IT$60,$IL$4:$IU$4)))</f>
        <v>0</v>
      </c>
      <c r="IU77" s="197" t="n">
        <f aca="false">IF((SUMIF($IL$3:$IU$3,IU$60,$IL$4:$IU$4))=0,0,((SUMIF($IL$3:$IU$3,IU$60,$IL126:$IU126))/SUMIF($IL$3:$IU$3,IU$60,$IL$4:$IU$4)))</f>
        <v>0</v>
      </c>
      <c r="IV77" s="194" t="str">
        <f aca="false">IK77</f>
        <v>Alumno16</v>
      </c>
      <c r="IW77" s="195" t="n">
        <f aca="false">IF((SUMIF($IW$3:$JF$3,IW$60,$IW$4:$JF$4))=0,0,((SUMIF($IW$3:$JF$3,IW$60,$IW126:$JF126))/SUMIF($IW$3:$JF$3,IW$60,$IW$4:$JF$4)))</f>
        <v>0</v>
      </c>
      <c r="IX77" s="196" t="n">
        <f aca="false">IF((SUMIF($IW$3:$JF$3,IX$60,$IW$4:$JF$4))=0,0,((SUMIF($IW$3:$JF$3,IX$60,$IW126:$JF126))/SUMIF($IW$3:$JF$3,IX$60,$IW$4:$JF$4)))</f>
        <v>0</v>
      </c>
      <c r="IY77" s="196" t="n">
        <f aca="false">IF((SUMIF($IW$3:$JF$3,IY$60,$IW$4:$JF$4))=0,0,((SUMIF($IW$3:$JF$3,IY$60,$IW126:$JF126))/SUMIF($IW$3:$JF$3,IY$60,$IW$4:$JF$4)))</f>
        <v>0</v>
      </c>
      <c r="IZ77" s="196" t="n">
        <f aca="false">IF((SUMIF($IW$3:$JF$3,IZ$60,$IW$4:$JF$4))=0,0,((SUMIF($IW$3:$JF$3,IZ$60,$IW126:$JF126))/SUMIF($IW$3:$JF$3,IZ$60,$IW$4:$JF$4)))</f>
        <v>0</v>
      </c>
      <c r="JA77" s="196" t="n">
        <f aca="false">IF((SUMIF($IW$3:$JF$3,JA$60,$IW$4:$JF$4))=0,0,((SUMIF($IW$3:$JF$3,JA$60,$IW126:$JF126))/SUMIF($IW$3:$JF$3,JA$60,$IW$4:$JF$4)))</f>
        <v>0</v>
      </c>
      <c r="JB77" s="196" t="n">
        <f aca="false">IF((SUMIF($IW$3:$JF$3,JB$60,$IW$4:$JF$4))=0,0,((SUMIF($IW$3:$JF$3,JB$60,$IW126:$JF126))/SUMIF($IW$3:$JF$3,JB$60,$IW$4:$JF$4)))</f>
        <v>0</v>
      </c>
      <c r="JC77" s="196" t="n">
        <f aca="false">IF((SUMIF($IW$3:$JF$3,JC$60,$IW$4:$JF$4))=0,0,((SUMIF($IW$3:$JF$3,JC$60,$IW126:$JF126))/SUMIF($IW$3:$JF$3,JC$60,$IW$4:$JF$4)))</f>
        <v>0</v>
      </c>
      <c r="JD77" s="196" t="n">
        <f aca="false">IF((SUMIF($IW$3:$JF$3,JD$60,$IW$4:$JF$4))=0,0,((SUMIF($IW$3:$JF$3,JD$60,$IW126:$JF126))/SUMIF($IW$3:$JF$3,JD$60,$IW$4:$JF$4)))</f>
        <v>0</v>
      </c>
      <c r="JE77" s="196" t="n">
        <f aca="false">IF((SUMIF($IW$3:$JF$3,JE$60,$IW$4:$JF$4))=0,0,((SUMIF($IW$3:$JF$3,JE$60,$IW126:$JF126))/SUMIF($IW$3:$JF$3,JE$60,$IW$4:$JF$4)))</f>
        <v>0</v>
      </c>
      <c r="JF77" s="197" t="n">
        <f aca="false">IF((SUMIF($IW$3:$JF$3,JF$60,$IW$4:$JF$4))=0,0,((SUMIF($IW$3:$JF$3,JF$60,$IW126:$JF126))/SUMIF($IW$3:$JF$3,JF$60,$IW$4:$JF$4)))</f>
        <v>0</v>
      </c>
      <c r="JG77" s="194" t="str">
        <f aca="false">IV77</f>
        <v>Alumno16</v>
      </c>
      <c r="JH77" s="195" t="n">
        <f aca="false">IF((SUMIF($JH$3:$JQ$3,JH$60,$JH$4:$JQ$4))=0,0,((SUMIF($JH$3:$JQ$3,JH$60,$JH126:$JQ126))/SUMIF($JH$3:$JQ$3,JH$60,$JH$4:$JQ$4)))</f>
        <v>0</v>
      </c>
      <c r="JI77" s="196" t="n">
        <f aca="false">IF((SUMIF($JH$3:$JQ$3,JI$60,$JH$4:$JQ$4))=0,0,((SUMIF($JH$3:$JQ$3,JI$60,$JH126:$JQ126))/SUMIF($JH$3:$JQ$3,JI$60,$JH$4:$JQ$4)))</f>
        <v>0</v>
      </c>
      <c r="JJ77" s="196" t="n">
        <f aca="false">IF((SUMIF($JH$3:$JQ$3,JJ$60,$JH$4:$JQ$4))=0,0,((SUMIF($JH$3:$JQ$3,JJ$60,$JH126:$JQ126))/SUMIF($JH$3:$JQ$3,JJ$60,$JH$4:$JQ$4)))</f>
        <v>0</v>
      </c>
      <c r="JK77" s="196" t="n">
        <f aca="false">IF((SUMIF($JH$3:$JQ$3,JK$60,$JH$4:$JQ$4))=0,0,((SUMIF($JH$3:$JQ$3,JK$60,$JH126:$JQ126))/SUMIF($JH$3:$JQ$3,JK$60,$JH$4:$JQ$4)))</f>
        <v>0</v>
      </c>
      <c r="JL77" s="196" t="n">
        <f aca="false">IF((SUMIF($JH$3:$JQ$3,JL$60,$JH$4:$JQ$4))=0,0,((SUMIF($JH$3:$JQ$3,JL$60,$JH126:$JQ126))/SUMIF($JH$3:$JQ$3,JL$60,$JH$4:$JQ$4)))</f>
        <v>0</v>
      </c>
      <c r="JM77" s="196" t="n">
        <f aca="false">IF((SUMIF($JH$3:$JQ$3,JM$60,$JH$4:$JQ$4))=0,0,((SUMIF($JH$3:$JQ$3,JM$60,$JH126:$JQ126))/SUMIF($JH$3:$JQ$3,JM$60,$JH$4:$JQ$4)))</f>
        <v>0</v>
      </c>
      <c r="JN77" s="196" t="n">
        <f aca="false">IF((SUMIF($JH$3:$JQ$3,JN$60,$JH$4:$JQ$4))=0,0,((SUMIF($JH$3:$JQ$3,JN$60,$JH126:$JQ126))/SUMIF($JH$3:$JQ$3,JN$60,$JH$4:$JQ$4)))</f>
        <v>0</v>
      </c>
      <c r="JO77" s="196" t="n">
        <f aca="false">IF((SUMIF($JH$3:$JQ$3,JO$60,$JH$4:$JQ$4))=0,0,((SUMIF($JH$3:$JQ$3,JO$60,$JH126:$JQ126))/SUMIF($JH$3:$JQ$3,JO$60,$JH$4:$JQ$4)))</f>
        <v>0</v>
      </c>
      <c r="JP77" s="196" t="n">
        <f aca="false">IF((SUMIF($JH$3:$JQ$3,JP$60,$JH$4:$JQ$4))=0,0,((SUMIF($JH$3:$JQ$3,JP$60,$JH126:$JQ126))/SUMIF($JH$3:$JQ$3,JP$60,$JH$4:$JQ$4)))</f>
        <v>0</v>
      </c>
      <c r="JQ77" s="197" t="n">
        <f aca="false">IF((SUMIF($JH$3:$JQ$3,JQ$60,$JH$4:$JQ$4))=0,0,((SUMIF($JH$3:$JQ$3,JQ$60,$JH126:$JQ126))/SUMIF($JH$3:$JQ$3,JQ$60,$JH$4:$JQ$4)))</f>
        <v>0</v>
      </c>
      <c r="JR77" s="194" t="str">
        <f aca="false">JG77</f>
        <v>Alumno16</v>
      </c>
      <c r="JS77" s="195" t="n">
        <f aca="false">IF((SUMIF($JS$3:$KB$3,JS$60,$JS$4:$KB$4))=0,0,((SUMIF($JS$3:$KB$3,JS$60,$JS126:$KB126))/SUMIF($JS$3:$KB$3,JS$60,$JS$4:$KB$4)))</f>
        <v>0</v>
      </c>
      <c r="JT77" s="196" t="n">
        <f aca="false">IF((SUMIF($JS$3:$KB$3,JT$60,$JS$4:$KB$4))=0,0,((SUMIF($JS$3:$KB$3,JT$60,$JS126:$KB126))/SUMIF($JS$3:$KB$3,JT$60,$JS$4:$KB$4)))</f>
        <v>0</v>
      </c>
      <c r="JU77" s="196" t="n">
        <f aca="false">IF((SUMIF($JS$3:$KB$3,JU$60,$JS$4:$KB$4))=0,0,((SUMIF($JS$3:$KB$3,JU$60,$JS126:$KB126))/SUMIF($JS$3:$KB$3,JU$60,$JS$4:$KB$4)))</f>
        <v>0</v>
      </c>
      <c r="JV77" s="196" t="n">
        <f aca="false">IF((SUMIF($JS$3:$KB$3,JV$60,$JS$4:$KB$4))=0,0,((SUMIF($JS$3:$KB$3,JV$60,$JS126:$KB126))/SUMIF($JS$3:$KB$3,JV$60,$JS$4:$KB$4)))</f>
        <v>0</v>
      </c>
      <c r="JW77" s="196" t="n">
        <f aca="false">IF((SUMIF($JS$3:$KB$3,JW$60,$JS$4:$KB$4))=0,0,((SUMIF($JS$3:$KB$3,JW$60,$JS126:$KB126))/SUMIF($JS$3:$KB$3,JW$60,$JS$4:$KB$4)))</f>
        <v>0</v>
      </c>
      <c r="JX77" s="196" t="n">
        <f aca="false">IF((SUMIF($JS$3:$KB$3,JX$60,$JS$4:$KB$4))=0,0,((SUMIF($JS$3:$KB$3,JX$60,$JS126:$KB126))/SUMIF($JS$3:$KB$3,JX$60,$JS$4:$KB$4)))</f>
        <v>0</v>
      </c>
      <c r="JY77" s="196" t="n">
        <f aca="false">IF((SUMIF($JS$3:$KB$3,JY$60,$JS$4:$KB$4))=0,0,((SUMIF($JS$3:$KB$3,JY$60,$JS126:$KB126))/SUMIF($JS$3:$KB$3,JY$60,$JS$4:$KB$4)))</f>
        <v>0</v>
      </c>
      <c r="JZ77" s="196" t="n">
        <f aca="false">IF((SUMIF($JS$3:$KB$3,JZ$60,$JS$4:$KB$4))=0,0,((SUMIF($JS$3:$KB$3,JZ$60,$JS126:$KB126))/SUMIF($JS$3:$KB$3,JZ$60,$JS$4:$KB$4)))</f>
        <v>0</v>
      </c>
      <c r="KA77" s="196" t="n">
        <f aca="false">IF((SUMIF($JS$3:$KB$3,KA$60,$JS$4:$KB$4))=0,0,((SUMIF($JS$3:$KB$3,KA$60,$JS126:$KB126))/SUMIF($JS$3:$KB$3,KA$60,$JS$4:$KB$4)))</f>
        <v>0</v>
      </c>
      <c r="KB77" s="197" t="n">
        <f aca="false">IF((SUMIF($JS$3:$KB$3,KB$60,$JS$4:$KB$4))=0,0,((SUMIF($JS$3:$KB$3,KB$60,$JS126:$KB126))/SUMIF($JS$3:$KB$3,KB$60,$JS$4:$KB$4)))</f>
        <v>0</v>
      </c>
      <c r="KC77" s="194" t="str">
        <f aca="false">JR77</f>
        <v>Alumno16</v>
      </c>
      <c r="KD77" s="195" t="n">
        <f aca="false">IF((SUMIF($KD$3:$KM$3,KD$60,$KD$4:$KM$4))=0,0,((SUMIF($KD$3:$KM$3,KD$60,$KD126:$KM126))/SUMIF($KD$3:$KM$3,KD$60,$KD$4:$KM$4)))</f>
        <v>0</v>
      </c>
      <c r="KE77" s="196" t="n">
        <f aca="false">IF((SUMIF($KD$3:$KM$3,KE$60,$KD$4:$KM$4))=0,0,((SUMIF($KD$3:$KM$3,KE$60,$KD126:$KM126))/SUMIF($KD$3:$KM$3,KE$60,$KD$4:$KM$4)))</f>
        <v>0</v>
      </c>
      <c r="KF77" s="196" t="n">
        <f aca="false">IF((SUMIF($KD$3:$KM$3,KF$60,$KD$4:$KM$4))=0,0,((SUMIF($KD$3:$KM$3,KF$60,$KD126:$KM126))/SUMIF($KD$3:$KM$3,KF$60,$KD$4:$KM$4)))</f>
        <v>0</v>
      </c>
      <c r="KG77" s="196" t="n">
        <f aca="false">IF((SUMIF($KD$3:$KM$3,KG$60,$KD$4:$KM$4))=0,0,((SUMIF($KD$3:$KM$3,KG$60,$KD126:$KM126))/SUMIF($KD$3:$KM$3,KG$60,$KD$4:$KM$4)))</f>
        <v>0</v>
      </c>
      <c r="KH77" s="196" t="n">
        <f aca="false">IF((SUMIF($KD$3:$KM$3,KH$60,$KD$4:$KM$4))=0,0,((SUMIF($KD$3:$KM$3,KH$60,$KD126:$KM126))/SUMIF($KD$3:$KM$3,KH$60,$KD$4:$KM$4)))</f>
        <v>0</v>
      </c>
      <c r="KI77" s="196" t="n">
        <f aca="false">IF((SUMIF($KD$3:$KM$3,KI$60,$KD$4:$KM$4))=0,0,((SUMIF($KD$3:$KM$3,KI$60,$KD126:$KM126))/SUMIF($KD$3:$KM$3,KI$60,$KD$4:$KM$4)))</f>
        <v>0</v>
      </c>
      <c r="KJ77" s="196" t="n">
        <f aca="false">IF((SUMIF($KD$3:$KM$3,KJ$60,$KD$4:$KM$4))=0,0,((SUMIF($KD$3:$KM$3,KJ$60,$KD126:$KM126))/SUMIF($KD$3:$KM$3,KJ$60,$KD$4:$KM$4)))</f>
        <v>0</v>
      </c>
      <c r="KK77" s="196" t="n">
        <f aca="false">IF((SUMIF($KD$3:$KM$3,KK$60,$KD$4:$KM$4))=0,0,((SUMIF($KD$3:$KM$3,KK$60,$KD126:$KM126))/SUMIF($KD$3:$KM$3,KK$60,$KD$4:$KM$4)))</f>
        <v>0</v>
      </c>
      <c r="KL77" s="196" t="n">
        <f aca="false">IF((SUMIF($KD$3:$KM$3,KL$60,$KD$4:$KM$4))=0,0,((SUMIF($KD$3:$KM$3,KL$60,$KD126:$KM126))/SUMIF($KD$3:$KM$3,KL$60,$KD$4:$KM$4)))</f>
        <v>0</v>
      </c>
      <c r="KM77" s="197" t="n">
        <f aca="false">IF((SUMIF($KD$3:$KM$3,KM$60,$KD$4:$KM$4))=0,0,((SUMIF($KD$3:$KM$3,KM$60,$KD126:$KM126))/SUMIF($KD$3:$KM$3,KM$60,$KD$4:$KM$4)))</f>
        <v>0</v>
      </c>
      <c r="KN77" s="194" t="str">
        <f aca="false">KC77</f>
        <v>Alumno16</v>
      </c>
      <c r="KO77" s="195" t="n">
        <f aca="false">IF((SUMIF($KO$3:$KX$3,KO$60,$KO$4:$KX$4))=0,0,((SUMIF($KO$3:$KX$3,KO$60,$KO126:$KX126))/SUMIF($KO$3:$KX$3,KO$60,$KO$4:$KX$4)))</f>
        <v>0</v>
      </c>
      <c r="KP77" s="196" t="n">
        <f aca="false">IF((SUMIF($KO$3:$KX$3,KP$60,$KO$4:$KX$4))=0,0,((SUMIF($KO$3:$KX$3,KP$60,$KO126:$KX126))/SUMIF($KO$3:$KX$3,KP$60,$KO$4:$KX$4)))</f>
        <v>0</v>
      </c>
      <c r="KQ77" s="196" t="n">
        <f aca="false">IF((SUMIF($KO$3:$KX$3,KQ$60,$KO$4:$KX$4))=0,0,((SUMIF($KO$3:$KX$3,KQ$60,$KO126:$KX126))/SUMIF($KO$3:$KX$3,KQ$60,$KO$4:$KX$4)))</f>
        <v>0</v>
      </c>
      <c r="KR77" s="196" t="n">
        <f aca="false">IF((SUMIF($KO$3:$KX$3,KR$60,$KO$4:$KX$4))=0,0,((SUMIF($KO$3:$KX$3,KR$60,$KO126:$KX126))/SUMIF($KO$3:$KX$3,KR$60,$KO$4:$KX$4)))</f>
        <v>0</v>
      </c>
      <c r="KS77" s="196" t="n">
        <f aca="false">IF((SUMIF($KO$3:$KX$3,KS$60,$KO$4:$KX$4))=0,0,((SUMIF($KO$3:$KX$3,KS$60,$KO126:$KX126))/SUMIF($KO$3:$KX$3,KS$60,$KO$4:$KX$4)))</f>
        <v>0</v>
      </c>
      <c r="KT77" s="196" t="n">
        <f aca="false">IF((SUMIF($KO$3:$KX$3,KT$60,$KO$4:$KX$4))=0,0,((SUMIF($KO$3:$KX$3,KT$60,$KO126:$KX126))/SUMIF($KO$3:$KX$3,KT$60,$KO$4:$KX$4)))</f>
        <v>0</v>
      </c>
      <c r="KU77" s="196" t="n">
        <f aca="false">IF((SUMIF($KO$3:$KX$3,KU$60,$KO$4:$KX$4))=0,0,((SUMIF($KO$3:$KX$3,KU$60,$KO126:$KX126))/SUMIF($KO$3:$KX$3,KU$60,$KO$4:$KX$4)))</f>
        <v>0</v>
      </c>
      <c r="KV77" s="196" t="n">
        <f aca="false">IF((SUMIF($KO$3:$KX$3,KV$60,$KO$4:$KX$4))=0,0,((SUMIF($KO$3:$KX$3,KV$60,$KO126:$KX126))/SUMIF($KO$3:$KX$3,KV$60,$KO$4:$KX$4)))</f>
        <v>0</v>
      </c>
      <c r="KW77" s="196" t="n">
        <f aca="false">IF((SUMIF($KO$3:$KX$3,KW$60,$KO$4:$KX$4))=0,0,((SUMIF($KO$3:$KX$3,KW$60,$KO126:$KX126))/SUMIF($KO$3:$KX$3,KW$60,$KO$4:$KX$4)))</f>
        <v>0</v>
      </c>
      <c r="KX77" s="197" t="n">
        <f aca="false">IF((SUMIF($KO$3:$KX$3,KX$60,$KO$4:$KX$4))=0,0,((SUMIF($KO$3:$KX$3,KX$60,$KO126:$KX126))/SUMIF($KO$3:$KX$3,KX$60,$KO$4:$KX$4)))</f>
        <v>0</v>
      </c>
      <c r="KY77" s="194" t="str">
        <f aca="false">KN77</f>
        <v>Alumno16</v>
      </c>
      <c r="KZ77" s="195" t="n">
        <f aca="false">IF((SUMIF($KZ$3:$LI$3,KZ$60,$KZ$4:$LI$4))=0,0,((SUMIF($KZ$3:$LI$3,KZ$60,$KZ126:$LI126))/SUMIF($KZ$3:$LI$3,KZ$60,$KZ$4:$LI$4)))</f>
        <v>0</v>
      </c>
      <c r="LA77" s="196" t="n">
        <f aca="false">IF((SUMIF($KZ$3:$LI$3,LA$60,$KZ$4:$LI$4))=0,0,((SUMIF($KZ$3:$LI$3,LA$60,$KZ126:$LI126))/SUMIF($KZ$3:$LI$3,LA$60,$KZ$4:$LI$4)))</f>
        <v>0</v>
      </c>
      <c r="LB77" s="196" t="n">
        <f aca="false">IF((SUMIF($KZ$3:$LI$3,LB$60,$KZ$4:$LI$4))=0,0,((SUMIF($KZ$3:$LI$3,LB$60,$KZ126:$LI126))/SUMIF($KZ$3:$LI$3,LB$60,$KZ$4:$LI$4)))</f>
        <v>0</v>
      </c>
      <c r="LC77" s="196" t="n">
        <f aca="false">IF((SUMIF($KZ$3:$LI$3,LC$60,$KZ$4:$LI$4))=0,0,((SUMIF($KZ$3:$LI$3,LC$60,$KZ126:$LI126))/SUMIF($KZ$3:$LI$3,LC$60,$KZ$4:$LI$4)))</f>
        <v>0</v>
      </c>
      <c r="LD77" s="196" t="n">
        <f aca="false">IF((SUMIF($KZ$3:$LI$3,LD$60,$KZ$4:$LI$4))=0,0,((SUMIF($KZ$3:$LI$3,LD$60,$KZ126:$LI126))/SUMIF($KZ$3:$LI$3,LD$60,$KZ$4:$LI$4)))</f>
        <v>0</v>
      </c>
      <c r="LE77" s="196" t="n">
        <f aca="false">IF((SUMIF($KZ$3:$LI$3,LE$60,$KZ$4:$LI$4))=0,0,((SUMIF($KZ$3:$LI$3,LE$60,$KZ126:$LI126))/SUMIF($KZ$3:$LI$3,LE$60,$KZ$4:$LI$4)))</f>
        <v>0</v>
      </c>
      <c r="LF77" s="196" t="n">
        <f aca="false">IF((SUMIF($KZ$3:$LI$3,LF$60,$KZ$4:$LI$4))=0,0,((SUMIF($KZ$3:$LI$3,LF$60,$KZ126:$LI126))/SUMIF($KZ$3:$LI$3,LF$60,$KZ$4:$LI$4)))</f>
        <v>0</v>
      </c>
      <c r="LG77" s="196" t="n">
        <f aca="false">IF((SUMIF($KZ$3:$LI$3,LG$60,$KZ$4:$LI$4))=0,0,((SUMIF($KZ$3:$LI$3,LG$60,$KZ126:$LI126))/SUMIF($KZ$3:$LI$3,LG$60,$KZ$4:$LI$4)))</f>
        <v>0</v>
      </c>
      <c r="LH77" s="196" t="n">
        <f aca="false">IF((SUMIF($KZ$3:$LI$3,LH$60,$KZ$4:$LI$4))=0,0,((SUMIF($KZ$3:$LI$3,LH$60,$KZ126:$LI126))/SUMIF($KZ$3:$LI$3,LH$60,$KZ$4:$LI$4)))</f>
        <v>0</v>
      </c>
      <c r="LI77" s="197" t="n">
        <f aca="false">IF((SUMIF($KZ$3:$LI$3,LI$60,$KZ$4:$LI$4))=0,0,((SUMIF($KZ$3:$LI$3,LI$60,$KZ126:$LI126))/SUMIF($KZ$3:$LI$3,LI$60,$KZ$4:$LI$4)))</f>
        <v>0</v>
      </c>
      <c r="LJ77" s="194" t="str">
        <f aca="false">KY77</f>
        <v>Alumno16</v>
      </c>
      <c r="LK77" s="195" t="n">
        <f aca="false">IF((SUMIF($LK$3:$LT$3,LK$60,$LK$4:$LT$4))=0,0,((SUMIF($LK$3:$LT$3,LK$60,$LK126:$LT126))/SUMIF($LK$3:$LT$3,LK$60,$LK$4:$LT$4)))</f>
        <v>0</v>
      </c>
      <c r="LL77" s="196" t="n">
        <f aca="false">IF((SUMIF($LK$3:$LT$3,LL$60,$LK$4:$LT$4))=0,0,((SUMIF($LK$3:$LT$3,LL$60,$LK126:$LT126))/SUMIF($LK$3:$LT$3,LL$60,$LK$4:$LT$4)))</f>
        <v>0</v>
      </c>
      <c r="LM77" s="196" t="n">
        <f aca="false">IF((SUMIF($LK$3:$LT$3,LM$60,$LK$4:$LT$4))=0,0,((SUMIF($LK$3:$LT$3,LM$60,$LK126:$LT126))/SUMIF($LK$3:$LT$3,LM$60,$LK$4:$LT$4)))</f>
        <v>0</v>
      </c>
      <c r="LN77" s="196" t="n">
        <f aca="false">IF((SUMIF($LK$3:$LT$3,LN$60,$LK$4:$LT$4))=0,0,((SUMIF($LK$3:$LT$3,LN$60,$LK126:$LT126))/SUMIF($LK$3:$LT$3,LN$60,$LK$4:$LT$4)))</f>
        <v>0</v>
      </c>
      <c r="LO77" s="196" t="n">
        <f aca="false">IF((SUMIF($LK$3:$LT$3,LO$60,$LK$4:$LT$4))=0,0,((SUMIF($LK$3:$LT$3,LO$60,$LK126:$LT126))/SUMIF($LK$3:$LT$3,LO$60,$LK$4:$LT$4)))</f>
        <v>0</v>
      </c>
      <c r="LP77" s="196" t="n">
        <f aca="false">IF((SUMIF($LK$3:$LT$3,LP$60,$LK$4:$LT$4))=0,0,((SUMIF($LK$3:$LT$3,LP$60,$LK126:$LT126))/SUMIF($LK$3:$LT$3,LP$60,$LK$4:$LT$4)))</f>
        <v>0</v>
      </c>
      <c r="LQ77" s="196" t="n">
        <f aca="false">IF((SUMIF($LK$3:$LT$3,LQ$60,$LK$4:$LT$4))=0,0,((SUMIF($LK$3:$LT$3,LQ$60,$LK126:$LT126))/SUMIF($LK$3:$LT$3,LQ$60,$LK$4:$LT$4)))</f>
        <v>0</v>
      </c>
      <c r="LR77" s="196" t="n">
        <f aca="false">IF((SUMIF($LK$3:$LT$3,LR$60,$LK$4:$LT$4))=0,0,((SUMIF($LK$3:$LT$3,LR$60,$LK126:$LT126))/SUMIF($LK$3:$LT$3,LR$60,$LK$4:$LT$4)))</f>
        <v>0</v>
      </c>
      <c r="LS77" s="196" t="n">
        <f aca="false">IF((SUMIF($LK$3:$LT$3,LS$60,$LK$4:$LT$4))=0,0,((SUMIF($LK$3:$LT$3,LS$60,$LK126:$LT126))/SUMIF($LK$3:$LT$3,LS$60,$LK$4:$LT$4)))</f>
        <v>0</v>
      </c>
      <c r="LT77" s="197" t="n">
        <f aca="false">IF((SUMIF($LK$3:$LT$3,LT$60,$LK$4:$LT$4))=0,0,((SUMIF($LK$3:$LT$3,LT$60,$LK126:$LT126))/SUMIF($LK$3:$LT$3,LT$60,$LK$4:$LT$4)))</f>
        <v>0</v>
      </c>
    </row>
    <row r="78" customFormat="false" ht="15" hidden="true" customHeight="false" outlineLevel="0" collapsed="false">
      <c r="C78" s="194" t="str">
        <f aca="false">B22</f>
        <v>Alumno17</v>
      </c>
      <c r="D78" s="195" t="n">
        <f aca="false">IF((SUMIF($D$3:$M$3,D$60,$D$4:$M$4))=0,0,((SUMIF($D$3:$M$3,D$60,$D127:$M127))/SUMIF($D$3:$M$3,D$60,$D$4:$M$4)))</f>
        <v>8.85</v>
      </c>
      <c r="E78" s="196" t="n">
        <f aca="false">IF((SUMIF($D$3:$M$3,E$60,$D$4:$M$4))=0,0,((SUMIF($D$3:$M$3,E$60,$D127:$M127))/SUMIF($D$3:$M$3,E$60,$D$4:$M$4)))</f>
        <v>0</v>
      </c>
      <c r="F78" s="196" t="n">
        <f aca="false">IF((SUMIF($D$3:$M$3,F$60,$D$4:$M$4))=0,0,((SUMIF($D$3:$M$3,F$60,$D127:$M127))/SUMIF($D$3:$M$3,F$60,$D$4:$M$4)))</f>
        <v>0</v>
      </c>
      <c r="G78" s="196" t="n">
        <f aca="false">IF((SUMIF($D$3:$M$3,G$60,$D$4:$M$4))=0,0,((SUMIF($D$3:$M$3,G$60,$D127:$M127))/SUMIF($D$3:$M$3,G$60,$D$4:$M$4)))</f>
        <v>0</v>
      </c>
      <c r="H78" s="196" t="n">
        <f aca="false">IF((SUMIF($D$3:$M$3,H$60,$D$4:$M$4))=0,0,((SUMIF($D$3:$M$3,H$60,$D127:$M127))/SUMIF($D$3:$M$3,H$60,$D$4:$M$4)))</f>
        <v>0</v>
      </c>
      <c r="I78" s="196" t="n">
        <f aca="false">IF((SUMIF($D$3:$M$3,I$60,$D$4:$M$4))=0,0,((SUMIF($D$3:$M$3,I$60,$D127:$M127))/SUMIF($D$3:$M$3,I$60,$D$4:$M$4)))</f>
        <v>0</v>
      </c>
      <c r="J78" s="196" t="n">
        <f aca="false">IF((SUMIF($D$3:$M$3,J$60,$D$4:$M$4))=0,0,((SUMIF($D$3:$M$3,J$60,$D127:$M127))/SUMIF($D$3:$M$3,J$60,$D$4:$M$4)))</f>
        <v>0</v>
      </c>
      <c r="K78" s="196" t="n">
        <f aca="false">IF((SUMIF($D$3:$M$3,K$60,$D$4:$M$4))=0,0,((SUMIF($D$3:$M$3,K$60,$D127:$M127))/SUMIF($D$3:$M$3,K$60,$D$4:$M$4)))</f>
        <v>0</v>
      </c>
      <c r="L78" s="196" t="n">
        <f aca="false">IF((SUMIF($D$3:$M$3,L$60,$D$4:$M$4))=0,0,((SUMIF($D$3:$M$3,L$60,$D127:$M127))/SUMIF($D$3:$M$3,L$60,$D$4:$M$4)))</f>
        <v>0</v>
      </c>
      <c r="M78" s="197" t="n">
        <f aca="false">IF((SUMIF($D$3:$M$3,M$60,$D$4:$M$4))=0,0,((SUMIF($D$3:$M$3,M$60,$D127:$M127))/SUMIF($D$3:$M$3,M$60,$D$4:$M$4)))</f>
        <v>0</v>
      </c>
      <c r="N78" s="194" t="str">
        <f aca="false">C78</f>
        <v>Alumno17</v>
      </c>
      <c r="O78" s="195" t="n">
        <f aca="false">IF((SUMIF($O$3:$X$3,O$60,$O$4:$X$4))=0,0,((SUMIF($O$3:$X$3,O$60,$O127:$X127))/SUMIF($O$3:$X$3,O$60,$O$4:$X$4)))</f>
        <v>9</v>
      </c>
      <c r="P78" s="196" t="n">
        <f aca="false">IF((SUMIF($O$3:$X$3,P$60,$O$4:$X$4))=0,0,((SUMIF($O$3:$X$3,P$60,$O127:$X127))/SUMIF($O$3:$X$3,P$60,$O$4:$X$4)))</f>
        <v>9</v>
      </c>
      <c r="Q78" s="196" t="n">
        <f aca="false">IF((SUMIF($O$3:$X$3,Q$60,$O$4:$X$4))=0,0,((SUMIF($O$3:$X$3,Q$60,$O127:$X127))/SUMIF($O$3:$X$3,Q$60,$O$4:$X$4)))</f>
        <v>0</v>
      </c>
      <c r="R78" s="196" t="n">
        <f aca="false">IF((SUMIF($O$3:$X$3,R$60,$O$4:$X$4))=0,0,((SUMIF($O$3:$X$3,R$60,$O127:$X127))/SUMIF($O$3:$X$3,R$60,$O$4:$X$4)))</f>
        <v>0</v>
      </c>
      <c r="S78" s="196" t="n">
        <f aca="false">IF((SUMIF($O$3:$X$3,S$60,$O$4:$X$4))=0,0,((SUMIF($O$3:$X$3,S$60,$O127:$X127))/SUMIF($O$3:$X$3,S$60,$O$4:$X$4)))</f>
        <v>0</v>
      </c>
      <c r="T78" s="196" t="n">
        <f aca="false">IF((SUMIF($O$3:$X$3,T$60,$O$4:$X$4))=0,0,((SUMIF($O$3:$X$3,T$60,$O127:$X127))/SUMIF($O$3:$X$3,T$60,$O$4:$X$4)))</f>
        <v>0</v>
      </c>
      <c r="U78" s="196" t="n">
        <f aca="false">IF((SUMIF($O$3:$X$3,U$60,$O$4:$X$4))=0,0,((SUMIF($O$3:$X$3,U$60,$O127:$X127))/SUMIF($O$3:$X$3,U$60,$O$4:$X$4)))</f>
        <v>0</v>
      </c>
      <c r="V78" s="196" t="n">
        <f aca="false">IF((SUMIF($O$3:$X$3,V$60,$O$4:$X$4))=0,0,((SUMIF($O$3:$X$3,V$60,$O127:$X127))/SUMIF($O$3:$X$3,V$60,$O$4:$X$4)))</f>
        <v>0</v>
      </c>
      <c r="W78" s="196" t="n">
        <f aca="false">IF((SUMIF($O$3:$X$3,W$60,$O$4:$X$4))=0,0,((SUMIF($O$3:$X$3,W$60,$O127:$X127))/SUMIF($O$3:$X$3,W$60,$O$4:$X$4)))</f>
        <v>0</v>
      </c>
      <c r="X78" s="197" t="n">
        <f aca="false">IF((SUMIF($O$3:$X$3,X$60,$O$4:$X$4))=0,0,((SUMIF($O$3:$X$3,X$60,$O127:$X127))/SUMIF($O$3:$X$3,X$60,$O$4:$X$4)))</f>
        <v>0</v>
      </c>
      <c r="Y78" s="194" t="str">
        <f aca="false">N78</f>
        <v>Alumno17</v>
      </c>
      <c r="Z78" s="195" t="n">
        <f aca="false">IF((SUMIF($Z$3:$AI$3,Z$60,$Z$4:$AI$4))=0,0,((SUMIF($Z$3:$AI$3,Z$60,$Z127:$AI127))/SUMIF($Z$3:$AI$3,Z$60,$Z$4:$AI$4)))</f>
        <v>6.5</v>
      </c>
      <c r="AA78" s="196" t="n">
        <f aca="false">IF((SUMIF($Z$3:$AI$3,AA$60,$Z$4:$AI$4))=0,0,((SUMIF($Z$3:$AI$3,AA$60,$Z127:$AI127))/SUMIF($Z$3:$AI$3,AA$60,$Z$4:$AI$4)))</f>
        <v>4</v>
      </c>
      <c r="AB78" s="196" t="n">
        <f aca="false">IF((SUMIF($Z$3:$AI$3,AB$60,$Z$4:$AI$4))=0,0,((SUMIF($Z$3:$AI$3,AB$60,$Z127:$AI127))/SUMIF($Z$3:$AI$3,AB$60,$Z$4:$AI$4)))</f>
        <v>5</v>
      </c>
      <c r="AC78" s="196" t="n">
        <f aca="false">IF((SUMIF($Z$3:$AI$3,AC$60,$Z$4:$AI$4))=0,0,((SUMIF($Z$3:$AI$3,AC$60,$Z127:$AI127))/SUMIF($Z$3:$AI$3,AC$60,$Z$4:$AI$4)))</f>
        <v>0</v>
      </c>
      <c r="AD78" s="196" t="n">
        <f aca="false">IF((SUMIF($Z$3:$AI$3,AD$60,$Z$4:$AI$4))=0,0,((SUMIF($Z$3:$AI$3,AD$60,$Z127:$AI127))/SUMIF($Z$3:$AI$3,AD$60,$Z$4:$AI$4)))</f>
        <v>0</v>
      </c>
      <c r="AE78" s="196" t="n">
        <f aca="false">IF((SUMIF($Z$3:$AI$3,AE$60,$Z$4:$AI$4))=0,0,((SUMIF($Z$3:$AI$3,AE$60,$Z127:$AI127))/SUMIF($Z$3:$AI$3,AE$60,$Z$4:$AI$4)))</f>
        <v>0</v>
      </c>
      <c r="AF78" s="196" t="n">
        <f aca="false">IF((SUMIF($Z$3:$AI$3,AF$60,$Z$4:$AI$4))=0,0,((SUMIF($Z$3:$AI$3,AF$60,$Z127:$AI127))/SUMIF($Z$3:$AI$3,AF$60,$Z$4:$AI$4)))</f>
        <v>0</v>
      </c>
      <c r="AG78" s="196" t="n">
        <f aca="false">IF((SUMIF($Z$3:$AI$3,AG$60,$Z$4:$AI$4))=0,0,((SUMIF($Z$3:$AI$3,AG$60,$Z127:$AI127))/SUMIF($Z$3:$AI$3,AG$60,$Z$4:$AI$4)))</f>
        <v>0</v>
      </c>
      <c r="AH78" s="196" t="n">
        <f aca="false">IF((SUMIF($Z$3:$AI$3,AH$60,$Z$4:$AI$4))=0,0,((SUMIF($Z$3:$AI$3,AH$60,$Z127:$AI127))/SUMIF($Z$3:$AI$3,AH$60,$Z$4:$AI$4)))</f>
        <v>0</v>
      </c>
      <c r="AI78" s="197" t="n">
        <f aca="false">IF((SUMIF($Z$3:$AI$3,AI$60,$Z$4:$AI$4))=0,0,((SUMIF($Z$3:$AI$3,AI$60,$Z127:$AI127))/SUMIF($Z$3:$AI$3,AI$60,$Z$4:$AI$4)))</f>
        <v>0</v>
      </c>
      <c r="AJ78" s="194" t="str">
        <f aca="false">Y78</f>
        <v>Alumno17</v>
      </c>
      <c r="AK78" s="195" t="n">
        <f aca="false">IF((SUMIF($AK$3:$AT$3,AK$60,$AK$4:$AT$4))=0,0,((SUMIF($AK$3:$AT$3,AK$60,$AK127:$AT127))/SUMIF($AK$3:$AT$3,AK$60,$AK$4:$AT$4)))</f>
        <v>6</v>
      </c>
      <c r="AL78" s="196" t="n">
        <f aca="false">IF((SUMIF($AK$3:$AT$3,AL$60,$AK$4:$AT$4))=0,0,((SUMIF($AK$3:$AT$3,AL$60,$AK127:$AT127))/SUMIF($AK$3:$AT$3,AL$60,$AK$4:$AT$4)))</f>
        <v>6</v>
      </c>
      <c r="AM78" s="196" t="n">
        <f aca="false">IF((SUMIF($AK$3:$AT$3,AM$60,$AK$4:$AT$4))=0,0,((SUMIF($AK$3:$AT$3,AM$60,$AK127:$AT127))/SUMIF($AK$3:$AT$3,AM$60,$AK$4:$AT$4)))</f>
        <v>4</v>
      </c>
      <c r="AN78" s="196" t="n">
        <f aca="false">IF((SUMIF($AK$3:$AT$3,AN$60,$AK$4:$AT$4))=0,0,((SUMIF($AK$3:$AT$3,AN$60,$AK127:$AT127))/SUMIF($AK$3:$AT$3,AN$60,$AK$4:$AT$4)))</f>
        <v>0</v>
      </c>
      <c r="AO78" s="196" t="n">
        <f aca="false">IF((SUMIF($AK$3:$AT$3,AO$60,$AK$4:$AT$4))=0,0,((SUMIF($AK$3:$AT$3,AO$60,$AK127:$AT127))/SUMIF($AK$3:$AT$3,AO$60,$AK$4:$AT$4)))</f>
        <v>0</v>
      </c>
      <c r="AP78" s="196" t="n">
        <f aca="false">IF((SUMIF($AK$3:$AT$3,AP$60,$AK$4:$AT$4))=0,0,((SUMIF($AK$3:$AT$3,AP$60,$AK127:$AT127))/SUMIF($AK$3:$AT$3,AP$60,$AK$4:$AT$4)))</f>
        <v>0</v>
      </c>
      <c r="AQ78" s="196" t="n">
        <f aca="false">IF((SUMIF($AK$3:$AT$3,AQ$60,$AK$4:$AT$4))=0,0,((SUMIF($AK$3:$AT$3,AQ$60,$AK127:$AT127))/SUMIF($AK$3:$AT$3,AQ$60,$AK$4:$AT$4)))</f>
        <v>0</v>
      </c>
      <c r="AR78" s="196" t="n">
        <f aca="false">IF((SUMIF($AK$3:$AT$3,AR$60,$AK$4:$AT$4))=0,0,((SUMIF($AK$3:$AT$3,AR$60,$AK127:$AT127))/SUMIF($AK$3:$AT$3,AR$60,$AK$4:$AT$4)))</f>
        <v>0</v>
      </c>
      <c r="AS78" s="196" t="n">
        <f aca="false">IF((SUMIF($AK$3:$AT$3,AS$60,$AK$4:$AT$4))=0,0,((SUMIF($AK$3:$AT$3,AS$60,$AK127:$AT127))/SUMIF($AK$3:$AT$3,AS$60,$AK$4:$AT$4)))</f>
        <v>0</v>
      </c>
      <c r="AT78" s="197" t="n">
        <f aca="false">IF((SUMIF($AK$3:$AT$3,AT$60,$AK$4:$AT$4))=0,0,((SUMIF($AK$3:$AT$3,AT$60,$AK127:$AT127))/SUMIF($AK$3:$AT$3,AT$60,$AK$4:$AT$4)))</f>
        <v>0</v>
      </c>
      <c r="AU78" s="194" t="str">
        <f aca="false">AJ78</f>
        <v>Alumno17</v>
      </c>
      <c r="AV78" s="195" t="n">
        <f aca="false">IF((SUMIF($AV$3:$BE$3,AV$60,$AV$4:$BE$4))=0,0,((SUMIF($AV$3:$BE$3,AV$60,$AV127:$BE127))/SUMIF($AV$3:$BE$3,AV$60,$AV$4:$BE$4)))</f>
        <v>9</v>
      </c>
      <c r="AW78" s="196" t="n">
        <f aca="false">IF((SUMIF($AV$3:$BE$3,AW$60,$AV$4:$BE$4))=0,0,((SUMIF($AV$3:$BE$3,AW$60,$AV127:$BE127))/SUMIF($AV$3:$BE$3,AW$60,$AV$4:$BE$4)))</f>
        <v>9</v>
      </c>
      <c r="AX78" s="196" t="n">
        <f aca="false">IF((SUMIF($AV$3:$BE$3,AX$60,$AV$4:$BE$4))=0,0,((SUMIF($AV$3:$BE$3,AX$60,$AV127:$BE127))/SUMIF($AV$3:$BE$3,AX$60,$AV$4:$BE$4)))</f>
        <v>9</v>
      </c>
      <c r="AY78" s="196" t="n">
        <f aca="false">IF((SUMIF($AV$3:$BE$3,AY$60,$AV$4:$BE$4))=0,0,((SUMIF($AV$3:$BE$3,AY$60,$AV127:$BE127))/SUMIF($AV$3:$BE$3,AY$60,$AV$4:$BE$4)))</f>
        <v>9</v>
      </c>
      <c r="AZ78" s="196" t="n">
        <f aca="false">IF((SUMIF($AV$3:$BE$3,AZ$60,$AV$4:$BE$4))=0,0,((SUMIF($AV$3:$BE$3,AZ$60,$AV127:$BE127))/SUMIF($AV$3:$BE$3,AZ$60,$AV$4:$BE$4)))</f>
        <v>0</v>
      </c>
      <c r="BA78" s="196" t="n">
        <f aca="false">IF((SUMIF($AV$3:$BE$3,BA$60,$AV$4:$BE$4))=0,0,((SUMIF($AV$3:$BE$3,BA$60,$AV127:$BE127))/SUMIF($AV$3:$BE$3,BA$60,$AV$4:$BE$4)))</f>
        <v>0</v>
      </c>
      <c r="BB78" s="196" t="n">
        <f aca="false">IF((SUMIF($AV$3:$BE$3,BB$60,$AV$4:$BE$4))=0,0,((SUMIF($AV$3:$BE$3,BB$60,$AV127:$BE127))/SUMIF($AV$3:$BE$3,BB$60,$AV$4:$BE$4)))</f>
        <v>0</v>
      </c>
      <c r="BC78" s="196" t="n">
        <f aca="false">IF((SUMIF($AV$3:$BE$3,BC$60,$AV$4:$BE$4))=0,0,((SUMIF($AV$3:$BE$3,BC$60,$AV127:$BE127))/SUMIF($AV$3:$BE$3,BC$60,$AV$4:$BE$4)))</f>
        <v>0</v>
      </c>
      <c r="BD78" s="196" t="n">
        <f aca="false">IF((SUMIF($AV$3:$BE$3,BD$60,$AV$4:$BE$4))=0,0,((SUMIF($AV$3:$BE$3,BD$60,$AV127:$BE127))/SUMIF($AV$3:$BE$3,BD$60,$AV$4:$BE$4)))</f>
        <v>0</v>
      </c>
      <c r="BE78" s="197" t="n">
        <f aca="false">IF((SUMIF($AV$3:$BE$3,BE$60,$AV$4:$BE$4))=0,0,((SUMIF($AV$3:$BE$3,BE$60,$AV127:$BE127))/SUMIF($AV$3:$BE$3,BE$60,$AV$4:$BE$4)))</f>
        <v>0</v>
      </c>
      <c r="BF78" s="194" t="str">
        <f aca="false">AU78</f>
        <v>Alumno17</v>
      </c>
      <c r="BG78" s="195" t="n">
        <f aca="false">IF((SUMIF($BG$3:$BP$3,BG$60,$BG$4:$BP$4))=0,0,((SUMIF($BG$3:$BP$3,BG$60,$BG127:$BP127))/SUMIF($BG$3:$BP$3,BG$60,$BG$4:$BP$4)))</f>
        <v>9</v>
      </c>
      <c r="BH78" s="196" t="n">
        <f aca="false">IF((SUMIF($BG$3:$BP$3,BH$60,$BG$4:$BP$4))=0,0,((SUMIF($BG$3:$BP$3,BH$60,$BG127:$BP127))/SUMIF($BG$3:$BP$3,BH$60,$BG$4:$BP$4)))</f>
        <v>9</v>
      </c>
      <c r="BI78" s="196" t="n">
        <f aca="false">IF((SUMIF($BG$3:$BP$3,BI$60,$BG$4:$BP$4))=0,0,((SUMIF($BG$3:$BP$3,BI$60,$BG127:$BP127))/SUMIF($BG$3:$BP$3,BI$60,$BG$4:$BP$4)))</f>
        <v>9</v>
      </c>
      <c r="BJ78" s="196" t="n">
        <f aca="false">IF((SUMIF($BG$3:$BP$3,BJ$60,$BG$4:$BP$4))=0,0,((SUMIF($BG$3:$BP$3,BJ$60,$BG127:$BP127))/SUMIF($BG$3:$BP$3,BJ$60,$BG$4:$BP$4)))</f>
        <v>9</v>
      </c>
      <c r="BK78" s="196" t="n">
        <f aca="false">IF((SUMIF($BG$3:$BP$3,BK$60,$BG$4:$BP$4))=0,0,((SUMIF($BG$3:$BP$3,BK$60,$BG127:$BP127))/SUMIF($BG$3:$BP$3,BK$60,$BG$4:$BP$4)))</f>
        <v>0</v>
      </c>
      <c r="BL78" s="196" t="n">
        <f aca="false">IF((SUMIF($BG$3:$BP$3,BL$60,$BG$4:$BP$4))=0,0,((SUMIF($BG$3:$BP$3,BL$60,$BG127:$BP127))/SUMIF($BG$3:$BP$3,BL$60,$BG$4:$BP$4)))</f>
        <v>0</v>
      </c>
      <c r="BM78" s="196" t="n">
        <f aca="false">IF((SUMIF($BG$3:$BP$3,BM$60,$BG$4:$BP$4))=0,0,((SUMIF($BG$3:$BP$3,BM$60,$BG127:$BP127))/SUMIF($BG$3:$BP$3,BM$60,$BG$4:$BP$4)))</f>
        <v>0</v>
      </c>
      <c r="BN78" s="196" t="n">
        <f aca="false">IF((SUMIF($BG$3:$BP$3,BN$60,$BG$4:$BP$4))=0,0,((SUMIF($BG$3:$BP$3,BN$60,$BG127:$BP127))/SUMIF($BG$3:$BP$3,BN$60,$BG$4:$BP$4)))</f>
        <v>0</v>
      </c>
      <c r="BO78" s="196" t="n">
        <f aca="false">IF((SUMIF($BG$3:$BP$3,BO$60,$BG$4:$BP$4))=0,0,((SUMIF($BG$3:$BP$3,BO$60,$BG127:$BP127))/SUMIF($BG$3:$BP$3,BO$60,$BG$4:$BP$4)))</f>
        <v>0</v>
      </c>
      <c r="BP78" s="197" t="n">
        <f aca="false">IF((SUMIF($BG$3:$BP$3,BP$60,$BG$4:$BP$4))=0,0,((SUMIF($BG$3:$BP$3,BP$60,$BG127:$BP127))/SUMIF($BG$3:$BP$3,BP$60,$BG$4:$BP$4)))</f>
        <v>0</v>
      </c>
      <c r="BQ78" s="194" t="str">
        <f aca="false">BF78</f>
        <v>Alumno17</v>
      </c>
      <c r="BR78" s="195" t="n">
        <f aca="false">IF((SUMIF($BR$3:$CA$3,BR$60,$BR$4:$CA$4))=0,0,((SUMIF($BR$3:$CA$3,BR$60,$BR127:$CA127))/SUMIF($BR$3:$CA$3,BR$60,$BR$4:$CA$4)))</f>
        <v>0</v>
      </c>
      <c r="BS78" s="196" t="n">
        <f aca="false">IF((SUMIF($BR$3:$CA$3,BS$60,$BR$4:$CA$4))=0,0,((SUMIF($BR$3:$CA$3,BS$60,$BR127:$CA127))/SUMIF($BR$3:$CA$3,BS$60,$BR$4:$CA$4)))</f>
        <v>5</v>
      </c>
      <c r="BT78" s="196" t="n">
        <f aca="false">IF((SUMIF($BR$3:$CA$3,BT$60,$BR$4:$CA$4))=0,0,((SUMIF($BR$3:$CA$3,BT$60,$BR127:$CA127))/SUMIF($BR$3:$CA$3,BT$60,$BR$4:$CA$4)))</f>
        <v>5</v>
      </c>
      <c r="BU78" s="196" t="n">
        <f aca="false">IF((SUMIF($BR$3:$CA$3,BU$60,$BR$4:$CA$4))=0,0,((SUMIF($BR$3:$CA$3,BU$60,$BR127:$CA127))/SUMIF($BR$3:$CA$3,BU$60,$BR$4:$CA$4)))</f>
        <v>5</v>
      </c>
      <c r="BV78" s="196" t="n">
        <f aca="false">IF((SUMIF($BR$3:$CA$3,BV$60,$BR$4:$CA$4))=0,0,((SUMIF($BR$3:$CA$3,BV$60,$BR127:$CA127))/SUMIF($BR$3:$CA$3,BV$60,$BR$4:$CA$4)))</f>
        <v>0</v>
      </c>
      <c r="BW78" s="196" t="n">
        <f aca="false">IF((SUMIF($BR$3:$CA$3,BW$60,$BR$4:$CA$4))=0,0,((SUMIF($BR$3:$CA$3,BW$60,$BR127:$CA127))/SUMIF($BR$3:$CA$3,BW$60,$BR$4:$CA$4)))</f>
        <v>0</v>
      </c>
      <c r="BX78" s="196" t="n">
        <f aca="false">IF((SUMIF($BR$3:$CA$3,BX$60,$BR$4:$CA$4))=0,0,((SUMIF($BR$3:$CA$3,BX$60,$BR127:$CA127))/SUMIF($BR$3:$CA$3,BX$60,$BR$4:$CA$4)))</f>
        <v>0</v>
      </c>
      <c r="BY78" s="196" t="n">
        <f aca="false">IF((SUMIF($BR$3:$CA$3,BY$60,$BR$4:$CA$4))=0,0,((SUMIF($BR$3:$CA$3,BY$60,$BR127:$CA127))/SUMIF($BR$3:$CA$3,BY$60,$BR$4:$CA$4)))</f>
        <v>0</v>
      </c>
      <c r="BZ78" s="196" t="n">
        <f aca="false">IF((SUMIF($BR$3:$CA$3,BZ$60,$BR$4:$CA$4))=0,0,((SUMIF($BR$3:$CA$3,BZ$60,$BR127:$CA127))/SUMIF($BR$3:$CA$3,BZ$60,$BR$4:$CA$4)))</f>
        <v>0</v>
      </c>
      <c r="CA78" s="197" t="n">
        <f aca="false">IF((SUMIF($BR$3:$CA$3,CA$60,$BR$4:$CA$4))=0,0,((SUMIF($BR$3:$CA$3,CA$60,$BR127:$CA127))/SUMIF($BR$3:$CA$3,CA$60,$BR$4:$CA$4)))</f>
        <v>0</v>
      </c>
      <c r="CB78" s="194" t="str">
        <f aca="false">BQ78</f>
        <v>Alumno17</v>
      </c>
      <c r="CC78" s="195" t="n">
        <f aca="false">IF((SUMIF($CC$3:$CL$3,CC$60,$CC$4:$CL$4))=0,0,((SUMIF($CC$3:$CL$3,CC$60,$CC127:$CL127))/SUMIF($CC$3:$CL$3,CC$60,$CC$4:$CL$4)))</f>
        <v>0</v>
      </c>
      <c r="CD78" s="196" t="n">
        <f aca="false">IF((SUMIF($CC$3:$CL$3,CD$60,$CC$4:$CL$4))=0,0,((SUMIF($CC$3:$CL$3,CD$60,$CC127:$CL127))/SUMIF($CC$3:$CL$3,CD$60,$CC$4:$CL$4)))</f>
        <v>0</v>
      </c>
      <c r="CE78" s="196" t="n">
        <f aca="false">IF((SUMIF($CC$3:$CL$3,CE$60,$CC$4:$CL$4))=0,0,((SUMIF($CC$3:$CL$3,CE$60,$CC127:$CL127))/SUMIF($CC$3:$CL$3,CE$60,$CC$4:$CL$4)))</f>
        <v>0</v>
      </c>
      <c r="CF78" s="196" t="n">
        <f aca="false">IF((SUMIF($CC$3:$CL$3,CF$60,$CC$4:$CL$4))=0,0,((SUMIF($CC$3:$CL$3,CF$60,$CC127:$CL127))/SUMIF($CC$3:$CL$3,CF$60,$CC$4:$CL$4)))</f>
        <v>0</v>
      </c>
      <c r="CG78" s="196" t="n">
        <f aca="false">IF((SUMIF($CC$3:$CL$3,CG$60,$CC$4:$CL$4))=0,0,((SUMIF($CC$3:$CL$3,CG$60,$CC127:$CL127))/SUMIF($CC$3:$CL$3,CG$60,$CC$4:$CL$4)))</f>
        <v>0</v>
      </c>
      <c r="CH78" s="196" t="n">
        <f aca="false">IF((SUMIF($CC$3:$CL$3,CH$60,$CC$4:$CL$4))=0,0,((SUMIF($CC$3:$CL$3,CH$60,$CC127:$CL127))/SUMIF($CC$3:$CL$3,CH$60,$CC$4:$CL$4)))</f>
        <v>0</v>
      </c>
      <c r="CI78" s="196" t="n">
        <f aca="false">IF((SUMIF($CC$3:$CL$3,CI$60,$CC$4:$CL$4))=0,0,((SUMIF($CC$3:$CL$3,CI$60,$CC127:$CL127))/SUMIF($CC$3:$CL$3,CI$60,$CC$4:$CL$4)))</f>
        <v>0</v>
      </c>
      <c r="CJ78" s="196" t="n">
        <f aca="false">IF((SUMIF($CC$3:$CL$3,CJ$60,$CC$4:$CL$4))=0,0,((SUMIF($CC$3:$CL$3,CJ$60,$CC127:$CL127))/SUMIF($CC$3:$CL$3,CJ$60,$CC$4:$CL$4)))</f>
        <v>0</v>
      </c>
      <c r="CK78" s="196" t="n">
        <f aca="false">IF((SUMIF($CC$3:$CL$3,CK$60,$CC$4:$CL$4))=0,0,((SUMIF($CC$3:$CL$3,CK$60,$CC127:$CL127))/SUMIF($CC$3:$CL$3,CK$60,$CC$4:$CL$4)))</f>
        <v>0</v>
      </c>
      <c r="CL78" s="197" t="n">
        <f aca="false">IF((SUMIF($CC$3:$CL$3,CL$60,$CC$4:$CL$4))=0,0,((SUMIF($CC$3:$CL$3,CL$60,$CC127:$CL127))/SUMIF($CC$3:$CL$3,CL$60,$CC$4:$CL$4)))</f>
        <v>0</v>
      </c>
      <c r="CM78" s="194" t="str">
        <f aca="false">CB78</f>
        <v>Alumno17</v>
      </c>
      <c r="CN78" s="195" t="n">
        <f aca="false">IF((SUMIF($CN$3:$CW$3,CN$60,$CN$4:$CW$4))=0,0,((SUMIF($CN$3:$CW$3,CN$60,$CN127:$CW127))/SUMIF($CN$3:$CW$3,CN$60,$CN$4:$CW$4)))</f>
        <v>0</v>
      </c>
      <c r="CO78" s="196" t="n">
        <f aca="false">IF((SUMIF($CN$3:$CW$3,CO$60,$CN$4:$CW$4))=0,0,((SUMIF($CN$3:$CW$3,CO$60,$CN127:$CW127))/SUMIF($CN$3:$CW$3,CO$60,$CN$4:$CW$4)))</f>
        <v>0</v>
      </c>
      <c r="CP78" s="196" t="n">
        <f aca="false">IF((SUMIF($CN$3:$CW$3,CP$60,$CN$4:$CW$4))=0,0,((SUMIF($CN$3:$CW$3,CP$60,$CN127:$CW127))/SUMIF($CN$3:$CW$3,CP$60,$CN$4:$CW$4)))</f>
        <v>0</v>
      </c>
      <c r="CQ78" s="196" t="n">
        <f aca="false">IF((SUMIF($CN$3:$CW$3,CQ$60,$CN$4:$CW$4))=0,0,((SUMIF($CN$3:$CW$3,CQ$60,$CN127:$CW127))/SUMIF($CN$3:$CW$3,CQ$60,$CN$4:$CW$4)))</f>
        <v>0</v>
      </c>
      <c r="CR78" s="196" t="n">
        <f aca="false">IF((SUMIF($CN$3:$CW$3,CR$60,$CN$4:$CW$4))=0,0,((SUMIF($CN$3:$CW$3,CR$60,$CN127:$CW127))/SUMIF($CN$3:$CW$3,CR$60,$CN$4:$CW$4)))</f>
        <v>0</v>
      </c>
      <c r="CS78" s="196" t="n">
        <f aca="false">IF((SUMIF($CN$3:$CW$3,CS$60,$CN$4:$CW$4))=0,0,((SUMIF($CN$3:$CW$3,CS$60,$CN127:$CW127))/SUMIF($CN$3:$CW$3,CS$60,$CN$4:$CW$4)))</f>
        <v>0</v>
      </c>
      <c r="CT78" s="196" t="n">
        <f aca="false">IF((SUMIF($CN$3:$CW$3,CT$60,$CN$4:$CW$4))=0,0,((SUMIF($CN$3:$CW$3,CT$60,$CN127:$CW127))/SUMIF($CN$3:$CW$3,CT$60,$CN$4:$CW$4)))</f>
        <v>0</v>
      </c>
      <c r="CU78" s="196" t="n">
        <f aca="false">IF((SUMIF($CN$3:$CW$3,CU$60,$CN$4:$CW$4))=0,0,((SUMIF($CN$3:$CW$3,CU$60,$CN127:$CW127))/SUMIF($CN$3:$CW$3,CU$60,$CN$4:$CW$4)))</f>
        <v>0</v>
      </c>
      <c r="CV78" s="196" t="n">
        <f aca="false">IF((SUMIF($CN$3:$CW$3,CV$60,$CN$4:$CW$4))=0,0,((SUMIF($CN$3:$CW$3,CV$60,$CN127:$CW127))/SUMIF($CN$3:$CW$3,CV$60,$CN$4:$CW$4)))</f>
        <v>0</v>
      </c>
      <c r="CW78" s="197" t="n">
        <f aca="false">IF((SUMIF($CN$3:$CW$3,CW$60,$CN$4:$CW$4))=0,0,((SUMIF($CN$3:$CW$3,CW$60,$CN127:$CW127))/SUMIF($CN$3:$CW$3,CW$60,$CN$4:$CW$4)))</f>
        <v>0</v>
      </c>
      <c r="CX78" s="194" t="str">
        <f aca="false">CM78</f>
        <v>Alumno17</v>
      </c>
      <c r="CY78" s="195" t="n">
        <f aca="false">IF((SUMIF($CY$3:$DH$3,CY$60,$CY$4:$DH$4))=0,0,((SUMIF($CY$3:$DH$3,CY$60,$CY127:$DH127))/SUMIF($CY$3:$DH$3,CY$60,$CY$4:$DH$4)))</f>
        <v>0</v>
      </c>
      <c r="CZ78" s="196" t="n">
        <f aca="false">IF((SUMIF($CY$3:$DH$3,CZ$60,$CY$4:$DH$4))=0,0,((SUMIF($CY$3:$DH$3,CZ$60,$CY127:$DH127))/SUMIF($CY$3:$DH$3,CZ$60,$CY$4:$DH$4)))</f>
        <v>0</v>
      </c>
      <c r="DA78" s="196" t="n">
        <f aca="false">IF((SUMIF($CY$3:$DH$3,DA$60,$CY$4:$DH$4))=0,0,((SUMIF($CY$3:$DH$3,DA$60,$CY127:$DH127))/SUMIF($CY$3:$DH$3,DA$60,$CY$4:$DH$4)))</f>
        <v>0</v>
      </c>
      <c r="DB78" s="196" t="n">
        <f aca="false">IF((SUMIF($CY$3:$DH$3,DB$60,$CY$4:$DH$4))=0,0,((SUMIF($CY$3:$DH$3,DB$60,$CY127:$DH127))/SUMIF($CY$3:$DH$3,DB$60,$CY$4:$DH$4)))</f>
        <v>0</v>
      </c>
      <c r="DC78" s="196" t="n">
        <f aca="false">IF((SUMIF($CY$3:$DH$3,DC$60,$CY$4:$DH$4))=0,0,((SUMIF($CY$3:$DH$3,DC$60,$CY127:$DH127))/SUMIF($CY$3:$DH$3,DC$60,$CY$4:$DH$4)))</f>
        <v>0</v>
      </c>
      <c r="DD78" s="196" t="n">
        <f aca="false">IF((SUMIF($CY$3:$DH$3,DD$60,$CY$4:$DH$4))=0,0,((SUMIF($CY$3:$DH$3,DD$60,$CY127:$DH127))/SUMIF($CY$3:$DH$3,DD$60,$CY$4:$DH$4)))</f>
        <v>0</v>
      </c>
      <c r="DE78" s="196" t="n">
        <f aca="false">IF((SUMIF($CY$3:$DH$3,DE$60,$CY$4:$DH$4))=0,0,((SUMIF($CY$3:$DH$3,DE$60,$CY127:$DH127))/SUMIF($CY$3:$DH$3,DE$60,$CY$4:$DH$4)))</f>
        <v>0</v>
      </c>
      <c r="DF78" s="196" t="n">
        <f aca="false">IF((SUMIF($CY$3:$DH$3,DF$60,$CY$4:$DH$4))=0,0,((SUMIF($CY$3:$DH$3,DF$60,$CY127:$DH127))/SUMIF($CY$3:$DH$3,DF$60,$CY$4:$DH$4)))</f>
        <v>0</v>
      </c>
      <c r="DG78" s="196" t="n">
        <f aca="false">IF((SUMIF($CY$3:$DH$3,DG$60,$CY$4:$DH$4))=0,0,((SUMIF($CY$3:$DH$3,DG$60,$CY127:$DH127))/SUMIF($CY$3:$DH$3,DG$60,$CY$4:$DH$4)))</f>
        <v>0</v>
      </c>
      <c r="DH78" s="197" t="n">
        <f aca="false">IF((SUMIF($CY$3:$DH$3,DH$60,$CY$4:$DH$4))=0,0,((SUMIF($CY$3:$DH$3,DH$60,$CY127:$DH127))/SUMIF($CY$3:$DH$3,DH$60,$CY$4:$DH$4)))</f>
        <v>0</v>
      </c>
      <c r="DI78" s="194" t="str">
        <f aca="false">CX78</f>
        <v>Alumno17</v>
      </c>
      <c r="DJ78" s="195" t="n">
        <f aca="false">IF((SUMIF($DJ$3:$DS$3,DJ$60,$DJ$4:$DS$4))=0,0,((SUMIF($DJ$3:$DS$3,DJ$60,$DJ127:$DS127))/SUMIF($DJ$3:$DS$3,DJ$60,$DJ$4:$DS$4)))</f>
        <v>0</v>
      </c>
      <c r="DK78" s="196" t="n">
        <f aca="false">IF((SUMIF($DJ$3:$DS$3,DK$60,$DJ$4:$DS$4))=0,0,((SUMIF($DJ$3:$DS$3,DK$60,$DJ127:$DS127))/SUMIF($DJ$3:$DS$3,DK$60,$DJ$4:$DS$4)))</f>
        <v>0</v>
      </c>
      <c r="DL78" s="196" t="n">
        <f aca="false">IF((SUMIF($DJ$3:$DS$3,DL$60,$DJ$4:$DS$4))=0,0,((SUMIF($DJ$3:$DS$3,DL$60,$DJ127:$DS127))/SUMIF($DJ$3:$DS$3,DL$60,$DJ$4:$DS$4)))</f>
        <v>0</v>
      </c>
      <c r="DM78" s="196" t="n">
        <f aca="false">IF((SUMIF($DJ$3:$DS$3,DM$60,$DJ$4:$DS$4))=0,0,((SUMIF($DJ$3:$DS$3,DM$60,$DJ127:$DS127))/SUMIF($DJ$3:$DS$3,DM$60,$DJ$4:$DS$4)))</f>
        <v>0</v>
      </c>
      <c r="DN78" s="196" t="n">
        <f aca="false">IF((SUMIF($DJ$3:$DS$3,DN$60,$DJ$4:$DS$4))=0,0,((SUMIF($DJ$3:$DS$3,DN$60,$DJ127:$DS127))/SUMIF($DJ$3:$DS$3,DN$60,$DJ$4:$DS$4)))</f>
        <v>0</v>
      </c>
      <c r="DO78" s="196" t="n">
        <f aca="false">IF((SUMIF($DJ$3:$DS$3,DO$60,$DJ$4:$DS$4))=0,0,((SUMIF($DJ$3:$DS$3,DO$60,$DJ127:$DS127))/SUMIF($DJ$3:$DS$3,DO$60,$DJ$4:$DS$4)))</f>
        <v>0</v>
      </c>
      <c r="DP78" s="196" t="n">
        <f aca="false">IF((SUMIF($DJ$3:$DS$3,DP$60,$DJ$4:$DS$4))=0,0,((SUMIF($DJ$3:$DS$3,DP$60,$DJ127:$DS127))/SUMIF($DJ$3:$DS$3,DP$60,$DJ$4:$DS$4)))</f>
        <v>0</v>
      </c>
      <c r="DQ78" s="196" t="n">
        <f aca="false">IF((SUMIF($DJ$3:$DS$3,DQ$60,$DJ$4:$DS$4))=0,0,((SUMIF($DJ$3:$DS$3,DQ$60,$DJ127:$DS127))/SUMIF($DJ$3:$DS$3,DQ$60,$DJ$4:$DS$4)))</f>
        <v>0</v>
      </c>
      <c r="DR78" s="196" t="n">
        <f aca="false">IF((SUMIF($DJ$3:$DS$3,DR$60,$DJ$4:$DS$4))=0,0,((SUMIF($DJ$3:$DS$3,DR$60,$DJ127:$DS127))/SUMIF($DJ$3:$DS$3,DR$60,$DJ$4:$DS$4)))</f>
        <v>0</v>
      </c>
      <c r="DS78" s="197" t="n">
        <f aca="false">IF((SUMIF($DJ$3:$DS$3,DS$60,$DJ$4:$DS$4))=0,0,((SUMIF($DJ$3:$DS$3,DS$60,$DJ127:$DS127))/SUMIF($DJ$3:$DS$3,DS$60,$DJ$4:$DS$4)))</f>
        <v>0</v>
      </c>
      <c r="DT78" s="194" t="str">
        <f aca="false">DI78</f>
        <v>Alumno17</v>
      </c>
      <c r="DU78" s="195" t="n">
        <f aca="false">IF((SUMIF($DU$3:$ED$3,DU$60,$DU$4:$ED$4))=0,0,((SUMIF($DU$3:$ED$3,DU$60,$DU127:$ED127))/SUMIF($DU$3:$ED$3,DU$60,$DU$4:$ED$4)))</f>
        <v>0</v>
      </c>
      <c r="DV78" s="196" t="n">
        <f aca="false">IF((SUMIF($DU$3:$ED$3,DV$60,$DU$4:$ED$4))=0,0,((SUMIF($DU$3:$ED$3,DV$60,$DU127:$ED127))/SUMIF($DU$3:$ED$3,DV$60,$DU$4:$ED$4)))</f>
        <v>0</v>
      </c>
      <c r="DW78" s="196" t="n">
        <f aca="false">IF((SUMIF($DU$3:$ED$3,DW$60,$DU$4:$ED$4))=0,0,((SUMIF($DU$3:$ED$3,DW$60,$DU127:$ED127))/SUMIF($DU$3:$ED$3,DW$60,$DU$4:$ED$4)))</f>
        <v>0</v>
      </c>
      <c r="DX78" s="196" t="n">
        <f aca="false">IF((SUMIF($DU$3:$ED$3,DX$60,$DU$4:$ED$4))=0,0,((SUMIF($DU$3:$ED$3,DX$60,$DU127:$ED127))/SUMIF($DU$3:$ED$3,DX$60,$DU$4:$ED$4)))</f>
        <v>0</v>
      </c>
      <c r="DY78" s="196" t="n">
        <f aca="false">IF((SUMIF($DU$3:$ED$3,DY$60,$DU$4:$ED$4))=0,0,((SUMIF($DU$3:$ED$3,DY$60,$DU127:$ED127))/SUMIF($DU$3:$ED$3,DY$60,$DU$4:$ED$4)))</f>
        <v>0</v>
      </c>
      <c r="DZ78" s="196" t="n">
        <f aca="false">IF((SUMIF($DU$3:$ED$3,DZ$60,$DU$4:$ED$4))=0,0,((SUMIF($DU$3:$ED$3,DZ$60,$DU127:$ED127))/SUMIF($DU$3:$ED$3,DZ$60,$DU$4:$ED$4)))</f>
        <v>0</v>
      </c>
      <c r="EA78" s="196" t="n">
        <f aca="false">IF((SUMIF($DU$3:$ED$3,EA$60,$DU$4:$ED$4))=0,0,((SUMIF($DU$3:$ED$3,EA$60,$DU127:$ED127))/SUMIF($DU$3:$ED$3,EA$60,$DU$4:$ED$4)))</f>
        <v>0</v>
      </c>
      <c r="EB78" s="196" t="n">
        <f aca="false">IF((SUMIF($DU$3:$ED$3,EB$60,$DU$4:$ED$4))=0,0,((SUMIF($DU$3:$ED$3,EB$60,$DU127:$ED127))/SUMIF($DU$3:$ED$3,EB$60,$DU$4:$ED$4)))</f>
        <v>0</v>
      </c>
      <c r="EC78" s="196" t="n">
        <f aca="false">IF((SUMIF($DU$3:$ED$3,EC$60,$DU$4:$ED$4))=0,0,((SUMIF($DU$3:$ED$3,EC$60,$DU127:$ED127))/SUMIF($DU$3:$ED$3,EC$60,$DU$4:$ED$4)))</f>
        <v>0</v>
      </c>
      <c r="ED78" s="197" t="n">
        <f aca="false">IF((SUMIF($DU$3:$ED$3,ED$60,$DU$4:$ED$4))=0,0,((SUMIF($DU$3:$ED$3,ED$60,$DU127:$ED127))/SUMIF($DU$3:$ED$3,ED$60,$DU$4:$ED$4)))</f>
        <v>0</v>
      </c>
      <c r="EE78" s="194" t="str">
        <f aca="false">DT78</f>
        <v>Alumno17</v>
      </c>
      <c r="EF78" s="195" t="n">
        <f aca="false">IF((SUMIF($EF$3:$EO$3,EF$60,$EF$4:$EO$4))=0,0,((SUMIF($EF$3:$EO$3,EF$60,$EF127:$EO127))/SUMIF($EF$3:$EO$3,EF$60,$EF$4:$EO$4)))</f>
        <v>0</v>
      </c>
      <c r="EG78" s="196" t="n">
        <f aca="false">IF((SUMIF($EF$3:$EO$3,EG$60,$EF$4:$EO$4))=0,0,((SUMIF($EF$3:$EO$3,EG$60,$EF127:$EO127))/SUMIF($EF$3:$EO$3,EG$60,$EF$4:$EO$4)))</f>
        <v>0</v>
      </c>
      <c r="EH78" s="196" t="n">
        <f aca="false">IF((SUMIF($EF$3:$EO$3,EH$60,$EF$4:$EO$4))=0,0,((SUMIF($EF$3:$EO$3,EH$60,$EF127:$EO127))/SUMIF($EF$3:$EO$3,EH$60,$EF$4:$EO$4)))</f>
        <v>0</v>
      </c>
      <c r="EI78" s="196" t="n">
        <f aca="false">IF((SUMIF($EF$3:$EO$3,EI$60,$EF$4:$EO$4))=0,0,((SUMIF($EF$3:$EO$3,EI$60,$EF127:$EO127))/SUMIF($EF$3:$EO$3,EI$60,$EF$4:$EO$4)))</f>
        <v>0</v>
      </c>
      <c r="EJ78" s="196" t="n">
        <f aca="false">IF((SUMIF($EF$3:$EO$3,EJ$60,$EF$4:$EO$4))=0,0,((SUMIF($EF$3:$EO$3,EJ$60,$EF127:$EO127))/SUMIF($EF$3:$EO$3,EJ$60,$EF$4:$EO$4)))</f>
        <v>0</v>
      </c>
      <c r="EK78" s="196" t="n">
        <f aca="false">IF((SUMIF($EF$3:$EO$3,EK$60,$EF$4:$EO$4))=0,0,((SUMIF($EF$3:$EO$3,EK$60,$EF127:$EO127))/SUMIF($EF$3:$EO$3,EK$60,$EF$4:$EO$4)))</f>
        <v>0</v>
      </c>
      <c r="EL78" s="196" t="n">
        <f aca="false">IF((SUMIF($EF$3:$EO$3,EL$60,$EF$4:$EO$4))=0,0,((SUMIF($EF$3:$EO$3,EL$60,$EF127:$EO127))/SUMIF($EF$3:$EO$3,EL$60,$EF$4:$EO$4)))</f>
        <v>0</v>
      </c>
      <c r="EM78" s="196" t="n">
        <f aca="false">IF((SUMIF($EF$3:$EO$3,EM$60,$EF$4:$EO$4))=0,0,((SUMIF($EF$3:$EO$3,EM$60,$EF127:$EO127))/SUMIF($EF$3:$EO$3,EM$60,$EF$4:$EO$4)))</f>
        <v>0</v>
      </c>
      <c r="EN78" s="196" t="n">
        <f aca="false">IF((SUMIF($EF$3:$EO$3,EN$60,$EF$4:$EO$4))=0,0,((SUMIF($EF$3:$EO$3,EN$60,$EF127:$EO127))/SUMIF($EF$3:$EO$3,EN$60,$EF$4:$EO$4)))</f>
        <v>0</v>
      </c>
      <c r="EO78" s="197" t="n">
        <f aca="false">IF((SUMIF($EF$3:$EO$3,EO$60,$EF$4:$EO$4))=0,0,((SUMIF($EF$3:$EO$3,EO$60,$EF127:$EO127))/SUMIF($EF$3:$EO$3,EO$60,$EF$4:$EO$4)))</f>
        <v>0</v>
      </c>
      <c r="EP78" s="194" t="str">
        <f aca="false">EE78</f>
        <v>Alumno17</v>
      </c>
      <c r="EQ78" s="195" t="n">
        <f aca="false">IF((SUMIF($EQ$3:$EZ$3,EQ$60,$EQ$4:$EZ$4))=0,0,((SUMIF($EQ$3:$EZ$3,EQ$60,$EQ127:$EZ127))/SUMIF($EQ$3:$EZ$3,EQ$60,$EQ$4:$EZ$4)))</f>
        <v>0</v>
      </c>
      <c r="ER78" s="196" t="n">
        <f aca="false">IF((SUMIF($EQ$3:$EZ$3,ER$60,$EQ$4:$EZ$4))=0,0,((SUMIF($EQ$3:$EZ$3,ER$60,$EQ127:$EZ127))/SUMIF($EQ$3:$EZ$3,ER$60,$EQ$4:$EZ$4)))</f>
        <v>0</v>
      </c>
      <c r="ES78" s="196" t="n">
        <f aca="false">IF((SUMIF($EQ$3:$EZ$3,ES$60,$EQ$4:$EZ$4))=0,0,((SUMIF($EQ$3:$EZ$3,ES$60,$EQ127:$EZ127))/SUMIF($EQ$3:$EZ$3,ES$60,$EQ$4:$EZ$4)))</f>
        <v>0</v>
      </c>
      <c r="ET78" s="196" t="n">
        <f aca="false">IF((SUMIF($EQ$3:$EZ$3,ET$60,$EQ$4:$EZ$4))=0,0,((SUMIF($EQ$3:$EZ$3,ET$60,$EQ127:$EZ127))/SUMIF($EQ$3:$EZ$3,ET$60,$EQ$4:$EZ$4)))</f>
        <v>0</v>
      </c>
      <c r="EU78" s="196" t="n">
        <f aca="false">IF((SUMIF($EQ$3:$EZ$3,EU$60,$EQ$4:$EZ$4))=0,0,((SUMIF($EQ$3:$EZ$3,EU$60,$EQ127:$EZ127))/SUMIF($EQ$3:$EZ$3,EU$60,$EQ$4:$EZ$4)))</f>
        <v>0</v>
      </c>
      <c r="EV78" s="196" t="n">
        <f aca="false">IF((SUMIF($EQ$3:$EZ$3,EV$60,$EQ$4:$EZ$4))=0,0,((SUMIF($EQ$3:$EZ$3,EV$60,$EQ127:$EZ127))/SUMIF($EQ$3:$EZ$3,EV$60,$EQ$4:$EZ$4)))</f>
        <v>0</v>
      </c>
      <c r="EW78" s="196" t="n">
        <f aca="false">IF((SUMIF($EQ$3:$EZ$3,EW$60,$EQ$4:$EZ$4))=0,0,((SUMIF($EQ$3:$EZ$3,EW$60,$EQ127:$EZ127))/SUMIF($EQ$3:$EZ$3,EW$60,$EQ$4:$EZ$4)))</f>
        <v>0</v>
      </c>
      <c r="EX78" s="196" t="n">
        <f aca="false">IF((SUMIF($EQ$3:$EZ$3,EX$60,$EQ$4:$EZ$4))=0,0,((SUMIF($EQ$3:$EZ$3,EX$60,$EQ127:$EZ127))/SUMIF($EQ$3:$EZ$3,EX$60,$EQ$4:$EZ$4)))</f>
        <v>0</v>
      </c>
      <c r="EY78" s="196" t="n">
        <f aca="false">IF((SUMIF($EQ$3:$EZ$3,EY$60,$EQ$4:$EZ$4))=0,0,((SUMIF($EQ$3:$EZ$3,EY$60,$EQ127:$EZ127))/SUMIF($EQ$3:$EZ$3,EY$60,$EQ$4:$EZ$4)))</f>
        <v>0</v>
      </c>
      <c r="EZ78" s="197" t="n">
        <f aca="false">IF((SUMIF($EQ$3:$EZ$3,EZ$60,$EQ$4:$EZ$4))=0,0,((SUMIF($EQ$3:$EZ$3,EZ$60,$EQ127:$EZ127))/SUMIF($EQ$3:$EZ$3,EZ$60,$EQ$4:$EZ$4)))</f>
        <v>0</v>
      </c>
      <c r="FA78" s="194" t="str">
        <f aca="false">EP78</f>
        <v>Alumno17</v>
      </c>
      <c r="FB78" s="195" t="n">
        <f aca="false">IF((SUMIF($FB$3:$FK$3,FB$60,$FB$4:$FK$4))=0,0,((SUMIF($FB$3:$FK$3,FB$60,$FB127:$FK127))/SUMIF($FB$3:$FK$3,FB$60,$FB$4:$FK$4)))</f>
        <v>0</v>
      </c>
      <c r="FC78" s="196" t="n">
        <f aca="false">IF((SUMIF($FB$3:$FK$3,FC$60,$FB$4:$FK$4))=0,0,((SUMIF($FB$3:$FK$3,FC$60,$FB127:$FK127))/SUMIF($FB$3:$FK$3,FC$60,$FB$4:$FK$4)))</f>
        <v>0</v>
      </c>
      <c r="FD78" s="196" t="n">
        <f aca="false">IF((SUMIF($FB$3:$FK$3,FD$60,$FB$4:$FK$4))=0,0,((SUMIF($FB$3:$FK$3,FD$60,$FB127:$FK127))/SUMIF($FB$3:$FK$3,FD$60,$FB$4:$FK$4)))</f>
        <v>0</v>
      </c>
      <c r="FE78" s="196" t="n">
        <f aca="false">IF((SUMIF($FB$3:$FK$3,FE$60,$FB$4:$FK$4))=0,0,((SUMIF($FB$3:$FK$3,FE$60,$FB127:$FK127))/SUMIF($FB$3:$FK$3,FE$60,$FB$4:$FK$4)))</f>
        <v>0</v>
      </c>
      <c r="FF78" s="196" t="n">
        <f aca="false">IF((SUMIF($FB$3:$FK$3,FF$60,$FB$4:$FK$4))=0,0,((SUMIF($FB$3:$FK$3,FF$60,$FB127:$FK127))/SUMIF($FB$3:$FK$3,FF$60,$FB$4:$FK$4)))</f>
        <v>0</v>
      </c>
      <c r="FG78" s="196" t="n">
        <f aca="false">IF((SUMIF($FB$3:$FK$3,FG$60,$FB$4:$FK$4))=0,0,((SUMIF($FB$3:$FK$3,FG$60,$FB127:$FK127))/SUMIF($FB$3:$FK$3,FG$60,$FB$4:$FK$4)))</f>
        <v>0</v>
      </c>
      <c r="FH78" s="196" t="n">
        <f aca="false">IF((SUMIF($FB$3:$FK$3,FH$60,$FB$4:$FK$4))=0,0,((SUMIF($FB$3:$FK$3,FH$60,$FB127:$FK127))/SUMIF($FB$3:$FK$3,FH$60,$FB$4:$FK$4)))</f>
        <v>0</v>
      </c>
      <c r="FI78" s="196" t="n">
        <f aca="false">IF((SUMIF($FB$3:$FK$3,FI$60,$FB$4:$FK$4))=0,0,((SUMIF($FB$3:$FK$3,FI$60,$FB127:$FK127))/SUMIF($FB$3:$FK$3,FI$60,$FB$4:$FK$4)))</f>
        <v>0</v>
      </c>
      <c r="FJ78" s="196" t="n">
        <f aca="false">IF((SUMIF($FB$3:$FK$3,FJ$60,$FB$4:$FK$4))=0,0,((SUMIF($FB$3:$FK$3,FJ$60,$FB127:$FK127))/SUMIF($FB$3:$FK$3,FJ$60,$FB$4:$FK$4)))</f>
        <v>0</v>
      </c>
      <c r="FK78" s="197" t="n">
        <f aca="false">IF((SUMIF($FB$3:$FK$3,FK$60,$FB$4:$FK$4))=0,0,((SUMIF($FB$3:$FK$3,FK$60,$FB127:$FK127))/SUMIF($FB$3:$FK$3,FK$60,$FB$4:$FK$4)))</f>
        <v>0</v>
      </c>
      <c r="FL78" s="194" t="str">
        <f aca="false">FA78</f>
        <v>Alumno17</v>
      </c>
      <c r="FM78" s="195" t="n">
        <f aca="false">IF((SUMIF($FM$3:$FV$3,FM$60,$FM$4:$FV$4))=0,0,((SUMIF($FM$3:$FV$3,FM$60,$FM127:$FV127))/SUMIF($FM$3:$FV$3,FM$60,$FM$4:$FV$4)))</f>
        <v>0</v>
      </c>
      <c r="FN78" s="196" t="n">
        <f aca="false">IF((SUMIF($FM$3:$FV$3,FN$60,$FM$4:$FV$4))=0,0,((SUMIF($FM$3:$FV$3,FN$60,$FM127:$FV127))/SUMIF($FM$3:$FV$3,FN$60,$FM$4:$FV$4)))</f>
        <v>0</v>
      </c>
      <c r="FO78" s="196" t="n">
        <f aca="false">IF((SUMIF($FM$3:$FV$3,FO$60,$FM$4:$FV$4))=0,0,((SUMIF($FM$3:$FV$3,FO$60,$FM127:$FV127))/SUMIF($FM$3:$FV$3,FO$60,$FM$4:$FV$4)))</f>
        <v>0</v>
      </c>
      <c r="FP78" s="196" t="n">
        <f aca="false">IF((SUMIF($FM$3:$FV$3,FP$60,$FM$4:$FV$4))=0,0,((SUMIF($FM$3:$FV$3,FP$60,$FM127:$FV127))/SUMIF($FM$3:$FV$3,FP$60,$FM$4:$FV$4)))</f>
        <v>0</v>
      </c>
      <c r="FQ78" s="196" t="n">
        <f aca="false">IF((SUMIF($FM$3:$FV$3,FQ$60,$FM$4:$FV$4))=0,0,((SUMIF($FM$3:$FV$3,FQ$60,$FM127:$FV127))/SUMIF($FM$3:$FV$3,FQ$60,$FM$4:$FV$4)))</f>
        <v>0</v>
      </c>
      <c r="FR78" s="196" t="n">
        <f aca="false">IF((SUMIF($FM$3:$FV$3,FR$60,$FM$4:$FV$4))=0,0,((SUMIF($FM$3:$FV$3,FR$60,$FM127:$FV127))/SUMIF($FM$3:$FV$3,FR$60,$FM$4:$FV$4)))</f>
        <v>0</v>
      </c>
      <c r="FS78" s="196" t="n">
        <f aca="false">IF((SUMIF($FM$3:$FV$3,FS$60,$FM$4:$FV$4))=0,0,((SUMIF($FM$3:$FV$3,FS$60,$FM127:$FV127))/SUMIF($FM$3:$FV$3,FS$60,$FM$4:$FV$4)))</f>
        <v>0</v>
      </c>
      <c r="FT78" s="196" t="n">
        <f aca="false">IF((SUMIF($FM$3:$FV$3,FT$60,$FM$4:$FV$4))=0,0,((SUMIF($FM$3:$FV$3,FT$60,$FM127:$FV127))/SUMIF($FM$3:$FV$3,FT$60,$FM$4:$FV$4)))</f>
        <v>0</v>
      </c>
      <c r="FU78" s="196" t="n">
        <f aca="false">IF((SUMIF($FM$3:$FV$3,FU$60,$FM$4:$FV$4))=0,0,((SUMIF($FM$3:$FV$3,FU$60,$FM127:$FV127))/SUMIF($FM$3:$FV$3,FU$60,$FM$4:$FV$4)))</f>
        <v>0</v>
      </c>
      <c r="FV78" s="197" t="n">
        <f aca="false">IF((SUMIF($FM$3:$FV$3,FV$60,$FM$4:$FV$4))=0,0,((SUMIF($FM$3:$FV$3,FV$60,$FM127:$FV127))/SUMIF($FM$3:$FV$3,FV$60,$FM$4:$FV$4)))</f>
        <v>0</v>
      </c>
      <c r="FW78" s="194" t="str">
        <f aca="false">FL78</f>
        <v>Alumno17</v>
      </c>
      <c r="FX78" s="195" t="n">
        <f aca="false">IF((SUMIF($FX$3:$GG$3,FX$60,$FX$4:$GG$4))=0,0,((SUMIF($FX$3:$GG$3,FX$60,$FX127:$GG127))/SUMIF($FX$3:$GG$3,FX$60,$FX$4:$GG$4)))</f>
        <v>0</v>
      </c>
      <c r="FY78" s="196" t="n">
        <f aca="false">IF((SUMIF($FX$3:$GG$3,FY$60,$FX$4:$GG$4))=0,0,((SUMIF($FX$3:$GG$3,FY$60,$FX127:$GG127))/SUMIF($FX$3:$GG$3,FY$60,$FX$4:$GG$4)))</f>
        <v>0</v>
      </c>
      <c r="FZ78" s="196" t="n">
        <f aca="false">IF((SUMIF($FX$3:$GG$3,FZ$60,$FX$4:$GG$4))=0,0,((SUMIF($FX$3:$GG$3,FZ$60,$FX127:$GG127))/SUMIF($FX$3:$GG$3,FZ$60,$FX$4:$GG$4)))</f>
        <v>0</v>
      </c>
      <c r="GA78" s="196" t="n">
        <f aca="false">IF((SUMIF($FX$3:$GG$3,GA$60,$FX$4:$GG$4))=0,0,((SUMIF($FX$3:$GG$3,GA$60,$FX127:$GG127))/SUMIF($FX$3:$GG$3,GA$60,$FX$4:$GG$4)))</f>
        <v>0</v>
      </c>
      <c r="GB78" s="196" t="n">
        <f aca="false">IF((SUMIF($FX$3:$GG$3,GB$60,$FX$4:$GG$4))=0,0,((SUMIF($FX$3:$GG$3,GB$60,$FX127:$GG127))/SUMIF($FX$3:$GG$3,GB$60,$FX$4:$GG$4)))</f>
        <v>0</v>
      </c>
      <c r="GC78" s="196" t="n">
        <f aca="false">IF((SUMIF($FX$3:$GG$3,GC$60,$FX$4:$GG$4))=0,0,((SUMIF($FX$3:$GG$3,GC$60,$FX127:$GG127))/SUMIF($FX$3:$GG$3,GC$60,$FX$4:$GG$4)))</f>
        <v>0</v>
      </c>
      <c r="GD78" s="196" t="n">
        <f aca="false">IF((SUMIF($FX$3:$GG$3,GD$60,$FX$4:$GG$4))=0,0,((SUMIF($FX$3:$GG$3,GD$60,$FX127:$GG127))/SUMIF($FX$3:$GG$3,GD$60,$FX$4:$GG$4)))</f>
        <v>0</v>
      </c>
      <c r="GE78" s="196" t="n">
        <f aca="false">IF((SUMIF($FX$3:$GG$3,GE$60,$FX$4:$GG$4))=0,0,((SUMIF($FX$3:$GG$3,GE$60,$FX127:$GG127))/SUMIF($FX$3:$GG$3,GE$60,$FX$4:$GG$4)))</f>
        <v>0</v>
      </c>
      <c r="GF78" s="196" t="n">
        <f aca="false">IF((SUMIF($FX$3:$GG$3,GF$60,$FX$4:$GG$4))=0,0,((SUMIF($FX$3:$GG$3,GF$60,$FX127:$GG127))/SUMIF($FX$3:$GG$3,GF$60,$FX$4:$GG$4)))</f>
        <v>0</v>
      </c>
      <c r="GG78" s="197" t="n">
        <f aca="false">IF((SUMIF($FX$3:$GG$3,GG$60,$FX$4:$GG$4))=0,0,((SUMIF($FX$3:$GG$3,GG$60,$FX127:$GG127))/SUMIF($FX$3:$GG$3,GG$60,$FX$4:$GG$4)))</f>
        <v>0</v>
      </c>
      <c r="GH78" s="194" t="str">
        <f aca="false">FW78</f>
        <v>Alumno17</v>
      </c>
      <c r="GI78" s="195" t="n">
        <f aca="false">IF((SUMIF($GI$3:$GR$3,GI$60,$GI$4:$GR$4))=0,0,((SUMIF($GI$3:$GR$3,GI$60,$GI127:$GR127))/SUMIF($GI$3:$GR$3,GI$60,$GI$4:$GR$4)))</f>
        <v>0</v>
      </c>
      <c r="GJ78" s="196" t="n">
        <f aca="false">IF((SUMIF($GI$3:$GR$3,GJ$60,$GI$4:$GR$4))=0,0,((SUMIF($GI$3:$GR$3,GJ$60,$GI127:$GR127))/SUMIF($GI$3:$GR$3,GJ$60,$GI$4:$GR$4)))</f>
        <v>0</v>
      </c>
      <c r="GK78" s="196" t="n">
        <f aca="false">IF((SUMIF($GI$3:$GR$3,GK$60,$GI$4:$GR$4))=0,0,((SUMIF($GI$3:$GR$3,GK$60,$GI127:$GR127))/SUMIF($GI$3:$GR$3,GK$60,$GI$4:$GR$4)))</f>
        <v>0</v>
      </c>
      <c r="GL78" s="196" t="n">
        <f aca="false">IF((SUMIF($GI$3:$GR$3,GL$60,$GI$4:$GR$4))=0,0,((SUMIF($GI$3:$GR$3,GL$60,$GI127:$GR127))/SUMIF($GI$3:$GR$3,GL$60,$GI$4:$GR$4)))</f>
        <v>0</v>
      </c>
      <c r="GM78" s="196" t="n">
        <f aca="false">IF((SUMIF($GI$3:$GR$3,GM$60,$GI$4:$GR$4))=0,0,((SUMIF($GI$3:$GR$3,GM$60,$GI127:$GR127))/SUMIF($GI$3:$GR$3,GM$60,$GI$4:$GR$4)))</f>
        <v>0</v>
      </c>
      <c r="GN78" s="196" t="n">
        <f aca="false">IF((SUMIF($GI$3:$GR$3,GN$60,$GI$4:$GR$4))=0,0,((SUMIF($GI$3:$GR$3,GN$60,$GI127:$GR127))/SUMIF($GI$3:$GR$3,GN$60,$GI$4:$GR$4)))</f>
        <v>0</v>
      </c>
      <c r="GO78" s="196" t="n">
        <f aca="false">IF((SUMIF($GI$3:$GR$3,GO$60,$GI$4:$GR$4))=0,0,((SUMIF($GI$3:$GR$3,GO$60,$GI127:$GR127))/SUMIF($GI$3:$GR$3,GO$60,$GI$4:$GR$4)))</f>
        <v>0</v>
      </c>
      <c r="GP78" s="196" t="n">
        <f aca="false">IF((SUMIF($GI$3:$GR$3,GP$60,$GI$4:$GR$4))=0,0,((SUMIF($GI$3:$GR$3,GP$60,$GI127:$GR127))/SUMIF($GI$3:$GR$3,GP$60,$GI$4:$GR$4)))</f>
        <v>0</v>
      </c>
      <c r="GQ78" s="196" t="n">
        <f aca="false">IF((SUMIF($GI$3:$GR$3,GQ$60,$GI$4:$GR$4))=0,0,((SUMIF($GI$3:$GR$3,GQ$60,$GI127:$GR127))/SUMIF($GI$3:$GR$3,GQ$60,$GI$4:$GR$4)))</f>
        <v>0</v>
      </c>
      <c r="GR78" s="197" t="n">
        <f aca="false">IF((SUMIF($GI$3:$GR$3,GR$60,$GI$4:$GR$4))=0,0,((SUMIF($GI$3:$GR$3,GR$60,$GI127:$GR127))/SUMIF($GI$3:$GR$3,GR$60,$GI$4:$GR$4)))</f>
        <v>0</v>
      </c>
      <c r="GS78" s="194" t="str">
        <f aca="false">GH78</f>
        <v>Alumno17</v>
      </c>
      <c r="GT78" s="195" t="n">
        <f aca="false">IF((SUMIF($GT$3:$HC$3,GT$60,$GT$4:$HC$4))=0,0,((SUMIF($GT$3:$HC$3,GT$60,$GT127:$HC127))/SUMIF($GT$3:$HC$3,GT$60,$GT$4:$HC$4)))</f>
        <v>0</v>
      </c>
      <c r="GU78" s="196" t="n">
        <f aca="false">IF((SUMIF($GT$3:$HC$3,GU$60,$GT$4:$HC$4))=0,0,((SUMIF($GT$3:$HC$3,GU$60,$GT127:$HC127))/SUMIF($GT$3:$HC$3,GU$60,$GT$4:$HC$4)))</f>
        <v>0</v>
      </c>
      <c r="GV78" s="196" t="n">
        <f aca="false">IF((SUMIF($GT$3:$HC$3,GV$60,$GT$4:$HC$4))=0,0,((SUMIF($GT$3:$HC$3,GV$60,$GT127:$HC127))/SUMIF($GT$3:$HC$3,GV$60,$GT$4:$HC$4)))</f>
        <v>0</v>
      </c>
      <c r="GW78" s="196" t="n">
        <f aca="false">IF((SUMIF($GT$3:$HC$3,GW$60,$GT$4:$HC$4))=0,0,((SUMIF($GT$3:$HC$3,GW$60,$GT127:$HC127))/SUMIF($GT$3:$HC$3,GW$60,$GT$4:$HC$4)))</f>
        <v>0</v>
      </c>
      <c r="GX78" s="196" t="n">
        <f aca="false">IF((SUMIF($GT$3:$HC$3,GX$60,$GT$4:$HC$4))=0,0,((SUMIF($GT$3:$HC$3,GX$60,$GT127:$HC127))/SUMIF($GT$3:$HC$3,GX$60,$GT$4:$HC$4)))</f>
        <v>0</v>
      </c>
      <c r="GY78" s="196" t="n">
        <f aca="false">IF((SUMIF($GT$3:$HC$3,GY$60,$GT$4:$HC$4))=0,0,((SUMIF($GT$3:$HC$3,GY$60,$GT127:$HC127))/SUMIF($GT$3:$HC$3,GY$60,$GT$4:$HC$4)))</f>
        <v>0</v>
      </c>
      <c r="GZ78" s="196" t="n">
        <f aca="false">IF((SUMIF($GT$3:$HC$3,GZ$60,$GT$4:$HC$4))=0,0,((SUMIF($GT$3:$HC$3,GZ$60,$GT127:$HC127))/SUMIF($GT$3:$HC$3,GZ$60,$GT$4:$HC$4)))</f>
        <v>0</v>
      </c>
      <c r="HA78" s="196" t="n">
        <f aca="false">IF((SUMIF($GT$3:$HC$3,HA$60,$GT$4:$HC$4))=0,0,((SUMIF($GT$3:$HC$3,HA$60,$GT127:$HC127))/SUMIF($GT$3:$HC$3,HA$60,$GT$4:$HC$4)))</f>
        <v>0</v>
      </c>
      <c r="HB78" s="196" t="n">
        <f aca="false">IF((SUMIF($GT$3:$HC$3,HB$60,$GT$4:$HC$4))=0,0,((SUMIF($GT$3:$HC$3,HB$60,$GT127:$HC127))/SUMIF($GT$3:$HC$3,HB$60,$GT$4:$HC$4)))</f>
        <v>0</v>
      </c>
      <c r="HC78" s="197" t="n">
        <f aca="false">IF((SUMIF($GT$3:$HC$3,HC$60,$GT$4:$HC$4))=0,0,((SUMIF($GT$3:$HC$3,HC$60,$GT127:$HC127))/SUMIF($GT$3:$HC$3,HC$60,$GT$4:$HC$4)))</f>
        <v>0</v>
      </c>
      <c r="HD78" s="194" t="str">
        <f aca="false">GS78</f>
        <v>Alumno17</v>
      </c>
      <c r="HE78" s="195" t="n">
        <f aca="false">IF((SUMIF($HE$3:$HN$3,HE$60,$HE$4:$HN$4))=0,0,((SUMIF($HE$3:$HN$3,HE$60,$HE127:$HN127))/SUMIF($HE$3:$HN$3,HE$60,$HE$4:$HN$4)))</f>
        <v>0</v>
      </c>
      <c r="HF78" s="196" t="n">
        <f aca="false">IF((SUMIF($HE$3:$HN$3,HF$60,$HE$4:$HN$4))=0,0,((SUMIF($HE$3:$HN$3,HF$60,$HE127:$HN127))/SUMIF($HE$3:$HN$3,HF$60,$HE$4:$HN$4)))</f>
        <v>0</v>
      </c>
      <c r="HG78" s="196" t="n">
        <f aca="false">IF((SUMIF($HE$3:$HN$3,HG$60,$HE$4:$HN$4))=0,0,((SUMIF($HE$3:$HN$3,HG$60,$HE127:$HN127))/SUMIF($HE$3:$HN$3,HG$60,$HE$4:$HN$4)))</f>
        <v>0</v>
      </c>
      <c r="HH78" s="196" t="n">
        <f aca="false">IF((SUMIF($HE$3:$HN$3,HH$60,$HE$4:$HN$4))=0,0,((SUMIF($HE$3:$HN$3,HH$60,$HE127:$HN127))/SUMIF($HE$3:$HN$3,HH$60,$HE$4:$HN$4)))</f>
        <v>0</v>
      </c>
      <c r="HI78" s="196" t="n">
        <f aca="false">IF((SUMIF($HE$3:$HN$3,HI$60,$HE$4:$HN$4))=0,0,((SUMIF($HE$3:$HN$3,HI$60,$HE127:$HN127))/SUMIF($HE$3:$HN$3,HI$60,$HE$4:$HN$4)))</f>
        <v>0</v>
      </c>
      <c r="HJ78" s="196" t="n">
        <f aca="false">IF((SUMIF($HE$3:$HN$3,HJ$60,$HE$4:$HN$4))=0,0,((SUMIF($HE$3:$HN$3,HJ$60,$HE127:$HN127))/SUMIF($HE$3:$HN$3,HJ$60,$HE$4:$HN$4)))</f>
        <v>0</v>
      </c>
      <c r="HK78" s="196" t="n">
        <f aca="false">IF((SUMIF($HE$3:$HN$3,HK$60,$HE$4:$HN$4))=0,0,((SUMIF($HE$3:$HN$3,HK$60,$HE127:$HN127))/SUMIF($HE$3:$HN$3,HK$60,$HE$4:$HN$4)))</f>
        <v>0</v>
      </c>
      <c r="HL78" s="196" t="n">
        <f aca="false">IF((SUMIF($HE$3:$HN$3,HL$60,$HE$4:$HN$4))=0,0,((SUMIF($HE$3:$HN$3,HL$60,$HE127:$HN127))/SUMIF($HE$3:$HN$3,HL$60,$HE$4:$HN$4)))</f>
        <v>0</v>
      </c>
      <c r="HM78" s="196" t="n">
        <f aca="false">IF((SUMIF($HE$3:$HN$3,HM$60,$HE$4:$HN$4))=0,0,((SUMIF($HE$3:$HN$3,HM$60,$HE127:$HN127))/SUMIF($HE$3:$HN$3,HM$60,$HE$4:$HN$4)))</f>
        <v>0</v>
      </c>
      <c r="HN78" s="197" t="n">
        <f aca="false">IF((SUMIF($HE$3:$HN$3,HN$60,$HE$4:$HN$4))=0,0,((SUMIF($HE$3:$HN$3,HN$60,$HE127:$HN127))/SUMIF($HE$3:$HN$3,HN$60,$HE$4:$HN$4)))</f>
        <v>0</v>
      </c>
      <c r="HO78" s="194" t="str">
        <f aca="false">HD78</f>
        <v>Alumno17</v>
      </c>
      <c r="HP78" s="195" t="n">
        <f aca="false">IF((SUMIF($HP$3:$HY$3,HP$60,$HP$4:$HY$4))=0,0,((SUMIF($HP$3:$HY$3,HP$60,$HP127:$HY127))/SUMIF($HP$3:$HY$3,HP$60,$HP$4:$HY$4)))</f>
        <v>0</v>
      </c>
      <c r="HQ78" s="196" t="n">
        <f aca="false">IF((SUMIF($HP$3:$HY$3,HQ$60,$HP$4:$HY$4))=0,0,((SUMIF($HP$3:$HY$3,HQ$60,$HP127:$HY127))/SUMIF($HP$3:$HY$3,HQ$60,$HP$4:$HY$4)))</f>
        <v>0</v>
      </c>
      <c r="HR78" s="196" t="n">
        <f aca="false">IF((SUMIF($HP$3:$HY$3,HR$60,$HP$4:$HY$4))=0,0,((SUMIF($HP$3:$HY$3,HR$60,$HP127:$HY127))/SUMIF($HP$3:$HY$3,HR$60,$HP$4:$HY$4)))</f>
        <v>0</v>
      </c>
      <c r="HS78" s="196" t="n">
        <f aca="false">IF((SUMIF($HP$3:$HY$3,HS$60,$HP$4:$HY$4))=0,0,((SUMIF($HP$3:$HY$3,HS$60,$HP127:$HY127))/SUMIF($HP$3:$HY$3,HS$60,$HP$4:$HY$4)))</f>
        <v>0</v>
      </c>
      <c r="HT78" s="196" t="n">
        <f aca="false">IF((SUMIF($HP$3:$HY$3,HT$60,$HP$4:$HY$4))=0,0,((SUMIF($HP$3:$HY$3,HT$60,$HP127:$HY127))/SUMIF($HP$3:$HY$3,HT$60,$HP$4:$HY$4)))</f>
        <v>0</v>
      </c>
      <c r="HU78" s="196" t="n">
        <f aca="false">IF((SUMIF($HP$3:$HY$3,HU$60,$HP$4:$HY$4))=0,0,((SUMIF($HP$3:$HY$3,HU$60,$HP127:$HY127))/SUMIF($HP$3:$HY$3,HU$60,$HP$4:$HY$4)))</f>
        <v>0</v>
      </c>
      <c r="HV78" s="196" t="n">
        <f aca="false">IF((SUMIF($HP$3:$HY$3,HV$60,$HP$4:$HY$4))=0,0,((SUMIF($HP$3:$HY$3,HV$60,$HP127:$HY127))/SUMIF($HP$3:$HY$3,HV$60,$HP$4:$HY$4)))</f>
        <v>0</v>
      </c>
      <c r="HW78" s="196" t="n">
        <f aca="false">IF((SUMIF($HP$3:$HY$3,HW$60,$HP$4:$HY$4))=0,0,((SUMIF($HP$3:$HY$3,HW$60,$HP127:$HY127))/SUMIF($HP$3:$HY$3,HW$60,$HP$4:$HY$4)))</f>
        <v>0</v>
      </c>
      <c r="HX78" s="196" t="n">
        <f aca="false">IF((SUMIF($HP$3:$HY$3,HX$60,$HP$4:$HY$4))=0,0,((SUMIF($HP$3:$HY$3,HX$60,$HP127:$HY127))/SUMIF($HP$3:$HY$3,HX$60,$HP$4:$HY$4)))</f>
        <v>0</v>
      </c>
      <c r="HY78" s="197" t="n">
        <f aca="false">IF((SUMIF($HP$3:$HY$3,HY$60,$HP$4:$HY$4))=0,0,((SUMIF($HP$3:$HY$3,HY$60,$HP127:$HY127))/SUMIF($HP$3:$HY$3,HY$60,$HP$4:$HY$4)))</f>
        <v>0</v>
      </c>
      <c r="HZ78" s="194" t="str">
        <f aca="false">HO78</f>
        <v>Alumno17</v>
      </c>
      <c r="IA78" s="195" t="n">
        <f aca="false">IF((SUMIF($IA$3:$IJ$3,IA$60,$IA$4:$IJ$4))=0,0,((SUMIF($IA$3:$IJ$3,IA$60,$IA127:$IJ127))/SUMIF($IA$3:$IJ$3,IA$60,$IA$4:$IJ$4)))</f>
        <v>0</v>
      </c>
      <c r="IB78" s="196" t="n">
        <f aca="false">IF((SUMIF($IA$3:$IJ$3,IB$60,$IA$4:$IJ$4))=0,0,((SUMIF($IA$3:$IJ$3,IB$60,$IA127:$IJ127))/SUMIF($IA$3:$IJ$3,IB$60,$IA$4:$IJ$4)))</f>
        <v>0</v>
      </c>
      <c r="IC78" s="196" t="n">
        <f aca="false">IF((SUMIF($IA$3:$IJ$3,IC$60,$IA$4:$IJ$4))=0,0,((SUMIF($IA$3:$IJ$3,IC$60,$IA127:$IJ127))/SUMIF($IA$3:$IJ$3,IC$60,$IA$4:$IJ$4)))</f>
        <v>0</v>
      </c>
      <c r="ID78" s="196" t="n">
        <f aca="false">IF((SUMIF($IA$3:$IJ$3,ID$60,$IA$4:$IJ$4))=0,0,((SUMIF($IA$3:$IJ$3,ID$60,$IA127:$IJ127))/SUMIF($IA$3:$IJ$3,ID$60,$IA$4:$IJ$4)))</f>
        <v>0</v>
      </c>
      <c r="IE78" s="196" t="n">
        <f aca="false">IF((SUMIF($IA$3:$IJ$3,IE$60,$IA$4:$IJ$4))=0,0,((SUMIF($IA$3:$IJ$3,IE$60,$IA127:$IJ127))/SUMIF($IA$3:$IJ$3,IE$60,$IA$4:$IJ$4)))</f>
        <v>0</v>
      </c>
      <c r="IF78" s="196" t="n">
        <f aca="false">IF((SUMIF($IA$3:$IJ$3,IF$60,$IA$4:$IJ$4))=0,0,((SUMIF($IA$3:$IJ$3,IF$60,$IA127:$IJ127))/SUMIF($IA$3:$IJ$3,IF$60,$IA$4:$IJ$4)))</f>
        <v>0</v>
      </c>
      <c r="IG78" s="196" t="n">
        <f aca="false">IF((SUMIF($IA$3:$IJ$3,IG$60,$IA$4:$IJ$4))=0,0,((SUMIF($IA$3:$IJ$3,IG$60,$IA127:$IJ127))/SUMIF($IA$3:$IJ$3,IG$60,$IA$4:$IJ$4)))</f>
        <v>0</v>
      </c>
      <c r="IH78" s="196" t="n">
        <f aca="false">IF((SUMIF($IA$3:$IJ$3,IH$60,$IA$4:$IJ$4))=0,0,((SUMIF($IA$3:$IJ$3,IH$60,$IA127:$IJ127))/SUMIF($IA$3:$IJ$3,IH$60,$IA$4:$IJ$4)))</f>
        <v>0</v>
      </c>
      <c r="II78" s="196" t="n">
        <f aca="false">IF((SUMIF($IA$3:$IJ$3,II$60,$IA$4:$IJ$4))=0,0,((SUMIF($IA$3:$IJ$3,II$60,$IA127:$IJ127))/SUMIF($IA$3:$IJ$3,II$60,$IA$4:$IJ$4)))</f>
        <v>0</v>
      </c>
      <c r="IJ78" s="197" t="n">
        <f aca="false">IF((SUMIF($IA$3:$IJ$3,IJ$60,$IA$4:$IJ$4))=0,0,((SUMIF($IA$3:$IJ$3,IJ$60,$IA127:$IJ127))/SUMIF($IA$3:$IJ$3,IJ$60,$IA$4:$IJ$4)))</f>
        <v>0</v>
      </c>
      <c r="IK78" s="194" t="str">
        <f aca="false">HZ78</f>
        <v>Alumno17</v>
      </c>
      <c r="IL78" s="195" t="n">
        <f aca="false">IF((SUMIF($IL$3:$IU$3,IL$60,$IL$4:$IU$4))=0,0,((SUMIF($IL$3:$IU$3,IL$60,$IL127:$IU127))/SUMIF($IL$3:$IU$3,IL$60,$IL$4:$IU$4)))</f>
        <v>0</v>
      </c>
      <c r="IM78" s="196" t="n">
        <f aca="false">IF((SUMIF($IL$3:$IU$3,IM$60,$IL$4:$IU$4))=0,0,((SUMIF($IL$3:$IU$3,IM$60,$IL127:$IU127))/SUMIF($IL$3:$IU$3,IM$60,$IL$4:$IU$4)))</f>
        <v>0</v>
      </c>
      <c r="IN78" s="196" t="n">
        <f aca="false">IF((SUMIF($IL$3:$IU$3,IN$60,$IL$4:$IU$4))=0,0,((SUMIF($IL$3:$IU$3,IN$60,$IL127:$IU127))/SUMIF($IL$3:$IU$3,IN$60,$IL$4:$IU$4)))</f>
        <v>0</v>
      </c>
      <c r="IO78" s="196" t="n">
        <f aca="false">IF((SUMIF($IL$3:$IU$3,IO$60,$IL$4:$IU$4))=0,0,((SUMIF($IL$3:$IU$3,IO$60,$IL127:$IU127))/SUMIF($IL$3:$IU$3,IO$60,$IL$4:$IU$4)))</f>
        <v>0</v>
      </c>
      <c r="IP78" s="196" t="n">
        <f aca="false">IF((SUMIF($IL$3:$IU$3,IP$60,$IL$4:$IU$4))=0,0,((SUMIF($IL$3:$IU$3,IP$60,$IL127:$IU127))/SUMIF($IL$3:$IU$3,IP$60,$IL$4:$IU$4)))</f>
        <v>0</v>
      </c>
      <c r="IQ78" s="196" t="n">
        <f aca="false">IF((SUMIF($IL$3:$IU$3,IQ$60,$IL$4:$IU$4))=0,0,((SUMIF($IL$3:$IU$3,IQ$60,$IL127:$IU127))/SUMIF($IL$3:$IU$3,IQ$60,$IL$4:$IU$4)))</f>
        <v>0</v>
      </c>
      <c r="IR78" s="196" t="n">
        <f aca="false">IF((SUMIF($IL$3:$IU$3,IR$60,$IL$4:$IU$4))=0,0,((SUMIF($IL$3:$IU$3,IR$60,$IL127:$IU127))/SUMIF($IL$3:$IU$3,IR$60,$IL$4:$IU$4)))</f>
        <v>0</v>
      </c>
      <c r="IS78" s="196" t="n">
        <f aca="false">IF((SUMIF($IL$3:$IU$3,IS$60,$IL$4:$IU$4))=0,0,((SUMIF($IL$3:$IU$3,IS$60,$IL127:$IU127))/SUMIF($IL$3:$IU$3,IS$60,$IL$4:$IU$4)))</f>
        <v>0</v>
      </c>
      <c r="IT78" s="196" t="n">
        <f aca="false">IF((SUMIF($IL$3:$IU$3,IT$60,$IL$4:$IU$4))=0,0,((SUMIF($IL$3:$IU$3,IT$60,$IL127:$IU127))/SUMIF($IL$3:$IU$3,IT$60,$IL$4:$IU$4)))</f>
        <v>0</v>
      </c>
      <c r="IU78" s="197" t="n">
        <f aca="false">IF((SUMIF($IL$3:$IU$3,IU$60,$IL$4:$IU$4))=0,0,((SUMIF($IL$3:$IU$3,IU$60,$IL127:$IU127))/SUMIF($IL$3:$IU$3,IU$60,$IL$4:$IU$4)))</f>
        <v>0</v>
      </c>
      <c r="IV78" s="194" t="str">
        <f aca="false">IK78</f>
        <v>Alumno17</v>
      </c>
      <c r="IW78" s="195" t="n">
        <f aca="false">IF((SUMIF($IW$3:$JF$3,IW$60,$IW$4:$JF$4))=0,0,((SUMIF($IW$3:$JF$3,IW$60,$IW127:$JF127))/SUMIF($IW$3:$JF$3,IW$60,$IW$4:$JF$4)))</f>
        <v>0</v>
      </c>
      <c r="IX78" s="196" t="n">
        <f aca="false">IF((SUMIF($IW$3:$JF$3,IX$60,$IW$4:$JF$4))=0,0,((SUMIF($IW$3:$JF$3,IX$60,$IW127:$JF127))/SUMIF($IW$3:$JF$3,IX$60,$IW$4:$JF$4)))</f>
        <v>0</v>
      </c>
      <c r="IY78" s="196" t="n">
        <f aca="false">IF((SUMIF($IW$3:$JF$3,IY$60,$IW$4:$JF$4))=0,0,((SUMIF($IW$3:$JF$3,IY$60,$IW127:$JF127))/SUMIF($IW$3:$JF$3,IY$60,$IW$4:$JF$4)))</f>
        <v>0</v>
      </c>
      <c r="IZ78" s="196" t="n">
        <f aca="false">IF((SUMIF($IW$3:$JF$3,IZ$60,$IW$4:$JF$4))=0,0,((SUMIF($IW$3:$JF$3,IZ$60,$IW127:$JF127))/SUMIF($IW$3:$JF$3,IZ$60,$IW$4:$JF$4)))</f>
        <v>0</v>
      </c>
      <c r="JA78" s="196" t="n">
        <f aca="false">IF((SUMIF($IW$3:$JF$3,JA$60,$IW$4:$JF$4))=0,0,((SUMIF($IW$3:$JF$3,JA$60,$IW127:$JF127))/SUMIF($IW$3:$JF$3,JA$60,$IW$4:$JF$4)))</f>
        <v>0</v>
      </c>
      <c r="JB78" s="196" t="n">
        <f aca="false">IF((SUMIF($IW$3:$JF$3,JB$60,$IW$4:$JF$4))=0,0,((SUMIF($IW$3:$JF$3,JB$60,$IW127:$JF127))/SUMIF($IW$3:$JF$3,JB$60,$IW$4:$JF$4)))</f>
        <v>0</v>
      </c>
      <c r="JC78" s="196" t="n">
        <f aca="false">IF((SUMIF($IW$3:$JF$3,JC$60,$IW$4:$JF$4))=0,0,((SUMIF($IW$3:$JF$3,JC$60,$IW127:$JF127))/SUMIF($IW$3:$JF$3,JC$60,$IW$4:$JF$4)))</f>
        <v>0</v>
      </c>
      <c r="JD78" s="196" t="n">
        <f aca="false">IF((SUMIF($IW$3:$JF$3,JD$60,$IW$4:$JF$4))=0,0,((SUMIF($IW$3:$JF$3,JD$60,$IW127:$JF127))/SUMIF($IW$3:$JF$3,JD$60,$IW$4:$JF$4)))</f>
        <v>0</v>
      </c>
      <c r="JE78" s="196" t="n">
        <f aca="false">IF((SUMIF($IW$3:$JF$3,JE$60,$IW$4:$JF$4))=0,0,((SUMIF($IW$3:$JF$3,JE$60,$IW127:$JF127))/SUMIF($IW$3:$JF$3,JE$60,$IW$4:$JF$4)))</f>
        <v>0</v>
      </c>
      <c r="JF78" s="197" t="n">
        <f aca="false">IF((SUMIF($IW$3:$JF$3,JF$60,$IW$4:$JF$4))=0,0,((SUMIF($IW$3:$JF$3,JF$60,$IW127:$JF127))/SUMIF($IW$3:$JF$3,JF$60,$IW$4:$JF$4)))</f>
        <v>0</v>
      </c>
      <c r="JG78" s="194" t="str">
        <f aca="false">IV78</f>
        <v>Alumno17</v>
      </c>
      <c r="JH78" s="195" t="n">
        <f aca="false">IF((SUMIF($JH$3:$JQ$3,JH$60,$JH$4:$JQ$4))=0,0,((SUMIF($JH$3:$JQ$3,JH$60,$JH127:$JQ127))/SUMIF($JH$3:$JQ$3,JH$60,$JH$4:$JQ$4)))</f>
        <v>0</v>
      </c>
      <c r="JI78" s="196" t="n">
        <f aca="false">IF((SUMIF($JH$3:$JQ$3,JI$60,$JH$4:$JQ$4))=0,0,((SUMIF($JH$3:$JQ$3,JI$60,$JH127:$JQ127))/SUMIF($JH$3:$JQ$3,JI$60,$JH$4:$JQ$4)))</f>
        <v>0</v>
      </c>
      <c r="JJ78" s="196" t="n">
        <f aca="false">IF((SUMIF($JH$3:$JQ$3,JJ$60,$JH$4:$JQ$4))=0,0,((SUMIF($JH$3:$JQ$3,JJ$60,$JH127:$JQ127))/SUMIF($JH$3:$JQ$3,JJ$60,$JH$4:$JQ$4)))</f>
        <v>0</v>
      </c>
      <c r="JK78" s="196" t="n">
        <f aca="false">IF((SUMIF($JH$3:$JQ$3,JK$60,$JH$4:$JQ$4))=0,0,((SUMIF($JH$3:$JQ$3,JK$60,$JH127:$JQ127))/SUMIF($JH$3:$JQ$3,JK$60,$JH$4:$JQ$4)))</f>
        <v>0</v>
      </c>
      <c r="JL78" s="196" t="n">
        <f aca="false">IF((SUMIF($JH$3:$JQ$3,JL$60,$JH$4:$JQ$4))=0,0,((SUMIF($JH$3:$JQ$3,JL$60,$JH127:$JQ127))/SUMIF($JH$3:$JQ$3,JL$60,$JH$4:$JQ$4)))</f>
        <v>0</v>
      </c>
      <c r="JM78" s="196" t="n">
        <f aca="false">IF((SUMIF($JH$3:$JQ$3,JM$60,$JH$4:$JQ$4))=0,0,((SUMIF($JH$3:$JQ$3,JM$60,$JH127:$JQ127))/SUMIF($JH$3:$JQ$3,JM$60,$JH$4:$JQ$4)))</f>
        <v>0</v>
      </c>
      <c r="JN78" s="196" t="n">
        <f aca="false">IF((SUMIF($JH$3:$JQ$3,JN$60,$JH$4:$JQ$4))=0,0,((SUMIF($JH$3:$JQ$3,JN$60,$JH127:$JQ127))/SUMIF($JH$3:$JQ$3,JN$60,$JH$4:$JQ$4)))</f>
        <v>0</v>
      </c>
      <c r="JO78" s="196" t="n">
        <f aca="false">IF((SUMIF($JH$3:$JQ$3,JO$60,$JH$4:$JQ$4))=0,0,((SUMIF($JH$3:$JQ$3,JO$60,$JH127:$JQ127))/SUMIF($JH$3:$JQ$3,JO$60,$JH$4:$JQ$4)))</f>
        <v>0</v>
      </c>
      <c r="JP78" s="196" t="n">
        <f aca="false">IF((SUMIF($JH$3:$JQ$3,JP$60,$JH$4:$JQ$4))=0,0,((SUMIF($JH$3:$JQ$3,JP$60,$JH127:$JQ127))/SUMIF($JH$3:$JQ$3,JP$60,$JH$4:$JQ$4)))</f>
        <v>0</v>
      </c>
      <c r="JQ78" s="197" t="n">
        <f aca="false">IF((SUMIF($JH$3:$JQ$3,JQ$60,$JH$4:$JQ$4))=0,0,((SUMIF($JH$3:$JQ$3,JQ$60,$JH127:$JQ127))/SUMIF($JH$3:$JQ$3,JQ$60,$JH$4:$JQ$4)))</f>
        <v>0</v>
      </c>
      <c r="JR78" s="194" t="str">
        <f aca="false">JG78</f>
        <v>Alumno17</v>
      </c>
      <c r="JS78" s="195" t="n">
        <f aca="false">IF((SUMIF($JS$3:$KB$3,JS$60,$JS$4:$KB$4))=0,0,((SUMIF($JS$3:$KB$3,JS$60,$JS127:$KB127))/SUMIF($JS$3:$KB$3,JS$60,$JS$4:$KB$4)))</f>
        <v>0</v>
      </c>
      <c r="JT78" s="196" t="n">
        <f aca="false">IF((SUMIF($JS$3:$KB$3,JT$60,$JS$4:$KB$4))=0,0,((SUMIF($JS$3:$KB$3,JT$60,$JS127:$KB127))/SUMIF($JS$3:$KB$3,JT$60,$JS$4:$KB$4)))</f>
        <v>0</v>
      </c>
      <c r="JU78" s="196" t="n">
        <f aca="false">IF((SUMIF($JS$3:$KB$3,JU$60,$JS$4:$KB$4))=0,0,((SUMIF($JS$3:$KB$3,JU$60,$JS127:$KB127))/SUMIF($JS$3:$KB$3,JU$60,$JS$4:$KB$4)))</f>
        <v>0</v>
      </c>
      <c r="JV78" s="196" t="n">
        <f aca="false">IF((SUMIF($JS$3:$KB$3,JV$60,$JS$4:$KB$4))=0,0,((SUMIF($JS$3:$KB$3,JV$60,$JS127:$KB127))/SUMIF($JS$3:$KB$3,JV$60,$JS$4:$KB$4)))</f>
        <v>0</v>
      </c>
      <c r="JW78" s="196" t="n">
        <f aca="false">IF((SUMIF($JS$3:$KB$3,JW$60,$JS$4:$KB$4))=0,0,((SUMIF($JS$3:$KB$3,JW$60,$JS127:$KB127))/SUMIF($JS$3:$KB$3,JW$60,$JS$4:$KB$4)))</f>
        <v>0</v>
      </c>
      <c r="JX78" s="196" t="n">
        <f aca="false">IF((SUMIF($JS$3:$KB$3,JX$60,$JS$4:$KB$4))=0,0,((SUMIF($JS$3:$KB$3,JX$60,$JS127:$KB127))/SUMIF($JS$3:$KB$3,JX$60,$JS$4:$KB$4)))</f>
        <v>0</v>
      </c>
      <c r="JY78" s="196" t="n">
        <f aca="false">IF((SUMIF($JS$3:$KB$3,JY$60,$JS$4:$KB$4))=0,0,((SUMIF($JS$3:$KB$3,JY$60,$JS127:$KB127))/SUMIF($JS$3:$KB$3,JY$60,$JS$4:$KB$4)))</f>
        <v>0</v>
      </c>
      <c r="JZ78" s="196" t="n">
        <f aca="false">IF((SUMIF($JS$3:$KB$3,JZ$60,$JS$4:$KB$4))=0,0,((SUMIF($JS$3:$KB$3,JZ$60,$JS127:$KB127))/SUMIF($JS$3:$KB$3,JZ$60,$JS$4:$KB$4)))</f>
        <v>0</v>
      </c>
      <c r="KA78" s="196" t="n">
        <f aca="false">IF((SUMIF($JS$3:$KB$3,KA$60,$JS$4:$KB$4))=0,0,((SUMIF($JS$3:$KB$3,KA$60,$JS127:$KB127))/SUMIF($JS$3:$KB$3,KA$60,$JS$4:$KB$4)))</f>
        <v>0</v>
      </c>
      <c r="KB78" s="197" t="n">
        <f aca="false">IF((SUMIF($JS$3:$KB$3,KB$60,$JS$4:$KB$4))=0,0,((SUMIF($JS$3:$KB$3,KB$60,$JS127:$KB127))/SUMIF($JS$3:$KB$3,KB$60,$JS$4:$KB$4)))</f>
        <v>0</v>
      </c>
      <c r="KC78" s="194" t="str">
        <f aca="false">JR78</f>
        <v>Alumno17</v>
      </c>
      <c r="KD78" s="195" t="n">
        <f aca="false">IF((SUMIF($KD$3:$KM$3,KD$60,$KD$4:$KM$4))=0,0,((SUMIF($KD$3:$KM$3,KD$60,$KD127:$KM127))/SUMIF($KD$3:$KM$3,KD$60,$KD$4:$KM$4)))</f>
        <v>0</v>
      </c>
      <c r="KE78" s="196" t="n">
        <f aca="false">IF((SUMIF($KD$3:$KM$3,KE$60,$KD$4:$KM$4))=0,0,((SUMIF($KD$3:$KM$3,KE$60,$KD127:$KM127))/SUMIF($KD$3:$KM$3,KE$60,$KD$4:$KM$4)))</f>
        <v>0</v>
      </c>
      <c r="KF78" s="196" t="n">
        <f aca="false">IF((SUMIF($KD$3:$KM$3,KF$60,$KD$4:$KM$4))=0,0,((SUMIF($KD$3:$KM$3,KF$60,$KD127:$KM127))/SUMIF($KD$3:$KM$3,KF$60,$KD$4:$KM$4)))</f>
        <v>0</v>
      </c>
      <c r="KG78" s="196" t="n">
        <f aca="false">IF((SUMIF($KD$3:$KM$3,KG$60,$KD$4:$KM$4))=0,0,((SUMIF($KD$3:$KM$3,KG$60,$KD127:$KM127))/SUMIF($KD$3:$KM$3,KG$60,$KD$4:$KM$4)))</f>
        <v>0</v>
      </c>
      <c r="KH78" s="196" t="n">
        <f aca="false">IF((SUMIF($KD$3:$KM$3,KH$60,$KD$4:$KM$4))=0,0,((SUMIF($KD$3:$KM$3,KH$60,$KD127:$KM127))/SUMIF($KD$3:$KM$3,KH$60,$KD$4:$KM$4)))</f>
        <v>0</v>
      </c>
      <c r="KI78" s="196" t="n">
        <f aca="false">IF((SUMIF($KD$3:$KM$3,KI$60,$KD$4:$KM$4))=0,0,((SUMIF($KD$3:$KM$3,KI$60,$KD127:$KM127))/SUMIF($KD$3:$KM$3,KI$60,$KD$4:$KM$4)))</f>
        <v>0</v>
      </c>
      <c r="KJ78" s="196" t="n">
        <f aca="false">IF((SUMIF($KD$3:$KM$3,KJ$60,$KD$4:$KM$4))=0,0,((SUMIF($KD$3:$KM$3,KJ$60,$KD127:$KM127))/SUMIF($KD$3:$KM$3,KJ$60,$KD$4:$KM$4)))</f>
        <v>0</v>
      </c>
      <c r="KK78" s="196" t="n">
        <f aca="false">IF((SUMIF($KD$3:$KM$3,KK$60,$KD$4:$KM$4))=0,0,((SUMIF($KD$3:$KM$3,KK$60,$KD127:$KM127))/SUMIF($KD$3:$KM$3,KK$60,$KD$4:$KM$4)))</f>
        <v>0</v>
      </c>
      <c r="KL78" s="196" t="n">
        <f aca="false">IF((SUMIF($KD$3:$KM$3,KL$60,$KD$4:$KM$4))=0,0,((SUMIF($KD$3:$KM$3,KL$60,$KD127:$KM127))/SUMIF($KD$3:$KM$3,KL$60,$KD$4:$KM$4)))</f>
        <v>0</v>
      </c>
      <c r="KM78" s="197" t="n">
        <f aca="false">IF((SUMIF($KD$3:$KM$3,KM$60,$KD$4:$KM$4))=0,0,((SUMIF($KD$3:$KM$3,KM$60,$KD127:$KM127))/SUMIF($KD$3:$KM$3,KM$60,$KD$4:$KM$4)))</f>
        <v>0</v>
      </c>
      <c r="KN78" s="194" t="str">
        <f aca="false">KC78</f>
        <v>Alumno17</v>
      </c>
      <c r="KO78" s="195" t="n">
        <f aca="false">IF((SUMIF($KO$3:$KX$3,KO$60,$KO$4:$KX$4))=0,0,((SUMIF($KO$3:$KX$3,KO$60,$KO127:$KX127))/SUMIF($KO$3:$KX$3,KO$60,$KO$4:$KX$4)))</f>
        <v>0</v>
      </c>
      <c r="KP78" s="196" t="n">
        <f aca="false">IF((SUMIF($KO$3:$KX$3,KP$60,$KO$4:$KX$4))=0,0,((SUMIF($KO$3:$KX$3,KP$60,$KO127:$KX127))/SUMIF($KO$3:$KX$3,KP$60,$KO$4:$KX$4)))</f>
        <v>0</v>
      </c>
      <c r="KQ78" s="196" t="n">
        <f aca="false">IF((SUMIF($KO$3:$KX$3,KQ$60,$KO$4:$KX$4))=0,0,((SUMIF($KO$3:$KX$3,KQ$60,$KO127:$KX127))/SUMIF($KO$3:$KX$3,KQ$60,$KO$4:$KX$4)))</f>
        <v>0</v>
      </c>
      <c r="KR78" s="196" t="n">
        <f aca="false">IF((SUMIF($KO$3:$KX$3,KR$60,$KO$4:$KX$4))=0,0,((SUMIF($KO$3:$KX$3,KR$60,$KO127:$KX127))/SUMIF($KO$3:$KX$3,KR$60,$KO$4:$KX$4)))</f>
        <v>0</v>
      </c>
      <c r="KS78" s="196" t="n">
        <f aca="false">IF((SUMIF($KO$3:$KX$3,KS$60,$KO$4:$KX$4))=0,0,((SUMIF($KO$3:$KX$3,KS$60,$KO127:$KX127))/SUMIF($KO$3:$KX$3,KS$60,$KO$4:$KX$4)))</f>
        <v>0</v>
      </c>
      <c r="KT78" s="196" t="n">
        <f aca="false">IF((SUMIF($KO$3:$KX$3,KT$60,$KO$4:$KX$4))=0,0,((SUMIF($KO$3:$KX$3,KT$60,$KO127:$KX127))/SUMIF($KO$3:$KX$3,KT$60,$KO$4:$KX$4)))</f>
        <v>0</v>
      </c>
      <c r="KU78" s="196" t="n">
        <f aca="false">IF((SUMIF($KO$3:$KX$3,KU$60,$KO$4:$KX$4))=0,0,((SUMIF($KO$3:$KX$3,KU$60,$KO127:$KX127))/SUMIF($KO$3:$KX$3,KU$60,$KO$4:$KX$4)))</f>
        <v>0</v>
      </c>
      <c r="KV78" s="196" t="n">
        <f aca="false">IF((SUMIF($KO$3:$KX$3,KV$60,$KO$4:$KX$4))=0,0,((SUMIF($KO$3:$KX$3,KV$60,$KO127:$KX127))/SUMIF($KO$3:$KX$3,KV$60,$KO$4:$KX$4)))</f>
        <v>0</v>
      </c>
      <c r="KW78" s="196" t="n">
        <f aca="false">IF((SUMIF($KO$3:$KX$3,KW$60,$KO$4:$KX$4))=0,0,((SUMIF($KO$3:$KX$3,KW$60,$KO127:$KX127))/SUMIF($KO$3:$KX$3,KW$60,$KO$4:$KX$4)))</f>
        <v>0</v>
      </c>
      <c r="KX78" s="197" t="n">
        <f aca="false">IF((SUMIF($KO$3:$KX$3,KX$60,$KO$4:$KX$4))=0,0,((SUMIF($KO$3:$KX$3,KX$60,$KO127:$KX127))/SUMIF($KO$3:$KX$3,KX$60,$KO$4:$KX$4)))</f>
        <v>0</v>
      </c>
      <c r="KY78" s="194" t="str">
        <f aca="false">KN78</f>
        <v>Alumno17</v>
      </c>
      <c r="KZ78" s="195" t="n">
        <f aca="false">IF((SUMIF($KZ$3:$LI$3,KZ$60,$KZ$4:$LI$4))=0,0,((SUMIF($KZ$3:$LI$3,KZ$60,$KZ127:$LI127))/SUMIF($KZ$3:$LI$3,KZ$60,$KZ$4:$LI$4)))</f>
        <v>0</v>
      </c>
      <c r="LA78" s="196" t="n">
        <f aca="false">IF((SUMIF($KZ$3:$LI$3,LA$60,$KZ$4:$LI$4))=0,0,((SUMIF($KZ$3:$LI$3,LA$60,$KZ127:$LI127))/SUMIF($KZ$3:$LI$3,LA$60,$KZ$4:$LI$4)))</f>
        <v>0</v>
      </c>
      <c r="LB78" s="196" t="n">
        <f aca="false">IF((SUMIF($KZ$3:$LI$3,LB$60,$KZ$4:$LI$4))=0,0,((SUMIF($KZ$3:$LI$3,LB$60,$KZ127:$LI127))/SUMIF($KZ$3:$LI$3,LB$60,$KZ$4:$LI$4)))</f>
        <v>0</v>
      </c>
      <c r="LC78" s="196" t="n">
        <f aca="false">IF((SUMIF($KZ$3:$LI$3,LC$60,$KZ$4:$LI$4))=0,0,((SUMIF($KZ$3:$LI$3,LC$60,$KZ127:$LI127))/SUMIF($KZ$3:$LI$3,LC$60,$KZ$4:$LI$4)))</f>
        <v>0</v>
      </c>
      <c r="LD78" s="196" t="n">
        <f aca="false">IF((SUMIF($KZ$3:$LI$3,LD$60,$KZ$4:$LI$4))=0,0,((SUMIF($KZ$3:$LI$3,LD$60,$KZ127:$LI127))/SUMIF($KZ$3:$LI$3,LD$60,$KZ$4:$LI$4)))</f>
        <v>0</v>
      </c>
      <c r="LE78" s="196" t="n">
        <f aca="false">IF((SUMIF($KZ$3:$LI$3,LE$60,$KZ$4:$LI$4))=0,0,((SUMIF($KZ$3:$LI$3,LE$60,$KZ127:$LI127))/SUMIF($KZ$3:$LI$3,LE$60,$KZ$4:$LI$4)))</f>
        <v>0</v>
      </c>
      <c r="LF78" s="196" t="n">
        <f aca="false">IF((SUMIF($KZ$3:$LI$3,LF$60,$KZ$4:$LI$4))=0,0,((SUMIF($KZ$3:$LI$3,LF$60,$KZ127:$LI127))/SUMIF($KZ$3:$LI$3,LF$60,$KZ$4:$LI$4)))</f>
        <v>0</v>
      </c>
      <c r="LG78" s="196" t="n">
        <f aca="false">IF((SUMIF($KZ$3:$LI$3,LG$60,$KZ$4:$LI$4))=0,0,((SUMIF($KZ$3:$LI$3,LG$60,$KZ127:$LI127))/SUMIF($KZ$3:$LI$3,LG$60,$KZ$4:$LI$4)))</f>
        <v>0</v>
      </c>
      <c r="LH78" s="196" t="n">
        <f aca="false">IF((SUMIF($KZ$3:$LI$3,LH$60,$KZ$4:$LI$4))=0,0,((SUMIF($KZ$3:$LI$3,LH$60,$KZ127:$LI127))/SUMIF($KZ$3:$LI$3,LH$60,$KZ$4:$LI$4)))</f>
        <v>0</v>
      </c>
      <c r="LI78" s="197" t="n">
        <f aca="false">IF((SUMIF($KZ$3:$LI$3,LI$60,$KZ$4:$LI$4))=0,0,((SUMIF($KZ$3:$LI$3,LI$60,$KZ127:$LI127))/SUMIF($KZ$3:$LI$3,LI$60,$KZ$4:$LI$4)))</f>
        <v>0</v>
      </c>
      <c r="LJ78" s="194" t="str">
        <f aca="false">KY78</f>
        <v>Alumno17</v>
      </c>
      <c r="LK78" s="195" t="n">
        <f aca="false">IF((SUMIF($LK$3:$LT$3,LK$60,$LK$4:$LT$4))=0,0,((SUMIF($LK$3:$LT$3,LK$60,$LK127:$LT127))/SUMIF($LK$3:$LT$3,LK$60,$LK$4:$LT$4)))</f>
        <v>0</v>
      </c>
      <c r="LL78" s="196" t="n">
        <f aca="false">IF((SUMIF($LK$3:$LT$3,LL$60,$LK$4:$LT$4))=0,0,((SUMIF($LK$3:$LT$3,LL$60,$LK127:$LT127))/SUMIF($LK$3:$LT$3,LL$60,$LK$4:$LT$4)))</f>
        <v>0</v>
      </c>
      <c r="LM78" s="196" t="n">
        <f aca="false">IF((SUMIF($LK$3:$LT$3,LM$60,$LK$4:$LT$4))=0,0,((SUMIF($LK$3:$LT$3,LM$60,$LK127:$LT127))/SUMIF($LK$3:$LT$3,LM$60,$LK$4:$LT$4)))</f>
        <v>0</v>
      </c>
      <c r="LN78" s="196" t="n">
        <f aca="false">IF((SUMIF($LK$3:$LT$3,LN$60,$LK$4:$LT$4))=0,0,((SUMIF($LK$3:$LT$3,LN$60,$LK127:$LT127))/SUMIF($LK$3:$LT$3,LN$60,$LK$4:$LT$4)))</f>
        <v>0</v>
      </c>
      <c r="LO78" s="196" t="n">
        <f aca="false">IF((SUMIF($LK$3:$LT$3,LO$60,$LK$4:$LT$4))=0,0,((SUMIF($LK$3:$LT$3,LO$60,$LK127:$LT127))/SUMIF($LK$3:$LT$3,LO$60,$LK$4:$LT$4)))</f>
        <v>0</v>
      </c>
      <c r="LP78" s="196" t="n">
        <f aca="false">IF((SUMIF($LK$3:$LT$3,LP$60,$LK$4:$LT$4))=0,0,((SUMIF($LK$3:$LT$3,LP$60,$LK127:$LT127))/SUMIF($LK$3:$LT$3,LP$60,$LK$4:$LT$4)))</f>
        <v>0</v>
      </c>
      <c r="LQ78" s="196" t="n">
        <f aca="false">IF((SUMIF($LK$3:$LT$3,LQ$60,$LK$4:$LT$4))=0,0,((SUMIF($LK$3:$LT$3,LQ$60,$LK127:$LT127))/SUMIF($LK$3:$LT$3,LQ$60,$LK$4:$LT$4)))</f>
        <v>0</v>
      </c>
      <c r="LR78" s="196" t="n">
        <f aca="false">IF((SUMIF($LK$3:$LT$3,LR$60,$LK$4:$LT$4))=0,0,((SUMIF($LK$3:$LT$3,LR$60,$LK127:$LT127))/SUMIF($LK$3:$LT$3,LR$60,$LK$4:$LT$4)))</f>
        <v>0</v>
      </c>
      <c r="LS78" s="196" t="n">
        <f aca="false">IF((SUMIF($LK$3:$LT$3,LS$60,$LK$4:$LT$4))=0,0,((SUMIF($LK$3:$LT$3,LS$60,$LK127:$LT127))/SUMIF($LK$3:$LT$3,LS$60,$LK$4:$LT$4)))</f>
        <v>0</v>
      </c>
      <c r="LT78" s="197" t="n">
        <f aca="false">IF((SUMIF($LK$3:$LT$3,LT$60,$LK$4:$LT$4))=0,0,((SUMIF($LK$3:$LT$3,LT$60,$LK127:$LT127))/SUMIF($LK$3:$LT$3,LT$60,$LK$4:$LT$4)))</f>
        <v>0</v>
      </c>
    </row>
    <row r="79" customFormat="false" ht="15" hidden="true" customHeight="false" outlineLevel="0" collapsed="false">
      <c r="C79" s="194" t="str">
        <f aca="false">B23</f>
        <v>Alumno18</v>
      </c>
      <c r="D79" s="195" t="n">
        <f aca="false">IF((SUMIF($D$3:$M$3,D$60,$D$4:$M$4))=0,0,((SUMIF($D$3:$M$3,D$60,$D128:$M128))/SUMIF($D$3:$M$3,D$60,$D$4:$M$4)))</f>
        <v>9.65</v>
      </c>
      <c r="E79" s="196" t="n">
        <f aca="false">IF((SUMIF($D$3:$M$3,E$60,$D$4:$M$4))=0,0,((SUMIF($D$3:$M$3,E$60,$D128:$M128))/SUMIF($D$3:$M$3,E$60,$D$4:$M$4)))</f>
        <v>0</v>
      </c>
      <c r="F79" s="196" t="n">
        <f aca="false">IF((SUMIF($D$3:$M$3,F$60,$D$4:$M$4))=0,0,((SUMIF($D$3:$M$3,F$60,$D128:$M128))/SUMIF($D$3:$M$3,F$60,$D$4:$M$4)))</f>
        <v>0</v>
      </c>
      <c r="G79" s="196" t="n">
        <f aca="false">IF((SUMIF($D$3:$M$3,G$60,$D$4:$M$4))=0,0,((SUMIF($D$3:$M$3,G$60,$D128:$M128))/SUMIF($D$3:$M$3,G$60,$D$4:$M$4)))</f>
        <v>0</v>
      </c>
      <c r="H79" s="196" t="n">
        <f aca="false">IF((SUMIF($D$3:$M$3,H$60,$D$4:$M$4))=0,0,((SUMIF($D$3:$M$3,H$60,$D128:$M128))/SUMIF($D$3:$M$3,H$60,$D$4:$M$4)))</f>
        <v>0</v>
      </c>
      <c r="I79" s="196" t="n">
        <f aca="false">IF((SUMIF($D$3:$M$3,I$60,$D$4:$M$4))=0,0,((SUMIF($D$3:$M$3,I$60,$D128:$M128))/SUMIF($D$3:$M$3,I$60,$D$4:$M$4)))</f>
        <v>0</v>
      </c>
      <c r="J79" s="196" t="n">
        <f aca="false">IF((SUMIF($D$3:$M$3,J$60,$D$4:$M$4))=0,0,((SUMIF($D$3:$M$3,J$60,$D128:$M128))/SUMIF($D$3:$M$3,J$60,$D$4:$M$4)))</f>
        <v>0</v>
      </c>
      <c r="K79" s="196" t="n">
        <f aca="false">IF((SUMIF($D$3:$M$3,K$60,$D$4:$M$4))=0,0,((SUMIF($D$3:$M$3,K$60,$D128:$M128))/SUMIF($D$3:$M$3,K$60,$D$4:$M$4)))</f>
        <v>0</v>
      </c>
      <c r="L79" s="196" t="n">
        <f aca="false">IF((SUMIF($D$3:$M$3,L$60,$D$4:$M$4))=0,0,((SUMIF($D$3:$M$3,L$60,$D128:$M128))/SUMIF($D$3:$M$3,L$60,$D$4:$M$4)))</f>
        <v>0</v>
      </c>
      <c r="M79" s="197" t="n">
        <f aca="false">IF((SUMIF($D$3:$M$3,M$60,$D$4:$M$4))=0,0,((SUMIF($D$3:$M$3,M$60,$D128:$M128))/SUMIF($D$3:$M$3,M$60,$D$4:$M$4)))</f>
        <v>0</v>
      </c>
      <c r="N79" s="194" t="str">
        <f aca="false">C79</f>
        <v>Alumno18</v>
      </c>
      <c r="O79" s="195" t="n">
        <f aca="false">IF((SUMIF($O$3:$X$3,O$60,$O$4:$X$4))=0,0,((SUMIF($O$3:$X$3,O$60,$O128:$X128))/SUMIF($O$3:$X$3,O$60,$O$4:$X$4)))</f>
        <v>9.5</v>
      </c>
      <c r="P79" s="196" t="n">
        <f aca="false">IF((SUMIF($O$3:$X$3,P$60,$O$4:$X$4))=0,0,((SUMIF($O$3:$X$3,P$60,$O128:$X128))/SUMIF($O$3:$X$3,P$60,$O$4:$X$4)))</f>
        <v>10</v>
      </c>
      <c r="Q79" s="196" t="n">
        <f aca="false">IF((SUMIF($O$3:$X$3,Q$60,$O$4:$X$4))=0,0,((SUMIF($O$3:$X$3,Q$60,$O128:$X128))/SUMIF($O$3:$X$3,Q$60,$O$4:$X$4)))</f>
        <v>0</v>
      </c>
      <c r="R79" s="196" t="n">
        <f aca="false">IF((SUMIF($O$3:$X$3,R$60,$O$4:$X$4))=0,0,((SUMIF($O$3:$X$3,R$60,$O128:$X128))/SUMIF($O$3:$X$3,R$60,$O$4:$X$4)))</f>
        <v>0</v>
      </c>
      <c r="S79" s="196" t="n">
        <f aca="false">IF((SUMIF($O$3:$X$3,S$60,$O$4:$X$4))=0,0,((SUMIF($O$3:$X$3,S$60,$O128:$X128))/SUMIF($O$3:$X$3,S$60,$O$4:$X$4)))</f>
        <v>0</v>
      </c>
      <c r="T79" s="196" t="n">
        <f aca="false">IF((SUMIF($O$3:$X$3,T$60,$O$4:$X$4))=0,0,((SUMIF($O$3:$X$3,T$60,$O128:$X128))/SUMIF($O$3:$X$3,T$60,$O$4:$X$4)))</f>
        <v>0</v>
      </c>
      <c r="U79" s="196" t="n">
        <f aca="false">IF((SUMIF($O$3:$X$3,U$60,$O$4:$X$4))=0,0,((SUMIF($O$3:$X$3,U$60,$O128:$X128))/SUMIF($O$3:$X$3,U$60,$O$4:$X$4)))</f>
        <v>0</v>
      </c>
      <c r="V79" s="196" t="n">
        <f aca="false">IF((SUMIF($O$3:$X$3,V$60,$O$4:$X$4))=0,0,((SUMIF($O$3:$X$3,V$60,$O128:$X128))/SUMIF($O$3:$X$3,V$60,$O$4:$X$4)))</f>
        <v>0</v>
      </c>
      <c r="W79" s="196" t="n">
        <f aca="false">IF((SUMIF($O$3:$X$3,W$60,$O$4:$X$4))=0,0,((SUMIF($O$3:$X$3,W$60,$O128:$X128))/SUMIF($O$3:$X$3,W$60,$O$4:$X$4)))</f>
        <v>0</v>
      </c>
      <c r="X79" s="197" t="n">
        <f aca="false">IF((SUMIF($O$3:$X$3,X$60,$O$4:$X$4))=0,0,((SUMIF($O$3:$X$3,X$60,$O128:$X128))/SUMIF($O$3:$X$3,X$60,$O$4:$X$4)))</f>
        <v>0</v>
      </c>
      <c r="Y79" s="194" t="str">
        <f aca="false">N79</f>
        <v>Alumno18</v>
      </c>
      <c r="Z79" s="195" t="n">
        <f aca="false">IF((SUMIF($Z$3:$AI$3,Z$60,$Z$4:$AI$4))=0,0,((SUMIF($Z$3:$AI$3,Z$60,$Z128:$AI128))/SUMIF($Z$3:$AI$3,Z$60,$Z$4:$AI$4)))</f>
        <v>3.5</v>
      </c>
      <c r="AA79" s="196" t="n">
        <f aca="false">IF((SUMIF($Z$3:$AI$3,AA$60,$Z$4:$AI$4))=0,0,((SUMIF($Z$3:$AI$3,AA$60,$Z128:$AI128))/SUMIF($Z$3:$AI$3,AA$60,$Z$4:$AI$4)))</f>
        <v>5.5</v>
      </c>
      <c r="AB79" s="196" t="n">
        <f aca="false">IF((SUMIF($Z$3:$AI$3,AB$60,$Z$4:$AI$4))=0,0,((SUMIF($Z$3:$AI$3,AB$60,$Z128:$AI128))/SUMIF($Z$3:$AI$3,AB$60,$Z$4:$AI$4)))</f>
        <v>4</v>
      </c>
      <c r="AC79" s="196" t="n">
        <f aca="false">IF((SUMIF($Z$3:$AI$3,AC$60,$Z$4:$AI$4))=0,0,((SUMIF($Z$3:$AI$3,AC$60,$Z128:$AI128))/SUMIF($Z$3:$AI$3,AC$60,$Z$4:$AI$4)))</f>
        <v>0</v>
      </c>
      <c r="AD79" s="196" t="n">
        <f aca="false">IF((SUMIF($Z$3:$AI$3,AD$60,$Z$4:$AI$4))=0,0,((SUMIF($Z$3:$AI$3,AD$60,$Z128:$AI128))/SUMIF($Z$3:$AI$3,AD$60,$Z$4:$AI$4)))</f>
        <v>0</v>
      </c>
      <c r="AE79" s="196" t="n">
        <f aca="false">IF((SUMIF($Z$3:$AI$3,AE$60,$Z$4:$AI$4))=0,0,((SUMIF($Z$3:$AI$3,AE$60,$Z128:$AI128))/SUMIF($Z$3:$AI$3,AE$60,$Z$4:$AI$4)))</f>
        <v>0</v>
      </c>
      <c r="AF79" s="196" t="n">
        <f aca="false">IF((SUMIF($Z$3:$AI$3,AF$60,$Z$4:$AI$4))=0,0,((SUMIF($Z$3:$AI$3,AF$60,$Z128:$AI128))/SUMIF($Z$3:$AI$3,AF$60,$Z$4:$AI$4)))</f>
        <v>0</v>
      </c>
      <c r="AG79" s="196" t="n">
        <f aca="false">IF((SUMIF($Z$3:$AI$3,AG$60,$Z$4:$AI$4))=0,0,((SUMIF($Z$3:$AI$3,AG$60,$Z128:$AI128))/SUMIF($Z$3:$AI$3,AG$60,$Z$4:$AI$4)))</f>
        <v>0</v>
      </c>
      <c r="AH79" s="196" t="n">
        <f aca="false">IF((SUMIF($Z$3:$AI$3,AH$60,$Z$4:$AI$4))=0,0,((SUMIF($Z$3:$AI$3,AH$60,$Z128:$AI128))/SUMIF($Z$3:$AI$3,AH$60,$Z$4:$AI$4)))</f>
        <v>0</v>
      </c>
      <c r="AI79" s="197" t="n">
        <f aca="false">IF((SUMIF($Z$3:$AI$3,AI$60,$Z$4:$AI$4))=0,0,((SUMIF($Z$3:$AI$3,AI$60,$Z128:$AI128))/SUMIF($Z$3:$AI$3,AI$60,$Z$4:$AI$4)))</f>
        <v>0</v>
      </c>
      <c r="AJ79" s="194" t="str">
        <f aca="false">Y79</f>
        <v>Alumno18</v>
      </c>
      <c r="AK79" s="195" t="n">
        <f aca="false">IF((SUMIF($AK$3:$AT$3,AK$60,$AK$4:$AT$4))=0,0,((SUMIF($AK$3:$AT$3,AK$60,$AK128:$AT128))/SUMIF($AK$3:$AT$3,AK$60,$AK$4:$AT$4)))</f>
        <v>4</v>
      </c>
      <c r="AL79" s="196" t="n">
        <f aca="false">IF((SUMIF($AK$3:$AT$3,AL$60,$AK$4:$AT$4))=0,0,((SUMIF($AK$3:$AT$3,AL$60,$AK128:$AT128))/SUMIF($AK$3:$AT$3,AL$60,$AK$4:$AT$4)))</f>
        <v>3.5</v>
      </c>
      <c r="AM79" s="196" t="n">
        <f aca="false">IF((SUMIF($AK$3:$AT$3,AM$60,$AK$4:$AT$4))=0,0,((SUMIF($AK$3:$AT$3,AM$60,$AK128:$AT128))/SUMIF($AK$3:$AT$3,AM$60,$AK$4:$AT$4)))</f>
        <v>5.5</v>
      </c>
      <c r="AN79" s="196" t="n">
        <f aca="false">IF((SUMIF($AK$3:$AT$3,AN$60,$AK$4:$AT$4))=0,0,((SUMIF($AK$3:$AT$3,AN$60,$AK128:$AT128))/SUMIF($AK$3:$AT$3,AN$60,$AK$4:$AT$4)))</f>
        <v>0</v>
      </c>
      <c r="AO79" s="196" t="n">
        <f aca="false">IF((SUMIF($AK$3:$AT$3,AO$60,$AK$4:$AT$4))=0,0,((SUMIF($AK$3:$AT$3,AO$60,$AK128:$AT128))/SUMIF($AK$3:$AT$3,AO$60,$AK$4:$AT$4)))</f>
        <v>0</v>
      </c>
      <c r="AP79" s="196" t="n">
        <f aca="false">IF((SUMIF($AK$3:$AT$3,AP$60,$AK$4:$AT$4))=0,0,((SUMIF($AK$3:$AT$3,AP$60,$AK128:$AT128))/SUMIF($AK$3:$AT$3,AP$60,$AK$4:$AT$4)))</f>
        <v>0</v>
      </c>
      <c r="AQ79" s="196" t="n">
        <f aca="false">IF((SUMIF($AK$3:$AT$3,AQ$60,$AK$4:$AT$4))=0,0,((SUMIF($AK$3:$AT$3,AQ$60,$AK128:$AT128))/SUMIF($AK$3:$AT$3,AQ$60,$AK$4:$AT$4)))</f>
        <v>0</v>
      </c>
      <c r="AR79" s="196" t="n">
        <f aca="false">IF((SUMIF($AK$3:$AT$3,AR$60,$AK$4:$AT$4))=0,0,((SUMIF($AK$3:$AT$3,AR$60,$AK128:$AT128))/SUMIF($AK$3:$AT$3,AR$60,$AK$4:$AT$4)))</f>
        <v>0</v>
      </c>
      <c r="AS79" s="196" t="n">
        <f aca="false">IF((SUMIF($AK$3:$AT$3,AS$60,$AK$4:$AT$4))=0,0,((SUMIF($AK$3:$AT$3,AS$60,$AK128:$AT128))/SUMIF($AK$3:$AT$3,AS$60,$AK$4:$AT$4)))</f>
        <v>0</v>
      </c>
      <c r="AT79" s="197" t="n">
        <f aca="false">IF((SUMIF($AK$3:$AT$3,AT$60,$AK$4:$AT$4))=0,0,((SUMIF($AK$3:$AT$3,AT$60,$AK128:$AT128))/SUMIF($AK$3:$AT$3,AT$60,$AK$4:$AT$4)))</f>
        <v>0</v>
      </c>
      <c r="AU79" s="194" t="str">
        <f aca="false">AJ79</f>
        <v>Alumno18</v>
      </c>
      <c r="AV79" s="195" t="n">
        <f aca="false">IF((SUMIF($AV$3:$BE$3,AV$60,$AV$4:$BE$4))=0,0,((SUMIF($AV$3:$BE$3,AV$60,$AV128:$BE128))/SUMIF($AV$3:$BE$3,AV$60,$AV$4:$BE$4)))</f>
        <v>10</v>
      </c>
      <c r="AW79" s="196" t="n">
        <f aca="false">IF((SUMIF($AV$3:$BE$3,AW$60,$AV$4:$BE$4))=0,0,((SUMIF($AV$3:$BE$3,AW$60,$AV128:$BE128))/SUMIF($AV$3:$BE$3,AW$60,$AV$4:$BE$4)))</f>
        <v>9</v>
      </c>
      <c r="AX79" s="196" t="n">
        <f aca="false">IF((SUMIF($AV$3:$BE$3,AX$60,$AV$4:$BE$4))=0,0,((SUMIF($AV$3:$BE$3,AX$60,$AV128:$BE128))/SUMIF($AV$3:$BE$3,AX$60,$AV$4:$BE$4)))</f>
        <v>9.4</v>
      </c>
      <c r="AY79" s="196" t="n">
        <f aca="false">IF((SUMIF($AV$3:$BE$3,AY$60,$AV$4:$BE$4))=0,0,((SUMIF($AV$3:$BE$3,AY$60,$AV128:$BE128))/SUMIF($AV$3:$BE$3,AY$60,$AV$4:$BE$4)))</f>
        <v>10</v>
      </c>
      <c r="AZ79" s="196" t="n">
        <f aca="false">IF((SUMIF($AV$3:$BE$3,AZ$60,$AV$4:$BE$4))=0,0,((SUMIF($AV$3:$BE$3,AZ$60,$AV128:$BE128))/SUMIF($AV$3:$BE$3,AZ$60,$AV$4:$BE$4)))</f>
        <v>0</v>
      </c>
      <c r="BA79" s="196" t="n">
        <f aca="false">IF((SUMIF($AV$3:$BE$3,BA$60,$AV$4:$BE$4))=0,0,((SUMIF($AV$3:$BE$3,BA$60,$AV128:$BE128))/SUMIF($AV$3:$BE$3,BA$60,$AV$4:$BE$4)))</f>
        <v>0</v>
      </c>
      <c r="BB79" s="196" t="n">
        <f aca="false">IF((SUMIF($AV$3:$BE$3,BB$60,$AV$4:$BE$4))=0,0,((SUMIF($AV$3:$BE$3,BB$60,$AV128:$BE128))/SUMIF($AV$3:$BE$3,BB$60,$AV$4:$BE$4)))</f>
        <v>0</v>
      </c>
      <c r="BC79" s="196" t="n">
        <f aca="false">IF((SUMIF($AV$3:$BE$3,BC$60,$AV$4:$BE$4))=0,0,((SUMIF($AV$3:$BE$3,BC$60,$AV128:$BE128))/SUMIF($AV$3:$BE$3,BC$60,$AV$4:$BE$4)))</f>
        <v>0</v>
      </c>
      <c r="BD79" s="196" t="n">
        <f aca="false">IF((SUMIF($AV$3:$BE$3,BD$60,$AV$4:$BE$4))=0,0,((SUMIF($AV$3:$BE$3,BD$60,$AV128:$BE128))/SUMIF($AV$3:$BE$3,BD$60,$AV$4:$BE$4)))</f>
        <v>0</v>
      </c>
      <c r="BE79" s="197" t="n">
        <f aca="false">IF((SUMIF($AV$3:$BE$3,BE$60,$AV$4:$BE$4))=0,0,((SUMIF($AV$3:$BE$3,BE$60,$AV128:$BE128))/SUMIF($AV$3:$BE$3,BE$60,$AV$4:$BE$4)))</f>
        <v>0</v>
      </c>
      <c r="BF79" s="194" t="str">
        <f aca="false">AU79</f>
        <v>Alumno18</v>
      </c>
      <c r="BG79" s="195" t="n">
        <f aca="false">IF((SUMIF($BG$3:$BP$3,BG$60,$BG$4:$BP$4))=0,0,((SUMIF($BG$3:$BP$3,BG$60,$BG128:$BP128))/SUMIF($BG$3:$BP$3,BG$60,$BG$4:$BP$4)))</f>
        <v>10</v>
      </c>
      <c r="BH79" s="196" t="n">
        <f aca="false">IF((SUMIF($BG$3:$BP$3,BH$60,$BG$4:$BP$4))=0,0,((SUMIF($BG$3:$BP$3,BH$60,$BG128:$BP128))/SUMIF($BG$3:$BP$3,BH$60,$BG$4:$BP$4)))</f>
        <v>9</v>
      </c>
      <c r="BI79" s="196" t="n">
        <f aca="false">IF((SUMIF($BG$3:$BP$3,BI$60,$BG$4:$BP$4))=0,0,((SUMIF($BG$3:$BP$3,BI$60,$BG128:$BP128))/SUMIF($BG$3:$BP$3,BI$60,$BG$4:$BP$4)))</f>
        <v>10</v>
      </c>
      <c r="BJ79" s="196" t="n">
        <f aca="false">IF((SUMIF($BG$3:$BP$3,BJ$60,$BG$4:$BP$4))=0,0,((SUMIF($BG$3:$BP$3,BJ$60,$BG128:$BP128))/SUMIF($BG$3:$BP$3,BJ$60,$BG$4:$BP$4)))</f>
        <v>9.6</v>
      </c>
      <c r="BK79" s="196" t="n">
        <f aca="false">IF((SUMIF($BG$3:$BP$3,BK$60,$BG$4:$BP$4))=0,0,((SUMIF($BG$3:$BP$3,BK$60,$BG128:$BP128))/SUMIF($BG$3:$BP$3,BK$60,$BG$4:$BP$4)))</f>
        <v>0</v>
      </c>
      <c r="BL79" s="196" t="n">
        <f aca="false">IF((SUMIF($BG$3:$BP$3,BL$60,$BG$4:$BP$4))=0,0,((SUMIF($BG$3:$BP$3,BL$60,$BG128:$BP128))/SUMIF($BG$3:$BP$3,BL$60,$BG$4:$BP$4)))</f>
        <v>0</v>
      </c>
      <c r="BM79" s="196" t="n">
        <f aca="false">IF((SUMIF($BG$3:$BP$3,BM$60,$BG$4:$BP$4))=0,0,((SUMIF($BG$3:$BP$3,BM$60,$BG128:$BP128))/SUMIF($BG$3:$BP$3,BM$60,$BG$4:$BP$4)))</f>
        <v>0</v>
      </c>
      <c r="BN79" s="196" t="n">
        <f aca="false">IF((SUMIF($BG$3:$BP$3,BN$60,$BG$4:$BP$4))=0,0,((SUMIF($BG$3:$BP$3,BN$60,$BG128:$BP128))/SUMIF($BG$3:$BP$3,BN$60,$BG$4:$BP$4)))</f>
        <v>0</v>
      </c>
      <c r="BO79" s="196" t="n">
        <f aca="false">IF((SUMIF($BG$3:$BP$3,BO$60,$BG$4:$BP$4))=0,0,((SUMIF($BG$3:$BP$3,BO$60,$BG128:$BP128))/SUMIF($BG$3:$BP$3,BO$60,$BG$4:$BP$4)))</f>
        <v>0</v>
      </c>
      <c r="BP79" s="197" t="n">
        <f aca="false">IF((SUMIF($BG$3:$BP$3,BP$60,$BG$4:$BP$4))=0,0,((SUMIF($BG$3:$BP$3,BP$60,$BG128:$BP128))/SUMIF($BG$3:$BP$3,BP$60,$BG$4:$BP$4)))</f>
        <v>0</v>
      </c>
      <c r="BQ79" s="194" t="str">
        <f aca="false">BF79</f>
        <v>Alumno18</v>
      </c>
      <c r="BR79" s="195" t="n">
        <f aca="false">IF((SUMIF($BR$3:$CA$3,BR$60,$BR$4:$CA$4))=0,0,((SUMIF($BR$3:$CA$3,BR$60,$BR128:$CA128))/SUMIF($BR$3:$CA$3,BR$60,$BR$4:$CA$4)))</f>
        <v>0</v>
      </c>
      <c r="BS79" s="196" t="n">
        <f aca="false">IF((SUMIF($BR$3:$CA$3,BS$60,$BR$4:$CA$4))=0,0,((SUMIF($BR$3:$CA$3,BS$60,$BR128:$CA128))/SUMIF($BR$3:$CA$3,BS$60,$BR$4:$CA$4)))</f>
        <v>8</v>
      </c>
      <c r="BT79" s="196" t="n">
        <f aca="false">IF((SUMIF($BR$3:$CA$3,BT$60,$BR$4:$CA$4))=0,0,((SUMIF($BR$3:$CA$3,BT$60,$BR128:$CA128))/SUMIF($BR$3:$CA$3,BT$60,$BR$4:$CA$4)))</f>
        <v>6.33333333333333</v>
      </c>
      <c r="BU79" s="196" t="n">
        <f aca="false">IF((SUMIF($BR$3:$CA$3,BU$60,$BR$4:$CA$4))=0,0,((SUMIF($BR$3:$CA$3,BU$60,$BR128:$CA128))/SUMIF($BR$3:$CA$3,BU$60,$BR$4:$CA$4)))</f>
        <v>7</v>
      </c>
      <c r="BV79" s="196" t="n">
        <f aca="false">IF((SUMIF($BR$3:$CA$3,BV$60,$BR$4:$CA$4))=0,0,((SUMIF($BR$3:$CA$3,BV$60,$BR128:$CA128))/SUMIF($BR$3:$CA$3,BV$60,$BR$4:$CA$4)))</f>
        <v>0</v>
      </c>
      <c r="BW79" s="196" t="n">
        <f aca="false">IF((SUMIF($BR$3:$CA$3,BW$60,$BR$4:$CA$4))=0,0,((SUMIF($BR$3:$CA$3,BW$60,$BR128:$CA128))/SUMIF($BR$3:$CA$3,BW$60,$BR$4:$CA$4)))</f>
        <v>0</v>
      </c>
      <c r="BX79" s="196" t="n">
        <f aca="false">IF((SUMIF($BR$3:$CA$3,BX$60,$BR$4:$CA$4))=0,0,((SUMIF($BR$3:$CA$3,BX$60,$BR128:$CA128))/SUMIF($BR$3:$CA$3,BX$60,$BR$4:$CA$4)))</f>
        <v>0</v>
      </c>
      <c r="BY79" s="196" t="n">
        <f aca="false">IF((SUMIF($BR$3:$CA$3,BY$60,$BR$4:$CA$4))=0,0,((SUMIF($BR$3:$CA$3,BY$60,$BR128:$CA128))/SUMIF($BR$3:$CA$3,BY$60,$BR$4:$CA$4)))</f>
        <v>0</v>
      </c>
      <c r="BZ79" s="196" t="n">
        <f aca="false">IF((SUMIF($BR$3:$CA$3,BZ$60,$BR$4:$CA$4))=0,0,((SUMIF($BR$3:$CA$3,BZ$60,$BR128:$CA128))/SUMIF($BR$3:$CA$3,BZ$60,$BR$4:$CA$4)))</f>
        <v>0</v>
      </c>
      <c r="CA79" s="197" t="n">
        <f aca="false">IF((SUMIF($BR$3:$CA$3,CA$60,$BR$4:$CA$4))=0,0,((SUMIF($BR$3:$CA$3,CA$60,$BR128:$CA128))/SUMIF($BR$3:$CA$3,CA$60,$BR$4:$CA$4)))</f>
        <v>0</v>
      </c>
      <c r="CB79" s="194" t="str">
        <f aca="false">BQ79</f>
        <v>Alumno18</v>
      </c>
      <c r="CC79" s="195" t="n">
        <f aca="false">IF((SUMIF($CC$3:$CL$3,CC$60,$CC$4:$CL$4))=0,0,((SUMIF($CC$3:$CL$3,CC$60,$CC128:$CL128))/SUMIF($CC$3:$CL$3,CC$60,$CC$4:$CL$4)))</f>
        <v>0</v>
      </c>
      <c r="CD79" s="196" t="n">
        <f aca="false">IF((SUMIF($CC$3:$CL$3,CD$60,$CC$4:$CL$4))=0,0,((SUMIF($CC$3:$CL$3,CD$60,$CC128:$CL128))/SUMIF($CC$3:$CL$3,CD$60,$CC$4:$CL$4)))</f>
        <v>0</v>
      </c>
      <c r="CE79" s="196" t="n">
        <f aca="false">IF((SUMIF($CC$3:$CL$3,CE$60,$CC$4:$CL$4))=0,0,((SUMIF($CC$3:$CL$3,CE$60,$CC128:$CL128))/SUMIF($CC$3:$CL$3,CE$60,$CC$4:$CL$4)))</f>
        <v>0</v>
      </c>
      <c r="CF79" s="196" t="n">
        <f aca="false">IF((SUMIF($CC$3:$CL$3,CF$60,$CC$4:$CL$4))=0,0,((SUMIF($CC$3:$CL$3,CF$60,$CC128:$CL128))/SUMIF($CC$3:$CL$3,CF$60,$CC$4:$CL$4)))</f>
        <v>0</v>
      </c>
      <c r="CG79" s="196" t="n">
        <f aca="false">IF((SUMIF($CC$3:$CL$3,CG$60,$CC$4:$CL$4))=0,0,((SUMIF($CC$3:$CL$3,CG$60,$CC128:$CL128))/SUMIF($CC$3:$CL$3,CG$60,$CC$4:$CL$4)))</f>
        <v>0</v>
      </c>
      <c r="CH79" s="196" t="n">
        <f aca="false">IF((SUMIF($CC$3:$CL$3,CH$60,$CC$4:$CL$4))=0,0,((SUMIF($CC$3:$CL$3,CH$60,$CC128:$CL128))/SUMIF($CC$3:$CL$3,CH$60,$CC$4:$CL$4)))</f>
        <v>0</v>
      </c>
      <c r="CI79" s="196" t="n">
        <f aca="false">IF((SUMIF($CC$3:$CL$3,CI$60,$CC$4:$CL$4))=0,0,((SUMIF($CC$3:$CL$3,CI$60,$CC128:$CL128))/SUMIF($CC$3:$CL$3,CI$60,$CC$4:$CL$4)))</f>
        <v>0</v>
      </c>
      <c r="CJ79" s="196" t="n">
        <f aca="false">IF((SUMIF($CC$3:$CL$3,CJ$60,$CC$4:$CL$4))=0,0,((SUMIF($CC$3:$CL$3,CJ$60,$CC128:$CL128))/SUMIF($CC$3:$CL$3,CJ$60,$CC$4:$CL$4)))</f>
        <v>0</v>
      </c>
      <c r="CK79" s="196" t="n">
        <f aca="false">IF((SUMIF($CC$3:$CL$3,CK$60,$CC$4:$CL$4))=0,0,((SUMIF($CC$3:$CL$3,CK$60,$CC128:$CL128))/SUMIF($CC$3:$CL$3,CK$60,$CC$4:$CL$4)))</f>
        <v>0</v>
      </c>
      <c r="CL79" s="197" t="n">
        <f aca="false">IF((SUMIF($CC$3:$CL$3,CL$60,$CC$4:$CL$4))=0,0,((SUMIF($CC$3:$CL$3,CL$60,$CC128:$CL128))/SUMIF($CC$3:$CL$3,CL$60,$CC$4:$CL$4)))</f>
        <v>0</v>
      </c>
      <c r="CM79" s="194" t="str">
        <f aca="false">CB79</f>
        <v>Alumno18</v>
      </c>
      <c r="CN79" s="195" t="n">
        <f aca="false">IF((SUMIF($CN$3:$CW$3,CN$60,$CN$4:$CW$4))=0,0,((SUMIF($CN$3:$CW$3,CN$60,$CN128:$CW128))/SUMIF($CN$3:$CW$3,CN$60,$CN$4:$CW$4)))</f>
        <v>0</v>
      </c>
      <c r="CO79" s="196" t="n">
        <f aca="false">IF((SUMIF($CN$3:$CW$3,CO$60,$CN$4:$CW$4))=0,0,((SUMIF($CN$3:$CW$3,CO$60,$CN128:$CW128))/SUMIF($CN$3:$CW$3,CO$60,$CN$4:$CW$4)))</f>
        <v>0</v>
      </c>
      <c r="CP79" s="196" t="n">
        <f aca="false">IF((SUMIF($CN$3:$CW$3,CP$60,$CN$4:$CW$4))=0,0,((SUMIF($CN$3:$CW$3,CP$60,$CN128:$CW128))/SUMIF($CN$3:$CW$3,CP$60,$CN$4:$CW$4)))</f>
        <v>0</v>
      </c>
      <c r="CQ79" s="196" t="n">
        <f aca="false">IF((SUMIF($CN$3:$CW$3,CQ$60,$CN$4:$CW$4))=0,0,((SUMIF($CN$3:$CW$3,CQ$60,$CN128:$CW128))/SUMIF($CN$3:$CW$3,CQ$60,$CN$4:$CW$4)))</f>
        <v>0</v>
      </c>
      <c r="CR79" s="196" t="n">
        <f aca="false">IF((SUMIF($CN$3:$CW$3,CR$60,$CN$4:$CW$4))=0,0,((SUMIF($CN$3:$CW$3,CR$60,$CN128:$CW128))/SUMIF($CN$3:$CW$3,CR$60,$CN$4:$CW$4)))</f>
        <v>0</v>
      </c>
      <c r="CS79" s="196" t="n">
        <f aca="false">IF((SUMIF($CN$3:$CW$3,CS$60,$CN$4:$CW$4))=0,0,((SUMIF($CN$3:$CW$3,CS$60,$CN128:$CW128))/SUMIF($CN$3:$CW$3,CS$60,$CN$4:$CW$4)))</f>
        <v>0</v>
      </c>
      <c r="CT79" s="196" t="n">
        <f aca="false">IF((SUMIF($CN$3:$CW$3,CT$60,$CN$4:$CW$4))=0,0,((SUMIF($CN$3:$CW$3,CT$60,$CN128:$CW128))/SUMIF($CN$3:$CW$3,CT$60,$CN$4:$CW$4)))</f>
        <v>0</v>
      </c>
      <c r="CU79" s="196" t="n">
        <f aca="false">IF((SUMIF($CN$3:$CW$3,CU$60,$CN$4:$CW$4))=0,0,((SUMIF($CN$3:$CW$3,CU$60,$CN128:$CW128))/SUMIF($CN$3:$CW$3,CU$60,$CN$4:$CW$4)))</f>
        <v>0</v>
      </c>
      <c r="CV79" s="196" t="n">
        <f aca="false">IF((SUMIF($CN$3:$CW$3,CV$60,$CN$4:$CW$4))=0,0,((SUMIF($CN$3:$CW$3,CV$60,$CN128:$CW128))/SUMIF($CN$3:$CW$3,CV$60,$CN$4:$CW$4)))</f>
        <v>0</v>
      </c>
      <c r="CW79" s="197" t="n">
        <f aca="false">IF((SUMIF($CN$3:$CW$3,CW$60,$CN$4:$CW$4))=0,0,((SUMIF($CN$3:$CW$3,CW$60,$CN128:$CW128))/SUMIF($CN$3:$CW$3,CW$60,$CN$4:$CW$4)))</f>
        <v>0</v>
      </c>
      <c r="CX79" s="194" t="str">
        <f aca="false">CM79</f>
        <v>Alumno18</v>
      </c>
      <c r="CY79" s="195" t="n">
        <f aca="false">IF((SUMIF($CY$3:$DH$3,CY$60,$CY$4:$DH$4))=0,0,((SUMIF($CY$3:$DH$3,CY$60,$CY128:$DH128))/SUMIF($CY$3:$DH$3,CY$60,$CY$4:$DH$4)))</f>
        <v>0</v>
      </c>
      <c r="CZ79" s="196" t="n">
        <f aca="false">IF((SUMIF($CY$3:$DH$3,CZ$60,$CY$4:$DH$4))=0,0,((SUMIF($CY$3:$DH$3,CZ$60,$CY128:$DH128))/SUMIF($CY$3:$DH$3,CZ$60,$CY$4:$DH$4)))</f>
        <v>0</v>
      </c>
      <c r="DA79" s="196" t="n">
        <f aca="false">IF((SUMIF($CY$3:$DH$3,DA$60,$CY$4:$DH$4))=0,0,((SUMIF($CY$3:$DH$3,DA$60,$CY128:$DH128))/SUMIF($CY$3:$DH$3,DA$60,$CY$4:$DH$4)))</f>
        <v>0</v>
      </c>
      <c r="DB79" s="196" t="n">
        <f aca="false">IF((SUMIF($CY$3:$DH$3,DB$60,$CY$4:$DH$4))=0,0,((SUMIF($CY$3:$DH$3,DB$60,$CY128:$DH128))/SUMIF($CY$3:$DH$3,DB$60,$CY$4:$DH$4)))</f>
        <v>0</v>
      </c>
      <c r="DC79" s="196" t="n">
        <f aca="false">IF((SUMIF($CY$3:$DH$3,DC$60,$CY$4:$DH$4))=0,0,((SUMIF($CY$3:$DH$3,DC$60,$CY128:$DH128))/SUMIF($CY$3:$DH$3,DC$60,$CY$4:$DH$4)))</f>
        <v>0</v>
      </c>
      <c r="DD79" s="196" t="n">
        <f aca="false">IF((SUMIF($CY$3:$DH$3,DD$60,$CY$4:$DH$4))=0,0,((SUMIF($CY$3:$DH$3,DD$60,$CY128:$DH128))/SUMIF($CY$3:$DH$3,DD$60,$CY$4:$DH$4)))</f>
        <v>0</v>
      </c>
      <c r="DE79" s="196" t="n">
        <f aca="false">IF((SUMIF($CY$3:$DH$3,DE$60,$CY$4:$DH$4))=0,0,((SUMIF($CY$3:$DH$3,DE$60,$CY128:$DH128))/SUMIF($CY$3:$DH$3,DE$60,$CY$4:$DH$4)))</f>
        <v>0</v>
      </c>
      <c r="DF79" s="196" t="n">
        <f aca="false">IF((SUMIF($CY$3:$DH$3,DF$60,$CY$4:$DH$4))=0,0,((SUMIF($CY$3:$DH$3,DF$60,$CY128:$DH128))/SUMIF($CY$3:$DH$3,DF$60,$CY$4:$DH$4)))</f>
        <v>0</v>
      </c>
      <c r="DG79" s="196" t="n">
        <f aca="false">IF((SUMIF($CY$3:$DH$3,DG$60,$CY$4:$DH$4))=0,0,((SUMIF($CY$3:$DH$3,DG$60,$CY128:$DH128))/SUMIF($CY$3:$DH$3,DG$60,$CY$4:$DH$4)))</f>
        <v>0</v>
      </c>
      <c r="DH79" s="197" t="n">
        <f aca="false">IF((SUMIF($CY$3:$DH$3,DH$60,$CY$4:$DH$4))=0,0,((SUMIF($CY$3:$DH$3,DH$60,$CY128:$DH128))/SUMIF($CY$3:$DH$3,DH$60,$CY$4:$DH$4)))</f>
        <v>0</v>
      </c>
      <c r="DI79" s="194" t="str">
        <f aca="false">CX79</f>
        <v>Alumno18</v>
      </c>
      <c r="DJ79" s="195" t="n">
        <f aca="false">IF((SUMIF($DJ$3:$DS$3,DJ$60,$DJ$4:$DS$4))=0,0,((SUMIF($DJ$3:$DS$3,DJ$60,$DJ128:$DS128))/SUMIF($DJ$3:$DS$3,DJ$60,$DJ$4:$DS$4)))</f>
        <v>0</v>
      </c>
      <c r="DK79" s="196" t="n">
        <f aca="false">IF((SUMIF($DJ$3:$DS$3,DK$60,$DJ$4:$DS$4))=0,0,((SUMIF($DJ$3:$DS$3,DK$60,$DJ128:$DS128))/SUMIF($DJ$3:$DS$3,DK$60,$DJ$4:$DS$4)))</f>
        <v>0</v>
      </c>
      <c r="DL79" s="196" t="n">
        <f aca="false">IF((SUMIF($DJ$3:$DS$3,DL$60,$DJ$4:$DS$4))=0,0,((SUMIF($DJ$3:$DS$3,DL$60,$DJ128:$DS128))/SUMIF($DJ$3:$DS$3,DL$60,$DJ$4:$DS$4)))</f>
        <v>0</v>
      </c>
      <c r="DM79" s="196" t="n">
        <f aca="false">IF((SUMIF($DJ$3:$DS$3,DM$60,$DJ$4:$DS$4))=0,0,((SUMIF($DJ$3:$DS$3,DM$60,$DJ128:$DS128))/SUMIF($DJ$3:$DS$3,DM$60,$DJ$4:$DS$4)))</f>
        <v>0</v>
      </c>
      <c r="DN79" s="196" t="n">
        <f aca="false">IF((SUMIF($DJ$3:$DS$3,DN$60,$DJ$4:$DS$4))=0,0,((SUMIF($DJ$3:$DS$3,DN$60,$DJ128:$DS128))/SUMIF($DJ$3:$DS$3,DN$60,$DJ$4:$DS$4)))</f>
        <v>0</v>
      </c>
      <c r="DO79" s="196" t="n">
        <f aca="false">IF((SUMIF($DJ$3:$DS$3,DO$60,$DJ$4:$DS$4))=0,0,((SUMIF($DJ$3:$DS$3,DO$60,$DJ128:$DS128))/SUMIF($DJ$3:$DS$3,DO$60,$DJ$4:$DS$4)))</f>
        <v>0</v>
      </c>
      <c r="DP79" s="196" t="n">
        <f aca="false">IF((SUMIF($DJ$3:$DS$3,DP$60,$DJ$4:$DS$4))=0,0,((SUMIF($DJ$3:$DS$3,DP$60,$DJ128:$DS128))/SUMIF($DJ$3:$DS$3,DP$60,$DJ$4:$DS$4)))</f>
        <v>0</v>
      </c>
      <c r="DQ79" s="196" t="n">
        <f aca="false">IF((SUMIF($DJ$3:$DS$3,DQ$60,$DJ$4:$DS$4))=0,0,((SUMIF($DJ$3:$DS$3,DQ$60,$DJ128:$DS128))/SUMIF($DJ$3:$DS$3,DQ$60,$DJ$4:$DS$4)))</f>
        <v>0</v>
      </c>
      <c r="DR79" s="196" t="n">
        <f aca="false">IF((SUMIF($DJ$3:$DS$3,DR$60,$DJ$4:$DS$4))=0,0,((SUMIF($DJ$3:$DS$3,DR$60,$DJ128:$DS128))/SUMIF($DJ$3:$DS$3,DR$60,$DJ$4:$DS$4)))</f>
        <v>0</v>
      </c>
      <c r="DS79" s="197" t="n">
        <f aca="false">IF((SUMIF($DJ$3:$DS$3,DS$60,$DJ$4:$DS$4))=0,0,((SUMIF($DJ$3:$DS$3,DS$60,$DJ128:$DS128))/SUMIF($DJ$3:$DS$3,DS$60,$DJ$4:$DS$4)))</f>
        <v>0</v>
      </c>
      <c r="DT79" s="194" t="str">
        <f aca="false">DI79</f>
        <v>Alumno18</v>
      </c>
      <c r="DU79" s="195" t="n">
        <f aca="false">IF((SUMIF($DU$3:$ED$3,DU$60,$DU$4:$ED$4))=0,0,((SUMIF($DU$3:$ED$3,DU$60,$DU128:$ED128))/SUMIF($DU$3:$ED$3,DU$60,$DU$4:$ED$4)))</f>
        <v>0</v>
      </c>
      <c r="DV79" s="196" t="n">
        <f aca="false">IF((SUMIF($DU$3:$ED$3,DV$60,$DU$4:$ED$4))=0,0,((SUMIF($DU$3:$ED$3,DV$60,$DU128:$ED128))/SUMIF($DU$3:$ED$3,DV$60,$DU$4:$ED$4)))</f>
        <v>0</v>
      </c>
      <c r="DW79" s="196" t="n">
        <f aca="false">IF((SUMIF($DU$3:$ED$3,DW$60,$DU$4:$ED$4))=0,0,((SUMIF($DU$3:$ED$3,DW$60,$DU128:$ED128))/SUMIF($DU$3:$ED$3,DW$60,$DU$4:$ED$4)))</f>
        <v>0</v>
      </c>
      <c r="DX79" s="196" t="n">
        <f aca="false">IF((SUMIF($DU$3:$ED$3,DX$60,$DU$4:$ED$4))=0,0,((SUMIF($DU$3:$ED$3,DX$60,$DU128:$ED128))/SUMIF($DU$3:$ED$3,DX$60,$DU$4:$ED$4)))</f>
        <v>0</v>
      </c>
      <c r="DY79" s="196" t="n">
        <f aca="false">IF((SUMIF($DU$3:$ED$3,DY$60,$DU$4:$ED$4))=0,0,((SUMIF($DU$3:$ED$3,DY$60,$DU128:$ED128))/SUMIF($DU$3:$ED$3,DY$60,$DU$4:$ED$4)))</f>
        <v>0</v>
      </c>
      <c r="DZ79" s="196" t="n">
        <f aca="false">IF((SUMIF($DU$3:$ED$3,DZ$60,$DU$4:$ED$4))=0,0,((SUMIF($DU$3:$ED$3,DZ$60,$DU128:$ED128))/SUMIF($DU$3:$ED$3,DZ$60,$DU$4:$ED$4)))</f>
        <v>0</v>
      </c>
      <c r="EA79" s="196" t="n">
        <f aca="false">IF((SUMIF($DU$3:$ED$3,EA$60,$DU$4:$ED$4))=0,0,((SUMIF($DU$3:$ED$3,EA$60,$DU128:$ED128))/SUMIF($DU$3:$ED$3,EA$60,$DU$4:$ED$4)))</f>
        <v>0</v>
      </c>
      <c r="EB79" s="196" t="n">
        <f aca="false">IF((SUMIF($DU$3:$ED$3,EB$60,$DU$4:$ED$4))=0,0,((SUMIF($DU$3:$ED$3,EB$60,$DU128:$ED128))/SUMIF($DU$3:$ED$3,EB$60,$DU$4:$ED$4)))</f>
        <v>0</v>
      </c>
      <c r="EC79" s="196" t="n">
        <f aca="false">IF((SUMIF($DU$3:$ED$3,EC$60,$DU$4:$ED$4))=0,0,((SUMIF($DU$3:$ED$3,EC$60,$DU128:$ED128))/SUMIF($DU$3:$ED$3,EC$60,$DU$4:$ED$4)))</f>
        <v>0</v>
      </c>
      <c r="ED79" s="197" t="n">
        <f aca="false">IF((SUMIF($DU$3:$ED$3,ED$60,$DU$4:$ED$4))=0,0,((SUMIF($DU$3:$ED$3,ED$60,$DU128:$ED128))/SUMIF($DU$3:$ED$3,ED$60,$DU$4:$ED$4)))</f>
        <v>0</v>
      </c>
      <c r="EE79" s="194" t="str">
        <f aca="false">DT79</f>
        <v>Alumno18</v>
      </c>
      <c r="EF79" s="195" t="n">
        <f aca="false">IF((SUMIF($EF$3:$EO$3,EF$60,$EF$4:$EO$4))=0,0,((SUMIF($EF$3:$EO$3,EF$60,$EF128:$EO128))/SUMIF($EF$3:$EO$3,EF$60,$EF$4:$EO$4)))</f>
        <v>0</v>
      </c>
      <c r="EG79" s="196" t="n">
        <f aca="false">IF((SUMIF($EF$3:$EO$3,EG$60,$EF$4:$EO$4))=0,0,((SUMIF($EF$3:$EO$3,EG$60,$EF128:$EO128))/SUMIF($EF$3:$EO$3,EG$60,$EF$4:$EO$4)))</f>
        <v>0</v>
      </c>
      <c r="EH79" s="196" t="n">
        <f aca="false">IF((SUMIF($EF$3:$EO$3,EH$60,$EF$4:$EO$4))=0,0,((SUMIF($EF$3:$EO$3,EH$60,$EF128:$EO128))/SUMIF($EF$3:$EO$3,EH$60,$EF$4:$EO$4)))</f>
        <v>0</v>
      </c>
      <c r="EI79" s="196" t="n">
        <f aca="false">IF((SUMIF($EF$3:$EO$3,EI$60,$EF$4:$EO$4))=0,0,((SUMIF($EF$3:$EO$3,EI$60,$EF128:$EO128))/SUMIF($EF$3:$EO$3,EI$60,$EF$4:$EO$4)))</f>
        <v>0</v>
      </c>
      <c r="EJ79" s="196" t="n">
        <f aca="false">IF((SUMIF($EF$3:$EO$3,EJ$60,$EF$4:$EO$4))=0,0,((SUMIF($EF$3:$EO$3,EJ$60,$EF128:$EO128))/SUMIF($EF$3:$EO$3,EJ$60,$EF$4:$EO$4)))</f>
        <v>0</v>
      </c>
      <c r="EK79" s="196" t="n">
        <f aca="false">IF((SUMIF($EF$3:$EO$3,EK$60,$EF$4:$EO$4))=0,0,((SUMIF($EF$3:$EO$3,EK$60,$EF128:$EO128))/SUMIF($EF$3:$EO$3,EK$60,$EF$4:$EO$4)))</f>
        <v>0</v>
      </c>
      <c r="EL79" s="196" t="n">
        <f aca="false">IF((SUMIF($EF$3:$EO$3,EL$60,$EF$4:$EO$4))=0,0,((SUMIF($EF$3:$EO$3,EL$60,$EF128:$EO128))/SUMIF($EF$3:$EO$3,EL$60,$EF$4:$EO$4)))</f>
        <v>0</v>
      </c>
      <c r="EM79" s="196" t="n">
        <f aca="false">IF((SUMIF($EF$3:$EO$3,EM$60,$EF$4:$EO$4))=0,0,((SUMIF($EF$3:$EO$3,EM$60,$EF128:$EO128))/SUMIF($EF$3:$EO$3,EM$60,$EF$4:$EO$4)))</f>
        <v>0</v>
      </c>
      <c r="EN79" s="196" t="n">
        <f aca="false">IF((SUMIF($EF$3:$EO$3,EN$60,$EF$4:$EO$4))=0,0,((SUMIF($EF$3:$EO$3,EN$60,$EF128:$EO128))/SUMIF($EF$3:$EO$3,EN$60,$EF$4:$EO$4)))</f>
        <v>0</v>
      </c>
      <c r="EO79" s="197" t="n">
        <f aca="false">IF((SUMIF($EF$3:$EO$3,EO$60,$EF$4:$EO$4))=0,0,((SUMIF($EF$3:$EO$3,EO$60,$EF128:$EO128))/SUMIF($EF$3:$EO$3,EO$60,$EF$4:$EO$4)))</f>
        <v>0</v>
      </c>
      <c r="EP79" s="194" t="str">
        <f aca="false">EE79</f>
        <v>Alumno18</v>
      </c>
      <c r="EQ79" s="195" t="n">
        <f aca="false">IF((SUMIF($EQ$3:$EZ$3,EQ$60,$EQ$4:$EZ$4))=0,0,((SUMIF($EQ$3:$EZ$3,EQ$60,$EQ128:$EZ128))/SUMIF($EQ$3:$EZ$3,EQ$60,$EQ$4:$EZ$4)))</f>
        <v>0</v>
      </c>
      <c r="ER79" s="196" t="n">
        <f aca="false">IF((SUMIF($EQ$3:$EZ$3,ER$60,$EQ$4:$EZ$4))=0,0,((SUMIF($EQ$3:$EZ$3,ER$60,$EQ128:$EZ128))/SUMIF($EQ$3:$EZ$3,ER$60,$EQ$4:$EZ$4)))</f>
        <v>0</v>
      </c>
      <c r="ES79" s="196" t="n">
        <f aca="false">IF((SUMIF($EQ$3:$EZ$3,ES$60,$EQ$4:$EZ$4))=0,0,((SUMIF($EQ$3:$EZ$3,ES$60,$EQ128:$EZ128))/SUMIF($EQ$3:$EZ$3,ES$60,$EQ$4:$EZ$4)))</f>
        <v>0</v>
      </c>
      <c r="ET79" s="196" t="n">
        <f aca="false">IF((SUMIF($EQ$3:$EZ$3,ET$60,$EQ$4:$EZ$4))=0,0,((SUMIF($EQ$3:$EZ$3,ET$60,$EQ128:$EZ128))/SUMIF($EQ$3:$EZ$3,ET$60,$EQ$4:$EZ$4)))</f>
        <v>0</v>
      </c>
      <c r="EU79" s="196" t="n">
        <f aca="false">IF((SUMIF($EQ$3:$EZ$3,EU$60,$EQ$4:$EZ$4))=0,0,((SUMIF($EQ$3:$EZ$3,EU$60,$EQ128:$EZ128))/SUMIF($EQ$3:$EZ$3,EU$60,$EQ$4:$EZ$4)))</f>
        <v>0</v>
      </c>
      <c r="EV79" s="196" t="n">
        <f aca="false">IF((SUMIF($EQ$3:$EZ$3,EV$60,$EQ$4:$EZ$4))=0,0,((SUMIF($EQ$3:$EZ$3,EV$60,$EQ128:$EZ128))/SUMIF($EQ$3:$EZ$3,EV$60,$EQ$4:$EZ$4)))</f>
        <v>0</v>
      </c>
      <c r="EW79" s="196" t="n">
        <f aca="false">IF((SUMIF($EQ$3:$EZ$3,EW$60,$EQ$4:$EZ$4))=0,0,((SUMIF($EQ$3:$EZ$3,EW$60,$EQ128:$EZ128))/SUMIF($EQ$3:$EZ$3,EW$60,$EQ$4:$EZ$4)))</f>
        <v>0</v>
      </c>
      <c r="EX79" s="196" t="n">
        <f aca="false">IF((SUMIF($EQ$3:$EZ$3,EX$60,$EQ$4:$EZ$4))=0,0,((SUMIF($EQ$3:$EZ$3,EX$60,$EQ128:$EZ128))/SUMIF($EQ$3:$EZ$3,EX$60,$EQ$4:$EZ$4)))</f>
        <v>0</v>
      </c>
      <c r="EY79" s="196" t="n">
        <f aca="false">IF((SUMIF($EQ$3:$EZ$3,EY$60,$EQ$4:$EZ$4))=0,0,((SUMIF($EQ$3:$EZ$3,EY$60,$EQ128:$EZ128))/SUMIF($EQ$3:$EZ$3,EY$60,$EQ$4:$EZ$4)))</f>
        <v>0</v>
      </c>
      <c r="EZ79" s="197" t="n">
        <f aca="false">IF((SUMIF($EQ$3:$EZ$3,EZ$60,$EQ$4:$EZ$4))=0,0,((SUMIF($EQ$3:$EZ$3,EZ$60,$EQ128:$EZ128))/SUMIF($EQ$3:$EZ$3,EZ$60,$EQ$4:$EZ$4)))</f>
        <v>0</v>
      </c>
      <c r="FA79" s="194" t="str">
        <f aca="false">EP79</f>
        <v>Alumno18</v>
      </c>
      <c r="FB79" s="195" t="n">
        <f aca="false">IF((SUMIF($FB$3:$FK$3,FB$60,$FB$4:$FK$4))=0,0,((SUMIF($FB$3:$FK$3,FB$60,$FB128:$FK128))/SUMIF($FB$3:$FK$3,FB$60,$FB$4:$FK$4)))</f>
        <v>0</v>
      </c>
      <c r="FC79" s="196" t="n">
        <f aca="false">IF((SUMIF($FB$3:$FK$3,FC$60,$FB$4:$FK$4))=0,0,((SUMIF($FB$3:$FK$3,FC$60,$FB128:$FK128))/SUMIF($FB$3:$FK$3,FC$60,$FB$4:$FK$4)))</f>
        <v>0</v>
      </c>
      <c r="FD79" s="196" t="n">
        <f aca="false">IF((SUMIF($FB$3:$FK$3,FD$60,$FB$4:$FK$4))=0,0,((SUMIF($FB$3:$FK$3,FD$60,$FB128:$FK128))/SUMIF($FB$3:$FK$3,FD$60,$FB$4:$FK$4)))</f>
        <v>0</v>
      </c>
      <c r="FE79" s="196" t="n">
        <f aca="false">IF((SUMIF($FB$3:$FK$3,FE$60,$FB$4:$FK$4))=0,0,((SUMIF($FB$3:$FK$3,FE$60,$FB128:$FK128))/SUMIF($FB$3:$FK$3,FE$60,$FB$4:$FK$4)))</f>
        <v>0</v>
      </c>
      <c r="FF79" s="196" t="n">
        <f aca="false">IF((SUMIF($FB$3:$FK$3,FF$60,$FB$4:$FK$4))=0,0,((SUMIF($FB$3:$FK$3,FF$60,$FB128:$FK128))/SUMIF($FB$3:$FK$3,FF$60,$FB$4:$FK$4)))</f>
        <v>0</v>
      </c>
      <c r="FG79" s="196" t="n">
        <f aca="false">IF((SUMIF($FB$3:$FK$3,FG$60,$FB$4:$FK$4))=0,0,((SUMIF($FB$3:$FK$3,FG$60,$FB128:$FK128))/SUMIF($FB$3:$FK$3,FG$60,$FB$4:$FK$4)))</f>
        <v>0</v>
      </c>
      <c r="FH79" s="196" t="n">
        <f aca="false">IF((SUMIF($FB$3:$FK$3,FH$60,$FB$4:$FK$4))=0,0,((SUMIF($FB$3:$FK$3,FH$60,$FB128:$FK128))/SUMIF($FB$3:$FK$3,FH$60,$FB$4:$FK$4)))</f>
        <v>0</v>
      </c>
      <c r="FI79" s="196" t="n">
        <f aca="false">IF((SUMIF($FB$3:$FK$3,FI$60,$FB$4:$FK$4))=0,0,((SUMIF($FB$3:$FK$3,FI$60,$FB128:$FK128))/SUMIF($FB$3:$FK$3,FI$60,$FB$4:$FK$4)))</f>
        <v>0</v>
      </c>
      <c r="FJ79" s="196" t="n">
        <f aca="false">IF((SUMIF($FB$3:$FK$3,FJ$60,$FB$4:$FK$4))=0,0,((SUMIF($FB$3:$FK$3,FJ$60,$FB128:$FK128))/SUMIF($FB$3:$FK$3,FJ$60,$FB$4:$FK$4)))</f>
        <v>0</v>
      </c>
      <c r="FK79" s="197" t="n">
        <f aca="false">IF((SUMIF($FB$3:$FK$3,FK$60,$FB$4:$FK$4))=0,0,((SUMIF($FB$3:$FK$3,FK$60,$FB128:$FK128))/SUMIF($FB$3:$FK$3,FK$60,$FB$4:$FK$4)))</f>
        <v>0</v>
      </c>
      <c r="FL79" s="194" t="str">
        <f aca="false">FA79</f>
        <v>Alumno18</v>
      </c>
      <c r="FM79" s="195" t="n">
        <f aca="false">IF((SUMIF($FM$3:$FV$3,FM$60,$FM$4:$FV$4))=0,0,((SUMIF($FM$3:$FV$3,FM$60,$FM128:$FV128))/SUMIF($FM$3:$FV$3,FM$60,$FM$4:$FV$4)))</f>
        <v>0</v>
      </c>
      <c r="FN79" s="196" t="n">
        <f aca="false">IF((SUMIF($FM$3:$FV$3,FN$60,$FM$4:$FV$4))=0,0,((SUMIF($FM$3:$FV$3,FN$60,$FM128:$FV128))/SUMIF($FM$3:$FV$3,FN$60,$FM$4:$FV$4)))</f>
        <v>0</v>
      </c>
      <c r="FO79" s="196" t="n">
        <f aca="false">IF((SUMIF($FM$3:$FV$3,FO$60,$FM$4:$FV$4))=0,0,((SUMIF($FM$3:$FV$3,FO$60,$FM128:$FV128))/SUMIF($FM$3:$FV$3,FO$60,$FM$4:$FV$4)))</f>
        <v>0</v>
      </c>
      <c r="FP79" s="196" t="n">
        <f aca="false">IF((SUMIF($FM$3:$FV$3,FP$60,$FM$4:$FV$4))=0,0,((SUMIF($FM$3:$FV$3,FP$60,$FM128:$FV128))/SUMIF($FM$3:$FV$3,FP$60,$FM$4:$FV$4)))</f>
        <v>0</v>
      </c>
      <c r="FQ79" s="196" t="n">
        <f aca="false">IF((SUMIF($FM$3:$FV$3,FQ$60,$FM$4:$FV$4))=0,0,((SUMIF($FM$3:$FV$3,FQ$60,$FM128:$FV128))/SUMIF($FM$3:$FV$3,FQ$60,$FM$4:$FV$4)))</f>
        <v>0</v>
      </c>
      <c r="FR79" s="196" t="n">
        <f aca="false">IF((SUMIF($FM$3:$FV$3,FR$60,$FM$4:$FV$4))=0,0,((SUMIF($FM$3:$FV$3,FR$60,$FM128:$FV128))/SUMIF($FM$3:$FV$3,FR$60,$FM$4:$FV$4)))</f>
        <v>0</v>
      </c>
      <c r="FS79" s="196" t="n">
        <f aca="false">IF((SUMIF($FM$3:$FV$3,FS$60,$FM$4:$FV$4))=0,0,((SUMIF($FM$3:$FV$3,FS$60,$FM128:$FV128))/SUMIF($FM$3:$FV$3,FS$60,$FM$4:$FV$4)))</f>
        <v>0</v>
      </c>
      <c r="FT79" s="196" t="n">
        <f aca="false">IF((SUMIF($FM$3:$FV$3,FT$60,$FM$4:$FV$4))=0,0,((SUMIF($FM$3:$FV$3,FT$60,$FM128:$FV128))/SUMIF($FM$3:$FV$3,FT$60,$FM$4:$FV$4)))</f>
        <v>0</v>
      </c>
      <c r="FU79" s="196" t="n">
        <f aca="false">IF((SUMIF($FM$3:$FV$3,FU$60,$FM$4:$FV$4))=0,0,((SUMIF($FM$3:$FV$3,FU$60,$FM128:$FV128))/SUMIF($FM$3:$FV$3,FU$60,$FM$4:$FV$4)))</f>
        <v>0</v>
      </c>
      <c r="FV79" s="197" t="n">
        <f aca="false">IF((SUMIF($FM$3:$FV$3,FV$60,$FM$4:$FV$4))=0,0,((SUMIF($FM$3:$FV$3,FV$60,$FM128:$FV128))/SUMIF($FM$3:$FV$3,FV$60,$FM$4:$FV$4)))</f>
        <v>0</v>
      </c>
      <c r="FW79" s="194" t="str">
        <f aca="false">FL79</f>
        <v>Alumno18</v>
      </c>
      <c r="FX79" s="195" t="n">
        <f aca="false">IF((SUMIF($FX$3:$GG$3,FX$60,$FX$4:$GG$4))=0,0,((SUMIF($FX$3:$GG$3,FX$60,$FX128:$GG128))/SUMIF($FX$3:$GG$3,FX$60,$FX$4:$GG$4)))</f>
        <v>0</v>
      </c>
      <c r="FY79" s="196" t="n">
        <f aca="false">IF((SUMIF($FX$3:$GG$3,FY$60,$FX$4:$GG$4))=0,0,((SUMIF($FX$3:$GG$3,FY$60,$FX128:$GG128))/SUMIF($FX$3:$GG$3,FY$60,$FX$4:$GG$4)))</f>
        <v>0</v>
      </c>
      <c r="FZ79" s="196" t="n">
        <f aca="false">IF((SUMIF($FX$3:$GG$3,FZ$60,$FX$4:$GG$4))=0,0,((SUMIF($FX$3:$GG$3,FZ$60,$FX128:$GG128))/SUMIF($FX$3:$GG$3,FZ$60,$FX$4:$GG$4)))</f>
        <v>0</v>
      </c>
      <c r="GA79" s="196" t="n">
        <f aca="false">IF((SUMIF($FX$3:$GG$3,GA$60,$FX$4:$GG$4))=0,0,((SUMIF($FX$3:$GG$3,GA$60,$FX128:$GG128))/SUMIF($FX$3:$GG$3,GA$60,$FX$4:$GG$4)))</f>
        <v>0</v>
      </c>
      <c r="GB79" s="196" t="n">
        <f aca="false">IF((SUMIF($FX$3:$GG$3,GB$60,$FX$4:$GG$4))=0,0,((SUMIF($FX$3:$GG$3,GB$60,$FX128:$GG128))/SUMIF($FX$3:$GG$3,GB$60,$FX$4:$GG$4)))</f>
        <v>0</v>
      </c>
      <c r="GC79" s="196" t="n">
        <f aca="false">IF((SUMIF($FX$3:$GG$3,GC$60,$FX$4:$GG$4))=0,0,((SUMIF($FX$3:$GG$3,GC$60,$FX128:$GG128))/SUMIF($FX$3:$GG$3,GC$60,$FX$4:$GG$4)))</f>
        <v>0</v>
      </c>
      <c r="GD79" s="196" t="n">
        <f aca="false">IF((SUMIF($FX$3:$GG$3,GD$60,$FX$4:$GG$4))=0,0,((SUMIF($FX$3:$GG$3,GD$60,$FX128:$GG128))/SUMIF($FX$3:$GG$3,GD$60,$FX$4:$GG$4)))</f>
        <v>0</v>
      </c>
      <c r="GE79" s="196" t="n">
        <f aca="false">IF((SUMIF($FX$3:$GG$3,GE$60,$FX$4:$GG$4))=0,0,((SUMIF($FX$3:$GG$3,GE$60,$FX128:$GG128))/SUMIF($FX$3:$GG$3,GE$60,$FX$4:$GG$4)))</f>
        <v>0</v>
      </c>
      <c r="GF79" s="196" t="n">
        <f aca="false">IF((SUMIF($FX$3:$GG$3,GF$60,$FX$4:$GG$4))=0,0,((SUMIF($FX$3:$GG$3,GF$60,$FX128:$GG128))/SUMIF($FX$3:$GG$3,GF$60,$FX$4:$GG$4)))</f>
        <v>0</v>
      </c>
      <c r="GG79" s="197" t="n">
        <f aca="false">IF((SUMIF($FX$3:$GG$3,GG$60,$FX$4:$GG$4))=0,0,((SUMIF($FX$3:$GG$3,GG$60,$FX128:$GG128))/SUMIF($FX$3:$GG$3,GG$60,$FX$4:$GG$4)))</f>
        <v>0</v>
      </c>
      <c r="GH79" s="194" t="str">
        <f aca="false">FW79</f>
        <v>Alumno18</v>
      </c>
      <c r="GI79" s="195" t="n">
        <f aca="false">IF((SUMIF($GI$3:$GR$3,GI$60,$GI$4:$GR$4))=0,0,((SUMIF($GI$3:$GR$3,GI$60,$GI128:$GR128))/SUMIF($GI$3:$GR$3,GI$60,$GI$4:$GR$4)))</f>
        <v>0</v>
      </c>
      <c r="GJ79" s="196" t="n">
        <f aca="false">IF((SUMIF($GI$3:$GR$3,GJ$60,$GI$4:$GR$4))=0,0,((SUMIF($GI$3:$GR$3,GJ$60,$GI128:$GR128))/SUMIF($GI$3:$GR$3,GJ$60,$GI$4:$GR$4)))</f>
        <v>0</v>
      </c>
      <c r="GK79" s="196" t="n">
        <f aca="false">IF((SUMIF($GI$3:$GR$3,GK$60,$GI$4:$GR$4))=0,0,((SUMIF($GI$3:$GR$3,GK$60,$GI128:$GR128))/SUMIF($GI$3:$GR$3,GK$60,$GI$4:$GR$4)))</f>
        <v>0</v>
      </c>
      <c r="GL79" s="196" t="n">
        <f aca="false">IF((SUMIF($GI$3:$GR$3,GL$60,$GI$4:$GR$4))=0,0,((SUMIF($GI$3:$GR$3,GL$60,$GI128:$GR128))/SUMIF($GI$3:$GR$3,GL$60,$GI$4:$GR$4)))</f>
        <v>0</v>
      </c>
      <c r="GM79" s="196" t="n">
        <f aca="false">IF((SUMIF($GI$3:$GR$3,GM$60,$GI$4:$GR$4))=0,0,((SUMIF($GI$3:$GR$3,GM$60,$GI128:$GR128))/SUMIF($GI$3:$GR$3,GM$60,$GI$4:$GR$4)))</f>
        <v>0</v>
      </c>
      <c r="GN79" s="196" t="n">
        <f aca="false">IF((SUMIF($GI$3:$GR$3,GN$60,$GI$4:$GR$4))=0,0,((SUMIF($GI$3:$GR$3,GN$60,$GI128:$GR128))/SUMIF($GI$3:$GR$3,GN$60,$GI$4:$GR$4)))</f>
        <v>0</v>
      </c>
      <c r="GO79" s="196" t="n">
        <f aca="false">IF((SUMIF($GI$3:$GR$3,GO$60,$GI$4:$GR$4))=0,0,((SUMIF($GI$3:$GR$3,GO$60,$GI128:$GR128))/SUMIF($GI$3:$GR$3,GO$60,$GI$4:$GR$4)))</f>
        <v>0</v>
      </c>
      <c r="GP79" s="196" t="n">
        <f aca="false">IF((SUMIF($GI$3:$GR$3,GP$60,$GI$4:$GR$4))=0,0,((SUMIF($GI$3:$GR$3,GP$60,$GI128:$GR128))/SUMIF($GI$3:$GR$3,GP$60,$GI$4:$GR$4)))</f>
        <v>0</v>
      </c>
      <c r="GQ79" s="196" t="n">
        <f aca="false">IF((SUMIF($GI$3:$GR$3,GQ$60,$GI$4:$GR$4))=0,0,((SUMIF($GI$3:$GR$3,GQ$60,$GI128:$GR128))/SUMIF($GI$3:$GR$3,GQ$60,$GI$4:$GR$4)))</f>
        <v>0</v>
      </c>
      <c r="GR79" s="197" t="n">
        <f aca="false">IF((SUMIF($GI$3:$GR$3,GR$60,$GI$4:$GR$4))=0,0,((SUMIF($GI$3:$GR$3,GR$60,$GI128:$GR128))/SUMIF($GI$3:$GR$3,GR$60,$GI$4:$GR$4)))</f>
        <v>0</v>
      </c>
      <c r="GS79" s="194" t="str">
        <f aca="false">GH79</f>
        <v>Alumno18</v>
      </c>
      <c r="GT79" s="195" t="n">
        <f aca="false">IF((SUMIF($GT$3:$HC$3,GT$60,$GT$4:$HC$4))=0,0,((SUMIF($GT$3:$HC$3,GT$60,$GT128:$HC128))/SUMIF($GT$3:$HC$3,GT$60,$GT$4:$HC$4)))</f>
        <v>0</v>
      </c>
      <c r="GU79" s="196" t="n">
        <f aca="false">IF((SUMIF($GT$3:$HC$3,GU$60,$GT$4:$HC$4))=0,0,((SUMIF($GT$3:$HC$3,GU$60,$GT128:$HC128))/SUMIF($GT$3:$HC$3,GU$60,$GT$4:$HC$4)))</f>
        <v>0</v>
      </c>
      <c r="GV79" s="196" t="n">
        <f aca="false">IF((SUMIF($GT$3:$HC$3,GV$60,$GT$4:$HC$4))=0,0,((SUMIF($GT$3:$HC$3,GV$60,$GT128:$HC128))/SUMIF($GT$3:$HC$3,GV$60,$GT$4:$HC$4)))</f>
        <v>0</v>
      </c>
      <c r="GW79" s="196" t="n">
        <f aca="false">IF((SUMIF($GT$3:$HC$3,GW$60,$GT$4:$HC$4))=0,0,((SUMIF($GT$3:$HC$3,GW$60,$GT128:$HC128))/SUMIF($GT$3:$HC$3,GW$60,$GT$4:$HC$4)))</f>
        <v>0</v>
      </c>
      <c r="GX79" s="196" t="n">
        <f aca="false">IF((SUMIF($GT$3:$HC$3,GX$60,$GT$4:$HC$4))=0,0,((SUMIF($GT$3:$HC$3,GX$60,$GT128:$HC128))/SUMIF($GT$3:$HC$3,GX$60,$GT$4:$HC$4)))</f>
        <v>0</v>
      </c>
      <c r="GY79" s="196" t="n">
        <f aca="false">IF((SUMIF($GT$3:$HC$3,GY$60,$GT$4:$HC$4))=0,0,((SUMIF($GT$3:$HC$3,GY$60,$GT128:$HC128))/SUMIF($GT$3:$HC$3,GY$60,$GT$4:$HC$4)))</f>
        <v>0</v>
      </c>
      <c r="GZ79" s="196" t="n">
        <f aca="false">IF((SUMIF($GT$3:$HC$3,GZ$60,$GT$4:$HC$4))=0,0,((SUMIF($GT$3:$HC$3,GZ$60,$GT128:$HC128))/SUMIF($GT$3:$HC$3,GZ$60,$GT$4:$HC$4)))</f>
        <v>0</v>
      </c>
      <c r="HA79" s="196" t="n">
        <f aca="false">IF((SUMIF($GT$3:$HC$3,HA$60,$GT$4:$HC$4))=0,0,((SUMIF($GT$3:$HC$3,HA$60,$GT128:$HC128))/SUMIF($GT$3:$HC$3,HA$60,$GT$4:$HC$4)))</f>
        <v>0</v>
      </c>
      <c r="HB79" s="196" t="n">
        <f aca="false">IF((SUMIF($GT$3:$HC$3,HB$60,$GT$4:$HC$4))=0,0,((SUMIF($GT$3:$HC$3,HB$60,$GT128:$HC128))/SUMIF($GT$3:$HC$3,HB$60,$GT$4:$HC$4)))</f>
        <v>0</v>
      </c>
      <c r="HC79" s="197" t="n">
        <f aca="false">IF((SUMIF($GT$3:$HC$3,HC$60,$GT$4:$HC$4))=0,0,((SUMIF($GT$3:$HC$3,HC$60,$GT128:$HC128))/SUMIF($GT$3:$HC$3,HC$60,$GT$4:$HC$4)))</f>
        <v>0</v>
      </c>
      <c r="HD79" s="194" t="str">
        <f aca="false">GS79</f>
        <v>Alumno18</v>
      </c>
      <c r="HE79" s="195" t="n">
        <f aca="false">IF((SUMIF($HE$3:$HN$3,HE$60,$HE$4:$HN$4))=0,0,((SUMIF($HE$3:$HN$3,HE$60,$HE128:$HN128))/SUMIF($HE$3:$HN$3,HE$60,$HE$4:$HN$4)))</f>
        <v>0</v>
      </c>
      <c r="HF79" s="196" t="n">
        <f aca="false">IF((SUMIF($HE$3:$HN$3,HF$60,$HE$4:$HN$4))=0,0,((SUMIF($HE$3:$HN$3,HF$60,$HE128:$HN128))/SUMIF($HE$3:$HN$3,HF$60,$HE$4:$HN$4)))</f>
        <v>0</v>
      </c>
      <c r="HG79" s="196" t="n">
        <f aca="false">IF((SUMIF($HE$3:$HN$3,HG$60,$HE$4:$HN$4))=0,0,((SUMIF($HE$3:$HN$3,HG$60,$HE128:$HN128))/SUMIF($HE$3:$HN$3,HG$60,$HE$4:$HN$4)))</f>
        <v>0</v>
      </c>
      <c r="HH79" s="196" t="n">
        <f aca="false">IF((SUMIF($HE$3:$HN$3,HH$60,$HE$4:$HN$4))=0,0,((SUMIF($HE$3:$HN$3,HH$60,$HE128:$HN128))/SUMIF($HE$3:$HN$3,HH$60,$HE$4:$HN$4)))</f>
        <v>0</v>
      </c>
      <c r="HI79" s="196" t="n">
        <f aca="false">IF((SUMIF($HE$3:$HN$3,HI$60,$HE$4:$HN$4))=0,0,((SUMIF($HE$3:$HN$3,HI$60,$HE128:$HN128))/SUMIF($HE$3:$HN$3,HI$60,$HE$4:$HN$4)))</f>
        <v>0</v>
      </c>
      <c r="HJ79" s="196" t="n">
        <f aca="false">IF((SUMIF($HE$3:$HN$3,HJ$60,$HE$4:$HN$4))=0,0,((SUMIF($HE$3:$HN$3,HJ$60,$HE128:$HN128))/SUMIF($HE$3:$HN$3,HJ$60,$HE$4:$HN$4)))</f>
        <v>0</v>
      </c>
      <c r="HK79" s="196" t="n">
        <f aca="false">IF((SUMIF($HE$3:$HN$3,HK$60,$HE$4:$HN$4))=0,0,((SUMIF($HE$3:$HN$3,HK$60,$HE128:$HN128))/SUMIF($HE$3:$HN$3,HK$60,$HE$4:$HN$4)))</f>
        <v>0</v>
      </c>
      <c r="HL79" s="196" t="n">
        <f aca="false">IF((SUMIF($HE$3:$HN$3,HL$60,$HE$4:$HN$4))=0,0,((SUMIF($HE$3:$HN$3,HL$60,$HE128:$HN128))/SUMIF($HE$3:$HN$3,HL$60,$HE$4:$HN$4)))</f>
        <v>0</v>
      </c>
      <c r="HM79" s="196" t="n">
        <f aca="false">IF((SUMIF($HE$3:$HN$3,HM$60,$HE$4:$HN$4))=0,0,((SUMIF($HE$3:$HN$3,HM$60,$HE128:$HN128))/SUMIF($HE$3:$HN$3,HM$60,$HE$4:$HN$4)))</f>
        <v>0</v>
      </c>
      <c r="HN79" s="197" t="n">
        <f aca="false">IF((SUMIF($HE$3:$HN$3,HN$60,$HE$4:$HN$4))=0,0,((SUMIF($HE$3:$HN$3,HN$60,$HE128:$HN128))/SUMIF($HE$3:$HN$3,HN$60,$HE$4:$HN$4)))</f>
        <v>0</v>
      </c>
      <c r="HO79" s="194" t="str">
        <f aca="false">HD79</f>
        <v>Alumno18</v>
      </c>
      <c r="HP79" s="195" t="n">
        <f aca="false">IF((SUMIF($HP$3:$HY$3,HP$60,$HP$4:$HY$4))=0,0,((SUMIF($HP$3:$HY$3,HP$60,$HP128:$HY128))/SUMIF($HP$3:$HY$3,HP$60,$HP$4:$HY$4)))</f>
        <v>0</v>
      </c>
      <c r="HQ79" s="196" t="n">
        <f aca="false">IF((SUMIF($HP$3:$HY$3,HQ$60,$HP$4:$HY$4))=0,0,((SUMIF($HP$3:$HY$3,HQ$60,$HP128:$HY128))/SUMIF($HP$3:$HY$3,HQ$60,$HP$4:$HY$4)))</f>
        <v>0</v>
      </c>
      <c r="HR79" s="196" t="n">
        <f aca="false">IF((SUMIF($HP$3:$HY$3,HR$60,$HP$4:$HY$4))=0,0,((SUMIF($HP$3:$HY$3,HR$60,$HP128:$HY128))/SUMIF($HP$3:$HY$3,HR$60,$HP$4:$HY$4)))</f>
        <v>0</v>
      </c>
      <c r="HS79" s="196" t="n">
        <f aca="false">IF((SUMIF($HP$3:$HY$3,HS$60,$HP$4:$HY$4))=0,0,((SUMIF($HP$3:$HY$3,HS$60,$HP128:$HY128))/SUMIF($HP$3:$HY$3,HS$60,$HP$4:$HY$4)))</f>
        <v>0</v>
      </c>
      <c r="HT79" s="196" t="n">
        <f aca="false">IF((SUMIF($HP$3:$HY$3,HT$60,$HP$4:$HY$4))=0,0,((SUMIF($HP$3:$HY$3,HT$60,$HP128:$HY128))/SUMIF($HP$3:$HY$3,HT$60,$HP$4:$HY$4)))</f>
        <v>0</v>
      </c>
      <c r="HU79" s="196" t="n">
        <f aca="false">IF((SUMIF($HP$3:$HY$3,HU$60,$HP$4:$HY$4))=0,0,((SUMIF($HP$3:$HY$3,HU$60,$HP128:$HY128))/SUMIF($HP$3:$HY$3,HU$60,$HP$4:$HY$4)))</f>
        <v>0</v>
      </c>
      <c r="HV79" s="196" t="n">
        <f aca="false">IF((SUMIF($HP$3:$HY$3,HV$60,$HP$4:$HY$4))=0,0,((SUMIF($HP$3:$HY$3,HV$60,$HP128:$HY128))/SUMIF($HP$3:$HY$3,HV$60,$HP$4:$HY$4)))</f>
        <v>0</v>
      </c>
      <c r="HW79" s="196" t="n">
        <f aca="false">IF((SUMIF($HP$3:$HY$3,HW$60,$HP$4:$HY$4))=0,0,((SUMIF($HP$3:$HY$3,HW$60,$HP128:$HY128))/SUMIF($HP$3:$HY$3,HW$60,$HP$4:$HY$4)))</f>
        <v>0</v>
      </c>
      <c r="HX79" s="196" t="n">
        <f aca="false">IF((SUMIF($HP$3:$HY$3,HX$60,$HP$4:$HY$4))=0,0,((SUMIF($HP$3:$HY$3,HX$60,$HP128:$HY128))/SUMIF($HP$3:$HY$3,HX$60,$HP$4:$HY$4)))</f>
        <v>0</v>
      </c>
      <c r="HY79" s="197" t="n">
        <f aca="false">IF((SUMIF($HP$3:$HY$3,HY$60,$HP$4:$HY$4))=0,0,((SUMIF($HP$3:$HY$3,HY$60,$HP128:$HY128))/SUMIF($HP$3:$HY$3,HY$60,$HP$4:$HY$4)))</f>
        <v>0</v>
      </c>
      <c r="HZ79" s="194" t="str">
        <f aca="false">HO79</f>
        <v>Alumno18</v>
      </c>
      <c r="IA79" s="195" t="n">
        <f aca="false">IF((SUMIF($IA$3:$IJ$3,IA$60,$IA$4:$IJ$4))=0,0,((SUMIF($IA$3:$IJ$3,IA$60,$IA128:$IJ128))/SUMIF($IA$3:$IJ$3,IA$60,$IA$4:$IJ$4)))</f>
        <v>0</v>
      </c>
      <c r="IB79" s="196" t="n">
        <f aca="false">IF((SUMIF($IA$3:$IJ$3,IB$60,$IA$4:$IJ$4))=0,0,((SUMIF($IA$3:$IJ$3,IB$60,$IA128:$IJ128))/SUMIF($IA$3:$IJ$3,IB$60,$IA$4:$IJ$4)))</f>
        <v>0</v>
      </c>
      <c r="IC79" s="196" t="n">
        <f aca="false">IF((SUMIF($IA$3:$IJ$3,IC$60,$IA$4:$IJ$4))=0,0,((SUMIF($IA$3:$IJ$3,IC$60,$IA128:$IJ128))/SUMIF($IA$3:$IJ$3,IC$60,$IA$4:$IJ$4)))</f>
        <v>0</v>
      </c>
      <c r="ID79" s="196" t="n">
        <f aca="false">IF((SUMIF($IA$3:$IJ$3,ID$60,$IA$4:$IJ$4))=0,0,((SUMIF($IA$3:$IJ$3,ID$60,$IA128:$IJ128))/SUMIF($IA$3:$IJ$3,ID$60,$IA$4:$IJ$4)))</f>
        <v>0</v>
      </c>
      <c r="IE79" s="196" t="n">
        <f aca="false">IF((SUMIF($IA$3:$IJ$3,IE$60,$IA$4:$IJ$4))=0,0,((SUMIF($IA$3:$IJ$3,IE$60,$IA128:$IJ128))/SUMIF($IA$3:$IJ$3,IE$60,$IA$4:$IJ$4)))</f>
        <v>0</v>
      </c>
      <c r="IF79" s="196" t="n">
        <f aca="false">IF((SUMIF($IA$3:$IJ$3,IF$60,$IA$4:$IJ$4))=0,0,((SUMIF($IA$3:$IJ$3,IF$60,$IA128:$IJ128))/SUMIF($IA$3:$IJ$3,IF$60,$IA$4:$IJ$4)))</f>
        <v>0</v>
      </c>
      <c r="IG79" s="196" t="n">
        <f aca="false">IF((SUMIF($IA$3:$IJ$3,IG$60,$IA$4:$IJ$4))=0,0,((SUMIF($IA$3:$IJ$3,IG$60,$IA128:$IJ128))/SUMIF($IA$3:$IJ$3,IG$60,$IA$4:$IJ$4)))</f>
        <v>0</v>
      </c>
      <c r="IH79" s="196" t="n">
        <f aca="false">IF((SUMIF($IA$3:$IJ$3,IH$60,$IA$4:$IJ$4))=0,0,((SUMIF($IA$3:$IJ$3,IH$60,$IA128:$IJ128))/SUMIF($IA$3:$IJ$3,IH$60,$IA$4:$IJ$4)))</f>
        <v>0</v>
      </c>
      <c r="II79" s="196" t="n">
        <f aca="false">IF((SUMIF($IA$3:$IJ$3,II$60,$IA$4:$IJ$4))=0,0,((SUMIF($IA$3:$IJ$3,II$60,$IA128:$IJ128))/SUMIF($IA$3:$IJ$3,II$60,$IA$4:$IJ$4)))</f>
        <v>0</v>
      </c>
      <c r="IJ79" s="197" t="n">
        <f aca="false">IF((SUMIF($IA$3:$IJ$3,IJ$60,$IA$4:$IJ$4))=0,0,((SUMIF($IA$3:$IJ$3,IJ$60,$IA128:$IJ128))/SUMIF($IA$3:$IJ$3,IJ$60,$IA$4:$IJ$4)))</f>
        <v>0</v>
      </c>
      <c r="IK79" s="194" t="str">
        <f aca="false">HZ79</f>
        <v>Alumno18</v>
      </c>
      <c r="IL79" s="195" t="n">
        <f aca="false">IF((SUMIF($IL$3:$IU$3,IL$60,$IL$4:$IU$4))=0,0,((SUMIF($IL$3:$IU$3,IL$60,$IL128:$IU128))/SUMIF($IL$3:$IU$3,IL$60,$IL$4:$IU$4)))</f>
        <v>0</v>
      </c>
      <c r="IM79" s="196" t="n">
        <f aca="false">IF((SUMIF($IL$3:$IU$3,IM$60,$IL$4:$IU$4))=0,0,((SUMIF($IL$3:$IU$3,IM$60,$IL128:$IU128))/SUMIF($IL$3:$IU$3,IM$60,$IL$4:$IU$4)))</f>
        <v>0</v>
      </c>
      <c r="IN79" s="196" t="n">
        <f aca="false">IF((SUMIF($IL$3:$IU$3,IN$60,$IL$4:$IU$4))=0,0,((SUMIF($IL$3:$IU$3,IN$60,$IL128:$IU128))/SUMIF($IL$3:$IU$3,IN$60,$IL$4:$IU$4)))</f>
        <v>0</v>
      </c>
      <c r="IO79" s="196" t="n">
        <f aca="false">IF((SUMIF($IL$3:$IU$3,IO$60,$IL$4:$IU$4))=0,0,((SUMIF($IL$3:$IU$3,IO$60,$IL128:$IU128))/SUMIF($IL$3:$IU$3,IO$60,$IL$4:$IU$4)))</f>
        <v>0</v>
      </c>
      <c r="IP79" s="196" t="n">
        <f aca="false">IF((SUMIF($IL$3:$IU$3,IP$60,$IL$4:$IU$4))=0,0,((SUMIF($IL$3:$IU$3,IP$60,$IL128:$IU128))/SUMIF($IL$3:$IU$3,IP$60,$IL$4:$IU$4)))</f>
        <v>0</v>
      </c>
      <c r="IQ79" s="196" t="n">
        <f aca="false">IF((SUMIF($IL$3:$IU$3,IQ$60,$IL$4:$IU$4))=0,0,((SUMIF($IL$3:$IU$3,IQ$60,$IL128:$IU128))/SUMIF($IL$3:$IU$3,IQ$60,$IL$4:$IU$4)))</f>
        <v>0</v>
      </c>
      <c r="IR79" s="196" t="n">
        <f aca="false">IF((SUMIF($IL$3:$IU$3,IR$60,$IL$4:$IU$4))=0,0,((SUMIF($IL$3:$IU$3,IR$60,$IL128:$IU128))/SUMIF($IL$3:$IU$3,IR$60,$IL$4:$IU$4)))</f>
        <v>0</v>
      </c>
      <c r="IS79" s="196" t="n">
        <f aca="false">IF((SUMIF($IL$3:$IU$3,IS$60,$IL$4:$IU$4))=0,0,((SUMIF($IL$3:$IU$3,IS$60,$IL128:$IU128))/SUMIF($IL$3:$IU$3,IS$60,$IL$4:$IU$4)))</f>
        <v>0</v>
      </c>
      <c r="IT79" s="196" t="n">
        <f aca="false">IF((SUMIF($IL$3:$IU$3,IT$60,$IL$4:$IU$4))=0,0,((SUMIF($IL$3:$IU$3,IT$60,$IL128:$IU128))/SUMIF($IL$3:$IU$3,IT$60,$IL$4:$IU$4)))</f>
        <v>0</v>
      </c>
      <c r="IU79" s="197" t="n">
        <f aca="false">IF((SUMIF($IL$3:$IU$3,IU$60,$IL$4:$IU$4))=0,0,((SUMIF($IL$3:$IU$3,IU$60,$IL128:$IU128))/SUMIF($IL$3:$IU$3,IU$60,$IL$4:$IU$4)))</f>
        <v>0</v>
      </c>
      <c r="IV79" s="194" t="str">
        <f aca="false">IK79</f>
        <v>Alumno18</v>
      </c>
      <c r="IW79" s="195" t="n">
        <f aca="false">IF((SUMIF($IW$3:$JF$3,IW$60,$IW$4:$JF$4))=0,0,((SUMIF($IW$3:$JF$3,IW$60,$IW128:$JF128))/SUMIF($IW$3:$JF$3,IW$60,$IW$4:$JF$4)))</f>
        <v>0</v>
      </c>
      <c r="IX79" s="196" t="n">
        <f aca="false">IF((SUMIF($IW$3:$JF$3,IX$60,$IW$4:$JF$4))=0,0,((SUMIF($IW$3:$JF$3,IX$60,$IW128:$JF128))/SUMIF($IW$3:$JF$3,IX$60,$IW$4:$JF$4)))</f>
        <v>0</v>
      </c>
      <c r="IY79" s="196" t="n">
        <f aca="false">IF((SUMIF($IW$3:$JF$3,IY$60,$IW$4:$JF$4))=0,0,((SUMIF($IW$3:$JF$3,IY$60,$IW128:$JF128))/SUMIF($IW$3:$JF$3,IY$60,$IW$4:$JF$4)))</f>
        <v>0</v>
      </c>
      <c r="IZ79" s="196" t="n">
        <f aca="false">IF((SUMIF($IW$3:$JF$3,IZ$60,$IW$4:$JF$4))=0,0,((SUMIF($IW$3:$JF$3,IZ$60,$IW128:$JF128))/SUMIF($IW$3:$JF$3,IZ$60,$IW$4:$JF$4)))</f>
        <v>0</v>
      </c>
      <c r="JA79" s="196" t="n">
        <f aca="false">IF((SUMIF($IW$3:$JF$3,JA$60,$IW$4:$JF$4))=0,0,((SUMIF($IW$3:$JF$3,JA$60,$IW128:$JF128))/SUMIF($IW$3:$JF$3,JA$60,$IW$4:$JF$4)))</f>
        <v>0</v>
      </c>
      <c r="JB79" s="196" t="n">
        <f aca="false">IF((SUMIF($IW$3:$JF$3,JB$60,$IW$4:$JF$4))=0,0,((SUMIF($IW$3:$JF$3,JB$60,$IW128:$JF128))/SUMIF($IW$3:$JF$3,JB$60,$IW$4:$JF$4)))</f>
        <v>0</v>
      </c>
      <c r="JC79" s="196" t="n">
        <f aca="false">IF((SUMIF($IW$3:$JF$3,JC$60,$IW$4:$JF$4))=0,0,((SUMIF($IW$3:$JF$3,JC$60,$IW128:$JF128))/SUMIF($IW$3:$JF$3,JC$60,$IW$4:$JF$4)))</f>
        <v>0</v>
      </c>
      <c r="JD79" s="196" t="n">
        <f aca="false">IF((SUMIF($IW$3:$JF$3,JD$60,$IW$4:$JF$4))=0,0,((SUMIF($IW$3:$JF$3,JD$60,$IW128:$JF128))/SUMIF($IW$3:$JF$3,JD$60,$IW$4:$JF$4)))</f>
        <v>0</v>
      </c>
      <c r="JE79" s="196" t="n">
        <f aca="false">IF((SUMIF($IW$3:$JF$3,JE$60,$IW$4:$JF$4))=0,0,((SUMIF($IW$3:$JF$3,JE$60,$IW128:$JF128))/SUMIF($IW$3:$JF$3,JE$60,$IW$4:$JF$4)))</f>
        <v>0</v>
      </c>
      <c r="JF79" s="197" t="n">
        <f aca="false">IF((SUMIF($IW$3:$JF$3,JF$60,$IW$4:$JF$4))=0,0,((SUMIF($IW$3:$JF$3,JF$60,$IW128:$JF128))/SUMIF($IW$3:$JF$3,JF$60,$IW$4:$JF$4)))</f>
        <v>0</v>
      </c>
      <c r="JG79" s="194" t="str">
        <f aca="false">IV79</f>
        <v>Alumno18</v>
      </c>
      <c r="JH79" s="195" t="n">
        <f aca="false">IF((SUMIF($JH$3:$JQ$3,JH$60,$JH$4:$JQ$4))=0,0,((SUMIF($JH$3:$JQ$3,JH$60,$JH128:$JQ128))/SUMIF($JH$3:$JQ$3,JH$60,$JH$4:$JQ$4)))</f>
        <v>0</v>
      </c>
      <c r="JI79" s="196" t="n">
        <f aca="false">IF((SUMIF($JH$3:$JQ$3,JI$60,$JH$4:$JQ$4))=0,0,((SUMIF($JH$3:$JQ$3,JI$60,$JH128:$JQ128))/SUMIF($JH$3:$JQ$3,JI$60,$JH$4:$JQ$4)))</f>
        <v>0</v>
      </c>
      <c r="JJ79" s="196" t="n">
        <f aca="false">IF((SUMIF($JH$3:$JQ$3,JJ$60,$JH$4:$JQ$4))=0,0,((SUMIF($JH$3:$JQ$3,JJ$60,$JH128:$JQ128))/SUMIF($JH$3:$JQ$3,JJ$60,$JH$4:$JQ$4)))</f>
        <v>0</v>
      </c>
      <c r="JK79" s="196" t="n">
        <f aca="false">IF((SUMIF($JH$3:$JQ$3,JK$60,$JH$4:$JQ$4))=0,0,((SUMIF($JH$3:$JQ$3,JK$60,$JH128:$JQ128))/SUMIF($JH$3:$JQ$3,JK$60,$JH$4:$JQ$4)))</f>
        <v>0</v>
      </c>
      <c r="JL79" s="196" t="n">
        <f aca="false">IF((SUMIF($JH$3:$JQ$3,JL$60,$JH$4:$JQ$4))=0,0,((SUMIF($JH$3:$JQ$3,JL$60,$JH128:$JQ128))/SUMIF($JH$3:$JQ$3,JL$60,$JH$4:$JQ$4)))</f>
        <v>0</v>
      </c>
      <c r="JM79" s="196" t="n">
        <f aca="false">IF((SUMIF($JH$3:$JQ$3,JM$60,$JH$4:$JQ$4))=0,0,((SUMIF($JH$3:$JQ$3,JM$60,$JH128:$JQ128))/SUMIF($JH$3:$JQ$3,JM$60,$JH$4:$JQ$4)))</f>
        <v>0</v>
      </c>
      <c r="JN79" s="196" t="n">
        <f aca="false">IF((SUMIF($JH$3:$JQ$3,JN$60,$JH$4:$JQ$4))=0,0,((SUMIF($JH$3:$JQ$3,JN$60,$JH128:$JQ128))/SUMIF($JH$3:$JQ$3,JN$60,$JH$4:$JQ$4)))</f>
        <v>0</v>
      </c>
      <c r="JO79" s="196" t="n">
        <f aca="false">IF((SUMIF($JH$3:$JQ$3,JO$60,$JH$4:$JQ$4))=0,0,((SUMIF($JH$3:$JQ$3,JO$60,$JH128:$JQ128))/SUMIF($JH$3:$JQ$3,JO$60,$JH$4:$JQ$4)))</f>
        <v>0</v>
      </c>
      <c r="JP79" s="196" t="n">
        <f aca="false">IF((SUMIF($JH$3:$JQ$3,JP$60,$JH$4:$JQ$4))=0,0,((SUMIF($JH$3:$JQ$3,JP$60,$JH128:$JQ128))/SUMIF($JH$3:$JQ$3,JP$60,$JH$4:$JQ$4)))</f>
        <v>0</v>
      </c>
      <c r="JQ79" s="197" t="n">
        <f aca="false">IF((SUMIF($JH$3:$JQ$3,JQ$60,$JH$4:$JQ$4))=0,0,((SUMIF($JH$3:$JQ$3,JQ$60,$JH128:$JQ128))/SUMIF($JH$3:$JQ$3,JQ$60,$JH$4:$JQ$4)))</f>
        <v>0</v>
      </c>
      <c r="JR79" s="194" t="str">
        <f aca="false">JG79</f>
        <v>Alumno18</v>
      </c>
      <c r="JS79" s="195" t="n">
        <f aca="false">IF((SUMIF($JS$3:$KB$3,JS$60,$JS$4:$KB$4))=0,0,((SUMIF($JS$3:$KB$3,JS$60,$JS128:$KB128))/SUMIF($JS$3:$KB$3,JS$60,$JS$4:$KB$4)))</f>
        <v>0</v>
      </c>
      <c r="JT79" s="196" t="n">
        <f aca="false">IF((SUMIF($JS$3:$KB$3,JT$60,$JS$4:$KB$4))=0,0,((SUMIF($JS$3:$KB$3,JT$60,$JS128:$KB128))/SUMIF($JS$3:$KB$3,JT$60,$JS$4:$KB$4)))</f>
        <v>0</v>
      </c>
      <c r="JU79" s="196" t="n">
        <f aca="false">IF((SUMIF($JS$3:$KB$3,JU$60,$JS$4:$KB$4))=0,0,((SUMIF($JS$3:$KB$3,JU$60,$JS128:$KB128))/SUMIF($JS$3:$KB$3,JU$60,$JS$4:$KB$4)))</f>
        <v>0</v>
      </c>
      <c r="JV79" s="196" t="n">
        <f aca="false">IF((SUMIF($JS$3:$KB$3,JV$60,$JS$4:$KB$4))=0,0,((SUMIF($JS$3:$KB$3,JV$60,$JS128:$KB128))/SUMIF($JS$3:$KB$3,JV$60,$JS$4:$KB$4)))</f>
        <v>0</v>
      </c>
      <c r="JW79" s="196" t="n">
        <f aca="false">IF((SUMIF($JS$3:$KB$3,JW$60,$JS$4:$KB$4))=0,0,((SUMIF($JS$3:$KB$3,JW$60,$JS128:$KB128))/SUMIF($JS$3:$KB$3,JW$60,$JS$4:$KB$4)))</f>
        <v>0</v>
      </c>
      <c r="JX79" s="196" t="n">
        <f aca="false">IF((SUMIF($JS$3:$KB$3,JX$60,$JS$4:$KB$4))=0,0,((SUMIF($JS$3:$KB$3,JX$60,$JS128:$KB128))/SUMIF($JS$3:$KB$3,JX$60,$JS$4:$KB$4)))</f>
        <v>0</v>
      </c>
      <c r="JY79" s="196" t="n">
        <f aca="false">IF((SUMIF($JS$3:$KB$3,JY$60,$JS$4:$KB$4))=0,0,((SUMIF($JS$3:$KB$3,JY$60,$JS128:$KB128))/SUMIF($JS$3:$KB$3,JY$60,$JS$4:$KB$4)))</f>
        <v>0</v>
      </c>
      <c r="JZ79" s="196" t="n">
        <f aca="false">IF((SUMIF($JS$3:$KB$3,JZ$60,$JS$4:$KB$4))=0,0,((SUMIF($JS$3:$KB$3,JZ$60,$JS128:$KB128))/SUMIF($JS$3:$KB$3,JZ$60,$JS$4:$KB$4)))</f>
        <v>0</v>
      </c>
      <c r="KA79" s="196" t="n">
        <f aca="false">IF((SUMIF($JS$3:$KB$3,KA$60,$JS$4:$KB$4))=0,0,((SUMIF($JS$3:$KB$3,KA$60,$JS128:$KB128))/SUMIF($JS$3:$KB$3,KA$60,$JS$4:$KB$4)))</f>
        <v>0</v>
      </c>
      <c r="KB79" s="197" t="n">
        <f aca="false">IF((SUMIF($JS$3:$KB$3,KB$60,$JS$4:$KB$4))=0,0,((SUMIF($JS$3:$KB$3,KB$60,$JS128:$KB128))/SUMIF($JS$3:$KB$3,KB$60,$JS$4:$KB$4)))</f>
        <v>0</v>
      </c>
      <c r="KC79" s="194" t="str">
        <f aca="false">JR79</f>
        <v>Alumno18</v>
      </c>
      <c r="KD79" s="195" t="n">
        <f aca="false">IF((SUMIF($KD$3:$KM$3,KD$60,$KD$4:$KM$4))=0,0,((SUMIF($KD$3:$KM$3,KD$60,$KD128:$KM128))/SUMIF($KD$3:$KM$3,KD$60,$KD$4:$KM$4)))</f>
        <v>0</v>
      </c>
      <c r="KE79" s="196" t="n">
        <f aca="false">IF((SUMIF($KD$3:$KM$3,KE$60,$KD$4:$KM$4))=0,0,((SUMIF($KD$3:$KM$3,KE$60,$KD128:$KM128))/SUMIF($KD$3:$KM$3,KE$60,$KD$4:$KM$4)))</f>
        <v>0</v>
      </c>
      <c r="KF79" s="196" t="n">
        <f aca="false">IF((SUMIF($KD$3:$KM$3,KF$60,$KD$4:$KM$4))=0,0,((SUMIF($KD$3:$KM$3,KF$60,$KD128:$KM128))/SUMIF($KD$3:$KM$3,KF$60,$KD$4:$KM$4)))</f>
        <v>0</v>
      </c>
      <c r="KG79" s="196" t="n">
        <f aca="false">IF((SUMIF($KD$3:$KM$3,KG$60,$KD$4:$KM$4))=0,0,((SUMIF($KD$3:$KM$3,KG$60,$KD128:$KM128))/SUMIF($KD$3:$KM$3,KG$60,$KD$4:$KM$4)))</f>
        <v>0</v>
      </c>
      <c r="KH79" s="196" t="n">
        <f aca="false">IF((SUMIF($KD$3:$KM$3,KH$60,$KD$4:$KM$4))=0,0,((SUMIF($KD$3:$KM$3,KH$60,$KD128:$KM128))/SUMIF($KD$3:$KM$3,KH$60,$KD$4:$KM$4)))</f>
        <v>0</v>
      </c>
      <c r="KI79" s="196" t="n">
        <f aca="false">IF((SUMIF($KD$3:$KM$3,KI$60,$KD$4:$KM$4))=0,0,((SUMIF($KD$3:$KM$3,KI$60,$KD128:$KM128))/SUMIF($KD$3:$KM$3,KI$60,$KD$4:$KM$4)))</f>
        <v>0</v>
      </c>
      <c r="KJ79" s="196" t="n">
        <f aca="false">IF((SUMIF($KD$3:$KM$3,KJ$60,$KD$4:$KM$4))=0,0,((SUMIF($KD$3:$KM$3,KJ$60,$KD128:$KM128))/SUMIF($KD$3:$KM$3,KJ$60,$KD$4:$KM$4)))</f>
        <v>0</v>
      </c>
      <c r="KK79" s="196" t="n">
        <f aca="false">IF((SUMIF($KD$3:$KM$3,KK$60,$KD$4:$KM$4))=0,0,((SUMIF($KD$3:$KM$3,KK$60,$KD128:$KM128))/SUMIF($KD$3:$KM$3,KK$60,$KD$4:$KM$4)))</f>
        <v>0</v>
      </c>
      <c r="KL79" s="196" t="n">
        <f aca="false">IF((SUMIF($KD$3:$KM$3,KL$60,$KD$4:$KM$4))=0,0,((SUMIF($KD$3:$KM$3,KL$60,$KD128:$KM128))/SUMIF($KD$3:$KM$3,KL$60,$KD$4:$KM$4)))</f>
        <v>0</v>
      </c>
      <c r="KM79" s="197" t="n">
        <f aca="false">IF((SUMIF($KD$3:$KM$3,KM$60,$KD$4:$KM$4))=0,0,((SUMIF($KD$3:$KM$3,KM$60,$KD128:$KM128))/SUMIF($KD$3:$KM$3,KM$60,$KD$4:$KM$4)))</f>
        <v>0</v>
      </c>
      <c r="KN79" s="194" t="str">
        <f aca="false">KC79</f>
        <v>Alumno18</v>
      </c>
      <c r="KO79" s="195" t="n">
        <f aca="false">IF((SUMIF($KO$3:$KX$3,KO$60,$KO$4:$KX$4))=0,0,((SUMIF($KO$3:$KX$3,KO$60,$KO128:$KX128))/SUMIF($KO$3:$KX$3,KO$60,$KO$4:$KX$4)))</f>
        <v>0</v>
      </c>
      <c r="KP79" s="196" t="n">
        <f aca="false">IF((SUMIF($KO$3:$KX$3,KP$60,$KO$4:$KX$4))=0,0,((SUMIF($KO$3:$KX$3,KP$60,$KO128:$KX128))/SUMIF($KO$3:$KX$3,KP$60,$KO$4:$KX$4)))</f>
        <v>0</v>
      </c>
      <c r="KQ79" s="196" t="n">
        <f aca="false">IF((SUMIF($KO$3:$KX$3,KQ$60,$KO$4:$KX$4))=0,0,((SUMIF($KO$3:$KX$3,KQ$60,$KO128:$KX128))/SUMIF($KO$3:$KX$3,KQ$60,$KO$4:$KX$4)))</f>
        <v>0</v>
      </c>
      <c r="KR79" s="196" t="n">
        <f aca="false">IF((SUMIF($KO$3:$KX$3,KR$60,$KO$4:$KX$4))=0,0,((SUMIF($KO$3:$KX$3,KR$60,$KO128:$KX128))/SUMIF($KO$3:$KX$3,KR$60,$KO$4:$KX$4)))</f>
        <v>0</v>
      </c>
      <c r="KS79" s="196" t="n">
        <f aca="false">IF((SUMIF($KO$3:$KX$3,KS$60,$KO$4:$KX$4))=0,0,((SUMIF($KO$3:$KX$3,KS$60,$KO128:$KX128))/SUMIF($KO$3:$KX$3,KS$60,$KO$4:$KX$4)))</f>
        <v>0</v>
      </c>
      <c r="KT79" s="196" t="n">
        <f aca="false">IF((SUMIF($KO$3:$KX$3,KT$60,$KO$4:$KX$4))=0,0,((SUMIF($KO$3:$KX$3,KT$60,$KO128:$KX128))/SUMIF($KO$3:$KX$3,KT$60,$KO$4:$KX$4)))</f>
        <v>0</v>
      </c>
      <c r="KU79" s="196" t="n">
        <f aca="false">IF((SUMIF($KO$3:$KX$3,KU$60,$KO$4:$KX$4))=0,0,((SUMIF($KO$3:$KX$3,KU$60,$KO128:$KX128))/SUMIF($KO$3:$KX$3,KU$60,$KO$4:$KX$4)))</f>
        <v>0</v>
      </c>
      <c r="KV79" s="196" t="n">
        <f aca="false">IF((SUMIF($KO$3:$KX$3,KV$60,$KO$4:$KX$4))=0,0,((SUMIF($KO$3:$KX$3,KV$60,$KO128:$KX128))/SUMIF($KO$3:$KX$3,KV$60,$KO$4:$KX$4)))</f>
        <v>0</v>
      </c>
      <c r="KW79" s="196" t="n">
        <f aca="false">IF((SUMIF($KO$3:$KX$3,KW$60,$KO$4:$KX$4))=0,0,((SUMIF($KO$3:$KX$3,KW$60,$KO128:$KX128))/SUMIF($KO$3:$KX$3,KW$60,$KO$4:$KX$4)))</f>
        <v>0</v>
      </c>
      <c r="KX79" s="197" t="n">
        <f aca="false">IF((SUMIF($KO$3:$KX$3,KX$60,$KO$4:$KX$4))=0,0,((SUMIF($KO$3:$KX$3,KX$60,$KO128:$KX128))/SUMIF($KO$3:$KX$3,KX$60,$KO$4:$KX$4)))</f>
        <v>0</v>
      </c>
      <c r="KY79" s="194" t="str">
        <f aca="false">KN79</f>
        <v>Alumno18</v>
      </c>
      <c r="KZ79" s="195" t="n">
        <f aca="false">IF((SUMIF($KZ$3:$LI$3,KZ$60,$KZ$4:$LI$4))=0,0,((SUMIF($KZ$3:$LI$3,KZ$60,$KZ128:$LI128))/SUMIF($KZ$3:$LI$3,KZ$60,$KZ$4:$LI$4)))</f>
        <v>0</v>
      </c>
      <c r="LA79" s="196" t="n">
        <f aca="false">IF((SUMIF($KZ$3:$LI$3,LA$60,$KZ$4:$LI$4))=0,0,((SUMIF($KZ$3:$LI$3,LA$60,$KZ128:$LI128))/SUMIF($KZ$3:$LI$3,LA$60,$KZ$4:$LI$4)))</f>
        <v>0</v>
      </c>
      <c r="LB79" s="196" t="n">
        <f aca="false">IF((SUMIF($KZ$3:$LI$3,LB$60,$KZ$4:$LI$4))=0,0,((SUMIF($KZ$3:$LI$3,LB$60,$KZ128:$LI128))/SUMIF($KZ$3:$LI$3,LB$60,$KZ$4:$LI$4)))</f>
        <v>0</v>
      </c>
      <c r="LC79" s="196" t="n">
        <f aca="false">IF((SUMIF($KZ$3:$LI$3,LC$60,$KZ$4:$LI$4))=0,0,((SUMIF($KZ$3:$LI$3,LC$60,$KZ128:$LI128))/SUMIF($KZ$3:$LI$3,LC$60,$KZ$4:$LI$4)))</f>
        <v>0</v>
      </c>
      <c r="LD79" s="196" t="n">
        <f aca="false">IF((SUMIF($KZ$3:$LI$3,LD$60,$KZ$4:$LI$4))=0,0,((SUMIF($KZ$3:$LI$3,LD$60,$KZ128:$LI128))/SUMIF($KZ$3:$LI$3,LD$60,$KZ$4:$LI$4)))</f>
        <v>0</v>
      </c>
      <c r="LE79" s="196" t="n">
        <f aca="false">IF((SUMIF($KZ$3:$LI$3,LE$60,$KZ$4:$LI$4))=0,0,((SUMIF($KZ$3:$LI$3,LE$60,$KZ128:$LI128))/SUMIF($KZ$3:$LI$3,LE$60,$KZ$4:$LI$4)))</f>
        <v>0</v>
      </c>
      <c r="LF79" s="196" t="n">
        <f aca="false">IF((SUMIF($KZ$3:$LI$3,LF$60,$KZ$4:$LI$4))=0,0,((SUMIF($KZ$3:$LI$3,LF$60,$KZ128:$LI128))/SUMIF($KZ$3:$LI$3,LF$60,$KZ$4:$LI$4)))</f>
        <v>0</v>
      </c>
      <c r="LG79" s="196" t="n">
        <f aca="false">IF((SUMIF($KZ$3:$LI$3,LG$60,$KZ$4:$LI$4))=0,0,((SUMIF($KZ$3:$LI$3,LG$60,$KZ128:$LI128))/SUMIF($KZ$3:$LI$3,LG$60,$KZ$4:$LI$4)))</f>
        <v>0</v>
      </c>
      <c r="LH79" s="196" t="n">
        <f aca="false">IF((SUMIF($KZ$3:$LI$3,LH$60,$KZ$4:$LI$4))=0,0,((SUMIF($KZ$3:$LI$3,LH$60,$KZ128:$LI128))/SUMIF($KZ$3:$LI$3,LH$60,$KZ$4:$LI$4)))</f>
        <v>0</v>
      </c>
      <c r="LI79" s="197" t="n">
        <f aca="false">IF((SUMIF($KZ$3:$LI$3,LI$60,$KZ$4:$LI$4))=0,0,((SUMIF($KZ$3:$LI$3,LI$60,$KZ128:$LI128))/SUMIF($KZ$3:$LI$3,LI$60,$KZ$4:$LI$4)))</f>
        <v>0</v>
      </c>
      <c r="LJ79" s="194" t="str">
        <f aca="false">KY79</f>
        <v>Alumno18</v>
      </c>
      <c r="LK79" s="195" t="n">
        <f aca="false">IF((SUMIF($LK$3:$LT$3,LK$60,$LK$4:$LT$4))=0,0,((SUMIF($LK$3:$LT$3,LK$60,$LK128:$LT128))/SUMIF($LK$3:$LT$3,LK$60,$LK$4:$LT$4)))</f>
        <v>0</v>
      </c>
      <c r="LL79" s="196" t="n">
        <f aca="false">IF((SUMIF($LK$3:$LT$3,LL$60,$LK$4:$LT$4))=0,0,((SUMIF($LK$3:$LT$3,LL$60,$LK128:$LT128))/SUMIF($LK$3:$LT$3,LL$60,$LK$4:$LT$4)))</f>
        <v>0</v>
      </c>
      <c r="LM79" s="196" t="n">
        <f aca="false">IF((SUMIF($LK$3:$LT$3,LM$60,$LK$4:$LT$4))=0,0,((SUMIF($LK$3:$LT$3,LM$60,$LK128:$LT128))/SUMIF($LK$3:$LT$3,LM$60,$LK$4:$LT$4)))</f>
        <v>0</v>
      </c>
      <c r="LN79" s="196" t="n">
        <f aca="false">IF((SUMIF($LK$3:$LT$3,LN$60,$LK$4:$LT$4))=0,0,((SUMIF($LK$3:$LT$3,LN$60,$LK128:$LT128))/SUMIF($LK$3:$LT$3,LN$60,$LK$4:$LT$4)))</f>
        <v>0</v>
      </c>
      <c r="LO79" s="196" t="n">
        <f aca="false">IF((SUMIF($LK$3:$LT$3,LO$60,$LK$4:$LT$4))=0,0,((SUMIF($LK$3:$LT$3,LO$60,$LK128:$LT128))/SUMIF($LK$3:$LT$3,LO$60,$LK$4:$LT$4)))</f>
        <v>0</v>
      </c>
      <c r="LP79" s="196" t="n">
        <f aca="false">IF((SUMIF($LK$3:$LT$3,LP$60,$LK$4:$LT$4))=0,0,((SUMIF($LK$3:$LT$3,LP$60,$LK128:$LT128))/SUMIF($LK$3:$LT$3,LP$60,$LK$4:$LT$4)))</f>
        <v>0</v>
      </c>
      <c r="LQ79" s="196" t="n">
        <f aca="false">IF((SUMIF($LK$3:$LT$3,LQ$60,$LK$4:$LT$4))=0,0,((SUMIF($LK$3:$LT$3,LQ$60,$LK128:$LT128))/SUMIF($LK$3:$LT$3,LQ$60,$LK$4:$LT$4)))</f>
        <v>0</v>
      </c>
      <c r="LR79" s="196" t="n">
        <f aca="false">IF((SUMIF($LK$3:$LT$3,LR$60,$LK$4:$LT$4))=0,0,((SUMIF($LK$3:$LT$3,LR$60,$LK128:$LT128))/SUMIF($LK$3:$LT$3,LR$60,$LK$4:$LT$4)))</f>
        <v>0</v>
      </c>
      <c r="LS79" s="196" t="n">
        <f aca="false">IF((SUMIF($LK$3:$LT$3,LS$60,$LK$4:$LT$4))=0,0,((SUMIF($LK$3:$LT$3,LS$60,$LK128:$LT128))/SUMIF($LK$3:$LT$3,LS$60,$LK$4:$LT$4)))</f>
        <v>0</v>
      </c>
      <c r="LT79" s="197" t="n">
        <f aca="false">IF((SUMIF($LK$3:$LT$3,LT$60,$LK$4:$LT$4))=0,0,((SUMIF($LK$3:$LT$3,LT$60,$LK128:$LT128))/SUMIF($LK$3:$LT$3,LT$60,$LK$4:$LT$4)))</f>
        <v>0</v>
      </c>
    </row>
    <row r="80" customFormat="false" ht="15" hidden="true" customHeight="false" outlineLevel="0" collapsed="false">
      <c r="C80" s="194" t="str">
        <f aca="false">B24</f>
        <v>Alumno19</v>
      </c>
      <c r="D80" s="195" t="n">
        <f aca="false">IF((SUMIF($D$3:$M$3,D$60,$D$4:$M$4))=0,0,((SUMIF($D$3:$M$3,D$60,$D129:$M129))/SUMIF($D$3:$M$3,D$60,$D$4:$M$4)))</f>
        <v>6.4</v>
      </c>
      <c r="E80" s="196" t="n">
        <f aca="false">IF((SUMIF($D$3:$M$3,E$60,$D$4:$M$4))=0,0,((SUMIF($D$3:$M$3,E$60,$D129:$M129))/SUMIF($D$3:$M$3,E$60,$D$4:$M$4)))</f>
        <v>0</v>
      </c>
      <c r="F80" s="196" t="n">
        <f aca="false">IF((SUMIF($D$3:$M$3,F$60,$D$4:$M$4))=0,0,((SUMIF($D$3:$M$3,F$60,$D129:$M129))/SUMIF($D$3:$M$3,F$60,$D$4:$M$4)))</f>
        <v>0</v>
      </c>
      <c r="G80" s="196" t="n">
        <f aca="false">IF((SUMIF($D$3:$M$3,G$60,$D$4:$M$4))=0,0,((SUMIF($D$3:$M$3,G$60,$D129:$M129))/SUMIF($D$3:$M$3,G$60,$D$4:$M$4)))</f>
        <v>0</v>
      </c>
      <c r="H80" s="196" t="n">
        <f aca="false">IF((SUMIF($D$3:$M$3,H$60,$D$4:$M$4))=0,0,((SUMIF($D$3:$M$3,H$60,$D129:$M129))/SUMIF($D$3:$M$3,H$60,$D$4:$M$4)))</f>
        <v>0</v>
      </c>
      <c r="I80" s="196" t="n">
        <f aca="false">IF((SUMIF($D$3:$M$3,I$60,$D$4:$M$4))=0,0,((SUMIF($D$3:$M$3,I$60,$D129:$M129))/SUMIF($D$3:$M$3,I$60,$D$4:$M$4)))</f>
        <v>0</v>
      </c>
      <c r="J80" s="196" t="n">
        <f aca="false">IF((SUMIF($D$3:$M$3,J$60,$D$4:$M$4))=0,0,((SUMIF($D$3:$M$3,J$60,$D129:$M129))/SUMIF($D$3:$M$3,J$60,$D$4:$M$4)))</f>
        <v>0</v>
      </c>
      <c r="K80" s="196" t="n">
        <f aca="false">IF((SUMIF($D$3:$M$3,K$60,$D$4:$M$4))=0,0,((SUMIF($D$3:$M$3,K$60,$D129:$M129))/SUMIF($D$3:$M$3,K$60,$D$4:$M$4)))</f>
        <v>0</v>
      </c>
      <c r="L80" s="196" t="n">
        <f aca="false">IF((SUMIF($D$3:$M$3,L$60,$D$4:$M$4))=0,0,((SUMIF($D$3:$M$3,L$60,$D129:$M129))/SUMIF($D$3:$M$3,L$60,$D$4:$M$4)))</f>
        <v>0</v>
      </c>
      <c r="M80" s="197" t="n">
        <f aca="false">IF((SUMIF($D$3:$M$3,M$60,$D$4:$M$4))=0,0,((SUMIF($D$3:$M$3,M$60,$D129:$M129))/SUMIF($D$3:$M$3,M$60,$D$4:$M$4)))</f>
        <v>0</v>
      </c>
      <c r="N80" s="194" t="str">
        <f aca="false">C80</f>
        <v>Alumno19</v>
      </c>
      <c r="O80" s="195" t="n">
        <f aca="false">IF((SUMIF($O$3:$X$3,O$60,$O$4:$X$4))=0,0,((SUMIF($O$3:$X$3,O$60,$O129:$X129))/SUMIF($O$3:$X$3,O$60,$O$4:$X$4)))</f>
        <v>6.75</v>
      </c>
      <c r="P80" s="196" t="n">
        <f aca="false">IF((SUMIF($O$3:$X$3,P$60,$O$4:$X$4))=0,0,((SUMIF($O$3:$X$3,P$60,$O129:$X129))/SUMIF($O$3:$X$3,P$60,$O$4:$X$4)))</f>
        <v>8</v>
      </c>
      <c r="Q80" s="196" t="n">
        <f aca="false">IF((SUMIF($O$3:$X$3,Q$60,$O$4:$X$4))=0,0,((SUMIF($O$3:$X$3,Q$60,$O129:$X129))/SUMIF($O$3:$X$3,Q$60,$O$4:$X$4)))</f>
        <v>0</v>
      </c>
      <c r="R80" s="196" t="n">
        <f aca="false">IF((SUMIF($O$3:$X$3,R$60,$O$4:$X$4))=0,0,((SUMIF($O$3:$X$3,R$60,$O129:$X129))/SUMIF($O$3:$X$3,R$60,$O$4:$X$4)))</f>
        <v>0</v>
      </c>
      <c r="S80" s="196" t="n">
        <f aca="false">IF((SUMIF($O$3:$X$3,S$60,$O$4:$X$4))=0,0,((SUMIF($O$3:$X$3,S$60,$O129:$X129))/SUMIF($O$3:$X$3,S$60,$O$4:$X$4)))</f>
        <v>0</v>
      </c>
      <c r="T80" s="196" t="n">
        <f aca="false">IF((SUMIF($O$3:$X$3,T$60,$O$4:$X$4))=0,0,((SUMIF($O$3:$X$3,T$60,$O129:$X129))/SUMIF($O$3:$X$3,T$60,$O$4:$X$4)))</f>
        <v>0</v>
      </c>
      <c r="U80" s="196" t="n">
        <f aca="false">IF((SUMIF($O$3:$X$3,U$60,$O$4:$X$4))=0,0,((SUMIF($O$3:$X$3,U$60,$O129:$X129))/SUMIF($O$3:$X$3,U$60,$O$4:$X$4)))</f>
        <v>0</v>
      </c>
      <c r="V80" s="196" t="n">
        <f aca="false">IF((SUMIF($O$3:$X$3,V$60,$O$4:$X$4))=0,0,((SUMIF($O$3:$X$3,V$60,$O129:$X129))/SUMIF($O$3:$X$3,V$60,$O$4:$X$4)))</f>
        <v>0</v>
      </c>
      <c r="W80" s="196" t="n">
        <f aca="false">IF((SUMIF($O$3:$X$3,W$60,$O$4:$X$4))=0,0,((SUMIF($O$3:$X$3,W$60,$O129:$X129))/SUMIF($O$3:$X$3,W$60,$O$4:$X$4)))</f>
        <v>0</v>
      </c>
      <c r="X80" s="197" t="n">
        <f aca="false">IF((SUMIF($O$3:$X$3,X$60,$O$4:$X$4))=0,0,((SUMIF($O$3:$X$3,X$60,$O129:$X129))/SUMIF($O$3:$X$3,X$60,$O$4:$X$4)))</f>
        <v>0</v>
      </c>
      <c r="Y80" s="194" t="str">
        <f aca="false">N80</f>
        <v>Alumno19</v>
      </c>
      <c r="Z80" s="195" t="n">
        <f aca="false">IF((SUMIF($Z$3:$AI$3,Z$60,$Z$4:$AI$4))=0,0,((SUMIF($Z$3:$AI$3,Z$60,$Z129:$AI129))/SUMIF($Z$3:$AI$3,Z$60,$Z$4:$AI$4)))</f>
        <v>3</v>
      </c>
      <c r="AA80" s="196" t="n">
        <f aca="false">IF((SUMIF($Z$3:$AI$3,AA$60,$Z$4:$AI$4))=0,0,((SUMIF($Z$3:$AI$3,AA$60,$Z129:$AI129))/SUMIF($Z$3:$AI$3,AA$60,$Z$4:$AI$4)))</f>
        <v>3</v>
      </c>
      <c r="AB80" s="196" t="n">
        <f aca="false">IF((SUMIF($Z$3:$AI$3,AB$60,$Z$4:$AI$4))=0,0,((SUMIF($Z$3:$AI$3,AB$60,$Z129:$AI129))/SUMIF($Z$3:$AI$3,AB$60,$Z$4:$AI$4)))</f>
        <v>5</v>
      </c>
      <c r="AC80" s="196" t="n">
        <f aca="false">IF((SUMIF($Z$3:$AI$3,AC$60,$Z$4:$AI$4))=0,0,((SUMIF($Z$3:$AI$3,AC$60,$Z129:$AI129))/SUMIF($Z$3:$AI$3,AC$60,$Z$4:$AI$4)))</f>
        <v>0</v>
      </c>
      <c r="AD80" s="196" t="n">
        <f aca="false">IF((SUMIF($Z$3:$AI$3,AD$60,$Z$4:$AI$4))=0,0,((SUMIF($Z$3:$AI$3,AD$60,$Z129:$AI129))/SUMIF($Z$3:$AI$3,AD$60,$Z$4:$AI$4)))</f>
        <v>0</v>
      </c>
      <c r="AE80" s="196" t="n">
        <f aca="false">IF((SUMIF($Z$3:$AI$3,AE$60,$Z$4:$AI$4))=0,0,((SUMIF($Z$3:$AI$3,AE$60,$Z129:$AI129))/SUMIF($Z$3:$AI$3,AE$60,$Z$4:$AI$4)))</f>
        <v>0</v>
      </c>
      <c r="AF80" s="196" t="n">
        <f aca="false">IF((SUMIF($Z$3:$AI$3,AF$60,$Z$4:$AI$4))=0,0,((SUMIF($Z$3:$AI$3,AF$60,$Z129:$AI129))/SUMIF($Z$3:$AI$3,AF$60,$Z$4:$AI$4)))</f>
        <v>0</v>
      </c>
      <c r="AG80" s="196" t="n">
        <f aca="false">IF((SUMIF($Z$3:$AI$3,AG$60,$Z$4:$AI$4))=0,0,((SUMIF($Z$3:$AI$3,AG$60,$Z129:$AI129))/SUMIF($Z$3:$AI$3,AG$60,$Z$4:$AI$4)))</f>
        <v>0</v>
      </c>
      <c r="AH80" s="196" t="n">
        <f aca="false">IF((SUMIF($Z$3:$AI$3,AH$60,$Z$4:$AI$4))=0,0,((SUMIF($Z$3:$AI$3,AH$60,$Z129:$AI129))/SUMIF($Z$3:$AI$3,AH$60,$Z$4:$AI$4)))</f>
        <v>0</v>
      </c>
      <c r="AI80" s="197" t="n">
        <f aca="false">IF((SUMIF($Z$3:$AI$3,AI$60,$Z$4:$AI$4))=0,0,((SUMIF($Z$3:$AI$3,AI$60,$Z129:$AI129))/SUMIF($Z$3:$AI$3,AI$60,$Z$4:$AI$4)))</f>
        <v>0</v>
      </c>
      <c r="AJ80" s="194" t="str">
        <f aca="false">Y80</f>
        <v>Alumno19</v>
      </c>
      <c r="AK80" s="195" t="n">
        <f aca="false">IF((SUMIF($AK$3:$AT$3,AK$60,$AK$4:$AT$4))=0,0,((SUMIF($AK$3:$AT$3,AK$60,$AK129:$AT129))/SUMIF($AK$3:$AT$3,AK$60,$AK$4:$AT$4)))</f>
        <v>3</v>
      </c>
      <c r="AL80" s="196" t="n">
        <f aca="false">IF((SUMIF($AK$3:$AT$3,AL$60,$AK$4:$AT$4))=0,0,((SUMIF($AK$3:$AT$3,AL$60,$AK129:$AT129))/SUMIF($AK$3:$AT$3,AL$60,$AK$4:$AT$4)))</f>
        <v>4</v>
      </c>
      <c r="AM80" s="196" t="n">
        <f aca="false">IF((SUMIF($AK$3:$AT$3,AM$60,$AK$4:$AT$4))=0,0,((SUMIF($AK$3:$AT$3,AM$60,$AK129:$AT129))/SUMIF($AK$3:$AT$3,AM$60,$AK$4:$AT$4)))</f>
        <v>3</v>
      </c>
      <c r="AN80" s="196" t="n">
        <f aca="false">IF((SUMIF($AK$3:$AT$3,AN$60,$AK$4:$AT$4))=0,0,((SUMIF($AK$3:$AT$3,AN$60,$AK129:$AT129))/SUMIF($AK$3:$AT$3,AN$60,$AK$4:$AT$4)))</f>
        <v>0</v>
      </c>
      <c r="AO80" s="196" t="n">
        <f aca="false">IF((SUMIF($AK$3:$AT$3,AO$60,$AK$4:$AT$4))=0,0,((SUMIF($AK$3:$AT$3,AO$60,$AK129:$AT129))/SUMIF($AK$3:$AT$3,AO$60,$AK$4:$AT$4)))</f>
        <v>0</v>
      </c>
      <c r="AP80" s="196" t="n">
        <f aca="false">IF((SUMIF($AK$3:$AT$3,AP$60,$AK$4:$AT$4))=0,0,((SUMIF($AK$3:$AT$3,AP$60,$AK129:$AT129))/SUMIF($AK$3:$AT$3,AP$60,$AK$4:$AT$4)))</f>
        <v>0</v>
      </c>
      <c r="AQ80" s="196" t="n">
        <f aca="false">IF((SUMIF($AK$3:$AT$3,AQ$60,$AK$4:$AT$4))=0,0,((SUMIF($AK$3:$AT$3,AQ$60,$AK129:$AT129))/SUMIF($AK$3:$AT$3,AQ$60,$AK$4:$AT$4)))</f>
        <v>0</v>
      </c>
      <c r="AR80" s="196" t="n">
        <f aca="false">IF((SUMIF($AK$3:$AT$3,AR$60,$AK$4:$AT$4))=0,0,((SUMIF($AK$3:$AT$3,AR$60,$AK129:$AT129))/SUMIF($AK$3:$AT$3,AR$60,$AK$4:$AT$4)))</f>
        <v>0</v>
      </c>
      <c r="AS80" s="196" t="n">
        <f aca="false">IF((SUMIF($AK$3:$AT$3,AS$60,$AK$4:$AT$4))=0,0,((SUMIF($AK$3:$AT$3,AS$60,$AK129:$AT129))/SUMIF($AK$3:$AT$3,AS$60,$AK$4:$AT$4)))</f>
        <v>0</v>
      </c>
      <c r="AT80" s="197" t="n">
        <f aca="false">IF((SUMIF($AK$3:$AT$3,AT$60,$AK$4:$AT$4))=0,0,((SUMIF($AK$3:$AT$3,AT$60,$AK129:$AT129))/SUMIF($AK$3:$AT$3,AT$60,$AK$4:$AT$4)))</f>
        <v>0</v>
      </c>
      <c r="AU80" s="194" t="str">
        <f aca="false">AJ80</f>
        <v>Alumno19</v>
      </c>
      <c r="AV80" s="195" t="n">
        <f aca="false">IF((SUMIF($AV$3:$BE$3,AV$60,$AV$4:$BE$4))=0,0,((SUMIF($AV$3:$BE$3,AV$60,$AV129:$BE129))/SUMIF($AV$3:$BE$3,AV$60,$AV$4:$BE$4)))</f>
        <v>6</v>
      </c>
      <c r="AW80" s="196" t="n">
        <f aca="false">IF((SUMIF($AV$3:$BE$3,AW$60,$AV$4:$BE$4))=0,0,((SUMIF($AV$3:$BE$3,AW$60,$AV129:$BE129))/SUMIF($AV$3:$BE$3,AW$60,$AV$4:$BE$4)))</f>
        <v>7</v>
      </c>
      <c r="AX80" s="196" t="n">
        <f aca="false">IF((SUMIF($AV$3:$BE$3,AX$60,$AV$4:$BE$4))=0,0,((SUMIF($AV$3:$BE$3,AX$60,$AV129:$BE129))/SUMIF($AV$3:$BE$3,AX$60,$AV$4:$BE$4)))</f>
        <v>8.6</v>
      </c>
      <c r="AY80" s="196" t="n">
        <f aca="false">IF((SUMIF($AV$3:$BE$3,AY$60,$AV$4:$BE$4))=0,0,((SUMIF($AV$3:$BE$3,AY$60,$AV129:$BE129))/SUMIF($AV$3:$BE$3,AY$60,$AV$4:$BE$4)))</f>
        <v>5</v>
      </c>
      <c r="AZ80" s="196" t="n">
        <f aca="false">IF((SUMIF($AV$3:$BE$3,AZ$60,$AV$4:$BE$4))=0,0,((SUMIF($AV$3:$BE$3,AZ$60,$AV129:$BE129))/SUMIF($AV$3:$BE$3,AZ$60,$AV$4:$BE$4)))</f>
        <v>0</v>
      </c>
      <c r="BA80" s="196" t="n">
        <f aca="false">IF((SUMIF($AV$3:$BE$3,BA$60,$AV$4:$BE$4))=0,0,((SUMIF($AV$3:$BE$3,BA$60,$AV129:$BE129))/SUMIF($AV$3:$BE$3,BA$60,$AV$4:$BE$4)))</f>
        <v>0</v>
      </c>
      <c r="BB80" s="196" t="n">
        <f aca="false">IF((SUMIF($AV$3:$BE$3,BB$60,$AV$4:$BE$4))=0,0,((SUMIF($AV$3:$BE$3,BB$60,$AV129:$BE129))/SUMIF($AV$3:$BE$3,BB$60,$AV$4:$BE$4)))</f>
        <v>0</v>
      </c>
      <c r="BC80" s="196" t="n">
        <f aca="false">IF((SUMIF($AV$3:$BE$3,BC$60,$AV$4:$BE$4))=0,0,((SUMIF($AV$3:$BE$3,BC$60,$AV129:$BE129))/SUMIF($AV$3:$BE$3,BC$60,$AV$4:$BE$4)))</f>
        <v>0</v>
      </c>
      <c r="BD80" s="196" t="n">
        <f aca="false">IF((SUMIF($AV$3:$BE$3,BD$60,$AV$4:$BE$4))=0,0,((SUMIF($AV$3:$BE$3,BD$60,$AV129:$BE129))/SUMIF($AV$3:$BE$3,BD$60,$AV$4:$BE$4)))</f>
        <v>0</v>
      </c>
      <c r="BE80" s="197" t="n">
        <f aca="false">IF((SUMIF($AV$3:$BE$3,BE$60,$AV$4:$BE$4))=0,0,((SUMIF($AV$3:$BE$3,BE$60,$AV129:$BE129))/SUMIF($AV$3:$BE$3,BE$60,$AV$4:$BE$4)))</f>
        <v>0</v>
      </c>
      <c r="BF80" s="194" t="str">
        <f aca="false">AU80</f>
        <v>Alumno19</v>
      </c>
      <c r="BG80" s="195" t="n">
        <f aca="false">IF((SUMIF($BG$3:$BP$3,BG$60,$BG$4:$BP$4))=0,0,((SUMIF($BG$3:$BP$3,BG$60,$BG129:$BP129))/SUMIF($BG$3:$BP$3,BG$60,$BG$4:$BP$4)))</f>
        <v>6</v>
      </c>
      <c r="BH80" s="196" t="n">
        <f aca="false">IF((SUMIF($BG$3:$BP$3,BH$60,$BG$4:$BP$4))=0,0,((SUMIF($BG$3:$BP$3,BH$60,$BG129:$BP129))/SUMIF($BG$3:$BP$3,BH$60,$BG$4:$BP$4)))</f>
        <v>7</v>
      </c>
      <c r="BI80" s="196" t="n">
        <f aca="false">IF((SUMIF($BG$3:$BP$3,BI$60,$BG$4:$BP$4))=0,0,((SUMIF($BG$3:$BP$3,BI$60,$BG129:$BP129))/SUMIF($BG$3:$BP$3,BI$60,$BG$4:$BP$4)))</f>
        <v>8</v>
      </c>
      <c r="BJ80" s="196" t="n">
        <f aca="false">IF((SUMIF($BG$3:$BP$3,BJ$60,$BG$4:$BP$4))=0,0,((SUMIF($BG$3:$BP$3,BJ$60,$BG129:$BP129))/SUMIF($BG$3:$BP$3,BJ$60,$BG$4:$BP$4)))</f>
        <v>6.6</v>
      </c>
      <c r="BK80" s="196" t="n">
        <f aca="false">IF((SUMIF($BG$3:$BP$3,BK$60,$BG$4:$BP$4))=0,0,((SUMIF($BG$3:$BP$3,BK$60,$BG129:$BP129))/SUMIF($BG$3:$BP$3,BK$60,$BG$4:$BP$4)))</f>
        <v>0</v>
      </c>
      <c r="BL80" s="196" t="n">
        <f aca="false">IF((SUMIF($BG$3:$BP$3,BL$60,$BG$4:$BP$4))=0,0,((SUMIF($BG$3:$BP$3,BL$60,$BG129:$BP129))/SUMIF($BG$3:$BP$3,BL$60,$BG$4:$BP$4)))</f>
        <v>0</v>
      </c>
      <c r="BM80" s="196" t="n">
        <f aca="false">IF((SUMIF($BG$3:$BP$3,BM$60,$BG$4:$BP$4))=0,0,((SUMIF($BG$3:$BP$3,BM$60,$BG129:$BP129))/SUMIF($BG$3:$BP$3,BM$60,$BG$4:$BP$4)))</f>
        <v>0</v>
      </c>
      <c r="BN80" s="196" t="n">
        <f aca="false">IF((SUMIF($BG$3:$BP$3,BN$60,$BG$4:$BP$4))=0,0,((SUMIF($BG$3:$BP$3,BN$60,$BG129:$BP129))/SUMIF($BG$3:$BP$3,BN$60,$BG$4:$BP$4)))</f>
        <v>0</v>
      </c>
      <c r="BO80" s="196" t="n">
        <f aca="false">IF((SUMIF($BG$3:$BP$3,BO$60,$BG$4:$BP$4))=0,0,((SUMIF($BG$3:$BP$3,BO$60,$BG129:$BP129))/SUMIF($BG$3:$BP$3,BO$60,$BG$4:$BP$4)))</f>
        <v>0</v>
      </c>
      <c r="BP80" s="197" t="n">
        <f aca="false">IF((SUMIF($BG$3:$BP$3,BP$60,$BG$4:$BP$4))=0,0,((SUMIF($BG$3:$BP$3,BP$60,$BG129:$BP129))/SUMIF($BG$3:$BP$3,BP$60,$BG$4:$BP$4)))</f>
        <v>0</v>
      </c>
      <c r="BQ80" s="194" t="str">
        <f aca="false">BF80</f>
        <v>Alumno19</v>
      </c>
      <c r="BR80" s="195" t="n">
        <f aca="false">IF((SUMIF($BR$3:$CA$3,BR$60,$BR$4:$CA$4))=0,0,((SUMIF($BR$3:$CA$3,BR$60,$BR129:$CA129))/SUMIF($BR$3:$CA$3,BR$60,$BR$4:$CA$4)))</f>
        <v>0</v>
      </c>
      <c r="BS80" s="196" t="n">
        <f aca="false">IF((SUMIF($BR$3:$CA$3,BS$60,$BR$4:$CA$4))=0,0,((SUMIF($BR$3:$CA$3,BS$60,$BR129:$CA129))/SUMIF($BR$3:$CA$3,BS$60,$BR$4:$CA$4)))</f>
        <v>5</v>
      </c>
      <c r="BT80" s="196" t="n">
        <f aca="false">IF((SUMIF($BR$3:$CA$3,BT$60,$BR$4:$CA$4))=0,0,((SUMIF($BR$3:$CA$3,BT$60,$BR129:$CA129))/SUMIF($BR$3:$CA$3,BT$60,$BR$4:$CA$4)))</f>
        <v>5</v>
      </c>
      <c r="BU80" s="196" t="n">
        <f aca="false">IF((SUMIF($BR$3:$CA$3,BU$60,$BR$4:$CA$4))=0,0,((SUMIF($BR$3:$CA$3,BU$60,$BR129:$CA129))/SUMIF($BR$3:$CA$3,BU$60,$BR$4:$CA$4)))</f>
        <v>5</v>
      </c>
      <c r="BV80" s="196" t="n">
        <f aca="false">IF((SUMIF($BR$3:$CA$3,BV$60,$BR$4:$CA$4))=0,0,((SUMIF($BR$3:$CA$3,BV$60,$BR129:$CA129))/SUMIF($BR$3:$CA$3,BV$60,$BR$4:$CA$4)))</f>
        <v>0</v>
      </c>
      <c r="BW80" s="196" t="n">
        <f aca="false">IF((SUMIF($BR$3:$CA$3,BW$60,$BR$4:$CA$4))=0,0,((SUMIF($BR$3:$CA$3,BW$60,$BR129:$CA129))/SUMIF($BR$3:$CA$3,BW$60,$BR$4:$CA$4)))</f>
        <v>0</v>
      </c>
      <c r="BX80" s="196" t="n">
        <f aca="false">IF((SUMIF($BR$3:$CA$3,BX$60,$BR$4:$CA$4))=0,0,((SUMIF($BR$3:$CA$3,BX$60,$BR129:$CA129))/SUMIF($BR$3:$CA$3,BX$60,$BR$4:$CA$4)))</f>
        <v>0</v>
      </c>
      <c r="BY80" s="196" t="n">
        <f aca="false">IF((SUMIF($BR$3:$CA$3,BY$60,$BR$4:$CA$4))=0,0,((SUMIF($BR$3:$CA$3,BY$60,$BR129:$CA129))/SUMIF($BR$3:$CA$3,BY$60,$BR$4:$CA$4)))</f>
        <v>0</v>
      </c>
      <c r="BZ80" s="196" t="n">
        <f aca="false">IF((SUMIF($BR$3:$CA$3,BZ$60,$BR$4:$CA$4))=0,0,((SUMIF($BR$3:$CA$3,BZ$60,$BR129:$CA129))/SUMIF($BR$3:$CA$3,BZ$60,$BR$4:$CA$4)))</f>
        <v>0</v>
      </c>
      <c r="CA80" s="197" t="n">
        <f aca="false">IF((SUMIF($BR$3:$CA$3,CA$60,$BR$4:$CA$4))=0,0,((SUMIF($BR$3:$CA$3,CA$60,$BR129:$CA129))/SUMIF($BR$3:$CA$3,CA$60,$BR$4:$CA$4)))</f>
        <v>0</v>
      </c>
      <c r="CB80" s="194" t="str">
        <f aca="false">BQ80</f>
        <v>Alumno19</v>
      </c>
      <c r="CC80" s="195" t="n">
        <f aca="false">IF((SUMIF($CC$3:$CL$3,CC$60,$CC$4:$CL$4))=0,0,((SUMIF($CC$3:$CL$3,CC$60,$CC129:$CL129))/SUMIF($CC$3:$CL$3,CC$60,$CC$4:$CL$4)))</f>
        <v>0</v>
      </c>
      <c r="CD80" s="196" t="n">
        <f aca="false">IF((SUMIF($CC$3:$CL$3,CD$60,$CC$4:$CL$4))=0,0,((SUMIF($CC$3:$CL$3,CD$60,$CC129:$CL129))/SUMIF($CC$3:$CL$3,CD$60,$CC$4:$CL$4)))</f>
        <v>0</v>
      </c>
      <c r="CE80" s="196" t="n">
        <f aca="false">IF((SUMIF($CC$3:$CL$3,CE$60,$CC$4:$CL$4))=0,0,((SUMIF($CC$3:$CL$3,CE$60,$CC129:$CL129))/SUMIF($CC$3:$CL$3,CE$60,$CC$4:$CL$4)))</f>
        <v>0</v>
      </c>
      <c r="CF80" s="196" t="n">
        <f aca="false">IF((SUMIF($CC$3:$CL$3,CF$60,$CC$4:$CL$4))=0,0,((SUMIF($CC$3:$CL$3,CF$60,$CC129:$CL129))/SUMIF($CC$3:$CL$3,CF$60,$CC$4:$CL$4)))</f>
        <v>0</v>
      </c>
      <c r="CG80" s="196" t="n">
        <f aca="false">IF((SUMIF($CC$3:$CL$3,CG$60,$CC$4:$CL$4))=0,0,((SUMIF($CC$3:$CL$3,CG$60,$CC129:$CL129))/SUMIF($CC$3:$CL$3,CG$60,$CC$4:$CL$4)))</f>
        <v>0</v>
      </c>
      <c r="CH80" s="196" t="n">
        <f aca="false">IF((SUMIF($CC$3:$CL$3,CH$60,$CC$4:$CL$4))=0,0,((SUMIF($CC$3:$CL$3,CH$60,$CC129:$CL129))/SUMIF($CC$3:$CL$3,CH$60,$CC$4:$CL$4)))</f>
        <v>0</v>
      </c>
      <c r="CI80" s="196" t="n">
        <f aca="false">IF((SUMIF($CC$3:$CL$3,CI$60,$CC$4:$CL$4))=0,0,((SUMIF($CC$3:$CL$3,CI$60,$CC129:$CL129))/SUMIF($CC$3:$CL$3,CI$60,$CC$4:$CL$4)))</f>
        <v>0</v>
      </c>
      <c r="CJ80" s="196" t="n">
        <f aca="false">IF((SUMIF($CC$3:$CL$3,CJ$60,$CC$4:$CL$4))=0,0,((SUMIF($CC$3:$CL$3,CJ$60,$CC129:$CL129))/SUMIF($CC$3:$CL$3,CJ$60,$CC$4:$CL$4)))</f>
        <v>0</v>
      </c>
      <c r="CK80" s="196" t="n">
        <f aca="false">IF((SUMIF($CC$3:$CL$3,CK$60,$CC$4:$CL$4))=0,0,((SUMIF($CC$3:$CL$3,CK$60,$CC129:$CL129))/SUMIF($CC$3:$CL$3,CK$60,$CC$4:$CL$4)))</f>
        <v>0</v>
      </c>
      <c r="CL80" s="197" t="n">
        <f aca="false">IF((SUMIF($CC$3:$CL$3,CL$60,$CC$4:$CL$4))=0,0,((SUMIF($CC$3:$CL$3,CL$60,$CC129:$CL129))/SUMIF($CC$3:$CL$3,CL$60,$CC$4:$CL$4)))</f>
        <v>0</v>
      </c>
      <c r="CM80" s="194" t="str">
        <f aca="false">CB80</f>
        <v>Alumno19</v>
      </c>
      <c r="CN80" s="195" t="n">
        <f aca="false">IF((SUMIF($CN$3:$CW$3,CN$60,$CN$4:$CW$4))=0,0,((SUMIF($CN$3:$CW$3,CN$60,$CN129:$CW129))/SUMIF($CN$3:$CW$3,CN$60,$CN$4:$CW$4)))</f>
        <v>0</v>
      </c>
      <c r="CO80" s="196" t="n">
        <f aca="false">IF((SUMIF($CN$3:$CW$3,CO$60,$CN$4:$CW$4))=0,0,((SUMIF($CN$3:$CW$3,CO$60,$CN129:$CW129))/SUMIF($CN$3:$CW$3,CO$60,$CN$4:$CW$4)))</f>
        <v>0</v>
      </c>
      <c r="CP80" s="196" t="n">
        <f aca="false">IF((SUMIF($CN$3:$CW$3,CP$60,$CN$4:$CW$4))=0,0,((SUMIF($CN$3:$CW$3,CP$60,$CN129:$CW129))/SUMIF($CN$3:$CW$3,CP$60,$CN$4:$CW$4)))</f>
        <v>0</v>
      </c>
      <c r="CQ80" s="196" t="n">
        <f aca="false">IF((SUMIF($CN$3:$CW$3,CQ$60,$CN$4:$CW$4))=0,0,((SUMIF($CN$3:$CW$3,CQ$60,$CN129:$CW129))/SUMIF($CN$3:$CW$3,CQ$60,$CN$4:$CW$4)))</f>
        <v>0</v>
      </c>
      <c r="CR80" s="196" t="n">
        <f aca="false">IF((SUMIF($CN$3:$CW$3,CR$60,$CN$4:$CW$4))=0,0,((SUMIF($CN$3:$CW$3,CR$60,$CN129:$CW129))/SUMIF($CN$3:$CW$3,CR$60,$CN$4:$CW$4)))</f>
        <v>0</v>
      </c>
      <c r="CS80" s="196" t="n">
        <f aca="false">IF((SUMIF($CN$3:$CW$3,CS$60,$CN$4:$CW$4))=0,0,((SUMIF($CN$3:$CW$3,CS$60,$CN129:$CW129))/SUMIF($CN$3:$CW$3,CS$60,$CN$4:$CW$4)))</f>
        <v>0</v>
      </c>
      <c r="CT80" s="196" t="n">
        <f aca="false">IF((SUMIF($CN$3:$CW$3,CT$60,$CN$4:$CW$4))=0,0,((SUMIF($CN$3:$CW$3,CT$60,$CN129:$CW129))/SUMIF($CN$3:$CW$3,CT$60,$CN$4:$CW$4)))</f>
        <v>0</v>
      </c>
      <c r="CU80" s="196" t="n">
        <f aca="false">IF((SUMIF($CN$3:$CW$3,CU$60,$CN$4:$CW$4))=0,0,((SUMIF($CN$3:$CW$3,CU$60,$CN129:$CW129))/SUMIF($CN$3:$CW$3,CU$60,$CN$4:$CW$4)))</f>
        <v>0</v>
      </c>
      <c r="CV80" s="196" t="n">
        <f aca="false">IF((SUMIF($CN$3:$CW$3,CV$60,$CN$4:$CW$4))=0,0,((SUMIF($CN$3:$CW$3,CV$60,$CN129:$CW129))/SUMIF($CN$3:$CW$3,CV$60,$CN$4:$CW$4)))</f>
        <v>0</v>
      </c>
      <c r="CW80" s="197" t="n">
        <f aca="false">IF((SUMIF($CN$3:$CW$3,CW$60,$CN$4:$CW$4))=0,0,((SUMIF($CN$3:$CW$3,CW$60,$CN129:$CW129))/SUMIF($CN$3:$CW$3,CW$60,$CN$4:$CW$4)))</f>
        <v>0</v>
      </c>
      <c r="CX80" s="194" t="str">
        <f aca="false">CM80</f>
        <v>Alumno19</v>
      </c>
      <c r="CY80" s="195" t="n">
        <f aca="false">IF((SUMIF($CY$3:$DH$3,CY$60,$CY$4:$DH$4))=0,0,((SUMIF($CY$3:$DH$3,CY$60,$CY129:$DH129))/SUMIF($CY$3:$DH$3,CY$60,$CY$4:$DH$4)))</f>
        <v>0</v>
      </c>
      <c r="CZ80" s="196" t="n">
        <f aca="false">IF((SUMIF($CY$3:$DH$3,CZ$60,$CY$4:$DH$4))=0,0,((SUMIF($CY$3:$DH$3,CZ$60,$CY129:$DH129))/SUMIF($CY$3:$DH$3,CZ$60,$CY$4:$DH$4)))</f>
        <v>0</v>
      </c>
      <c r="DA80" s="196" t="n">
        <f aca="false">IF((SUMIF($CY$3:$DH$3,DA$60,$CY$4:$DH$4))=0,0,((SUMIF($CY$3:$DH$3,DA$60,$CY129:$DH129))/SUMIF($CY$3:$DH$3,DA$60,$CY$4:$DH$4)))</f>
        <v>0</v>
      </c>
      <c r="DB80" s="196" t="n">
        <f aca="false">IF((SUMIF($CY$3:$DH$3,DB$60,$CY$4:$DH$4))=0,0,((SUMIF($CY$3:$DH$3,DB$60,$CY129:$DH129))/SUMIF($CY$3:$DH$3,DB$60,$CY$4:$DH$4)))</f>
        <v>0</v>
      </c>
      <c r="DC80" s="196" t="n">
        <f aca="false">IF((SUMIF($CY$3:$DH$3,DC$60,$CY$4:$DH$4))=0,0,((SUMIF($CY$3:$DH$3,DC$60,$CY129:$DH129))/SUMIF($CY$3:$DH$3,DC$60,$CY$4:$DH$4)))</f>
        <v>0</v>
      </c>
      <c r="DD80" s="196" t="n">
        <f aca="false">IF((SUMIF($CY$3:$DH$3,DD$60,$CY$4:$DH$4))=0,0,((SUMIF($CY$3:$DH$3,DD$60,$CY129:$DH129))/SUMIF($CY$3:$DH$3,DD$60,$CY$4:$DH$4)))</f>
        <v>0</v>
      </c>
      <c r="DE80" s="196" t="n">
        <f aca="false">IF((SUMIF($CY$3:$DH$3,DE$60,$CY$4:$DH$4))=0,0,((SUMIF($CY$3:$DH$3,DE$60,$CY129:$DH129))/SUMIF($CY$3:$DH$3,DE$60,$CY$4:$DH$4)))</f>
        <v>0</v>
      </c>
      <c r="DF80" s="196" t="n">
        <f aca="false">IF((SUMIF($CY$3:$DH$3,DF$60,$CY$4:$DH$4))=0,0,((SUMIF($CY$3:$DH$3,DF$60,$CY129:$DH129))/SUMIF($CY$3:$DH$3,DF$60,$CY$4:$DH$4)))</f>
        <v>0</v>
      </c>
      <c r="DG80" s="196" t="n">
        <f aca="false">IF((SUMIF($CY$3:$DH$3,DG$60,$CY$4:$DH$4))=0,0,((SUMIF($CY$3:$DH$3,DG$60,$CY129:$DH129))/SUMIF($CY$3:$DH$3,DG$60,$CY$4:$DH$4)))</f>
        <v>0</v>
      </c>
      <c r="DH80" s="197" t="n">
        <f aca="false">IF((SUMIF($CY$3:$DH$3,DH$60,$CY$4:$DH$4))=0,0,((SUMIF($CY$3:$DH$3,DH$60,$CY129:$DH129))/SUMIF($CY$3:$DH$3,DH$60,$CY$4:$DH$4)))</f>
        <v>0</v>
      </c>
      <c r="DI80" s="194" t="str">
        <f aca="false">CX80</f>
        <v>Alumno19</v>
      </c>
      <c r="DJ80" s="195" t="n">
        <f aca="false">IF((SUMIF($DJ$3:$DS$3,DJ$60,$DJ$4:$DS$4))=0,0,((SUMIF($DJ$3:$DS$3,DJ$60,$DJ129:$DS129))/SUMIF($DJ$3:$DS$3,DJ$60,$DJ$4:$DS$4)))</f>
        <v>0</v>
      </c>
      <c r="DK80" s="196" t="n">
        <f aca="false">IF((SUMIF($DJ$3:$DS$3,DK$60,$DJ$4:$DS$4))=0,0,((SUMIF($DJ$3:$DS$3,DK$60,$DJ129:$DS129))/SUMIF($DJ$3:$DS$3,DK$60,$DJ$4:$DS$4)))</f>
        <v>0</v>
      </c>
      <c r="DL80" s="196" t="n">
        <f aca="false">IF((SUMIF($DJ$3:$DS$3,DL$60,$DJ$4:$DS$4))=0,0,((SUMIF($DJ$3:$DS$3,DL$60,$DJ129:$DS129))/SUMIF($DJ$3:$DS$3,DL$60,$DJ$4:$DS$4)))</f>
        <v>0</v>
      </c>
      <c r="DM80" s="196" t="n">
        <f aca="false">IF((SUMIF($DJ$3:$DS$3,DM$60,$DJ$4:$DS$4))=0,0,((SUMIF($DJ$3:$DS$3,DM$60,$DJ129:$DS129))/SUMIF($DJ$3:$DS$3,DM$60,$DJ$4:$DS$4)))</f>
        <v>0</v>
      </c>
      <c r="DN80" s="196" t="n">
        <f aca="false">IF((SUMIF($DJ$3:$DS$3,DN$60,$DJ$4:$DS$4))=0,0,((SUMIF($DJ$3:$DS$3,DN$60,$DJ129:$DS129))/SUMIF($DJ$3:$DS$3,DN$60,$DJ$4:$DS$4)))</f>
        <v>0</v>
      </c>
      <c r="DO80" s="196" t="n">
        <f aca="false">IF((SUMIF($DJ$3:$DS$3,DO$60,$DJ$4:$DS$4))=0,0,((SUMIF($DJ$3:$DS$3,DO$60,$DJ129:$DS129))/SUMIF($DJ$3:$DS$3,DO$60,$DJ$4:$DS$4)))</f>
        <v>0</v>
      </c>
      <c r="DP80" s="196" t="n">
        <f aca="false">IF((SUMIF($DJ$3:$DS$3,DP$60,$DJ$4:$DS$4))=0,0,((SUMIF($DJ$3:$DS$3,DP$60,$DJ129:$DS129))/SUMIF($DJ$3:$DS$3,DP$60,$DJ$4:$DS$4)))</f>
        <v>0</v>
      </c>
      <c r="DQ80" s="196" t="n">
        <f aca="false">IF((SUMIF($DJ$3:$DS$3,DQ$60,$DJ$4:$DS$4))=0,0,((SUMIF($DJ$3:$DS$3,DQ$60,$DJ129:$DS129))/SUMIF($DJ$3:$DS$3,DQ$60,$DJ$4:$DS$4)))</f>
        <v>0</v>
      </c>
      <c r="DR80" s="196" t="n">
        <f aca="false">IF((SUMIF($DJ$3:$DS$3,DR$60,$DJ$4:$DS$4))=0,0,((SUMIF($DJ$3:$DS$3,DR$60,$DJ129:$DS129))/SUMIF($DJ$3:$DS$3,DR$60,$DJ$4:$DS$4)))</f>
        <v>0</v>
      </c>
      <c r="DS80" s="197" t="n">
        <f aca="false">IF((SUMIF($DJ$3:$DS$3,DS$60,$DJ$4:$DS$4))=0,0,((SUMIF($DJ$3:$DS$3,DS$60,$DJ129:$DS129))/SUMIF($DJ$3:$DS$3,DS$60,$DJ$4:$DS$4)))</f>
        <v>0</v>
      </c>
      <c r="DT80" s="194" t="str">
        <f aca="false">DI80</f>
        <v>Alumno19</v>
      </c>
      <c r="DU80" s="195" t="n">
        <f aca="false">IF((SUMIF($DU$3:$ED$3,DU$60,$DU$4:$ED$4))=0,0,((SUMIF($DU$3:$ED$3,DU$60,$DU129:$ED129))/SUMIF($DU$3:$ED$3,DU$60,$DU$4:$ED$4)))</f>
        <v>0</v>
      </c>
      <c r="DV80" s="196" t="n">
        <f aca="false">IF((SUMIF($DU$3:$ED$3,DV$60,$DU$4:$ED$4))=0,0,((SUMIF($DU$3:$ED$3,DV$60,$DU129:$ED129))/SUMIF($DU$3:$ED$3,DV$60,$DU$4:$ED$4)))</f>
        <v>0</v>
      </c>
      <c r="DW80" s="196" t="n">
        <f aca="false">IF((SUMIF($DU$3:$ED$3,DW$60,$DU$4:$ED$4))=0,0,((SUMIF($DU$3:$ED$3,DW$60,$DU129:$ED129))/SUMIF($DU$3:$ED$3,DW$60,$DU$4:$ED$4)))</f>
        <v>0</v>
      </c>
      <c r="DX80" s="196" t="n">
        <f aca="false">IF((SUMIF($DU$3:$ED$3,DX$60,$DU$4:$ED$4))=0,0,((SUMIF($DU$3:$ED$3,DX$60,$DU129:$ED129))/SUMIF($DU$3:$ED$3,DX$60,$DU$4:$ED$4)))</f>
        <v>0</v>
      </c>
      <c r="DY80" s="196" t="n">
        <f aca="false">IF((SUMIF($DU$3:$ED$3,DY$60,$DU$4:$ED$4))=0,0,((SUMIF($DU$3:$ED$3,DY$60,$DU129:$ED129))/SUMIF($DU$3:$ED$3,DY$60,$DU$4:$ED$4)))</f>
        <v>0</v>
      </c>
      <c r="DZ80" s="196" t="n">
        <f aca="false">IF((SUMIF($DU$3:$ED$3,DZ$60,$DU$4:$ED$4))=0,0,((SUMIF($DU$3:$ED$3,DZ$60,$DU129:$ED129))/SUMIF($DU$3:$ED$3,DZ$60,$DU$4:$ED$4)))</f>
        <v>0</v>
      </c>
      <c r="EA80" s="196" t="n">
        <f aca="false">IF((SUMIF($DU$3:$ED$3,EA$60,$DU$4:$ED$4))=0,0,((SUMIF($DU$3:$ED$3,EA$60,$DU129:$ED129))/SUMIF($DU$3:$ED$3,EA$60,$DU$4:$ED$4)))</f>
        <v>0</v>
      </c>
      <c r="EB80" s="196" t="n">
        <f aca="false">IF((SUMIF($DU$3:$ED$3,EB$60,$DU$4:$ED$4))=0,0,((SUMIF($DU$3:$ED$3,EB$60,$DU129:$ED129))/SUMIF($DU$3:$ED$3,EB$60,$DU$4:$ED$4)))</f>
        <v>0</v>
      </c>
      <c r="EC80" s="196" t="n">
        <f aca="false">IF((SUMIF($DU$3:$ED$3,EC$60,$DU$4:$ED$4))=0,0,((SUMIF($DU$3:$ED$3,EC$60,$DU129:$ED129))/SUMIF($DU$3:$ED$3,EC$60,$DU$4:$ED$4)))</f>
        <v>0</v>
      </c>
      <c r="ED80" s="197" t="n">
        <f aca="false">IF((SUMIF($DU$3:$ED$3,ED$60,$DU$4:$ED$4))=0,0,((SUMIF($DU$3:$ED$3,ED$60,$DU129:$ED129))/SUMIF($DU$3:$ED$3,ED$60,$DU$4:$ED$4)))</f>
        <v>0</v>
      </c>
      <c r="EE80" s="194" t="str">
        <f aca="false">DT80</f>
        <v>Alumno19</v>
      </c>
      <c r="EF80" s="195" t="n">
        <f aca="false">IF((SUMIF($EF$3:$EO$3,EF$60,$EF$4:$EO$4))=0,0,((SUMIF($EF$3:$EO$3,EF$60,$EF129:$EO129))/SUMIF($EF$3:$EO$3,EF$60,$EF$4:$EO$4)))</f>
        <v>0</v>
      </c>
      <c r="EG80" s="196" t="n">
        <f aca="false">IF((SUMIF($EF$3:$EO$3,EG$60,$EF$4:$EO$4))=0,0,((SUMIF($EF$3:$EO$3,EG$60,$EF129:$EO129))/SUMIF($EF$3:$EO$3,EG$60,$EF$4:$EO$4)))</f>
        <v>0</v>
      </c>
      <c r="EH80" s="196" t="n">
        <f aca="false">IF((SUMIF($EF$3:$EO$3,EH$60,$EF$4:$EO$4))=0,0,((SUMIF($EF$3:$EO$3,EH$60,$EF129:$EO129))/SUMIF($EF$3:$EO$3,EH$60,$EF$4:$EO$4)))</f>
        <v>0</v>
      </c>
      <c r="EI80" s="196" t="n">
        <f aca="false">IF((SUMIF($EF$3:$EO$3,EI$60,$EF$4:$EO$4))=0,0,((SUMIF($EF$3:$EO$3,EI$60,$EF129:$EO129))/SUMIF($EF$3:$EO$3,EI$60,$EF$4:$EO$4)))</f>
        <v>0</v>
      </c>
      <c r="EJ80" s="196" t="n">
        <f aca="false">IF((SUMIF($EF$3:$EO$3,EJ$60,$EF$4:$EO$4))=0,0,((SUMIF($EF$3:$EO$3,EJ$60,$EF129:$EO129))/SUMIF($EF$3:$EO$3,EJ$60,$EF$4:$EO$4)))</f>
        <v>0</v>
      </c>
      <c r="EK80" s="196" t="n">
        <f aca="false">IF((SUMIF($EF$3:$EO$3,EK$60,$EF$4:$EO$4))=0,0,((SUMIF($EF$3:$EO$3,EK$60,$EF129:$EO129))/SUMIF($EF$3:$EO$3,EK$60,$EF$4:$EO$4)))</f>
        <v>0</v>
      </c>
      <c r="EL80" s="196" t="n">
        <f aca="false">IF((SUMIF($EF$3:$EO$3,EL$60,$EF$4:$EO$4))=0,0,((SUMIF($EF$3:$EO$3,EL$60,$EF129:$EO129))/SUMIF($EF$3:$EO$3,EL$60,$EF$4:$EO$4)))</f>
        <v>0</v>
      </c>
      <c r="EM80" s="196" t="n">
        <f aca="false">IF((SUMIF($EF$3:$EO$3,EM$60,$EF$4:$EO$4))=0,0,((SUMIF($EF$3:$EO$3,EM$60,$EF129:$EO129))/SUMIF($EF$3:$EO$3,EM$60,$EF$4:$EO$4)))</f>
        <v>0</v>
      </c>
      <c r="EN80" s="196" t="n">
        <f aca="false">IF((SUMIF($EF$3:$EO$3,EN$60,$EF$4:$EO$4))=0,0,((SUMIF($EF$3:$EO$3,EN$60,$EF129:$EO129))/SUMIF($EF$3:$EO$3,EN$60,$EF$4:$EO$4)))</f>
        <v>0</v>
      </c>
      <c r="EO80" s="197" t="n">
        <f aca="false">IF((SUMIF($EF$3:$EO$3,EO$60,$EF$4:$EO$4))=0,0,((SUMIF($EF$3:$EO$3,EO$60,$EF129:$EO129))/SUMIF($EF$3:$EO$3,EO$60,$EF$4:$EO$4)))</f>
        <v>0</v>
      </c>
      <c r="EP80" s="194" t="str">
        <f aca="false">EE80</f>
        <v>Alumno19</v>
      </c>
      <c r="EQ80" s="195" t="n">
        <f aca="false">IF((SUMIF($EQ$3:$EZ$3,EQ$60,$EQ$4:$EZ$4))=0,0,((SUMIF($EQ$3:$EZ$3,EQ$60,$EQ129:$EZ129))/SUMIF($EQ$3:$EZ$3,EQ$60,$EQ$4:$EZ$4)))</f>
        <v>0</v>
      </c>
      <c r="ER80" s="196" t="n">
        <f aca="false">IF((SUMIF($EQ$3:$EZ$3,ER$60,$EQ$4:$EZ$4))=0,0,((SUMIF($EQ$3:$EZ$3,ER$60,$EQ129:$EZ129))/SUMIF($EQ$3:$EZ$3,ER$60,$EQ$4:$EZ$4)))</f>
        <v>0</v>
      </c>
      <c r="ES80" s="196" t="n">
        <f aca="false">IF((SUMIF($EQ$3:$EZ$3,ES$60,$EQ$4:$EZ$4))=0,0,((SUMIF($EQ$3:$EZ$3,ES$60,$EQ129:$EZ129))/SUMIF($EQ$3:$EZ$3,ES$60,$EQ$4:$EZ$4)))</f>
        <v>0</v>
      </c>
      <c r="ET80" s="196" t="n">
        <f aca="false">IF((SUMIF($EQ$3:$EZ$3,ET$60,$EQ$4:$EZ$4))=0,0,((SUMIF($EQ$3:$EZ$3,ET$60,$EQ129:$EZ129))/SUMIF($EQ$3:$EZ$3,ET$60,$EQ$4:$EZ$4)))</f>
        <v>0</v>
      </c>
      <c r="EU80" s="196" t="n">
        <f aca="false">IF((SUMIF($EQ$3:$EZ$3,EU$60,$EQ$4:$EZ$4))=0,0,((SUMIF($EQ$3:$EZ$3,EU$60,$EQ129:$EZ129))/SUMIF($EQ$3:$EZ$3,EU$60,$EQ$4:$EZ$4)))</f>
        <v>0</v>
      </c>
      <c r="EV80" s="196" t="n">
        <f aca="false">IF((SUMIF($EQ$3:$EZ$3,EV$60,$EQ$4:$EZ$4))=0,0,((SUMIF($EQ$3:$EZ$3,EV$60,$EQ129:$EZ129))/SUMIF($EQ$3:$EZ$3,EV$60,$EQ$4:$EZ$4)))</f>
        <v>0</v>
      </c>
      <c r="EW80" s="196" t="n">
        <f aca="false">IF((SUMIF($EQ$3:$EZ$3,EW$60,$EQ$4:$EZ$4))=0,0,((SUMIF($EQ$3:$EZ$3,EW$60,$EQ129:$EZ129))/SUMIF($EQ$3:$EZ$3,EW$60,$EQ$4:$EZ$4)))</f>
        <v>0</v>
      </c>
      <c r="EX80" s="196" t="n">
        <f aca="false">IF((SUMIF($EQ$3:$EZ$3,EX$60,$EQ$4:$EZ$4))=0,0,((SUMIF($EQ$3:$EZ$3,EX$60,$EQ129:$EZ129))/SUMIF($EQ$3:$EZ$3,EX$60,$EQ$4:$EZ$4)))</f>
        <v>0</v>
      </c>
      <c r="EY80" s="196" t="n">
        <f aca="false">IF((SUMIF($EQ$3:$EZ$3,EY$60,$EQ$4:$EZ$4))=0,0,((SUMIF($EQ$3:$EZ$3,EY$60,$EQ129:$EZ129))/SUMIF($EQ$3:$EZ$3,EY$60,$EQ$4:$EZ$4)))</f>
        <v>0</v>
      </c>
      <c r="EZ80" s="197" t="n">
        <f aca="false">IF((SUMIF($EQ$3:$EZ$3,EZ$60,$EQ$4:$EZ$4))=0,0,((SUMIF($EQ$3:$EZ$3,EZ$60,$EQ129:$EZ129))/SUMIF($EQ$3:$EZ$3,EZ$60,$EQ$4:$EZ$4)))</f>
        <v>0</v>
      </c>
      <c r="FA80" s="194" t="str">
        <f aca="false">EP80</f>
        <v>Alumno19</v>
      </c>
      <c r="FB80" s="195" t="n">
        <f aca="false">IF((SUMIF($FB$3:$FK$3,FB$60,$FB$4:$FK$4))=0,0,((SUMIF($FB$3:$FK$3,FB$60,$FB129:$FK129))/SUMIF($FB$3:$FK$3,FB$60,$FB$4:$FK$4)))</f>
        <v>0</v>
      </c>
      <c r="FC80" s="196" t="n">
        <f aca="false">IF((SUMIF($FB$3:$FK$3,FC$60,$FB$4:$FK$4))=0,0,((SUMIF($FB$3:$FK$3,FC$60,$FB129:$FK129))/SUMIF($FB$3:$FK$3,FC$60,$FB$4:$FK$4)))</f>
        <v>0</v>
      </c>
      <c r="FD80" s="196" t="n">
        <f aca="false">IF((SUMIF($FB$3:$FK$3,FD$60,$FB$4:$FK$4))=0,0,((SUMIF($FB$3:$FK$3,FD$60,$FB129:$FK129))/SUMIF($FB$3:$FK$3,FD$60,$FB$4:$FK$4)))</f>
        <v>0</v>
      </c>
      <c r="FE80" s="196" t="n">
        <f aca="false">IF((SUMIF($FB$3:$FK$3,FE$60,$FB$4:$FK$4))=0,0,((SUMIF($FB$3:$FK$3,FE$60,$FB129:$FK129))/SUMIF($FB$3:$FK$3,FE$60,$FB$4:$FK$4)))</f>
        <v>0</v>
      </c>
      <c r="FF80" s="196" t="n">
        <f aca="false">IF((SUMIF($FB$3:$FK$3,FF$60,$FB$4:$FK$4))=0,0,((SUMIF($FB$3:$FK$3,FF$60,$FB129:$FK129))/SUMIF($FB$3:$FK$3,FF$60,$FB$4:$FK$4)))</f>
        <v>0</v>
      </c>
      <c r="FG80" s="196" t="n">
        <f aca="false">IF((SUMIF($FB$3:$FK$3,FG$60,$FB$4:$FK$4))=0,0,((SUMIF($FB$3:$FK$3,FG$60,$FB129:$FK129))/SUMIF($FB$3:$FK$3,FG$60,$FB$4:$FK$4)))</f>
        <v>0</v>
      </c>
      <c r="FH80" s="196" t="n">
        <f aca="false">IF((SUMIF($FB$3:$FK$3,FH$60,$FB$4:$FK$4))=0,0,((SUMIF($FB$3:$FK$3,FH$60,$FB129:$FK129))/SUMIF($FB$3:$FK$3,FH$60,$FB$4:$FK$4)))</f>
        <v>0</v>
      </c>
      <c r="FI80" s="196" t="n">
        <f aca="false">IF((SUMIF($FB$3:$FK$3,FI$60,$FB$4:$FK$4))=0,0,((SUMIF($FB$3:$FK$3,FI$60,$FB129:$FK129))/SUMIF($FB$3:$FK$3,FI$60,$FB$4:$FK$4)))</f>
        <v>0</v>
      </c>
      <c r="FJ80" s="196" t="n">
        <f aca="false">IF((SUMIF($FB$3:$FK$3,FJ$60,$FB$4:$FK$4))=0,0,((SUMIF($FB$3:$FK$3,FJ$60,$FB129:$FK129))/SUMIF($FB$3:$FK$3,FJ$60,$FB$4:$FK$4)))</f>
        <v>0</v>
      </c>
      <c r="FK80" s="197" t="n">
        <f aca="false">IF((SUMIF($FB$3:$FK$3,FK$60,$FB$4:$FK$4))=0,0,((SUMIF($FB$3:$FK$3,FK$60,$FB129:$FK129))/SUMIF($FB$3:$FK$3,FK$60,$FB$4:$FK$4)))</f>
        <v>0</v>
      </c>
      <c r="FL80" s="194" t="str">
        <f aca="false">FA80</f>
        <v>Alumno19</v>
      </c>
      <c r="FM80" s="195" t="n">
        <f aca="false">IF((SUMIF($FM$3:$FV$3,FM$60,$FM$4:$FV$4))=0,0,((SUMIF($FM$3:$FV$3,FM$60,$FM129:$FV129))/SUMIF($FM$3:$FV$3,FM$60,$FM$4:$FV$4)))</f>
        <v>0</v>
      </c>
      <c r="FN80" s="196" t="n">
        <f aca="false">IF((SUMIF($FM$3:$FV$3,FN$60,$FM$4:$FV$4))=0,0,((SUMIF($FM$3:$FV$3,FN$60,$FM129:$FV129))/SUMIF($FM$3:$FV$3,FN$60,$FM$4:$FV$4)))</f>
        <v>0</v>
      </c>
      <c r="FO80" s="196" t="n">
        <f aca="false">IF((SUMIF($FM$3:$FV$3,FO$60,$FM$4:$FV$4))=0,0,((SUMIF($FM$3:$FV$3,FO$60,$FM129:$FV129))/SUMIF($FM$3:$FV$3,FO$60,$FM$4:$FV$4)))</f>
        <v>0</v>
      </c>
      <c r="FP80" s="196" t="n">
        <f aca="false">IF((SUMIF($FM$3:$FV$3,FP$60,$FM$4:$FV$4))=0,0,((SUMIF($FM$3:$FV$3,FP$60,$FM129:$FV129))/SUMIF($FM$3:$FV$3,FP$60,$FM$4:$FV$4)))</f>
        <v>0</v>
      </c>
      <c r="FQ80" s="196" t="n">
        <f aca="false">IF((SUMIF($FM$3:$FV$3,FQ$60,$FM$4:$FV$4))=0,0,((SUMIF($FM$3:$FV$3,FQ$60,$FM129:$FV129))/SUMIF($FM$3:$FV$3,FQ$60,$FM$4:$FV$4)))</f>
        <v>0</v>
      </c>
      <c r="FR80" s="196" t="n">
        <f aca="false">IF((SUMIF($FM$3:$FV$3,FR$60,$FM$4:$FV$4))=0,0,((SUMIF($FM$3:$FV$3,FR$60,$FM129:$FV129))/SUMIF($FM$3:$FV$3,FR$60,$FM$4:$FV$4)))</f>
        <v>0</v>
      </c>
      <c r="FS80" s="196" t="n">
        <f aca="false">IF((SUMIF($FM$3:$FV$3,FS$60,$FM$4:$FV$4))=0,0,((SUMIF($FM$3:$FV$3,FS$60,$FM129:$FV129))/SUMIF($FM$3:$FV$3,FS$60,$FM$4:$FV$4)))</f>
        <v>0</v>
      </c>
      <c r="FT80" s="196" t="n">
        <f aca="false">IF((SUMIF($FM$3:$FV$3,FT$60,$FM$4:$FV$4))=0,0,((SUMIF($FM$3:$FV$3,FT$60,$FM129:$FV129))/SUMIF($FM$3:$FV$3,FT$60,$FM$4:$FV$4)))</f>
        <v>0</v>
      </c>
      <c r="FU80" s="196" t="n">
        <f aca="false">IF((SUMIF($FM$3:$FV$3,FU$60,$FM$4:$FV$4))=0,0,((SUMIF($FM$3:$FV$3,FU$60,$FM129:$FV129))/SUMIF($FM$3:$FV$3,FU$60,$FM$4:$FV$4)))</f>
        <v>0</v>
      </c>
      <c r="FV80" s="197" t="n">
        <f aca="false">IF((SUMIF($FM$3:$FV$3,FV$60,$FM$4:$FV$4))=0,0,((SUMIF($FM$3:$FV$3,FV$60,$FM129:$FV129))/SUMIF($FM$3:$FV$3,FV$60,$FM$4:$FV$4)))</f>
        <v>0</v>
      </c>
      <c r="FW80" s="194" t="str">
        <f aca="false">FL80</f>
        <v>Alumno19</v>
      </c>
      <c r="FX80" s="195" t="n">
        <f aca="false">IF((SUMIF($FX$3:$GG$3,FX$60,$FX$4:$GG$4))=0,0,((SUMIF($FX$3:$GG$3,FX$60,$FX129:$GG129))/SUMIF($FX$3:$GG$3,FX$60,$FX$4:$GG$4)))</f>
        <v>0</v>
      </c>
      <c r="FY80" s="196" t="n">
        <f aca="false">IF((SUMIF($FX$3:$GG$3,FY$60,$FX$4:$GG$4))=0,0,((SUMIF($FX$3:$GG$3,FY$60,$FX129:$GG129))/SUMIF($FX$3:$GG$3,FY$60,$FX$4:$GG$4)))</f>
        <v>0</v>
      </c>
      <c r="FZ80" s="196" t="n">
        <f aca="false">IF((SUMIF($FX$3:$GG$3,FZ$60,$FX$4:$GG$4))=0,0,((SUMIF($FX$3:$GG$3,FZ$60,$FX129:$GG129))/SUMIF($FX$3:$GG$3,FZ$60,$FX$4:$GG$4)))</f>
        <v>0</v>
      </c>
      <c r="GA80" s="196" t="n">
        <f aca="false">IF((SUMIF($FX$3:$GG$3,GA$60,$FX$4:$GG$4))=0,0,((SUMIF($FX$3:$GG$3,GA$60,$FX129:$GG129))/SUMIF($FX$3:$GG$3,GA$60,$FX$4:$GG$4)))</f>
        <v>0</v>
      </c>
      <c r="GB80" s="196" t="n">
        <f aca="false">IF((SUMIF($FX$3:$GG$3,GB$60,$FX$4:$GG$4))=0,0,((SUMIF($FX$3:$GG$3,GB$60,$FX129:$GG129))/SUMIF($FX$3:$GG$3,GB$60,$FX$4:$GG$4)))</f>
        <v>0</v>
      </c>
      <c r="GC80" s="196" t="n">
        <f aca="false">IF((SUMIF($FX$3:$GG$3,GC$60,$FX$4:$GG$4))=0,0,((SUMIF($FX$3:$GG$3,GC$60,$FX129:$GG129))/SUMIF($FX$3:$GG$3,GC$60,$FX$4:$GG$4)))</f>
        <v>0</v>
      </c>
      <c r="GD80" s="196" t="n">
        <f aca="false">IF((SUMIF($FX$3:$GG$3,GD$60,$FX$4:$GG$4))=0,0,((SUMIF($FX$3:$GG$3,GD$60,$FX129:$GG129))/SUMIF($FX$3:$GG$3,GD$60,$FX$4:$GG$4)))</f>
        <v>0</v>
      </c>
      <c r="GE80" s="196" t="n">
        <f aca="false">IF((SUMIF($FX$3:$GG$3,GE$60,$FX$4:$GG$4))=0,0,((SUMIF($FX$3:$GG$3,GE$60,$FX129:$GG129))/SUMIF($FX$3:$GG$3,GE$60,$FX$4:$GG$4)))</f>
        <v>0</v>
      </c>
      <c r="GF80" s="196" t="n">
        <f aca="false">IF((SUMIF($FX$3:$GG$3,GF$60,$FX$4:$GG$4))=0,0,((SUMIF($FX$3:$GG$3,GF$60,$FX129:$GG129))/SUMIF($FX$3:$GG$3,GF$60,$FX$4:$GG$4)))</f>
        <v>0</v>
      </c>
      <c r="GG80" s="197" t="n">
        <f aca="false">IF((SUMIF($FX$3:$GG$3,GG$60,$FX$4:$GG$4))=0,0,((SUMIF($FX$3:$GG$3,GG$60,$FX129:$GG129))/SUMIF($FX$3:$GG$3,GG$60,$FX$4:$GG$4)))</f>
        <v>0</v>
      </c>
      <c r="GH80" s="194" t="str">
        <f aca="false">FW80</f>
        <v>Alumno19</v>
      </c>
      <c r="GI80" s="195" t="n">
        <f aca="false">IF((SUMIF($GI$3:$GR$3,GI$60,$GI$4:$GR$4))=0,0,((SUMIF($GI$3:$GR$3,GI$60,$GI129:$GR129))/SUMIF($GI$3:$GR$3,GI$60,$GI$4:$GR$4)))</f>
        <v>0</v>
      </c>
      <c r="GJ80" s="196" t="n">
        <f aca="false">IF((SUMIF($GI$3:$GR$3,GJ$60,$GI$4:$GR$4))=0,0,((SUMIF($GI$3:$GR$3,GJ$60,$GI129:$GR129))/SUMIF($GI$3:$GR$3,GJ$60,$GI$4:$GR$4)))</f>
        <v>0</v>
      </c>
      <c r="GK80" s="196" t="n">
        <f aca="false">IF((SUMIF($GI$3:$GR$3,GK$60,$GI$4:$GR$4))=0,0,((SUMIF($GI$3:$GR$3,GK$60,$GI129:$GR129))/SUMIF($GI$3:$GR$3,GK$60,$GI$4:$GR$4)))</f>
        <v>0</v>
      </c>
      <c r="GL80" s="196" t="n">
        <f aca="false">IF((SUMIF($GI$3:$GR$3,GL$60,$GI$4:$GR$4))=0,0,((SUMIF($GI$3:$GR$3,GL$60,$GI129:$GR129))/SUMIF($GI$3:$GR$3,GL$60,$GI$4:$GR$4)))</f>
        <v>0</v>
      </c>
      <c r="GM80" s="196" t="n">
        <f aca="false">IF((SUMIF($GI$3:$GR$3,GM$60,$GI$4:$GR$4))=0,0,((SUMIF($GI$3:$GR$3,GM$60,$GI129:$GR129))/SUMIF($GI$3:$GR$3,GM$60,$GI$4:$GR$4)))</f>
        <v>0</v>
      </c>
      <c r="GN80" s="196" t="n">
        <f aca="false">IF((SUMIF($GI$3:$GR$3,GN$60,$GI$4:$GR$4))=0,0,((SUMIF($GI$3:$GR$3,GN$60,$GI129:$GR129))/SUMIF($GI$3:$GR$3,GN$60,$GI$4:$GR$4)))</f>
        <v>0</v>
      </c>
      <c r="GO80" s="196" t="n">
        <f aca="false">IF((SUMIF($GI$3:$GR$3,GO$60,$GI$4:$GR$4))=0,0,((SUMIF($GI$3:$GR$3,GO$60,$GI129:$GR129))/SUMIF($GI$3:$GR$3,GO$60,$GI$4:$GR$4)))</f>
        <v>0</v>
      </c>
      <c r="GP80" s="196" t="n">
        <f aca="false">IF((SUMIF($GI$3:$GR$3,GP$60,$GI$4:$GR$4))=0,0,((SUMIF($GI$3:$GR$3,GP$60,$GI129:$GR129))/SUMIF($GI$3:$GR$3,GP$60,$GI$4:$GR$4)))</f>
        <v>0</v>
      </c>
      <c r="GQ80" s="196" t="n">
        <f aca="false">IF((SUMIF($GI$3:$GR$3,GQ$60,$GI$4:$GR$4))=0,0,((SUMIF($GI$3:$GR$3,GQ$60,$GI129:$GR129))/SUMIF($GI$3:$GR$3,GQ$60,$GI$4:$GR$4)))</f>
        <v>0</v>
      </c>
      <c r="GR80" s="197" t="n">
        <f aca="false">IF((SUMIF($GI$3:$GR$3,GR$60,$GI$4:$GR$4))=0,0,((SUMIF($GI$3:$GR$3,GR$60,$GI129:$GR129))/SUMIF($GI$3:$GR$3,GR$60,$GI$4:$GR$4)))</f>
        <v>0</v>
      </c>
      <c r="GS80" s="194" t="str">
        <f aca="false">GH80</f>
        <v>Alumno19</v>
      </c>
      <c r="GT80" s="195" t="n">
        <f aca="false">IF((SUMIF($GT$3:$HC$3,GT$60,$GT$4:$HC$4))=0,0,((SUMIF($GT$3:$HC$3,GT$60,$GT129:$HC129))/SUMIF($GT$3:$HC$3,GT$60,$GT$4:$HC$4)))</f>
        <v>0</v>
      </c>
      <c r="GU80" s="196" t="n">
        <f aca="false">IF((SUMIF($GT$3:$HC$3,GU$60,$GT$4:$HC$4))=0,0,((SUMIF($GT$3:$HC$3,GU$60,$GT129:$HC129))/SUMIF($GT$3:$HC$3,GU$60,$GT$4:$HC$4)))</f>
        <v>0</v>
      </c>
      <c r="GV80" s="196" t="n">
        <f aca="false">IF((SUMIF($GT$3:$HC$3,GV$60,$GT$4:$HC$4))=0,0,((SUMIF($GT$3:$HC$3,GV$60,$GT129:$HC129))/SUMIF($GT$3:$HC$3,GV$60,$GT$4:$HC$4)))</f>
        <v>0</v>
      </c>
      <c r="GW80" s="196" t="n">
        <f aca="false">IF((SUMIF($GT$3:$HC$3,GW$60,$GT$4:$HC$4))=0,0,((SUMIF($GT$3:$HC$3,GW$60,$GT129:$HC129))/SUMIF($GT$3:$HC$3,GW$60,$GT$4:$HC$4)))</f>
        <v>0</v>
      </c>
      <c r="GX80" s="196" t="n">
        <f aca="false">IF((SUMIF($GT$3:$HC$3,GX$60,$GT$4:$HC$4))=0,0,((SUMIF($GT$3:$HC$3,GX$60,$GT129:$HC129))/SUMIF($GT$3:$HC$3,GX$60,$GT$4:$HC$4)))</f>
        <v>0</v>
      </c>
      <c r="GY80" s="196" t="n">
        <f aca="false">IF((SUMIF($GT$3:$HC$3,GY$60,$GT$4:$HC$4))=0,0,((SUMIF($GT$3:$HC$3,GY$60,$GT129:$HC129))/SUMIF($GT$3:$HC$3,GY$60,$GT$4:$HC$4)))</f>
        <v>0</v>
      </c>
      <c r="GZ80" s="196" t="n">
        <f aca="false">IF((SUMIF($GT$3:$HC$3,GZ$60,$GT$4:$HC$4))=0,0,((SUMIF($GT$3:$HC$3,GZ$60,$GT129:$HC129))/SUMIF($GT$3:$HC$3,GZ$60,$GT$4:$HC$4)))</f>
        <v>0</v>
      </c>
      <c r="HA80" s="196" t="n">
        <f aca="false">IF((SUMIF($GT$3:$HC$3,HA$60,$GT$4:$HC$4))=0,0,((SUMIF($GT$3:$HC$3,HA$60,$GT129:$HC129))/SUMIF($GT$3:$HC$3,HA$60,$GT$4:$HC$4)))</f>
        <v>0</v>
      </c>
      <c r="HB80" s="196" t="n">
        <f aca="false">IF((SUMIF($GT$3:$HC$3,HB$60,$GT$4:$HC$4))=0,0,((SUMIF($GT$3:$HC$3,HB$60,$GT129:$HC129))/SUMIF($GT$3:$HC$3,HB$60,$GT$4:$HC$4)))</f>
        <v>0</v>
      </c>
      <c r="HC80" s="197" t="n">
        <f aca="false">IF((SUMIF($GT$3:$HC$3,HC$60,$GT$4:$HC$4))=0,0,((SUMIF($GT$3:$HC$3,HC$60,$GT129:$HC129))/SUMIF($GT$3:$HC$3,HC$60,$GT$4:$HC$4)))</f>
        <v>0</v>
      </c>
      <c r="HD80" s="194" t="str">
        <f aca="false">GS80</f>
        <v>Alumno19</v>
      </c>
      <c r="HE80" s="195" t="n">
        <f aca="false">IF((SUMIF($HE$3:$HN$3,HE$60,$HE$4:$HN$4))=0,0,((SUMIF($HE$3:$HN$3,HE$60,$HE129:$HN129))/SUMIF($HE$3:$HN$3,HE$60,$HE$4:$HN$4)))</f>
        <v>0</v>
      </c>
      <c r="HF80" s="196" t="n">
        <f aca="false">IF((SUMIF($HE$3:$HN$3,HF$60,$HE$4:$HN$4))=0,0,((SUMIF($HE$3:$HN$3,HF$60,$HE129:$HN129))/SUMIF($HE$3:$HN$3,HF$60,$HE$4:$HN$4)))</f>
        <v>0</v>
      </c>
      <c r="HG80" s="196" t="n">
        <f aca="false">IF((SUMIF($HE$3:$HN$3,HG$60,$HE$4:$HN$4))=0,0,((SUMIF($HE$3:$HN$3,HG$60,$HE129:$HN129))/SUMIF($HE$3:$HN$3,HG$60,$HE$4:$HN$4)))</f>
        <v>0</v>
      </c>
      <c r="HH80" s="196" t="n">
        <f aca="false">IF((SUMIF($HE$3:$HN$3,HH$60,$HE$4:$HN$4))=0,0,((SUMIF($HE$3:$HN$3,HH$60,$HE129:$HN129))/SUMIF($HE$3:$HN$3,HH$60,$HE$4:$HN$4)))</f>
        <v>0</v>
      </c>
      <c r="HI80" s="196" t="n">
        <f aca="false">IF((SUMIF($HE$3:$HN$3,HI$60,$HE$4:$HN$4))=0,0,((SUMIF($HE$3:$HN$3,HI$60,$HE129:$HN129))/SUMIF($HE$3:$HN$3,HI$60,$HE$4:$HN$4)))</f>
        <v>0</v>
      </c>
      <c r="HJ80" s="196" t="n">
        <f aca="false">IF((SUMIF($HE$3:$HN$3,HJ$60,$HE$4:$HN$4))=0,0,((SUMIF($HE$3:$HN$3,HJ$60,$HE129:$HN129))/SUMIF($HE$3:$HN$3,HJ$60,$HE$4:$HN$4)))</f>
        <v>0</v>
      </c>
      <c r="HK80" s="196" t="n">
        <f aca="false">IF((SUMIF($HE$3:$HN$3,HK$60,$HE$4:$HN$4))=0,0,((SUMIF($HE$3:$HN$3,HK$60,$HE129:$HN129))/SUMIF($HE$3:$HN$3,HK$60,$HE$4:$HN$4)))</f>
        <v>0</v>
      </c>
      <c r="HL80" s="196" t="n">
        <f aca="false">IF((SUMIF($HE$3:$HN$3,HL$60,$HE$4:$HN$4))=0,0,((SUMIF($HE$3:$HN$3,HL$60,$HE129:$HN129))/SUMIF($HE$3:$HN$3,HL$60,$HE$4:$HN$4)))</f>
        <v>0</v>
      </c>
      <c r="HM80" s="196" t="n">
        <f aca="false">IF((SUMIF($HE$3:$HN$3,HM$60,$HE$4:$HN$4))=0,0,((SUMIF($HE$3:$HN$3,HM$60,$HE129:$HN129))/SUMIF($HE$3:$HN$3,HM$60,$HE$4:$HN$4)))</f>
        <v>0</v>
      </c>
      <c r="HN80" s="197" t="n">
        <f aca="false">IF((SUMIF($HE$3:$HN$3,HN$60,$HE$4:$HN$4))=0,0,((SUMIF($HE$3:$HN$3,HN$60,$HE129:$HN129))/SUMIF($HE$3:$HN$3,HN$60,$HE$4:$HN$4)))</f>
        <v>0</v>
      </c>
      <c r="HO80" s="194" t="str">
        <f aca="false">HD80</f>
        <v>Alumno19</v>
      </c>
      <c r="HP80" s="195" t="n">
        <f aca="false">IF((SUMIF($HP$3:$HY$3,HP$60,$HP$4:$HY$4))=0,0,((SUMIF($HP$3:$HY$3,HP$60,$HP129:$HY129))/SUMIF($HP$3:$HY$3,HP$60,$HP$4:$HY$4)))</f>
        <v>0</v>
      </c>
      <c r="HQ80" s="196" t="n">
        <f aca="false">IF((SUMIF($HP$3:$HY$3,HQ$60,$HP$4:$HY$4))=0,0,((SUMIF($HP$3:$HY$3,HQ$60,$HP129:$HY129))/SUMIF($HP$3:$HY$3,HQ$60,$HP$4:$HY$4)))</f>
        <v>0</v>
      </c>
      <c r="HR80" s="196" t="n">
        <f aca="false">IF((SUMIF($HP$3:$HY$3,HR$60,$HP$4:$HY$4))=0,0,((SUMIF($HP$3:$HY$3,HR$60,$HP129:$HY129))/SUMIF($HP$3:$HY$3,HR$60,$HP$4:$HY$4)))</f>
        <v>0</v>
      </c>
      <c r="HS80" s="196" t="n">
        <f aca="false">IF((SUMIF($HP$3:$HY$3,HS$60,$HP$4:$HY$4))=0,0,((SUMIF($HP$3:$HY$3,HS$60,$HP129:$HY129))/SUMIF($HP$3:$HY$3,HS$60,$HP$4:$HY$4)))</f>
        <v>0</v>
      </c>
      <c r="HT80" s="196" t="n">
        <f aca="false">IF((SUMIF($HP$3:$HY$3,HT$60,$HP$4:$HY$4))=0,0,((SUMIF($HP$3:$HY$3,HT$60,$HP129:$HY129))/SUMIF($HP$3:$HY$3,HT$60,$HP$4:$HY$4)))</f>
        <v>0</v>
      </c>
      <c r="HU80" s="196" t="n">
        <f aca="false">IF((SUMIF($HP$3:$HY$3,HU$60,$HP$4:$HY$4))=0,0,((SUMIF($HP$3:$HY$3,HU$60,$HP129:$HY129))/SUMIF($HP$3:$HY$3,HU$60,$HP$4:$HY$4)))</f>
        <v>0</v>
      </c>
      <c r="HV80" s="196" t="n">
        <f aca="false">IF((SUMIF($HP$3:$HY$3,HV$60,$HP$4:$HY$4))=0,0,((SUMIF($HP$3:$HY$3,HV$60,$HP129:$HY129))/SUMIF($HP$3:$HY$3,HV$60,$HP$4:$HY$4)))</f>
        <v>0</v>
      </c>
      <c r="HW80" s="196" t="n">
        <f aca="false">IF((SUMIF($HP$3:$HY$3,HW$60,$HP$4:$HY$4))=0,0,((SUMIF($HP$3:$HY$3,HW$60,$HP129:$HY129))/SUMIF($HP$3:$HY$3,HW$60,$HP$4:$HY$4)))</f>
        <v>0</v>
      </c>
      <c r="HX80" s="196" t="n">
        <f aca="false">IF((SUMIF($HP$3:$HY$3,HX$60,$HP$4:$HY$4))=0,0,((SUMIF($HP$3:$HY$3,HX$60,$HP129:$HY129))/SUMIF($HP$3:$HY$3,HX$60,$HP$4:$HY$4)))</f>
        <v>0</v>
      </c>
      <c r="HY80" s="197" t="n">
        <f aca="false">IF((SUMIF($HP$3:$HY$3,HY$60,$HP$4:$HY$4))=0,0,((SUMIF($HP$3:$HY$3,HY$60,$HP129:$HY129))/SUMIF($HP$3:$HY$3,HY$60,$HP$4:$HY$4)))</f>
        <v>0</v>
      </c>
      <c r="HZ80" s="194" t="str">
        <f aca="false">HO80</f>
        <v>Alumno19</v>
      </c>
      <c r="IA80" s="195" t="n">
        <f aca="false">IF((SUMIF($IA$3:$IJ$3,IA$60,$IA$4:$IJ$4))=0,0,((SUMIF($IA$3:$IJ$3,IA$60,$IA129:$IJ129))/SUMIF($IA$3:$IJ$3,IA$60,$IA$4:$IJ$4)))</f>
        <v>0</v>
      </c>
      <c r="IB80" s="196" t="n">
        <f aca="false">IF((SUMIF($IA$3:$IJ$3,IB$60,$IA$4:$IJ$4))=0,0,((SUMIF($IA$3:$IJ$3,IB$60,$IA129:$IJ129))/SUMIF($IA$3:$IJ$3,IB$60,$IA$4:$IJ$4)))</f>
        <v>0</v>
      </c>
      <c r="IC80" s="196" t="n">
        <f aca="false">IF((SUMIF($IA$3:$IJ$3,IC$60,$IA$4:$IJ$4))=0,0,((SUMIF($IA$3:$IJ$3,IC$60,$IA129:$IJ129))/SUMIF($IA$3:$IJ$3,IC$60,$IA$4:$IJ$4)))</f>
        <v>0</v>
      </c>
      <c r="ID80" s="196" t="n">
        <f aca="false">IF((SUMIF($IA$3:$IJ$3,ID$60,$IA$4:$IJ$4))=0,0,((SUMIF($IA$3:$IJ$3,ID$60,$IA129:$IJ129))/SUMIF($IA$3:$IJ$3,ID$60,$IA$4:$IJ$4)))</f>
        <v>0</v>
      </c>
      <c r="IE80" s="196" t="n">
        <f aca="false">IF((SUMIF($IA$3:$IJ$3,IE$60,$IA$4:$IJ$4))=0,0,((SUMIF($IA$3:$IJ$3,IE$60,$IA129:$IJ129))/SUMIF($IA$3:$IJ$3,IE$60,$IA$4:$IJ$4)))</f>
        <v>0</v>
      </c>
      <c r="IF80" s="196" t="n">
        <f aca="false">IF((SUMIF($IA$3:$IJ$3,IF$60,$IA$4:$IJ$4))=0,0,((SUMIF($IA$3:$IJ$3,IF$60,$IA129:$IJ129))/SUMIF($IA$3:$IJ$3,IF$60,$IA$4:$IJ$4)))</f>
        <v>0</v>
      </c>
      <c r="IG80" s="196" t="n">
        <f aca="false">IF((SUMIF($IA$3:$IJ$3,IG$60,$IA$4:$IJ$4))=0,0,((SUMIF($IA$3:$IJ$3,IG$60,$IA129:$IJ129))/SUMIF($IA$3:$IJ$3,IG$60,$IA$4:$IJ$4)))</f>
        <v>0</v>
      </c>
      <c r="IH80" s="196" t="n">
        <f aca="false">IF((SUMIF($IA$3:$IJ$3,IH$60,$IA$4:$IJ$4))=0,0,((SUMIF($IA$3:$IJ$3,IH$60,$IA129:$IJ129))/SUMIF($IA$3:$IJ$3,IH$60,$IA$4:$IJ$4)))</f>
        <v>0</v>
      </c>
      <c r="II80" s="196" t="n">
        <f aca="false">IF((SUMIF($IA$3:$IJ$3,II$60,$IA$4:$IJ$4))=0,0,((SUMIF($IA$3:$IJ$3,II$60,$IA129:$IJ129))/SUMIF($IA$3:$IJ$3,II$60,$IA$4:$IJ$4)))</f>
        <v>0</v>
      </c>
      <c r="IJ80" s="197" t="n">
        <f aca="false">IF((SUMIF($IA$3:$IJ$3,IJ$60,$IA$4:$IJ$4))=0,0,((SUMIF($IA$3:$IJ$3,IJ$60,$IA129:$IJ129))/SUMIF($IA$3:$IJ$3,IJ$60,$IA$4:$IJ$4)))</f>
        <v>0</v>
      </c>
      <c r="IK80" s="194" t="str">
        <f aca="false">HZ80</f>
        <v>Alumno19</v>
      </c>
      <c r="IL80" s="195" t="n">
        <f aca="false">IF((SUMIF($IL$3:$IU$3,IL$60,$IL$4:$IU$4))=0,0,((SUMIF($IL$3:$IU$3,IL$60,$IL129:$IU129))/SUMIF($IL$3:$IU$3,IL$60,$IL$4:$IU$4)))</f>
        <v>0</v>
      </c>
      <c r="IM80" s="196" t="n">
        <f aca="false">IF((SUMIF($IL$3:$IU$3,IM$60,$IL$4:$IU$4))=0,0,((SUMIF($IL$3:$IU$3,IM$60,$IL129:$IU129))/SUMIF($IL$3:$IU$3,IM$60,$IL$4:$IU$4)))</f>
        <v>0</v>
      </c>
      <c r="IN80" s="196" t="n">
        <f aca="false">IF((SUMIF($IL$3:$IU$3,IN$60,$IL$4:$IU$4))=0,0,((SUMIF($IL$3:$IU$3,IN$60,$IL129:$IU129))/SUMIF($IL$3:$IU$3,IN$60,$IL$4:$IU$4)))</f>
        <v>0</v>
      </c>
      <c r="IO80" s="196" t="n">
        <f aca="false">IF((SUMIF($IL$3:$IU$3,IO$60,$IL$4:$IU$4))=0,0,((SUMIF($IL$3:$IU$3,IO$60,$IL129:$IU129))/SUMIF($IL$3:$IU$3,IO$60,$IL$4:$IU$4)))</f>
        <v>0</v>
      </c>
      <c r="IP80" s="196" t="n">
        <f aca="false">IF((SUMIF($IL$3:$IU$3,IP$60,$IL$4:$IU$4))=0,0,((SUMIF($IL$3:$IU$3,IP$60,$IL129:$IU129))/SUMIF($IL$3:$IU$3,IP$60,$IL$4:$IU$4)))</f>
        <v>0</v>
      </c>
      <c r="IQ80" s="196" t="n">
        <f aca="false">IF((SUMIF($IL$3:$IU$3,IQ$60,$IL$4:$IU$4))=0,0,((SUMIF($IL$3:$IU$3,IQ$60,$IL129:$IU129))/SUMIF($IL$3:$IU$3,IQ$60,$IL$4:$IU$4)))</f>
        <v>0</v>
      </c>
      <c r="IR80" s="196" t="n">
        <f aca="false">IF((SUMIF($IL$3:$IU$3,IR$60,$IL$4:$IU$4))=0,0,((SUMIF($IL$3:$IU$3,IR$60,$IL129:$IU129))/SUMIF($IL$3:$IU$3,IR$60,$IL$4:$IU$4)))</f>
        <v>0</v>
      </c>
      <c r="IS80" s="196" t="n">
        <f aca="false">IF((SUMIF($IL$3:$IU$3,IS$60,$IL$4:$IU$4))=0,0,((SUMIF($IL$3:$IU$3,IS$60,$IL129:$IU129))/SUMIF($IL$3:$IU$3,IS$60,$IL$4:$IU$4)))</f>
        <v>0</v>
      </c>
      <c r="IT80" s="196" t="n">
        <f aca="false">IF((SUMIF($IL$3:$IU$3,IT$60,$IL$4:$IU$4))=0,0,((SUMIF($IL$3:$IU$3,IT$60,$IL129:$IU129))/SUMIF($IL$3:$IU$3,IT$60,$IL$4:$IU$4)))</f>
        <v>0</v>
      </c>
      <c r="IU80" s="197" t="n">
        <f aca="false">IF((SUMIF($IL$3:$IU$3,IU$60,$IL$4:$IU$4))=0,0,((SUMIF($IL$3:$IU$3,IU$60,$IL129:$IU129))/SUMIF($IL$3:$IU$3,IU$60,$IL$4:$IU$4)))</f>
        <v>0</v>
      </c>
      <c r="IV80" s="194" t="str">
        <f aca="false">IK80</f>
        <v>Alumno19</v>
      </c>
      <c r="IW80" s="195" t="n">
        <f aca="false">IF((SUMIF($IW$3:$JF$3,IW$60,$IW$4:$JF$4))=0,0,((SUMIF($IW$3:$JF$3,IW$60,$IW129:$JF129))/SUMIF($IW$3:$JF$3,IW$60,$IW$4:$JF$4)))</f>
        <v>0</v>
      </c>
      <c r="IX80" s="196" t="n">
        <f aca="false">IF((SUMIF($IW$3:$JF$3,IX$60,$IW$4:$JF$4))=0,0,((SUMIF($IW$3:$JF$3,IX$60,$IW129:$JF129))/SUMIF($IW$3:$JF$3,IX$60,$IW$4:$JF$4)))</f>
        <v>0</v>
      </c>
      <c r="IY80" s="196" t="n">
        <f aca="false">IF((SUMIF($IW$3:$JF$3,IY$60,$IW$4:$JF$4))=0,0,((SUMIF($IW$3:$JF$3,IY$60,$IW129:$JF129))/SUMIF($IW$3:$JF$3,IY$60,$IW$4:$JF$4)))</f>
        <v>0</v>
      </c>
      <c r="IZ80" s="196" t="n">
        <f aca="false">IF((SUMIF($IW$3:$JF$3,IZ$60,$IW$4:$JF$4))=0,0,((SUMIF($IW$3:$JF$3,IZ$60,$IW129:$JF129))/SUMIF($IW$3:$JF$3,IZ$60,$IW$4:$JF$4)))</f>
        <v>0</v>
      </c>
      <c r="JA80" s="196" t="n">
        <f aca="false">IF((SUMIF($IW$3:$JF$3,JA$60,$IW$4:$JF$4))=0,0,((SUMIF($IW$3:$JF$3,JA$60,$IW129:$JF129))/SUMIF($IW$3:$JF$3,JA$60,$IW$4:$JF$4)))</f>
        <v>0</v>
      </c>
      <c r="JB80" s="196" t="n">
        <f aca="false">IF((SUMIF($IW$3:$JF$3,JB$60,$IW$4:$JF$4))=0,0,((SUMIF($IW$3:$JF$3,JB$60,$IW129:$JF129))/SUMIF($IW$3:$JF$3,JB$60,$IW$4:$JF$4)))</f>
        <v>0</v>
      </c>
      <c r="JC80" s="196" t="n">
        <f aca="false">IF((SUMIF($IW$3:$JF$3,JC$60,$IW$4:$JF$4))=0,0,((SUMIF($IW$3:$JF$3,JC$60,$IW129:$JF129))/SUMIF($IW$3:$JF$3,JC$60,$IW$4:$JF$4)))</f>
        <v>0</v>
      </c>
      <c r="JD80" s="196" t="n">
        <f aca="false">IF((SUMIF($IW$3:$JF$3,JD$60,$IW$4:$JF$4))=0,0,((SUMIF($IW$3:$JF$3,JD$60,$IW129:$JF129))/SUMIF($IW$3:$JF$3,JD$60,$IW$4:$JF$4)))</f>
        <v>0</v>
      </c>
      <c r="JE80" s="196" t="n">
        <f aca="false">IF((SUMIF($IW$3:$JF$3,JE$60,$IW$4:$JF$4))=0,0,((SUMIF($IW$3:$JF$3,JE$60,$IW129:$JF129))/SUMIF($IW$3:$JF$3,JE$60,$IW$4:$JF$4)))</f>
        <v>0</v>
      </c>
      <c r="JF80" s="197" t="n">
        <f aca="false">IF((SUMIF($IW$3:$JF$3,JF$60,$IW$4:$JF$4))=0,0,((SUMIF($IW$3:$JF$3,JF$60,$IW129:$JF129))/SUMIF($IW$3:$JF$3,JF$60,$IW$4:$JF$4)))</f>
        <v>0</v>
      </c>
      <c r="JG80" s="194" t="str">
        <f aca="false">IV80</f>
        <v>Alumno19</v>
      </c>
      <c r="JH80" s="195" t="n">
        <f aca="false">IF((SUMIF($JH$3:$JQ$3,JH$60,$JH$4:$JQ$4))=0,0,((SUMIF($JH$3:$JQ$3,JH$60,$JH129:$JQ129))/SUMIF($JH$3:$JQ$3,JH$60,$JH$4:$JQ$4)))</f>
        <v>0</v>
      </c>
      <c r="JI80" s="196" t="n">
        <f aca="false">IF((SUMIF($JH$3:$JQ$3,JI$60,$JH$4:$JQ$4))=0,0,((SUMIF($JH$3:$JQ$3,JI$60,$JH129:$JQ129))/SUMIF($JH$3:$JQ$3,JI$60,$JH$4:$JQ$4)))</f>
        <v>0</v>
      </c>
      <c r="JJ80" s="196" t="n">
        <f aca="false">IF((SUMIF($JH$3:$JQ$3,JJ$60,$JH$4:$JQ$4))=0,0,((SUMIF($JH$3:$JQ$3,JJ$60,$JH129:$JQ129))/SUMIF($JH$3:$JQ$3,JJ$60,$JH$4:$JQ$4)))</f>
        <v>0</v>
      </c>
      <c r="JK80" s="196" t="n">
        <f aca="false">IF((SUMIF($JH$3:$JQ$3,JK$60,$JH$4:$JQ$4))=0,0,((SUMIF($JH$3:$JQ$3,JK$60,$JH129:$JQ129))/SUMIF($JH$3:$JQ$3,JK$60,$JH$4:$JQ$4)))</f>
        <v>0</v>
      </c>
      <c r="JL80" s="196" t="n">
        <f aca="false">IF((SUMIF($JH$3:$JQ$3,JL$60,$JH$4:$JQ$4))=0,0,((SUMIF($JH$3:$JQ$3,JL$60,$JH129:$JQ129))/SUMIF($JH$3:$JQ$3,JL$60,$JH$4:$JQ$4)))</f>
        <v>0</v>
      </c>
      <c r="JM80" s="196" t="n">
        <f aca="false">IF((SUMIF($JH$3:$JQ$3,JM$60,$JH$4:$JQ$4))=0,0,((SUMIF($JH$3:$JQ$3,JM$60,$JH129:$JQ129))/SUMIF($JH$3:$JQ$3,JM$60,$JH$4:$JQ$4)))</f>
        <v>0</v>
      </c>
      <c r="JN80" s="196" t="n">
        <f aca="false">IF((SUMIF($JH$3:$JQ$3,JN$60,$JH$4:$JQ$4))=0,0,((SUMIF($JH$3:$JQ$3,JN$60,$JH129:$JQ129))/SUMIF($JH$3:$JQ$3,JN$60,$JH$4:$JQ$4)))</f>
        <v>0</v>
      </c>
      <c r="JO80" s="196" t="n">
        <f aca="false">IF((SUMIF($JH$3:$JQ$3,JO$60,$JH$4:$JQ$4))=0,0,((SUMIF($JH$3:$JQ$3,JO$60,$JH129:$JQ129))/SUMIF($JH$3:$JQ$3,JO$60,$JH$4:$JQ$4)))</f>
        <v>0</v>
      </c>
      <c r="JP80" s="196" t="n">
        <f aca="false">IF((SUMIF($JH$3:$JQ$3,JP$60,$JH$4:$JQ$4))=0,0,((SUMIF($JH$3:$JQ$3,JP$60,$JH129:$JQ129))/SUMIF($JH$3:$JQ$3,JP$60,$JH$4:$JQ$4)))</f>
        <v>0</v>
      </c>
      <c r="JQ80" s="197" t="n">
        <f aca="false">IF((SUMIF($JH$3:$JQ$3,JQ$60,$JH$4:$JQ$4))=0,0,((SUMIF($JH$3:$JQ$3,JQ$60,$JH129:$JQ129))/SUMIF($JH$3:$JQ$3,JQ$60,$JH$4:$JQ$4)))</f>
        <v>0</v>
      </c>
      <c r="JR80" s="194" t="str">
        <f aca="false">JG80</f>
        <v>Alumno19</v>
      </c>
      <c r="JS80" s="195" t="n">
        <f aca="false">IF((SUMIF($JS$3:$KB$3,JS$60,$JS$4:$KB$4))=0,0,((SUMIF($JS$3:$KB$3,JS$60,$JS129:$KB129))/SUMIF($JS$3:$KB$3,JS$60,$JS$4:$KB$4)))</f>
        <v>0</v>
      </c>
      <c r="JT80" s="196" t="n">
        <f aca="false">IF((SUMIF($JS$3:$KB$3,JT$60,$JS$4:$KB$4))=0,0,((SUMIF($JS$3:$KB$3,JT$60,$JS129:$KB129))/SUMIF($JS$3:$KB$3,JT$60,$JS$4:$KB$4)))</f>
        <v>0</v>
      </c>
      <c r="JU80" s="196" t="n">
        <f aca="false">IF((SUMIF($JS$3:$KB$3,JU$60,$JS$4:$KB$4))=0,0,((SUMIF($JS$3:$KB$3,JU$60,$JS129:$KB129))/SUMIF($JS$3:$KB$3,JU$60,$JS$4:$KB$4)))</f>
        <v>0</v>
      </c>
      <c r="JV80" s="196" t="n">
        <f aca="false">IF((SUMIF($JS$3:$KB$3,JV$60,$JS$4:$KB$4))=0,0,((SUMIF($JS$3:$KB$3,JV$60,$JS129:$KB129))/SUMIF($JS$3:$KB$3,JV$60,$JS$4:$KB$4)))</f>
        <v>0</v>
      </c>
      <c r="JW80" s="196" t="n">
        <f aca="false">IF((SUMIF($JS$3:$KB$3,JW$60,$JS$4:$KB$4))=0,0,((SUMIF($JS$3:$KB$3,JW$60,$JS129:$KB129))/SUMIF($JS$3:$KB$3,JW$60,$JS$4:$KB$4)))</f>
        <v>0</v>
      </c>
      <c r="JX80" s="196" t="n">
        <f aca="false">IF((SUMIF($JS$3:$KB$3,JX$60,$JS$4:$KB$4))=0,0,((SUMIF($JS$3:$KB$3,JX$60,$JS129:$KB129))/SUMIF($JS$3:$KB$3,JX$60,$JS$4:$KB$4)))</f>
        <v>0</v>
      </c>
      <c r="JY80" s="196" t="n">
        <f aca="false">IF((SUMIF($JS$3:$KB$3,JY$60,$JS$4:$KB$4))=0,0,((SUMIF($JS$3:$KB$3,JY$60,$JS129:$KB129))/SUMIF($JS$3:$KB$3,JY$60,$JS$4:$KB$4)))</f>
        <v>0</v>
      </c>
      <c r="JZ80" s="196" t="n">
        <f aca="false">IF((SUMIF($JS$3:$KB$3,JZ$60,$JS$4:$KB$4))=0,0,((SUMIF($JS$3:$KB$3,JZ$60,$JS129:$KB129))/SUMIF($JS$3:$KB$3,JZ$60,$JS$4:$KB$4)))</f>
        <v>0</v>
      </c>
      <c r="KA80" s="196" t="n">
        <f aca="false">IF((SUMIF($JS$3:$KB$3,KA$60,$JS$4:$KB$4))=0,0,((SUMIF($JS$3:$KB$3,KA$60,$JS129:$KB129))/SUMIF($JS$3:$KB$3,KA$60,$JS$4:$KB$4)))</f>
        <v>0</v>
      </c>
      <c r="KB80" s="197" t="n">
        <f aca="false">IF((SUMIF($JS$3:$KB$3,KB$60,$JS$4:$KB$4))=0,0,((SUMIF($JS$3:$KB$3,KB$60,$JS129:$KB129))/SUMIF($JS$3:$KB$3,KB$60,$JS$4:$KB$4)))</f>
        <v>0</v>
      </c>
      <c r="KC80" s="194" t="str">
        <f aca="false">JR80</f>
        <v>Alumno19</v>
      </c>
      <c r="KD80" s="195" t="n">
        <f aca="false">IF((SUMIF($KD$3:$KM$3,KD$60,$KD$4:$KM$4))=0,0,((SUMIF($KD$3:$KM$3,KD$60,$KD129:$KM129))/SUMIF($KD$3:$KM$3,KD$60,$KD$4:$KM$4)))</f>
        <v>0</v>
      </c>
      <c r="KE80" s="196" t="n">
        <f aca="false">IF((SUMIF($KD$3:$KM$3,KE$60,$KD$4:$KM$4))=0,0,((SUMIF($KD$3:$KM$3,KE$60,$KD129:$KM129))/SUMIF($KD$3:$KM$3,KE$60,$KD$4:$KM$4)))</f>
        <v>0</v>
      </c>
      <c r="KF80" s="196" t="n">
        <f aca="false">IF((SUMIF($KD$3:$KM$3,KF$60,$KD$4:$KM$4))=0,0,((SUMIF($KD$3:$KM$3,KF$60,$KD129:$KM129))/SUMIF($KD$3:$KM$3,KF$60,$KD$4:$KM$4)))</f>
        <v>0</v>
      </c>
      <c r="KG80" s="196" t="n">
        <f aca="false">IF((SUMIF($KD$3:$KM$3,KG$60,$KD$4:$KM$4))=0,0,((SUMIF($KD$3:$KM$3,KG$60,$KD129:$KM129))/SUMIF($KD$3:$KM$3,KG$60,$KD$4:$KM$4)))</f>
        <v>0</v>
      </c>
      <c r="KH80" s="196" t="n">
        <f aca="false">IF((SUMIF($KD$3:$KM$3,KH$60,$KD$4:$KM$4))=0,0,((SUMIF($KD$3:$KM$3,KH$60,$KD129:$KM129))/SUMIF($KD$3:$KM$3,KH$60,$KD$4:$KM$4)))</f>
        <v>0</v>
      </c>
      <c r="KI80" s="196" t="n">
        <f aca="false">IF((SUMIF($KD$3:$KM$3,KI$60,$KD$4:$KM$4))=0,0,((SUMIF($KD$3:$KM$3,KI$60,$KD129:$KM129))/SUMIF($KD$3:$KM$3,KI$60,$KD$4:$KM$4)))</f>
        <v>0</v>
      </c>
      <c r="KJ80" s="196" t="n">
        <f aca="false">IF((SUMIF($KD$3:$KM$3,KJ$60,$KD$4:$KM$4))=0,0,((SUMIF($KD$3:$KM$3,KJ$60,$KD129:$KM129))/SUMIF($KD$3:$KM$3,KJ$60,$KD$4:$KM$4)))</f>
        <v>0</v>
      </c>
      <c r="KK80" s="196" t="n">
        <f aca="false">IF((SUMIF($KD$3:$KM$3,KK$60,$KD$4:$KM$4))=0,0,((SUMIF($KD$3:$KM$3,KK$60,$KD129:$KM129))/SUMIF($KD$3:$KM$3,KK$60,$KD$4:$KM$4)))</f>
        <v>0</v>
      </c>
      <c r="KL80" s="196" t="n">
        <f aca="false">IF((SUMIF($KD$3:$KM$3,KL$60,$KD$4:$KM$4))=0,0,((SUMIF($KD$3:$KM$3,KL$60,$KD129:$KM129))/SUMIF($KD$3:$KM$3,KL$60,$KD$4:$KM$4)))</f>
        <v>0</v>
      </c>
      <c r="KM80" s="197" t="n">
        <f aca="false">IF((SUMIF($KD$3:$KM$3,KM$60,$KD$4:$KM$4))=0,0,((SUMIF($KD$3:$KM$3,KM$60,$KD129:$KM129))/SUMIF($KD$3:$KM$3,KM$60,$KD$4:$KM$4)))</f>
        <v>0</v>
      </c>
      <c r="KN80" s="194" t="str">
        <f aca="false">KC80</f>
        <v>Alumno19</v>
      </c>
      <c r="KO80" s="195" t="n">
        <f aca="false">IF((SUMIF($KO$3:$KX$3,KO$60,$KO$4:$KX$4))=0,0,((SUMIF($KO$3:$KX$3,KO$60,$KO129:$KX129))/SUMIF($KO$3:$KX$3,KO$60,$KO$4:$KX$4)))</f>
        <v>0</v>
      </c>
      <c r="KP80" s="196" t="n">
        <f aca="false">IF((SUMIF($KO$3:$KX$3,KP$60,$KO$4:$KX$4))=0,0,((SUMIF($KO$3:$KX$3,KP$60,$KO129:$KX129))/SUMIF($KO$3:$KX$3,KP$60,$KO$4:$KX$4)))</f>
        <v>0</v>
      </c>
      <c r="KQ80" s="196" t="n">
        <f aca="false">IF((SUMIF($KO$3:$KX$3,KQ$60,$KO$4:$KX$4))=0,0,((SUMIF($KO$3:$KX$3,KQ$60,$KO129:$KX129))/SUMIF($KO$3:$KX$3,KQ$60,$KO$4:$KX$4)))</f>
        <v>0</v>
      </c>
      <c r="KR80" s="196" t="n">
        <f aca="false">IF((SUMIF($KO$3:$KX$3,KR$60,$KO$4:$KX$4))=0,0,((SUMIF($KO$3:$KX$3,KR$60,$KO129:$KX129))/SUMIF($KO$3:$KX$3,KR$60,$KO$4:$KX$4)))</f>
        <v>0</v>
      </c>
      <c r="KS80" s="196" t="n">
        <f aca="false">IF((SUMIF($KO$3:$KX$3,KS$60,$KO$4:$KX$4))=0,0,((SUMIF($KO$3:$KX$3,KS$60,$KO129:$KX129))/SUMIF($KO$3:$KX$3,KS$60,$KO$4:$KX$4)))</f>
        <v>0</v>
      </c>
      <c r="KT80" s="196" t="n">
        <f aca="false">IF((SUMIF($KO$3:$KX$3,KT$60,$KO$4:$KX$4))=0,0,((SUMIF($KO$3:$KX$3,KT$60,$KO129:$KX129))/SUMIF($KO$3:$KX$3,KT$60,$KO$4:$KX$4)))</f>
        <v>0</v>
      </c>
      <c r="KU80" s="196" t="n">
        <f aca="false">IF((SUMIF($KO$3:$KX$3,KU$60,$KO$4:$KX$4))=0,0,((SUMIF($KO$3:$KX$3,KU$60,$KO129:$KX129))/SUMIF($KO$3:$KX$3,KU$60,$KO$4:$KX$4)))</f>
        <v>0</v>
      </c>
      <c r="KV80" s="196" t="n">
        <f aca="false">IF((SUMIF($KO$3:$KX$3,KV$60,$KO$4:$KX$4))=0,0,((SUMIF($KO$3:$KX$3,KV$60,$KO129:$KX129))/SUMIF($KO$3:$KX$3,KV$60,$KO$4:$KX$4)))</f>
        <v>0</v>
      </c>
      <c r="KW80" s="196" t="n">
        <f aca="false">IF((SUMIF($KO$3:$KX$3,KW$60,$KO$4:$KX$4))=0,0,((SUMIF($KO$3:$KX$3,KW$60,$KO129:$KX129))/SUMIF($KO$3:$KX$3,KW$60,$KO$4:$KX$4)))</f>
        <v>0</v>
      </c>
      <c r="KX80" s="197" t="n">
        <f aca="false">IF((SUMIF($KO$3:$KX$3,KX$60,$KO$4:$KX$4))=0,0,((SUMIF($KO$3:$KX$3,KX$60,$KO129:$KX129))/SUMIF($KO$3:$KX$3,KX$60,$KO$4:$KX$4)))</f>
        <v>0</v>
      </c>
      <c r="KY80" s="194" t="str">
        <f aca="false">KN80</f>
        <v>Alumno19</v>
      </c>
      <c r="KZ80" s="195" t="n">
        <f aca="false">IF((SUMIF($KZ$3:$LI$3,KZ$60,$KZ$4:$LI$4))=0,0,((SUMIF($KZ$3:$LI$3,KZ$60,$KZ129:$LI129))/SUMIF($KZ$3:$LI$3,KZ$60,$KZ$4:$LI$4)))</f>
        <v>0</v>
      </c>
      <c r="LA80" s="196" t="n">
        <f aca="false">IF((SUMIF($KZ$3:$LI$3,LA$60,$KZ$4:$LI$4))=0,0,((SUMIF($KZ$3:$LI$3,LA$60,$KZ129:$LI129))/SUMIF($KZ$3:$LI$3,LA$60,$KZ$4:$LI$4)))</f>
        <v>0</v>
      </c>
      <c r="LB80" s="196" t="n">
        <f aca="false">IF((SUMIF($KZ$3:$LI$3,LB$60,$KZ$4:$LI$4))=0,0,((SUMIF($KZ$3:$LI$3,LB$60,$KZ129:$LI129))/SUMIF($KZ$3:$LI$3,LB$60,$KZ$4:$LI$4)))</f>
        <v>0</v>
      </c>
      <c r="LC80" s="196" t="n">
        <f aca="false">IF((SUMIF($KZ$3:$LI$3,LC$60,$KZ$4:$LI$4))=0,0,((SUMIF($KZ$3:$LI$3,LC$60,$KZ129:$LI129))/SUMIF($KZ$3:$LI$3,LC$60,$KZ$4:$LI$4)))</f>
        <v>0</v>
      </c>
      <c r="LD80" s="196" t="n">
        <f aca="false">IF((SUMIF($KZ$3:$LI$3,LD$60,$KZ$4:$LI$4))=0,0,((SUMIF($KZ$3:$LI$3,LD$60,$KZ129:$LI129))/SUMIF($KZ$3:$LI$3,LD$60,$KZ$4:$LI$4)))</f>
        <v>0</v>
      </c>
      <c r="LE80" s="196" t="n">
        <f aca="false">IF((SUMIF($KZ$3:$LI$3,LE$60,$KZ$4:$LI$4))=0,0,((SUMIF($KZ$3:$LI$3,LE$60,$KZ129:$LI129))/SUMIF($KZ$3:$LI$3,LE$60,$KZ$4:$LI$4)))</f>
        <v>0</v>
      </c>
      <c r="LF80" s="196" t="n">
        <f aca="false">IF((SUMIF($KZ$3:$LI$3,LF$60,$KZ$4:$LI$4))=0,0,((SUMIF($KZ$3:$LI$3,LF$60,$KZ129:$LI129))/SUMIF($KZ$3:$LI$3,LF$60,$KZ$4:$LI$4)))</f>
        <v>0</v>
      </c>
      <c r="LG80" s="196" t="n">
        <f aca="false">IF((SUMIF($KZ$3:$LI$3,LG$60,$KZ$4:$LI$4))=0,0,((SUMIF($KZ$3:$LI$3,LG$60,$KZ129:$LI129))/SUMIF($KZ$3:$LI$3,LG$60,$KZ$4:$LI$4)))</f>
        <v>0</v>
      </c>
      <c r="LH80" s="196" t="n">
        <f aca="false">IF((SUMIF($KZ$3:$LI$3,LH$60,$KZ$4:$LI$4))=0,0,((SUMIF($KZ$3:$LI$3,LH$60,$KZ129:$LI129))/SUMIF($KZ$3:$LI$3,LH$60,$KZ$4:$LI$4)))</f>
        <v>0</v>
      </c>
      <c r="LI80" s="197" t="n">
        <f aca="false">IF((SUMIF($KZ$3:$LI$3,LI$60,$KZ$4:$LI$4))=0,0,((SUMIF($KZ$3:$LI$3,LI$60,$KZ129:$LI129))/SUMIF($KZ$3:$LI$3,LI$60,$KZ$4:$LI$4)))</f>
        <v>0</v>
      </c>
      <c r="LJ80" s="194" t="str">
        <f aca="false">KY80</f>
        <v>Alumno19</v>
      </c>
      <c r="LK80" s="195" t="n">
        <f aca="false">IF((SUMIF($LK$3:$LT$3,LK$60,$LK$4:$LT$4))=0,0,((SUMIF($LK$3:$LT$3,LK$60,$LK129:$LT129))/SUMIF($LK$3:$LT$3,LK$60,$LK$4:$LT$4)))</f>
        <v>0</v>
      </c>
      <c r="LL80" s="196" t="n">
        <f aca="false">IF((SUMIF($LK$3:$LT$3,LL$60,$LK$4:$LT$4))=0,0,((SUMIF($LK$3:$LT$3,LL$60,$LK129:$LT129))/SUMIF($LK$3:$LT$3,LL$60,$LK$4:$LT$4)))</f>
        <v>0</v>
      </c>
      <c r="LM80" s="196" t="n">
        <f aca="false">IF((SUMIF($LK$3:$LT$3,LM$60,$LK$4:$LT$4))=0,0,((SUMIF($LK$3:$LT$3,LM$60,$LK129:$LT129))/SUMIF($LK$3:$LT$3,LM$60,$LK$4:$LT$4)))</f>
        <v>0</v>
      </c>
      <c r="LN80" s="196" t="n">
        <f aca="false">IF((SUMIF($LK$3:$LT$3,LN$60,$LK$4:$LT$4))=0,0,((SUMIF($LK$3:$LT$3,LN$60,$LK129:$LT129))/SUMIF($LK$3:$LT$3,LN$60,$LK$4:$LT$4)))</f>
        <v>0</v>
      </c>
      <c r="LO80" s="196" t="n">
        <f aca="false">IF((SUMIF($LK$3:$LT$3,LO$60,$LK$4:$LT$4))=0,0,((SUMIF($LK$3:$LT$3,LO$60,$LK129:$LT129))/SUMIF($LK$3:$LT$3,LO$60,$LK$4:$LT$4)))</f>
        <v>0</v>
      </c>
      <c r="LP80" s="196" t="n">
        <f aca="false">IF((SUMIF($LK$3:$LT$3,LP$60,$LK$4:$LT$4))=0,0,((SUMIF($LK$3:$LT$3,LP$60,$LK129:$LT129))/SUMIF($LK$3:$LT$3,LP$60,$LK$4:$LT$4)))</f>
        <v>0</v>
      </c>
      <c r="LQ80" s="196" t="n">
        <f aca="false">IF((SUMIF($LK$3:$LT$3,LQ$60,$LK$4:$LT$4))=0,0,((SUMIF($LK$3:$LT$3,LQ$60,$LK129:$LT129))/SUMIF($LK$3:$LT$3,LQ$60,$LK$4:$LT$4)))</f>
        <v>0</v>
      </c>
      <c r="LR80" s="196" t="n">
        <f aca="false">IF((SUMIF($LK$3:$LT$3,LR$60,$LK$4:$LT$4))=0,0,((SUMIF($LK$3:$LT$3,LR$60,$LK129:$LT129))/SUMIF($LK$3:$LT$3,LR$60,$LK$4:$LT$4)))</f>
        <v>0</v>
      </c>
      <c r="LS80" s="196" t="n">
        <f aca="false">IF((SUMIF($LK$3:$LT$3,LS$60,$LK$4:$LT$4))=0,0,((SUMIF($LK$3:$LT$3,LS$60,$LK129:$LT129))/SUMIF($LK$3:$LT$3,LS$60,$LK$4:$LT$4)))</f>
        <v>0</v>
      </c>
      <c r="LT80" s="197" t="n">
        <f aca="false">IF((SUMIF($LK$3:$LT$3,LT$60,$LK$4:$LT$4))=0,0,((SUMIF($LK$3:$LT$3,LT$60,$LK129:$LT129))/SUMIF($LK$3:$LT$3,LT$60,$LK$4:$LT$4)))</f>
        <v>0</v>
      </c>
    </row>
    <row r="81" customFormat="false" ht="15" hidden="true" customHeight="false" outlineLevel="0" collapsed="false">
      <c r="C81" s="194" t="str">
        <f aca="false">B25</f>
        <v>Alumno20</v>
      </c>
      <c r="D81" s="195" t="n">
        <f aca="false">IF((SUMIF($D$3:$M$3,D$60,$D$4:$M$4))=0,0,((SUMIF($D$3:$M$3,D$60,$D130:$M130))/SUMIF($D$3:$M$3,D$60,$D$4:$M$4)))</f>
        <v>5</v>
      </c>
      <c r="E81" s="196" t="n">
        <f aca="false">IF((SUMIF($D$3:$M$3,E$60,$D$4:$M$4))=0,0,((SUMIF($D$3:$M$3,E$60,$D130:$M130))/SUMIF($D$3:$M$3,E$60,$D$4:$M$4)))</f>
        <v>0</v>
      </c>
      <c r="F81" s="196" t="n">
        <f aca="false">IF((SUMIF($D$3:$M$3,F$60,$D$4:$M$4))=0,0,((SUMIF($D$3:$M$3,F$60,$D130:$M130))/SUMIF($D$3:$M$3,F$60,$D$4:$M$4)))</f>
        <v>0</v>
      </c>
      <c r="G81" s="196" t="n">
        <f aca="false">IF((SUMIF($D$3:$M$3,G$60,$D$4:$M$4))=0,0,((SUMIF($D$3:$M$3,G$60,$D130:$M130))/SUMIF($D$3:$M$3,G$60,$D$4:$M$4)))</f>
        <v>0</v>
      </c>
      <c r="H81" s="196" t="n">
        <f aca="false">IF((SUMIF($D$3:$M$3,H$60,$D$4:$M$4))=0,0,((SUMIF($D$3:$M$3,H$60,$D130:$M130))/SUMIF($D$3:$M$3,H$60,$D$4:$M$4)))</f>
        <v>0</v>
      </c>
      <c r="I81" s="196" t="n">
        <f aca="false">IF((SUMIF($D$3:$M$3,I$60,$D$4:$M$4))=0,0,((SUMIF($D$3:$M$3,I$60,$D130:$M130))/SUMIF($D$3:$M$3,I$60,$D$4:$M$4)))</f>
        <v>0</v>
      </c>
      <c r="J81" s="196" t="n">
        <f aca="false">IF((SUMIF($D$3:$M$3,J$60,$D$4:$M$4))=0,0,((SUMIF($D$3:$M$3,J$60,$D130:$M130))/SUMIF($D$3:$M$3,J$60,$D$4:$M$4)))</f>
        <v>0</v>
      </c>
      <c r="K81" s="196" t="n">
        <f aca="false">IF((SUMIF($D$3:$M$3,K$60,$D$4:$M$4))=0,0,((SUMIF($D$3:$M$3,K$60,$D130:$M130))/SUMIF($D$3:$M$3,K$60,$D$4:$M$4)))</f>
        <v>0</v>
      </c>
      <c r="L81" s="196" t="n">
        <f aca="false">IF((SUMIF($D$3:$M$3,L$60,$D$4:$M$4))=0,0,((SUMIF($D$3:$M$3,L$60,$D130:$M130))/SUMIF($D$3:$M$3,L$60,$D$4:$M$4)))</f>
        <v>0</v>
      </c>
      <c r="M81" s="197" t="n">
        <f aca="false">IF((SUMIF($D$3:$M$3,M$60,$D$4:$M$4))=0,0,((SUMIF($D$3:$M$3,M$60,$D130:$M130))/SUMIF($D$3:$M$3,M$60,$D$4:$M$4)))</f>
        <v>0</v>
      </c>
      <c r="N81" s="194" t="str">
        <f aca="false">C81</f>
        <v>Alumno20</v>
      </c>
      <c r="O81" s="195" t="n">
        <f aca="false">IF((SUMIF($O$3:$X$3,O$60,$O$4:$X$4))=0,0,((SUMIF($O$3:$X$3,O$60,$O130:$X130))/SUMIF($O$3:$X$3,O$60,$O$4:$X$4)))</f>
        <v>5</v>
      </c>
      <c r="P81" s="196" t="n">
        <f aca="false">IF((SUMIF($O$3:$X$3,P$60,$O$4:$X$4))=0,0,((SUMIF($O$3:$X$3,P$60,$O130:$X130))/SUMIF($O$3:$X$3,P$60,$O$4:$X$4)))</f>
        <v>3</v>
      </c>
      <c r="Q81" s="196" t="n">
        <f aca="false">IF((SUMIF($O$3:$X$3,Q$60,$O$4:$X$4))=0,0,((SUMIF($O$3:$X$3,Q$60,$O130:$X130))/SUMIF($O$3:$X$3,Q$60,$O$4:$X$4)))</f>
        <v>0</v>
      </c>
      <c r="R81" s="196" t="n">
        <f aca="false">IF((SUMIF($O$3:$X$3,R$60,$O$4:$X$4))=0,0,((SUMIF($O$3:$X$3,R$60,$O130:$X130))/SUMIF($O$3:$X$3,R$60,$O$4:$X$4)))</f>
        <v>0</v>
      </c>
      <c r="S81" s="196" t="n">
        <f aca="false">IF((SUMIF($O$3:$X$3,S$60,$O$4:$X$4))=0,0,((SUMIF($O$3:$X$3,S$60,$O130:$X130))/SUMIF($O$3:$X$3,S$60,$O$4:$X$4)))</f>
        <v>0</v>
      </c>
      <c r="T81" s="196" t="n">
        <f aca="false">IF((SUMIF($O$3:$X$3,T$60,$O$4:$X$4))=0,0,((SUMIF($O$3:$X$3,T$60,$O130:$X130))/SUMIF($O$3:$X$3,T$60,$O$4:$X$4)))</f>
        <v>0</v>
      </c>
      <c r="U81" s="196" t="n">
        <f aca="false">IF((SUMIF($O$3:$X$3,U$60,$O$4:$X$4))=0,0,((SUMIF($O$3:$X$3,U$60,$O130:$X130))/SUMIF($O$3:$X$3,U$60,$O$4:$X$4)))</f>
        <v>0</v>
      </c>
      <c r="V81" s="196" t="n">
        <f aca="false">IF((SUMIF($O$3:$X$3,V$60,$O$4:$X$4))=0,0,((SUMIF($O$3:$X$3,V$60,$O130:$X130))/SUMIF($O$3:$X$3,V$60,$O$4:$X$4)))</f>
        <v>0</v>
      </c>
      <c r="W81" s="196" t="n">
        <f aca="false">IF((SUMIF($O$3:$X$3,W$60,$O$4:$X$4))=0,0,((SUMIF($O$3:$X$3,W$60,$O130:$X130))/SUMIF($O$3:$X$3,W$60,$O$4:$X$4)))</f>
        <v>0</v>
      </c>
      <c r="X81" s="197" t="n">
        <f aca="false">IF((SUMIF($O$3:$X$3,X$60,$O$4:$X$4))=0,0,((SUMIF($O$3:$X$3,X$60,$O130:$X130))/SUMIF($O$3:$X$3,X$60,$O$4:$X$4)))</f>
        <v>0</v>
      </c>
      <c r="Y81" s="194" t="str">
        <f aca="false">N81</f>
        <v>Alumno20</v>
      </c>
      <c r="Z81" s="195" t="n">
        <f aca="false">IF((SUMIF($Z$3:$AI$3,Z$60,$Z$4:$AI$4))=0,0,((SUMIF($Z$3:$AI$3,Z$60,$Z130:$AI130))/SUMIF($Z$3:$AI$3,Z$60,$Z$4:$AI$4)))</f>
        <v>9.5</v>
      </c>
      <c r="AA81" s="196" t="n">
        <f aca="false">IF((SUMIF($Z$3:$AI$3,AA$60,$Z$4:$AI$4))=0,0,((SUMIF($Z$3:$AI$3,AA$60,$Z130:$AI130))/SUMIF($Z$3:$AI$3,AA$60,$Z$4:$AI$4)))</f>
        <v>10</v>
      </c>
      <c r="AB81" s="196" t="n">
        <f aca="false">IF((SUMIF($Z$3:$AI$3,AB$60,$Z$4:$AI$4))=0,0,((SUMIF($Z$3:$AI$3,AB$60,$Z130:$AI130))/SUMIF($Z$3:$AI$3,AB$60,$Z$4:$AI$4)))</f>
        <v>9</v>
      </c>
      <c r="AC81" s="196" t="n">
        <f aca="false">IF((SUMIF($Z$3:$AI$3,AC$60,$Z$4:$AI$4))=0,0,((SUMIF($Z$3:$AI$3,AC$60,$Z130:$AI130))/SUMIF($Z$3:$AI$3,AC$60,$Z$4:$AI$4)))</f>
        <v>0</v>
      </c>
      <c r="AD81" s="196" t="n">
        <f aca="false">IF((SUMIF($Z$3:$AI$3,AD$60,$Z$4:$AI$4))=0,0,((SUMIF($Z$3:$AI$3,AD$60,$Z130:$AI130))/SUMIF($Z$3:$AI$3,AD$60,$Z$4:$AI$4)))</f>
        <v>0</v>
      </c>
      <c r="AE81" s="196" t="n">
        <f aca="false">IF((SUMIF($Z$3:$AI$3,AE$60,$Z$4:$AI$4))=0,0,((SUMIF($Z$3:$AI$3,AE$60,$Z130:$AI130))/SUMIF($Z$3:$AI$3,AE$60,$Z$4:$AI$4)))</f>
        <v>0</v>
      </c>
      <c r="AF81" s="196" t="n">
        <f aca="false">IF((SUMIF($Z$3:$AI$3,AF$60,$Z$4:$AI$4))=0,0,((SUMIF($Z$3:$AI$3,AF$60,$Z130:$AI130))/SUMIF($Z$3:$AI$3,AF$60,$Z$4:$AI$4)))</f>
        <v>0</v>
      </c>
      <c r="AG81" s="196" t="n">
        <f aca="false">IF((SUMIF($Z$3:$AI$3,AG$60,$Z$4:$AI$4))=0,0,((SUMIF($Z$3:$AI$3,AG$60,$Z130:$AI130))/SUMIF($Z$3:$AI$3,AG$60,$Z$4:$AI$4)))</f>
        <v>0</v>
      </c>
      <c r="AH81" s="196" t="n">
        <f aca="false">IF((SUMIF($Z$3:$AI$3,AH$60,$Z$4:$AI$4))=0,0,((SUMIF($Z$3:$AI$3,AH$60,$Z130:$AI130))/SUMIF($Z$3:$AI$3,AH$60,$Z$4:$AI$4)))</f>
        <v>0</v>
      </c>
      <c r="AI81" s="197" t="n">
        <f aca="false">IF((SUMIF($Z$3:$AI$3,AI$60,$Z$4:$AI$4))=0,0,((SUMIF($Z$3:$AI$3,AI$60,$Z130:$AI130))/SUMIF($Z$3:$AI$3,AI$60,$Z$4:$AI$4)))</f>
        <v>0</v>
      </c>
      <c r="AJ81" s="194" t="str">
        <f aca="false">Y81</f>
        <v>Alumno20</v>
      </c>
      <c r="AK81" s="195" t="n">
        <f aca="false">IF((SUMIF($AK$3:$AT$3,AK$60,$AK$4:$AT$4))=0,0,((SUMIF($AK$3:$AT$3,AK$60,$AK130:$AT130))/SUMIF($AK$3:$AT$3,AK$60,$AK$4:$AT$4)))</f>
        <v>9</v>
      </c>
      <c r="AL81" s="196" t="n">
        <f aca="false">IF((SUMIF($AK$3:$AT$3,AL$60,$AK$4:$AT$4))=0,0,((SUMIF($AK$3:$AT$3,AL$60,$AK130:$AT130))/SUMIF($AK$3:$AT$3,AL$60,$AK$4:$AT$4)))</f>
        <v>9.5</v>
      </c>
      <c r="AM81" s="196" t="n">
        <f aca="false">IF((SUMIF($AK$3:$AT$3,AM$60,$AK$4:$AT$4))=0,0,((SUMIF($AK$3:$AT$3,AM$60,$AK130:$AT130))/SUMIF($AK$3:$AT$3,AM$60,$AK$4:$AT$4)))</f>
        <v>10</v>
      </c>
      <c r="AN81" s="196" t="n">
        <f aca="false">IF((SUMIF($AK$3:$AT$3,AN$60,$AK$4:$AT$4))=0,0,((SUMIF($AK$3:$AT$3,AN$60,$AK130:$AT130))/SUMIF($AK$3:$AT$3,AN$60,$AK$4:$AT$4)))</f>
        <v>0</v>
      </c>
      <c r="AO81" s="196" t="n">
        <f aca="false">IF((SUMIF($AK$3:$AT$3,AO$60,$AK$4:$AT$4))=0,0,((SUMIF($AK$3:$AT$3,AO$60,$AK130:$AT130))/SUMIF($AK$3:$AT$3,AO$60,$AK$4:$AT$4)))</f>
        <v>0</v>
      </c>
      <c r="AP81" s="196" t="n">
        <f aca="false">IF((SUMIF($AK$3:$AT$3,AP$60,$AK$4:$AT$4))=0,0,((SUMIF($AK$3:$AT$3,AP$60,$AK130:$AT130))/SUMIF($AK$3:$AT$3,AP$60,$AK$4:$AT$4)))</f>
        <v>0</v>
      </c>
      <c r="AQ81" s="196" t="n">
        <f aca="false">IF((SUMIF($AK$3:$AT$3,AQ$60,$AK$4:$AT$4))=0,0,((SUMIF($AK$3:$AT$3,AQ$60,$AK130:$AT130))/SUMIF($AK$3:$AT$3,AQ$60,$AK$4:$AT$4)))</f>
        <v>0</v>
      </c>
      <c r="AR81" s="196" t="n">
        <f aca="false">IF((SUMIF($AK$3:$AT$3,AR$60,$AK$4:$AT$4))=0,0,((SUMIF($AK$3:$AT$3,AR$60,$AK130:$AT130))/SUMIF($AK$3:$AT$3,AR$60,$AK$4:$AT$4)))</f>
        <v>0</v>
      </c>
      <c r="AS81" s="196" t="n">
        <f aca="false">IF((SUMIF($AK$3:$AT$3,AS$60,$AK$4:$AT$4))=0,0,((SUMIF($AK$3:$AT$3,AS$60,$AK130:$AT130))/SUMIF($AK$3:$AT$3,AS$60,$AK$4:$AT$4)))</f>
        <v>0</v>
      </c>
      <c r="AT81" s="197" t="n">
        <f aca="false">IF((SUMIF($AK$3:$AT$3,AT$60,$AK$4:$AT$4))=0,0,((SUMIF($AK$3:$AT$3,AT$60,$AK130:$AT130))/SUMIF($AK$3:$AT$3,AT$60,$AK$4:$AT$4)))</f>
        <v>0</v>
      </c>
      <c r="AU81" s="194" t="str">
        <f aca="false">AJ81</f>
        <v>Alumno20</v>
      </c>
      <c r="AV81" s="195" t="n">
        <f aca="false">IF((SUMIF($AV$3:$BE$3,AV$60,$AV$4:$BE$4))=0,0,((SUMIF($AV$3:$BE$3,AV$60,$AV130:$BE130))/SUMIF($AV$3:$BE$3,AV$60,$AV$4:$BE$4)))</f>
        <v>5</v>
      </c>
      <c r="AW81" s="196" t="n">
        <f aca="false">IF((SUMIF($AV$3:$BE$3,AW$60,$AV$4:$BE$4))=0,0,((SUMIF($AV$3:$BE$3,AW$60,$AV130:$BE130))/SUMIF($AV$3:$BE$3,AW$60,$AV$4:$BE$4)))</f>
        <v>6</v>
      </c>
      <c r="AX81" s="196" t="n">
        <f aca="false">IF((SUMIF($AV$3:$BE$3,AX$60,$AV$4:$BE$4))=0,0,((SUMIF($AV$3:$BE$3,AX$60,$AV130:$BE130))/SUMIF($AV$3:$BE$3,AX$60,$AV$4:$BE$4)))</f>
        <v>3.6</v>
      </c>
      <c r="AY81" s="196" t="n">
        <f aca="false">IF((SUMIF($AV$3:$BE$3,AY$60,$AV$4:$BE$4))=0,0,((SUMIF($AV$3:$BE$3,AY$60,$AV130:$BE130))/SUMIF($AV$3:$BE$3,AY$60,$AV$4:$BE$4)))</f>
        <v>5</v>
      </c>
      <c r="AZ81" s="196" t="n">
        <f aca="false">IF((SUMIF($AV$3:$BE$3,AZ$60,$AV$4:$BE$4))=0,0,((SUMIF($AV$3:$BE$3,AZ$60,$AV130:$BE130))/SUMIF($AV$3:$BE$3,AZ$60,$AV$4:$BE$4)))</f>
        <v>0</v>
      </c>
      <c r="BA81" s="196" t="n">
        <f aca="false">IF((SUMIF($AV$3:$BE$3,BA$60,$AV$4:$BE$4))=0,0,((SUMIF($AV$3:$BE$3,BA$60,$AV130:$BE130))/SUMIF($AV$3:$BE$3,BA$60,$AV$4:$BE$4)))</f>
        <v>0</v>
      </c>
      <c r="BB81" s="196" t="n">
        <f aca="false">IF((SUMIF($AV$3:$BE$3,BB$60,$AV$4:$BE$4))=0,0,((SUMIF($AV$3:$BE$3,BB$60,$AV130:$BE130))/SUMIF($AV$3:$BE$3,BB$60,$AV$4:$BE$4)))</f>
        <v>0</v>
      </c>
      <c r="BC81" s="196" t="n">
        <f aca="false">IF((SUMIF($AV$3:$BE$3,BC$60,$AV$4:$BE$4))=0,0,((SUMIF($AV$3:$BE$3,BC$60,$AV130:$BE130))/SUMIF($AV$3:$BE$3,BC$60,$AV$4:$BE$4)))</f>
        <v>0</v>
      </c>
      <c r="BD81" s="196" t="n">
        <f aca="false">IF((SUMIF($AV$3:$BE$3,BD$60,$AV$4:$BE$4))=0,0,((SUMIF($AV$3:$BE$3,BD$60,$AV130:$BE130))/SUMIF($AV$3:$BE$3,BD$60,$AV$4:$BE$4)))</f>
        <v>0</v>
      </c>
      <c r="BE81" s="197" t="n">
        <f aca="false">IF((SUMIF($AV$3:$BE$3,BE$60,$AV$4:$BE$4))=0,0,((SUMIF($AV$3:$BE$3,BE$60,$AV130:$BE130))/SUMIF($AV$3:$BE$3,BE$60,$AV$4:$BE$4)))</f>
        <v>0</v>
      </c>
      <c r="BF81" s="194" t="str">
        <f aca="false">AU81</f>
        <v>Alumno20</v>
      </c>
      <c r="BG81" s="195" t="n">
        <f aca="false">IF((SUMIF($BG$3:$BP$3,BG$60,$BG$4:$BP$4))=0,0,((SUMIF($BG$3:$BP$3,BG$60,$BG130:$BP130))/SUMIF($BG$3:$BP$3,BG$60,$BG$4:$BP$4)))</f>
        <v>5</v>
      </c>
      <c r="BH81" s="196" t="n">
        <f aca="false">IF((SUMIF($BG$3:$BP$3,BH$60,$BG$4:$BP$4))=0,0,((SUMIF($BG$3:$BP$3,BH$60,$BG130:$BP130))/SUMIF($BG$3:$BP$3,BH$60,$BG$4:$BP$4)))</f>
        <v>6</v>
      </c>
      <c r="BI81" s="196" t="n">
        <f aca="false">IF((SUMIF($BG$3:$BP$3,BI$60,$BG$4:$BP$4))=0,0,((SUMIF($BG$3:$BP$3,BI$60,$BG130:$BP130))/SUMIF($BG$3:$BP$3,BI$60,$BG$4:$BP$4)))</f>
        <v>3</v>
      </c>
      <c r="BJ81" s="196" t="n">
        <f aca="false">IF((SUMIF($BG$3:$BP$3,BJ$60,$BG$4:$BP$4))=0,0,((SUMIF($BG$3:$BP$3,BJ$60,$BG130:$BP130))/SUMIF($BG$3:$BP$3,BJ$60,$BG$4:$BP$4)))</f>
        <v>4.6</v>
      </c>
      <c r="BK81" s="196" t="n">
        <f aca="false">IF((SUMIF($BG$3:$BP$3,BK$60,$BG$4:$BP$4))=0,0,((SUMIF($BG$3:$BP$3,BK$60,$BG130:$BP130))/SUMIF($BG$3:$BP$3,BK$60,$BG$4:$BP$4)))</f>
        <v>0</v>
      </c>
      <c r="BL81" s="196" t="n">
        <f aca="false">IF((SUMIF($BG$3:$BP$3,BL$60,$BG$4:$BP$4))=0,0,((SUMIF($BG$3:$BP$3,BL$60,$BG130:$BP130))/SUMIF($BG$3:$BP$3,BL$60,$BG$4:$BP$4)))</f>
        <v>0</v>
      </c>
      <c r="BM81" s="196" t="n">
        <f aca="false">IF((SUMIF($BG$3:$BP$3,BM$60,$BG$4:$BP$4))=0,0,((SUMIF($BG$3:$BP$3,BM$60,$BG130:$BP130))/SUMIF($BG$3:$BP$3,BM$60,$BG$4:$BP$4)))</f>
        <v>0</v>
      </c>
      <c r="BN81" s="196" t="n">
        <f aca="false">IF((SUMIF($BG$3:$BP$3,BN$60,$BG$4:$BP$4))=0,0,((SUMIF($BG$3:$BP$3,BN$60,$BG130:$BP130))/SUMIF($BG$3:$BP$3,BN$60,$BG$4:$BP$4)))</f>
        <v>0</v>
      </c>
      <c r="BO81" s="196" t="n">
        <f aca="false">IF((SUMIF($BG$3:$BP$3,BO$60,$BG$4:$BP$4))=0,0,((SUMIF($BG$3:$BP$3,BO$60,$BG130:$BP130))/SUMIF($BG$3:$BP$3,BO$60,$BG$4:$BP$4)))</f>
        <v>0</v>
      </c>
      <c r="BP81" s="197" t="n">
        <f aca="false">IF((SUMIF($BG$3:$BP$3,BP$60,$BG$4:$BP$4))=0,0,((SUMIF($BG$3:$BP$3,BP$60,$BG130:$BP130))/SUMIF($BG$3:$BP$3,BP$60,$BG$4:$BP$4)))</f>
        <v>0</v>
      </c>
      <c r="BQ81" s="194" t="str">
        <f aca="false">BF81</f>
        <v>Alumno20</v>
      </c>
      <c r="BR81" s="195" t="n">
        <f aca="false">IF((SUMIF($BR$3:$CA$3,BR$60,$BR$4:$CA$4))=0,0,((SUMIF($BR$3:$CA$3,BR$60,$BR130:$CA130))/SUMIF($BR$3:$CA$3,BR$60,$BR$4:$CA$4)))</f>
        <v>0</v>
      </c>
      <c r="BS81" s="196" t="n">
        <f aca="false">IF((SUMIF($BR$3:$CA$3,BS$60,$BR$4:$CA$4))=0,0,((SUMIF($BR$3:$CA$3,BS$60,$BR130:$CA130))/SUMIF($BR$3:$CA$3,BS$60,$BR$4:$CA$4)))</f>
        <v>6</v>
      </c>
      <c r="BT81" s="196" t="n">
        <f aca="false">IF((SUMIF($BR$3:$CA$3,BT$60,$BR$4:$CA$4))=0,0,((SUMIF($BR$3:$CA$3,BT$60,$BR130:$CA130))/SUMIF($BR$3:$CA$3,BT$60,$BR$4:$CA$4)))</f>
        <v>5</v>
      </c>
      <c r="BU81" s="196" t="n">
        <f aca="false">IF((SUMIF($BR$3:$CA$3,BU$60,$BR$4:$CA$4))=0,0,((SUMIF($BR$3:$CA$3,BU$60,$BR130:$CA130))/SUMIF($BR$3:$CA$3,BU$60,$BR$4:$CA$4)))</f>
        <v>4.6</v>
      </c>
      <c r="BV81" s="196" t="n">
        <f aca="false">IF((SUMIF($BR$3:$CA$3,BV$60,$BR$4:$CA$4))=0,0,((SUMIF($BR$3:$CA$3,BV$60,$BR130:$CA130))/SUMIF($BR$3:$CA$3,BV$60,$BR$4:$CA$4)))</f>
        <v>0</v>
      </c>
      <c r="BW81" s="196" t="n">
        <f aca="false">IF((SUMIF($BR$3:$CA$3,BW$60,$BR$4:$CA$4))=0,0,((SUMIF($BR$3:$CA$3,BW$60,$BR130:$CA130))/SUMIF($BR$3:$CA$3,BW$60,$BR$4:$CA$4)))</f>
        <v>0</v>
      </c>
      <c r="BX81" s="196" t="n">
        <f aca="false">IF((SUMIF($BR$3:$CA$3,BX$60,$BR$4:$CA$4))=0,0,((SUMIF($BR$3:$CA$3,BX$60,$BR130:$CA130))/SUMIF($BR$3:$CA$3,BX$60,$BR$4:$CA$4)))</f>
        <v>0</v>
      </c>
      <c r="BY81" s="196" t="n">
        <f aca="false">IF((SUMIF($BR$3:$CA$3,BY$60,$BR$4:$CA$4))=0,0,((SUMIF($BR$3:$CA$3,BY$60,$BR130:$CA130))/SUMIF($BR$3:$CA$3,BY$60,$BR$4:$CA$4)))</f>
        <v>0</v>
      </c>
      <c r="BZ81" s="196" t="n">
        <f aca="false">IF((SUMIF($BR$3:$CA$3,BZ$60,$BR$4:$CA$4))=0,0,((SUMIF($BR$3:$CA$3,BZ$60,$BR130:$CA130))/SUMIF($BR$3:$CA$3,BZ$60,$BR$4:$CA$4)))</f>
        <v>0</v>
      </c>
      <c r="CA81" s="197" t="n">
        <f aca="false">IF((SUMIF($BR$3:$CA$3,CA$60,$BR$4:$CA$4))=0,0,((SUMIF($BR$3:$CA$3,CA$60,$BR130:$CA130))/SUMIF($BR$3:$CA$3,CA$60,$BR$4:$CA$4)))</f>
        <v>0</v>
      </c>
      <c r="CB81" s="194" t="str">
        <f aca="false">BQ81</f>
        <v>Alumno20</v>
      </c>
      <c r="CC81" s="195" t="n">
        <f aca="false">IF((SUMIF($CC$3:$CL$3,CC$60,$CC$4:$CL$4))=0,0,((SUMIF($CC$3:$CL$3,CC$60,$CC130:$CL130))/SUMIF($CC$3:$CL$3,CC$60,$CC$4:$CL$4)))</f>
        <v>0</v>
      </c>
      <c r="CD81" s="196" t="n">
        <f aca="false">IF((SUMIF($CC$3:$CL$3,CD$60,$CC$4:$CL$4))=0,0,((SUMIF($CC$3:$CL$3,CD$60,$CC130:$CL130))/SUMIF($CC$3:$CL$3,CD$60,$CC$4:$CL$4)))</f>
        <v>0</v>
      </c>
      <c r="CE81" s="196" t="n">
        <f aca="false">IF((SUMIF($CC$3:$CL$3,CE$60,$CC$4:$CL$4))=0,0,((SUMIF($CC$3:$CL$3,CE$60,$CC130:$CL130))/SUMIF($CC$3:$CL$3,CE$60,$CC$4:$CL$4)))</f>
        <v>0</v>
      </c>
      <c r="CF81" s="196" t="n">
        <f aca="false">IF((SUMIF($CC$3:$CL$3,CF$60,$CC$4:$CL$4))=0,0,((SUMIF($CC$3:$CL$3,CF$60,$CC130:$CL130))/SUMIF($CC$3:$CL$3,CF$60,$CC$4:$CL$4)))</f>
        <v>0</v>
      </c>
      <c r="CG81" s="196" t="n">
        <f aca="false">IF((SUMIF($CC$3:$CL$3,CG$60,$CC$4:$CL$4))=0,0,((SUMIF($CC$3:$CL$3,CG$60,$CC130:$CL130))/SUMIF($CC$3:$CL$3,CG$60,$CC$4:$CL$4)))</f>
        <v>0</v>
      </c>
      <c r="CH81" s="196" t="n">
        <f aca="false">IF((SUMIF($CC$3:$CL$3,CH$60,$CC$4:$CL$4))=0,0,((SUMIF($CC$3:$CL$3,CH$60,$CC130:$CL130))/SUMIF($CC$3:$CL$3,CH$60,$CC$4:$CL$4)))</f>
        <v>0</v>
      </c>
      <c r="CI81" s="196" t="n">
        <f aca="false">IF((SUMIF($CC$3:$CL$3,CI$60,$CC$4:$CL$4))=0,0,((SUMIF($CC$3:$CL$3,CI$60,$CC130:$CL130))/SUMIF($CC$3:$CL$3,CI$60,$CC$4:$CL$4)))</f>
        <v>0</v>
      </c>
      <c r="CJ81" s="196" t="n">
        <f aca="false">IF((SUMIF($CC$3:$CL$3,CJ$60,$CC$4:$CL$4))=0,0,((SUMIF($CC$3:$CL$3,CJ$60,$CC130:$CL130))/SUMIF($CC$3:$CL$3,CJ$60,$CC$4:$CL$4)))</f>
        <v>0</v>
      </c>
      <c r="CK81" s="196" t="n">
        <f aca="false">IF((SUMIF($CC$3:$CL$3,CK$60,$CC$4:$CL$4))=0,0,((SUMIF($CC$3:$CL$3,CK$60,$CC130:$CL130))/SUMIF($CC$3:$CL$3,CK$60,$CC$4:$CL$4)))</f>
        <v>0</v>
      </c>
      <c r="CL81" s="197" t="n">
        <f aca="false">IF((SUMIF($CC$3:$CL$3,CL$60,$CC$4:$CL$4))=0,0,((SUMIF($CC$3:$CL$3,CL$60,$CC130:$CL130))/SUMIF($CC$3:$CL$3,CL$60,$CC$4:$CL$4)))</f>
        <v>0</v>
      </c>
      <c r="CM81" s="194" t="str">
        <f aca="false">CB81</f>
        <v>Alumno20</v>
      </c>
      <c r="CN81" s="195" t="n">
        <f aca="false">IF((SUMIF($CN$3:$CW$3,CN$60,$CN$4:$CW$4))=0,0,((SUMIF($CN$3:$CW$3,CN$60,$CN130:$CW130))/SUMIF($CN$3:$CW$3,CN$60,$CN$4:$CW$4)))</f>
        <v>0</v>
      </c>
      <c r="CO81" s="196" t="n">
        <f aca="false">IF((SUMIF($CN$3:$CW$3,CO$60,$CN$4:$CW$4))=0,0,((SUMIF($CN$3:$CW$3,CO$60,$CN130:$CW130))/SUMIF($CN$3:$CW$3,CO$60,$CN$4:$CW$4)))</f>
        <v>0</v>
      </c>
      <c r="CP81" s="196" t="n">
        <f aca="false">IF((SUMIF($CN$3:$CW$3,CP$60,$CN$4:$CW$4))=0,0,((SUMIF($CN$3:$CW$3,CP$60,$CN130:$CW130))/SUMIF($CN$3:$CW$3,CP$60,$CN$4:$CW$4)))</f>
        <v>0</v>
      </c>
      <c r="CQ81" s="196" t="n">
        <f aca="false">IF((SUMIF($CN$3:$CW$3,CQ$60,$CN$4:$CW$4))=0,0,((SUMIF($CN$3:$CW$3,CQ$60,$CN130:$CW130))/SUMIF($CN$3:$CW$3,CQ$60,$CN$4:$CW$4)))</f>
        <v>0</v>
      </c>
      <c r="CR81" s="196" t="n">
        <f aca="false">IF((SUMIF($CN$3:$CW$3,CR$60,$CN$4:$CW$4))=0,0,((SUMIF($CN$3:$CW$3,CR$60,$CN130:$CW130))/SUMIF($CN$3:$CW$3,CR$60,$CN$4:$CW$4)))</f>
        <v>0</v>
      </c>
      <c r="CS81" s="196" t="n">
        <f aca="false">IF((SUMIF($CN$3:$CW$3,CS$60,$CN$4:$CW$4))=0,0,((SUMIF($CN$3:$CW$3,CS$60,$CN130:$CW130))/SUMIF($CN$3:$CW$3,CS$60,$CN$4:$CW$4)))</f>
        <v>0</v>
      </c>
      <c r="CT81" s="196" t="n">
        <f aca="false">IF((SUMIF($CN$3:$CW$3,CT$60,$CN$4:$CW$4))=0,0,((SUMIF($CN$3:$CW$3,CT$60,$CN130:$CW130))/SUMIF($CN$3:$CW$3,CT$60,$CN$4:$CW$4)))</f>
        <v>0</v>
      </c>
      <c r="CU81" s="196" t="n">
        <f aca="false">IF((SUMIF($CN$3:$CW$3,CU$60,$CN$4:$CW$4))=0,0,((SUMIF($CN$3:$CW$3,CU$60,$CN130:$CW130))/SUMIF($CN$3:$CW$3,CU$60,$CN$4:$CW$4)))</f>
        <v>0</v>
      </c>
      <c r="CV81" s="196" t="n">
        <f aca="false">IF((SUMIF($CN$3:$CW$3,CV$60,$CN$4:$CW$4))=0,0,((SUMIF($CN$3:$CW$3,CV$60,$CN130:$CW130))/SUMIF($CN$3:$CW$3,CV$60,$CN$4:$CW$4)))</f>
        <v>0</v>
      </c>
      <c r="CW81" s="197" t="n">
        <f aca="false">IF((SUMIF($CN$3:$CW$3,CW$60,$CN$4:$CW$4))=0,0,((SUMIF($CN$3:$CW$3,CW$60,$CN130:$CW130))/SUMIF($CN$3:$CW$3,CW$60,$CN$4:$CW$4)))</f>
        <v>0</v>
      </c>
      <c r="CX81" s="194" t="str">
        <f aca="false">CM81</f>
        <v>Alumno20</v>
      </c>
      <c r="CY81" s="195" t="n">
        <f aca="false">IF((SUMIF($CY$3:$DH$3,CY$60,$CY$4:$DH$4))=0,0,((SUMIF($CY$3:$DH$3,CY$60,$CY130:$DH130))/SUMIF($CY$3:$DH$3,CY$60,$CY$4:$DH$4)))</f>
        <v>0</v>
      </c>
      <c r="CZ81" s="196" t="n">
        <f aca="false">IF((SUMIF($CY$3:$DH$3,CZ$60,$CY$4:$DH$4))=0,0,((SUMIF($CY$3:$DH$3,CZ$60,$CY130:$DH130))/SUMIF($CY$3:$DH$3,CZ$60,$CY$4:$DH$4)))</f>
        <v>0</v>
      </c>
      <c r="DA81" s="196" t="n">
        <f aca="false">IF((SUMIF($CY$3:$DH$3,DA$60,$CY$4:$DH$4))=0,0,((SUMIF($CY$3:$DH$3,DA$60,$CY130:$DH130))/SUMIF($CY$3:$DH$3,DA$60,$CY$4:$DH$4)))</f>
        <v>0</v>
      </c>
      <c r="DB81" s="196" t="n">
        <f aca="false">IF((SUMIF($CY$3:$DH$3,DB$60,$CY$4:$DH$4))=0,0,((SUMIF($CY$3:$DH$3,DB$60,$CY130:$DH130))/SUMIF($CY$3:$DH$3,DB$60,$CY$4:$DH$4)))</f>
        <v>0</v>
      </c>
      <c r="DC81" s="196" t="n">
        <f aca="false">IF((SUMIF($CY$3:$DH$3,DC$60,$CY$4:$DH$4))=0,0,((SUMIF($CY$3:$DH$3,DC$60,$CY130:$DH130))/SUMIF($CY$3:$DH$3,DC$60,$CY$4:$DH$4)))</f>
        <v>0</v>
      </c>
      <c r="DD81" s="196" t="n">
        <f aca="false">IF((SUMIF($CY$3:$DH$3,DD$60,$CY$4:$DH$4))=0,0,((SUMIF($CY$3:$DH$3,DD$60,$CY130:$DH130))/SUMIF($CY$3:$DH$3,DD$60,$CY$4:$DH$4)))</f>
        <v>0</v>
      </c>
      <c r="DE81" s="196" t="n">
        <f aca="false">IF((SUMIF($CY$3:$DH$3,DE$60,$CY$4:$DH$4))=0,0,((SUMIF($CY$3:$DH$3,DE$60,$CY130:$DH130))/SUMIF($CY$3:$DH$3,DE$60,$CY$4:$DH$4)))</f>
        <v>0</v>
      </c>
      <c r="DF81" s="196" t="n">
        <f aca="false">IF((SUMIF($CY$3:$DH$3,DF$60,$CY$4:$DH$4))=0,0,((SUMIF($CY$3:$DH$3,DF$60,$CY130:$DH130))/SUMIF($CY$3:$DH$3,DF$60,$CY$4:$DH$4)))</f>
        <v>0</v>
      </c>
      <c r="DG81" s="196" t="n">
        <f aca="false">IF((SUMIF($CY$3:$DH$3,DG$60,$CY$4:$DH$4))=0,0,((SUMIF($CY$3:$DH$3,DG$60,$CY130:$DH130))/SUMIF($CY$3:$DH$3,DG$60,$CY$4:$DH$4)))</f>
        <v>0</v>
      </c>
      <c r="DH81" s="197" t="n">
        <f aca="false">IF((SUMIF($CY$3:$DH$3,DH$60,$CY$4:$DH$4))=0,0,((SUMIF($CY$3:$DH$3,DH$60,$CY130:$DH130))/SUMIF($CY$3:$DH$3,DH$60,$CY$4:$DH$4)))</f>
        <v>0</v>
      </c>
      <c r="DI81" s="194" t="str">
        <f aca="false">CX81</f>
        <v>Alumno20</v>
      </c>
      <c r="DJ81" s="195" t="n">
        <f aca="false">IF((SUMIF($DJ$3:$DS$3,DJ$60,$DJ$4:$DS$4))=0,0,((SUMIF($DJ$3:$DS$3,DJ$60,$DJ130:$DS130))/SUMIF($DJ$3:$DS$3,DJ$60,$DJ$4:$DS$4)))</f>
        <v>0</v>
      </c>
      <c r="DK81" s="196" t="n">
        <f aca="false">IF((SUMIF($DJ$3:$DS$3,DK$60,$DJ$4:$DS$4))=0,0,((SUMIF($DJ$3:$DS$3,DK$60,$DJ130:$DS130))/SUMIF($DJ$3:$DS$3,DK$60,$DJ$4:$DS$4)))</f>
        <v>0</v>
      </c>
      <c r="DL81" s="196" t="n">
        <f aca="false">IF((SUMIF($DJ$3:$DS$3,DL$60,$DJ$4:$DS$4))=0,0,((SUMIF($DJ$3:$DS$3,DL$60,$DJ130:$DS130))/SUMIF($DJ$3:$DS$3,DL$60,$DJ$4:$DS$4)))</f>
        <v>0</v>
      </c>
      <c r="DM81" s="196" t="n">
        <f aca="false">IF((SUMIF($DJ$3:$DS$3,DM$60,$DJ$4:$DS$4))=0,0,((SUMIF($DJ$3:$DS$3,DM$60,$DJ130:$DS130))/SUMIF($DJ$3:$DS$3,DM$60,$DJ$4:$DS$4)))</f>
        <v>0</v>
      </c>
      <c r="DN81" s="196" t="n">
        <f aca="false">IF((SUMIF($DJ$3:$DS$3,DN$60,$DJ$4:$DS$4))=0,0,((SUMIF($DJ$3:$DS$3,DN$60,$DJ130:$DS130))/SUMIF($DJ$3:$DS$3,DN$60,$DJ$4:$DS$4)))</f>
        <v>0</v>
      </c>
      <c r="DO81" s="196" t="n">
        <f aca="false">IF((SUMIF($DJ$3:$DS$3,DO$60,$DJ$4:$DS$4))=0,0,((SUMIF($DJ$3:$DS$3,DO$60,$DJ130:$DS130))/SUMIF($DJ$3:$DS$3,DO$60,$DJ$4:$DS$4)))</f>
        <v>0</v>
      </c>
      <c r="DP81" s="196" t="n">
        <f aca="false">IF((SUMIF($DJ$3:$DS$3,DP$60,$DJ$4:$DS$4))=0,0,((SUMIF($DJ$3:$DS$3,DP$60,$DJ130:$DS130))/SUMIF($DJ$3:$DS$3,DP$60,$DJ$4:$DS$4)))</f>
        <v>0</v>
      </c>
      <c r="DQ81" s="196" t="n">
        <f aca="false">IF((SUMIF($DJ$3:$DS$3,DQ$60,$DJ$4:$DS$4))=0,0,((SUMIF($DJ$3:$DS$3,DQ$60,$DJ130:$DS130))/SUMIF($DJ$3:$DS$3,DQ$60,$DJ$4:$DS$4)))</f>
        <v>0</v>
      </c>
      <c r="DR81" s="196" t="n">
        <f aca="false">IF((SUMIF($DJ$3:$DS$3,DR$60,$DJ$4:$DS$4))=0,0,((SUMIF($DJ$3:$DS$3,DR$60,$DJ130:$DS130))/SUMIF($DJ$3:$DS$3,DR$60,$DJ$4:$DS$4)))</f>
        <v>0</v>
      </c>
      <c r="DS81" s="197" t="n">
        <f aca="false">IF((SUMIF($DJ$3:$DS$3,DS$60,$DJ$4:$DS$4))=0,0,((SUMIF($DJ$3:$DS$3,DS$60,$DJ130:$DS130))/SUMIF($DJ$3:$DS$3,DS$60,$DJ$4:$DS$4)))</f>
        <v>0</v>
      </c>
      <c r="DT81" s="194" t="str">
        <f aca="false">DI81</f>
        <v>Alumno20</v>
      </c>
      <c r="DU81" s="195" t="n">
        <f aca="false">IF((SUMIF($DU$3:$ED$3,DU$60,$DU$4:$ED$4))=0,0,((SUMIF($DU$3:$ED$3,DU$60,$DU130:$ED130))/SUMIF($DU$3:$ED$3,DU$60,$DU$4:$ED$4)))</f>
        <v>0</v>
      </c>
      <c r="DV81" s="196" t="n">
        <f aca="false">IF((SUMIF($DU$3:$ED$3,DV$60,$DU$4:$ED$4))=0,0,((SUMIF($DU$3:$ED$3,DV$60,$DU130:$ED130))/SUMIF($DU$3:$ED$3,DV$60,$DU$4:$ED$4)))</f>
        <v>0</v>
      </c>
      <c r="DW81" s="196" t="n">
        <f aca="false">IF((SUMIF($DU$3:$ED$3,DW$60,$DU$4:$ED$4))=0,0,((SUMIF($DU$3:$ED$3,DW$60,$DU130:$ED130))/SUMIF($DU$3:$ED$3,DW$60,$DU$4:$ED$4)))</f>
        <v>0</v>
      </c>
      <c r="DX81" s="196" t="n">
        <f aca="false">IF((SUMIF($DU$3:$ED$3,DX$60,$DU$4:$ED$4))=0,0,((SUMIF($DU$3:$ED$3,DX$60,$DU130:$ED130))/SUMIF($DU$3:$ED$3,DX$60,$DU$4:$ED$4)))</f>
        <v>0</v>
      </c>
      <c r="DY81" s="196" t="n">
        <f aca="false">IF((SUMIF($DU$3:$ED$3,DY$60,$DU$4:$ED$4))=0,0,((SUMIF($DU$3:$ED$3,DY$60,$DU130:$ED130))/SUMIF($DU$3:$ED$3,DY$60,$DU$4:$ED$4)))</f>
        <v>0</v>
      </c>
      <c r="DZ81" s="196" t="n">
        <f aca="false">IF((SUMIF($DU$3:$ED$3,DZ$60,$DU$4:$ED$4))=0,0,((SUMIF($DU$3:$ED$3,DZ$60,$DU130:$ED130))/SUMIF($DU$3:$ED$3,DZ$60,$DU$4:$ED$4)))</f>
        <v>0</v>
      </c>
      <c r="EA81" s="196" t="n">
        <f aca="false">IF((SUMIF($DU$3:$ED$3,EA$60,$DU$4:$ED$4))=0,0,((SUMIF($DU$3:$ED$3,EA$60,$DU130:$ED130))/SUMIF($DU$3:$ED$3,EA$60,$DU$4:$ED$4)))</f>
        <v>0</v>
      </c>
      <c r="EB81" s="196" t="n">
        <f aca="false">IF((SUMIF($DU$3:$ED$3,EB$60,$DU$4:$ED$4))=0,0,((SUMIF($DU$3:$ED$3,EB$60,$DU130:$ED130))/SUMIF($DU$3:$ED$3,EB$60,$DU$4:$ED$4)))</f>
        <v>0</v>
      </c>
      <c r="EC81" s="196" t="n">
        <f aca="false">IF((SUMIF($DU$3:$ED$3,EC$60,$DU$4:$ED$4))=0,0,((SUMIF($DU$3:$ED$3,EC$60,$DU130:$ED130))/SUMIF($DU$3:$ED$3,EC$60,$DU$4:$ED$4)))</f>
        <v>0</v>
      </c>
      <c r="ED81" s="197" t="n">
        <f aca="false">IF((SUMIF($DU$3:$ED$3,ED$60,$DU$4:$ED$4))=0,0,((SUMIF($DU$3:$ED$3,ED$60,$DU130:$ED130))/SUMIF($DU$3:$ED$3,ED$60,$DU$4:$ED$4)))</f>
        <v>0</v>
      </c>
      <c r="EE81" s="194" t="str">
        <f aca="false">DT81</f>
        <v>Alumno20</v>
      </c>
      <c r="EF81" s="195" t="n">
        <f aca="false">IF((SUMIF($EF$3:$EO$3,EF$60,$EF$4:$EO$4))=0,0,((SUMIF($EF$3:$EO$3,EF$60,$EF130:$EO130))/SUMIF($EF$3:$EO$3,EF$60,$EF$4:$EO$4)))</f>
        <v>0</v>
      </c>
      <c r="EG81" s="196" t="n">
        <f aca="false">IF((SUMIF($EF$3:$EO$3,EG$60,$EF$4:$EO$4))=0,0,((SUMIF($EF$3:$EO$3,EG$60,$EF130:$EO130))/SUMIF($EF$3:$EO$3,EG$60,$EF$4:$EO$4)))</f>
        <v>0</v>
      </c>
      <c r="EH81" s="196" t="n">
        <f aca="false">IF((SUMIF($EF$3:$EO$3,EH$60,$EF$4:$EO$4))=0,0,((SUMIF($EF$3:$EO$3,EH$60,$EF130:$EO130))/SUMIF($EF$3:$EO$3,EH$60,$EF$4:$EO$4)))</f>
        <v>0</v>
      </c>
      <c r="EI81" s="196" t="n">
        <f aca="false">IF((SUMIF($EF$3:$EO$3,EI$60,$EF$4:$EO$4))=0,0,((SUMIF($EF$3:$EO$3,EI$60,$EF130:$EO130))/SUMIF($EF$3:$EO$3,EI$60,$EF$4:$EO$4)))</f>
        <v>0</v>
      </c>
      <c r="EJ81" s="196" t="n">
        <f aca="false">IF((SUMIF($EF$3:$EO$3,EJ$60,$EF$4:$EO$4))=0,0,((SUMIF($EF$3:$EO$3,EJ$60,$EF130:$EO130))/SUMIF($EF$3:$EO$3,EJ$60,$EF$4:$EO$4)))</f>
        <v>0</v>
      </c>
      <c r="EK81" s="196" t="n">
        <f aca="false">IF((SUMIF($EF$3:$EO$3,EK$60,$EF$4:$EO$4))=0,0,((SUMIF($EF$3:$EO$3,EK$60,$EF130:$EO130))/SUMIF($EF$3:$EO$3,EK$60,$EF$4:$EO$4)))</f>
        <v>0</v>
      </c>
      <c r="EL81" s="196" t="n">
        <f aca="false">IF((SUMIF($EF$3:$EO$3,EL$60,$EF$4:$EO$4))=0,0,((SUMIF($EF$3:$EO$3,EL$60,$EF130:$EO130))/SUMIF($EF$3:$EO$3,EL$60,$EF$4:$EO$4)))</f>
        <v>0</v>
      </c>
      <c r="EM81" s="196" t="n">
        <f aca="false">IF((SUMIF($EF$3:$EO$3,EM$60,$EF$4:$EO$4))=0,0,((SUMIF($EF$3:$EO$3,EM$60,$EF130:$EO130))/SUMIF($EF$3:$EO$3,EM$60,$EF$4:$EO$4)))</f>
        <v>0</v>
      </c>
      <c r="EN81" s="196" t="n">
        <f aca="false">IF((SUMIF($EF$3:$EO$3,EN$60,$EF$4:$EO$4))=0,0,((SUMIF($EF$3:$EO$3,EN$60,$EF130:$EO130))/SUMIF($EF$3:$EO$3,EN$60,$EF$4:$EO$4)))</f>
        <v>0</v>
      </c>
      <c r="EO81" s="197" t="n">
        <f aca="false">IF((SUMIF($EF$3:$EO$3,EO$60,$EF$4:$EO$4))=0,0,((SUMIF($EF$3:$EO$3,EO$60,$EF130:$EO130))/SUMIF($EF$3:$EO$3,EO$60,$EF$4:$EO$4)))</f>
        <v>0</v>
      </c>
      <c r="EP81" s="194" t="str">
        <f aca="false">EE81</f>
        <v>Alumno20</v>
      </c>
      <c r="EQ81" s="195" t="n">
        <f aca="false">IF((SUMIF($EQ$3:$EZ$3,EQ$60,$EQ$4:$EZ$4))=0,0,((SUMIF($EQ$3:$EZ$3,EQ$60,$EQ130:$EZ130))/SUMIF($EQ$3:$EZ$3,EQ$60,$EQ$4:$EZ$4)))</f>
        <v>0</v>
      </c>
      <c r="ER81" s="196" t="n">
        <f aca="false">IF((SUMIF($EQ$3:$EZ$3,ER$60,$EQ$4:$EZ$4))=0,0,((SUMIF($EQ$3:$EZ$3,ER$60,$EQ130:$EZ130))/SUMIF($EQ$3:$EZ$3,ER$60,$EQ$4:$EZ$4)))</f>
        <v>0</v>
      </c>
      <c r="ES81" s="196" t="n">
        <f aca="false">IF((SUMIF($EQ$3:$EZ$3,ES$60,$EQ$4:$EZ$4))=0,0,((SUMIF($EQ$3:$EZ$3,ES$60,$EQ130:$EZ130))/SUMIF($EQ$3:$EZ$3,ES$60,$EQ$4:$EZ$4)))</f>
        <v>0</v>
      </c>
      <c r="ET81" s="196" t="n">
        <f aca="false">IF((SUMIF($EQ$3:$EZ$3,ET$60,$EQ$4:$EZ$4))=0,0,((SUMIF($EQ$3:$EZ$3,ET$60,$EQ130:$EZ130))/SUMIF($EQ$3:$EZ$3,ET$60,$EQ$4:$EZ$4)))</f>
        <v>0</v>
      </c>
      <c r="EU81" s="196" t="n">
        <f aca="false">IF((SUMIF($EQ$3:$EZ$3,EU$60,$EQ$4:$EZ$4))=0,0,((SUMIF($EQ$3:$EZ$3,EU$60,$EQ130:$EZ130))/SUMIF($EQ$3:$EZ$3,EU$60,$EQ$4:$EZ$4)))</f>
        <v>0</v>
      </c>
      <c r="EV81" s="196" t="n">
        <f aca="false">IF((SUMIF($EQ$3:$EZ$3,EV$60,$EQ$4:$EZ$4))=0,0,((SUMIF($EQ$3:$EZ$3,EV$60,$EQ130:$EZ130))/SUMIF($EQ$3:$EZ$3,EV$60,$EQ$4:$EZ$4)))</f>
        <v>0</v>
      </c>
      <c r="EW81" s="196" t="n">
        <f aca="false">IF((SUMIF($EQ$3:$EZ$3,EW$60,$EQ$4:$EZ$4))=0,0,((SUMIF($EQ$3:$EZ$3,EW$60,$EQ130:$EZ130))/SUMIF($EQ$3:$EZ$3,EW$60,$EQ$4:$EZ$4)))</f>
        <v>0</v>
      </c>
      <c r="EX81" s="196" t="n">
        <f aca="false">IF((SUMIF($EQ$3:$EZ$3,EX$60,$EQ$4:$EZ$4))=0,0,((SUMIF($EQ$3:$EZ$3,EX$60,$EQ130:$EZ130))/SUMIF($EQ$3:$EZ$3,EX$60,$EQ$4:$EZ$4)))</f>
        <v>0</v>
      </c>
      <c r="EY81" s="196" t="n">
        <f aca="false">IF((SUMIF($EQ$3:$EZ$3,EY$60,$EQ$4:$EZ$4))=0,0,((SUMIF($EQ$3:$EZ$3,EY$60,$EQ130:$EZ130))/SUMIF($EQ$3:$EZ$3,EY$60,$EQ$4:$EZ$4)))</f>
        <v>0</v>
      </c>
      <c r="EZ81" s="197" t="n">
        <f aca="false">IF((SUMIF($EQ$3:$EZ$3,EZ$60,$EQ$4:$EZ$4))=0,0,((SUMIF($EQ$3:$EZ$3,EZ$60,$EQ130:$EZ130))/SUMIF($EQ$3:$EZ$3,EZ$60,$EQ$4:$EZ$4)))</f>
        <v>0</v>
      </c>
      <c r="FA81" s="194" t="str">
        <f aca="false">EP81</f>
        <v>Alumno20</v>
      </c>
      <c r="FB81" s="195" t="n">
        <f aca="false">IF((SUMIF($FB$3:$FK$3,FB$60,$FB$4:$FK$4))=0,0,((SUMIF($FB$3:$FK$3,FB$60,$FB130:$FK130))/SUMIF($FB$3:$FK$3,FB$60,$FB$4:$FK$4)))</f>
        <v>0</v>
      </c>
      <c r="FC81" s="196" t="n">
        <f aca="false">IF((SUMIF($FB$3:$FK$3,FC$60,$FB$4:$FK$4))=0,0,((SUMIF($FB$3:$FK$3,FC$60,$FB130:$FK130))/SUMIF($FB$3:$FK$3,FC$60,$FB$4:$FK$4)))</f>
        <v>0</v>
      </c>
      <c r="FD81" s="196" t="n">
        <f aca="false">IF((SUMIF($FB$3:$FK$3,FD$60,$FB$4:$FK$4))=0,0,((SUMIF($FB$3:$FK$3,FD$60,$FB130:$FK130))/SUMIF($FB$3:$FK$3,FD$60,$FB$4:$FK$4)))</f>
        <v>0</v>
      </c>
      <c r="FE81" s="196" t="n">
        <f aca="false">IF((SUMIF($FB$3:$FK$3,FE$60,$FB$4:$FK$4))=0,0,((SUMIF($FB$3:$FK$3,FE$60,$FB130:$FK130))/SUMIF($FB$3:$FK$3,FE$60,$FB$4:$FK$4)))</f>
        <v>0</v>
      </c>
      <c r="FF81" s="196" t="n">
        <f aca="false">IF((SUMIF($FB$3:$FK$3,FF$60,$FB$4:$FK$4))=0,0,((SUMIF($FB$3:$FK$3,FF$60,$FB130:$FK130))/SUMIF($FB$3:$FK$3,FF$60,$FB$4:$FK$4)))</f>
        <v>0</v>
      </c>
      <c r="FG81" s="196" t="n">
        <f aca="false">IF((SUMIF($FB$3:$FK$3,FG$60,$FB$4:$FK$4))=0,0,((SUMIF($FB$3:$FK$3,FG$60,$FB130:$FK130))/SUMIF($FB$3:$FK$3,FG$60,$FB$4:$FK$4)))</f>
        <v>0</v>
      </c>
      <c r="FH81" s="196" t="n">
        <f aca="false">IF((SUMIF($FB$3:$FK$3,FH$60,$FB$4:$FK$4))=0,0,((SUMIF($FB$3:$FK$3,FH$60,$FB130:$FK130))/SUMIF($FB$3:$FK$3,FH$60,$FB$4:$FK$4)))</f>
        <v>0</v>
      </c>
      <c r="FI81" s="196" t="n">
        <f aca="false">IF((SUMIF($FB$3:$FK$3,FI$60,$FB$4:$FK$4))=0,0,((SUMIF($FB$3:$FK$3,FI$60,$FB130:$FK130))/SUMIF($FB$3:$FK$3,FI$60,$FB$4:$FK$4)))</f>
        <v>0</v>
      </c>
      <c r="FJ81" s="196" t="n">
        <f aca="false">IF((SUMIF($FB$3:$FK$3,FJ$60,$FB$4:$FK$4))=0,0,((SUMIF($FB$3:$FK$3,FJ$60,$FB130:$FK130))/SUMIF($FB$3:$FK$3,FJ$60,$FB$4:$FK$4)))</f>
        <v>0</v>
      </c>
      <c r="FK81" s="197" t="n">
        <f aca="false">IF((SUMIF($FB$3:$FK$3,FK$60,$FB$4:$FK$4))=0,0,((SUMIF($FB$3:$FK$3,FK$60,$FB130:$FK130))/SUMIF($FB$3:$FK$3,FK$60,$FB$4:$FK$4)))</f>
        <v>0</v>
      </c>
      <c r="FL81" s="194" t="str">
        <f aca="false">FA81</f>
        <v>Alumno20</v>
      </c>
      <c r="FM81" s="195" t="n">
        <f aca="false">IF((SUMIF($FM$3:$FV$3,FM$60,$FM$4:$FV$4))=0,0,((SUMIF($FM$3:$FV$3,FM$60,$FM130:$FV130))/SUMIF($FM$3:$FV$3,FM$60,$FM$4:$FV$4)))</f>
        <v>0</v>
      </c>
      <c r="FN81" s="196" t="n">
        <f aca="false">IF((SUMIF($FM$3:$FV$3,FN$60,$FM$4:$FV$4))=0,0,((SUMIF($FM$3:$FV$3,FN$60,$FM130:$FV130))/SUMIF($FM$3:$FV$3,FN$60,$FM$4:$FV$4)))</f>
        <v>0</v>
      </c>
      <c r="FO81" s="196" t="n">
        <f aca="false">IF((SUMIF($FM$3:$FV$3,FO$60,$FM$4:$FV$4))=0,0,((SUMIF($FM$3:$FV$3,FO$60,$FM130:$FV130))/SUMIF($FM$3:$FV$3,FO$60,$FM$4:$FV$4)))</f>
        <v>0</v>
      </c>
      <c r="FP81" s="196" t="n">
        <f aca="false">IF((SUMIF($FM$3:$FV$3,FP$60,$FM$4:$FV$4))=0,0,((SUMIF($FM$3:$FV$3,FP$60,$FM130:$FV130))/SUMIF($FM$3:$FV$3,FP$60,$FM$4:$FV$4)))</f>
        <v>0</v>
      </c>
      <c r="FQ81" s="196" t="n">
        <f aca="false">IF((SUMIF($FM$3:$FV$3,FQ$60,$FM$4:$FV$4))=0,0,((SUMIF($FM$3:$FV$3,FQ$60,$FM130:$FV130))/SUMIF($FM$3:$FV$3,FQ$60,$FM$4:$FV$4)))</f>
        <v>0</v>
      </c>
      <c r="FR81" s="196" t="n">
        <f aca="false">IF((SUMIF($FM$3:$FV$3,FR$60,$FM$4:$FV$4))=0,0,((SUMIF($FM$3:$FV$3,FR$60,$FM130:$FV130))/SUMIF($FM$3:$FV$3,FR$60,$FM$4:$FV$4)))</f>
        <v>0</v>
      </c>
      <c r="FS81" s="196" t="n">
        <f aca="false">IF((SUMIF($FM$3:$FV$3,FS$60,$FM$4:$FV$4))=0,0,((SUMIF($FM$3:$FV$3,FS$60,$FM130:$FV130))/SUMIF($FM$3:$FV$3,FS$60,$FM$4:$FV$4)))</f>
        <v>0</v>
      </c>
      <c r="FT81" s="196" t="n">
        <f aca="false">IF((SUMIF($FM$3:$FV$3,FT$60,$FM$4:$FV$4))=0,0,((SUMIF($FM$3:$FV$3,FT$60,$FM130:$FV130))/SUMIF($FM$3:$FV$3,FT$60,$FM$4:$FV$4)))</f>
        <v>0</v>
      </c>
      <c r="FU81" s="196" t="n">
        <f aca="false">IF((SUMIF($FM$3:$FV$3,FU$60,$FM$4:$FV$4))=0,0,((SUMIF($FM$3:$FV$3,FU$60,$FM130:$FV130))/SUMIF($FM$3:$FV$3,FU$60,$FM$4:$FV$4)))</f>
        <v>0</v>
      </c>
      <c r="FV81" s="197" t="n">
        <f aca="false">IF((SUMIF($FM$3:$FV$3,FV$60,$FM$4:$FV$4))=0,0,((SUMIF($FM$3:$FV$3,FV$60,$FM130:$FV130))/SUMIF($FM$3:$FV$3,FV$60,$FM$4:$FV$4)))</f>
        <v>0</v>
      </c>
      <c r="FW81" s="194" t="str">
        <f aca="false">FL81</f>
        <v>Alumno20</v>
      </c>
      <c r="FX81" s="195" t="n">
        <f aca="false">IF((SUMIF($FX$3:$GG$3,FX$60,$FX$4:$GG$4))=0,0,((SUMIF($FX$3:$GG$3,FX$60,$FX130:$GG130))/SUMIF($FX$3:$GG$3,FX$60,$FX$4:$GG$4)))</f>
        <v>0</v>
      </c>
      <c r="FY81" s="196" t="n">
        <f aca="false">IF((SUMIF($FX$3:$GG$3,FY$60,$FX$4:$GG$4))=0,0,((SUMIF($FX$3:$GG$3,FY$60,$FX130:$GG130))/SUMIF($FX$3:$GG$3,FY$60,$FX$4:$GG$4)))</f>
        <v>0</v>
      </c>
      <c r="FZ81" s="196" t="n">
        <f aca="false">IF((SUMIF($FX$3:$GG$3,FZ$60,$FX$4:$GG$4))=0,0,((SUMIF($FX$3:$GG$3,FZ$60,$FX130:$GG130))/SUMIF($FX$3:$GG$3,FZ$60,$FX$4:$GG$4)))</f>
        <v>0</v>
      </c>
      <c r="GA81" s="196" t="n">
        <f aca="false">IF((SUMIF($FX$3:$GG$3,GA$60,$FX$4:$GG$4))=0,0,((SUMIF($FX$3:$GG$3,GA$60,$FX130:$GG130))/SUMIF($FX$3:$GG$3,GA$60,$FX$4:$GG$4)))</f>
        <v>0</v>
      </c>
      <c r="GB81" s="196" t="n">
        <f aca="false">IF((SUMIF($FX$3:$GG$3,GB$60,$FX$4:$GG$4))=0,0,((SUMIF($FX$3:$GG$3,GB$60,$FX130:$GG130))/SUMIF($FX$3:$GG$3,GB$60,$FX$4:$GG$4)))</f>
        <v>0</v>
      </c>
      <c r="GC81" s="196" t="n">
        <f aca="false">IF((SUMIF($FX$3:$GG$3,GC$60,$FX$4:$GG$4))=0,0,((SUMIF($FX$3:$GG$3,GC$60,$FX130:$GG130))/SUMIF($FX$3:$GG$3,GC$60,$FX$4:$GG$4)))</f>
        <v>0</v>
      </c>
      <c r="GD81" s="196" t="n">
        <f aca="false">IF((SUMIF($FX$3:$GG$3,GD$60,$FX$4:$GG$4))=0,0,((SUMIF($FX$3:$GG$3,GD$60,$FX130:$GG130))/SUMIF($FX$3:$GG$3,GD$60,$FX$4:$GG$4)))</f>
        <v>0</v>
      </c>
      <c r="GE81" s="196" t="n">
        <f aca="false">IF((SUMIF($FX$3:$GG$3,GE$60,$FX$4:$GG$4))=0,0,((SUMIF($FX$3:$GG$3,GE$60,$FX130:$GG130))/SUMIF($FX$3:$GG$3,GE$60,$FX$4:$GG$4)))</f>
        <v>0</v>
      </c>
      <c r="GF81" s="196" t="n">
        <f aca="false">IF((SUMIF($FX$3:$GG$3,GF$60,$FX$4:$GG$4))=0,0,((SUMIF($FX$3:$GG$3,GF$60,$FX130:$GG130))/SUMIF($FX$3:$GG$3,GF$60,$FX$4:$GG$4)))</f>
        <v>0</v>
      </c>
      <c r="GG81" s="197" t="n">
        <f aca="false">IF((SUMIF($FX$3:$GG$3,GG$60,$FX$4:$GG$4))=0,0,((SUMIF($FX$3:$GG$3,GG$60,$FX130:$GG130))/SUMIF($FX$3:$GG$3,GG$60,$FX$4:$GG$4)))</f>
        <v>0</v>
      </c>
      <c r="GH81" s="194" t="str">
        <f aca="false">FW81</f>
        <v>Alumno20</v>
      </c>
      <c r="GI81" s="195" t="n">
        <f aca="false">IF((SUMIF($GI$3:$GR$3,GI$60,$GI$4:$GR$4))=0,0,((SUMIF($GI$3:$GR$3,GI$60,$GI130:$GR130))/SUMIF($GI$3:$GR$3,GI$60,$GI$4:$GR$4)))</f>
        <v>0</v>
      </c>
      <c r="GJ81" s="196" t="n">
        <f aca="false">IF((SUMIF($GI$3:$GR$3,GJ$60,$GI$4:$GR$4))=0,0,((SUMIF($GI$3:$GR$3,GJ$60,$GI130:$GR130))/SUMIF($GI$3:$GR$3,GJ$60,$GI$4:$GR$4)))</f>
        <v>0</v>
      </c>
      <c r="GK81" s="196" t="n">
        <f aca="false">IF((SUMIF($GI$3:$GR$3,GK$60,$GI$4:$GR$4))=0,0,((SUMIF($GI$3:$GR$3,GK$60,$GI130:$GR130))/SUMIF($GI$3:$GR$3,GK$60,$GI$4:$GR$4)))</f>
        <v>0</v>
      </c>
      <c r="GL81" s="196" t="n">
        <f aca="false">IF((SUMIF($GI$3:$GR$3,GL$60,$GI$4:$GR$4))=0,0,((SUMIF($GI$3:$GR$3,GL$60,$GI130:$GR130))/SUMIF($GI$3:$GR$3,GL$60,$GI$4:$GR$4)))</f>
        <v>0</v>
      </c>
      <c r="GM81" s="196" t="n">
        <f aca="false">IF((SUMIF($GI$3:$GR$3,GM$60,$GI$4:$GR$4))=0,0,((SUMIF($GI$3:$GR$3,GM$60,$GI130:$GR130))/SUMIF($GI$3:$GR$3,GM$60,$GI$4:$GR$4)))</f>
        <v>0</v>
      </c>
      <c r="GN81" s="196" t="n">
        <f aca="false">IF((SUMIF($GI$3:$GR$3,GN$60,$GI$4:$GR$4))=0,0,((SUMIF($GI$3:$GR$3,GN$60,$GI130:$GR130))/SUMIF($GI$3:$GR$3,GN$60,$GI$4:$GR$4)))</f>
        <v>0</v>
      </c>
      <c r="GO81" s="196" t="n">
        <f aca="false">IF((SUMIF($GI$3:$GR$3,GO$60,$GI$4:$GR$4))=0,0,((SUMIF($GI$3:$GR$3,GO$60,$GI130:$GR130))/SUMIF($GI$3:$GR$3,GO$60,$GI$4:$GR$4)))</f>
        <v>0</v>
      </c>
      <c r="GP81" s="196" t="n">
        <f aca="false">IF((SUMIF($GI$3:$GR$3,GP$60,$GI$4:$GR$4))=0,0,((SUMIF($GI$3:$GR$3,GP$60,$GI130:$GR130))/SUMIF($GI$3:$GR$3,GP$60,$GI$4:$GR$4)))</f>
        <v>0</v>
      </c>
      <c r="GQ81" s="196" t="n">
        <f aca="false">IF((SUMIF($GI$3:$GR$3,GQ$60,$GI$4:$GR$4))=0,0,((SUMIF($GI$3:$GR$3,GQ$60,$GI130:$GR130))/SUMIF($GI$3:$GR$3,GQ$60,$GI$4:$GR$4)))</f>
        <v>0</v>
      </c>
      <c r="GR81" s="197" t="n">
        <f aca="false">IF((SUMIF($GI$3:$GR$3,GR$60,$GI$4:$GR$4))=0,0,((SUMIF($GI$3:$GR$3,GR$60,$GI130:$GR130))/SUMIF($GI$3:$GR$3,GR$60,$GI$4:$GR$4)))</f>
        <v>0</v>
      </c>
      <c r="GS81" s="194" t="str">
        <f aca="false">GH81</f>
        <v>Alumno20</v>
      </c>
      <c r="GT81" s="195" t="n">
        <f aca="false">IF((SUMIF($GT$3:$HC$3,GT$60,$GT$4:$HC$4))=0,0,((SUMIF($GT$3:$HC$3,GT$60,$GT130:$HC130))/SUMIF($GT$3:$HC$3,GT$60,$GT$4:$HC$4)))</f>
        <v>0</v>
      </c>
      <c r="GU81" s="196" t="n">
        <f aca="false">IF((SUMIF($GT$3:$HC$3,GU$60,$GT$4:$HC$4))=0,0,((SUMIF($GT$3:$HC$3,GU$60,$GT130:$HC130))/SUMIF($GT$3:$HC$3,GU$60,$GT$4:$HC$4)))</f>
        <v>0</v>
      </c>
      <c r="GV81" s="196" t="n">
        <f aca="false">IF((SUMIF($GT$3:$HC$3,GV$60,$GT$4:$HC$4))=0,0,((SUMIF($GT$3:$HC$3,GV$60,$GT130:$HC130))/SUMIF($GT$3:$HC$3,GV$60,$GT$4:$HC$4)))</f>
        <v>0</v>
      </c>
      <c r="GW81" s="196" t="n">
        <f aca="false">IF((SUMIF($GT$3:$HC$3,GW$60,$GT$4:$HC$4))=0,0,((SUMIF($GT$3:$HC$3,GW$60,$GT130:$HC130))/SUMIF($GT$3:$HC$3,GW$60,$GT$4:$HC$4)))</f>
        <v>0</v>
      </c>
      <c r="GX81" s="196" t="n">
        <f aca="false">IF((SUMIF($GT$3:$HC$3,GX$60,$GT$4:$HC$4))=0,0,((SUMIF($GT$3:$HC$3,GX$60,$GT130:$HC130))/SUMIF($GT$3:$HC$3,GX$60,$GT$4:$HC$4)))</f>
        <v>0</v>
      </c>
      <c r="GY81" s="196" t="n">
        <f aca="false">IF((SUMIF($GT$3:$HC$3,GY$60,$GT$4:$HC$4))=0,0,((SUMIF($GT$3:$HC$3,GY$60,$GT130:$HC130))/SUMIF($GT$3:$HC$3,GY$60,$GT$4:$HC$4)))</f>
        <v>0</v>
      </c>
      <c r="GZ81" s="196" t="n">
        <f aca="false">IF((SUMIF($GT$3:$HC$3,GZ$60,$GT$4:$HC$4))=0,0,((SUMIF($GT$3:$HC$3,GZ$60,$GT130:$HC130))/SUMIF($GT$3:$HC$3,GZ$60,$GT$4:$HC$4)))</f>
        <v>0</v>
      </c>
      <c r="HA81" s="196" t="n">
        <f aca="false">IF((SUMIF($GT$3:$HC$3,HA$60,$GT$4:$HC$4))=0,0,((SUMIF($GT$3:$HC$3,HA$60,$GT130:$HC130))/SUMIF($GT$3:$HC$3,HA$60,$GT$4:$HC$4)))</f>
        <v>0</v>
      </c>
      <c r="HB81" s="196" t="n">
        <f aca="false">IF((SUMIF($GT$3:$HC$3,HB$60,$GT$4:$HC$4))=0,0,((SUMIF($GT$3:$HC$3,HB$60,$GT130:$HC130))/SUMIF($GT$3:$HC$3,HB$60,$GT$4:$HC$4)))</f>
        <v>0</v>
      </c>
      <c r="HC81" s="197" t="n">
        <f aca="false">IF((SUMIF($GT$3:$HC$3,HC$60,$GT$4:$HC$4))=0,0,((SUMIF($GT$3:$HC$3,HC$60,$GT130:$HC130))/SUMIF($GT$3:$HC$3,HC$60,$GT$4:$HC$4)))</f>
        <v>0</v>
      </c>
      <c r="HD81" s="194" t="str">
        <f aca="false">GS81</f>
        <v>Alumno20</v>
      </c>
      <c r="HE81" s="195" t="n">
        <f aca="false">IF((SUMIF($HE$3:$HN$3,HE$60,$HE$4:$HN$4))=0,0,((SUMIF($HE$3:$HN$3,HE$60,$HE130:$HN130))/SUMIF($HE$3:$HN$3,HE$60,$HE$4:$HN$4)))</f>
        <v>0</v>
      </c>
      <c r="HF81" s="196" t="n">
        <f aca="false">IF((SUMIF($HE$3:$HN$3,HF$60,$HE$4:$HN$4))=0,0,((SUMIF($HE$3:$HN$3,HF$60,$HE130:$HN130))/SUMIF($HE$3:$HN$3,HF$60,$HE$4:$HN$4)))</f>
        <v>0</v>
      </c>
      <c r="HG81" s="196" t="n">
        <f aca="false">IF((SUMIF($HE$3:$HN$3,HG$60,$HE$4:$HN$4))=0,0,((SUMIF($HE$3:$HN$3,HG$60,$HE130:$HN130))/SUMIF($HE$3:$HN$3,HG$60,$HE$4:$HN$4)))</f>
        <v>0</v>
      </c>
      <c r="HH81" s="196" t="n">
        <f aca="false">IF((SUMIF($HE$3:$HN$3,HH$60,$HE$4:$HN$4))=0,0,((SUMIF($HE$3:$HN$3,HH$60,$HE130:$HN130))/SUMIF($HE$3:$HN$3,HH$60,$HE$4:$HN$4)))</f>
        <v>0</v>
      </c>
      <c r="HI81" s="196" t="n">
        <f aca="false">IF((SUMIF($HE$3:$HN$3,HI$60,$HE$4:$HN$4))=0,0,((SUMIF($HE$3:$HN$3,HI$60,$HE130:$HN130))/SUMIF($HE$3:$HN$3,HI$60,$HE$4:$HN$4)))</f>
        <v>0</v>
      </c>
      <c r="HJ81" s="196" t="n">
        <f aca="false">IF((SUMIF($HE$3:$HN$3,HJ$60,$HE$4:$HN$4))=0,0,((SUMIF($HE$3:$HN$3,HJ$60,$HE130:$HN130))/SUMIF($HE$3:$HN$3,HJ$60,$HE$4:$HN$4)))</f>
        <v>0</v>
      </c>
      <c r="HK81" s="196" t="n">
        <f aca="false">IF((SUMIF($HE$3:$HN$3,HK$60,$HE$4:$HN$4))=0,0,((SUMIF($HE$3:$HN$3,HK$60,$HE130:$HN130))/SUMIF($HE$3:$HN$3,HK$60,$HE$4:$HN$4)))</f>
        <v>0</v>
      </c>
      <c r="HL81" s="196" t="n">
        <f aca="false">IF((SUMIF($HE$3:$HN$3,HL$60,$HE$4:$HN$4))=0,0,((SUMIF($HE$3:$HN$3,HL$60,$HE130:$HN130))/SUMIF($HE$3:$HN$3,HL$60,$HE$4:$HN$4)))</f>
        <v>0</v>
      </c>
      <c r="HM81" s="196" t="n">
        <f aca="false">IF((SUMIF($HE$3:$HN$3,HM$60,$HE$4:$HN$4))=0,0,((SUMIF($HE$3:$HN$3,HM$60,$HE130:$HN130))/SUMIF($HE$3:$HN$3,HM$60,$HE$4:$HN$4)))</f>
        <v>0</v>
      </c>
      <c r="HN81" s="197" t="n">
        <f aca="false">IF((SUMIF($HE$3:$HN$3,HN$60,$HE$4:$HN$4))=0,0,((SUMIF($HE$3:$HN$3,HN$60,$HE130:$HN130))/SUMIF($HE$3:$HN$3,HN$60,$HE$4:$HN$4)))</f>
        <v>0</v>
      </c>
      <c r="HO81" s="194" t="str">
        <f aca="false">HD81</f>
        <v>Alumno20</v>
      </c>
      <c r="HP81" s="195" t="n">
        <f aca="false">IF((SUMIF($HP$3:$HY$3,HP$60,$HP$4:$HY$4))=0,0,((SUMIF($HP$3:$HY$3,HP$60,$HP130:$HY130))/SUMIF($HP$3:$HY$3,HP$60,$HP$4:$HY$4)))</f>
        <v>0</v>
      </c>
      <c r="HQ81" s="196" t="n">
        <f aca="false">IF((SUMIF($HP$3:$HY$3,HQ$60,$HP$4:$HY$4))=0,0,((SUMIF($HP$3:$HY$3,HQ$60,$HP130:$HY130))/SUMIF($HP$3:$HY$3,HQ$60,$HP$4:$HY$4)))</f>
        <v>0</v>
      </c>
      <c r="HR81" s="196" t="n">
        <f aca="false">IF((SUMIF($HP$3:$HY$3,HR$60,$HP$4:$HY$4))=0,0,((SUMIF($HP$3:$HY$3,HR$60,$HP130:$HY130))/SUMIF($HP$3:$HY$3,HR$60,$HP$4:$HY$4)))</f>
        <v>0</v>
      </c>
      <c r="HS81" s="196" t="n">
        <f aca="false">IF((SUMIF($HP$3:$HY$3,HS$60,$HP$4:$HY$4))=0,0,((SUMIF($HP$3:$HY$3,HS$60,$HP130:$HY130))/SUMIF($HP$3:$HY$3,HS$60,$HP$4:$HY$4)))</f>
        <v>0</v>
      </c>
      <c r="HT81" s="196" t="n">
        <f aca="false">IF((SUMIF($HP$3:$HY$3,HT$60,$HP$4:$HY$4))=0,0,((SUMIF($HP$3:$HY$3,HT$60,$HP130:$HY130))/SUMIF($HP$3:$HY$3,HT$60,$HP$4:$HY$4)))</f>
        <v>0</v>
      </c>
      <c r="HU81" s="196" t="n">
        <f aca="false">IF((SUMIF($HP$3:$HY$3,HU$60,$HP$4:$HY$4))=0,0,((SUMIF($HP$3:$HY$3,HU$60,$HP130:$HY130))/SUMIF($HP$3:$HY$3,HU$60,$HP$4:$HY$4)))</f>
        <v>0</v>
      </c>
      <c r="HV81" s="196" t="n">
        <f aca="false">IF((SUMIF($HP$3:$HY$3,HV$60,$HP$4:$HY$4))=0,0,((SUMIF($HP$3:$HY$3,HV$60,$HP130:$HY130))/SUMIF($HP$3:$HY$3,HV$60,$HP$4:$HY$4)))</f>
        <v>0</v>
      </c>
      <c r="HW81" s="196" t="n">
        <f aca="false">IF((SUMIF($HP$3:$HY$3,HW$60,$HP$4:$HY$4))=0,0,((SUMIF($HP$3:$HY$3,HW$60,$HP130:$HY130))/SUMIF($HP$3:$HY$3,HW$60,$HP$4:$HY$4)))</f>
        <v>0</v>
      </c>
      <c r="HX81" s="196" t="n">
        <f aca="false">IF((SUMIF($HP$3:$HY$3,HX$60,$HP$4:$HY$4))=0,0,((SUMIF($HP$3:$HY$3,HX$60,$HP130:$HY130))/SUMIF($HP$3:$HY$3,HX$60,$HP$4:$HY$4)))</f>
        <v>0</v>
      </c>
      <c r="HY81" s="197" t="n">
        <f aca="false">IF((SUMIF($HP$3:$HY$3,HY$60,$HP$4:$HY$4))=0,0,((SUMIF($HP$3:$HY$3,HY$60,$HP130:$HY130))/SUMIF($HP$3:$HY$3,HY$60,$HP$4:$HY$4)))</f>
        <v>0</v>
      </c>
      <c r="HZ81" s="194" t="str">
        <f aca="false">HO81</f>
        <v>Alumno20</v>
      </c>
      <c r="IA81" s="195" t="n">
        <f aca="false">IF((SUMIF($IA$3:$IJ$3,IA$60,$IA$4:$IJ$4))=0,0,((SUMIF($IA$3:$IJ$3,IA$60,$IA130:$IJ130))/SUMIF($IA$3:$IJ$3,IA$60,$IA$4:$IJ$4)))</f>
        <v>0</v>
      </c>
      <c r="IB81" s="196" t="n">
        <f aca="false">IF((SUMIF($IA$3:$IJ$3,IB$60,$IA$4:$IJ$4))=0,0,((SUMIF($IA$3:$IJ$3,IB$60,$IA130:$IJ130))/SUMIF($IA$3:$IJ$3,IB$60,$IA$4:$IJ$4)))</f>
        <v>0</v>
      </c>
      <c r="IC81" s="196" t="n">
        <f aca="false">IF((SUMIF($IA$3:$IJ$3,IC$60,$IA$4:$IJ$4))=0,0,((SUMIF($IA$3:$IJ$3,IC$60,$IA130:$IJ130))/SUMIF($IA$3:$IJ$3,IC$60,$IA$4:$IJ$4)))</f>
        <v>0</v>
      </c>
      <c r="ID81" s="196" t="n">
        <f aca="false">IF((SUMIF($IA$3:$IJ$3,ID$60,$IA$4:$IJ$4))=0,0,((SUMIF($IA$3:$IJ$3,ID$60,$IA130:$IJ130))/SUMIF($IA$3:$IJ$3,ID$60,$IA$4:$IJ$4)))</f>
        <v>0</v>
      </c>
      <c r="IE81" s="196" t="n">
        <f aca="false">IF((SUMIF($IA$3:$IJ$3,IE$60,$IA$4:$IJ$4))=0,0,((SUMIF($IA$3:$IJ$3,IE$60,$IA130:$IJ130))/SUMIF($IA$3:$IJ$3,IE$60,$IA$4:$IJ$4)))</f>
        <v>0</v>
      </c>
      <c r="IF81" s="196" t="n">
        <f aca="false">IF((SUMIF($IA$3:$IJ$3,IF$60,$IA$4:$IJ$4))=0,0,((SUMIF($IA$3:$IJ$3,IF$60,$IA130:$IJ130))/SUMIF($IA$3:$IJ$3,IF$60,$IA$4:$IJ$4)))</f>
        <v>0</v>
      </c>
      <c r="IG81" s="196" t="n">
        <f aca="false">IF((SUMIF($IA$3:$IJ$3,IG$60,$IA$4:$IJ$4))=0,0,((SUMIF($IA$3:$IJ$3,IG$60,$IA130:$IJ130))/SUMIF($IA$3:$IJ$3,IG$60,$IA$4:$IJ$4)))</f>
        <v>0</v>
      </c>
      <c r="IH81" s="196" t="n">
        <f aca="false">IF((SUMIF($IA$3:$IJ$3,IH$60,$IA$4:$IJ$4))=0,0,((SUMIF($IA$3:$IJ$3,IH$60,$IA130:$IJ130))/SUMIF($IA$3:$IJ$3,IH$60,$IA$4:$IJ$4)))</f>
        <v>0</v>
      </c>
      <c r="II81" s="196" t="n">
        <f aca="false">IF((SUMIF($IA$3:$IJ$3,II$60,$IA$4:$IJ$4))=0,0,((SUMIF($IA$3:$IJ$3,II$60,$IA130:$IJ130))/SUMIF($IA$3:$IJ$3,II$60,$IA$4:$IJ$4)))</f>
        <v>0</v>
      </c>
      <c r="IJ81" s="197" t="n">
        <f aca="false">IF((SUMIF($IA$3:$IJ$3,IJ$60,$IA$4:$IJ$4))=0,0,((SUMIF($IA$3:$IJ$3,IJ$60,$IA130:$IJ130))/SUMIF($IA$3:$IJ$3,IJ$60,$IA$4:$IJ$4)))</f>
        <v>0</v>
      </c>
      <c r="IK81" s="194" t="str">
        <f aca="false">HZ81</f>
        <v>Alumno20</v>
      </c>
      <c r="IL81" s="195" t="n">
        <f aca="false">IF((SUMIF($IL$3:$IU$3,IL$60,$IL$4:$IU$4))=0,0,((SUMIF($IL$3:$IU$3,IL$60,$IL130:$IU130))/SUMIF($IL$3:$IU$3,IL$60,$IL$4:$IU$4)))</f>
        <v>0</v>
      </c>
      <c r="IM81" s="196" t="n">
        <f aca="false">IF((SUMIF($IL$3:$IU$3,IM$60,$IL$4:$IU$4))=0,0,((SUMIF($IL$3:$IU$3,IM$60,$IL130:$IU130))/SUMIF($IL$3:$IU$3,IM$60,$IL$4:$IU$4)))</f>
        <v>0</v>
      </c>
      <c r="IN81" s="196" t="n">
        <f aca="false">IF((SUMIF($IL$3:$IU$3,IN$60,$IL$4:$IU$4))=0,0,((SUMIF($IL$3:$IU$3,IN$60,$IL130:$IU130))/SUMIF($IL$3:$IU$3,IN$60,$IL$4:$IU$4)))</f>
        <v>0</v>
      </c>
      <c r="IO81" s="196" t="n">
        <f aca="false">IF((SUMIF($IL$3:$IU$3,IO$60,$IL$4:$IU$4))=0,0,((SUMIF($IL$3:$IU$3,IO$60,$IL130:$IU130))/SUMIF($IL$3:$IU$3,IO$60,$IL$4:$IU$4)))</f>
        <v>0</v>
      </c>
      <c r="IP81" s="196" t="n">
        <f aca="false">IF((SUMIF($IL$3:$IU$3,IP$60,$IL$4:$IU$4))=0,0,((SUMIF($IL$3:$IU$3,IP$60,$IL130:$IU130))/SUMIF($IL$3:$IU$3,IP$60,$IL$4:$IU$4)))</f>
        <v>0</v>
      </c>
      <c r="IQ81" s="196" t="n">
        <f aca="false">IF((SUMIF($IL$3:$IU$3,IQ$60,$IL$4:$IU$4))=0,0,((SUMIF($IL$3:$IU$3,IQ$60,$IL130:$IU130))/SUMIF($IL$3:$IU$3,IQ$60,$IL$4:$IU$4)))</f>
        <v>0</v>
      </c>
      <c r="IR81" s="196" t="n">
        <f aca="false">IF((SUMIF($IL$3:$IU$3,IR$60,$IL$4:$IU$4))=0,0,((SUMIF($IL$3:$IU$3,IR$60,$IL130:$IU130))/SUMIF($IL$3:$IU$3,IR$60,$IL$4:$IU$4)))</f>
        <v>0</v>
      </c>
      <c r="IS81" s="196" t="n">
        <f aca="false">IF((SUMIF($IL$3:$IU$3,IS$60,$IL$4:$IU$4))=0,0,((SUMIF($IL$3:$IU$3,IS$60,$IL130:$IU130))/SUMIF($IL$3:$IU$3,IS$60,$IL$4:$IU$4)))</f>
        <v>0</v>
      </c>
      <c r="IT81" s="196" t="n">
        <f aca="false">IF((SUMIF($IL$3:$IU$3,IT$60,$IL$4:$IU$4))=0,0,((SUMIF($IL$3:$IU$3,IT$60,$IL130:$IU130))/SUMIF($IL$3:$IU$3,IT$60,$IL$4:$IU$4)))</f>
        <v>0</v>
      </c>
      <c r="IU81" s="197" t="n">
        <f aca="false">IF((SUMIF($IL$3:$IU$3,IU$60,$IL$4:$IU$4))=0,0,((SUMIF($IL$3:$IU$3,IU$60,$IL130:$IU130))/SUMIF($IL$3:$IU$3,IU$60,$IL$4:$IU$4)))</f>
        <v>0</v>
      </c>
      <c r="IV81" s="194" t="str">
        <f aca="false">IK81</f>
        <v>Alumno20</v>
      </c>
      <c r="IW81" s="195" t="n">
        <f aca="false">IF((SUMIF($IW$3:$JF$3,IW$60,$IW$4:$JF$4))=0,0,((SUMIF($IW$3:$JF$3,IW$60,$IW130:$JF130))/SUMIF($IW$3:$JF$3,IW$60,$IW$4:$JF$4)))</f>
        <v>0</v>
      </c>
      <c r="IX81" s="196" t="n">
        <f aca="false">IF((SUMIF($IW$3:$JF$3,IX$60,$IW$4:$JF$4))=0,0,((SUMIF($IW$3:$JF$3,IX$60,$IW130:$JF130))/SUMIF($IW$3:$JF$3,IX$60,$IW$4:$JF$4)))</f>
        <v>0</v>
      </c>
      <c r="IY81" s="196" t="n">
        <f aca="false">IF((SUMIF($IW$3:$JF$3,IY$60,$IW$4:$JF$4))=0,0,((SUMIF($IW$3:$JF$3,IY$60,$IW130:$JF130))/SUMIF($IW$3:$JF$3,IY$60,$IW$4:$JF$4)))</f>
        <v>0</v>
      </c>
      <c r="IZ81" s="196" t="n">
        <f aca="false">IF((SUMIF($IW$3:$JF$3,IZ$60,$IW$4:$JF$4))=0,0,((SUMIF($IW$3:$JF$3,IZ$60,$IW130:$JF130))/SUMIF($IW$3:$JF$3,IZ$60,$IW$4:$JF$4)))</f>
        <v>0</v>
      </c>
      <c r="JA81" s="196" t="n">
        <f aca="false">IF((SUMIF($IW$3:$JF$3,JA$60,$IW$4:$JF$4))=0,0,((SUMIF($IW$3:$JF$3,JA$60,$IW130:$JF130))/SUMIF($IW$3:$JF$3,JA$60,$IW$4:$JF$4)))</f>
        <v>0</v>
      </c>
      <c r="JB81" s="196" t="n">
        <f aca="false">IF((SUMIF($IW$3:$JF$3,JB$60,$IW$4:$JF$4))=0,0,((SUMIF($IW$3:$JF$3,JB$60,$IW130:$JF130))/SUMIF($IW$3:$JF$3,JB$60,$IW$4:$JF$4)))</f>
        <v>0</v>
      </c>
      <c r="JC81" s="196" t="n">
        <f aca="false">IF((SUMIF($IW$3:$JF$3,JC$60,$IW$4:$JF$4))=0,0,((SUMIF($IW$3:$JF$3,JC$60,$IW130:$JF130))/SUMIF($IW$3:$JF$3,JC$60,$IW$4:$JF$4)))</f>
        <v>0</v>
      </c>
      <c r="JD81" s="196" t="n">
        <f aca="false">IF((SUMIF($IW$3:$JF$3,JD$60,$IW$4:$JF$4))=0,0,((SUMIF($IW$3:$JF$3,JD$60,$IW130:$JF130))/SUMIF($IW$3:$JF$3,JD$60,$IW$4:$JF$4)))</f>
        <v>0</v>
      </c>
      <c r="JE81" s="196" t="n">
        <f aca="false">IF((SUMIF($IW$3:$JF$3,JE$60,$IW$4:$JF$4))=0,0,((SUMIF($IW$3:$JF$3,JE$60,$IW130:$JF130))/SUMIF($IW$3:$JF$3,JE$60,$IW$4:$JF$4)))</f>
        <v>0</v>
      </c>
      <c r="JF81" s="197" t="n">
        <f aca="false">IF((SUMIF($IW$3:$JF$3,JF$60,$IW$4:$JF$4))=0,0,((SUMIF($IW$3:$JF$3,JF$60,$IW130:$JF130))/SUMIF($IW$3:$JF$3,JF$60,$IW$4:$JF$4)))</f>
        <v>0</v>
      </c>
      <c r="JG81" s="194" t="str">
        <f aca="false">IV81</f>
        <v>Alumno20</v>
      </c>
      <c r="JH81" s="195" t="n">
        <f aca="false">IF((SUMIF($JH$3:$JQ$3,JH$60,$JH$4:$JQ$4))=0,0,((SUMIF($JH$3:$JQ$3,JH$60,$JH130:$JQ130))/SUMIF($JH$3:$JQ$3,JH$60,$JH$4:$JQ$4)))</f>
        <v>0</v>
      </c>
      <c r="JI81" s="196" t="n">
        <f aca="false">IF((SUMIF($JH$3:$JQ$3,JI$60,$JH$4:$JQ$4))=0,0,((SUMIF($JH$3:$JQ$3,JI$60,$JH130:$JQ130))/SUMIF($JH$3:$JQ$3,JI$60,$JH$4:$JQ$4)))</f>
        <v>0</v>
      </c>
      <c r="JJ81" s="196" t="n">
        <f aca="false">IF((SUMIF($JH$3:$JQ$3,JJ$60,$JH$4:$JQ$4))=0,0,((SUMIF($JH$3:$JQ$3,JJ$60,$JH130:$JQ130))/SUMIF($JH$3:$JQ$3,JJ$60,$JH$4:$JQ$4)))</f>
        <v>0</v>
      </c>
      <c r="JK81" s="196" t="n">
        <f aca="false">IF((SUMIF($JH$3:$JQ$3,JK$60,$JH$4:$JQ$4))=0,0,((SUMIF($JH$3:$JQ$3,JK$60,$JH130:$JQ130))/SUMIF($JH$3:$JQ$3,JK$60,$JH$4:$JQ$4)))</f>
        <v>0</v>
      </c>
      <c r="JL81" s="196" t="n">
        <f aca="false">IF((SUMIF($JH$3:$JQ$3,JL$60,$JH$4:$JQ$4))=0,0,((SUMIF($JH$3:$JQ$3,JL$60,$JH130:$JQ130))/SUMIF($JH$3:$JQ$3,JL$60,$JH$4:$JQ$4)))</f>
        <v>0</v>
      </c>
      <c r="JM81" s="196" t="n">
        <f aca="false">IF((SUMIF($JH$3:$JQ$3,JM$60,$JH$4:$JQ$4))=0,0,((SUMIF($JH$3:$JQ$3,JM$60,$JH130:$JQ130))/SUMIF($JH$3:$JQ$3,JM$60,$JH$4:$JQ$4)))</f>
        <v>0</v>
      </c>
      <c r="JN81" s="196" t="n">
        <f aca="false">IF((SUMIF($JH$3:$JQ$3,JN$60,$JH$4:$JQ$4))=0,0,((SUMIF($JH$3:$JQ$3,JN$60,$JH130:$JQ130))/SUMIF($JH$3:$JQ$3,JN$60,$JH$4:$JQ$4)))</f>
        <v>0</v>
      </c>
      <c r="JO81" s="196" t="n">
        <f aca="false">IF((SUMIF($JH$3:$JQ$3,JO$60,$JH$4:$JQ$4))=0,0,((SUMIF($JH$3:$JQ$3,JO$60,$JH130:$JQ130))/SUMIF($JH$3:$JQ$3,JO$60,$JH$4:$JQ$4)))</f>
        <v>0</v>
      </c>
      <c r="JP81" s="196" t="n">
        <f aca="false">IF((SUMIF($JH$3:$JQ$3,JP$60,$JH$4:$JQ$4))=0,0,((SUMIF($JH$3:$JQ$3,JP$60,$JH130:$JQ130))/SUMIF($JH$3:$JQ$3,JP$60,$JH$4:$JQ$4)))</f>
        <v>0</v>
      </c>
      <c r="JQ81" s="197" t="n">
        <f aca="false">IF((SUMIF($JH$3:$JQ$3,JQ$60,$JH$4:$JQ$4))=0,0,((SUMIF($JH$3:$JQ$3,JQ$60,$JH130:$JQ130))/SUMIF($JH$3:$JQ$3,JQ$60,$JH$4:$JQ$4)))</f>
        <v>0</v>
      </c>
      <c r="JR81" s="194" t="str">
        <f aca="false">JG81</f>
        <v>Alumno20</v>
      </c>
      <c r="JS81" s="195" t="n">
        <f aca="false">IF((SUMIF($JS$3:$KB$3,JS$60,$JS$4:$KB$4))=0,0,((SUMIF($JS$3:$KB$3,JS$60,$JS130:$KB130))/SUMIF($JS$3:$KB$3,JS$60,$JS$4:$KB$4)))</f>
        <v>0</v>
      </c>
      <c r="JT81" s="196" t="n">
        <f aca="false">IF((SUMIF($JS$3:$KB$3,JT$60,$JS$4:$KB$4))=0,0,((SUMIF($JS$3:$KB$3,JT$60,$JS130:$KB130))/SUMIF($JS$3:$KB$3,JT$60,$JS$4:$KB$4)))</f>
        <v>0</v>
      </c>
      <c r="JU81" s="196" t="n">
        <f aca="false">IF((SUMIF($JS$3:$KB$3,JU$60,$JS$4:$KB$4))=0,0,((SUMIF($JS$3:$KB$3,JU$60,$JS130:$KB130))/SUMIF($JS$3:$KB$3,JU$60,$JS$4:$KB$4)))</f>
        <v>0</v>
      </c>
      <c r="JV81" s="196" t="n">
        <f aca="false">IF((SUMIF($JS$3:$KB$3,JV$60,$JS$4:$KB$4))=0,0,((SUMIF($JS$3:$KB$3,JV$60,$JS130:$KB130))/SUMIF($JS$3:$KB$3,JV$60,$JS$4:$KB$4)))</f>
        <v>0</v>
      </c>
      <c r="JW81" s="196" t="n">
        <f aca="false">IF((SUMIF($JS$3:$KB$3,JW$60,$JS$4:$KB$4))=0,0,((SUMIF($JS$3:$KB$3,JW$60,$JS130:$KB130))/SUMIF($JS$3:$KB$3,JW$60,$JS$4:$KB$4)))</f>
        <v>0</v>
      </c>
      <c r="JX81" s="196" t="n">
        <f aca="false">IF((SUMIF($JS$3:$KB$3,JX$60,$JS$4:$KB$4))=0,0,((SUMIF($JS$3:$KB$3,JX$60,$JS130:$KB130))/SUMIF($JS$3:$KB$3,JX$60,$JS$4:$KB$4)))</f>
        <v>0</v>
      </c>
      <c r="JY81" s="196" t="n">
        <f aca="false">IF((SUMIF($JS$3:$KB$3,JY$60,$JS$4:$KB$4))=0,0,((SUMIF($JS$3:$KB$3,JY$60,$JS130:$KB130))/SUMIF($JS$3:$KB$3,JY$60,$JS$4:$KB$4)))</f>
        <v>0</v>
      </c>
      <c r="JZ81" s="196" t="n">
        <f aca="false">IF((SUMIF($JS$3:$KB$3,JZ$60,$JS$4:$KB$4))=0,0,((SUMIF($JS$3:$KB$3,JZ$60,$JS130:$KB130))/SUMIF($JS$3:$KB$3,JZ$60,$JS$4:$KB$4)))</f>
        <v>0</v>
      </c>
      <c r="KA81" s="196" t="n">
        <f aca="false">IF((SUMIF($JS$3:$KB$3,KA$60,$JS$4:$KB$4))=0,0,((SUMIF($JS$3:$KB$3,KA$60,$JS130:$KB130))/SUMIF($JS$3:$KB$3,KA$60,$JS$4:$KB$4)))</f>
        <v>0</v>
      </c>
      <c r="KB81" s="197" t="n">
        <f aca="false">IF((SUMIF($JS$3:$KB$3,KB$60,$JS$4:$KB$4))=0,0,((SUMIF($JS$3:$KB$3,KB$60,$JS130:$KB130))/SUMIF($JS$3:$KB$3,KB$60,$JS$4:$KB$4)))</f>
        <v>0</v>
      </c>
      <c r="KC81" s="194" t="str">
        <f aca="false">JR81</f>
        <v>Alumno20</v>
      </c>
      <c r="KD81" s="195" t="n">
        <f aca="false">IF((SUMIF($KD$3:$KM$3,KD$60,$KD$4:$KM$4))=0,0,((SUMIF($KD$3:$KM$3,KD$60,$KD130:$KM130))/SUMIF($KD$3:$KM$3,KD$60,$KD$4:$KM$4)))</f>
        <v>0</v>
      </c>
      <c r="KE81" s="196" t="n">
        <f aca="false">IF((SUMIF($KD$3:$KM$3,KE$60,$KD$4:$KM$4))=0,0,((SUMIF($KD$3:$KM$3,KE$60,$KD130:$KM130))/SUMIF($KD$3:$KM$3,KE$60,$KD$4:$KM$4)))</f>
        <v>0</v>
      </c>
      <c r="KF81" s="196" t="n">
        <f aca="false">IF((SUMIF($KD$3:$KM$3,KF$60,$KD$4:$KM$4))=0,0,((SUMIF($KD$3:$KM$3,KF$60,$KD130:$KM130))/SUMIF($KD$3:$KM$3,KF$60,$KD$4:$KM$4)))</f>
        <v>0</v>
      </c>
      <c r="KG81" s="196" t="n">
        <f aca="false">IF((SUMIF($KD$3:$KM$3,KG$60,$KD$4:$KM$4))=0,0,((SUMIF($KD$3:$KM$3,KG$60,$KD130:$KM130))/SUMIF($KD$3:$KM$3,KG$60,$KD$4:$KM$4)))</f>
        <v>0</v>
      </c>
      <c r="KH81" s="196" t="n">
        <f aca="false">IF((SUMIF($KD$3:$KM$3,KH$60,$KD$4:$KM$4))=0,0,((SUMIF($KD$3:$KM$3,KH$60,$KD130:$KM130))/SUMIF($KD$3:$KM$3,KH$60,$KD$4:$KM$4)))</f>
        <v>0</v>
      </c>
      <c r="KI81" s="196" t="n">
        <f aca="false">IF((SUMIF($KD$3:$KM$3,KI$60,$KD$4:$KM$4))=0,0,((SUMIF($KD$3:$KM$3,KI$60,$KD130:$KM130))/SUMIF($KD$3:$KM$3,KI$60,$KD$4:$KM$4)))</f>
        <v>0</v>
      </c>
      <c r="KJ81" s="196" t="n">
        <f aca="false">IF((SUMIF($KD$3:$KM$3,KJ$60,$KD$4:$KM$4))=0,0,((SUMIF($KD$3:$KM$3,KJ$60,$KD130:$KM130))/SUMIF($KD$3:$KM$3,KJ$60,$KD$4:$KM$4)))</f>
        <v>0</v>
      </c>
      <c r="KK81" s="196" t="n">
        <f aca="false">IF((SUMIF($KD$3:$KM$3,KK$60,$KD$4:$KM$4))=0,0,((SUMIF($KD$3:$KM$3,KK$60,$KD130:$KM130))/SUMIF($KD$3:$KM$3,KK$60,$KD$4:$KM$4)))</f>
        <v>0</v>
      </c>
      <c r="KL81" s="196" t="n">
        <f aca="false">IF((SUMIF($KD$3:$KM$3,KL$60,$KD$4:$KM$4))=0,0,((SUMIF($KD$3:$KM$3,KL$60,$KD130:$KM130))/SUMIF($KD$3:$KM$3,KL$60,$KD$4:$KM$4)))</f>
        <v>0</v>
      </c>
      <c r="KM81" s="197" t="n">
        <f aca="false">IF((SUMIF($KD$3:$KM$3,KM$60,$KD$4:$KM$4))=0,0,((SUMIF($KD$3:$KM$3,KM$60,$KD130:$KM130))/SUMIF($KD$3:$KM$3,KM$60,$KD$4:$KM$4)))</f>
        <v>0</v>
      </c>
      <c r="KN81" s="194" t="str">
        <f aca="false">KC81</f>
        <v>Alumno20</v>
      </c>
      <c r="KO81" s="195" t="n">
        <f aca="false">IF((SUMIF($KO$3:$KX$3,KO$60,$KO$4:$KX$4))=0,0,((SUMIF($KO$3:$KX$3,KO$60,$KO130:$KX130))/SUMIF($KO$3:$KX$3,KO$60,$KO$4:$KX$4)))</f>
        <v>0</v>
      </c>
      <c r="KP81" s="196" t="n">
        <f aca="false">IF((SUMIF($KO$3:$KX$3,KP$60,$KO$4:$KX$4))=0,0,((SUMIF($KO$3:$KX$3,KP$60,$KO130:$KX130))/SUMIF($KO$3:$KX$3,KP$60,$KO$4:$KX$4)))</f>
        <v>0</v>
      </c>
      <c r="KQ81" s="196" t="n">
        <f aca="false">IF((SUMIF($KO$3:$KX$3,KQ$60,$KO$4:$KX$4))=0,0,((SUMIF($KO$3:$KX$3,KQ$60,$KO130:$KX130))/SUMIF($KO$3:$KX$3,KQ$60,$KO$4:$KX$4)))</f>
        <v>0</v>
      </c>
      <c r="KR81" s="196" t="n">
        <f aca="false">IF((SUMIF($KO$3:$KX$3,KR$60,$KO$4:$KX$4))=0,0,((SUMIF($KO$3:$KX$3,KR$60,$KO130:$KX130))/SUMIF($KO$3:$KX$3,KR$60,$KO$4:$KX$4)))</f>
        <v>0</v>
      </c>
      <c r="KS81" s="196" t="n">
        <f aca="false">IF((SUMIF($KO$3:$KX$3,KS$60,$KO$4:$KX$4))=0,0,((SUMIF($KO$3:$KX$3,KS$60,$KO130:$KX130))/SUMIF($KO$3:$KX$3,KS$60,$KO$4:$KX$4)))</f>
        <v>0</v>
      </c>
      <c r="KT81" s="196" t="n">
        <f aca="false">IF((SUMIF($KO$3:$KX$3,KT$60,$KO$4:$KX$4))=0,0,((SUMIF($KO$3:$KX$3,KT$60,$KO130:$KX130))/SUMIF($KO$3:$KX$3,KT$60,$KO$4:$KX$4)))</f>
        <v>0</v>
      </c>
      <c r="KU81" s="196" t="n">
        <f aca="false">IF((SUMIF($KO$3:$KX$3,KU$60,$KO$4:$KX$4))=0,0,((SUMIF($KO$3:$KX$3,KU$60,$KO130:$KX130))/SUMIF($KO$3:$KX$3,KU$60,$KO$4:$KX$4)))</f>
        <v>0</v>
      </c>
      <c r="KV81" s="196" t="n">
        <f aca="false">IF((SUMIF($KO$3:$KX$3,KV$60,$KO$4:$KX$4))=0,0,((SUMIF($KO$3:$KX$3,KV$60,$KO130:$KX130))/SUMIF($KO$3:$KX$3,KV$60,$KO$4:$KX$4)))</f>
        <v>0</v>
      </c>
      <c r="KW81" s="196" t="n">
        <f aca="false">IF((SUMIF($KO$3:$KX$3,KW$60,$KO$4:$KX$4))=0,0,((SUMIF($KO$3:$KX$3,KW$60,$KO130:$KX130))/SUMIF($KO$3:$KX$3,KW$60,$KO$4:$KX$4)))</f>
        <v>0</v>
      </c>
      <c r="KX81" s="197" t="n">
        <f aca="false">IF((SUMIF($KO$3:$KX$3,KX$60,$KO$4:$KX$4))=0,0,((SUMIF($KO$3:$KX$3,KX$60,$KO130:$KX130))/SUMIF($KO$3:$KX$3,KX$60,$KO$4:$KX$4)))</f>
        <v>0</v>
      </c>
      <c r="KY81" s="194" t="str">
        <f aca="false">KN81</f>
        <v>Alumno20</v>
      </c>
      <c r="KZ81" s="195" t="n">
        <f aca="false">IF((SUMIF($KZ$3:$LI$3,KZ$60,$KZ$4:$LI$4))=0,0,((SUMIF($KZ$3:$LI$3,KZ$60,$KZ130:$LI130))/SUMIF($KZ$3:$LI$3,KZ$60,$KZ$4:$LI$4)))</f>
        <v>0</v>
      </c>
      <c r="LA81" s="196" t="n">
        <f aca="false">IF((SUMIF($KZ$3:$LI$3,LA$60,$KZ$4:$LI$4))=0,0,((SUMIF($KZ$3:$LI$3,LA$60,$KZ130:$LI130))/SUMIF($KZ$3:$LI$3,LA$60,$KZ$4:$LI$4)))</f>
        <v>0</v>
      </c>
      <c r="LB81" s="196" t="n">
        <f aca="false">IF((SUMIF($KZ$3:$LI$3,LB$60,$KZ$4:$LI$4))=0,0,((SUMIF($KZ$3:$LI$3,LB$60,$KZ130:$LI130))/SUMIF($KZ$3:$LI$3,LB$60,$KZ$4:$LI$4)))</f>
        <v>0</v>
      </c>
      <c r="LC81" s="196" t="n">
        <f aca="false">IF((SUMIF($KZ$3:$LI$3,LC$60,$KZ$4:$LI$4))=0,0,((SUMIF($KZ$3:$LI$3,LC$60,$KZ130:$LI130))/SUMIF($KZ$3:$LI$3,LC$60,$KZ$4:$LI$4)))</f>
        <v>0</v>
      </c>
      <c r="LD81" s="196" t="n">
        <f aca="false">IF((SUMIF($KZ$3:$LI$3,LD$60,$KZ$4:$LI$4))=0,0,((SUMIF($KZ$3:$LI$3,LD$60,$KZ130:$LI130))/SUMIF($KZ$3:$LI$3,LD$60,$KZ$4:$LI$4)))</f>
        <v>0</v>
      </c>
      <c r="LE81" s="196" t="n">
        <f aca="false">IF((SUMIF($KZ$3:$LI$3,LE$60,$KZ$4:$LI$4))=0,0,((SUMIF($KZ$3:$LI$3,LE$60,$KZ130:$LI130))/SUMIF($KZ$3:$LI$3,LE$60,$KZ$4:$LI$4)))</f>
        <v>0</v>
      </c>
      <c r="LF81" s="196" t="n">
        <f aca="false">IF((SUMIF($KZ$3:$LI$3,LF$60,$KZ$4:$LI$4))=0,0,((SUMIF($KZ$3:$LI$3,LF$60,$KZ130:$LI130))/SUMIF($KZ$3:$LI$3,LF$60,$KZ$4:$LI$4)))</f>
        <v>0</v>
      </c>
      <c r="LG81" s="196" t="n">
        <f aca="false">IF((SUMIF($KZ$3:$LI$3,LG$60,$KZ$4:$LI$4))=0,0,((SUMIF($KZ$3:$LI$3,LG$60,$KZ130:$LI130))/SUMIF($KZ$3:$LI$3,LG$60,$KZ$4:$LI$4)))</f>
        <v>0</v>
      </c>
      <c r="LH81" s="196" t="n">
        <f aca="false">IF((SUMIF($KZ$3:$LI$3,LH$60,$KZ$4:$LI$4))=0,0,((SUMIF($KZ$3:$LI$3,LH$60,$KZ130:$LI130))/SUMIF($KZ$3:$LI$3,LH$60,$KZ$4:$LI$4)))</f>
        <v>0</v>
      </c>
      <c r="LI81" s="197" t="n">
        <f aca="false">IF((SUMIF($KZ$3:$LI$3,LI$60,$KZ$4:$LI$4))=0,0,((SUMIF($KZ$3:$LI$3,LI$60,$KZ130:$LI130))/SUMIF($KZ$3:$LI$3,LI$60,$KZ$4:$LI$4)))</f>
        <v>0</v>
      </c>
      <c r="LJ81" s="194" t="str">
        <f aca="false">KY81</f>
        <v>Alumno20</v>
      </c>
      <c r="LK81" s="195" t="n">
        <f aca="false">IF((SUMIF($LK$3:$LT$3,LK$60,$LK$4:$LT$4))=0,0,((SUMIF($LK$3:$LT$3,LK$60,$LK130:$LT130))/SUMIF($LK$3:$LT$3,LK$60,$LK$4:$LT$4)))</f>
        <v>0</v>
      </c>
      <c r="LL81" s="196" t="n">
        <f aca="false">IF((SUMIF($LK$3:$LT$3,LL$60,$LK$4:$LT$4))=0,0,((SUMIF($LK$3:$LT$3,LL$60,$LK130:$LT130))/SUMIF($LK$3:$LT$3,LL$60,$LK$4:$LT$4)))</f>
        <v>0</v>
      </c>
      <c r="LM81" s="196" t="n">
        <f aca="false">IF((SUMIF($LK$3:$LT$3,LM$60,$LK$4:$LT$4))=0,0,((SUMIF($LK$3:$LT$3,LM$60,$LK130:$LT130))/SUMIF($LK$3:$LT$3,LM$60,$LK$4:$LT$4)))</f>
        <v>0</v>
      </c>
      <c r="LN81" s="196" t="n">
        <f aca="false">IF((SUMIF($LK$3:$LT$3,LN$60,$LK$4:$LT$4))=0,0,((SUMIF($LK$3:$LT$3,LN$60,$LK130:$LT130))/SUMIF($LK$3:$LT$3,LN$60,$LK$4:$LT$4)))</f>
        <v>0</v>
      </c>
      <c r="LO81" s="196" t="n">
        <f aca="false">IF((SUMIF($LK$3:$LT$3,LO$60,$LK$4:$LT$4))=0,0,((SUMIF($LK$3:$LT$3,LO$60,$LK130:$LT130))/SUMIF($LK$3:$LT$3,LO$60,$LK$4:$LT$4)))</f>
        <v>0</v>
      </c>
      <c r="LP81" s="196" t="n">
        <f aca="false">IF((SUMIF($LK$3:$LT$3,LP$60,$LK$4:$LT$4))=0,0,((SUMIF($LK$3:$LT$3,LP$60,$LK130:$LT130))/SUMIF($LK$3:$LT$3,LP$60,$LK$4:$LT$4)))</f>
        <v>0</v>
      </c>
      <c r="LQ81" s="196" t="n">
        <f aca="false">IF((SUMIF($LK$3:$LT$3,LQ$60,$LK$4:$LT$4))=0,0,((SUMIF($LK$3:$LT$3,LQ$60,$LK130:$LT130))/SUMIF($LK$3:$LT$3,LQ$60,$LK$4:$LT$4)))</f>
        <v>0</v>
      </c>
      <c r="LR81" s="196" t="n">
        <f aca="false">IF((SUMIF($LK$3:$LT$3,LR$60,$LK$4:$LT$4))=0,0,((SUMIF($LK$3:$LT$3,LR$60,$LK130:$LT130))/SUMIF($LK$3:$LT$3,LR$60,$LK$4:$LT$4)))</f>
        <v>0</v>
      </c>
      <c r="LS81" s="196" t="n">
        <f aca="false">IF((SUMIF($LK$3:$LT$3,LS$60,$LK$4:$LT$4))=0,0,((SUMIF($LK$3:$LT$3,LS$60,$LK130:$LT130))/SUMIF($LK$3:$LT$3,LS$60,$LK$4:$LT$4)))</f>
        <v>0</v>
      </c>
      <c r="LT81" s="197" t="n">
        <f aca="false">IF((SUMIF($LK$3:$LT$3,LT$60,$LK$4:$LT$4))=0,0,((SUMIF($LK$3:$LT$3,LT$60,$LK130:$LT130))/SUMIF($LK$3:$LT$3,LT$60,$LK$4:$LT$4)))</f>
        <v>0</v>
      </c>
    </row>
    <row r="82" customFormat="false" ht="15" hidden="true" customHeight="false" outlineLevel="0" collapsed="false">
      <c r="C82" s="194" t="str">
        <f aca="false">B26</f>
        <v>Alumno21</v>
      </c>
      <c r="D82" s="195" t="n">
        <f aca="false">IF((SUMIF($D$3:$M$3,D$60,$D$4:$M$4))=0,0,((SUMIF($D$3:$M$3,D$60,$D131:$M131))/SUMIF($D$3:$M$3,D$60,$D$4:$M$4)))</f>
        <v>6.4</v>
      </c>
      <c r="E82" s="196" t="n">
        <f aca="false">IF((SUMIF($D$3:$M$3,E$60,$D$4:$M$4))=0,0,((SUMIF($D$3:$M$3,E$60,$D131:$M131))/SUMIF($D$3:$M$3,E$60,$D$4:$M$4)))</f>
        <v>0</v>
      </c>
      <c r="F82" s="196" t="n">
        <f aca="false">IF((SUMIF($D$3:$M$3,F$60,$D$4:$M$4))=0,0,((SUMIF($D$3:$M$3,F$60,$D131:$M131))/SUMIF($D$3:$M$3,F$60,$D$4:$M$4)))</f>
        <v>0</v>
      </c>
      <c r="G82" s="196" t="n">
        <f aca="false">IF((SUMIF($D$3:$M$3,G$60,$D$4:$M$4))=0,0,((SUMIF($D$3:$M$3,G$60,$D131:$M131))/SUMIF($D$3:$M$3,G$60,$D$4:$M$4)))</f>
        <v>0</v>
      </c>
      <c r="H82" s="196" t="n">
        <f aca="false">IF((SUMIF($D$3:$M$3,H$60,$D$4:$M$4))=0,0,((SUMIF($D$3:$M$3,H$60,$D131:$M131))/SUMIF($D$3:$M$3,H$60,$D$4:$M$4)))</f>
        <v>0</v>
      </c>
      <c r="I82" s="196" t="n">
        <f aca="false">IF((SUMIF($D$3:$M$3,I$60,$D$4:$M$4))=0,0,((SUMIF($D$3:$M$3,I$60,$D131:$M131))/SUMIF($D$3:$M$3,I$60,$D$4:$M$4)))</f>
        <v>0</v>
      </c>
      <c r="J82" s="196" t="n">
        <f aca="false">IF((SUMIF($D$3:$M$3,J$60,$D$4:$M$4))=0,0,((SUMIF($D$3:$M$3,J$60,$D131:$M131))/SUMIF($D$3:$M$3,J$60,$D$4:$M$4)))</f>
        <v>0</v>
      </c>
      <c r="K82" s="196" t="n">
        <f aca="false">IF((SUMIF($D$3:$M$3,K$60,$D$4:$M$4))=0,0,((SUMIF($D$3:$M$3,K$60,$D131:$M131))/SUMIF($D$3:$M$3,K$60,$D$4:$M$4)))</f>
        <v>0</v>
      </c>
      <c r="L82" s="196" t="n">
        <f aca="false">IF((SUMIF($D$3:$M$3,L$60,$D$4:$M$4))=0,0,((SUMIF($D$3:$M$3,L$60,$D131:$M131))/SUMIF($D$3:$M$3,L$60,$D$4:$M$4)))</f>
        <v>0</v>
      </c>
      <c r="M82" s="197" t="n">
        <f aca="false">IF((SUMIF($D$3:$M$3,M$60,$D$4:$M$4))=0,0,((SUMIF($D$3:$M$3,M$60,$D131:$M131))/SUMIF($D$3:$M$3,M$60,$D$4:$M$4)))</f>
        <v>0</v>
      </c>
      <c r="N82" s="194" t="str">
        <f aca="false">C82</f>
        <v>Alumno21</v>
      </c>
      <c r="O82" s="195" t="n">
        <f aca="false">IF((SUMIF($O$3:$X$3,O$60,$O$4:$X$4))=0,0,((SUMIF($O$3:$X$3,O$60,$O131:$X131))/SUMIF($O$3:$X$3,O$60,$O$4:$X$4)))</f>
        <v>6.75</v>
      </c>
      <c r="P82" s="196" t="n">
        <f aca="false">IF((SUMIF($O$3:$X$3,P$60,$O$4:$X$4))=0,0,((SUMIF($O$3:$X$3,P$60,$O131:$X131))/SUMIF($O$3:$X$3,P$60,$O$4:$X$4)))</f>
        <v>8</v>
      </c>
      <c r="Q82" s="196" t="n">
        <f aca="false">IF((SUMIF($O$3:$X$3,Q$60,$O$4:$X$4))=0,0,((SUMIF($O$3:$X$3,Q$60,$O131:$X131))/SUMIF($O$3:$X$3,Q$60,$O$4:$X$4)))</f>
        <v>0</v>
      </c>
      <c r="R82" s="196" t="n">
        <f aca="false">IF((SUMIF($O$3:$X$3,R$60,$O$4:$X$4))=0,0,((SUMIF($O$3:$X$3,R$60,$O131:$X131))/SUMIF($O$3:$X$3,R$60,$O$4:$X$4)))</f>
        <v>0</v>
      </c>
      <c r="S82" s="196" t="n">
        <f aca="false">IF((SUMIF($O$3:$X$3,S$60,$O$4:$X$4))=0,0,((SUMIF($O$3:$X$3,S$60,$O131:$X131))/SUMIF($O$3:$X$3,S$60,$O$4:$X$4)))</f>
        <v>0</v>
      </c>
      <c r="T82" s="196" t="n">
        <f aca="false">IF((SUMIF($O$3:$X$3,T$60,$O$4:$X$4))=0,0,((SUMIF($O$3:$X$3,T$60,$O131:$X131))/SUMIF($O$3:$X$3,T$60,$O$4:$X$4)))</f>
        <v>0</v>
      </c>
      <c r="U82" s="196" t="n">
        <f aca="false">IF((SUMIF($O$3:$X$3,U$60,$O$4:$X$4))=0,0,((SUMIF($O$3:$X$3,U$60,$O131:$X131))/SUMIF($O$3:$X$3,U$60,$O$4:$X$4)))</f>
        <v>0</v>
      </c>
      <c r="V82" s="196" t="n">
        <f aca="false">IF((SUMIF($O$3:$X$3,V$60,$O$4:$X$4))=0,0,((SUMIF($O$3:$X$3,V$60,$O131:$X131))/SUMIF($O$3:$X$3,V$60,$O$4:$X$4)))</f>
        <v>0</v>
      </c>
      <c r="W82" s="196" t="n">
        <f aca="false">IF((SUMIF($O$3:$X$3,W$60,$O$4:$X$4))=0,0,((SUMIF($O$3:$X$3,W$60,$O131:$X131))/SUMIF($O$3:$X$3,W$60,$O$4:$X$4)))</f>
        <v>0</v>
      </c>
      <c r="X82" s="197" t="n">
        <f aca="false">IF((SUMIF($O$3:$X$3,X$60,$O$4:$X$4))=0,0,((SUMIF($O$3:$X$3,X$60,$O131:$X131))/SUMIF($O$3:$X$3,X$60,$O$4:$X$4)))</f>
        <v>0</v>
      </c>
      <c r="Y82" s="194" t="str">
        <f aca="false">N82</f>
        <v>Alumno21</v>
      </c>
      <c r="Z82" s="195" t="n">
        <f aca="false">IF((SUMIF($Z$3:$AI$3,Z$60,$Z$4:$AI$4))=0,0,((SUMIF($Z$3:$AI$3,Z$60,$Z131:$AI131))/SUMIF($Z$3:$AI$3,Z$60,$Z$4:$AI$4)))</f>
        <v>9.5</v>
      </c>
      <c r="AA82" s="196" t="n">
        <f aca="false">IF((SUMIF($Z$3:$AI$3,AA$60,$Z$4:$AI$4))=0,0,((SUMIF($Z$3:$AI$3,AA$60,$Z131:$AI131))/SUMIF($Z$3:$AI$3,AA$60,$Z$4:$AI$4)))</f>
        <v>9.5</v>
      </c>
      <c r="AB82" s="196" t="n">
        <f aca="false">IF((SUMIF($Z$3:$AI$3,AB$60,$Z$4:$AI$4))=0,0,((SUMIF($Z$3:$AI$3,AB$60,$Z131:$AI131))/SUMIF($Z$3:$AI$3,AB$60,$Z$4:$AI$4)))</f>
        <v>10</v>
      </c>
      <c r="AC82" s="196" t="n">
        <f aca="false">IF((SUMIF($Z$3:$AI$3,AC$60,$Z$4:$AI$4))=0,0,((SUMIF($Z$3:$AI$3,AC$60,$Z131:$AI131))/SUMIF($Z$3:$AI$3,AC$60,$Z$4:$AI$4)))</f>
        <v>0</v>
      </c>
      <c r="AD82" s="196" t="n">
        <f aca="false">IF((SUMIF($Z$3:$AI$3,AD$60,$Z$4:$AI$4))=0,0,((SUMIF($Z$3:$AI$3,AD$60,$Z131:$AI131))/SUMIF($Z$3:$AI$3,AD$60,$Z$4:$AI$4)))</f>
        <v>0</v>
      </c>
      <c r="AE82" s="196" t="n">
        <f aca="false">IF((SUMIF($Z$3:$AI$3,AE$60,$Z$4:$AI$4))=0,0,((SUMIF($Z$3:$AI$3,AE$60,$Z131:$AI131))/SUMIF($Z$3:$AI$3,AE$60,$Z$4:$AI$4)))</f>
        <v>0</v>
      </c>
      <c r="AF82" s="196" t="n">
        <f aca="false">IF((SUMIF($Z$3:$AI$3,AF$60,$Z$4:$AI$4))=0,0,((SUMIF($Z$3:$AI$3,AF$60,$Z131:$AI131))/SUMIF($Z$3:$AI$3,AF$60,$Z$4:$AI$4)))</f>
        <v>0</v>
      </c>
      <c r="AG82" s="196" t="n">
        <f aca="false">IF((SUMIF($Z$3:$AI$3,AG$60,$Z$4:$AI$4))=0,0,((SUMIF($Z$3:$AI$3,AG$60,$Z131:$AI131))/SUMIF($Z$3:$AI$3,AG$60,$Z$4:$AI$4)))</f>
        <v>0</v>
      </c>
      <c r="AH82" s="196" t="n">
        <f aca="false">IF((SUMIF($Z$3:$AI$3,AH$60,$Z$4:$AI$4))=0,0,((SUMIF($Z$3:$AI$3,AH$60,$Z131:$AI131))/SUMIF($Z$3:$AI$3,AH$60,$Z$4:$AI$4)))</f>
        <v>0</v>
      </c>
      <c r="AI82" s="197" t="n">
        <f aca="false">IF((SUMIF($Z$3:$AI$3,AI$60,$Z$4:$AI$4))=0,0,((SUMIF($Z$3:$AI$3,AI$60,$Z131:$AI131))/SUMIF($Z$3:$AI$3,AI$60,$Z$4:$AI$4)))</f>
        <v>0</v>
      </c>
      <c r="AJ82" s="194" t="str">
        <f aca="false">Y82</f>
        <v>Alumno21</v>
      </c>
      <c r="AK82" s="195" t="n">
        <f aca="false">IF((SUMIF($AK$3:$AT$3,AK$60,$AK$4:$AT$4))=0,0,((SUMIF($AK$3:$AT$3,AK$60,$AK131:$AT131))/SUMIF($AK$3:$AT$3,AK$60,$AK$4:$AT$4)))</f>
        <v>10</v>
      </c>
      <c r="AL82" s="196" t="n">
        <f aca="false">IF((SUMIF($AK$3:$AT$3,AL$60,$AK$4:$AT$4))=0,0,((SUMIF($AK$3:$AT$3,AL$60,$AK131:$AT131))/SUMIF($AK$3:$AT$3,AL$60,$AK$4:$AT$4)))</f>
        <v>9.5</v>
      </c>
      <c r="AM82" s="196" t="n">
        <f aca="false">IF((SUMIF($AK$3:$AT$3,AM$60,$AK$4:$AT$4))=0,0,((SUMIF($AK$3:$AT$3,AM$60,$AK131:$AT131))/SUMIF($AK$3:$AT$3,AM$60,$AK$4:$AT$4)))</f>
        <v>9.5</v>
      </c>
      <c r="AN82" s="196" t="n">
        <f aca="false">IF((SUMIF($AK$3:$AT$3,AN$60,$AK$4:$AT$4))=0,0,((SUMIF($AK$3:$AT$3,AN$60,$AK131:$AT131))/SUMIF($AK$3:$AT$3,AN$60,$AK$4:$AT$4)))</f>
        <v>0</v>
      </c>
      <c r="AO82" s="196" t="n">
        <f aca="false">IF((SUMIF($AK$3:$AT$3,AO$60,$AK$4:$AT$4))=0,0,((SUMIF($AK$3:$AT$3,AO$60,$AK131:$AT131))/SUMIF($AK$3:$AT$3,AO$60,$AK$4:$AT$4)))</f>
        <v>0</v>
      </c>
      <c r="AP82" s="196" t="n">
        <f aca="false">IF((SUMIF($AK$3:$AT$3,AP$60,$AK$4:$AT$4))=0,0,((SUMIF($AK$3:$AT$3,AP$60,$AK131:$AT131))/SUMIF($AK$3:$AT$3,AP$60,$AK$4:$AT$4)))</f>
        <v>0</v>
      </c>
      <c r="AQ82" s="196" t="n">
        <f aca="false">IF((SUMIF($AK$3:$AT$3,AQ$60,$AK$4:$AT$4))=0,0,((SUMIF($AK$3:$AT$3,AQ$60,$AK131:$AT131))/SUMIF($AK$3:$AT$3,AQ$60,$AK$4:$AT$4)))</f>
        <v>0</v>
      </c>
      <c r="AR82" s="196" t="n">
        <f aca="false">IF((SUMIF($AK$3:$AT$3,AR$60,$AK$4:$AT$4))=0,0,((SUMIF($AK$3:$AT$3,AR$60,$AK131:$AT131))/SUMIF($AK$3:$AT$3,AR$60,$AK$4:$AT$4)))</f>
        <v>0</v>
      </c>
      <c r="AS82" s="196" t="n">
        <f aca="false">IF((SUMIF($AK$3:$AT$3,AS$60,$AK$4:$AT$4))=0,0,((SUMIF($AK$3:$AT$3,AS$60,$AK131:$AT131))/SUMIF($AK$3:$AT$3,AS$60,$AK$4:$AT$4)))</f>
        <v>0</v>
      </c>
      <c r="AT82" s="197" t="n">
        <f aca="false">IF((SUMIF($AK$3:$AT$3,AT$60,$AK$4:$AT$4))=0,0,((SUMIF($AK$3:$AT$3,AT$60,$AK131:$AT131))/SUMIF($AK$3:$AT$3,AT$60,$AK$4:$AT$4)))</f>
        <v>0</v>
      </c>
      <c r="AU82" s="194" t="str">
        <f aca="false">AJ82</f>
        <v>Alumno21</v>
      </c>
      <c r="AV82" s="195" t="n">
        <f aca="false">IF((SUMIF($AV$3:$BE$3,AV$60,$AV$4:$BE$4))=0,0,((SUMIF($AV$3:$BE$3,AV$60,$AV131:$BE131))/SUMIF($AV$3:$BE$3,AV$60,$AV$4:$BE$4)))</f>
        <v>6</v>
      </c>
      <c r="AW82" s="196" t="n">
        <f aca="false">IF((SUMIF($AV$3:$BE$3,AW$60,$AV$4:$BE$4))=0,0,((SUMIF($AV$3:$BE$3,AW$60,$AV131:$BE131))/SUMIF($AV$3:$BE$3,AW$60,$AV$4:$BE$4)))</f>
        <v>7</v>
      </c>
      <c r="AX82" s="196" t="n">
        <f aca="false">IF((SUMIF($AV$3:$BE$3,AX$60,$AV$4:$BE$4))=0,0,((SUMIF($AV$3:$BE$3,AX$60,$AV131:$BE131))/SUMIF($AV$3:$BE$3,AX$60,$AV$4:$BE$4)))</f>
        <v>8.6</v>
      </c>
      <c r="AY82" s="196" t="n">
        <f aca="false">IF((SUMIF($AV$3:$BE$3,AY$60,$AV$4:$BE$4))=0,0,((SUMIF($AV$3:$BE$3,AY$60,$AV131:$BE131))/SUMIF($AV$3:$BE$3,AY$60,$AV$4:$BE$4)))</f>
        <v>5</v>
      </c>
      <c r="AZ82" s="196" t="n">
        <f aca="false">IF((SUMIF($AV$3:$BE$3,AZ$60,$AV$4:$BE$4))=0,0,((SUMIF($AV$3:$BE$3,AZ$60,$AV131:$BE131))/SUMIF($AV$3:$BE$3,AZ$60,$AV$4:$BE$4)))</f>
        <v>0</v>
      </c>
      <c r="BA82" s="196" t="n">
        <f aca="false">IF((SUMIF($AV$3:$BE$3,BA$60,$AV$4:$BE$4))=0,0,((SUMIF($AV$3:$BE$3,BA$60,$AV131:$BE131))/SUMIF($AV$3:$BE$3,BA$60,$AV$4:$BE$4)))</f>
        <v>0</v>
      </c>
      <c r="BB82" s="196" t="n">
        <f aca="false">IF((SUMIF($AV$3:$BE$3,BB$60,$AV$4:$BE$4))=0,0,((SUMIF($AV$3:$BE$3,BB$60,$AV131:$BE131))/SUMIF($AV$3:$BE$3,BB$60,$AV$4:$BE$4)))</f>
        <v>0</v>
      </c>
      <c r="BC82" s="196" t="n">
        <f aca="false">IF((SUMIF($AV$3:$BE$3,BC$60,$AV$4:$BE$4))=0,0,((SUMIF($AV$3:$BE$3,BC$60,$AV131:$BE131))/SUMIF($AV$3:$BE$3,BC$60,$AV$4:$BE$4)))</f>
        <v>0</v>
      </c>
      <c r="BD82" s="196" t="n">
        <f aca="false">IF((SUMIF($AV$3:$BE$3,BD$60,$AV$4:$BE$4))=0,0,((SUMIF($AV$3:$BE$3,BD$60,$AV131:$BE131))/SUMIF($AV$3:$BE$3,BD$60,$AV$4:$BE$4)))</f>
        <v>0</v>
      </c>
      <c r="BE82" s="197" t="n">
        <f aca="false">IF((SUMIF($AV$3:$BE$3,BE$60,$AV$4:$BE$4))=0,0,((SUMIF($AV$3:$BE$3,BE$60,$AV131:$BE131))/SUMIF($AV$3:$BE$3,BE$60,$AV$4:$BE$4)))</f>
        <v>0</v>
      </c>
      <c r="BF82" s="194" t="str">
        <f aca="false">AU82</f>
        <v>Alumno21</v>
      </c>
      <c r="BG82" s="195" t="n">
        <f aca="false">IF((SUMIF($BG$3:$BP$3,BG$60,$BG$4:$BP$4))=0,0,((SUMIF($BG$3:$BP$3,BG$60,$BG131:$BP131))/SUMIF($BG$3:$BP$3,BG$60,$BG$4:$BP$4)))</f>
        <v>6</v>
      </c>
      <c r="BH82" s="196" t="n">
        <f aca="false">IF((SUMIF($BG$3:$BP$3,BH$60,$BG$4:$BP$4))=0,0,((SUMIF($BG$3:$BP$3,BH$60,$BG131:$BP131))/SUMIF($BG$3:$BP$3,BH$60,$BG$4:$BP$4)))</f>
        <v>7</v>
      </c>
      <c r="BI82" s="196" t="n">
        <f aca="false">IF((SUMIF($BG$3:$BP$3,BI$60,$BG$4:$BP$4))=0,0,((SUMIF($BG$3:$BP$3,BI$60,$BG131:$BP131))/SUMIF($BG$3:$BP$3,BI$60,$BG$4:$BP$4)))</f>
        <v>8</v>
      </c>
      <c r="BJ82" s="196" t="n">
        <f aca="false">IF((SUMIF($BG$3:$BP$3,BJ$60,$BG$4:$BP$4))=0,0,((SUMIF($BG$3:$BP$3,BJ$60,$BG131:$BP131))/SUMIF($BG$3:$BP$3,BJ$60,$BG$4:$BP$4)))</f>
        <v>6.6</v>
      </c>
      <c r="BK82" s="196" t="n">
        <f aca="false">IF((SUMIF($BG$3:$BP$3,BK$60,$BG$4:$BP$4))=0,0,((SUMIF($BG$3:$BP$3,BK$60,$BG131:$BP131))/SUMIF($BG$3:$BP$3,BK$60,$BG$4:$BP$4)))</f>
        <v>0</v>
      </c>
      <c r="BL82" s="196" t="n">
        <f aca="false">IF((SUMIF($BG$3:$BP$3,BL$60,$BG$4:$BP$4))=0,0,((SUMIF($BG$3:$BP$3,BL$60,$BG131:$BP131))/SUMIF($BG$3:$BP$3,BL$60,$BG$4:$BP$4)))</f>
        <v>0</v>
      </c>
      <c r="BM82" s="196" t="n">
        <f aca="false">IF((SUMIF($BG$3:$BP$3,BM$60,$BG$4:$BP$4))=0,0,((SUMIF($BG$3:$BP$3,BM$60,$BG131:$BP131))/SUMIF($BG$3:$BP$3,BM$60,$BG$4:$BP$4)))</f>
        <v>0</v>
      </c>
      <c r="BN82" s="196" t="n">
        <f aca="false">IF((SUMIF($BG$3:$BP$3,BN$60,$BG$4:$BP$4))=0,0,((SUMIF($BG$3:$BP$3,BN$60,$BG131:$BP131))/SUMIF($BG$3:$BP$3,BN$60,$BG$4:$BP$4)))</f>
        <v>0</v>
      </c>
      <c r="BO82" s="196" t="n">
        <f aca="false">IF((SUMIF($BG$3:$BP$3,BO$60,$BG$4:$BP$4))=0,0,((SUMIF($BG$3:$BP$3,BO$60,$BG131:$BP131))/SUMIF($BG$3:$BP$3,BO$60,$BG$4:$BP$4)))</f>
        <v>0</v>
      </c>
      <c r="BP82" s="197" t="n">
        <f aca="false">IF((SUMIF($BG$3:$BP$3,BP$60,$BG$4:$BP$4))=0,0,((SUMIF($BG$3:$BP$3,BP$60,$BG131:$BP131))/SUMIF($BG$3:$BP$3,BP$60,$BG$4:$BP$4)))</f>
        <v>0</v>
      </c>
      <c r="BQ82" s="194" t="str">
        <f aca="false">BF82</f>
        <v>Alumno21</v>
      </c>
      <c r="BR82" s="195" t="n">
        <f aca="false">IF((SUMIF($BR$3:$CA$3,BR$60,$BR$4:$CA$4))=0,0,((SUMIF($BR$3:$CA$3,BR$60,$BR131:$CA131))/SUMIF($BR$3:$CA$3,BR$60,$BR$4:$CA$4)))</f>
        <v>0</v>
      </c>
      <c r="BS82" s="196" t="n">
        <f aca="false">IF((SUMIF($BR$3:$CA$3,BS$60,$BR$4:$CA$4))=0,0,((SUMIF($BR$3:$CA$3,BS$60,$BR131:$CA131))/SUMIF($BR$3:$CA$3,BS$60,$BR$4:$CA$4)))</f>
        <v>4</v>
      </c>
      <c r="BT82" s="196" t="n">
        <f aca="false">IF((SUMIF($BR$3:$CA$3,BT$60,$BR$4:$CA$4))=0,0,((SUMIF($BR$3:$CA$3,BT$60,$BR131:$CA131))/SUMIF($BR$3:$CA$3,BT$60,$BR$4:$CA$4)))</f>
        <v>4.33333333333333</v>
      </c>
      <c r="BU82" s="196" t="n">
        <f aca="false">IF((SUMIF($BR$3:$CA$3,BU$60,$BR$4:$CA$4))=0,0,((SUMIF($BR$3:$CA$3,BU$60,$BR131:$CA131))/SUMIF($BR$3:$CA$3,BU$60,$BR$4:$CA$4)))</f>
        <v>4.8</v>
      </c>
      <c r="BV82" s="196" t="n">
        <f aca="false">IF((SUMIF($BR$3:$CA$3,BV$60,$BR$4:$CA$4))=0,0,((SUMIF($BR$3:$CA$3,BV$60,$BR131:$CA131))/SUMIF($BR$3:$CA$3,BV$60,$BR$4:$CA$4)))</f>
        <v>0</v>
      </c>
      <c r="BW82" s="196" t="n">
        <f aca="false">IF((SUMIF($BR$3:$CA$3,BW$60,$BR$4:$CA$4))=0,0,((SUMIF($BR$3:$CA$3,BW$60,$BR131:$CA131))/SUMIF($BR$3:$CA$3,BW$60,$BR$4:$CA$4)))</f>
        <v>0</v>
      </c>
      <c r="BX82" s="196" t="n">
        <f aca="false">IF((SUMIF($BR$3:$CA$3,BX$60,$BR$4:$CA$4))=0,0,((SUMIF($BR$3:$CA$3,BX$60,$BR131:$CA131))/SUMIF($BR$3:$CA$3,BX$60,$BR$4:$CA$4)))</f>
        <v>0</v>
      </c>
      <c r="BY82" s="196" t="n">
        <f aca="false">IF((SUMIF($BR$3:$CA$3,BY$60,$BR$4:$CA$4))=0,0,((SUMIF($BR$3:$CA$3,BY$60,$BR131:$CA131))/SUMIF($BR$3:$CA$3,BY$60,$BR$4:$CA$4)))</f>
        <v>0</v>
      </c>
      <c r="BZ82" s="196" t="n">
        <f aca="false">IF((SUMIF($BR$3:$CA$3,BZ$60,$BR$4:$CA$4))=0,0,((SUMIF($BR$3:$CA$3,BZ$60,$BR131:$CA131))/SUMIF($BR$3:$CA$3,BZ$60,$BR$4:$CA$4)))</f>
        <v>0</v>
      </c>
      <c r="CA82" s="197" t="n">
        <f aca="false">IF((SUMIF($BR$3:$CA$3,CA$60,$BR$4:$CA$4))=0,0,((SUMIF($BR$3:$CA$3,CA$60,$BR131:$CA131))/SUMIF($BR$3:$CA$3,CA$60,$BR$4:$CA$4)))</f>
        <v>0</v>
      </c>
      <c r="CB82" s="194" t="str">
        <f aca="false">BQ82</f>
        <v>Alumno21</v>
      </c>
      <c r="CC82" s="195" t="n">
        <f aca="false">IF((SUMIF($CC$3:$CL$3,CC$60,$CC$4:$CL$4))=0,0,((SUMIF($CC$3:$CL$3,CC$60,$CC131:$CL131))/SUMIF($CC$3:$CL$3,CC$60,$CC$4:$CL$4)))</f>
        <v>0</v>
      </c>
      <c r="CD82" s="196" t="n">
        <f aca="false">IF((SUMIF($CC$3:$CL$3,CD$60,$CC$4:$CL$4))=0,0,((SUMIF($CC$3:$CL$3,CD$60,$CC131:$CL131))/SUMIF($CC$3:$CL$3,CD$60,$CC$4:$CL$4)))</f>
        <v>0</v>
      </c>
      <c r="CE82" s="196" t="n">
        <f aca="false">IF((SUMIF($CC$3:$CL$3,CE$60,$CC$4:$CL$4))=0,0,((SUMIF($CC$3:$CL$3,CE$60,$CC131:$CL131))/SUMIF($CC$3:$CL$3,CE$60,$CC$4:$CL$4)))</f>
        <v>0</v>
      </c>
      <c r="CF82" s="196" t="n">
        <f aca="false">IF((SUMIF($CC$3:$CL$3,CF$60,$CC$4:$CL$4))=0,0,((SUMIF($CC$3:$CL$3,CF$60,$CC131:$CL131))/SUMIF($CC$3:$CL$3,CF$60,$CC$4:$CL$4)))</f>
        <v>0</v>
      </c>
      <c r="CG82" s="196" t="n">
        <f aca="false">IF((SUMIF($CC$3:$CL$3,CG$60,$CC$4:$CL$4))=0,0,((SUMIF($CC$3:$CL$3,CG$60,$CC131:$CL131))/SUMIF($CC$3:$CL$3,CG$60,$CC$4:$CL$4)))</f>
        <v>0</v>
      </c>
      <c r="CH82" s="196" t="n">
        <f aca="false">IF((SUMIF($CC$3:$CL$3,CH$60,$CC$4:$CL$4))=0,0,((SUMIF($CC$3:$CL$3,CH$60,$CC131:$CL131))/SUMIF($CC$3:$CL$3,CH$60,$CC$4:$CL$4)))</f>
        <v>0</v>
      </c>
      <c r="CI82" s="196" t="n">
        <f aca="false">IF((SUMIF($CC$3:$CL$3,CI$60,$CC$4:$CL$4))=0,0,((SUMIF($CC$3:$CL$3,CI$60,$CC131:$CL131))/SUMIF($CC$3:$CL$3,CI$60,$CC$4:$CL$4)))</f>
        <v>0</v>
      </c>
      <c r="CJ82" s="196" t="n">
        <f aca="false">IF((SUMIF($CC$3:$CL$3,CJ$60,$CC$4:$CL$4))=0,0,((SUMIF($CC$3:$CL$3,CJ$60,$CC131:$CL131))/SUMIF($CC$3:$CL$3,CJ$60,$CC$4:$CL$4)))</f>
        <v>0</v>
      </c>
      <c r="CK82" s="196" t="n">
        <f aca="false">IF((SUMIF($CC$3:$CL$3,CK$60,$CC$4:$CL$4))=0,0,((SUMIF($CC$3:$CL$3,CK$60,$CC131:$CL131))/SUMIF($CC$3:$CL$3,CK$60,$CC$4:$CL$4)))</f>
        <v>0</v>
      </c>
      <c r="CL82" s="197" t="n">
        <f aca="false">IF((SUMIF($CC$3:$CL$3,CL$60,$CC$4:$CL$4))=0,0,((SUMIF($CC$3:$CL$3,CL$60,$CC131:$CL131))/SUMIF($CC$3:$CL$3,CL$60,$CC$4:$CL$4)))</f>
        <v>0</v>
      </c>
      <c r="CM82" s="194" t="str">
        <f aca="false">CB82</f>
        <v>Alumno21</v>
      </c>
      <c r="CN82" s="195" t="n">
        <f aca="false">IF((SUMIF($CN$3:$CW$3,CN$60,$CN$4:$CW$4))=0,0,((SUMIF($CN$3:$CW$3,CN$60,$CN131:$CW131))/SUMIF($CN$3:$CW$3,CN$60,$CN$4:$CW$4)))</f>
        <v>0</v>
      </c>
      <c r="CO82" s="196" t="n">
        <f aca="false">IF((SUMIF($CN$3:$CW$3,CO$60,$CN$4:$CW$4))=0,0,((SUMIF($CN$3:$CW$3,CO$60,$CN131:$CW131))/SUMIF($CN$3:$CW$3,CO$60,$CN$4:$CW$4)))</f>
        <v>0</v>
      </c>
      <c r="CP82" s="196" t="n">
        <f aca="false">IF((SUMIF($CN$3:$CW$3,CP$60,$CN$4:$CW$4))=0,0,((SUMIF($CN$3:$CW$3,CP$60,$CN131:$CW131))/SUMIF($CN$3:$CW$3,CP$60,$CN$4:$CW$4)))</f>
        <v>0</v>
      </c>
      <c r="CQ82" s="196" t="n">
        <f aca="false">IF((SUMIF($CN$3:$CW$3,CQ$60,$CN$4:$CW$4))=0,0,((SUMIF($CN$3:$CW$3,CQ$60,$CN131:$CW131))/SUMIF($CN$3:$CW$3,CQ$60,$CN$4:$CW$4)))</f>
        <v>0</v>
      </c>
      <c r="CR82" s="196" t="n">
        <f aca="false">IF((SUMIF($CN$3:$CW$3,CR$60,$CN$4:$CW$4))=0,0,((SUMIF($CN$3:$CW$3,CR$60,$CN131:$CW131))/SUMIF($CN$3:$CW$3,CR$60,$CN$4:$CW$4)))</f>
        <v>0</v>
      </c>
      <c r="CS82" s="196" t="n">
        <f aca="false">IF((SUMIF($CN$3:$CW$3,CS$60,$CN$4:$CW$4))=0,0,((SUMIF($CN$3:$CW$3,CS$60,$CN131:$CW131))/SUMIF($CN$3:$CW$3,CS$60,$CN$4:$CW$4)))</f>
        <v>0</v>
      </c>
      <c r="CT82" s="196" t="n">
        <f aca="false">IF((SUMIF($CN$3:$CW$3,CT$60,$CN$4:$CW$4))=0,0,((SUMIF($CN$3:$CW$3,CT$60,$CN131:$CW131))/SUMIF($CN$3:$CW$3,CT$60,$CN$4:$CW$4)))</f>
        <v>0</v>
      </c>
      <c r="CU82" s="196" t="n">
        <f aca="false">IF((SUMIF($CN$3:$CW$3,CU$60,$CN$4:$CW$4))=0,0,((SUMIF($CN$3:$CW$3,CU$60,$CN131:$CW131))/SUMIF($CN$3:$CW$3,CU$60,$CN$4:$CW$4)))</f>
        <v>0</v>
      </c>
      <c r="CV82" s="196" t="n">
        <f aca="false">IF((SUMIF($CN$3:$CW$3,CV$60,$CN$4:$CW$4))=0,0,((SUMIF($CN$3:$CW$3,CV$60,$CN131:$CW131))/SUMIF($CN$3:$CW$3,CV$60,$CN$4:$CW$4)))</f>
        <v>0</v>
      </c>
      <c r="CW82" s="197" t="n">
        <f aca="false">IF((SUMIF($CN$3:$CW$3,CW$60,$CN$4:$CW$4))=0,0,((SUMIF($CN$3:$CW$3,CW$60,$CN131:$CW131))/SUMIF($CN$3:$CW$3,CW$60,$CN$4:$CW$4)))</f>
        <v>0</v>
      </c>
      <c r="CX82" s="194" t="str">
        <f aca="false">CM82</f>
        <v>Alumno21</v>
      </c>
      <c r="CY82" s="195" t="n">
        <f aca="false">IF((SUMIF($CY$3:$DH$3,CY$60,$CY$4:$DH$4))=0,0,((SUMIF($CY$3:$DH$3,CY$60,$CY131:$DH131))/SUMIF($CY$3:$DH$3,CY$60,$CY$4:$DH$4)))</f>
        <v>0</v>
      </c>
      <c r="CZ82" s="196" t="n">
        <f aca="false">IF((SUMIF($CY$3:$DH$3,CZ$60,$CY$4:$DH$4))=0,0,((SUMIF($CY$3:$DH$3,CZ$60,$CY131:$DH131))/SUMIF($CY$3:$DH$3,CZ$60,$CY$4:$DH$4)))</f>
        <v>0</v>
      </c>
      <c r="DA82" s="196" t="n">
        <f aca="false">IF((SUMIF($CY$3:$DH$3,DA$60,$CY$4:$DH$4))=0,0,((SUMIF($CY$3:$DH$3,DA$60,$CY131:$DH131))/SUMIF($CY$3:$DH$3,DA$60,$CY$4:$DH$4)))</f>
        <v>0</v>
      </c>
      <c r="DB82" s="196" t="n">
        <f aca="false">IF((SUMIF($CY$3:$DH$3,DB$60,$CY$4:$DH$4))=0,0,((SUMIF($CY$3:$DH$3,DB$60,$CY131:$DH131))/SUMIF($CY$3:$DH$3,DB$60,$CY$4:$DH$4)))</f>
        <v>0</v>
      </c>
      <c r="DC82" s="196" t="n">
        <f aca="false">IF((SUMIF($CY$3:$DH$3,DC$60,$CY$4:$DH$4))=0,0,((SUMIF($CY$3:$DH$3,DC$60,$CY131:$DH131))/SUMIF($CY$3:$DH$3,DC$60,$CY$4:$DH$4)))</f>
        <v>0</v>
      </c>
      <c r="DD82" s="196" t="n">
        <f aca="false">IF((SUMIF($CY$3:$DH$3,DD$60,$CY$4:$DH$4))=0,0,((SUMIF($CY$3:$DH$3,DD$60,$CY131:$DH131))/SUMIF($CY$3:$DH$3,DD$60,$CY$4:$DH$4)))</f>
        <v>0</v>
      </c>
      <c r="DE82" s="196" t="n">
        <f aca="false">IF((SUMIF($CY$3:$DH$3,DE$60,$CY$4:$DH$4))=0,0,((SUMIF($CY$3:$DH$3,DE$60,$CY131:$DH131))/SUMIF($CY$3:$DH$3,DE$60,$CY$4:$DH$4)))</f>
        <v>0</v>
      </c>
      <c r="DF82" s="196" t="n">
        <f aca="false">IF((SUMIF($CY$3:$DH$3,DF$60,$CY$4:$DH$4))=0,0,((SUMIF($CY$3:$DH$3,DF$60,$CY131:$DH131))/SUMIF($CY$3:$DH$3,DF$60,$CY$4:$DH$4)))</f>
        <v>0</v>
      </c>
      <c r="DG82" s="196" t="n">
        <f aca="false">IF((SUMIF($CY$3:$DH$3,DG$60,$CY$4:$DH$4))=0,0,((SUMIF($CY$3:$DH$3,DG$60,$CY131:$DH131))/SUMIF($CY$3:$DH$3,DG$60,$CY$4:$DH$4)))</f>
        <v>0</v>
      </c>
      <c r="DH82" s="197" t="n">
        <f aca="false">IF((SUMIF($CY$3:$DH$3,DH$60,$CY$4:$DH$4))=0,0,((SUMIF($CY$3:$DH$3,DH$60,$CY131:$DH131))/SUMIF($CY$3:$DH$3,DH$60,$CY$4:$DH$4)))</f>
        <v>0</v>
      </c>
      <c r="DI82" s="194" t="str">
        <f aca="false">CX82</f>
        <v>Alumno21</v>
      </c>
      <c r="DJ82" s="195" t="n">
        <f aca="false">IF((SUMIF($DJ$3:$DS$3,DJ$60,$DJ$4:$DS$4))=0,0,((SUMIF($DJ$3:$DS$3,DJ$60,$DJ131:$DS131))/SUMIF($DJ$3:$DS$3,DJ$60,$DJ$4:$DS$4)))</f>
        <v>0</v>
      </c>
      <c r="DK82" s="196" t="n">
        <f aca="false">IF((SUMIF($DJ$3:$DS$3,DK$60,$DJ$4:$DS$4))=0,0,((SUMIF($DJ$3:$DS$3,DK$60,$DJ131:$DS131))/SUMIF($DJ$3:$DS$3,DK$60,$DJ$4:$DS$4)))</f>
        <v>0</v>
      </c>
      <c r="DL82" s="196" t="n">
        <f aca="false">IF((SUMIF($DJ$3:$DS$3,DL$60,$DJ$4:$DS$4))=0,0,((SUMIF($DJ$3:$DS$3,DL$60,$DJ131:$DS131))/SUMIF($DJ$3:$DS$3,DL$60,$DJ$4:$DS$4)))</f>
        <v>0</v>
      </c>
      <c r="DM82" s="196" t="n">
        <f aca="false">IF((SUMIF($DJ$3:$DS$3,DM$60,$DJ$4:$DS$4))=0,0,((SUMIF($DJ$3:$DS$3,DM$60,$DJ131:$DS131))/SUMIF($DJ$3:$DS$3,DM$60,$DJ$4:$DS$4)))</f>
        <v>0</v>
      </c>
      <c r="DN82" s="196" t="n">
        <f aca="false">IF((SUMIF($DJ$3:$DS$3,DN$60,$DJ$4:$DS$4))=0,0,((SUMIF($DJ$3:$DS$3,DN$60,$DJ131:$DS131))/SUMIF($DJ$3:$DS$3,DN$60,$DJ$4:$DS$4)))</f>
        <v>0</v>
      </c>
      <c r="DO82" s="196" t="n">
        <f aca="false">IF((SUMIF($DJ$3:$DS$3,DO$60,$DJ$4:$DS$4))=0,0,((SUMIF($DJ$3:$DS$3,DO$60,$DJ131:$DS131))/SUMIF($DJ$3:$DS$3,DO$60,$DJ$4:$DS$4)))</f>
        <v>0</v>
      </c>
      <c r="DP82" s="196" t="n">
        <f aca="false">IF((SUMIF($DJ$3:$DS$3,DP$60,$DJ$4:$DS$4))=0,0,((SUMIF($DJ$3:$DS$3,DP$60,$DJ131:$DS131))/SUMIF($DJ$3:$DS$3,DP$60,$DJ$4:$DS$4)))</f>
        <v>0</v>
      </c>
      <c r="DQ82" s="196" t="n">
        <f aca="false">IF((SUMIF($DJ$3:$DS$3,DQ$60,$DJ$4:$DS$4))=0,0,((SUMIF($DJ$3:$DS$3,DQ$60,$DJ131:$DS131))/SUMIF($DJ$3:$DS$3,DQ$60,$DJ$4:$DS$4)))</f>
        <v>0</v>
      </c>
      <c r="DR82" s="196" t="n">
        <f aca="false">IF((SUMIF($DJ$3:$DS$3,DR$60,$DJ$4:$DS$4))=0,0,((SUMIF($DJ$3:$DS$3,DR$60,$DJ131:$DS131))/SUMIF($DJ$3:$DS$3,DR$60,$DJ$4:$DS$4)))</f>
        <v>0</v>
      </c>
      <c r="DS82" s="197" t="n">
        <f aca="false">IF((SUMIF($DJ$3:$DS$3,DS$60,$DJ$4:$DS$4))=0,0,((SUMIF($DJ$3:$DS$3,DS$60,$DJ131:$DS131))/SUMIF($DJ$3:$DS$3,DS$60,$DJ$4:$DS$4)))</f>
        <v>0</v>
      </c>
      <c r="DT82" s="194" t="str">
        <f aca="false">DI82</f>
        <v>Alumno21</v>
      </c>
      <c r="DU82" s="195" t="n">
        <f aca="false">IF((SUMIF($DU$3:$ED$3,DU$60,$DU$4:$ED$4))=0,0,((SUMIF($DU$3:$ED$3,DU$60,$DU131:$ED131))/SUMIF($DU$3:$ED$3,DU$60,$DU$4:$ED$4)))</f>
        <v>0</v>
      </c>
      <c r="DV82" s="196" t="n">
        <f aca="false">IF((SUMIF($DU$3:$ED$3,DV$60,$DU$4:$ED$4))=0,0,((SUMIF($DU$3:$ED$3,DV$60,$DU131:$ED131))/SUMIF($DU$3:$ED$3,DV$60,$DU$4:$ED$4)))</f>
        <v>0</v>
      </c>
      <c r="DW82" s="196" t="n">
        <f aca="false">IF((SUMIF($DU$3:$ED$3,DW$60,$DU$4:$ED$4))=0,0,((SUMIF($DU$3:$ED$3,DW$60,$DU131:$ED131))/SUMIF($DU$3:$ED$3,DW$60,$DU$4:$ED$4)))</f>
        <v>0</v>
      </c>
      <c r="DX82" s="196" t="n">
        <f aca="false">IF((SUMIF($DU$3:$ED$3,DX$60,$DU$4:$ED$4))=0,0,((SUMIF($DU$3:$ED$3,DX$60,$DU131:$ED131))/SUMIF($DU$3:$ED$3,DX$60,$DU$4:$ED$4)))</f>
        <v>0</v>
      </c>
      <c r="DY82" s="196" t="n">
        <f aca="false">IF((SUMIF($DU$3:$ED$3,DY$60,$DU$4:$ED$4))=0,0,((SUMIF($DU$3:$ED$3,DY$60,$DU131:$ED131))/SUMIF($DU$3:$ED$3,DY$60,$DU$4:$ED$4)))</f>
        <v>0</v>
      </c>
      <c r="DZ82" s="196" t="n">
        <f aca="false">IF((SUMIF($DU$3:$ED$3,DZ$60,$DU$4:$ED$4))=0,0,((SUMIF($DU$3:$ED$3,DZ$60,$DU131:$ED131))/SUMIF($DU$3:$ED$3,DZ$60,$DU$4:$ED$4)))</f>
        <v>0</v>
      </c>
      <c r="EA82" s="196" t="n">
        <f aca="false">IF((SUMIF($DU$3:$ED$3,EA$60,$DU$4:$ED$4))=0,0,((SUMIF($DU$3:$ED$3,EA$60,$DU131:$ED131))/SUMIF($DU$3:$ED$3,EA$60,$DU$4:$ED$4)))</f>
        <v>0</v>
      </c>
      <c r="EB82" s="196" t="n">
        <f aca="false">IF((SUMIF($DU$3:$ED$3,EB$60,$DU$4:$ED$4))=0,0,((SUMIF($DU$3:$ED$3,EB$60,$DU131:$ED131))/SUMIF($DU$3:$ED$3,EB$60,$DU$4:$ED$4)))</f>
        <v>0</v>
      </c>
      <c r="EC82" s="196" t="n">
        <f aca="false">IF((SUMIF($DU$3:$ED$3,EC$60,$DU$4:$ED$4))=0,0,((SUMIF($DU$3:$ED$3,EC$60,$DU131:$ED131))/SUMIF($DU$3:$ED$3,EC$60,$DU$4:$ED$4)))</f>
        <v>0</v>
      </c>
      <c r="ED82" s="197" t="n">
        <f aca="false">IF((SUMIF($DU$3:$ED$3,ED$60,$DU$4:$ED$4))=0,0,((SUMIF($DU$3:$ED$3,ED$60,$DU131:$ED131))/SUMIF($DU$3:$ED$3,ED$60,$DU$4:$ED$4)))</f>
        <v>0</v>
      </c>
      <c r="EE82" s="194" t="str">
        <f aca="false">DT82</f>
        <v>Alumno21</v>
      </c>
      <c r="EF82" s="195" t="n">
        <f aca="false">IF((SUMIF($EF$3:$EO$3,EF$60,$EF$4:$EO$4))=0,0,((SUMIF($EF$3:$EO$3,EF$60,$EF131:$EO131))/SUMIF($EF$3:$EO$3,EF$60,$EF$4:$EO$4)))</f>
        <v>0</v>
      </c>
      <c r="EG82" s="196" t="n">
        <f aca="false">IF((SUMIF($EF$3:$EO$3,EG$60,$EF$4:$EO$4))=0,0,((SUMIF($EF$3:$EO$3,EG$60,$EF131:$EO131))/SUMIF($EF$3:$EO$3,EG$60,$EF$4:$EO$4)))</f>
        <v>0</v>
      </c>
      <c r="EH82" s="196" t="n">
        <f aca="false">IF((SUMIF($EF$3:$EO$3,EH$60,$EF$4:$EO$4))=0,0,((SUMIF($EF$3:$EO$3,EH$60,$EF131:$EO131))/SUMIF($EF$3:$EO$3,EH$60,$EF$4:$EO$4)))</f>
        <v>0</v>
      </c>
      <c r="EI82" s="196" t="n">
        <f aca="false">IF((SUMIF($EF$3:$EO$3,EI$60,$EF$4:$EO$4))=0,0,((SUMIF($EF$3:$EO$3,EI$60,$EF131:$EO131))/SUMIF($EF$3:$EO$3,EI$60,$EF$4:$EO$4)))</f>
        <v>0</v>
      </c>
      <c r="EJ82" s="196" t="n">
        <f aca="false">IF((SUMIF($EF$3:$EO$3,EJ$60,$EF$4:$EO$4))=0,0,((SUMIF($EF$3:$EO$3,EJ$60,$EF131:$EO131))/SUMIF($EF$3:$EO$3,EJ$60,$EF$4:$EO$4)))</f>
        <v>0</v>
      </c>
      <c r="EK82" s="196" t="n">
        <f aca="false">IF((SUMIF($EF$3:$EO$3,EK$60,$EF$4:$EO$4))=0,0,((SUMIF($EF$3:$EO$3,EK$60,$EF131:$EO131))/SUMIF($EF$3:$EO$3,EK$60,$EF$4:$EO$4)))</f>
        <v>0</v>
      </c>
      <c r="EL82" s="196" t="n">
        <f aca="false">IF((SUMIF($EF$3:$EO$3,EL$60,$EF$4:$EO$4))=0,0,((SUMIF($EF$3:$EO$3,EL$60,$EF131:$EO131))/SUMIF($EF$3:$EO$3,EL$60,$EF$4:$EO$4)))</f>
        <v>0</v>
      </c>
      <c r="EM82" s="196" t="n">
        <f aca="false">IF((SUMIF($EF$3:$EO$3,EM$60,$EF$4:$EO$4))=0,0,((SUMIF($EF$3:$EO$3,EM$60,$EF131:$EO131))/SUMIF($EF$3:$EO$3,EM$60,$EF$4:$EO$4)))</f>
        <v>0</v>
      </c>
      <c r="EN82" s="196" t="n">
        <f aca="false">IF((SUMIF($EF$3:$EO$3,EN$60,$EF$4:$EO$4))=0,0,((SUMIF($EF$3:$EO$3,EN$60,$EF131:$EO131))/SUMIF($EF$3:$EO$3,EN$60,$EF$4:$EO$4)))</f>
        <v>0</v>
      </c>
      <c r="EO82" s="197" t="n">
        <f aca="false">IF((SUMIF($EF$3:$EO$3,EO$60,$EF$4:$EO$4))=0,0,((SUMIF($EF$3:$EO$3,EO$60,$EF131:$EO131))/SUMIF($EF$3:$EO$3,EO$60,$EF$4:$EO$4)))</f>
        <v>0</v>
      </c>
      <c r="EP82" s="194" t="str">
        <f aca="false">EE82</f>
        <v>Alumno21</v>
      </c>
      <c r="EQ82" s="195" t="n">
        <f aca="false">IF((SUMIF($EQ$3:$EZ$3,EQ$60,$EQ$4:$EZ$4))=0,0,((SUMIF($EQ$3:$EZ$3,EQ$60,$EQ131:$EZ131))/SUMIF($EQ$3:$EZ$3,EQ$60,$EQ$4:$EZ$4)))</f>
        <v>0</v>
      </c>
      <c r="ER82" s="196" t="n">
        <f aca="false">IF((SUMIF($EQ$3:$EZ$3,ER$60,$EQ$4:$EZ$4))=0,0,((SUMIF($EQ$3:$EZ$3,ER$60,$EQ131:$EZ131))/SUMIF($EQ$3:$EZ$3,ER$60,$EQ$4:$EZ$4)))</f>
        <v>0</v>
      </c>
      <c r="ES82" s="196" t="n">
        <f aca="false">IF((SUMIF($EQ$3:$EZ$3,ES$60,$EQ$4:$EZ$4))=0,0,((SUMIF($EQ$3:$EZ$3,ES$60,$EQ131:$EZ131))/SUMIF($EQ$3:$EZ$3,ES$60,$EQ$4:$EZ$4)))</f>
        <v>0</v>
      </c>
      <c r="ET82" s="196" t="n">
        <f aca="false">IF((SUMIF($EQ$3:$EZ$3,ET$60,$EQ$4:$EZ$4))=0,0,((SUMIF($EQ$3:$EZ$3,ET$60,$EQ131:$EZ131))/SUMIF($EQ$3:$EZ$3,ET$60,$EQ$4:$EZ$4)))</f>
        <v>0</v>
      </c>
      <c r="EU82" s="196" t="n">
        <f aca="false">IF((SUMIF($EQ$3:$EZ$3,EU$60,$EQ$4:$EZ$4))=0,0,((SUMIF($EQ$3:$EZ$3,EU$60,$EQ131:$EZ131))/SUMIF($EQ$3:$EZ$3,EU$60,$EQ$4:$EZ$4)))</f>
        <v>0</v>
      </c>
      <c r="EV82" s="196" t="n">
        <f aca="false">IF((SUMIF($EQ$3:$EZ$3,EV$60,$EQ$4:$EZ$4))=0,0,((SUMIF($EQ$3:$EZ$3,EV$60,$EQ131:$EZ131))/SUMIF($EQ$3:$EZ$3,EV$60,$EQ$4:$EZ$4)))</f>
        <v>0</v>
      </c>
      <c r="EW82" s="196" t="n">
        <f aca="false">IF((SUMIF($EQ$3:$EZ$3,EW$60,$EQ$4:$EZ$4))=0,0,((SUMIF($EQ$3:$EZ$3,EW$60,$EQ131:$EZ131))/SUMIF($EQ$3:$EZ$3,EW$60,$EQ$4:$EZ$4)))</f>
        <v>0</v>
      </c>
      <c r="EX82" s="196" t="n">
        <f aca="false">IF((SUMIF($EQ$3:$EZ$3,EX$60,$EQ$4:$EZ$4))=0,0,((SUMIF($EQ$3:$EZ$3,EX$60,$EQ131:$EZ131))/SUMIF($EQ$3:$EZ$3,EX$60,$EQ$4:$EZ$4)))</f>
        <v>0</v>
      </c>
      <c r="EY82" s="196" t="n">
        <f aca="false">IF((SUMIF($EQ$3:$EZ$3,EY$60,$EQ$4:$EZ$4))=0,0,((SUMIF($EQ$3:$EZ$3,EY$60,$EQ131:$EZ131))/SUMIF($EQ$3:$EZ$3,EY$60,$EQ$4:$EZ$4)))</f>
        <v>0</v>
      </c>
      <c r="EZ82" s="197" t="n">
        <f aca="false">IF((SUMIF($EQ$3:$EZ$3,EZ$60,$EQ$4:$EZ$4))=0,0,((SUMIF($EQ$3:$EZ$3,EZ$60,$EQ131:$EZ131))/SUMIF($EQ$3:$EZ$3,EZ$60,$EQ$4:$EZ$4)))</f>
        <v>0</v>
      </c>
      <c r="FA82" s="194" t="str">
        <f aca="false">EP82</f>
        <v>Alumno21</v>
      </c>
      <c r="FB82" s="195" t="n">
        <f aca="false">IF((SUMIF($FB$3:$FK$3,FB$60,$FB$4:$FK$4))=0,0,((SUMIF($FB$3:$FK$3,FB$60,$FB131:$FK131))/SUMIF($FB$3:$FK$3,FB$60,$FB$4:$FK$4)))</f>
        <v>0</v>
      </c>
      <c r="FC82" s="196" t="n">
        <f aca="false">IF((SUMIF($FB$3:$FK$3,FC$60,$FB$4:$FK$4))=0,0,((SUMIF($FB$3:$FK$3,FC$60,$FB131:$FK131))/SUMIF($FB$3:$FK$3,FC$60,$FB$4:$FK$4)))</f>
        <v>0</v>
      </c>
      <c r="FD82" s="196" t="n">
        <f aca="false">IF((SUMIF($FB$3:$FK$3,FD$60,$FB$4:$FK$4))=0,0,((SUMIF($FB$3:$FK$3,FD$60,$FB131:$FK131))/SUMIF($FB$3:$FK$3,FD$60,$FB$4:$FK$4)))</f>
        <v>0</v>
      </c>
      <c r="FE82" s="196" t="n">
        <f aca="false">IF((SUMIF($FB$3:$FK$3,FE$60,$FB$4:$FK$4))=0,0,((SUMIF($FB$3:$FK$3,FE$60,$FB131:$FK131))/SUMIF($FB$3:$FK$3,FE$60,$FB$4:$FK$4)))</f>
        <v>0</v>
      </c>
      <c r="FF82" s="196" t="n">
        <f aca="false">IF((SUMIF($FB$3:$FK$3,FF$60,$FB$4:$FK$4))=0,0,((SUMIF($FB$3:$FK$3,FF$60,$FB131:$FK131))/SUMIF($FB$3:$FK$3,FF$60,$FB$4:$FK$4)))</f>
        <v>0</v>
      </c>
      <c r="FG82" s="196" t="n">
        <f aca="false">IF((SUMIF($FB$3:$FK$3,FG$60,$FB$4:$FK$4))=0,0,((SUMIF($FB$3:$FK$3,FG$60,$FB131:$FK131))/SUMIF($FB$3:$FK$3,FG$60,$FB$4:$FK$4)))</f>
        <v>0</v>
      </c>
      <c r="FH82" s="196" t="n">
        <f aca="false">IF((SUMIF($FB$3:$FK$3,FH$60,$FB$4:$FK$4))=0,0,((SUMIF($FB$3:$FK$3,FH$60,$FB131:$FK131))/SUMIF($FB$3:$FK$3,FH$60,$FB$4:$FK$4)))</f>
        <v>0</v>
      </c>
      <c r="FI82" s="196" t="n">
        <f aca="false">IF((SUMIF($FB$3:$FK$3,FI$60,$FB$4:$FK$4))=0,0,((SUMIF($FB$3:$FK$3,FI$60,$FB131:$FK131))/SUMIF($FB$3:$FK$3,FI$60,$FB$4:$FK$4)))</f>
        <v>0</v>
      </c>
      <c r="FJ82" s="196" t="n">
        <f aca="false">IF((SUMIF($FB$3:$FK$3,FJ$60,$FB$4:$FK$4))=0,0,((SUMIF($FB$3:$FK$3,FJ$60,$FB131:$FK131))/SUMIF($FB$3:$FK$3,FJ$60,$FB$4:$FK$4)))</f>
        <v>0</v>
      </c>
      <c r="FK82" s="197" t="n">
        <f aca="false">IF((SUMIF($FB$3:$FK$3,FK$60,$FB$4:$FK$4))=0,0,((SUMIF($FB$3:$FK$3,FK$60,$FB131:$FK131))/SUMIF($FB$3:$FK$3,FK$60,$FB$4:$FK$4)))</f>
        <v>0</v>
      </c>
      <c r="FL82" s="194" t="str">
        <f aca="false">FA82</f>
        <v>Alumno21</v>
      </c>
      <c r="FM82" s="195" t="n">
        <f aca="false">IF((SUMIF($FM$3:$FV$3,FM$60,$FM$4:$FV$4))=0,0,((SUMIF($FM$3:$FV$3,FM$60,$FM131:$FV131))/SUMIF($FM$3:$FV$3,FM$60,$FM$4:$FV$4)))</f>
        <v>0</v>
      </c>
      <c r="FN82" s="196" t="n">
        <f aca="false">IF((SUMIF($FM$3:$FV$3,FN$60,$FM$4:$FV$4))=0,0,((SUMIF($FM$3:$FV$3,FN$60,$FM131:$FV131))/SUMIF($FM$3:$FV$3,FN$60,$FM$4:$FV$4)))</f>
        <v>0</v>
      </c>
      <c r="FO82" s="196" t="n">
        <f aca="false">IF((SUMIF($FM$3:$FV$3,FO$60,$FM$4:$FV$4))=0,0,((SUMIF($FM$3:$FV$3,FO$60,$FM131:$FV131))/SUMIF($FM$3:$FV$3,FO$60,$FM$4:$FV$4)))</f>
        <v>0</v>
      </c>
      <c r="FP82" s="196" t="n">
        <f aca="false">IF((SUMIF($FM$3:$FV$3,FP$60,$FM$4:$FV$4))=0,0,((SUMIF($FM$3:$FV$3,FP$60,$FM131:$FV131))/SUMIF($FM$3:$FV$3,FP$60,$FM$4:$FV$4)))</f>
        <v>0</v>
      </c>
      <c r="FQ82" s="196" t="n">
        <f aca="false">IF((SUMIF($FM$3:$FV$3,FQ$60,$FM$4:$FV$4))=0,0,((SUMIF($FM$3:$FV$3,FQ$60,$FM131:$FV131))/SUMIF($FM$3:$FV$3,FQ$60,$FM$4:$FV$4)))</f>
        <v>0</v>
      </c>
      <c r="FR82" s="196" t="n">
        <f aca="false">IF((SUMIF($FM$3:$FV$3,FR$60,$FM$4:$FV$4))=0,0,((SUMIF($FM$3:$FV$3,FR$60,$FM131:$FV131))/SUMIF($FM$3:$FV$3,FR$60,$FM$4:$FV$4)))</f>
        <v>0</v>
      </c>
      <c r="FS82" s="196" t="n">
        <f aca="false">IF((SUMIF($FM$3:$FV$3,FS$60,$FM$4:$FV$4))=0,0,((SUMIF($FM$3:$FV$3,FS$60,$FM131:$FV131))/SUMIF($FM$3:$FV$3,FS$60,$FM$4:$FV$4)))</f>
        <v>0</v>
      </c>
      <c r="FT82" s="196" t="n">
        <f aca="false">IF((SUMIF($FM$3:$FV$3,FT$60,$FM$4:$FV$4))=0,0,((SUMIF($FM$3:$FV$3,FT$60,$FM131:$FV131))/SUMIF($FM$3:$FV$3,FT$60,$FM$4:$FV$4)))</f>
        <v>0</v>
      </c>
      <c r="FU82" s="196" t="n">
        <f aca="false">IF((SUMIF($FM$3:$FV$3,FU$60,$FM$4:$FV$4))=0,0,((SUMIF($FM$3:$FV$3,FU$60,$FM131:$FV131))/SUMIF($FM$3:$FV$3,FU$60,$FM$4:$FV$4)))</f>
        <v>0</v>
      </c>
      <c r="FV82" s="197" t="n">
        <f aca="false">IF((SUMIF($FM$3:$FV$3,FV$60,$FM$4:$FV$4))=0,0,((SUMIF($FM$3:$FV$3,FV$60,$FM131:$FV131))/SUMIF($FM$3:$FV$3,FV$60,$FM$4:$FV$4)))</f>
        <v>0</v>
      </c>
      <c r="FW82" s="194" t="str">
        <f aca="false">FL82</f>
        <v>Alumno21</v>
      </c>
      <c r="FX82" s="195" t="n">
        <f aca="false">IF((SUMIF($FX$3:$GG$3,FX$60,$FX$4:$GG$4))=0,0,((SUMIF($FX$3:$GG$3,FX$60,$FX131:$GG131))/SUMIF($FX$3:$GG$3,FX$60,$FX$4:$GG$4)))</f>
        <v>0</v>
      </c>
      <c r="FY82" s="196" t="n">
        <f aca="false">IF((SUMIF($FX$3:$GG$3,FY$60,$FX$4:$GG$4))=0,0,((SUMIF($FX$3:$GG$3,FY$60,$FX131:$GG131))/SUMIF($FX$3:$GG$3,FY$60,$FX$4:$GG$4)))</f>
        <v>0</v>
      </c>
      <c r="FZ82" s="196" t="n">
        <f aca="false">IF((SUMIF($FX$3:$GG$3,FZ$60,$FX$4:$GG$4))=0,0,((SUMIF($FX$3:$GG$3,FZ$60,$FX131:$GG131))/SUMIF($FX$3:$GG$3,FZ$60,$FX$4:$GG$4)))</f>
        <v>0</v>
      </c>
      <c r="GA82" s="196" t="n">
        <f aca="false">IF((SUMIF($FX$3:$GG$3,GA$60,$FX$4:$GG$4))=0,0,((SUMIF($FX$3:$GG$3,GA$60,$FX131:$GG131))/SUMIF($FX$3:$GG$3,GA$60,$FX$4:$GG$4)))</f>
        <v>0</v>
      </c>
      <c r="GB82" s="196" t="n">
        <f aca="false">IF((SUMIF($FX$3:$GG$3,GB$60,$FX$4:$GG$4))=0,0,((SUMIF($FX$3:$GG$3,GB$60,$FX131:$GG131))/SUMIF($FX$3:$GG$3,GB$60,$FX$4:$GG$4)))</f>
        <v>0</v>
      </c>
      <c r="GC82" s="196" t="n">
        <f aca="false">IF((SUMIF($FX$3:$GG$3,GC$60,$FX$4:$GG$4))=0,0,((SUMIF($FX$3:$GG$3,GC$60,$FX131:$GG131))/SUMIF($FX$3:$GG$3,GC$60,$FX$4:$GG$4)))</f>
        <v>0</v>
      </c>
      <c r="GD82" s="196" t="n">
        <f aca="false">IF((SUMIF($FX$3:$GG$3,GD$60,$FX$4:$GG$4))=0,0,((SUMIF($FX$3:$GG$3,GD$60,$FX131:$GG131))/SUMIF($FX$3:$GG$3,GD$60,$FX$4:$GG$4)))</f>
        <v>0</v>
      </c>
      <c r="GE82" s="196" t="n">
        <f aca="false">IF((SUMIF($FX$3:$GG$3,GE$60,$FX$4:$GG$4))=0,0,((SUMIF($FX$3:$GG$3,GE$60,$FX131:$GG131))/SUMIF($FX$3:$GG$3,GE$60,$FX$4:$GG$4)))</f>
        <v>0</v>
      </c>
      <c r="GF82" s="196" t="n">
        <f aca="false">IF((SUMIF($FX$3:$GG$3,GF$60,$FX$4:$GG$4))=0,0,((SUMIF($FX$3:$GG$3,GF$60,$FX131:$GG131))/SUMIF($FX$3:$GG$3,GF$60,$FX$4:$GG$4)))</f>
        <v>0</v>
      </c>
      <c r="GG82" s="197" t="n">
        <f aca="false">IF((SUMIF($FX$3:$GG$3,GG$60,$FX$4:$GG$4))=0,0,((SUMIF($FX$3:$GG$3,GG$60,$FX131:$GG131))/SUMIF($FX$3:$GG$3,GG$60,$FX$4:$GG$4)))</f>
        <v>0</v>
      </c>
      <c r="GH82" s="194" t="str">
        <f aca="false">FW82</f>
        <v>Alumno21</v>
      </c>
      <c r="GI82" s="195" t="n">
        <f aca="false">IF((SUMIF($GI$3:$GR$3,GI$60,$GI$4:$GR$4))=0,0,((SUMIF($GI$3:$GR$3,GI$60,$GI131:$GR131))/SUMIF($GI$3:$GR$3,GI$60,$GI$4:$GR$4)))</f>
        <v>0</v>
      </c>
      <c r="GJ82" s="196" t="n">
        <f aca="false">IF((SUMIF($GI$3:$GR$3,GJ$60,$GI$4:$GR$4))=0,0,((SUMIF($GI$3:$GR$3,GJ$60,$GI131:$GR131))/SUMIF($GI$3:$GR$3,GJ$60,$GI$4:$GR$4)))</f>
        <v>0</v>
      </c>
      <c r="GK82" s="196" t="n">
        <f aca="false">IF((SUMIF($GI$3:$GR$3,GK$60,$GI$4:$GR$4))=0,0,((SUMIF($GI$3:$GR$3,GK$60,$GI131:$GR131))/SUMIF($GI$3:$GR$3,GK$60,$GI$4:$GR$4)))</f>
        <v>0</v>
      </c>
      <c r="GL82" s="196" t="n">
        <f aca="false">IF((SUMIF($GI$3:$GR$3,GL$60,$GI$4:$GR$4))=0,0,((SUMIF($GI$3:$GR$3,GL$60,$GI131:$GR131))/SUMIF($GI$3:$GR$3,GL$60,$GI$4:$GR$4)))</f>
        <v>0</v>
      </c>
      <c r="GM82" s="196" t="n">
        <f aca="false">IF((SUMIF($GI$3:$GR$3,GM$60,$GI$4:$GR$4))=0,0,((SUMIF($GI$3:$GR$3,GM$60,$GI131:$GR131))/SUMIF($GI$3:$GR$3,GM$60,$GI$4:$GR$4)))</f>
        <v>0</v>
      </c>
      <c r="GN82" s="196" t="n">
        <f aca="false">IF((SUMIF($GI$3:$GR$3,GN$60,$GI$4:$GR$4))=0,0,((SUMIF($GI$3:$GR$3,GN$60,$GI131:$GR131))/SUMIF($GI$3:$GR$3,GN$60,$GI$4:$GR$4)))</f>
        <v>0</v>
      </c>
      <c r="GO82" s="196" t="n">
        <f aca="false">IF((SUMIF($GI$3:$GR$3,GO$60,$GI$4:$GR$4))=0,0,((SUMIF($GI$3:$GR$3,GO$60,$GI131:$GR131))/SUMIF($GI$3:$GR$3,GO$60,$GI$4:$GR$4)))</f>
        <v>0</v>
      </c>
      <c r="GP82" s="196" t="n">
        <f aca="false">IF((SUMIF($GI$3:$GR$3,GP$60,$GI$4:$GR$4))=0,0,((SUMIF($GI$3:$GR$3,GP$60,$GI131:$GR131))/SUMIF($GI$3:$GR$3,GP$60,$GI$4:$GR$4)))</f>
        <v>0</v>
      </c>
      <c r="GQ82" s="196" t="n">
        <f aca="false">IF((SUMIF($GI$3:$GR$3,GQ$60,$GI$4:$GR$4))=0,0,((SUMIF($GI$3:$GR$3,GQ$60,$GI131:$GR131))/SUMIF($GI$3:$GR$3,GQ$60,$GI$4:$GR$4)))</f>
        <v>0</v>
      </c>
      <c r="GR82" s="197" t="n">
        <f aca="false">IF((SUMIF($GI$3:$GR$3,GR$60,$GI$4:$GR$4))=0,0,((SUMIF($GI$3:$GR$3,GR$60,$GI131:$GR131))/SUMIF($GI$3:$GR$3,GR$60,$GI$4:$GR$4)))</f>
        <v>0</v>
      </c>
      <c r="GS82" s="194" t="str">
        <f aca="false">GH82</f>
        <v>Alumno21</v>
      </c>
      <c r="GT82" s="195" t="n">
        <f aca="false">IF((SUMIF($GT$3:$HC$3,GT$60,$GT$4:$HC$4))=0,0,((SUMIF($GT$3:$HC$3,GT$60,$GT131:$HC131))/SUMIF($GT$3:$HC$3,GT$60,$GT$4:$HC$4)))</f>
        <v>0</v>
      </c>
      <c r="GU82" s="196" t="n">
        <f aca="false">IF((SUMIF($GT$3:$HC$3,GU$60,$GT$4:$HC$4))=0,0,((SUMIF($GT$3:$HC$3,GU$60,$GT131:$HC131))/SUMIF($GT$3:$HC$3,GU$60,$GT$4:$HC$4)))</f>
        <v>0</v>
      </c>
      <c r="GV82" s="196" t="n">
        <f aca="false">IF((SUMIF($GT$3:$HC$3,GV$60,$GT$4:$HC$4))=0,0,((SUMIF($GT$3:$HC$3,GV$60,$GT131:$HC131))/SUMIF($GT$3:$HC$3,GV$60,$GT$4:$HC$4)))</f>
        <v>0</v>
      </c>
      <c r="GW82" s="196" t="n">
        <f aca="false">IF((SUMIF($GT$3:$HC$3,GW$60,$GT$4:$HC$4))=0,0,((SUMIF($GT$3:$HC$3,GW$60,$GT131:$HC131))/SUMIF($GT$3:$HC$3,GW$60,$GT$4:$HC$4)))</f>
        <v>0</v>
      </c>
      <c r="GX82" s="196" t="n">
        <f aca="false">IF((SUMIF($GT$3:$HC$3,GX$60,$GT$4:$HC$4))=0,0,((SUMIF($GT$3:$HC$3,GX$60,$GT131:$HC131))/SUMIF($GT$3:$HC$3,GX$60,$GT$4:$HC$4)))</f>
        <v>0</v>
      </c>
      <c r="GY82" s="196" t="n">
        <f aca="false">IF((SUMIF($GT$3:$HC$3,GY$60,$GT$4:$HC$4))=0,0,((SUMIF($GT$3:$HC$3,GY$60,$GT131:$HC131))/SUMIF($GT$3:$HC$3,GY$60,$GT$4:$HC$4)))</f>
        <v>0</v>
      </c>
      <c r="GZ82" s="196" t="n">
        <f aca="false">IF((SUMIF($GT$3:$HC$3,GZ$60,$GT$4:$HC$4))=0,0,((SUMIF($GT$3:$HC$3,GZ$60,$GT131:$HC131))/SUMIF($GT$3:$HC$3,GZ$60,$GT$4:$HC$4)))</f>
        <v>0</v>
      </c>
      <c r="HA82" s="196" t="n">
        <f aca="false">IF((SUMIF($GT$3:$HC$3,HA$60,$GT$4:$HC$4))=0,0,((SUMIF($GT$3:$HC$3,HA$60,$GT131:$HC131))/SUMIF($GT$3:$HC$3,HA$60,$GT$4:$HC$4)))</f>
        <v>0</v>
      </c>
      <c r="HB82" s="196" t="n">
        <f aca="false">IF((SUMIF($GT$3:$HC$3,HB$60,$GT$4:$HC$4))=0,0,((SUMIF($GT$3:$HC$3,HB$60,$GT131:$HC131))/SUMIF($GT$3:$HC$3,HB$60,$GT$4:$HC$4)))</f>
        <v>0</v>
      </c>
      <c r="HC82" s="197" t="n">
        <f aca="false">IF((SUMIF($GT$3:$HC$3,HC$60,$GT$4:$HC$4))=0,0,((SUMIF($GT$3:$HC$3,HC$60,$GT131:$HC131))/SUMIF($GT$3:$HC$3,HC$60,$GT$4:$HC$4)))</f>
        <v>0</v>
      </c>
      <c r="HD82" s="194" t="str">
        <f aca="false">GS82</f>
        <v>Alumno21</v>
      </c>
      <c r="HE82" s="195" t="n">
        <f aca="false">IF((SUMIF($HE$3:$HN$3,HE$60,$HE$4:$HN$4))=0,0,((SUMIF($HE$3:$HN$3,HE$60,$HE131:$HN131))/SUMIF($HE$3:$HN$3,HE$60,$HE$4:$HN$4)))</f>
        <v>0</v>
      </c>
      <c r="HF82" s="196" t="n">
        <f aca="false">IF((SUMIF($HE$3:$HN$3,HF$60,$HE$4:$HN$4))=0,0,((SUMIF($HE$3:$HN$3,HF$60,$HE131:$HN131))/SUMIF($HE$3:$HN$3,HF$60,$HE$4:$HN$4)))</f>
        <v>0</v>
      </c>
      <c r="HG82" s="196" t="n">
        <f aca="false">IF((SUMIF($HE$3:$HN$3,HG$60,$HE$4:$HN$4))=0,0,((SUMIF($HE$3:$HN$3,HG$60,$HE131:$HN131))/SUMIF($HE$3:$HN$3,HG$60,$HE$4:$HN$4)))</f>
        <v>0</v>
      </c>
      <c r="HH82" s="196" t="n">
        <f aca="false">IF((SUMIF($HE$3:$HN$3,HH$60,$HE$4:$HN$4))=0,0,((SUMIF($HE$3:$HN$3,HH$60,$HE131:$HN131))/SUMIF($HE$3:$HN$3,HH$60,$HE$4:$HN$4)))</f>
        <v>0</v>
      </c>
      <c r="HI82" s="196" t="n">
        <f aca="false">IF((SUMIF($HE$3:$HN$3,HI$60,$HE$4:$HN$4))=0,0,((SUMIF($HE$3:$HN$3,HI$60,$HE131:$HN131))/SUMIF($HE$3:$HN$3,HI$60,$HE$4:$HN$4)))</f>
        <v>0</v>
      </c>
      <c r="HJ82" s="196" t="n">
        <f aca="false">IF((SUMIF($HE$3:$HN$3,HJ$60,$HE$4:$HN$4))=0,0,((SUMIF($HE$3:$HN$3,HJ$60,$HE131:$HN131))/SUMIF($HE$3:$HN$3,HJ$60,$HE$4:$HN$4)))</f>
        <v>0</v>
      </c>
      <c r="HK82" s="196" t="n">
        <f aca="false">IF((SUMIF($HE$3:$HN$3,HK$60,$HE$4:$HN$4))=0,0,((SUMIF($HE$3:$HN$3,HK$60,$HE131:$HN131))/SUMIF($HE$3:$HN$3,HK$60,$HE$4:$HN$4)))</f>
        <v>0</v>
      </c>
      <c r="HL82" s="196" t="n">
        <f aca="false">IF((SUMIF($HE$3:$HN$3,HL$60,$HE$4:$HN$4))=0,0,((SUMIF($HE$3:$HN$3,HL$60,$HE131:$HN131))/SUMIF($HE$3:$HN$3,HL$60,$HE$4:$HN$4)))</f>
        <v>0</v>
      </c>
      <c r="HM82" s="196" t="n">
        <f aca="false">IF((SUMIF($HE$3:$HN$3,HM$60,$HE$4:$HN$4))=0,0,((SUMIF($HE$3:$HN$3,HM$60,$HE131:$HN131))/SUMIF($HE$3:$HN$3,HM$60,$HE$4:$HN$4)))</f>
        <v>0</v>
      </c>
      <c r="HN82" s="197" t="n">
        <f aca="false">IF((SUMIF($HE$3:$HN$3,HN$60,$HE$4:$HN$4))=0,0,((SUMIF($HE$3:$HN$3,HN$60,$HE131:$HN131))/SUMIF($HE$3:$HN$3,HN$60,$HE$4:$HN$4)))</f>
        <v>0</v>
      </c>
      <c r="HO82" s="194" t="str">
        <f aca="false">HD82</f>
        <v>Alumno21</v>
      </c>
      <c r="HP82" s="195" t="n">
        <f aca="false">IF((SUMIF($HP$3:$HY$3,HP$60,$HP$4:$HY$4))=0,0,((SUMIF($HP$3:$HY$3,HP$60,$HP131:$HY131))/SUMIF($HP$3:$HY$3,HP$60,$HP$4:$HY$4)))</f>
        <v>0</v>
      </c>
      <c r="HQ82" s="196" t="n">
        <f aca="false">IF((SUMIF($HP$3:$HY$3,HQ$60,$HP$4:$HY$4))=0,0,((SUMIF($HP$3:$HY$3,HQ$60,$HP131:$HY131))/SUMIF($HP$3:$HY$3,HQ$60,$HP$4:$HY$4)))</f>
        <v>0</v>
      </c>
      <c r="HR82" s="196" t="n">
        <f aca="false">IF((SUMIF($HP$3:$HY$3,HR$60,$HP$4:$HY$4))=0,0,((SUMIF($HP$3:$HY$3,HR$60,$HP131:$HY131))/SUMIF($HP$3:$HY$3,HR$60,$HP$4:$HY$4)))</f>
        <v>0</v>
      </c>
      <c r="HS82" s="196" t="n">
        <f aca="false">IF((SUMIF($HP$3:$HY$3,HS$60,$HP$4:$HY$4))=0,0,((SUMIF($HP$3:$HY$3,HS$60,$HP131:$HY131))/SUMIF($HP$3:$HY$3,HS$60,$HP$4:$HY$4)))</f>
        <v>0</v>
      </c>
      <c r="HT82" s="196" t="n">
        <f aca="false">IF((SUMIF($HP$3:$HY$3,HT$60,$HP$4:$HY$4))=0,0,((SUMIF($HP$3:$HY$3,HT$60,$HP131:$HY131))/SUMIF($HP$3:$HY$3,HT$60,$HP$4:$HY$4)))</f>
        <v>0</v>
      </c>
      <c r="HU82" s="196" t="n">
        <f aca="false">IF((SUMIF($HP$3:$HY$3,HU$60,$HP$4:$HY$4))=0,0,((SUMIF($HP$3:$HY$3,HU$60,$HP131:$HY131))/SUMIF($HP$3:$HY$3,HU$60,$HP$4:$HY$4)))</f>
        <v>0</v>
      </c>
      <c r="HV82" s="196" t="n">
        <f aca="false">IF((SUMIF($HP$3:$HY$3,HV$60,$HP$4:$HY$4))=0,0,((SUMIF($HP$3:$HY$3,HV$60,$HP131:$HY131))/SUMIF($HP$3:$HY$3,HV$60,$HP$4:$HY$4)))</f>
        <v>0</v>
      </c>
      <c r="HW82" s="196" t="n">
        <f aca="false">IF((SUMIF($HP$3:$HY$3,HW$60,$HP$4:$HY$4))=0,0,((SUMIF($HP$3:$HY$3,HW$60,$HP131:$HY131))/SUMIF($HP$3:$HY$3,HW$60,$HP$4:$HY$4)))</f>
        <v>0</v>
      </c>
      <c r="HX82" s="196" t="n">
        <f aca="false">IF((SUMIF($HP$3:$HY$3,HX$60,$HP$4:$HY$4))=0,0,((SUMIF($HP$3:$HY$3,HX$60,$HP131:$HY131))/SUMIF($HP$3:$HY$3,HX$60,$HP$4:$HY$4)))</f>
        <v>0</v>
      </c>
      <c r="HY82" s="197" t="n">
        <f aca="false">IF((SUMIF($HP$3:$HY$3,HY$60,$HP$4:$HY$4))=0,0,((SUMIF($HP$3:$HY$3,HY$60,$HP131:$HY131))/SUMIF($HP$3:$HY$3,HY$60,$HP$4:$HY$4)))</f>
        <v>0</v>
      </c>
      <c r="HZ82" s="194" t="str">
        <f aca="false">HO82</f>
        <v>Alumno21</v>
      </c>
      <c r="IA82" s="195" t="n">
        <f aca="false">IF((SUMIF($IA$3:$IJ$3,IA$60,$IA$4:$IJ$4))=0,0,((SUMIF($IA$3:$IJ$3,IA$60,$IA131:$IJ131))/SUMIF($IA$3:$IJ$3,IA$60,$IA$4:$IJ$4)))</f>
        <v>0</v>
      </c>
      <c r="IB82" s="196" t="n">
        <f aca="false">IF((SUMIF($IA$3:$IJ$3,IB$60,$IA$4:$IJ$4))=0,0,((SUMIF($IA$3:$IJ$3,IB$60,$IA131:$IJ131))/SUMIF($IA$3:$IJ$3,IB$60,$IA$4:$IJ$4)))</f>
        <v>0</v>
      </c>
      <c r="IC82" s="196" t="n">
        <f aca="false">IF((SUMIF($IA$3:$IJ$3,IC$60,$IA$4:$IJ$4))=0,0,((SUMIF($IA$3:$IJ$3,IC$60,$IA131:$IJ131))/SUMIF($IA$3:$IJ$3,IC$60,$IA$4:$IJ$4)))</f>
        <v>0</v>
      </c>
      <c r="ID82" s="196" t="n">
        <f aca="false">IF((SUMIF($IA$3:$IJ$3,ID$60,$IA$4:$IJ$4))=0,0,((SUMIF($IA$3:$IJ$3,ID$60,$IA131:$IJ131))/SUMIF($IA$3:$IJ$3,ID$60,$IA$4:$IJ$4)))</f>
        <v>0</v>
      </c>
      <c r="IE82" s="196" t="n">
        <f aca="false">IF((SUMIF($IA$3:$IJ$3,IE$60,$IA$4:$IJ$4))=0,0,((SUMIF($IA$3:$IJ$3,IE$60,$IA131:$IJ131))/SUMIF($IA$3:$IJ$3,IE$60,$IA$4:$IJ$4)))</f>
        <v>0</v>
      </c>
      <c r="IF82" s="196" t="n">
        <f aca="false">IF((SUMIF($IA$3:$IJ$3,IF$60,$IA$4:$IJ$4))=0,0,((SUMIF($IA$3:$IJ$3,IF$60,$IA131:$IJ131))/SUMIF($IA$3:$IJ$3,IF$60,$IA$4:$IJ$4)))</f>
        <v>0</v>
      </c>
      <c r="IG82" s="196" t="n">
        <f aca="false">IF((SUMIF($IA$3:$IJ$3,IG$60,$IA$4:$IJ$4))=0,0,((SUMIF($IA$3:$IJ$3,IG$60,$IA131:$IJ131))/SUMIF($IA$3:$IJ$3,IG$60,$IA$4:$IJ$4)))</f>
        <v>0</v>
      </c>
      <c r="IH82" s="196" t="n">
        <f aca="false">IF((SUMIF($IA$3:$IJ$3,IH$60,$IA$4:$IJ$4))=0,0,((SUMIF($IA$3:$IJ$3,IH$60,$IA131:$IJ131))/SUMIF($IA$3:$IJ$3,IH$60,$IA$4:$IJ$4)))</f>
        <v>0</v>
      </c>
      <c r="II82" s="196" t="n">
        <f aca="false">IF((SUMIF($IA$3:$IJ$3,II$60,$IA$4:$IJ$4))=0,0,((SUMIF($IA$3:$IJ$3,II$60,$IA131:$IJ131))/SUMIF($IA$3:$IJ$3,II$60,$IA$4:$IJ$4)))</f>
        <v>0</v>
      </c>
      <c r="IJ82" s="197" t="n">
        <f aca="false">IF((SUMIF($IA$3:$IJ$3,IJ$60,$IA$4:$IJ$4))=0,0,((SUMIF($IA$3:$IJ$3,IJ$60,$IA131:$IJ131))/SUMIF($IA$3:$IJ$3,IJ$60,$IA$4:$IJ$4)))</f>
        <v>0</v>
      </c>
      <c r="IK82" s="194" t="str">
        <f aca="false">HZ82</f>
        <v>Alumno21</v>
      </c>
      <c r="IL82" s="195" t="n">
        <f aca="false">IF((SUMIF($IL$3:$IU$3,IL$60,$IL$4:$IU$4))=0,0,((SUMIF($IL$3:$IU$3,IL$60,$IL131:$IU131))/SUMIF($IL$3:$IU$3,IL$60,$IL$4:$IU$4)))</f>
        <v>0</v>
      </c>
      <c r="IM82" s="196" t="n">
        <f aca="false">IF((SUMIF($IL$3:$IU$3,IM$60,$IL$4:$IU$4))=0,0,((SUMIF($IL$3:$IU$3,IM$60,$IL131:$IU131))/SUMIF($IL$3:$IU$3,IM$60,$IL$4:$IU$4)))</f>
        <v>0</v>
      </c>
      <c r="IN82" s="196" t="n">
        <f aca="false">IF((SUMIF($IL$3:$IU$3,IN$60,$IL$4:$IU$4))=0,0,((SUMIF($IL$3:$IU$3,IN$60,$IL131:$IU131))/SUMIF($IL$3:$IU$3,IN$60,$IL$4:$IU$4)))</f>
        <v>0</v>
      </c>
      <c r="IO82" s="196" t="n">
        <f aca="false">IF((SUMIF($IL$3:$IU$3,IO$60,$IL$4:$IU$4))=0,0,((SUMIF($IL$3:$IU$3,IO$60,$IL131:$IU131))/SUMIF($IL$3:$IU$3,IO$60,$IL$4:$IU$4)))</f>
        <v>0</v>
      </c>
      <c r="IP82" s="196" t="n">
        <f aca="false">IF((SUMIF($IL$3:$IU$3,IP$60,$IL$4:$IU$4))=0,0,((SUMIF($IL$3:$IU$3,IP$60,$IL131:$IU131))/SUMIF($IL$3:$IU$3,IP$60,$IL$4:$IU$4)))</f>
        <v>0</v>
      </c>
      <c r="IQ82" s="196" t="n">
        <f aca="false">IF((SUMIF($IL$3:$IU$3,IQ$60,$IL$4:$IU$4))=0,0,((SUMIF($IL$3:$IU$3,IQ$60,$IL131:$IU131))/SUMIF($IL$3:$IU$3,IQ$60,$IL$4:$IU$4)))</f>
        <v>0</v>
      </c>
      <c r="IR82" s="196" t="n">
        <f aca="false">IF((SUMIF($IL$3:$IU$3,IR$60,$IL$4:$IU$4))=0,0,((SUMIF($IL$3:$IU$3,IR$60,$IL131:$IU131))/SUMIF($IL$3:$IU$3,IR$60,$IL$4:$IU$4)))</f>
        <v>0</v>
      </c>
      <c r="IS82" s="196" t="n">
        <f aca="false">IF((SUMIF($IL$3:$IU$3,IS$60,$IL$4:$IU$4))=0,0,((SUMIF($IL$3:$IU$3,IS$60,$IL131:$IU131))/SUMIF($IL$3:$IU$3,IS$60,$IL$4:$IU$4)))</f>
        <v>0</v>
      </c>
      <c r="IT82" s="196" t="n">
        <f aca="false">IF((SUMIF($IL$3:$IU$3,IT$60,$IL$4:$IU$4))=0,0,((SUMIF($IL$3:$IU$3,IT$60,$IL131:$IU131))/SUMIF($IL$3:$IU$3,IT$60,$IL$4:$IU$4)))</f>
        <v>0</v>
      </c>
      <c r="IU82" s="197" t="n">
        <f aca="false">IF((SUMIF($IL$3:$IU$3,IU$60,$IL$4:$IU$4))=0,0,((SUMIF($IL$3:$IU$3,IU$60,$IL131:$IU131))/SUMIF($IL$3:$IU$3,IU$60,$IL$4:$IU$4)))</f>
        <v>0</v>
      </c>
      <c r="IV82" s="194" t="str">
        <f aca="false">IK82</f>
        <v>Alumno21</v>
      </c>
      <c r="IW82" s="195" t="n">
        <f aca="false">IF((SUMIF($IW$3:$JF$3,IW$60,$IW$4:$JF$4))=0,0,((SUMIF($IW$3:$JF$3,IW$60,$IW131:$JF131))/SUMIF($IW$3:$JF$3,IW$60,$IW$4:$JF$4)))</f>
        <v>0</v>
      </c>
      <c r="IX82" s="196" t="n">
        <f aca="false">IF((SUMIF($IW$3:$JF$3,IX$60,$IW$4:$JF$4))=0,0,((SUMIF($IW$3:$JF$3,IX$60,$IW131:$JF131))/SUMIF($IW$3:$JF$3,IX$60,$IW$4:$JF$4)))</f>
        <v>0</v>
      </c>
      <c r="IY82" s="196" t="n">
        <f aca="false">IF((SUMIF($IW$3:$JF$3,IY$60,$IW$4:$JF$4))=0,0,((SUMIF($IW$3:$JF$3,IY$60,$IW131:$JF131))/SUMIF($IW$3:$JF$3,IY$60,$IW$4:$JF$4)))</f>
        <v>0</v>
      </c>
      <c r="IZ82" s="196" t="n">
        <f aca="false">IF((SUMIF($IW$3:$JF$3,IZ$60,$IW$4:$JF$4))=0,0,((SUMIF($IW$3:$JF$3,IZ$60,$IW131:$JF131))/SUMIF($IW$3:$JF$3,IZ$60,$IW$4:$JF$4)))</f>
        <v>0</v>
      </c>
      <c r="JA82" s="196" t="n">
        <f aca="false">IF((SUMIF($IW$3:$JF$3,JA$60,$IW$4:$JF$4))=0,0,((SUMIF($IW$3:$JF$3,JA$60,$IW131:$JF131))/SUMIF($IW$3:$JF$3,JA$60,$IW$4:$JF$4)))</f>
        <v>0</v>
      </c>
      <c r="JB82" s="196" t="n">
        <f aca="false">IF((SUMIF($IW$3:$JF$3,JB$60,$IW$4:$JF$4))=0,0,((SUMIF($IW$3:$JF$3,JB$60,$IW131:$JF131))/SUMIF($IW$3:$JF$3,JB$60,$IW$4:$JF$4)))</f>
        <v>0</v>
      </c>
      <c r="JC82" s="196" t="n">
        <f aca="false">IF((SUMIF($IW$3:$JF$3,JC$60,$IW$4:$JF$4))=0,0,((SUMIF($IW$3:$JF$3,JC$60,$IW131:$JF131))/SUMIF($IW$3:$JF$3,JC$60,$IW$4:$JF$4)))</f>
        <v>0</v>
      </c>
      <c r="JD82" s="196" t="n">
        <f aca="false">IF((SUMIF($IW$3:$JF$3,JD$60,$IW$4:$JF$4))=0,0,((SUMIF($IW$3:$JF$3,JD$60,$IW131:$JF131))/SUMIF($IW$3:$JF$3,JD$60,$IW$4:$JF$4)))</f>
        <v>0</v>
      </c>
      <c r="JE82" s="196" t="n">
        <f aca="false">IF((SUMIF($IW$3:$JF$3,JE$60,$IW$4:$JF$4))=0,0,((SUMIF($IW$3:$JF$3,JE$60,$IW131:$JF131))/SUMIF($IW$3:$JF$3,JE$60,$IW$4:$JF$4)))</f>
        <v>0</v>
      </c>
      <c r="JF82" s="197" t="n">
        <f aca="false">IF((SUMIF($IW$3:$JF$3,JF$60,$IW$4:$JF$4))=0,0,((SUMIF($IW$3:$JF$3,JF$60,$IW131:$JF131))/SUMIF($IW$3:$JF$3,JF$60,$IW$4:$JF$4)))</f>
        <v>0</v>
      </c>
      <c r="JG82" s="194" t="str">
        <f aca="false">IV82</f>
        <v>Alumno21</v>
      </c>
      <c r="JH82" s="195" t="n">
        <f aca="false">IF((SUMIF($JH$3:$JQ$3,JH$60,$JH$4:$JQ$4))=0,0,((SUMIF($JH$3:$JQ$3,JH$60,$JH131:$JQ131))/SUMIF($JH$3:$JQ$3,JH$60,$JH$4:$JQ$4)))</f>
        <v>0</v>
      </c>
      <c r="JI82" s="196" t="n">
        <f aca="false">IF((SUMIF($JH$3:$JQ$3,JI$60,$JH$4:$JQ$4))=0,0,((SUMIF($JH$3:$JQ$3,JI$60,$JH131:$JQ131))/SUMIF($JH$3:$JQ$3,JI$60,$JH$4:$JQ$4)))</f>
        <v>0</v>
      </c>
      <c r="JJ82" s="196" t="n">
        <f aca="false">IF((SUMIF($JH$3:$JQ$3,JJ$60,$JH$4:$JQ$4))=0,0,((SUMIF($JH$3:$JQ$3,JJ$60,$JH131:$JQ131))/SUMIF($JH$3:$JQ$3,JJ$60,$JH$4:$JQ$4)))</f>
        <v>0</v>
      </c>
      <c r="JK82" s="196" t="n">
        <f aca="false">IF((SUMIF($JH$3:$JQ$3,JK$60,$JH$4:$JQ$4))=0,0,((SUMIF($JH$3:$JQ$3,JK$60,$JH131:$JQ131))/SUMIF($JH$3:$JQ$3,JK$60,$JH$4:$JQ$4)))</f>
        <v>0</v>
      </c>
      <c r="JL82" s="196" t="n">
        <f aca="false">IF((SUMIF($JH$3:$JQ$3,JL$60,$JH$4:$JQ$4))=0,0,((SUMIF($JH$3:$JQ$3,JL$60,$JH131:$JQ131))/SUMIF($JH$3:$JQ$3,JL$60,$JH$4:$JQ$4)))</f>
        <v>0</v>
      </c>
      <c r="JM82" s="196" t="n">
        <f aca="false">IF((SUMIF($JH$3:$JQ$3,JM$60,$JH$4:$JQ$4))=0,0,((SUMIF($JH$3:$JQ$3,JM$60,$JH131:$JQ131))/SUMIF($JH$3:$JQ$3,JM$60,$JH$4:$JQ$4)))</f>
        <v>0</v>
      </c>
      <c r="JN82" s="196" t="n">
        <f aca="false">IF((SUMIF($JH$3:$JQ$3,JN$60,$JH$4:$JQ$4))=0,0,((SUMIF($JH$3:$JQ$3,JN$60,$JH131:$JQ131))/SUMIF($JH$3:$JQ$3,JN$60,$JH$4:$JQ$4)))</f>
        <v>0</v>
      </c>
      <c r="JO82" s="196" t="n">
        <f aca="false">IF((SUMIF($JH$3:$JQ$3,JO$60,$JH$4:$JQ$4))=0,0,((SUMIF($JH$3:$JQ$3,JO$60,$JH131:$JQ131))/SUMIF($JH$3:$JQ$3,JO$60,$JH$4:$JQ$4)))</f>
        <v>0</v>
      </c>
      <c r="JP82" s="196" t="n">
        <f aca="false">IF((SUMIF($JH$3:$JQ$3,JP$60,$JH$4:$JQ$4))=0,0,((SUMIF($JH$3:$JQ$3,JP$60,$JH131:$JQ131))/SUMIF($JH$3:$JQ$3,JP$60,$JH$4:$JQ$4)))</f>
        <v>0</v>
      </c>
      <c r="JQ82" s="197" t="n">
        <f aca="false">IF((SUMIF($JH$3:$JQ$3,JQ$60,$JH$4:$JQ$4))=0,0,((SUMIF($JH$3:$JQ$3,JQ$60,$JH131:$JQ131))/SUMIF($JH$3:$JQ$3,JQ$60,$JH$4:$JQ$4)))</f>
        <v>0</v>
      </c>
      <c r="JR82" s="194" t="str">
        <f aca="false">JG82</f>
        <v>Alumno21</v>
      </c>
      <c r="JS82" s="195" t="n">
        <f aca="false">IF((SUMIF($JS$3:$KB$3,JS$60,$JS$4:$KB$4))=0,0,((SUMIF($JS$3:$KB$3,JS$60,$JS131:$KB131))/SUMIF($JS$3:$KB$3,JS$60,$JS$4:$KB$4)))</f>
        <v>0</v>
      </c>
      <c r="JT82" s="196" t="n">
        <f aca="false">IF((SUMIF($JS$3:$KB$3,JT$60,$JS$4:$KB$4))=0,0,((SUMIF($JS$3:$KB$3,JT$60,$JS131:$KB131))/SUMIF($JS$3:$KB$3,JT$60,$JS$4:$KB$4)))</f>
        <v>0</v>
      </c>
      <c r="JU82" s="196" t="n">
        <f aca="false">IF((SUMIF($JS$3:$KB$3,JU$60,$JS$4:$KB$4))=0,0,((SUMIF($JS$3:$KB$3,JU$60,$JS131:$KB131))/SUMIF($JS$3:$KB$3,JU$60,$JS$4:$KB$4)))</f>
        <v>0</v>
      </c>
      <c r="JV82" s="196" t="n">
        <f aca="false">IF((SUMIF($JS$3:$KB$3,JV$60,$JS$4:$KB$4))=0,0,((SUMIF($JS$3:$KB$3,JV$60,$JS131:$KB131))/SUMIF($JS$3:$KB$3,JV$60,$JS$4:$KB$4)))</f>
        <v>0</v>
      </c>
      <c r="JW82" s="196" t="n">
        <f aca="false">IF((SUMIF($JS$3:$KB$3,JW$60,$JS$4:$KB$4))=0,0,((SUMIF($JS$3:$KB$3,JW$60,$JS131:$KB131))/SUMIF($JS$3:$KB$3,JW$60,$JS$4:$KB$4)))</f>
        <v>0</v>
      </c>
      <c r="JX82" s="196" t="n">
        <f aca="false">IF((SUMIF($JS$3:$KB$3,JX$60,$JS$4:$KB$4))=0,0,((SUMIF($JS$3:$KB$3,JX$60,$JS131:$KB131))/SUMIF($JS$3:$KB$3,JX$60,$JS$4:$KB$4)))</f>
        <v>0</v>
      </c>
      <c r="JY82" s="196" t="n">
        <f aca="false">IF((SUMIF($JS$3:$KB$3,JY$60,$JS$4:$KB$4))=0,0,((SUMIF($JS$3:$KB$3,JY$60,$JS131:$KB131))/SUMIF($JS$3:$KB$3,JY$60,$JS$4:$KB$4)))</f>
        <v>0</v>
      </c>
      <c r="JZ82" s="196" t="n">
        <f aca="false">IF((SUMIF($JS$3:$KB$3,JZ$60,$JS$4:$KB$4))=0,0,((SUMIF($JS$3:$KB$3,JZ$60,$JS131:$KB131))/SUMIF($JS$3:$KB$3,JZ$60,$JS$4:$KB$4)))</f>
        <v>0</v>
      </c>
      <c r="KA82" s="196" t="n">
        <f aca="false">IF((SUMIF($JS$3:$KB$3,KA$60,$JS$4:$KB$4))=0,0,((SUMIF($JS$3:$KB$3,KA$60,$JS131:$KB131))/SUMIF($JS$3:$KB$3,KA$60,$JS$4:$KB$4)))</f>
        <v>0</v>
      </c>
      <c r="KB82" s="197" t="n">
        <f aca="false">IF((SUMIF($JS$3:$KB$3,KB$60,$JS$4:$KB$4))=0,0,((SUMIF($JS$3:$KB$3,KB$60,$JS131:$KB131))/SUMIF($JS$3:$KB$3,KB$60,$JS$4:$KB$4)))</f>
        <v>0</v>
      </c>
      <c r="KC82" s="194" t="str">
        <f aca="false">JR82</f>
        <v>Alumno21</v>
      </c>
      <c r="KD82" s="195" t="n">
        <f aca="false">IF((SUMIF($KD$3:$KM$3,KD$60,$KD$4:$KM$4))=0,0,((SUMIF($KD$3:$KM$3,KD$60,$KD131:$KM131))/SUMIF($KD$3:$KM$3,KD$60,$KD$4:$KM$4)))</f>
        <v>0</v>
      </c>
      <c r="KE82" s="196" t="n">
        <f aca="false">IF((SUMIF($KD$3:$KM$3,KE$60,$KD$4:$KM$4))=0,0,((SUMIF($KD$3:$KM$3,KE$60,$KD131:$KM131))/SUMIF($KD$3:$KM$3,KE$60,$KD$4:$KM$4)))</f>
        <v>0</v>
      </c>
      <c r="KF82" s="196" t="n">
        <f aca="false">IF((SUMIF($KD$3:$KM$3,KF$60,$KD$4:$KM$4))=0,0,((SUMIF($KD$3:$KM$3,KF$60,$KD131:$KM131))/SUMIF($KD$3:$KM$3,KF$60,$KD$4:$KM$4)))</f>
        <v>0</v>
      </c>
      <c r="KG82" s="196" t="n">
        <f aca="false">IF((SUMIF($KD$3:$KM$3,KG$60,$KD$4:$KM$4))=0,0,((SUMIF($KD$3:$KM$3,KG$60,$KD131:$KM131))/SUMIF($KD$3:$KM$3,KG$60,$KD$4:$KM$4)))</f>
        <v>0</v>
      </c>
      <c r="KH82" s="196" t="n">
        <f aca="false">IF((SUMIF($KD$3:$KM$3,KH$60,$KD$4:$KM$4))=0,0,((SUMIF($KD$3:$KM$3,KH$60,$KD131:$KM131))/SUMIF($KD$3:$KM$3,KH$60,$KD$4:$KM$4)))</f>
        <v>0</v>
      </c>
      <c r="KI82" s="196" t="n">
        <f aca="false">IF((SUMIF($KD$3:$KM$3,KI$60,$KD$4:$KM$4))=0,0,((SUMIF($KD$3:$KM$3,KI$60,$KD131:$KM131))/SUMIF($KD$3:$KM$3,KI$60,$KD$4:$KM$4)))</f>
        <v>0</v>
      </c>
      <c r="KJ82" s="196" t="n">
        <f aca="false">IF((SUMIF($KD$3:$KM$3,KJ$60,$KD$4:$KM$4))=0,0,((SUMIF($KD$3:$KM$3,KJ$60,$KD131:$KM131))/SUMIF($KD$3:$KM$3,KJ$60,$KD$4:$KM$4)))</f>
        <v>0</v>
      </c>
      <c r="KK82" s="196" t="n">
        <f aca="false">IF((SUMIF($KD$3:$KM$3,KK$60,$KD$4:$KM$4))=0,0,((SUMIF($KD$3:$KM$3,KK$60,$KD131:$KM131))/SUMIF($KD$3:$KM$3,KK$60,$KD$4:$KM$4)))</f>
        <v>0</v>
      </c>
      <c r="KL82" s="196" t="n">
        <f aca="false">IF((SUMIF($KD$3:$KM$3,KL$60,$KD$4:$KM$4))=0,0,((SUMIF($KD$3:$KM$3,KL$60,$KD131:$KM131))/SUMIF($KD$3:$KM$3,KL$60,$KD$4:$KM$4)))</f>
        <v>0</v>
      </c>
      <c r="KM82" s="197" t="n">
        <f aca="false">IF((SUMIF($KD$3:$KM$3,KM$60,$KD$4:$KM$4))=0,0,((SUMIF($KD$3:$KM$3,KM$60,$KD131:$KM131))/SUMIF($KD$3:$KM$3,KM$60,$KD$4:$KM$4)))</f>
        <v>0</v>
      </c>
      <c r="KN82" s="194" t="str">
        <f aca="false">KC82</f>
        <v>Alumno21</v>
      </c>
      <c r="KO82" s="195" t="n">
        <f aca="false">IF((SUMIF($KO$3:$KX$3,KO$60,$KO$4:$KX$4))=0,0,((SUMIF($KO$3:$KX$3,KO$60,$KO131:$KX131))/SUMIF($KO$3:$KX$3,KO$60,$KO$4:$KX$4)))</f>
        <v>0</v>
      </c>
      <c r="KP82" s="196" t="n">
        <f aca="false">IF((SUMIF($KO$3:$KX$3,KP$60,$KO$4:$KX$4))=0,0,((SUMIF($KO$3:$KX$3,KP$60,$KO131:$KX131))/SUMIF($KO$3:$KX$3,KP$60,$KO$4:$KX$4)))</f>
        <v>0</v>
      </c>
      <c r="KQ82" s="196" t="n">
        <f aca="false">IF((SUMIF($KO$3:$KX$3,KQ$60,$KO$4:$KX$4))=0,0,((SUMIF($KO$3:$KX$3,KQ$60,$KO131:$KX131))/SUMIF($KO$3:$KX$3,KQ$60,$KO$4:$KX$4)))</f>
        <v>0</v>
      </c>
      <c r="KR82" s="196" t="n">
        <f aca="false">IF((SUMIF($KO$3:$KX$3,KR$60,$KO$4:$KX$4))=0,0,((SUMIF($KO$3:$KX$3,KR$60,$KO131:$KX131))/SUMIF($KO$3:$KX$3,KR$60,$KO$4:$KX$4)))</f>
        <v>0</v>
      </c>
      <c r="KS82" s="196" t="n">
        <f aca="false">IF((SUMIF($KO$3:$KX$3,KS$60,$KO$4:$KX$4))=0,0,((SUMIF($KO$3:$KX$3,KS$60,$KO131:$KX131))/SUMIF($KO$3:$KX$3,KS$60,$KO$4:$KX$4)))</f>
        <v>0</v>
      </c>
      <c r="KT82" s="196" t="n">
        <f aca="false">IF((SUMIF($KO$3:$KX$3,KT$60,$KO$4:$KX$4))=0,0,((SUMIF($KO$3:$KX$3,KT$60,$KO131:$KX131))/SUMIF($KO$3:$KX$3,KT$60,$KO$4:$KX$4)))</f>
        <v>0</v>
      </c>
      <c r="KU82" s="196" t="n">
        <f aca="false">IF((SUMIF($KO$3:$KX$3,KU$60,$KO$4:$KX$4))=0,0,((SUMIF($KO$3:$KX$3,KU$60,$KO131:$KX131))/SUMIF($KO$3:$KX$3,KU$60,$KO$4:$KX$4)))</f>
        <v>0</v>
      </c>
      <c r="KV82" s="196" t="n">
        <f aca="false">IF((SUMIF($KO$3:$KX$3,KV$60,$KO$4:$KX$4))=0,0,((SUMIF($KO$3:$KX$3,KV$60,$KO131:$KX131))/SUMIF($KO$3:$KX$3,KV$60,$KO$4:$KX$4)))</f>
        <v>0</v>
      </c>
      <c r="KW82" s="196" t="n">
        <f aca="false">IF((SUMIF($KO$3:$KX$3,KW$60,$KO$4:$KX$4))=0,0,((SUMIF($KO$3:$KX$3,KW$60,$KO131:$KX131))/SUMIF($KO$3:$KX$3,KW$60,$KO$4:$KX$4)))</f>
        <v>0</v>
      </c>
      <c r="KX82" s="197" t="n">
        <f aca="false">IF((SUMIF($KO$3:$KX$3,KX$60,$KO$4:$KX$4))=0,0,((SUMIF($KO$3:$KX$3,KX$60,$KO131:$KX131))/SUMIF($KO$3:$KX$3,KX$60,$KO$4:$KX$4)))</f>
        <v>0</v>
      </c>
      <c r="KY82" s="194" t="str">
        <f aca="false">KN82</f>
        <v>Alumno21</v>
      </c>
      <c r="KZ82" s="195" t="n">
        <f aca="false">IF((SUMIF($KZ$3:$LI$3,KZ$60,$KZ$4:$LI$4))=0,0,((SUMIF($KZ$3:$LI$3,KZ$60,$KZ131:$LI131))/SUMIF($KZ$3:$LI$3,KZ$60,$KZ$4:$LI$4)))</f>
        <v>0</v>
      </c>
      <c r="LA82" s="196" t="n">
        <f aca="false">IF((SUMIF($KZ$3:$LI$3,LA$60,$KZ$4:$LI$4))=0,0,((SUMIF($KZ$3:$LI$3,LA$60,$KZ131:$LI131))/SUMIF($KZ$3:$LI$3,LA$60,$KZ$4:$LI$4)))</f>
        <v>0</v>
      </c>
      <c r="LB82" s="196" t="n">
        <f aca="false">IF((SUMIF($KZ$3:$LI$3,LB$60,$KZ$4:$LI$4))=0,0,((SUMIF($KZ$3:$LI$3,LB$60,$KZ131:$LI131))/SUMIF($KZ$3:$LI$3,LB$60,$KZ$4:$LI$4)))</f>
        <v>0</v>
      </c>
      <c r="LC82" s="196" t="n">
        <f aca="false">IF((SUMIF($KZ$3:$LI$3,LC$60,$KZ$4:$LI$4))=0,0,((SUMIF($KZ$3:$LI$3,LC$60,$KZ131:$LI131))/SUMIF($KZ$3:$LI$3,LC$60,$KZ$4:$LI$4)))</f>
        <v>0</v>
      </c>
      <c r="LD82" s="196" t="n">
        <f aca="false">IF((SUMIF($KZ$3:$LI$3,LD$60,$KZ$4:$LI$4))=0,0,((SUMIF($KZ$3:$LI$3,LD$60,$KZ131:$LI131))/SUMIF($KZ$3:$LI$3,LD$60,$KZ$4:$LI$4)))</f>
        <v>0</v>
      </c>
      <c r="LE82" s="196" t="n">
        <f aca="false">IF((SUMIF($KZ$3:$LI$3,LE$60,$KZ$4:$LI$4))=0,0,((SUMIF($KZ$3:$LI$3,LE$60,$KZ131:$LI131))/SUMIF($KZ$3:$LI$3,LE$60,$KZ$4:$LI$4)))</f>
        <v>0</v>
      </c>
      <c r="LF82" s="196" t="n">
        <f aca="false">IF((SUMIF($KZ$3:$LI$3,LF$60,$KZ$4:$LI$4))=0,0,((SUMIF($KZ$3:$LI$3,LF$60,$KZ131:$LI131))/SUMIF($KZ$3:$LI$3,LF$60,$KZ$4:$LI$4)))</f>
        <v>0</v>
      </c>
      <c r="LG82" s="196" t="n">
        <f aca="false">IF((SUMIF($KZ$3:$LI$3,LG$60,$KZ$4:$LI$4))=0,0,((SUMIF($KZ$3:$LI$3,LG$60,$KZ131:$LI131))/SUMIF($KZ$3:$LI$3,LG$60,$KZ$4:$LI$4)))</f>
        <v>0</v>
      </c>
      <c r="LH82" s="196" t="n">
        <f aca="false">IF((SUMIF($KZ$3:$LI$3,LH$60,$KZ$4:$LI$4))=0,0,((SUMIF($KZ$3:$LI$3,LH$60,$KZ131:$LI131))/SUMIF($KZ$3:$LI$3,LH$60,$KZ$4:$LI$4)))</f>
        <v>0</v>
      </c>
      <c r="LI82" s="197" t="n">
        <f aca="false">IF((SUMIF($KZ$3:$LI$3,LI$60,$KZ$4:$LI$4))=0,0,((SUMIF($KZ$3:$LI$3,LI$60,$KZ131:$LI131))/SUMIF($KZ$3:$LI$3,LI$60,$KZ$4:$LI$4)))</f>
        <v>0</v>
      </c>
      <c r="LJ82" s="194" t="str">
        <f aca="false">KY82</f>
        <v>Alumno21</v>
      </c>
      <c r="LK82" s="195" t="n">
        <f aca="false">IF((SUMIF($LK$3:$LT$3,LK$60,$LK$4:$LT$4))=0,0,((SUMIF($LK$3:$LT$3,LK$60,$LK131:$LT131))/SUMIF($LK$3:$LT$3,LK$60,$LK$4:$LT$4)))</f>
        <v>0</v>
      </c>
      <c r="LL82" s="196" t="n">
        <f aca="false">IF((SUMIF($LK$3:$LT$3,LL$60,$LK$4:$LT$4))=0,0,((SUMIF($LK$3:$LT$3,LL$60,$LK131:$LT131))/SUMIF($LK$3:$LT$3,LL$60,$LK$4:$LT$4)))</f>
        <v>0</v>
      </c>
      <c r="LM82" s="196" t="n">
        <f aca="false">IF((SUMIF($LK$3:$LT$3,LM$60,$LK$4:$LT$4))=0,0,((SUMIF($LK$3:$LT$3,LM$60,$LK131:$LT131))/SUMIF($LK$3:$LT$3,LM$60,$LK$4:$LT$4)))</f>
        <v>0</v>
      </c>
      <c r="LN82" s="196" t="n">
        <f aca="false">IF((SUMIF($LK$3:$LT$3,LN$60,$LK$4:$LT$4))=0,0,((SUMIF($LK$3:$LT$3,LN$60,$LK131:$LT131))/SUMIF($LK$3:$LT$3,LN$60,$LK$4:$LT$4)))</f>
        <v>0</v>
      </c>
      <c r="LO82" s="196" t="n">
        <f aca="false">IF((SUMIF($LK$3:$LT$3,LO$60,$LK$4:$LT$4))=0,0,((SUMIF($LK$3:$LT$3,LO$60,$LK131:$LT131))/SUMIF($LK$3:$LT$3,LO$60,$LK$4:$LT$4)))</f>
        <v>0</v>
      </c>
      <c r="LP82" s="196" t="n">
        <f aca="false">IF((SUMIF($LK$3:$LT$3,LP$60,$LK$4:$LT$4))=0,0,((SUMIF($LK$3:$LT$3,LP$60,$LK131:$LT131))/SUMIF($LK$3:$LT$3,LP$60,$LK$4:$LT$4)))</f>
        <v>0</v>
      </c>
      <c r="LQ82" s="196" t="n">
        <f aca="false">IF((SUMIF($LK$3:$LT$3,LQ$60,$LK$4:$LT$4))=0,0,((SUMIF($LK$3:$LT$3,LQ$60,$LK131:$LT131))/SUMIF($LK$3:$LT$3,LQ$60,$LK$4:$LT$4)))</f>
        <v>0</v>
      </c>
      <c r="LR82" s="196" t="n">
        <f aca="false">IF((SUMIF($LK$3:$LT$3,LR$60,$LK$4:$LT$4))=0,0,((SUMIF($LK$3:$LT$3,LR$60,$LK131:$LT131))/SUMIF($LK$3:$LT$3,LR$60,$LK$4:$LT$4)))</f>
        <v>0</v>
      </c>
      <c r="LS82" s="196" t="n">
        <f aca="false">IF((SUMIF($LK$3:$LT$3,LS$60,$LK$4:$LT$4))=0,0,((SUMIF($LK$3:$LT$3,LS$60,$LK131:$LT131))/SUMIF($LK$3:$LT$3,LS$60,$LK$4:$LT$4)))</f>
        <v>0</v>
      </c>
      <c r="LT82" s="197" t="n">
        <f aca="false">IF((SUMIF($LK$3:$LT$3,LT$60,$LK$4:$LT$4))=0,0,((SUMIF($LK$3:$LT$3,LT$60,$LK131:$LT131))/SUMIF($LK$3:$LT$3,LT$60,$LK$4:$LT$4)))</f>
        <v>0</v>
      </c>
    </row>
    <row r="83" customFormat="false" ht="15" hidden="true" customHeight="false" outlineLevel="0" collapsed="false">
      <c r="C83" s="194" t="str">
        <f aca="false">B27</f>
        <v>Alumno22</v>
      </c>
      <c r="D83" s="195" t="n">
        <f aca="false">IF((SUMIF($D$3:$M$3,D$60,$D$4:$M$4))=0,0,((SUMIF($D$3:$M$3,D$60,$D132:$M132))/SUMIF($D$3:$M$3,D$60,$D$4:$M$4)))</f>
        <v>5</v>
      </c>
      <c r="E83" s="196" t="n">
        <f aca="false">IF((SUMIF($D$3:$M$3,E$60,$D$4:$M$4))=0,0,((SUMIF($D$3:$M$3,E$60,$D132:$M132))/SUMIF($D$3:$M$3,E$60,$D$4:$M$4)))</f>
        <v>0</v>
      </c>
      <c r="F83" s="196" t="n">
        <f aca="false">IF((SUMIF($D$3:$M$3,F$60,$D$4:$M$4))=0,0,((SUMIF($D$3:$M$3,F$60,$D132:$M132))/SUMIF($D$3:$M$3,F$60,$D$4:$M$4)))</f>
        <v>0</v>
      </c>
      <c r="G83" s="196" t="n">
        <f aca="false">IF((SUMIF($D$3:$M$3,G$60,$D$4:$M$4))=0,0,((SUMIF($D$3:$M$3,G$60,$D132:$M132))/SUMIF($D$3:$M$3,G$60,$D$4:$M$4)))</f>
        <v>0</v>
      </c>
      <c r="H83" s="196" t="n">
        <f aca="false">IF((SUMIF($D$3:$M$3,H$60,$D$4:$M$4))=0,0,((SUMIF($D$3:$M$3,H$60,$D132:$M132))/SUMIF($D$3:$M$3,H$60,$D$4:$M$4)))</f>
        <v>0</v>
      </c>
      <c r="I83" s="196" t="n">
        <f aca="false">IF((SUMIF($D$3:$M$3,I$60,$D$4:$M$4))=0,0,((SUMIF($D$3:$M$3,I$60,$D132:$M132))/SUMIF($D$3:$M$3,I$60,$D$4:$M$4)))</f>
        <v>0</v>
      </c>
      <c r="J83" s="196" t="n">
        <f aca="false">IF((SUMIF($D$3:$M$3,J$60,$D$4:$M$4))=0,0,((SUMIF($D$3:$M$3,J$60,$D132:$M132))/SUMIF($D$3:$M$3,J$60,$D$4:$M$4)))</f>
        <v>0</v>
      </c>
      <c r="K83" s="196" t="n">
        <f aca="false">IF((SUMIF($D$3:$M$3,K$60,$D$4:$M$4))=0,0,((SUMIF($D$3:$M$3,K$60,$D132:$M132))/SUMIF($D$3:$M$3,K$60,$D$4:$M$4)))</f>
        <v>0</v>
      </c>
      <c r="L83" s="196" t="n">
        <f aca="false">IF((SUMIF($D$3:$M$3,L$60,$D$4:$M$4))=0,0,((SUMIF($D$3:$M$3,L$60,$D132:$M132))/SUMIF($D$3:$M$3,L$60,$D$4:$M$4)))</f>
        <v>0</v>
      </c>
      <c r="M83" s="197" t="n">
        <f aca="false">IF((SUMIF($D$3:$M$3,M$60,$D$4:$M$4))=0,0,((SUMIF($D$3:$M$3,M$60,$D132:$M132))/SUMIF($D$3:$M$3,M$60,$D$4:$M$4)))</f>
        <v>0</v>
      </c>
      <c r="N83" s="194" t="str">
        <f aca="false">C83</f>
        <v>Alumno22</v>
      </c>
      <c r="O83" s="195" t="n">
        <f aca="false">IF((SUMIF($O$3:$X$3,O$60,$O$4:$X$4))=0,0,((SUMIF($O$3:$X$3,O$60,$O132:$X132))/SUMIF($O$3:$X$3,O$60,$O$4:$X$4)))</f>
        <v>5</v>
      </c>
      <c r="P83" s="196" t="n">
        <f aca="false">IF((SUMIF($O$3:$X$3,P$60,$O$4:$X$4))=0,0,((SUMIF($O$3:$X$3,P$60,$O132:$X132))/SUMIF($O$3:$X$3,P$60,$O$4:$X$4)))</f>
        <v>5</v>
      </c>
      <c r="Q83" s="196" t="n">
        <f aca="false">IF((SUMIF($O$3:$X$3,Q$60,$O$4:$X$4))=0,0,((SUMIF($O$3:$X$3,Q$60,$O132:$X132))/SUMIF($O$3:$X$3,Q$60,$O$4:$X$4)))</f>
        <v>0</v>
      </c>
      <c r="R83" s="196" t="n">
        <f aca="false">IF((SUMIF($O$3:$X$3,R$60,$O$4:$X$4))=0,0,((SUMIF($O$3:$X$3,R$60,$O132:$X132))/SUMIF($O$3:$X$3,R$60,$O$4:$X$4)))</f>
        <v>0</v>
      </c>
      <c r="S83" s="196" t="n">
        <f aca="false">IF((SUMIF($O$3:$X$3,S$60,$O$4:$X$4))=0,0,((SUMIF($O$3:$X$3,S$60,$O132:$X132))/SUMIF($O$3:$X$3,S$60,$O$4:$X$4)))</f>
        <v>0</v>
      </c>
      <c r="T83" s="196" t="n">
        <f aca="false">IF((SUMIF($O$3:$X$3,T$60,$O$4:$X$4))=0,0,((SUMIF($O$3:$X$3,T$60,$O132:$X132))/SUMIF($O$3:$X$3,T$60,$O$4:$X$4)))</f>
        <v>0</v>
      </c>
      <c r="U83" s="196" t="n">
        <f aca="false">IF((SUMIF($O$3:$X$3,U$60,$O$4:$X$4))=0,0,((SUMIF($O$3:$X$3,U$60,$O132:$X132))/SUMIF($O$3:$X$3,U$60,$O$4:$X$4)))</f>
        <v>0</v>
      </c>
      <c r="V83" s="196" t="n">
        <f aca="false">IF((SUMIF($O$3:$X$3,V$60,$O$4:$X$4))=0,0,((SUMIF($O$3:$X$3,V$60,$O132:$X132))/SUMIF($O$3:$X$3,V$60,$O$4:$X$4)))</f>
        <v>0</v>
      </c>
      <c r="W83" s="196" t="n">
        <f aca="false">IF((SUMIF($O$3:$X$3,W$60,$O$4:$X$4))=0,0,((SUMIF($O$3:$X$3,W$60,$O132:$X132))/SUMIF($O$3:$X$3,W$60,$O$4:$X$4)))</f>
        <v>0</v>
      </c>
      <c r="X83" s="197" t="n">
        <f aca="false">IF((SUMIF($O$3:$X$3,X$60,$O$4:$X$4))=0,0,((SUMIF($O$3:$X$3,X$60,$O132:$X132))/SUMIF($O$3:$X$3,X$60,$O$4:$X$4)))</f>
        <v>0</v>
      </c>
      <c r="Y83" s="194" t="str">
        <f aca="false">N83</f>
        <v>Alumno22</v>
      </c>
      <c r="Z83" s="195" t="n">
        <f aca="false">IF((SUMIF($Z$3:$AI$3,Z$60,$Z$4:$AI$4))=0,0,((SUMIF($Z$3:$AI$3,Z$60,$Z132:$AI132))/SUMIF($Z$3:$AI$3,Z$60,$Z$4:$AI$4)))</f>
        <v>6.5</v>
      </c>
      <c r="AA83" s="196" t="n">
        <f aca="false">IF((SUMIF($Z$3:$AI$3,AA$60,$Z$4:$AI$4))=0,0,((SUMIF($Z$3:$AI$3,AA$60,$Z132:$AI132))/SUMIF($Z$3:$AI$3,AA$60,$Z$4:$AI$4)))</f>
        <v>8.5</v>
      </c>
      <c r="AB83" s="196" t="n">
        <f aca="false">IF((SUMIF($Z$3:$AI$3,AB$60,$Z$4:$AI$4))=0,0,((SUMIF($Z$3:$AI$3,AB$60,$Z132:$AI132))/SUMIF($Z$3:$AI$3,AB$60,$Z$4:$AI$4)))</f>
        <v>5</v>
      </c>
      <c r="AC83" s="196" t="n">
        <f aca="false">IF((SUMIF($Z$3:$AI$3,AC$60,$Z$4:$AI$4))=0,0,((SUMIF($Z$3:$AI$3,AC$60,$Z132:$AI132))/SUMIF($Z$3:$AI$3,AC$60,$Z$4:$AI$4)))</f>
        <v>0</v>
      </c>
      <c r="AD83" s="196" t="n">
        <f aca="false">IF((SUMIF($Z$3:$AI$3,AD$60,$Z$4:$AI$4))=0,0,((SUMIF($Z$3:$AI$3,AD$60,$Z132:$AI132))/SUMIF($Z$3:$AI$3,AD$60,$Z$4:$AI$4)))</f>
        <v>0</v>
      </c>
      <c r="AE83" s="196" t="n">
        <f aca="false">IF((SUMIF($Z$3:$AI$3,AE$60,$Z$4:$AI$4))=0,0,((SUMIF($Z$3:$AI$3,AE$60,$Z132:$AI132))/SUMIF($Z$3:$AI$3,AE$60,$Z$4:$AI$4)))</f>
        <v>0</v>
      </c>
      <c r="AF83" s="196" t="n">
        <f aca="false">IF((SUMIF($Z$3:$AI$3,AF$60,$Z$4:$AI$4))=0,0,((SUMIF($Z$3:$AI$3,AF$60,$Z132:$AI132))/SUMIF($Z$3:$AI$3,AF$60,$Z$4:$AI$4)))</f>
        <v>0</v>
      </c>
      <c r="AG83" s="196" t="n">
        <f aca="false">IF((SUMIF($Z$3:$AI$3,AG$60,$Z$4:$AI$4))=0,0,((SUMIF($Z$3:$AI$3,AG$60,$Z132:$AI132))/SUMIF($Z$3:$AI$3,AG$60,$Z$4:$AI$4)))</f>
        <v>0</v>
      </c>
      <c r="AH83" s="196" t="n">
        <f aca="false">IF((SUMIF($Z$3:$AI$3,AH$60,$Z$4:$AI$4))=0,0,((SUMIF($Z$3:$AI$3,AH$60,$Z132:$AI132))/SUMIF($Z$3:$AI$3,AH$60,$Z$4:$AI$4)))</f>
        <v>0</v>
      </c>
      <c r="AI83" s="197" t="n">
        <f aca="false">IF((SUMIF($Z$3:$AI$3,AI$60,$Z$4:$AI$4))=0,0,((SUMIF($Z$3:$AI$3,AI$60,$Z132:$AI132))/SUMIF($Z$3:$AI$3,AI$60,$Z$4:$AI$4)))</f>
        <v>0</v>
      </c>
      <c r="AJ83" s="194" t="str">
        <f aca="false">Y83</f>
        <v>Alumno22</v>
      </c>
      <c r="AK83" s="195" t="n">
        <f aca="false">IF((SUMIF($AK$3:$AT$3,AK$60,$AK$4:$AT$4))=0,0,((SUMIF($AK$3:$AT$3,AK$60,$AK132:$AT132))/SUMIF($AK$3:$AT$3,AK$60,$AK$4:$AT$4)))</f>
        <v>6</v>
      </c>
      <c r="AL83" s="196" t="n">
        <f aca="false">IF((SUMIF($AK$3:$AT$3,AL$60,$AK$4:$AT$4))=0,0,((SUMIF($AK$3:$AT$3,AL$60,$AK132:$AT132))/SUMIF($AK$3:$AT$3,AL$60,$AK$4:$AT$4)))</f>
        <v>6</v>
      </c>
      <c r="AM83" s="196" t="n">
        <f aca="false">IF((SUMIF($AK$3:$AT$3,AM$60,$AK$4:$AT$4))=0,0,((SUMIF($AK$3:$AT$3,AM$60,$AK132:$AT132))/SUMIF($AK$3:$AT$3,AM$60,$AK$4:$AT$4)))</f>
        <v>8.5</v>
      </c>
      <c r="AN83" s="196" t="n">
        <f aca="false">IF((SUMIF($AK$3:$AT$3,AN$60,$AK$4:$AT$4))=0,0,((SUMIF($AK$3:$AT$3,AN$60,$AK132:$AT132))/SUMIF($AK$3:$AT$3,AN$60,$AK$4:$AT$4)))</f>
        <v>0</v>
      </c>
      <c r="AO83" s="196" t="n">
        <f aca="false">IF((SUMIF($AK$3:$AT$3,AO$60,$AK$4:$AT$4))=0,0,((SUMIF($AK$3:$AT$3,AO$60,$AK132:$AT132))/SUMIF($AK$3:$AT$3,AO$60,$AK$4:$AT$4)))</f>
        <v>0</v>
      </c>
      <c r="AP83" s="196" t="n">
        <f aca="false">IF((SUMIF($AK$3:$AT$3,AP$60,$AK$4:$AT$4))=0,0,((SUMIF($AK$3:$AT$3,AP$60,$AK132:$AT132))/SUMIF($AK$3:$AT$3,AP$60,$AK$4:$AT$4)))</f>
        <v>0</v>
      </c>
      <c r="AQ83" s="196" t="n">
        <f aca="false">IF((SUMIF($AK$3:$AT$3,AQ$60,$AK$4:$AT$4))=0,0,((SUMIF($AK$3:$AT$3,AQ$60,$AK132:$AT132))/SUMIF($AK$3:$AT$3,AQ$60,$AK$4:$AT$4)))</f>
        <v>0</v>
      </c>
      <c r="AR83" s="196" t="n">
        <f aca="false">IF((SUMIF($AK$3:$AT$3,AR$60,$AK$4:$AT$4))=0,0,((SUMIF($AK$3:$AT$3,AR$60,$AK132:$AT132))/SUMIF($AK$3:$AT$3,AR$60,$AK$4:$AT$4)))</f>
        <v>0</v>
      </c>
      <c r="AS83" s="196" t="n">
        <f aca="false">IF((SUMIF($AK$3:$AT$3,AS$60,$AK$4:$AT$4))=0,0,((SUMIF($AK$3:$AT$3,AS$60,$AK132:$AT132))/SUMIF($AK$3:$AT$3,AS$60,$AK$4:$AT$4)))</f>
        <v>0</v>
      </c>
      <c r="AT83" s="197" t="n">
        <f aca="false">IF((SUMIF($AK$3:$AT$3,AT$60,$AK$4:$AT$4))=0,0,((SUMIF($AK$3:$AT$3,AT$60,$AK132:$AT132))/SUMIF($AK$3:$AT$3,AT$60,$AK$4:$AT$4)))</f>
        <v>0</v>
      </c>
      <c r="AU83" s="194" t="str">
        <f aca="false">AJ83</f>
        <v>Alumno22</v>
      </c>
      <c r="AV83" s="195" t="n">
        <f aca="false">IF((SUMIF($AV$3:$BE$3,AV$60,$AV$4:$BE$4))=0,0,((SUMIF($AV$3:$BE$3,AV$60,$AV132:$BE132))/SUMIF($AV$3:$BE$3,AV$60,$AV$4:$BE$4)))</f>
        <v>5</v>
      </c>
      <c r="AW83" s="196" t="n">
        <f aca="false">IF((SUMIF($AV$3:$BE$3,AW$60,$AV$4:$BE$4))=0,0,((SUMIF($AV$3:$BE$3,AW$60,$AV132:$BE132))/SUMIF($AV$3:$BE$3,AW$60,$AV$4:$BE$4)))</f>
        <v>5</v>
      </c>
      <c r="AX83" s="196" t="n">
        <f aca="false">IF((SUMIF($AV$3:$BE$3,AX$60,$AV$4:$BE$4))=0,0,((SUMIF($AV$3:$BE$3,AX$60,$AV132:$BE132))/SUMIF($AV$3:$BE$3,AX$60,$AV$4:$BE$4)))</f>
        <v>5</v>
      </c>
      <c r="AY83" s="196" t="n">
        <f aca="false">IF((SUMIF($AV$3:$BE$3,AY$60,$AV$4:$BE$4))=0,0,((SUMIF($AV$3:$BE$3,AY$60,$AV132:$BE132))/SUMIF($AV$3:$BE$3,AY$60,$AV$4:$BE$4)))</f>
        <v>5</v>
      </c>
      <c r="AZ83" s="196" t="n">
        <f aca="false">IF((SUMIF($AV$3:$BE$3,AZ$60,$AV$4:$BE$4))=0,0,((SUMIF($AV$3:$BE$3,AZ$60,$AV132:$BE132))/SUMIF($AV$3:$BE$3,AZ$60,$AV$4:$BE$4)))</f>
        <v>0</v>
      </c>
      <c r="BA83" s="196" t="n">
        <f aca="false">IF((SUMIF($AV$3:$BE$3,BA$60,$AV$4:$BE$4))=0,0,((SUMIF($AV$3:$BE$3,BA$60,$AV132:$BE132))/SUMIF($AV$3:$BE$3,BA$60,$AV$4:$BE$4)))</f>
        <v>0</v>
      </c>
      <c r="BB83" s="196" t="n">
        <f aca="false">IF((SUMIF($AV$3:$BE$3,BB$60,$AV$4:$BE$4))=0,0,((SUMIF($AV$3:$BE$3,BB$60,$AV132:$BE132))/SUMIF($AV$3:$BE$3,BB$60,$AV$4:$BE$4)))</f>
        <v>0</v>
      </c>
      <c r="BC83" s="196" t="n">
        <f aca="false">IF((SUMIF($AV$3:$BE$3,BC$60,$AV$4:$BE$4))=0,0,((SUMIF($AV$3:$BE$3,BC$60,$AV132:$BE132))/SUMIF($AV$3:$BE$3,BC$60,$AV$4:$BE$4)))</f>
        <v>0</v>
      </c>
      <c r="BD83" s="196" t="n">
        <f aca="false">IF((SUMIF($AV$3:$BE$3,BD$60,$AV$4:$BE$4))=0,0,((SUMIF($AV$3:$BE$3,BD$60,$AV132:$BE132))/SUMIF($AV$3:$BE$3,BD$60,$AV$4:$BE$4)))</f>
        <v>0</v>
      </c>
      <c r="BE83" s="197" t="n">
        <f aca="false">IF((SUMIF($AV$3:$BE$3,BE$60,$AV$4:$BE$4))=0,0,((SUMIF($AV$3:$BE$3,BE$60,$AV132:$BE132))/SUMIF($AV$3:$BE$3,BE$60,$AV$4:$BE$4)))</f>
        <v>0</v>
      </c>
      <c r="BF83" s="194" t="str">
        <f aca="false">AU83</f>
        <v>Alumno22</v>
      </c>
      <c r="BG83" s="195" t="n">
        <f aca="false">IF((SUMIF($BG$3:$BP$3,BG$60,$BG$4:$BP$4))=0,0,((SUMIF($BG$3:$BP$3,BG$60,$BG132:$BP132))/SUMIF($BG$3:$BP$3,BG$60,$BG$4:$BP$4)))</f>
        <v>5</v>
      </c>
      <c r="BH83" s="196" t="n">
        <f aca="false">IF((SUMIF($BG$3:$BP$3,BH$60,$BG$4:$BP$4))=0,0,((SUMIF($BG$3:$BP$3,BH$60,$BG132:$BP132))/SUMIF($BG$3:$BP$3,BH$60,$BG$4:$BP$4)))</f>
        <v>5</v>
      </c>
      <c r="BI83" s="196" t="n">
        <f aca="false">IF((SUMIF($BG$3:$BP$3,BI$60,$BG$4:$BP$4))=0,0,((SUMIF($BG$3:$BP$3,BI$60,$BG132:$BP132))/SUMIF($BG$3:$BP$3,BI$60,$BG$4:$BP$4)))</f>
        <v>5</v>
      </c>
      <c r="BJ83" s="196" t="n">
        <f aca="false">IF((SUMIF($BG$3:$BP$3,BJ$60,$BG$4:$BP$4))=0,0,((SUMIF($BG$3:$BP$3,BJ$60,$BG132:$BP132))/SUMIF($BG$3:$BP$3,BJ$60,$BG$4:$BP$4)))</f>
        <v>5</v>
      </c>
      <c r="BK83" s="196" t="n">
        <f aca="false">IF((SUMIF($BG$3:$BP$3,BK$60,$BG$4:$BP$4))=0,0,((SUMIF($BG$3:$BP$3,BK$60,$BG132:$BP132))/SUMIF($BG$3:$BP$3,BK$60,$BG$4:$BP$4)))</f>
        <v>0</v>
      </c>
      <c r="BL83" s="196" t="n">
        <f aca="false">IF((SUMIF($BG$3:$BP$3,BL$60,$BG$4:$BP$4))=0,0,((SUMIF($BG$3:$BP$3,BL$60,$BG132:$BP132))/SUMIF($BG$3:$BP$3,BL$60,$BG$4:$BP$4)))</f>
        <v>0</v>
      </c>
      <c r="BM83" s="196" t="n">
        <f aca="false">IF((SUMIF($BG$3:$BP$3,BM$60,$BG$4:$BP$4))=0,0,((SUMIF($BG$3:$BP$3,BM$60,$BG132:$BP132))/SUMIF($BG$3:$BP$3,BM$60,$BG$4:$BP$4)))</f>
        <v>0</v>
      </c>
      <c r="BN83" s="196" t="n">
        <f aca="false">IF((SUMIF($BG$3:$BP$3,BN$60,$BG$4:$BP$4))=0,0,((SUMIF($BG$3:$BP$3,BN$60,$BG132:$BP132))/SUMIF($BG$3:$BP$3,BN$60,$BG$4:$BP$4)))</f>
        <v>0</v>
      </c>
      <c r="BO83" s="196" t="n">
        <f aca="false">IF((SUMIF($BG$3:$BP$3,BO$60,$BG$4:$BP$4))=0,0,((SUMIF($BG$3:$BP$3,BO$60,$BG132:$BP132))/SUMIF($BG$3:$BP$3,BO$60,$BG$4:$BP$4)))</f>
        <v>0</v>
      </c>
      <c r="BP83" s="197" t="n">
        <f aca="false">IF((SUMIF($BG$3:$BP$3,BP$60,$BG$4:$BP$4))=0,0,((SUMIF($BG$3:$BP$3,BP$60,$BG132:$BP132))/SUMIF($BG$3:$BP$3,BP$60,$BG$4:$BP$4)))</f>
        <v>0</v>
      </c>
      <c r="BQ83" s="194" t="str">
        <f aca="false">BF83</f>
        <v>Alumno22</v>
      </c>
      <c r="BR83" s="195" t="n">
        <f aca="false">IF((SUMIF($BR$3:$CA$3,BR$60,$BR$4:$CA$4))=0,0,((SUMIF($BR$3:$CA$3,BR$60,$BR132:$CA132))/SUMIF($BR$3:$CA$3,BR$60,$BR$4:$CA$4)))</f>
        <v>0</v>
      </c>
      <c r="BS83" s="196" t="n">
        <f aca="false">IF((SUMIF($BR$3:$CA$3,BS$60,$BR$4:$CA$4))=0,0,((SUMIF($BR$3:$CA$3,BS$60,$BR132:$CA132))/SUMIF($BR$3:$CA$3,BS$60,$BR$4:$CA$4)))</f>
        <v>3</v>
      </c>
      <c r="BT83" s="196" t="n">
        <f aca="false">IF((SUMIF($BR$3:$CA$3,BT$60,$BR$4:$CA$4))=0,0,((SUMIF($BR$3:$CA$3,BT$60,$BR132:$CA132))/SUMIF($BR$3:$CA$3,BT$60,$BR$4:$CA$4)))</f>
        <v>2.33333333333333</v>
      </c>
      <c r="BU83" s="196" t="n">
        <f aca="false">IF((SUMIF($BR$3:$CA$3,BU$60,$BR$4:$CA$4))=0,0,((SUMIF($BR$3:$CA$3,BU$60,$BR132:$CA132))/SUMIF($BR$3:$CA$3,BU$60,$BR$4:$CA$4)))</f>
        <v>4.6</v>
      </c>
      <c r="BV83" s="196" t="n">
        <f aca="false">IF((SUMIF($BR$3:$CA$3,BV$60,$BR$4:$CA$4))=0,0,((SUMIF($BR$3:$CA$3,BV$60,$BR132:$CA132))/SUMIF($BR$3:$CA$3,BV$60,$BR$4:$CA$4)))</f>
        <v>0</v>
      </c>
      <c r="BW83" s="196" t="n">
        <f aca="false">IF((SUMIF($BR$3:$CA$3,BW$60,$BR$4:$CA$4))=0,0,((SUMIF($BR$3:$CA$3,BW$60,$BR132:$CA132))/SUMIF($BR$3:$CA$3,BW$60,$BR$4:$CA$4)))</f>
        <v>0</v>
      </c>
      <c r="BX83" s="196" t="n">
        <f aca="false">IF((SUMIF($BR$3:$CA$3,BX$60,$BR$4:$CA$4))=0,0,((SUMIF($BR$3:$CA$3,BX$60,$BR132:$CA132))/SUMIF($BR$3:$CA$3,BX$60,$BR$4:$CA$4)))</f>
        <v>0</v>
      </c>
      <c r="BY83" s="196" t="n">
        <f aca="false">IF((SUMIF($BR$3:$CA$3,BY$60,$BR$4:$CA$4))=0,0,((SUMIF($BR$3:$CA$3,BY$60,$BR132:$CA132))/SUMIF($BR$3:$CA$3,BY$60,$BR$4:$CA$4)))</f>
        <v>0</v>
      </c>
      <c r="BZ83" s="196" t="n">
        <f aca="false">IF((SUMIF($BR$3:$CA$3,BZ$60,$BR$4:$CA$4))=0,0,((SUMIF($BR$3:$CA$3,BZ$60,$BR132:$CA132))/SUMIF($BR$3:$CA$3,BZ$60,$BR$4:$CA$4)))</f>
        <v>0</v>
      </c>
      <c r="CA83" s="197" t="n">
        <f aca="false">IF((SUMIF($BR$3:$CA$3,CA$60,$BR$4:$CA$4))=0,0,((SUMIF($BR$3:$CA$3,CA$60,$BR132:$CA132))/SUMIF($BR$3:$CA$3,CA$60,$BR$4:$CA$4)))</f>
        <v>0</v>
      </c>
      <c r="CB83" s="194" t="str">
        <f aca="false">BQ83</f>
        <v>Alumno22</v>
      </c>
      <c r="CC83" s="195" t="n">
        <f aca="false">IF((SUMIF($CC$3:$CL$3,CC$60,$CC$4:$CL$4))=0,0,((SUMIF($CC$3:$CL$3,CC$60,$CC132:$CL132))/SUMIF($CC$3:$CL$3,CC$60,$CC$4:$CL$4)))</f>
        <v>0</v>
      </c>
      <c r="CD83" s="196" t="n">
        <f aca="false">IF((SUMIF($CC$3:$CL$3,CD$60,$CC$4:$CL$4))=0,0,((SUMIF($CC$3:$CL$3,CD$60,$CC132:$CL132))/SUMIF($CC$3:$CL$3,CD$60,$CC$4:$CL$4)))</f>
        <v>0</v>
      </c>
      <c r="CE83" s="196" t="n">
        <f aca="false">IF((SUMIF($CC$3:$CL$3,CE$60,$CC$4:$CL$4))=0,0,((SUMIF($CC$3:$CL$3,CE$60,$CC132:$CL132))/SUMIF($CC$3:$CL$3,CE$60,$CC$4:$CL$4)))</f>
        <v>0</v>
      </c>
      <c r="CF83" s="196" t="n">
        <f aca="false">IF((SUMIF($CC$3:$CL$3,CF$60,$CC$4:$CL$4))=0,0,((SUMIF($CC$3:$CL$3,CF$60,$CC132:$CL132))/SUMIF($CC$3:$CL$3,CF$60,$CC$4:$CL$4)))</f>
        <v>0</v>
      </c>
      <c r="CG83" s="196" t="n">
        <f aca="false">IF((SUMIF($CC$3:$CL$3,CG$60,$CC$4:$CL$4))=0,0,((SUMIF($CC$3:$CL$3,CG$60,$CC132:$CL132))/SUMIF($CC$3:$CL$3,CG$60,$CC$4:$CL$4)))</f>
        <v>0</v>
      </c>
      <c r="CH83" s="196" t="n">
        <f aca="false">IF((SUMIF($CC$3:$CL$3,CH$60,$CC$4:$CL$4))=0,0,((SUMIF($CC$3:$CL$3,CH$60,$CC132:$CL132))/SUMIF($CC$3:$CL$3,CH$60,$CC$4:$CL$4)))</f>
        <v>0</v>
      </c>
      <c r="CI83" s="196" t="n">
        <f aca="false">IF((SUMIF($CC$3:$CL$3,CI$60,$CC$4:$CL$4))=0,0,((SUMIF($CC$3:$CL$3,CI$60,$CC132:$CL132))/SUMIF($CC$3:$CL$3,CI$60,$CC$4:$CL$4)))</f>
        <v>0</v>
      </c>
      <c r="CJ83" s="196" t="n">
        <f aca="false">IF((SUMIF($CC$3:$CL$3,CJ$60,$CC$4:$CL$4))=0,0,((SUMIF($CC$3:$CL$3,CJ$60,$CC132:$CL132))/SUMIF($CC$3:$CL$3,CJ$60,$CC$4:$CL$4)))</f>
        <v>0</v>
      </c>
      <c r="CK83" s="196" t="n">
        <f aca="false">IF((SUMIF($CC$3:$CL$3,CK$60,$CC$4:$CL$4))=0,0,((SUMIF($CC$3:$CL$3,CK$60,$CC132:$CL132))/SUMIF($CC$3:$CL$3,CK$60,$CC$4:$CL$4)))</f>
        <v>0</v>
      </c>
      <c r="CL83" s="197" t="n">
        <f aca="false">IF((SUMIF($CC$3:$CL$3,CL$60,$CC$4:$CL$4))=0,0,((SUMIF($CC$3:$CL$3,CL$60,$CC132:$CL132))/SUMIF($CC$3:$CL$3,CL$60,$CC$4:$CL$4)))</f>
        <v>0</v>
      </c>
      <c r="CM83" s="194" t="str">
        <f aca="false">CB83</f>
        <v>Alumno22</v>
      </c>
      <c r="CN83" s="195" t="n">
        <f aca="false">IF((SUMIF($CN$3:$CW$3,CN$60,$CN$4:$CW$4))=0,0,((SUMIF($CN$3:$CW$3,CN$60,$CN132:$CW132))/SUMIF($CN$3:$CW$3,CN$60,$CN$4:$CW$4)))</f>
        <v>0</v>
      </c>
      <c r="CO83" s="196" t="n">
        <f aca="false">IF((SUMIF($CN$3:$CW$3,CO$60,$CN$4:$CW$4))=0,0,((SUMIF($CN$3:$CW$3,CO$60,$CN132:$CW132))/SUMIF($CN$3:$CW$3,CO$60,$CN$4:$CW$4)))</f>
        <v>0</v>
      </c>
      <c r="CP83" s="196" t="n">
        <f aca="false">IF((SUMIF($CN$3:$CW$3,CP$60,$CN$4:$CW$4))=0,0,((SUMIF($CN$3:$CW$3,CP$60,$CN132:$CW132))/SUMIF($CN$3:$CW$3,CP$60,$CN$4:$CW$4)))</f>
        <v>0</v>
      </c>
      <c r="CQ83" s="196" t="n">
        <f aca="false">IF((SUMIF($CN$3:$CW$3,CQ$60,$CN$4:$CW$4))=0,0,((SUMIF($CN$3:$CW$3,CQ$60,$CN132:$CW132))/SUMIF($CN$3:$CW$3,CQ$60,$CN$4:$CW$4)))</f>
        <v>0</v>
      </c>
      <c r="CR83" s="196" t="n">
        <f aca="false">IF((SUMIF($CN$3:$CW$3,CR$60,$CN$4:$CW$4))=0,0,((SUMIF($CN$3:$CW$3,CR$60,$CN132:$CW132))/SUMIF($CN$3:$CW$3,CR$60,$CN$4:$CW$4)))</f>
        <v>0</v>
      </c>
      <c r="CS83" s="196" t="n">
        <f aca="false">IF((SUMIF($CN$3:$CW$3,CS$60,$CN$4:$CW$4))=0,0,((SUMIF($CN$3:$CW$3,CS$60,$CN132:$CW132))/SUMIF($CN$3:$CW$3,CS$60,$CN$4:$CW$4)))</f>
        <v>0</v>
      </c>
      <c r="CT83" s="196" t="n">
        <f aca="false">IF((SUMIF($CN$3:$CW$3,CT$60,$CN$4:$CW$4))=0,0,((SUMIF($CN$3:$CW$3,CT$60,$CN132:$CW132))/SUMIF($CN$3:$CW$3,CT$60,$CN$4:$CW$4)))</f>
        <v>0</v>
      </c>
      <c r="CU83" s="196" t="n">
        <f aca="false">IF((SUMIF($CN$3:$CW$3,CU$60,$CN$4:$CW$4))=0,0,((SUMIF($CN$3:$CW$3,CU$60,$CN132:$CW132))/SUMIF($CN$3:$CW$3,CU$60,$CN$4:$CW$4)))</f>
        <v>0</v>
      </c>
      <c r="CV83" s="196" t="n">
        <f aca="false">IF((SUMIF($CN$3:$CW$3,CV$60,$CN$4:$CW$4))=0,0,((SUMIF($CN$3:$CW$3,CV$60,$CN132:$CW132))/SUMIF($CN$3:$CW$3,CV$60,$CN$4:$CW$4)))</f>
        <v>0</v>
      </c>
      <c r="CW83" s="197" t="n">
        <f aca="false">IF((SUMIF($CN$3:$CW$3,CW$60,$CN$4:$CW$4))=0,0,((SUMIF($CN$3:$CW$3,CW$60,$CN132:$CW132))/SUMIF($CN$3:$CW$3,CW$60,$CN$4:$CW$4)))</f>
        <v>0</v>
      </c>
      <c r="CX83" s="194" t="str">
        <f aca="false">CM83</f>
        <v>Alumno22</v>
      </c>
      <c r="CY83" s="195" t="n">
        <f aca="false">IF((SUMIF($CY$3:$DH$3,CY$60,$CY$4:$DH$4))=0,0,((SUMIF($CY$3:$DH$3,CY$60,$CY132:$DH132))/SUMIF($CY$3:$DH$3,CY$60,$CY$4:$DH$4)))</f>
        <v>0</v>
      </c>
      <c r="CZ83" s="196" t="n">
        <f aca="false">IF((SUMIF($CY$3:$DH$3,CZ$60,$CY$4:$DH$4))=0,0,((SUMIF($CY$3:$DH$3,CZ$60,$CY132:$DH132))/SUMIF($CY$3:$DH$3,CZ$60,$CY$4:$DH$4)))</f>
        <v>0</v>
      </c>
      <c r="DA83" s="196" t="n">
        <f aca="false">IF((SUMIF($CY$3:$DH$3,DA$60,$CY$4:$DH$4))=0,0,((SUMIF($CY$3:$DH$3,DA$60,$CY132:$DH132))/SUMIF($CY$3:$DH$3,DA$60,$CY$4:$DH$4)))</f>
        <v>0</v>
      </c>
      <c r="DB83" s="196" t="n">
        <f aca="false">IF((SUMIF($CY$3:$DH$3,DB$60,$CY$4:$DH$4))=0,0,((SUMIF($CY$3:$DH$3,DB$60,$CY132:$DH132))/SUMIF($CY$3:$DH$3,DB$60,$CY$4:$DH$4)))</f>
        <v>0</v>
      </c>
      <c r="DC83" s="196" t="n">
        <f aca="false">IF((SUMIF($CY$3:$DH$3,DC$60,$CY$4:$DH$4))=0,0,((SUMIF($CY$3:$DH$3,DC$60,$CY132:$DH132))/SUMIF($CY$3:$DH$3,DC$60,$CY$4:$DH$4)))</f>
        <v>0</v>
      </c>
      <c r="DD83" s="196" t="n">
        <f aca="false">IF((SUMIF($CY$3:$DH$3,DD$60,$CY$4:$DH$4))=0,0,((SUMIF($CY$3:$DH$3,DD$60,$CY132:$DH132))/SUMIF($CY$3:$DH$3,DD$60,$CY$4:$DH$4)))</f>
        <v>0</v>
      </c>
      <c r="DE83" s="196" t="n">
        <f aca="false">IF((SUMIF($CY$3:$DH$3,DE$60,$CY$4:$DH$4))=0,0,((SUMIF($CY$3:$DH$3,DE$60,$CY132:$DH132))/SUMIF($CY$3:$DH$3,DE$60,$CY$4:$DH$4)))</f>
        <v>0</v>
      </c>
      <c r="DF83" s="196" t="n">
        <f aca="false">IF((SUMIF($CY$3:$DH$3,DF$60,$CY$4:$DH$4))=0,0,((SUMIF($CY$3:$DH$3,DF$60,$CY132:$DH132))/SUMIF($CY$3:$DH$3,DF$60,$CY$4:$DH$4)))</f>
        <v>0</v>
      </c>
      <c r="DG83" s="196" t="n">
        <f aca="false">IF((SUMIF($CY$3:$DH$3,DG$60,$CY$4:$DH$4))=0,0,((SUMIF($CY$3:$DH$3,DG$60,$CY132:$DH132))/SUMIF($CY$3:$DH$3,DG$60,$CY$4:$DH$4)))</f>
        <v>0</v>
      </c>
      <c r="DH83" s="197" t="n">
        <f aca="false">IF((SUMIF($CY$3:$DH$3,DH$60,$CY$4:$DH$4))=0,0,((SUMIF($CY$3:$DH$3,DH$60,$CY132:$DH132))/SUMIF($CY$3:$DH$3,DH$60,$CY$4:$DH$4)))</f>
        <v>0</v>
      </c>
      <c r="DI83" s="194" t="str">
        <f aca="false">CX83</f>
        <v>Alumno22</v>
      </c>
      <c r="DJ83" s="195" t="n">
        <f aca="false">IF((SUMIF($DJ$3:$DS$3,DJ$60,$DJ$4:$DS$4))=0,0,((SUMIF($DJ$3:$DS$3,DJ$60,$DJ132:$DS132))/SUMIF($DJ$3:$DS$3,DJ$60,$DJ$4:$DS$4)))</f>
        <v>0</v>
      </c>
      <c r="DK83" s="196" t="n">
        <f aca="false">IF((SUMIF($DJ$3:$DS$3,DK$60,$DJ$4:$DS$4))=0,0,((SUMIF($DJ$3:$DS$3,DK$60,$DJ132:$DS132))/SUMIF($DJ$3:$DS$3,DK$60,$DJ$4:$DS$4)))</f>
        <v>0</v>
      </c>
      <c r="DL83" s="196" t="n">
        <f aca="false">IF((SUMIF($DJ$3:$DS$3,DL$60,$DJ$4:$DS$4))=0,0,((SUMIF($DJ$3:$DS$3,DL$60,$DJ132:$DS132))/SUMIF($DJ$3:$DS$3,DL$60,$DJ$4:$DS$4)))</f>
        <v>0</v>
      </c>
      <c r="DM83" s="196" t="n">
        <f aca="false">IF((SUMIF($DJ$3:$DS$3,DM$60,$DJ$4:$DS$4))=0,0,((SUMIF($DJ$3:$DS$3,DM$60,$DJ132:$DS132))/SUMIF($DJ$3:$DS$3,DM$60,$DJ$4:$DS$4)))</f>
        <v>0</v>
      </c>
      <c r="DN83" s="196" t="n">
        <f aca="false">IF((SUMIF($DJ$3:$DS$3,DN$60,$DJ$4:$DS$4))=0,0,((SUMIF($DJ$3:$DS$3,DN$60,$DJ132:$DS132))/SUMIF($DJ$3:$DS$3,DN$60,$DJ$4:$DS$4)))</f>
        <v>0</v>
      </c>
      <c r="DO83" s="196" t="n">
        <f aca="false">IF((SUMIF($DJ$3:$DS$3,DO$60,$DJ$4:$DS$4))=0,0,((SUMIF($DJ$3:$DS$3,DO$60,$DJ132:$DS132))/SUMIF($DJ$3:$DS$3,DO$60,$DJ$4:$DS$4)))</f>
        <v>0</v>
      </c>
      <c r="DP83" s="196" t="n">
        <f aca="false">IF((SUMIF($DJ$3:$DS$3,DP$60,$DJ$4:$DS$4))=0,0,((SUMIF($DJ$3:$DS$3,DP$60,$DJ132:$DS132))/SUMIF($DJ$3:$DS$3,DP$60,$DJ$4:$DS$4)))</f>
        <v>0</v>
      </c>
      <c r="DQ83" s="196" t="n">
        <f aca="false">IF((SUMIF($DJ$3:$DS$3,DQ$60,$DJ$4:$DS$4))=0,0,((SUMIF($DJ$3:$DS$3,DQ$60,$DJ132:$DS132))/SUMIF($DJ$3:$DS$3,DQ$60,$DJ$4:$DS$4)))</f>
        <v>0</v>
      </c>
      <c r="DR83" s="196" t="n">
        <f aca="false">IF((SUMIF($DJ$3:$DS$3,DR$60,$DJ$4:$DS$4))=0,0,((SUMIF($DJ$3:$DS$3,DR$60,$DJ132:$DS132))/SUMIF($DJ$3:$DS$3,DR$60,$DJ$4:$DS$4)))</f>
        <v>0</v>
      </c>
      <c r="DS83" s="197" t="n">
        <f aca="false">IF((SUMIF($DJ$3:$DS$3,DS$60,$DJ$4:$DS$4))=0,0,((SUMIF($DJ$3:$DS$3,DS$60,$DJ132:$DS132))/SUMIF($DJ$3:$DS$3,DS$60,$DJ$4:$DS$4)))</f>
        <v>0</v>
      </c>
      <c r="DT83" s="194" t="str">
        <f aca="false">DI83</f>
        <v>Alumno22</v>
      </c>
      <c r="DU83" s="195" t="n">
        <f aca="false">IF((SUMIF($DU$3:$ED$3,DU$60,$DU$4:$ED$4))=0,0,((SUMIF($DU$3:$ED$3,DU$60,$DU132:$ED132))/SUMIF($DU$3:$ED$3,DU$60,$DU$4:$ED$4)))</f>
        <v>0</v>
      </c>
      <c r="DV83" s="196" t="n">
        <f aca="false">IF((SUMIF($DU$3:$ED$3,DV$60,$DU$4:$ED$4))=0,0,((SUMIF($DU$3:$ED$3,DV$60,$DU132:$ED132))/SUMIF($DU$3:$ED$3,DV$60,$DU$4:$ED$4)))</f>
        <v>0</v>
      </c>
      <c r="DW83" s="196" t="n">
        <f aca="false">IF((SUMIF($DU$3:$ED$3,DW$60,$DU$4:$ED$4))=0,0,((SUMIF($DU$3:$ED$3,DW$60,$DU132:$ED132))/SUMIF($DU$3:$ED$3,DW$60,$DU$4:$ED$4)))</f>
        <v>0</v>
      </c>
      <c r="DX83" s="196" t="n">
        <f aca="false">IF((SUMIF($DU$3:$ED$3,DX$60,$DU$4:$ED$4))=0,0,((SUMIF($DU$3:$ED$3,DX$60,$DU132:$ED132))/SUMIF($DU$3:$ED$3,DX$60,$DU$4:$ED$4)))</f>
        <v>0</v>
      </c>
      <c r="DY83" s="196" t="n">
        <f aca="false">IF((SUMIF($DU$3:$ED$3,DY$60,$DU$4:$ED$4))=0,0,((SUMIF($DU$3:$ED$3,DY$60,$DU132:$ED132))/SUMIF($DU$3:$ED$3,DY$60,$DU$4:$ED$4)))</f>
        <v>0</v>
      </c>
      <c r="DZ83" s="196" t="n">
        <f aca="false">IF((SUMIF($DU$3:$ED$3,DZ$60,$DU$4:$ED$4))=0,0,((SUMIF($DU$3:$ED$3,DZ$60,$DU132:$ED132))/SUMIF($DU$3:$ED$3,DZ$60,$DU$4:$ED$4)))</f>
        <v>0</v>
      </c>
      <c r="EA83" s="196" t="n">
        <f aca="false">IF((SUMIF($DU$3:$ED$3,EA$60,$DU$4:$ED$4))=0,0,((SUMIF($DU$3:$ED$3,EA$60,$DU132:$ED132))/SUMIF($DU$3:$ED$3,EA$60,$DU$4:$ED$4)))</f>
        <v>0</v>
      </c>
      <c r="EB83" s="196" t="n">
        <f aca="false">IF((SUMIF($DU$3:$ED$3,EB$60,$DU$4:$ED$4))=0,0,((SUMIF($DU$3:$ED$3,EB$60,$DU132:$ED132))/SUMIF($DU$3:$ED$3,EB$60,$DU$4:$ED$4)))</f>
        <v>0</v>
      </c>
      <c r="EC83" s="196" t="n">
        <f aca="false">IF((SUMIF($DU$3:$ED$3,EC$60,$DU$4:$ED$4))=0,0,((SUMIF($DU$3:$ED$3,EC$60,$DU132:$ED132))/SUMIF($DU$3:$ED$3,EC$60,$DU$4:$ED$4)))</f>
        <v>0</v>
      </c>
      <c r="ED83" s="197" t="n">
        <f aca="false">IF((SUMIF($DU$3:$ED$3,ED$60,$DU$4:$ED$4))=0,0,((SUMIF($DU$3:$ED$3,ED$60,$DU132:$ED132))/SUMIF($DU$3:$ED$3,ED$60,$DU$4:$ED$4)))</f>
        <v>0</v>
      </c>
      <c r="EE83" s="194" t="str">
        <f aca="false">DT83</f>
        <v>Alumno22</v>
      </c>
      <c r="EF83" s="195" t="n">
        <f aca="false">IF((SUMIF($EF$3:$EO$3,EF$60,$EF$4:$EO$4))=0,0,((SUMIF($EF$3:$EO$3,EF$60,$EF132:$EO132))/SUMIF($EF$3:$EO$3,EF$60,$EF$4:$EO$4)))</f>
        <v>0</v>
      </c>
      <c r="EG83" s="196" t="n">
        <f aca="false">IF((SUMIF($EF$3:$EO$3,EG$60,$EF$4:$EO$4))=0,0,((SUMIF($EF$3:$EO$3,EG$60,$EF132:$EO132))/SUMIF($EF$3:$EO$3,EG$60,$EF$4:$EO$4)))</f>
        <v>0</v>
      </c>
      <c r="EH83" s="196" t="n">
        <f aca="false">IF((SUMIF($EF$3:$EO$3,EH$60,$EF$4:$EO$4))=0,0,((SUMIF($EF$3:$EO$3,EH$60,$EF132:$EO132))/SUMIF($EF$3:$EO$3,EH$60,$EF$4:$EO$4)))</f>
        <v>0</v>
      </c>
      <c r="EI83" s="196" t="n">
        <f aca="false">IF((SUMIF($EF$3:$EO$3,EI$60,$EF$4:$EO$4))=0,0,((SUMIF($EF$3:$EO$3,EI$60,$EF132:$EO132))/SUMIF($EF$3:$EO$3,EI$60,$EF$4:$EO$4)))</f>
        <v>0</v>
      </c>
      <c r="EJ83" s="196" t="n">
        <f aca="false">IF((SUMIF($EF$3:$EO$3,EJ$60,$EF$4:$EO$4))=0,0,((SUMIF($EF$3:$EO$3,EJ$60,$EF132:$EO132))/SUMIF($EF$3:$EO$3,EJ$60,$EF$4:$EO$4)))</f>
        <v>0</v>
      </c>
      <c r="EK83" s="196" t="n">
        <f aca="false">IF((SUMIF($EF$3:$EO$3,EK$60,$EF$4:$EO$4))=0,0,((SUMIF($EF$3:$EO$3,EK$60,$EF132:$EO132))/SUMIF($EF$3:$EO$3,EK$60,$EF$4:$EO$4)))</f>
        <v>0</v>
      </c>
      <c r="EL83" s="196" t="n">
        <f aca="false">IF((SUMIF($EF$3:$EO$3,EL$60,$EF$4:$EO$4))=0,0,((SUMIF($EF$3:$EO$3,EL$60,$EF132:$EO132))/SUMIF($EF$3:$EO$3,EL$60,$EF$4:$EO$4)))</f>
        <v>0</v>
      </c>
      <c r="EM83" s="196" t="n">
        <f aca="false">IF((SUMIF($EF$3:$EO$3,EM$60,$EF$4:$EO$4))=0,0,((SUMIF($EF$3:$EO$3,EM$60,$EF132:$EO132))/SUMIF($EF$3:$EO$3,EM$60,$EF$4:$EO$4)))</f>
        <v>0</v>
      </c>
      <c r="EN83" s="196" t="n">
        <f aca="false">IF((SUMIF($EF$3:$EO$3,EN$60,$EF$4:$EO$4))=0,0,((SUMIF($EF$3:$EO$3,EN$60,$EF132:$EO132))/SUMIF($EF$3:$EO$3,EN$60,$EF$4:$EO$4)))</f>
        <v>0</v>
      </c>
      <c r="EO83" s="197" t="n">
        <f aca="false">IF((SUMIF($EF$3:$EO$3,EO$60,$EF$4:$EO$4))=0,0,((SUMIF($EF$3:$EO$3,EO$60,$EF132:$EO132))/SUMIF($EF$3:$EO$3,EO$60,$EF$4:$EO$4)))</f>
        <v>0</v>
      </c>
      <c r="EP83" s="194" t="str">
        <f aca="false">EE83</f>
        <v>Alumno22</v>
      </c>
      <c r="EQ83" s="195" t="n">
        <f aca="false">IF((SUMIF($EQ$3:$EZ$3,EQ$60,$EQ$4:$EZ$4))=0,0,((SUMIF($EQ$3:$EZ$3,EQ$60,$EQ132:$EZ132))/SUMIF($EQ$3:$EZ$3,EQ$60,$EQ$4:$EZ$4)))</f>
        <v>0</v>
      </c>
      <c r="ER83" s="196" t="n">
        <f aca="false">IF((SUMIF($EQ$3:$EZ$3,ER$60,$EQ$4:$EZ$4))=0,0,((SUMIF($EQ$3:$EZ$3,ER$60,$EQ132:$EZ132))/SUMIF($EQ$3:$EZ$3,ER$60,$EQ$4:$EZ$4)))</f>
        <v>0</v>
      </c>
      <c r="ES83" s="196" t="n">
        <f aca="false">IF((SUMIF($EQ$3:$EZ$3,ES$60,$EQ$4:$EZ$4))=0,0,((SUMIF($EQ$3:$EZ$3,ES$60,$EQ132:$EZ132))/SUMIF($EQ$3:$EZ$3,ES$60,$EQ$4:$EZ$4)))</f>
        <v>0</v>
      </c>
      <c r="ET83" s="196" t="n">
        <f aca="false">IF((SUMIF($EQ$3:$EZ$3,ET$60,$EQ$4:$EZ$4))=0,0,((SUMIF($EQ$3:$EZ$3,ET$60,$EQ132:$EZ132))/SUMIF($EQ$3:$EZ$3,ET$60,$EQ$4:$EZ$4)))</f>
        <v>0</v>
      </c>
      <c r="EU83" s="196" t="n">
        <f aca="false">IF((SUMIF($EQ$3:$EZ$3,EU$60,$EQ$4:$EZ$4))=0,0,((SUMIF($EQ$3:$EZ$3,EU$60,$EQ132:$EZ132))/SUMIF($EQ$3:$EZ$3,EU$60,$EQ$4:$EZ$4)))</f>
        <v>0</v>
      </c>
      <c r="EV83" s="196" t="n">
        <f aca="false">IF((SUMIF($EQ$3:$EZ$3,EV$60,$EQ$4:$EZ$4))=0,0,((SUMIF($EQ$3:$EZ$3,EV$60,$EQ132:$EZ132))/SUMIF($EQ$3:$EZ$3,EV$60,$EQ$4:$EZ$4)))</f>
        <v>0</v>
      </c>
      <c r="EW83" s="196" t="n">
        <f aca="false">IF((SUMIF($EQ$3:$EZ$3,EW$60,$EQ$4:$EZ$4))=0,0,((SUMIF($EQ$3:$EZ$3,EW$60,$EQ132:$EZ132))/SUMIF($EQ$3:$EZ$3,EW$60,$EQ$4:$EZ$4)))</f>
        <v>0</v>
      </c>
      <c r="EX83" s="196" t="n">
        <f aca="false">IF((SUMIF($EQ$3:$EZ$3,EX$60,$EQ$4:$EZ$4))=0,0,((SUMIF($EQ$3:$EZ$3,EX$60,$EQ132:$EZ132))/SUMIF($EQ$3:$EZ$3,EX$60,$EQ$4:$EZ$4)))</f>
        <v>0</v>
      </c>
      <c r="EY83" s="196" t="n">
        <f aca="false">IF((SUMIF($EQ$3:$EZ$3,EY$60,$EQ$4:$EZ$4))=0,0,((SUMIF($EQ$3:$EZ$3,EY$60,$EQ132:$EZ132))/SUMIF($EQ$3:$EZ$3,EY$60,$EQ$4:$EZ$4)))</f>
        <v>0</v>
      </c>
      <c r="EZ83" s="197" t="n">
        <f aca="false">IF((SUMIF($EQ$3:$EZ$3,EZ$60,$EQ$4:$EZ$4))=0,0,((SUMIF($EQ$3:$EZ$3,EZ$60,$EQ132:$EZ132))/SUMIF($EQ$3:$EZ$3,EZ$60,$EQ$4:$EZ$4)))</f>
        <v>0</v>
      </c>
      <c r="FA83" s="194" t="str">
        <f aca="false">EP83</f>
        <v>Alumno22</v>
      </c>
      <c r="FB83" s="195" t="n">
        <f aca="false">IF((SUMIF($FB$3:$FK$3,FB$60,$FB$4:$FK$4))=0,0,((SUMIF($FB$3:$FK$3,FB$60,$FB132:$FK132))/SUMIF($FB$3:$FK$3,FB$60,$FB$4:$FK$4)))</f>
        <v>0</v>
      </c>
      <c r="FC83" s="196" t="n">
        <f aca="false">IF((SUMIF($FB$3:$FK$3,FC$60,$FB$4:$FK$4))=0,0,((SUMIF($FB$3:$FK$3,FC$60,$FB132:$FK132))/SUMIF($FB$3:$FK$3,FC$60,$FB$4:$FK$4)))</f>
        <v>0</v>
      </c>
      <c r="FD83" s="196" t="n">
        <f aca="false">IF((SUMIF($FB$3:$FK$3,FD$60,$FB$4:$FK$4))=0,0,((SUMIF($FB$3:$FK$3,FD$60,$FB132:$FK132))/SUMIF($FB$3:$FK$3,FD$60,$FB$4:$FK$4)))</f>
        <v>0</v>
      </c>
      <c r="FE83" s="196" t="n">
        <f aca="false">IF((SUMIF($FB$3:$FK$3,FE$60,$FB$4:$FK$4))=0,0,((SUMIF($FB$3:$FK$3,FE$60,$FB132:$FK132))/SUMIF($FB$3:$FK$3,FE$60,$FB$4:$FK$4)))</f>
        <v>0</v>
      </c>
      <c r="FF83" s="196" t="n">
        <f aca="false">IF((SUMIF($FB$3:$FK$3,FF$60,$FB$4:$FK$4))=0,0,((SUMIF($FB$3:$FK$3,FF$60,$FB132:$FK132))/SUMIF($FB$3:$FK$3,FF$60,$FB$4:$FK$4)))</f>
        <v>0</v>
      </c>
      <c r="FG83" s="196" t="n">
        <f aca="false">IF((SUMIF($FB$3:$FK$3,FG$60,$FB$4:$FK$4))=0,0,((SUMIF($FB$3:$FK$3,FG$60,$FB132:$FK132))/SUMIF($FB$3:$FK$3,FG$60,$FB$4:$FK$4)))</f>
        <v>0</v>
      </c>
      <c r="FH83" s="196" t="n">
        <f aca="false">IF((SUMIF($FB$3:$FK$3,FH$60,$FB$4:$FK$4))=0,0,((SUMIF($FB$3:$FK$3,FH$60,$FB132:$FK132))/SUMIF($FB$3:$FK$3,FH$60,$FB$4:$FK$4)))</f>
        <v>0</v>
      </c>
      <c r="FI83" s="196" t="n">
        <f aca="false">IF((SUMIF($FB$3:$FK$3,FI$60,$FB$4:$FK$4))=0,0,((SUMIF($FB$3:$FK$3,FI$60,$FB132:$FK132))/SUMIF($FB$3:$FK$3,FI$60,$FB$4:$FK$4)))</f>
        <v>0</v>
      </c>
      <c r="FJ83" s="196" t="n">
        <f aca="false">IF((SUMIF($FB$3:$FK$3,FJ$60,$FB$4:$FK$4))=0,0,((SUMIF($FB$3:$FK$3,FJ$60,$FB132:$FK132))/SUMIF($FB$3:$FK$3,FJ$60,$FB$4:$FK$4)))</f>
        <v>0</v>
      </c>
      <c r="FK83" s="197" t="n">
        <f aca="false">IF((SUMIF($FB$3:$FK$3,FK$60,$FB$4:$FK$4))=0,0,((SUMIF($FB$3:$FK$3,FK$60,$FB132:$FK132))/SUMIF($FB$3:$FK$3,FK$60,$FB$4:$FK$4)))</f>
        <v>0</v>
      </c>
      <c r="FL83" s="194" t="str">
        <f aca="false">FA83</f>
        <v>Alumno22</v>
      </c>
      <c r="FM83" s="195" t="n">
        <f aca="false">IF((SUMIF($FM$3:$FV$3,FM$60,$FM$4:$FV$4))=0,0,((SUMIF($FM$3:$FV$3,FM$60,$FM132:$FV132))/SUMIF($FM$3:$FV$3,FM$60,$FM$4:$FV$4)))</f>
        <v>0</v>
      </c>
      <c r="FN83" s="196" t="n">
        <f aca="false">IF((SUMIF($FM$3:$FV$3,FN$60,$FM$4:$FV$4))=0,0,((SUMIF($FM$3:$FV$3,FN$60,$FM132:$FV132))/SUMIF($FM$3:$FV$3,FN$60,$FM$4:$FV$4)))</f>
        <v>0</v>
      </c>
      <c r="FO83" s="196" t="n">
        <f aca="false">IF((SUMIF($FM$3:$FV$3,FO$60,$FM$4:$FV$4))=0,0,((SUMIF($FM$3:$FV$3,FO$60,$FM132:$FV132))/SUMIF($FM$3:$FV$3,FO$60,$FM$4:$FV$4)))</f>
        <v>0</v>
      </c>
      <c r="FP83" s="196" t="n">
        <f aca="false">IF((SUMIF($FM$3:$FV$3,FP$60,$FM$4:$FV$4))=0,0,((SUMIF($FM$3:$FV$3,FP$60,$FM132:$FV132))/SUMIF($FM$3:$FV$3,FP$60,$FM$4:$FV$4)))</f>
        <v>0</v>
      </c>
      <c r="FQ83" s="196" t="n">
        <f aca="false">IF((SUMIF($FM$3:$FV$3,FQ$60,$FM$4:$FV$4))=0,0,((SUMIF($FM$3:$FV$3,FQ$60,$FM132:$FV132))/SUMIF($FM$3:$FV$3,FQ$60,$FM$4:$FV$4)))</f>
        <v>0</v>
      </c>
      <c r="FR83" s="196" t="n">
        <f aca="false">IF((SUMIF($FM$3:$FV$3,FR$60,$FM$4:$FV$4))=0,0,((SUMIF($FM$3:$FV$3,FR$60,$FM132:$FV132))/SUMIF($FM$3:$FV$3,FR$60,$FM$4:$FV$4)))</f>
        <v>0</v>
      </c>
      <c r="FS83" s="196" t="n">
        <f aca="false">IF((SUMIF($FM$3:$FV$3,FS$60,$FM$4:$FV$4))=0,0,((SUMIF($FM$3:$FV$3,FS$60,$FM132:$FV132))/SUMIF($FM$3:$FV$3,FS$60,$FM$4:$FV$4)))</f>
        <v>0</v>
      </c>
      <c r="FT83" s="196" t="n">
        <f aca="false">IF((SUMIF($FM$3:$FV$3,FT$60,$FM$4:$FV$4))=0,0,((SUMIF($FM$3:$FV$3,FT$60,$FM132:$FV132))/SUMIF($FM$3:$FV$3,FT$60,$FM$4:$FV$4)))</f>
        <v>0</v>
      </c>
      <c r="FU83" s="196" t="n">
        <f aca="false">IF((SUMIF($FM$3:$FV$3,FU$60,$FM$4:$FV$4))=0,0,((SUMIF($FM$3:$FV$3,FU$60,$FM132:$FV132))/SUMIF($FM$3:$FV$3,FU$60,$FM$4:$FV$4)))</f>
        <v>0</v>
      </c>
      <c r="FV83" s="197" t="n">
        <f aca="false">IF((SUMIF($FM$3:$FV$3,FV$60,$FM$4:$FV$4))=0,0,((SUMIF($FM$3:$FV$3,FV$60,$FM132:$FV132))/SUMIF($FM$3:$FV$3,FV$60,$FM$4:$FV$4)))</f>
        <v>0</v>
      </c>
      <c r="FW83" s="194" t="str">
        <f aca="false">FL83</f>
        <v>Alumno22</v>
      </c>
      <c r="FX83" s="195" t="n">
        <f aca="false">IF((SUMIF($FX$3:$GG$3,FX$60,$FX$4:$GG$4))=0,0,((SUMIF($FX$3:$GG$3,FX$60,$FX132:$GG132))/SUMIF($FX$3:$GG$3,FX$60,$FX$4:$GG$4)))</f>
        <v>0</v>
      </c>
      <c r="FY83" s="196" t="n">
        <f aca="false">IF((SUMIF($FX$3:$GG$3,FY$60,$FX$4:$GG$4))=0,0,((SUMIF($FX$3:$GG$3,FY$60,$FX132:$GG132))/SUMIF($FX$3:$GG$3,FY$60,$FX$4:$GG$4)))</f>
        <v>0</v>
      </c>
      <c r="FZ83" s="196" t="n">
        <f aca="false">IF((SUMIF($FX$3:$GG$3,FZ$60,$FX$4:$GG$4))=0,0,((SUMIF($FX$3:$GG$3,FZ$60,$FX132:$GG132))/SUMIF($FX$3:$GG$3,FZ$60,$FX$4:$GG$4)))</f>
        <v>0</v>
      </c>
      <c r="GA83" s="196" t="n">
        <f aca="false">IF((SUMIF($FX$3:$GG$3,GA$60,$FX$4:$GG$4))=0,0,((SUMIF($FX$3:$GG$3,GA$60,$FX132:$GG132))/SUMIF($FX$3:$GG$3,GA$60,$FX$4:$GG$4)))</f>
        <v>0</v>
      </c>
      <c r="GB83" s="196" t="n">
        <f aca="false">IF((SUMIF($FX$3:$GG$3,GB$60,$FX$4:$GG$4))=0,0,((SUMIF($FX$3:$GG$3,GB$60,$FX132:$GG132))/SUMIF($FX$3:$GG$3,GB$60,$FX$4:$GG$4)))</f>
        <v>0</v>
      </c>
      <c r="GC83" s="196" t="n">
        <f aca="false">IF((SUMIF($FX$3:$GG$3,GC$60,$FX$4:$GG$4))=0,0,((SUMIF($FX$3:$GG$3,GC$60,$FX132:$GG132))/SUMIF($FX$3:$GG$3,GC$60,$FX$4:$GG$4)))</f>
        <v>0</v>
      </c>
      <c r="GD83" s="196" t="n">
        <f aca="false">IF((SUMIF($FX$3:$GG$3,GD$60,$FX$4:$GG$4))=0,0,((SUMIF($FX$3:$GG$3,GD$60,$FX132:$GG132))/SUMIF($FX$3:$GG$3,GD$60,$FX$4:$GG$4)))</f>
        <v>0</v>
      </c>
      <c r="GE83" s="196" t="n">
        <f aca="false">IF((SUMIF($FX$3:$GG$3,GE$60,$FX$4:$GG$4))=0,0,((SUMIF($FX$3:$GG$3,GE$60,$FX132:$GG132))/SUMIF($FX$3:$GG$3,GE$60,$FX$4:$GG$4)))</f>
        <v>0</v>
      </c>
      <c r="GF83" s="196" t="n">
        <f aca="false">IF((SUMIF($FX$3:$GG$3,GF$60,$FX$4:$GG$4))=0,0,((SUMIF($FX$3:$GG$3,GF$60,$FX132:$GG132))/SUMIF($FX$3:$GG$3,GF$60,$FX$4:$GG$4)))</f>
        <v>0</v>
      </c>
      <c r="GG83" s="197" t="n">
        <f aca="false">IF((SUMIF($FX$3:$GG$3,GG$60,$FX$4:$GG$4))=0,0,((SUMIF($FX$3:$GG$3,GG$60,$FX132:$GG132))/SUMIF($FX$3:$GG$3,GG$60,$FX$4:$GG$4)))</f>
        <v>0</v>
      </c>
      <c r="GH83" s="194" t="str">
        <f aca="false">FW83</f>
        <v>Alumno22</v>
      </c>
      <c r="GI83" s="195" t="n">
        <f aca="false">IF((SUMIF($GI$3:$GR$3,GI$60,$GI$4:$GR$4))=0,0,((SUMIF($GI$3:$GR$3,GI$60,$GI132:$GR132))/SUMIF($GI$3:$GR$3,GI$60,$GI$4:$GR$4)))</f>
        <v>0</v>
      </c>
      <c r="GJ83" s="196" t="n">
        <f aca="false">IF((SUMIF($GI$3:$GR$3,GJ$60,$GI$4:$GR$4))=0,0,((SUMIF($GI$3:$GR$3,GJ$60,$GI132:$GR132))/SUMIF($GI$3:$GR$3,GJ$60,$GI$4:$GR$4)))</f>
        <v>0</v>
      </c>
      <c r="GK83" s="196" t="n">
        <f aca="false">IF((SUMIF($GI$3:$GR$3,GK$60,$GI$4:$GR$4))=0,0,((SUMIF($GI$3:$GR$3,GK$60,$GI132:$GR132))/SUMIF($GI$3:$GR$3,GK$60,$GI$4:$GR$4)))</f>
        <v>0</v>
      </c>
      <c r="GL83" s="196" t="n">
        <f aca="false">IF((SUMIF($GI$3:$GR$3,GL$60,$GI$4:$GR$4))=0,0,((SUMIF($GI$3:$GR$3,GL$60,$GI132:$GR132))/SUMIF($GI$3:$GR$3,GL$60,$GI$4:$GR$4)))</f>
        <v>0</v>
      </c>
      <c r="GM83" s="196" t="n">
        <f aca="false">IF((SUMIF($GI$3:$GR$3,GM$60,$GI$4:$GR$4))=0,0,((SUMIF($GI$3:$GR$3,GM$60,$GI132:$GR132))/SUMIF($GI$3:$GR$3,GM$60,$GI$4:$GR$4)))</f>
        <v>0</v>
      </c>
      <c r="GN83" s="196" t="n">
        <f aca="false">IF((SUMIF($GI$3:$GR$3,GN$60,$GI$4:$GR$4))=0,0,((SUMIF($GI$3:$GR$3,GN$60,$GI132:$GR132))/SUMIF($GI$3:$GR$3,GN$60,$GI$4:$GR$4)))</f>
        <v>0</v>
      </c>
      <c r="GO83" s="196" t="n">
        <f aca="false">IF((SUMIF($GI$3:$GR$3,GO$60,$GI$4:$GR$4))=0,0,((SUMIF($GI$3:$GR$3,GO$60,$GI132:$GR132))/SUMIF($GI$3:$GR$3,GO$60,$GI$4:$GR$4)))</f>
        <v>0</v>
      </c>
      <c r="GP83" s="196" t="n">
        <f aca="false">IF((SUMIF($GI$3:$GR$3,GP$60,$GI$4:$GR$4))=0,0,((SUMIF($GI$3:$GR$3,GP$60,$GI132:$GR132))/SUMIF($GI$3:$GR$3,GP$60,$GI$4:$GR$4)))</f>
        <v>0</v>
      </c>
      <c r="GQ83" s="196" t="n">
        <f aca="false">IF((SUMIF($GI$3:$GR$3,GQ$60,$GI$4:$GR$4))=0,0,((SUMIF($GI$3:$GR$3,GQ$60,$GI132:$GR132))/SUMIF($GI$3:$GR$3,GQ$60,$GI$4:$GR$4)))</f>
        <v>0</v>
      </c>
      <c r="GR83" s="197" t="n">
        <f aca="false">IF((SUMIF($GI$3:$GR$3,GR$60,$GI$4:$GR$4))=0,0,((SUMIF($GI$3:$GR$3,GR$60,$GI132:$GR132))/SUMIF($GI$3:$GR$3,GR$60,$GI$4:$GR$4)))</f>
        <v>0</v>
      </c>
      <c r="GS83" s="194" t="str">
        <f aca="false">GH83</f>
        <v>Alumno22</v>
      </c>
      <c r="GT83" s="195" t="n">
        <f aca="false">IF((SUMIF($GT$3:$HC$3,GT$60,$GT$4:$HC$4))=0,0,((SUMIF($GT$3:$HC$3,GT$60,$GT132:$HC132))/SUMIF($GT$3:$HC$3,GT$60,$GT$4:$HC$4)))</f>
        <v>0</v>
      </c>
      <c r="GU83" s="196" t="n">
        <f aca="false">IF((SUMIF($GT$3:$HC$3,GU$60,$GT$4:$HC$4))=0,0,((SUMIF($GT$3:$HC$3,GU$60,$GT132:$HC132))/SUMIF($GT$3:$HC$3,GU$60,$GT$4:$HC$4)))</f>
        <v>0</v>
      </c>
      <c r="GV83" s="196" t="n">
        <f aca="false">IF((SUMIF($GT$3:$HC$3,GV$60,$GT$4:$HC$4))=0,0,((SUMIF($GT$3:$HC$3,GV$60,$GT132:$HC132))/SUMIF($GT$3:$HC$3,GV$60,$GT$4:$HC$4)))</f>
        <v>0</v>
      </c>
      <c r="GW83" s="196" t="n">
        <f aca="false">IF((SUMIF($GT$3:$HC$3,GW$60,$GT$4:$HC$4))=0,0,((SUMIF($GT$3:$HC$3,GW$60,$GT132:$HC132))/SUMIF($GT$3:$HC$3,GW$60,$GT$4:$HC$4)))</f>
        <v>0</v>
      </c>
      <c r="GX83" s="196" t="n">
        <f aca="false">IF((SUMIF($GT$3:$HC$3,GX$60,$GT$4:$HC$4))=0,0,((SUMIF($GT$3:$HC$3,GX$60,$GT132:$HC132))/SUMIF($GT$3:$HC$3,GX$60,$GT$4:$HC$4)))</f>
        <v>0</v>
      </c>
      <c r="GY83" s="196" t="n">
        <f aca="false">IF((SUMIF($GT$3:$HC$3,GY$60,$GT$4:$HC$4))=0,0,((SUMIF($GT$3:$HC$3,GY$60,$GT132:$HC132))/SUMIF($GT$3:$HC$3,GY$60,$GT$4:$HC$4)))</f>
        <v>0</v>
      </c>
      <c r="GZ83" s="196" t="n">
        <f aca="false">IF((SUMIF($GT$3:$HC$3,GZ$60,$GT$4:$HC$4))=0,0,((SUMIF($GT$3:$HC$3,GZ$60,$GT132:$HC132))/SUMIF($GT$3:$HC$3,GZ$60,$GT$4:$HC$4)))</f>
        <v>0</v>
      </c>
      <c r="HA83" s="196" t="n">
        <f aca="false">IF((SUMIF($GT$3:$HC$3,HA$60,$GT$4:$HC$4))=0,0,((SUMIF($GT$3:$HC$3,HA$60,$GT132:$HC132))/SUMIF($GT$3:$HC$3,HA$60,$GT$4:$HC$4)))</f>
        <v>0</v>
      </c>
      <c r="HB83" s="196" t="n">
        <f aca="false">IF((SUMIF($GT$3:$HC$3,HB$60,$GT$4:$HC$4))=0,0,((SUMIF($GT$3:$HC$3,HB$60,$GT132:$HC132))/SUMIF($GT$3:$HC$3,HB$60,$GT$4:$HC$4)))</f>
        <v>0</v>
      </c>
      <c r="HC83" s="197" t="n">
        <f aca="false">IF((SUMIF($GT$3:$HC$3,HC$60,$GT$4:$HC$4))=0,0,((SUMIF($GT$3:$HC$3,HC$60,$GT132:$HC132))/SUMIF($GT$3:$HC$3,HC$60,$GT$4:$HC$4)))</f>
        <v>0</v>
      </c>
      <c r="HD83" s="194" t="str">
        <f aca="false">GS83</f>
        <v>Alumno22</v>
      </c>
      <c r="HE83" s="195" t="n">
        <f aca="false">IF((SUMIF($HE$3:$HN$3,HE$60,$HE$4:$HN$4))=0,0,((SUMIF($HE$3:$HN$3,HE$60,$HE132:$HN132))/SUMIF($HE$3:$HN$3,HE$60,$HE$4:$HN$4)))</f>
        <v>0</v>
      </c>
      <c r="HF83" s="196" t="n">
        <f aca="false">IF((SUMIF($HE$3:$HN$3,HF$60,$HE$4:$HN$4))=0,0,((SUMIF($HE$3:$HN$3,HF$60,$HE132:$HN132))/SUMIF($HE$3:$HN$3,HF$60,$HE$4:$HN$4)))</f>
        <v>0</v>
      </c>
      <c r="HG83" s="196" t="n">
        <f aca="false">IF((SUMIF($HE$3:$HN$3,HG$60,$HE$4:$HN$4))=0,0,((SUMIF($HE$3:$HN$3,HG$60,$HE132:$HN132))/SUMIF($HE$3:$HN$3,HG$60,$HE$4:$HN$4)))</f>
        <v>0</v>
      </c>
      <c r="HH83" s="196" t="n">
        <f aca="false">IF((SUMIF($HE$3:$HN$3,HH$60,$HE$4:$HN$4))=0,0,((SUMIF($HE$3:$HN$3,HH$60,$HE132:$HN132))/SUMIF($HE$3:$HN$3,HH$60,$HE$4:$HN$4)))</f>
        <v>0</v>
      </c>
      <c r="HI83" s="196" t="n">
        <f aca="false">IF((SUMIF($HE$3:$HN$3,HI$60,$HE$4:$HN$4))=0,0,((SUMIF($HE$3:$HN$3,HI$60,$HE132:$HN132))/SUMIF($HE$3:$HN$3,HI$60,$HE$4:$HN$4)))</f>
        <v>0</v>
      </c>
      <c r="HJ83" s="196" t="n">
        <f aca="false">IF((SUMIF($HE$3:$HN$3,HJ$60,$HE$4:$HN$4))=0,0,((SUMIF($HE$3:$HN$3,HJ$60,$HE132:$HN132))/SUMIF($HE$3:$HN$3,HJ$60,$HE$4:$HN$4)))</f>
        <v>0</v>
      </c>
      <c r="HK83" s="196" t="n">
        <f aca="false">IF((SUMIF($HE$3:$HN$3,HK$60,$HE$4:$HN$4))=0,0,((SUMIF($HE$3:$HN$3,HK$60,$HE132:$HN132))/SUMIF($HE$3:$HN$3,HK$60,$HE$4:$HN$4)))</f>
        <v>0</v>
      </c>
      <c r="HL83" s="196" t="n">
        <f aca="false">IF((SUMIF($HE$3:$HN$3,HL$60,$HE$4:$HN$4))=0,0,((SUMIF($HE$3:$HN$3,HL$60,$HE132:$HN132))/SUMIF($HE$3:$HN$3,HL$60,$HE$4:$HN$4)))</f>
        <v>0</v>
      </c>
      <c r="HM83" s="196" t="n">
        <f aca="false">IF((SUMIF($HE$3:$HN$3,HM$60,$HE$4:$HN$4))=0,0,((SUMIF($HE$3:$HN$3,HM$60,$HE132:$HN132))/SUMIF($HE$3:$HN$3,HM$60,$HE$4:$HN$4)))</f>
        <v>0</v>
      </c>
      <c r="HN83" s="197" t="n">
        <f aca="false">IF((SUMIF($HE$3:$HN$3,HN$60,$HE$4:$HN$4))=0,0,((SUMIF($HE$3:$HN$3,HN$60,$HE132:$HN132))/SUMIF($HE$3:$HN$3,HN$60,$HE$4:$HN$4)))</f>
        <v>0</v>
      </c>
      <c r="HO83" s="194" t="str">
        <f aca="false">HD83</f>
        <v>Alumno22</v>
      </c>
      <c r="HP83" s="195" t="n">
        <f aca="false">IF((SUMIF($HP$3:$HY$3,HP$60,$HP$4:$HY$4))=0,0,((SUMIF($HP$3:$HY$3,HP$60,$HP132:$HY132))/SUMIF($HP$3:$HY$3,HP$60,$HP$4:$HY$4)))</f>
        <v>0</v>
      </c>
      <c r="HQ83" s="196" t="n">
        <f aca="false">IF((SUMIF($HP$3:$HY$3,HQ$60,$HP$4:$HY$4))=0,0,((SUMIF($HP$3:$HY$3,HQ$60,$HP132:$HY132))/SUMIF($HP$3:$HY$3,HQ$60,$HP$4:$HY$4)))</f>
        <v>0</v>
      </c>
      <c r="HR83" s="196" t="n">
        <f aca="false">IF((SUMIF($HP$3:$HY$3,HR$60,$HP$4:$HY$4))=0,0,((SUMIF($HP$3:$HY$3,HR$60,$HP132:$HY132))/SUMIF($HP$3:$HY$3,HR$60,$HP$4:$HY$4)))</f>
        <v>0</v>
      </c>
      <c r="HS83" s="196" t="n">
        <f aca="false">IF((SUMIF($HP$3:$HY$3,HS$60,$HP$4:$HY$4))=0,0,((SUMIF($HP$3:$HY$3,HS$60,$HP132:$HY132))/SUMIF($HP$3:$HY$3,HS$60,$HP$4:$HY$4)))</f>
        <v>0</v>
      </c>
      <c r="HT83" s="196" t="n">
        <f aca="false">IF((SUMIF($HP$3:$HY$3,HT$60,$HP$4:$HY$4))=0,0,((SUMIF($HP$3:$HY$3,HT$60,$HP132:$HY132))/SUMIF($HP$3:$HY$3,HT$60,$HP$4:$HY$4)))</f>
        <v>0</v>
      </c>
      <c r="HU83" s="196" t="n">
        <f aca="false">IF((SUMIF($HP$3:$HY$3,HU$60,$HP$4:$HY$4))=0,0,((SUMIF($HP$3:$HY$3,HU$60,$HP132:$HY132))/SUMIF($HP$3:$HY$3,HU$60,$HP$4:$HY$4)))</f>
        <v>0</v>
      </c>
      <c r="HV83" s="196" t="n">
        <f aca="false">IF((SUMIF($HP$3:$HY$3,HV$60,$HP$4:$HY$4))=0,0,((SUMIF($HP$3:$HY$3,HV$60,$HP132:$HY132))/SUMIF($HP$3:$HY$3,HV$60,$HP$4:$HY$4)))</f>
        <v>0</v>
      </c>
      <c r="HW83" s="196" t="n">
        <f aca="false">IF((SUMIF($HP$3:$HY$3,HW$60,$HP$4:$HY$4))=0,0,((SUMIF($HP$3:$HY$3,HW$60,$HP132:$HY132))/SUMIF($HP$3:$HY$3,HW$60,$HP$4:$HY$4)))</f>
        <v>0</v>
      </c>
      <c r="HX83" s="196" t="n">
        <f aca="false">IF((SUMIF($HP$3:$HY$3,HX$60,$HP$4:$HY$4))=0,0,((SUMIF($HP$3:$HY$3,HX$60,$HP132:$HY132))/SUMIF($HP$3:$HY$3,HX$60,$HP$4:$HY$4)))</f>
        <v>0</v>
      </c>
      <c r="HY83" s="197" t="n">
        <f aca="false">IF((SUMIF($HP$3:$HY$3,HY$60,$HP$4:$HY$4))=0,0,((SUMIF($HP$3:$HY$3,HY$60,$HP132:$HY132))/SUMIF($HP$3:$HY$3,HY$60,$HP$4:$HY$4)))</f>
        <v>0</v>
      </c>
      <c r="HZ83" s="194" t="str">
        <f aca="false">HO83</f>
        <v>Alumno22</v>
      </c>
      <c r="IA83" s="195" t="n">
        <f aca="false">IF((SUMIF($IA$3:$IJ$3,IA$60,$IA$4:$IJ$4))=0,0,((SUMIF($IA$3:$IJ$3,IA$60,$IA132:$IJ132))/SUMIF($IA$3:$IJ$3,IA$60,$IA$4:$IJ$4)))</f>
        <v>0</v>
      </c>
      <c r="IB83" s="196" t="n">
        <f aca="false">IF((SUMIF($IA$3:$IJ$3,IB$60,$IA$4:$IJ$4))=0,0,((SUMIF($IA$3:$IJ$3,IB$60,$IA132:$IJ132))/SUMIF($IA$3:$IJ$3,IB$60,$IA$4:$IJ$4)))</f>
        <v>0</v>
      </c>
      <c r="IC83" s="196" t="n">
        <f aca="false">IF((SUMIF($IA$3:$IJ$3,IC$60,$IA$4:$IJ$4))=0,0,((SUMIF($IA$3:$IJ$3,IC$60,$IA132:$IJ132))/SUMIF($IA$3:$IJ$3,IC$60,$IA$4:$IJ$4)))</f>
        <v>0</v>
      </c>
      <c r="ID83" s="196" t="n">
        <f aca="false">IF((SUMIF($IA$3:$IJ$3,ID$60,$IA$4:$IJ$4))=0,0,((SUMIF($IA$3:$IJ$3,ID$60,$IA132:$IJ132))/SUMIF($IA$3:$IJ$3,ID$60,$IA$4:$IJ$4)))</f>
        <v>0</v>
      </c>
      <c r="IE83" s="196" t="n">
        <f aca="false">IF((SUMIF($IA$3:$IJ$3,IE$60,$IA$4:$IJ$4))=0,0,((SUMIF($IA$3:$IJ$3,IE$60,$IA132:$IJ132))/SUMIF($IA$3:$IJ$3,IE$60,$IA$4:$IJ$4)))</f>
        <v>0</v>
      </c>
      <c r="IF83" s="196" t="n">
        <f aca="false">IF((SUMIF($IA$3:$IJ$3,IF$60,$IA$4:$IJ$4))=0,0,((SUMIF($IA$3:$IJ$3,IF$60,$IA132:$IJ132))/SUMIF($IA$3:$IJ$3,IF$60,$IA$4:$IJ$4)))</f>
        <v>0</v>
      </c>
      <c r="IG83" s="196" t="n">
        <f aca="false">IF((SUMIF($IA$3:$IJ$3,IG$60,$IA$4:$IJ$4))=0,0,((SUMIF($IA$3:$IJ$3,IG$60,$IA132:$IJ132))/SUMIF($IA$3:$IJ$3,IG$60,$IA$4:$IJ$4)))</f>
        <v>0</v>
      </c>
      <c r="IH83" s="196" t="n">
        <f aca="false">IF((SUMIF($IA$3:$IJ$3,IH$60,$IA$4:$IJ$4))=0,0,((SUMIF($IA$3:$IJ$3,IH$60,$IA132:$IJ132))/SUMIF($IA$3:$IJ$3,IH$60,$IA$4:$IJ$4)))</f>
        <v>0</v>
      </c>
      <c r="II83" s="196" t="n">
        <f aca="false">IF((SUMIF($IA$3:$IJ$3,II$60,$IA$4:$IJ$4))=0,0,((SUMIF($IA$3:$IJ$3,II$60,$IA132:$IJ132))/SUMIF($IA$3:$IJ$3,II$60,$IA$4:$IJ$4)))</f>
        <v>0</v>
      </c>
      <c r="IJ83" s="197" t="n">
        <f aca="false">IF((SUMIF($IA$3:$IJ$3,IJ$60,$IA$4:$IJ$4))=0,0,((SUMIF($IA$3:$IJ$3,IJ$60,$IA132:$IJ132))/SUMIF($IA$3:$IJ$3,IJ$60,$IA$4:$IJ$4)))</f>
        <v>0</v>
      </c>
      <c r="IK83" s="194" t="str">
        <f aca="false">HZ83</f>
        <v>Alumno22</v>
      </c>
      <c r="IL83" s="195" t="n">
        <f aca="false">IF((SUMIF($IL$3:$IU$3,IL$60,$IL$4:$IU$4))=0,0,((SUMIF($IL$3:$IU$3,IL$60,$IL132:$IU132))/SUMIF($IL$3:$IU$3,IL$60,$IL$4:$IU$4)))</f>
        <v>0</v>
      </c>
      <c r="IM83" s="196" t="n">
        <f aca="false">IF((SUMIF($IL$3:$IU$3,IM$60,$IL$4:$IU$4))=0,0,((SUMIF($IL$3:$IU$3,IM$60,$IL132:$IU132))/SUMIF($IL$3:$IU$3,IM$60,$IL$4:$IU$4)))</f>
        <v>0</v>
      </c>
      <c r="IN83" s="196" t="n">
        <f aca="false">IF((SUMIF($IL$3:$IU$3,IN$60,$IL$4:$IU$4))=0,0,((SUMIF($IL$3:$IU$3,IN$60,$IL132:$IU132))/SUMIF($IL$3:$IU$3,IN$60,$IL$4:$IU$4)))</f>
        <v>0</v>
      </c>
      <c r="IO83" s="196" t="n">
        <f aca="false">IF((SUMIF($IL$3:$IU$3,IO$60,$IL$4:$IU$4))=0,0,((SUMIF($IL$3:$IU$3,IO$60,$IL132:$IU132))/SUMIF($IL$3:$IU$3,IO$60,$IL$4:$IU$4)))</f>
        <v>0</v>
      </c>
      <c r="IP83" s="196" t="n">
        <f aca="false">IF((SUMIF($IL$3:$IU$3,IP$60,$IL$4:$IU$4))=0,0,((SUMIF($IL$3:$IU$3,IP$60,$IL132:$IU132))/SUMIF($IL$3:$IU$3,IP$60,$IL$4:$IU$4)))</f>
        <v>0</v>
      </c>
      <c r="IQ83" s="196" t="n">
        <f aca="false">IF((SUMIF($IL$3:$IU$3,IQ$60,$IL$4:$IU$4))=0,0,((SUMIF($IL$3:$IU$3,IQ$60,$IL132:$IU132))/SUMIF($IL$3:$IU$3,IQ$60,$IL$4:$IU$4)))</f>
        <v>0</v>
      </c>
      <c r="IR83" s="196" t="n">
        <f aca="false">IF((SUMIF($IL$3:$IU$3,IR$60,$IL$4:$IU$4))=0,0,((SUMIF($IL$3:$IU$3,IR$60,$IL132:$IU132))/SUMIF($IL$3:$IU$3,IR$60,$IL$4:$IU$4)))</f>
        <v>0</v>
      </c>
      <c r="IS83" s="196" t="n">
        <f aca="false">IF((SUMIF($IL$3:$IU$3,IS$60,$IL$4:$IU$4))=0,0,((SUMIF($IL$3:$IU$3,IS$60,$IL132:$IU132))/SUMIF($IL$3:$IU$3,IS$60,$IL$4:$IU$4)))</f>
        <v>0</v>
      </c>
      <c r="IT83" s="196" t="n">
        <f aca="false">IF((SUMIF($IL$3:$IU$3,IT$60,$IL$4:$IU$4))=0,0,((SUMIF($IL$3:$IU$3,IT$60,$IL132:$IU132))/SUMIF($IL$3:$IU$3,IT$60,$IL$4:$IU$4)))</f>
        <v>0</v>
      </c>
      <c r="IU83" s="197" t="n">
        <f aca="false">IF((SUMIF($IL$3:$IU$3,IU$60,$IL$4:$IU$4))=0,0,((SUMIF($IL$3:$IU$3,IU$60,$IL132:$IU132))/SUMIF($IL$3:$IU$3,IU$60,$IL$4:$IU$4)))</f>
        <v>0</v>
      </c>
      <c r="IV83" s="194" t="str">
        <f aca="false">IK83</f>
        <v>Alumno22</v>
      </c>
      <c r="IW83" s="195" t="n">
        <f aca="false">IF((SUMIF($IW$3:$JF$3,IW$60,$IW$4:$JF$4))=0,0,((SUMIF($IW$3:$JF$3,IW$60,$IW132:$JF132))/SUMIF($IW$3:$JF$3,IW$60,$IW$4:$JF$4)))</f>
        <v>0</v>
      </c>
      <c r="IX83" s="196" t="n">
        <f aca="false">IF((SUMIF($IW$3:$JF$3,IX$60,$IW$4:$JF$4))=0,0,((SUMIF($IW$3:$JF$3,IX$60,$IW132:$JF132))/SUMIF($IW$3:$JF$3,IX$60,$IW$4:$JF$4)))</f>
        <v>0</v>
      </c>
      <c r="IY83" s="196" t="n">
        <f aca="false">IF((SUMIF($IW$3:$JF$3,IY$60,$IW$4:$JF$4))=0,0,((SUMIF($IW$3:$JF$3,IY$60,$IW132:$JF132))/SUMIF($IW$3:$JF$3,IY$60,$IW$4:$JF$4)))</f>
        <v>0</v>
      </c>
      <c r="IZ83" s="196" t="n">
        <f aca="false">IF((SUMIF($IW$3:$JF$3,IZ$60,$IW$4:$JF$4))=0,0,((SUMIF($IW$3:$JF$3,IZ$60,$IW132:$JF132))/SUMIF($IW$3:$JF$3,IZ$60,$IW$4:$JF$4)))</f>
        <v>0</v>
      </c>
      <c r="JA83" s="196" t="n">
        <f aca="false">IF((SUMIF($IW$3:$JF$3,JA$60,$IW$4:$JF$4))=0,0,((SUMIF($IW$3:$JF$3,JA$60,$IW132:$JF132))/SUMIF($IW$3:$JF$3,JA$60,$IW$4:$JF$4)))</f>
        <v>0</v>
      </c>
      <c r="JB83" s="196" t="n">
        <f aca="false">IF((SUMIF($IW$3:$JF$3,JB$60,$IW$4:$JF$4))=0,0,((SUMIF($IW$3:$JF$3,JB$60,$IW132:$JF132))/SUMIF($IW$3:$JF$3,JB$60,$IW$4:$JF$4)))</f>
        <v>0</v>
      </c>
      <c r="JC83" s="196" t="n">
        <f aca="false">IF((SUMIF($IW$3:$JF$3,JC$60,$IW$4:$JF$4))=0,0,((SUMIF($IW$3:$JF$3,JC$60,$IW132:$JF132))/SUMIF($IW$3:$JF$3,JC$60,$IW$4:$JF$4)))</f>
        <v>0</v>
      </c>
      <c r="JD83" s="196" t="n">
        <f aca="false">IF((SUMIF($IW$3:$JF$3,JD$60,$IW$4:$JF$4))=0,0,((SUMIF($IW$3:$JF$3,JD$60,$IW132:$JF132))/SUMIF($IW$3:$JF$3,JD$60,$IW$4:$JF$4)))</f>
        <v>0</v>
      </c>
      <c r="JE83" s="196" t="n">
        <f aca="false">IF((SUMIF($IW$3:$JF$3,JE$60,$IW$4:$JF$4))=0,0,((SUMIF($IW$3:$JF$3,JE$60,$IW132:$JF132))/SUMIF($IW$3:$JF$3,JE$60,$IW$4:$JF$4)))</f>
        <v>0</v>
      </c>
      <c r="JF83" s="197" t="n">
        <f aca="false">IF((SUMIF($IW$3:$JF$3,JF$60,$IW$4:$JF$4))=0,0,((SUMIF($IW$3:$JF$3,JF$60,$IW132:$JF132))/SUMIF($IW$3:$JF$3,JF$60,$IW$4:$JF$4)))</f>
        <v>0</v>
      </c>
      <c r="JG83" s="194" t="str">
        <f aca="false">IV83</f>
        <v>Alumno22</v>
      </c>
      <c r="JH83" s="195" t="n">
        <f aca="false">IF((SUMIF($JH$3:$JQ$3,JH$60,$JH$4:$JQ$4))=0,0,((SUMIF($JH$3:$JQ$3,JH$60,$JH132:$JQ132))/SUMIF($JH$3:$JQ$3,JH$60,$JH$4:$JQ$4)))</f>
        <v>0</v>
      </c>
      <c r="JI83" s="196" t="n">
        <f aca="false">IF((SUMIF($JH$3:$JQ$3,JI$60,$JH$4:$JQ$4))=0,0,((SUMIF($JH$3:$JQ$3,JI$60,$JH132:$JQ132))/SUMIF($JH$3:$JQ$3,JI$60,$JH$4:$JQ$4)))</f>
        <v>0</v>
      </c>
      <c r="JJ83" s="196" t="n">
        <f aca="false">IF((SUMIF($JH$3:$JQ$3,JJ$60,$JH$4:$JQ$4))=0,0,((SUMIF($JH$3:$JQ$3,JJ$60,$JH132:$JQ132))/SUMIF($JH$3:$JQ$3,JJ$60,$JH$4:$JQ$4)))</f>
        <v>0</v>
      </c>
      <c r="JK83" s="196" t="n">
        <f aca="false">IF((SUMIF($JH$3:$JQ$3,JK$60,$JH$4:$JQ$4))=0,0,((SUMIF($JH$3:$JQ$3,JK$60,$JH132:$JQ132))/SUMIF($JH$3:$JQ$3,JK$60,$JH$4:$JQ$4)))</f>
        <v>0</v>
      </c>
      <c r="JL83" s="196" t="n">
        <f aca="false">IF((SUMIF($JH$3:$JQ$3,JL$60,$JH$4:$JQ$4))=0,0,((SUMIF($JH$3:$JQ$3,JL$60,$JH132:$JQ132))/SUMIF($JH$3:$JQ$3,JL$60,$JH$4:$JQ$4)))</f>
        <v>0</v>
      </c>
      <c r="JM83" s="196" t="n">
        <f aca="false">IF((SUMIF($JH$3:$JQ$3,JM$60,$JH$4:$JQ$4))=0,0,((SUMIF($JH$3:$JQ$3,JM$60,$JH132:$JQ132))/SUMIF($JH$3:$JQ$3,JM$60,$JH$4:$JQ$4)))</f>
        <v>0</v>
      </c>
      <c r="JN83" s="196" t="n">
        <f aca="false">IF((SUMIF($JH$3:$JQ$3,JN$60,$JH$4:$JQ$4))=0,0,((SUMIF($JH$3:$JQ$3,JN$60,$JH132:$JQ132))/SUMIF($JH$3:$JQ$3,JN$60,$JH$4:$JQ$4)))</f>
        <v>0</v>
      </c>
      <c r="JO83" s="196" t="n">
        <f aca="false">IF((SUMIF($JH$3:$JQ$3,JO$60,$JH$4:$JQ$4))=0,0,((SUMIF($JH$3:$JQ$3,JO$60,$JH132:$JQ132))/SUMIF($JH$3:$JQ$3,JO$60,$JH$4:$JQ$4)))</f>
        <v>0</v>
      </c>
      <c r="JP83" s="196" t="n">
        <f aca="false">IF((SUMIF($JH$3:$JQ$3,JP$60,$JH$4:$JQ$4))=0,0,((SUMIF($JH$3:$JQ$3,JP$60,$JH132:$JQ132))/SUMIF($JH$3:$JQ$3,JP$60,$JH$4:$JQ$4)))</f>
        <v>0</v>
      </c>
      <c r="JQ83" s="197" t="n">
        <f aca="false">IF((SUMIF($JH$3:$JQ$3,JQ$60,$JH$4:$JQ$4))=0,0,((SUMIF($JH$3:$JQ$3,JQ$60,$JH132:$JQ132))/SUMIF($JH$3:$JQ$3,JQ$60,$JH$4:$JQ$4)))</f>
        <v>0</v>
      </c>
      <c r="JR83" s="194" t="str">
        <f aca="false">JG83</f>
        <v>Alumno22</v>
      </c>
      <c r="JS83" s="195" t="n">
        <f aca="false">IF((SUMIF($JS$3:$KB$3,JS$60,$JS$4:$KB$4))=0,0,((SUMIF($JS$3:$KB$3,JS$60,$JS132:$KB132))/SUMIF($JS$3:$KB$3,JS$60,$JS$4:$KB$4)))</f>
        <v>0</v>
      </c>
      <c r="JT83" s="196" t="n">
        <f aca="false">IF((SUMIF($JS$3:$KB$3,JT$60,$JS$4:$KB$4))=0,0,((SUMIF($JS$3:$KB$3,JT$60,$JS132:$KB132))/SUMIF($JS$3:$KB$3,JT$60,$JS$4:$KB$4)))</f>
        <v>0</v>
      </c>
      <c r="JU83" s="196" t="n">
        <f aca="false">IF((SUMIF($JS$3:$KB$3,JU$60,$JS$4:$KB$4))=0,0,((SUMIF($JS$3:$KB$3,JU$60,$JS132:$KB132))/SUMIF($JS$3:$KB$3,JU$60,$JS$4:$KB$4)))</f>
        <v>0</v>
      </c>
      <c r="JV83" s="196" t="n">
        <f aca="false">IF((SUMIF($JS$3:$KB$3,JV$60,$JS$4:$KB$4))=0,0,((SUMIF($JS$3:$KB$3,JV$60,$JS132:$KB132))/SUMIF($JS$3:$KB$3,JV$60,$JS$4:$KB$4)))</f>
        <v>0</v>
      </c>
      <c r="JW83" s="196" t="n">
        <f aca="false">IF((SUMIF($JS$3:$KB$3,JW$60,$JS$4:$KB$4))=0,0,((SUMIF($JS$3:$KB$3,JW$60,$JS132:$KB132))/SUMIF($JS$3:$KB$3,JW$60,$JS$4:$KB$4)))</f>
        <v>0</v>
      </c>
      <c r="JX83" s="196" t="n">
        <f aca="false">IF((SUMIF($JS$3:$KB$3,JX$60,$JS$4:$KB$4))=0,0,((SUMIF($JS$3:$KB$3,JX$60,$JS132:$KB132))/SUMIF($JS$3:$KB$3,JX$60,$JS$4:$KB$4)))</f>
        <v>0</v>
      </c>
      <c r="JY83" s="196" t="n">
        <f aca="false">IF((SUMIF($JS$3:$KB$3,JY$60,$JS$4:$KB$4))=0,0,((SUMIF($JS$3:$KB$3,JY$60,$JS132:$KB132))/SUMIF($JS$3:$KB$3,JY$60,$JS$4:$KB$4)))</f>
        <v>0</v>
      </c>
      <c r="JZ83" s="196" t="n">
        <f aca="false">IF((SUMIF($JS$3:$KB$3,JZ$60,$JS$4:$KB$4))=0,0,((SUMIF($JS$3:$KB$3,JZ$60,$JS132:$KB132))/SUMIF($JS$3:$KB$3,JZ$60,$JS$4:$KB$4)))</f>
        <v>0</v>
      </c>
      <c r="KA83" s="196" t="n">
        <f aca="false">IF((SUMIF($JS$3:$KB$3,KA$60,$JS$4:$KB$4))=0,0,((SUMIF($JS$3:$KB$3,KA$60,$JS132:$KB132))/SUMIF($JS$3:$KB$3,KA$60,$JS$4:$KB$4)))</f>
        <v>0</v>
      </c>
      <c r="KB83" s="197" t="n">
        <f aca="false">IF((SUMIF($JS$3:$KB$3,KB$60,$JS$4:$KB$4))=0,0,((SUMIF($JS$3:$KB$3,KB$60,$JS132:$KB132))/SUMIF($JS$3:$KB$3,KB$60,$JS$4:$KB$4)))</f>
        <v>0</v>
      </c>
      <c r="KC83" s="194" t="str">
        <f aca="false">JR83</f>
        <v>Alumno22</v>
      </c>
      <c r="KD83" s="195" t="n">
        <f aca="false">IF((SUMIF($KD$3:$KM$3,KD$60,$KD$4:$KM$4))=0,0,((SUMIF($KD$3:$KM$3,KD$60,$KD132:$KM132))/SUMIF($KD$3:$KM$3,KD$60,$KD$4:$KM$4)))</f>
        <v>0</v>
      </c>
      <c r="KE83" s="196" t="n">
        <f aca="false">IF((SUMIF($KD$3:$KM$3,KE$60,$KD$4:$KM$4))=0,0,((SUMIF($KD$3:$KM$3,KE$60,$KD132:$KM132))/SUMIF($KD$3:$KM$3,KE$60,$KD$4:$KM$4)))</f>
        <v>0</v>
      </c>
      <c r="KF83" s="196" t="n">
        <f aca="false">IF((SUMIF($KD$3:$KM$3,KF$60,$KD$4:$KM$4))=0,0,((SUMIF($KD$3:$KM$3,KF$60,$KD132:$KM132))/SUMIF($KD$3:$KM$3,KF$60,$KD$4:$KM$4)))</f>
        <v>0</v>
      </c>
      <c r="KG83" s="196" t="n">
        <f aca="false">IF((SUMIF($KD$3:$KM$3,KG$60,$KD$4:$KM$4))=0,0,((SUMIF($KD$3:$KM$3,KG$60,$KD132:$KM132))/SUMIF($KD$3:$KM$3,KG$60,$KD$4:$KM$4)))</f>
        <v>0</v>
      </c>
      <c r="KH83" s="196" t="n">
        <f aca="false">IF((SUMIF($KD$3:$KM$3,KH$60,$KD$4:$KM$4))=0,0,((SUMIF($KD$3:$KM$3,KH$60,$KD132:$KM132))/SUMIF($KD$3:$KM$3,KH$60,$KD$4:$KM$4)))</f>
        <v>0</v>
      </c>
      <c r="KI83" s="196" t="n">
        <f aca="false">IF((SUMIF($KD$3:$KM$3,KI$60,$KD$4:$KM$4))=0,0,((SUMIF($KD$3:$KM$3,KI$60,$KD132:$KM132))/SUMIF($KD$3:$KM$3,KI$60,$KD$4:$KM$4)))</f>
        <v>0</v>
      </c>
      <c r="KJ83" s="196" t="n">
        <f aca="false">IF((SUMIF($KD$3:$KM$3,KJ$60,$KD$4:$KM$4))=0,0,((SUMIF($KD$3:$KM$3,KJ$60,$KD132:$KM132))/SUMIF($KD$3:$KM$3,KJ$60,$KD$4:$KM$4)))</f>
        <v>0</v>
      </c>
      <c r="KK83" s="196" t="n">
        <f aca="false">IF((SUMIF($KD$3:$KM$3,KK$60,$KD$4:$KM$4))=0,0,((SUMIF($KD$3:$KM$3,KK$60,$KD132:$KM132))/SUMIF($KD$3:$KM$3,KK$60,$KD$4:$KM$4)))</f>
        <v>0</v>
      </c>
      <c r="KL83" s="196" t="n">
        <f aca="false">IF((SUMIF($KD$3:$KM$3,KL$60,$KD$4:$KM$4))=0,0,((SUMIF($KD$3:$KM$3,KL$60,$KD132:$KM132))/SUMIF($KD$3:$KM$3,KL$60,$KD$4:$KM$4)))</f>
        <v>0</v>
      </c>
      <c r="KM83" s="197" t="n">
        <f aca="false">IF((SUMIF($KD$3:$KM$3,KM$60,$KD$4:$KM$4))=0,0,((SUMIF($KD$3:$KM$3,KM$60,$KD132:$KM132))/SUMIF($KD$3:$KM$3,KM$60,$KD$4:$KM$4)))</f>
        <v>0</v>
      </c>
      <c r="KN83" s="194" t="str">
        <f aca="false">KC83</f>
        <v>Alumno22</v>
      </c>
      <c r="KO83" s="195" t="n">
        <f aca="false">IF((SUMIF($KO$3:$KX$3,KO$60,$KO$4:$KX$4))=0,0,((SUMIF($KO$3:$KX$3,KO$60,$KO132:$KX132))/SUMIF($KO$3:$KX$3,KO$60,$KO$4:$KX$4)))</f>
        <v>0</v>
      </c>
      <c r="KP83" s="196" t="n">
        <f aca="false">IF((SUMIF($KO$3:$KX$3,KP$60,$KO$4:$KX$4))=0,0,((SUMIF($KO$3:$KX$3,KP$60,$KO132:$KX132))/SUMIF($KO$3:$KX$3,KP$60,$KO$4:$KX$4)))</f>
        <v>0</v>
      </c>
      <c r="KQ83" s="196" t="n">
        <f aca="false">IF((SUMIF($KO$3:$KX$3,KQ$60,$KO$4:$KX$4))=0,0,((SUMIF($KO$3:$KX$3,KQ$60,$KO132:$KX132))/SUMIF($KO$3:$KX$3,KQ$60,$KO$4:$KX$4)))</f>
        <v>0</v>
      </c>
      <c r="KR83" s="196" t="n">
        <f aca="false">IF((SUMIF($KO$3:$KX$3,KR$60,$KO$4:$KX$4))=0,0,((SUMIF($KO$3:$KX$3,KR$60,$KO132:$KX132))/SUMIF($KO$3:$KX$3,KR$60,$KO$4:$KX$4)))</f>
        <v>0</v>
      </c>
      <c r="KS83" s="196" t="n">
        <f aca="false">IF((SUMIF($KO$3:$KX$3,KS$60,$KO$4:$KX$4))=0,0,((SUMIF($KO$3:$KX$3,KS$60,$KO132:$KX132))/SUMIF($KO$3:$KX$3,KS$60,$KO$4:$KX$4)))</f>
        <v>0</v>
      </c>
      <c r="KT83" s="196" t="n">
        <f aca="false">IF((SUMIF($KO$3:$KX$3,KT$60,$KO$4:$KX$4))=0,0,((SUMIF($KO$3:$KX$3,KT$60,$KO132:$KX132))/SUMIF($KO$3:$KX$3,KT$60,$KO$4:$KX$4)))</f>
        <v>0</v>
      </c>
      <c r="KU83" s="196" t="n">
        <f aca="false">IF((SUMIF($KO$3:$KX$3,KU$60,$KO$4:$KX$4))=0,0,((SUMIF($KO$3:$KX$3,KU$60,$KO132:$KX132))/SUMIF($KO$3:$KX$3,KU$60,$KO$4:$KX$4)))</f>
        <v>0</v>
      </c>
      <c r="KV83" s="196" t="n">
        <f aca="false">IF((SUMIF($KO$3:$KX$3,KV$60,$KO$4:$KX$4))=0,0,((SUMIF($KO$3:$KX$3,KV$60,$KO132:$KX132))/SUMIF($KO$3:$KX$3,KV$60,$KO$4:$KX$4)))</f>
        <v>0</v>
      </c>
      <c r="KW83" s="196" t="n">
        <f aca="false">IF((SUMIF($KO$3:$KX$3,KW$60,$KO$4:$KX$4))=0,0,((SUMIF($KO$3:$KX$3,KW$60,$KO132:$KX132))/SUMIF($KO$3:$KX$3,KW$60,$KO$4:$KX$4)))</f>
        <v>0</v>
      </c>
      <c r="KX83" s="197" t="n">
        <f aca="false">IF((SUMIF($KO$3:$KX$3,KX$60,$KO$4:$KX$4))=0,0,((SUMIF($KO$3:$KX$3,KX$60,$KO132:$KX132))/SUMIF($KO$3:$KX$3,KX$60,$KO$4:$KX$4)))</f>
        <v>0</v>
      </c>
      <c r="KY83" s="194" t="str">
        <f aca="false">KN83</f>
        <v>Alumno22</v>
      </c>
      <c r="KZ83" s="195" t="n">
        <f aca="false">IF((SUMIF($KZ$3:$LI$3,KZ$60,$KZ$4:$LI$4))=0,0,((SUMIF($KZ$3:$LI$3,KZ$60,$KZ132:$LI132))/SUMIF($KZ$3:$LI$3,KZ$60,$KZ$4:$LI$4)))</f>
        <v>0</v>
      </c>
      <c r="LA83" s="196" t="n">
        <f aca="false">IF((SUMIF($KZ$3:$LI$3,LA$60,$KZ$4:$LI$4))=0,0,((SUMIF($KZ$3:$LI$3,LA$60,$KZ132:$LI132))/SUMIF($KZ$3:$LI$3,LA$60,$KZ$4:$LI$4)))</f>
        <v>0</v>
      </c>
      <c r="LB83" s="196" t="n">
        <f aca="false">IF((SUMIF($KZ$3:$LI$3,LB$60,$KZ$4:$LI$4))=0,0,((SUMIF($KZ$3:$LI$3,LB$60,$KZ132:$LI132))/SUMIF($KZ$3:$LI$3,LB$60,$KZ$4:$LI$4)))</f>
        <v>0</v>
      </c>
      <c r="LC83" s="196" t="n">
        <f aca="false">IF((SUMIF($KZ$3:$LI$3,LC$60,$KZ$4:$LI$4))=0,0,((SUMIF($KZ$3:$LI$3,LC$60,$KZ132:$LI132))/SUMIF($KZ$3:$LI$3,LC$60,$KZ$4:$LI$4)))</f>
        <v>0</v>
      </c>
      <c r="LD83" s="196" t="n">
        <f aca="false">IF((SUMIF($KZ$3:$LI$3,LD$60,$KZ$4:$LI$4))=0,0,((SUMIF($KZ$3:$LI$3,LD$60,$KZ132:$LI132))/SUMIF($KZ$3:$LI$3,LD$60,$KZ$4:$LI$4)))</f>
        <v>0</v>
      </c>
      <c r="LE83" s="196" t="n">
        <f aca="false">IF((SUMIF($KZ$3:$LI$3,LE$60,$KZ$4:$LI$4))=0,0,((SUMIF($KZ$3:$LI$3,LE$60,$KZ132:$LI132))/SUMIF($KZ$3:$LI$3,LE$60,$KZ$4:$LI$4)))</f>
        <v>0</v>
      </c>
      <c r="LF83" s="196" t="n">
        <f aca="false">IF((SUMIF($KZ$3:$LI$3,LF$60,$KZ$4:$LI$4))=0,0,((SUMIF($KZ$3:$LI$3,LF$60,$KZ132:$LI132))/SUMIF($KZ$3:$LI$3,LF$60,$KZ$4:$LI$4)))</f>
        <v>0</v>
      </c>
      <c r="LG83" s="196" t="n">
        <f aca="false">IF((SUMIF($KZ$3:$LI$3,LG$60,$KZ$4:$LI$4))=0,0,((SUMIF($KZ$3:$LI$3,LG$60,$KZ132:$LI132))/SUMIF($KZ$3:$LI$3,LG$60,$KZ$4:$LI$4)))</f>
        <v>0</v>
      </c>
      <c r="LH83" s="196" t="n">
        <f aca="false">IF((SUMIF($KZ$3:$LI$3,LH$60,$KZ$4:$LI$4))=0,0,((SUMIF($KZ$3:$LI$3,LH$60,$KZ132:$LI132))/SUMIF($KZ$3:$LI$3,LH$60,$KZ$4:$LI$4)))</f>
        <v>0</v>
      </c>
      <c r="LI83" s="197" t="n">
        <f aca="false">IF((SUMIF($KZ$3:$LI$3,LI$60,$KZ$4:$LI$4))=0,0,((SUMIF($KZ$3:$LI$3,LI$60,$KZ132:$LI132))/SUMIF($KZ$3:$LI$3,LI$60,$KZ$4:$LI$4)))</f>
        <v>0</v>
      </c>
      <c r="LJ83" s="194" t="str">
        <f aca="false">KY83</f>
        <v>Alumno22</v>
      </c>
      <c r="LK83" s="195" t="n">
        <f aca="false">IF((SUMIF($LK$3:$LT$3,LK$60,$LK$4:$LT$4))=0,0,((SUMIF($LK$3:$LT$3,LK$60,$LK132:$LT132))/SUMIF($LK$3:$LT$3,LK$60,$LK$4:$LT$4)))</f>
        <v>0</v>
      </c>
      <c r="LL83" s="196" t="n">
        <f aca="false">IF((SUMIF($LK$3:$LT$3,LL$60,$LK$4:$LT$4))=0,0,((SUMIF($LK$3:$LT$3,LL$60,$LK132:$LT132))/SUMIF($LK$3:$LT$3,LL$60,$LK$4:$LT$4)))</f>
        <v>0</v>
      </c>
      <c r="LM83" s="196" t="n">
        <f aca="false">IF((SUMIF($LK$3:$LT$3,LM$60,$LK$4:$LT$4))=0,0,((SUMIF($LK$3:$LT$3,LM$60,$LK132:$LT132))/SUMIF($LK$3:$LT$3,LM$60,$LK$4:$LT$4)))</f>
        <v>0</v>
      </c>
      <c r="LN83" s="196" t="n">
        <f aca="false">IF((SUMIF($LK$3:$LT$3,LN$60,$LK$4:$LT$4))=0,0,((SUMIF($LK$3:$LT$3,LN$60,$LK132:$LT132))/SUMIF($LK$3:$LT$3,LN$60,$LK$4:$LT$4)))</f>
        <v>0</v>
      </c>
      <c r="LO83" s="196" t="n">
        <f aca="false">IF((SUMIF($LK$3:$LT$3,LO$60,$LK$4:$LT$4))=0,0,((SUMIF($LK$3:$LT$3,LO$60,$LK132:$LT132))/SUMIF($LK$3:$LT$3,LO$60,$LK$4:$LT$4)))</f>
        <v>0</v>
      </c>
      <c r="LP83" s="196" t="n">
        <f aca="false">IF((SUMIF($LK$3:$LT$3,LP$60,$LK$4:$LT$4))=0,0,((SUMIF($LK$3:$LT$3,LP$60,$LK132:$LT132))/SUMIF($LK$3:$LT$3,LP$60,$LK$4:$LT$4)))</f>
        <v>0</v>
      </c>
      <c r="LQ83" s="196" t="n">
        <f aca="false">IF((SUMIF($LK$3:$LT$3,LQ$60,$LK$4:$LT$4))=0,0,((SUMIF($LK$3:$LT$3,LQ$60,$LK132:$LT132))/SUMIF($LK$3:$LT$3,LQ$60,$LK$4:$LT$4)))</f>
        <v>0</v>
      </c>
      <c r="LR83" s="196" t="n">
        <f aca="false">IF((SUMIF($LK$3:$LT$3,LR$60,$LK$4:$LT$4))=0,0,((SUMIF($LK$3:$LT$3,LR$60,$LK132:$LT132))/SUMIF($LK$3:$LT$3,LR$60,$LK$4:$LT$4)))</f>
        <v>0</v>
      </c>
      <c r="LS83" s="196" t="n">
        <f aca="false">IF((SUMIF($LK$3:$LT$3,LS$60,$LK$4:$LT$4))=0,0,((SUMIF($LK$3:$LT$3,LS$60,$LK132:$LT132))/SUMIF($LK$3:$LT$3,LS$60,$LK$4:$LT$4)))</f>
        <v>0</v>
      </c>
      <c r="LT83" s="197" t="n">
        <f aca="false">IF((SUMIF($LK$3:$LT$3,LT$60,$LK$4:$LT$4))=0,0,((SUMIF($LK$3:$LT$3,LT$60,$LK132:$LT132))/SUMIF($LK$3:$LT$3,LT$60,$LK$4:$LT$4)))</f>
        <v>0</v>
      </c>
    </row>
    <row r="84" customFormat="false" ht="15" hidden="true" customHeight="false" outlineLevel="0" collapsed="false">
      <c r="C84" s="194" t="str">
        <f aca="false">B28</f>
        <v>Alumno23</v>
      </c>
      <c r="D84" s="195" t="n">
        <f aca="false">IF((SUMIF($D$3:$M$3,D$60,$D$4:$M$4))=0,0,((SUMIF($D$3:$M$3,D$60,$D133:$M133))/SUMIF($D$3:$M$3,D$60,$D$4:$M$4)))</f>
        <v>5</v>
      </c>
      <c r="E84" s="196" t="n">
        <f aca="false">IF((SUMIF($D$3:$M$3,E$60,$D$4:$M$4))=0,0,((SUMIF($D$3:$M$3,E$60,$D133:$M133))/SUMIF($D$3:$M$3,E$60,$D$4:$M$4)))</f>
        <v>0</v>
      </c>
      <c r="F84" s="196" t="n">
        <f aca="false">IF((SUMIF($D$3:$M$3,F$60,$D$4:$M$4))=0,0,((SUMIF($D$3:$M$3,F$60,$D133:$M133))/SUMIF($D$3:$M$3,F$60,$D$4:$M$4)))</f>
        <v>0</v>
      </c>
      <c r="G84" s="196" t="n">
        <f aca="false">IF((SUMIF($D$3:$M$3,G$60,$D$4:$M$4))=0,0,((SUMIF($D$3:$M$3,G$60,$D133:$M133))/SUMIF($D$3:$M$3,G$60,$D$4:$M$4)))</f>
        <v>0</v>
      </c>
      <c r="H84" s="196" t="n">
        <f aca="false">IF((SUMIF($D$3:$M$3,H$60,$D$4:$M$4))=0,0,((SUMIF($D$3:$M$3,H$60,$D133:$M133))/SUMIF($D$3:$M$3,H$60,$D$4:$M$4)))</f>
        <v>0</v>
      </c>
      <c r="I84" s="196" t="n">
        <f aca="false">IF((SUMIF($D$3:$M$3,I$60,$D$4:$M$4))=0,0,((SUMIF($D$3:$M$3,I$60,$D133:$M133))/SUMIF($D$3:$M$3,I$60,$D$4:$M$4)))</f>
        <v>0</v>
      </c>
      <c r="J84" s="196" t="n">
        <f aca="false">IF((SUMIF($D$3:$M$3,J$60,$D$4:$M$4))=0,0,((SUMIF($D$3:$M$3,J$60,$D133:$M133))/SUMIF($D$3:$M$3,J$60,$D$4:$M$4)))</f>
        <v>0</v>
      </c>
      <c r="K84" s="196" t="n">
        <f aca="false">IF((SUMIF($D$3:$M$3,K$60,$D$4:$M$4))=0,0,((SUMIF($D$3:$M$3,K$60,$D133:$M133))/SUMIF($D$3:$M$3,K$60,$D$4:$M$4)))</f>
        <v>0</v>
      </c>
      <c r="L84" s="196" t="n">
        <f aca="false">IF((SUMIF($D$3:$M$3,L$60,$D$4:$M$4))=0,0,((SUMIF($D$3:$M$3,L$60,$D133:$M133))/SUMIF($D$3:$M$3,L$60,$D$4:$M$4)))</f>
        <v>0</v>
      </c>
      <c r="M84" s="197" t="n">
        <f aca="false">IF((SUMIF($D$3:$M$3,M$60,$D$4:$M$4))=0,0,((SUMIF($D$3:$M$3,M$60,$D133:$M133))/SUMIF($D$3:$M$3,M$60,$D$4:$M$4)))</f>
        <v>0</v>
      </c>
      <c r="N84" s="194" t="str">
        <f aca="false">C84</f>
        <v>Alumno23</v>
      </c>
      <c r="O84" s="195" t="n">
        <f aca="false">IF((SUMIF($O$3:$X$3,O$60,$O$4:$X$4))=0,0,((SUMIF($O$3:$X$3,O$60,$O133:$X133))/SUMIF($O$3:$X$3,O$60,$O$4:$X$4)))</f>
        <v>5</v>
      </c>
      <c r="P84" s="196" t="n">
        <f aca="false">IF((SUMIF($O$3:$X$3,P$60,$O$4:$X$4))=0,0,((SUMIF($O$3:$X$3,P$60,$O133:$X133))/SUMIF($O$3:$X$3,P$60,$O$4:$X$4)))</f>
        <v>3</v>
      </c>
      <c r="Q84" s="196" t="n">
        <f aca="false">IF((SUMIF($O$3:$X$3,Q$60,$O$4:$X$4))=0,0,((SUMIF($O$3:$X$3,Q$60,$O133:$X133))/SUMIF($O$3:$X$3,Q$60,$O$4:$X$4)))</f>
        <v>0</v>
      </c>
      <c r="R84" s="196" t="n">
        <f aca="false">IF((SUMIF($O$3:$X$3,R$60,$O$4:$X$4))=0,0,((SUMIF($O$3:$X$3,R$60,$O133:$X133))/SUMIF($O$3:$X$3,R$60,$O$4:$X$4)))</f>
        <v>0</v>
      </c>
      <c r="S84" s="196" t="n">
        <f aca="false">IF((SUMIF($O$3:$X$3,S$60,$O$4:$X$4))=0,0,((SUMIF($O$3:$X$3,S$60,$O133:$X133))/SUMIF($O$3:$X$3,S$60,$O$4:$X$4)))</f>
        <v>0</v>
      </c>
      <c r="T84" s="196" t="n">
        <f aca="false">IF((SUMIF($O$3:$X$3,T$60,$O$4:$X$4))=0,0,((SUMIF($O$3:$X$3,T$60,$O133:$X133))/SUMIF($O$3:$X$3,T$60,$O$4:$X$4)))</f>
        <v>0</v>
      </c>
      <c r="U84" s="196" t="n">
        <f aca="false">IF((SUMIF($O$3:$X$3,U$60,$O$4:$X$4))=0,0,((SUMIF($O$3:$X$3,U$60,$O133:$X133))/SUMIF($O$3:$X$3,U$60,$O$4:$X$4)))</f>
        <v>0</v>
      </c>
      <c r="V84" s="196" t="n">
        <f aca="false">IF((SUMIF($O$3:$X$3,V$60,$O$4:$X$4))=0,0,((SUMIF($O$3:$X$3,V$60,$O133:$X133))/SUMIF($O$3:$X$3,V$60,$O$4:$X$4)))</f>
        <v>0</v>
      </c>
      <c r="W84" s="196" t="n">
        <f aca="false">IF((SUMIF($O$3:$X$3,W$60,$O$4:$X$4))=0,0,((SUMIF($O$3:$X$3,W$60,$O133:$X133))/SUMIF($O$3:$X$3,W$60,$O$4:$X$4)))</f>
        <v>0</v>
      </c>
      <c r="X84" s="197" t="n">
        <f aca="false">IF((SUMIF($O$3:$X$3,X$60,$O$4:$X$4))=0,0,((SUMIF($O$3:$X$3,X$60,$O133:$X133))/SUMIF($O$3:$X$3,X$60,$O$4:$X$4)))</f>
        <v>0</v>
      </c>
      <c r="Y84" s="194" t="str">
        <f aca="false">N84</f>
        <v>Alumno23</v>
      </c>
      <c r="Z84" s="195" t="n">
        <f aca="false">IF((SUMIF($Z$3:$AI$3,Z$60,$Z$4:$AI$4))=0,0,((SUMIF($Z$3:$AI$3,Z$60,$Z133:$AI133))/SUMIF($Z$3:$AI$3,Z$60,$Z$4:$AI$4)))</f>
        <v>5.5</v>
      </c>
      <c r="AA84" s="196" t="n">
        <f aca="false">IF((SUMIF($Z$3:$AI$3,AA$60,$Z$4:$AI$4))=0,0,((SUMIF($Z$3:$AI$3,AA$60,$Z133:$AI133))/SUMIF($Z$3:$AI$3,AA$60,$Z$4:$AI$4)))</f>
        <v>3.5</v>
      </c>
      <c r="AB84" s="196" t="n">
        <f aca="false">IF((SUMIF($Z$3:$AI$3,AB$60,$Z$4:$AI$4))=0,0,((SUMIF($Z$3:$AI$3,AB$60,$Z133:$AI133))/SUMIF($Z$3:$AI$3,AB$60,$Z$4:$AI$4)))</f>
        <v>5</v>
      </c>
      <c r="AC84" s="196" t="n">
        <f aca="false">IF((SUMIF($Z$3:$AI$3,AC$60,$Z$4:$AI$4))=0,0,((SUMIF($Z$3:$AI$3,AC$60,$Z133:$AI133))/SUMIF($Z$3:$AI$3,AC$60,$Z$4:$AI$4)))</f>
        <v>0</v>
      </c>
      <c r="AD84" s="196" t="n">
        <f aca="false">IF((SUMIF($Z$3:$AI$3,AD$60,$Z$4:$AI$4))=0,0,((SUMIF($Z$3:$AI$3,AD$60,$Z133:$AI133))/SUMIF($Z$3:$AI$3,AD$60,$Z$4:$AI$4)))</f>
        <v>0</v>
      </c>
      <c r="AE84" s="196" t="n">
        <f aca="false">IF((SUMIF($Z$3:$AI$3,AE$60,$Z$4:$AI$4))=0,0,((SUMIF($Z$3:$AI$3,AE$60,$Z133:$AI133))/SUMIF($Z$3:$AI$3,AE$60,$Z$4:$AI$4)))</f>
        <v>0</v>
      </c>
      <c r="AF84" s="196" t="n">
        <f aca="false">IF((SUMIF($Z$3:$AI$3,AF$60,$Z$4:$AI$4))=0,0,((SUMIF($Z$3:$AI$3,AF$60,$Z133:$AI133))/SUMIF($Z$3:$AI$3,AF$60,$Z$4:$AI$4)))</f>
        <v>0</v>
      </c>
      <c r="AG84" s="196" t="n">
        <f aca="false">IF((SUMIF($Z$3:$AI$3,AG$60,$Z$4:$AI$4))=0,0,((SUMIF($Z$3:$AI$3,AG$60,$Z133:$AI133))/SUMIF($Z$3:$AI$3,AG$60,$Z$4:$AI$4)))</f>
        <v>0</v>
      </c>
      <c r="AH84" s="196" t="n">
        <f aca="false">IF((SUMIF($Z$3:$AI$3,AH$60,$Z$4:$AI$4))=0,0,((SUMIF($Z$3:$AI$3,AH$60,$Z133:$AI133))/SUMIF($Z$3:$AI$3,AH$60,$Z$4:$AI$4)))</f>
        <v>0</v>
      </c>
      <c r="AI84" s="197" t="n">
        <f aca="false">IF((SUMIF($Z$3:$AI$3,AI$60,$Z$4:$AI$4))=0,0,((SUMIF($Z$3:$AI$3,AI$60,$Z133:$AI133))/SUMIF($Z$3:$AI$3,AI$60,$Z$4:$AI$4)))</f>
        <v>0</v>
      </c>
      <c r="AJ84" s="194" t="str">
        <f aca="false">Y84</f>
        <v>Alumno23</v>
      </c>
      <c r="AK84" s="195" t="n">
        <f aca="false">IF((SUMIF($AK$3:$AT$3,AK$60,$AK$4:$AT$4))=0,0,((SUMIF($AK$3:$AT$3,AK$60,$AK133:$AT133))/SUMIF($AK$3:$AT$3,AK$60,$AK$4:$AT$4)))</f>
        <v>5</v>
      </c>
      <c r="AL84" s="196" t="n">
        <f aca="false">IF((SUMIF($AK$3:$AT$3,AL$60,$AK$4:$AT$4))=0,0,((SUMIF($AK$3:$AT$3,AL$60,$AK133:$AT133))/SUMIF($AK$3:$AT$3,AL$60,$AK$4:$AT$4)))</f>
        <v>5.5</v>
      </c>
      <c r="AM84" s="196" t="n">
        <f aca="false">IF((SUMIF($AK$3:$AT$3,AM$60,$AK$4:$AT$4))=0,0,((SUMIF($AK$3:$AT$3,AM$60,$AK133:$AT133))/SUMIF($AK$3:$AT$3,AM$60,$AK$4:$AT$4)))</f>
        <v>3.5</v>
      </c>
      <c r="AN84" s="196" t="n">
        <f aca="false">IF((SUMIF($AK$3:$AT$3,AN$60,$AK$4:$AT$4))=0,0,((SUMIF($AK$3:$AT$3,AN$60,$AK133:$AT133))/SUMIF($AK$3:$AT$3,AN$60,$AK$4:$AT$4)))</f>
        <v>0</v>
      </c>
      <c r="AO84" s="196" t="n">
        <f aca="false">IF((SUMIF($AK$3:$AT$3,AO$60,$AK$4:$AT$4))=0,0,((SUMIF($AK$3:$AT$3,AO$60,$AK133:$AT133))/SUMIF($AK$3:$AT$3,AO$60,$AK$4:$AT$4)))</f>
        <v>0</v>
      </c>
      <c r="AP84" s="196" t="n">
        <f aca="false">IF((SUMIF($AK$3:$AT$3,AP$60,$AK$4:$AT$4))=0,0,((SUMIF($AK$3:$AT$3,AP$60,$AK133:$AT133))/SUMIF($AK$3:$AT$3,AP$60,$AK$4:$AT$4)))</f>
        <v>0</v>
      </c>
      <c r="AQ84" s="196" t="n">
        <f aca="false">IF((SUMIF($AK$3:$AT$3,AQ$60,$AK$4:$AT$4))=0,0,((SUMIF($AK$3:$AT$3,AQ$60,$AK133:$AT133))/SUMIF($AK$3:$AT$3,AQ$60,$AK$4:$AT$4)))</f>
        <v>0</v>
      </c>
      <c r="AR84" s="196" t="n">
        <f aca="false">IF((SUMIF($AK$3:$AT$3,AR$60,$AK$4:$AT$4))=0,0,((SUMIF($AK$3:$AT$3,AR$60,$AK133:$AT133))/SUMIF($AK$3:$AT$3,AR$60,$AK$4:$AT$4)))</f>
        <v>0</v>
      </c>
      <c r="AS84" s="196" t="n">
        <f aca="false">IF((SUMIF($AK$3:$AT$3,AS$60,$AK$4:$AT$4))=0,0,((SUMIF($AK$3:$AT$3,AS$60,$AK133:$AT133))/SUMIF($AK$3:$AT$3,AS$60,$AK$4:$AT$4)))</f>
        <v>0</v>
      </c>
      <c r="AT84" s="197" t="n">
        <f aca="false">IF((SUMIF($AK$3:$AT$3,AT$60,$AK$4:$AT$4))=0,0,((SUMIF($AK$3:$AT$3,AT$60,$AK133:$AT133))/SUMIF($AK$3:$AT$3,AT$60,$AK$4:$AT$4)))</f>
        <v>0</v>
      </c>
      <c r="AU84" s="194" t="str">
        <f aca="false">AJ84</f>
        <v>Alumno23</v>
      </c>
      <c r="AV84" s="195" t="n">
        <f aca="false">IF((SUMIF($AV$3:$BE$3,AV$60,$AV$4:$BE$4))=0,0,((SUMIF($AV$3:$BE$3,AV$60,$AV133:$BE133))/SUMIF($AV$3:$BE$3,AV$60,$AV$4:$BE$4)))</f>
        <v>5</v>
      </c>
      <c r="AW84" s="196" t="n">
        <f aca="false">IF((SUMIF($AV$3:$BE$3,AW$60,$AV$4:$BE$4))=0,0,((SUMIF($AV$3:$BE$3,AW$60,$AV133:$BE133))/SUMIF($AV$3:$BE$3,AW$60,$AV$4:$BE$4)))</f>
        <v>6</v>
      </c>
      <c r="AX84" s="196" t="n">
        <f aca="false">IF((SUMIF($AV$3:$BE$3,AX$60,$AV$4:$BE$4))=0,0,((SUMIF($AV$3:$BE$3,AX$60,$AV133:$BE133))/SUMIF($AV$3:$BE$3,AX$60,$AV$4:$BE$4)))</f>
        <v>3.6</v>
      </c>
      <c r="AY84" s="196" t="n">
        <f aca="false">IF((SUMIF($AV$3:$BE$3,AY$60,$AV$4:$BE$4))=0,0,((SUMIF($AV$3:$BE$3,AY$60,$AV133:$BE133))/SUMIF($AV$3:$BE$3,AY$60,$AV$4:$BE$4)))</f>
        <v>5</v>
      </c>
      <c r="AZ84" s="196" t="n">
        <f aca="false">IF((SUMIF($AV$3:$BE$3,AZ$60,$AV$4:$BE$4))=0,0,((SUMIF($AV$3:$BE$3,AZ$60,$AV133:$BE133))/SUMIF($AV$3:$BE$3,AZ$60,$AV$4:$BE$4)))</f>
        <v>0</v>
      </c>
      <c r="BA84" s="196" t="n">
        <f aca="false">IF((SUMIF($AV$3:$BE$3,BA$60,$AV$4:$BE$4))=0,0,((SUMIF($AV$3:$BE$3,BA$60,$AV133:$BE133))/SUMIF($AV$3:$BE$3,BA$60,$AV$4:$BE$4)))</f>
        <v>0</v>
      </c>
      <c r="BB84" s="196" t="n">
        <f aca="false">IF((SUMIF($AV$3:$BE$3,BB$60,$AV$4:$BE$4))=0,0,((SUMIF($AV$3:$BE$3,BB$60,$AV133:$BE133))/SUMIF($AV$3:$BE$3,BB$60,$AV$4:$BE$4)))</f>
        <v>0</v>
      </c>
      <c r="BC84" s="196" t="n">
        <f aca="false">IF((SUMIF($AV$3:$BE$3,BC$60,$AV$4:$BE$4))=0,0,((SUMIF($AV$3:$BE$3,BC$60,$AV133:$BE133))/SUMIF($AV$3:$BE$3,BC$60,$AV$4:$BE$4)))</f>
        <v>0</v>
      </c>
      <c r="BD84" s="196" t="n">
        <f aca="false">IF((SUMIF($AV$3:$BE$3,BD$60,$AV$4:$BE$4))=0,0,((SUMIF($AV$3:$BE$3,BD$60,$AV133:$BE133))/SUMIF($AV$3:$BE$3,BD$60,$AV$4:$BE$4)))</f>
        <v>0</v>
      </c>
      <c r="BE84" s="197" t="n">
        <f aca="false">IF((SUMIF($AV$3:$BE$3,BE$60,$AV$4:$BE$4))=0,0,((SUMIF($AV$3:$BE$3,BE$60,$AV133:$BE133))/SUMIF($AV$3:$BE$3,BE$60,$AV$4:$BE$4)))</f>
        <v>0</v>
      </c>
      <c r="BF84" s="194" t="str">
        <f aca="false">AU84</f>
        <v>Alumno23</v>
      </c>
      <c r="BG84" s="195" t="n">
        <f aca="false">IF((SUMIF($BG$3:$BP$3,BG$60,$BG$4:$BP$4))=0,0,((SUMIF($BG$3:$BP$3,BG$60,$BG133:$BP133))/SUMIF($BG$3:$BP$3,BG$60,$BG$4:$BP$4)))</f>
        <v>5</v>
      </c>
      <c r="BH84" s="196" t="n">
        <f aca="false">IF((SUMIF($BG$3:$BP$3,BH$60,$BG$4:$BP$4))=0,0,((SUMIF($BG$3:$BP$3,BH$60,$BG133:$BP133))/SUMIF($BG$3:$BP$3,BH$60,$BG$4:$BP$4)))</f>
        <v>6</v>
      </c>
      <c r="BI84" s="196" t="n">
        <f aca="false">IF((SUMIF($BG$3:$BP$3,BI$60,$BG$4:$BP$4))=0,0,((SUMIF($BG$3:$BP$3,BI$60,$BG133:$BP133))/SUMIF($BG$3:$BP$3,BI$60,$BG$4:$BP$4)))</f>
        <v>3</v>
      </c>
      <c r="BJ84" s="196" t="n">
        <f aca="false">IF((SUMIF($BG$3:$BP$3,BJ$60,$BG$4:$BP$4))=0,0,((SUMIF($BG$3:$BP$3,BJ$60,$BG133:$BP133))/SUMIF($BG$3:$BP$3,BJ$60,$BG$4:$BP$4)))</f>
        <v>4.6</v>
      </c>
      <c r="BK84" s="196" t="n">
        <f aca="false">IF((SUMIF($BG$3:$BP$3,BK$60,$BG$4:$BP$4))=0,0,((SUMIF($BG$3:$BP$3,BK$60,$BG133:$BP133))/SUMIF($BG$3:$BP$3,BK$60,$BG$4:$BP$4)))</f>
        <v>0</v>
      </c>
      <c r="BL84" s="196" t="n">
        <f aca="false">IF((SUMIF($BG$3:$BP$3,BL$60,$BG$4:$BP$4))=0,0,((SUMIF($BG$3:$BP$3,BL$60,$BG133:$BP133))/SUMIF($BG$3:$BP$3,BL$60,$BG$4:$BP$4)))</f>
        <v>0</v>
      </c>
      <c r="BM84" s="196" t="n">
        <f aca="false">IF((SUMIF($BG$3:$BP$3,BM$60,$BG$4:$BP$4))=0,0,((SUMIF($BG$3:$BP$3,BM$60,$BG133:$BP133))/SUMIF($BG$3:$BP$3,BM$60,$BG$4:$BP$4)))</f>
        <v>0</v>
      </c>
      <c r="BN84" s="196" t="n">
        <f aca="false">IF((SUMIF($BG$3:$BP$3,BN$60,$BG$4:$BP$4))=0,0,((SUMIF($BG$3:$BP$3,BN$60,$BG133:$BP133))/SUMIF($BG$3:$BP$3,BN$60,$BG$4:$BP$4)))</f>
        <v>0</v>
      </c>
      <c r="BO84" s="196" t="n">
        <f aca="false">IF((SUMIF($BG$3:$BP$3,BO$60,$BG$4:$BP$4))=0,0,((SUMIF($BG$3:$BP$3,BO$60,$BG133:$BP133))/SUMIF($BG$3:$BP$3,BO$60,$BG$4:$BP$4)))</f>
        <v>0</v>
      </c>
      <c r="BP84" s="197" t="n">
        <f aca="false">IF((SUMIF($BG$3:$BP$3,BP$60,$BG$4:$BP$4))=0,0,((SUMIF($BG$3:$BP$3,BP$60,$BG133:$BP133))/SUMIF($BG$3:$BP$3,BP$60,$BG$4:$BP$4)))</f>
        <v>0</v>
      </c>
      <c r="BQ84" s="194" t="str">
        <f aca="false">BF84</f>
        <v>Alumno23</v>
      </c>
      <c r="BR84" s="195" t="n">
        <f aca="false">IF((SUMIF($BR$3:$CA$3,BR$60,$BR$4:$CA$4))=0,0,((SUMIF($BR$3:$CA$3,BR$60,$BR133:$CA133))/SUMIF($BR$3:$CA$3,BR$60,$BR$4:$CA$4)))</f>
        <v>0</v>
      </c>
      <c r="BS84" s="196" t="n">
        <f aca="false">IF((SUMIF($BR$3:$CA$3,BS$60,$BR$4:$CA$4))=0,0,((SUMIF($BR$3:$CA$3,BS$60,$BR133:$CA133))/SUMIF($BR$3:$CA$3,BS$60,$BR$4:$CA$4)))</f>
        <v>9</v>
      </c>
      <c r="BT84" s="196" t="n">
        <f aca="false">IF((SUMIF($BR$3:$CA$3,BT$60,$BR$4:$CA$4))=0,0,((SUMIF($BR$3:$CA$3,BT$60,$BR133:$CA133))/SUMIF($BR$3:$CA$3,BT$60,$BR$4:$CA$4)))</f>
        <v>10</v>
      </c>
      <c r="BU84" s="196" t="n">
        <f aca="false">IF((SUMIF($BR$3:$CA$3,BU$60,$BR$4:$CA$4))=0,0,((SUMIF($BR$3:$CA$3,BU$60,$BR133:$CA133))/SUMIF($BR$3:$CA$3,BU$60,$BR$4:$CA$4)))</f>
        <v>9.4</v>
      </c>
      <c r="BV84" s="196" t="n">
        <f aca="false">IF((SUMIF($BR$3:$CA$3,BV$60,$BR$4:$CA$4))=0,0,((SUMIF($BR$3:$CA$3,BV$60,$BR133:$CA133))/SUMIF($BR$3:$CA$3,BV$60,$BR$4:$CA$4)))</f>
        <v>0</v>
      </c>
      <c r="BW84" s="196" t="n">
        <f aca="false">IF((SUMIF($BR$3:$CA$3,BW$60,$BR$4:$CA$4))=0,0,((SUMIF($BR$3:$CA$3,BW$60,$BR133:$CA133))/SUMIF($BR$3:$CA$3,BW$60,$BR$4:$CA$4)))</f>
        <v>0</v>
      </c>
      <c r="BX84" s="196" t="n">
        <f aca="false">IF((SUMIF($BR$3:$CA$3,BX$60,$BR$4:$CA$4))=0,0,((SUMIF($BR$3:$CA$3,BX$60,$BR133:$CA133))/SUMIF($BR$3:$CA$3,BX$60,$BR$4:$CA$4)))</f>
        <v>0</v>
      </c>
      <c r="BY84" s="196" t="n">
        <f aca="false">IF((SUMIF($BR$3:$CA$3,BY$60,$BR$4:$CA$4))=0,0,((SUMIF($BR$3:$CA$3,BY$60,$BR133:$CA133))/SUMIF($BR$3:$CA$3,BY$60,$BR$4:$CA$4)))</f>
        <v>0</v>
      </c>
      <c r="BZ84" s="196" t="n">
        <f aca="false">IF((SUMIF($BR$3:$CA$3,BZ$60,$BR$4:$CA$4))=0,0,((SUMIF($BR$3:$CA$3,BZ$60,$BR133:$CA133))/SUMIF($BR$3:$CA$3,BZ$60,$BR$4:$CA$4)))</f>
        <v>0</v>
      </c>
      <c r="CA84" s="197" t="n">
        <f aca="false">IF((SUMIF($BR$3:$CA$3,CA$60,$BR$4:$CA$4))=0,0,((SUMIF($BR$3:$CA$3,CA$60,$BR133:$CA133))/SUMIF($BR$3:$CA$3,CA$60,$BR$4:$CA$4)))</f>
        <v>0</v>
      </c>
      <c r="CB84" s="194" t="str">
        <f aca="false">BQ84</f>
        <v>Alumno23</v>
      </c>
      <c r="CC84" s="195" t="n">
        <f aca="false">IF((SUMIF($CC$3:$CL$3,CC$60,$CC$4:$CL$4))=0,0,((SUMIF($CC$3:$CL$3,CC$60,$CC133:$CL133))/SUMIF($CC$3:$CL$3,CC$60,$CC$4:$CL$4)))</f>
        <v>0</v>
      </c>
      <c r="CD84" s="196" t="n">
        <f aca="false">IF((SUMIF($CC$3:$CL$3,CD$60,$CC$4:$CL$4))=0,0,((SUMIF($CC$3:$CL$3,CD$60,$CC133:$CL133))/SUMIF($CC$3:$CL$3,CD$60,$CC$4:$CL$4)))</f>
        <v>0</v>
      </c>
      <c r="CE84" s="196" t="n">
        <f aca="false">IF((SUMIF($CC$3:$CL$3,CE$60,$CC$4:$CL$4))=0,0,((SUMIF($CC$3:$CL$3,CE$60,$CC133:$CL133))/SUMIF($CC$3:$CL$3,CE$60,$CC$4:$CL$4)))</f>
        <v>0</v>
      </c>
      <c r="CF84" s="196" t="n">
        <f aca="false">IF((SUMIF($CC$3:$CL$3,CF$60,$CC$4:$CL$4))=0,0,((SUMIF($CC$3:$CL$3,CF$60,$CC133:$CL133))/SUMIF($CC$3:$CL$3,CF$60,$CC$4:$CL$4)))</f>
        <v>0</v>
      </c>
      <c r="CG84" s="196" t="n">
        <f aca="false">IF((SUMIF($CC$3:$CL$3,CG$60,$CC$4:$CL$4))=0,0,((SUMIF($CC$3:$CL$3,CG$60,$CC133:$CL133))/SUMIF($CC$3:$CL$3,CG$60,$CC$4:$CL$4)))</f>
        <v>0</v>
      </c>
      <c r="CH84" s="196" t="n">
        <f aca="false">IF((SUMIF($CC$3:$CL$3,CH$60,$CC$4:$CL$4))=0,0,((SUMIF($CC$3:$CL$3,CH$60,$CC133:$CL133))/SUMIF($CC$3:$CL$3,CH$60,$CC$4:$CL$4)))</f>
        <v>0</v>
      </c>
      <c r="CI84" s="196" t="n">
        <f aca="false">IF((SUMIF($CC$3:$CL$3,CI$60,$CC$4:$CL$4))=0,0,((SUMIF($CC$3:$CL$3,CI$60,$CC133:$CL133))/SUMIF($CC$3:$CL$3,CI$60,$CC$4:$CL$4)))</f>
        <v>0</v>
      </c>
      <c r="CJ84" s="196" t="n">
        <f aca="false">IF((SUMIF($CC$3:$CL$3,CJ$60,$CC$4:$CL$4))=0,0,((SUMIF($CC$3:$CL$3,CJ$60,$CC133:$CL133))/SUMIF($CC$3:$CL$3,CJ$60,$CC$4:$CL$4)))</f>
        <v>0</v>
      </c>
      <c r="CK84" s="196" t="n">
        <f aca="false">IF((SUMIF($CC$3:$CL$3,CK$60,$CC$4:$CL$4))=0,0,((SUMIF($CC$3:$CL$3,CK$60,$CC133:$CL133))/SUMIF($CC$3:$CL$3,CK$60,$CC$4:$CL$4)))</f>
        <v>0</v>
      </c>
      <c r="CL84" s="197" t="n">
        <f aca="false">IF((SUMIF($CC$3:$CL$3,CL$60,$CC$4:$CL$4))=0,0,((SUMIF($CC$3:$CL$3,CL$60,$CC133:$CL133))/SUMIF($CC$3:$CL$3,CL$60,$CC$4:$CL$4)))</f>
        <v>0</v>
      </c>
      <c r="CM84" s="194" t="str">
        <f aca="false">CB84</f>
        <v>Alumno23</v>
      </c>
      <c r="CN84" s="195" t="n">
        <f aca="false">IF((SUMIF($CN$3:$CW$3,CN$60,$CN$4:$CW$4))=0,0,((SUMIF($CN$3:$CW$3,CN$60,$CN133:$CW133))/SUMIF($CN$3:$CW$3,CN$60,$CN$4:$CW$4)))</f>
        <v>0</v>
      </c>
      <c r="CO84" s="196" t="n">
        <f aca="false">IF((SUMIF($CN$3:$CW$3,CO$60,$CN$4:$CW$4))=0,0,((SUMIF($CN$3:$CW$3,CO$60,$CN133:$CW133))/SUMIF($CN$3:$CW$3,CO$60,$CN$4:$CW$4)))</f>
        <v>0</v>
      </c>
      <c r="CP84" s="196" t="n">
        <f aca="false">IF((SUMIF($CN$3:$CW$3,CP$60,$CN$4:$CW$4))=0,0,((SUMIF($CN$3:$CW$3,CP$60,$CN133:$CW133))/SUMIF($CN$3:$CW$3,CP$60,$CN$4:$CW$4)))</f>
        <v>0</v>
      </c>
      <c r="CQ84" s="196" t="n">
        <f aca="false">IF((SUMIF($CN$3:$CW$3,CQ$60,$CN$4:$CW$4))=0,0,((SUMIF($CN$3:$CW$3,CQ$60,$CN133:$CW133))/SUMIF($CN$3:$CW$3,CQ$60,$CN$4:$CW$4)))</f>
        <v>0</v>
      </c>
      <c r="CR84" s="196" t="n">
        <f aca="false">IF((SUMIF($CN$3:$CW$3,CR$60,$CN$4:$CW$4))=0,0,((SUMIF($CN$3:$CW$3,CR$60,$CN133:$CW133))/SUMIF($CN$3:$CW$3,CR$60,$CN$4:$CW$4)))</f>
        <v>0</v>
      </c>
      <c r="CS84" s="196" t="n">
        <f aca="false">IF((SUMIF($CN$3:$CW$3,CS$60,$CN$4:$CW$4))=0,0,((SUMIF($CN$3:$CW$3,CS$60,$CN133:$CW133))/SUMIF($CN$3:$CW$3,CS$60,$CN$4:$CW$4)))</f>
        <v>0</v>
      </c>
      <c r="CT84" s="196" t="n">
        <f aca="false">IF((SUMIF($CN$3:$CW$3,CT$60,$CN$4:$CW$4))=0,0,((SUMIF($CN$3:$CW$3,CT$60,$CN133:$CW133))/SUMIF($CN$3:$CW$3,CT$60,$CN$4:$CW$4)))</f>
        <v>0</v>
      </c>
      <c r="CU84" s="196" t="n">
        <f aca="false">IF((SUMIF($CN$3:$CW$3,CU$60,$CN$4:$CW$4))=0,0,((SUMIF($CN$3:$CW$3,CU$60,$CN133:$CW133))/SUMIF($CN$3:$CW$3,CU$60,$CN$4:$CW$4)))</f>
        <v>0</v>
      </c>
      <c r="CV84" s="196" t="n">
        <f aca="false">IF((SUMIF($CN$3:$CW$3,CV$60,$CN$4:$CW$4))=0,0,((SUMIF($CN$3:$CW$3,CV$60,$CN133:$CW133))/SUMIF($CN$3:$CW$3,CV$60,$CN$4:$CW$4)))</f>
        <v>0</v>
      </c>
      <c r="CW84" s="197" t="n">
        <f aca="false">IF((SUMIF($CN$3:$CW$3,CW$60,$CN$4:$CW$4))=0,0,((SUMIF($CN$3:$CW$3,CW$60,$CN133:$CW133))/SUMIF($CN$3:$CW$3,CW$60,$CN$4:$CW$4)))</f>
        <v>0</v>
      </c>
      <c r="CX84" s="194" t="str">
        <f aca="false">CM84</f>
        <v>Alumno23</v>
      </c>
      <c r="CY84" s="195" t="n">
        <f aca="false">IF((SUMIF($CY$3:$DH$3,CY$60,$CY$4:$DH$4))=0,0,((SUMIF($CY$3:$DH$3,CY$60,$CY133:$DH133))/SUMIF($CY$3:$DH$3,CY$60,$CY$4:$DH$4)))</f>
        <v>0</v>
      </c>
      <c r="CZ84" s="196" t="n">
        <f aca="false">IF((SUMIF($CY$3:$DH$3,CZ$60,$CY$4:$DH$4))=0,0,((SUMIF($CY$3:$DH$3,CZ$60,$CY133:$DH133))/SUMIF($CY$3:$DH$3,CZ$60,$CY$4:$DH$4)))</f>
        <v>0</v>
      </c>
      <c r="DA84" s="196" t="n">
        <f aca="false">IF((SUMIF($CY$3:$DH$3,DA$60,$CY$4:$DH$4))=0,0,((SUMIF($CY$3:$DH$3,DA$60,$CY133:$DH133))/SUMIF($CY$3:$DH$3,DA$60,$CY$4:$DH$4)))</f>
        <v>0</v>
      </c>
      <c r="DB84" s="196" t="n">
        <f aca="false">IF((SUMIF($CY$3:$DH$3,DB$60,$CY$4:$DH$4))=0,0,((SUMIF($CY$3:$DH$3,DB$60,$CY133:$DH133))/SUMIF($CY$3:$DH$3,DB$60,$CY$4:$DH$4)))</f>
        <v>0</v>
      </c>
      <c r="DC84" s="196" t="n">
        <f aca="false">IF((SUMIF($CY$3:$DH$3,DC$60,$CY$4:$DH$4))=0,0,((SUMIF($CY$3:$DH$3,DC$60,$CY133:$DH133))/SUMIF($CY$3:$DH$3,DC$60,$CY$4:$DH$4)))</f>
        <v>0</v>
      </c>
      <c r="DD84" s="196" t="n">
        <f aca="false">IF((SUMIF($CY$3:$DH$3,DD$60,$CY$4:$DH$4))=0,0,((SUMIF($CY$3:$DH$3,DD$60,$CY133:$DH133))/SUMIF($CY$3:$DH$3,DD$60,$CY$4:$DH$4)))</f>
        <v>0</v>
      </c>
      <c r="DE84" s="196" t="n">
        <f aca="false">IF((SUMIF($CY$3:$DH$3,DE$60,$CY$4:$DH$4))=0,0,((SUMIF($CY$3:$DH$3,DE$60,$CY133:$DH133))/SUMIF($CY$3:$DH$3,DE$60,$CY$4:$DH$4)))</f>
        <v>0</v>
      </c>
      <c r="DF84" s="196" t="n">
        <f aca="false">IF((SUMIF($CY$3:$DH$3,DF$60,$CY$4:$DH$4))=0,0,((SUMIF($CY$3:$DH$3,DF$60,$CY133:$DH133))/SUMIF($CY$3:$DH$3,DF$60,$CY$4:$DH$4)))</f>
        <v>0</v>
      </c>
      <c r="DG84" s="196" t="n">
        <f aca="false">IF((SUMIF($CY$3:$DH$3,DG$60,$CY$4:$DH$4))=0,0,((SUMIF($CY$3:$DH$3,DG$60,$CY133:$DH133))/SUMIF($CY$3:$DH$3,DG$60,$CY$4:$DH$4)))</f>
        <v>0</v>
      </c>
      <c r="DH84" s="197" t="n">
        <f aca="false">IF((SUMIF($CY$3:$DH$3,DH$60,$CY$4:$DH$4))=0,0,((SUMIF($CY$3:$DH$3,DH$60,$CY133:$DH133))/SUMIF($CY$3:$DH$3,DH$60,$CY$4:$DH$4)))</f>
        <v>0</v>
      </c>
      <c r="DI84" s="194" t="str">
        <f aca="false">CX84</f>
        <v>Alumno23</v>
      </c>
      <c r="DJ84" s="195" t="n">
        <f aca="false">IF((SUMIF($DJ$3:$DS$3,DJ$60,$DJ$4:$DS$4))=0,0,((SUMIF($DJ$3:$DS$3,DJ$60,$DJ133:$DS133))/SUMIF($DJ$3:$DS$3,DJ$60,$DJ$4:$DS$4)))</f>
        <v>0</v>
      </c>
      <c r="DK84" s="196" t="n">
        <f aca="false">IF((SUMIF($DJ$3:$DS$3,DK$60,$DJ$4:$DS$4))=0,0,((SUMIF($DJ$3:$DS$3,DK$60,$DJ133:$DS133))/SUMIF($DJ$3:$DS$3,DK$60,$DJ$4:$DS$4)))</f>
        <v>0</v>
      </c>
      <c r="DL84" s="196" t="n">
        <f aca="false">IF((SUMIF($DJ$3:$DS$3,DL$60,$DJ$4:$DS$4))=0,0,((SUMIF($DJ$3:$DS$3,DL$60,$DJ133:$DS133))/SUMIF($DJ$3:$DS$3,DL$60,$DJ$4:$DS$4)))</f>
        <v>0</v>
      </c>
      <c r="DM84" s="196" t="n">
        <f aca="false">IF((SUMIF($DJ$3:$DS$3,DM$60,$DJ$4:$DS$4))=0,0,((SUMIF($DJ$3:$DS$3,DM$60,$DJ133:$DS133))/SUMIF($DJ$3:$DS$3,DM$60,$DJ$4:$DS$4)))</f>
        <v>0</v>
      </c>
      <c r="DN84" s="196" t="n">
        <f aca="false">IF((SUMIF($DJ$3:$DS$3,DN$60,$DJ$4:$DS$4))=0,0,((SUMIF($DJ$3:$DS$3,DN$60,$DJ133:$DS133))/SUMIF($DJ$3:$DS$3,DN$60,$DJ$4:$DS$4)))</f>
        <v>0</v>
      </c>
      <c r="DO84" s="196" t="n">
        <f aca="false">IF((SUMIF($DJ$3:$DS$3,DO$60,$DJ$4:$DS$4))=0,0,((SUMIF($DJ$3:$DS$3,DO$60,$DJ133:$DS133))/SUMIF($DJ$3:$DS$3,DO$60,$DJ$4:$DS$4)))</f>
        <v>0</v>
      </c>
      <c r="DP84" s="196" t="n">
        <f aca="false">IF((SUMIF($DJ$3:$DS$3,DP$60,$DJ$4:$DS$4))=0,0,((SUMIF($DJ$3:$DS$3,DP$60,$DJ133:$DS133))/SUMIF($DJ$3:$DS$3,DP$60,$DJ$4:$DS$4)))</f>
        <v>0</v>
      </c>
      <c r="DQ84" s="196" t="n">
        <f aca="false">IF((SUMIF($DJ$3:$DS$3,DQ$60,$DJ$4:$DS$4))=0,0,((SUMIF($DJ$3:$DS$3,DQ$60,$DJ133:$DS133))/SUMIF($DJ$3:$DS$3,DQ$60,$DJ$4:$DS$4)))</f>
        <v>0</v>
      </c>
      <c r="DR84" s="196" t="n">
        <f aca="false">IF((SUMIF($DJ$3:$DS$3,DR$60,$DJ$4:$DS$4))=0,0,((SUMIF($DJ$3:$DS$3,DR$60,$DJ133:$DS133))/SUMIF($DJ$3:$DS$3,DR$60,$DJ$4:$DS$4)))</f>
        <v>0</v>
      </c>
      <c r="DS84" s="197" t="n">
        <f aca="false">IF((SUMIF($DJ$3:$DS$3,DS$60,$DJ$4:$DS$4))=0,0,((SUMIF($DJ$3:$DS$3,DS$60,$DJ133:$DS133))/SUMIF($DJ$3:$DS$3,DS$60,$DJ$4:$DS$4)))</f>
        <v>0</v>
      </c>
      <c r="DT84" s="194" t="str">
        <f aca="false">DI84</f>
        <v>Alumno23</v>
      </c>
      <c r="DU84" s="195" t="n">
        <f aca="false">IF((SUMIF($DU$3:$ED$3,DU$60,$DU$4:$ED$4))=0,0,((SUMIF($DU$3:$ED$3,DU$60,$DU133:$ED133))/SUMIF($DU$3:$ED$3,DU$60,$DU$4:$ED$4)))</f>
        <v>0</v>
      </c>
      <c r="DV84" s="196" t="n">
        <f aca="false">IF((SUMIF($DU$3:$ED$3,DV$60,$DU$4:$ED$4))=0,0,((SUMIF($DU$3:$ED$3,DV$60,$DU133:$ED133))/SUMIF($DU$3:$ED$3,DV$60,$DU$4:$ED$4)))</f>
        <v>0</v>
      </c>
      <c r="DW84" s="196" t="n">
        <f aca="false">IF((SUMIF($DU$3:$ED$3,DW$60,$DU$4:$ED$4))=0,0,((SUMIF($DU$3:$ED$3,DW$60,$DU133:$ED133))/SUMIF($DU$3:$ED$3,DW$60,$DU$4:$ED$4)))</f>
        <v>0</v>
      </c>
      <c r="DX84" s="196" t="n">
        <f aca="false">IF((SUMIF($DU$3:$ED$3,DX$60,$DU$4:$ED$4))=0,0,((SUMIF($DU$3:$ED$3,DX$60,$DU133:$ED133))/SUMIF($DU$3:$ED$3,DX$60,$DU$4:$ED$4)))</f>
        <v>0</v>
      </c>
      <c r="DY84" s="196" t="n">
        <f aca="false">IF((SUMIF($DU$3:$ED$3,DY$60,$DU$4:$ED$4))=0,0,((SUMIF($DU$3:$ED$3,DY$60,$DU133:$ED133))/SUMIF($DU$3:$ED$3,DY$60,$DU$4:$ED$4)))</f>
        <v>0</v>
      </c>
      <c r="DZ84" s="196" t="n">
        <f aca="false">IF((SUMIF($DU$3:$ED$3,DZ$60,$DU$4:$ED$4))=0,0,((SUMIF($DU$3:$ED$3,DZ$60,$DU133:$ED133))/SUMIF($DU$3:$ED$3,DZ$60,$DU$4:$ED$4)))</f>
        <v>0</v>
      </c>
      <c r="EA84" s="196" t="n">
        <f aca="false">IF((SUMIF($DU$3:$ED$3,EA$60,$DU$4:$ED$4))=0,0,((SUMIF($DU$3:$ED$3,EA$60,$DU133:$ED133))/SUMIF($DU$3:$ED$3,EA$60,$DU$4:$ED$4)))</f>
        <v>0</v>
      </c>
      <c r="EB84" s="196" t="n">
        <f aca="false">IF((SUMIF($DU$3:$ED$3,EB$60,$DU$4:$ED$4))=0,0,((SUMIF($DU$3:$ED$3,EB$60,$DU133:$ED133))/SUMIF($DU$3:$ED$3,EB$60,$DU$4:$ED$4)))</f>
        <v>0</v>
      </c>
      <c r="EC84" s="196" t="n">
        <f aca="false">IF((SUMIF($DU$3:$ED$3,EC$60,$DU$4:$ED$4))=0,0,((SUMIF($DU$3:$ED$3,EC$60,$DU133:$ED133))/SUMIF($DU$3:$ED$3,EC$60,$DU$4:$ED$4)))</f>
        <v>0</v>
      </c>
      <c r="ED84" s="197" t="n">
        <f aca="false">IF((SUMIF($DU$3:$ED$3,ED$60,$DU$4:$ED$4))=0,0,((SUMIF($DU$3:$ED$3,ED$60,$DU133:$ED133))/SUMIF($DU$3:$ED$3,ED$60,$DU$4:$ED$4)))</f>
        <v>0</v>
      </c>
      <c r="EE84" s="194" t="str">
        <f aca="false">DT84</f>
        <v>Alumno23</v>
      </c>
      <c r="EF84" s="195" t="n">
        <f aca="false">IF((SUMIF($EF$3:$EO$3,EF$60,$EF$4:$EO$4))=0,0,((SUMIF($EF$3:$EO$3,EF$60,$EF133:$EO133))/SUMIF($EF$3:$EO$3,EF$60,$EF$4:$EO$4)))</f>
        <v>0</v>
      </c>
      <c r="EG84" s="196" t="n">
        <f aca="false">IF((SUMIF($EF$3:$EO$3,EG$60,$EF$4:$EO$4))=0,0,((SUMIF($EF$3:$EO$3,EG$60,$EF133:$EO133))/SUMIF($EF$3:$EO$3,EG$60,$EF$4:$EO$4)))</f>
        <v>0</v>
      </c>
      <c r="EH84" s="196" t="n">
        <f aca="false">IF((SUMIF($EF$3:$EO$3,EH$60,$EF$4:$EO$4))=0,0,((SUMIF($EF$3:$EO$3,EH$60,$EF133:$EO133))/SUMIF($EF$3:$EO$3,EH$60,$EF$4:$EO$4)))</f>
        <v>0</v>
      </c>
      <c r="EI84" s="196" t="n">
        <f aca="false">IF((SUMIF($EF$3:$EO$3,EI$60,$EF$4:$EO$4))=0,0,((SUMIF($EF$3:$EO$3,EI$60,$EF133:$EO133))/SUMIF($EF$3:$EO$3,EI$60,$EF$4:$EO$4)))</f>
        <v>0</v>
      </c>
      <c r="EJ84" s="196" t="n">
        <f aca="false">IF((SUMIF($EF$3:$EO$3,EJ$60,$EF$4:$EO$4))=0,0,((SUMIF($EF$3:$EO$3,EJ$60,$EF133:$EO133))/SUMIF($EF$3:$EO$3,EJ$60,$EF$4:$EO$4)))</f>
        <v>0</v>
      </c>
      <c r="EK84" s="196" t="n">
        <f aca="false">IF((SUMIF($EF$3:$EO$3,EK$60,$EF$4:$EO$4))=0,0,((SUMIF($EF$3:$EO$3,EK$60,$EF133:$EO133))/SUMIF($EF$3:$EO$3,EK$60,$EF$4:$EO$4)))</f>
        <v>0</v>
      </c>
      <c r="EL84" s="196" t="n">
        <f aca="false">IF((SUMIF($EF$3:$EO$3,EL$60,$EF$4:$EO$4))=0,0,((SUMIF($EF$3:$EO$3,EL$60,$EF133:$EO133))/SUMIF($EF$3:$EO$3,EL$60,$EF$4:$EO$4)))</f>
        <v>0</v>
      </c>
      <c r="EM84" s="196" t="n">
        <f aca="false">IF((SUMIF($EF$3:$EO$3,EM$60,$EF$4:$EO$4))=0,0,((SUMIF($EF$3:$EO$3,EM$60,$EF133:$EO133))/SUMIF($EF$3:$EO$3,EM$60,$EF$4:$EO$4)))</f>
        <v>0</v>
      </c>
      <c r="EN84" s="196" t="n">
        <f aca="false">IF((SUMIF($EF$3:$EO$3,EN$60,$EF$4:$EO$4))=0,0,((SUMIF($EF$3:$EO$3,EN$60,$EF133:$EO133))/SUMIF($EF$3:$EO$3,EN$60,$EF$4:$EO$4)))</f>
        <v>0</v>
      </c>
      <c r="EO84" s="197" t="n">
        <f aca="false">IF((SUMIF($EF$3:$EO$3,EO$60,$EF$4:$EO$4))=0,0,((SUMIF($EF$3:$EO$3,EO$60,$EF133:$EO133))/SUMIF($EF$3:$EO$3,EO$60,$EF$4:$EO$4)))</f>
        <v>0</v>
      </c>
      <c r="EP84" s="194" t="str">
        <f aca="false">EE84</f>
        <v>Alumno23</v>
      </c>
      <c r="EQ84" s="195" t="n">
        <f aca="false">IF((SUMIF($EQ$3:$EZ$3,EQ$60,$EQ$4:$EZ$4))=0,0,((SUMIF($EQ$3:$EZ$3,EQ$60,$EQ133:$EZ133))/SUMIF($EQ$3:$EZ$3,EQ$60,$EQ$4:$EZ$4)))</f>
        <v>0</v>
      </c>
      <c r="ER84" s="196" t="n">
        <f aca="false">IF((SUMIF($EQ$3:$EZ$3,ER$60,$EQ$4:$EZ$4))=0,0,((SUMIF($EQ$3:$EZ$3,ER$60,$EQ133:$EZ133))/SUMIF($EQ$3:$EZ$3,ER$60,$EQ$4:$EZ$4)))</f>
        <v>0</v>
      </c>
      <c r="ES84" s="196" t="n">
        <f aca="false">IF((SUMIF($EQ$3:$EZ$3,ES$60,$EQ$4:$EZ$4))=0,0,((SUMIF($EQ$3:$EZ$3,ES$60,$EQ133:$EZ133))/SUMIF($EQ$3:$EZ$3,ES$60,$EQ$4:$EZ$4)))</f>
        <v>0</v>
      </c>
      <c r="ET84" s="196" t="n">
        <f aca="false">IF((SUMIF($EQ$3:$EZ$3,ET$60,$EQ$4:$EZ$4))=0,0,((SUMIF($EQ$3:$EZ$3,ET$60,$EQ133:$EZ133))/SUMIF($EQ$3:$EZ$3,ET$60,$EQ$4:$EZ$4)))</f>
        <v>0</v>
      </c>
      <c r="EU84" s="196" t="n">
        <f aca="false">IF((SUMIF($EQ$3:$EZ$3,EU$60,$EQ$4:$EZ$4))=0,0,((SUMIF($EQ$3:$EZ$3,EU$60,$EQ133:$EZ133))/SUMIF($EQ$3:$EZ$3,EU$60,$EQ$4:$EZ$4)))</f>
        <v>0</v>
      </c>
      <c r="EV84" s="196" t="n">
        <f aca="false">IF((SUMIF($EQ$3:$EZ$3,EV$60,$EQ$4:$EZ$4))=0,0,((SUMIF($EQ$3:$EZ$3,EV$60,$EQ133:$EZ133))/SUMIF($EQ$3:$EZ$3,EV$60,$EQ$4:$EZ$4)))</f>
        <v>0</v>
      </c>
      <c r="EW84" s="196" t="n">
        <f aca="false">IF((SUMIF($EQ$3:$EZ$3,EW$60,$EQ$4:$EZ$4))=0,0,((SUMIF($EQ$3:$EZ$3,EW$60,$EQ133:$EZ133))/SUMIF($EQ$3:$EZ$3,EW$60,$EQ$4:$EZ$4)))</f>
        <v>0</v>
      </c>
      <c r="EX84" s="196" t="n">
        <f aca="false">IF((SUMIF($EQ$3:$EZ$3,EX$60,$EQ$4:$EZ$4))=0,0,((SUMIF($EQ$3:$EZ$3,EX$60,$EQ133:$EZ133))/SUMIF($EQ$3:$EZ$3,EX$60,$EQ$4:$EZ$4)))</f>
        <v>0</v>
      </c>
      <c r="EY84" s="196" t="n">
        <f aca="false">IF((SUMIF($EQ$3:$EZ$3,EY$60,$EQ$4:$EZ$4))=0,0,((SUMIF($EQ$3:$EZ$3,EY$60,$EQ133:$EZ133))/SUMIF($EQ$3:$EZ$3,EY$60,$EQ$4:$EZ$4)))</f>
        <v>0</v>
      </c>
      <c r="EZ84" s="197" t="n">
        <f aca="false">IF((SUMIF($EQ$3:$EZ$3,EZ$60,$EQ$4:$EZ$4))=0,0,((SUMIF($EQ$3:$EZ$3,EZ$60,$EQ133:$EZ133))/SUMIF($EQ$3:$EZ$3,EZ$60,$EQ$4:$EZ$4)))</f>
        <v>0</v>
      </c>
      <c r="FA84" s="194" t="str">
        <f aca="false">EP84</f>
        <v>Alumno23</v>
      </c>
      <c r="FB84" s="195" t="n">
        <f aca="false">IF((SUMIF($FB$3:$FK$3,FB$60,$FB$4:$FK$4))=0,0,((SUMIF($FB$3:$FK$3,FB$60,$FB133:$FK133))/SUMIF($FB$3:$FK$3,FB$60,$FB$4:$FK$4)))</f>
        <v>0</v>
      </c>
      <c r="FC84" s="196" t="n">
        <f aca="false">IF((SUMIF($FB$3:$FK$3,FC$60,$FB$4:$FK$4))=0,0,((SUMIF($FB$3:$FK$3,FC$60,$FB133:$FK133))/SUMIF($FB$3:$FK$3,FC$60,$FB$4:$FK$4)))</f>
        <v>0</v>
      </c>
      <c r="FD84" s="196" t="n">
        <f aca="false">IF((SUMIF($FB$3:$FK$3,FD$60,$FB$4:$FK$4))=0,0,((SUMIF($FB$3:$FK$3,FD$60,$FB133:$FK133))/SUMIF($FB$3:$FK$3,FD$60,$FB$4:$FK$4)))</f>
        <v>0</v>
      </c>
      <c r="FE84" s="196" t="n">
        <f aca="false">IF((SUMIF($FB$3:$FK$3,FE$60,$FB$4:$FK$4))=0,0,((SUMIF($FB$3:$FK$3,FE$60,$FB133:$FK133))/SUMIF($FB$3:$FK$3,FE$60,$FB$4:$FK$4)))</f>
        <v>0</v>
      </c>
      <c r="FF84" s="196" t="n">
        <f aca="false">IF((SUMIF($FB$3:$FK$3,FF$60,$FB$4:$FK$4))=0,0,((SUMIF($FB$3:$FK$3,FF$60,$FB133:$FK133))/SUMIF($FB$3:$FK$3,FF$60,$FB$4:$FK$4)))</f>
        <v>0</v>
      </c>
      <c r="FG84" s="196" t="n">
        <f aca="false">IF((SUMIF($FB$3:$FK$3,FG$60,$FB$4:$FK$4))=0,0,((SUMIF($FB$3:$FK$3,FG$60,$FB133:$FK133))/SUMIF($FB$3:$FK$3,FG$60,$FB$4:$FK$4)))</f>
        <v>0</v>
      </c>
      <c r="FH84" s="196" t="n">
        <f aca="false">IF((SUMIF($FB$3:$FK$3,FH$60,$FB$4:$FK$4))=0,0,((SUMIF($FB$3:$FK$3,FH$60,$FB133:$FK133))/SUMIF($FB$3:$FK$3,FH$60,$FB$4:$FK$4)))</f>
        <v>0</v>
      </c>
      <c r="FI84" s="196" t="n">
        <f aca="false">IF((SUMIF($FB$3:$FK$3,FI$60,$FB$4:$FK$4))=0,0,((SUMIF($FB$3:$FK$3,FI$60,$FB133:$FK133))/SUMIF($FB$3:$FK$3,FI$60,$FB$4:$FK$4)))</f>
        <v>0</v>
      </c>
      <c r="FJ84" s="196" t="n">
        <f aca="false">IF((SUMIF($FB$3:$FK$3,FJ$60,$FB$4:$FK$4))=0,0,((SUMIF($FB$3:$FK$3,FJ$60,$FB133:$FK133))/SUMIF($FB$3:$FK$3,FJ$60,$FB$4:$FK$4)))</f>
        <v>0</v>
      </c>
      <c r="FK84" s="197" t="n">
        <f aca="false">IF((SUMIF($FB$3:$FK$3,FK$60,$FB$4:$FK$4))=0,0,((SUMIF($FB$3:$FK$3,FK$60,$FB133:$FK133))/SUMIF($FB$3:$FK$3,FK$60,$FB$4:$FK$4)))</f>
        <v>0</v>
      </c>
      <c r="FL84" s="194" t="str">
        <f aca="false">FA84</f>
        <v>Alumno23</v>
      </c>
      <c r="FM84" s="195" t="n">
        <f aca="false">IF((SUMIF($FM$3:$FV$3,FM$60,$FM$4:$FV$4))=0,0,((SUMIF($FM$3:$FV$3,FM$60,$FM133:$FV133))/SUMIF($FM$3:$FV$3,FM$60,$FM$4:$FV$4)))</f>
        <v>0</v>
      </c>
      <c r="FN84" s="196" t="n">
        <f aca="false">IF((SUMIF($FM$3:$FV$3,FN$60,$FM$4:$FV$4))=0,0,((SUMIF($FM$3:$FV$3,FN$60,$FM133:$FV133))/SUMIF($FM$3:$FV$3,FN$60,$FM$4:$FV$4)))</f>
        <v>0</v>
      </c>
      <c r="FO84" s="196" t="n">
        <f aca="false">IF((SUMIF($FM$3:$FV$3,FO$60,$FM$4:$FV$4))=0,0,((SUMIF($FM$3:$FV$3,FO$60,$FM133:$FV133))/SUMIF($FM$3:$FV$3,FO$60,$FM$4:$FV$4)))</f>
        <v>0</v>
      </c>
      <c r="FP84" s="196" t="n">
        <f aca="false">IF((SUMIF($FM$3:$FV$3,FP$60,$FM$4:$FV$4))=0,0,((SUMIF($FM$3:$FV$3,FP$60,$FM133:$FV133))/SUMIF($FM$3:$FV$3,FP$60,$FM$4:$FV$4)))</f>
        <v>0</v>
      </c>
      <c r="FQ84" s="196" t="n">
        <f aca="false">IF((SUMIF($FM$3:$FV$3,FQ$60,$FM$4:$FV$4))=0,0,((SUMIF($FM$3:$FV$3,FQ$60,$FM133:$FV133))/SUMIF($FM$3:$FV$3,FQ$60,$FM$4:$FV$4)))</f>
        <v>0</v>
      </c>
      <c r="FR84" s="196" t="n">
        <f aca="false">IF((SUMIF($FM$3:$FV$3,FR$60,$FM$4:$FV$4))=0,0,((SUMIF($FM$3:$FV$3,FR$60,$FM133:$FV133))/SUMIF($FM$3:$FV$3,FR$60,$FM$4:$FV$4)))</f>
        <v>0</v>
      </c>
      <c r="FS84" s="196" t="n">
        <f aca="false">IF((SUMIF($FM$3:$FV$3,FS$60,$FM$4:$FV$4))=0,0,((SUMIF($FM$3:$FV$3,FS$60,$FM133:$FV133))/SUMIF($FM$3:$FV$3,FS$60,$FM$4:$FV$4)))</f>
        <v>0</v>
      </c>
      <c r="FT84" s="196" t="n">
        <f aca="false">IF((SUMIF($FM$3:$FV$3,FT$60,$FM$4:$FV$4))=0,0,((SUMIF($FM$3:$FV$3,FT$60,$FM133:$FV133))/SUMIF($FM$3:$FV$3,FT$60,$FM$4:$FV$4)))</f>
        <v>0</v>
      </c>
      <c r="FU84" s="196" t="n">
        <f aca="false">IF((SUMIF($FM$3:$FV$3,FU$60,$FM$4:$FV$4))=0,0,((SUMIF($FM$3:$FV$3,FU$60,$FM133:$FV133))/SUMIF($FM$3:$FV$3,FU$60,$FM$4:$FV$4)))</f>
        <v>0</v>
      </c>
      <c r="FV84" s="197" t="n">
        <f aca="false">IF((SUMIF($FM$3:$FV$3,FV$60,$FM$4:$FV$4))=0,0,((SUMIF($FM$3:$FV$3,FV$60,$FM133:$FV133))/SUMIF($FM$3:$FV$3,FV$60,$FM$4:$FV$4)))</f>
        <v>0</v>
      </c>
      <c r="FW84" s="194" t="str">
        <f aca="false">FL84</f>
        <v>Alumno23</v>
      </c>
      <c r="FX84" s="195" t="n">
        <f aca="false">IF((SUMIF($FX$3:$GG$3,FX$60,$FX$4:$GG$4))=0,0,((SUMIF($FX$3:$GG$3,FX$60,$FX133:$GG133))/SUMIF($FX$3:$GG$3,FX$60,$FX$4:$GG$4)))</f>
        <v>0</v>
      </c>
      <c r="FY84" s="196" t="n">
        <f aca="false">IF((SUMIF($FX$3:$GG$3,FY$60,$FX$4:$GG$4))=0,0,((SUMIF($FX$3:$GG$3,FY$60,$FX133:$GG133))/SUMIF($FX$3:$GG$3,FY$60,$FX$4:$GG$4)))</f>
        <v>0</v>
      </c>
      <c r="FZ84" s="196" t="n">
        <f aca="false">IF((SUMIF($FX$3:$GG$3,FZ$60,$FX$4:$GG$4))=0,0,((SUMIF($FX$3:$GG$3,FZ$60,$FX133:$GG133))/SUMIF($FX$3:$GG$3,FZ$60,$FX$4:$GG$4)))</f>
        <v>0</v>
      </c>
      <c r="GA84" s="196" t="n">
        <f aca="false">IF((SUMIF($FX$3:$GG$3,GA$60,$FX$4:$GG$4))=0,0,((SUMIF($FX$3:$GG$3,GA$60,$FX133:$GG133))/SUMIF($FX$3:$GG$3,GA$60,$FX$4:$GG$4)))</f>
        <v>0</v>
      </c>
      <c r="GB84" s="196" t="n">
        <f aca="false">IF((SUMIF($FX$3:$GG$3,GB$60,$FX$4:$GG$4))=0,0,((SUMIF($FX$3:$GG$3,GB$60,$FX133:$GG133))/SUMIF($FX$3:$GG$3,GB$60,$FX$4:$GG$4)))</f>
        <v>0</v>
      </c>
      <c r="GC84" s="196" t="n">
        <f aca="false">IF((SUMIF($FX$3:$GG$3,GC$60,$FX$4:$GG$4))=0,0,((SUMIF($FX$3:$GG$3,GC$60,$FX133:$GG133))/SUMIF($FX$3:$GG$3,GC$60,$FX$4:$GG$4)))</f>
        <v>0</v>
      </c>
      <c r="GD84" s="196" t="n">
        <f aca="false">IF((SUMIF($FX$3:$GG$3,GD$60,$FX$4:$GG$4))=0,0,((SUMIF($FX$3:$GG$3,GD$60,$FX133:$GG133))/SUMIF($FX$3:$GG$3,GD$60,$FX$4:$GG$4)))</f>
        <v>0</v>
      </c>
      <c r="GE84" s="196" t="n">
        <f aca="false">IF((SUMIF($FX$3:$GG$3,GE$60,$FX$4:$GG$4))=0,0,((SUMIF($FX$3:$GG$3,GE$60,$FX133:$GG133))/SUMIF($FX$3:$GG$3,GE$60,$FX$4:$GG$4)))</f>
        <v>0</v>
      </c>
      <c r="GF84" s="196" t="n">
        <f aca="false">IF((SUMIF($FX$3:$GG$3,GF$60,$FX$4:$GG$4))=0,0,((SUMIF($FX$3:$GG$3,GF$60,$FX133:$GG133))/SUMIF($FX$3:$GG$3,GF$60,$FX$4:$GG$4)))</f>
        <v>0</v>
      </c>
      <c r="GG84" s="197" t="n">
        <f aca="false">IF((SUMIF($FX$3:$GG$3,GG$60,$FX$4:$GG$4))=0,0,((SUMIF($FX$3:$GG$3,GG$60,$FX133:$GG133))/SUMIF($FX$3:$GG$3,GG$60,$FX$4:$GG$4)))</f>
        <v>0</v>
      </c>
      <c r="GH84" s="194" t="str">
        <f aca="false">FW84</f>
        <v>Alumno23</v>
      </c>
      <c r="GI84" s="195" t="n">
        <f aca="false">IF((SUMIF($GI$3:$GR$3,GI$60,$GI$4:$GR$4))=0,0,((SUMIF($GI$3:$GR$3,GI$60,$GI133:$GR133))/SUMIF($GI$3:$GR$3,GI$60,$GI$4:$GR$4)))</f>
        <v>0</v>
      </c>
      <c r="GJ84" s="196" t="n">
        <f aca="false">IF((SUMIF($GI$3:$GR$3,GJ$60,$GI$4:$GR$4))=0,0,((SUMIF($GI$3:$GR$3,GJ$60,$GI133:$GR133))/SUMIF($GI$3:$GR$3,GJ$60,$GI$4:$GR$4)))</f>
        <v>0</v>
      </c>
      <c r="GK84" s="196" t="n">
        <f aca="false">IF((SUMIF($GI$3:$GR$3,GK$60,$GI$4:$GR$4))=0,0,((SUMIF($GI$3:$GR$3,GK$60,$GI133:$GR133))/SUMIF($GI$3:$GR$3,GK$60,$GI$4:$GR$4)))</f>
        <v>0</v>
      </c>
      <c r="GL84" s="196" t="n">
        <f aca="false">IF((SUMIF($GI$3:$GR$3,GL$60,$GI$4:$GR$4))=0,0,((SUMIF($GI$3:$GR$3,GL$60,$GI133:$GR133))/SUMIF($GI$3:$GR$3,GL$60,$GI$4:$GR$4)))</f>
        <v>0</v>
      </c>
      <c r="GM84" s="196" t="n">
        <f aca="false">IF((SUMIF($GI$3:$GR$3,GM$60,$GI$4:$GR$4))=0,0,((SUMIF($GI$3:$GR$3,GM$60,$GI133:$GR133))/SUMIF($GI$3:$GR$3,GM$60,$GI$4:$GR$4)))</f>
        <v>0</v>
      </c>
      <c r="GN84" s="196" t="n">
        <f aca="false">IF((SUMIF($GI$3:$GR$3,GN$60,$GI$4:$GR$4))=0,0,((SUMIF($GI$3:$GR$3,GN$60,$GI133:$GR133))/SUMIF($GI$3:$GR$3,GN$60,$GI$4:$GR$4)))</f>
        <v>0</v>
      </c>
      <c r="GO84" s="196" t="n">
        <f aca="false">IF((SUMIF($GI$3:$GR$3,GO$60,$GI$4:$GR$4))=0,0,((SUMIF($GI$3:$GR$3,GO$60,$GI133:$GR133))/SUMIF($GI$3:$GR$3,GO$60,$GI$4:$GR$4)))</f>
        <v>0</v>
      </c>
      <c r="GP84" s="196" t="n">
        <f aca="false">IF((SUMIF($GI$3:$GR$3,GP$60,$GI$4:$GR$4))=0,0,((SUMIF($GI$3:$GR$3,GP$60,$GI133:$GR133))/SUMIF($GI$3:$GR$3,GP$60,$GI$4:$GR$4)))</f>
        <v>0</v>
      </c>
      <c r="GQ84" s="196" t="n">
        <f aca="false">IF((SUMIF($GI$3:$GR$3,GQ$60,$GI$4:$GR$4))=0,0,((SUMIF($GI$3:$GR$3,GQ$60,$GI133:$GR133))/SUMIF($GI$3:$GR$3,GQ$60,$GI$4:$GR$4)))</f>
        <v>0</v>
      </c>
      <c r="GR84" s="197" t="n">
        <f aca="false">IF((SUMIF($GI$3:$GR$3,GR$60,$GI$4:$GR$4))=0,0,((SUMIF($GI$3:$GR$3,GR$60,$GI133:$GR133))/SUMIF($GI$3:$GR$3,GR$60,$GI$4:$GR$4)))</f>
        <v>0</v>
      </c>
      <c r="GS84" s="194" t="str">
        <f aca="false">GH84</f>
        <v>Alumno23</v>
      </c>
      <c r="GT84" s="195" t="n">
        <f aca="false">IF((SUMIF($GT$3:$HC$3,GT$60,$GT$4:$HC$4))=0,0,((SUMIF($GT$3:$HC$3,GT$60,$GT133:$HC133))/SUMIF($GT$3:$HC$3,GT$60,$GT$4:$HC$4)))</f>
        <v>0</v>
      </c>
      <c r="GU84" s="196" t="n">
        <f aca="false">IF((SUMIF($GT$3:$HC$3,GU$60,$GT$4:$HC$4))=0,0,((SUMIF($GT$3:$HC$3,GU$60,$GT133:$HC133))/SUMIF($GT$3:$HC$3,GU$60,$GT$4:$HC$4)))</f>
        <v>0</v>
      </c>
      <c r="GV84" s="196" t="n">
        <f aca="false">IF((SUMIF($GT$3:$HC$3,GV$60,$GT$4:$HC$4))=0,0,((SUMIF($GT$3:$HC$3,GV$60,$GT133:$HC133))/SUMIF($GT$3:$HC$3,GV$60,$GT$4:$HC$4)))</f>
        <v>0</v>
      </c>
      <c r="GW84" s="196" t="n">
        <f aca="false">IF((SUMIF($GT$3:$HC$3,GW$60,$GT$4:$HC$4))=0,0,((SUMIF($GT$3:$HC$3,GW$60,$GT133:$HC133))/SUMIF($GT$3:$HC$3,GW$60,$GT$4:$HC$4)))</f>
        <v>0</v>
      </c>
      <c r="GX84" s="196" t="n">
        <f aca="false">IF((SUMIF($GT$3:$HC$3,GX$60,$GT$4:$HC$4))=0,0,((SUMIF($GT$3:$HC$3,GX$60,$GT133:$HC133))/SUMIF($GT$3:$HC$3,GX$60,$GT$4:$HC$4)))</f>
        <v>0</v>
      </c>
      <c r="GY84" s="196" t="n">
        <f aca="false">IF((SUMIF($GT$3:$HC$3,GY$60,$GT$4:$HC$4))=0,0,((SUMIF($GT$3:$HC$3,GY$60,$GT133:$HC133))/SUMIF($GT$3:$HC$3,GY$60,$GT$4:$HC$4)))</f>
        <v>0</v>
      </c>
      <c r="GZ84" s="196" t="n">
        <f aca="false">IF((SUMIF($GT$3:$HC$3,GZ$60,$GT$4:$HC$4))=0,0,((SUMIF($GT$3:$HC$3,GZ$60,$GT133:$HC133))/SUMIF($GT$3:$HC$3,GZ$60,$GT$4:$HC$4)))</f>
        <v>0</v>
      </c>
      <c r="HA84" s="196" t="n">
        <f aca="false">IF((SUMIF($GT$3:$HC$3,HA$60,$GT$4:$HC$4))=0,0,((SUMIF($GT$3:$HC$3,HA$60,$GT133:$HC133))/SUMIF($GT$3:$HC$3,HA$60,$GT$4:$HC$4)))</f>
        <v>0</v>
      </c>
      <c r="HB84" s="196" t="n">
        <f aca="false">IF((SUMIF($GT$3:$HC$3,HB$60,$GT$4:$HC$4))=0,0,((SUMIF($GT$3:$HC$3,HB$60,$GT133:$HC133))/SUMIF($GT$3:$HC$3,HB$60,$GT$4:$HC$4)))</f>
        <v>0</v>
      </c>
      <c r="HC84" s="197" t="n">
        <f aca="false">IF((SUMIF($GT$3:$HC$3,HC$60,$GT$4:$HC$4))=0,0,((SUMIF($GT$3:$HC$3,HC$60,$GT133:$HC133))/SUMIF($GT$3:$HC$3,HC$60,$GT$4:$HC$4)))</f>
        <v>0</v>
      </c>
      <c r="HD84" s="194" t="str">
        <f aca="false">GS84</f>
        <v>Alumno23</v>
      </c>
      <c r="HE84" s="195" t="n">
        <f aca="false">IF((SUMIF($HE$3:$HN$3,HE$60,$HE$4:$HN$4))=0,0,((SUMIF($HE$3:$HN$3,HE$60,$HE133:$HN133))/SUMIF($HE$3:$HN$3,HE$60,$HE$4:$HN$4)))</f>
        <v>0</v>
      </c>
      <c r="HF84" s="196" t="n">
        <f aca="false">IF((SUMIF($HE$3:$HN$3,HF$60,$HE$4:$HN$4))=0,0,((SUMIF($HE$3:$HN$3,HF$60,$HE133:$HN133))/SUMIF($HE$3:$HN$3,HF$60,$HE$4:$HN$4)))</f>
        <v>0</v>
      </c>
      <c r="HG84" s="196" t="n">
        <f aca="false">IF((SUMIF($HE$3:$HN$3,HG$60,$HE$4:$HN$4))=0,0,((SUMIF($HE$3:$HN$3,HG$60,$HE133:$HN133))/SUMIF($HE$3:$HN$3,HG$60,$HE$4:$HN$4)))</f>
        <v>0</v>
      </c>
      <c r="HH84" s="196" t="n">
        <f aca="false">IF((SUMIF($HE$3:$HN$3,HH$60,$HE$4:$HN$4))=0,0,((SUMIF($HE$3:$HN$3,HH$60,$HE133:$HN133))/SUMIF($HE$3:$HN$3,HH$60,$HE$4:$HN$4)))</f>
        <v>0</v>
      </c>
      <c r="HI84" s="196" t="n">
        <f aca="false">IF((SUMIF($HE$3:$HN$3,HI$60,$HE$4:$HN$4))=0,0,((SUMIF($HE$3:$HN$3,HI$60,$HE133:$HN133))/SUMIF($HE$3:$HN$3,HI$60,$HE$4:$HN$4)))</f>
        <v>0</v>
      </c>
      <c r="HJ84" s="196" t="n">
        <f aca="false">IF((SUMIF($HE$3:$HN$3,HJ$60,$HE$4:$HN$4))=0,0,((SUMIF($HE$3:$HN$3,HJ$60,$HE133:$HN133))/SUMIF($HE$3:$HN$3,HJ$60,$HE$4:$HN$4)))</f>
        <v>0</v>
      </c>
      <c r="HK84" s="196" t="n">
        <f aca="false">IF((SUMIF($HE$3:$HN$3,HK$60,$HE$4:$HN$4))=0,0,((SUMIF($HE$3:$HN$3,HK$60,$HE133:$HN133))/SUMIF($HE$3:$HN$3,HK$60,$HE$4:$HN$4)))</f>
        <v>0</v>
      </c>
      <c r="HL84" s="196" t="n">
        <f aca="false">IF((SUMIF($HE$3:$HN$3,HL$60,$HE$4:$HN$4))=0,0,((SUMIF($HE$3:$HN$3,HL$60,$HE133:$HN133))/SUMIF($HE$3:$HN$3,HL$60,$HE$4:$HN$4)))</f>
        <v>0</v>
      </c>
      <c r="HM84" s="196" t="n">
        <f aca="false">IF((SUMIF($HE$3:$HN$3,HM$60,$HE$4:$HN$4))=0,0,((SUMIF($HE$3:$HN$3,HM$60,$HE133:$HN133))/SUMIF($HE$3:$HN$3,HM$60,$HE$4:$HN$4)))</f>
        <v>0</v>
      </c>
      <c r="HN84" s="197" t="n">
        <f aca="false">IF((SUMIF($HE$3:$HN$3,HN$60,$HE$4:$HN$4))=0,0,((SUMIF($HE$3:$HN$3,HN$60,$HE133:$HN133))/SUMIF($HE$3:$HN$3,HN$60,$HE$4:$HN$4)))</f>
        <v>0</v>
      </c>
      <c r="HO84" s="194" t="str">
        <f aca="false">HD84</f>
        <v>Alumno23</v>
      </c>
      <c r="HP84" s="195" t="n">
        <f aca="false">IF((SUMIF($HP$3:$HY$3,HP$60,$HP$4:$HY$4))=0,0,((SUMIF($HP$3:$HY$3,HP$60,$HP133:$HY133))/SUMIF($HP$3:$HY$3,HP$60,$HP$4:$HY$4)))</f>
        <v>0</v>
      </c>
      <c r="HQ84" s="196" t="n">
        <f aca="false">IF((SUMIF($HP$3:$HY$3,HQ$60,$HP$4:$HY$4))=0,0,((SUMIF($HP$3:$HY$3,HQ$60,$HP133:$HY133))/SUMIF($HP$3:$HY$3,HQ$60,$HP$4:$HY$4)))</f>
        <v>0</v>
      </c>
      <c r="HR84" s="196" t="n">
        <f aca="false">IF((SUMIF($HP$3:$HY$3,HR$60,$HP$4:$HY$4))=0,0,((SUMIF($HP$3:$HY$3,HR$60,$HP133:$HY133))/SUMIF($HP$3:$HY$3,HR$60,$HP$4:$HY$4)))</f>
        <v>0</v>
      </c>
      <c r="HS84" s="196" t="n">
        <f aca="false">IF((SUMIF($HP$3:$HY$3,HS$60,$HP$4:$HY$4))=0,0,((SUMIF($HP$3:$HY$3,HS$60,$HP133:$HY133))/SUMIF($HP$3:$HY$3,HS$60,$HP$4:$HY$4)))</f>
        <v>0</v>
      </c>
      <c r="HT84" s="196" t="n">
        <f aca="false">IF((SUMIF($HP$3:$HY$3,HT$60,$HP$4:$HY$4))=0,0,((SUMIF($HP$3:$HY$3,HT$60,$HP133:$HY133))/SUMIF($HP$3:$HY$3,HT$60,$HP$4:$HY$4)))</f>
        <v>0</v>
      </c>
      <c r="HU84" s="196" t="n">
        <f aca="false">IF((SUMIF($HP$3:$HY$3,HU$60,$HP$4:$HY$4))=0,0,((SUMIF($HP$3:$HY$3,HU$60,$HP133:$HY133))/SUMIF($HP$3:$HY$3,HU$60,$HP$4:$HY$4)))</f>
        <v>0</v>
      </c>
      <c r="HV84" s="196" t="n">
        <f aca="false">IF((SUMIF($HP$3:$HY$3,HV$60,$HP$4:$HY$4))=0,0,((SUMIF($HP$3:$HY$3,HV$60,$HP133:$HY133))/SUMIF($HP$3:$HY$3,HV$60,$HP$4:$HY$4)))</f>
        <v>0</v>
      </c>
      <c r="HW84" s="196" t="n">
        <f aca="false">IF((SUMIF($HP$3:$HY$3,HW$60,$HP$4:$HY$4))=0,0,((SUMIF($HP$3:$HY$3,HW$60,$HP133:$HY133))/SUMIF($HP$3:$HY$3,HW$60,$HP$4:$HY$4)))</f>
        <v>0</v>
      </c>
      <c r="HX84" s="196" t="n">
        <f aca="false">IF((SUMIF($HP$3:$HY$3,HX$60,$HP$4:$HY$4))=0,0,((SUMIF($HP$3:$HY$3,HX$60,$HP133:$HY133))/SUMIF($HP$3:$HY$3,HX$60,$HP$4:$HY$4)))</f>
        <v>0</v>
      </c>
      <c r="HY84" s="197" t="n">
        <f aca="false">IF((SUMIF($HP$3:$HY$3,HY$60,$HP$4:$HY$4))=0,0,((SUMIF($HP$3:$HY$3,HY$60,$HP133:$HY133))/SUMIF($HP$3:$HY$3,HY$60,$HP$4:$HY$4)))</f>
        <v>0</v>
      </c>
      <c r="HZ84" s="194" t="str">
        <f aca="false">HO84</f>
        <v>Alumno23</v>
      </c>
      <c r="IA84" s="195" t="n">
        <f aca="false">IF((SUMIF($IA$3:$IJ$3,IA$60,$IA$4:$IJ$4))=0,0,((SUMIF($IA$3:$IJ$3,IA$60,$IA133:$IJ133))/SUMIF($IA$3:$IJ$3,IA$60,$IA$4:$IJ$4)))</f>
        <v>0</v>
      </c>
      <c r="IB84" s="196" t="n">
        <f aca="false">IF((SUMIF($IA$3:$IJ$3,IB$60,$IA$4:$IJ$4))=0,0,((SUMIF($IA$3:$IJ$3,IB$60,$IA133:$IJ133))/SUMIF($IA$3:$IJ$3,IB$60,$IA$4:$IJ$4)))</f>
        <v>0</v>
      </c>
      <c r="IC84" s="196" t="n">
        <f aca="false">IF((SUMIF($IA$3:$IJ$3,IC$60,$IA$4:$IJ$4))=0,0,((SUMIF($IA$3:$IJ$3,IC$60,$IA133:$IJ133))/SUMIF($IA$3:$IJ$3,IC$60,$IA$4:$IJ$4)))</f>
        <v>0</v>
      </c>
      <c r="ID84" s="196" t="n">
        <f aca="false">IF((SUMIF($IA$3:$IJ$3,ID$60,$IA$4:$IJ$4))=0,0,((SUMIF($IA$3:$IJ$3,ID$60,$IA133:$IJ133))/SUMIF($IA$3:$IJ$3,ID$60,$IA$4:$IJ$4)))</f>
        <v>0</v>
      </c>
      <c r="IE84" s="196" t="n">
        <f aca="false">IF((SUMIF($IA$3:$IJ$3,IE$60,$IA$4:$IJ$4))=0,0,((SUMIF($IA$3:$IJ$3,IE$60,$IA133:$IJ133))/SUMIF($IA$3:$IJ$3,IE$60,$IA$4:$IJ$4)))</f>
        <v>0</v>
      </c>
      <c r="IF84" s="196" t="n">
        <f aca="false">IF((SUMIF($IA$3:$IJ$3,IF$60,$IA$4:$IJ$4))=0,0,((SUMIF($IA$3:$IJ$3,IF$60,$IA133:$IJ133))/SUMIF($IA$3:$IJ$3,IF$60,$IA$4:$IJ$4)))</f>
        <v>0</v>
      </c>
      <c r="IG84" s="196" t="n">
        <f aca="false">IF((SUMIF($IA$3:$IJ$3,IG$60,$IA$4:$IJ$4))=0,0,((SUMIF($IA$3:$IJ$3,IG$60,$IA133:$IJ133))/SUMIF($IA$3:$IJ$3,IG$60,$IA$4:$IJ$4)))</f>
        <v>0</v>
      </c>
      <c r="IH84" s="196" t="n">
        <f aca="false">IF((SUMIF($IA$3:$IJ$3,IH$60,$IA$4:$IJ$4))=0,0,((SUMIF($IA$3:$IJ$3,IH$60,$IA133:$IJ133))/SUMIF($IA$3:$IJ$3,IH$60,$IA$4:$IJ$4)))</f>
        <v>0</v>
      </c>
      <c r="II84" s="196" t="n">
        <f aca="false">IF((SUMIF($IA$3:$IJ$3,II$60,$IA$4:$IJ$4))=0,0,((SUMIF($IA$3:$IJ$3,II$60,$IA133:$IJ133))/SUMIF($IA$3:$IJ$3,II$60,$IA$4:$IJ$4)))</f>
        <v>0</v>
      </c>
      <c r="IJ84" s="197" t="n">
        <f aca="false">IF((SUMIF($IA$3:$IJ$3,IJ$60,$IA$4:$IJ$4))=0,0,((SUMIF($IA$3:$IJ$3,IJ$60,$IA133:$IJ133))/SUMIF($IA$3:$IJ$3,IJ$60,$IA$4:$IJ$4)))</f>
        <v>0</v>
      </c>
      <c r="IK84" s="194" t="str">
        <f aca="false">HZ84</f>
        <v>Alumno23</v>
      </c>
      <c r="IL84" s="195" t="n">
        <f aca="false">IF((SUMIF($IL$3:$IU$3,IL$60,$IL$4:$IU$4))=0,0,((SUMIF($IL$3:$IU$3,IL$60,$IL133:$IU133))/SUMIF($IL$3:$IU$3,IL$60,$IL$4:$IU$4)))</f>
        <v>0</v>
      </c>
      <c r="IM84" s="196" t="n">
        <f aca="false">IF((SUMIF($IL$3:$IU$3,IM$60,$IL$4:$IU$4))=0,0,((SUMIF($IL$3:$IU$3,IM$60,$IL133:$IU133))/SUMIF($IL$3:$IU$3,IM$60,$IL$4:$IU$4)))</f>
        <v>0</v>
      </c>
      <c r="IN84" s="196" t="n">
        <f aca="false">IF((SUMIF($IL$3:$IU$3,IN$60,$IL$4:$IU$4))=0,0,((SUMIF($IL$3:$IU$3,IN$60,$IL133:$IU133))/SUMIF($IL$3:$IU$3,IN$60,$IL$4:$IU$4)))</f>
        <v>0</v>
      </c>
      <c r="IO84" s="196" t="n">
        <f aca="false">IF((SUMIF($IL$3:$IU$3,IO$60,$IL$4:$IU$4))=0,0,((SUMIF($IL$3:$IU$3,IO$60,$IL133:$IU133))/SUMIF($IL$3:$IU$3,IO$60,$IL$4:$IU$4)))</f>
        <v>0</v>
      </c>
      <c r="IP84" s="196" t="n">
        <f aca="false">IF((SUMIF($IL$3:$IU$3,IP$60,$IL$4:$IU$4))=0,0,((SUMIF($IL$3:$IU$3,IP$60,$IL133:$IU133))/SUMIF($IL$3:$IU$3,IP$60,$IL$4:$IU$4)))</f>
        <v>0</v>
      </c>
      <c r="IQ84" s="196" t="n">
        <f aca="false">IF((SUMIF($IL$3:$IU$3,IQ$60,$IL$4:$IU$4))=0,0,((SUMIF($IL$3:$IU$3,IQ$60,$IL133:$IU133))/SUMIF($IL$3:$IU$3,IQ$60,$IL$4:$IU$4)))</f>
        <v>0</v>
      </c>
      <c r="IR84" s="196" t="n">
        <f aca="false">IF((SUMIF($IL$3:$IU$3,IR$60,$IL$4:$IU$4))=0,0,((SUMIF($IL$3:$IU$3,IR$60,$IL133:$IU133))/SUMIF($IL$3:$IU$3,IR$60,$IL$4:$IU$4)))</f>
        <v>0</v>
      </c>
      <c r="IS84" s="196" t="n">
        <f aca="false">IF((SUMIF($IL$3:$IU$3,IS$60,$IL$4:$IU$4))=0,0,((SUMIF($IL$3:$IU$3,IS$60,$IL133:$IU133))/SUMIF($IL$3:$IU$3,IS$60,$IL$4:$IU$4)))</f>
        <v>0</v>
      </c>
      <c r="IT84" s="196" t="n">
        <f aca="false">IF((SUMIF($IL$3:$IU$3,IT$60,$IL$4:$IU$4))=0,0,((SUMIF($IL$3:$IU$3,IT$60,$IL133:$IU133))/SUMIF($IL$3:$IU$3,IT$60,$IL$4:$IU$4)))</f>
        <v>0</v>
      </c>
      <c r="IU84" s="197" t="n">
        <f aca="false">IF((SUMIF($IL$3:$IU$3,IU$60,$IL$4:$IU$4))=0,0,((SUMIF($IL$3:$IU$3,IU$60,$IL133:$IU133))/SUMIF($IL$3:$IU$3,IU$60,$IL$4:$IU$4)))</f>
        <v>0</v>
      </c>
      <c r="IV84" s="194" t="str">
        <f aca="false">IK84</f>
        <v>Alumno23</v>
      </c>
      <c r="IW84" s="195" t="n">
        <f aca="false">IF((SUMIF($IW$3:$JF$3,IW$60,$IW$4:$JF$4))=0,0,((SUMIF($IW$3:$JF$3,IW$60,$IW133:$JF133))/SUMIF($IW$3:$JF$3,IW$60,$IW$4:$JF$4)))</f>
        <v>0</v>
      </c>
      <c r="IX84" s="196" t="n">
        <f aca="false">IF((SUMIF($IW$3:$JF$3,IX$60,$IW$4:$JF$4))=0,0,((SUMIF($IW$3:$JF$3,IX$60,$IW133:$JF133))/SUMIF($IW$3:$JF$3,IX$60,$IW$4:$JF$4)))</f>
        <v>0</v>
      </c>
      <c r="IY84" s="196" t="n">
        <f aca="false">IF((SUMIF($IW$3:$JF$3,IY$60,$IW$4:$JF$4))=0,0,((SUMIF($IW$3:$JF$3,IY$60,$IW133:$JF133))/SUMIF($IW$3:$JF$3,IY$60,$IW$4:$JF$4)))</f>
        <v>0</v>
      </c>
      <c r="IZ84" s="196" t="n">
        <f aca="false">IF((SUMIF($IW$3:$JF$3,IZ$60,$IW$4:$JF$4))=0,0,((SUMIF($IW$3:$JF$3,IZ$60,$IW133:$JF133))/SUMIF($IW$3:$JF$3,IZ$60,$IW$4:$JF$4)))</f>
        <v>0</v>
      </c>
      <c r="JA84" s="196" t="n">
        <f aca="false">IF((SUMIF($IW$3:$JF$3,JA$60,$IW$4:$JF$4))=0,0,((SUMIF($IW$3:$JF$3,JA$60,$IW133:$JF133))/SUMIF($IW$3:$JF$3,JA$60,$IW$4:$JF$4)))</f>
        <v>0</v>
      </c>
      <c r="JB84" s="196" t="n">
        <f aca="false">IF((SUMIF($IW$3:$JF$3,JB$60,$IW$4:$JF$4))=0,0,((SUMIF($IW$3:$JF$3,JB$60,$IW133:$JF133))/SUMIF($IW$3:$JF$3,JB$60,$IW$4:$JF$4)))</f>
        <v>0</v>
      </c>
      <c r="JC84" s="196" t="n">
        <f aca="false">IF((SUMIF($IW$3:$JF$3,JC$60,$IW$4:$JF$4))=0,0,((SUMIF($IW$3:$JF$3,JC$60,$IW133:$JF133))/SUMIF($IW$3:$JF$3,JC$60,$IW$4:$JF$4)))</f>
        <v>0</v>
      </c>
      <c r="JD84" s="196" t="n">
        <f aca="false">IF((SUMIF($IW$3:$JF$3,JD$60,$IW$4:$JF$4))=0,0,((SUMIF($IW$3:$JF$3,JD$60,$IW133:$JF133))/SUMIF($IW$3:$JF$3,JD$60,$IW$4:$JF$4)))</f>
        <v>0</v>
      </c>
      <c r="JE84" s="196" t="n">
        <f aca="false">IF((SUMIF($IW$3:$JF$3,JE$60,$IW$4:$JF$4))=0,0,((SUMIF($IW$3:$JF$3,JE$60,$IW133:$JF133))/SUMIF($IW$3:$JF$3,JE$60,$IW$4:$JF$4)))</f>
        <v>0</v>
      </c>
      <c r="JF84" s="197" t="n">
        <f aca="false">IF((SUMIF($IW$3:$JF$3,JF$60,$IW$4:$JF$4))=0,0,((SUMIF($IW$3:$JF$3,JF$60,$IW133:$JF133))/SUMIF($IW$3:$JF$3,JF$60,$IW$4:$JF$4)))</f>
        <v>0</v>
      </c>
      <c r="JG84" s="194" t="str">
        <f aca="false">IV84</f>
        <v>Alumno23</v>
      </c>
      <c r="JH84" s="195" t="n">
        <f aca="false">IF((SUMIF($JH$3:$JQ$3,JH$60,$JH$4:$JQ$4))=0,0,((SUMIF($JH$3:$JQ$3,JH$60,$JH133:$JQ133))/SUMIF($JH$3:$JQ$3,JH$60,$JH$4:$JQ$4)))</f>
        <v>0</v>
      </c>
      <c r="JI84" s="196" t="n">
        <f aca="false">IF((SUMIF($JH$3:$JQ$3,JI$60,$JH$4:$JQ$4))=0,0,((SUMIF($JH$3:$JQ$3,JI$60,$JH133:$JQ133))/SUMIF($JH$3:$JQ$3,JI$60,$JH$4:$JQ$4)))</f>
        <v>0</v>
      </c>
      <c r="JJ84" s="196" t="n">
        <f aca="false">IF((SUMIF($JH$3:$JQ$3,JJ$60,$JH$4:$JQ$4))=0,0,((SUMIF($JH$3:$JQ$3,JJ$60,$JH133:$JQ133))/SUMIF($JH$3:$JQ$3,JJ$60,$JH$4:$JQ$4)))</f>
        <v>0</v>
      </c>
      <c r="JK84" s="196" t="n">
        <f aca="false">IF((SUMIF($JH$3:$JQ$3,JK$60,$JH$4:$JQ$4))=0,0,((SUMIF($JH$3:$JQ$3,JK$60,$JH133:$JQ133))/SUMIF($JH$3:$JQ$3,JK$60,$JH$4:$JQ$4)))</f>
        <v>0</v>
      </c>
      <c r="JL84" s="196" t="n">
        <f aca="false">IF((SUMIF($JH$3:$JQ$3,JL$60,$JH$4:$JQ$4))=0,0,((SUMIF($JH$3:$JQ$3,JL$60,$JH133:$JQ133))/SUMIF($JH$3:$JQ$3,JL$60,$JH$4:$JQ$4)))</f>
        <v>0</v>
      </c>
      <c r="JM84" s="196" t="n">
        <f aca="false">IF((SUMIF($JH$3:$JQ$3,JM$60,$JH$4:$JQ$4))=0,0,((SUMIF($JH$3:$JQ$3,JM$60,$JH133:$JQ133))/SUMIF($JH$3:$JQ$3,JM$60,$JH$4:$JQ$4)))</f>
        <v>0</v>
      </c>
      <c r="JN84" s="196" t="n">
        <f aca="false">IF((SUMIF($JH$3:$JQ$3,JN$60,$JH$4:$JQ$4))=0,0,((SUMIF($JH$3:$JQ$3,JN$60,$JH133:$JQ133))/SUMIF($JH$3:$JQ$3,JN$60,$JH$4:$JQ$4)))</f>
        <v>0</v>
      </c>
      <c r="JO84" s="196" t="n">
        <f aca="false">IF((SUMIF($JH$3:$JQ$3,JO$60,$JH$4:$JQ$4))=0,0,((SUMIF($JH$3:$JQ$3,JO$60,$JH133:$JQ133))/SUMIF($JH$3:$JQ$3,JO$60,$JH$4:$JQ$4)))</f>
        <v>0</v>
      </c>
      <c r="JP84" s="196" t="n">
        <f aca="false">IF((SUMIF($JH$3:$JQ$3,JP$60,$JH$4:$JQ$4))=0,0,((SUMIF($JH$3:$JQ$3,JP$60,$JH133:$JQ133))/SUMIF($JH$3:$JQ$3,JP$60,$JH$4:$JQ$4)))</f>
        <v>0</v>
      </c>
      <c r="JQ84" s="197" t="n">
        <f aca="false">IF((SUMIF($JH$3:$JQ$3,JQ$60,$JH$4:$JQ$4))=0,0,((SUMIF($JH$3:$JQ$3,JQ$60,$JH133:$JQ133))/SUMIF($JH$3:$JQ$3,JQ$60,$JH$4:$JQ$4)))</f>
        <v>0</v>
      </c>
      <c r="JR84" s="194" t="str">
        <f aca="false">JG84</f>
        <v>Alumno23</v>
      </c>
      <c r="JS84" s="195" t="n">
        <f aca="false">IF((SUMIF($JS$3:$KB$3,JS$60,$JS$4:$KB$4))=0,0,((SUMIF($JS$3:$KB$3,JS$60,$JS133:$KB133))/SUMIF($JS$3:$KB$3,JS$60,$JS$4:$KB$4)))</f>
        <v>0</v>
      </c>
      <c r="JT84" s="196" t="n">
        <f aca="false">IF((SUMIF($JS$3:$KB$3,JT$60,$JS$4:$KB$4))=0,0,((SUMIF($JS$3:$KB$3,JT$60,$JS133:$KB133))/SUMIF($JS$3:$KB$3,JT$60,$JS$4:$KB$4)))</f>
        <v>0</v>
      </c>
      <c r="JU84" s="196" t="n">
        <f aca="false">IF((SUMIF($JS$3:$KB$3,JU$60,$JS$4:$KB$4))=0,0,((SUMIF($JS$3:$KB$3,JU$60,$JS133:$KB133))/SUMIF($JS$3:$KB$3,JU$60,$JS$4:$KB$4)))</f>
        <v>0</v>
      </c>
      <c r="JV84" s="196" t="n">
        <f aca="false">IF((SUMIF($JS$3:$KB$3,JV$60,$JS$4:$KB$4))=0,0,((SUMIF($JS$3:$KB$3,JV$60,$JS133:$KB133))/SUMIF($JS$3:$KB$3,JV$60,$JS$4:$KB$4)))</f>
        <v>0</v>
      </c>
      <c r="JW84" s="196" t="n">
        <f aca="false">IF((SUMIF($JS$3:$KB$3,JW$60,$JS$4:$KB$4))=0,0,((SUMIF($JS$3:$KB$3,JW$60,$JS133:$KB133))/SUMIF($JS$3:$KB$3,JW$60,$JS$4:$KB$4)))</f>
        <v>0</v>
      </c>
      <c r="JX84" s="196" t="n">
        <f aca="false">IF((SUMIF($JS$3:$KB$3,JX$60,$JS$4:$KB$4))=0,0,((SUMIF($JS$3:$KB$3,JX$60,$JS133:$KB133))/SUMIF($JS$3:$KB$3,JX$60,$JS$4:$KB$4)))</f>
        <v>0</v>
      </c>
      <c r="JY84" s="196" t="n">
        <f aca="false">IF((SUMIF($JS$3:$KB$3,JY$60,$JS$4:$KB$4))=0,0,((SUMIF($JS$3:$KB$3,JY$60,$JS133:$KB133))/SUMIF($JS$3:$KB$3,JY$60,$JS$4:$KB$4)))</f>
        <v>0</v>
      </c>
      <c r="JZ84" s="196" t="n">
        <f aca="false">IF((SUMIF($JS$3:$KB$3,JZ$60,$JS$4:$KB$4))=0,0,((SUMIF($JS$3:$KB$3,JZ$60,$JS133:$KB133))/SUMIF($JS$3:$KB$3,JZ$60,$JS$4:$KB$4)))</f>
        <v>0</v>
      </c>
      <c r="KA84" s="196" t="n">
        <f aca="false">IF((SUMIF($JS$3:$KB$3,KA$60,$JS$4:$KB$4))=0,0,((SUMIF($JS$3:$KB$3,KA$60,$JS133:$KB133))/SUMIF($JS$3:$KB$3,KA$60,$JS$4:$KB$4)))</f>
        <v>0</v>
      </c>
      <c r="KB84" s="197" t="n">
        <f aca="false">IF((SUMIF($JS$3:$KB$3,KB$60,$JS$4:$KB$4))=0,0,((SUMIF($JS$3:$KB$3,KB$60,$JS133:$KB133))/SUMIF($JS$3:$KB$3,KB$60,$JS$4:$KB$4)))</f>
        <v>0</v>
      </c>
      <c r="KC84" s="194" t="str">
        <f aca="false">JR84</f>
        <v>Alumno23</v>
      </c>
      <c r="KD84" s="195" t="n">
        <f aca="false">IF((SUMIF($KD$3:$KM$3,KD$60,$KD$4:$KM$4))=0,0,((SUMIF($KD$3:$KM$3,KD$60,$KD133:$KM133))/SUMIF($KD$3:$KM$3,KD$60,$KD$4:$KM$4)))</f>
        <v>0</v>
      </c>
      <c r="KE84" s="196" t="n">
        <f aca="false">IF((SUMIF($KD$3:$KM$3,KE$60,$KD$4:$KM$4))=0,0,((SUMIF($KD$3:$KM$3,KE$60,$KD133:$KM133))/SUMIF($KD$3:$KM$3,KE$60,$KD$4:$KM$4)))</f>
        <v>0</v>
      </c>
      <c r="KF84" s="196" t="n">
        <f aca="false">IF((SUMIF($KD$3:$KM$3,KF$60,$KD$4:$KM$4))=0,0,((SUMIF($KD$3:$KM$3,KF$60,$KD133:$KM133))/SUMIF($KD$3:$KM$3,KF$60,$KD$4:$KM$4)))</f>
        <v>0</v>
      </c>
      <c r="KG84" s="196" t="n">
        <f aca="false">IF((SUMIF($KD$3:$KM$3,KG$60,$KD$4:$KM$4))=0,0,((SUMIF($KD$3:$KM$3,KG$60,$KD133:$KM133))/SUMIF($KD$3:$KM$3,KG$60,$KD$4:$KM$4)))</f>
        <v>0</v>
      </c>
      <c r="KH84" s="196" t="n">
        <f aca="false">IF((SUMIF($KD$3:$KM$3,KH$60,$KD$4:$KM$4))=0,0,((SUMIF($KD$3:$KM$3,KH$60,$KD133:$KM133))/SUMIF($KD$3:$KM$3,KH$60,$KD$4:$KM$4)))</f>
        <v>0</v>
      </c>
      <c r="KI84" s="196" t="n">
        <f aca="false">IF((SUMIF($KD$3:$KM$3,KI$60,$KD$4:$KM$4))=0,0,((SUMIF($KD$3:$KM$3,KI$60,$KD133:$KM133))/SUMIF($KD$3:$KM$3,KI$60,$KD$4:$KM$4)))</f>
        <v>0</v>
      </c>
      <c r="KJ84" s="196" t="n">
        <f aca="false">IF((SUMIF($KD$3:$KM$3,KJ$60,$KD$4:$KM$4))=0,0,((SUMIF($KD$3:$KM$3,KJ$60,$KD133:$KM133))/SUMIF($KD$3:$KM$3,KJ$60,$KD$4:$KM$4)))</f>
        <v>0</v>
      </c>
      <c r="KK84" s="196" t="n">
        <f aca="false">IF((SUMIF($KD$3:$KM$3,KK$60,$KD$4:$KM$4))=0,0,((SUMIF($KD$3:$KM$3,KK$60,$KD133:$KM133))/SUMIF($KD$3:$KM$3,KK$60,$KD$4:$KM$4)))</f>
        <v>0</v>
      </c>
      <c r="KL84" s="196" t="n">
        <f aca="false">IF((SUMIF($KD$3:$KM$3,KL$60,$KD$4:$KM$4))=0,0,((SUMIF($KD$3:$KM$3,KL$60,$KD133:$KM133))/SUMIF($KD$3:$KM$3,KL$60,$KD$4:$KM$4)))</f>
        <v>0</v>
      </c>
      <c r="KM84" s="197" t="n">
        <f aca="false">IF((SUMIF($KD$3:$KM$3,KM$60,$KD$4:$KM$4))=0,0,((SUMIF($KD$3:$KM$3,KM$60,$KD133:$KM133))/SUMIF($KD$3:$KM$3,KM$60,$KD$4:$KM$4)))</f>
        <v>0</v>
      </c>
      <c r="KN84" s="194" t="str">
        <f aca="false">KC84</f>
        <v>Alumno23</v>
      </c>
      <c r="KO84" s="195" t="n">
        <f aca="false">IF((SUMIF($KO$3:$KX$3,KO$60,$KO$4:$KX$4))=0,0,((SUMIF($KO$3:$KX$3,KO$60,$KO133:$KX133))/SUMIF($KO$3:$KX$3,KO$60,$KO$4:$KX$4)))</f>
        <v>0</v>
      </c>
      <c r="KP84" s="196" t="n">
        <f aca="false">IF((SUMIF($KO$3:$KX$3,KP$60,$KO$4:$KX$4))=0,0,((SUMIF($KO$3:$KX$3,KP$60,$KO133:$KX133))/SUMIF($KO$3:$KX$3,KP$60,$KO$4:$KX$4)))</f>
        <v>0</v>
      </c>
      <c r="KQ84" s="196" t="n">
        <f aca="false">IF((SUMIF($KO$3:$KX$3,KQ$60,$KO$4:$KX$4))=0,0,((SUMIF($KO$3:$KX$3,KQ$60,$KO133:$KX133))/SUMIF($KO$3:$KX$3,KQ$60,$KO$4:$KX$4)))</f>
        <v>0</v>
      </c>
      <c r="KR84" s="196" t="n">
        <f aca="false">IF((SUMIF($KO$3:$KX$3,KR$60,$KO$4:$KX$4))=0,0,((SUMIF($KO$3:$KX$3,KR$60,$KO133:$KX133))/SUMIF($KO$3:$KX$3,KR$60,$KO$4:$KX$4)))</f>
        <v>0</v>
      </c>
      <c r="KS84" s="196" t="n">
        <f aca="false">IF((SUMIF($KO$3:$KX$3,KS$60,$KO$4:$KX$4))=0,0,((SUMIF($KO$3:$KX$3,KS$60,$KO133:$KX133))/SUMIF($KO$3:$KX$3,KS$60,$KO$4:$KX$4)))</f>
        <v>0</v>
      </c>
      <c r="KT84" s="196" t="n">
        <f aca="false">IF((SUMIF($KO$3:$KX$3,KT$60,$KO$4:$KX$4))=0,0,((SUMIF($KO$3:$KX$3,KT$60,$KO133:$KX133))/SUMIF($KO$3:$KX$3,KT$60,$KO$4:$KX$4)))</f>
        <v>0</v>
      </c>
      <c r="KU84" s="196" t="n">
        <f aca="false">IF((SUMIF($KO$3:$KX$3,KU$60,$KO$4:$KX$4))=0,0,((SUMIF($KO$3:$KX$3,KU$60,$KO133:$KX133))/SUMIF($KO$3:$KX$3,KU$60,$KO$4:$KX$4)))</f>
        <v>0</v>
      </c>
      <c r="KV84" s="196" t="n">
        <f aca="false">IF((SUMIF($KO$3:$KX$3,KV$60,$KO$4:$KX$4))=0,0,((SUMIF($KO$3:$KX$3,KV$60,$KO133:$KX133))/SUMIF($KO$3:$KX$3,KV$60,$KO$4:$KX$4)))</f>
        <v>0</v>
      </c>
      <c r="KW84" s="196" t="n">
        <f aca="false">IF((SUMIF($KO$3:$KX$3,KW$60,$KO$4:$KX$4))=0,0,((SUMIF($KO$3:$KX$3,KW$60,$KO133:$KX133))/SUMIF($KO$3:$KX$3,KW$60,$KO$4:$KX$4)))</f>
        <v>0</v>
      </c>
      <c r="KX84" s="197" t="n">
        <f aca="false">IF((SUMIF($KO$3:$KX$3,KX$60,$KO$4:$KX$4))=0,0,((SUMIF($KO$3:$KX$3,KX$60,$KO133:$KX133))/SUMIF($KO$3:$KX$3,KX$60,$KO$4:$KX$4)))</f>
        <v>0</v>
      </c>
      <c r="KY84" s="194" t="str">
        <f aca="false">KN84</f>
        <v>Alumno23</v>
      </c>
      <c r="KZ84" s="195" t="n">
        <f aca="false">IF((SUMIF($KZ$3:$LI$3,KZ$60,$KZ$4:$LI$4))=0,0,((SUMIF($KZ$3:$LI$3,KZ$60,$KZ133:$LI133))/SUMIF($KZ$3:$LI$3,KZ$60,$KZ$4:$LI$4)))</f>
        <v>0</v>
      </c>
      <c r="LA84" s="196" t="n">
        <f aca="false">IF((SUMIF($KZ$3:$LI$3,LA$60,$KZ$4:$LI$4))=0,0,((SUMIF($KZ$3:$LI$3,LA$60,$KZ133:$LI133))/SUMIF($KZ$3:$LI$3,LA$60,$KZ$4:$LI$4)))</f>
        <v>0</v>
      </c>
      <c r="LB84" s="196" t="n">
        <f aca="false">IF((SUMIF($KZ$3:$LI$3,LB$60,$KZ$4:$LI$4))=0,0,((SUMIF($KZ$3:$LI$3,LB$60,$KZ133:$LI133))/SUMIF($KZ$3:$LI$3,LB$60,$KZ$4:$LI$4)))</f>
        <v>0</v>
      </c>
      <c r="LC84" s="196" t="n">
        <f aca="false">IF((SUMIF($KZ$3:$LI$3,LC$60,$KZ$4:$LI$4))=0,0,((SUMIF($KZ$3:$LI$3,LC$60,$KZ133:$LI133))/SUMIF($KZ$3:$LI$3,LC$60,$KZ$4:$LI$4)))</f>
        <v>0</v>
      </c>
      <c r="LD84" s="196" t="n">
        <f aca="false">IF((SUMIF($KZ$3:$LI$3,LD$60,$KZ$4:$LI$4))=0,0,((SUMIF($KZ$3:$LI$3,LD$60,$KZ133:$LI133))/SUMIF($KZ$3:$LI$3,LD$60,$KZ$4:$LI$4)))</f>
        <v>0</v>
      </c>
      <c r="LE84" s="196" t="n">
        <f aca="false">IF((SUMIF($KZ$3:$LI$3,LE$60,$KZ$4:$LI$4))=0,0,((SUMIF($KZ$3:$LI$3,LE$60,$KZ133:$LI133))/SUMIF($KZ$3:$LI$3,LE$60,$KZ$4:$LI$4)))</f>
        <v>0</v>
      </c>
      <c r="LF84" s="196" t="n">
        <f aca="false">IF((SUMIF($KZ$3:$LI$3,LF$60,$KZ$4:$LI$4))=0,0,((SUMIF($KZ$3:$LI$3,LF$60,$KZ133:$LI133))/SUMIF($KZ$3:$LI$3,LF$60,$KZ$4:$LI$4)))</f>
        <v>0</v>
      </c>
      <c r="LG84" s="196" t="n">
        <f aca="false">IF((SUMIF($KZ$3:$LI$3,LG$60,$KZ$4:$LI$4))=0,0,((SUMIF($KZ$3:$LI$3,LG$60,$KZ133:$LI133))/SUMIF($KZ$3:$LI$3,LG$60,$KZ$4:$LI$4)))</f>
        <v>0</v>
      </c>
      <c r="LH84" s="196" t="n">
        <f aca="false">IF((SUMIF($KZ$3:$LI$3,LH$60,$KZ$4:$LI$4))=0,0,((SUMIF($KZ$3:$LI$3,LH$60,$KZ133:$LI133))/SUMIF($KZ$3:$LI$3,LH$60,$KZ$4:$LI$4)))</f>
        <v>0</v>
      </c>
      <c r="LI84" s="197" t="n">
        <f aca="false">IF((SUMIF($KZ$3:$LI$3,LI$60,$KZ$4:$LI$4))=0,0,((SUMIF($KZ$3:$LI$3,LI$60,$KZ133:$LI133))/SUMIF($KZ$3:$LI$3,LI$60,$KZ$4:$LI$4)))</f>
        <v>0</v>
      </c>
      <c r="LJ84" s="194" t="str">
        <f aca="false">KY84</f>
        <v>Alumno23</v>
      </c>
      <c r="LK84" s="195" t="n">
        <f aca="false">IF((SUMIF($LK$3:$LT$3,LK$60,$LK$4:$LT$4))=0,0,((SUMIF($LK$3:$LT$3,LK$60,$LK133:$LT133))/SUMIF($LK$3:$LT$3,LK$60,$LK$4:$LT$4)))</f>
        <v>0</v>
      </c>
      <c r="LL84" s="196" t="n">
        <f aca="false">IF((SUMIF($LK$3:$LT$3,LL$60,$LK$4:$LT$4))=0,0,((SUMIF($LK$3:$LT$3,LL$60,$LK133:$LT133))/SUMIF($LK$3:$LT$3,LL$60,$LK$4:$LT$4)))</f>
        <v>0</v>
      </c>
      <c r="LM84" s="196" t="n">
        <f aca="false">IF((SUMIF($LK$3:$LT$3,LM$60,$LK$4:$LT$4))=0,0,((SUMIF($LK$3:$LT$3,LM$60,$LK133:$LT133))/SUMIF($LK$3:$LT$3,LM$60,$LK$4:$LT$4)))</f>
        <v>0</v>
      </c>
      <c r="LN84" s="196" t="n">
        <f aca="false">IF((SUMIF($LK$3:$LT$3,LN$60,$LK$4:$LT$4))=0,0,((SUMIF($LK$3:$LT$3,LN$60,$LK133:$LT133))/SUMIF($LK$3:$LT$3,LN$60,$LK$4:$LT$4)))</f>
        <v>0</v>
      </c>
      <c r="LO84" s="196" t="n">
        <f aca="false">IF((SUMIF($LK$3:$LT$3,LO$60,$LK$4:$LT$4))=0,0,((SUMIF($LK$3:$LT$3,LO$60,$LK133:$LT133))/SUMIF($LK$3:$LT$3,LO$60,$LK$4:$LT$4)))</f>
        <v>0</v>
      </c>
      <c r="LP84" s="196" t="n">
        <f aca="false">IF((SUMIF($LK$3:$LT$3,LP$60,$LK$4:$LT$4))=0,0,((SUMIF($LK$3:$LT$3,LP$60,$LK133:$LT133))/SUMIF($LK$3:$LT$3,LP$60,$LK$4:$LT$4)))</f>
        <v>0</v>
      </c>
      <c r="LQ84" s="196" t="n">
        <f aca="false">IF((SUMIF($LK$3:$LT$3,LQ$60,$LK$4:$LT$4))=0,0,((SUMIF($LK$3:$LT$3,LQ$60,$LK133:$LT133))/SUMIF($LK$3:$LT$3,LQ$60,$LK$4:$LT$4)))</f>
        <v>0</v>
      </c>
      <c r="LR84" s="196" t="n">
        <f aca="false">IF((SUMIF($LK$3:$LT$3,LR$60,$LK$4:$LT$4))=0,0,((SUMIF($LK$3:$LT$3,LR$60,$LK133:$LT133))/SUMIF($LK$3:$LT$3,LR$60,$LK$4:$LT$4)))</f>
        <v>0</v>
      </c>
      <c r="LS84" s="196" t="n">
        <f aca="false">IF((SUMIF($LK$3:$LT$3,LS$60,$LK$4:$LT$4))=0,0,((SUMIF($LK$3:$LT$3,LS$60,$LK133:$LT133))/SUMIF($LK$3:$LT$3,LS$60,$LK$4:$LT$4)))</f>
        <v>0</v>
      </c>
      <c r="LT84" s="197" t="n">
        <f aca="false">IF((SUMIF($LK$3:$LT$3,LT$60,$LK$4:$LT$4))=0,0,((SUMIF($LK$3:$LT$3,LT$60,$LK133:$LT133))/SUMIF($LK$3:$LT$3,LT$60,$LK$4:$LT$4)))</f>
        <v>0</v>
      </c>
    </row>
    <row r="85" customFormat="false" ht="15" hidden="true" customHeight="false" outlineLevel="0" collapsed="false">
      <c r="C85" s="194" t="str">
        <f aca="false">B29</f>
        <v>Alumno24</v>
      </c>
      <c r="D85" s="195" t="n">
        <f aca="false">IF((SUMIF($D$3:$M$3,D$60,$D$4:$M$4))=0,0,((SUMIF($D$3:$M$3,D$60,$D134:$M134))/SUMIF($D$3:$M$3,D$60,$D$4:$M$4)))</f>
        <v>5</v>
      </c>
      <c r="E85" s="196" t="n">
        <f aca="false">IF((SUMIF($D$3:$M$3,E$60,$D$4:$M$4))=0,0,((SUMIF($D$3:$M$3,E$60,$D134:$M134))/SUMIF($D$3:$M$3,E$60,$D$4:$M$4)))</f>
        <v>0</v>
      </c>
      <c r="F85" s="196" t="n">
        <f aca="false">IF((SUMIF($D$3:$M$3,F$60,$D$4:$M$4))=0,0,((SUMIF($D$3:$M$3,F$60,$D134:$M134))/SUMIF($D$3:$M$3,F$60,$D$4:$M$4)))</f>
        <v>0</v>
      </c>
      <c r="G85" s="196" t="n">
        <f aca="false">IF((SUMIF($D$3:$M$3,G$60,$D$4:$M$4))=0,0,((SUMIF($D$3:$M$3,G$60,$D134:$M134))/SUMIF($D$3:$M$3,G$60,$D$4:$M$4)))</f>
        <v>0</v>
      </c>
      <c r="H85" s="196" t="n">
        <f aca="false">IF((SUMIF($D$3:$M$3,H$60,$D$4:$M$4))=0,0,((SUMIF($D$3:$M$3,H$60,$D134:$M134))/SUMIF($D$3:$M$3,H$60,$D$4:$M$4)))</f>
        <v>0</v>
      </c>
      <c r="I85" s="196" t="n">
        <f aca="false">IF((SUMIF($D$3:$M$3,I$60,$D$4:$M$4))=0,0,((SUMIF($D$3:$M$3,I$60,$D134:$M134))/SUMIF($D$3:$M$3,I$60,$D$4:$M$4)))</f>
        <v>0</v>
      </c>
      <c r="J85" s="196" t="n">
        <f aca="false">IF((SUMIF($D$3:$M$3,J$60,$D$4:$M$4))=0,0,((SUMIF($D$3:$M$3,J$60,$D134:$M134))/SUMIF($D$3:$M$3,J$60,$D$4:$M$4)))</f>
        <v>0</v>
      </c>
      <c r="K85" s="196" t="n">
        <f aca="false">IF((SUMIF($D$3:$M$3,K$60,$D$4:$M$4))=0,0,((SUMIF($D$3:$M$3,K$60,$D134:$M134))/SUMIF($D$3:$M$3,K$60,$D$4:$M$4)))</f>
        <v>0</v>
      </c>
      <c r="L85" s="196" t="n">
        <f aca="false">IF((SUMIF($D$3:$M$3,L$60,$D$4:$M$4))=0,0,((SUMIF($D$3:$M$3,L$60,$D134:$M134))/SUMIF($D$3:$M$3,L$60,$D$4:$M$4)))</f>
        <v>0</v>
      </c>
      <c r="M85" s="197" t="n">
        <f aca="false">IF((SUMIF($D$3:$M$3,M$60,$D$4:$M$4))=0,0,((SUMIF($D$3:$M$3,M$60,$D134:$M134))/SUMIF($D$3:$M$3,M$60,$D$4:$M$4)))</f>
        <v>0</v>
      </c>
      <c r="N85" s="194" t="str">
        <f aca="false">C85</f>
        <v>Alumno24</v>
      </c>
      <c r="O85" s="195" t="n">
        <f aca="false">IF((SUMIF($O$3:$X$3,O$60,$O$4:$X$4))=0,0,((SUMIF($O$3:$X$3,O$60,$O134:$X134))/SUMIF($O$3:$X$3,O$60,$O$4:$X$4)))</f>
        <v>5</v>
      </c>
      <c r="P85" s="196" t="n">
        <f aca="false">IF((SUMIF($O$3:$X$3,P$60,$O$4:$X$4))=0,0,((SUMIF($O$3:$X$3,P$60,$O134:$X134))/SUMIF($O$3:$X$3,P$60,$O$4:$X$4)))</f>
        <v>5</v>
      </c>
      <c r="Q85" s="196" t="n">
        <f aca="false">IF((SUMIF($O$3:$X$3,Q$60,$O$4:$X$4))=0,0,((SUMIF($O$3:$X$3,Q$60,$O134:$X134))/SUMIF($O$3:$X$3,Q$60,$O$4:$X$4)))</f>
        <v>0</v>
      </c>
      <c r="R85" s="196" t="n">
        <f aca="false">IF((SUMIF($O$3:$X$3,R$60,$O$4:$X$4))=0,0,((SUMIF($O$3:$X$3,R$60,$O134:$X134))/SUMIF($O$3:$X$3,R$60,$O$4:$X$4)))</f>
        <v>0</v>
      </c>
      <c r="S85" s="196" t="n">
        <f aca="false">IF((SUMIF($O$3:$X$3,S$60,$O$4:$X$4))=0,0,((SUMIF($O$3:$X$3,S$60,$O134:$X134))/SUMIF($O$3:$X$3,S$60,$O$4:$X$4)))</f>
        <v>0</v>
      </c>
      <c r="T85" s="196" t="n">
        <f aca="false">IF((SUMIF($O$3:$X$3,T$60,$O$4:$X$4))=0,0,((SUMIF($O$3:$X$3,T$60,$O134:$X134))/SUMIF($O$3:$X$3,T$60,$O$4:$X$4)))</f>
        <v>0</v>
      </c>
      <c r="U85" s="196" t="n">
        <f aca="false">IF((SUMIF($O$3:$X$3,U$60,$O$4:$X$4))=0,0,((SUMIF($O$3:$X$3,U$60,$O134:$X134))/SUMIF($O$3:$X$3,U$60,$O$4:$X$4)))</f>
        <v>0</v>
      </c>
      <c r="V85" s="196" t="n">
        <f aca="false">IF((SUMIF($O$3:$X$3,V$60,$O$4:$X$4))=0,0,((SUMIF($O$3:$X$3,V$60,$O134:$X134))/SUMIF($O$3:$X$3,V$60,$O$4:$X$4)))</f>
        <v>0</v>
      </c>
      <c r="W85" s="196" t="n">
        <f aca="false">IF((SUMIF($O$3:$X$3,W$60,$O$4:$X$4))=0,0,((SUMIF($O$3:$X$3,W$60,$O134:$X134))/SUMIF($O$3:$X$3,W$60,$O$4:$X$4)))</f>
        <v>0</v>
      </c>
      <c r="X85" s="197" t="n">
        <f aca="false">IF((SUMIF($O$3:$X$3,X$60,$O$4:$X$4))=0,0,((SUMIF($O$3:$X$3,X$60,$O134:$X134))/SUMIF($O$3:$X$3,X$60,$O$4:$X$4)))</f>
        <v>0</v>
      </c>
      <c r="Y85" s="194" t="str">
        <f aca="false">N85</f>
        <v>Alumno24</v>
      </c>
      <c r="Z85" s="195" t="n">
        <f aca="false">IF((SUMIF($Z$3:$AI$3,Z$60,$Z$4:$AI$4))=0,0,((SUMIF($Z$3:$AI$3,Z$60,$Z134:$AI134))/SUMIF($Z$3:$AI$3,Z$60,$Z$4:$AI$4)))</f>
        <v>6.5</v>
      </c>
      <c r="AA85" s="196" t="n">
        <f aca="false">IF((SUMIF($Z$3:$AI$3,AA$60,$Z$4:$AI$4))=0,0,((SUMIF($Z$3:$AI$3,AA$60,$Z134:$AI134))/SUMIF($Z$3:$AI$3,AA$60,$Z$4:$AI$4)))</f>
        <v>8.5</v>
      </c>
      <c r="AB85" s="196" t="n">
        <f aca="false">IF((SUMIF($Z$3:$AI$3,AB$60,$Z$4:$AI$4))=0,0,((SUMIF($Z$3:$AI$3,AB$60,$Z134:$AI134))/SUMIF($Z$3:$AI$3,AB$60,$Z$4:$AI$4)))</f>
        <v>5</v>
      </c>
      <c r="AC85" s="196" t="n">
        <f aca="false">IF((SUMIF($Z$3:$AI$3,AC$60,$Z$4:$AI$4))=0,0,((SUMIF($Z$3:$AI$3,AC$60,$Z134:$AI134))/SUMIF($Z$3:$AI$3,AC$60,$Z$4:$AI$4)))</f>
        <v>0</v>
      </c>
      <c r="AD85" s="196" t="n">
        <f aca="false">IF((SUMIF($Z$3:$AI$3,AD$60,$Z$4:$AI$4))=0,0,((SUMIF($Z$3:$AI$3,AD$60,$Z134:$AI134))/SUMIF($Z$3:$AI$3,AD$60,$Z$4:$AI$4)))</f>
        <v>0</v>
      </c>
      <c r="AE85" s="196" t="n">
        <f aca="false">IF((SUMIF($Z$3:$AI$3,AE$60,$Z$4:$AI$4))=0,0,((SUMIF($Z$3:$AI$3,AE$60,$Z134:$AI134))/SUMIF($Z$3:$AI$3,AE$60,$Z$4:$AI$4)))</f>
        <v>0</v>
      </c>
      <c r="AF85" s="196" t="n">
        <f aca="false">IF((SUMIF($Z$3:$AI$3,AF$60,$Z$4:$AI$4))=0,0,((SUMIF($Z$3:$AI$3,AF$60,$Z134:$AI134))/SUMIF($Z$3:$AI$3,AF$60,$Z$4:$AI$4)))</f>
        <v>0</v>
      </c>
      <c r="AG85" s="196" t="n">
        <f aca="false">IF((SUMIF($Z$3:$AI$3,AG$60,$Z$4:$AI$4))=0,0,((SUMIF($Z$3:$AI$3,AG$60,$Z134:$AI134))/SUMIF($Z$3:$AI$3,AG$60,$Z$4:$AI$4)))</f>
        <v>0</v>
      </c>
      <c r="AH85" s="196" t="n">
        <f aca="false">IF((SUMIF($Z$3:$AI$3,AH$60,$Z$4:$AI$4))=0,0,((SUMIF($Z$3:$AI$3,AH$60,$Z134:$AI134))/SUMIF($Z$3:$AI$3,AH$60,$Z$4:$AI$4)))</f>
        <v>0</v>
      </c>
      <c r="AI85" s="197" t="n">
        <f aca="false">IF((SUMIF($Z$3:$AI$3,AI$60,$Z$4:$AI$4))=0,0,((SUMIF($Z$3:$AI$3,AI$60,$Z134:$AI134))/SUMIF($Z$3:$AI$3,AI$60,$Z$4:$AI$4)))</f>
        <v>0</v>
      </c>
      <c r="AJ85" s="194" t="str">
        <f aca="false">Y85</f>
        <v>Alumno24</v>
      </c>
      <c r="AK85" s="195" t="n">
        <f aca="false">IF((SUMIF($AK$3:$AT$3,AK$60,$AK$4:$AT$4))=0,0,((SUMIF($AK$3:$AT$3,AK$60,$AK134:$AT134))/SUMIF($AK$3:$AT$3,AK$60,$AK$4:$AT$4)))</f>
        <v>6</v>
      </c>
      <c r="AL85" s="196" t="n">
        <f aca="false">IF((SUMIF($AK$3:$AT$3,AL$60,$AK$4:$AT$4))=0,0,((SUMIF($AK$3:$AT$3,AL$60,$AK134:$AT134))/SUMIF($AK$3:$AT$3,AL$60,$AK$4:$AT$4)))</f>
        <v>6</v>
      </c>
      <c r="AM85" s="196" t="n">
        <f aca="false">IF((SUMIF($AK$3:$AT$3,AM$60,$AK$4:$AT$4))=0,0,((SUMIF($AK$3:$AT$3,AM$60,$AK134:$AT134))/SUMIF($AK$3:$AT$3,AM$60,$AK$4:$AT$4)))</f>
        <v>8.5</v>
      </c>
      <c r="AN85" s="196" t="n">
        <f aca="false">IF((SUMIF($AK$3:$AT$3,AN$60,$AK$4:$AT$4))=0,0,((SUMIF($AK$3:$AT$3,AN$60,$AK134:$AT134))/SUMIF($AK$3:$AT$3,AN$60,$AK$4:$AT$4)))</f>
        <v>0</v>
      </c>
      <c r="AO85" s="196" t="n">
        <f aca="false">IF((SUMIF($AK$3:$AT$3,AO$60,$AK$4:$AT$4))=0,0,((SUMIF($AK$3:$AT$3,AO$60,$AK134:$AT134))/SUMIF($AK$3:$AT$3,AO$60,$AK$4:$AT$4)))</f>
        <v>0</v>
      </c>
      <c r="AP85" s="196" t="n">
        <f aca="false">IF((SUMIF($AK$3:$AT$3,AP$60,$AK$4:$AT$4))=0,0,((SUMIF($AK$3:$AT$3,AP$60,$AK134:$AT134))/SUMIF($AK$3:$AT$3,AP$60,$AK$4:$AT$4)))</f>
        <v>0</v>
      </c>
      <c r="AQ85" s="196" t="n">
        <f aca="false">IF((SUMIF($AK$3:$AT$3,AQ$60,$AK$4:$AT$4))=0,0,((SUMIF($AK$3:$AT$3,AQ$60,$AK134:$AT134))/SUMIF($AK$3:$AT$3,AQ$60,$AK$4:$AT$4)))</f>
        <v>0</v>
      </c>
      <c r="AR85" s="196" t="n">
        <f aca="false">IF((SUMIF($AK$3:$AT$3,AR$60,$AK$4:$AT$4))=0,0,((SUMIF($AK$3:$AT$3,AR$60,$AK134:$AT134))/SUMIF($AK$3:$AT$3,AR$60,$AK$4:$AT$4)))</f>
        <v>0</v>
      </c>
      <c r="AS85" s="196" t="n">
        <f aca="false">IF((SUMIF($AK$3:$AT$3,AS$60,$AK$4:$AT$4))=0,0,((SUMIF($AK$3:$AT$3,AS$60,$AK134:$AT134))/SUMIF($AK$3:$AT$3,AS$60,$AK$4:$AT$4)))</f>
        <v>0</v>
      </c>
      <c r="AT85" s="197" t="n">
        <f aca="false">IF((SUMIF($AK$3:$AT$3,AT$60,$AK$4:$AT$4))=0,0,((SUMIF($AK$3:$AT$3,AT$60,$AK134:$AT134))/SUMIF($AK$3:$AT$3,AT$60,$AK$4:$AT$4)))</f>
        <v>0</v>
      </c>
      <c r="AU85" s="194" t="str">
        <f aca="false">AJ85</f>
        <v>Alumno24</v>
      </c>
      <c r="AV85" s="195" t="n">
        <f aca="false">IF((SUMIF($AV$3:$BE$3,AV$60,$AV$4:$BE$4))=0,0,((SUMIF($AV$3:$BE$3,AV$60,$AV134:$BE134))/SUMIF($AV$3:$BE$3,AV$60,$AV$4:$BE$4)))</f>
        <v>5</v>
      </c>
      <c r="AW85" s="196" t="n">
        <f aca="false">IF((SUMIF($AV$3:$BE$3,AW$60,$AV$4:$BE$4))=0,0,((SUMIF($AV$3:$BE$3,AW$60,$AV134:$BE134))/SUMIF($AV$3:$BE$3,AW$60,$AV$4:$BE$4)))</f>
        <v>5</v>
      </c>
      <c r="AX85" s="196" t="n">
        <f aca="false">IF((SUMIF($AV$3:$BE$3,AX$60,$AV$4:$BE$4))=0,0,((SUMIF($AV$3:$BE$3,AX$60,$AV134:$BE134))/SUMIF($AV$3:$BE$3,AX$60,$AV$4:$BE$4)))</f>
        <v>5</v>
      </c>
      <c r="AY85" s="196" t="n">
        <f aca="false">IF((SUMIF($AV$3:$BE$3,AY$60,$AV$4:$BE$4))=0,0,((SUMIF($AV$3:$BE$3,AY$60,$AV134:$BE134))/SUMIF($AV$3:$BE$3,AY$60,$AV$4:$BE$4)))</f>
        <v>5</v>
      </c>
      <c r="AZ85" s="196" t="n">
        <f aca="false">IF((SUMIF($AV$3:$BE$3,AZ$60,$AV$4:$BE$4))=0,0,((SUMIF($AV$3:$BE$3,AZ$60,$AV134:$BE134))/SUMIF($AV$3:$BE$3,AZ$60,$AV$4:$BE$4)))</f>
        <v>0</v>
      </c>
      <c r="BA85" s="196" t="n">
        <f aca="false">IF((SUMIF($AV$3:$BE$3,BA$60,$AV$4:$BE$4))=0,0,((SUMIF($AV$3:$BE$3,BA$60,$AV134:$BE134))/SUMIF($AV$3:$BE$3,BA$60,$AV$4:$BE$4)))</f>
        <v>0</v>
      </c>
      <c r="BB85" s="196" t="n">
        <f aca="false">IF((SUMIF($AV$3:$BE$3,BB$60,$AV$4:$BE$4))=0,0,((SUMIF($AV$3:$BE$3,BB$60,$AV134:$BE134))/SUMIF($AV$3:$BE$3,BB$60,$AV$4:$BE$4)))</f>
        <v>0</v>
      </c>
      <c r="BC85" s="196" t="n">
        <f aca="false">IF((SUMIF($AV$3:$BE$3,BC$60,$AV$4:$BE$4))=0,0,((SUMIF($AV$3:$BE$3,BC$60,$AV134:$BE134))/SUMIF($AV$3:$BE$3,BC$60,$AV$4:$BE$4)))</f>
        <v>0</v>
      </c>
      <c r="BD85" s="196" t="n">
        <f aca="false">IF((SUMIF($AV$3:$BE$3,BD$60,$AV$4:$BE$4))=0,0,((SUMIF($AV$3:$BE$3,BD$60,$AV134:$BE134))/SUMIF($AV$3:$BE$3,BD$60,$AV$4:$BE$4)))</f>
        <v>0</v>
      </c>
      <c r="BE85" s="197" t="n">
        <f aca="false">IF((SUMIF($AV$3:$BE$3,BE$60,$AV$4:$BE$4))=0,0,((SUMIF($AV$3:$BE$3,BE$60,$AV134:$BE134))/SUMIF($AV$3:$BE$3,BE$60,$AV$4:$BE$4)))</f>
        <v>0</v>
      </c>
      <c r="BF85" s="194" t="str">
        <f aca="false">AU85</f>
        <v>Alumno24</v>
      </c>
      <c r="BG85" s="195" t="n">
        <f aca="false">IF((SUMIF($BG$3:$BP$3,BG$60,$BG$4:$BP$4))=0,0,((SUMIF($BG$3:$BP$3,BG$60,$BG134:$BP134))/SUMIF($BG$3:$BP$3,BG$60,$BG$4:$BP$4)))</f>
        <v>5</v>
      </c>
      <c r="BH85" s="196" t="n">
        <f aca="false">IF((SUMIF($BG$3:$BP$3,BH$60,$BG$4:$BP$4))=0,0,((SUMIF($BG$3:$BP$3,BH$60,$BG134:$BP134))/SUMIF($BG$3:$BP$3,BH$60,$BG$4:$BP$4)))</f>
        <v>5</v>
      </c>
      <c r="BI85" s="196" t="n">
        <f aca="false">IF((SUMIF($BG$3:$BP$3,BI$60,$BG$4:$BP$4))=0,0,((SUMIF($BG$3:$BP$3,BI$60,$BG134:$BP134))/SUMIF($BG$3:$BP$3,BI$60,$BG$4:$BP$4)))</f>
        <v>5</v>
      </c>
      <c r="BJ85" s="196" t="n">
        <f aca="false">IF((SUMIF($BG$3:$BP$3,BJ$60,$BG$4:$BP$4))=0,0,((SUMIF($BG$3:$BP$3,BJ$60,$BG134:$BP134))/SUMIF($BG$3:$BP$3,BJ$60,$BG$4:$BP$4)))</f>
        <v>5</v>
      </c>
      <c r="BK85" s="196" t="n">
        <f aca="false">IF((SUMIF($BG$3:$BP$3,BK$60,$BG$4:$BP$4))=0,0,((SUMIF($BG$3:$BP$3,BK$60,$BG134:$BP134))/SUMIF($BG$3:$BP$3,BK$60,$BG$4:$BP$4)))</f>
        <v>0</v>
      </c>
      <c r="BL85" s="196" t="n">
        <f aca="false">IF((SUMIF($BG$3:$BP$3,BL$60,$BG$4:$BP$4))=0,0,((SUMIF($BG$3:$BP$3,BL$60,$BG134:$BP134))/SUMIF($BG$3:$BP$3,BL$60,$BG$4:$BP$4)))</f>
        <v>0</v>
      </c>
      <c r="BM85" s="196" t="n">
        <f aca="false">IF((SUMIF($BG$3:$BP$3,BM$60,$BG$4:$BP$4))=0,0,((SUMIF($BG$3:$BP$3,BM$60,$BG134:$BP134))/SUMIF($BG$3:$BP$3,BM$60,$BG$4:$BP$4)))</f>
        <v>0</v>
      </c>
      <c r="BN85" s="196" t="n">
        <f aca="false">IF((SUMIF($BG$3:$BP$3,BN$60,$BG$4:$BP$4))=0,0,((SUMIF($BG$3:$BP$3,BN$60,$BG134:$BP134))/SUMIF($BG$3:$BP$3,BN$60,$BG$4:$BP$4)))</f>
        <v>0</v>
      </c>
      <c r="BO85" s="196" t="n">
        <f aca="false">IF((SUMIF($BG$3:$BP$3,BO$60,$BG$4:$BP$4))=0,0,((SUMIF($BG$3:$BP$3,BO$60,$BG134:$BP134))/SUMIF($BG$3:$BP$3,BO$60,$BG$4:$BP$4)))</f>
        <v>0</v>
      </c>
      <c r="BP85" s="197" t="n">
        <f aca="false">IF((SUMIF($BG$3:$BP$3,BP$60,$BG$4:$BP$4))=0,0,((SUMIF($BG$3:$BP$3,BP$60,$BG134:$BP134))/SUMIF($BG$3:$BP$3,BP$60,$BG$4:$BP$4)))</f>
        <v>0</v>
      </c>
      <c r="BQ85" s="194" t="str">
        <f aca="false">BF85</f>
        <v>Alumno24</v>
      </c>
      <c r="BR85" s="195" t="n">
        <f aca="false">IF((SUMIF($BR$3:$CA$3,BR$60,$BR$4:$CA$4))=0,0,((SUMIF($BR$3:$CA$3,BR$60,$BR134:$CA134))/SUMIF($BR$3:$CA$3,BR$60,$BR$4:$CA$4)))</f>
        <v>0</v>
      </c>
      <c r="BS85" s="196" t="n">
        <f aca="false">IF((SUMIF($BR$3:$CA$3,BS$60,$BR$4:$CA$4))=0,0,((SUMIF($BR$3:$CA$3,BS$60,$BR134:$CA134))/SUMIF($BR$3:$CA$3,BS$60,$BR$4:$CA$4)))</f>
        <v>9</v>
      </c>
      <c r="BT85" s="196" t="n">
        <f aca="false">IF((SUMIF($BR$3:$CA$3,BT$60,$BR$4:$CA$4))=0,0,((SUMIF($BR$3:$CA$3,BT$60,$BR134:$CA134))/SUMIF($BR$3:$CA$3,BT$60,$BR$4:$CA$4)))</f>
        <v>9</v>
      </c>
      <c r="BU85" s="196" t="n">
        <f aca="false">IF((SUMIF($BR$3:$CA$3,BU$60,$BR$4:$CA$4))=0,0,((SUMIF($BR$3:$CA$3,BU$60,$BR134:$CA134))/SUMIF($BR$3:$CA$3,BU$60,$BR$4:$CA$4)))</f>
        <v>9</v>
      </c>
      <c r="BV85" s="196" t="n">
        <f aca="false">IF((SUMIF($BR$3:$CA$3,BV$60,$BR$4:$CA$4))=0,0,((SUMIF($BR$3:$CA$3,BV$60,$BR134:$CA134))/SUMIF($BR$3:$CA$3,BV$60,$BR$4:$CA$4)))</f>
        <v>0</v>
      </c>
      <c r="BW85" s="196" t="n">
        <f aca="false">IF((SUMIF($BR$3:$CA$3,BW$60,$BR$4:$CA$4))=0,0,((SUMIF($BR$3:$CA$3,BW$60,$BR134:$CA134))/SUMIF($BR$3:$CA$3,BW$60,$BR$4:$CA$4)))</f>
        <v>0</v>
      </c>
      <c r="BX85" s="196" t="n">
        <f aca="false">IF((SUMIF($BR$3:$CA$3,BX$60,$BR$4:$CA$4))=0,0,((SUMIF($BR$3:$CA$3,BX$60,$BR134:$CA134))/SUMIF($BR$3:$CA$3,BX$60,$BR$4:$CA$4)))</f>
        <v>0</v>
      </c>
      <c r="BY85" s="196" t="n">
        <f aca="false">IF((SUMIF($BR$3:$CA$3,BY$60,$BR$4:$CA$4))=0,0,((SUMIF($BR$3:$CA$3,BY$60,$BR134:$CA134))/SUMIF($BR$3:$CA$3,BY$60,$BR$4:$CA$4)))</f>
        <v>0</v>
      </c>
      <c r="BZ85" s="196" t="n">
        <f aca="false">IF((SUMIF($BR$3:$CA$3,BZ$60,$BR$4:$CA$4))=0,0,((SUMIF($BR$3:$CA$3,BZ$60,$BR134:$CA134))/SUMIF($BR$3:$CA$3,BZ$60,$BR$4:$CA$4)))</f>
        <v>0</v>
      </c>
      <c r="CA85" s="197" t="n">
        <f aca="false">IF((SUMIF($BR$3:$CA$3,CA$60,$BR$4:$CA$4))=0,0,((SUMIF($BR$3:$CA$3,CA$60,$BR134:$CA134))/SUMIF($BR$3:$CA$3,CA$60,$BR$4:$CA$4)))</f>
        <v>0</v>
      </c>
      <c r="CB85" s="194" t="str">
        <f aca="false">BQ85</f>
        <v>Alumno24</v>
      </c>
      <c r="CC85" s="195" t="n">
        <f aca="false">IF((SUMIF($CC$3:$CL$3,CC$60,$CC$4:$CL$4))=0,0,((SUMIF($CC$3:$CL$3,CC$60,$CC134:$CL134))/SUMIF($CC$3:$CL$3,CC$60,$CC$4:$CL$4)))</f>
        <v>0</v>
      </c>
      <c r="CD85" s="196" t="n">
        <f aca="false">IF((SUMIF($CC$3:$CL$3,CD$60,$CC$4:$CL$4))=0,0,((SUMIF($CC$3:$CL$3,CD$60,$CC134:$CL134))/SUMIF($CC$3:$CL$3,CD$60,$CC$4:$CL$4)))</f>
        <v>0</v>
      </c>
      <c r="CE85" s="196" t="n">
        <f aca="false">IF((SUMIF($CC$3:$CL$3,CE$60,$CC$4:$CL$4))=0,0,((SUMIF($CC$3:$CL$3,CE$60,$CC134:$CL134))/SUMIF($CC$3:$CL$3,CE$60,$CC$4:$CL$4)))</f>
        <v>0</v>
      </c>
      <c r="CF85" s="196" t="n">
        <f aca="false">IF((SUMIF($CC$3:$CL$3,CF$60,$CC$4:$CL$4))=0,0,((SUMIF($CC$3:$CL$3,CF$60,$CC134:$CL134))/SUMIF($CC$3:$CL$3,CF$60,$CC$4:$CL$4)))</f>
        <v>0</v>
      </c>
      <c r="CG85" s="196" t="n">
        <f aca="false">IF((SUMIF($CC$3:$CL$3,CG$60,$CC$4:$CL$4))=0,0,((SUMIF($CC$3:$CL$3,CG$60,$CC134:$CL134))/SUMIF($CC$3:$CL$3,CG$60,$CC$4:$CL$4)))</f>
        <v>0</v>
      </c>
      <c r="CH85" s="196" t="n">
        <f aca="false">IF((SUMIF($CC$3:$CL$3,CH$60,$CC$4:$CL$4))=0,0,((SUMIF($CC$3:$CL$3,CH$60,$CC134:$CL134))/SUMIF($CC$3:$CL$3,CH$60,$CC$4:$CL$4)))</f>
        <v>0</v>
      </c>
      <c r="CI85" s="196" t="n">
        <f aca="false">IF((SUMIF($CC$3:$CL$3,CI$60,$CC$4:$CL$4))=0,0,((SUMIF($CC$3:$CL$3,CI$60,$CC134:$CL134))/SUMIF($CC$3:$CL$3,CI$60,$CC$4:$CL$4)))</f>
        <v>0</v>
      </c>
      <c r="CJ85" s="196" t="n">
        <f aca="false">IF((SUMIF($CC$3:$CL$3,CJ$60,$CC$4:$CL$4))=0,0,((SUMIF($CC$3:$CL$3,CJ$60,$CC134:$CL134))/SUMIF($CC$3:$CL$3,CJ$60,$CC$4:$CL$4)))</f>
        <v>0</v>
      </c>
      <c r="CK85" s="196" t="n">
        <f aca="false">IF((SUMIF($CC$3:$CL$3,CK$60,$CC$4:$CL$4))=0,0,((SUMIF($CC$3:$CL$3,CK$60,$CC134:$CL134))/SUMIF($CC$3:$CL$3,CK$60,$CC$4:$CL$4)))</f>
        <v>0</v>
      </c>
      <c r="CL85" s="197" t="n">
        <f aca="false">IF((SUMIF($CC$3:$CL$3,CL$60,$CC$4:$CL$4))=0,0,((SUMIF($CC$3:$CL$3,CL$60,$CC134:$CL134))/SUMIF($CC$3:$CL$3,CL$60,$CC$4:$CL$4)))</f>
        <v>0</v>
      </c>
      <c r="CM85" s="194" t="str">
        <f aca="false">CB85</f>
        <v>Alumno24</v>
      </c>
      <c r="CN85" s="195" t="n">
        <f aca="false">IF((SUMIF($CN$3:$CW$3,CN$60,$CN$4:$CW$4))=0,0,((SUMIF($CN$3:$CW$3,CN$60,$CN134:$CW134))/SUMIF($CN$3:$CW$3,CN$60,$CN$4:$CW$4)))</f>
        <v>0</v>
      </c>
      <c r="CO85" s="196" t="n">
        <f aca="false">IF((SUMIF($CN$3:$CW$3,CO$60,$CN$4:$CW$4))=0,0,((SUMIF($CN$3:$CW$3,CO$60,$CN134:$CW134))/SUMIF($CN$3:$CW$3,CO$60,$CN$4:$CW$4)))</f>
        <v>0</v>
      </c>
      <c r="CP85" s="196" t="n">
        <f aca="false">IF((SUMIF($CN$3:$CW$3,CP$60,$CN$4:$CW$4))=0,0,((SUMIF($CN$3:$CW$3,CP$60,$CN134:$CW134))/SUMIF($CN$3:$CW$3,CP$60,$CN$4:$CW$4)))</f>
        <v>0</v>
      </c>
      <c r="CQ85" s="196" t="n">
        <f aca="false">IF((SUMIF($CN$3:$CW$3,CQ$60,$CN$4:$CW$4))=0,0,((SUMIF($CN$3:$CW$3,CQ$60,$CN134:$CW134))/SUMIF($CN$3:$CW$3,CQ$60,$CN$4:$CW$4)))</f>
        <v>0</v>
      </c>
      <c r="CR85" s="196" t="n">
        <f aca="false">IF((SUMIF($CN$3:$CW$3,CR$60,$CN$4:$CW$4))=0,0,((SUMIF($CN$3:$CW$3,CR$60,$CN134:$CW134))/SUMIF($CN$3:$CW$3,CR$60,$CN$4:$CW$4)))</f>
        <v>0</v>
      </c>
      <c r="CS85" s="196" t="n">
        <f aca="false">IF((SUMIF($CN$3:$CW$3,CS$60,$CN$4:$CW$4))=0,0,((SUMIF($CN$3:$CW$3,CS$60,$CN134:$CW134))/SUMIF($CN$3:$CW$3,CS$60,$CN$4:$CW$4)))</f>
        <v>0</v>
      </c>
      <c r="CT85" s="196" t="n">
        <f aca="false">IF((SUMIF($CN$3:$CW$3,CT$60,$CN$4:$CW$4))=0,0,((SUMIF($CN$3:$CW$3,CT$60,$CN134:$CW134))/SUMIF($CN$3:$CW$3,CT$60,$CN$4:$CW$4)))</f>
        <v>0</v>
      </c>
      <c r="CU85" s="196" t="n">
        <f aca="false">IF((SUMIF($CN$3:$CW$3,CU$60,$CN$4:$CW$4))=0,0,((SUMIF($CN$3:$CW$3,CU$60,$CN134:$CW134))/SUMIF($CN$3:$CW$3,CU$60,$CN$4:$CW$4)))</f>
        <v>0</v>
      </c>
      <c r="CV85" s="196" t="n">
        <f aca="false">IF((SUMIF($CN$3:$CW$3,CV$60,$CN$4:$CW$4))=0,0,((SUMIF($CN$3:$CW$3,CV$60,$CN134:$CW134))/SUMIF($CN$3:$CW$3,CV$60,$CN$4:$CW$4)))</f>
        <v>0</v>
      </c>
      <c r="CW85" s="197" t="n">
        <f aca="false">IF((SUMIF($CN$3:$CW$3,CW$60,$CN$4:$CW$4))=0,0,((SUMIF($CN$3:$CW$3,CW$60,$CN134:$CW134))/SUMIF($CN$3:$CW$3,CW$60,$CN$4:$CW$4)))</f>
        <v>0</v>
      </c>
      <c r="CX85" s="194" t="str">
        <f aca="false">CM85</f>
        <v>Alumno24</v>
      </c>
      <c r="CY85" s="195" t="n">
        <f aca="false">IF((SUMIF($CY$3:$DH$3,CY$60,$CY$4:$DH$4))=0,0,((SUMIF($CY$3:$DH$3,CY$60,$CY134:$DH134))/SUMIF($CY$3:$DH$3,CY$60,$CY$4:$DH$4)))</f>
        <v>0</v>
      </c>
      <c r="CZ85" s="196" t="n">
        <f aca="false">IF((SUMIF($CY$3:$DH$3,CZ$60,$CY$4:$DH$4))=0,0,((SUMIF($CY$3:$DH$3,CZ$60,$CY134:$DH134))/SUMIF($CY$3:$DH$3,CZ$60,$CY$4:$DH$4)))</f>
        <v>0</v>
      </c>
      <c r="DA85" s="196" t="n">
        <f aca="false">IF((SUMIF($CY$3:$DH$3,DA$60,$CY$4:$DH$4))=0,0,((SUMIF($CY$3:$DH$3,DA$60,$CY134:$DH134))/SUMIF($CY$3:$DH$3,DA$60,$CY$4:$DH$4)))</f>
        <v>0</v>
      </c>
      <c r="DB85" s="196" t="n">
        <f aca="false">IF((SUMIF($CY$3:$DH$3,DB$60,$CY$4:$DH$4))=0,0,((SUMIF($CY$3:$DH$3,DB$60,$CY134:$DH134))/SUMIF($CY$3:$DH$3,DB$60,$CY$4:$DH$4)))</f>
        <v>0</v>
      </c>
      <c r="DC85" s="196" t="n">
        <f aca="false">IF((SUMIF($CY$3:$DH$3,DC$60,$CY$4:$DH$4))=0,0,((SUMIF($CY$3:$DH$3,DC$60,$CY134:$DH134))/SUMIF($CY$3:$DH$3,DC$60,$CY$4:$DH$4)))</f>
        <v>0</v>
      </c>
      <c r="DD85" s="196" t="n">
        <f aca="false">IF((SUMIF($CY$3:$DH$3,DD$60,$CY$4:$DH$4))=0,0,((SUMIF($CY$3:$DH$3,DD$60,$CY134:$DH134))/SUMIF($CY$3:$DH$3,DD$60,$CY$4:$DH$4)))</f>
        <v>0</v>
      </c>
      <c r="DE85" s="196" t="n">
        <f aca="false">IF((SUMIF($CY$3:$DH$3,DE$60,$CY$4:$DH$4))=0,0,((SUMIF($CY$3:$DH$3,DE$60,$CY134:$DH134))/SUMIF($CY$3:$DH$3,DE$60,$CY$4:$DH$4)))</f>
        <v>0</v>
      </c>
      <c r="DF85" s="196" t="n">
        <f aca="false">IF((SUMIF($CY$3:$DH$3,DF$60,$CY$4:$DH$4))=0,0,((SUMIF($CY$3:$DH$3,DF$60,$CY134:$DH134))/SUMIF($CY$3:$DH$3,DF$60,$CY$4:$DH$4)))</f>
        <v>0</v>
      </c>
      <c r="DG85" s="196" t="n">
        <f aca="false">IF((SUMIF($CY$3:$DH$3,DG$60,$CY$4:$DH$4))=0,0,((SUMIF($CY$3:$DH$3,DG$60,$CY134:$DH134))/SUMIF($CY$3:$DH$3,DG$60,$CY$4:$DH$4)))</f>
        <v>0</v>
      </c>
      <c r="DH85" s="197" t="n">
        <f aca="false">IF((SUMIF($CY$3:$DH$3,DH$60,$CY$4:$DH$4))=0,0,((SUMIF($CY$3:$DH$3,DH$60,$CY134:$DH134))/SUMIF($CY$3:$DH$3,DH$60,$CY$4:$DH$4)))</f>
        <v>0</v>
      </c>
      <c r="DI85" s="194" t="str">
        <f aca="false">CX85</f>
        <v>Alumno24</v>
      </c>
      <c r="DJ85" s="195" t="n">
        <f aca="false">IF((SUMIF($DJ$3:$DS$3,DJ$60,$DJ$4:$DS$4))=0,0,((SUMIF($DJ$3:$DS$3,DJ$60,$DJ134:$DS134))/SUMIF($DJ$3:$DS$3,DJ$60,$DJ$4:$DS$4)))</f>
        <v>0</v>
      </c>
      <c r="DK85" s="196" t="n">
        <f aca="false">IF((SUMIF($DJ$3:$DS$3,DK$60,$DJ$4:$DS$4))=0,0,((SUMIF($DJ$3:$DS$3,DK$60,$DJ134:$DS134))/SUMIF($DJ$3:$DS$3,DK$60,$DJ$4:$DS$4)))</f>
        <v>0</v>
      </c>
      <c r="DL85" s="196" t="n">
        <f aca="false">IF((SUMIF($DJ$3:$DS$3,DL$60,$DJ$4:$DS$4))=0,0,((SUMIF($DJ$3:$DS$3,DL$60,$DJ134:$DS134))/SUMIF($DJ$3:$DS$3,DL$60,$DJ$4:$DS$4)))</f>
        <v>0</v>
      </c>
      <c r="DM85" s="196" t="n">
        <f aca="false">IF((SUMIF($DJ$3:$DS$3,DM$60,$DJ$4:$DS$4))=0,0,((SUMIF($DJ$3:$DS$3,DM$60,$DJ134:$DS134))/SUMIF($DJ$3:$DS$3,DM$60,$DJ$4:$DS$4)))</f>
        <v>0</v>
      </c>
      <c r="DN85" s="196" t="n">
        <f aca="false">IF((SUMIF($DJ$3:$DS$3,DN$60,$DJ$4:$DS$4))=0,0,((SUMIF($DJ$3:$DS$3,DN$60,$DJ134:$DS134))/SUMIF($DJ$3:$DS$3,DN$60,$DJ$4:$DS$4)))</f>
        <v>0</v>
      </c>
      <c r="DO85" s="196" t="n">
        <f aca="false">IF((SUMIF($DJ$3:$DS$3,DO$60,$DJ$4:$DS$4))=0,0,((SUMIF($DJ$3:$DS$3,DO$60,$DJ134:$DS134))/SUMIF($DJ$3:$DS$3,DO$60,$DJ$4:$DS$4)))</f>
        <v>0</v>
      </c>
      <c r="DP85" s="196" t="n">
        <f aca="false">IF((SUMIF($DJ$3:$DS$3,DP$60,$DJ$4:$DS$4))=0,0,((SUMIF($DJ$3:$DS$3,DP$60,$DJ134:$DS134))/SUMIF($DJ$3:$DS$3,DP$60,$DJ$4:$DS$4)))</f>
        <v>0</v>
      </c>
      <c r="DQ85" s="196" t="n">
        <f aca="false">IF((SUMIF($DJ$3:$DS$3,DQ$60,$DJ$4:$DS$4))=0,0,((SUMIF($DJ$3:$DS$3,DQ$60,$DJ134:$DS134))/SUMIF($DJ$3:$DS$3,DQ$60,$DJ$4:$DS$4)))</f>
        <v>0</v>
      </c>
      <c r="DR85" s="196" t="n">
        <f aca="false">IF((SUMIF($DJ$3:$DS$3,DR$60,$DJ$4:$DS$4))=0,0,((SUMIF($DJ$3:$DS$3,DR$60,$DJ134:$DS134))/SUMIF($DJ$3:$DS$3,DR$60,$DJ$4:$DS$4)))</f>
        <v>0</v>
      </c>
      <c r="DS85" s="197" t="n">
        <f aca="false">IF((SUMIF($DJ$3:$DS$3,DS$60,$DJ$4:$DS$4))=0,0,((SUMIF($DJ$3:$DS$3,DS$60,$DJ134:$DS134))/SUMIF($DJ$3:$DS$3,DS$60,$DJ$4:$DS$4)))</f>
        <v>0</v>
      </c>
      <c r="DT85" s="194" t="str">
        <f aca="false">DI85</f>
        <v>Alumno24</v>
      </c>
      <c r="DU85" s="195" t="n">
        <f aca="false">IF((SUMIF($DU$3:$ED$3,DU$60,$DU$4:$ED$4))=0,0,((SUMIF($DU$3:$ED$3,DU$60,$DU134:$ED134))/SUMIF($DU$3:$ED$3,DU$60,$DU$4:$ED$4)))</f>
        <v>0</v>
      </c>
      <c r="DV85" s="196" t="n">
        <f aca="false">IF((SUMIF($DU$3:$ED$3,DV$60,$DU$4:$ED$4))=0,0,((SUMIF($DU$3:$ED$3,DV$60,$DU134:$ED134))/SUMIF($DU$3:$ED$3,DV$60,$DU$4:$ED$4)))</f>
        <v>0</v>
      </c>
      <c r="DW85" s="196" t="n">
        <f aca="false">IF((SUMIF($DU$3:$ED$3,DW$60,$DU$4:$ED$4))=0,0,((SUMIF($DU$3:$ED$3,DW$60,$DU134:$ED134))/SUMIF($DU$3:$ED$3,DW$60,$DU$4:$ED$4)))</f>
        <v>0</v>
      </c>
      <c r="DX85" s="196" t="n">
        <f aca="false">IF((SUMIF($DU$3:$ED$3,DX$60,$DU$4:$ED$4))=0,0,((SUMIF($DU$3:$ED$3,DX$60,$DU134:$ED134))/SUMIF($DU$3:$ED$3,DX$60,$DU$4:$ED$4)))</f>
        <v>0</v>
      </c>
      <c r="DY85" s="196" t="n">
        <f aca="false">IF((SUMIF($DU$3:$ED$3,DY$60,$DU$4:$ED$4))=0,0,((SUMIF($DU$3:$ED$3,DY$60,$DU134:$ED134))/SUMIF($DU$3:$ED$3,DY$60,$DU$4:$ED$4)))</f>
        <v>0</v>
      </c>
      <c r="DZ85" s="196" t="n">
        <f aca="false">IF((SUMIF($DU$3:$ED$3,DZ$60,$DU$4:$ED$4))=0,0,((SUMIF($DU$3:$ED$3,DZ$60,$DU134:$ED134))/SUMIF($DU$3:$ED$3,DZ$60,$DU$4:$ED$4)))</f>
        <v>0</v>
      </c>
      <c r="EA85" s="196" t="n">
        <f aca="false">IF((SUMIF($DU$3:$ED$3,EA$60,$DU$4:$ED$4))=0,0,((SUMIF($DU$3:$ED$3,EA$60,$DU134:$ED134))/SUMIF($DU$3:$ED$3,EA$60,$DU$4:$ED$4)))</f>
        <v>0</v>
      </c>
      <c r="EB85" s="196" t="n">
        <f aca="false">IF((SUMIF($DU$3:$ED$3,EB$60,$DU$4:$ED$4))=0,0,((SUMIF($DU$3:$ED$3,EB$60,$DU134:$ED134))/SUMIF($DU$3:$ED$3,EB$60,$DU$4:$ED$4)))</f>
        <v>0</v>
      </c>
      <c r="EC85" s="196" t="n">
        <f aca="false">IF((SUMIF($DU$3:$ED$3,EC$60,$DU$4:$ED$4))=0,0,((SUMIF($DU$3:$ED$3,EC$60,$DU134:$ED134))/SUMIF($DU$3:$ED$3,EC$60,$DU$4:$ED$4)))</f>
        <v>0</v>
      </c>
      <c r="ED85" s="197" t="n">
        <f aca="false">IF((SUMIF($DU$3:$ED$3,ED$60,$DU$4:$ED$4))=0,0,((SUMIF($DU$3:$ED$3,ED$60,$DU134:$ED134))/SUMIF($DU$3:$ED$3,ED$60,$DU$4:$ED$4)))</f>
        <v>0</v>
      </c>
      <c r="EE85" s="194" t="str">
        <f aca="false">DT85</f>
        <v>Alumno24</v>
      </c>
      <c r="EF85" s="195" t="n">
        <f aca="false">IF((SUMIF($EF$3:$EO$3,EF$60,$EF$4:$EO$4))=0,0,((SUMIF($EF$3:$EO$3,EF$60,$EF134:$EO134))/SUMIF($EF$3:$EO$3,EF$60,$EF$4:$EO$4)))</f>
        <v>0</v>
      </c>
      <c r="EG85" s="196" t="n">
        <f aca="false">IF((SUMIF($EF$3:$EO$3,EG$60,$EF$4:$EO$4))=0,0,((SUMIF($EF$3:$EO$3,EG$60,$EF134:$EO134))/SUMIF($EF$3:$EO$3,EG$60,$EF$4:$EO$4)))</f>
        <v>0</v>
      </c>
      <c r="EH85" s="196" t="n">
        <f aca="false">IF((SUMIF($EF$3:$EO$3,EH$60,$EF$4:$EO$4))=0,0,((SUMIF($EF$3:$EO$3,EH$60,$EF134:$EO134))/SUMIF($EF$3:$EO$3,EH$60,$EF$4:$EO$4)))</f>
        <v>0</v>
      </c>
      <c r="EI85" s="196" t="n">
        <f aca="false">IF((SUMIF($EF$3:$EO$3,EI$60,$EF$4:$EO$4))=0,0,((SUMIF($EF$3:$EO$3,EI$60,$EF134:$EO134))/SUMIF($EF$3:$EO$3,EI$60,$EF$4:$EO$4)))</f>
        <v>0</v>
      </c>
      <c r="EJ85" s="196" t="n">
        <f aca="false">IF((SUMIF($EF$3:$EO$3,EJ$60,$EF$4:$EO$4))=0,0,((SUMIF($EF$3:$EO$3,EJ$60,$EF134:$EO134))/SUMIF($EF$3:$EO$3,EJ$60,$EF$4:$EO$4)))</f>
        <v>0</v>
      </c>
      <c r="EK85" s="196" t="n">
        <f aca="false">IF((SUMIF($EF$3:$EO$3,EK$60,$EF$4:$EO$4))=0,0,((SUMIF($EF$3:$EO$3,EK$60,$EF134:$EO134))/SUMIF($EF$3:$EO$3,EK$60,$EF$4:$EO$4)))</f>
        <v>0</v>
      </c>
      <c r="EL85" s="196" t="n">
        <f aca="false">IF((SUMIF($EF$3:$EO$3,EL$60,$EF$4:$EO$4))=0,0,((SUMIF($EF$3:$EO$3,EL$60,$EF134:$EO134))/SUMIF($EF$3:$EO$3,EL$60,$EF$4:$EO$4)))</f>
        <v>0</v>
      </c>
      <c r="EM85" s="196" t="n">
        <f aca="false">IF((SUMIF($EF$3:$EO$3,EM$60,$EF$4:$EO$4))=0,0,((SUMIF($EF$3:$EO$3,EM$60,$EF134:$EO134))/SUMIF($EF$3:$EO$3,EM$60,$EF$4:$EO$4)))</f>
        <v>0</v>
      </c>
      <c r="EN85" s="196" t="n">
        <f aca="false">IF((SUMIF($EF$3:$EO$3,EN$60,$EF$4:$EO$4))=0,0,((SUMIF($EF$3:$EO$3,EN$60,$EF134:$EO134))/SUMIF($EF$3:$EO$3,EN$60,$EF$4:$EO$4)))</f>
        <v>0</v>
      </c>
      <c r="EO85" s="197" t="n">
        <f aca="false">IF((SUMIF($EF$3:$EO$3,EO$60,$EF$4:$EO$4))=0,0,((SUMIF($EF$3:$EO$3,EO$60,$EF134:$EO134))/SUMIF($EF$3:$EO$3,EO$60,$EF$4:$EO$4)))</f>
        <v>0</v>
      </c>
      <c r="EP85" s="194" t="str">
        <f aca="false">EE85</f>
        <v>Alumno24</v>
      </c>
      <c r="EQ85" s="195" t="n">
        <f aca="false">IF((SUMIF($EQ$3:$EZ$3,EQ$60,$EQ$4:$EZ$4))=0,0,((SUMIF($EQ$3:$EZ$3,EQ$60,$EQ134:$EZ134))/SUMIF($EQ$3:$EZ$3,EQ$60,$EQ$4:$EZ$4)))</f>
        <v>0</v>
      </c>
      <c r="ER85" s="196" t="n">
        <f aca="false">IF((SUMIF($EQ$3:$EZ$3,ER$60,$EQ$4:$EZ$4))=0,0,((SUMIF($EQ$3:$EZ$3,ER$60,$EQ134:$EZ134))/SUMIF($EQ$3:$EZ$3,ER$60,$EQ$4:$EZ$4)))</f>
        <v>0</v>
      </c>
      <c r="ES85" s="196" t="n">
        <f aca="false">IF((SUMIF($EQ$3:$EZ$3,ES$60,$EQ$4:$EZ$4))=0,0,((SUMIF($EQ$3:$EZ$3,ES$60,$EQ134:$EZ134))/SUMIF($EQ$3:$EZ$3,ES$60,$EQ$4:$EZ$4)))</f>
        <v>0</v>
      </c>
      <c r="ET85" s="196" t="n">
        <f aca="false">IF((SUMIF($EQ$3:$EZ$3,ET$60,$EQ$4:$EZ$4))=0,0,((SUMIF($EQ$3:$EZ$3,ET$60,$EQ134:$EZ134))/SUMIF($EQ$3:$EZ$3,ET$60,$EQ$4:$EZ$4)))</f>
        <v>0</v>
      </c>
      <c r="EU85" s="196" t="n">
        <f aca="false">IF((SUMIF($EQ$3:$EZ$3,EU$60,$EQ$4:$EZ$4))=0,0,((SUMIF($EQ$3:$EZ$3,EU$60,$EQ134:$EZ134))/SUMIF($EQ$3:$EZ$3,EU$60,$EQ$4:$EZ$4)))</f>
        <v>0</v>
      </c>
      <c r="EV85" s="196" t="n">
        <f aca="false">IF((SUMIF($EQ$3:$EZ$3,EV$60,$EQ$4:$EZ$4))=0,0,((SUMIF($EQ$3:$EZ$3,EV$60,$EQ134:$EZ134))/SUMIF($EQ$3:$EZ$3,EV$60,$EQ$4:$EZ$4)))</f>
        <v>0</v>
      </c>
      <c r="EW85" s="196" t="n">
        <f aca="false">IF((SUMIF($EQ$3:$EZ$3,EW$60,$EQ$4:$EZ$4))=0,0,((SUMIF($EQ$3:$EZ$3,EW$60,$EQ134:$EZ134))/SUMIF($EQ$3:$EZ$3,EW$60,$EQ$4:$EZ$4)))</f>
        <v>0</v>
      </c>
      <c r="EX85" s="196" t="n">
        <f aca="false">IF((SUMIF($EQ$3:$EZ$3,EX$60,$EQ$4:$EZ$4))=0,0,((SUMIF($EQ$3:$EZ$3,EX$60,$EQ134:$EZ134))/SUMIF($EQ$3:$EZ$3,EX$60,$EQ$4:$EZ$4)))</f>
        <v>0</v>
      </c>
      <c r="EY85" s="196" t="n">
        <f aca="false">IF((SUMIF($EQ$3:$EZ$3,EY$60,$EQ$4:$EZ$4))=0,0,((SUMIF($EQ$3:$EZ$3,EY$60,$EQ134:$EZ134))/SUMIF($EQ$3:$EZ$3,EY$60,$EQ$4:$EZ$4)))</f>
        <v>0</v>
      </c>
      <c r="EZ85" s="197" t="n">
        <f aca="false">IF((SUMIF($EQ$3:$EZ$3,EZ$60,$EQ$4:$EZ$4))=0,0,((SUMIF($EQ$3:$EZ$3,EZ$60,$EQ134:$EZ134))/SUMIF($EQ$3:$EZ$3,EZ$60,$EQ$4:$EZ$4)))</f>
        <v>0</v>
      </c>
      <c r="FA85" s="194" t="str">
        <f aca="false">EP85</f>
        <v>Alumno24</v>
      </c>
      <c r="FB85" s="195" t="n">
        <f aca="false">IF((SUMIF($FB$3:$FK$3,FB$60,$FB$4:$FK$4))=0,0,((SUMIF($FB$3:$FK$3,FB$60,$FB134:$FK134))/SUMIF($FB$3:$FK$3,FB$60,$FB$4:$FK$4)))</f>
        <v>0</v>
      </c>
      <c r="FC85" s="196" t="n">
        <f aca="false">IF((SUMIF($FB$3:$FK$3,FC$60,$FB$4:$FK$4))=0,0,((SUMIF($FB$3:$FK$3,FC$60,$FB134:$FK134))/SUMIF($FB$3:$FK$3,FC$60,$FB$4:$FK$4)))</f>
        <v>0</v>
      </c>
      <c r="FD85" s="196" t="n">
        <f aca="false">IF((SUMIF($FB$3:$FK$3,FD$60,$FB$4:$FK$4))=0,0,((SUMIF($FB$3:$FK$3,FD$60,$FB134:$FK134))/SUMIF($FB$3:$FK$3,FD$60,$FB$4:$FK$4)))</f>
        <v>0</v>
      </c>
      <c r="FE85" s="196" t="n">
        <f aca="false">IF((SUMIF($FB$3:$FK$3,FE$60,$FB$4:$FK$4))=0,0,((SUMIF($FB$3:$FK$3,FE$60,$FB134:$FK134))/SUMIF($FB$3:$FK$3,FE$60,$FB$4:$FK$4)))</f>
        <v>0</v>
      </c>
      <c r="FF85" s="196" t="n">
        <f aca="false">IF((SUMIF($FB$3:$FK$3,FF$60,$FB$4:$FK$4))=0,0,((SUMIF($FB$3:$FK$3,FF$60,$FB134:$FK134))/SUMIF($FB$3:$FK$3,FF$60,$FB$4:$FK$4)))</f>
        <v>0</v>
      </c>
      <c r="FG85" s="196" t="n">
        <f aca="false">IF((SUMIF($FB$3:$FK$3,FG$60,$FB$4:$FK$4))=0,0,((SUMIF($FB$3:$FK$3,FG$60,$FB134:$FK134))/SUMIF($FB$3:$FK$3,FG$60,$FB$4:$FK$4)))</f>
        <v>0</v>
      </c>
      <c r="FH85" s="196" t="n">
        <f aca="false">IF((SUMIF($FB$3:$FK$3,FH$60,$FB$4:$FK$4))=0,0,((SUMIF($FB$3:$FK$3,FH$60,$FB134:$FK134))/SUMIF($FB$3:$FK$3,FH$60,$FB$4:$FK$4)))</f>
        <v>0</v>
      </c>
      <c r="FI85" s="196" t="n">
        <f aca="false">IF((SUMIF($FB$3:$FK$3,FI$60,$FB$4:$FK$4))=0,0,((SUMIF($FB$3:$FK$3,FI$60,$FB134:$FK134))/SUMIF($FB$3:$FK$3,FI$60,$FB$4:$FK$4)))</f>
        <v>0</v>
      </c>
      <c r="FJ85" s="196" t="n">
        <f aca="false">IF((SUMIF($FB$3:$FK$3,FJ$60,$FB$4:$FK$4))=0,0,((SUMIF($FB$3:$FK$3,FJ$60,$FB134:$FK134))/SUMIF($FB$3:$FK$3,FJ$60,$FB$4:$FK$4)))</f>
        <v>0</v>
      </c>
      <c r="FK85" s="197" t="n">
        <f aca="false">IF((SUMIF($FB$3:$FK$3,FK$60,$FB$4:$FK$4))=0,0,((SUMIF($FB$3:$FK$3,FK$60,$FB134:$FK134))/SUMIF($FB$3:$FK$3,FK$60,$FB$4:$FK$4)))</f>
        <v>0</v>
      </c>
      <c r="FL85" s="194" t="str">
        <f aca="false">FA85</f>
        <v>Alumno24</v>
      </c>
      <c r="FM85" s="195" t="n">
        <f aca="false">IF((SUMIF($FM$3:$FV$3,FM$60,$FM$4:$FV$4))=0,0,((SUMIF($FM$3:$FV$3,FM$60,$FM134:$FV134))/SUMIF($FM$3:$FV$3,FM$60,$FM$4:$FV$4)))</f>
        <v>0</v>
      </c>
      <c r="FN85" s="196" t="n">
        <f aca="false">IF((SUMIF($FM$3:$FV$3,FN$60,$FM$4:$FV$4))=0,0,((SUMIF($FM$3:$FV$3,FN$60,$FM134:$FV134))/SUMIF($FM$3:$FV$3,FN$60,$FM$4:$FV$4)))</f>
        <v>0</v>
      </c>
      <c r="FO85" s="196" t="n">
        <f aca="false">IF((SUMIF($FM$3:$FV$3,FO$60,$FM$4:$FV$4))=0,0,((SUMIF($FM$3:$FV$3,FO$60,$FM134:$FV134))/SUMIF($FM$3:$FV$3,FO$60,$FM$4:$FV$4)))</f>
        <v>0</v>
      </c>
      <c r="FP85" s="196" t="n">
        <f aca="false">IF((SUMIF($FM$3:$FV$3,FP$60,$FM$4:$FV$4))=0,0,((SUMIF($FM$3:$FV$3,FP$60,$FM134:$FV134))/SUMIF($FM$3:$FV$3,FP$60,$FM$4:$FV$4)))</f>
        <v>0</v>
      </c>
      <c r="FQ85" s="196" t="n">
        <f aca="false">IF((SUMIF($FM$3:$FV$3,FQ$60,$FM$4:$FV$4))=0,0,((SUMIF($FM$3:$FV$3,FQ$60,$FM134:$FV134))/SUMIF($FM$3:$FV$3,FQ$60,$FM$4:$FV$4)))</f>
        <v>0</v>
      </c>
      <c r="FR85" s="196" t="n">
        <f aca="false">IF((SUMIF($FM$3:$FV$3,FR$60,$FM$4:$FV$4))=0,0,((SUMIF($FM$3:$FV$3,FR$60,$FM134:$FV134))/SUMIF($FM$3:$FV$3,FR$60,$FM$4:$FV$4)))</f>
        <v>0</v>
      </c>
      <c r="FS85" s="196" t="n">
        <f aca="false">IF((SUMIF($FM$3:$FV$3,FS$60,$FM$4:$FV$4))=0,0,((SUMIF($FM$3:$FV$3,FS$60,$FM134:$FV134))/SUMIF($FM$3:$FV$3,FS$60,$FM$4:$FV$4)))</f>
        <v>0</v>
      </c>
      <c r="FT85" s="196" t="n">
        <f aca="false">IF((SUMIF($FM$3:$FV$3,FT$60,$FM$4:$FV$4))=0,0,((SUMIF($FM$3:$FV$3,FT$60,$FM134:$FV134))/SUMIF($FM$3:$FV$3,FT$60,$FM$4:$FV$4)))</f>
        <v>0</v>
      </c>
      <c r="FU85" s="196" t="n">
        <f aca="false">IF((SUMIF($FM$3:$FV$3,FU$60,$FM$4:$FV$4))=0,0,((SUMIF($FM$3:$FV$3,FU$60,$FM134:$FV134))/SUMIF($FM$3:$FV$3,FU$60,$FM$4:$FV$4)))</f>
        <v>0</v>
      </c>
      <c r="FV85" s="197" t="n">
        <f aca="false">IF((SUMIF($FM$3:$FV$3,FV$60,$FM$4:$FV$4))=0,0,((SUMIF($FM$3:$FV$3,FV$60,$FM134:$FV134))/SUMIF($FM$3:$FV$3,FV$60,$FM$4:$FV$4)))</f>
        <v>0</v>
      </c>
      <c r="FW85" s="194" t="str">
        <f aca="false">FL85</f>
        <v>Alumno24</v>
      </c>
      <c r="FX85" s="195" t="n">
        <f aca="false">IF((SUMIF($FX$3:$GG$3,FX$60,$FX$4:$GG$4))=0,0,((SUMIF($FX$3:$GG$3,FX$60,$FX134:$GG134))/SUMIF($FX$3:$GG$3,FX$60,$FX$4:$GG$4)))</f>
        <v>0</v>
      </c>
      <c r="FY85" s="196" t="n">
        <f aca="false">IF((SUMIF($FX$3:$GG$3,FY$60,$FX$4:$GG$4))=0,0,((SUMIF($FX$3:$GG$3,FY$60,$FX134:$GG134))/SUMIF($FX$3:$GG$3,FY$60,$FX$4:$GG$4)))</f>
        <v>0</v>
      </c>
      <c r="FZ85" s="196" t="n">
        <f aca="false">IF((SUMIF($FX$3:$GG$3,FZ$60,$FX$4:$GG$4))=0,0,((SUMIF($FX$3:$GG$3,FZ$60,$FX134:$GG134))/SUMIF($FX$3:$GG$3,FZ$60,$FX$4:$GG$4)))</f>
        <v>0</v>
      </c>
      <c r="GA85" s="196" t="n">
        <f aca="false">IF((SUMIF($FX$3:$GG$3,GA$60,$FX$4:$GG$4))=0,0,((SUMIF($FX$3:$GG$3,GA$60,$FX134:$GG134))/SUMIF($FX$3:$GG$3,GA$60,$FX$4:$GG$4)))</f>
        <v>0</v>
      </c>
      <c r="GB85" s="196" t="n">
        <f aca="false">IF((SUMIF($FX$3:$GG$3,GB$60,$FX$4:$GG$4))=0,0,((SUMIF($FX$3:$GG$3,GB$60,$FX134:$GG134))/SUMIF($FX$3:$GG$3,GB$60,$FX$4:$GG$4)))</f>
        <v>0</v>
      </c>
      <c r="GC85" s="196" t="n">
        <f aca="false">IF((SUMIF($FX$3:$GG$3,GC$60,$FX$4:$GG$4))=0,0,((SUMIF($FX$3:$GG$3,GC$60,$FX134:$GG134))/SUMIF($FX$3:$GG$3,GC$60,$FX$4:$GG$4)))</f>
        <v>0</v>
      </c>
      <c r="GD85" s="196" t="n">
        <f aca="false">IF((SUMIF($FX$3:$GG$3,GD$60,$FX$4:$GG$4))=0,0,((SUMIF($FX$3:$GG$3,GD$60,$FX134:$GG134))/SUMIF($FX$3:$GG$3,GD$60,$FX$4:$GG$4)))</f>
        <v>0</v>
      </c>
      <c r="GE85" s="196" t="n">
        <f aca="false">IF((SUMIF($FX$3:$GG$3,GE$60,$FX$4:$GG$4))=0,0,((SUMIF($FX$3:$GG$3,GE$60,$FX134:$GG134))/SUMIF($FX$3:$GG$3,GE$60,$FX$4:$GG$4)))</f>
        <v>0</v>
      </c>
      <c r="GF85" s="196" t="n">
        <f aca="false">IF((SUMIF($FX$3:$GG$3,GF$60,$FX$4:$GG$4))=0,0,((SUMIF($FX$3:$GG$3,GF$60,$FX134:$GG134))/SUMIF($FX$3:$GG$3,GF$60,$FX$4:$GG$4)))</f>
        <v>0</v>
      </c>
      <c r="GG85" s="197" t="n">
        <f aca="false">IF((SUMIF($FX$3:$GG$3,GG$60,$FX$4:$GG$4))=0,0,((SUMIF($FX$3:$GG$3,GG$60,$FX134:$GG134))/SUMIF($FX$3:$GG$3,GG$60,$FX$4:$GG$4)))</f>
        <v>0</v>
      </c>
      <c r="GH85" s="194" t="str">
        <f aca="false">FW85</f>
        <v>Alumno24</v>
      </c>
      <c r="GI85" s="195" t="n">
        <f aca="false">IF((SUMIF($GI$3:$GR$3,GI$60,$GI$4:$GR$4))=0,0,((SUMIF($GI$3:$GR$3,GI$60,$GI134:$GR134))/SUMIF($GI$3:$GR$3,GI$60,$GI$4:$GR$4)))</f>
        <v>0</v>
      </c>
      <c r="GJ85" s="196" t="n">
        <f aca="false">IF((SUMIF($GI$3:$GR$3,GJ$60,$GI$4:$GR$4))=0,0,((SUMIF($GI$3:$GR$3,GJ$60,$GI134:$GR134))/SUMIF($GI$3:$GR$3,GJ$60,$GI$4:$GR$4)))</f>
        <v>0</v>
      </c>
      <c r="GK85" s="196" t="n">
        <f aca="false">IF((SUMIF($GI$3:$GR$3,GK$60,$GI$4:$GR$4))=0,0,((SUMIF($GI$3:$GR$3,GK$60,$GI134:$GR134))/SUMIF($GI$3:$GR$3,GK$60,$GI$4:$GR$4)))</f>
        <v>0</v>
      </c>
      <c r="GL85" s="196" t="n">
        <f aca="false">IF((SUMIF($GI$3:$GR$3,GL$60,$GI$4:$GR$4))=0,0,((SUMIF($GI$3:$GR$3,GL$60,$GI134:$GR134))/SUMIF($GI$3:$GR$3,GL$60,$GI$4:$GR$4)))</f>
        <v>0</v>
      </c>
      <c r="GM85" s="196" t="n">
        <f aca="false">IF((SUMIF($GI$3:$GR$3,GM$60,$GI$4:$GR$4))=0,0,((SUMIF($GI$3:$GR$3,GM$60,$GI134:$GR134))/SUMIF($GI$3:$GR$3,GM$60,$GI$4:$GR$4)))</f>
        <v>0</v>
      </c>
      <c r="GN85" s="196" t="n">
        <f aca="false">IF((SUMIF($GI$3:$GR$3,GN$60,$GI$4:$GR$4))=0,0,((SUMIF($GI$3:$GR$3,GN$60,$GI134:$GR134))/SUMIF($GI$3:$GR$3,GN$60,$GI$4:$GR$4)))</f>
        <v>0</v>
      </c>
      <c r="GO85" s="196" t="n">
        <f aca="false">IF((SUMIF($GI$3:$GR$3,GO$60,$GI$4:$GR$4))=0,0,((SUMIF($GI$3:$GR$3,GO$60,$GI134:$GR134))/SUMIF($GI$3:$GR$3,GO$60,$GI$4:$GR$4)))</f>
        <v>0</v>
      </c>
      <c r="GP85" s="196" t="n">
        <f aca="false">IF((SUMIF($GI$3:$GR$3,GP$60,$GI$4:$GR$4))=0,0,((SUMIF($GI$3:$GR$3,GP$60,$GI134:$GR134))/SUMIF($GI$3:$GR$3,GP$60,$GI$4:$GR$4)))</f>
        <v>0</v>
      </c>
      <c r="GQ85" s="196" t="n">
        <f aca="false">IF((SUMIF($GI$3:$GR$3,GQ$60,$GI$4:$GR$4))=0,0,((SUMIF($GI$3:$GR$3,GQ$60,$GI134:$GR134))/SUMIF($GI$3:$GR$3,GQ$60,$GI$4:$GR$4)))</f>
        <v>0</v>
      </c>
      <c r="GR85" s="197" t="n">
        <f aca="false">IF((SUMIF($GI$3:$GR$3,GR$60,$GI$4:$GR$4))=0,0,((SUMIF($GI$3:$GR$3,GR$60,$GI134:$GR134))/SUMIF($GI$3:$GR$3,GR$60,$GI$4:$GR$4)))</f>
        <v>0</v>
      </c>
      <c r="GS85" s="194" t="str">
        <f aca="false">GH85</f>
        <v>Alumno24</v>
      </c>
      <c r="GT85" s="195" t="n">
        <f aca="false">IF((SUMIF($GT$3:$HC$3,GT$60,$GT$4:$HC$4))=0,0,((SUMIF($GT$3:$HC$3,GT$60,$GT134:$HC134))/SUMIF($GT$3:$HC$3,GT$60,$GT$4:$HC$4)))</f>
        <v>0</v>
      </c>
      <c r="GU85" s="196" t="n">
        <f aca="false">IF((SUMIF($GT$3:$HC$3,GU$60,$GT$4:$HC$4))=0,0,((SUMIF($GT$3:$HC$3,GU$60,$GT134:$HC134))/SUMIF($GT$3:$HC$3,GU$60,$GT$4:$HC$4)))</f>
        <v>0</v>
      </c>
      <c r="GV85" s="196" t="n">
        <f aca="false">IF((SUMIF($GT$3:$HC$3,GV$60,$GT$4:$HC$4))=0,0,((SUMIF($GT$3:$HC$3,GV$60,$GT134:$HC134))/SUMIF($GT$3:$HC$3,GV$60,$GT$4:$HC$4)))</f>
        <v>0</v>
      </c>
      <c r="GW85" s="196" t="n">
        <f aca="false">IF((SUMIF($GT$3:$HC$3,GW$60,$GT$4:$HC$4))=0,0,((SUMIF($GT$3:$HC$3,GW$60,$GT134:$HC134))/SUMIF($GT$3:$HC$3,GW$60,$GT$4:$HC$4)))</f>
        <v>0</v>
      </c>
      <c r="GX85" s="196" t="n">
        <f aca="false">IF((SUMIF($GT$3:$HC$3,GX$60,$GT$4:$HC$4))=0,0,((SUMIF($GT$3:$HC$3,GX$60,$GT134:$HC134))/SUMIF($GT$3:$HC$3,GX$60,$GT$4:$HC$4)))</f>
        <v>0</v>
      </c>
      <c r="GY85" s="196" t="n">
        <f aca="false">IF((SUMIF($GT$3:$HC$3,GY$60,$GT$4:$HC$4))=0,0,((SUMIF($GT$3:$HC$3,GY$60,$GT134:$HC134))/SUMIF($GT$3:$HC$3,GY$60,$GT$4:$HC$4)))</f>
        <v>0</v>
      </c>
      <c r="GZ85" s="196" t="n">
        <f aca="false">IF((SUMIF($GT$3:$HC$3,GZ$60,$GT$4:$HC$4))=0,0,((SUMIF($GT$3:$HC$3,GZ$60,$GT134:$HC134))/SUMIF($GT$3:$HC$3,GZ$60,$GT$4:$HC$4)))</f>
        <v>0</v>
      </c>
      <c r="HA85" s="196" t="n">
        <f aca="false">IF((SUMIF($GT$3:$HC$3,HA$60,$GT$4:$HC$4))=0,0,((SUMIF($GT$3:$HC$3,HA$60,$GT134:$HC134))/SUMIF($GT$3:$HC$3,HA$60,$GT$4:$HC$4)))</f>
        <v>0</v>
      </c>
      <c r="HB85" s="196" t="n">
        <f aca="false">IF((SUMIF($GT$3:$HC$3,HB$60,$GT$4:$HC$4))=0,0,((SUMIF($GT$3:$HC$3,HB$60,$GT134:$HC134))/SUMIF($GT$3:$HC$3,HB$60,$GT$4:$HC$4)))</f>
        <v>0</v>
      </c>
      <c r="HC85" s="197" t="n">
        <f aca="false">IF((SUMIF($GT$3:$HC$3,HC$60,$GT$4:$HC$4))=0,0,((SUMIF($GT$3:$HC$3,HC$60,$GT134:$HC134))/SUMIF($GT$3:$HC$3,HC$60,$GT$4:$HC$4)))</f>
        <v>0</v>
      </c>
      <c r="HD85" s="194" t="str">
        <f aca="false">GS85</f>
        <v>Alumno24</v>
      </c>
      <c r="HE85" s="195" t="n">
        <f aca="false">IF((SUMIF($HE$3:$HN$3,HE$60,$HE$4:$HN$4))=0,0,((SUMIF($HE$3:$HN$3,HE$60,$HE134:$HN134))/SUMIF($HE$3:$HN$3,HE$60,$HE$4:$HN$4)))</f>
        <v>0</v>
      </c>
      <c r="HF85" s="196" t="n">
        <f aca="false">IF((SUMIF($HE$3:$HN$3,HF$60,$HE$4:$HN$4))=0,0,((SUMIF($HE$3:$HN$3,HF$60,$HE134:$HN134))/SUMIF($HE$3:$HN$3,HF$60,$HE$4:$HN$4)))</f>
        <v>0</v>
      </c>
      <c r="HG85" s="196" t="n">
        <f aca="false">IF((SUMIF($HE$3:$HN$3,HG$60,$HE$4:$HN$4))=0,0,((SUMIF($HE$3:$HN$3,HG$60,$HE134:$HN134))/SUMIF($HE$3:$HN$3,HG$60,$HE$4:$HN$4)))</f>
        <v>0</v>
      </c>
      <c r="HH85" s="196" t="n">
        <f aca="false">IF((SUMIF($HE$3:$HN$3,HH$60,$HE$4:$HN$4))=0,0,((SUMIF($HE$3:$HN$3,HH$60,$HE134:$HN134))/SUMIF($HE$3:$HN$3,HH$60,$HE$4:$HN$4)))</f>
        <v>0</v>
      </c>
      <c r="HI85" s="196" t="n">
        <f aca="false">IF((SUMIF($HE$3:$HN$3,HI$60,$HE$4:$HN$4))=0,0,((SUMIF($HE$3:$HN$3,HI$60,$HE134:$HN134))/SUMIF($HE$3:$HN$3,HI$60,$HE$4:$HN$4)))</f>
        <v>0</v>
      </c>
      <c r="HJ85" s="196" t="n">
        <f aca="false">IF((SUMIF($HE$3:$HN$3,HJ$60,$HE$4:$HN$4))=0,0,((SUMIF($HE$3:$HN$3,HJ$60,$HE134:$HN134))/SUMIF($HE$3:$HN$3,HJ$60,$HE$4:$HN$4)))</f>
        <v>0</v>
      </c>
      <c r="HK85" s="196" t="n">
        <f aca="false">IF((SUMIF($HE$3:$HN$3,HK$60,$HE$4:$HN$4))=0,0,((SUMIF($HE$3:$HN$3,HK$60,$HE134:$HN134))/SUMIF($HE$3:$HN$3,HK$60,$HE$4:$HN$4)))</f>
        <v>0</v>
      </c>
      <c r="HL85" s="196" t="n">
        <f aca="false">IF((SUMIF($HE$3:$HN$3,HL$60,$HE$4:$HN$4))=0,0,((SUMIF($HE$3:$HN$3,HL$60,$HE134:$HN134))/SUMIF($HE$3:$HN$3,HL$60,$HE$4:$HN$4)))</f>
        <v>0</v>
      </c>
      <c r="HM85" s="196" t="n">
        <f aca="false">IF((SUMIF($HE$3:$HN$3,HM$60,$HE$4:$HN$4))=0,0,((SUMIF($HE$3:$HN$3,HM$60,$HE134:$HN134))/SUMIF($HE$3:$HN$3,HM$60,$HE$4:$HN$4)))</f>
        <v>0</v>
      </c>
      <c r="HN85" s="197" t="n">
        <f aca="false">IF((SUMIF($HE$3:$HN$3,HN$60,$HE$4:$HN$4))=0,0,((SUMIF($HE$3:$HN$3,HN$60,$HE134:$HN134))/SUMIF($HE$3:$HN$3,HN$60,$HE$4:$HN$4)))</f>
        <v>0</v>
      </c>
      <c r="HO85" s="194" t="str">
        <f aca="false">HD85</f>
        <v>Alumno24</v>
      </c>
      <c r="HP85" s="195" t="n">
        <f aca="false">IF((SUMIF($HP$3:$HY$3,HP$60,$HP$4:$HY$4))=0,0,((SUMIF($HP$3:$HY$3,HP$60,$HP134:$HY134))/SUMIF($HP$3:$HY$3,HP$60,$HP$4:$HY$4)))</f>
        <v>0</v>
      </c>
      <c r="HQ85" s="196" t="n">
        <f aca="false">IF((SUMIF($HP$3:$HY$3,HQ$60,$HP$4:$HY$4))=0,0,((SUMIF($HP$3:$HY$3,HQ$60,$HP134:$HY134))/SUMIF($HP$3:$HY$3,HQ$60,$HP$4:$HY$4)))</f>
        <v>0</v>
      </c>
      <c r="HR85" s="196" t="n">
        <f aca="false">IF((SUMIF($HP$3:$HY$3,HR$60,$HP$4:$HY$4))=0,0,((SUMIF($HP$3:$HY$3,HR$60,$HP134:$HY134))/SUMIF($HP$3:$HY$3,HR$60,$HP$4:$HY$4)))</f>
        <v>0</v>
      </c>
      <c r="HS85" s="196" t="n">
        <f aca="false">IF((SUMIF($HP$3:$HY$3,HS$60,$HP$4:$HY$4))=0,0,((SUMIF($HP$3:$HY$3,HS$60,$HP134:$HY134))/SUMIF($HP$3:$HY$3,HS$60,$HP$4:$HY$4)))</f>
        <v>0</v>
      </c>
      <c r="HT85" s="196" t="n">
        <f aca="false">IF((SUMIF($HP$3:$HY$3,HT$60,$HP$4:$HY$4))=0,0,((SUMIF($HP$3:$HY$3,HT$60,$HP134:$HY134))/SUMIF($HP$3:$HY$3,HT$60,$HP$4:$HY$4)))</f>
        <v>0</v>
      </c>
      <c r="HU85" s="196" t="n">
        <f aca="false">IF((SUMIF($HP$3:$HY$3,HU$60,$HP$4:$HY$4))=0,0,((SUMIF($HP$3:$HY$3,HU$60,$HP134:$HY134))/SUMIF($HP$3:$HY$3,HU$60,$HP$4:$HY$4)))</f>
        <v>0</v>
      </c>
      <c r="HV85" s="196" t="n">
        <f aca="false">IF((SUMIF($HP$3:$HY$3,HV$60,$HP$4:$HY$4))=0,0,((SUMIF($HP$3:$HY$3,HV$60,$HP134:$HY134))/SUMIF($HP$3:$HY$3,HV$60,$HP$4:$HY$4)))</f>
        <v>0</v>
      </c>
      <c r="HW85" s="196" t="n">
        <f aca="false">IF((SUMIF($HP$3:$HY$3,HW$60,$HP$4:$HY$4))=0,0,((SUMIF($HP$3:$HY$3,HW$60,$HP134:$HY134))/SUMIF($HP$3:$HY$3,HW$60,$HP$4:$HY$4)))</f>
        <v>0</v>
      </c>
      <c r="HX85" s="196" t="n">
        <f aca="false">IF((SUMIF($HP$3:$HY$3,HX$60,$HP$4:$HY$4))=0,0,((SUMIF($HP$3:$HY$3,HX$60,$HP134:$HY134))/SUMIF($HP$3:$HY$3,HX$60,$HP$4:$HY$4)))</f>
        <v>0</v>
      </c>
      <c r="HY85" s="197" t="n">
        <f aca="false">IF((SUMIF($HP$3:$HY$3,HY$60,$HP$4:$HY$4))=0,0,((SUMIF($HP$3:$HY$3,HY$60,$HP134:$HY134))/SUMIF($HP$3:$HY$3,HY$60,$HP$4:$HY$4)))</f>
        <v>0</v>
      </c>
      <c r="HZ85" s="194" t="str">
        <f aca="false">HO85</f>
        <v>Alumno24</v>
      </c>
      <c r="IA85" s="195" t="n">
        <f aca="false">IF((SUMIF($IA$3:$IJ$3,IA$60,$IA$4:$IJ$4))=0,0,((SUMIF($IA$3:$IJ$3,IA$60,$IA134:$IJ134))/SUMIF($IA$3:$IJ$3,IA$60,$IA$4:$IJ$4)))</f>
        <v>0</v>
      </c>
      <c r="IB85" s="196" t="n">
        <f aca="false">IF((SUMIF($IA$3:$IJ$3,IB$60,$IA$4:$IJ$4))=0,0,((SUMIF($IA$3:$IJ$3,IB$60,$IA134:$IJ134))/SUMIF($IA$3:$IJ$3,IB$60,$IA$4:$IJ$4)))</f>
        <v>0</v>
      </c>
      <c r="IC85" s="196" t="n">
        <f aca="false">IF((SUMIF($IA$3:$IJ$3,IC$60,$IA$4:$IJ$4))=0,0,((SUMIF($IA$3:$IJ$3,IC$60,$IA134:$IJ134))/SUMIF($IA$3:$IJ$3,IC$60,$IA$4:$IJ$4)))</f>
        <v>0</v>
      </c>
      <c r="ID85" s="196" t="n">
        <f aca="false">IF((SUMIF($IA$3:$IJ$3,ID$60,$IA$4:$IJ$4))=0,0,((SUMIF($IA$3:$IJ$3,ID$60,$IA134:$IJ134))/SUMIF($IA$3:$IJ$3,ID$60,$IA$4:$IJ$4)))</f>
        <v>0</v>
      </c>
      <c r="IE85" s="196" t="n">
        <f aca="false">IF((SUMIF($IA$3:$IJ$3,IE$60,$IA$4:$IJ$4))=0,0,((SUMIF($IA$3:$IJ$3,IE$60,$IA134:$IJ134))/SUMIF($IA$3:$IJ$3,IE$60,$IA$4:$IJ$4)))</f>
        <v>0</v>
      </c>
      <c r="IF85" s="196" t="n">
        <f aca="false">IF((SUMIF($IA$3:$IJ$3,IF$60,$IA$4:$IJ$4))=0,0,((SUMIF($IA$3:$IJ$3,IF$60,$IA134:$IJ134))/SUMIF($IA$3:$IJ$3,IF$60,$IA$4:$IJ$4)))</f>
        <v>0</v>
      </c>
      <c r="IG85" s="196" t="n">
        <f aca="false">IF((SUMIF($IA$3:$IJ$3,IG$60,$IA$4:$IJ$4))=0,0,((SUMIF($IA$3:$IJ$3,IG$60,$IA134:$IJ134))/SUMIF($IA$3:$IJ$3,IG$60,$IA$4:$IJ$4)))</f>
        <v>0</v>
      </c>
      <c r="IH85" s="196" t="n">
        <f aca="false">IF((SUMIF($IA$3:$IJ$3,IH$60,$IA$4:$IJ$4))=0,0,((SUMIF($IA$3:$IJ$3,IH$60,$IA134:$IJ134))/SUMIF($IA$3:$IJ$3,IH$60,$IA$4:$IJ$4)))</f>
        <v>0</v>
      </c>
      <c r="II85" s="196" t="n">
        <f aca="false">IF((SUMIF($IA$3:$IJ$3,II$60,$IA$4:$IJ$4))=0,0,((SUMIF($IA$3:$IJ$3,II$60,$IA134:$IJ134))/SUMIF($IA$3:$IJ$3,II$60,$IA$4:$IJ$4)))</f>
        <v>0</v>
      </c>
      <c r="IJ85" s="197" t="n">
        <f aca="false">IF((SUMIF($IA$3:$IJ$3,IJ$60,$IA$4:$IJ$4))=0,0,((SUMIF($IA$3:$IJ$3,IJ$60,$IA134:$IJ134))/SUMIF($IA$3:$IJ$3,IJ$60,$IA$4:$IJ$4)))</f>
        <v>0</v>
      </c>
      <c r="IK85" s="194" t="str">
        <f aca="false">HZ85</f>
        <v>Alumno24</v>
      </c>
      <c r="IL85" s="195" t="n">
        <f aca="false">IF((SUMIF($IL$3:$IU$3,IL$60,$IL$4:$IU$4))=0,0,((SUMIF($IL$3:$IU$3,IL$60,$IL134:$IU134))/SUMIF($IL$3:$IU$3,IL$60,$IL$4:$IU$4)))</f>
        <v>0</v>
      </c>
      <c r="IM85" s="196" t="n">
        <f aca="false">IF((SUMIF($IL$3:$IU$3,IM$60,$IL$4:$IU$4))=0,0,((SUMIF($IL$3:$IU$3,IM$60,$IL134:$IU134))/SUMIF($IL$3:$IU$3,IM$60,$IL$4:$IU$4)))</f>
        <v>0</v>
      </c>
      <c r="IN85" s="196" t="n">
        <f aca="false">IF((SUMIF($IL$3:$IU$3,IN$60,$IL$4:$IU$4))=0,0,((SUMIF($IL$3:$IU$3,IN$60,$IL134:$IU134))/SUMIF($IL$3:$IU$3,IN$60,$IL$4:$IU$4)))</f>
        <v>0</v>
      </c>
      <c r="IO85" s="196" t="n">
        <f aca="false">IF((SUMIF($IL$3:$IU$3,IO$60,$IL$4:$IU$4))=0,0,((SUMIF($IL$3:$IU$3,IO$60,$IL134:$IU134))/SUMIF($IL$3:$IU$3,IO$60,$IL$4:$IU$4)))</f>
        <v>0</v>
      </c>
      <c r="IP85" s="196" t="n">
        <f aca="false">IF((SUMIF($IL$3:$IU$3,IP$60,$IL$4:$IU$4))=0,0,((SUMIF($IL$3:$IU$3,IP$60,$IL134:$IU134))/SUMIF($IL$3:$IU$3,IP$60,$IL$4:$IU$4)))</f>
        <v>0</v>
      </c>
      <c r="IQ85" s="196" t="n">
        <f aca="false">IF((SUMIF($IL$3:$IU$3,IQ$60,$IL$4:$IU$4))=0,0,((SUMIF($IL$3:$IU$3,IQ$60,$IL134:$IU134))/SUMIF($IL$3:$IU$3,IQ$60,$IL$4:$IU$4)))</f>
        <v>0</v>
      </c>
      <c r="IR85" s="196" t="n">
        <f aca="false">IF((SUMIF($IL$3:$IU$3,IR$60,$IL$4:$IU$4))=0,0,((SUMIF($IL$3:$IU$3,IR$60,$IL134:$IU134))/SUMIF($IL$3:$IU$3,IR$60,$IL$4:$IU$4)))</f>
        <v>0</v>
      </c>
      <c r="IS85" s="196" t="n">
        <f aca="false">IF((SUMIF($IL$3:$IU$3,IS$60,$IL$4:$IU$4))=0,0,((SUMIF($IL$3:$IU$3,IS$60,$IL134:$IU134))/SUMIF($IL$3:$IU$3,IS$60,$IL$4:$IU$4)))</f>
        <v>0</v>
      </c>
      <c r="IT85" s="196" t="n">
        <f aca="false">IF((SUMIF($IL$3:$IU$3,IT$60,$IL$4:$IU$4))=0,0,((SUMIF($IL$3:$IU$3,IT$60,$IL134:$IU134))/SUMIF($IL$3:$IU$3,IT$60,$IL$4:$IU$4)))</f>
        <v>0</v>
      </c>
      <c r="IU85" s="197" t="n">
        <f aca="false">IF((SUMIF($IL$3:$IU$3,IU$60,$IL$4:$IU$4))=0,0,((SUMIF($IL$3:$IU$3,IU$60,$IL134:$IU134))/SUMIF($IL$3:$IU$3,IU$60,$IL$4:$IU$4)))</f>
        <v>0</v>
      </c>
      <c r="IV85" s="194" t="str">
        <f aca="false">IK85</f>
        <v>Alumno24</v>
      </c>
      <c r="IW85" s="195" t="n">
        <f aca="false">IF((SUMIF($IW$3:$JF$3,IW$60,$IW$4:$JF$4))=0,0,((SUMIF($IW$3:$JF$3,IW$60,$IW134:$JF134))/SUMIF($IW$3:$JF$3,IW$60,$IW$4:$JF$4)))</f>
        <v>0</v>
      </c>
      <c r="IX85" s="196" t="n">
        <f aca="false">IF((SUMIF($IW$3:$JF$3,IX$60,$IW$4:$JF$4))=0,0,((SUMIF($IW$3:$JF$3,IX$60,$IW134:$JF134))/SUMIF($IW$3:$JF$3,IX$60,$IW$4:$JF$4)))</f>
        <v>0</v>
      </c>
      <c r="IY85" s="196" t="n">
        <f aca="false">IF((SUMIF($IW$3:$JF$3,IY$60,$IW$4:$JF$4))=0,0,((SUMIF($IW$3:$JF$3,IY$60,$IW134:$JF134))/SUMIF($IW$3:$JF$3,IY$60,$IW$4:$JF$4)))</f>
        <v>0</v>
      </c>
      <c r="IZ85" s="196" t="n">
        <f aca="false">IF((SUMIF($IW$3:$JF$3,IZ$60,$IW$4:$JF$4))=0,0,((SUMIF($IW$3:$JF$3,IZ$60,$IW134:$JF134))/SUMIF($IW$3:$JF$3,IZ$60,$IW$4:$JF$4)))</f>
        <v>0</v>
      </c>
      <c r="JA85" s="196" t="n">
        <f aca="false">IF((SUMIF($IW$3:$JF$3,JA$60,$IW$4:$JF$4))=0,0,((SUMIF($IW$3:$JF$3,JA$60,$IW134:$JF134))/SUMIF($IW$3:$JF$3,JA$60,$IW$4:$JF$4)))</f>
        <v>0</v>
      </c>
      <c r="JB85" s="196" t="n">
        <f aca="false">IF((SUMIF($IW$3:$JF$3,JB$60,$IW$4:$JF$4))=0,0,((SUMIF($IW$3:$JF$3,JB$60,$IW134:$JF134))/SUMIF($IW$3:$JF$3,JB$60,$IW$4:$JF$4)))</f>
        <v>0</v>
      </c>
      <c r="JC85" s="196" t="n">
        <f aca="false">IF((SUMIF($IW$3:$JF$3,JC$60,$IW$4:$JF$4))=0,0,((SUMIF($IW$3:$JF$3,JC$60,$IW134:$JF134))/SUMIF($IW$3:$JF$3,JC$60,$IW$4:$JF$4)))</f>
        <v>0</v>
      </c>
      <c r="JD85" s="196" t="n">
        <f aca="false">IF((SUMIF($IW$3:$JF$3,JD$60,$IW$4:$JF$4))=0,0,((SUMIF($IW$3:$JF$3,JD$60,$IW134:$JF134))/SUMIF($IW$3:$JF$3,JD$60,$IW$4:$JF$4)))</f>
        <v>0</v>
      </c>
      <c r="JE85" s="196" t="n">
        <f aca="false">IF((SUMIF($IW$3:$JF$3,JE$60,$IW$4:$JF$4))=0,0,((SUMIF($IW$3:$JF$3,JE$60,$IW134:$JF134))/SUMIF($IW$3:$JF$3,JE$60,$IW$4:$JF$4)))</f>
        <v>0</v>
      </c>
      <c r="JF85" s="197" t="n">
        <f aca="false">IF((SUMIF($IW$3:$JF$3,JF$60,$IW$4:$JF$4))=0,0,((SUMIF($IW$3:$JF$3,JF$60,$IW134:$JF134))/SUMIF($IW$3:$JF$3,JF$60,$IW$4:$JF$4)))</f>
        <v>0</v>
      </c>
      <c r="JG85" s="194" t="str">
        <f aca="false">IV85</f>
        <v>Alumno24</v>
      </c>
      <c r="JH85" s="195" t="n">
        <f aca="false">IF((SUMIF($JH$3:$JQ$3,JH$60,$JH$4:$JQ$4))=0,0,((SUMIF($JH$3:$JQ$3,JH$60,$JH134:$JQ134))/SUMIF($JH$3:$JQ$3,JH$60,$JH$4:$JQ$4)))</f>
        <v>0</v>
      </c>
      <c r="JI85" s="196" t="n">
        <f aca="false">IF((SUMIF($JH$3:$JQ$3,JI$60,$JH$4:$JQ$4))=0,0,((SUMIF($JH$3:$JQ$3,JI$60,$JH134:$JQ134))/SUMIF($JH$3:$JQ$3,JI$60,$JH$4:$JQ$4)))</f>
        <v>0</v>
      </c>
      <c r="JJ85" s="196" t="n">
        <f aca="false">IF((SUMIF($JH$3:$JQ$3,JJ$60,$JH$4:$JQ$4))=0,0,((SUMIF($JH$3:$JQ$3,JJ$60,$JH134:$JQ134))/SUMIF($JH$3:$JQ$3,JJ$60,$JH$4:$JQ$4)))</f>
        <v>0</v>
      </c>
      <c r="JK85" s="196" t="n">
        <f aca="false">IF((SUMIF($JH$3:$JQ$3,JK$60,$JH$4:$JQ$4))=0,0,((SUMIF($JH$3:$JQ$3,JK$60,$JH134:$JQ134))/SUMIF($JH$3:$JQ$3,JK$60,$JH$4:$JQ$4)))</f>
        <v>0</v>
      </c>
      <c r="JL85" s="196" t="n">
        <f aca="false">IF((SUMIF($JH$3:$JQ$3,JL$60,$JH$4:$JQ$4))=0,0,((SUMIF($JH$3:$JQ$3,JL$60,$JH134:$JQ134))/SUMIF($JH$3:$JQ$3,JL$60,$JH$4:$JQ$4)))</f>
        <v>0</v>
      </c>
      <c r="JM85" s="196" t="n">
        <f aca="false">IF((SUMIF($JH$3:$JQ$3,JM$60,$JH$4:$JQ$4))=0,0,((SUMIF($JH$3:$JQ$3,JM$60,$JH134:$JQ134))/SUMIF($JH$3:$JQ$3,JM$60,$JH$4:$JQ$4)))</f>
        <v>0</v>
      </c>
      <c r="JN85" s="196" t="n">
        <f aca="false">IF((SUMIF($JH$3:$JQ$3,JN$60,$JH$4:$JQ$4))=0,0,((SUMIF($JH$3:$JQ$3,JN$60,$JH134:$JQ134))/SUMIF($JH$3:$JQ$3,JN$60,$JH$4:$JQ$4)))</f>
        <v>0</v>
      </c>
      <c r="JO85" s="196" t="n">
        <f aca="false">IF((SUMIF($JH$3:$JQ$3,JO$60,$JH$4:$JQ$4))=0,0,((SUMIF($JH$3:$JQ$3,JO$60,$JH134:$JQ134))/SUMIF($JH$3:$JQ$3,JO$60,$JH$4:$JQ$4)))</f>
        <v>0</v>
      </c>
      <c r="JP85" s="196" t="n">
        <f aca="false">IF((SUMIF($JH$3:$JQ$3,JP$60,$JH$4:$JQ$4))=0,0,((SUMIF($JH$3:$JQ$3,JP$60,$JH134:$JQ134))/SUMIF($JH$3:$JQ$3,JP$60,$JH$4:$JQ$4)))</f>
        <v>0</v>
      </c>
      <c r="JQ85" s="197" t="n">
        <f aca="false">IF((SUMIF($JH$3:$JQ$3,JQ$60,$JH$4:$JQ$4))=0,0,((SUMIF($JH$3:$JQ$3,JQ$60,$JH134:$JQ134))/SUMIF($JH$3:$JQ$3,JQ$60,$JH$4:$JQ$4)))</f>
        <v>0</v>
      </c>
      <c r="JR85" s="194" t="str">
        <f aca="false">JG85</f>
        <v>Alumno24</v>
      </c>
      <c r="JS85" s="195" t="n">
        <f aca="false">IF((SUMIF($JS$3:$KB$3,JS$60,$JS$4:$KB$4))=0,0,((SUMIF($JS$3:$KB$3,JS$60,$JS134:$KB134))/SUMIF($JS$3:$KB$3,JS$60,$JS$4:$KB$4)))</f>
        <v>0</v>
      </c>
      <c r="JT85" s="196" t="n">
        <f aca="false">IF((SUMIF($JS$3:$KB$3,JT$60,$JS$4:$KB$4))=0,0,((SUMIF($JS$3:$KB$3,JT$60,$JS134:$KB134))/SUMIF($JS$3:$KB$3,JT$60,$JS$4:$KB$4)))</f>
        <v>0</v>
      </c>
      <c r="JU85" s="196" t="n">
        <f aca="false">IF((SUMIF($JS$3:$KB$3,JU$60,$JS$4:$KB$4))=0,0,((SUMIF($JS$3:$KB$3,JU$60,$JS134:$KB134))/SUMIF($JS$3:$KB$3,JU$60,$JS$4:$KB$4)))</f>
        <v>0</v>
      </c>
      <c r="JV85" s="196" t="n">
        <f aca="false">IF((SUMIF($JS$3:$KB$3,JV$60,$JS$4:$KB$4))=0,0,((SUMIF($JS$3:$KB$3,JV$60,$JS134:$KB134))/SUMIF($JS$3:$KB$3,JV$60,$JS$4:$KB$4)))</f>
        <v>0</v>
      </c>
      <c r="JW85" s="196" t="n">
        <f aca="false">IF((SUMIF($JS$3:$KB$3,JW$60,$JS$4:$KB$4))=0,0,((SUMIF($JS$3:$KB$3,JW$60,$JS134:$KB134))/SUMIF($JS$3:$KB$3,JW$60,$JS$4:$KB$4)))</f>
        <v>0</v>
      </c>
      <c r="JX85" s="196" t="n">
        <f aca="false">IF((SUMIF($JS$3:$KB$3,JX$60,$JS$4:$KB$4))=0,0,((SUMIF($JS$3:$KB$3,JX$60,$JS134:$KB134))/SUMIF($JS$3:$KB$3,JX$60,$JS$4:$KB$4)))</f>
        <v>0</v>
      </c>
      <c r="JY85" s="196" t="n">
        <f aca="false">IF((SUMIF($JS$3:$KB$3,JY$60,$JS$4:$KB$4))=0,0,((SUMIF($JS$3:$KB$3,JY$60,$JS134:$KB134))/SUMIF($JS$3:$KB$3,JY$60,$JS$4:$KB$4)))</f>
        <v>0</v>
      </c>
      <c r="JZ85" s="196" t="n">
        <f aca="false">IF((SUMIF($JS$3:$KB$3,JZ$60,$JS$4:$KB$4))=0,0,((SUMIF($JS$3:$KB$3,JZ$60,$JS134:$KB134))/SUMIF($JS$3:$KB$3,JZ$60,$JS$4:$KB$4)))</f>
        <v>0</v>
      </c>
      <c r="KA85" s="196" t="n">
        <f aca="false">IF((SUMIF($JS$3:$KB$3,KA$60,$JS$4:$KB$4))=0,0,((SUMIF($JS$3:$KB$3,KA$60,$JS134:$KB134))/SUMIF($JS$3:$KB$3,KA$60,$JS$4:$KB$4)))</f>
        <v>0</v>
      </c>
      <c r="KB85" s="197" t="n">
        <f aca="false">IF((SUMIF($JS$3:$KB$3,KB$60,$JS$4:$KB$4))=0,0,((SUMIF($JS$3:$KB$3,KB$60,$JS134:$KB134))/SUMIF($JS$3:$KB$3,KB$60,$JS$4:$KB$4)))</f>
        <v>0</v>
      </c>
      <c r="KC85" s="194" t="str">
        <f aca="false">JR85</f>
        <v>Alumno24</v>
      </c>
      <c r="KD85" s="195" t="n">
        <f aca="false">IF((SUMIF($KD$3:$KM$3,KD$60,$KD$4:$KM$4))=0,0,((SUMIF($KD$3:$KM$3,KD$60,$KD134:$KM134))/SUMIF($KD$3:$KM$3,KD$60,$KD$4:$KM$4)))</f>
        <v>0</v>
      </c>
      <c r="KE85" s="196" t="n">
        <f aca="false">IF((SUMIF($KD$3:$KM$3,KE$60,$KD$4:$KM$4))=0,0,((SUMIF($KD$3:$KM$3,KE$60,$KD134:$KM134))/SUMIF($KD$3:$KM$3,KE$60,$KD$4:$KM$4)))</f>
        <v>0</v>
      </c>
      <c r="KF85" s="196" t="n">
        <f aca="false">IF((SUMIF($KD$3:$KM$3,KF$60,$KD$4:$KM$4))=0,0,((SUMIF($KD$3:$KM$3,KF$60,$KD134:$KM134))/SUMIF($KD$3:$KM$3,KF$60,$KD$4:$KM$4)))</f>
        <v>0</v>
      </c>
      <c r="KG85" s="196" t="n">
        <f aca="false">IF((SUMIF($KD$3:$KM$3,KG$60,$KD$4:$KM$4))=0,0,((SUMIF($KD$3:$KM$3,KG$60,$KD134:$KM134))/SUMIF($KD$3:$KM$3,KG$60,$KD$4:$KM$4)))</f>
        <v>0</v>
      </c>
      <c r="KH85" s="196" t="n">
        <f aca="false">IF((SUMIF($KD$3:$KM$3,KH$60,$KD$4:$KM$4))=0,0,((SUMIF($KD$3:$KM$3,KH$60,$KD134:$KM134))/SUMIF($KD$3:$KM$3,KH$60,$KD$4:$KM$4)))</f>
        <v>0</v>
      </c>
      <c r="KI85" s="196" t="n">
        <f aca="false">IF((SUMIF($KD$3:$KM$3,KI$60,$KD$4:$KM$4))=0,0,((SUMIF($KD$3:$KM$3,KI$60,$KD134:$KM134))/SUMIF($KD$3:$KM$3,KI$60,$KD$4:$KM$4)))</f>
        <v>0</v>
      </c>
      <c r="KJ85" s="196" t="n">
        <f aca="false">IF((SUMIF($KD$3:$KM$3,KJ$60,$KD$4:$KM$4))=0,0,((SUMIF($KD$3:$KM$3,KJ$60,$KD134:$KM134))/SUMIF($KD$3:$KM$3,KJ$60,$KD$4:$KM$4)))</f>
        <v>0</v>
      </c>
      <c r="KK85" s="196" t="n">
        <f aca="false">IF((SUMIF($KD$3:$KM$3,KK$60,$KD$4:$KM$4))=0,0,((SUMIF($KD$3:$KM$3,KK$60,$KD134:$KM134))/SUMIF($KD$3:$KM$3,KK$60,$KD$4:$KM$4)))</f>
        <v>0</v>
      </c>
      <c r="KL85" s="196" t="n">
        <f aca="false">IF((SUMIF($KD$3:$KM$3,KL$60,$KD$4:$KM$4))=0,0,((SUMIF($KD$3:$KM$3,KL$60,$KD134:$KM134))/SUMIF($KD$3:$KM$3,KL$60,$KD$4:$KM$4)))</f>
        <v>0</v>
      </c>
      <c r="KM85" s="197" t="n">
        <f aca="false">IF((SUMIF($KD$3:$KM$3,KM$60,$KD$4:$KM$4))=0,0,((SUMIF($KD$3:$KM$3,KM$60,$KD134:$KM134))/SUMIF($KD$3:$KM$3,KM$60,$KD$4:$KM$4)))</f>
        <v>0</v>
      </c>
      <c r="KN85" s="194" t="str">
        <f aca="false">KC85</f>
        <v>Alumno24</v>
      </c>
      <c r="KO85" s="195" t="n">
        <f aca="false">IF((SUMIF($KO$3:$KX$3,KO$60,$KO$4:$KX$4))=0,0,((SUMIF($KO$3:$KX$3,KO$60,$KO134:$KX134))/SUMIF($KO$3:$KX$3,KO$60,$KO$4:$KX$4)))</f>
        <v>0</v>
      </c>
      <c r="KP85" s="196" t="n">
        <f aca="false">IF((SUMIF($KO$3:$KX$3,KP$60,$KO$4:$KX$4))=0,0,((SUMIF($KO$3:$KX$3,KP$60,$KO134:$KX134))/SUMIF($KO$3:$KX$3,KP$60,$KO$4:$KX$4)))</f>
        <v>0</v>
      </c>
      <c r="KQ85" s="196" t="n">
        <f aca="false">IF((SUMIF($KO$3:$KX$3,KQ$60,$KO$4:$KX$4))=0,0,((SUMIF($KO$3:$KX$3,KQ$60,$KO134:$KX134))/SUMIF($KO$3:$KX$3,KQ$60,$KO$4:$KX$4)))</f>
        <v>0</v>
      </c>
      <c r="KR85" s="196" t="n">
        <f aca="false">IF((SUMIF($KO$3:$KX$3,KR$60,$KO$4:$KX$4))=0,0,((SUMIF($KO$3:$KX$3,KR$60,$KO134:$KX134))/SUMIF($KO$3:$KX$3,KR$60,$KO$4:$KX$4)))</f>
        <v>0</v>
      </c>
      <c r="KS85" s="196" t="n">
        <f aca="false">IF((SUMIF($KO$3:$KX$3,KS$60,$KO$4:$KX$4))=0,0,((SUMIF($KO$3:$KX$3,KS$60,$KO134:$KX134))/SUMIF($KO$3:$KX$3,KS$60,$KO$4:$KX$4)))</f>
        <v>0</v>
      </c>
      <c r="KT85" s="196" t="n">
        <f aca="false">IF((SUMIF($KO$3:$KX$3,KT$60,$KO$4:$KX$4))=0,0,((SUMIF($KO$3:$KX$3,KT$60,$KO134:$KX134))/SUMIF($KO$3:$KX$3,KT$60,$KO$4:$KX$4)))</f>
        <v>0</v>
      </c>
      <c r="KU85" s="196" t="n">
        <f aca="false">IF((SUMIF($KO$3:$KX$3,KU$60,$KO$4:$KX$4))=0,0,((SUMIF($KO$3:$KX$3,KU$60,$KO134:$KX134))/SUMIF($KO$3:$KX$3,KU$60,$KO$4:$KX$4)))</f>
        <v>0</v>
      </c>
      <c r="KV85" s="196" t="n">
        <f aca="false">IF((SUMIF($KO$3:$KX$3,KV$60,$KO$4:$KX$4))=0,0,((SUMIF($KO$3:$KX$3,KV$60,$KO134:$KX134))/SUMIF($KO$3:$KX$3,KV$60,$KO$4:$KX$4)))</f>
        <v>0</v>
      </c>
      <c r="KW85" s="196" t="n">
        <f aca="false">IF((SUMIF($KO$3:$KX$3,KW$60,$KO$4:$KX$4))=0,0,((SUMIF($KO$3:$KX$3,KW$60,$KO134:$KX134))/SUMIF($KO$3:$KX$3,KW$60,$KO$4:$KX$4)))</f>
        <v>0</v>
      </c>
      <c r="KX85" s="197" t="n">
        <f aca="false">IF((SUMIF($KO$3:$KX$3,KX$60,$KO$4:$KX$4))=0,0,((SUMIF($KO$3:$KX$3,KX$60,$KO134:$KX134))/SUMIF($KO$3:$KX$3,KX$60,$KO$4:$KX$4)))</f>
        <v>0</v>
      </c>
      <c r="KY85" s="194" t="str">
        <f aca="false">KN85</f>
        <v>Alumno24</v>
      </c>
      <c r="KZ85" s="195" t="n">
        <f aca="false">IF((SUMIF($KZ$3:$LI$3,KZ$60,$KZ$4:$LI$4))=0,0,((SUMIF($KZ$3:$LI$3,KZ$60,$KZ134:$LI134))/SUMIF($KZ$3:$LI$3,KZ$60,$KZ$4:$LI$4)))</f>
        <v>0</v>
      </c>
      <c r="LA85" s="196" t="n">
        <f aca="false">IF((SUMIF($KZ$3:$LI$3,LA$60,$KZ$4:$LI$4))=0,0,((SUMIF($KZ$3:$LI$3,LA$60,$KZ134:$LI134))/SUMIF($KZ$3:$LI$3,LA$60,$KZ$4:$LI$4)))</f>
        <v>0</v>
      </c>
      <c r="LB85" s="196" t="n">
        <f aca="false">IF((SUMIF($KZ$3:$LI$3,LB$60,$KZ$4:$LI$4))=0,0,((SUMIF($KZ$3:$LI$3,LB$60,$KZ134:$LI134))/SUMIF($KZ$3:$LI$3,LB$60,$KZ$4:$LI$4)))</f>
        <v>0</v>
      </c>
      <c r="LC85" s="196" t="n">
        <f aca="false">IF((SUMIF($KZ$3:$LI$3,LC$60,$KZ$4:$LI$4))=0,0,((SUMIF($KZ$3:$LI$3,LC$60,$KZ134:$LI134))/SUMIF($KZ$3:$LI$3,LC$60,$KZ$4:$LI$4)))</f>
        <v>0</v>
      </c>
      <c r="LD85" s="196" t="n">
        <f aca="false">IF((SUMIF($KZ$3:$LI$3,LD$60,$KZ$4:$LI$4))=0,0,((SUMIF($KZ$3:$LI$3,LD$60,$KZ134:$LI134))/SUMIF($KZ$3:$LI$3,LD$60,$KZ$4:$LI$4)))</f>
        <v>0</v>
      </c>
      <c r="LE85" s="196" t="n">
        <f aca="false">IF((SUMIF($KZ$3:$LI$3,LE$60,$KZ$4:$LI$4))=0,0,((SUMIF($KZ$3:$LI$3,LE$60,$KZ134:$LI134))/SUMIF($KZ$3:$LI$3,LE$60,$KZ$4:$LI$4)))</f>
        <v>0</v>
      </c>
      <c r="LF85" s="196" t="n">
        <f aca="false">IF((SUMIF($KZ$3:$LI$3,LF$60,$KZ$4:$LI$4))=0,0,((SUMIF($KZ$3:$LI$3,LF$60,$KZ134:$LI134))/SUMIF($KZ$3:$LI$3,LF$60,$KZ$4:$LI$4)))</f>
        <v>0</v>
      </c>
      <c r="LG85" s="196" t="n">
        <f aca="false">IF((SUMIF($KZ$3:$LI$3,LG$60,$KZ$4:$LI$4))=0,0,((SUMIF($KZ$3:$LI$3,LG$60,$KZ134:$LI134))/SUMIF($KZ$3:$LI$3,LG$60,$KZ$4:$LI$4)))</f>
        <v>0</v>
      </c>
      <c r="LH85" s="196" t="n">
        <f aca="false">IF((SUMIF($KZ$3:$LI$3,LH$60,$KZ$4:$LI$4))=0,0,((SUMIF($KZ$3:$LI$3,LH$60,$KZ134:$LI134))/SUMIF($KZ$3:$LI$3,LH$60,$KZ$4:$LI$4)))</f>
        <v>0</v>
      </c>
      <c r="LI85" s="197" t="n">
        <f aca="false">IF((SUMIF($KZ$3:$LI$3,LI$60,$KZ$4:$LI$4))=0,0,((SUMIF($KZ$3:$LI$3,LI$60,$KZ134:$LI134))/SUMIF($KZ$3:$LI$3,LI$60,$KZ$4:$LI$4)))</f>
        <v>0</v>
      </c>
      <c r="LJ85" s="194" t="str">
        <f aca="false">KY85</f>
        <v>Alumno24</v>
      </c>
      <c r="LK85" s="195" t="n">
        <f aca="false">IF((SUMIF($LK$3:$LT$3,LK$60,$LK$4:$LT$4))=0,0,((SUMIF($LK$3:$LT$3,LK$60,$LK134:$LT134))/SUMIF($LK$3:$LT$3,LK$60,$LK$4:$LT$4)))</f>
        <v>0</v>
      </c>
      <c r="LL85" s="196" t="n">
        <f aca="false">IF((SUMIF($LK$3:$LT$3,LL$60,$LK$4:$LT$4))=0,0,((SUMIF($LK$3:$LT$3,LL$60,$LK134:$LT134))/SUMIF($LK$3:$LT$3,LL$60,$LK$4:$LT$4)))</f>
        <v>0</v>
      </c>
      <c r="LM85" s="196" t="n">
        <f aca="false">IF((SUMIF($LK$3:$LT$3,LM$60,$LK$4:$LT$4))=0,0,((SUMIF($LK$3:$LT$3,LM$60,$LK134:$LT134))/SUMIF($LK$3:$LT$3,LM$60,$LK$4:$LT$4)))</f>
        <v>0</v>
      </c>
      <c r="LN85" s="196" t="n">
        <f aca="false">IF((SUMIF($LK$3:$LT$3,LN$60,$LK$4:$LT$4))=0,0,((SUMIF($LK$3:$LT$3,LN$60,$LK134:$LT134))/SUMIF($LK$3:$LT$3,LN$60,$LK$4:$LT$4)))</f>
        <v>0</v>
      </c>
      <c r="LO85" s="196" t="n">
        <f aca="false">IF((SUMIF($LK$3:$LT$3,LO$60,$LK$4:$LT$4))=0,0,((SUMIF($LK$3:$LT$3,LO$60,$LK134:$LT134))/SUMIF($LK$3:$LT$3,LO$60,$LK$4:$LT$4)))</f>
        <v>0</v>
      </c>
      <c r="LP85" s="196" t="n">
        <f aca="false">IF((SUMIF($LK$3:$LT$3,LP$60,$LK$4:$LT$4))=0,0,((SUMIF($LK$3:$LT$3,LP$60,$LK134:$LT134))/SUMIF($LK$3:$LT$3,LP$60,$LK$4:$LT$4)))</f>
        <v>0</v>
      </c>
      <c r="LQ85" s="196" t="n">
        <f aca="false">IF((SUMIF($LK$3:$LT$3,LQ$60,$LK$4:$LT$4))=0,0,((SUMIF($LK$3:$LT$3,LQ$60,$LK134:$LT134))/SUMIF($LK$3:$LT$3,LQ$60,$LK$4:$LT$4)))</f>
        <v>0</v>
      </c>
      <c r="LR85" s="196" t="n">
        <f aca="false">IF((SUMIF($LK$3:$LT$3,LR$60,$LK$4:$LT$4))=0,0,((SUMIF($LK$3:$LT$3,LR$60,$LK134:$LT134))/SUMIF($LK$3:$LT$3,LR$60,$LK$4:$LT$4)))</f>
        <v>0</v>
      </c>
      <c r="LS85" s="196" t="n">
        <f aca="false">IF((SUMIF($LK$3:$LT$3,LS$60,$LK$4:$LT$4))=0,0,((SUMIF($LK$3:$LT$3,LS$60,$LK134:$LT134))/SUMIF($LK$3:$LT$3,LS$60,$LK$4:$LT$4)))</f>
        <v>0</v>
      </c>
      <c r="LT85" s="197" t="n">
        <f aca="false">IF((SUMIF($LK$3:$LT$3,LT$60,$LK$4:$LT$4))=0,0,((SUMIF($LK$3:$LT$3,LT$60,$LK134:$LT134))/SUMIF($LK$3:$LT$3,LT$60,$LK$4:$LT$4)))</f>
        <v>0</v>
      </c>
    </row>
    <row r="86" customFormat="false" ht="15" hidden="true" customHeight="false" outlineLevel="0" collapsed="false">
      <c r="C86" s="194" t="str">
        <f aca="false">B30</f>
        <v>Alumno25</v>
      </c>
      <c r="D86" s="195" t="n">
        <f aca="false">IF((SUMIF($D$3:$M$3,D$60,$D$4:$M$4))=0,0,((SUMIF($D$3:$M$3,D$60,$D135:$M135))/SUMIF($D$3:$M$3,D$60,$D$4:$M$4)))</f>
        <v>8.85</v>
      </c>
      <c r="E86" s="196" t="n">
        <f aca="false">IF((SUMIF($D$3:$M$3,E$60,$D$4:$M$4))=0,0,((SUMIF($D$3:$M$3,E$60,$D135:$M135))/SUMIF($D$3:$M$3,E$60,$D$4:$M$4)))</f>
        <v>0</v>
      </c>
      <c r="F86" s="196" t="n">
        <f aca="false">IF((SUMIF($D$3:$M$3,F$60,$D$4:$M$4))=0,0,((SUMIF($D$3:$M$3,F$60,$D135:$M135))/SUMIF($D$3:$M$3,F$60,$D$4:$M$4)))</f>
        <v>0</v>
      </c>
      <c r="G86" s="196" t="n">
        <f aca="false">IF((SUMIF($D$3:$M$3,G$60,$D$4:$M$4))=0,0,((SUMIF($D$3:$M$3,G$60,$D135:$M135))/SUMIF($D$3:$M$3,G$60,$D$4:$M$4)))</f>
        <v>0</v>
      </c>
      <c r="H86" s="196" t="n">
        <f aca="false">IF((SUMIF($D$3:$M$3,H$60,$D$4:$M$4))=0,0,((SUMIF($D$3:$M$3,H$60,$D135:$M135))/SUMIF($D$3:$M$3,H$60,$D$4:$M$4)))</f>
        <v>0</v>
      </c>
      <c r="I86" s="196" t="n">
        <f aca="false">IF((SUMIF($D$3:$M$3,I$60,$D$4:$M$4))=0,0,((SUMIF($D$3:$M$3,I$60,$D135:$M135))/SUMIF($D$3:$M$3,I$60,$D$4:$M$4)))</f>
        <v>0</v>
      </c>
      <c r="J86" s="196" t="n">
        <f aca="false">IF((SUMIF($D$3:$M$3,J$60,$D$4:$M$4))=0,0,((SUMIF($D$3:$M$3,J$60,$D135:$M135))/SUMIF($D$3:$M$3,J$60,$D$4:$M$4)))</f>
        <v>0</v>
      </c>
      <c r="K86" s="196" t="n">
        <f aca="false">IF((SUMIF($D$3:$M$3,K$60,$D$4:$M$4))=0,0,((SUMIF($D$3:$M$3,K$60,$D135:$M135))/SUMIF($D$3:$M$3,K$60,$D$4:$M$4)))</f>
        <v>0</v>
      </c>
      <c r="L86" s="196" t="n">
        <f aca="false">IF((SUMIF($D$3:$M$3,L$60,$D$4:$M$4))=0,0,((SUMIF($D$3:$M$3,L$60,$D135:$M135))/SUMIF($D$3:$M$3,L$60,$D$4:$M$4)))</f>
        <v>0</v>
      </c>
      <c r="M86" s="197" t="n">
        <f aca="false">IF((SUMIF($D$3:$M$3,M$60,$D$4:$M$4))=0,0,((SUMIF($D$3:$M$3,M$60,$D135:$M135))/SUMIF($D$3:$M$3,M$60,$D$4:$M$4)))</f>
        <v>0</v>
      </c>
      <c r="N86" s="194" t="str">
        <f aca="false">C86</f>
        <v>Alumno25</v>
      </c>
      <c r="O86" s="195" t="n">
        <f aca="false">IF((SUMIF($O$3:$X$3,O$60,$O$4:$X$4))=0,0,((SUMIF($O$3:$X$3,O$60,$O135:$X135))/SUMIF($O$3:$X$3,O$60,$O$4:$X$4)))</f>
        <v>9</v>
      </c>
      <c r="P86" s="196" t="n">
        <f aca="false">IF((SUMIF($O$3:$X$3,P$60,$O$4:$X$4))=0,0,((SUMIF($O$3:$X$3,P$60,$O135:$X135))/SUMIF($O$3:$X$3,P$60,$O$4:$X$4)))</f>
        <v>9</v>
      </c>
      <c r="Q86" s="196" t="n">
        <f aca="false">IF((SUMIF($O$3:$X$3,Q$60,$O$4:$X$4))=0,0,((SUMIF($O$3:$X$3,Q$60,$O135:$X135))/SUMIF($O$3:$X$3,Q$60,$O$4:$X$4)))</f>
        <v>0</v>
      </c>
      <c r="R86" s="196" t="n">
        <f aca="false">IF((SUMIF($O$3:$X$3,R$60,$O$4:$X$4))=0,0,((SUMIF($O$3:$X$3,R$60,$O135:$X135))/SUMIF($O$3:$X$3,R$60,$O$4:$X$4)))</f>
        <v>0</v>
      </c>
      <c r="S86" s="196" t="n">
        <f aca="false">IF((SUMIF($O$3:$X$3,S$60,$O$4:$X$4))=0,0,((SUMIF($O$3:$X$3,S$60,$O135:$X135))/SUMIF($O$3:$X$3,S$60,$O$4:$X$4)))</f>
        <v>0</v>
      </c>
      <c r="T86" s="196" t="n">
        <f aca="false">IF((SUMIF($O$3:$X$3,T$60,$O$4:$X$4))=0,0,((SUMIF($O$3:$X$3,T$60,$O135:$X135))/SUMIF($O$3:$X$3,T$60,$O$4:$X$4)))</f>
        <v>0</v>
      </c>
      <c r="U86" s="196" t="n">
        <f aca="false">IF((SUMIF($O$3:$X$3,U$60,$O$4:$X$4))=0,0,((SUMIF($O$3:$X$3,U$60,$O135:$X135))/SUMIF($O$3:$X$3,U$60,$O$4:$X$4)))</f>
        <v>0</v>
      </c>
      <c r="V86" s="196" t="n">
        <f aca="false">IF((SUMIF($O$3:$X$3,V$60,$O$4:$X$4))=0,0,((SUMIF($O$3:$X$3,V$60,$O135:$X135))/SUMIF($O$3:$X$3,V$60,$O$4:$X$4)))</f>
        <v>0</v>
      </c>
      <c r="W86" s="196" t="n">
        <f aca="false">IF((SUMIF($O$3:$X$3,W$60,$O$4:$X$4))=0,0,((SUMIF($O$3:$X$3,W$60,$O135:$X135))/SUMIF($O$3:$X$3,W$60,$O$4:$X$4)))</f>
        <v>0</v>
      </c>
      <c r="X86" s="197" t="n">
        <f aca="false">IF((SUMIF($O$3:$X$3,X$60,$O$4:$X$4))=0,0,((SUMIF($O$3:$X$3,X$60,$O135:$X135))/SUMIF($O$3:$X$3,X$60,$O$4:$X$4)))</f>
        <v>0</v>
      </c>
      <c r="Y86" s="194" t="str">
        <f aca="false">N86</f>
        <v>Alumno25</v>
      </c>
      <c r="Z86" s="195" t="n">
        <f aca="false">IF((SUMIF($Z$3:$AI$3,Z$60,$Z$4:$AI$4))=0,0,((SUMIF($Z$3:$AI$3,Z$60,$Z135:$AI135))/SUMIF($Z$3:$AI$3,Z$60,$Z$4:$AI$4)))</f>
        <v>5</v>
      </c>
      <c r="AA86" s="196" t="n">
        <f aca="false">IF((SUMIF($Z$3:$AI$3,AA$60,$Z$4:$AI$4))=0,0,((SUMIF($Z$3:$AI$3,AA$60,$Z135:$AI135))/SUMIF($Z$3:$AI$3,AA$60,$Z$4:$AI$4)))</f>
        <v>5</v>
      </c>
      <c r="AB86" s="196" t="n">
        <f aca="false">IF((SUMIF($Z$3:$AI$3,AB$60,$Z$4:$AI$4))=0,0,((SUMIF($Z$3:$AI$3,AB$60,$Z135:$AI135))/SUMIF($Z$3:$AI$3,AB$60,$Z$4:$AI$4)))</f>
        <v>5</v>
      </c>
      <c r="AC86" s="196" t="n">
        <f aca="false">IF((SUMIF($Z$3:$AI$3,AC$60,$Z$4:$AI$4))=0,0,((SUMIF($Z$3:$AI$3,AC$60,$Z135:$AI135))/SUMIF($Z$3:$AI$3,AC$60,$Z$4:$AI$4)))</f>
        <v>0</v>
      </c>
      <c r="AD86" s="196" t="n">
        <f aca="false">IF((SUMIF($Z$3:$AI$3,AD$60,$Z$4:$AI$4))=0,0,((SUMIF($Z$3:$AI$3,AD$60,$Z135:$AI135))/SUMIF($Z$3:$AI$3,AD$60,$Z$4:$AI$4)))</f>
        <v>0</v>
      </c>
      <c r="AE86" s="196" t="n">
        <f aca="false">IF((SUMIF($Z$3:$AI$3,AE$60,$Z$4:$AI$4))=0,0,((SUMIF($Z$3:$AI$3,AE$60,$Z135:$AI135))/SUMIF($Z$3:$AI$3,AE$60,$Z$4:$AI$4)))</f>
        <v>0</v>
      </c>
      <c r="AF86" s="196" t="n">
        <f aca="false">IF((SUMIF($Z$3:$AI$3,AF$60,$Z$4:$AI$4))=0,0,((SUMIF($Z$3:$AI$3,AF$60,$Z135:$AI135))/SUMIF($Z$3:$AI$3,AF$60,$Z$4:$AI$4)))</f>
        <v>0</v>
      </c>
      <c r="AG86" s="196" t="n">
        <f aca="false">IF((SUMIF($Z$3:$AI$3,AG$60,$Z$4:$AI$4))=0,0,((SUMIF($Z$3:$AI$3,AG$60,$Z135:$AI135))/SUMIF($Z$3:$AI$3,AG$60,$Z$4:$AI$4)))</f>
        <v>0</v>
      </c>
      <c r="AH86" s="196" t="n">
        <f aca="false">IF((SUMIF($Z$3:$AI$3,AH$60,$Z$4:$AI$4))=0,0,((SUMIF($Z$3:$AI$3,AH$60,$Z135:$AI135))/SUMIF($Z$3:$AI$3,AH$60,$Z$4:$AI$4)))</f>
        <v>0</v>
      </c>
      <c r="AI86" s="197" t="n">
        <f aca="false">IF((SUMIF($Z$3:$AI$3,AI$60,$Z$4:$AI$4))=0,0,((SUMIF($Z$3:$AI$3,AI$60,$Z135:$AI135))/SUMIF($Z$3:$AI$3,AI$60,$Z$4:$AI$4)))</f>
        <v>0</v>
      </c>
      <c r="AJ86" s="194" t="str">
        <f aca="false">Y86</f>
        <v>Alumno25</v>
      </c>
      <c r="AK86" s="195" t="n">
        <f aca="false">IF((SUMIF($AK$3:$AT$3,AK$60,$AK$4:$AT$4))=0,0,((SUMIF($AK$3:$AT$3,AK$60,$AK135:$AT135))/SUMIF($AK$3:$AT$3,AK$60,$AK$4:$AT$4)))</f>
        <v>5</v>
      </c>
      <c r="AL86" s="196" t="n">
        <f aca="false">IF((SUMIF($AK$3:$AT$3,AL$60,$AK$4:$AT$4))=0,0,((SUMIF($AK$3:$AT$3,AL$60,$AK135:$AT135))/SUMIF($AK$3:$AT$3,AL$60,$AK$4:$AT$4)))</f>
        <v>5</v>
      </c>
      <c r="AM86" s="196" t="n">
        <f aca="false">IF((SUMIF($AK$3:$AT$3,AM$60,$AK$4:$AT$4))=0,0,((SUMIF($AK$3:$AT$3,AM$60,$AK135:$AT135))/SUMIF($AK$3:$AT$3,AM$60,$AK$4:$AT$4)))</f>
        <v>5</v>
      </c>
      <c r="AN86" s="196" t="n">
        <f aca="false">IF((SUMIF($AK$3:$AT$3,AN$60,$AK$4:$AT$4))=0,0,((SUMIF($AK$3:$AT$3,AN$60,$AK135:$AT135))/SUMIF($AK$3:$AT$3,AN$60,$AK$4:$AT$4)))</f>
        <v>0</v>
      </c>
      <c r="AO86" s="196" t="n">
        <f aca="false">IF((SUMIF($AK$3:$AT$3,AO$60,$AK$4:$AT$4))=0,0,((SUMIF($AK$3:$AT$3,AO$60,$AK135:$AT135))/SUMIF($AK$3:$AT$3,AO$60,$AK$4:$AT$4)))</f>
        <v>0</v>
      </c>
      <c r="AP86" s="196" t="n">
        <f aca="false">IF((SUMIF($AK$3:$AT$3,AP$60,$AK$4:$AT$4))=0,0,((SUMIF($AK$3:$AT$3,AP$60,$AK135:$AT135))/SUMIF($AK$3:$AT$3,AP$60,$AK$4:$AT$4)))</f>
        <v>0</v>
      </c>
      <c r="AQ86" s="196" t="n">
        <f aca="false">IF((SUMIF($AK$3:$AT$3,AQ$60,$AK$4:$AT$4))=0,0,((SUMIF($AK$3:$AT$3,AQ$60,$AK135:$AT135))/SUMIF($AK$3:$AT$3,AQ$60,$AK$4:$AT$4)))</f>
        <v>0</v>
      </c>
      <c r="AR86" s="196" t="n">
        <f aca="false">IF((SUMIF($AK$3:$AT$3,AR$60,$AK$4:$AT$4))=0,0,((SUMIF($AK$3:$AT$3,AR$60,$AK135:$AT135))/SUMIF($AK$3:$AT$3,AR$60,$AK$4:$AT$4)))</f>
        <v>0</v>
      </c>
      <c r="AS86" s="196" t="n">
        <f aca="false">IF((SUMIF($AK$3:$AT$3,AS$60,$AK$4:$AT$4))=0,0,((SUMIF($AK$3:$AT$3,AS$60,$AK135:$AT135))/SUMIF($AK$3:$AT$3,AS$60,$AK$4:$AT$4)))</f>
        <v>0</v>
      </c>
      <c r="AT86" s="197" t="n">
        <f aca="false">IF((SUMIF($AK$3:$AT$3,AT$60,$AK$4:$AT$4))=0,0,((SUMIF($AK$3:$AT$3,AT$60,$AK135:$AT135))/SUMIF($AK$3:$AT$3,AT$60,$AK$4:$AT$4)))</f>
        <v>0</v>
      </c>
      <c r="AU86" s="194" t="str">
        <f aca="false">AJ86</f>
        <v>Alumno25</v>
      </c>
      <c r="AV86" s="195" t="n">
        <f aca="false">IF((SUMIF($AV$3:$BE$3,AV$60,$AV$4:$BE$4))=0,0,((SUMIF($AV$3:$BE$3,AV$60,$AV135:$BE135))/SUMIF($AV$3:$BE$3,AV$60,$AV$4:$BE$4)))</f>
        <v>9</v>
      </c>
      <c r="AW86" s="196" t="n">
        <f aca="false">IF((SUMIF($AV$3:$BE$3,AW$60,$AV$4:$BE$4))=0,0,((SUMIF($AV$3:$BE$3,AW$60,$AV135:$BE135))/SUMIF($AV$3:$BE$3,AW$60,$AV$4:$BE$4)))</f>
        <v>9</v>
      </c>
      <c r="AX86" s="196" t="n">
        <f aca="false">IF((SUMIF($AV$3:$BE$3,AX$60,$AV$4:$BE$4))=0,0,((SUMIF($AV$3:$BE$3,AX$60,$AV135:$BE135))/SUMIF($AV$3:$BE$3,AX$60,$AV$4:$BE$4)))</f>
        <v>9</v>
      </c>
      <c r="AY86" s="196" t="n">
        <f aca="false">IF((SUMIF($AV$3:$BE$3,AY$60,$AV$4:$BE$4))=0,0,((SUMIF($AV$3:$BE$3,AY$60,$AV135:$BE135))/SUMIF($AV$3:$BE$3,AY$60,$AV$4:$BE$4)))</f>
        <v>9</v>
      </c>
      <c r="AZ86" s="196" t="n">
        <f aca="false">IF((SUMIF($AV$3:$BE$3,AZ$60,$AV$4:$BE$4))=0,0,((SUMIF($AV$3:$BE$3,AZ$60,$AV135:$BE135))/SUMIF($AV$3:$BE$3,AZ$60,$AV$4:$BE$4)))</f>
        <v>0</v>
      </c>
      <c r="BA86" s="196" t="n">
        <f aca="false">IF((SUMIF($AV$3:$BE$3,BA$60,$AV$4:$BE$4))=0,0,((SUMIF($AV$3:$BE$3,BA$60,$AV135:$BE135))/SUMIF($AV$3:$BE$3,BA$60,$AV$4:$BE$4)))</f>
        <v>0</v>
      </c>
      <c r="BB86" s="196" t="n">
        <f aca="false">IF((SUMIF($AV$3:$BE$3,BB$60,$AV$4:$BE$4))=0,0,((SUMIF($AV$3:$BE$3,BB$60,$AV135:$BE135))/SUMIF($AV$3:$BE$3,BB$60,$AV$4:$BE$4)))</f>
        <v>0</v>
      </c>
      <c r="BC86" s="196" t="n">
        <f aca="false">IF((SUMIF($AV$3:$BE$3,BC$60,$AV$4:$BE$4))=0,0,((SUMIF($AV$3:$BE$3,BC$60,$AV135:$BE135))/SUMIF($AV$3:$BE$3,BC$60,$AV$4:$BE$4)))</f>
        <v>0</v>
      </c>
      <c r="BD86" s="196" t="n">
        <f aca="false">IF((SUMIF($AV$3:$BE$3,BD$60,$AV$4:$BE$4))=0,0,((SUMIF($AV$3:$BE$3,BD$60,$AV135:$BE135))/SUMIF($AV$3:$BE$3,BD$60,$AV$4:$BE$4)))</f>
        <v>0</v>
      </c>
      <c r="BE86" s="197" t="n">
        <f aca="false">IF((SUMIF($AV$3:$BE$3,BE$60,$AV$4:$BE$4))=0,0,((SUMIF($AV$3:$BE$3,BE$60,$AV135:$BE135))/SUMIF($AV$3:$BE$3,BE$60,$AV$4:$BE$4)))</f>
        <v>0</v>
      </c>
      <c r="BF86" s="194" t="str">
        <f aca="false">AU86</f>
        <v>Alumno25</v>
      </c>
      <c r="BG86" s="195" t="n">
        <f aca="false">IF((SUMIF($BG$3:$BP$3,BG$60,$BG$4:$BP$4))=0,0,((SUMIF($BG$3:$BP$3,BG$60,$BG135:$BP135))/SUMIF($BG$3:$BP$3,BG$60,$BG$4:$BP$4)))</f>
        <v>9</v>
      </c>
      <c r="BH86" s="196" t="n">
        <f aca="false">IF((SUMIF($BG$3:$BP$3,BH$60,$BG$4:$BP$4))=0,0,((SUMIF($BG$3:$BP$3,BH$60,$BG135:$BP135))/SUMIF($BG$3:$BP$3,BH$60,$BG$4:$BP$4)))</f>
        <v>9</v>
      </c>
      <c r="BI86" s="196" t="n">
        <f aca="false">IF((SUMIF($BG$3:$BP$3,BI$60,$BG$4:$BP$4))=0,0,((SUMIF($BG$3:$BP$3,BI$60,$BG135:$BP135))/SUMIF($BG$3:$BP$3,BI$60,$BG$4:$BP$4)))</f>
        <v>9</v>
      </c>
      <c r="BJ86" s="196" t="n">
        <f aca="false">IF((SUMIF($BG$3:$BP$3,BJ$60,$BG$4:$BP$4))=0,0,((SUMIF($BG$3:$BP$3,BJ$60,$BG135:$BP135))/SUMIF($BG$3:$BP$3,BJ$60,$BG$4:$BP$4)))</f>
        <v>9</v>
      </c>
      <c r="BK86" s="196" t="n">
        <f aca="false">IF((SUMIF($BG$3:$BP$3,BK$60,$BG$4:$BP$4))=0,0,((SUMIF($BG$3:$BP$3,BK$60,$BG135:$BP135))/SUMIF($BG$3:$BP$3,BK$60,$BG$4:$BP$4)))</f>
        <v>0</v>
      </c>
      <c r="BL86" s="196" t="n">
        <f aca="false">IF((SUMIF($BG$3:$BP$3,BL$60,$BG$4:$BP$4))=0,0,((SUMIF($BG$3:$BP$3,BL$60,$BG135:$BP135))/SUMIF($BG$3:$BP$3,BL$60,$BG$4:$BP$4)))</f>
        <v>0</v>
      </c>
      <c r="BM86" s="196" t="n">
        <f aca="false">IF((SUMIF($BG$3:$BP$3,BM$60,$BG$4:$BP$4))=0,0,((SUMIF($BG$3:$BP$3,BM$60,$BG135:$BP135))/SUMIF($BG$3:$BP$3,BM$60,$BG$4:$BP$4)))</f>
        <v>0</v>
      </c>
      <c r="BN86" s="196" t="n">
        <f aca="false">IF((SUMIF($BG$3:$BP$3,BN$60,$BG$4:$BP$4))=0,0,((SUMIF($BG$3:$BP$3,BN$60,$BG135:$BP135))/SUMIF($BG$3:$BP$3,BN$60,$BG$4:$BP$4)))</f>
        <v>0</v>
      </c>
      <c r="BO86" s="196" t="n">
        <f aca="false">IF((SUMIF($BG$3:$BP$3,BO$60,$BG$4:$BP$4))=0,0,((SUMIF($BG$3:$BP$3,BO$60,$BG135:$BP135))/SUMIF($BG$3:$BP$3,BO$60,$BG$4:$BP$4)))</f>
        <v>0</v>
      </c>
      <c r="BP86" s="197" t="n">
        <f aca="false">IF((SUMIF($BG$3:$BP$3,BP$60,$BG$4:$BP$4))=0,0,((SUMIF($BG$3:$BP$3,BP$60,$BG135:$BP135))/SUMIF($BG$3:$BP$3,BP$60,$BG$4:$BP$4)))</f>
        <v>0</v>
      </c>
      <c r="BQ86" s="194" t="str">
        <f aca="false">BF86</f>
        <v>Alumno25</v>
      </c>
      <c r="BR86" s="195" t="n">
        <f aca="false">IF((SUMIF($BR$3:$CA$3,BR$60,$BR$4:$CA$4))=0,0,((SUMIF($BR$3:$CA$3,BR$60,$BR135:$CA135))/SUMIF($BR$3:$CA$3,BR$60,$BR$4:$CA$4)))</f>
        <v>0</v>
      </c>
      <c r="BS86" s="196" t="n">
        <f aca="false">IF((SUMIF($BR$3:$CA$3,BS$60,$BR$4:$CA$4))=0,0,((SUMIF($BR$3:$CA$3,BS$60,$BR135:$CA135))/SUMIF($BR$3:$CA$3,BS$60,$BR$4:$CA$4)))</f>
        <v>10</v>
      </c>
      <c r="BT86" s="196" t="n">
        <f aca="false">IF((SUMIF($BR$3:$CA$3,BT$60,$BR$4:$CA$4))=0,0,((SUMIF($BR$3:$CA$3,BT$60,$BR135:$CA135))/SUMIF($BR$3:$CA$3,BT$60,$BR$4:$CA$4)))</f>
        <v>9.66666666666666</v>
      </c>
      <c r="BU86" s="196" t="n">
        <f aca="false">IF((SUMIF($BR$3:$CA$3,BU$60,$BR$4:$CA$4))=0,0,((SUMIF($BR$3:$CA$3,BU$60,$BR135:$CA135))/SUMIF($BR$3:$CA$3,BU$60,$BR$4:$CA$4)))</f>
        <v>9.6</v>
      </c>
      <c r="BV86" s="196" t="n">
        <f aca="false">IF((SUMIF($BR$3:$CA$3,BV$60,$BR$4:$CA$4))=0,0,((SUMIF($BR$3:$CA$3,BV$60,$BR135:$CA135))/SUMIF($BR$3:$CA$3,BV$60,$BR$4:$CA$4)))</f>
        <v>0</v>
      </c>
      <c r="BW86" s="196" t="n">
        <f aca="false">IF((SUMIF($BR$3:$CA$3,BW$60,$BR$4:$CA$4))=0,0,((SUMIF($BR$3:$CA$3,BW$60,$BR135:$CA135))/SUMIF($BR$3:$CA$3,BW$60,$BR$4:$CA$4)))</f>
        <v>0</v>
      </c>
      <c r="BX86" s="196" t="n">
        <f aca="false">IF((SUMIF($BR$3:$CA$3,BX$60,$BR$4:$CA$4))=0,0,((SUMIF($BR$3:$CA$3,BX$60,$BR135:$CA135))/SUMIF($BR$3:$CA$3,BX$60,$BR$4:$CA$4)))</f>
        <v>0</v>
      </c>
      <c r="BY86" s="196" t="n">
        <f aca="false">IF((SUMIF($BR$3:$CA$3,BY$60,$BR$4:$CA$4))=0,0,((SUMIF($BR$3:$CA$3,BY$60,$BR135:$CA135))/SUMIF($BR$3:$CA$3,BY$60,$BR$4:$CA$4)))</f>
        <v>0</v>
      </c>
      <c r="BZ86" s="196" t="n">
        <f aca="false">IF((SUMIF($BR$3:$CA$3,BZ$60,$BR$4:$CA$4))=0,0,((SUMIF($BR$3:$CA$3,BZ$60,$BR135:$CA135))/SUMIF($BR$3:$CA$3,BZ$60,$BR$4:$CA$4)))</f>
        <v>0</v>
      </c>
      <c r="CA86" s="197" t="n">
        <f aca="false">IF((SUMIF($BR$3:$CA$3,CA$60,$BR$4:$CA$4))=0,0,((SUMIF($BR$3:$CA$3,CA$60,$BR135:$CA135))/SUMIF($BR$3:$CA$3,CA$60,$BR$4:$CA$4)))</f>
        <v>0</v>
      </c>
      <c r="CB86" s="194" t="str">
        <f aca="false">BQ86</f>
        <v>Alumno25</v>
      </c>
      <c r="CC86" s="195" t="n">
        <f aca="false">IF((SUMIF($CC$3:$CL$3,CC$60,$CC$4:$CL$4))=0,0,((SUMIF($CC$3:$CL$3,CC$60,$CC135:$CL135))/SUMIF($CC$3:$CL$3,CC$60,$CC$4:$CL$4)))</f>
        <v>0</v>
      </c>
      <c r="CD86" s="196" t="n">
        <f aca="false">IF((SUMIF($CC$3:$CL$3,CD$60,$CC$4:$CL$4))=0,0,((SUMIF($CC$3:$CL$3,CD$60,$CC135:$CL135))/SUMIF($CC$3:$CL$3,CD$60,$CC$4:$CL$4)))</f>
        <v>0</v>
      </c>
      <c r="CE86" s="196" t="n">
        <f aca="false">IF((SUMIF($CC$3:$CL$3,CE$60,$CC$4:$CL$4))=0,0,((SUMIF($CC$3:$CL$3,CE$60,$CC135:$CL135))/SUMIF($CC$3:$CL$3,CE$60,$CC$4:$CL$4)))</f>
        <v>0</v>
      </c>
      <c r="CF86" s="196" t="n">
        <f aca="false">IF((SUMIF($CC$3:$CL$3,CF$60,$CC$4:$CL$4))=0,0,((SUMIF($CC$3:$CL$3,CF$60,$CC135:$CL135))/SUMIF($CC$3:$CL$3,CF$60,$CC$4:$CL$4)))</f>
        <v>0</v>
      </c>
      <c r="CG86" s="196" t="n">
        <f aca="false">IF((SUMIF($CC$3:$CL$3,CG$60,$CC$4:$CL$4))=0,0,((SUMIF($CC$3:$CL$3,CG$60,$CC135:$CL135))/SUMIF($CC$3:$CL$3,CG$60,$CC$4:$CL$4)))</f>
        <v>0</v>
      </c>
      <c r="CH86" s="196" t="n">
        <f aca="false">IF((SUMIF($CC$3:$CL$3,CH$60,$CC$4:$CL$4))=0,0,((SUMIF($CC$3:$CL$3,CH$60,$CC135:$CL135))/SUMIF($CC$3:$CL$3,CH$60,$CC$4:$CL$4)))</f>
        <v>0</v>
      </c>
      <c r="CI86" s="196" t="n">
        <f aca="false">IF((SUMIF($CC$3:$CL$3,CI$60,$CC$4:$CL$4))=0,0,((SUMIF($CC$3:$CL$3,CI$60,$CC135:$CL135))/SUMIF($CC$3:$CL$3,CI$60,$CC$4:$CL$4)))</f>
        <v>0</v>
      </c>
      <c r="CJ86" s="196" t="n">
        <f aca="false">IF((SUMIF($CC$3:$CL$3,CJ$60,$CC$4:$CL$4))=0,0,((SUMIF($CC$3:$CL$3,CJ$60,$CC135:$CL135))/SUMIF($CC$3:$CL$3,CJ$60,$CC$4:$CL$4)))</f>
        <v>0</v>
      </c>
      <c r="CK86" s="196" t="n">
        <f aca="false">IF((SUMIF($CC$3:$CL$3,CK$60,$CC$4:$CL$4))=0,0,((SUMIF($CC$3:$CL$3,CK$60,$CC135:$CL135))/SUMIF($CC$3:$CL$3,CK$60,$CC$4:$CL$4)))</f>
        <v>0</v>
      </c>
      <c r="CL86" s="197" t="n">
        <f aca="false">IF((SUMIF($CC$3:$CL$3,CL$60,$CC$4:$CL$4))=0,0,((SUMIF($CC$3:$CL$3,CL$60,$CC135:$CL135))/SUMIF($CC$3:$CL$3,CL$60,$CC$4:$CL$4)))</f>
        <v>0</v>
      </c>
      <c r="CM86" s="194" t="str">
        <f aca="false">CB86</f>
        <v>Alumno25</v>
      </c>
      <c r="CN86" s="195" t="n">
        <f aca="false">IF((SUMIF($CN$3:$CW$3,CN$60,$CN$4:$CW$4))=0,0,((SUMIF($CN$3:$CW$3,CN$60,$CN135:$CW135))/SUMIF($CN$3:$CW$3,CN$60,$CN$4:$CW$4)))</f>
        <v>0</v>
      </c>
      <c r="CO86" s="196" t="n">
        <f aca="false">IF((SUMIF($CN$3:$CW$3,CO$60,$CN$4:$CW$4))=0,0,((SUMIF($CN$3:$CW$3,CO$60,$CN135:$CW135))/SUMIF($CN$3:$CW$3,CO$60,$CN$4:$CW$4)))</f>
        <v>0</v>
      </c>
      <c r="CP86" s="196" t="n">
        <f aca="false">IF((SUMIF($CN$3:$CW$3,CP$60,$CN$4:$CW$4))=0,0,((SUMIF($CN$3:$CW$3,CP$60,$CN135:$CW135))/SUMIF($CN$3:$CW$3,CP$60,$CN$4:$CW$4)))</f>
        <v>0</v>
      </c>
      <c r="CQ86" s="196" t="n">
        <f aca="false">IF((SUMIF($CN$3:$CW$3,CQ$60,$CN$4:$CW$4))=0,0,((SUMIF($CN$3:$CW$3,CQ$60,$CN135:$CW135))/SUMIF($CN$3:$CW$3,CQ$60,$CN$4:$CW$4)))</f>
        <v>0</v>
      </c>
      <c r="CR86" s="196" t="n">
        <f aca="false">IF((SUMIF($CN$3:$CW$3,CR$60,$CN$4:$CW$4))=0,0,((SUMIF($CN$3:$CW$3,CR$60,$CN135:$CW135))/SUMIF($CN$3:$CW$3,CR$60,$CN$4:$CW$4)))</f>
        <v>0</v>
      </c>
      <c r="CS86" s="196" t="n">
        <f aca="false">IF((SUMIF($CN$3:$CW$3,CS$60,$CN$4:$CW$4))=0,0,((SUMIF($CN$3:$CW$3,CS$60,$CN135:$CW135))/SUMIF($CN$3:$CW$3,CS$60,$CN$4:$CW$4)))</f>
        <v>0</v>
      </c>
      <c r="CT86" s="196" t="n">
        <f aca="false">IF((SUMIF($CN$3:$CW$3,CT$60,$CN$4:$CW$4))=0,0,((SUMIF($CN$3:$CW$3,CT$60,$CN135:$CW135))/SUMIF($CN$3:$CW$3,CT$60,$CN$4:$CW$4)))</f>
        <v>0</v>
      </c>
      <c r="CU86" s="196" t="n">
        <f aca="false">IF((SUMIF($CN$3:$CW$3,CU$60,$CN$4:$CW$4))=0,0,((SUMIF($CN$3:$CW$3,CU$60,$CN135:$CW135))/SUMIF($CN$3:$CW$3,CU$60,$CN$4:$CW$4)))</f>
        <v>0</v>
      </c>
      <c r="CV86" s="196" t="n">
        <f aca="false">IF((SUMIF($CN$3:$CW$3,CV$60,$CN$4:$CW$4))=0,0,((SUMIF($CN$3:$CW$3,CV$60,$CN135:$CW135))/SUMIF($CN$3:$CW$3,CV$60,$CN$4:$CW$4)))</f>
        <v>0</v>
      </c>
      <c r="CW86" s="197" t="n">
        <f aca="false">IF((SUMIF($CN$3:$CW$3,CW$60,$CN$4:$CW$4))=0,0,((SUMIF($CN$3:$CW$3,CW$60,$CN135:$CW135))/SUMIF($CN$3:$CW$3,CW$60,$CN$4:$CW$4)))</f>
        <v>0</v>
      </c>
      <c r="CX86" s="194" t="str">
        <f aca="false">CM86</f>
        <v>Alumno25</v>
      </c>
      <c r="CY86" s="195" t="n">
        <f aca="false">IF((SUMIF($CY$3:$DH$3,CY$60,$CY$4:$DH$4))=0,0,((SUMIF($CY$3:$DH$3,CY$60,$CY135:$DH135))/SUMIF($CY$3:$DH$3,CY$60,$CY$4:$DH$4)))</f>
        <v>0</v>
      </c>
      <c r="CZ86" s="196" t="n">
        <f aca="false">IF((SUMIF($CY$3:$DH$3,CZ$60,$CY$4:$DH$4))=0,0,((SUMIF($CY$3:$DH$3,CZ$60,$CY135:$DH135))/SUMIF($CY$3:$DH$3,CZ$60,$CY$4:$DH$4)))</f>
        <v>0</v>
      </c>
      <c r="DA86" s="196" t="n">
        <f aca="false">IF((SUMIF($CY$3:$DH$3,DA$60,$CY$4:$DH$4))=0,0,((SUMIF($CY$3:$DH$3,DA$60,$CY135:$DH135))/SUMIF($CY$3:$DH$3,DA$60,$CY$4:$DH$4)))</f>
        <v>0</v>
      </c>
      <c r="DB86" s="196" t="n">
        <f aca="false">IF((SUMIF($CY$3:$DH$3,DB$60,$CY$4:$DH$4))=0,0,((SUMIF($CY$3:$DH$3,DB$60,$CY135:$DH135))/SUMIF($CY$3:$DH$3,DB$60,$CY$4:$DH$4)))</f>
        <v>0</v>
      </c>
      <c r="DC86" s="196" t="n">
        <f aca="false">IF((SUMIF($CY$3:$DH$3,DC$60,$CY$4:$DH$4))=0,0,((SUMIF($CY$3:$DH$3,DC$60,$CY135:$DH135))/SUMIF($CY$3:$DH$3,DC$60,$CY$4:$DH$4)))</f>
        <v>0</v>
      </c>
      <c r="DD86" s="196" t="n">
        <f aca="false">IF((SUMIF($CY$3:$DH$3,DD$60,$CY$4:$DH$4))=0,0,((SUMIF($CY$3:$DH$3,DD$60,$CY135:$DH135))/SUMIF($CY$3:$DH$3,DD$60,$CY$4:$DH$4)))</f>
        <v>0</v>
      </c>
      <c r="DE86" s="196" t="n">
        <f aca="false">IF((SUMIF($CY$3:$DH$3,DE$60,$CY$4:$DH$4))=0,0,((SUMIF($CY$3:$DH$3,DE$60,$CY135:$DH135))/SUMIF($CY$3:$DH$3,DE$60,$CY$4:$DH$4)))</f>
        <v>0</v>
      </c>
      <c r="DF86" s="196" t="n">
        <f aca="false">IF((SUMIF($CY$3:$DH$3,DF$60,$CY$4:$DH$4))=0,0,((SUMIF($CY$3:$DH$3,DF$60,$CY135:$DH135))/SUMIF($CY$3:$DH$3,DF$60,$CY$4:$DH$4)))</f>
        <v>0</v>
      </c>
      <c r="DG86" s="196" t="n">
        <f aca="false">IF((SUMIF($CY$3:$DH$3,DG$60,$CY$4:$DH$4))=0,0,((SUMIF($CY$3:$DH$3,DG$60,$CY135:$DH135))/SUMIF($CY$3:$DH$3,DG$60,$CY$4:$DH$4)))</f>
        <v>0</v>
      </c>
      <c r="DH86" s="197" t="n">
        <f aca="false">IF((SUMIF($CY$3:$DH$3,DH$60,$CY$4:$DH$4))=0,0,((SUMIF($CY$3:$DH$3,DH$60,$CY135:$DH135))/SUMIF($CY$3:$DH$3,DH$60,$CY$4:$DH$4)))</f>
        <v>0</v>
      </c>
      <c r="DI86" s="194" t="str">
        <f aca="false">CX86</f>
        <v>Alumno25</v>
      </c>
      <c r="DJ86" s="195" t="n">
        <f aca="false">IF((SUMIF($DJ$3:$DS$3,DJ$60,$DJ$4:$DS$4))=0,0,((SUMIF($DJ$3:$DS$3,DJ$60,$DJ135:$DS135))/SUMIF($DJ$3:$DS$3,DJ$60,$DJ$4:$DS$4)))</f>
        <v>0</v>
      </c>
      <c r="DK86" s="196" t="n">
        <f aca="false">IF((SUMIF($DJ$3:$DS$3,DK$60,$DJ$4:$DS$4))=0,0,((SUMIF($DJ$3:$DS$3,DK$60,$DJ135:$DS135))/SUMIF($DJ$3:$DS$3,DK$60,$DJ$4:$DS$4)))</f>
        <v>0</v>
      </c>
      <c r="DL86" s="196" t="n">
        <f aca="false">IF((SUMIF($DJ$3:$DS$3,DL$60,$DJ$4:$DS$4))=0,0,((SUMIF($DJ$3:$DS$3,DL$60,$DJ135:$DS135))/SUMIF($DJ$3:$DS$3,DL$60,$DJ$4:$DS$4)))</f>
        <v>0</v>
      </c>
      <c r="DM86" s="196" t="n">
        <f aca="false">IF((SUMIF($DJ$3:$DS$3,DM$60,$DJ$4:$DS$4))=0,0,((SUMIF($DJ$3:$DS$3,DM$60,$DJ135:$DS135))/SUMIF($DJ$3:$DS$3,DM$60,$DJ$4:$DS$4)))</f>
        <v>0</v>
      </c>
      <c r="DN86" s="196" t="n">
        <f aca="false">IF((SUMIF($DJ$3:$DS$3,DN$60,$DJ$4:$DS$4))=0,0,((SUMIF($DJ$3:$DS$3,DN$60,$DJ135:$DS135))/SUMIF($DJ$3:$DS$3,DN$60,$DJ$4:$DS$4)))</f>
        <v>0</v>
      </c>
      <c r="DO86" s="196" t="n">
        <f aca="false">IF((SUMIF($DJ$3:$DS$3,DO$60,$DJ$4:$DS$4))=0,0,((SUMIF($DJ$3:$DS$3,DO$60,$DJ135:$DS135))/SUMIF($DJ$3:$DS$3,DO$60,$DJ$4:$DS$4)))</f>
        <v>0</v>
      </c>
      <c r="DP86" s="196" t="n">
        <f aca="false">IF((SUMIF($DJ$3:$DS$3,DP$60,$DJ$4:$DS$4))=0,0,((SUMIF($DJ$3:$DS$3,DP$60,$DJ135:$DS135))/SUMIF($DJ$3:$DS$3,DP$60,$DJ$4:$DS$4)))</f>
        <v>0</v>
      </c>
      <c r="DQ86" s="196" t="n">
        <f aca="false">IF((SUMIF($DJ$3:$DS$3,DQ$60,$DJ$4:$DS$4))=0,0,((SUMIF($DJ$3:$DS$3,DQ$60,$DJ135:$DS135))/SUMIF($DJ$3:$DS$3,DQ$60,$DJ$4:$DS$4)))</f>
        <v>0</v>
      </c>
      <c r="DR86" s="196" t="n">
        <f aca="false">IF((SUMIF($DJ$3:$DS$3,DR$60,$DJ$4:$DS$4))=0,0,((SUMIF($DJ$3:$DS$3,DR$60,$DJ135:$DS135))/SUMIF($DJ$3:$DS$3,DR$60,$DJ$4:$DS$4)))</f>
        <v>0</v>
      </c>
      <c r="DS86" s="197" t="n">
        <f aca="false">IF((SUMIF($DJ$3:$DS$3,DS$60,$DJ$4:$DS$4))=0,0,((SUMIF($DJ$3:$DS$3,DS$60,$DJ135:$DS135))/SUMIF($DJ$3:$DS$3,DS$60,$DJ$4:$DS$4)))</f>
        <v>0</v>
      </c>
      <c r="DT86" s="194" t="str">
        <f aca="false">DI86</f>
        <v>Alumno25</v>
      </c>
      <c r="DU86" s="195" t="n">
        <f aca="false">IF((SUMIF($DU$3:$ED$3,DU$60,$DU$4:$ED$4))=0,0,((SUMIF($DU$3:$ED$3,DU$60,$DU135:$ED135))/SUMIF($DU$3:$ED$3,DU$60,$DU$4:$ED$4)))</f>
        <v>0</v>
      </c>
      <c r="DV86" s="196" t="n">
        <f aca="false">IF((SUMIF($DU$3:$ED$3,DV$60,$DU$4:$ED$4))=0,0,((SUMIF($DU$3:$ED$3,DV$60,$DU135:$ED135))/SUMIF($DU$3:$ED$3,DV$60,$DU$4:$ED$4)))</f>
        <v>0</v>
      </c>
      <c r="DW86" s="196" t="n">
        <f aca="false">IF((SUMIF($DU$3:$ED$3,DW$60,$DU$4:$ED$4))=0,0,((SUMIF($DU$3:$ED$3,DW$60,$DU135:$ED135))/SUMIF($DU$3:$ED$3,DW$60,$DU$4:$ED$4)))</f>
        <v>0</v>
      </c>
      <c r="DX86" s="196" t="n">
        <f aca="false">IF((SUMIF($DU$3:$ED$3,DX$60,$DU$4:$ED$4))=0,0,((SUMIF($DU$3:$ED$3,DX$60,$DU135:$ED135))/SUMIF($DU$3:$ED$3,DX$60,$DU$4:$ED$4)))</f>
        <v>0</v>
      </c>
      <c r="DY86" s="196" t="n">
        <f aca="false">IF((SUMIF($DU$3:$ED$3,DY$60,$DU$4:$ED$4))=0,0,((SUMIF($DU$3:$ED$3,DY$60,$DU135:$ED135))/SUMIF($DU$3:$ED$3,DY$60,$DU$4:$ED$4)))</f>
        <v>0</v>
      </c>
      <c r="DZ86" s="196" t="n">
        <f aca="false">IF((SUMIF($DU$3:$ED$3,DZ$60,$DU$4:$ED$4))=0,0,((SUMIF($DU$3:$ED$3,DZ$60,$DU135:$ED135))/SUMIF($DU$3:$ED$3,DZ$60,$DU$4:$ED$4)))</f>
        <v>0</v>
      </c>
      <c r="EA86" s="196" t="n">
        <f aca="false">IF((SUMIF($DU$3:$ED$3,EA$60,$DU$4:$ED$4))=0,0,((SUMIF($DU$3:$ED$3,EA$60,$DU135:$ED135))/SUMIF($DU$3:$ED$3,EA$60,$DU$4:$ED$4)))</f>
        <v>0</v>
      </c>
      <c r="EB86" s="196" t="n">
        <f aca="false">IF((SUMIF($DU$3:$ED$3,EB$60,$DU$4:$ED$4))=0,0,((SUMIF($DU$3:$ED$3,EB$60,$DU135:$ED135))/SUMIF($DU$3:$ED$3,EB$60,$DU$4:$ED$4)))</f>
        <v>0</v>
      </c>
      <c r="EC86" s="196" t="n">
        <f aca="false">IF((SUMIF($DU$3:$ED$3,EC$60,$DU$4:$ED$4))=0,0,((SUMIF($DU$3:$ED$3,EC$60,$DU135:$ED135))/SUMIF($DU$3:$ED$3,EC$60,$DU$4:$ED$4)))</f>
        <v>0</v>
      </c>
      <c r="ED86" s="197" t="n">
        <f aca="false">IF((SUMIF($DU$3:$ED$3,ED$60,$DU$4:$ED$4))=0,0,((SUMIF($DU$3:$ED$3,ED$60,$DU135:$ED135))/SUMIF($DU$3:$ED$3,ED$60,$DU$4:$ED$4)))</f>
        <v>0</v>
      </c>
      <c r="EE86" s="194" t="str">
        <f aca="false">DT86</f>
        <v>Alumno25</v>
      </c>
      <c r="EF86" s="195" t="n">
        <f aca="false">IF((SUMIF($EF$3:$EO$3,EF$60,$EF$4:$EO$4))=0,0,((SUMIF($EF$3:$EO$3,EF$60,$EF135:$EO135))/SUMIF($EF$3:$EO$3,EF$60,$EF$4:$EO$4)))</f>
        <v>0</v>
      </c>
      <c r="EG86" s="196" t="n">
        <f aca="false">IF((SUMIF($EF$3:$EO$3,EG$60,$EF$4:$EO$4))=0,0,((SUMIF($EF$3:$EO$3,EG$60,$EF135:$EO135))/SUMIF($EF$3:$EO$3,EG$60,$EF$4:$EO$4)))</f>
        <v>0</v>
      </c>
      <c r="EH86" s="196" t="n">
        <f aca="false">IF((SUMIF($EF$3:$EO$3,EH$60,$EF$4:$EO$4))=0,0,((SUMIF($EF$3:$EO$3,EH$60,$EF135:$EO135))/SUMIF($EF$3:$EO$3,EH$60,$EF$4:$EO$4)))</f>
        <v>0</v>
      </c>
      <c r="EI86" s="196" t="n">
        <f aca="false">IF((SUMIF($EF$3:$EO$3,EI$60,$EF$4:$EO$4))=0,0,((SUMIF($EF$3:$EO$3,EI$60,$EF135:$EO135))/SUMIF($EF$3:$EO$3,EI$60,$EF$4:$EO$4)))</f>
        <v>0</v>
      </c>
      <c r="EJ86" s="196" t="n">
        <f aca="false">IF((SUMIF($EF$3:$EO$3,EJ$60,$EF$4:$EO$4))=0,0,((SUMIF($EF$3:$EO$3,EJ$60,$EF135:$EO135))/SUMIF($EF$3:$EO$3,EJ$60,$EF$4:$EO$4)))</f>
        <v>0</v>
      </c>
      <c r="EK86" s="196" t="n">
        <f aca="false">IF((SUMIF($EF$3:$EO$3,EK$60,$EF$4:$EO$4))=0,0,((SUMIF($EF$3:$EO$3,EK$60,$EF135:$EO135))/SUMIF($EF$3:$EO$3,EK$60,$EF$4:$EO$4)))</f>
        <v>0</v>
      </c>
      <c r="EL86" s="196" t="n">
        <f aca="false">IF((SUMIF($EF$3:$EO$3,EL$60,$EF$4:$EO$4))=0,0,((SUMIF($EF$3:$EO$3,EL$60,$EF135:$EO135))/SUMIF($EF$3:$EO$3,EL$60,$EF$4:$EO$4)))</f>
        <v>0</v>
      </c>
      <c r="EM86" s="196" t="n">
        <f aca="false">IF((SUMIF($EF$3:$EO$3,EM$60,$EF$4:$EO$4))=0,0,((SUMIF($EF$3:$EO$3,EM$60,$EF135:$EO135))/SUMIF($EF$3:$EO$3,EM$60,$EF$4:$EO$4)))</f>
        <v>0</v>
      </c>
      <c r="EN86" s="196" t="n">
        <f aca="false">IF((SUMIF($EF$3:$EO$3,EN$60,$EF$4:$EO$4))=0,0,((SUMIF($EF$3:$EO$3,EN$60,$EF135:$EO135))/SUMIF($EF$3:$EO$3,EN$60,$EF$4:$EO$4)))</f>
        <v>0</v>
      </c>
      <c r="EO86" s="197" t="n">
        <f aca="false">IF((SUMIF($EF$3:$EO$3,EO$60,$EF$4:$EO$4))=0,0,((SUMIF($EF$3:$EO$3,EO$60,$EF135:$EO135))/SUMIF($EF$3:$EO$3,EO$60,$EF$4:$EO$4)))</f>
        <v>0</v>
      </c>
      <c r="EP86" s="194" t="str">
        <f aca="false">EE86</f>
        <v>Alumno25</v>
      </c>
      <c r="EQ86" s="195" t="n">
        <f aca="false">IF((SUMIF($EQ$3:$EZ$3,EQ$60,$EQ$4:$EZ$4))=0,0,((SUMIF($EQ$3:$EZ$3,EQ$60,$EQ135:$EZ135))/SUMIF($EQ$3:$EZ$3,EQ$60,$EQ$4:$EZ$4)))</f>
        <v>0</v>
      </c>
      <c r="ER86" s="196" t="n">
        <f aca="false">IF((SUMIF($EQ$3:$EZ$3,ER$60,$EQ$4:$EZ$4))=0,0,((SUMIF($EQ$3:$EZ$3,ER$60,$EQ135:$EZ135))/SUMIF($EQ$3:$EZ$3,ER$60,$EQ$4:$EZ$4)))</f>
        <v>0</v>
      </c>
      <c r="ES86" s="196" t="n">
        <f aca="false">IF((SUMIF($EQ$3:$EZ$3,ES$60,$EQ$4:$EZ$4))=0,0,((SUMIF($EQ$3:$EZ$3,ES$60,$EQ135:$EZ135))/SUMIF($EQ$3:$EZ$3,ES$60,$EQ$4:$EZ$4)))</f>
        <v>0</v>
      </c>
      <c r="ET86" s="196" t="n">
        <f aca="false">IF((SUMIF($EQ$3:$EZ$3,ET$60,$EQ$4:$EZ$4))=0,0,((SUMIF($EQ$3:$EZ$3,ET$60,$EQ135:$EZ135))/SUMIF($EQ$3:$EZ$3,ET$60,$EQ$4:$EZ$4)))</f>
        <v>0</v>
      </c>
      <c r="EU86" s="196" t="n">
        <f aca="false">IF((SUMIF($EQ$3:$EZ$3,EU$60,$EQ$4:$EZ$4))=0,0,((SUMIF($EQ$3:$EZ$3,EU$60,$EQ135:$EZ135))/SUMIF($EQ$3:$EZ$3,EU$60,$EQ$4:$EZ$4)))</f>
        <v>0</v>
      </c>
      <c r="EV86" s="196" t="n">
        <f aca="false">IF((SUMIF($EQ$3:$EZ$3,EV$60,$EQ$4:$EZ$4))=0,0,((SUMIF($EQ$3:$EZ$3,EV$60,$EQ135:$EZ135))/SUMIF($EQ$3:$EZ$3,EV$60,$EQ$4:$EZ$4)))</f>
        <v>0</v>
      </c>
      <c r="EW86" s="196" t="n">
        <f aca="false">IF((SUMIF($EQ$3:$EZ$3,EW$60,$EQ$4:$EZ$4))=0,0,((SUMIF($EQ$3:$EZ$3,EW$60,$EQ135:$EZ135))/SUMIF($EQ$3:$EZ$3,EW$60,$EQ$4:$EZ$4)))</f>
        <v>0</v>
      </c>
      <c r="EX86" s="196" t="n">
        <f aca="false">IF((SUMIF($EQ$3:$EZ$3,EX$60,$EQ$4:$EZ$4))=0,0,((SUMIF($EQ$3:$EZ$3,EX$60,$EQ135:$EZ135))/SUMIF($EQ$3:$EZ$3,EX$60,$EQ$4:$EZ$4)))</f>
        <v>0</v>
      </c>
      <c r="EY86" s="196" t="n">
        <f aca="false">IF((SUMIF($EQ$3:$EZ$3,EY$60,$EQ$4:$EZ$4))=0,0,((SUMIF($EQ$3:$EZ$3,EY$60,$EQ135:$EZ135))/SUMIF($EQ$3:$EZ$3,EY$60,$EQ$4:$EZ$4)))</f>
        <v>0</v>
      </c>
      <c r="EZ86" s="197" t="n">
        <f aca="false">IF((SUMIF($EQ$3:$EZ$3,EZ$60,$EQ$4:$EZ$4))=0,0,((SUMIF($EQ$3:$EZ$3,EZ$60,$EQ135:$EZ135))/SUMIF($EQ$3:$EZ$3,EZ$60,$EQ$4:$EZ$4)))</f>
        <v>0</v>
      </c>
      <c r="FA86" s="194" t="str">
        <f aca="false">EP86</f>
        <v>Alumno25</v>
      </c>
      <c r="FB86" s="195" t="n">
        <f aca="false">IF((SUMIF($FB$3:$FK$3,FB$60,$FB$4:$FK$4))=0,0,((SUMIF($FB$3:$FK$3,FB$60,$FB135:$FK135))/SUMIF($FB$3:$FK$3,FB$60,$FB$4:$FK$4)))</f>
        <v>0</v>
      </c>
      <c r="FC86" s="196" t="n">
        <f aca="false">IF((SUMIF($FB$3:$FK$3,FC$60,$FB$4:$FK$4))=0,0,((SUMIF($FB$3:$FK$3,FC$60,$FB135:$FK135))/SUMIF($FB$3:$FK$3,FC$60,$FB$4:$FK$4)))</f>
        <v>0</v>
      </c>
      <c r="FD86" s="196" t="n">
        <f aca="false">IF((SUMIF($FB$3:$FK$3,FD$60,$FB$4:$FK$4))=0,0,((SUMIF($FB$3:$FK$3,FD$60,$FB135:$FK135))/SUMIF($FB$3:$FK$3,FD$60,$FB$4:$FK$4)))</f>
        <v>0</v>
      </c>
      <c r="FE86" s="196" t="n">
        <f aca="false">IF((SUMIF($FB$3:$FK$3,FE$60,$FB$4:$FK$4))=0,0,((SUMIF($FB$3:$FK$3,FE$60,$FB135:$FK135))/SUMIF($FB$3:$FK$3,FE$60,$FB$4:$FK$4)))</f>
        <v>0</v>
      </c>
      <c r="FF86" s="196" t="n">
        <f aca="false">IF((SUMIF($FB$3:$FK$3,FF$60,$FB$4:$FK$4))=0,0,((SUMIF($FB$3:$FK$3,FF$60,$FB135:$FK135))/SUMIF($FB$3:$FK$3,FF$60,$FB$4:$FK$4)))</f>
        <v>0</v>
      </c>
      <c r="FG86" s="196" t="n">
        <f aca="false">IF((SUMIF($FB$3:$FK$3,FG$60,$FB$4:$FK$4))=0,0,((SUMIF($FB$3:$FK$3,FG$60,$FB135:$FK135))/SUMIF($FB$3:$FK$3,FG$60,$FB$4:$FK$4)))</f>
        <v>0</v>
      </c>
      <c r="FH86" s="196" t="n">
        <f aca="false">IF((SUMIF($FB$3:$FK$3,FH$60,$FB$4:$FK$4))=0,0,((SUMIF($FB$3:$FK$3,FH$60,$FB135:$FK135))/SUMIF($FB$3:$FK$3,FH$60,$FB$4:$FK$4)))</f>
        <v>0</v>
      </c>
      <c r="FI86" s="196" t="n">
        <f aca="false">IF((SUMIF($FB$3:$FK$3,FI$60,$FB$4:$FK$4))=0,0,((SUMIF($FB$3:$FK$3,FI$60,$FB135:$FK135))/SUMIF($FB$3:$FK$3,FI$60,$FB$4:$FK$4)))</f>
        <v>0</v>
      </c>
      <c r="FJ86" s="196" t="n">
        <f aca="false">IF((SUMIF($FB$3:$FK$3,FJ$60,$FB$4:$FK$4))=0,0,((SUMIF($FB$3:$FK$3,FJ$60,$FB135:$FK135))/SUMIF($FB$3:$FK$3,FJ$60,$FB$4:$FK$4)))</f>
        <v>0</v>
      </c>
      <c r="FK86" s="197" t="n">
        <f aca="false">IF((SUMIF($FB$3:$FK$3,FK$60,$FB$4:$FK$4))=0,0,((SUMIF($FB$3:$FK$3,FK$60,$FB135:$FK135))/SUMIF($FB$3:$FK$3,FK$60,$FB$4:$FK$4)))</f>
        <v>0</v>
      </c>
      <c r="FL86" s="194" t="str">
        <f aca="false">FA86</f>
        <v>Alumno25</v>
      </c>
      <c r="FM86" s="195" t="n">
        <f aca="false">IF((SUMIF($FM$3:$FV$3,FM$60,$FM$4:$FV$4))=0,0,((SUMIF($FM$3:$FV$3,FM$60,$FM135:$FV135))/SUMIF($FM$3:$FV$3,FM$60,$FM$4:$FV$4)))</f>
        <v>0</v>
      </c>
      <c r="FN86" s="196" t="n">
        <f aca="false">IF((SUMIF($FM$3:$FV$3,FN$60,$FM$4:$FV$4))=0,0,((SUMIF($FM$3:$FV$3,FN$60,$FM135:$FV135))/SUMIF($FM$3:$FV$3,FN$60,$FM$4:$FV$4)))</f>
        <v>0</v>
      </c>
      <c r="FO86" s="196" t="n">
        <f aca="false">IF((SUMIF($FM$3:$FV$3,FO$60,$FM$4:$FV$4))=0,0,((SUMIF($FM$3:$FV$3,FO$60,$FM135:$FV135))/SUMIF($FM$3:$FV$3,FO$60,$FM$4:$FV$4)))</f>
        <v>0</v>
      </c>
      <c r="FP86" s="196" t="n">
        <f aca="false">IF((SUMIF($FM$3:$FV$3,FP$60,$FM$4:$FV$4))=0,0,((SUMIF($FM$3:$FV$3,FP$60,$FM135:$FV135))/SUMIF($FM$3:$FV$3,FP$60,$FM$4:$FV$4)))</f>
        <v>0</v>
      </c>
      <c r="FQ86" s="196" t="n">
        <f aca="false">IF((SUMIF($FM$3:$FV$3,FQ$60,$FM$4:$FV$4))=0,0,((SUMIF($FM$3:$FV$3,FQ$60,$FM135:$FV135))/SUMIF($FM$3:$FV$3,FQ$60,$FM$4:$FV$4)))</f>
        <v>0</v>
      </c>
      <c r="FR86" s="196" t="n">
        <f aca="false">IF((SUMIF($FM$3:$FV$3,FR$60,$FM$4:$FV$4))=0,0,((SUMIF($FM$3:$FV$3,FR$60,$FM135:$FV135))/SUMIF($FM$3:$FV$3,FR$60,$FM$4:$FV$4)))</f>
        <v>0</v>
      </c>
      <c r="FS86" s="196" t="n">
        <f aca="false">IF((SUMIF($FM$3:$FV$3,FS$60,$FM$4:$FV$4))=0,0,((SUMIF($FM$3:$FV$3,FS$60,$FM135:$FV135))/SUMIF($FM$3:$FV$3,FS$60,$FM$4:$FV$4)))</f>
        <v>0</v>
      </c>
      <c r="FT86" s="196" t="n">
        <f aca="false">IF((SUMIF($FM$3:$FV$3,FT$60,$FM$4:$FV$4))=0,0,((SUMIF($FM$3:$FV$3,FT$60,$FM135:$FV135))/SUMIF($FM$3:$FV$3,FT$60,$FM$4:$FV$4)))</f>
        <v>0</v>
      </c>
      <c r="FU86" s="196" t="n">
        <f aca="false">IF((SUMIF($FM$3:$FV$3,FU$60,$FM$4:$FV$4))=0,0,((SUMIF($FM$3:$FV$3,FU$60,$FM135:$FV135))/SUMIF($FM$3:$FV$3,FU$60,$FM$4:$FV$4)))</f>
        <v>0</v>
      </c>
      <c r="FV86" s="197" t="n">
        <f aca="false">IF((SUMIF($FM$3:$FV$3,FV$60,$FM$4:$FV$4))=0,0,((SUMIF($FM$3:$FV$3,FV$60,$FM135:$FV135))/SUMIF($FM$3:$FV$3,FV$60,$FM$4:$FV$4)))</f>
        <v>0</v>
      </c>
      <c r="FW86" s="194" t="str">
        <f aca="false">FL86</f>
        <v>Alumno25</v>
      </c>
      <c r="FX86" s="195" t="n">
        <f aca="false">IF((SUMIF($FX$3:$GG$3,FX$60,$FX$4:$GG$4))=0,0,((SUMIF($FX$3:$GG$3,FX$60,$FX135:$GG135))/SUMIF($FX$3:$GG$3,FX$60,$FX$4:$GG$4)))</f>
        <v>0</v>
      </c>
      <c r="FY86" s="196" t="n">
        <f aca="false">IF((SUMIF($FX$3:$GG$3,FY$60,$FX$4:$GG$4))=0,0,((SUMIF($FX$3:$GG$3,FY$60,$FX135:$GG135))/SUMIF($FX$3:$GG$3,FY$60,$FX$4:$GG$4)))</f>
        <v>0</v>
      </c>
      <c r="FZ86" s="196" t="n">
        <f aca="false">IF((SUMIF($FX$3:$GG$3,FZ$60,$FX$4:$GG$4))=0,0,((SUMIF($FX$3:$GG$3,FZ$60,$FX135:$GG135))/SUMIF($FX$3:$GG$3,FZ$60,$FX$4:$GG$4)))</f>
        <v>0</v>
      </c>
      <c r="GA86" s="196" t="n">
        <f aca="false">IF((SUMIF($FX$3:$GG$3,GA$60,$FX$4:$GG$4))=0,0,((SUMIF($FX$3:$GG$3,GA$60,$FX135:$GG135))/SUMIF($FX$3:$GG$3,GA$60,$FX$4:$GG$4)))</f>
        <v>0</v>
      </c>
      <c r="GB86" s="196" t="n">
        <f aca="false">IF((SUMIF($FX$3:$GG$3,GB$60,$FX$4:$GG$4))=0,0,((SUMIF($FX$3:$GG$3,GB$60,$FX135:$GG135))/SUMIF($FX$3:$GG$3,GB$60,$FX$4:$GG$4)))</f>
        <v>0</v>
      </c>
      <c r="GC86" s="196" t="n">
        <f aca="false">IF((SUMIF($FX$3:$GG$3,GC$60,$FX$4:$GG$4))=0,0,((SUMIF($FX$3:$GG$3,GC$60,$FX135:$GG135))/SUMIF($FX$3:$GG$3,GC$60,$FX$4:$GG$4)))</f>
        <v>0</v>
      </c>
      <c r="GD86" s="196" t="n">
        <f aca="false">IF((SUMIF($FX$3:$GG$3,GD$60,$FX$4:$GG$4))=0,0,((SUMIF($FX$3:$GG$3,GD$60,$FX135:$GG135))/SUMIF($FX$3:$GG$3,GD$60,$FX$4:$GG$4)))</f>
        <v>0</v>
      </c>
      <c r="GE86" s="196" t="n">
        <f aca="false">IF((SUMIF($FX$3:$GG$3,GE$60,$FX$4:$GG$4))=0,0,((SUMIF($FX$3:$GG$3,GE$60,$FX135:$GG135))/SUMIF($FX$3:$GG$3,GE$60,$FX$4:$GG$4)))</f>
        <v>0</v>
      </c>
      <c r="GF86" s="196" t="n">
        <f aca="false">IF((SUMIF($FX$3:$GG$3,GF$60,$FX$4:$GG$4))=0,0,((SUMIF($FX$3:$GG$3,GF$60,$FX135:$GG135))/SUMIF($FX$3:$GG$3,GF$60,$FX$4:$GG$4)))</f>
        <v>0</v>
      </c>
      <c r="GG86" s="197" t="n">
        <f aca="false">IF((SUMIF($FX$3:$GG$3,GG$60,$FX$4:$GG$4))=0,0,((SUMIF($FX$3:$GG$3,GG$60,$FX135:$GG135))/SUMIF($FX$3:$GG$3,GG$60,$FX$4:$GG$4)))</f>
        <v>0</v>
      </c>
      <c r="GH86" s="194" t="str">
        <f aca="false">FW86</f>
        <v>Alumno25</v>
      </c>
      <c r="GI86" s="195" t="n">
        <f aca="false">IF((SUMIF($GI$3:$GR$3,GI$60,$GI$4:$GR$4))=0,0,((SUMIF($GI$3:$GR$3,GI$60,$GI135:$GR135))/SUMIF($GI$3:$GR$3,GI$60,$GI$4:$GR$4)))</f>
        <v>0</v>
      </c>
      <c r="GJ86" s="196" t="n">
        <f aca="false">IF((SUMIF($GI$3:$GR$3,GJ$60,$GI$4:$GR$4))=0,0,((SUMIF($GI$3:$GR$3,GJ$60,$GI135:$GR135))/SUMIF($GI$3:$GR$3,GJ$60,$GI$4:$GR$4)))</f>
        <v>0</v>
      </c>
      <c r="GK86" s="196" t="n">
        <f aca="false">IF((SUMIF($GI$3:$GR$3,GK$60,$GI$4:$GR$4))=0,0,((SUMIF($GI$3:$GR$3,GK$60,$GI135:$GR135))/SUMIF($GI$3:$GR$3,GK$60,$GI$4:$GR$4)))</f>
        <v>0</v>
      </c>
      <c r="GL86" s="196" t="n">
        <f aca="false">IF((SUMIF($GI$3:$GR$3,GL$60,$GI$4:$GR$4))=0,0,((SUMIF($GI$3:$GR$3,GL$60,$GI135:$GR135))/SUMIF($GI$3:$GR$3,GL$60,$GI$4:$GR$4)))</f>
        <v>0</v>
      </c>
      <c r="GM86" s="196" t="n">
        <f aca="false">IF((SUMIF($GI$3:$GR$3,GM$60,$GI$4:$GR$4))=0,0,((SUMIF($GI$3:$GR$3,GM$60,$GI135:$GR135))/SUMIF($GI$3:$GR$3,GM$60,$GI$4:$GR$4)))</f>
        <v>0</v>
      </c>
      <c r="GN86" s="196" t="n">
        <f aca="false">IF((SUMIF($GI$3:$GR$3,GN$60,$GI$4:$GR$4))=0,0,((SUMIF($GI$3:$GR$3,GN$60,$GI135:$GR135))/SUMIF($GI$3:$GR$3,GN$60,$GI$4:$GR$4)))</f>
        <v>0</v>
      </c>
      <c r="GO86" s="196" t="n">
        <f aca="false">IF((SUMIF($GI$3:$GR$3,GO$60,$GI$4:$GR$4))=0,0,((SUMIF($GI$3:$GR$3,GO$60,$GI135:$GR135))/SUMIF($GI$3:$GR$3,GO$60,$GI$4:$GR$4)))</f>
        <v>0</v>
      </c>
      <c r="GP86" s="196" t="n">
        <f aca="false">IF((SUMIF($GI$3:$GR$3,GP$60,$GI$4:$GR$4))=0,0,((SUMIF($GI$3:$GR$3,GP$60,$GI135:$GR135))/SUMIF($GI$3:$GR$3,GP$60,$GI$4:$GR$4)))</f>
        <v>0</v>
      </c>
      <c r="GQ86" s="196" t="n">
        <f aca="false">IF((SUMIF($GI$3:$GR$3,GQ$60,$GI$4:$GR$4))=0,0,((SUMIF($GI$3:$GR$3,GQ$60,$GI135:$GR135))/SUMIF($GI$3:$GR$3,GQ$60,$GI$4:$GR$4)))</f>
        <v>0</v>
      </c>
      <c r="GR86" s="197" t="n">
        <f aca="false">IF((SUMIF($GI$3:$GR$3,GR$60,$GI$4:$GR$4))=0,0,((SUMIF($GI$3:$GR$3,GR$60,$GI135:$GR135))/SUMIF($GI$3:$GR$3,GR$60,$GI$4:$GR$4)))</f>
        <v>0</v>
      </c>
      <c r="GS86" s="194" t="str">
        <f aca="false">GH86</f>
        <v>Alumno25</v>
      </c>
      <c r="GT86" s="195" t="n">
        <f aca="false">IF((SUMIF($GT$3:$HC$3,GT$60,$GT$4:$HC$4))=0,0,((SUMIF($GT$3:$HC$3,GT$60,$GT135:$HC135))/SUMIF($GT$3:$HC$3,GT$60,$GT$4:$HC$4)))</f>
        <v>0</v>
      </c>
      <c r="GU86" s="196" t="n">
        <f aca="false">IF((SUMIF($GT$3:$HC$3,GU$60,$GT$4:$HC$4))=0,0,((SUMIF($GT$3:$HC$3,GU$60,$GT135:$HC135))/SUMIF($GT$3:$HC$3,GU$60,$GT$4:$HC$4)))</f>
        <v>0</v>
      </c>
      <c r="GV86" s="196" t="n">
        <f aca="false">IF((SUMIF($GT$3:$HC$3,GV$60,$GT$4:$HC$4))=0,0,((SUMIF($GT$3:$HC$3,GV$60,$GT135:$HC135))/SUMIF($GT$3:$HC$3,GV$60,$GT$4:$HC$4)))</f>
        <v>0</v>
      </c>
      <c r="GW86" s="196" t="n">
        <f aca="false">IF((SUMIF($GT$3:$HC$3,GW$60,$GT$4:$HC$4))=0,0,((SUMIF($GT$3:$HC$3,GW$60,$GT135:$HC135))/SUMIF($GT$3:$HC$3,GW$60,$GT$4:$HC$4)))</f>
        <v>0</v>
      </c>
      <c r="GX86" s="196" t="n">
        <f aca="false">IF((SUMIF($GT$3:$HC$3,GX$60,$GT$4:$HC$4))=0,0,((SUMIF($GT$3:$HC$3,GX$60,$GT135:$HC135))/SUMIF($GT$3:$HC$3,GX$60,$GT$4:$HC$4)))</f>
        <v>0</v>
      </c>
      <c r="GY86" s="196" t="n">
        <f aca="false">IF((SUMIF($GT$3:$HC$3,GY$60,$GT$4:$HC$4))=0,0,((SUMIF($GT$3:$HC$3,GY$60,$GT135:$HC135))/SUMIF($GT$3:$HC$3,GY$60,$GT$4:$HC$4)))</f>
        <v>0</v>
      </c>
      <c r="GZ86" s="196" t="n">
        <f aca="false">IF((SUMIF($GT$3:$HC$3,GZ$60,$GT$4:$HC$4))=0,0,((SUMIF($GT$3:$HC$3,GZ$60,$GT135:$HC135))/SUMIF($GT$3:$HC$3,GZ$60,$GT$4:$HC$4)))</f>
        <v>0</v>
      </c>
      <c r="HA86" s="196" t="n">
        <f aca="false">IF((SUMIF($GT$3:$HC$3,HA$60,$GT$4:$HC$4))=0,0,((SUMIF($GT$3:$HC$3,HA$60,$GT135:$HC135))/SUMIF($GT$3:$HC$3,HA$60,$GT$4:$HC$4)))</f>
        <v>0</v>
      </c>
      <c r="HB86" s="196" t="n">
        <f aca="false">IF((SUMIF($GT$3:$HC$3,HB$60,$GT$4:$HC$4))=0,0,((SUMIF($GT$3:$HC$3,HB$60,$GT135:$HC135))/SUMIF($GT$3:$HC$3,HB$60,$GT$4:$HC$4)))</f>
        <v>0</v>
      </c>
      <c r="HC86" s="197" t="n">
        <f aca="false">IF((SUMIF($GT$3:$HC$3,HC$60,$GT$4:$HC$4))=0,0,((SUMIF($GT$3:$HC$3,HC$60,$GT135:$HC135))/SUMIF($GT$3:$HC$3,HC$60,$GT$4:$HC$4)))</f>
        <v>0</v>
      </c>
      <c r="HD86" s="194" t="str">
        <f aca="false">GS86</f>
        <v>Alumno25</v>
      </c>
      <c r="HE86" s="195" t="n">
        <f aca="false">IF((SUMIF($HE$3:$HN$3,HE$60,$HE$4:$HN$4))=0,0,((SUMIF($HE$3:$HN$3,HE$60,$HE135:$HN135))/SUMIF($HE$3:$HN$3,HE$60,$HE$4:$HN$4)))</f>
        <v>0</v>
      </c>
      <c r="HF86" s="196" t="n">
        <f aca="false">IF((SUMIF($HE$3:$HN$3,HF$60,$HE$4:$HN$4))=0,0,((SUMIF($HE$3:$HN$3,HF$60,$HE135:$HN135))/SUMIF($HE$3:$HN$3,HF$60,$HE$4:$HN$4)))</f>
        <v>0</v>
      </c>
      <c r="HG86" s="196" t="n">
        <f aca="false">IF((SUMIF($HE$3:$HN$3,HG$60,$HE$4:$HN$4))=0,0,((SUMIF($HE$3:$HN$3,HG$60,$HE135:$HN135))/SUMIF($HE$3:$HN$3,HG$60,$HE$4:$HN$4)))</f>
        <v>0</v>
      </c>
      <c r="HH86" s="196" t="n">
        <f aca="false">IF((SUMIF($HE$3:$HN$3,HH$60,$HE$4:$HN$4))=0,0,((SUMIF($HE$3:$HN$3,HH$60,$HE135:$HN135))/SUMIF($HE$3:$HN$3,HH$60,$HE$4:$HN$4)))</f>
        <v>0</v>
      </c>
      <c r="HI86" s="196" t="n">
        <f aca="false">IF((SUMIF($HE$3:$HN$3,HI$60,$HE$4:$HN$4))=0,0,((SUMIF($HE$3:$HN$3,HI$60,$HE135:$HN135))/SUMIF($HE$3:$HN$3,HI$60,$HE$4:$HN$4)))</f>
        <v>0</v>
      </c>
      <c r="HJ86" s="196" t="n">
        <f aca="false">IF((SUMIF($HE$3:$HN$3,HJ$60,$HE$4:$HN$4))=0,0,((SUMIF($HE$3:$HN$3,HJ$60,$HE135:$HN135))/SUMIF($HE$3:$HN$3,HJ$60,$HE$4:$HN$4)))</f>
        <v>0</v>
      </c>
      <c r="HK86" s="196" t="n">
        <f aca="false">IF((SUMIF($HE$3:$HN$3,HK$60,$HE$4:$HN$4))=0,0,((SUMIF($HE$3:$HN$3,HK$60,$HE135:$HN135))/SUMIF($HE$3:$HN$3,HK$60,$HE$4:$HN$4)))</f>
        <v>0</v>
      </c>
      <c r="HL86" s="196" t="n">
        <f aca="false">IF((SUMIF($HE$3:$HN$3,HL$60,$HE$4:$HN$4))=0,0,((SUMIF($HE$3:$HN$3,HL$60,$HE135:$HN135))/SUMIF($HE$3:$HN$3,HL$60,$HE$4:$HN$4)))</f>
        <v>0</v>
      </c>
      <c r="HM86" s="196" t="n">
        <f aca="false">IF((SUMIF($HE$3:$HN$3,HM$60,$HE$4:$HN$4))=0,0,((SUMIF($HE$3:$HN$3,HM$60,$HE135:$HN135))/SUMIF($HE$3:$HN$3,HM$60,$HE$4:$HN$4)))</f>
        <v>0</v>
      </c>
      <c r="HN86" s="197" t="n">
        <f aca="false">IF((SUMIF($HE$3:$HN$3,HN$60,$HE$4:$HN$4))=0,0,((SUMIF($HE$3:$HN$3,HN$60,$HE135:$HN135))/SUMIF($HE$3:$HN$3,HN$60,$HE$4:$HN$4)))</f>
        <v>0</v>
      </c>
      <c r="HO86" s="194" t="str">
        <f aca="false">HD86</f>
        <v>Alumno25</v>
      </c>
      <c r="HP86" s="195" t="n">
        <f aca="false">IF((SUMIF($HP$3:$HY$3,HP$60,$HP$4:$HY$4))=0,0,((SUMIF($HP$3:$HY$3,HP$60,$HP135:$HY135))/SUMIF($HP$3:$HY$3,HP$60,$HP$4:$HY$4)))</f>
        <v>0</v>
      </c>
      <c r="HQ86" s="196" t="n">
        <f aca="false">IF((SUMIF($HP$3:$HY$3,HQ$60,$HP$4:$HY$4))=0,0,((SUMIF($HP$3:$HY$3,HQ$60,$HP135:$HY135))/SUMIF($HP$3:$HY$3,HQ$60,$HP$4:$HY$4)))</f>
        <v>0</v>
      </c>
      <c r="HR86" s="196" t="n">
        <f aca="false">IF((SUMIF($HP$3:$HY$3,HR$60,$HP$4:$HY$4))=0,0,((SUMIF($HP$3:$HY$3,HR$60,$HP135:$HY135))/SUMIF($HP$3:$HY$3,HR$60,$HP$4:$HY$4)))</f>
        <v>0</v>
      </c>
      <c r="HS86" s="196" t="n">
        <f aca="false">IF((SUMIF($HP$3:$HY$3,HS$60,$HP$4:$HY$4))=0,0,((SUMIF($HP$3:$HY$3,HS$60,$HP135:$HY135))/SUMIF($HP$3:$HY$3,HS$60,$HP$4:$HY$4)))</f>
        <v>0</v>
      </c>
      <c r="HT86" s="196" t="n">
        <f aca="false">IF((SUMIF($HP$3:$HY$3,HT$60,$HP$4:$HY$4))=0,0,((SUMIF($HP$3:$HY$3,HT$60,$HP135:$HY135))/SUMIF($HP$3:$HY$3,HT$60,$HP$4:$HY$4)))</f>
        <v>0</v>
      </c>
      <c r="HU86" s="196" t="n">
        <f aca="false">IF((SUMIF($HP$3:$HY$3,HU$60,$HP$4:$HY$4))=0,0,((SUMIF($HP$3:$HY$3,HU$60,$HP135:$HY135))/SUMIF($HP$3:$HY$3,HU$60,$HP$4:$HY$4)))</f>
        <v>0</v>
      </c>
      <c r="HV86" s="196" t="n">
        <f aca="false">IF((SUMIF($HP$3:$HY$3,HV$60,$HP$4:$HY$4))=0,0,((SUMIF($HP$3:$HY$3,HV$60,$HP135:$HY135))/SUMIF($HP$3:$HY$3,HV$60,$HP$4:$HY$4)))</f>
        <v>0</v>
      </c>
      <c r="HW86" s="196" t="n">
        <f aca="false">IF((SUMIF($HP$3:$HY$3,HW$60,$HP$4:$HY$4))=0,0,((SUMIF($HP$3:$HY$3,HW$60,$HP135:$HY135))/SUMIF($HP$3:$HY$3,HW$60,$HP$4:$HY$4)))</f>
        <v>0</v>
      </c>
      <c r="HX86" s="196" t="n">
        <f aca="false">IF((SUMIF($HP$3:$HY$3,HX$60,$HP$4:$HY$4))=0,0,((SUMIF($HP$3:$HY$3,HX$60,$HP135:$HY135))/SUMIF($HP$3:$HY$3,HX$60,$HP$4:$HY$4)))</f>
        <v>0</v>
      </c>
      <c r="HY86" s="197" t="n">
        <f aca="false">IF((SUMIF($HP$3:$HY$3,HY$60,$HP$4:$HY$4))=0,0,((SUMIF($HP$3:$HY$3,HY$60,$HP135:$HY135))/SUMIF($HP$3:$HY$3,HY$60,$HP$4:$HY$4)))</f>
        <v>0</v>
      </c>
      <c r="HZ86" s="194" t="str">
        <f aca="false">HO86</f>
        <v>Alumno25</v>
      </c>
      <c r="IA86" s="195" t="n">
        <f aca="false">IF((SUMIF($IA$3:$IJ$3,IA$60,$IA$4:$IJ$4))=0,0,((SUMIF($IA$3:$IJ$3,IA$60,$IA135:$IJ135))/SUMIF($IA$3:$IJ$3,IA$60,$IA$4:$IJ$4)))</f>
        <v>0</v>
      </c>
      <c r="IB86" s="196" t="n">
        <f aca="false">IF((SUMIF($IA$3:$IJ$3,IB$60,$IA$4:$IJ$4))=0,0,((SUMIF($IA$3:$IJ$3,IB$60,$IA135:$IJ135))/SUMIF($IA$3:$IJ$3,IB$60,$IA$4:$IJ$4)))</f>
        <v>0</v>
      </c>
      <c r="IC86" s="196" t="n">
        <f aca="false">IF((SUMIF($IA$3:$IJ$3,IC$60,$IA$4:$IJ$4))=0,0,((SUMIF($IA$3:$IJ$3,IC$60,$IA135:$IJ135))/SUMIF($IA$3:$IJ$3,IC$60,$IA$4:$IJ$4)))</f>
        <v>0</v>
      </c>
      <c r="ID86" s="196" t="n">
        <f aca="false">IF((SUMIF($IA$3:$IJ$3,ID$60,$IA$4:$IJ$4))=0,0,((SUMIF($IA$3:$IJ$3,ID$60,$IA135:$IJ135))/SUMIF($IA$3:$IJ$3,ID$60,$IA$4:$IJ$4)))</f>
        <v>0</v>
      </c>
      <c r="IE86" s="196" t="n">
        <f aca="false">IF((SUMIF($IA$3:$IJ$3,IE$60,$IA$4:$IJ$4))=0,0,((SUMIF($IA$3:$IJ$3,IE$60,$IA135:$IJ135))/SUMIF($IA$3:$IJ$3,IE$60,$IA$4:$IJ$4)))</f>
        <v>0</v>
      </c>
      <c r="IF86" s="196" t="n">
        <f aca="false">IF((SUMIF($IA$3:$IJ$3,IF$60,$IA$4:$IJ$4))=0,0,((SUMIF($IA$3:$IJ$3,IF$60,$IA135:$IJ135))/SUMIF($IA$3:$IJ$3,IF$60,$IA$4:$IJ$4)))</f>
        <v>0</v>
      </c>
      <c r="IG86" s="196" t="n">
        <f aca="false">IF((SUMIF($IA$3:$IJ$3,IG$60,$IA$4:$IJ$4))=0,0,((SUMIF($IA$3:$IJ$3,IG$60,$IA135:$IJ135))/SUMIF($IA$3:$IJ$3,IG$60,$IA$4:$IJ$4)))</f>
        <v>0</v>
      </c>
      <c r="IH86" s="196" t="n">
        <f aca="false">IF((SUMIF($IA$3:$IJ$3,IH$60,$IA$4:$IJ$4))=0,0,((SUMIF($IA$3:$IJ$3,IH$60,$IA135:$IJ135))/SUMIF($IA$3:$IJ$3,IH$60,$IA$4:$IJ$4)))</f>
        <v>0</v>
      </c>
      <c r="II86" s="196" t="n">
        <f aca="false">IF((SUMIF($IA$3:$IJ$3,II$60,$IA$4:$IJ$4))=0,0,((SUMIF($IA$3:$IJ$3,II$60,$IA135:$IJ135))/SUMIF($IA$3:$IJ$3,II$60,$IA$4:$IJ$4)))</f>
        <v>0</v>
      </c>
      <c r="IJ86" s="197" t="n">
        <f aca="false">IF((SUMIF($IA$3:$IJ$3,IJ$60,$IA$4:$IJ$4))=0,0,((SUMIF($IA$3:$IJ$3,IJ$60,$IA135:$IJ135))/SUMIF($IA$3:$IJ$3,IJ$60,$IA$4:$IJ$4)))</f>
        <v>0</v>
      </c>
      <c r="IK86" s="194" t="str">
        <f aca="false">HZ86</f>
        <v>Alumno25</v>
      </c>
      <c r="IL86" s="195" t="n">
        <f aca="false">IF((SUMIF($IL$3:$IU$3,IL$60,$IL$4:$IU$4))=0,0,((SUMIF($IL$3:$IU$3,IL$60,$IL135:$IU135))/SUMIF($IL$3:$IU$3,IL$60,$IL$4:$IU$4)))</f>
        <v>0</v>
      </c>
      <c r="IM86" s="196" t="n">
        <f aca="false">IF((SUMIF($IL$3:$IU$3,IM$60,$IL$4:$IU$4))=0,0,((SUMIF($IL$3:$IU$3,IM$60,$IL135:$IU135))/SUMIF($IL$3:$IU$3,IM$60,$IL$4:$IU$4)))</f>
        <v>0</v>
      </c>
      <c r="IN86" s="196" t="n">
        <f aca="false">IF((SUMIF($IL$3:$IU$3,IN$60,$IL$4:$IU$4))=0,0,((SUMIF($IL$3:$IU$3,IN$60,$IL135:$IU135))/SUMIF($IL$3:$IU$3,IN$60,$IL$4:$IU$4)))</f>
        <v>0</v>
      </c>
      <c r="IO86" s="196" t="n">
        <f aca="false">IF((SUMIF($IL$3:$IU$3,IO$60,$IL$4:$IU$4))=0,0,((SUMIF($IL$3:$IU$3,IO$60,$IL135:$IU135))/SUMIF($IL$3:$IU$3,IO$60,$IL$4:$IU$4)))</f>
        <v>0</v>
      </c>
      <c r="IP86" s="196" t="n">
        <f aca="false">IF((SUMIF($IL$3:$IU$3,IP$60,$IL$4:$IU$4))=0,0,((SUMIF($IL$3:$IU$3,IP$60,$IL135:$IU135))/SUMIF($IL$3:$IU$3,IP$60,$IL$4:$IU$4)))</f>
        <v>0</v>
      </c>
      <c r="IQ86" s="196" t="n">
        <f aca="false">IF((SUMIF($IL$3:$IU$3,IQ$60,$IL$4:$IU$4))=0,0,((SUMIF($IL$3:$IU$3,IQ$60,$IL135:$IU135))/SUMIF($IL$3:$IU$3,IQ$60,$IL$4:$IU$4)))</f>
        <v>0</v>
      </c>
      <c r="IR86" s="196" t="n">
        <f aca="false">IF((SUMIF($IL$3:$IU$3,IR$60,$IL$4:$IU$4))=0,0,((SUMIF($IL$3:$IU$3,IR$60,$IL135:$IU135))/SUMIF($IL$3:$IU$3,IR$60,$IL$4:$IU$4)))</f>
        <v>0</v>
      </c>
      <c r="IS86" s="196" t="n">
        <f aca="false">IF((SUMIF($IL$3:$IU$3,IS$60,$IL$4:$IU$4))=0,0,((SUMIF($IL$3:$IU$3,IS$60,$IL135:$IU135))/SUMIF($IL$3:$IU$3,IS$60,$IL$4:$IU$4)))</f>
        <v>0</v>
      </c>
      <c r="IT86" s="196" t="n">
        <f aca="false">IF((SUMIF($IL$3:$IU$3,IT$60,$IL$4:$IU$4))=0,0,((SUMIF($IL$3:$IU$3,IT$60,$IL135:$IU135))/SUMIF($IL$3:$IU$3,IT$60,$IL$4:$IU$4)))</f>
        <v>0</v>
      </c>
      <c r="IU86" s="197" t="n">
        <f aca="false">IF((SUMIF($IL$3:$IU$3,IU$60,$IL$4:$IU$4))=0,0,((SUMIF($IL$3:$IU$3,IU$60,$IL135:$IU135))/SUMIF($IL$3:$IU$3,IU$60,$IL$4:$IU$4)))</f>
        <v>0</v>
      </c>
      <c r="IV86" s="194" t="str">
        <f aca="false">IK86</f>
        <v>Alumno25</v>
      </c>
      <c r="IW86" s="195" t="n">
        <f aca="false">IF((SUMIF($IW$3:$JF$3,IW$60,$IW$4:$JF$4))=0,0,((SUMIF($IW$3:$JF$3,IW$60,$IW135:$JF135))/SUMIF($IW$3:$JF$3,IW$60,$IW$4:$JF$4)))</f>
        <v>0</v>
      </c>
      <c r="IX86" s="196" t="n">
        <f aca="false">IF((SUMIF($IW$3:$JF$3,IX$60,$IW$4:$JF$4))=0,0,((SUMIF($IW$3:$JF$3,IX$60,$IW135:$JF135))/SUMIF($IW$3:$JF$3,IX$60,$IW$4:$JF$4)))</f>
        <v>0</v>
      </c>
      <c r="IY86" s="196" t="n">
        <f aca="false">IF((SUMIF($IW$3:$JF$3,IY$60,$IW$4:$JF$4))=0,0,((SUMIF($IW$3:$JF$3,IY$60,$IW135:$JF135))/SUMIF($IW$3:$JF$3,IY$60,$IW$4:$JF$4)))</f>
        <v>0</v>
      </c>
      <c r="IZ86" s="196" t="n">
        <f aca="false">IF((SUMIF($IW$3:$JF$3,IZ$60,$IW$4:$JF$4))=0,0,((SUMIF($IW$3:$JF$3,IZ$60,$IW135:$JF135))/SUMIF($IW$3:$JF$3,IZ$60,$IW$4:$JF$4)))</f>
        <v>0</v>
      </c>
      <c r="JA86" s="196" t="n">
        <f aca="false">IF((SUMIF($IW$3:$JF$3,JA$60,$IW$4:$JF$4))=0,0,((SUMIF($IW$3:$JF$3,JA$60,$IW135:$JF135))/SUMIF($IW$3:$JF$3,JA$60,$IW$4:$JF$4)))</f>
        <v>0</v>
      </c>
      <c r="JB86" s="196" t="n">
        <f aca="false">IF((SUMIF($IW$3:$JF$3,JB$60,$IW$4:$JF$4))=0,0,((SUMIF($IW$3:$JF$3,JB$60,$IW135:$JF135))/SUMIF($IW$3:$JF$3,JB$60,$IW$4:$JF$4)))</f>
        <v>0</v>
      </c>
      <c r="JC86" s="196" t="n">
        <f aca="false">IF((SUMIF($IW$3:$JF$3,JC$60,$IW$4:$JF$4))=0,0,((SUMIF($IW$3:$JF$3,JC$60,$IW135:$JF135))/SUMIF($IW$3:$JF$3,JC$60,$IW$4:$JF$4)))</f>
        <v>0</v>
      </c>
      <c r="JD86" s="196" t="n">
        <f aca="false">IF((SUMIF($IW$3:$JF$3,JD$60,$IW$4:$JF$4))=0,0,((SUMIF($IW$3:$JF$3,JD$60,$IW135:$JF135))/SUMIF($IW$3:$JF$3,JD$60,$IW$4:$JF$4)))</f>
        <v>0</v>
      </c>
      <c r="JE86" s="196" t="n">
        <f aca="false">IF((SUMIF($IW$3:$JF$3,JE$60,$IW$4:$JF$4))=0,0,((SUMIF($IW$3:$JF$3,JE$60,$IW135:$JF135))/SUMIF($IW$3:$JF$3,JE$60,$IW$4:$JF$4)))</f>
        <v>0</v>
      </c>
      <c r="JF86" s="197" t="n">
        <f aca="false">IF((SUMIF($IW$3:$JF$3,JF$60,$IW$4:$JF$4))=0,0,((SUMIF($IW$3:$JF$3,JF$60,$IW135:$JF135))/SUMIF($IW$3:$JF$3,JF$60,$IW$4:$JF$4)))</f>
        <v>0</v>
      </c>
      <c r="JG86" s="194" t="str">
        <f aca="false">IV86</f>
        <v>Alumno25</v>
      </c>
      <c r="JH86" s="195" t="n">
        <f aca="false">IF((SUMIF($JH$3:$JQ$3,JH$60,$JH$4:$JQ$4))=0,0,((SUMIF($JH$3:$JQ$3,JH$60,$JH135:$JQ135))/SUMIF($JH$3:$JQ$3,JH$60,$JH$4:$JQ$4)))</f>
        <v>0</v>
      </c>
      <c r="JI86" s="196" t="n">
        <f aca="false">IF((SUMIF($JH$3:$JQ$3,JI$60,$JH$4:$JQ$4))=0,0,((SUMIF($JH$3:$JQ$3,JI$60,$JH135:$JQ135))/SUMIF($JH$3:$JQ$3,JI$60,$JH$4:$JQ$4)))</f>
        <v>0</v>
      </c>
      <c r="JJ86" s="196" t="n">
        <f aca="false">IF((SUMIF($JH$3:$JQ$3,JJ$60,$JH$4:$JQ$4))=0,0,((SUMIF($JH$3:$JQ$3,JJ$60,$JH135:$JQ135))/SUMIF($JH$3:$JQ$3,JJ$60,$JH$4:$JQ$4)))</f>
        <v>0</v>
      </c>
      <c r="JK86" s="196" t="n">
        <f aca="false">IF((SUMIF($JH$3:$JQ$3,JK$60,$JH$4:$JQ$4))=0,0,((SUMIF($JH$3:$JQ$3,JK$60,$JH135:$JQ135))/SUMIF($JH$3:$JQ$3,JK$60,$JH$4:$JQ$4)))</f>
        <v>0</v>
      </c>
      <c r="JL86" s="196" t="n">
        <f aca="false">IF((SUMIF($JH$3:$JQ$3,JL$60,$JH$4:$JQ$4))=0,0,((SUMIF($JH$3:$JQ$3,JL$60,$JH135:$JQ135))/SUMIF($JH$3:$JQ$3,JL$60,$JH$4:$JQ$4)))</f>
        <v>0</v>
      </c>
      <c r="JM86" s="196" t="n">
        <f aca="false">IF((SUMIF($JH$3:$JQ$3,JM$60,$JH$4:$JQ$4))=0,0,((SUMIF($JH$3:$JQ$3,JM$60,$JH135:$JQ135))/SUMIF($JH$3:$JQ$3,JM$60,$JH$4:$JQ$4)))</f>
        <v>0</v>
      </c>
      <c r="JN86" s="196" t="n">
        <f aca="false">IF((SUMIF($JH$3:$JQ$3,JN$60,$JH$4:$JQ$4))=0,0,((SUMIF($JH$3:$JQ$3,JN$60,$JH135:$JQ135))/SUMIF($JH$3:$JQ$3,JN$60,$JH$4:$JQ$4)))</f>
        <v>0</v>
      </c>
      <c r="JO86" s="196" t="n">
        <f aca="false">IF((SUMIF($JH$3:$JQ$3,JO$60,$JH$4:$JQ$4))=0,0,((SUMIF($JH$3:$JQ$3,JO$60,$JH135:$JQ135))/SUMIF($JH$3:$JQ$3,JO$60,$JH$4:$JQ$4)))</f>
        <v>0</v>
      </c>
      <c r="JP86" s="196" t="n">
        <f aca="false">IF((SUMIF($JH$3:$JQ$3,JP$60,$JH$4:$JQ$4))=0,0,((SUMIF($JH$3:$JQ$3,JP$60,$JH135:$JQ135))/SUMIF($JH$3:$JQ$3,JP$60,$JH$4:$JQ$4)))</f>
        <v>0</v>
      </c>
      <c r="JQ86" s="197" t="n">
        <f aca="false">IF((SUMIF($JH$3:$JQ$3,JQ$60,$JH$4:$JQ$4))=0,0,((SUMIF($JH$3:$JQ$3,JQ$60,$JH135:$JQ135))/SUMIF($JH$3:$JQ$3,JQ$60,$JH$4:$JQ$4)))</f>
        <v>0</v>
      </c>
      <c r="JR86" s="194" t="str">
        <f aca="false">JG86</f>
        <v>Alumno25</v>
      </c>
      <c r="JS86" s="195" t="n">
        <f aca="false">IF((SUMIF($JS$3:$KB$3,JS$60,$JS$4:$KB$4))=0,0,((SUMIF($JS$3:$KB$3,JS$60,$JS135:$KB135))/SUMIF($JS$3:$KB$3,JS$60,$JS$4:$KB$4)))</f>
        <v>0</v>
      </c>
      <c r="JT86" s="196" t="n">
        <f aca="false">IF((SUMIF($JS$3:$KB$3,JT$60,$JS$4:$KB$4))=0,0,((SUMIF($JS$3:$KB$3,JT$60,$JS135:$KB135))/SUMIF($JS$3:$KB$3,JT$60,$JS$4:$KB$4)))</f>
        <v>0</v>
      </c>
      <c r="JU86" s="196" t="n">
        <f aca="false">IF((SUMIF($JS$3:$KB$3,JU$60,$JS$4:$KB$4))=0,0,((SUMIF($JS$3:$KB$3,JU$60,$JS135:$KB135))/SUMIF($JS$3:$KB$3,JU$60,$JS$4:$KB$4)))</f>
        <v>0</v>
      </c>
      <c r="JV86" s="196" t="n">
        <f aca="false">IF((SUMIF($JS$3:$KB$3,JV$60,$JS$4:$KB$4))=0,0,((SUMIF($JS$3:$KB$3,JV$60,$JS135:$KB135))/SUMIF($JS$3:$KB$3,JV$60,$JS$4:$KB$4)))</f>
        <v>0</v>
      </c>
      <c r="JW86" s="196" t="n">
        <f aca="false">IF((SUMIF($JS$3:$KB$3,JW$60,$JS$4:$KB$4))=0,0,((SUMIF($JS$3:$KB$3,JW$60,$JS135:$KB135))/SUMIF($JS$3:$KB$3,JW$60,$JS$4:$KB$4)))</f>
        <v>0</v>
      </c>
      <c r="JX86" s="196" t="n">
        <f aca="false">IF((SUMIF($JS$3:$KB$3,JX$60,$JS$4:$KB$4))=0,0,((SUMIF($JS$3:$KB$3,JX$60,$JS135:$KB135))/SUMIF($JS$3:$KB$3,JX$60,$JS$4:$KB$4)))</f>
        <v>0</v>
      </c>
      <c r="JY86" s="196" t="n">
        <f aca="false">IF((SUMIF($JS$3:$KB$3,JY$60,$JS$4:$KB$4))=0,0,((SUMIF($JS$3:$KB$3,JY$60,$JS135:$KB135))/SUMIF($JS$3:$KB$3,JY$60,$JS$4:$KB$4)))</f>
        <v>0</v>
      </c>
      <c r="JZ86" s="196" t="n">
        <f aca="false">IF((SUMIF($JS$3:$KB$3,JZ$60,$JS$4:$KB$4))=0,0,((SUMIF($JS$3:$KB$3,JZ$60,$JS135:$KB135))/SUMIF($JS$3:$KB$3,JZ$60,$JS$4:$KB$4)))</f>
        <v>0</v>
      </c>
      <c r="KA86" s="196" t="n">
        <f aca="false">IF((SUMIF($JS$3:$KB$3,KA$60,$JS$4:$KB$4))=0,0,((SUMIF($JS$3:$KB$3,KA$60,$JS135:$KB135))/SUMIF($JS$3:$KB$3,KA$60,$JS$4:$KB$4)))</f>
        <v>0</v>
      </c>
      <c r="KB86" s="197" t="n">
        <f aca="false">IF((SUMIF($JS$3:$KB$3,KB$60,$JS$4:$KB$4))=0,0,((SUMIF($JS$3:$KB$3,KB$60,$JS135:$KB135))/SUMIF($JS$3:$KB$3,KB$60,$JS$4:$KB$4)))</f>
        <v>0</v>
      </c>
      <c r="KC86" s="194" t="str">
        <f aca="false">JR86</f>
        <v>Alumno25</v>
      </c>
      <c r="KD86" s="195" t="n">
        <f aca="false">IF((SUMIF($KD$3:$KM$3,KD$60,$KD$4:$KM$4))=0,0,((SUMIF($KD$3:$KM$3,KD$60,$KD135:$KM135))/SUMIF($KD$3:$KM$3,KD$60,$KD$4:$KM$4)))</f>
        <v>0</v>
      </c>
      <c r="KE86" s="196" t="n">
        <f aca="false">IF((SUMIF($KD$3:$KM$3,KE$60,$KD$4:$KM$4))=0,0,((SUMIF($KD$3:$KM$3,KE$60,$KD135:$KM135))/SUMIF($KD$3:$KM$3,KE$60,$KD$4:$KM$4)))</f>
        <v>0</v>
      </c>
      <c r="KF86" s="196" t="n">
        <f aca="false">IF((SUMIF($KD$3:$KM$3,KF$60,$KD$4:$KM$4))=0,0,((SUMIF($KD$3:$KM$3,KF$60,$KD135:$KM135))/SUMIF($KD$3:$KM$3,KF$60,$KD$4:$KM$4)))</f>
        <v>0</v>
      </c>
      <c r="KG86" s="196" t="n">
        <f aca="false">IF((SUMIF($KD$3:$KM$3,KG$60,$KD$4:$KM$4))=0,0,((SUMIF($KD$3:$KM$3,KG$60,$KD135:$KM135))/SUMIF($KD$3:$KM$3,KG$60,$KD$4:$KM$4)))</f>
        <v>0</v>
      </c>
      <c r="KH86" s="196" t="n">
        <f aca="false">IF((SUMIF($KD$3:$KM$3,KH$60,$KD$4:$KM$4))=0,0,((SUMIF($KD$3:$KM$3,KH$60,$KD135:$KM135))/SUMIF($KD$3:$KM$3,KH$60,$KD$4:$KM$4)))</f>
        <v>0</v>
      </c>
      <c r="KI86" s="196" t="n">
        <f aca="false">IF((SUMIF($KD$3:$KM$3,KI$60,$KD$4:$KM$4))=0,0,((SUMIF($KD$3:$KM$3,KI$60,$KD135:$KM135))/SUMIF($KD$3:$KM$3,KI$60,$KD$4:$KM$4)))</f>
        <v>0</v>
      </c>
      <c r="KJ86" s="196" t="n">
        <f aca="false">IF((SUMIF($KD$3:$KM$3,KJ$60,$KD$4:$KM$4))=0,0,((SUMIF($KD$3:$KM$3,KJ$60,$KD135:$KM135))/SUMIF($KD$3:$KM$3,KJ$60,$KD$4:$KM$4)))</f>
        <v>0</v>
      </c>
      <c r="KK86" s="196" t="n">
        <f aca="false">IF((SUMIF($KD$3:$KM$3,KK$60,$KD$4:$KM$4))=0,0,((SUMIF($KD$3:$KM$3,KK$60,$KD135:$KM135))/SUMIF($KD$3:$KM$3,KK$60,$KD$4:$KM$4)))</f>
        <v>0</v>
      </c>
      <c r="KL86" s="196" t="n">
        <f aca="false">IF((SUMIF($KD$3:$KM$3,KL$60,$KD$4:$KM$4))=0,0,((SUMIF($KD$3:$KM$3,KL$60,$KD135:$KM135))/SUMIF($KD$3:$KM$3,KL$60,$KD$4:$KM$4)))</f>
        <v>0</v>
      </c>
      <c r="KM86" s="197" t="n">
        <f aca="false">IF((SUMIF($KD$3:$KM$3,KM$60,$KD$4:$KM$4))=0,0,((SUMIF($KD$3:$KM$3,KM$60,$KD135:$KM135))/SUMIF($KD$3:$KM$3,KM$60,$KD$4:$KM$4)))</f>
        <v>0</v>
      </c>
      <c r="KN86" s="194" t="str">
        <f aca="false">KC86</f>
        <v>Alumno25</v>
      </c>
      <c r="KO86" s="195" t="n">
        <f aca="false">IF((SUMIF($KO$3:$KX$3,KO$60,$KO$4:$KX$4))=0,0,((SUMIF($KO$3:$KX$3,KO$60,$KO135:$KX135))/SUMIF($KO$3:$KX$3,KO$60,$KO$4:$KX$4)))</f>
        <v>0</v>
      </c>
      <c r="KP86" s="196" t="n">
        <f aca="false">IF((SUMIF($KO$3:$KX$3,KP$60,$KO$4:$KX$4))=0,0,((SUMIF($KO$3:$KX$3,KP$60,$KO135:$KX135))/SUMIF($KO$3:$KX$3,KP$60,$KO$4:$KX$4)))</f>
        <v>0</v>
      </c>
      <c r="KQ86" s="196" t="n">
        <f aca="false">IF((SUMIF($KO$3:$KX$3,KQ$60,$KO$4:$KX$4))=0,0,((SUMIF($KO$3:$KX$3,KQ$60,$KO135:$KX135))/SUMIF($KO$3:$KX$3,KQ$60,$KO$4:$KX$4)))</f>
        <v>0</v>
      </c>
      <c r="KR86" s="196" t="n">
        <f aca="false">IF((SUMIF($KO$3:$KX$3,KR$60,$KO$4:$KX$4))=0,0,((SUMIF($KO$3:$KX$3,KR$60,$KO135:$KX135))/SUMIF($KO$3:$KX$3,KR$60,$KO$4:$KX$4)))</f>
        <v>0</v>
      </c>
      <c r="KS86" s="196" t="n">
        <f aca="false">IF((SUMIF($KO$3:$KX$3,KS$60,$KO$4:$KX$4))=0,0,((SUMIF($KO$3:$KX$3,KS$60,$KO135:$KX135))/SUMIF($KO$3:$KX$3,KS$60,$KO$4:$KX$4)))</f>
        <v>0</v>
      </c>
      <c r="KT86" s="196" t="n">
        <f aca="false">IF((SUMIF($KO$3:$KX$3,KT$60,$KO$4:$KX$4))=0,0,((SUMIF($KO$3:$KX$3,KT$60,$KO135:$KX135))/SUMIF($KO$3:$KX$3,KT$60,$KO$4:$KX$4)))</f>
        <v>0</v>
      </c>
      <c r="KU86" s="196" t="n">
        <f aca="false">IF((SUMIF($KO$3:$KX$3,KU$60,$KO$4:$KX$4))=0,0,((SUMIF($KO$3:$KX$3,KU$60,$KO135:$KX135))/SUMIF($KO$3:$KX$3,KU$60,$KO$4:$KX$4)))</f>
        <v>0</v>
      </c>
      <c r="KV86" s="196" t="n">
        <f aca="false">IF((SUMIF($KO$3:$KX$3,KV$60,$KO$4:$KX$4))=0,0,((SUMIF($KO$3:$KX$3,KV$60,$KO135:$KX135))/SUMIF($KO$3:$KX$3,KV$60,$KO$4:$KX$4)))</f>
        <v>0</v>
      </c>
      <c r="KW86" s="196" t="n">
        <f aca="false">IF((SUMIF($KO$3:$KX$3,KW$60,$KO$4:$KX$4))=0,0,((SUMIF($KO$3:$KX$3,KW$60,$KO135:$KX135))/SUMIF($KO$3:$KX$3,KW$60,$KO$4:$KX$4)))</f>
        <v>0</v>
      </c>
      <c r="KX86" s="197" t="n">
        <f aca="false">IF((SUMIF($KO$3:$KX$3,KX$60,$KO$4:$KX$4))=0,0,((SUMIF($KO$3:$KX$3,KX$60,$KO135:$KX135))/SUMIF($KO$3:$KX$3,KX$60,$KO$4:$KX$4)))</f>
        <v>0</v>
      </c>
      <c r="KY86" s="194" t="str">
        <f aca="false">KN86</f>
        <v>Alumno25</v>
      </c>
      <c r="KZ86" s="195" t="n">
        <f aca="false">IF((SUMIF($KZ$3:$LI$3,KZ$60,$KZ$4:$LI$4))=0,0,((SUMIF($KZ$3:$LI$3,KZ$60,$KZ135:$LI135))/SUMIF($KZ$3:$LI$3,KZ$60,$KZ$4:$LI$4)))</f>
        <v>0</v>
      </c>
      <c r="LA86" s="196" t="n">
        <f aca="false">IF((SUMIF($KZ$3:$LI$3,LA$60,$KZ$4:$LI$4))=0,0,((SUMIF($KZ$3:$LI$3,LA$60,$KZ135:$LI135))/SUMIF($KZ$3:$LI$3,LA$60,$KZ$4:$LI$4)))</f>
        <v>0</v>
      </c>
      <c r="LB86" s="196" t="n">
        <f aca="false">IF((SUMIF($KZ$3:$LI$3,LB$60,$KZ$4:$LI$4))=0,0,((SUMIF($KZ$3:$LI$3,LB$60,$KZ135:$LI135))/SUMIF($KZ$3:$LI$3,LB$60,$KZ$4:$LI$4)))</f>
        <v>0</v>
      </c>
      <c r="LC86" s="196" t="n">
        <f aca="false">IF((SUMIF($KZ$3:$LI$3,LC$60,$KZ$4:$LI$4))=0,0,((SUMIF($KZ$3:$LI$3,LC$60,$KZ135:$LI135))/SUMIF($KZ$3:$LI$3,LC$60,$KZ$4:$LI$4)))</f>
        <v>0</v>
      </c>
      <c r="LD86" s="196" t="n">
        <f aca="false">IF((SUMIF($KZ$3:$LI$3,LD$60,$KZ$4:$LI$4))=0,0,((SUMIF($KZ$3:$LI$3,LD$60,$KZ135:$LI135))/SUMIF($KZ$3:$LI$3,LD$60,$KZ$4:$LI$4)))</f>
        <v>0</v>
      </c>
      <c r="LE86" s="196" t="n">
        <f aca="false">IF((SUMIF($KZ$3:$LI$3,LE$60,$KZ$4:$LI$4))=0,0,((SUMIF($KZ$3:$LI$3,LE$60,$KZ135:$LI135))/SUMIF($KZ$3:$LI$3,LE$60,$KZ$4:$LI$4)))</f>
        <v>0</v>
      </c>
      <c r="LF86" s="196" t="n">
        <f aca="false">IF((SUMIF($KZ$3:$LI$3,LF$60,$KZ$4:$LI$4))=0,0,((SUMIF($KZ$3:$LI$3,LF$60,$KZ135:$LI135))/SUMIF($KZ$3:$LI$3,LF$60,$KZ$4:$LI$4)))</f>
        <v>0</v>
      </c>
      <c r="LG86" s="196" t="n">
        <f aca="false">IF((SUMIF($KZ$3:$LI$3,LG$60,$KZ$4:$LI$4))=0,0,((SUMIF($KZ$3:$LI$3,LG$60,$KZ135:$LI135))/SUMIF($KZ$3:$LI$3,LG$60,$KZ$4:$LI$4)))</f>
        <v>0</v>
      </c>
      <c r="LH86" s="196" t="n">
        <f aca="false">IF((SUMIF($KZ$3:$LI$3,LH$60,$KZ$4:$LI$4))=0,0,((SUMIF($KZ$3:$LI$3,LH$60,$KZ135:$LI135))/SUMIF($KZ$3:$LI$3,LH$60,$KZ$4:$LI$4)))</f>
        <v>0</v>
      </c>
      <c r="LI86" s="197" t="n">
        <f aca="false">IF((SUMIF($KZ$3:$LI$3,LI$60,$KZ$4:$LI$4))=0,0,((SUMIF($KZ$3:$LI$3,LI$60,$KZ135:$LI135))/SUMIF($KZ$3:$LI$3,LI$60,$KZ$4:$LI$4)))</f>
        <v>0</v>
      </c>
      <c r="LJ86" s="194" t="str">
        <f aca="false">KY86</f>
        <v>Alumno25</v>
      </c>
      <c r="LK86" s="195" t="n">
        <f aca="false">IF((SUMIF($LK$3:$LT$3,LK$60,$LK$4:$LT$4))=0,0,((SUMIF($LK$3:$LT$3,LK$60,$LK135:$LT135))/SUMIF($LK$3:$LT$3,LK$60,$LK$4:$LT$4)))</f>
        <v>0</v>
      </c>
      <c r="LL86" s="196" t="n">
        <f aca="false">IF((SUMIF($LK$3:$LT$3,LL$60,$LK$4:$LT$4))=0,0,((SUMIF($LK$3:$LT$3,LL$60,$LK135:$LT135))/SUMIF($LK$3:$LT$3,LL$60,$LK$4:$LT$4)))</f>
        <v>0</v>
      </c>
      <c r="LM86" s="196" t="n">
        <f aca="false">IF((SUMIF($LK$3:$LT$3,LM$60,$LK$4:$LT$4))=0,0,((SUMIF($LK$3:$LT$3,LM$60,$LK135:$LT135))/SUMIF($LK$3:$LT$3,LM$60,$LK$4:$LT$4)))</f>
        <v>0</v>
      </c>
      <c r="LN86" s="196" t="n">
        <f aca="false">IF((SUMIF($LK$3:$LT$3,LN$60,$LK$4:$LT$4))=0,0,((SUMIF($LK$3:$LT$3,LN$60,$LK135:$LT135))/SUMIF($LK$3:$LT$3,LN$60,$LK$4:$LT$4)))</f>
        <v>0</v>
      </c>
      <c r="LO86" s="196" t="n">
        <f aca="false">IF((SUMIF($LK$3:$LT$3,LO$60,$LK$4:$LT$4))=0,0,((SUMIF($LK$3:$LT$3,LO$60,$LK135:$LT135))/SUMIF($LK$3:$LT$3,LO$60,$LK$4:$LT$4)))</f>
        <v>0</v>
      </c>
      <c r="LP86" s="196" t="n">
        <f aca="false">IF((SUMIF($LK$3:$LT$3,LP$60,$LK$4:$LT$4))=0,0,((SUMIF($LK$3:$LT$3,LP$60,$LK135:$LT135))/SUMIF($LK$3:$LT$3,LP$60,$LK$4:$LT$4)))</f>
        <v>0</v>
      </c>
      <c r="LQ86" s="196" t="n">
        <f aca="false">IF((SUMIF($LK$3:$LT$3,LQ$60,$LK$4:$LT$4))=0,0,((SUMIF($LK$3:$LT$3,LQ$60,$LK135:$LT135))/SUMIF($LK$3:$LT$3,LQ$60,$LK$4:$LT$4)))</f>
        <v>0</v>
      </c>
      <c r="LR86" s="196" t="n">
        <f aca="false">IF((SUMIF($LK$3:$LT$3,LR$60,$LK$4:$LT$4))=0,0,((SUMIF($LK$3:$LT$3,LR$60,$LK135:$LT135))/SUMIF($LK$3:$LT$3,LR$60,$LK$4:$LT$4)))</f>
        <v>0</v>
      </c>
      <c r="LS86" s="196" t="n">
        <f aca="false">IF((SUMIF($LK$3:$LT$3,LS$60,$LK$4:$LT$4))=0,0,((SUMIF($LK$3:$LT$3,LS$60,$LK135:$LT135))/SUMIF($LK$3:$LT$3,LS$60,$LK$4:$LT$4)))</f>
        <v>0</v>
      </c>
      <c r="LT86" s="197" t="n">
        <f aca="false">IF((SUMIF($LK$3:$LT$3,LT$60,$LK$4:$LT$4))=0,0,((SUMIF($LK$3:$LT$3,LT$60,$LK135:$LT135))/SUMIF($LK$3:$LT$3,LT$60,$LK$4:$LT$4)))</f>
        <v>0</v>
      </c>
    </row>
    <row r="87" customFormat="false" ht="15" hidden="true" customHeight="false" outlineLevel="0" collapsed="false">
      <c r="C87" s="194" t="str">
        <f aca="false">B31</f>
        <v>Alumno26</v>
      </c>
      <c r="D87" s="195" t="n">
        <f aca="false">IF((SUMIF($D$3:$M$3,D$60,$D$4:$M$4))=0,0,((SUMIF($D$3:$M$3,D$60,$D136:$M136))/SUMIF($D$3:$M$3,D$60,$D$4:$M$4)))</f>
        <v>9.65</v>
      </c>
      <c r="E87" s="196" t="n">
        <f aca="false">IF((SUMIF($D$3:$M$3,E$60,$D$4:$M$4))=0,0,((SUMIF($D$3:$M$3,E$60,$D136:$M136))/SUMIF($D$3:$M$3,E$60,$D$4:$M$4)))</f>
        <v>0</v>
      </c>
      <c r="F87" s="196" t="n">
        <f aca="false">IF((SUMIF($D$3:$M$3,F$60,$D$4:$M$4))=0,0,((SUMIF($D$3:$M$3,F$60,$D136:$M136))/SUMIF($D$3:$M$3,F$60,$D$4:$M$4)))</f>
        <v>0</v>
      </c>
      <c r="G87" s="196" t="n">
        <f aca="false">IF((SUMIF($D$3:$M$3,G$60,$D$4:$M$4))=0,0,((SUMIF($D$3:$M$3,G$60,$D136:$M136))/SUMIF($D$3:$M$3,G$60,$D$4:$M$4)))</f>
        <v>0</v>
      </c>
      <c r="H87" s="196" t="n">
        <f aca="false">IF((SUMIF($D$3:$M$3,H$60,$D$4:$M$4))=0,0,((SUMIF($D$3:$M$3,H$60,$D136:$M136))/SUMIF($D$3:$M$3,H$60,$D$4:$M$4)))</f>
        <v>0</v>
      </c>
      <c r="I87" s="196" t="n">
        <f aca="false">IF((SUMIF($D$3:$M$3,I$60,$D$4:$M$4))=0,0,((SUMIF($D$3:$M$3,I$60,$D136:$M136))/SUMIF($D$3:$M$3,I$60,$D$4:$M$4)))</f>
        <v>0</v>
      </c>
      <c r="J87" s="196" t="n">
        <f aca="false">IF((SUMIF($D$3:$M$3,J$60,$D$4:$M$4))=0,0,((SUMIF($D$3:$M$3,J$60,$D136:$M136))/SUMIF($D$3:$M$3,J$60,$D$4:$M$4)))</f>
        <v>0</v>
      </c>
      <c r="K87" s="196" t="n">
        <f aca="false">IF((SUMIF($D$3:$M$3,K$60,$D$4:$M$4))=0,0,((SUMIF($D$3:$M$3,K$60,$D136:$M136))/SUMIF($D$3:$M$3,K$60,$D$4:$M$4)))</f>
        <v>0</v>
      </c>
      <c r="L87" s="196" t="n">
        <f aca="false">IF((SUMIF($D$3:$M$3,L$60,$D$4:$M$4))=0,0,((SUMIF($D$3:$M$3,L$60,$D136:$M136))/SUMIF($D$3:$M$3,L$60,$D$4:$M$4)))</f>
        <v>0</v>
      </c>
      <c r="M87" s="197" t="n">
        <f aca="false">IF((SUMIF($D$3:$M$3,M$60,$D$4:$M$4))=0,0,((SUMIF($D$3:$M$3,M$60,$D136:$M136))/SUMIF($D$3:$M$3,M$60,$D$4:$M$4)))</f>
        <v>0</v>
      </c>
      <c r="N87" s="194" t="str">
        <f aca="false">C87</f>
        <v>Alumno26</v>
      </c>
      <c r="O87" s="195" t="n">
        <f aca="false">IF((SUMIF($O$3:$X$3,O$60,$O$4:$X$4))=0,0,((SUMIF($O$3:$X$3,O$60,$O136:$X136))/SUMIF($O$3:$X$3,O$60,$O$4:$X$4)))</f>
        <v>9.5</v>
      </c>
      <c r="P87" s="196" t="n">
        <f aca="false">IF((SUMIF($O$3:$X$3,P$60,$O$4:$X$4))=0,0,((SUMIF($O$3:$X$3,P$60,$O136:$X136))/SUMIF($O$3:$X$3,P$60,$O$4:$X$4)))</f>
        <v>10</v>
      </c>
      <c r="Q87" s="196" t="n">
        <f aca="false">IF((SUMIF($O$3:$X$3,Q$60,$O$4:$X$4))=0,0,((SUMIF($O$3:$X$3,Q$60,$O136:$X136))/SUMIF($O$3:$X$3,Q$60,$O$4:$X$4)))</f>
        <v>0</v>
      </c>
      <c r="R87" s="196" t="n">
        <f aca="false">IF((SUMIF($O$3:$X$3,R$60,$O$4:$X$4))=0,0,((SUMIF($O$3:$X$3,R$60,$O136:$X136))/SUMIF($O$3:$X$3,R$60,$O$4:$X$4)))</f>
        <v>0</v>
      </c>
      <c r="S87" s="196" t="n">
        <f aca="false">IF((SUMIF($O$3:$X$3,S$60,$O$4:$X$4))=0,0,((SUMIF($O$3:$X$3,S$60,$O136:$X136))/SUMIF($O$3:$X$3,S$60,$O$4:$X$4)))</f>
        <v>0</v>
      </c>
      <c r="T87" s="196" t="n">
        <f aca="false">IF((SUMIF($O$3:$X$3,T$60,$O$4:$X$4))=0,0,((SUMIF($O$3:$X$3,T$60,$O136:$X136))/SUMIF($O$3:$X$3,T$60,$O$4:$X$4)))</f>
        <v>0</v>
      </c>
      <c r="U87" s="196" t="n">
        <f aca="false">IF((SUMIF($O$3:$X$3,U$60,$O$4:$X$4))=0,0,((SUMIF($O$3:$X$3,U$60,$O136:$X136))/SUMIF($O$3:$X$3,U$60,$O$4:$X$4)))</f>
        <v>0</v>
      </c>
      <c r="V87" s="196" t="n">
        <f aca="false">IF((SUMIF($O$3:$X$3,V$60,$O$4:$X$4))=0,0,((SUMIF($O$3:$X$3,V$60,$O136:$X136))/SUMIF($O$3:$X$3,V$60,$O$4:$X$4)))</f>
        <v>0</v>
      </c>
      <c r="W87" s="196" t="n">
        <f aca="false">IF((SUMIF($O$3:$X$3,W$60,$O$4:$X$4))=0,0,((SUMIF($O$3:$X$3,W$60,$O136:$X136))/SUMIF($O$3:$X$3,W$60,$O$4:$X$4)))</f>
        <v>0</v>
      </c>
      <c r="X87" s="197" t="n">
        <f aca="false">IF((SUMIF($O$3:$X$3,X$60,$O$4:$X$4))=0,0,((SUMIF($O$3:$X$3,X$60,$O136:$X136))/SUMIF($O$3:$X$3,X$60,$O$4:$X$4)))</f>
        <v>0</v>
      </c>
      <c r="Y87" s="194" t="str">
        <f aca="false">N87</f>
        <v>Alumno26</v>
      </c>
      <c r="Z87" s="195" t="n">
        <f aca="false">IF((SUMIF($Z$3:$AI$3,Z$60,$Z$4:$AI$4))=0,0,((SUMIF($Z$3:$AI$3,Z$60,$Z136:$AI136))/SUMIF($Z$3:$AI$3,Z$60,$Z$4:$AI$4)))</f>
        <v>5.5</v>
      </c>
      <c r="AA87" s="196" t="n">
        <f aca="false">IF((SUMIF($Z$3:$AI$3,AA$60,$Z$4:$AI$4))=0,0,((SUMIF($Z$3:$AI$3,AA$60,$Z136:$AI136))/SUMIF($Z$3:$AI$3,AA$60,$Z$4:$AI$4)))</f>
        <v>3.5</v>
      </c>
      <c r="AB87" s="196" t="n">
        <f aca="false">IF((SUMIF($Z$3:$AI$3,AB$60,$Z$4:$AI$4))=0,0,((SUMIF($Z$3:$AI$3,AB$60,$Z136:$AI136))/SUMIF($Z$3:$AI$3,AB$60,$Z$4:$AI$4)))</f>
        <v>5</v>
      </c>
      <c r="AC87" s="196" t="n">
        <f aca="false">IF((SUMIF($Z$3:$AI$3,AC$60,$Z$4:$AI$4))=0,0,((SUMIF($Z$3:$AI$3,AC$60,$Z136:$AI136))/SUMIF($Z$3:$AI$3,AC$60,$Z$4:$AI$4)))</f>
        <v>0</v>
      </c>
      <c r="AD87" s="196" t="n">
        <f aca="false">IF((SUMIF($Z$3:$AI$3,AD$60,$Z$4:$AI$4))=0,0,((SUMIF($Z$3:$AI$3,AD$60,$Z136:$AI136))/SUMIF($Z$3:$AI$3,AD$60,$Z$4:$AI$4)))</f>
        <v>0</v>
      </c>
      <c r="AE87" s="196" t="n">
        <f aca="false">IF((SUMIF($Z$3:$AI$3,AE$60,$Z$4:$AI$4))=0,0,((SUMIF($Z$3:$AI$3,AE$60,$Z136:$AI136))/SUMIF($Z$3:$AI$3,AE$60,$Z$4:$AI$4)))</f>
        <v>0</v>
      </c>
      <c r="AF87" s="196" t="n">
        <f aca="false">IF((SUMIF($Z$3:$AI$3,AF$60,$Z$4:$AI$4))=0,0,((SUMIF($Z$3:$AI$3,AF$60,$Z136:$AI136))/SUMIF($Z$3:$AI$3,AF$60,$Z$4:$AI$4)))</f>
        <v>0</v>
      </c>
      <c r="AG87" s="196" t="n">
        <f aca="false">IF((SUMIF($Z$3:$AI$3,AG$60,$Z$4:$AI$4))=0,0,((SUMIF($Z$3:$AI$3,AG$60,$Z136:$AI136))/SUMIF($Z$3:$AI$3,AG$60,$Z$4:$AI$4)))</f>
        <v>0</v>
      </c>
      <c r="AH87" s="196" t="n">
        <f aca="false">IF((SUMIF($Z$3:$AI$3,AH$60,$Z$4:$AI$4))=0,0,((SUMIF($Z$3:$AI$3,AH$60,$Z136:$AI136))/SUMIF($Z$3:$AI$3,AH$60,$Z$4:$AI$4)))</f>
        <v>0</v>
      </c>
      <c r="AI87" s="197" t="n">
        <f aca="false">IF((SUMIF($Z$3:$AI$3,AI$60,$Z$4:$AI$4))=0,0,((SUMIF($Z$3:$AI$3,AI$60,$Z136:$AI136))/SUMIF($Z$3:$AI$3,AI$60,$Z$4:$AI$4)))</f>
        <v>0</v>
      </c>
      <c r="AJ87" s="194" t="str">
        <f aca="false">Y87</f>
        <v>Alumno26</v>
      </c>
      <c r="AK87" s="195" t="n">
        <f aca="false">IF((SUMIF($AK$3:$AT$3,AK$60,$AK$4:$AT$4))=0,0,((SUMIF($AK$3:$AT$3,AK$60,$AK136:$AT136))/SUMIF($AK$3:$AT$3,AK$60,$AK$4:$AT$4)))</f>
        <v>5</v>
      </c>
      <c r="AL87" s="196" t="n">
        <f aca="false">IF((SUMIF($AK$3:$AT$3,AL$60,$AK$4:$AT$4))=0,0,((SUMIF($AK$3:$AT$3,AL$60,$AK136:$AT136))/SUMIF($AK$3:$AT$3,AL$60,$AK$4:$AT$4)))</f>
        <v>5.5</v>
      </c>
      <c r="AM87" s="196" t="n">
        <f aca="false">IF((SUMIF($AK$3:$AT$3,AM$60,$AK$4:$AT$4))=0,0,((SUMIF($AK$3:$AT$3,AM$60,$AK136:$AT136))/SUMIF($AK$3:$AT$3,AM$60,$AK$4:$AT$4)))</f>
        <v>3.5</v>
      </c>
      <c r="AN87" s="196" t="n">
        <f aca="false">IF((SUMIF($AK$3:$AT$3,AN$60,$AK$4:$AT$4))=0,0,((SUMIF($AK$3:$AT$3,AN$60,$AK136:$AT136))/SUMIF($AK$3:$AT$3,AN$60,$AK$4:$AT$4)))</f>
        <v>0</v>
      </c>
      <c r="AO87" s="196" t="n">
        <f aca="false">IF((SUMIF($AK$3:$AT$3,AO$60,$AK$4:$AT$4))=0,0,((SUMIF($AK$3:$AT$3,AO$60,$AK136:$AT136))/SUMIF($AK$3:$AT$3,AO$60,$AK$4:$AT$4)))</f>
        <v>0</v>
      </c>
      <c r="AP87" s="196" t="n">
        <f aca="false">IF((SUMIF($AK$3:$AT$3,AP$60,$AK$4:$AT$4))=0,0,((SUMIF($AK$3:$AT$3,AP$60,$AK136:$AT136))/SUMIF($AK$3:$AT$3,AP$60,$AK$4:$AT$4)))</f>
        <v>0</v>
      </c>
      <c r="AQ87" s="196" t="n">
        <f aca="false">IF((SUMIF($AK$3:$AT$3,AQ$60,$AK$4:$AT$4))=0,0,((SUMIF($AK$3:$AT$3,AQ$60,$AK136:$AT136))/SUMIF($AK$3:$AT$3,AQ$60,$AK$4:$AT$4)))</f>
        <v>0</v>
      </c>
      <c r="AR87" s="196" t="n">
        <f aca="false">IF((SUMIF($AK$3:$AT$3,AR$60,$AK$4:$AT$4))=0,0,((SUMIF($AK$3:$AT$3,AR$60,$AK136:$AT136))/SUMIF($AK$3:$AT$3,AR$60,$AK$4:$AT$4)))</f>
        <v>0</v>
      </c>
      <c r="AS87" s="196" t="n">
        <f aca="false">IF((SUMIF($AK$3:$AT$3,AS$60,$AK$4:$AT$4))=0,0,((SUMIF($AK$3:$AT$3,AS$60,$AK136:$AT136))/SUMIF($AK$3:$AT$3,AS$60,$AK$4:$AT$4)))</f>
        <v>0</v>
      </c>
      <c r="AT87" s="197" t="n">
        <f aca="false">IF((SUMIF($AK$3:$AT$3,AT$60,$AK$4:$AT$4))=0,0,((SUMIF($AK$3:$AT$3,AT$60,$AK136:$AT136))/SUMIF($AK$3:$AT$3,AT$60,$AK$4:$AT$4)))</f>
        <v>0</v>
      </c>
      <c r="AU87" s="194" t="str">
        <f aca="false">AJ87</f>
        <v>Alumno26</v>
      </c>
      <c r="AV87" s="195" t="n">
        <f aca="false">IF((SUMIF($AV$3:$BE$3,AV$60,$AV$4:$BE$4))=0,0,((SUMIF($AV$3:$BE$3,AV$60,$AV136:$BE136))/SUMIF($AV$3:$BE$3,AV$60,$AV$4:$BE$4)))</f>
        <v>10</v>
      </c>
      <c r="AW87" s="196" t="n">
        <f aca="false">IF((SUMIF($AV$3:$BE$3,AW$60,$AV$4:$BE$4))=0,0,((SUMIF($AV$3:$BE$3,AW$60,$AV136:$BE136))/SUMIF($AV$3:$BE$3,AW$60,$AV$4:$BE$4)))</f>
        <v>9</v>
      </c>
      <c r="AX87" s="196" t="n">
        <f aca="false">IF((SUMIF($AV$3:$BE$3,AX$60,$AV$4:$BE$4))=0,0,((SUMIF($AV$3:$BE$3,AX$60,$AV136:$BE136))/SUMIF($AV$3:$BE$3,AX$60,$AV$4:$BE$4)))</f>
        <v>9.4</v>
      </c>
      <c r="AY87" s="196" t="n">
        <f aca="false">IF((SUMIF($AV$3:$BE$3,AY$60,$AV$4:$BE$4))=0,0,((SUMIF($AV$3:$BE$3,AY$60,$AV136:$BE136))/SUMIF($AV$3:$BE$3,AY$60,$AV$4:$BE$4)))</f>
        <v>10</v>
      </c>
      <c r="AZ87" s="196" t="n">
        <f aca="false">IF((SUMIF($AV$3:$BE$3,AZ$60,$AV$4:$BE$4))=0,0,((SUMIF($AV$3:$BE$3,AZ$60,$AV136:$BE136))/SUMIF($AV$3:$BE$3,AZ$60,$AV$4:$BE$4)))</f>
        <v>0</v>
      </c>
      <c r="BA87" s="196" t="n">
        <f aca="false">IF((SUMIF($AV$3:$BE$3,BA$60,$AV$4:$BE$4))=0,0,((SUMIF($AV$3:$BE$3,BA$60,$AV136:$BE136))/SUMIF($AV$3:$BE$3,BA$60,$AV$4:$BE$4)))</f>
        <v>0</v>
      </c>
      <c r="BB87" s="196" t="n">
        <f aca="false">IF((SUMIF($AV$3:$BE$3,BB$60,$AV$4:$BE$4))=0,0,((SUMIF($AV$3:$BE$3,BB$60,$AV136:$BE136))/SUMIF($AV$3:$BE$3,BB$60,$AV$4:$BE$4)))</f>
        <v>0</v>
      </c>
      <c r="BC87" s="196" t="n">
        <f aca="false">IF((SUMIF($AV$3:$BE$3,BC$60,$AV$4:$BE$4))=0,0,((SUMIF($AV$3:$BE$3,BC$60,$AV136:$BE136))/SUMIF($AV$3:$BE$3,BC$60,$AV$4:$BE$4)))</f>
        <v>0</v>
      </c>
      <c r="BD87" s="196" t="n">
        <f aca="false">IF((SUMIF($AV$3:$BE$3,BD$60,$AV$4:$BE$4))=0,0,((SUMIF($AV$3:$BE$3,BD$60,$AV136:$BE136))/SUMIF($AV$3:$BE$3,BD$60,$AV$4:$BE$4)))</f>
        <v>0</v>
      </c>
      <c r="BE87" s="197" t="n">
        <f aca="false">IF((SUMIF($AV$3:$BE$3,BE$60,$AV$4:$BE$4))=0,0,((SUMIF($AV$3:$BE$3,BE$60,$AV136:$BE136))/SUMIF($AV$3:$BE$3,BE$60,$AV$4:$BE$4)))</f>
        <v>0</v>
      </c>
      <c r="BF87" s="194" t="str">
        <f aca="false">AU87</f>
        <v>Alumno26</v>
      </c>
      <c r="BG87" s="195" t="n">
        <f aca="false">IF((SUMIF($BG$3:$BP$3,BG$60,$BG$4:$BP$4))=0,0,((SUMIF($BG$3:$BP$3,BG$60,$BG136:$BP136))/SUMIF($BG$3:$BP$3,BG$60,$BG$4:$BP$4)))</f>
        <v>10</v>
      </c>
      <c r="BH87" s="196" t="n">
        <f aca="false">IF((SUMIF($BG$3:$BP$3,BH$60,$BG$4:$BP$4))=0,0,((SUMIF($BG$3:$BP$3,BH$60,$BG136:$BP136))/SUMIF($BG$3:$BP$3,BH$60,$BG$4:$BP$4)))</f>
        <v>9</v>
      </c>
      <c r="BI87" s="196" t="n">
        <f aca="false">IF((SUMIF($BG$3:$BP$3,BI$60,$BG$4:$BP$4))=0,0,((SUMIF($BG$3:$BP$3,BI$60,$BG136:$BP136))/SUMIF($BG$3:$BP$3,BI$60,$BG$4:$BP$4)))</f>
        <v>10</v>
      </c>
      <c r="BJ87" s="196" t="n">
        <f aca="false">IF((SUMIF($BG$3:$BP$3,BJ$60,$BG$4:$BP$4))=0,0,((SUMIF($BG$3:$BP$3,BJ$60,$BG136:$BP136))/SUMIF($BG$3:$BP$3,BJ$60,$BG$4:$BP$4)))</f>
        <v>9.6</v>
      </c>
      <c r="BK87" s="196" t="n">
        <f aca="false">IF((SUMIF($BG$3:$BP$3,BK$60,$BG$4:$BP$4))=0,0,((SUMIF($BG$3:$BP$3,BK$60,$BG136:$BP136))/SUMIF($BG$3:$BP$3,BK$60,$BG$4:$BP$4)))</f>
        <v>0</v>
      </c>
      <c r="BL87" s="196" t="n">
        <f aca="false">IF((SUMIF($BG$3:$BP$3,BL$60,$BG$4:$BP$4))=0,0,((SUMIF($BG$3:$BP$3,BL$60,$BG136:$BP136))/SUMIF($BG$3:$BP$3,BL$60,$BG$4:$BP$4)))</f>
        <v>0</v>
      </c>
      <c r="BM87" s="196" t="n">
        <f aca="false">IF((SUMIF($BG$3:$BP$3,BM$60,$BG$4:$BP$4))=0,0,((SUMIF($BG$3:$BP$3,BM$60,$BG136:$BP136))/SUMIF($BG$3:$BP$3,BM$60,$BG$4:$BP$4)))</f>
        <v>0</v>
      </c>
      <c r="BN87" s="196" t="n">
        <f aca="false">IF((SUMIF($BG$3:$BP$3,BN$60,$BG$4:$BP$4))=0,0,((SUMIF($BG$3:$BP$3,BN$60,$BG136:$BP136))/SUMIF($BG$3:$BP$3,BN$60,$BG$4:$BP$4)))</f>
        <v>0</v>
      </c>
      <c r="BO87" s="196" t="n">
        <f aca="false">IF((SUMIF($BG$3:$BP$3,BO$60,$BG$4:$BP$4))=0,0,((SUMIF($BG$3:$BP$3,BO$60,$BG136:$BP136))/SUMIF($BG$3:$BP$3,BO$60,$BG$4:$BP$4)))</f>
        <v>0</v>
      </c>
      <c r="BP87" s="197" t="n">
        <f aca="false">IF((SUMIF($BG$3:$BP$3,BP$60,$BG$4:$BP$4))=0,0,((SUMIF($BG$3:$BP$3,BP$60,$BG136:$BP136))/SUMIF($BG$3:$BP$3,BP$60,$BG$4:$BP$4)))</f>
        <v>0</v>
      </c>
      <c r="BQ87" s="194" t="str">
        <f aca="false">BF87</f>
        <v>Alumno26</v>
      </c>
      <c r="BR87" s="195" t="n">
        <f aca="false">IF((SUMIF($BR$3:$CA$3,BR$60,$BR$4:$CA$4))=0,0,((SUMIF($BR$3:$CA$3,BR$60,$BR136:$CA136))/SUMIF($BR$3:$CA$3,BR$60,$BR$4:$CA$4)))</f>
        <v>0</v>
      </c>
      <c r="BS87" s="196" t="n">
        <f aca="false">IF((SUMIF($BR$3:$CA$3,BS$60,$BR$4:$CA$4))=0,0,((SUMIF($BR$3:$CA$3,BS$60,$BR136:$CA136))/SUMIF($BR$3:$CA$3,BS$60,$BR$4:$CA$4)))</f>
        <v>6</v>
      </c>
      <c r="BT87" s="196" t="n">
        <f aca="false">IF((SUMIF($BR$3:$CA$3,BT$60,$BR$4:$CA$4))=0,0,((SUMIF($BR$3:$CA$3,BT$60,$BR136:$CA136))/SUMIF($BR$3:$CA$3,BT$60,$BR$4:$CA$4)))</f>
        <v>7.66666666666667</v>
      </c>
      <c r="BU87" s="196" t="n">
        <f aca="false">IF((SUMIF($BR$3:$CA$3,BU$60,$BR$4:$CA$4))=0,0,((SUMIF($BR$3:$CA$3,BU$60,$BR136:$CA136))/SUMIF($BR$3:$CA$3,BU$60,$BR$4:$CA$4)))</f>
        <v>6.6</v>
      </c>
      <c r="BV87" s="196" t="n">
        <f aca="false">IF((SUMIF($BR$3:$CA$3,BV$60,$BR$4:$CA$4))=0,0,((SUMIF($BR$3:$CA$3,BV$60,$BR136:$CA136))/SUMIF($BR$3:$CA$3,BV$60,$BR$4:$CA$4)))</f>
        <v>0</v>
      </c>
      <c r="BW87" s="196" t="n">
        <f aca="false">IF((SUMIF($BR$3:$CA$3,BW$60,$BR$4:$CA$4))=0,0,((SUMIF($BR$3:$CA$3,BW$60,$BR136:$CA136))/SUMIF($BR$3:$CA$3,BW$60,$BR$4:$CA$4)))</f>
        <v>0</v>
      </c>
      <c r="BX87" s="196" t="n">
        <f aca="false">IF((SUMIF($BR$3:$CA$3,BX$60,$BR$4:$CA$4))=0,0,((SUMIF($BR$3:$CA$3,BX$60,$BR136:$CA136))/SUMIF($BR$3:$CA$3,BX$60,$BR$4:$CA$4)))</f>
        <v>0</v>
      </c>
      <c r="BY87" s="196" t="n">
        <f aca="false">IF((SUMIF($BR$3:$CA$3,BY$60,$BR$4:$CA$4))=0,0,((SUMIF($BR$3:$CA$3,BY$60,$BR136:$CA136))/SUMIF($BR$3:$CA$3,BY$60,$BR$4:$CA$4)))</f>
        <v>0</v>
      </c>
      <c r="BZ87" s="196" t="n">
        <f aca="false">IF((SUMIF($BR$3:$CA$3,BZ$60,$BR$4:$CA$4))=0,0,((SUMIF($BR$3:$CA$3,BZ$60,$BR136:$CA136))/SUMIF($BR$3:$CA$3,BZ$60,$BR$4:$CA$4)))</f>
        <v>0</v>
      </c>
      <c r="CA87" s="197" t="n">
        <f aca="false">IF((SUMIF($BR$3:$CA$3,CA$60,$BR$4:$CA$4))=0,0,((SUMIF($BR$3:$CA$3,CA$60,$BR136:$CA136))/SUMIF($BR$3:$CA$3,CA$60,$BR$4:$CA$4)))</f>
        <v>0</v>
      </c>
      <c r="CB87" s="194" t="str">
        <f aca="false">BQ87</f>
        <v>Alumno26</v>
      </c>
      <c r="CC87" s="195" t="n">
        <f aca="false">IF((SUMIF($CC$3:$CL$3,CC$60,$CC$4:$CL$4))=0,0,((SUMIF($CC$3:$CL$3,CC$60,$CC136:$CL136))/SUMIF($CC$3:$CL$3,CC$60,$CC$4:$CL$4)))</f>
        <v>0</v>
      </c>
      <c r="CD87" s="196" t="n">
        <f aca="false">IF((SUMIF($CC$3:$CL$3,CD$60,$CC$4:$CL$4))=0,0,((SUMIF($CC$3:$CL$3,CD$60,$CC136:$CL136))/SUMIF($CC$3:$CL$3,CD$60,$CC$4:$CL$4)))</f>
        <v>0</v>
      </c>
      <c r="CE87" s="196" t="n">
        <f aca="false">IF((SUMIF($CC$3:$CL$3,CE$60,$CC$4:$CL$4))=0,0,((SUMIF($CC$3:$CL$3,CE$60,$CC136:$CL136))/SUMIF($CC$3:$CL$3,CE$60,$CC$4:$CL$4)))</f>
        <v>0</v>
      </c>
      <c r="CF87" s="196" t="n">
        <f aca="false">IF((SUMIF($CC$3:$CL$3,CF$60,$CC$4:$CL$4))=0,0,((SUMIF($CC$3:$CL$3,CF$60,$CC136:$CL136))/SUMIF($CC$3:$CL$3,CF$60,$CC$4:$CL$4)))</f>
        <v>0</v>
      </c>
      <c r="CG87" s="196" t="n">
        <f aca="false">IF((SUMIF($CC$3:$CL$3,CG$60,$CC$4:$CL$4))=0,0,((SUMIF($CC$3:$CL$3,CG$60,$CC136:$CL136))/SUMIF($CC$3:$CL$3,CG$60,$CC$4:$CL$4)))</f>
        <v>0</v>
      </c>
      <c r="CH87" s="196" t="n">
        <f aca="false">IF((SUMIF($CC$3:$CL$3,CH$60,$CC$4:$CL$4))=0,0,((SUMIF($CC$3:$CL$3,CH$60,$CC136:$CL136))/SUMIF($CC$3:$CL$3,CH$60,$CC$4:$CL$4)))</f>
        <v>0</v>
      </c>
      <c r="CI87" s="196" t="n">
        <f aca="false">IF((SUMIF($CC$3:$CL$3,CI$60,$CC$4:$CL$4))=0,0,((SUMIF($CC$3:$CL$3,CI$60,$CC136:$CL136))/SUMIF($CC$3:$CL$3,CI$60,$CC$4:$CL$4)))</f>
        <v>0</v>
      </c>
      <c r="CJ87" s="196" t="n">
        <f aca="false">IF((SUMIF($CC$3:$CL$3,CJ$60,$CC$4:$CL$4))=0,0,((SUMIF($CC$3:$CL$3,CJ$60,$CC136:$CL136))/SUMIF($CC$3:$CL$3,CJ$60,$CC$4:$CL$4)))</f>
        <v>0</v>
      </c>
      <c r="CK87" s="196" t="n">
        <f aca="false">IF((SUMIF($CC$3:$CL$3,CK$60,$CC$4:$CL$4))=0,0,((SUMIF($CC$3:$CL$3,CK$60,$CC136:$CL136))/SUMIF($CC$3:$CL$3,CK$60,$CC$4:$CL$4)))</f>
        <v>0</v>
      </c>
      <c r="CL87" s="197" t="n">
        <f aca="false">IF((SUMIF($CC$3:$CL$3,CL$60,$CC$4:$CL$4))=0,0,((SUMIF($CC$3:$CL$3,CL$60,$CC136:$CL136))/SUMIF($CC$3:$CL$3,CL$60,$CC$4:$CL$4)))</f>
        <v>0</v>
      </c>
      <c r="CM87" s="194" t="str">
        <f aca="false">CB87</f>
        <v>Alumno26</v>
      </c>
      <c r="CN87" s="195" t="n">
        <f aca="false">IF((SUMIF($CN$3:$CW$3,CN$60,$CN$4:$CW$4))=0,0,((SUMIF($CN$3:$CW$3,CN$60,$CN136:$CW136))/SUMIF($CN$3:$CW$3,CN$60,$CN$4:$CW$4)))</f>
        <v>0</v>
      </c>
      <c r="CO87" s="196" t="n">
        <f aca="false">IF((SUMIF($CN$3:$CW$3,CO$60,$CN$4:$CW$4))=0,0,((SUMIF($CN$3:$CW$3,CO$60,$CN136:$CW136))/SUMIF($CN$3:$CW$3,CO$60,$CN$4:$CW$4)))</f>
        <v>0</v>
      </c>
      <c r="CP87" s="196" t="n">
        <f aca="false">IF((SUMIF($CN$3:$CW$3,CP$60,$CN$4:$CW$4))=0,0,((SUMIF($CN$3:$CW$3,CP$60,$CN136:$CW136))/SUMIF($CN$3:$CW$3,CP$60,$CN$4:$CW$4)))</f>
        <v>0</v>
      </c>
      <c r="CQ87" s="196" t="n">
        <f aca="false">IF((SUMIF($CN$3:$CW$3,CQ$60,$CN$4:$CW$4))=0,0,((SUMIF($CN$3:$CW$3,CQ$60,$CN136:$CW136))/SUMIF($CN$3:$CW$3,CQ$60,$CN$4:$CW$4)))</f>
        <v>0</v>
      </c>
      <c r="CR87" s="196" t="n">
        <f aca="false">IF((SUMIF($CN$3:$CW$3,CR$60,$CN$4:$CW$4))=0,0,((SUMIF($CN$3:$CW$3,CR$60,$CN136:$CW136))/SUMIF($CN$3:$CW$3,CR$60,$CN$4:$CW$4)))</f>
        <v>0</v>
      </c>
      <c r="CS87" s="196" t="n">
        <f aca="false">IF((SUMIF($CN$3:$CW$3,CS$60,$CN$4:$CW$4))=0,0,((SUMIF($CN$3:$CW$3,CS$60,$CN136:$CW136))/SUMIF($CN$3:$CW$3,CS$60,$CN$4:$CW$4)))</f>
        <v>0</v>
      </c>
      <c r="CT87" s="196" t="n">
        <f aca="false">IF((SUMIF($CN$3:$CW$3,CT$60,$CN$4:$CW$4))=0,0,((SUMIF($CN$3:$CW$3,CT$60,$CN136:$CW136))/SUMIF($CN$3:$CW$3,CT$60,$CN$4:$CW$4)))</f>
        <v>0</v>
      </c>
      <c r="CU87" s="196" t="n">
        <f aca="false">IF((SUMIF($CN$3:$CW$3,CU$60,$CN$4:$CW$4))=0,0,((SUMIF($CN$3:$CW$3,CU$60,$CN136:$CW136))/SUMIF($CN$3:$CW$3,CU$60,$CN$4:$CW$4)))</f>
        <v>0</v>
      </c>
      <c r="CV87" s="196" t="n">
        <f aca="false">IF((SUMIF($CN$3:$CW$3,CV$60,$CN$4:$CW$4))=0,0,((SUMIF($CN$3:$CW$3,CV$60,$CN136:$CW136))/SUMIF($CN$3:$CW$3,CV$60,$CN$4:$CW$4)))</f>
        <v>0</v>
      </c>
      <c r="CW87" s="197" t="n">
        <f aca="false">IF((SUMIF($CN$3:$CW$3,CW$60,$CN$4:$CW$4))=0,0,((SUMIF($CN$3:$CW$3,CW$60,$CN136:$CW136))/SUMIF($CN$3:$CW$3,CW$60,$CN$4:$CW$4)))</f>
        <v>0</v>
      </c>
      <c r="CX87" s="194" t="str">
        <f aca="false">CM87</f>
        <v>Alumno26</v>
      </c>
      <c r="CY87" s="195" t="n">
        <f aca="false">IF((SUMIF($CY$3:$DH$3,CY$60,$CY$4:$DH$4))=0,0,((SUMIF($CY$3:$DH$3,CY$60,$CY136:$DH136))/SUMIF($CY$3:$DH$3,CY$60,$CY$4:$DH$4)))</f>
        <v>0</v>
      </c>
      <c r="CZ87" s="196" t="n">
        <f aca="false">IF((SUMIF($CY$3:$DH$3,CZ$60,$CY$4:$DH$4))=0,0,((SUMIF($CY$3:$DH$3,CZ$60,$CY136:$DH136))/SUMIF($CY$3:$DH$3,CZ$60,$CY$4:$DH$4)))</f>
        <v>0</v>
      </c>
      <c r="DA87" s="196" t="n">
        <f aca="false">IF((SUMIF($CY$3:$DH$3,DA$60,$CY$4:$DH$4))=0,0,((SUMIF($CY$3:$DH$3,DA$60,$CY136:$DH136))/SUMIF($CY$3:$DH$3,DA$60,$CY$4:$DH$4)))</f>
        <v>0</v>
      </c>
      <c r="DB87" s="196" t="n">
        <f aca="false">IF((SUMIF($CY$3:$DH$3,DB$60,$CY$4:$DH$4))=0,0,((SUMIF($CY$3:$DH$3,DB$60,$CY136:$DH136))/SUMIF($CY$3:$DH$3,DB$60,$CY$4:$DH$4)))</f>
        <v>0</v>
      </c>
      <c r="DC87" s="196" t="n">
        <f aca="false">IF((SUMIF($CY$3:$DH$3,DC$60,$CY$4:$DH$4))=0,0,((SUMIF($CY$3:$DH$3,DC$60,$CY136:$DH136))/SUMIF($CY$3:$DH$3,DC$60,$CY$4:$DH$4)))</f>
        <v>0</v>
      </c>
      <c r="DD87" s="196" t="n">
        <f aca="false">IF((SUMIF($CY$3:$DH$3,DD$60,$CY$4:$DH$4))=0,0,((SUMIF($CY$3:$DH$3,DD$60,$CY136:$DH136))/SUMIF($CY$3:$DH$3,DD$60,$CY$4:$DH$4)))</f>
        <v>0</v>
      </c>
      <c r="DE87" s="196" t="n">
        <f aca="false">IF((SUMIF($CY$3:$DH$3,DE$60,$CY$4:$DH$4))=0,0,((SUMIF($CY$3:$DH$3,DE$60,$CY136:$DH136))/SUMIF($CY$3:$DH$3,DE$60,$CY$4:$DH$4)))</f>
        <v>0</v>
      </c>
      <c r="DF87" s="196" t="n">
        <f aca="false">IF((SUMIF($CY$3:$DH$3,DF$60,$CY$4:$DH$4))=0,0,((SUMIF($CY$3:$DH$3,DF$60,$CY136:$DH136))/SUMIF($CY$3:$DH$3,DF$60,$CY$4:$DH$4)))</f>
        <v>0</v>
      </c>
      <c r="DG87" s="196" t="n">
        <f aca="false">IF((SUMIF($CY$3:$DH$3,DG$60,$CY$4:$DH$4))=0,0,((SUMIF($CY$3:$DH$3,DG$60,$CY136:$DH136))/SUMIF($CY$3:$DH$3,DG$60,$CY$4:$DH$4)))</f>
        <v>0</v>
      </c>
      <c r="DH87" s="197" t="n">
        <f aca="false">IF((SUMIF($CY$3:$DH$3,DH$60,$CY$4:$DH$4))=0,0,((SUMIF($CY$3:$DH$3,DH$60,$CY136:$DH136))/SUMIF($CY$3:$DH$3,DH$60,$CY$4:$DH$4)))</f>
        <v>0</v>
      </c>
      <c r="DI87" s="194" t="str">
        <f aca="false">CX87</f>
        <v>Alumno26</v>
      </c>
      <c r="DJ87" s="195" t="n">
        <f aca="false">IF((SUMIF($DJ$3:$DS$3,DJ$60,$DJ$4:$DS$4))=0,0,((SUMIF($DJ$3:$DS$3,DJ$60,$DJ136:$DS136))/SUMIF($DJ$3:$DS$3,DJ$60,$DJ$4:$DS$4)))</f>
        <v>0</v>
      </c>
      <c r="DK87" s="196" t="n">
        <f aca="false">IF((SUMIF($DJ$3:$DS$3,DK$60,$DJ$4:$DS$4))=0,0,((SUMIF($DJ$3:$DS$3,DK$60,$DJ136:$DS136))/SUMIF($DJ$3:$DS$3,DK$60,$DJ$4:$DS$4)))</f>
        <v>0</v>
      </c>
      <c r="DL87" s="196" t="n">
        <f aca="false">IF((SUMIF($DJ$3:$DS$3,DL$60,$DJ$4:$DS$4))=0,0,((SUMIF($DJ$3:$DS$3,DL$60,$DJ136:$DS136))/SUMIF($DJ$3:$DS$3,DL$60,$DJ$4:$DS$4)))</f>
        <v>0</v>
      </c>
      <c r="DM87" s="196" t="n">
        <f aca="false">IF((SUMIF($DJ$3:$DS$3,DM$60,$DJ$4:$DS$4))=0,0,((SUMIF($DJ$3:$DS$3,DM$60,$DJ136:$DS136))/SUMIF($DJ$3:$DS$3,DM$60,$DJ$4:$DS$4)))</f>
        <v>0</v>
      </c>
      <c r="DN87" s="196" t="n">
        <f aca="false">IF((SUMIF($DJ$3:$DS$3,DN$60,$DJ$4:$DS$4))=0,0,((SUMIF($DJ$3:$DS$3,DN$60,$DJ136:$DS136))/SUMIF($DJ$3:$DS$3,DN$60,$DJ$4:$DS$4)))</f>
        <v>0</v>
      </c>
      <c r="DO87" s="196" t="n">
        <f aca="false">IF((SUMIF($DJ$3:$DS$3,DO$60,$DJ$4:$DS$4))=0,0,((SUMIF($DJ$3:$DS$3,DO$60,$DJ136:$DS136))/SUMIF($DJ$3:$DS$3,DO$60,$DJ$4:$DS$4)))</f>
        <v>0</v>
      </c>
      <c r="DP87" s="196" t="n">
        <f aca="false">IF((SUMIF($DJ$3:$DS$3,DP$60,$DJ$4:$DS$4))=0,0,((SUMIF($DJ$3:$DS$3,DP$60,$DJ136:$DS136))/SUMIF($DJ$3:$DS$3,DP$60,$DJ$4:$DS$4)))</f>
        <v>0</v>
      </c>
      <c r="DQ87" s="196" t="n">
        <f aca="false">IF((SUMIF($DJ$3:$DS$3,DQ$60,$DJ$4:$DS$4))=0,0,((SUMIF($DJ$3:$DS$3,DQ$60,$DJ136:$DS136))/SUMIF($DJ$3:$DS$3,DQ$60,$DJ$4:$DS$4)))</f>
        <v>0</v>
      </c>
      <c r="DR87" s="196" t="n">
        <f aca="false">IF((SUMIF($DJ$3:$DS$3,DR$60,$DJ$4:$DS$4))=0,0,((SUMIF($DJ$3:$DS$3,DR$60,$DJ136:$DS136))/SUMIF($DJ$3:$DS$3,DR$60,$DJ$4:$DS$4)))</f>
        <v>0</v>
      </c>
      <c r="DS87" s="197" t="n">
        <f aca="false">IF((SUMIF($DJ$3:$DS$3,DS$60,$DJ$4:$DS$4))=0,0,((SUMIF($DJ$3:$DS$3,DS$60,$DJ136:$DS136))/SUMIF($DJ$3:$DS$3,DS$60,$DJ$4:$DS$4)))</f>
        <v>0</v>
      </c>
      <c r="DT87" s="194" t="str">
        <f aca="false">DI87</f>
        <v>Alumno26</v>
      </c>
      <c r="DU87" s="195" t="n">
        <f aca="false">IF((SUMIF($DU$3:$ED$3,DU$60,$DU$4:$ED$4))=0,0,((SUMIF($DU$3:$ED$3,DU$60,$DU136:$ED136))/SUMIF($DU$3:$ED$3,DU$60,$DU$4:$ED$4)))</f>
        <v>0</v>
      </c>
      <c r="DV87" s="196" t="n">
        <f aca="false">IF((SUMIF($DU$3:$ED$3,DV$60,$DU$4:$ED$4))=0,0,((SUMIF($DU$3:$ED$3,DV$60,$DU136:$ED136))/SUMIF($DU$3:$ED$3,DV$60,$DU$4:$ED$4)))</f>
        <v>0</v>
      </c>
      <c r="DW87" s="196" t="n">
        <f aca="false">IF((SUMIF($DU$3:$ED$3,DW$60,$DU$4:$ED$4))=0,0,((SUMIF($DU$3:$ED$3,DW$60,$DU136:$ED136))/SUMIF($DU$3:$ED$3,DW$60,$DU$4:$ED$4)))</f>
        <v>0</v>
      </c>
      <c r="DX87" s="196" t="n">
        <f aca="false">IF((SUMIF($DU$3:$ED$3,DX$60,$DU$4:$ED$4))=0,0,((SUMIF($DU$3:$ED$3,DX$60,$DU136:$ED136))/SUMIF($DU$3:$ED$3,DX$60,$DU$4:$ED$4)))</f>
        <v>0</v>
      </c>
      <c r="DY87" s="196" t="n">
        <f aca="false">IF((SUMIF($DU$3:$ED$3,DY$60,$DU$4:$ED$4))=0,0,((SUMIF($DU$3:$ED$3,DY$60,$DU136:$ED136))/SUMIF($DU$3:$ED$3,DY$60,$DU$4:$ED$4)))</f>
        <v>0</v>
      </c>
      <c r="DZ87" s="196" t="n">
        <f aca="false">IF((SUMIF($DU$3:$ED$3,DZ$60,$DU$4:$ED$4))=0,0,((SUMIF($DU$3:$ED$3,DZ$60,$DU136:$ED136))/SUMIF($DU$3:$ED$3,DZ$60,$DU$4:$ED$4)))</f>
        <v>0</v>
      </c>
      <c r="EA87" s="196" t="n">
        <f aca="false">IF((SUMIF($DU$3:$ED$3,EA$60,$DU$4:$ED$4))=0,0,((SUMIF($DU$3:$ED$3,EA$60,$DU136:$ED136))/SUMIF($DU$3:$ED$3,EA$60,$DU$4:$ED$4)))</f>
        <v>0</v>
      </c>
      <c r="EB87" s="196" t="n">
        <f aca="false">IF((SUMIF($DU$3:$ED$3,EB$60,$DU$4:$ED$4))=0,0,((SUMIF($DU$3:$ED$3,EB$60,$DU136:$ED136))/SUMIF($DU$3:$ED$3,EB$60,$DU$4:$ED$4)))</f>
        <v>0</v>
      </c>
      <c r="EC87" s="196" t="n">
        <f aca="false">IF((SUMIF($DU$3:$ED$3,EC$60,$DU$4:$ED$4))=0,0,((SUMIF($DU$3:$ED$3,EC$60,$DU136:$ED136))/SUMIF($DU$3:$ED$3,EC$60,$DU$4:$ED$4)))</f>
        <v>0</v>
      </c>
      <c r="ED87" s="197" t="n">
        <f aca="false">IF((SUMIF($DU$3:$ED$3,ED$60,$DU$4:$ED$4))=0,0,((SUMIF($DU$3:$ED$3,ED$60,$DU136:$ED136))/SUMIF($DU$3:$ED$3,ED$60,$DU$4:$ED$4)))</f>
        <v>0</v>
      </c>
      <c r="EE87" s="194" t="str">
        <f aca="false">DT87</f>
        <v>Alumno26</v>
      </c>
      <c r="EF87" s="195" t="n">
        <f aca="false">IF((SUMIF($EF$3:$EO$3,EF$60,$EF$4:$EO$4))=0,0,((SUMIF($EF$3:$EO$3,EF$60,$EF136:$EO136))/SUMIF($EF$3:$EO$3,EF$60,$EF$4:$EO$4)))</f>
        <v>0</v>
      </c>
      <c r="EG87" s="196" t="n">
        <f aca="false">IF((SUMIF($EF$3:$EO$3,EG$60,$EF$4:$EO$4))=0,0,((SUMIF($EF$3:$EO$3,EG$60,$EF136:$EO136))/SUMIF($EF$3:$EO$3,EG$60,$EF$4:$EO$4)))</f>
        <v>0</v>
      </c>
      <c r="EH87" s="196" t="n">
        <f aca="false">IF((SUMIF($EF$3:$EO$3,EH$60,$EF$4:$EO$4))=0,0,((SUMIF($EF$3:$EO$3,EH$60,$EF136:$EO136))/SUMIF($EF$3:$EO$3,EH$60,$EF$4:$EO$4)))</f>
        <v>0</v>
      </c>
      <c r="EI87" s="196" t="n">
        <f aca="false">IF((SUMIF($EF$3:$EO$3,EI$60,$EF$4:$EO$4))=0,0,((SUMIF($EF$3:$EO$3,EI$60,$EF136:$EO136))/SUMIF($EF$3:$EO$3,EI$60,$EF$4:$EO$4)))</f>
        <v>0</v>
      </c>
      <c r="EJ87" s="196" t="n">
        <f aca="false">IF((SUMIF($EF$3:$EO$3,EJ$60,$EF$4:$EO$4))=0,0,((SUMIF($EF$3:$EO$3,EJ$60,$EF136:$EO136))/SUMIF($EF$3:$EO$3,EJ$60,$EF$4:$EO$4)))</f>
        <v>0</v>
      </c>
      <c r="EK87" s="196" t="n">
        <f aca="false">IF((SUMIF($EF$3:$EO$3,EK$60,$EF$4:$EO$4))=0,0,((SUMIF($EF$3:$EO$3,EK$60,$EF136:$EO136))/SUMIF($EF$3:$EO$3,EK$60,$EF$4:$EO$4)))</f>
        <v>0</v>
      </c>
      <c r="EL87" s="196" t="n">
        <f aca="false">IF((SUMIF($EF$3:$EO$3,EL$60,$EF$4:$EO$4))=0,0,((SUMIF($EF$3:$EO$3,EL$60,$EF136:$EO136))/SUMIF($EF$3:$EO$3,EL$60,$EF$4:$EO$4)))</f>
        <v>0</v>
      </c>
      <c r="EM87" s="196" t="n">
        <f aca="false">IF((SUMIF($EF$3:$EO$3,EM$60,$EF$4:$EO$4))=0,0,((SUMIF($EF$3:$EO$3,EM$60,$EF136:$EO136))/SUMIF($EF$3:$EO$3,EM$60,$EF$4:$EO$4)))</f>
        <v>0</v>
      </c>
      <c r="EN87" s="196" t="n">
        <f aca="false">IF((SUMIF($EF$3:$EO$3,EN$60,$EF$4:$EO$4))=0,0,((SUMIF($EF$3:$EO$3,EN$60,$EF136:$EO136))/SUMIF($EF$3:$EO$3,EN$60,$EF$4:$EO$4)))</f>
        <v>0</v>
      </c>
      <c r="EO87" s="197" t="n">
        <f aca="false">IF((SUMIF($EF$3:$EO$3,EO$60,$EF$4:$EO$4))=0,0,((SUMIF($EF$3:$EO$3,EO$60,$EF136:$EO136))/SUMIF($EF$3:$EO$3,EO$60,$EF$4:$EO$4)))</f>
        <v>0</v>
      </c>
      <c r="EP87" s="194" t="str">
        <f aca="false">EE87</f>
        <v>Alumno26</v>
      </c>
      <c r="EQ87" s="195" t="n">
        <f aca="false">IF((SUMIF($EQ$3:$EZ$3,EQ$60,$EQ$4:$EZ$4))=0,0,((SUMIF($EQ$3:$EZ$3,EQ$60,$EQ136:$EZ136))/SUMIF($EQ$3:$EZ$3,EQ$60,$EQ$4:$EZ$4)))</f>
        <v>0</v>
      </c>
      <c r="ER87" s="196" t="n">
        <f aca="false">IF((SUMIF($EQ$3:$EZ$3,ER$60,$EQ$4:$EZ$4))=0,0,((SUMIF($EQ$3:$EZ$3,ER$60,$EQ136:$EZ136))/SUMIF($EQ$3:$EZ$3,ER$60,$EQ$4:$EZ$4)))</f>
        <v>0</v>
      </c>
      <c r="ES87" s="196" t="n">
        <f aca="false">IF((SUMIF($EQ$3:$EZ$3,ES$60,$EQ$4:$EZ$4))=0,0,((SUMIF($EQ$3:$EZ$3,ES$60,$EQ136:$EZ136))/SUMIF($EQ$3:$EZ$3,ES$60,$EQ$4:$EZ$4)))</f>
        <v>0</v>
      </c>
      <c r="ET87" s="196" t="n">
        <f aca="false">IF((SUMIF($EQ$3:$EZ$3,ET$60,$EQ$4:$EZ$4))=0,0,((SUMIF($EQ$3:$EZ$3,ET$60,$EQ136:$EZ136))/SUMIF($EQ$3:$EZ$3,ET$60,$EQ$4:$EZ$4)))</f>
        <v>0</v>
      </c>
      <c r="EU87" s="196" t="n">
        <f aca="false">IF((SUMIF($EQ$3:$EZ$3,EU$60,$EQ$4:$EZ$4))=0,0,((SUMIF($EQ$3:$EZ$3,EU$60,$EQ136:$EZ136))/SUMIF($EQ$3:$EZ$3,EU$60,$EQ$4:$EZ$4)))</f>
        <v>0</v>
      </c>
      <c r="EV87" s="196" t="n">
        <f aca="false">IF((SUMIF($EQ$3:$EZ$3,EV$60,$EQ$4:$EZ$4))=0,0,((SUMIF($EQ$3:$EZ$3,EV$60,$EQ136:$EZ136))/SUMIF($EQ$3:$EZ$3,EV$60,$EQ$4:$EZ$4)))</f>
        <v>0</v>
      </c>
      <c r="EW87" s="196" t="n">
        <f aca="false">IF((SUMIF($EQ$3:$EZ$3,EW$60,$EQ$4:$EZ$4))=0,0,((SUMIF($EQ$3:$EZ$3,EW$60,$EQ136:$EZ136))/SUMIF($EQ$3:$EZ$3,EW$60,$EQ$4:$EZ$4)))</f>
        <v>0</v>
      </c>
      <c r="EX87" s="196" t="n">
        <f aca="false">IF((SUMIF($EQ$3:$EZ$3,EX$60,$EQ$4:$EZ$4))=0,0,((SUMIF($EQ$3:$EZ$3,EX$60,$EQ136:$EZ136))/SUMIF($EQ$3:$EZ$3,EX$60,$EQ$4:$EZ$4)))</f>
        <v>0</v>
      </c>
      <c r="EY87" s="196" t="n">
        <f aca="false">IF((SUMIF($EQ$3:$EZ$3,EY$60,$EQ$4:$EZ$4))=0,0,((SUMIF($EQ$3:$EZ$3,EY$60,$EQ136:$EZ136))/SUMIF($EQ$3:$EZ$3,EY$60,$EQ$4:$EZ$4)))</f>
        <v>0</v>
      </c>
      <c r="EZ87" s="197" t="n">
        <f aca="false">IF((SUMIF($EQ$3:$EZ$3,EZ$60,$EQ$4:$EZ$4))=0,0,((SUMIF($EQ$3:$EZ$3,EZ$60,$EQ136:$EZ136))/SUMIF($EQ$3:$EZ$3,EZ$60,$EQ$4:$EZ$4)))</f>
        <v>0</v>
      </c>
      <c r="FA87" s="194" t="str">
        <f aca="false">EP87</f>
        <v>Alumno26</v>
      </c>
      <c r="FB87" s="195" t="n">
        <f aca="false">IF((SUMIF($FB$3:$FK$3,FB$60,$FB$4:$FK$4))=0,0,((SUMIF($FB$3:$FK$3,FB$60,$FB136:$FK136))/SUMIF($FB$3:$FK$3,FB$60,$FB$4:$FK$4)))</f>
        <v>0</v>
      </c>
      <c r="FC87" s="196" t="n">
        <f aca="false">IF((SUMIF($FB$3:$FK$3,FC$60,$FB$4:$FK$4))=0,0,((SUMIF($FB$3:$FK$3,FC$60,$FB136:$FK136))/SUMIF($FB$3:$FK$3,FC$60,$FB$4:$FK$4)))</f>
        <v>0</v>
      </c>
      <c r="FD87" s="196" t="n">
        <f aca="false">IF((SUMIF($FB$3:$FK$3,FD$60,$FB$4:$FK$4))=0,0,((SUMIF($FB$3:$FK$3,FD$60,$FB136:$FK136))/SUMIF($FB$3:$FK$3,FD$60,$FB$4:$FK$4)))</f>
        <v>0</v>
      </c>
      <c r="FE87" s="196" t="n">
        <f aca="false">IF((SUMIF($FB$3:$FK$3,FE$60,$FB$4:$FK$4))=0,0,((SUMIF($FB$3:$FK$3,FE$60,$FB136:$FK136))/SUMIF($FB$3:$FK$3,FE$60,$FB$4:$FK$4)))</f>
        <v>0</v>
      </c>
      <c r="FF87" s="196" t="n">
        <f aca="false">IF((SUMIF($FB$3:$FK$3,FF$60,$FB$4:$FK$4))=0,0,((SUMIF($FB$3:$FK$3,FF$60,$FB136:$FK136))/SUMIF($FB$3:$FK$3,FF$60,$FB$4:$FK$4)))</f>
        <v>0</v>
      </c>
      <c r="FG87" s="196" t="n">
        <f aca="false">IF((SUMIF($FB$3:$FK$3,FG$60,$FB$4:$FK$4))=0,0,((SUMIF($FB$3:$FK$3,FG$60,$FB136:$FK136))/SUMIF($FB$3:$FK$3,FG$60,$FB$4:$FK$4)))</f>
        <v>0</v>
      </c>
      <c r="FH87" s="196" t="n">
        <f aca="false">IF((SUMIF($FB$3:$FK$3,FH$60,$FB$4:$FK$4))=0,0,((SUMIF($FB$3:$FK$3,FH$60,$FB136:$FK136))/SUMIF($FB$3:$FK$3,FH$60,$FB$4:$FK$4)))</f>
        <v>0</v>
      </c>
      <c r="FI87" s="196" t="n">
        <f aca="false">IF((SUMIF($FB$3:$FK$3,FI$60,$FB$4:$FK$4))=0,0,((SUMIF($FB$3:$FK$3,FI$60,$FB136:$FK136))/SUMIF($FB$3:$FK$3,FI$60,$FB$4:$FK$4)))</f>
        <v>0</v>
      </c>
      <c r="FJ87" s="196" t="n">
        <f aca="false">IF((SUMIF($FB$3:$FK$3,FJ$60,$FB$4:$FK$4))=0,0,((SUMIF($FB$3:$FK$3,FJ$60,$FB136:$FK136))/SUMIF($FB$3:$FK$3,FJ$60,$FB$4:$FK$4)))</f>
        <v>0</v>
      </c>
      <c r="FK87" s="197" t="n">
        <f aca="false">IF((SUMIF($FB$3:$FK$3,FK$60,$FB$4:$FK$4))=0,0,((SUMIF($FB$3:$FK$3,FK$60,$FB136:$FK136))/SUMIF($FB$3:$FK$3,FK$60,$FB$4:$FK$4)))</f>
        <v>0</v>
      </c>
      <c r="FL87" s="194" t="str">
        <f aca="false">FA87</f>
        <v>Alumno26</v>
      </c>
      <c r="FM87" s="195" t="n">
        <f aca="false">IF((SUMIF($FM$3:$FV$3,FM$60,$FM$4:$FV$4))=0,0,((SUMIF($FM$3:$FV$3,FM$60,$FM136:$FV136))/SUMIF($FM$3:$FV$3,FM$60,$FM$4:$FV$4)))</f>
        <v>0</v>
      </c>
      <c r="FN87" s="196" t="n">
        <f aca="false">IF((SUMIF($FM$3:$FV$3,FN$60,$FM$4:$FV$4))=0,0,((SUMIF($FM$3:$FV$3,FN$60,$FM136:$FV136))/SUMIF($FM$3:$FV$3,FN$60,$FM$4:$FV$4)))</f>
        <v>0</v>
      </c>
      <c r="FO87" s="196" t="n">
        <f aca="false">IF((SUMIF($FM$3:$FV$3,FO$60,$FM$4:$FV$4))=0,0,((SUMIF($FM$3:$FV$3,FO$60,$FM136:$FV136))/SUMIF($FM$3:$FV$3,FO$60,$FM$4:$FV$4)))</f>
        <v>0</v>
      </c>
      <c r="FP87" s="196" t="n">
        <f aca="false">IF((SUMIF($FM$3:$FV$3,FP$60,$FM$4:$FV$4))=0,0,((SUMIF($FM$3:$FV$3,FP$60,$FM136:$FV136))/SUMIF($FM$3:$FV$3,FP$60,$FM$4:$FV$4)))</f>
        <v>0</v>
      </c>
      <c r="FQ87" s="196" t="n">
        <f aca="false">IF((SUMIF($FM$3:$FV$3,FQ$60,$FM$4:$FV$4))=0,0,((SUMIF($FM$3:$FV$3,FQ$60,$FM136:$FV136))/SUMIF($FM$3:$FV$3,FQ$60,$FM$4:$FV$4)))</f>
        <v>0</v>
      </c>
      <c r="FR87" s="196" t="n">
        <f aca="false">IF((SUMIF($FM$3:$FV$3,FR$60,$FM$4:$FV$4))=0,0,((SUMIF($FM$3:$FV$3,FR$60,$FM136:$FV136))/SUMIF($FM$3:$FV$3,FR$60,$FM$4:$FV$4)))</f>
        <v>0</v>
      </c>
      <c r="FS87" s="196" t="n">
        <f aca="false">IF((SUMIF($FM$3:$FV$3,FS$60,$FM$4:$FV$4))=0,0,((SUMIF($FM$3:$FV$3,FS$60,$FM136:$FV136))/SUMIF($FM$3:$FV$3,FS$60,$FM$4:$FV$4)))</f>
        <v>0</v>
      </c>
      <c r="FT87" s="196" t="n">
        <f aca="false">IF((SUMIF($FM$3:$FV$3,FT$60,$FM$4:$FV$4))=0,0,((SUMIF($FM$3:$FV$3,FT$60,$FM136:$FV136))/SUMIF($FM$3:$FV$3,FT$60,$FM$4:$FV$4)))</f>
        <v>0</v>
      </c>
      <c r="FU87" s="196" t="n">
        <f aca="false">IF((SUMIF($FM$3:$FV$3,FU$60,$FM$4:$FV$4))=0,0,((SUMIF($FM$3:$FV$3,FU$60,$FM136:$FV136))/SUMIF($FM$3:$FV$3,FU$60,$FM$4:$FV$4)))</f>
        <v>0</v>
      </c>
      <c r="FV87" s="197" t="n">
        <f aca="false">IF((SUMIF($FM$3:$FV$3,FV$60,$FM$4:$FV$4))=0,0,((SUMIF($FM$3:$FV$3,FV$60,$FM136:$FV136))/SUMIF($FM$3:$FV$3,FV$60,$FM$4:$FV$4)))</f>
        <v>0</v>
      </c>
      <c r="FW87" s="194" t="str">
        <f aca="false">FL87</f>
        <v>Alumno26</v>
      </c>
      <c r="FX87" s="195" t="n">
        <f aca="false">IF((SUMIF($FX$3:$GG$3,FX$60,$FX$4:$GG$4))=0,0,((SUMIF($FX$3:$GG$3,FX$60,$FX136:$GG136))/SUMIF($FX$3:$GG$3,FX$60,$FX$4:$GG$4)))</f>
        <v>0</v>
      </c>
      <c r="FY87" s="196" t="n">
        <f aca="false">IF((SUMIF($FX$3:$GG$3,FY$60,$FX$4:$GG$4))=0,0,((SUMIF($FX$3:$GG$3,FY$60,$FX136:$GG136))/SUMIF($FX$3:$GG$3,FY$60,$FX$4:$GG$4)))</f>
        <v>0</v>
      </c>
      <c r="FZ87" s="196" t="n">
        <f aca="false">IF((SUMIF($FX$3:$GG$3,FZ$60,$FX$4:$GG$4))=0,0,((SUMIF($FX$3:$GG$3,FZ$60,$FX136:$GG136))/SUMIF($FX$3:$GG$3,FZ$60,$FX$4:$GG$4)))</f>
        <v>0</v>
      </c>
      <c r="GA87" s="196" t="n">
        <f aca="false">IF((SUMIF($FX$3:$GG$3,GA$60,$FX$4:$GG$4))=0,0,((SUMIF($FX$3:$GG$3,GA$60,$FX136:$GG136))/SUMIF($FX$3:$GG$3,GA$60,$FX$4:$GG$4)))</f>
        <v>0</v>
      </c>
      <c r="GB87" s="196" t="n">
        <f aca="false">IF((SUMIF($FX$3:$GG$3,GB$60,$FX$4:$GG$4))=0,0,((SUMIF($FX$3:$GG$3,GB$60,$FX136:$GG136))/SUMIF($FX$3:$GG$3,GB$60,$FX$4:$GG$4)))</f>
        <v>0</v>
      </c>
      <c r="GC87" s="196" t="n">
        <f aca="false">IF((SUMIF($FX$3:$GG$3,GC$60,$FX$4:$GG$4))=0,0,((SUMIF($FX$3:$GG$3,GC$60,$FX136:$GG136))/SUMIF($FX$3:$GG$3,GC$60,$FX$4:$GG$4)))</f>
        <v>0</v>
      </c>
      <c r="GD87" s="196" t="n">
        <f aca="false">IF((SUMIF($FX$3:$GG$3,GD$60,$FX$4:$GG$4))=0,0,((SUMIF($FX$3:$GG$3,GD$60,$FX136:$GG136))/SUMIF($FX$3:$GG$3,GD$60,$FX$4:$GG$4)))</f>
        <v>0</v>
      </c>
      <c r="GE87" s="196" t="n">
        <f aca="false">IF((SUMIF($FX$3:$GG$3,GE$60,$FX$4:$GG$4))=0,0,((SUMIF($FX$3:$GG$3,GE$60,$FX136:$GG136))/SUMIF($FX$3:$GG$3,GE$60,$FX$4:$GG$4)))</f>
        <v>0</v>
      </c>
      <c r="GF87" s="196" t="n">
        <f aca="false">IF((SUMIF($FX$3:$GG$3,GF$60,$FX$4:$GG$4))=0,0,((SUMIF($FX$3:$GG$3,GF$60,$FX136:$GG136))/SUMIF($FX$3:$GG$3,GF$60,$FX$4:$GG$4)))</f>
        <v>0</v>
      </c>
      <c r="GG87" s="197" t="n">
        <f aca="false">IF((SUMIF($FX$3:$GG$3,GG$60,$FX$4:$GG$4))=0,0,((SUMIF($FX$3:$GG$3,GG$60,$FX136:$GG136))/SUMIF($FX$3:$GG$3,GG$60,$FX$4:$GG$4)))</f>
        <v>0</v>
      </c>
      <c r="GH87" s="194" t="str">
        <f aca="false">FW87</f>
        <v>Alumno26</v>
      </c>
      <c r="GI87" s="195" t="n">
        <f aca="false">IF((SUMIF($GI$3:$GR$3,GI$60,$GI$4:$GR$4))=0,0,((SUMIF($GI$3:$GR$3,GI$60,$GI136:$GR136))/SUMIF($GI$3:$GR$3,GI$60,$GI$4:$GR$4)))</f>
        <v>0</v>
      </c>
      <c r="GJ87" s="196" t="n">
        <f aca="false">IF((SUMIF($GI$3:$GR$3,GJ$60,$GI$4:$GR$4))=0,0,((SUMIF($GI$3:$GR$3,GJ$60,$GI136:$GR136))/SUMIF($GI$3:$GR$3,GJ$60,$GI$4:$GR$4)))</f>
        <v>0</v>
      </c>
      <c r="GK87" s="196" t="n">
        <f aca="false">IF((SUMIF($GI$3:$GR$3,GK$60,$GI$4:$GR$4))=0,0,((SUMIF($GI$3:$GR$3,GK$60,$GI136:$GR136))/SUMIF($GI$3:$GR$3,GK$60,$GI$4:$GR$4)))</f>
        <v>0</v>
      </c>
      <c r="GL87" s="196" t="n">
        <f aca="false">IF((SUMIF($GI$3:$GR$3,GL$60,$GI$4:$GR$4))=0,0,((SUMIF($GI$3:$GR$3,GL$60,$GI136:$GR136))/SUMIF($GI$3:$GR$3,GL$60,$GI$4:$GR$4)))</f>
        <v>0</v>
      </c>
      <c r="GM87" s="196" t="n">
        <f aca="false">IF((SUMIF($GI$3:$GR$3,GM$60,$GI$4:$GR$4))=0,0,((SUMIF($GI$3:$GR$3,GM$60,$GI136:$GR136))/SUMIF($GI$3:$GR$3,GM$60,$GI$4:$GR$4)))</f>
        <v>0</v>
      </c>
      <c r="GN87" s="196" t="n">
        <f aca="false">IF((SUMIF($GI$3:$GR$3,GN$60,$GI$4:$GR$4))=0,0,((SUMIF($GI$3:$GR$3,GN$60,$GI136:$GR136))/SUMIF($GI$3:$GR$3,GN$60,$GI$4:$GR$4)))</f>
        <v>0</v>
      </c>
      <c r="GO87" s="196" t="n">
        <f aca="false">IF((SUMIF($GI$3:$GR$3,GO$60,$GI$4:$GR$4))=0,0,((SUMIF($GI$3:$GR$3,GO$60,$GI136:$GR136))/SUMIF($GI$3:$GR$3,GO$60,$GI$4:$GR$4)))</f>
        <v>0</v>
      </c>
      <c r="GP87" s="196" t="n">
        <f aca="false">IF((SUMIF($GI$3:$GR$3,GP$60,$GI$4:$GR$4))=0,0,((SUMIF($GI$3:$GR$3,GP$60,$GI136:$GR136))/SUMIF($GI$3:$GR$3,GP$60,$GI$4:$GR$4)))</f>
        <v>0</v>
      </c>
      <c r="GQ87" s="196" t="n">
        <f aca="false">IF((SUMIF($GI$3:$GR$3,GQ$60,$GI$4:$GR$4))=0,0,((SUMIF($GI$3:$GR$3,GQ$60,$GI136:$GR136))/SUMIF($GI$3:$GR$3,GQ$60,$GI$4:$GR$4)))</f>
        <v>0</v>
      </c>
      <c r="GR87" s="197" t="n">
        <f aca="false">IF((SUMIF($GI$3:$GR$3,GR$60,$GI$4:$GR$4))=0,0,((SUMIF($GI$3:$GR$3,GR$60,$GI136:$GR136))/SUMIF($GI$3:$GR$3,GR$60,$GI$4:$GR$4)))</f>
        <v>0</v>
      </c>
      <c r="GS87" s="194" t="str">
        <f aca="false">GH87</f>
        <v>Alumno26</v>
      </c>
      <c r="GT87" s="195" t="n">
        <f aca="false">IF((SUMIF($GT$3:$HC$3,GT$60,$GT$4:$HC$4))=0,0,((SUMIF($GT$3:$HC$3,GT$60,$GT136:$HC136))/SUMIF($GT$3:$HC$3,GT$60,$GT$4:$HC$4)))</f>
        <v>0</v>
      </c>
      <c r="GU87" s="196" t="n">
        <f aca="false">IF((SUMIF($GT$3:$HC$3,GU$60,$GT$4:$HC$4))=0,0,((SUMIF($GT$3:$HC$3,GU$60,$GT136:$HC136))/SUMIF($GT$3:$HC$3,GU$60,$GT$4:$HC$4)))</f>
        <v>0</v>
      </c>
      <c r="GV87" s="196" t="n">
        <f aca="false">IF((SUMIF($GT$3:$HC$3,GV$60,$GT$4:$HC$4))=0,0,((SUMIF($GT$3:$HC$3,GV$60,$GT136:$HC136))/SUMIF($GT$3:$HC$3,GV$60,$GT$4:$HC$4)))</f>
        <v>0</v>
      </c>
      <c r="GW87" s="196" t="n">
        <f aca="false">IF((SUMIF($GT$3:$HC$3,GW$60,$GT$4:$HC$4))=0,0,((SUMIF($GT$3:$HC$3,GW$60,$GT136:$HC136))/SUMIF($GT$3:$HC$3,GW$60,$GT$4:$HC$4)))</f>
        <v>0</v>
      </c>
      <c r="GX87" s="196" t="n">
        <f aca="false">IF((SUMIF($GT$3:$HC$3,GX$60,$GT$4:$HC$4))=0,0,((SUMIF($GT$3:$HC$3,GX$60,$GT136:$HC136))/SUMIF($GT$3:$HC$3,GX$60,$GT$4:$HC$4)))</f>
        <v>0</v>
      </c>
      <c r="GY87" s="196" t="n">
        <f aca="false">IF((SUMIF($GT$3:$HC$3,GY$60,$GT$4:$HC$4))=0,0,((SUMIF($GT$3:$HC$3,GY$60,$GT136:$HC136))/SUMIF($GT$3:$HC$3,GY$60,$GT$4:$HC$4)))</f>
        <v>0</v>
      </c>
      <c r="GZ87" s="196" t="n">
        <f aca="false">IF((SUMIF($GT$3:$HC$3,GZ$60,$GT$4:$HC$4))=0,0,((SUMIF($GT$3:$HC$3,GZ$60,$GT136:$HC136))/SUMIF($GT$3:$HC$3,GZ$60,$GT$4:$HC$4)))</f>
        <v>0</v>
      </c>
      <c r="HA87" s="196" t="n">
        <f aca="false">IF((SUMIF($GT$3:$HC$3,HA$60,$GT$4:$HC$4))=0,0,((SUMIF($GT$3:$HC$3,HA$60,$GT136:$HC136))/SUMIF($GT$3:$HC$3,HA$60,$GT$4:$HC$4)))</f>
        <v>0</v>
      </c>
      <c r="HB87" s="196" t="n">
        <f aca="false">IF((SUMIF($GT$3:$HC$3,HB$60,$GT$4:$HC$4))=0,0,((SUMIF($GT$3:$HC$3,HB$60,$GT136:$HC136))/SUMIF($GT$3:$HC$3,HB$60,$GT$4:$HC$4)))</f>
        <v>0</v>
      </c>
      <c r="HC87" s="197" t="n">
        <f aca="false">IF((SUMIF($GT$3:$HC$3,HC$60,$GT$4:$HC$4))=0,0,((SUMIF($GT$3:$HC$3,HC$60,$GT136:$HC136))/SUMIF($GT$3:$HC$3,HC$60,$GT$4:$HC$4)))</f>
        <v>0</v>
      </c>
      <c r="HD87" s="194" t="str">
        <f aca="false">GS87</f>
        <v>Alumno26</v>
      </c>
      <c r="HE87" s="195" t="n">
        <f aca="false">IF((SUMIF($HE$3:$HN$3,HE$60,$HE$4:$HN$4))=0,0,((SUMIF($HE$3:$HN$3,HE$60,$HE136:$HN136))/SUMIF($HE$3:$HN$3,HE$60,$HE$4:$HN$4)))</f>
        <v>0</v>
      </c>
      <c r="HF87" s="196" t="n">
        <f aca="false">IF((SUMIF($HE$3:$HN$3,HF$60,$HE$4:$HN$4))=0,0,((SUMIF($HE$3:$HN$3,HF$60,$HE136:$HN136))/SUMIF($HE$3:$HN$3,HF$60,$HE$4:$HN$4)))</f>
        <v>0</v>
      </c>
      <c r="HG87" s="196" t="n">
        <f aca="false">IF((SUMIF($HE$3:$HN$3,HG$60,$HE$4:$HN$4))=0,0,((SUMIF($HE$3:$HN$3,HG$60,$HE136:$HN136))/SUMIF($HE$3:$HN$3,HG$60,$HE$4:$HN$4)))</f>
        <v>0</v>
      </c>
      <c r="HH87" s="196" t="n">
        <f aca="false">IF((SUMIF($HE$3:$HN$3,HH$60,$HE$4:$HN$4))=0,0,((SUMIF($HE$3:$HN$3,HH$60,$HE136:$HN136))/SUMIF($HE$3:$HN$3,HH$60,$HE$4:$HN$4)))</f>
        <v>0</v>
      </c>
      <c r="HI87" s="196" t="n">
        <f aca="false">IF((SUMIF($HE$3:$HN$3,HI$60,$HE$4:$HN$4))=0,0,((SUMIF($HE$3:$HN$3,HI$60,$HE136:$HN136))/SUMIF($HE$3:$HN$3,HI$60,$HE$4:$HN$4)))</f>
        <v>0</v>
      </c>
      <c r="HJ87" s="196" t="n">
        <f aca="false">IF((SUMIF($HE$3:$HN$3,HJ$60,$HE$4:$HN$4))=0,0,((SUMIF($HE$3:$HN$3,HJ$60,$HE136:$HN136))/SUMIF($HE$3:$HN$3,HJ$60,$HE$4:$HN$4)))</f>
        <v>0</v>
      </c>
      <c r="HK87" s="196" t="n">
        <f aca="false">IF((SUMIF($HE$3:$HN$3,HK$60,$HE$4:$HN$4))=0,0,((SUMIF($HE$3:$HN$3,HK$60,$HE136:$HN136))/SUMIF($HE$3:$HN$3,HK$60,$HE$4:$HN$4)))</f>
        <v>0</v>
      </c>
      <c r="HL87" s="196" t="n">
        <f aca="false">IF((SUMIF($HE$3:$HN$3,HL$60,$HE$4:$HN$4))=0,0,((SUMIF($HE$3:$HN$3,HL$60,$HE136:$HN136))/SUMIF($HE$3:$HN$3,HL$60,$HE$4:$HN$4)))</f>
        <v>0</v>
      </c>
      <c r="HM87" s="196" t="n">
        <f aca="false">IF((SUMIF($HE$3:$HN$3,HM$60,$HE$4:$HN$4))=0,0,((SUMIF($HE$3:$HN$3,HM$60,$HE136:$HN136))/SUMIF($HE$3:$HN$3,HM$60,$HE$4:$HN$4)))</f>
        <v>0</v>
      </c>
      <c r="HN87" s="197" t="n">
        <f aca="false">IF((SUMIF($HE$3:$HN$3,HN$60,$HE$4:$HN$4))=0,0,((SUMIF($HE$3:$HN$3,HN$60,$HE136:$HN136))/SUMIF($HE$3:$HN$3,HN$60,$HE$4:$HN$4)))</f>
        <v>0</v>
      </c>
      <c r="HO87" s="194" t="str">
        <f aca="false">HD87</f>
        <v>Alumno26</v>
      </c>
      <c r="HP87" s="195" t="n">
        <f aca="false">IF((SUMIF($HP$3:$HY$3,HP$60,$HP$4:$HY$4))=0,0,((SUMIF($HP$3:$HY$3,HP$60,$HP136:$HY136))/SUMIF($HP$3:$HY$3,HP$60,$HP$4:$HY$4)))</f>
        <v>0</v>
      </c>
      <c r="HQ87" s="196" t="n">
        <f aca="false">IF((SUMIF($HP$3:$HY$3,HQ$60,$HP$4:$HY$4))=0,0,((SUMIF($HP$3:$HY$3,HQ$60,$HP136:$HY136))/SUMIF($HP$3:$HY$3,HQ$60,$HP$4:$HY$4)))</f>
        <v>0</v>
      </c>
      <c r="HR87" s="196" t="n">
        <f aca="false">IF((SUMIF($HP$3:$HY$3,HR$60,$HP$4:$HY$4))=0,0,((SUMIF($HP$3:$HY$3,HR$60,$HP136:$HY136))/SUMIF($HP$3:$HY$3,HR$60,$HP$4:$HY$4)))</f>
        <v>0</v>
      </c>
      <c r="HS87" s="196" t="n">
        <f aca="false">IF((SUMIF($HP$3:$HY$3,HS$60,$HP$4:$HY$4))=0,0,((SUMIF($HP$3:$HY$3,HS$60,$HP136:$HY136))/SUMIF($HP$3:$HY$3,HS$60,$HP$4:$HY$4)))</f>
        <v>0</v>
      </c>
      <c r="HT87" s="196" t="n">
        <f aca="false">IF((SUMIF($HP$3:$HY$3,HT$60,$HP$4:$HY$4))=0,0,((SUMIF($HP$3:$HY$3,HT$60,$HP136:$HY136))/SUMIF($HP$3:$HY$3,HT$60,$HP$4:$HY$4)))</f>
        <v>0</v>
      </c>
      <c r="HU87" s="196" t="n">
        <f aca="false">IF((SUMIF($HP$3:$HY$3,HU$60,$HP$4:$HY$4))=0,0,((SUMIF($HP$3:$HY$3,HU$60,$HP136:$HY136))/SUMIF($HP$3:$HY$3,HU$60,$HP$4:$HY$4)))</f>
        <v>0</v>
      </c>
      <c r="HV87" s="196" t="n">
        <f aca="false">IF((SUMIF($HP$3:$HY$3,HV$60,$HP$4:$HY$4))=0,0,((SUMIF($HP$3:$HY$3,HV$60,$HP136:$HY136))/SUMIF($HP$3:$HY$3,HV$60,$HP$4:$HY$4)))</f>
        <v>0</v>
      </c>
      <c r="HW87" s="196" t="n">
        <f aca="false">IF((SUMIF($HP$3:$HY$3,HW$60,$HP$4:$HY$4))=0,0,((SUMIF($HP$3:$HY$3,HW$60,$HP136:$HY136))/SUMIF($HP$3:$HY$3,HW$60,$HP$4:$HY$4)))</f>
        <v>0</v>
      </c>
      <c r="HX87" s="196" t="n">
        <f aca="false">IF((SUMIF($HP$3:$HY$3,HX$60,$HP$4:$HY$4))=0,0,((SUMIF($HP$3:$HY$3,HX$60,$HP136:$HY136))/SUMIF($HP$3:$HY$3,HX$60,$HP$4:$HY$4)))</f>
        <v>0</v>
      </c>
      <c r="HY87" s="197" t="n">
        <f aca="false">IF((SUMIF($HP$3:$HY$3,HY$60,$HP$4:$HY$4))=0,0,((SUMIF($HP$3:$HY$3,HY$60,$HP136:$HY136))/SUMIF($HP$3:$HY$3,HY$60,$HP$4:$HY$4)))</f>
        <v>0</v>
      </c>
      <c r="HZ87" s="194" t="str">
        <f aca="false">HO87</f>
        <v>Alumno26</v>
      </c>
      <c r="IA87" s="195" t="n">
        <f aca="false">IF((SUMIF($IA$3:$IJ$3,IA$60,$IA$4:$IJ$4))=0,0,((SUMIF($IA$3:$IJ$3,IA$60,$IA136:$IJ136))/SUMIF($IA$3:$IJ$3,IA$60,$IA$4:$IJ$4)))</f>
        <v>0</v>
      </c>
      <c r="IB87" s="196" t="n">
        <f aca="false">IF((SUMIF($IA$3:$IJ$3,IB$60,$IA$4:$IJ$4))=0,0,((SUMIF($IA$3:$IJ$3,IB$60,$IA136:$IJ136))/SUMIF($IA$3:$IJ$3,IB$60,$IA$4:$IJ$4)))</f>
        <v>0</v>
      </c>
      <c r="IC87" s="196" t="n">
        <f aca="false">IF((SUMIF($IA$3:$IJ$3,IC$60,$IA$4:$IJ$4))=0,0,((SUMIF($IA$3:$IJ$3,IC$60,$IA136:$IJ136))/SUMIF($IA$3:$IJ$3,IC$60,$IA$4:$IJ$4)))</f>
        <v>0</v>
      </c>
      <c r="ID87" s="196" t="n">
        <f aca="false">IF((SUMIF($IA$3:$IJ$3,ID$60,$IA$4:$IJ$4))=0,0,((SUMIF($IA$3:$IJ$3,ID$60,$IA136:$IJ136))/SUMIF($IA$3:$IJ$3,ID$60,$IA$4:$IJ$4)))</f>
        <v>0</v>
      </c>
      <c r="IE87" s="196" t="n">
        <f aca="false">IF((SUMIF($IA$3:$IJ$3,IE$60,$IA$4:$IJ$4))=0,0,((SUMIF($IA$3:$IJ$3,IE$60,$IA136:$IJ136))/SUMIF($IA$3:$IJ$3,IE$60,$IA$4:$IJ$4)))</f>
        <v>0</v>
      </c>
      <c r="IF87" s="196" t="n">
        <f aca="false">IF((SUMIF($IA$3:$IJ$3,IF$60,$IA$4:$IJ$4))=0,0,((SUMIF($IA$3:$IJ$3,IF$60,$IA136:$IJ136))/SUMIF($IA$3:$IJ$3,IF$60,$IA$4:$IJ$4)))</f>
        <v>0</v>
      </c>
      <c r="IG87" s="196" t="n">
        <f aca="false">IF((SUMIF($IA$3:$IJ$3,IG$60,$IA$4:$IJ$4))=0,0,((SUMIF($IA$3:$IJ$3,IG$60,$IA136:$IJ136))/SUMIF($IA$3:$IJ$3,IG$60,$IA$4:$IJ$4)))</f>
        <v>0</v>
      </c>
      <c r="IH87" s="196" t="n">
        <f aca="false">IF((SUMIF($IA$3:$IJ$3,IH$60,$IA$4:$IJ$4))=0,0,((SUMIF($IA$3:$IJ$3,IH$60,$IA136:$IJ136))/SUMIF($IA$3:$IJ$3,IH$60,$IA$4:$IJ$4)))</f>
        <v>0</v>
      </c>
      <c r="II87" s="196" t="n">
        <f aca="false">IF((SUMIF($IA$3:$IJ$3,II$60,$IA$4:$IJ$4))=0,0,((SUMIF($IA$3:$IJ$3,II$60,$IA136:$IJ136))/SUMIF($IA$3:$IJ$3,II$60,$IA$4:$IJ$4)))</f>
        <v>0</v>
      </c>
      <c r="IJ87" s="197" t="n">
        <f aca="false">IF((SUMIF($IA$3:$IJ$3,IJ$60,$IA$4:$IJ$4))=0,0,((SUMIF($IA$3:$IJ$3,IJ$60,$IA136:$IJ136))/SUMIF($IA$3:$IJ$3,IJ$60,$IA$4:$IJ$4)))</f>
        <v>0</v>
      </c>
      <c r="IK87" s="194" t="str">
        <f aca="false">HZ87</f>
        <v>Alumno26</v>
      </c>
      <c r="IL87" s="195" t="n">
        <f aca="false">IF((SUMIF($IL$3:$IU$3,IL$60,$IL$4:$IU$4))=0,0,((SUMIF($IL$3:$IU$3,IL$60,$IL136:$IU136))/SUMIF($IL$3:$IU$3,IL$60,$IL$4:$IU$4)))</f>
        <v>0</v>
      </c>
      <c r="IM87" s="196" t="n">
        <f aca="false">IF((SUMIF($IL$3:$IU$3,IM$60,$IL$4:$IU$4))=0,0,((SUMIF($IL$3:$IU$3,IM$60,$IL136:$IU136))/SUMIF($IL$3:$IU$3,IM$60,$IL$4:$IU$4)))</f>
        <v>0</v>
      </c>
      <c r="IN87" s="196" t="n">
        <f aca="false">IF((SUMIF($IL$3:$IU$3,IN$60,$IL$4:$IU$4))=0,0,((SUMIF($IL$3:$IU$3,IN$60,$IL136:$IU136))/SUMIF($IL$3:$IU$3,IN$60,$IL$4:$IU$4)))</f>
        <v>0</v>
      </c>
      <c r="IO87" s="196" t="n">
        <f aca="false">IF((SUMIF($IL$3:$IU$3,IO$60,$IL$4:$IU$4))=0,0,((SUMIF($IL$3:$IU$3,IO$60,$IL136:$IU136))/SUMIF($IL$3:$IU$3,IO$60,$IL$4:$IU$4)))</f>
        <v>0</v>
      </c>
      <c r="IP87" s="196" t="n">
        <f aca="false">IF((SUMIF($IL$3:$IU$3,IP$60,$IL$4:$IU$4))=0,0,((SUMIF($IL$3:$IU$3,IP$60,$IL136:$IU136))/SUMIF($IL$3:$IU$3,IP$60,$IL$4:$IU$4)))</f>
        <v>0</v>
      </c>
      <c r="IQ87" s="196" t="n">
        <f aca="false">IF((SUMIF($IL$3:$IU$3,IQ$60,$IL$4:$IU$4))=0,0,((SUMIF($IL$3:$IU$3,IQ$60,$IL136:$IU136))/SUMIF($IL$3:$IU$3,IQ$60,$IL$4:$IU$4)))</f>
        <v>0</v>
      </c>
      <c r="IR87" s="196" t="n">
        <f aca="false">IF((SUMIF($IL$3:$IU$3,IR$60,$IL$4:$IU$4))=0,0,((SUMIF($IL$3:$IU$3,IR$60,$IL136:$IU136))/SUMIF($IL$3:$IU$3,IR$60,$IL$4:$IU$4)))</f>
        <v>0</v>
      </c>
      <c r="IS87" s="196" t="n">
        <f aca="false">IF((SUMIF($IL$3:$IU$3,IS$60,$IL$4:$IU$4))=0,0,((SUMIF($IL$3:$IU$3,IS$60,$IL136:$IU136))/SUMIF($IL$3:$IU$3,IS$60,$IL$4:$IU$4)))</f>
        <v>0</v>
      </c>
      <c r="IT87" s="196" t="n">
        <f aca="false">IF((SUMIF($IL$3:$IU$3,IT$60,$IL$4:$IU$4))=0,0,((SUMIF($IL$3:$IU$3,IT$60,$IL136:$IU136))/SUMIF($IL$3:$IU$3,IT$60,$IL$4:$IU$4)))</f>
        <v>0</v>
      </c>
      <c r="IU87" s="197" t="n">
        <f aca="false">IF((SUMIF($IL$3:$IU$3,IU$60,$IL$4:$IU$4))=0,0,((SUMIF($IL$3:$IU$3,IU$60,$IL136:$IU136))/SUMIF($IL$3:$IU$3,IU$60,$IL$4:$IU$4)))</f>
        <v>0</v>
      </c>
      <c r="IV87" s="194" t="str">
        <f aca="false">IK87</f>
        <v>Alumno26</v>
      </c>
      <c r="IW87" s="195" t="n">
        <f aca="false">IF((SUMIF($IW$3:$JF$3,IW$60,$IW$4:$JF$4))=0,0,((SUMIF($IW$3:$JF$3,IW$60,$IW136:$JF136))/SUMIF($IW$3:$JF$3,IW$60,$IW$4:$JF$4)))</f>
        <v>0</v>
      </c>
      <c r="IX87" s="196" t="n">
        <f aca="false">IF((SUMIF($IW$3:$JF$3,IX$60,$IW$4:$JF$4))=0,0,((SUMIF($IW$3:$JF$3,IX$60,$IW136:$JF136))/SUMIF($IW$3:$JF$3,IX$60,$IW$4:$JF$4)))</f>
        <v>0</v>
      </c>
      <c r="IY87" s="196" t="n">
        <f aca="false">IF((SUMIF($IW$3:$JF$3,IY$60,$IW$4:$JF$4))=0,0,((SUMIF($IW$3:$JF$3,IY$60,$IW136:$JF136))/SUMIF($IW$3:$JF$3,IY$60,$IW$4:$JF$4)))</f>
        <v>0</v>
      </c>
      <c r="IZ87" s="196" t="n">
        <f aca="false">IF((SUMIF($IW$3:$JF$3,IZ$60,$IW$4:$JF$4))=0,0,((SUMIF($IW$3:$JF$3,IZ$60,$IW136:$JF136))/SUMIF($IW$3:$JF$3,IZ$60,$IW$4:$JF$4)))</f>
        <v>0</v>
      </c>
      <c r="JA87" s="196" t="n">
        <f aca="false">IF((SUMIF($IW$3:$JF$3,JA$60,$IW$4:$JF$4))=0,0,((SUMIF($IW$3:$JF$3,JA$60,$IW136:$JF136))/SUMIF($IW$3:$JF$3,JA$60,$IW$4:$JF$4)))</f>
        <v>0</v>
      </c>
      <c r="JB87" s="196" t="n">
        <f aca="false">IF((SUMIF($IW$3:$JF$3,JB$60,$IW$4:$JF$4))=0,0,((SUMIF($IW$3:$JF$3,JB$60,$IW136:$JF136))/SUMIF($IW$3:$JF$3,JB$60,$IW$4:$JF$4)))</f>
        <v>0</v>
      </c>
      <c r="JC87" s="196" t="n">
        <f aca="false">IF((SUMIF($IW$3:$JF$3,JC$60,$IW$4:$JF$4))=0,0,((SUMIF($IW$3:$JF$3,JC$60,$IW136:$JF136))/SUMIF($IW$3:$JF$3,JC$60,$IW$4:$JF$4)))</f>
        <v>0</v>
      </c>
      <c r="JD87" s="196" t="n">
        <f aca="false">IF((SUMIF($IW$3:$JF$3,JD$60,$IW$4:$JF$4))=0,0,((SUMIF($IW$3:$JF$3,JD$60,$IW136:$JF136))/SUMIF($IW$3:$JF$3,JD$60,$IW$4:$JF$4)))</f>
        <v>0</v>
      </c>
      <c r="JE87" s="196" t="n">
        <f aca="false">IF((SUMIF($IW$3:$JF$3,JE$60,$IW$4:$JF$4))=0,0,((SUMIF($IW$3:$JF$3,JE$60,$IW136:$JF136))/SUMIF($IW$3:$JF$3,JE$60,$IW$4:$JF$4)))</f>
        <v>0</v>
      </c>
      <c r="JF87" s="197" t="n">
        <f aca="false">IF((SUMIF($IW$3:$JF$3,JF$60,$IW$4:$JF$4))=0,0,((SUMIF($IW$3:$JF$3,JF$60,$IW136:$JF136))/SUMIF($IW$3:$JF$3,JF$60,$IW$4:$JF$4)))</f>
        <v>0</v>
      </c>
      <c r="JG87" s="194" t="str">
        <f aca="false">IV87</f>
        <v>Alumno26</v>
      </c>
      <c r="JH87" s="195" t="n">
        <f aca="false">IF((SUMIF($JH$3:$JQ$3,JH$60,$JH$4:$JQ$4))=0,0,((SUMIF($JH$3:$JQ$3,JH$60,$JH136:$JQ136))/SUMIF($JH$3:$JQ$3,JH$60,$JH$4:$JQ$4)))</f>
        <v>0</v>
      </c>
      <c r="JI87" s="196" t="n">
        <f aca="false">IF((SUMIF($JH$3:$JQ$3,JI$60,$JH$4:$JQ$4))=0,0,((SUMIF($JH$3:$JQ$3,JI$60,$JH136:$JQ136))/SUMIF($JH$3:$JQ$3,JI$60,$JH$4:$JQ$4)))</f>
        <v>0</v>
      </c>
      <c r="JJ87" s="196" t="n">
        <f aca="false">IF((SUMIF($JH$3:$JQ$3,JJ$60,$JH$4:$JQ$4))=0,0,((SUMIF($JH$3:$JQ$3,JJ$60,$JH136:$JQ136))/SUMIF($JH$3:$JQ$3,JJ$60,$JH$4:$JQ$4)))</f>
        <v>0</v>
      </c>
      <c r="JK87" s="196" t="n">
        <f aca="false">IF((SUMIF($JH$3:$JQ$3,JK$60,$JH$4:$JQ$4))=0,0,((SUMIF($JH$3:$JQ$3,JK$60,$JH136:$JQ136))/SUMIF($JH$3:$JQ$3,JK$60,$JH$4:$JQ$4)))</f>
        <v>0</v>
      </c>
      <c r="JL87" s="196" t="n">
        <f aca="false">IF((SUMIF($JH$3:$JQ$3,JL$60,$JH$4:$JQ$4))=0,0,((SUMIF($JH$3:$JQ$3,JL$60,$JH136:$JQ136))/SUMIF($JH$3:$JQ$3,JL$60,$JH$4:$JQ$4)))</f>
        <v>0</v>
      </c>
      <c r="JM87" s="196" t="n">
        <f aca="false">IF((SUMIF($JH$3:$JQ$3,JM$60,$JH$4:$JQ$4))=0,0,((SUMIF($JH$3:$JQ$3,JM$60,$JH136:$JQ136))/SUMIF($JH$3:$JQ$3,JM$60,$JH$4:$JQ$4)))</f>
        <v>0</v>
      </c>
      <c r="JN87" s="196" t="n">
        <f aca="false">IF((SUMIF($JH$3:$JQ$3,JN$60,$JH$4:$JQ$4))=0,0,((SUMIF($JH$3:$JQ$3,JN$60,$JH136:$JQ136))/SUMIF($JH$3:$JQ$3,JN$60,$JH$4:$JQ$4)))</f>
        <v>0</v>
      </c>
      <c r="JO87" s="196" t="n">
        <f aca="false">IF((SUMIF($JH$3:$JQ$3,JO$60,$JH$4:$JQ$4))=0,0,((SUMIF($JH$3:$JQ$3,JO$60,$JH136:$JQ136))/SUMIF($JH$3:$JQ$3,JO$60,$JH$4:$JQ$4)))</f>
        <v>0</v>
      </c>
      <c r="JP87" s="196" t="n">
        <f aca="false">IF((SUMIF($JH$3:$JQ$3,JP$60,$JH$4:$JQ$4))=0,0,((SUMIF($JH$3:$JQ$3,JP$60,$JH136:$JQ136))/SUMIF($JH$3:$JQ$3,JP$60,$JH$4:$JQ$4)))</f>
        <v>0</v>
      </c>
      <c r="JQ87" s="197" t="n">
        <f aca="false">IF((SUMIF($JH$3:$JQ$3,JQ$60,$JH$4:$JQ$4))=0,0,((SUMIF($JH$3:$JQ$3,JQ$60,$JH136:$JQ136))/SUMIF($JH$3:$JQ$3,JQ$60,$JH$4:$JQ$4)))</f>
        <v>0</v>
      </c>
      <c r="JR87" s="194" t="str">
        <f aca="false">JG87</f>
        <v>Alumno26</v>
      </c>
      <c r="JS87" s="195" t="n">
        <f aca="false">IF((SUMIF($JS$3:$KB$3,JS$60,$JS$4:$KB$4))=0,0,((SUMIF($JS$3:$KB$3,JS$60,$JS136:$KB136))/SUMIF($JS$3:$KB$3,JS$60,$JS$4:$KB$4)))</f>
        <v>0</v>
      </c>
      <c r="JT87" s="196" t="n">
        <f aca="false">IF((SUMIF($JS$3:$KB$3,JT$60,$JS$4:$KB$4))=0,0,((SUMIF($JS$3:$KB$3,JT$60,$JS136:$KB136))/SUMIF($JS$3:$KB$3,JT$60,$JS$4:$KB$4)))</f>
        <v>0</v>
      </c>
      <c r="JU87" s="196" t="n">
        <f aca="false">IF((SUMIF($JS$3:$KB$3,JU$60,$JS$4:$KB$4))=0,0,((SUMIF($JS$3:$KB$3,JU$60,$JS136:$KB136))/SUMIF($JS$3:$KB$3,JU$60,$JS$4:$KB$4)))</f>
        <v>0</v>
      </c>
      <c r="JV87" s="196" t="n">
        <f aca="false">IF((SUMIF($JS$3:$KB$3,JV$60,$JS$4:$KB$4))=0,0,((SUMIF($JS$3:$KB$3,JV$60,$JS136:$KB136))/SUMIF($JS$3:$KB$3,JV$60,$JS$4:$KB$4)))</f>
        <v>0</v>
      </c>
      <c r="JW87" s="196" t="n">
        <f aca="false">IF((SUMIF($JS$3:$KB$3,JW$60,$JS$4:$KB$4))=0,0,((SUMIF($JS$3:$KB$3,JW$60,$JS136:$KB136))/SUMIF($JS$3:$KB$3,JW$60,$JS$4:$KB$4)))</f>
        <v>0</v>
      </c>
      <c r="JX87" s="196" t="n">
        <f aca="false">IF((SUMIF($JS$3:$KB$3,JX$60,$JS$4:$KB$4))=0,0,((SUMIF($JS$3:$KB$3,JX$60,$JS136:$KB136))/SUMIF($JS$3:$KB$3,JX$60,$JS$4:$KB$4)))</f>
        <v>0</v>
      </c>
      <c r="JY87" s="196" t="n">
        <f aca="false">IF((SUMIF($JS$3:$KB$3,JY$60,$JS$4:$KB$4))=0,0,((SUMIF($JS$3:$KB$3,JY$60,$JS136:$KB136))/SUMIF($JS$3:$KB$3,JY$60,$JS$4:$KB$4)))</f>
        <v>0</v>
      </c>
      <c r="JZ87" s="196" t="n">
        <f aca="false">IF((SUMIF($JS$3:$KB$3,JZ$60,$JS$4:$KB$4))=0,0,((SUMIF($JS$3:$KB$3,JZ$60,$JS136:$KB136))/SUMIF($JS$3:$KB$3,JZ$60,$JS$4:$KB$4)))</f>
        <v>0</v>
      </c>
      <c r="KA87" s="196" t="n">
        <f aca="false">IF((SUMIF($JS$3:$KB$3,KA$60,$JS$4:$KB$4))=0,0,((SUMIF($JS$3:$KB$3,KA$60,$JS136:$KB136))/SUMIF($JS$3:$KB$3,KA$60,$JS$4:$KB$4)))</f>
        <v>0</v>
      </c>
      <c r="KB87" s="197" t="n">
        <f aca="false">IF((SUMIF($JS$3:$KB$3,KB$60,$JS$4:$KB$4))=0,0,((SUMIF($JS$3:$KB$3,KB$60,$JS136:$KB136))/SUMIF($JS$3:$KB$3,KB$60,$JS$4:$KB$4)))</f>
        <v>0</v>
      </c>
      <c r="KC87" s="194" t="str">
        <f aca="false">JR87</f>
        <v>Alumno26</v>
      </c>
      <c r="KD87" s="195" t="n">
        <f aca="false">IF((SUMIF($KD$3:$KM$3,KD$60,$KD$4:$KM$4))=0,0,((SUMIF($KD$3:$KM$3,KD$60,$KD136:$KM136))/SUMIF($KD$3:$KM$3,KD$60,$KD$4:$KM$4)))</f>
        <v>0</v>
      </c>
      <c r="KE87" s="196" t="n">
        <f aca="false">IF((SUMIF($KD$3:$KM$3,KE$60,$KD$4:$KM$4))=0,0,((SUMIF($KD$3:$KM$3,KE$60,$KD136:$KM136))/SUMIF($KD$3:$KM$3,KE$60,$KD$4:$KM$4)))</f>
        <v>0</v>
      </c>
      <c r="KF87" s="196" t="n">
        <f aca="false">IF((SUMIF($KD$3:$KM$3,KF$60,$KD$4:$KM$4))=0,0,((SUMIF($KD$3:$KM$3,KF$60,$KD136:$KM136))/SUMIF($KD$3:$KM$3,KF$60,$KD$4:$KM$4)))</f>
        <v>0</v>
      </c>
      <c r="KG87" s="196" t="n">
        <f aca="false">IF((SUMIF($KD$3:$KM$3,KG$60,$KD$4:$KM$4))=0,0,((SUMIF($KD$3:$KM$3,KG$60,$KD136:$KM136))/SUMIF($KD$3:$KM$3,KG$60,$KD$4:$KM$4)))</f>
        <v>0</v>
      </c>
      <c r="KH87" s="196" t="n">
        <f aca="false">IF((SUMIF($KD$3:$KM$3,KH$60,$KD$4:$KM$4))=0,0,((SUMIF($KD$3:$KM$3,KH$60,$KD136:$KM136))/SUMIF($KD$3:$KM$3,KH$60,$KD$4:$KM$4)))</f>
        <v>0</v>
      </c>
      <c r="KI87" s="196" t="n">
        <f aca="false">IF((SUMIF($KD$3:$KM$3,KI$60,$KD$4:$KM$4))=0,0,((SUMIF($KD$3:$KM$3,KI$60,$KD136:$KM136))/SUMIF($KD$3:$KM$3,KI$60,$KD$4:$KM$4)))</f>
        <v>0</v>
      </c>
      <c r="KJ87" s="196" t="n">
        <f aca="false">IF((SUMIF($KD$3:$KM$3,KJ$60,$KD$4:$KM$4))=0,0,((SUMIF($KD$3:$KM$3,KJ$60,$KD136:$KM136))/SUMIF($KD$3:$KM$3,KJ$60,$KD$4:$KM$4)))</f>
        <v>0</v>
      </c>
      <c r="KK87" s="196" t="n">
        <f aca="false">IF((SUMIF($KD$3:$KM$3,KK$60,$KD$4:$KM$4))=0,0,((SUMIF($KD$3:$KM$3,KK$60,$KD136:$KM136))/SUMIF($KD$3:$KM$3,KK$60,$KD$4:$KM$4)))</f>
        <v>0</v>
      </c>
      <c r="KL87" s="196" t="n">
        <f aca="false">IF((SUMIF($KD$3:$KM$3,KL$60,$KD$4:$KM$4))=0,0,((SUMIF($KD$3:$KM$3,KL$60,$KD136:$KM136))/SUMIF($KD$3:$KM$3,KL$60,$KD$4:$KM$4)))</f>
        <v>0</v>
      </c>
      <c r="KM87" s="197" t="n">
        <f aca="false">IF((SUMIF($KD$3:$KM$3,KM$60,$KD$4:$KM$4))=0,0,((SUMIF($KD$3:$KM$3,KM$60,$KD136:$KM136))/SUMIF($KD$3:$KM$3,KM$60,$KD$4:$KM$4)))</f>
        <v>0</v>
      </c>
      <c r="KN87" s="194" t="str">
        <f aca="false">KC87</f>
        <v>Alumno26</v>
      </c>
      <c r="KO87" s="195" t="n">
        <f aca="false">IF((SUMIF($KO$3:$KX$3,KO$60,$KO$4:$KX$4))=0,0,((SUMIF($KO$3:$KX$3,KO$60,$KO136:$KX136))/SUMIF($KO$3:$KX$3,KO$60,$KO$4:$KX$4)))</f>
        <v>0</v>
      </c>
      <c r="KP87" s="196" t="n">
        <f aca="false">IF((SUMIF($KO$3:$KX$3,KP$60,$KO$4:$KX$4))=0,0,((SUMIF($KO$3:$KX$3,KP$60,$KO136:$KX136))/SUMIF($KO$3:$KX$3,KP$60,$KO$4:$KX$4)))</f>
        <v>0</v>
      </c>
      <c r="KQ87" s="196" t="n">
        <f aca="false">IF((SUMIF($KO$3:$KX$3,KQ$60,$KO$4:$KX$4))=0,0,((SUMIF($KO$3:$KX$3,KQ$60,$KO136:$KX136))/SUMIF($KO$3:$KX$3,KQ$60,$KO$4:$KX$4)))</f>
        <v>0</v>
      </c>
      <c r="KR87" s="196" t="n">
        <f aca="false">IF((SUMIF($KO$3:$KX$3,KR$60,$KO$4:$KX$4))=0,0,((SUMIF($KO$3:$KX$3,KR$60,$KO136:$KX136))/SUMIF($KO$3:$KX$3,KR$60,$KO$4:$KX$4)))</f>
        <v>0</v>
      </c>
      <c r="KS87" s="196" t="n">
        <f aca="false">IF((SUMIF($KO$3:$KX$3,KS$60,$KO$4:$KX$4))=0,0,((SUMIF($KO$3:$KX$3,KS$60,$KO136:$KX136))/SUMIF($KO$3:$KX$3,KS$60,$KO$4:$KX$4)))</f>
        <v>0</v>
      </c>
      <c r="KT87" s="196" t="n">
        <f aca="false">IF((SUMIF($KO$3:$KX$3,KT$60,$KO$4:$KX$4))=0,0,((SUMIF($KO$3:$KX$3,KT$60,$KO136:$KX136))/SUMIF($KO$3:$KX$3,KT$60,$KO$4:$KX$4)))</f>
        <v>0</v>
      </c>
      <c r="KU87" s="196" t="n">
        <f aca="false">IF((SUMIF($KO$3:$KX$3,KU$60,$KO$4:$KX$4))=0,0,((SUMIF($KO$3:$KX$3,KU$60,$KO136:$KX136))/SUMIF($KO$3:$KX$3,KU$60,$KO$4:$KX$4)))</f>
        <v>0</v>
      </c>
      <c r="KV87" s="196" t="n">
        <f aca="false">IF((SUMIF($KO$3:$KX$3,KV$60,$KO$4:$KX$4))=0,0,((SUMIF($KO$3:$KX$3,KV$60,$KO136:$KX136))/SUMIF($KO$3:$KX$3,KV$60,$KO$4:$KX$4)))</f>
        <v>0</v>
      </c>
      <c r="KW87" s="196" t="n">
        <f aca="false">IF((SUMIF($KO$3:$KX$3,KW$60,$KO$4:$KX$4))=0,0,((SUMIF($KO$3:$KX$3,KW$60,$KO136:$KX136))/SUMIF($KO$3:$KX$3,KW$60,$KO$4:$KX$4)))</f>
        <v>0</v>
      </c>
      <c r="KX87" s="197" t="n">
        <f aca="false">IF((SUMIF($KO$3:$KX$3,KX$60,$KO$4:$KX$4))=0,0,((SUMIF($KO$3:$KX$3,KX$60,$KO136:$KX136))/SUMIF($KO$3:$KX$3,KX$60,$KO$4:$KX$4)))</f>
        <v>0</v>
      </c>
      <c r="KY87" s="194" t="str">
        <f aca="false">KN87</f>
        <v>Alumno26</v>
      </c>
      <c r="KZ87" s="195" t="n">
        <f aca="false">IF((SUMIF($KZ$3:$LI$3,KZ$60,$KZ$4:$LI$4))=0,0,((SUMIF($KZ$3:$LI$3,KZ$60,$KZ136:$LI136))/SUMIF($KZ$3:$LI$3,KZ$60,$KZ$4:$LI$4)))</f>
        <v>0</v>
      </c>
      <c r="LA87" s="196" t="n">
        <f aca="false">IF((SUMIF($KZ$3:$LI$3,LA$60,$KZ$4:$LI$4))=0,0,((SUMIF($KZ$3:$LI$3,LA$60,$KZ136:$LI136))/SUMIF($KZ$3:$LI$3,LA$60,$KZ$4:$LI$4)))</f>
        <v>0</v>
      </c>
      <c r="LB87" s="196" t="n">
        <f aca="false">IF((SUMIF($KZ$3:$LI$3,LB$60,$KZ$4:$LI$4))=0,0,((SUMIF($KZ$3:$LI$3,LB$60,$KZ136:$LI136))/SUMIF($KZ$3:$LI$3,LB$60,$KZ$4:$LI$4)))</f>
        <v>0</v>
      </c>
      <c r="LC87" s="196" t="n">
        <f aca="false">IF((SUMIF($KZ$3:$LI$3,LC$60,$KZ$4:$LI$4))=0,0,((SUMIF($KZ$3:$LI$3,LC$60,$KZ136:$LI136))/SUMIF($KZ$3:$LI$3,LC$60,$KZ$4:$LI$4)))</f>
        <v>0</v>
      </c>
      <c r="LD87" s="196" t="n">
        <f aca="false">IF((SUMIF($KZ$3:$LI$3,LD$60,$KZ$4:$LI$4))=0,0,((SUMIF($KZ$3:$LI$3,LD$60,$KZ136:$LI136))/SUMIF($KZ$3:$LI$3,LD$60,$KZ$4:$LI$4)))</f>
        <v>0</v>
      </c>
      <c r="LE87" s="196" t="n">
        <f aca="false">IF((SUMIF($KZ$3:$LI$3,LE$60,$KZ$4:$LI$4))=0,0,((SUMIF($KZ$3:$LI$3,LE$60,$KZ136:$LI136))/SUMIF($KZ$3:$LI$3,LE$60,$KZ$4:$LI$4)))</f>
        <v>0</v>
      </c>
      <c r="LF87" s="196" t="n">
        <f aca="false">IF((SUMIF($KZ$3:$LI$3,LF$60,$KZ$4:$LI$4))=0,0,((SUMIF($KZ$3:$LI$3,LF$60,$KZ136:$LI136))/SUMIF($KZ$3:$LI$3,LF$60,$KZ$4:$LI$4)))</f>
        <v>0</v>
      </c>
      <c r="LG87" s="196" t="n">
        <f aca="false">IF((SUMIF($KZ$3:$LI$3,LG$60,$KZ$4:$LI$4))=0,0,((SUMIF($KZ$3:$LI$3,LG$60,$KZ136:$LI136))/SUMIF($KZ$3:$LI$3,LG$60,$KZ$4:$LI$4)))</f>
        <v>0</v>
      </c>
      <c r="LH87" s="196" t="n">
        <f aca="false">IF((SUMIF($KZ$3:$LI$3,LH$60,$KZ$4:$LI$4))=0,0,((SUMIF($KZ$3:$LI$3,LH$60,$KZ136:$LI136))/SUMIF($KZ$3:$LI$3,LH$60,$KZ$4:$LI$4)))</f>
        <v>0</v>
      </c>
      <c r="LI87" s="197" t="n">
        <f aca="false">IF((SUMIF($KZ$3:$LI$3,LI$60,$KZ$4:$LI$4))=0,0,((SUMIF($KZ$3:$LI$3,LI$60,$KZ136:$LI136))/SUMIF($KZ$3:$LI$3,LI$60,$KZ$4:$LI$4)))</f>
        <v>0</v>
      </c>
      <c r="LJ87" s="194" t="str">
        <f aca="false">KY87</f>
        <v>Alumno26</v>
      </c>
      <c r="LK87" s="195" t="n">
        <f aca="false">IF((SUMIF($LK$3:$LT$3,LK$60,$LK$4:$LT$4))=0,0,((SUMIF($LK$3:$LT$3,LK$60,$LK136:$LT136))/SUMIF($LK$3:$LT$3,LK$60,$LK$4:$LT$4)))</f>
        <v>0</v>
      </c>
      <c r="LL87" s="196" t="n">
        <f aca="false">IF((SUMIF($LK$3:$LT$3,LL$60,$LK$4:$LT$4))=0,0,((SUMIF($LK$3:$LT$3,LL$60,$LK136:$LT136))/SUMIF($LK$3:$LT$3,LL$60,$LK$4:$LT$4)))</f>
        <v>0</v>
      </c>
      <c r="LM87" s="196" t="n">
        <f aca="false">IF((SUMIF($LK$3:$LT$3,LM$60,$LK$4:$LT$4))=0,0,((SUMIF($LK$3:$LT$3,LM$60,$LK136:$LT136))/SUMIF($LK$3:$LT$3,LM$60,$LK$4:$LT$4)))</f>
        <v>0</v>
      </c>
      <c r="LN87" s="196" t="n">
        <f aca="false">IF((SUMIF($LK$3:$LT$3,LN$60,$LK$4:$LT$4))=0,0,((SUMIF($LK$3:$LT$3,LN$60,$LK136:$LT136))/SUMIF($LK$3:$LT$3,LN$60,$LK$4:$LT$4)))</f>
        <v>0</v>
      </c>
      <c r="LO87" s="196" t="n">
        <f aca="false">IF((SUMIF($LK$3:$LT$3,LO$60,$LK$4:$LT$4))=0,0,((SUMIF($LK$3:$LT$3,LO$60,$LK136:$LT136))/SUMIF($LK$3:$LT$3,LO$60,$LK$4:$LT$4)))</f>
        <v>0</v>
      </c>
      <c r="LP87" s="196" t="n">
        <f aca="false">IF((SUMIF($LK$3:$LT$3,LP$60,$LK$4:$LT$4))=0,0,((SUMIF($LK$3:$LT$3,LP$60,$LK136:$LT136))/SUMIF($LK$3:$LT$3,LP$60,$LK$4:$LT$4)))</f>
        <v>0</v>
      </c>
      <c r="LQ87" s="196" t="n">
        <f aca="false">IF((SUMIF($LK$3:$LT$3,LQ$60,$LK$4:$LT$4))=0,0,((SUMIF($LK$3:$LT$3,LQ$60,$LK136:$LT136))/SUMIF($LK$3:$LT$3,LQ$60,$LK$4:$LT$4)))</f>
        <v>0</v>
      </c>
      <c r="LR87" s="196" t="n">
        <f aca="false">IF((SUMIF($LK$3:$LT$3,LR$60,$LK$4:$LT$4))=0,0,((SUMIF($LK$3:$LT$3,LR$60,$LK136:$LT136))/SUMIF($LK$3:$LT$3,LR$60,$LK$4:$LT$4)))</f>
        <v>0</v>
      </c>
      <c r="LS87" s="196" t="n">
        <f aca="false">IF((SUMIF($LK$3:$LT$3,LS$60,$LK$4:$LT$4))=0,0,((SUMIF($LK$3:$LT$3,LS$60,$LK136:$LT136))/SUMIF($LK$3:$LT$3,LS$60,$LK$4:$LT$4)))</f>
        <v>0</v>
      </c>
      <c r="LT87" s="197" t="n">
        <f aca="false">IF((SUMIF($LK$3:$LT$3,LT$60,$LK$4:$LT$4))=0,0,((SUMIF($LK$3:$LT$3,LT$60,$LK136:$LT136))/SUMIF($LK$3:$LT$3,LT$60,$LK$4:$LT$4)))</f>
        <v>0</v>
      </c>
    </row>
    <row r="88" customFormat="false" ht="15" hidden="true" customHeight="false" outlineLevel="0" collapsed="false">
      <c r="C88" s="194" t="str">
        <f aca="false">B32</f>
        <v>Alumno27</v>
      </c>
      <c r="D88" s="195" t="n">
        <f aca="false">IF((SUMIF($D$3:$M$3,D$60,$D$4:$M$4))=0,0,((SUMIF($D$3:$M$3,D$60,$D137:$M137))/SUMIF($D$3:$M$3,D$60,$D$4:$M$4)))</f>
        <v>8.85</v>
      </c>
      <c r="E88" s="196" t="n">
        <f aca="false">IF((SUMIF($D$3:$M$3,E$60,$D$4:$M$4))=0,0,((SUMIF($D$3:$M$3,E$60,$D137:$M137))/SUMIF($D$3:$M$3,E$60,$D$4:$M$4)))</f>
        <v>0</v>
      </c>
      <c r="F88" s="196" t="n">
        <f aca="false">IF((SUMIF($D$3:$M$3,F$60,$D$4:$M$4))=0,0,((SUMIF($D$3:$M$3,F$60,$D137:$M137))/SUMIF($D$3:$M$3,F$60,$D$4:$M$4)))</f>
        <v>0</v>
      </c>
      <c r="G88" s="196" t="n">
        <f aca="false">IF((SUMIF($D$3:$M$3,G$60,$D$4:$M$4))=0,0,((SUMIF($D$3:$M$3,G$60,$D137:$M137))/SUMIF($D$3:$M$3,G$60,$D$4:$M$4)))</f>
        <v>0</v>
      </c>
      <c r="H88" s="196" t="n">
        <f aca="false">IF((SUMIF($D$3:$M$3,H$60,$D$4:$M$4))=0,0,((SUMIF($D$3:$M$3,H$60,$D137:$M137))/SUMIF($D$3:$M$3,H$60,$D$4:$M$4)))</f>
        <v>0</v>
      </c>
      <c r="I88" s="196" t="n">
        <f aca="false">IF((SUMIF($D$3:$M$3,I$60,$D$4:$M$4))=0,0,((SUMIF($D$3:$M$3,I$60,$D137:$M137))/SUMIF($D$3:$M$3,I$60,$D$4:$M$4)))</f>
        <v>0</v>
      </c>
      <c r="J88" s="196" t="n">
        <f aca="false">IF((SUMIF($D$3:$M$3,J$60,$D$4:$M$4))=0,0,((SUMIF($D$3:$M$3,J$60,$D137:$M137))/SUMIF($D$3:$M$3,J$60,$D$4:$M$4)))</f>
        <v>0</v>
      </c>
      <c r="K88" s="196" t="n">
        <f aca="false">IF((SUMIF($D$3:$M$3,K$60,$D$4:$M$4))=0,0,((SUMIF($D$3:$M$3,K$60,$D137:$M137))/SUMIF($D$3:$M$3,K$60,$D$4:$M$4)))</f>
        <v>0</v>
      </c>
      <c r="L88" s="196" t="n">
        <f aca="false">IF((SUMIF($D$3:$M$3,L$60,$D$4:$M$4))=0,0,((SUMIF($D$3:$M$3,L$60,$D137:$M137))/SUMIF($D$3:$M$3,L$60,$D$4:$M$4)))</f>
        <v>0</v>
      </c>
      <c r="M88" s="197" t="n">
        <f aca="false">IF((SUMIF($D$3:$M$3,M$60,$D$4:$M$4))=0,0,((SUMIF($D$3:$M$3,M$60,$D137:$M137))/SUMIF($D$3:$M$3,M$60,$D$4:$M$4)))</f>
        <v>0</v>
      </c>
      <c r="N88" s="194" t="str">
        <f aca="false">C88</f>
        <v>Alumno27</v>
      </c>
      <c r="O88" s="195" t="n">
        <f aca="false">IF((SUMIF($O$3:$X$3,O$60,$O$4:$X$4))=0,0,((SUMIF($O$3:$X$3,O$60,$O137:$X137))/SUMIF($O$3:$X$3,O$60,$O$4:$X$4)))</f>
        <v>9</v>
      </c>
      <c r="P88" s="196" t="n">
        <f aca="false">IF((SUMIF($O$3:$X$3,P$60,$O$4:$X$4))=0,0,((SUMIF($O$3:$X$3,P$60,$O137:$X137))/SUMIF($O$3:$X$3,P$60,$O$4:$X$4)))</f>
        <v>9</v>
      </c>
      <c r="Q88" s="196" t="n">
        <f aca="false">IF((SUMIF($O$3:$X$3,Q$60,$O$4:$X$4))=0,0,((SUMIF($O$3:$X$3,Q$60,$O137:$X137))/SUMIF($O$3:$X$3,Q$60,$O$4:$X$4)))</f>
        <v>0</v>
      </c>
      <c r="R88" s="196" t="n">
        <f aca="false">IF((SUMIF($O$3:$X$3,R$60,$O$4:$X$4))=0,0,((SUMIF($O$3:$X$3,R$60,$O137:$X137))/SUMIF($O$3:$X$3,R$60,$O$4:$X$4)))</f>
        <v>0</v>
      </c>
      <c r="S88" s="196" t="n">
        <f aca="false">IF((SUMIF($O$3:$X$3,S$60,$O$4:$X$4))=0,0,((SUMIF($O$3:$X$3,S$60,$O137:$X137))/SUMIF($O$3:$X$3,S$60,$O$4:$X$4)))</f>
        <v>0</v>
      </c>
      <c r="T88" s="196" t="n">
        <f aca="false">IF((SUMIF($O$3:$X$3,T$60,$O$4:$X$4))=0,0,((SUMIF($O$3:$X$3,T$60,$O137:$X137))/SUMIF($O$3:$X$3,T$60,$O$4:$X$4)))</f>
        <v>0</v>
      </c>
      <c r="U88" s="196" t="n">
        <f aca="false">IF((SUMIF($O$3:$X$3,U$60,$O$4:$X$4))=0,0,((SUMIF($O$3:$X$3,U$60,$O137:$X137))/SUMIF($O$3:$X$3,U$60,$O$4:$X$4)))</f>
        <v>0</v>
      </c>
      <c r="V88" s="196" t="n">
        <f aca="false">IF((SUMIF($O$3:$X$3,V$60,$O$4:$X$4))=0,0,((SUMIF($O$3:$X$3,V$60,$O137:$X137))/SUMIF($O$3:$X$3,V$60,$O$4:$X$4)))</f>
        <v>0</v>
      </c>
      <c r="W88" s="196" t="n">
        <f aca="false">IF((SUMIF($O$3:$X$3,W$60,$O$4:$X$4))=0,0,((SUMIF($O$3:$X$3,W$60,$O137:$X137))/SUMIF($O$3:$X$3,W$60,$O$4:$X$4)))</f>
        <v>0</v>
      </c>
      <c r="X88" s="197" t="n">
        <f aca="false">IF((SUMIF($O$3:$X$3,X$60,$O$4:$X$4))=0,0,((SUMIF($O$3:$X$3,X$60,$O137:$X137))/SUMIF($O$3:$X$3,X$60,$O$4:$X$4)))</f>
        <v>0</v>
      </c>
      <c r="Y88" s="194" t="str">
        <f aca="false">N88</f>
        <v>Alumno27</v>
      </c>
      <c r="Z88" s="195" t="n">
        <f aca="false">IF((SUMIF($Z$3:$AI$3,Z$60,$Z$4:$AI$4))=0,0,((SUMIF($Z$3:$AI$3,Z$60,$Z137:$AI137))/SUMIF($Z$3:$AI$3,Z$60,$Z$4:$AI$4)))</f>
        <v>5</v>
      </c>
      <c r="AA88" s="196" t="n">
        <f aca="false">IF((SUMIF($Z$3:$AI$3,AA$60,$Z$4:$AI$4))=0,0,((SUMIF($Z$3:$AI$3,AA$60,$Z137:$AI137))/SUMIF($Z$3:$AI$3,AA$60,$Z$4:$AI$4)))</f>
        <v>5</v>
      </c>
      <c r="AB88" s="196" t="n">
        <f aca="false">IF((SUMIF($Z$3:$AI$3,AB$60,$Z$4:$AI$4))=0,0,((SUMIF($Z$3:$AI$3,AB$60,$Z137:$AI137))/SUMIF($Z$3:$AI$3,AB$60,$Z$4:$AI$4)))</f>
        <v>5</v>
      </c>
      <c r="AC88" s="196" t="n">
        <f aca="false">IF((SUMIF($Z$3:$AI$3,AC$60,$Z$4:$AI$4))=0,0,((SUMIF($Z$3:$AI$3,AC$60,$Z137:$AI137))/SUMIF($Z$3:$AI$3,AC$60,$Z$4:$AI$4)))</f>
        <v>0</v>
      </c>
      <c r="AD88" s="196" t="n">
        <f aca="false">IF((SUMIF($Z$3:$AI$3,AD$60,$Z$4:$AI$4))=0,0,((SUMIF($Z$3:$AI$3,AD$60,$Z137:$AI137))/SUMIF($Z$3:$AI$3,AD$60,$Z$4:$AI$4)))</f>
        <v>0</v>
      </c>
      <c r="AE88" s="196" t="n">
        <f aca="false">IF((SUMIF($Z$3:$AI$3,AE$60,$Z$4:$AI$4))=0,0,((SUMIF($Z$3:$AI$3,AE$60,$Z137:$AI137))/SUMIF($Z$3:$AI$3,AE$60,$Z$4:$AI$4)))</f>
        <v>0</v>
      </c>
      <c r="AF88" s="196" t="n">
        <f aca="false">IF((SUMIF($Z$3:$AI$3,AF$60,$Z$4:$AI$4))=0,0,((SUMIF($Z$3:$AI$3,AF$60,$Z137:$AI137))/SUMIF($Z$3:$AI$3,AF$60,$Z$4:$AI$4)))</f>
        <v>0</v>
      </c>
      <c r="AG88" s="196" t="n">
        <f aca="false">IF((SUMIF($Z$3:$AI$3,AG$60,$Z$4:$AI$4))=0,0,((SUMIF($Z$3:$AI$3,AG$60,$Z137:$AI137))/SUMIF($Z$3:$AI$3,AG$60,$Z$4:$AI$4)))</f>
        <v>0</v>
      </c>
      <c r="AH88" s="196" t="n">
        <f aca="false">IF((SUMIF($Z$3:$AI$3,AH$60,$Z$4:$AI$4))=0,0,((SUMIF($Z$3:$AI$3,AH$60,$Z137:$AI137))/SUMIF($Z$3:$AI$3,AH$60,$Z$4:$AI$4)))</f>
        <v>0</v>
      </c>
      <c r="AI88" s="197" t="n">
        <f aca="false">IF((SUMIF($Z$3:$AI$3,AI$60,$Z$4:$AI$4))=0,0,((SUMIF($Z$3:$AI$3,AI$60,$Z137:$AI137))/SUMIF($Z$3:$AI$3,AI$60,$Z$4:$AI$4)))</f>
        <v>0</v>
      </c>
      <c r="AJ88" s="194" t="str">
        <f aca="false">Y88</f>
        <v>Alumno27</v>
      </c>
      <c r="AK88" s="195" t="n">
        <f aca="false">IF((SUMIF($AK$3:$AT$3,AK$60,$AK$4:$AT$4))=0,0,((SUMIF($AK$3:$AT$3,AK$60,$AK137:$AT137))/SUMIF($AK$3:$AT$3,AK$60,$AK$4:$AT$4)))</f>
        <v>5</v>
      </c>
      <c r="AL88" s="196" t="n">
        <f aca="false">IF((SUMIF($AK$3:$AT$3,AL$60,$AK$4:$AT$4))=0,0,((SUMIF($AK$3:$AT$3,AL$60,$AK137:$AT137))/SUMIF($AK$3:$AT$3,AL$60,$AK$4:$AT$4)))</f>
        <v>5</v>
      </c>
      <c r="AM88" s="196" t="n">
        <f aca="false">IF((SUMIF($AK$3:$AT$3,AM$60,$AK$4:$AT$4))=0,0,((SUMIF($AK$3:$AT$3,AM$60,$AK137:$AT137))/SUMIF($AK$3:$AT$3,AM$60,$AK$4:$AT$4)))</f>
        <v>5</v>
      </c>
      <c r="AN88" s="196" t="n">
        <f aca="false">IF((SUMIF($AK$3:$AT$3,AN$60,$AK$4:$AT$4))=0,0,((SUMIF($AK$3:$AT$3,AN$60,$AK137:$AT137))/SUMIF($AK$3:$AT$3,AN$60,$AK$4:$AT$4)))</f>
        <v>0</v>
      </c>
      <c r="AO88" s="196" t="n">
        <f aca="false">IF((SUMIF($AK$3:$AT$3,AO$60,$AK$4:$AT$4))=0,0,((SUMIF($AK$3:$AT$3,AO$60,$AK137:$AT137))/SUMIF($AK$3:$AT$3,AO$60,$AK$4:$AT$4)))</f>
        <v>0</v>
      </c>
      <c r="AP88" s="196" t="n">
        <f aca="false">IF((SUMIF($AK$3:$AT$3,AP$60,$AK$4:$AT$4))=0,0,((SUMIF($AK$3:$AT$3,AP$60,$AK137:$AT137))/SUMIF($AK$3:$AT$3,AP$60,$AK$4:$AT$4)))</f>
        <v>0</v>
      </c>
      <c r="AQ88" s="196" t="n">
        <f aca="false">IF((SUMIF($AK$3:$AT$3,AQ$60,$AK$4:$AT$4))=0,0,((SUMIF($AK$3:$AT$3,AQ$60,$AK137:$AT137))/SUMIF($AK$3:$AT$3,AQ$60,$AK$4:$AT$4)))</f>
        <v>0</v>
      </c>
      <c r="AR88" s="196" t="n">
        <f aca="false">IF((SUMIF($AK$3:$AT$3,AR$60,$AK$4:$AT$4))=0,0,((SUMIF($AK$3:$AT$3,AR$60,$AK137:$AT137))/SUMIF($AK$3:$AT$3,AR$60,$AK$4:$AT$4)))</f>
        <v>0</v>
      </c>
      <c r="AS88" s="196" t="n">
        <f aca="false">IF((SUMIF($AK$3:$AT$3,AS$60,$AK$4:$AT$4))=0,0,((SUMIF($AK$3:$AT$3,AS$60,$AK137:$AT137))/SUMIF($AK$3:$AT$3,AS$60,$AK$4:$AT$4)))</f>
        <v>0</v>
      </c>
      <c r="AT88" s="197" t="n">
        <f aca="false">IF((SUMIF($AK$3:$AT$3,AT$60,$AK$4:$AT$4))=0,0,((SUMIF($AK$3:$AT$3,AT$60,$AK137:$AT137))/SUMIF($AK$3:$AT$3,AT$60,$AK$4:$AT$4)))</f>
        <v>0</v>
      </c>
      <c r="AU88" s="194" t="str">
        <f aca="false">AJ88</f>
        <v>Alumno27</v>
      </c>
      <c r="AV88" s="195" t="n">
        <f aca="false">IF((SUMIF($AV$3:$BE$3,AV$60,$AV$4:$BE$4))=0,0,((SUMIF($AV$3:$BE$3,AV$60,$AV137:$BE137))/SUMIF($AV$3:$BE$3,AV$60,$AV$4:$BE$4)))</f>
        <v>9</v>
      </c>
      <c r="AW88" s="196" t="n">
        <f aca="false">IF((SUMIF($AV$3:$BE$3,AW$60,$AV$4:$BE$4))=0,0,((SUMIF($AV$3:$BE$3,AW$60,$AV137:$BE137))/SUMIF($AV$3:$BE$3,AW$60,$AV$4:$BE$4)))</f>
        <v>9</v>
      </c>
      <c r="AX88" s="196" t="n">
        <f aca="false">IF((SUMIF($AV$3:$BE$3,AX$60,$AV$4:$BE$4))=0,0,((SUMIF($AV$3:$BE$3,AX$60,$AV137:$BE137))/SUMIF($AV$3:$BE$3,AX$60,$AV$4:$BE$4)))</f>
        <v>9</v>
      </c>
      <c r="AY88" s="196" t="n">
        <f aca="false">IF((SUMIF($AV$3:$BE$3,AY$60,$AV$4:$BE$4))=0,0,((SUMIF($AV$3:$BE$3,AY$60,$AV137:$BE137))/SUMIF($AV$3:$BE$3,AY$60,$AV$4:$BE$4)))</f>
        <v>9</v>
      </c>
      <c r="AZ88" s="196" t="n">
        <f aca="false">IF((SUMIF($AV$3:$BE$3,AZ$60,$AV$4:$BE$4))=0,0,((SUMIF($AV$3:$BE$3,AZ$60,$AV137:$BE137))/SUMIF($AV$3:$BE$3,AZ$60,$AV$4:$BE$4)))</f>
        <v>0</v>
      </c>
      <c r="BA88" s="196" t="n">
        <f aca="false">IF((SUMIF($AV$3:$BE$3,BA$60,$AV$4:$BE$4))=0,0,((SUMIF($AV$3:$BE$3,BA$60,$AV137:$BE137))/SUMIF($AV$3:$BE$3,BA$60,$AV$4:$BE$4)))</f>
        <v>0</v>
      </c>
      <c r="BB88" s="196" t="n">
        <f aca="false">IF((SUMIF($AV$3:$BE$3,BB$60,$AV$4:$BE$4))=0,0,((SUMIF($AV$3:$BE$3,BB$60,$AV137:$BE137))/SUMIF($AV$3:$BE$3,BB$60,$AV$4:$BE$4)))</f>
        <v>0</v>
      </c>
      <c r="BC88" s="196" t="n">
        <f aca="false">IF((SUMIF($AV$3:$BE$3,BC$60,$AV$4:$BE$4))=0,0,((SUMIF($AV$3:$BE$3,BC$60,$AV137:$BE137))/SUMIF($AV$3:$BE$3,BC$60,$AV$4:$BE$4)))</f>
        <v>0</v>
      </c>
      <c r="BD88" s="196" t="n">
        <f aca="false">IF((SUMIF($AV$3:$BE$3,BD$60,$AV$4:$BE$4))=0,0,((SUMIF($AV$3:$BE$3,BD$60,$AV137:$BE137))/SUMIF($AV$3:$BE$3,BD$60,$AV$4:$BE$4)))</f>
        <v>0</v>
      </c>
      <c r="BE88" s="197" t="n">
        <f aca="false">IF((SUMIF($AV$3:$BE$3,BE$60,$AV$4:$BE$4))=0,0,((SUMIF($AV$3:$BE$3,BE$60,$AV137:$BE137))/SUMIF($AV$3:$BE$3,BE$60,$AV$4:$BE$4)))</f>
        <v>0</v>
      </c>
      <c r="BF88" s="194" t="str">
        <f aca="false">AU88</f>
        <v>Alumno27</v>
      </c>
      <c r="BG88" s="195" t="n">
        <f aca="false">IF((SUMIF($BG$3:$BP$3,BG$60,$BG$4:$BP$4))=0,0,((SUMIF($BG$3:$BP$3,BG$60,$BG137:$BP137))/SUMIF($BG$3:$BP$3,BG$60,$BG$4:$BP$4)))</f>
        <v>9</v>
      </c>
      <c r="BH88" s="196" t="n">
        <f aca="false">IF((SUMIF($BG$3:$BP$3,BH$60,$BG$4:$BP$4))=0,0,((SUMIF($BG$3:$BP$3,BH$60,$BG137:$BP137))/SUMIF($BG$3:$BP$3,BH$60,$BG$4:$BP$4)))</f>
        <v>9</v>
      </c>
      <c r="BI88" s="196" t="n">
        <f aca="false">IF((SUMIF($BG$3:$BP$3,BI$60,$BG$4:$BP$4))=0,0,((SUMIF($BG$3:$BP$3,BI$60,$BG137:$BP137))/SUMIF($BG$3:$BP$3,BI$60,$BG$4:$BP$4)))</f>
        <v>9</v>
      </c>
      <c r="BJ88" s="196" t="n">
        <f aca="false">IF((SUMIF($BG$3:$BP$3,BJ$60,$BG$4:$BP$4))=0,0,((SUMIF($BG$3:$BP$3,BJ$60,$BG137:$BP137))/SUMIF($BG$3:$BP$3,BJ$60,$BG$4:$BP$4)))</f>
        <v>9</v>
      </c>
      <c r="BK88" s="196" t="n">
        <f aca="false">IF((SUMIF($BG$3:$BP$3,BK$60,$BG$4:$BP$4))=0,0,((SUMIF($BG$3:$BP$3,BK$60,$BG137:$BP137))/SUMIF($BG$3:$BP$3,BK$60,$BG$4:$BP$4)))</f>
        <v>0</v>
      </c>
      <c r="BL88" s="196" t="n">
        <f aca="false">IF((SUMIF($BG$3:$BP$3,BL$60,$BG$4:$BP$4))=0,0,((SUMIF($BG$3:$BP$3,BL$60,$BG137:$BP137))/SUMIF($BG$3:$BP$3,BL$60,$BG$4:$BP$4)))</f>
        <v>0</v>
      </c>
      <c r="BM88" s="196" t="n">
        <f aca="false">IF((SUMIF($BG$3:$BP$3,BM$60,$BG$4:$BP$4))=0,0,((SUMIF($BG$3:$BP$3,BM$60,$BG137:$BP137))/SUMIF($BG$3:$BP$3,BM$60,$BG$4:$BP$4)))</f>
        <v>0</v>
      </c>
      <c r="BN88" s="196" t="n">
        <f aca="false">IF((SUMIF($BG$3:$BP$3,BN$60,$BG$4:$BP$4))=0,0,((SUMIF($BG$3:$BP$3,BN$60,$BG137:$BP137))/SUMIF($BG$3:$BP$3,BN$60,$BG$4:$BP$4)))</f>
        <v>0</v>
      </c>
      <c r="BO88" s="196" t="n">
        <f aca="false">IF((SUMIF($BG$3:$BP$3,BO$60,$BG$4:$BP$4))=0,0,((SUMIF($BG$3:$BP$3,BO$60,$BG137:$BP137))/SUMIF($BG$3:$BP$3,BO$60,$BG$4:$BP$4)))</f>
        <v>0</v>
      </c>
      <c r="BP88" s="197" t="n">
        <f aca="false">IF((SUMIF($BG$3:$BP$3,BP$60,$BG$4:$BP$4))=0,0,((SUMIF($BG$3:$BP$3,BP$60,$BG137:$BP137))/SUMIF($BG$3:$BP$3,BP$60,$BG$4:$BP$4)))</f>
        <v>0</v>
      </c>
      <c r="BQ88" s="194" t="str">
        <f aca="false">BF88</f>
        <v>Alumno27</v>
      </c>
      <c r="BR88" s="195" t="n">
        <f aca="false">IF((SUMIF($BR$3:$CA$3,BR$60,$BR$4:$CA$4))=0,0,((SUMIF($BR$3:$CA$3,BR$60,$BR137:$CA137))/SUMIF($BR$3:$CA$3,BR$60,$BR$4:$CA$4)))</f>
        <v>0</v>
      </c>
      <c r="BS88" s="196" t="n">
        <f aca="false">IF((SUMIF($BR$3:$CA$3,BS$60,$BR$4:$CA$4))=0,0,((SUMIF($BR$3:$CA$3,BS$60,$BR137:$CA137))/SUMIF($BR$3:$CA$3,BS$60,$BR$4:$CA$4)))</f>
        <v>5</v>
      </c>
      <c r="BT88" s="196" t="n">
        <f aca="false">IF((SUMIF($BR$3:$CA$3,BT$60,$BR$4:$CA$4))=0,0,((SUMIF($BR$3:$CA$3,BT$60,$BR137:$CA137))/SUMIF($BR$3:$CA$3,BT$60,$BR$4:$CA$4)))</f>
        <v>4</v>
      </c>
      <c r="BU88" s="196" t="n">
        <f aca="false">IF((SUMIF($BR$3:$CA$3,BU$60,$BR$4:$CA$4))=0,0,((SUMIF($BR$3:$CA$3,BU$60,$BR137:$CA137))/SUMIF($BR$3:$CA$3,BU$60,$BR$4:$CA$4)))</f>
        <v>4.6</v>
      </c>
      <c r="BV88" s="196" t="n">
        <f aca="false">IF((SUMIF($BR$3:$CA$3,BV$60,$BR$4:$CA$4))=0,0,((SUMIF($BR$3:$CA$3,BV$60,$BR137:$CA137))/SUMIF($BR$3:$CA$3,BV$60,$BR$4:$CA$4)))</f>
        <v>0</v>
      </c>
      <c r="BW88" s="196" t="n">
        <f aca="false">IF((SUMIF($BR$3:$CA$3,BW$60,$BR$4:$CA$4))=0,0,((SUMIF($BR$3:$CA$3,BW$60,$BR137:$CA137))/SUMIF($BR$3:$CA$3,BW$60,$BR$4:$CA$4)))</f>
        <v>0</v>
      </c>
      <c r="BX88" s="196" t="n">
        <f aca="false">IF((SUMIF($BR$3:$CA$3,BX$60,$BR$4:$CA$4))=0,0,((SUMIF($BR$3:$CA$3,BX$60,$BR137:$CA137))/SUMIF($BR$3:$CA$3,BX$60,$BR$4:$CA$4)))</f>
        <v>0</v>
      </c>
      <c r="BY88" s="196" t="n">
        <f aca="false">IF((SUMIF($BR$3:$CA$3,BY$60,$BR$4:$CA$4))=0,0,((SUMIF($BR$3:$CA$3,BY$60,$BR137:$CA137))/SUMIF($BR$3:$CA$3,BY$60,$BR$4:$CA$4)))</f>
        <v>0</v>
      </c>
      <c r="BZ88" s="196" t="n">
        <f aca="false">IF((SUMIF($BR$3:$CA$3,BZ$60,$BR$4:$CA$4))=0,0,((SUMIF($BR$3:$CA$3,BZ$60,$BR137:$CA137))/SUMIF($BR$3:$CA$3,BZ$60,$BR$4:$CA$4)))</f>
        <v>0</v>
      </c>
      <c r="CA88" s="197" t="n">
        <f aca="false">IF((SUMIF($BR$3:$CA$3,CA$60,$BR$4:$CA$4))=0,0,((SUMIF($BR$3:$CA$3,CA$60,$BR137:$CA137))/SUMIF($BR$3:$CA$3,CA$60,$BR$4:$CA$4)))</f>
        <v>0</v>
      </c>
      <c r="CB88" s="194" t="str">
        <f aca="false">BQ88</f>
        <v>Alumno27</v>
      </c>
      <c r="CC88" s="195" t="n">
        <f aca="false">IF((SUMIF($CC$3:$CL$3,CC$60,$CC$4:$CL$4))=0,0,((SUMIF($CC$3:$CL$3,CC$60,$CC137:$CL137))/SUMIF($CC$3:$CL$3,CC$60,$CC$4:$CL$4)))</f>
        <v>0</v>
      </c>
      <c r="CD88" s="196" t="n">
        <f aca="false">IF((SUMIF($CC$3:$CL$3,CD$60,$CC$4:$CL$4))=0,0,((SUMIF($CC$3:$CL$3,CD$60,$CC137:$CL137))/SUMIF($CC$3:$CL$3,CD$60,$CC$4:$CL$4)))</f>
        <v>0</v>
      </c>
      <c r="CE88" s="196" t="n">
        <f aca="false">IF((SUMIF($CC$3:$CL$3,CE$60,$CC$4:$CL$4))=0,0,((SUMIF($CC$3:$CL$3,CE$60,$CC137:$CL137))/SUMIF($CC$3:$CL$3,CE$60,$CC$4:$CL$4)))</f>
        <v>0</v>
      </c>
      <c r="CF88" s="196" t="n">
        <f aca="false">IF((SUMIF($CC$3:$CL$3,CF$60,$CC$4:$CL$4))=0,0,((SUMIF($CC$3:$CL$3,CF$60,$CC137:$CL137))/SUMIF($CC$3:$CL$3,CF$60,$CC$4:$CL$4)))</f>
        <v>0</v>
      </c>
      <c r="CG88" s="196" t="n">
        <f aca="false">IF((SUMIF($CC$3:$CL$3,CG$60,$CC$4:$CL$4))=0,0,((SUMIF($CC$3:$CL$3,CG$60,$CC137:$CL137))/SUMIF($CC$3:$CL$3,CG$60,$CC$4:$CL$4)))</f>
        <v>0</v>
      </c>
      <c r="CH88" s="196" t="n">
        <f aca="false">IF((SUMIF($CC$3:$CL$3,CH$60,$CC$4:$CL$4))=0,0,((SUMIF($CC$3:$CL$3,CH$60,$CC137:$CL137))/SUMIF($CC$3:$CL$3,CH$60,$CC$4:$CL$4)))</f>
        <v>0</v>
      </c>
      <c r="CI88" s="196" t="n">
        <f aca="false">IF((SUMIF($CC$3:$CL$3,CI$60,$CC$4:$CL$4))=0,0,((SUMIF($CC$3:$CL$3,CI$60,$CC137:$CL137))/SUMIF($CC$3:$CL$3,CI$60,$CC$4:$CL$4)))</f>
        <v>0</v>
      </c>
      <c r="CJ88" s="196" t="n">
        <f aca="false">IF((SUMIF($CC$3:$CL$3,CJ$60,$CC$4:$CL$4))=0,0,((SUMIF($CC$3:$CL$3,CJ$60,$CC137:$CL137))/SUMIF($CC$3:$CL$3,CJ$60,$CC$4:$CL$4)))</f>
        <v>0</v>
      </c>
      <c r="CK88" s="196" t="n">
        <f aca="false">IF((SUMIF($CC$3:$CL$3,CK$60,$CC$4:$CL$4))=0,0,((SUMIF($CC$3:$CL$3,CK$60,$CC137:$CL137))/SUMIF($CC$3:$CL$3,CK$60,$CC$4:$CL$4)))</f>
        <v>0</v>
      </c>
      <c r="CL88" s="197" t="n">
        <f aca="false">IF((SUMIF($CC$3:$CL$3,CL$60,$CC$4:$CL$4))=0,0,((SUMIF($CC$3:$CL$3,CL$60,$CC137:$CL137))/SUMIF($CC$3:$CL$3,CL$60,$CC$4:$CL$4)))</f>
        <v>0</v>
      </c>
      <c r="CM88" s="194" t="str">
        <f aca="false">CB88</f>
        <v>Alumno27</v>
      </c>
      <c r="CN88" s="195" t="n">
        <f aca="false">IF((SUMIF($CN$3:$CW$3,CN$60,$CN$4:$CW$4))=0,0,((SUMIF($CN$3:$CW$3,CN$60,$CN137:$CW137))/SUMIF($CN$3:$CW$3,CN$60,$CN$4:$CW$4)))</f>
        <v>0</v>
      </c>
      <c r="CO88" s="196" t="n">
        <f aca="false">IF((SUMIF($CN$3:$CW$3,CO$60,$CN$4:$CW$4))=0,0,((SUMIF($CN$3:$CW$3,CO$60,$CN137:$CW137))/SUMIF($CN$3:$CW$3,CO$60,$CN$4:$CW$4)))</f>
        <v>0</v>
      </c>
      <c r="CP88" s="196" t="n">
        <f aca="false">IF((SUMIF($CN$3:$CW$3,CP$60,$CN$4:$CW$4))=0,0,((SUMIF($CN$3:$CW$3,CP$60,$CN137:$CW137))/SUMIF($CN$3:$CW$3,CP$60,$CN$4:$CW$4)))</f>
        <v>0</v>
      </c>
      <c r="CQ88" s="196" t="n">
        <f aca="false">IF((SUMIF($CN$3:$CW$3,CQ$60,$CN$4:$CW$4))=0,0,((SUMIF($CN$3:$CW$3,CQ$60,$CN137:$CW137))/SUMIF($CN$3:$CW$3,CQ$60,$CN$4:$CW$4)))</f>
        <v>0</v>
      </c>
      <c r="CR88" s="196" t="n">
        <f aca="false">IF((SUMIF($CN$3:$CW$3,CR$60,$CN$4:$CW$4))=0,0,((SUMIF($CN$3:$CW$3,CR$60,$CN137:$CW137))/SUMIF($CN$3:$CW$3,CR$60,$CN$4:$CW$4)))</f>
        <v>0</v>
      </c>
      <c r="CS88" s="196" t="n">
        <f aca="false">IF((SUMIF($CN$3:$CW$3,CS$60,$CN$4:$CW$4))=0,0,((SUMIF($CN$3:$CW$3,CS$60,$CN137:$CW137))/SUMIF($CN$3:$CW$3,CS$60,$CN$4:$CW$4)))</f>
        <v>0</v>
      </c>
      <c r="CT88" s="196" t="n">
        <f aca="false">IF((SUMIF($CN$3:$CW$3,CT$60,$CN$4:$CW$4))=0,0,((SUMIF($CN$3:$CW$3,CT$60,$CN137:$CW137))/SUMIF($CN$3:$CW$3,CT$60,$CN$4:$CW$4)))</f>
        <v>0</v>
      </c>
      <c r="CU88" s="196" t="n">
        <f aca="false">IF((SUMIF($CN$3:$CW$3,CU$60,$CN$4:$CW$4))=0,0,((SUMIF($CN$3:$CW$3,CU$60,$CN137:$CW137))/SUMIF($CN$3:$CW$3,CU$60,$CN$4:$CW$4)))</f>
        <v>0</v>
      </c>
      <c r="CV88" s="196" t="n">
        <f aca="false">IF((SUMIF($CN$3:$CW$3,CV$60,$CN$4:$CW$4))=0,0,((SUMIF($CN$3:$CW$3,CV$60,$CN137:$CW137))/SUMIF($CN$3:$CW$3,CV$60,$CN$4:$CW$4)))</f>
        <v>0</v>
      </c>
      <c r="CW88" s="197" t="n">
        <f aca="false">IF((SUMIF($CN$3:$CW$3,CW$60,$CN$4:$CW$4))=0,0,((SUMIF($CN$3:$CW$3,CW$60,$CN137:$CW137))/SUMIF($CN$3:$CW$3,CW$60,$CN$4:$CW$4)))</f>
        <v>0</v>
      </c>
      <c r="CX88" s="194" t="str">
        <f aca="false">CM88</f>
        <v>Alumno27</v>
      </c>
      <c r="CY88" s="195" t="n">
        <f aca="false">IF((SUMIF($CY$3:$DH$3,CY$60,$CY$4:$DH$4))=0,0,((SUMIF($CY$3:$DH$3,CY$60,$CY137:$DH137))/SUMIF($CY$3:$DH$3,CY$60,$CY$4:$DH$4)))</f>
        <v>0</v>
      </c>
      <c r="CZ88" s="196" t="n">
        <f aca="false">IF((SUMIF($CY$3:$DH$3,CZ$60,$CY$4:$DH$4))=0,0,((SUMIF($CY$3:$DH$3,CZ$60,$CY137:$DH137))/SUMIF($CY$3:$DH$3,CZ$60,$CY$4:$DH$4)))</f>
        <v>0</v>
      </c>
      <c r="DA88" s="196" t="n">
        <f aca="false">IF((SUMIF($CY$3:$DH$3,DA$60,$CY$4:$DH$4))=0,0,((SUMIF($CY$3:$DH$3,DA$60,$CY137:$DH137))/SUMIF($CY$3:$DH$3,DA$60,$CY$4:$DH$4)))</f>
        <v>0</v>
      </c>
      <c r="DB88" s="196" t="n">
        <f aca="false">IF((SUMIF($CY$3:$DH$3,DB$60,$CY$4:$DH$4))=0,0,((SUMIF($CY$3:$DH$3,DB$60,$CY137:$DH137))/SUMIF($CY$3:$DH$3,DB$60,$CY$4:$DH$4)))</f>
        <v>0</v>
      </c>
      <c r="DC88" s="196" t="n">
        <f aca="false">IF((SUMIF($CY$3:$DH$3,DC$60,$CY$4:$DH$4))=0,0,((SUMIF($CY$3:$DH$3,DC$60,$CY137:$DH137))/SUMIF($CY$3:$DH$3,DC$60,$CY$4:$DH$4)))</f>
        <v>0</v>
      </c>
      <c r="DD88" s="196" t="n">
        <f aca="false">IF((SUMIF($CY$3:$DH$3,DD$60,$CY$4:$DH$4))=0,0,((SUMIF($CY$3:$DH$3,DD$60,$CY137:$DH137))/SUMIF($CY$3:$DH$3,DD$60,$CY$4:$DH$4)))</f>
        <v>0</v>
      </c>
      <c r="DE88" s="196" t="n">
        <f aca="false">IF((SUMIF($CY$3:$DH$3,DE$60,$CY$4:$DH$4))=0,0,((SUMIF($CY$3:$DH$3,DE$60,$CY137:$DH137))/SUMIF($CY$3:$DH$3,DE$60,$CY$4:$DH$4)))</f>
        <v>0</v>
      </c>
      <c r="DF88" s="196" t="n">
        <f aca="false">IF((SUMIF($CY$3:$DH$3,DF$60,$CY$4:$DH$4))=0,0,((SUMIF($CY$3:$DH$3,DF$60,$CY137:$DH137))/SUMIF($CY$3:$DH$3,DF$60,$CY$4:$DH$4)))</f>
        <v>0</v>
      </c>
      <c r="DG88" s="196" t="n">
        <f aca="false">IF((SUMIF($CY$3:$DH$3,DG$60,$CY$4:$DH$4))=0,0,((SUMIF($CY$3:$DH$3,DG$60,$CY137:$DH137))/SUMIF($CY$3:$DH$3,DG$60,$CY$4:$DH$4)))</f>
        <v>0</v>
      </c>
      <c r="DH88" s="197" t="n">
        <f aca="false">IF((SUMIF($CY$3:$DH$3,DH$60,$CY$4:$DH$4))=0,0,((SUMIF($CY$3:$DH$3,DH$60,$CY137:$DH137))/SUMIF($CY$3:$DH$3,DH$60,$CY$4:$DH$4)))</f>
        <v>0</v>
      </c>
      <c r="DI88" s="194" t="str">
        <f aca="false">CX88</f>
        <v>Alumno27</v>
      </c>
      <c r="DJ88" s="195" t="n">
        <f aca="false">IF((SUMIF($DJ$3:$DS$3,DJ$60,$DJ$4:$DS$4))=0,0,((SUMIF($DJ$3:$DS$3,DJ$60,$DJ137:$DS137))/SUMIF($DJ$3:$DS$3,DJ$60,$DJ$4:$DS$4)))</f>
        <v>0</v>
      </c>
      <c r="DK88" s="196" t="n">
        <f aca="false">IF((SUMIF($DJ$3:$DS$3,DK$60,$DJ$4:$DS$4))=0,0,((SUMIF($DJ$3:$DS$3,DK$60,$DJ137:$DS137))/SUMIF($DJ$3:$DS$3,DK$60,$DJ$4:$DS$4)))</f>
        <v>0</v>
      </c>
      <c r="DL88" s="196" t="n">
        <f aca="false">IF((SUMIF($DJ$3:$DS$3,DL$60,$DJ$4:$DS$4))=0,0,((SUMIF($DJ$3:$DS$3,DL$60,$DJ137:$DS137))/SUMIF($DJ$3:$DS$3,DL$60,$DJ$4:$DS$4)))</f>
        <v>0</v>
      </c>
      <c r="DM88" s="196" t="n">
        <f aca="false">IF((SUMIF($DJ$3:$DS$3,DM$60,$DJ$4:$DS$4))=0,0,((SUMIF($DJ$3:$DS$3,DM$60,$DJ137:$DS137))/SUMIF($DJ$3:$DS$3,DM$60,$DJ$4:$DS$4)))</f>
        <v>0</v>
      </c>
      <c r="DN88" s="196" t="n">
        <f aca="false">IF((SUMIF($DJ$3:$DS$3,DN$60,$DJ$4:$DS$4))=0,0,((SUMIF($DJ$3:$DS$3,DN$60,$DJ137:$DS137))/SUMIF($DJ$3:$DS$3,DN$60,$DJ$4:$DS$4)))</f>
        <v>0</v>
      </c>
      <c r="DO88" s="196" t="n">
        <f aca="false">IF((SUMIF($DJ$3:$DS$3,DO$60,$DJ$4:$DS$4))=0,0,((SUMIF($DJ$3:$DS$3,DO$60,$DJ137:$DS137))/SUMIF($DJ$3:$DS$3,DO$60,$DJ$4:$DS$4)))</f>
        <v>0</v>
      </c>
      <c r="DP88" s="196" t="n">
        <f aca="false">IF((SUMIF($DJ$3:$DS$3,DP$60,$DJ$4:$DS$4))=0,0,((SUMIF($DJ$3:$DS$3,DP$60,$DJ137:$DS137))/SUMIF($DJ$3:$DS$3,DP$60,$DJ$4:$DS$4)))</f>
        <v>0</v>
      </c>
      <c r="DQ88" s="196" t="n">
        <f aca="false">IF((SUMIF($DJ$3:$DS$3,DQ$60,$DJ$4:$DS$4))=0,0,((SUMIF($DJ$3:$DS$3,DQ$60,$DJ137:$DS137))/SUMIF($DJ$3:$DS$3,DQ$60,$DJ$4:$DS$4)))</f>
        <v>0</v>
      </c>
      <c r="DR88" s="196" t="n">
        <f aca="false">IF((SUMIF($DJ$3:$DS$3,DR$60,$DJ$4:$DS$4))=0,0,((SUMIF($DJ$3:$DS$3,DR$60,$DJ137:$DS137))/SUMIF($DJ$3:$DS$3,DR$60,$DJ$4:$DS$4)))</f>
        <v>0</v>
      </c>
      <c r="DS88" s="197" t="n">
        <f aca="false">IF((SUMIF($DJ$3:$DS$3,DS$60,$DJ$4:$DS$4))=0,0,((SUMIF($DJ$3:$DS$3,DS$60,$DJ137:$DS137))/SUMIF($DJ$3:$DS$3,DS$60,$DJ$4:$DS$4)))</f>
        <v>0</v>
      </c>
      <c r="DT88" s="194" t="str">
        <f aca="false">DI88</f>
        <v>Alumno27</v>
      </c>
      <c r="DU88" s="195" t="n">
        <f aca="false">IF((SUMIF($DU$3:$ED$3,DU$60,$DU$4:$ED$4))=0,0,((SUMIF($DU$3:$ED$3,DU$60,$DU137:$ED137))/SUMIF($DU$3:$ED$3,DU$60,$DU$4:$ED$4)))</f>
        <v>0</v>
      </c>
      <c r="DV88" s="196" t="n">
        <f aca="false">IF((SUMIF($DU$3:$ED$3,DV$60,$DU$4:$ED$4))=0,0,((SUMIF($DU$3:$ED$3,DV$60,$DU137:$ED137))/SUMIF($DU$3:$ED$3,DV$60,$DU$4:$ED$4)))</f>
        <v>0</v>
      </c>
      <c r="DW88" s="196" t="n">
        <f aca="false">IF((SUMIF($DU$3:$ED$3,DW$60,$DU$4:$ED$4))=0,0,((SUMIF($DU$3:$ED$3,DW$60,$DU137:$ED137))/SUMIF($DU$3:$ED$3,DW$60,$DU$4:$ED$4)))</f>
        <v>0</v>
      </c>
      <c r="DX88" s="196" t="n">
        <f aca="false">IF((SUMIF($DU$3:$ED$3,DX$60,$DU$4:$ED$4))=0,0,((SUMIF($DU$3:$ED$3,DX$60,$DU137:$ED137))/SUMIF($DU$3:$ED$3,DX$60,$DU$4:$ED$4)))</f>
        <v>0</v>
      </c>
      <c r="DY88" s="196" t="n">
        <f aca="false">IF((SUMIF($DU$3:$ED$3,DY$60,$DU$4:$ED$4))=0,0,((SUMIF($DU$3:$ED$3,DY$60,$DU137:$ED137))/SUMIF($DU$3:$ED$3,DY$60,$DU$4:$ED$4)))</f>
        <v>0</v>
      </c>
      <c r="DZ88" s="196" t="n">
        <f aca="false">IF((SUMIF($DU$3:$ED$3,DZ$60,$DU$4:$ED$4))=0,0,((SUMIF($DU$3:$ED$3,DZ$60,$DU137:$ED137))/SUMIF($DU$3:$ED$3,DZ$60,$DU$4:$ED$4)))</f>
        <v>0</v>
      </c>
      <c r="EA88" s="196" t="n">
        <f aca="false">IF((SUMIF($DU$3:$ED$3,EA$60,$DU$4:$ED$4))=0,0,((SUMIF($DU$3:$ED$3,EA$60,$DU137:$ED137))/SUMIF($DU$3:$ED$3,EA$60,$DU$4:$ED$4)))</f>
        <v>0</v>
      </c>
      <c r="EB88" s="196" t="n">
        <f aca="false">IF((SUMIF($DU$3:$ED$3,EB$60,$DU$4:$ED$4))=0,0,((SUMIF($DU$3:$ED$3,EB$60,$DU137:$ED137))/SUMIF($DU$3:$ED$3,EB$60,$DU$4:$ED$4)))</f>
        <v>0</v>
      </c>
      <c r="EC88" s="196" t="n">
        <f aca="false">IF((SUMIF($DU$3:$ED$3,EC$60,$DU$4:$ED$4))=0,0,((SUMIF($DU$3:$ED$3,EC$60,$DU137:$ED137))/SUMIF($DU$3:$ED$3,EC$60,$DU$4:$ED$4)))</f>
        <v>0</v>
      </c>
      <c r="ED88" s="197" t="n">
        <f aca="false">IF((SUMIF($DU$3:$ED$3,ED$60,$DU$4:$ED$4))=0,0,((SUMIF($DU$3:$ED$3,ED$60,$DU137:$ED137))/SUMIF($DU$3:$ED$3,ED$60,$DU$4:$ED$4)))</f>
        <v>0</v>
      </c>
      <c r="EE88" s="194" t="str">
        <f aca="false">DT88</f>
        <v>Alumno27</v>
      </c>
      <c r="EF88" s="195" t="n">
        <f aca="false">IF((SUMIF($EF$3:$EO$3,EF$60,$EF$4:$EO$4))=0,0,((SUMIF($EF$3:$EO$3,EF$60,$EF137:$EO137))/SUMIF($EF$3:$EO$3,EF$60,$EF$4:$EO$4)))</f>
        <v>0</v>
      </c>
      <c r="EG88" s="196" t="n">
        <f aca="false">IF((SUMIF($EF$3:$EO$3,EG$60,$EF$4:$EO$4))=0,0,((SUMIF($EF$3:$EO$3,EG$60,$EF137:$EO137))/SUMIF($EF$3:$EO$3,EG$60,$EF$4:$EO$4)))</f>
        <v>0</v>
      </c>
      <c r="EH88" s="196" t="n">
        <f aca="false">IF((SUMIF($EF$3:$EO$3,EH$60,$EF$4:$EO$4))=0,0,((SUMIF($EF$3:$EO$3,EH$60,$EF137:$EO137))/SUMIF($EF$3:$EO$3,EH$60,$EF$4:$EO$4)))</f>
        <v>0</v>
      </c>
      <c r="EI88" s="196" t="n">
        <f aca="false">IF((SUMIF($EF$3:$EO$3,EI$60,$EF$4:$EO$4))=0,0,((SUMIF($EF$3:$EO$3,EI$60,$EF137:$EO137))/SUMIF($EF$3:$EO$3,EI$60,$EF$4:$EO$4)))</f>
        <v>0</v>
      </c>
      <c r="EJ88" s="196" t="n">
        <f aca="false">IF((SUMIF($EF$3:$EO$3,EJ$60,$EF$4:$EO$4))=0,0,((SUMIF($EF$3:$EO$3,EJ$60,$EF137:$EO137))/SUMIF($EF$3:$EO$3,EJ$60,$EF$4:$EO$4)))</f>
        <v>0</v>
      </c>
      <c r="EK88" s="196" t="n">
        <f aca="false">IF((SUMIF($EF$3:$EO$3,EK$60,$EF$4:$EO$4))=0,0,((SUMIF($EF$3:$EO$3,EK$60,$EF137:$EO137))/SUMIF($EF$3:$EO$3,EK$60,$EF$4:$EO$4)))</f>
        <v>0</v>
      </c>
      <c r="EL88" s="196" t="n">
        <f aca="false">IF((SUMIF($EF$3:$EO$3,EL$60,$EF$4:$EO$4))=0,0,((SUMIF($EF$3:$EO$3,EL$60,$EF137:$EO137))/SUMIF($EF$3:$EO$3,EL$60,$EF$4:$EO$4)))</f>
        <v>0</v>
      </c>
      <c r="EM88" s="196" t="n">
        <f aca="false">IF((SUMIF($EF$3:$EO$3,EM$60,$EF$4:$EO$4))=0,0,((SUMIF($EF$3:$EO$3,EM$60,$EF137:$EO137))/SUMIF($EF$3:$EO$3,EM$60,$EF$4:$EO$4)))</f>
        <v>0</v>
      </c>
      <c r="EN88" s="196" t="n">
        <f aca="false">IF((SUMIF($EF$3:$EO$3,EN$60,$EF$4:$EO$4))=0,0,((SUMIF($EF$3:$EO$3,EN$60,$EF137:$EO137))/SUMIF($EF$3:$EO$3,EN$60,$EF$4:$EO$4)))</f>
        <v>0</v>
      </c>
      <c r="EO88" s="197" t="n">
        <f aca="false">IF((SUMIF($EF$3:$EO$3,EO$60,$EF$4:$EO$4))=0,0,((SUMIF($EF$3:$EO$3,EO$60,$EF137:$EO137))/SUMIF($EF$3:$EO$3,EO$60,$EF$4:$EO$4)))</f>
        <v>0</v>
      </c>
      <c r="EP88" s="194" t="str">
        <f aca="false">EE88</f>
        <v>Alumno27</v>
      </c>
      <c r="EQ88" s="195" t="n">
        <f aca="false">IF((SUMIF($EQ$3:$EZ$3,EQ$60,$EQ$4:$EZ$4))=0,0,((SUMIF($EQ$3:$EZ$3,EQ$60,$EQ137:$EZ137))/SUMIF($EQ$3:$EZ$3,EQ$60,$EQ$4:$EZ$4)))</f>
        <v>0</v>
      </c>
      <c r="ER88" s="196" t="n">
        <f aca="false">IF((SUMIF($EQ$3:$EZ$3,ER$60,$EQ$4:$EZ$4))=0,0,((SUMIF($EQ$3:$EZ$3,ER$60,$EQ137:$EZ137))/SUMIF($EQ$3:$EZ$3,ER$60,$EQ$4:$EZ$4)))</f>
        <v>0</v>
      </c>
      <c r="ES88" s="196" t="n">
        <f aca="false">IF((SUMIF($EQ$3:$EZ$3,ES$60,$EQ$4:$EZ$4))=0,0,((SUMIF($EQ$3:$EZ$3,ES$60,$EQ137:$EZ137))/SUMIF($EQ$3:$EZ$3,ES$60,$EQ$4:$EZ$4)))</f>
        <v>0</v>
      </c>
      <c r="ET88" s="196" t="n">
        <f aca="false">IF((SUMIF($EQ$3:$EZ$3,ET$60,$EQ$4:$EZ$4))=0,0,((SUMIF($EQ$3:$EZ$3,ET$60,$EQ137:$EZ137))/SUMIF($EQ$3:$EZ$3,ET$60,$EQ$4:$EZ$4)))</f>
        <v>0</v>
      </c>
      <c r="EU88" s="196" t="n">
        <f aca="false">IF((SUMIF($EQ$3:$EZ$3,EU$60,$EQ$4:$EZ$4))=0,0,((SUMIF($EQ$3:$EZ$3,EU$60,$EQ137:$EZ137))/SUMIF($EQ$3:$EZ$3,EU$60,$EQ$4:$EZ$4)))</f>
        <v>0</v>
      </c>
      <c r="EV88" s="196" t="n">
        <f aca="false">IF((SUMIF($EQ$3:$EZ$3,EV$60,$EQ$4:$EZ$4))=0,0,((SUMIF($EQ$3:$EZ$3,EV$60,$EQ137:$EZ137))/SUMIF($EQ$3:$EZ$3,EV$60,$EQ$4:$EZ$4)))</f>
        <v>0</v>
      </c>
      <c r="EW88" s="196" t="n">
        <f aca="false">IF((SUMIF($EQ$3:$EZ$3,EW$60,$EQ$4:$EZ$4))=0,0,((SUMIF($EQ$3:$EZ$3,EW$60,$EQ137:$EZ137))/SUMIF($EQ$3:$EZ$3,EW$60,$EQ$4:$EZ$4)))</f>
        <v>0</v>
      </c>
      <c r="EX88" s="196" t="n">
        <f aca="false">IF((SUMIF($EQ$3:$EZ$3,EX$60,$EQ$4:$EZ$4))=0,0,((SUMIF($EQ$3:$EZ$3,EX$60,$EQ137:$EZ137))/SUMIF($EQ$3:$EZ$3,EX$60,$EQ$4:$EZ$4)))</f>
        <v>0</v>
      </c>
      <c r="EY88" s="196" t="n">
        <f aca="false">IF((SUMIF($EQ$3:$EZ$3,EY$60,$EQ$4:$EZ$4))=0,0,((SUMIF($EQ$3:$EZ$3,EY$60,$EQ137:$EZ137))/SUMIF($EQ$3:$EZ$3,EY$60,$EQ$4:$EZ$4)))</f>
        <v>0</v>
      </c>
      <c r="EZ88" s="197" t="n">
        <f aca="false">IF((SUMIF($EQ$3:$EZ$3,EZ$60,$EQ$4:$EZ$4))=0,0,((SUMIF($EQ$3:$EZ$3,EZ$60,$EQ137:$EZ137))/SUMIF($EQ$3:$EZ$3,EZ$60,$EQ$4:$EZ$4)))</f>
        <v>0</v>
      </c>
      <c r="FA88" s="194" t="str">
        <f aca="false">EP88</f>
        <v>Alumno27</v>
      </c>
      <c r="FB88" s="195" t="n">
        <f aca="false">IF((SUMIF($FB$3:$FK$3,FB$60,$FB$4:$FK$4))=0,0,((SUMIF($FB$3:$FK$3,FB$60,$FB137:$FK137))/SUMIF($FB$3:$FK$3,FB$60,$FB$4:$FK$4)))</f>
        <v>0</v>
      </c>
      <c r="FC88" s="196" t="n">
        <f aca="false">IF((SUMIF($FB$3:$FK$3,FC$60,$FB$4:$FK$4))=0,0,((SUMIF($FB$3:$FK$3,FC$60,$FB137:$FK137))/SUMIF($FB$3:$FK$3,FC$60,$FB$4:$FK$4)))</f>
        <v>0</v>
      </c>
      <c r="FD88" s="196" t="n">
        <f aca="false">IF((SUMIF($FB$3:$FK$3,FD$60,$FB$4:$FK$4))=0,0,((SUMIF($FB$3:$FK$3,FD$60,$FB137:$FK137))/SUMIF($FB$3:$FK$3,FD$60,$FB$4:$FK$4)))</f>
        <v>0</v>
      </c>
      <c r="FE88" s="196" t="n">
        <f aca="false">IF((SUMIF($FB$3:$FK$3,FE$60,$FB$4:$FK$4))=0,0,((SUMIF($FB$3:$FK$3,FE$60,$FB137:$FK137))/SUMIF($FB$3:$FK$3,FE$60,$FB$4:$FK$4)))</f>
        <v>0</v>
      </c>
      <c r="FF88" s="196" t="n">
        <f aca="false">IF((SUMIF($FB$3:$FK$3,FF$60,$FB$4:$FK$4))=0,0,((SUMIF($FB$3:$FK$3,FF$60,$FB137:$FK137))/SUMIF($FB$3:$FK$3,FF$60,$FB$4:$FK$4)))</f>
        <v>0</v>
      </c>
      <c r="FG88" s="196" t="n">
        <f aca="false">IF((SUMIF($FB$3:$FK$3,FG$60,$FB$4:$FK$4))=0,0,((SUMIF($FB$3:$FK$3,FG$60,$FB137:$FK137))/SUMIF($FB$3:$FK$3,FG$60,$FB$4:$FK$4)))</f>
        <v>0</v>
      </c>
      <c r="FH88" s="196" t="n">
        <f aca="false">IF((SUMIF($FB$3:$FK$3,FH$60,$FB$4:$FK$4))=0,0,((SUMIF($FB$3:$FK$3,FH$60,$FB137:$FK137))/SUMIF($FB$3:$FK$3,FH$60,$FB$4:$FK$4)))</f>
        <v>0</v>
      </c>
      <c r="FI88" s="196" t="n">
        <f aca="false">IF((SUMIF($FB$3:$FK$3,FI$60,$FB$4:$FK$4))=0,0,((SUMIF($FB$3:$FK$3,FI$60,$FB137:$FK137))/SUMIF($FB$3:$FK$3,FI$60,$FB$4:$FK$4)))</f>
        <v>0</v>
      </c>
      <c r="FJ88" s="196" t="n">
        <f aca="false">IF((SUMIF($FB$3:$FK$3,FJ$60,$FB$4:$FK$4))=0,0,((SUMIF($FB$3:$FK$3,FJ$60,$FB137:$FK137))/SUMIF($FB$3:$FK$3,FJ$60,$FB$4:$FK$4)))</f>
        <v>0</v>
      </c>
      <c r="FK88" s="197" t="n">
        <f aca="false">IF((SUMIF($FB$3:$FK$3,FK$60,$FB$4:$FK$4))=0,0,((SUMIF($FB$3:$FK$3,FK$60,$FB137:$FK137))/SUMIF($FB$3:$FK$3,FK$60,$FB$4:$FK$4)))</f>
        <v>0</v>
      </c>
      <c r="FL88" s="194" t="str">
        <f aca="false">FA88</f>
        <v>Alumno27</v>
      </c>
      <c r="FM88" s="195" t="n">
        <f aca="false">IF((SUMIF($FM$3:$FV$3,FM$60,$FM$4:$FV$4))=0,0,((SUMIF($FM$3:$FV$3,FM$60,$FM137:$FV137))/SUMIF($FM$3:$FV$3,FM$60,$FM$4:$FV$4)))</f>
        <v>0</v>
      </c>
      <c r="FN88" s="196" t="n">
        <f aca="false">IF((SUMIF($FM$3:$FV$3,FN$60,$FM$4:$FV$4))=0,0,((SUMIF($FM$3:$FV$3,FN$60,$FM137:$FV137))/SUMIF($FM$3:$FV$3,FN$60,$FM$4:$FV$4)))</f>
        <v>0</v>
      </c>
      <c r="FO88" s="196" t="n">
        <f aca="false">IF((SUMIF($FM$3:$FV$3,FO$60,$FM$4:$FV$4))=0,0,((SUMIF($FM$3:$FV$3,FO$60,$FM137:$FV137))/SUMIF($FM$3:$FV$3,FO$60,$FM$4:$FV$4)))</f>
        <v>0</v>
      </c>
      <c r="FP88" s="196" t="n">
        <f aca="false">IF((SUMIF($FM$3:$FV$3,FP$60,$FM$4:$FV$4))=0,0,((SUMIF($FM$3:$FV$3,FP$60,$FM137:$FV137))/SUMIF($FM$3:$FV$3,FP$60,$FM$4:$FV$4)))</f>
        <v>0</v>
      </c>
      <c r="FQ88" s="196" t="n">
        <f aca="false">IF((SUMIF($FM$3:$FV$3,FQ$60,$FM$4:$FV$4))=0,0,((SUMIF($FM$3:$FV$3,FQ$60,$FM137:$FV137))/SUMIF($FM$3:$FV$3,FQ$60,$FM$4:$FV$4)))</f>
        <v>0</v>
      </c>
      <c r="FR88" s="196" t="n">
        <f aca="false">IF((SUMIF($FM$3:$FV$3,FR$60,$FM$4:$FV$4))=0,0,((SUMIF($FM$3:$FV$3,FR$60,$FM137:$FV137))/SUMIF($FM$3:$FV$3,FR$60,$FM$4:$FV$4)))</f>
        <v>0</v>
      </c>
      <c r="FS88" s="196" t="n">
        <f aca="false">IF((SUMIF($FM$3:$FV$3,FS$60,$FM$4:$FV$4))=0,0,((SUMIF($FM$3:$FV$3,FS$60,$FM137:$FV137))/SUMIF($FM$3:$FV$3,FS$60,$FM$4:$FV$4)))</f>
        <v>0</v>
      </c>
      <c r="FT88" s="196" t="n">
        <f aca="false">IF((SUMIF($FM$3:$FV$3,FT$60,$FM$4:$FV$4))=0,0,((SUMIF($FM$3:$FV$3,FT$60,$FM137:$FV137))/SUMIF($FM$3:$FV$3,FT$60,$FM$4:$FV$4)))</f>
        <v>0</v>
      </c>
      <c r="FU88" s="196" t="n">
        <f aca="false">IF((SUMIF($FM$3:$FV$3,FU$60,$FM$4:$FV$4))=0,0,((SUMIF($FM$3:$FV$3,FU$60,$FM137:$FV137))/SUMIF($FM$3:$FV$3,FU$60,$FM$4:$FV$4)))</f>
        <v>0</v>
      </c>
      <c r="FV88" s="197" t="n">
        <f aca="false">IF((SUMIF($FM$3:$FV$3,FV$60,$FM$4:$FV$4))=0,0,((SUMIF($FM$3:$FV$3,FV$60,$FM137:$FV137))/SUMIF($FM$3:$FV$3,FV$60,$FM$4:$FV$4)))</f>
        <v>0</v>
      </c>
      <c r="FW88" s="194" t="str">
        <f aca="false">FL88</f>
        <v>Alumno27</v>
      </c>
      <c r="FX88" s="195" t="n">
        <f aca="false">IF((SUMIF($FX$3:$GG$3,FX$60,$FX$4:$GG$4))=0,0,((SUMIF($FX$3:$GG$3,FX$60,$FX137:$GG137))/SUMIF($FX$3:$GG$3,FX$60,$FX$4:$GG$4)))</f>
        <v>0</v>
      </c>
      <c r="FY88" s="196" t="n">
        <f aca="false">IF((SUMIF($FX$3:$GG$3,FY$60,$FX$4:$GG$4))=0,0,((SUMIF($FX$3:$GG$3,FY$60,$FX137:$GG137))/SUMIF($FX$3:$GG$3,FY$60,$FX$4:$GG$4)))</f>
        <v>0</v>
      </c>
      <c r="FZ88" s="196" t="n">
        <f aca="false">IF((SUMIF($FX$3:$GG$3,FZ$60,$FX$4:$GG$4))=0,0,((SUMIF($FX$3:$GG$3,FZ$60,$FX137:$GG137))/SUMIF($FX$3:$GG$3,FZ$60,$FX$4:$GG$4)))</f>
        <v>0</v>
      </c>
      <c r="GA88" s="196" t="n">
        <f aca="false">IF((SUMIF($FX$3:$GG$3,GA$60,$FX$4:$GG$4))=0,0,((SUMIF($FX$3:$GG$3,GA$60,$FX137:$GG137))/SUMIF($FX$3:$GG$3,GA$60,$FX$4:$GG$4)))</f>
        <v>0</v>
      </c>
      <c r="GB88" s="196" t="n">
        <f aca="false">IF((SUMIF($FX$3:$GG$3,GB$60,$FX$4:$GG$4))=0,0,((SUMIF($FX$3:$GG$3,GB$60,$FX137:$GG137))/SUMIF($FX$3:$GG$3,GB$60,$FX$4:$GG$4)))</f>
        <v>0</v>
      </c>
      <c r="GC88" s="196" t="n">
        <f aca="false">IF((SUMIF($FX$3:$GG$3,GC$60,$FX$4:$GG$4))=0,0,((SUMIF($FX$3:$GG$3,GC$60,$FX137:$GG137))/SUMIF($FX$3:$GG$3,GC$60,$FX$4:$GG$4)))</f>
        <v>0</v>
      </c>
      <c r="GD88" s="196" t="n">
        <f aca="false">IF((SUMIF($FX$3:$GG$3,GD$60,$FX$4:$GG$4))=0,0,((SUMIF($FX$3:$GG$3,GD$60,$FX137:$GG137))/SUMIF($FX$3:$GG$3,GD$60,$FX$4:$GG$4)))</f>
        <v>0</v>
      </c>
      <c r="GE88" s="196" t="n">
        <f aca="false">IF((SUMIF($FX$3:$GG$3,GE$60,$FX$4:$GG$4))=0,0,((SUMIF($FX$3:$GG$3,GE$60,$FX137:$GG137))/SUMIF($FX$3:$GG$3,GE$60,$FX$4:$GG$4)))</f>
        <v>0</v>
      </c>
      <c r="GF88" s="196" t="n">
        <f aca="false">IF((SUMIF($FX$3:$GG$3,GF$60,$FX$4:$GG$4))=0,0,((SUMIF($FX$3:$GG$3,GF$60,$FX137:$GG137))/SUMIF($FX$3:$GG$3,GF$60,$FX$4:$GG$4)))</f>
        <v>0</v>
      </c>
      <c r="GG88" s="197" t="n">
        <f aca="false">IF((SUMIF($FX$3:$GG$3,GG$60,$FX$4:$GG$4))=0,0,((SUMIF($FX$3:$GG$3,GG$60,$FX137:$GG137))/SUMIF($FX$3:$GG$3,GG$60,$FX$4:$GG$4)))</f>
        <v>0</v>
      </c>
      <c r="GH88" s="194" t="str">
        <f aca="false">FW88</f>
        <v>Alumno27</v>
      </c>
      <c r="GI88" s="195" t="n">
        <f aca="false">IF((SUMIF($GI$3:$GR$3,GI$60,$GI$4:$GR$4))=0,0,((SUMIF($GI$3:$GR$3,GI$60,$GI137:$GR137))/SUMIF($GI$3:$GR$3,GI$60,$GI$4:$GR$4)))</f>
        <v>0</v>
      </c>
      <c r="GJ88" s="196" t="n">
        <f aca="false">IF((SUMIF($GI$3:$GR$3,GJ$60,$GI$4:$GR$4))=0,0,((SUMIF($GI$3:$GR$3,GJ$60,$GI137:$GR137))/SUMIF($GI$3:$GR$3,GJ$60,$GI$4:$GR$4)))</f>
        <v>0</v>
      </c>
      <c r="GK88" s="196" t="n">
        <f aca="false">IF((SUMIF($GI$3:$GR$3,GK$60,$GI$4:$GR$4))=0,0,((SUMIF($GI$3:$GR$3,GK$60,$GI137:$GR137))/SUMIF($GI$3:$GR$3,GK$60,$GI$4:$GR$4)))</f>
        <v>0</v>
      </c>
      <c r="GL88" s="196" t="n">
        <f aca="false">IF((SUMIF($GI$3:$GR$3,GL$60,$GI$4:$GR$4))=0,0,((SUMIF($GI$3:$GR$3,GL$60,$GI137:$GR137))/SUMIF($GI$3:$GR$3,GL$60,$GI$4:$GR$4)))</f>
        <v>0</v>
      </c>
      <c r="GM88" s="196" t="n">
        <f aca="false">IF((SUMIF($GI$3:$GR$3,GM$60,$GI$4:$GR$4))=0,0,((SUMIF($GI$3:$GR$3,GM$60,$GI137:$GR137))/SUMIF($GI$3:$GR$3,GM$60,$GI$4:$GR$4)))</f>
        <v>0</v>
      </c>
      <c r="GN88" s="196" t="n">
        <f aca="false">IF((SUMIF($GI$3:$GR$3,GN$60,$GI$4:$GR$4))=0,0,((SUMIF($GI$3:$GR$3,GN$60,$GI137:$GR137))/SUMIF($GI$3:$GR$3,GN$60,$GI$4:$GR$4)))</f>
        <v>0</v>
      </c>
      <c r="GO88" s="196" t="n">
        <f aca="false">IF((SUMIF($GI$3:$GR$3,GO$60,$GI$4:$GR$4))=0,0,((SUMIF($GI$3:$GR$3,GO$60,$GI137:$GR137))/SUMIF($GI$3:$GR$3,GO$60,$GI$4:$GR$4)))</f>
        <v>0</v>
      </c>
      <c r="GP88" s="196" t="n">
        <f aca="false">IF((SUMIF($GI$3:$GR$3,GP$60,$GI$4:$GR$4))=0,0,((SUMIF($GI$3:$GR$3,GP$60,$GI137:$GR137))/SUMIF($GI$3:$GR$3,GP$60,$GI$4:$GR$4)))</f>
        <v>0</v>
      </c>
      <c r="GQ88" s="196" t="n">
        <f aca="false">IF((SUMIF($GI$3:$GR$3,GQ$60,$GI$4:$GR$4))=0,0,((SUMIF($GI$3:$GR$3,GQ$60,$GI137:$GR137))/SUMIF($GI$3:$GR$3,GQ$60,$GI$4:$GR$4)))</f>
        <v>0</v>
      </c>
      <c r="GR88" s="197" t="n">
        <f aca="false">IF((SUMIF($GI$3:$GR$3,GR$60,$GI$4:$GR$4))=0,0,((SUMIF($GI$3:$GR$3,GR$60,$GI137:$GR137))/SUMIF($GI$3:$GR$3,GR$60,$GI$4:$GR$4)))</f>
        <v>0</v>
      </c>
      <c r="GS88" s="194" t="str">
        <f aca="false">GH88</f>
        <v>Alumno27</v>
      </c>
      <c r="GT88" s="195" t="n">
        <f aca="false">IF((SUMIF($GT$3:$HC$3,GT$60,$GT$4:$HC$4))=0,0,((SUMIF($GT$3:$HC$3,GT$60,$GT137:$HC137))/SUMIF($GT$3:$HC$3,GT$60,$GT$4:$HC$4)))</f>
        <v>0</v>
      </c>
      <c r="GU88" s="196" t="n">
        <f aca="false">IF((SUMIF($GT$3:$HC$3,GU$60,$GT$4:$HC$4))=0,0,((SUMIF($GT$3:$HC$3,GU$60,$GT137:$HC137))/SUMIF($GT$3:$HC$3,GU$60,$GT$4:$HC$4)))</f>
        <v>0</v>
      </c>
      <c r="GV88" s="196" t="n">
        <f aca="false">IF((SUMIF($GT$3:$HC$3,GV$60,$GT$4:$HC$4))=0,0,((SUMIF($GT$3:$HC$3,GV$60,$GT137:$HC137))/SUMIF($GT$3:$HC$3,GV$60,$GT$4:$HC$4)))</f>
        <v>0</v>
      </c>
      <c r="GW88" s="196" t="n">
        <f aca="false">IF((SUMIF($GT$3:$HC$3,GW$60,$GT$4:$HC$4))=0,0,((SUMIF($GT$3:$HC$3,GW$60,$GT137:$HC137))/SUMIF($GT$3:$HC$3,GW$60,$GT$4:$HC$4)))</f>
        <v>0</v>
      </c>
      <c r="GX88" s="196" t="n">
        <f aca="false">IF((SUMIF($GT$3:$HC$3,GX$60,$GT$4:$HC$4))=0,0,((SUMIF($GT$3:$HC$3,GX$60,$GT137:$HC137))/SUMIF($GT$3:$HC$3,GX$60,$GT$4:$HC$4)))</f>
        <v>0</v>
      </c>
      <c r="GY88" s="196" t="n">
        <f aca="false">IF((SUMIF($GT$3:$HC$3,GY$60,$GT$4:$HC$4))=0,0,((SUMIF($GT$3:$HC$3,GY$60,$GT137:$HC137))/SUMIF($GT$3:$HC$3,GY$60,$GT$4:$HC$4)))</f>
        <v>0</v>
      </c>
      <c r="GZ88" s="196" t="n">
        <f aca="false">IF((SUMIF($GT$3:$HC$3,GZ$60,$GT$4:$HC$4))=0,0,((SUMIF($GT$3:$HC$3,GZ$60,$GT137:$HC137))/SUMIF($GT$3:$HC$3,GZ$60,$GT$4:$HC$4)))</f>
        <v>0</v>
      </c>
      <c r="HA88" s="196" t="n">
        <f aca="false">IF((SUMIF($GT$3:$HC$3,HA$60,$GT$4:$HC$4))=0,0,((SUMIF($GT$3:$HC$3,HA$60,$GT137:$HC137))/SUMIF($GT$3:$HC$3,HA$60,$GT$4:$HC$4)))</f>
        <v>0</v>
      </c>
      <c r="HB88" s="196" t="n">
        <f aca="false">IF((SUMIF($GT$3:$HC$3,HB$60,$GT$4:$HC$4))=0,0,((SUMIF($GT$3:$HC$3,HB$60,$GT137:$HC137))/SUMIF($GT$3:$HC$3,HB$60,$GT$4:$HC$4)))</f>
        <v>0</v>
      </c>
      <c r="HC88" s="197" t="n">
        <f aca="false">IF((SUMIF($GT$3:$HC$3,HC$60,$GT$4:$HC$4))=0,0,((SUMIF($GT$3:$HC$3,HC$60,$GT137:$HC137))/SUMIF($GT$3:$HC$3,HC$60,$GT$4:$HC$4)))</f>
        <v>0</v>
      </c>
      <c r="HD88" s="194" t="str">
        <f aca="false">GS88</f>
        <v>Alumno27</v>
      </c>
      <c r="HE88" s="195" t="n">
        <f aca="false">IF((SUMIF($HE$3:$HN$3,HE$60,$HE$4:$HN$4))=0,0,((SUMIF($HE$3:$HN$3,HE$60,$HE137:$HN137))/SUMIF($HE$3:$HN$3,HE$60,$HE$4:$HN$4)))</f>
        <v>0</v>
      </c>
      <c r="HF88" s="196" t="n">
        <f aca="false">IF((SUMIF($HE$3:$HN$3,HF$60,$HE$4:$HN$4))=0,0,((SUMIF($HE$3:$HN$3,HF$60,$HE137:$HN137))/SUMIF($HE$3:$HN$3,HF$60,$HE$4:$HN$4)))</f>
        <v>0</v>
      </c>
      <c r="HG88" s="196" t="n">
        <f aca="false">IF((SUMIF($HE$3:$HN$3,HG$60,$HE$4:$HN$4))=0,0,((SUMIF($HE$3:$HN$3,HG$60,$HE137:$HN137))/SUMIF($HE$3:$HN$3,HG$60,$HE$4:$HN$4)))</f>
        <v>0</v>
      </c>
      <c r="HH88" s="196" t="n">
        <f aca="false">IF((SUMIF($HE$3:$HN$3,HH$60,$HE$4:$HN$4))=0,0,((SUMIF($HE$3:$HN$3,HH$60,$HE137:$HN137))/SUMIF($HE$3:$HN$3,HH$60,$HE$4:$HN$4)))</f>
        <v>0</v>
      </c>
      <c r="HI88" s="196" t="n">
        <f aca="false">IF((SUMIF($HE$3:$HN$3,HI$60,$HE$4:$HN$4))=0,0,((SUMIF($HE$3:$HN$3,HI$60,$HE137:$HN137))/SUMIF($HE$3:$HN$3,HI$60,$HE$4:$HN$4)))</f>
        <v>0</v>
      </c>
      <c r="HJ88" s="196" t="n">
        <f aca="false">IF((SUMIF($HE$3:$HN$3,HJ$60,$HE$4:$HN$4))=0,0,((SUMIF($HE$3:$HN$3,HJ$60,$HE137:$HN137))/SUMIF($HE$3:$HN$3,HJ$60,$HE$4:$HN$4)))</f>
        <v>0</v>
      </c>
      <c r="HK88" s="196" t="n">
        <f aca="false">IF((SUMIF($HE$3:$HN$3,HK$60,$HE$4:$HN$4))=0,0,((SUMIF($HE$3:$HN$3,HK$60,$HE137:$HN137))/SUMIF($HE$3:$HN$3,HK$60,$HE$4:$HN$4)))</f>
        <v>0</v>
      </c>
      <c r="HL88" s="196" t="n">
        <f aca="false">IF((SUMIF($HE$3:$HN$3,HL$60,$HE$4:$HN$4))=0,0,((SUMIF($HE$3:$HN$3,HL$60,$HE137:$HN137))/SUMIF($HE$3:$HN$3,HL$60,$HE$4:$HN$4)))</f>
        <v>0</v>
      </c>
      <c r="HM88" s="196" t="n">
        <f aca="false">IF((SUMIF($HE$3:$HN$3,HM$60,$HE$4:$HN$4))=0,0,((SUMIF($HE$3:$HN$3,HM$60,$HE137:$HN137))/SUMIF($HE$3:$HN$3,HM$60,$HE$4:$HN$4)))</f>
        <v>0</v>
      </c>
      <c r="HN88" s="197" t="n">
        <f aca="false">IF((SUMIF($HE$3:$HN$3,HN$60,$HE$4:$HN$4))=0,0,((SUMIF($HE$3:$HN$3,HN$60,$HE137:$HN137))/SUMIF($HE$3:$HN$3,HN$60,$HE$4:$HN$4)))</f>
        <v>0</v>
      </c>
      <c r="HO88" s="194" t="str">
        <f aca="false">HD88</f>
        <v>Alumno27</v>
      </c>
      <c r="HP88" s="195" t="n">
        <f aca="false">IF((SUMIF($HP$3:$HY$3,HP$60,$HP$4:$HY$4))=0,0,((SUMIF($HP$3:$HY$3,HP$60,$HP137:$HY137))/SUMIF($HP$3:$HY$3,HP$60,$HP$4:$HY$4)))</f>
        <v>0</v>
      </c>
      <c r="HQ88" s="196" t="n">
        <f aca="false">IF((SUMIF($HP$3:$HY$3,HQ$60,$HP$4:$HY$4))=0,0,((SUMIF($HP$3:$HY$3,HQ$60,$HP137:$HY137))/SUMIF($HP$3:$HY$3,HQ$60,$HP$4:$HY$4)))</f>
        <v>0</v>
      </c>
      <c r="HR88" s="196" t="n">
        <f aca="false">IF((SUMIF($HP$3:$HY$3,HR$60,$HP$4:$HY$4))=0,0,((SUMIF($HP$3:$HY$3,HR$60,$HP137:$HY137))/SUMIF($HP$3:$HY$3,HR$60,$HP$4:$HY$4)))</f>
        <v>0</v>
      </c>
      <c r="HS88" s="196" t="n">
        <f aca="false">IF((SUMIF($HP$3:$HY$3,HS$60,$HP$4:$HY$4))=0,0,((SUMIF($HP$3:$HY$3,HS$60,$HP137:$HY137))/SUMIF($HP$3:$HY$3,HS$60,$HP$4:$HY$4)))</f>
        <v>0</v>
      </c>
      <c r="HT88" s="196" t="n">
        <f aca="false">IF((SUMIF($HP$3:$HY$3,HT$60,$HP$4:$HY$4))=0,0,((SUMIF($HP$3:$HY$3,HT$60,$HP137:$HY137))/SUMIF($HP$3:$HY$3,HT$60,$HP$4:$HY$4)))</f>
        <v>0</v>
      </c>
      <c r="HU88" s="196" t="n">
        <f aca="false">IF((SUMIF($HP$3:$HY$3,HU$60,$HP$4:$HY$4))=0,0,((SUMIF($HP$3:$HY$3,HU$60,$HP137:$HY137))/SUMIF($HP$3:$HY$3,HU$60,$HP$4:$HY$4)))</f>
        <v>0</v>
      </c>
      <c r="HV88" s="196" t="n">
        <f aca="false">IF((SUMIF($HP$3:$HY$3,HV$60,$HP$4:$HY$4))=0,0,((SUMIF($HP$3:$HY$3,HV$60,$HP137:$HY137))/SUMIF($HP$3:$HY$3,HV$60,$HP$4:$HY$4)))</f>
        <v>0</v>
      </c>
      <c r="HW88" s="196" t="n">
        <f aca="false">IF((SUMIF($HP$3:$HY$3,HW$60,$HP$4:$HY$4))=0,0,((SUMIF($HP$3:$HY$3,HW$60,$HP137:$HY137))/SUMIF($HP$3:$HY$3,HW$60,$HP$4:$HY$4)))</f>
        <v>0</v>
      </c>
      <c r="HX88" s="196" t="n">
        <f aca="false">IF((SUMIF($HP$3:$HY$3,HX$60,$HP$4:$HY$4))=0,0,((SUMIF($HP$3:$HY$3,HX$60,$HP137:$HY137))/SUMIF($HP$3:$HY$3,HX$60,$HP$4:$HY$4)))</f>
        <v>0</v>
      </c>
      <c r="HY88" s="197" t="n">
        <f aca="false">IF((SUMIF($HP$3:$HY$3,HY$60,$HP$4:$HY$4))=0,0,((SUMIF($HP$3:$HY$3,HY$60,$HP137:$HY137))/SUMIF($HP$3:$HY$3,HY$60,$HP$4:$HY$4)))</f>
        <v>0</v>
      </c>
      <c r="HZ88" s="194" t="str">
        <f aca="false">HO88</f>
        <v>Alumno27</v>
      </c>
      <c r="IA88" s="195" t="n">
        <f aca="false">IF((SUMIF($IA$3:$IJ$3,IA$60,$IA$4:$IJ$4))=0,0,((SUMIF($IA$3:$IJ$3,IA$60,$IA137:$IJ137))/SUMIF($IA$3:$IJ$3,IA$60,$IA$4:$IJ$4)))</f>
        <v>0</v>
      </c>
      <c r="IB88" s="196" t="n">
        <f aca="false">IF((SUMIF($IA$3:$IJ$3,IB$60,$IA$4:$IJ$4))=0,0,((SUMIF($IA$3:$IJ$3,IB$60,$IA137:$IJ137))/SUMIF($IA$3:$IJ$3,IB$60,$IA$4:$IJ$4)))</f>
        <v>0</v>
      </c>
      <c r="IC88" s="196" t="n">
        <f aca="false">IF((SUMIF($IA$3:$IJ$3,IC$60,$IA$4:$IJ$4))=0,0,((SUMIF($IA$3:$IJ$3,IC$60,$IA137:$IJ137))/SUMIF($IA$3:$IJ$3,IC$60,$IA$4:$IJ$4)))</f>
        <v>0</v>
      </c>
      <c r="ID88" s="196" t="n">
        <f aca="false">IF((SUMIF($IA$3:$IJ$3,ID$60,$IA$4:$IJ$4))=0,0,((SUMIF($IA$3:$IJ$3,ID$60,$IA137:$IJ137))/SUMIF($IA$3:$IJ$3,ID$60,$IA$4:$IJ$4)))</f>
        <v>0</v>
      </c>
      <c r="IE88" s="196" t="n">
        <f aca="false">IF((SUMIF($IA$3:$IJ$3,IE$60,$IA$4:$IJ$4))=0,0,((SUMIF($IA$3:$IJ$3,IE$60,$IA137:$IJ137))/SUMIF($IA$3:$IJ$3,IE$60,$IA$4:$IJ$4)))</f>
        <v>0</v>
      </c>
      <c r="IF88" s="196" t="n">
        <f aca="false">IF((SUMIF($IA$3:$IJ$3,IF$60,$IA$4:$IJ$4))=0,0,((SUMIF($IA$3:$IJ$3,IF$60,$IA137:$IJ137))/SUMIF($IA$3:$IJ$3,IF$60,$IA$4:$IJ$4)))</f>
        <v>0</v>
      </c>
      <c r="IG88" s="196" t="n">
        <f aca="false">IF((SUMIF($IA$3:$IJ$3,IG$60,$IA$4:$IJ$4))=0,0,((SUMIF($IA$3:$IJ$3,IG$60,$IA137:$IJ137))/SUMIF($IA$3:$IJ$3,IG$60,$IA$4:$IJ$4)))</f>
        <v>0</v>
      </c>
      <c r="IH88" s="196" t="n">
        <f aca="false">IF((SUMIF($IA$3:$IJ$3,IH$60,$IA$4:$IJ$4))=0,0,((SUMIF($IA$3:$IJ$3,IH$60,$IA137:$IJ137))/SUMIF($IA$3:$IJ$3,IH$60,$IA$4:$IJ$4)))</f>
        <v>0</v>
      </c>
      <c r="II88" s="196" t="n">
        <f aca="false">IF((SUMIF($IA$3:$IJ$3,II$60,$IA$4:$IJ$4))=0,0,((SUMIF($IA$3:$IJ$3,II$60,$IA137:$IJ137))/SUMIF($IA$3:$IJ$3,II$60,$IA$4:$IJ$4)))</f>
        <v>0</v>
      </c>
      <c r="IJ88" s="197" t="n">
        <f aca="false">IF((SUMIF($IA$3:$IJ$3,IJ$60,$IA$4:$IJ$4))=0,0,((SUMIF($IA$3:$IJ$3,IJ$60,$IA137:$IJ137))/SUMIF($IA$3:$IJ$3,IJ$60,$IA$4:$IJ$4)))</f>
        <v>0</v>
      </c>
      <c r="IK88" s="194" t="str">
        <f aca="false">HZ88</f>
        <v>Alumno27</v>
      </c>
      <c r="IL88" s="195" t="n">
        <f aca="false">IF((SUMIF($IL$3:$IU$3,IL$60,$IL$4:$IU$4))=0,0,((SUMIF($IL$3:$IU$3,IL$60,$IL137:$IU137))/SUMIF($IL$3:$IU$3,IL$60,$IL$4:$IU$4)))</f>
        <v>0</v>
      </c>
      <c r="IM88" s="196" t="n">
        <f aca="false">IF((SUMIF($IL$3:$IU$3,IM$60,$IL$4:$IU$4))=0,0,((SUMIF($IL$3:$IU$3,IM$60,$IL137:$IU137))/SUMIF($IL$3:$IU$3,IM$60,$IL$4:$IU$4)))</f>
        <v>0</v>
      </c>
      <c r="IN88" s="196" t="n">
        <f aca="false">IF((SUMIF($IL$3:$IU$3,IN$60,$IL$4:$IU$4))=0,0,((SUMIF($IL$3:$IU$3,IN$60,$IL137:$IU137))/SUMIF($IL$3:$IU$3,IN$60,$IL$4:$IU$4)))</f>
        <v>0</v>
      </c>
      <c r="IO88" s="196" t="n">
        <f aca="false">IF((SUMIF($IL$3:$IU$3,IO$60,$IL$4:$IU$4))=0,0,((SUMIF($IL$3:$IU$3,IO$60,$IL137:$IU137))/SUMIF($IL$3:$IU$3,IO$60,$IL$4:$IU$4)))</f>
        <v>0</v>
      </c>
      <c r="IP88" s="196" t="n">
        <f aca="false">IF((SUMIF($IL$3:$IU$3,IP$60,$IL$4:$IU$4))=0,0,((SUMIF($IL$3:$IU$3,IP$60,$IL137:$IU137))/SUMIF($IL$3:$IU$3,IP$60,$IL$4:$IU$4)))</f>
        <v>0</v>
      </c>
      <c r="IQ88" s="196" t="n">
        <f aca="false">IF((SUMIF($IL$3:$IU$3,IQ$60,$IL$4:$IU$4))=0,0,((SUMIF($IL$3:$IU$3,IQ$60,$IL137:$IU137))/SUMIF($IL$3:$IU$3,IQ$60,$IL$4:$IU$4)))</f>
        <v>0</v>
      </c>
      <c r="IR88" s="196" t="n">
        <f aca="false">IF((SUMIF($IL$3:$IU$3,IR$60,$IL$4:$IU$4))=0,0,((SUMIF($IL$3:$IU$3,IR$60,$IL137:$IU137))/SUMIF($IL$3:$IU$3,IR$60,$IL$4:$IU$4)))</f>
        <v>0</v>
      </c>
      <c r="IS88" s="196" t="n">
        <f aca="false">IF((SUMIF($IL$3:$IU$3,IS$60,$IL$4:$IU$4))=0,0,((SUMIF($IL$3:$IU$3,IS$60,$IL137:$IU137))/SUMIF($IL$3:$IU$3,IS$60,$IL$4:$IU$4)))</f>
        <v>0</v>
      </c>
      <c r="IT88" s="196" t="n">
        <f aca="false">IF((SUMIF($IL$3:$IU$3,IT$60,$IL$4:$IU$4))=0,0,((SUMIF($IL$3:$IU$3,IT$60,$IL137:$IU137))/SUMIF($IL$3:$IU$3,IT$60,$IL$4:$IU$4)))</f>
        <v>0</v>
      </c>
      <c r="IU88" s="197" t="n">
        <f aca="false">IF((SUMIF($IL$3:$IU$3,IU$60,$IL$4:$IU$4))=0,0,((SUMIF($IL$3:$IU$3,IU$60,$IL137:$IU137))/SUMIF($IL$3:$IU$3,IU$60,$IL$4:$IU$4)))</f>
        <v>0</v>
      </c>
      <c r="IV88" s="194" t="str">
        <f aca="false">IK88</f>
        <v>Alumno27</v>
      </c>
      <c r="IW88" s="195" t="n">
        <f aca="false">IF((SUMIF($IW$3:$JF$3,IW$60,$IW$4:$JF$4))=0,0,((SUMIF($IW$3:$JF$3,IW$60,$IW137:$JF137))/SUMIF($IW$3:$JF$3,IW$60,$IW$4:$JF$4)))</f>
        <v>0</v>
      </c>
      <c r="IX88" s="196" t="n">
        <f aca="false">IF((SUMIF($IW$3:$JF$3,IX$60,$IW$4:$JF$4))=0,0,((SUMIF($IW$3:$JF$3,IX$60,$IW137:$JF137))/SUMIF($IW$3:$JF$3,IX$60,$IW$4:$JF$4)))</f>
        <v>0</v>
      </c>
      <c r="IY88" s="196" t="n">
        <f aca="false">IF((SUMIF($IW$3:$JF$3,IY$60,$IW$4:$JF$4))=0,0,((SUMIF($IW$3:$JF$3,IY$60,$IW137:$JF137))/SUMIF($IW$3:$JF$3,IY$60,$IW$4:$JF$4)))</f>
        <v>0</v>
      </c>
      <c r="IZ88" s="196" t="n">
        <f aca="false">IF((SUMIF($IW$3:$JF$3,IZ$60,$IW$4:$JF$4))=0,0,((SUMIF($IW$3:$JF$3,IZ$60,$IW137:$JF137))/SUMIF($IW$3:$JF$3,IZ$60,$IW$4:$JF$4)))</f>
        <v>0</v>
      </c>
      <c r="JA88" s="196" t="n">
        <f aca="false">IF((SUMIF($IW$3:$JF$3,JA$60,$IW$4:$JF$4))=0,0,((SUMIF($IW$3:$JF$3,JA$60,$IW137:$JF137))/SUMIF($IW$3:$JF$3,JA$60,$IW$4:$JF$4)))</f>
        <v>0</v>
      </c>
      <c r="JB88" s="196" t="n">
        <f aca="false">IF((SUMIF($IW$3:$JF$3,JB$60,$IW$4:$JF$4))=0,0,((SUMIF($IW$3:$JF$3,JB$60,$IW137:$JF137))/SUMIF($IW$3:$JF$3,JB$60,$IW$4:$JF$4)))</f>
        <v>0</v>
      </c>
      <c r="JC88" s="196" t="n">
        <f aca="false">IF((SUMIF($IW$3:$JF$3,JC$60,$IW$4:$JF$4))=0,0,((SUMIF($IW$3:$JF$3,JC$60,$IW137:$JF137))/SUMIF($IW$3:$JF$3,JC$60,$IW$4:$JF$4)))</f>
        <v>0</v>
      </c>
      <c r="JD88" s="196" t="n">
        <f aca="false">IF((SUMIF($IW$3:$JF$3,JD$60,$IW$4:$JF$4))=0,0,((SUMIF($IW$3:$JF$3,JD$60,$IW137:$JF137))/SUMIF($IW$3:$JF$3,JD$60,$IW$4:$JF$4)))</f>
        <v>0</v>
      </c>
      <c r="JE88" s="196" t="n">
        <f aca="false">IF((SUMIF($IW$3:$JF$3,JE$60,$IW$4:$JF$4))=0,0,((SUMIF($IW$3:$JF$3,JE$60,$IW137:$JF137))/SUMIF($IW$3:$JF$3,JE$60,$IW$4:$JF$4)))</f>
        <v>0</v>
      </c>
      <c r="JF88" s="197" t="n">
        <f aca="false">IF((SUMIF($IW$3:$JF$3,JF$60,$IW$4:$JF$4))=0,0,((SUMIF($IW$3:$JF$3,JF$60,$IW137:$JF137))/SUMIF($IW$3:$JF$3,JF$60,$IW$4:$JF$4)))</f>
        <v>0</v>
      </c>
      <c r="JG88" s="194" t="str">
        <f aca="false">IV88</f>
        <v>Alumno27</v>
      </c>
      <c r="JH88" s="195" t="n">
        <f aca="false">IF((SUMIF($JH$3:$JQ$3,JH$60,$JH$4:$JQ$4))=0,0,((SUMIF($JH$3:$JQ$3,JH$60,$JH137:$JQ137))/SUMIF($JH$3:$JQ$3,JH$60,$JH$4:$JQ$4)))</f>
        <v>0</v>
      </c>
      <c r="JI88" s="196" t="n">
        <f aca="false">IF((SUMIF($JH$3:$JQ$3,JI$60,$JH$4:$JQ$4))=0,0,((SUMIF($JH$3:$JQ$3,JI$60,$JH137:$JQ137))/SUMIF($JH$3:$JQ$3,JI$60,$JH$4:$JQ$4)))</f>
        <v>0</v>
      </c>
      <c r="JJ88" s="196" t="n">
        <f aca="false">IF((SUMIF($JH$3:$JQ$3,JJ$60,$JH$4:$JQ$4))=0,0,((SUMIF($JH$3:$JQ$3,JJ$60,$JH137:$JQ137))/SUMIF($JH$3:$JQ$3,JJ$60,$JH$4:$JQ$4)))</f>
        <v>0</v>
      </c>
      <c r="JK88" s="196" t="n">
        <f aca="false">IF((SUMIF($JH$3:$JQ$3,JK$60,$JH$4:$JQ$4))=0,0,((SUMIF($JH$3:$JQ$3,JK$60,$JH137:$JQ137))/SUMIF($JH$3:$JQ$3,JK$60,$JH$4:$JQ$4)))</f>
        <v>0</v>
      </c>
      <c r="JL88" s="196" t="n">
        <f aca="false">IF((SUMIF($JH$3:$JQ$3,JL$60,$JH$4:$JQ$4))=0,0,((SUMIF($JH$3:$JQ$3,JL$60,$JH137:$JQ137))/SUMIF($JH$3:$JQ$3,JL$60,$JH$4:$JQ$4)))</f>
        <v>0</v>
      </c>
      <c r="JM88" s="196" t="n">
        <f aca="false">IF((SUMIF($JH$3:$JQ$3,JM$60,$JH$4:$JQ$4))=0,0,((SUMIF($JH$3:$JQ$3,JM$60,$JH137:$JQ137))/SUMIF($JH$3:$JQ$3,JM$60,$JH$4:$JQ$4)))</f>
        <v>0</v>
      </c>
      <c r="JN88" s="196" t="n">
        <f aca="false">IF((SUMIF($JH$3:$JQ$3,JN$60,$JH$4:$JQ$4))=0,0,((SUMIF($JH$3:$JQ$3,JN$60,$JH137:$JQ137))/SUMIF($JH$3:$JQ$3,JN$60,$JH$4:$JQ$4)))</f>
        <v>0</v>
      </c>
      <c r="JO88" s="196" t="n">
        <f aca="false">IF((SUMIF($JH$3:$JQ$3,JO$60,$JH$4:$JQ$4))=0,0,((SUMIF($JH$3:$JQ$3,JO$60,$JH137:$JQ137))/SUMIF($JH$3:$JQ$3,JO$60,$JH$4:$JQ$4)))</f>
        <v>0</v>
      </c>
      <c r="JP88" s="196" t="n">
        <f aca="false">IF((SUMIF($JH$3:$JQ$3,JP$60,$JH$4:$JQ$4))=0,0,((SUMIF($JH$3:$JQ$3,JP$60,$JH137:$JQ137))/SUMIF($JH$3:$JQ$3,JP$60,$JH$4:$JQ$4)))</f>
        <v>0</v>
      </c>
      <c r="JQ88" s="197" t="n">
        <f aca="false">IF((SUMIF($JH$3:$JQ$3,JQ$60,$JH$4:$JQ$4))=0,0,((SUMIF($JH$3:$JQ$3,JQ$60,$JH137:$JQ137))/SUMIF($JH$3:$JQ$3,JQ$60,$JH$4:$JQ$4)))</f>
        <v>0</v>
      </c>
      <c r="JR88" s="194" t="str">
        <f aca="false">JG88</f>
        <v>Alumno27</v>
      </c>
      <c r="JS88" s="195" t="n">
        <f aca="false">IF((SUMIF($JS$3:$KB$3,JS$60,$JS$4:$KB$4))=0,0,((SUMIF($JS$3:$KB$3,JS$60,$JS137:$KB137))/SUMIF($JS$3:$KB$3,JS$60,$JS$4:$KB$4)))</f>
        <v>0</v>
      </c>
      <c r="JT88" s="196" t="n">
        <f aca="false">IF((SUMIF($JS$3:$KB$3,JT$60,$JS$4:$KB$4))=0,0,((SUMIF($JS$3:$KB$3,JT$60,$JS137:$KB137))/SUMIF($JS$3:$KB$3,JT$60,$JS$4:$KB$4)))</f>
        <v>0</v>
      </c>
      <c r="JU88" s="196" t="n">
        <f aca="false">IF((SUMIF($JS$3:$KB$3,JU$60,$JS$4:$KB$4))=0,0,((SUMIF($JS$3:$KB$3,JU$60,$JS137:$KB137))/SUMIF($JS$3:$KB$3,JU$60,$JS$4:$KB$4)))</f>
        <v>0</v>
      </c>
      <c r="JV88" s="196" t="n">
        <f aca="false">IF((SUMIF($JS$3:$KB$3,JV$60,$JS$4:$KB$4))=0,0,((SUMIF($JS$3:$KB$3,JV$60,$JS137:$KB137))/SUMIF($JS$3:$KB$3,JV$60,$JS$4:$KB$4)))</f>
        <v>0</v>
      </c>
      <c r="JW88" s="196" t="n">
        <f aca="false">IF((SUMIF($JS$3:$KB$3,JW$60,$JS$4:$KB$4))=0,0,((SUMIF($JS$3:$KB$3,JW$60,$JS137:$KB137))/SUMIF($JS$3:$KB$3,JW$60,$JS$4:$KB$4)))</f>
        <v>0</v>
      </c>
      <c r="JX88" s="196" t="n">
        <f aca="false">IF((SUMIF($JS$3:$KB$3,JX$60,$JS$4:$KB$4))=0,0,((SUMIF($JS$3:$KB$3,JX$60,$JS137:$KB137))/SUMIF($JS$3:$KB$3,JX$60,$JS$4:$KB$4)))</f>
        <v>0</v>
      </c>
      <c r="JY88" s="196" t="n">
        <f aca="false">IF((SUMIF($JS$3:$KB$3,JY$60,$JS$4:$KB$4))=0,0,((SUMIF($JS$3:$KB$3,JY$60,$JS137:$KB137))/SUMIF($JS$3:$KB$3,JY$60,$JS$4:$KB$4)))</f>
        <v>0</v>
      </c>
      <c r="JZ88" s="196" t="n">
        <f aca="false">IF((SUMIF($JS$3:$KB$3,JZ$60,$JS$4:$KB$4))=0,0,((SUMIF($JS$3:$KB$3,JZ$60,$JS137:$KB137))/SUMIF($JS$3:$KB$3,JZ$60,$JS$4:$KB$4)))</f>
        <v>0</v>
      </c>
      <c r="KA88" s="196" t="n">
        <f aca="false">IF((SUMIF($JS$3:$KB$3,KA$60,$JS$4:$KB$4))=0,0,((SUMIF($JS$3:$KB$3,KA$60,$JS137:$KB137))/SUMIF($JS$3:$KB$3,KA$60,$JS$4:$KB$4)))</f>
        <v>0</v>
      </c>
      <c r="KB88" s="197" t="n">
        <f aca="false">IF((SUMIF($JS$3:$KB$3,KB$60,$JS$4:$KB$4))=0,0,((SUMIF($JS$3:$KB$3,KB$60,$JS137:$KB137))/SUMIF($JS$3:$KB$3,KB$60,$JS$4:$KB$4)))</f>
        <v>0</v>
      </c>
      <c r="KC88" s="194" t="str">
        <f aca="false">JR88</f>
        <v>Alumno27</v>
      </c>
      <c r="KD88" s="195" t="n">
        <f aca="false">IF((SUMIF($KD$3:$KM$3,KD$60,$KD$4:$KM$4))=0,0,((SUMIF($KD$3:$KM$3,KD$60,$KD137:$KM137))/SUMIF($KD$3:$KM$3,KD$60,$KD$4:$KM$4)))</f>
        <v>0</v>
      </c>
      <c r="KE88" s="196" t="n">
        <f aca="false">IF((SUMIF($KD$3:$KM$3,KE$60,$KD$4:$KM$4))=0,0,((SUMIF($KD$3:$KM$3,KE$60,$KD137:$KM137))/SUMIF($KD$3:$KM$3,KE$60,$KD$4:$KM$4)))</f>
        <v>0</v>
      </c>
      <c r="KF88" s="196" t="n">
        <f aca="false">IF((SUMIF($KD$3:$KM$3,KF$60,$KD$4:$KM$4))=0,0,((SUMIF($KD$3:$KM$3,KF$60,$KD137:$KM137))/SUMIF($KD$3:$KM$3,KF$60,$KD$4:$KM$4)))</f>
        <v>0</v>
      </c>
      <c r="KG88" s="196" t="n">
        <f aca="false">IF((SUMIF($KD$3:$KM$3,KG$60,$KD$4:$KM$4))=0,0,((SUMIF($KD$3:$KM$3,KG$60,$KD137:$KM137))/SUMIF($KD$3:$KM$3,KG$60,$KD$4:$KM$4)))</f>
        <v>0</v>
      </c>
      <c r="KH88" s="196" t="n">
        <f aca="false">IF((SUMIF($KD$3:$KM$3,KH$60,$KD$4:$KM$4))=0,0,((SUMIF($KD$3:$KM$3,KH$60,$KD137:$KM137))/SUMIF($KD$3:$KM$3,KH$60,$KD$4:$KM$4)))</f>
        <v>0</v>
      </c>
      <c r="KI88" s="196" t="n">
        <f aca="false">IF((SUMIF($KD$3:$KM$3,KI$60,$KD$4:$KM$4))=0,0,((SUMIF($KD$3:$KM$3,KI$60,$KD137:$KM137))/SUMIF($KD$3:$KM$3,KI$60,$KD$4:$KM$4)))</f>
        <v>0</v>
      </c>
      <c r="KJ88" s="196" t="n">
        <f aca="false">IF((SUMIF($KD$3:$KM$3,KJ$60,$KD$4:$KM$4))=0,0,((SUMIF($KD$3:$KM$3,KJ$60,$KD137:$KM137))/SUMIF($KD$3:$KM$3,KJ$60,$KD$4:$KM$4)))</f>
        <v>0</v>
      </c>
      <c r="KK88" s="196" t="n">
        <f aca="false">IF((SUMIF($KD$3:$KM$3,KK$60,$KD$4:$KM$4))=0,0,((SUMIF($KD$3:$KM$3,KK$60,$KD137:$KM137))/SUMIF($KD$3:$KM$3,KK$60,$KD$4:$KM$4)))</f>
        <v>0</v>
      </c>
      <c r="KL88" s="196" t="n">
        <f aca="false">IF((SUMIF($KD$3:$KM$3,KL$60,$KD$4:$KM$4))=0,0,((SUMIF($KD$3:$KM$3,KL$60,$KD137:$KM137))/SUMIF($KD$3:$KM$3,KL$60,$KD$4:$KM$4)))</f>
        <v>0</v>
      </c>
      <c r="KM88" s="197" t="n">
        <f aca="false">IF((SUMIF($KD$3:$KM$3,KM$60,$KD$4:$KM$4))=0,0,((SUMIF($KD$3:$KM$3,KM$60,$KD137:$KM137))/SUMIF($KD$3:$KM$3,KM$60,$KD$4:$KM$4)))</f>
        <v>0</v>
      </c>
      <c r="KN88" s="194" t="str">
        <f aca="false">KC88</f>
        <v>Alumno27</v>
      </c>
      <c r="KO88" s="195" t="n">
        <f aca="false">IF((SUMIF($KO$3:$KX$3,KO$60,$KO$4:$KX$4))=0,0,((SUMIF($KO$3:$KX$3,KO$60,$KO137:$KX137))/SUMIF($KO$3:$KX$3,KO$60,$KO$4:$KX$4)))</f>
        <v>0</v>
      </c>
      <c r="KP88" s="196" t="n">
        <f aca="false">IF((SUMIF($KO$3:$KX$3,KP$60,$KO$4:$KX$4))=0,0,((SUMIF($KO$3:$KX$3,KP$60,$KO137:$KX137))/SUMIF($KO$3:$KX$3,KP$60,$KO$4:$KX$4)))</f>
        <v>0</v>
      </c>
      <c r="KQ88" s="196" t="n">
        <f aca="false">IF((SUMIF($KO$3:$KX$3,KQ$60,$KO$4:$KX$4))=0,0,((SUMIF($KO$3:$KX$3,KQ$60,$KO137:$KX137))/SUMIF($KO$3:$KX$3,KQ$60,$KO$4:$KX$4)))</f>
        <v>0</v>
      </c>
      <c r="KR88" s="196" t="n">
        <f aca="false">IF((SUMIF($KO$3:$KX$3,KR$60,$KO$4:$KX$4))=0,0,((SUMIF($KO$3:$KX$3,KR$60,$KO137:$KX137))/SUMIF($KO$3:$KX$3,KR$60,$KO$4:$KX$4)))</f>
        <v>0</v>
      </c>
      <c r="KS88" s="196" t="n">
        <f aca="false">IF((SUMIF($KO$3:$KX$3,KS$60,$KO$4:$KX$4))=0,0,((SUMIF($KO$3:$KX$3,KS$60,$KO137:$KX137))/SUMIF($KO$3:$KX$3,KS$60,$KO$4:$KX$4)))</f>
        <v>0</v>
      </c>
      <c r="KT88" s="196" t="n">
        <f aca="false">IF((SUMIF($KO$3:$KX$3,KT$60,$KO$4:$KX$4))=0,0,((SUMIF($KO$3:$KX$3,KT$60,$KO137:$KX137))/SUMIF($KO$3:$KX$3,KT$60,$KO$4:$KX$4)))</f>
        <v>0</v>
      </c>
      <c r="KU88" s="196" t="n">
        <f aca="false">IF((SUMIF($KO$3:$KX$3,KU$60,$KO$4:$KX$4))=0,0,((SUMIF($KO$3:$KX$3,KU$60,$KO137:$KX137))/SUMIF($KO$3:$KX$3,KU$60,$KO$4:$KX$4)))</f>
        <v>0</v>
      </c>
      <c r="KV88" s="196" t="n">
        <f aca="false">IF((SUMIF($KO$3:$KX$3,KV$60,$KO$4:$KX$4))=0,0,((SUMIF($KO$3:$KX$3,KV$60,$KO137:$KX137))/SUMIF($KO$3:$KX$3,KV$60,$KO$4:$KX$4)))</f>
        <v>0</v>
      </c>
      <c r="KW88" s="196" t="n">
        <f aca="false">IF((SUMIF($KO$3:$KX$3,KW$60,$KO$4:$KX$4))=0,0,((SUMIF($KO$3:$KX$3,KW$60,$KO137:$KX137))/SUMIF($KO$3:$KX$3,KW$60,$KO$4:$KX$4)))</f>
        <v>0</v>
      </c>
      <c r="KX88" s="197" t="n">
        <f aca="false">IF((SUMIF($KO$3:$KX$3,KX$60,$KO$4:$KX$4))=0,0,((SUMIF($KO$3:$KX$3,KX$60,$KO137:$KX137))/SUMIF($KO$3:$KX$3,KX$60,$KO$4:$KX$4)))</f>
        <v>0</v>
      </c>
      <c r="KY88" s="194" t="str">
        <f aca="false">KN88</f>
        <v>Alumno27</v>
      </c>
      <c r="KZ88" s="195" t="n">
        <f aca="false">IF((SUMIF($KZ$3:$LI$3,KZ$60,$KZ$4:$LI$4))=0,0,((SUMIF($KZ$3:$LI$3,KZ$60,$KZ137:$LI137))/SUMIF($KZ$3:$LI$3,KZ$60,$KZ$4:$LI$4)))</f>
        <v>0</v>
      </c>
      <c r="LA88" s="196" t="n">
        <f aca="false">IF((SUMIF($KZ$3:$LI$3,LA$60,$KZ$4:$LI$4))=0,0,((SUMIF($KZ$3:$LI$3,LA$60,$KZ137:$LI137))/SUMIF($KZ$3:$LI$3,LA$60,$KZ$4:$LI$4)))</f>
        <v>0</v>
      </c>
      <c r="LB88" s="196" t="n">
        <f aca="false">IF((SUMIF($KZ$3:$LI$3,LB$60,$KZ$4:$LI$4))=0,0,((SUMIF($KZ$3:$LI$3,LB$60,$KZ137:$LI137))/SUMIF($KZ$3:$LI$3,LB$60,$KZ$4:$LI$4)))</f>
        <v>0</v>
      </c>
      <c r="LC88" s="196" t="n">
        <f aca="false">IF((SUMIF($KZ$3:$LI$3,LC$60,$KZ$4:$LI$4))=0,0,((SUMIF($KZ$3:$LI$3,LC$60,$KZ137:$LI137))/SUMIF($KZ$3:$LI$3,LC$60,$KZ$4:$LI$4)))</f>
        <v>0</v>
      </c>
      <c r="LD88" s="196" t="n">
        <f aca="false">IF((SUMIF($KZ$3:$LI$3,LD$60,$KZ$4:$LI$4))=0,0,((SUMIF($KZ$3:$LI$3,LD$60,$KZ137:$LI137))/SUMIF($KZ$3:$LI$3,LD$60,$KZ$4:$LI$4)))</f>
        <v>0</v>
      </c>
      <c r="LE88" s="196" t="n">
        <f aca="false">IF((SUMIF($KZ$3:$LI$3,LE$60,$KZ$4:$LI$4))=0,0,((SUMIF($KZ$3:$LI$3,LE$60,$KZ137:$LI137))/SUMIF($KZ$3:$LI$3,LE$60,$KZ$4:$LI$4)))</f>
        <v>0</v>
      </c>
      <c r="LF88" s="196" t="n">
        <f aca="false">IF((SUMIF($KZ$3:$LI$3,LF$60,$KZ$4:$LI$4))=0,0,((SUMIF($KZ$3:$LI$3,LF$60,$KZ137:$LI137))/SUMIF($KZ$3:$LI$3,LF$60,$KZ$4:$LI$4)))</f>
        <v>0</v>
      </c>
      <c r="LG88" s="196" t="n">
        <f aca="false">IF((SUMIF($KZ$3:$LI$3,LG$60,$KZ$4:$LI$4))=0,0,((SUMIF($KZ$3:$LI$3,LG$60,$KZ137:$LI137))/SUMIF($KZ$3:$LI$3,LG$60,$KZ$4:$LI$4)))</f>
        <v>0</v>
      </c>
      <c r="LH88" s="196" t="n">
        <f aca="false">IF((SUMIF($KZ$3:$LI$3,LH$60,$KZ$4:$LI$4))=0,0,((SUMIF($KZ$3:$LI$3,LH$60,$KZ137:$LI137))/SUMIF($KZ$3:$LI$3,LH$60,$KZ$4:$LI$4)))</f>
        <v>0</v>
      </c>
      <c r="LI88" s="197" t="n">
        <f aca="false">IF((SUMIF($KZ$3:$LI$3,LI$60,$KZ$4:$LI$4))=0,0,((SUMIF($KZ$3:$LI$3,LI$60,$KZ137:$LI137))/SUMIF($KZ$3:$LI$3,LI$60,$KZ$4:$LI$4)))</f>
        <v>0</v>
      </c>
      <c r="LJ88" s="194" t="str">
        <f aca="false">KY88</f>
        <v>Alumno27</v>
      </c>
      <c r="LK88" s="195" t="n">
        <f aca="false">IF((SUMIF($LK$3:$LT$3,LK$60,$LK$4:$LT$4))=0,0,((SUMIF($LK$3:$LT$3,LK$60,$LK137:$LT137))/SUMIF($LK$3:$LT$3,LK$60,$LK$4:$LT$4)))</f>
        <v>0</v>
      </c>
      <c r="LL88" s="196" t="n">
        <f aca="false">IF((SUMIF($LK$3:$LT$3,LL$60,$LK$4:$LT$4))=0,0,((SUMIF($LK$3:$LT$3,LL$60,$LK137:$LT137))/SUMIF($LK$3:$LT$3,LL$60,$LK$4:$LT$4)))</f>
        <v>0</v>
      </c>
      <c r="LM88" s="196" t="n">
        <f aca="false">IF((SUMIF($LK$3:$LT$3,LM$60,$LK$4:$LT$4))=0,0,((SUMIF($LK$3:$LT$3,LM$60,$LK137:$LT137))/SUMIF($LK$3:$LT$3,LM$60,$LK$4:$LT$4)))</f>
        <v>0</v>
      </c>
      <c r="LN88" s="196" t="n">
        <f aca="false">IF((SUMIF($LK$3:$LT$3,LN$60,$LK$4:$LT$4))=0,0,((SUMIF($LK$3:$LT$3,LN$60,$LK137:$LT137))/SUMIF($LK$3:$LT$3,LN$60,$LK$4:$LT$4)))</f>
        <v>0</v>
      </c>
      <c r="LO88" s="196" t="n">
        <f aca="false">IF((SUMIF($LK$3:$LT$3,LO$60,$LK$4:$LT$4))=0,0,((SUMIF($LK$3:$LT$3,LO$60,$LK137:$LT137))/SUMIF($LK$3:$LT$3,LO$60,$LK$4:$LT$4)))</f>
        <v>0</v>
      </c>
      <c r="LP88" s="196" t="n">
        <f aca="false">IF((SUMIF($LK$3:$LT$3,LP$60,$LK$4:$LT$4))=0,0,((SUMIF($LK$3:$LT$3,LP$60,$LK137:$LT137))/SUMIF($LK$3:$LT$3,LP$60,$LK$4:$LT$4)))</f>
        <v>0</v>
      </c>
      <c r="LQ88" s="196" t="n">
        <f aca="false">IF((SUMIF($LK$3:$LT$3,LQ$60,$LK$4:$LT$4))=0,0,((SUMIF($LK$3:$LT$3,LQ$60,$LK137:$LT137))/SUMIF($LK$3:$LT$3,LQ$60,$LK$4:$LT$4)))</f>
        <v>0</v>
      </c>
      <c r="LR88" s="196" t="n">
        <f aca="false">IF((SUMIF($LK$3:$LT$3,LR$60,$LK$4:$LT$4))=0,0,((SUMIF($LK$3:$LT$3,LR$60,$LK137:$LT137))/SUMIF($LK$3:$LT$3,LR$60,$LK$4:$LT$4)))</f>
        <v>0</v>
      </c>
      <c r="LS88" s="196" t="n">
        <f aca="false">IF((SUMIF($LK$3:$LT$3,LS$60,$LK$4:$LT$4))=0,0,((SUMIF($LK$3:$LT$3,LS$60,$LK137:$LT137))/SUMIF($LK$3:$LT$3,LS$60,$LK$4:$LT$4)))</f>
        <v>0</v>
      </c>
      <c r="LT88" s="197" t="n">
        <f aca="false">IF((SUMIF($LK$3:$LT$3,LT$60,$LK$4:$LT$4))=0,0,((SUMIF($LK$3:$LT$3,LT$60,$LK137:$LT137))/SUMIF($LK$3:$LT$3,LT$60,$LK$4:$LT$4)))</f>
        <v>0</v>
      </c>
    </row>
    <row r="89" customFormat="false" ht="15" hidden="true" customHeight="false" outlineLevel="0" collapsed="false">
      <c r="C89" s="194" t="str">
        <f aca="false">B33</f>
        <v>Alumno28</v>
      </c>
      <c r="D89" s="195" t="n">
        <f aca="false">IF((SUMIF($D$3:$M$3,D$60,$D$4:$M$4))=0,0,((SUMIF($D$3:$M$3,D$60,$D138:$M138))/SUMIF($D$3:$M$3,D$60,$D$4:$M$4)))</f>
        <v>5</v>
      </c>
      <c r="E89" s="196" t="n">
        <f aca="false">IF((SUMIF($D$3:$M$3,E$60,$D$4:$M$4))=0,0,((SUMIF($D$3:$M$3,E$60,$D138:$M138))/SUMIF($D$3:$M$3,E$60,$D$4:$M$4)))</f>
        <v>0</v>
      </c>
      <c r="F89" s="196" t="n">
        <f aca="false">IF((SUMIF($D$3:$M$3,F$60,$D$4:$M$4))=0,0,((SUMIF($D$3:$M$3,F$60,$D138:$M138))/SUMIF($D$3:$M$3,F$60,$D$4:$M$4)))</f>
        <v>0</v>
      </c>
      <c r="G89" s="196" t="n">
        <f aca="false">IF((SUMIF($D$3:$M$3,G$60,$D$4:$M$4))=0,0,((SUMIF($D$3:$M$3,G$60,$D138:$M138))/SUMIF($D$3:$M$3,G$60,$D$4:$M$4)))</f>
        <v>0</v>
      </c>
      <c r="H89" s="196" t="n">
        <f aca="false">IF((SUMIF($D$3:$M$3,H$60,$D$4:$M$4))=0,0,((SUMIF($D$3:$M$3,H$60,$D138:$M138))/SUMIF($D$3:$M$3,H$60,$D$4:$M$4)))</f>
        <v>0</v>
      </c>
      <c r="I89" s="196" t="n">
        <f aca="false">IF((SUMIF($D$3:$M$3,I$60,$D$4:$M$4))=0,0,((SUMIF($D$3:$M$3,I$60,$D138:$M138))/SUMIF($D$3:$M$3,I$60,$D$4:$M$4)))</f>
        <v>0</v>
      </c>
      <c r="J89" s="196" t="n">
        <f aca="false">IF((SUMIF($D$3:$M$3,J$60,$D$4:$M$4))=0,0,((SUMIF($D$3:$M$3,J$60,$D138:$M138))/SUMIF($D$3:$M$3,J$60,$D$4:$M$4)))</f>
        <v>0</v>
      </c>
      <c r="K89" s="196" t="n">
        <f aca="false">IF((SUMIF($D$3:$M$3,K$60,$D$4:$M$4))=0,0,((SUMIF($D$3:$M$3,K$60,$D138:$M138))/SUMIF($D$3:$M$3,K$60,$D$4:$M$4)))</f>
        <v>0</v>
      </c>
      <c r="L89" s="196" t="n">
        <f aca="false">IF((SUMIF($D$3:$M$3,L$60,$D$4:$M$4))=0,0,((SUMIF($D$3:$M$3,L$60,$D138:$M138))/SUMIF($D$3:$M$3,L$60,$D$4:$M$4)))</f>
        <v>0</v>
      </c>
      <c r="M89" s="197" t="n">
        <f aca="false">IF((SUMIF($D$3:$M$3,M$60,$D$4:$M$4))=0,0,((SUMIF($D$3:$M$3,M$60,$D138:$M138))/SUMIF($D$3:$M$3,M$60,$D$4:$M$4)))</f>
        <v>0</v>
      </c>
      <c r="N89" s="194" t="str">
        <f aca="false">C89</f>
        <v>Alumno28</v>
      </c>
      <c r="O89" s="195" t="n">
        <f aca="false">IF((SUMIF($O$3:$X$3,O$60,$O$4:$X$4))=0,0,((SUMIF($O$3:$X$3,O$60,$O138:$X138))/SUMIF($O$3:$X$3,O$60,$O$4:$X$4)))</f>
        <v>5</v>
      </c>
      <c r="P89" s="196" t="n">
        <f aca="false">IF((SUMIF($O$3:$X$3,P$60,$O$4:$X$4))=0,0,((SUMIF($O$3:$X$3,P$60,$O138:$X138))/SUMIF($O$3:$X$3,P$60,$O$4:$X$4)))</f>
        <v>5</v>
      </c>
      <c r="Q89" s="196" t="n">
        <f aca="false">IF((SUMIF($O$3:$X$3,Q$60,$O$4:$X$4))=0,0,((SUMIF($O$3:$X$3,Q$60,$O138:$X138))/SUMIF($O$3:$X$3,Q$60,$O$4:$X$4)))</f>
        <v>0</v>
      </c>
      <c r="R89" s="196" t="n">
        <f aca="false">IF((SUMIF($O$3:$X$3,R$60,$O$4:$X$4))=0,0,((SUMIF($O$3:$X$3,R$60,$O138:$X138))/SUMIF($O$3:$X$3,R$60,$O$4:$X$4)))</f>
        <v>0</v>
      </c>
      <c r="S89" s="196" t="n">
        <f aca="false">IF((SUMIF($O$3:$X$3,S$60,$O$4:$X$4))=0,0,((SUMIF($O$3:$X$3,S$60,$O138:$X138))/SUMIF($O$3:$X$3,S$60,$O$4:$X$4)))</f>
        <v>0</v>
      </c>
      <c r="T89" s="196" t="n">
        <f aca="false">IF((SUMIF($O$3:$X$3,T$60,$O$4:$X$4))=0,0,((SUMIF($O$3:$X$3,T$60,$O138:$X138))/SUMIF($O$3:$X$3,T$60,$O$4:$X$4)))</f>
        <v>0</v>
      </c>
      <c r="U89" s="196" t="n">
        <f aca="false">IF((SUMIF($O$3:$X$3,U$60,$O$4:$X$4))=0,0,((SUMIF($O$3:$X$3,U$60,$O138:$X138))/SUMIF($O$3:$X$3,U$60,$O$4:$X$4)))</f>
        <v>0</v>
      </c>
      <c r="V89" s="196" t="n">
        <f aca="false">IF((SUMIF($O$3:$X$3,V$60,$O$4:$X$4))=0,0,((SUMIF($O$3:$X$3,V$60,$O138:$X138))/SUMIF($O$3:$X$3,V$60,$O$4:$X$4)))</f>
        <v>0</v>
      </c>
      <c r="W89" s="196" t="n">
        <f aca="false">IF((SUMIF($O$3:$X$3,W$60,$O$4:$X$4))=0,0,((SUMIF($O$3:$X$3,W$60,$O138:$X138))/SUMIF($O$3:$X$3,W$60,$O$4:$X$4)))</f>
        <v>0</v>
      </c>
      <c r="X89" s="197" t="n">
        <f aca="false">IF((SUMIF($O$3:$X$3,X$60,$O$4:$X$4))=0,0,((SUMIF($O$3:$X$3,X$60,$O138:$X138))/SUMIF($O$3:$X$3,X$60,$O$4:$X$4)))</f>
        <v>0</v>
      </c>
      <c r="Y89" s="194" t="str">
        <f aca="false">N89</f>
        <v>Alumno28</v>
      </c>
      <c r="Z89" s="195" t="n">
        <f aca="false">IF((SUMIF($Z$3:$AI$3,Z$60,$Z$4:$AI$4))=0,0,((SUMIF($Z$3:$AI$3,Z$60,$Z138:$AI138))/SUMIF($Z$3:$AI$3,Z$60,$Z$4:$AI$4)))</f>
        <v>9</v>
      </c>
      <c r="AA89" s="196" t="n">
        <f aca="false">IF((SUMIF($Z$3:$AI$3,AA$60,$Z$4:$AI$4))=0,0,((SUMIF($Z$3:$AI$3,AA$60,$Z138:$AI138))/SUMIF($Z$3:$AI$3,AA$60,$Z$4:$AI$4)))</f>
        <v>9</v>
      </c>
      <c r="AB89" s="196" t="n">
        <f aca="false">IF((SUMIF($Z$3:$AI$3,AB$60,$Z$4:$AI$4))=0,0,((SUMIF($Z$3:$AI$3,AB$60,$Z138:$AI138))/SUMIF($Z$3:$AI$3,AB$60,$Z$4:$AI$4)))</f>
        <v>9</v>
      </c>
      <c r="AC89" s="196" t="n">
        <f aca="false">IF((SUMIF($Z$3:$AI$3,AC$60,$Z$4:$AI$4))=0,0,((SUMIF($Z$3:$AI$3,AC$60,$Z138:$AI138))/SUMIF($Z$3:$AI$3,AC$60,$Z$4:$AI$4)))</f>
        <v>0</v>
      </c>
      <c r="AD89" s="196" t="n">
        <f aca="false">IF((SUMIF($Z$3:$AI$3,AD$60,$Z$4:$AI$4))=0,0,((SUMIF($Z$3:$AI$3,AD$60,$Z138:$AI138))/SUMIF($Z$3:$AI$3,AD$60,$Z$4:$AI$4)))</f>
        <v>0</v>
      </c>
      <c r="AE89" s="196" t="n">
        <f aca="false">IF((SUMIF($Z$3:$AI$3,AE$60,$Z$4:$AI$4))=0,0,((SUMIF($Z$3:$AI$3,AE$60,$Z138:$AI138))/SUMIF($Z$3:$AI$3,AE$60,$Z$4:$AI$4)))</f>
        <v>0</v>
      </c>
      <c r="AF89" s="196" t="n">
        <f aca="false">IF((SUMIF($Z$3:$AI$3,AF$60,$Z$4:$AI$4))=0,0,((SUMIF($Z$3:$AI$3,AF$60,$Z138:$AI138))/SUMIF($Z$3:$AI$3,AF$60,$Z$4:$AI$4)))</f>
        <v>0</v>
      </c>
      <c r="AG89" s="196" t="n">
        <f aca="false">IF((SUMIF($Z$3:$AI$3,AG$60,$Z$4:$AI$4))=0,0,((SUMIF($Z$3:$AI$3,AG$60,$Z138:$AI138))/SUMIF($Z$3:$AI$3,AG$60,$Z$4:$AI$4)))</f>
        <v>0</v>
      </c>
      <c r="AH89" s="196" t="n">
        <f aca="false">IF((SUMIF($Z$3:$AI$3,AH$60,$Z$4:$AI$4))=0,0,((SUMIF($Z$3:$AI$3,AH$60,$Z138:$AI138))/SUMIF($Z$3:$AI$3,AH$60,$Z$4:$AI$4)))</f>
        <v>0</v>
      </c>
      <c r="AI89" s="197" t="n">
        <f aca="false">IF((SUMIF($Z$3:$AI$3,AI$60,$Z$4:$AI$4))=0,0,((SUMIF($Z$3:$AI$3,AI$60,$Z138:$AI138))/SUMIF($Z$3:$AI$3,AI$60,$Z$4:$AI$4)))</f>
        <v>0</v>
      </c>
      <c r="AJ89" s="194" t="str">
        <f aca="false">Y89</f>
        <v>Alumno28</v>
      </c>
      <c r="AK89" s="195" t="n">
        <f aca="false">IF((SUMIF($AK$3:$AT$3,AK$60,$AK$4:$AT$4))=0,0,((SUMIF($AK$3:$AT$3,AK$60,$AK138:$AT138))/SUMIF($AK$3:$AT$3,AK$60,$AK$4:$AT$4)))</f>
        <v>9</v>
      </c>
      <c r="AL89" s="196" t="n">
        <f aca="false">IF((SUMIF($AK$3:$AT$3,AL$60,$AK$4:$AT$4))=0,0,((SUMIF($AK$3:$AT$3,AL$60,$AK138:$AT138))/SUMIF($AK$3:$AT$3,AL$60,$AK$4:$AT$4)))</f>
        <v>9</v>
      </c>
      <c r="AM89" s="196" t="n">
        <f aca="false">IF((SUMIF($AK$3:$AT$3,AM$60,$AK$4:$AT$4))=0,0,((SUMIF($AK$3:$AT$3,AM$60,$AK138:$AT138))/SUMIF($AK$3:$AT$3,AM$60,$AK$4:$AT$4)))</f>
        <v>9</v>
      </c>
      <c r="AN89" s="196" t="n">
        <f aca="false">IF((SUMIF($AK$3:$AT$3,AN$60,$AK$4:$AT$4))=0,0,((SUMIF($AK$3:$AT$3,AN$60,$AK138:$AT138))/SUMIF($AK$3:$AT$3,AN$60,$AK$4:$AT$4)))</f>
        <v>0</v>
      </c>
      <c r="AO89" s="196" t="n">
        <f aca="false">IF((SUMIF($AK$3:$AT$3,AO$60,$AK$4:$AT$4))=0,0,((SUMIF($AK$3:$AT$3,AO$60,$AK138:$AT138))/SUMIF($AK$3:$AT$3,AO$60,$AK$4:$AT$4)))</f>
        <v>0</v>
      </c>
      <c r="AP89" s="196" t="n">
        <f aca="false">IF((SUMIF($AK$3:$AT$3,AP$60,$AK$4:$AT$4))=0,0,((SUMIF($AK$3:$AT$3,AP$60,$AK138:$AT138))/SUMIF($AK$3:$AT$3,AP$60,$AK$4:$AT$4)))</f>
        <v>0</v>
      </c>
      <c r="AQ89" s="196" t="n">
        <f aca="false">IF((SUMIF($AK$3:$AT$3,AQ$60,$AK$4:$AT$4))=0,0,((SUMIF($AK$3:$AT$3,AQ$60,$AK138:$AT138))/SUMIF($AK$3:$AT$3,AQ$60,$AK$4:$AT$4)))</f>
        <v>0</v>
      </c>
      <c r="AR89" s="196" t="n">
        <f aca="false">IF((SUMIF($AK$3:$AT$3,AR$60,$AK$4:$AT$4))=0,0,((SUMIF($AK$3:$AT$3,AR$60,$AK138:$AT138))/SUMIF($AK$3:$AT$3,AR$60,$AK$4:$AT$4)))</f>
        <v>0</v>
      </c>
      <c r="AS89" s="196" t="n">
        <f aca="false">IF((SUMIF($AK$3:$AT$3,AS$60,$AK$4:$AT$4))=0,0,((SUMIF($AK$3:$AT$3,AS$60,$AK138:$AT138))/SUMIF($AK$3:$AT$3,AS$60,$AK$4:$AT$4)))</f>
        <v>0</v>
      </c>
      <c r="AT89" s="197" t="n">
        <f aca="false">IF((SUMIF($AK$3:$AT$3,AT$60,$AK$4:$AT$4))=0,0,((SUMIF($AK$3:$AT$3,AT$60,$AK138:$AT138))/SUMIF($AK$3:$AT$3,AT$60,$AK$4:$AT$4)))</f>
        <v>0</v>
      </c>
      <c r="AU89" s="194" t="str">
        <f aca="false">AJ89</f>
        <v>Alumno28</v>
      </c>
      <c r="AV89" s="195" t="n">
        <f aca="false">IF((SUMIF($AV$3:$BE$3,AV$60,$AV$4:$BE$4))=0,0,((SUMIF($AV$3:$BE$3,AV$60,$AV138:$BE138))/SUMIF($AV$3:$BE$3,AV$60,$AV$4:$BE$4)))</f>
        <v>5</v>
      </c>
      <c r="AW89" s="196" t="n">
        <f aca="false">IF((SUMIF($AV$3:$BE$3,AW$60,$AV$4:$BE$4))=0,0,((SUMIF($AV$3:$BE$3,AW$60,$AV138:$BE138))/SUMIF($AV$3:$BE$3,AW$60,$AV$4:$BE$4)))</f>
        <v>5</v>
      </c>
      <c r="AX89" s="196" t="n">
        <f aca="false">IF((SUMIF($AV$3:$BE$3,AX$60,$AV$4:$BE$4))=0,0,((SUMIF($AV$3:$BE$3,AX$60,$AV138:$BE138))/SUMIF($AV$3:$BE$3,AX$60,$AV$4:$BE$4)))</f>
        <v>5</v>
      </c>
      <c r="AY89" s="196" t="n">
        <f aca="false">IF((SUMIF($AV$3:$BE$3,AY$60,$AV$4:$BE$4))=0,0,((SUMIF($AV$3:$BE$3,AY$60,$AV138:$BE138))/SUMIF($AV$3:$BE$3,AY$60,$AV$4:$BE$4)))</f>
        <v>5</v>
      </c>
      <c r="AZ89" s="196" t="n">
        <f aca="false">IF((SUMIF($AV$3:$BE$3,AZ$60,$AV$4:$BE$4))=0,0,((SUMIF($AV$3:$BE$3,AZ$60,$AV138:$BE138))/SUMIF($AV$3:$BE$3,AZ$60,$AV$4:$BE$4)))</f>
        <v>0</v>
      </c>
      <c r="BA89" s="196" t="n">
        <f aca="false">IF((SUMIF($AV$3:$BE$3,BA$60,$AV$4:$BE$4))=0,0,((SUMIF($AV$3:$BE$3,BA$60,$AV138:$BE138))/SUMIF($AV$3:$BE$3,BA$60,$AV$4:$BE$4)))</f>
        <v>0</v>
      </c>
      <c r="BB89" s="196" t="n">
        <f aca="false">IF((SUMIF($AV$3:$BE$3,BB$60,$AV$4:$BE$4))=0,0,((SUMIF($AV$3:$BE$3,BB$60,$AV138:$BE138))/SUMIF($AV$3:$BE$3,BB$60,$AV$4:$BE$4)))</f>
        <v>0</v>
      </c>
      <c r="BC89" s="196" t="n">
        <f aca="false">IF((SUMIF($AV$3:$BE$3,BC$60,$AV$4:$BE$4))=0,0,((SUMIF($AV$3:$BE$3,BC$60,$AV138:$BE138))/SUMIF($AV$3:$BE$3,BC$60,$AV$4:$BE$4)))</f>
        <v>0</v>
      </c>
      <c r="BD89" s="196" t="n">
        <f aca="false">IF((SUMIF($AV$3:$BE$3,BD$60,$AV$4:$BE$4))=0,0,((SUMIF($AV$3:$BE$3,BD$60,$AV138:$BE138))/SUMIF($AV$3:$BE$3,BD$60,$AV$4:$BE$4)))</f>
        <v>0</v>
      </c>
      <c r="BE89" s="197" t="n">
        <f aca="false">IF((SUMIF($AV$3:$BE$3,BE$60,$AV$4:$BE$4))=0,0,((SUMIF($AV$3:$BE$3,BE$60,$AV138:$BE138))/SUMIF($AV$3:$BE$3,BE$60,$AV$4:$BE$4)))</f>
        <v>0</v>
      </c>
      <c r="BF89" s="194" t="str">
        <f aca="false">AU89</f>
        <v>Alumno28</v>
      </c>
      <c r="BG89" s="195" t="n">
        <f aca="false">IF((SUMIF($BG$3:$BP$3,BG$60,$BG$4:$BP$4))=0,0,((SUMIF($BG$3:$BP$3,BG$60,$BG138:$BP138))/SUMIF($BG$3:$BP$3,BG$60,$BG$4:$BP$4)))</f>
        <v>5</v>
      </c>
      <c r="BH89" s="196" t="n">
        <f aca="false">IF((SUMIF($BG$3:$BP$3,BH$60,$BG$4:$BP$4))=0,0,((SUMIF($BG$3:$BP$3,BH$60,$BG138:$BP138))/SUMIF($BG$3:$BP$3,BH$60,$BG$4:$BP$4)))</f>
        <v>5</v>
      </c>
      <c r="BI89" s="196" t="n">
        <f aca="false">IF((SUMIF($BG$3:$BP$3,BI$60,$BG$4:$BP$4))=0,0,((SUMIF($BG$3:$BP$3,BI$60,$BG138:$BP138))/SUMIF($BG$3:$BP$3,BI$60,$BG$4:$BP$4)))</f>
        <v>5</v>
      </c>
      <c r="BJ89" s="196" t="n">
        <f aca="false">IF((SUMIF($BG$3:$BP$3,BJ$60,$BG$4:$BP$4))=0,0,((SUMIF($BG$3:$BP$3,BJ$60,$BG138:$BP138))/SUMIF($BG$3:$BP$3,BJ$60,$BG$4:$BP$4)))</f>
        <v>5</v>
      </c>
      <c r="BK89" s="196" t="n">
        <f aca="false">IF((SUMIF($BG$3:$BP$3,BK$60,$BG$4:$BP$4))=0,0,((SUMIF($BG$3:$BP$3,BK$60,$BG138:$BP138))/SUMIF($BG$3:$BP$3,BK$60,$BG$4:$BP$4)))</f>
        <v>0</v>
      </c>
      <c r="BL89" s="196" t="n">
        <f aca="false">IF((SUMIF($BG$3:$BP$3,BL$60,$BG$4:$BP$4))=0,0,((SUMIF($BG$3:$BP$3,BL$60,$BG138:$BP138))/SUMIF($BG$3:$BP$3,BL$60,$BG$4:$BP$4)))</f>
        <v>0</v>
      </c>
      <c r="BM89" s="196" t="n">
        <f aca="false">IF((SUMIF($BG$3:$BP$3,BM$60,$BG$4:$BP$4))=0,0,((SUMIF($BG$3:$BP$3,BM$60,$BG138:$BP138))/SUMIF($BG$3:$BP$3,BM$60,$BG$4:$BP$4)))</f>
        <v>0</v>
      </c>
      <c r="BN89" s="196" t="n">
        <f aca="false">IF((SUMIF($BG$3:$BP$3,BN$60,$BG$4:$BP$4))=0,0,((SUMIF($BG$3:$BP$3,BN$60,$BG138:$BP138))/SUMIF($BG$3:$BP$3,BN$60,$BG$4:$BP$4)))</f>
        <v>0</v>
      </c>
      <c r="BO89" s="196" t="n">
        <f aca="false">IF((SUMIF($BG$3:$BP$3,BO$60,$BG$4:$BP$4))=0,0,((SUMIF($BG$3:$BP$3,BO$60,$BG138:$BP138))/SUMIF($BG$3:$BP$3,BO$60,$BG$4:$BP$4)))</f>
        <v>0</v>
      </c>
      <c r="BP89" s="197" t="n">
        <f aca="false">IF((SUMIF($BG$3:$BP$3,BP$60,$BG$4:$BP$4))=0,0,((SUMIF($BG$3:$BP$3,BP$60,$BG138:$BP138))/SUMIF($BG$3:$BP$3,BP$60,$BG$4:$BP$4)))</f>
        <v>0</v>
      </c>
      <c r="BQ89" s="194" t="str">
        <f aca="false">BF89</f>
        <v>Alumno28</v>
      </c>
      <c r="BR89" s="195" t="n">
        <f aca="false">IF((SUMIF($BR$3:$CA$3,BR$60,$BR$4:$CA$4))=0,0,((SUMIF($BR$3:$CA$3,BR$60,$BR138:$CA138))/SUMIF($BR$3:$CA$3,BR$60,$BR$4:$CA$4)))</f>
        <v>0</v>
      </c>
      <c r="BS89" s="196" t="n">
        <f aca="false">IF((SUMIF($BR$3:$CA$3,BS$60,$BR$4:$CA$4))=0,0,((SUMIF($BR$3:$CA$3,BS$60,$BR138:$CA138))/SUMIF($BR$3:$CA$3,BS$60,$BR$4:$CA$4)))</f>
        <v>8</v>
      </c>
      <c r="BT89" s="196" t="n">
        <f aca="false">IF((SUMIF($BR$3:$CA$3,BT$60,$BR$4:$CA$4))=0,0,((SUMIF($BR$3:$CA$3,BT$60,$BR138:$CA138))/SUMIF($BR$3:$CA$3,BT$60,$BR$4:$CA$4)))</f>
        <v>6.33333333333333</v>
      </c>
      <c r="BU89" s="196" t="n">
        <f aca="false">IF((SUMIF($BR$3:$CA$3,BU$60,$BR$4:$CA$4))=0,0,((SUMIF($BR$3:$CA$3,BU$60,$BR138:$CA138))/SUMIF($BR$3:$CA$3,BU$60,$BR$4:$CA$4)))</f>
        <v>7</v>
      </c>
      <c r="BV89" s="196" t="n">
        <f aca="false">IF((SUMIF($BR$3:$CA$3,BV$60,$BR$4:$CA$4))=0,0,((SUMIF($BR$3:$CA$3,BV$60,$BR138:$CA138))/SUMIF($BR$3:$CA$3,BV$60,$BR$4:$CA$4)))</f>
        <v>0</v>
      </c>
      <c r="BW89" s="196" t="n">
        <f aca="false">IF((SUMIF($BR$3:$CA$3,BW$60,$BR$4:$CA$4))=0,0,((SUMIF($BR$3:$CA$3,BW$60,$BR138:$CA138))/SUMIF($BR$3:$CA$3,BW$60,$BR$4:$CA$4)))</f>
        <v>0</v>
      </c>
      <c r="BX89" s="196" t="n">
        <f aca="false">IF((SUMIF($BR$3:$CA$3,BX$60,$BR$4:$CA$4))=0,0,((SUMIF($BR$3:$CA$3,BX$60,$BR138:$CA138))/SUMIF($BR$3:$CA$3,BX$60,$BR$4:$CA$4)))</f>
        <v>0</v>
      </c>
      <c r="BY89" s="196" t="n">
        <f aca="false">IF((SUMIF($BR$3:$CA$3,BY$60,$BR$4:$CA$4))=0,0,((SUMIF($BR$3:$CA$3,BY$60,$BR138:$CA138))/SUMIF($BR$3:$CA$3,BY$60,$BR$4:$CA$4)))</f>
        <v>0</v>
      </c>
      <c r="BZ89" s="196" t="n">
        <f aca="false">IF((SUMIF($BR$3:$CA$3,BZ$60,$BR$4:$CA$4))=0,0,((SUMIF($BR$3:$CA$3,BZ$60,$BR138:$CA138))/SUMIF($BR$3:$CA$3,BZ$60,$BR$4:$CA$4)))</f>
        <v>0</v>
      </c>
      <c r="CA89" s="197" t="n">
        <f aca="false">IF((SUMIF($BR$3:$CA$3,CA$60,$BR$4:$CA$4))=0,0,((SUMIF($BR$3:$CA$3,CA$60,$BR138:$CA138))/SUMIF($BR$3:$CA$3,CA$60,$BR$4:$CA$4)))</f>
        <v>0</v>
      </c>
      <c r="CB89" s="194" t="str">
        <f aca="false">BQ89</f>
        <v>Alumno28</v>
      </c>
      <c r="CC89" s="195" t="n">
        <f aca="false">IF((SUMIF($CC$3:$CL$3,CC$60,$CC$4:$CL$4))=0,0,((SUMIF($CC$3:$CL$3,CC$60,$CC138:$CL138))/SUMIF($CC$3:$CL$3,CC$60,$CC$4:$CL$4)))</f>
        <v>0</v>
      </c>
      <c r="CD89" s="196" t="n">
        <f aca="false">IF((SUMIF($CC$3:$CL$3,CD$60,$CC$4:$CL$4))=0,0,((SUMIF($CC$3:$CL$3,CD$60,$CC138:$CL138))/SUMIF($CC$3:$CL$3,CD$60,$CC$4:$CL$4)))</f>
        <v>0</v>
      </c>
      <c r="CE89" s="196" t="n">
        <f aca="false">IF((SUMIF($CC$3:$CL$3,CE$60,$CC$4:$CL$4))=0,0,((SUMIF($CC$3:$CL$3,CE$60,$CC138:$CL138))/SUMIF($CC$3:$CL$3,CE$60,$CC$4:$CL$4)))</f>
        <v>0</v>
      </c>
      <c r="CF89" s="196" t="n">
        <f aca="false">IF((SUMIF($CC$3:$CL$3,CF$60,$CC$4:$CL$4))=0,0,((SUMIF($CC$3:$CL$3,CF$60,$CC138:$CL138))/SUMIF($CC$3:$CL$3,CF$60,$CC$4:$CL$4)))</f>
        <v>0</v>
      </c>
      <c r="CG89" s="196" t="n">
        <f aca="false">IF((SUMIF($CC$3:$CL$3,CG$60,$CC$4:$CL$4))=0,0,((SUMIF($CC$3:$CL$3,CG$60,$CC138:$CL138))/SUMIF($CC$3:$CL$3,CG$60,$CC$4:$CL$4)))</f>
        <v>0</v>
      </c>
      <c r="CH89" s="196" t="n">
        <f aca="false">IF((SUMIF($CC$3:$CL$3,CH$60,$CC$4:$CL$4))=0,0,((SUMIF($CC$3:$CL$3,CH$60,$CC138:$CL138))/SUMIF($CC$3:$CL$3,CH$60,$CC$4:$CL$4)))</f>
        <v>0</v>
      </c>
      <c r="CI89" s="196" t="n">
        <f aca="false">IF((SUMIF($CC$3:$CL$3,CI$60,$CC$4:$CL$4))=0,0,((SUMIF($CC$3:$CL$3,CI$60,$CC138:$CL138))/SUMIF($CC$3:$CL$3,CI$60,$CC$4:$CL$4)))</f>
        <v>0</v>
      </c>
      <c r="CJ89" s="196" t="n">
        <f aca="false">IF((SUMIF($CC$3:$CL$3,CJ$60,$CC$4:$CL$4))=0,0,((SUMIF($CC$3:$CL$3,CJ$60,$CC138:$CL138))/SUMIF($CC$3:$CL$3,CJ$60,$CC$4:$CL$4)))</f>
        <v>0</v>
      </c>
      <c r="CK89" s="196" t="n">
        <f aca="false">IF((SUMIF($CC$3:$CL$3,CK$60,$CC$4:$CL$4))=0,0,((SUMIF($CC$3:$CL$3,CK$60,$CC138:$CL138))/SUMIF($CC$3:$CL$3,CK$60,$CC$4:$CL$4)))</f>
        <v>0</v>
      </c>
      <c r="CL89" s="197" t="n">
        <f aca="false">IF((SUMIF($CC$3:$CL$3,CL$60,$CC$4:$CL$4))=0,0,((SUMIF($CC$3:$CL$3,CL$60,$CC138:$CL138))/SUMIF($CC$3:$CL$3,CL$60,$CC$4:$CL$4)))</f>
        <v>0</v>
      </c>
      <c r="CM89" s="194" t="str">
        <f aca="false">CB89</f>
        <v>Alumno28</v>
      </c>
      <c r="CN89" s="195" t="n">
        <f aca="false">IF((SUMIF($CN$3:$CW$3,CN$60,$CN$4:$CW$4))=0,0,((SUMIF($CN$3:$CW$3,CN$60,$CN138:$CW138))/SUMIF($CN$3:$CW$3,CN$60,$CN$4:$CW$4)))</f>
        <v>0</v>
      </c>
      <c r="CO89" s="196" t="n">
        <f aca="false">IF((SUMIF($CN$3:$CW$3,CO$60,$CN$4:$CW$4))=0,0,((SUMIF($CN$3:$CW$3,CO$60,$CN138:$CW138))/SUMIF($CN$3:$CW$3,CO$60,$CN$4:$CW$4)))</f>
        <v>0</v>
      </c>
      <c r="CP89" s="196" t="n">
        <f aca="false">IF((SUMIF($CN$3:$CW$3,CP$60,$CN$4:$CW$4))=0,0,((SUMIF($CN$3:$CW$3,CP$60,$CN138:$CW138))/SUMIF($CN$3:$CW$3,CP$60,$CN$4:$CW$4)))</f>
        <v>0</v>
      </c>
      <c r="CQ89" s="196" t="n">
        <f aca="false">IF((SUMIF($CN$3:$CW$3,CQ$60,$CN$4:$CW$4))=0,0,((SUMIF($CN$3:$CW$3,CQ$60,$CN138:$CW138))/SUMIF($CN$3:$CW$3,CQ$60,$CN$4:$CW$4)))</f>
        <v>0</v>
      </c>
      <c r="CR89" s="196" t="n">
        <f aca="false">IF((SUMIF($CN$3:$CW$3,CR$60,$CN$4:$CW$4))=0,0,((SUMIF($CN$3:$CW$3,CR$60,$CN138:$CW138))/SUMIF($CN$3:$CW$3,CR$60,$CN$4:$CW$4)))</f>
        <v>0</v>
      </c>
      <c r="CS89" s="196" t="n">
        <f aca="false">IF((SUMIF($CN$3:$CW$3,CS$60,$CN$4:$CW$4))=0,0,((SUMIF($CN$3:$CW$3,CS$60,$CN138:$CW138))/SUMIF($CN$3:$CW$3,CS$60,$CN$4:$CW$4)))</f>
        <v>0</v>
      </c>
      <c r="CT89" s="196" t="n">
        <f aca="false">IF((SUMIF($CN$3:$CW$3,CT$60,$CN$4:$CW$4))=0,0,((SUMIF($CN$3:$CW$3,CT$60,$CN138:$CW138))/SUMIF($CN$3:$CW$3,CT$60,$CN$4:$CW$4)))</f>
        <v>0</v>
      </c>
      <c r="CU89" s="196" t="n">
        <f aca="false">IF((SUMIF($CN$3:$CW$3,CU$60,$CN$4:$CW$4))=0,0,((SUMIF($CN$3:$CW$3,CU$60,$CN138:$CW138))/SUMIF($CN$3:$CW$3,CU$60,$CN$4:$CW$4)))</f>
        <v>0</v>
      </c>
      <c r="CV89" s="196" t="n">
        <f aca="false">IF((SUMIF($CN$3:$CW$3,CV$60,$CN$4:$CW$4))=0,0,((SUMIF($CN$3:$CW$3,CV$60,$CN138:$CW138))/SUMIF($CN$3:$CW$3,CV$60,$CN$4:$CW$4)))</f>
        <v>0</v>
      </c>
      <c r="CW89" s="197" t="n">
        <f aca="false">IF((SUMIF($CN$3:$CW$3,CW$60,$CN$4:$CW$4))=0,0,((SUMIF($CN$3:$CW$3,CW$60,$CN138:$CW138))/SUMIF($CN$3:$CW$3,CW$60,$CN$4:$CW$4)))</f>
        <v>0</v>
      </c>
      <c r="CX89" s="194" t="str">
        <f aca="false">CM89</f>
        <v>Alumno28</v>
      </c>
      <c r="CY89" s="195" t="n">
        <f aca="false">IF((SUMIF($CY$3:$DH$3,CY$60,$CY$4:$DH$4))=0,0,((SUMIF($CY$3:$DH$3,CY$60,$CY138:$DH138))/SUMIF($CY$3:$DH$3,CY$60,$CY$4:$DH$4)))</f>
        <v>0</v>
      </c>
      <c r="CZ89" s="196" t="n">
        <f aca="false">IF((SUMIF($CY$3:$DH$3,CZ$60,$CY$4:$DH$4))=0,0,((SUMIF($CY$3:$DH$3,CZ$60,$CY138:$DH138))/SUMIF($CY$3:$DH$3,CZ$60,$CY$4:$DH$4)))</f>
        <v>0</v>
      </c>
      <c r="DA89" s="196" t="n">
        <f aca="false">IF((SUMIF($CY$3:$DH$3,DA$60,$CY$4:$DH$4))=0,0,((SUMIF($CY$3:$DH$3,DA$60,$CY138:$DH138))/SUMIF($CY$3:$DH$3,DA$60,$CY$4:$DH$4)))</f>
        <v>0</v>
      </c>
      <c r="DB89" s="196" t="n">
        <f aca="false">IF((SUMIF($CY$3:$DH$3,DB$60,$CY$4:$DH$4))=0,0,((SUMIF($CY$3:$DH$3,DB$60,$CY138:$DH138))/SUMIF($CY$3:$DH$3,DB$60,$CY$4:$DH$4)))</f>
        <v>0</v>
      </c>
      <c r="DC89" s="196" t="n">
        <f aca="false">IF((SUMIF($CY$3:$DH$3,DC$60,$CY$4:$DH$4))=0,0,((SUMIF($CY$3:$DH$3,DC$60,$CY138:$DH138))/SUMIF($CY$3:$DH$3,DC$60,$CY$4:$DH$4)))</f>
        <v>0</v>
      </c>
      <c r="DD89" s="196" t="n">
        <f aca="false">IF((SUMIF($CY$3:$DH$3,DD$60,$CY$4:$DH$4))=0,0,((SUMIF($CY$3:$DH$3,DD$60,$CY138:$DH138))/SUMIF($CY$3:$DH$3,DD$60,$CY$4:$DH$4)))</f>
        <v>0</v>
      </c>
      <c r="DE89" s="196" t="n">
        <f aca="false">IF((SUMIF($CY$3:$DH$3,DE$60,$CY$4:$DH$4))=0,0,((SUMIF($CY$3:$DH$3,DE$60,$CY138:$DH138))/SUMIF($CY$3:$DH$3,DE$60,$CY$4:$DH$4)))</f>
        <v>0</v>
      </c>
      <c r="DF89" s="196" t="n">
        <f aca="false">IF((SUMIF($CY$3:$DH$3,DF$60,$CY$4:$DH$4))=0,0,((SUMIF($CY$3:$DH$3,DF$60,$CY138:$DH138))/SUMIF($CY$3:$DH$3,DF$60,$CY$4:$DH$4)))</f>
        <v>0</v>
      </c>
      <c r="DG89" s="196" t="n">
        <f aca="false">IF((SUMIF($CY$3:$DH$3,DG$60,$CY$4:$DH$4))=0,0,((SUMIF($CY$3:$DH$3,DG$60,$CY138:$DH138))/SUMIF($CY$3:$DH$3,DG$60,$CY$4:$DH$4)))</f>
        <v>0</v>
      </c>
      <c r="DH89" s="197" t="n">
        <f aca="false">IF((SUMIF($CY$3:$DH$3,DH$60,$CY$4:$DH$4))=0,0,((SUMIF($CY$3:$DH$3,DH$60,$CY138:$DH138))/SUMIF($CY$3:$DH$3,DH$60,$CY$4:$DH$4)))</f>
        <v>0</v>
      </c>
      <c r="DI89" s="194" t="str">
        <f aca="false">CX89</f>
        <v>Alumno28</v>
      </c>
      <c r="DJ89" s="195" t="n">
        <f aca="false">IF((SUMIF($DJ$3:$DS$3,DJ$60,$DJ$4:$DS$4))=0,0,((SUMIF($DJ$3:$DS$3,DJ$60,$DJ138:$DS138))/SUMIF($DJ$3:$DS$3,DJ$60,$DJ$4:$DS$4)))</f>
        <v>0</v>
      </c>
      <c r="DK89" s="196" t="n">
        <f aca="false">IF((SUMIF($DJ$3:$DS$3,DK$60,$DJ$4:$DS$4))=0,0,((SUMIF($DJ$3:$DS$3,DK$60,$DJ138:$DS138))/SUMIF($DJ$3:$DS$3,DK$60,$DJ$4:$DS$4)))</f>
        <v>0</v>
      </c>
      <c r="DL89" s="196" t="n">
        <f aca="false">IF((SUMIF($DJ$3:$DS$3,DL$60,$DJ$4:$DS$4))=0,0,((SUMIF($DJ$3:$DS$3,DL$60,$DJ138:$DS138))/SUMIF($DJ$3:$DS$3,DL$60,$DJ$4:$DS$4)))</f>
        <v>0</v>
      </c>
      <c r="DM89" s="196" t="n">
        <f aca="false">IF((SUMIF($DJ$3:$DS$3,DM$60,$DJ$4:$DS$4))=0,0,((SUMIF($DJ$3:$DS$3,DM$60,$DJ138:$DS138))/SUMIF($DJ$3:$DS$3,DM$60,$DJ$4:$DS$4)))</f>
        <v>0</v>
      </c>
      <c r="DN89" s="196" t="n">
        <f aca="false">IF((SUMIF($DJ$3:$DS$3,DN$60,$DJ$4:$DS$4))=0,0,((SUMIF($DJ$3:$DS$3,DN$60,$DJ138:$DS138))/SUMIF($DJ$3:$DS$3,DN$60,$DJ$4:$DS$4)))</f>
        <v>0</v>
      </c>
      <c r="DO89" s="196" t="n">
        <f aca="false">IF((SUMIF($DJ$3:$DS$3,DO$60,$DJ$4:$DS$4))=0,0,((SUMIF($DJ$3:$DS$3,DO$60,$DJ138:$DS138))/SUMIF($DJ$3:$DS$3,DO$60,$DJ$4:$DS$4)))</f>
        <v>0</v>
      </c>
      <c r="DP89" s="196" t="n">
        <f aca="false">IF((SUMIF($DJ$3:$DS$3,DP$60,$DJ$4:$DS$4))=0,0,((SUMIF($DJ$3:$DS$3,DP$60,$DJ138:$DS138))/SUMIF($DJ$3:$DS$3,DP$60,$DJ$4:$DS$4)))</f>
        <v>0</v>
      </c>
      <c r="DQ89" s="196" t="n">
        <f aca="false">IF((SUMIF($DJ$3:$DS$3,DQ$60,$DJ$4:$DS$4))=0,0,((SUMIF($DJ$3:$DS$3,DQ$60,$DJ138:$DS138))/SUMIF($DJ$3:$DS$3,DQ$60,$DJ$4:$DS$4)))</f>
        <v>0</v>
      </c>
      <c r="DR89" s="196" t="n">
        <f aca="false">IF((SUMIF($DJ$3:$DS$3,DR$60,$DJ$4:$DS$4))=0,0,((SUMIF($DJ$3:$DS$3,DR$60,$DJ138:$DS138))/SUMIF($DJ$3:$DS$3,DR$60,$DJ$4:$DS$4)))</f>
        <v>0</v>
      </c>
      <c r="DS89" s="197" t="n">
        <f aca="false">IF((SUMIF($DJ$3:$DS$3,DS$60,$DJ$4:$DS$4))=0,0,((SUMIF($DJ$3:$DS$3,DS$60,$DJ138:$DS138))/SUMIF($DJ$3:$DS$3,DS$60,$DJ$4:$DS$4)))</f>
        <v>0</v>
      </c>
      <c r="DT89" s="194" t="str">
        <f aca="false">DI89</f>
        <v>Alumno28</v>
      </c>
      <c r="DU89" s="195" t="n">
        <f aca="false">IF((SUMIF($DU$3:$ED$3,DU$60,$DU$4:$ED$4))=0,0,((SUMIF($DU$3:$ED$3,DU$60,$DU138:$ED138))/SUMIF($DU$3:$ED$3,DU$60,$DU$4:$ED$4)))</f>
        <v>0</v>
      </c>
      <c r="DV89" s="196" t="n">
        <f aca="false">IF((SUMIF($DU$3:$ED$3,DV$60,$DU$4:$ED$4))=0,0,((SUMIF($DU$3:$ED$3,DV$60,$DU138:$ED138))/SUMIF($DU$3:$ED$3,DV$60,$DU$4:$ED$4)))</f>
        <v>0</v>
      </c>
      <c r="DW89" s="196" t="n">
        <f aca="false">IF((SUMIF($DU$3:$ED$3,DW$60,$DU$4:$ED$4))=0,0,((SUMIF($DU$3:$ED$3,DW$60,$DU138:$ED138))/SUMIF($DU$3:$ED$3,DW$60,$DU$4:$ED$4)))</f>
        <v>0</v>
      </c>
      <c r="DX89" s="196" t="n">
        <f aca="false">IF((SUMIF($DU$3:$ED$3,DX$60,$DU$4:$ED$4))=0,0,((SUMIF($DU$3:$ED$3,DX$60,$DU138:$ED138))/SUMIF($DU$3:$ED$3,DX$60,$DU$4:$ED$4)))</f>
        <v>0</v>
      </c>
      <c r="DY89" s="196" t="n">
        <f aca="false">IF((SUMIF($DU$3:$ED$3,DY$60,$DU$4:$ED$4))=0,0,((SUMIF($DU$3:$ED$3,DY$60,$DU138:$ED138))/SUMIF($DU$3:$ED$3,DY$60,$DU$4:$ED$4)))</f>
        <v>0</v>
      </c>
      <c r="DZ89" s="196" t="n">
        <f aca="false">IF((SUMIF($DU$3:$ED$3,DZ$60,$DU$4:$ED$4))=0,0,((SUMIF($DU$3:$ED$3,DZ$60,$DU138:$ED138))/SUMIF($DU$3:$ED$3,DZ$60,$DU$4:$ED$4)))</f>
        <v>0</v>
      </c>
      <c r="EA89" s="196" t="n">
        <f aca="false">IF((SUMIF($DU$3:$ED$3,EA$60,$DU$4:$ED$4))=0,0,((SUMIF($DU$3:$ED$3,EA$60,$DU138:$ED138))/SUMIF($DU$3:$ED$3,EA$60,$DU$4:$ED$4)))</f>
        <v>0</v>
      </c>
      <c r="EB89" s="196" t="n">
        <f aca="false">IF((SUMIF($DU$3:$ED$3,EB$60,$DU$4:$ED$4))=0,0,((SUMIF($DU$3:$ED$3,EB$60,$DU138:$ED138))/SUMIF($DU$3:$ED$3,EB$60,$DU$4:$ED$4)))</f>
        <v>0</v>
      </c>
      <c r="EC89" s="196" t="n">
        <f aca="false">IF((SUMIF($DU$3:$ED$3,EC$60,$DU$4:$ED$4))=0,0,((SUMIF($DU$3:$ED$3,EC$60,$DU138:$ED138))/SUMIF($DU$3:$ED$3,EC$60,$DU$4:$ED$4)))</f>
        <v>0</v>
      </c>
      <c r="ED89" s="197" t="n">
        <f aca="false">IF((SUMIF($DU$3:$ED$3,ED$60,$DU$4:$ED$4))=0,0,((SUMIF($DU$3:$ED$3,ED$60,$DU138:$ED138))/SUMIF($DU$3:$ED$3,ED$60,$DU$4:$ED$4)))</f>
        <v>0</v>
      </c>
      <c r="EE89" s="194" t="str">
        <f aca="false">DT89</f>
        <v>Alumno28</v>
      </c>
      <c r="EF89" s="195" t="n">
        <f aca="false">IF((SUMIF($EF$3:$EO$3,EF$60,$EF$4:$EO$4))=0,0,((SUMIF($EF$3:$EO$3,EF$60,$EF138:$EO138))/SUMIF($EF$3:$EO$3,EF$60,$EF$4:$EO$4)))</f>
        <v>0</v>
      </c>
      <c r="EG89" s="196" t="n">
        <f aca="false">IF((SUMIF($EF$3:$EO$3,EG$60,$EF$4:$EO$4))=0,0,((SUMIF($EF$3:$EO$3,EG$60,$EF138:$EO138))/SUMIF($EF$3:$EO$3,EG$60,$EF$4:$EO$4)))</f>
        <v>0</v>
      </c>
      <c r="EH89" s="196" t="n">
        <f aca="false">IF((SUMIF($EF$3:$EO$3,EH$60,$EF$4:$EO$4))=0,0,((SUMIF($EF$3:$EO$3,EH$60,$EF138:$EO138))/SUMIF($EF$3:$EO$3,EH$60,$EF$4:$EO$4)))</f>
        <v>0</v>
      </c>
      <c r="EI89" s="196" t="n">
        <f aca="false">IF((SUMIF($EF$3:$EO$3,EI$60,$EF$4:$EO$4))=0,0,((SUMIF($EF$3:$EO$3,EI$60,$EF138:$EO138))/SUMIF($EF$3:$EO$3,EI$60,$EF$4:$EO$4)))</f>
        <v>0</v>
      </c>
      <c r="EJ89" s="196" t="n">
        <f aca="false">IF((SUMIF($EF$3:$EO$3,EJ$60,$EF$4:$EO$4))=0,0,((SUMIF($EF$3:$EO$3,EJ$60,$EF138:$EO138))/SUMIF($EF$3:$EO$3,EJ$60,$EF$4:$EO$4)))</f>
        <v>0</v>
      </c>
      <c r="EK89" s="196" t="n">
        <f aca="false">IF((SUMIF($EF$3:$EO$3,EK$60,$EF$4:$EO$4))=0,0,((SUMIF($EF$3:$EO$3,EK$60,$EF138:$EO138))/SUMIF($EF$3:$EO$3,EK$60,$EF$4:$EO$4)))</f>
        <v>0</v>
      </c>
      <c r="EL89" s="196" t="n">
        <f aca="false">IF((SUMIF($EF$3:$EO$3,EL$60,$EF$4:$EO$4))=0,0,((SUMIF($EF$3:$EO$3,EL$60,$EF138:$EO138))/SUMIF($EF$3:$EO$3,EL$60,$EF$4:$EO$4)))</f>
        <v>0</v>
      </c>
      <c r="EM89" s="196" t="n">
        <f aca="false">IF((SUMIF($EF$3:$EO$3,EM$60,$EF$4:$EO$4))=0,0,((SUMIF($EF$3:$EO$3,EM$60,$EF138:$EO138))/SUMIF($EF$3:$EO$3,EM$60,$EF$4:$EO$4)))</f>
        <v>0</v>
      </c>
      <c r="EN89" s="196" t="n">
        <f aca="false">IF((SUMIF($EF$3:$EO$3,EN$60,$EF$4:$EO$4))=0,0,((SUMIF($EF$3:$EO$3,EN$60,$EF138:$EO138))/SUMIF($EF$3:$EO$3,EN$60,$EF$4:$EO$4)))</f>
        <v>0</v>
      </c>
      <c r="EO89" s="197" t="n">
        <f aca="false">IF((SUMIF($EF$3:$EO$3,EO$60,$EF$4:$EO$4))=0,0,((SUMIF($EF$3:$EO$3,EO$60,$EF138:$EO138))/SUMIF($EF$3:$EO$3,EO$60,$EF$4:$EO$4)))</f>
        <v>0</v>
      </c>
      <c r="EP89" s="194" t="str">
        <f aca="false">EE89</f>
        <v>Alumno28</v>
      </c>
      <c r="EQ89" s="195" t="n">
        <f aca="false">IF((SUMIF($EQ$3:$EZ$3,EQ$60,$EQ$4:$EZ$4))=0,0,((SUMIF($EQ$3:$EZ$3,EQ$60,$EQ138:$EZ138))/SUMIF($EQ$3:$EZ$3,EQ$60,$EQ$4:$EZ$4)))</f>
        <v>0</v>
      </c>
      <c r="ER89" s="196" t="n">
        <f aca="false">IF((SUMIF($EQ$3:$EZ$3,ER$60,$EQ$4:$EZ$4))=0,0,((SUMIF($EQ$3:$EZ$3,ER$60,$EQ138:$EZ138))/SUMIF($EQ$3:$EZ$3,ER$60,$EQ$4:$EZ$4)))</f>
        <v>0</v>
      </c>
      <c r="ES89" s="196" t="n">
        <f aca="false">IF((SUMIF($EQ$3:$EZ$3,ES$60,$EQ$4:$EZ$4))=0,0,((SUMIF($EQ$3:$EZ$3,ES$60,$EQ138:$EZ138))/SUMIF($EQ$3:$EZ$3,ES$60,$EQ$4:$EZ$4)))</f>
        <v>0</v>
      </c>
      <c r="ET89" s="196" t="n">
        <f aca="false">IF((SUMIF($EQ$3:$EZ$3,ET$60,$EQ$4:$EZ$4))=0,0,((SUMIF($EQ$3:$EZ$3,ET$60,$EQ138:$EZ138))/SUMIF($EQ$3:$EZ$3,ET$60,$EQ$4:$EZ$4)))</f>
        <v>0</v>
      </c>
      <c r="EU89" s="196" t="n">
        <f aca="false">IF((SUMIF($EQ$3:$EZ$3,EU$60,$EQ$4:$EZ$4))=0,0,((SUMIF($EQ$3:$EZ$3,EU$60,$EQ138:$EZ138))/SUMIF($EQ$3:$EZ$3,EU$60,$EQ$4:$EZ$4)))</f>
        <v>0</v>
      </c>
      <c r="EV89" s="196" t="n">
        <f aca="false">IF((SUMIF($EQ$3:$EZ$3,EV$60,$EQ$4:$EZ$4))=0,0,((SUMIF($EQ$3:$EZ$3,EV$60,$EQ138:$EZ138))/SUMIF($EQ$3:$EZ$3,EV$60,$EQ$4:$EZ$4)))</f>
        <v>0</v>
      </c>
      <c r="EW89" s="196" t="n">
        <f aca="false">IF((SUMIF($EQ$3:$EZ$3,EW$60,$EQ$4:$EZ$4))=0,0,((SUMIF($EQ$3:$EZ$3,EW$60,$EQ138:$EZ138))/SUMIF($EQ$3:$EZ$3,EW$60,$EQ$4:$EZ$4)))</f>
        <v>0</v>
      </c>
      <c r="EX89" s="196" t="n">
        <f aca="false">IF((SUMIF($EQ$3:$EZ$3,EX$60,$EQ$4:$EZ$4))=0,0,((SUMIF($EQ$3:$EZ$3,EX$60,$EQ138:$EZ138))/SUMIF($EQ$3:$EZ$3,EX$60,$EQ$4:$EZ$4)))</f>
        <v>0</v>
      </c>
      <c r="EY89" s="196" t="n">
        <f aca="false">IF((SUMIF($EQ$3:$EZ$3,EY$60,$EQ$4:$EZ$4))=0,0,((SUMIF($EQ$3:$EZ$3,EY$60,$EQ138:$EZ138))/SUMIF($EQ$3:$EZ$3,EY$60,$EQ$4:$EZ$4)))</f>
        <v>0</v>
      </c>
      <c r="EZ89" s="197" t="n">
        <f aca="false">IF((SUMIF($EQ$3:$EZ$3,EZ$60,$EQ$4:$EZ$4))=0,0,((SUMIF($EQ$3:$EZ$3,EZ$60,$EQ138:$EZ138))/SUMIF($EQ$3:$EZ$3,EZ$60,$EQ$4:$EZ$4)))</f>
        <v>0</v>
      </c>
      <c r="FA89" s="194" t="str">
        <f aca="false">EP89</f>
        <v>Alumno28</v>
      </c>
      <c r="FB89" s="195" t="n">
        <f aca="false">IF((SUMIF($FB$3:$FK$3,FB$60,$FB$4:$FK$4))=0,0,((SUMIF($FB$3:$FK$3,FB$60,$FB138:$FK138))/SUMIF($FB$3:$FK$3,FB$60,$FB$4:$FK$4)))</f>
        <v>0</v>
      </c>
      <c r="FC89" s="196" t="n">
        <f aca="false">IF((SUMIF($FB$3:$FK$3,FC$60,$FB$4:$FK$4))=0,0,((SUMIF($FB$3:$FK$3,FC$60,$FB138:$FK138))/SUMIF($FB$3:$FK$3,FC$60,$FB$4:$FK$4)))</f>
        <v>0</v>
      </c>
      <c r="FD89" s="196" t="n">
        <f aca="false">IF((SUMIF($FB$3:$FK$3,FD$60,$FB$4:$FK$4))=0,0,((SUMIF($FB$3:$FK$3,FD$60,$FB138:$FK138))/SUMIF($FB$3:$FK$3,FD$60,$FB$4:$FK$4)))</f>
        <v>0</v>
      </c>
      <c r="FE89" s="196" t="n">
        <f aca="false">IF((SUMIF($FB$3:$FK$3,FE$60,$FB$4:$FK$4))=0,0,((SUMIF($FB$3:$FK$3,FE$60,$FB138:$FK138))/SUMIF($FB$3:$FK$3,FE$60,$FB$4:$FK$4)))</f>
        <v>0</v>
      </c>
      <c r="FF89" s="196" t="n">
        <f aca="false">IF((SUMIF($FB$3:$FK$3,FF$60,$FB$4:$FK$4))=0,0,((SUMIF($FB$3:$FK$3,FF$60,$FB138:$FK138))/SUMIF($FB$3:$FK$3,FF$60,$FB$4:$FK$4)))</f>
        <v>0</v>
      </c>
      <c r="FG89" s="196" t="n">
        <f aca="false">IF((SUMIF($FB$3:$FK$3,FG$60,$FB$4:$FK$4))=0,0,((SUMIF($FB$3:$FK$3,FG$60,$FB138:$FK138))/SUMIF($FB$3:$FK$3,FG$60,$FB$4:$FK$4)))</f>
        <v>0</v>
      </c>
      <c r="FH89" s="196" t="n">
        <f aca="false">IF((SUMIF($FB$3:$FK$3,FH$60,$FB$4:$FK$4))=0,0,((SUMIF($FB$3:$FK$3,FH$60,$FB138:$FK138))/SUMIF($FB$3:$FK$3,FH$60,$FB$4:$FK$4)))</f>
        <v>0</v>
      </c>
      <c r="FI89" s="196" t="n">
        <f aca="false">IF((SUMIF($FB$3:$FK$3,FI$60,$FB$4:$FK$4))=0,0,((SUMIF($FB$3:$FK$3,FI$60,$FB138:$FK138))/SUMIF($FB$3:$FK$3,FI$60,$FB$4:$FK$4)))</f>
        <v>0</v>
      </c>
      <c r="FJ89" s="196" t="n">
        <f aca="false">IF((SUMIF($FB$3:$FK$3,FJ$60,$FB$4:$FK$4))=0,0,((SUMIF($FB$3:$FK$3,FJ$60,$FB138:$FK138))/SUMIF($FB$3:$FK$3,FJ$60,$FB$4:$FK$4)))</f>
        <v>0</v>
      </c>
      <c r="FK89" s="197" t="n">
        <f aca="false">IF((SUMIF($FB$3:$FK$3,FK$60,$FB$4:$FK$4))=0,0,((SUMIF($FB$3:$FK$3,FK$60,$FB138:$FK138))/SUMIF($FB$3:$FK$3,FK$60,$FB$4:$FK$4)))</f>
        <v>0</v>
      </c>
      <c r="FL89" s="194" t="str">
        <f aca="false">FA89</f>
        <v>Alumno28</v>
      </c>
      <c r="FM89" s="195" t="n">
        <f aca="false">IF((SUMIF($FM$3:$FV$3,FM$60,$FM$4:$FV$4))=0,0,((SUMIF($FM$3:$FV$3,FM$60,$FM138:$FV138))/SUMIF($FM$3:$FV$3,FM$60,$FM$4:$FV$4)))</f>
        <v>0</v>
      </c>
      <c r="FN89" s="196" t="n">
        <f aca="false">IF((SUMIF($FM$3:$FV$3,FN$60,$FM$4:$FV$4))=0,0,((SUMIF($FM$3:$FV$3,FN$60,$FM138:$FV138))/SUMIF($FM$3:$FV$3,FN$60,$FM$4:$FV$4)))</f>
        <v>0</v>
      </c>
      <c r="FO89" s="196" t="n">
        <f aca="false">IF((SUMIF($FM$3:$FV$3,FO$60,$FM$4:$FV$4))=0,0,((SUMIF($FM$3:$FV$3,FO$60,$FM138:$FV138))/SUMIF($FM$3:$FV$3,FO$60,$FM$4:$FV$4)))</f>
        <v>0</v>
      </c>
      <c r="FP89" s="196" t="n">
        <f aca="false">IF((SUMIF($FM$3:$FV$3,FP$60,$FM$4:$FV$4))=0,0,((SUMIF($FM$3:$FV$3,FP$60,$FM138:$FV138))/SUMIF($FM$3:$FV$3,FP$60,$FM$4:$FV$4)))</f>
        <v>0</v>
      </c>
      <c r="FQ89" s="196" t="n">
        <f aca="false">IF((SUMIF($FM$3:$FV$3,FQ$60,$FM$4:$FV$4))=0,0,((SUMIF($FM$3:$FV$3,FQ$60,$FM138:$FV138))/SUMIF($FM$3:$FV$3,FQ$60,$FM$4:$FV$4)))</f>
        <v>0</v>
      </c>
      <c r="FR89" s="196" t="n">
        <f aca="false">IF((SUMIF($FM$3:$FV$3,FR$60,$FM$4:$FV$4))=0,0,((SUMIF($FM$3:$FV$3,FR$60,$FM138:$FV138))/SUMIF($FM$3:$FV$3,FR$60,$FM$4:$FV$4)))</f>
        <v>0</v>
      </c>
      <c r="FS89" s="196" t="n">
        <f aca="false">IF((SUMIF($FM$3:$FV$3,FS$60,$FM$4:$FV$4))=0,0,((SUMIF($FM$3:$FV$3,FS$60,$FM138:$FV138))/SUMIF($FM$3:$FV$3,FS$60,$FM$4:$FV$4)))</f>
        <v>0</v>
      </c>
      <c r="FT89" s="196" t="n">
        <f aca="false">IF((SUMIF($FM$3:$FV$3,FT$60,$FM$4:$FV$4))=0,0,((SUMIF($FM$3:$FV$3,FT$60,$FM138:$FV138))/SUMIF($FM$3:$FV$3,FT$60,$FM$4:$FV$4)))</f>
        <v>0</v>
      </c>
      <c r="FU89" s="196" t="n">
        <f aca="false">IF((SUMIF($FM$3:$FV$3,FU$60,$FM$4:$FV$4))=0,0,((SUMIF($FM$3:$FV$3,FU$60,$FM138:$FV138))/SUMIF($FM$3:$FV$3,FU$60,$FM$4:$FV$4)))</f>
        <v>0</v>
      </c>
      <c r="FV89" s="197" t="n">
        <f aca="false">IF((SUMIF($FM$3:$FV$3,FV$60,$FM$4:$FV$4))=0,0,((SUMIF($FM$3:$FV$3,FV$60,$FM138:$FV138))/SUMIF($FM$3:$FV$3,FV$60,$FM$4:$FV$4)))</f>
        <v>0</v>
      </c>
      <c r="FW89" s="194" t="str">
        <f aca="false">FL89</f>
        <v>Alumno28</v>
      </c>
      <c r="FX89" s="195" t="n">
        <f aca="false">IF((SUMIF($FX$3:$GG$3,FX$60,$FX$4:$GG$4))=0,0,((SUMIF($FX$3:$GG$3,FX$60,$FX138:$GG138))/SUMIF($FX$3:$GG$3,FX$60,$FX$4:$GG$4)))</f>
        <v>0</v>
      </c>
      <c r="FY89" s="196" t="n">
        <f aca="false">IF((SUMIF($FX$3:$GG$3,FY$60,$FX$4:$GG$4))=0,0,((SUMIF($FX$3:$GG$3,FY$60,$FX138:$GG138))/SUMIF($FX$3:$GG$3,FY$60,$FX$4:$GG$4)))</f>
        <v>0</v>
      </c>
      <c r="FZ89" s="196" t="n">
        <f aca="false">IF((SUMIF($FX$3:$GG$3,FZ$60,$FX$4:$GG$4))=0,0,((SUMIF($FX$3:$GG$3,FZ$60,$FX138:$GG138))/SUMIF($FX$3:$GG$3,FZ$60,$FX$4:$GG$4)))</f>
        <v>0</v>
      </c>
      <c r="GA89" s="196" t="n">
        <f aca="false">IF((SUMIF($FX$3:$GG$3,GA$60,$FX$4:$GG$4))=0,0,((SUMIF($FX$3:$GG$3,GA$60,$FX138:$GG138))/SUMIF($FX$3:$GG$3,GA$60,$FX$4:$GG$4)))</f>
        <v>0</v>
      </c>
      <c r="GB89" s="196" t="n">
        <f aca="false">IF((SUMIF($FX$3:$GG$3,GB$60,$FX$4:$GG$4))=0,0,((SUMIF($FX$3:$GG$3,GB$60,$FX138:$GG138))/SUMIF($FX$3:$GG$3,GB$60,$FX$4:$GG$4)))</f>
        <v>0</v>
      </c>
      <c r="GC89" s="196" t="n">
        <f aca="false">IF((SUMIF($FX$3:$GG$3,GC$60,$FX$4:$GG$4))=0,0,((SUMIF($FX$3:$GG$3,GC$60,$FX138:$GG138))/SUMIF($FX$3:$GG$3,GC$60,$FX$4:$GG$4)))</f>
        <v>0</v>
      </c>
      <c r="GD89" s="196" t="n">
        <f aca="false">IF((SUMIF($FX$3:$GG$3,GD$60,$FX$4:$GG$4))=0,0,((SUMIF($FX$3:$GG$3,GD$60,$FX138:$GG138))/SUMIF($FX$3:$GG$3,GD$60,$FX$4:$GG$4)))</f>
        <v>0</v>
      </c>
      <c r="GE89" s="196" t="n">
        <f aca="false">IF((SUMIF($FX$3:$GG$3,GE$60,$FX$4:$GG$4))=0,0,((SUMIF($FX$3:$GG$3,GE$60,$FX138:$GG138))/SUMIF($FX$3:$GG$3,GE$60,$FX$4:$GG$4)))</f>
        <v>0</v>
      </c>
      <c r="GF89" s="196" t="n">
        <f aca="false">IF((SUMIF($FX$3:$GG$3,GF$60,$FX$4:$GG$4))=0,0,((SUMIF($FX$3:$GG$3,GF$60,$FX138:$GG138))/SUMIF($FX$3:$GG$3,GF$60,$FX$4:$GG$4)))</f>
        <v>0</v>
      </c>
      <c r="GG89" s="197" t="n">
        <f aca="false">IF((SUMIF($FX$3:$GG$3,GG$60,$FX$4:$GG$4))=0,0,((SUMIF($FX$3:$GG$3,GG$60,$FX138:$GG138))/SUMIF($FX$3:$GG$3,GG$60,$FX$4:$GG$4)))</f>
        <v>0</v>
      </c>
      <c r="GH89" s="194" t="str">
        <f aca="false">FW89</f>
        <v>Alumno28</v>
      </c>
      <c r="GI89" s="195" t="n">
        <f aca="false">IF((SUMIF($GI$3:$GR$3,GI$60,$GI$4:$GR$4))=0,0,((SUMIF($GI$3:$GR$3,GI$60,$GI138:$GR138))/SUMIF($GI$3:$GR$3,GI$60,$GI$4:$GR$4)))</f>
        <v>0</v>
      </c>
      <c r="GJ89" s="196" t="n">
        <f aca="false">IF((SUMIF($GI$3:$GR$3,GJ$60,$GI$4:$GR$4))=0,0,((SUMIF($GI$3:$GR$3,GJ$60,$GI138:$GR138))/SUMIF($GI$3:$GR$3,GJ$60,$GI$4:$GR$4)))</f>
        <v>0</v>
      </c>
      <c r="GK89" s="196" t="n">
        <f aca="false">IF((SUMIF($GI$3:$GR$3,GK$60,$GI$4:$GR$4))=0,0,((SUMIF($GI$3:$GR$3,GK$60,$GI138:$GR138))/SUMIF($GI$3:$GR$3,GK$60,$GI$4:$GR$4)))</f>
        <v>0</v>
      </c>
      <c r="GL89" s="196" t="n">
        <f aca="false">IF((SUMIF($GI$3:$GR$3,GL$60,$GI$4:$GR$4))=0,0,((SUMIF($GI$3:$GR$3,GL$60,$GI138:$GR138))/SUMIF($GI$3:$GR$3,GL$60,$GI$4:$GR$4)))</f>
        <v>0</v>
      </c>
      <c r="GM89" s="196" t="n">
        <f aca="false">IF((SUMIF($GI$3:$GR$3,GM$60,$GI$4:$GR$4))=0,0,((SUMIF($GI$3:$GR$3,GM$60,$GI138:$GR138))/SUMIF($GI$3:$GR$3,GM$60,$GI$4:$GR$4)))</f>
        <v>0</v>
      </c>
      <c r="GN89" s="196" t="n">
        <f aca="false">IF((SUMIF($GI$3:$GR$3,GN$60,$GI$4:$GR$4))=0,0,((SUMIF($GI$3:$GR$3,GN$60,$GI138:$GR138))/SUMIF($GI$3:$GR$3,GN$60,$GI$4:$GR$4)))</f>
        <v>0</v>
      </c>
      <c r="GO89" s="196" t="n">
        <f aca="false">IF((SUMIF($GI$3:$GR$3,GO$60,$GI$4:$GR$4))=0,0,((SUMIF($GI$3:$GR$3,GO$60,$GI138:$GR138))/SUMIF($GI$3:$GR$3,GO$60,$GI$4:$GR$4)))</f>
        <v>0</v>
      </c>
      <c r="GP89" s="196" t="n">
        <f aca="false">IF((SUMIF($GI$3:$GR$3,GP$60,$GI$4:$GR$4))=0,0,((SUMIF($GI$3:$GR$3,GP$60,$GI138:$GR138))/SUMIF($GI$3:$GR$3,GP$60,$GI$4:$GR$4)))</f>
        <v>0</v>
      </c>
      <c r="GQ89" s="196" t="n">
        <f aca="false">IF((SUMIF($GI$3:$GR$3,GQ$60,$GI$4:$GR$4))=0,0,((SUMIF($GI$3:$GR$3,GQ$60,$GI138:$GR138))/SUMIF($GI$3:$GR$3,GQ$60,$GI$4:$GR$4)))</f>
        <v>0</v>
      </c>
      <c r="GR89" s="197" t="n">
        <f aca="false">IF((SUMIF($GI$3:$GR$3,GR$60,$GI$4:$GR$4))=0,0,((SUMIF($GI$3:$GR$3,GR$60,$GI138:$GR138))/SUMIF($GI$3:$GR$3,GR$60,$GI$4:$GR$4)))</f>
        <v>0</v>
      </c>
      <c r="GS89" s="194" t="str">
        <f aca="false">GH89</f>
        <v>Alumno28</v>
      </c>
      <c r="GT89" s="195" t="n">
        <f aca="false">IF((SUMIF($GT$3:$HC$3,GT$60,$GT$4:$HC$4))=0,0,((SUMIF($GT$3:$HC$3,GT$60,$GT138:$HC138))/SUMIF($GT$3:$HC$3,GT$60,$GT$4:$HC$4)))</f>
        <v>0</v>
      </c>
      <c r="GU89" s="196" t="n">
        <f aca="false">IF((SUMIF($GT$3:$HC$3,GU$60,$GT$4:$HC$4))=0,0,((SUMIF($GT$3:$HC$3,GU$60,$GT138:$HC138))/SUMIF($GT$3:$HC$3,GU$60,$GT$4:$HC$4)))</f>
        <v>0</v>
      </c>
      <c r="GV89" s="196" t="n">
        <f aca="false">IF((SUMIF($GT$3:$HC$3,GV$60,$GT$4:$HC$4))=0,0,((SUMIF($GT$3:$HC$3,GV$60,$GT138:$HC138))/SUMIF($GT$3:$HC$3,GV$60,$GT$4:$HC$4)))</f>
        <v>0</v>
      </c>
      <c r="GW89" s="196" t="n">
        <f aca="false">IF((SUMIF($GT$3:$HC$3,GW$60,$GT$4:$HC$4))=0,0,((SUMIF($GT$3:$HC$3,GW$60,$GT138:$HC138))/SUMIF($GT$3:$HC$3,GW$60,$GT$4:$HC$4)))</f>
        <v>0</v>
      </c>
      <c r="GX89" s="196" t="n">
        <f aca="false">IF((SUMIF($GT$3:$HC$3,GX$60,$GT$4:$HC$4))=0,0,((SUMIF($GT$3:$HC$3,GX$60,$GT138:$HC138))/SUMIF($GT$3:$HC$3,GX$60,$GT$4:$HC$4)))</f>
        <v>0</v>
      </c>
      <c r="GY89" s="196" t="n">
        <f aca="false">IF((SUMIF($GT$3:$HC$3,GY$60,$GT$4:$HC$4))=0,0,((SUMIF($GT$3:$HC$3,GY$60,$GT138:$HC138))/SUMIF($GT$3:$HC$3,GY$60,$GT$4:$HC$4)))</f>
        <v>0</v>
      </c>
      <c r="GZ89" s="196" t="n">
        <f aca="false">IF((SUMIF($GT$3:$HC$3,GZ$60,$GT$4:$HC$4))=0,0,((SUMIF($GT$3:$HC$3,GZ$60,$GT138:$HC138))/SUMIF($GT$3:$HC$3,GZ$60,$GT$4:$HC$4)))</f>
        <v>0</v>
      </c>
      <c r="HA89" s="196" t="n">
        <f aca="false">IF((SUMIF($GT$3:$HC$3,HA$60,$GT$4:$HC$4))=0,0,((SUMIF($GT$3:$HC$3,HA$60,$GT138:$HC138))/SUMIF($GT$3:$HC$3,HA$60,$GT$4:$HC$4)))</f>
        <v>0</v>
      </c>
      <c r="HB89" s="196" t="n">
        <f aca="false">IF((SUMIF($GT$3:$HC$3,HB$60,$GT$4:$HC$4))=0,0,((SUMIF($GT$3:$HC$3,HB$60,$GT138:$HC138))/SUMIF($GT$3:$HC$3,HB$60,$GT$4:$HC$4)))</f>
        <v>0</v>
      </c>
      <c r="HC89" s="197" t="n">
        <f aca="false">IF((SUMIF($GT$3:$HC$3,HC$60,$GT$4:$HC$4))=0,0,((SUMIF($GT$3:$HC$3,HC$60,$GT138:$HC138))/SUMIF($GT$3:$HC$3,HC$60,$GT$4:$HC$4)))</f>
        <v>0</v>
      </c>
      <c r="HD89" s="194" t="str">
        <f aca="false">GS89</f>
        <v>Alumno28</v>
      </c>
      <c r="HE89" s="195" t="n">
        <f aca="false">IF((SUMIF($HE$3:$HN$3,HE$60,$HE$4:$HN$4))=0,0,((SUMIF($HE$3:$HN$3,HE$60,$HE138:$HN138))/SUMIF($HE$3:$HN$3,HE$60,$HE$4:$HN$4)))</f>
        <v>0</v>
      </c>
      <c r="HF89" s="196" t="n">
        <f aca="false">IF((SUMIF($HE$3:$HN$3,HF$60,$HE$4:$HN$4))=0,0,((SUMIF($HE$3:$HN$3,HF$60,$HE138:$HN138))/SUMIF($HE$3:$HN$3,HF$60,$HE$4:$HN$4)))</f>
        <v>0</v>
      </c>
      <c r="HG89" s="196" t="n">
        <f aca="false">IF((SUMIF($HE$3:$HN$3,HG$60,$HE$4:$HN$4))=0,0,((SUMIF($HE$3:$HN$3,HG$60,$HE138:$HN138))/SUMIF($HE$3:$HN$3,HG$60,$HE$4:$HN$4)))</f>
        <v>0</v>
      </c>
      <c r="HH89" s="196" t="n">
        <f aca="false">IF((SUMIF($HE$3:$HN$3,HH$60,$HE$4:$HN$4))=0,0,((SUMIF($HE$3:$HN$3,HH$60,$HE138:$HN138))/SUMIF($HE$3:$HN$3,HH$60,$HE$4:$HN$4)))</f>
        <v>0</v>
      </c>
      <c r="HI89" s="196" t="n">
        <f aca="false">IF((SUMIF($HE$3:$HN$3,HI$60,$HE$4:$HN$4))=0,0,((SUMIF($HE$3:$HN$3,HI$60,$HE138:$HN138))/SUMIF($HE$3:$HN$3,HI$60,$HE$4:$HN$4)))</f>
        <v>0</v>
      </c>
      <c r="HJ89" s="196" t="n">
        <f aca="false">IF((SUMIF($HE$3:$HN$3,HJ$60,$HE$4:$HN$4))=0,0,((SUMIF($HE$3:$HN$3,HJ$60,$HE138:$HN138))/SUMIF($HE$3:$HN$3,HJ$60,$HE$4:$HN$4)))</f>
        <v>0</v>
      </c>
      <c r="HK89" s="196" t="n">
        <f aca="false">IF((SUMIF($HE$3:$HN$3,HK$60,$HE$4:$HN$4))=0,0,((SUMIF($HE$3:$HN$3,HK$60,$HE138:$HN138))/SUMIF($HE$3:$HN$3,HK$60,$HE$4:$HN$4)))</f>
        <v>0</v>
      </c>
      <c r="HL89" s="196" t="n">
        <f aca="false">IF((SUMIF($HE$3:$HN$3,HL$60,$HE$4:$HN$4))=0,0,((SUMIF($HE$3:$HN$3,HL$60,$HE138:$HN138))/SUMIF($HE$3:$HN$3,HL$60,$HE$4:$HN$4)))</f>
        <v>0</v>
      </c>
      <c r="HM89" s="196" t="n">
        <f aca="false">IF((SUMIF($HE$3:$HN$3,HM$60,$HE$4:$HN$4))=0,0,((SUMIF($HE$3:$HN$3,HM$60,$HE138:$HN138))/SUMIF($HE$3:$HN$3,HM$60,$HE$4:$HN$4)))</f>
        <v>0</v>
      </c>
      <c r="HN89" s="197" t="n">
        <f aca="false">IF((SUMIF($HE$3:$HN$3,HN$60,$HE$4:$HN$4))=0,0,((SUMIF($HE$3:$HN$3,HN$60,$HE138:$HN138))/SUMIF($HE$3:$HN$3,HN$60,$HE$4:$HN$4)))</f>
        <v>0</v>
      </c>
      <c r="HO89" s="194" t="str">
        <f aca="false">HD89</f>
        <v>Alumno28</v>
      </c>
      <c r="HP89" s="195" t="n">
        <f aca="false">IF((SUMIF($HP$3:$HY$3,HP$60,$HP$4:$HY$4))=0,0,((SUMIF($HP$3:$HY$3,HP$60,$HP138:$HY138))/SUMIF($HP$3:$HY$3,HP$60,$HP$4:$HY$4)))</f>
        <v>0</v>
      </c>
      <c r="HQ89" s="196" t="n">
        <f aca="false">IF((SUMIF($HP$3:$HY$3,HQ$60,$HP$4:$HY$4))=0,0,((SUMIF($HP$3:$HY$3,HQ$60,$HP138:$HY138))/SUMIF($HP$3:$HY$3,HQ$60,$HP$4:$HY$4)))</f>
        <v>0</v>
      </c>
      <c r="HR89" s="196" t="n">
        <f aca="false">IF((SUMIF($HP$3:$HY$3,HR$60,$HP$4:$HY$4))=0,0,((SUMIF($HP$3:$HY$3,HR$60,$HP138:$HY138))/SUMIF($HP$3:$HY$3,HR$60,$HP$4:$HY$4)))</f>
        <v>0</v>
      </c>
      <c r="HS89" s="196" t="n">
        <f aca="false">IF((SUMIF($HP$3:$HY$3,HS$60,$HP$4:$HY$4))=0,0,((SUMIF($HP$3:$HY$3,HS$60,$HP138:$HY138))/SUMIF($HP$3:$HY$3,HS$60,$HP$4:$HY$4)))</f>
        <v>0</v>
      </c>
      <c r="HT89" s="196" t="n">
        <f aca="false">IF((SUMIF($HP$3:$HY$3,HT$60,$HP$4:$HY$4))=0,0,((SUMIF($HP$3:$HY$3,HT$60,$HP138:$HY138))/SUMIF($HP$3:$HY$3,HT$60,$HP$4:$HY$4)))</f>
        <v>0</v>
      </c>
      <c r="HU89" s="196" t="n">
        <f aca="false">IF((SUMIF($HP$3:$HY$3,HU$60,$HP$4:$HY$4))=0,0,((SUMIF($HP$3:$HY$3,HU$60,$HP138:$HY138))/SUMIF($HP$3:$HY$3,HU$60,$HP$4:$HY$4)))</f>
        <v>0</v>
      </c>
      <c r="HV89" s="196" t="n">
        <f aca="false">IF((SUMIF($HP$3:$HY$3,HV$60,$HP$4:$HY$4))=0,0,((SUMIF($HP$3:$HY$3,HV$60,$HP138:$HY138))/SUMIF($HP$3:$HY$3,HV$60,$HP$4:$HY$4)))</f>
        <v>0</v>
      </c>
      <c r="HW89" s="196" t="n">
        <f aca="false">IF((SUMIF($HP$3:$HY$3,HW$60,$HP$4:$HY$4))=0,0,((SUMIF($HP$3:$HY$3,HW$60,$HP138:$HY138))/SUMIF($HP$3:$HY$3,HW$60,$HP$4:$HY$4)))</f>
        <v>0</v>
      </c>
      <c r="HX89" s="196" t="n">
        <f aca="false">IF((SUMIF($HP$3:$HY$3,HX$60,$HP$4:$HY$4))=0,0,((SUMIF($HP$3:$HY$3,HX$60,$HP138:$HY138))/SUMIF($HP$3:$HY$3,HX$60,$HP$4:$HY$4)))</f>
        <v>0</v>
      </c>
      <c r="HY89" s="197" t="n">
        <f aca="false">IF((SUMIF($HP$3:$HY$3,HY$60,$HP$4:$HY$4))=0,0,((SUMIF($HP$3:$HY$3,HY$60,$HP138:$HY138))/SUMIF($HP$3:$HY$3,HY$60,$HP$4:$HY$4)))</f>
        <v>0</v>
      </c>
      <c r="HZ89" s="194" t="str">
        <f aca="false">HO89</f>
        <v>Alumno28</v>
      </c>
      <c r="IA89" s="195" t="n">
        <f aca="false">IF((SUMIF($IA$3:$IJ$3,IA$60,$IA$4:$IJ$4))=0,0,((SUMIF($IA$3:$IJ$3,IA$60,$IA138:$IJ138))/SUMIF($IA$3:$IJ$3,IA$60,$IA$4:$IJ$4)))</f>
        <v>0</v>
      </c>
      <c r="IB89" s="196" t="n">
        <f aca="false">IF((SUMIF($IA$3:$IJ$3,IB$60,$IA$4:$IJ$4))=0,0,((SUMIF($IA$3:$IJ$3,IB$60,$IA138:$IJ138))/SUMIF($IA$3:$IJ$3,IB$60,$IA$4:$IJ$4)))</f>
        <v>0</v>
      </c>
      <c r="IC89" s="196" t="n">
        <f aca="false">IF((SUMIF($IA$3:$IJ$3,IC$60,$IA$4:$IJ$4))=0,0,((SUMIF($IA$3:$IJ$3,IC$60,$IA138:$IJ138))/SUMIF($IA$3:$IJ$3,IC$60,$IA$4:$IJ$4)))</f>
        <v>0</v>
      </c>
      <c r="ID89" s="196" t="n">
        <f aca="false">IF((SUMIF($IA$3:$IJ$3,ID$60,$IA$4:$IJ$4))=0,0,((SUMIF($IA$3:$IJ$3,ID$60,$IA138:$IJ138))/SUMIF($IA$3:$IJ$3,ID$60,$IA$4:$IJ$4)))</f>
        <v>0</v>
      </c>
      <c r="IE89" s="196" t="n">
        <f aca="false">IF((SUMIF($IA$3:$IJ$3,IE$60,$IA$4:$IJ$4))=0,0,((SUMIF($IA$3:$IJ$3,IE$60,$IA138:$IJ138))/SUMIF($IA$3:$IJ$3,IE$60,$IA$4:$IJ$4)))</f>
        <v>0</v>
      </c>
      <c r="IF89" s="196" t="n">
        <f aca="false">IF((SUMIF($IA$3:$IJ$3,IF$60,$IA$4:$IJ$4))=0,0,((SUMIF($IA$3:$IJ$3,IF$60,$IA138:$IJ138))/SUMIF($IA$3:$IJ$3,IF$60,$IA$4:$IJ$4)))</f>
        <v>0</v>
      </c>
      <c r="IG89" s="196" t="n">
        <f aca="false">IF((SUMIF($IA$3:$IJ$3,IG$60,$IA$4:$IJ$4))=0,0,((SUMIF($IA$3:$IJ$3,IG$60,$IA138:$IJ138))/SUMIF($IA$3:$IJ$3,IG$60,$IA$4:$IJ$4)))</f>
        <v>0</v>
      </c>
      <c r="IH89" s="196" t="n">
        <f aca="false">IF((SUMIF($IA$3:$IJ$3,IH$60,$IA$4:$IJ$4))=0,0,((SUMIF($IA$3:$IJ$3,IH$60,$IA138:$IJ138))/SUMIF($IA$3:$IJ$3,IH$60,$IA$4:$IJ$4)))</f>
        <v>0</v>
      </c>
      <c r="II89" s="196" t="n">
        <f aca="false">IF((SUMIF($IA$3:$IJ$3,II$60,$IA$4:$IJ$4))=0,0,((SUMIF($IA$3:$IJ$3,II$60,$IA138:$IJ138))/SUMIF($IA$3:$IJ$3,II$60,$IA$4:$IJ$4)))</f>
        <v>0</v>
      </c>
      <c r="IJ89" s="197" t="n">
        <f aca="false">IF((SUMIF($IA$3:$IJ$3,IJ$60,$IA$4:$IJ$4))=0,0,((SUMIF($IA$3:$IJ$3,IJ$60,$IA138:$IJ138))/SUMIF($IA$3:$IJ$3,IJ$60,$IA$4:$IJ$4)))</f>
        <v>0</v>
      </c>
      <c r="IK89" s="194" t="str">
        <f aca="false">HZ89</f>
        <v>Alumno28</v>
      </c>
      <c r="IL89" s="195" t="n">
        <f aca="false">IF((SUMIF($IL$3:$IU$3,IL$60,$IL$4:$IU$4))=0,0,((SUMIF($IL$3:$IU$3,IL$60,$IL138:$IU138))/SUMIF($IL$3:$IU$3,IL$60,$IL$4:$IU$4)))</f>
        <v>0</v>
      </c>
      <c r="IM89" s="196" t="n">
        <f aca="false">IF((SUMIF($IL$3:$IU$3,IM$60,$IL$4:$IU$4))=0,0,((SUMIF($IL$3:$IU$3,IM$60,$IL138:$IU138))/SUMIF($IL$3:$IU$3,IM$60,$IL$4:$IU$4)))</f>
        <v>0</v>
      </c>
      <c r="IN89" s="196" t="n">
        <f aca="false">IF((SUMIF($IL$3:$IU$3,IN$60,$IL$4:$IU$4))=0,0,((SUMIF($IL$3:$IU$3,IN$60,$IL138:$IU138))/SUMIF($IL$3:$IU$3,IN$60,$IL$4:$IU$4)))</f>
        <v>0</v>
      </c>
      <c r="IO89" s="196" t="n">
        <f aca="false">IF((SUMIF($IL$3:$IU$3,IO$60,$IL$4:$IU$4))=0,0,((SUMIF($IL$3:$IU$3,IO$60,$IL138:$IU138))/SUMIF($IL$3:$IU$3,IO$60,$IL$4:$IU$4)))</f>
        <v>0</v>
      </c>
      <c r="IP89" s="196" t="n">
        <f aca="false">IF((SUMIF($IL$3:$IU$3,IP$60,$IL$4:$IU$4))=0,0,((SUMIF($IL$3:$IU$3,IP$60,$IL138:$IU138))/SUMIF($IL$3:$IU$3,IP$60,$IL$4:$IU$4)))</f>
        <v>0</v>
      </c>
      <c r="IQ89" s="196" t="n">
        <f aca="false">IF((SUMIF($IL$3:$IU$3,IQ$60,$IL$4:$IU$4))=0,0,((SUMIF($IL$3:$IU$3,IQ$60,$IL138:$IU138))/SUMIF($IL$3:$IU$3,IQ$60,$IL$4:$IU$4)))</f>
        <v>0</v>
      </c>
      <c r="IR89" s="196" t="n">
        <f aca="false">IF((SUMIF($IL$3:$IU$3,IR$60,$IL$4:$IU$4))=0,0,((SUMIF($IL$3:$IU$3,IR$60,$IL138:$IU138))/SUMIF($IL$3:$IU$3,IR$60,$IL$4:$IU$4)))</f>
        <v>0</v>
      </c>
      <c r="IS89" s="196" t="n">
        <f aca="false">IF((SUMIF($IL$3:$IU$3,IS$60,$IL$4:$IU$4))=0,0,((SUMIF($IL$3:$IU$3,IS$60,$IL138:$IU138))/SUMIF($IL$3:$IU$3,IS$60,$IL$4:$IU$4)))</f>
        <v>0</v>
      </c>
      <c r="IT89" s="196" t="n">
        <f aca="false">IF((SUMIF($IL$3:$IU$3,IT$60,$IL$4:$IU$4))=0,0,((SUMIF($IL$3:$IU$3,IT$60,$IL138:$IU138))/SUMIF($IL$3:$IU$3,IT$60,$IL$4:$IU$4)))</f>
        <v>0</v>
      </c>
      <c r="IU89" s="197" t="n">
        <f aca="false">IF((SUMIF($IL$3:$IU$3,IU$60,$IL$4:$IU$4))=0,0,((SUMIF($IL$3:$IU$3,IU$60,$IL138:$IU138))/SUMIF($IL$3:$IU$3,IU$60,$IL$4:$IU$4)))</f>
        <v>0</v>
      </c>
      <c r="IV89" s="194" t="str">
        <f aca="false">IK89</f>
        <v>Alumno28</v>
      </c>
      <c r="IW89" s="195" t="n">
        <f aca="false">IF((SUMIF($IW$3:$JF$3,IW$60,$IW$4:$JF$4))=0,0,((SUMIF($IW$3:$JF$3,IW$60,$IW138:$JF138))/SUMIF($IW$3:$JF$3,IW$60,$IW$4:$JF$4)))</f>
        <v>0</v>
      </c>
      <c r="IX89" s="196" t="n">
        <f aca="false">IF((SUMIF($IW$3:$JF$3,IX$60,$IW$4:$JF$4))=0,0,((SUMIF($IW$3:$JF$3,IX$60,$IW138:$JF138))/SUMIF($IW$3:$JF$3,IX$60,$IW$4:$JF$4)))</f>
        <v>0</v>
      </c>
      <c r="IY89" s="196" t="n">
        <f aca="false">IF((SUMIF($IW$3:$JF$3,IY$60,$IW$4:$JF$4))=0,0,((SUMIF($IW$3:$JF$3,IY$60,$IW138:$JF138))/SUMIF($IW$3:$JF$3,IY$60,$IW$4:$JF$4)))</f>
        <v>0</v>
      </c>
      <c r="IZ89" s="196" t="n">
        <f aca="false">IF((SUMIF($IW$3:$JF$3,IZ$60,$IW$4:$JF$4))=0,0,((SUMIF($IW$3:$JF$3,IZ$60,$IW138:$JF138))/SUMIF($IW$3:$JF$3,IZ$60,$IW$4:$JF$4)))</f>
        <v>0</v>
      </c>
      <c r="JA89" s="196" t="n">
        <f aca="false">IF((SUMIF($IW$3:$JF$3,JA$60,$IW$4:$JF$4))=0,0,((SUMIF($IW$3:$JF$3,JA$60,$IW138:$JF138))/SUMIF($IW$3:$JF$3,JA$60,$IW$4:$JF$4)))</f>
        <v>0</v>
      </c>
      <c r="JB89" s="196" t="n">
        <f aca="false">IF((SUMIF($IW$3:$JF$3,JB$60,$IW$4:$JF$4))=0,0,((SUMIF($IW$3:$JF$3,JB$60,$IW138:$JF138))/SUMIF($IW$3:$JF$3,JB$60,$IW$4:$JF$4)))</f>
        <v>0</v>
      </c>
      <c r="JC89" s="196" t="n">
        <f aca="false">IF((SUMIF($IW$3:$JF$3,JC$60,$IW$4:$JF$4))=0,0,((SUMIF($IW$3:$JF$3,JC$60,$IW138:$JF138))/SUMIF($IW$3:$JF$3,JC$60,$IW$4:$JF$4)))</f>
        <v>0</v>
      </c>
      <c r="JD89" s="196" t="n">
        <f aca="false">IF((SUMIF($IW$3:$JF$3,JD$60,$IW$4:$JF$4))=0,0,((SUMIF($IW$3:$JF$3,JD$60,$IW138:$JF138))/SUMIF($IW$3:$JF$3,JD$60,$IW$4:$JF$4)))</f>
        <v>0</v>
      </c>
      <c r="JE89" s="196" t="n">
        <f aca="false">IF((SUMIF($IW$3:$JF$3,JE$60,$IW$4:$JF$4))=0,0,((SUMIF($IW$3:$JF$3,JE$60,$IW138:$JF138))/SUMIF($IW$3:$JF$3,JE$60,$IW$4:$JF$4)))</f>
        <v>0</v>
      </c>
      <c r="JF89" s="197" t="n">
        <f aca="false">IF((SUMIF($IW$3:$JF$3,JF$60,$IW$4:$JF$4))=0,0,((SUMIF($IW$3:$JF$3,JF$60,$IW138:$JF138))/SUMIF($IW$3:$JF$3,JF$60,$IW$4:$JF$4)))</f>
        <v>0</v>
      </c>
      <c r="JG89" s="194" t="str">
        <f aca="false">IV89</f>
        <v>Alumno28</v>
      </c>
      <c r="JH89" s="195" t="n">
        <f aca="false">IF((SUMIF($JH$3:$JQ$3,JH$60,$JH$4:$JQ$4))=0,0,((SUMIF($JH$3:$JQ$3,JH$60,$JH138:$JQ138))/SUMIF($JH$3:$JQ$3,JH$60,$JH$4:$JQ$4)))</f>
        <v>0</v>
      </c>
      <c r="JI89" s="196" t="n">
        <f aca="false">IF((SUMIF($JH$3:$JQ$3,JI$60,$JH$4:$JQ$4))=0,0,((SUMIF($JH$3:$JQ$3,JI$60,$JH138:$JQ138))/SUMIF($JH$3:$JQ$3,JI$60,$JH$4:$JQ$4)))</f>
        <v>0</v>
      </c>
      <c r="JJ89" s="196" t="n">
        <f aca="false">IF((SUMIF($JH$3:$JQ$3,JJ$60,$JH$4:$JQ$4))=0,0,((SUMIF($JH$3:$JQ$3,JJ$60,$JH138:$JQ138))/SUMIF($JH$3:$JQ$3,JJ$60,$JH$4:$JQ$4)))</f>
        <v>0</v>
      </c>
      <c r="JK89" s="196" t="n">
        <f aca="false">IF((SUMIF($JH$3:$JQ$3,JK$60,$JH$4:$JQ$4))=0,0,((SUMIF($JH$3:$JQ$3,JK$60,$JH138:$JQ138))/SUMIF($JH$3:$JQ$3,JK$60,$JH$4:$JQ$4)))</f>
        <v>0</v>
      </c>
      <c r="JL89" s="196" t="n">
        <f aca="false">IF((SUMIF($JH$3:$JQ$3,JL$60,$JH$4:$JQ$4))=0,0,((SUMIF($JH$3:$JQ$3,JL$60,$JH138:$JQ138))/SUMIF($JH$3:$JQ$3,JL$60,$JH$4:$JQ$4)))</f>
        <v>0</v>
      </c>
      <c r="JM89" s="196" t="n">
        <f aca="false">IF((SUMIF($JH$3:$JQ$3,JM$60,$JH$4:$JQ$4))=0,0,((SUMIF($JH$3:$JQ$3,JM$60,$JH138:$JQ138))/SUMIF($JH$3:$JQ$3,JM$60,$JH$4:$JQ$4)))</f>
        <v>0</v>
      </c>
      <c r="JN89" s="196" t="n">
        <f aca="false">IF((SUMIF($JH$3:$JQ$3,JN$60,$JH$4:$JQ$4))=0,0,((SUMIF($JH$3:$JQ$3,JN$60,$JH138:$JQ138))/SUMIF($JH$3:$JQ$3,JN$60,$JH$4:$JQ$4)))</f>
        <v>0</v>
      </c>
      <c r="JO89" s="196" t="n">
        <f aca="false">IF((SUMIF($JH$3:$JQ$3,JO$60,$JH$4:$JQ$4))=0,0,((SUMIF($JH$3:$JQ$3,JO$60,$JH138:$JQ138))/SUMIF($JH$3:$JQ$3,JO$60,$JH$4:$JQ$4)))</f>
        <v>0</v>
      </c>
      <c r="JP89" s="196" t="n">
        <f aca="false">IF((SUMIF($JH$3:$JQ$3,JP$60,$JH$4:$JQ$4))=0,0,((SUMIF($JH$3:$JQ$3,JP$60,$JH138:$JQ138))/SUMIF($JH$3:$JQ$3,JP$60,$JH$4:$JQ$4)))</f>
        <v>0</v>
      </c>
      <c r="JQ89" s="197" t="n">
        <f aca="false">IF((SUMIF($JH$3:$JQ$3,JQ$60,$JH$4:$JQ$4))=0,0,((SUMIF($JH$3:$JQ$3,JQ$60,$JH138:$JQ138))/SUMIF($JH$3:$JQ$3,JQ$60,$JH$4:$JQ$4)))</f>
        <v>0</v>
      </c>
      <c r="JR89" s="194" t="str">
        <f aca="false">JG89</f>
        <v>Alumno28</v>
      </c>
      <c r="JS89" s="195" t="n">
        <f aca="false">IF((SUMIF($JS$3:$KB$3,JS$60,$JS$4:$KB$4))=0,0,((SUMIF($JS$3:$KB$3,JS$60,$JS138:$KB138))/SUMIF($JS$3:$KB$3,JS$60,$JS$4:$KB$4)))</f>
        <v>0</v>
      </c>
      <c r="JT89" s="196" t="n">
        <f aca="false">IF((SUMIF($JS$3:$KB$3,JT$60,$JS$4:$KB$4))=0,0,((SUMIF($JS$3:$KB$3,JT$60,$JS138:$KB138))/SUMIF($JS$3:$KB$3,JT$60,$JS$4:$KB$4)))</f>
        <v>0</v>
      </c>
      <c r="JU89" s="196" t="n">
        <f aca="false">IF((SUMIF($JS$3:$KB$3,JU$60,$JS$4:$KB$4))=0,0,((SUMIF($JS$3:$KB$3,JU$60,$JS138:$KB138))/SUMIF($JS$3:$KB$3,JU$60,$JS$4:$KB$4)))</f>
        <v>0</v>
      </c>
      <c r="JV89" s="196" t="n">
        <f aca="false">IF((SUMIF($JS$3:$KB$3,JV$60,$JS$4:$KB$4))=0,0,((SUMIF($JS$3:$KB$3,JV$60,$JS138:$KB138))/SUMIF($JS$3:$KB$3,JV$60,$JS$4:$KB$4)))</f>
        <v>0</v>
      </c>
      <c r="JW89" s="196" t="n">
        <f aca="false">IF((SUMIF($JS$3:$KB$3,JW$60,$JS$4:$KB$4))=0,0,((SUMIF($JS$3:$KB$3,JW$60,$JS138:$KB138))/SUMIF($JS$3:$KB$3,JW$60,$JS$4:$KB$4)))</f>
        <v>0</v>
      </c>
      <c r="JX89" s="196" t="n">
        <f aca="false">IF((SUMIF($JS$3:$KB$3,JX$60,$JS$4:$KB$4))=0,0,((SUMIF($JS$3:$KB$3,JX$60,$JS138:$KB138))/SUMIF($JS$3:$KB$3,JX$60,$JS$4:$KB$4)))</f>
        <v>0</v>
      </c>
      <c r="JY89" s="196" t="n">
        <f aca="false">IF((SUMIF($JS$3:$KB$3,JY$60,$JS$4:$KB$4))=0,0,((SUMIF($JS$3:$KB$3,JY$60,$JS138:$KB138))/SUMIF($JS$3:$KB$3,JY$60,$JS$4:$KB$4)))</f>
        <v>0</v>
      </c>
      <c r="JZ89" s="196" t="n">
        <f aca="false">IF((SUMIF($JS$3:$KB$3,JZ$60,$JS$4:$KB$4))=0,0,((SUMIF($JS$3:$KB$3,JZ$60,$JS138:$KB138))/SUMIF($JS$3:$KB$3,JZ$60,$JS$4:$KB$4)))</f>
        <v>0</v>
      </c>
      <c r="KA89" s="196" t="n">
        <f aca="false">IF((SUMIF($JS$3:$KB$3,KA$60,$JS$4:$KB$4))=0,0,((SUMIF($JS$3:$KB$3,KA$60,$JS138:$KB138))/SUMIF($JS$3:$KB$3,KA$60,$JS$4:$KB$4)))</f>
        <v>0</v>
      </c>
      <c r="KB89" s="197" t="n">
        <f aca="false">IF((SUMIF($JS$3:$KB$3,KB$60,$JS$4:$KB$4))=0,0,((SUMIF($JS$3:$KB$3,KB$60,$JS138:$KB138))/SUMIF($JS$3:$KB$3,KB$60,$JS$4:$KB$4)))</f>
        <v>0</v>
      </c>
      <c r="KC89" s="194" t="str">
        <f aca="false">JR89</f>
        <v>Alumno28</v>
      </c>
      <c r="KD89" s="195" t="n">
        <f aca="false">IF((SUMIF($KD$3:$KM$3,KD$60,$KD$4:$KM$4))=0,0,((SUMIF($KD$3:$KM$3,KD$60,$KD138:$KM138))/SUMIF($KD$3:$KM$3,KD$60,$KD$4:$KM$4)))</f>
        <v>0</v>
      </c>
      <c r="KE89" s="196" t="n">
        <f aca="false">IF((SUMIF($KD$3:$KM$3,KE$60,$KD$4:$KM$4))=0,0,((SUMIF($KD$3:$KM$3,KE$60,$KD138:$KM138))/SUMIF($KD$3:$KM$3,KE$60,$KD$4:$KM$4)))</f>
        <v>0</v>
      </c>
      <c r="KF89" s="196" t="n">
        <f aca="false">IF((SUMIF($KD$3:$KM$3,KF$60,$KD$4:$KM$4))=0,0,((SUMIF($KD$3:$KM$3,KF$60,$KD138:$KM138))/SUMIF($KD$3:$KM$3,KF$60,$KD$4:$KM$4)))</f>
        <v>0</v>
      </c>
      <c r="KG89" s="196" t="n">
        <f aca="false">IF((SUMIF($KD$3:$KM$3,KG$60,$KD$4:$KM$4))=0,0,((SUMIF($KD$3:$KM$3,KG$60,$KD138:$KM138))/SUMIF($KD$3:$KM$3,KG$60,$KD$4:$KM$4)))</f>
        <v>0</v>
      </c>
      <c r="KH89" s="196" t="n">
        <f aca="false">IF((SUMIF($KD$3:$KM$3,KH$60,$KD$4:$KM$4))=0,0,((SUMIF($KD$3:$KM$3,KH$60,$KD138:$KM138))/SUMIF($KD$3:$KM$3,KH$60,$KD$4:$KM$4)))</f>
        <v>0</v>
      </c>
      <c r="KI89" s="196" t="n">
        <f aca="false">IF((SUMIF($KD$3:$KM$3,KI$60,$KD$4:$KM$4))=0,0,((SUMIF($KD$3:$KM$3,KI$60,$KD138:$KM138))/SUMIF($KD$3:$KM$3,KI$60,$KD$4:$KM$4)))</f>
        <v>0</v>
      </c>
      <c r="KJ89" s="196" t="n">
        <f aca="false">IF((SUMIF($KD$3:$KM$3,KJ$60,$KD$4:$KM$4))=0,0,((SUMIF($KD$3:$KM$3,KJ$60,$KD138:$KM138))/SUMIF($KD$3:$KM$3,KJ$60,$KD$4:$KM$4)))</f>
        <v>0</v>
      </c>
      <c r="KK89" s="196" t="n">
        <f aca="false">IF((SUMIF($KD$3:$KM$3,KK$60,$KD$4:$KM$4))=0,0,((SUMIF($KD$3:$KM$3,KK$60,$KD138:$KM138))/SUMIF($KD$3:$KM$3,KK$60,$KD$4:$KM$4)))</f>
        <v>0</v>
      </c>
      <c r="KL89" s="196" t="n">
        <f aca="false">IF((SUMIF($KD$3:$KM$3,KL$60,$KD$4:$KM$4))=0,0,((SUMIF($KD$3:$KM$3,KL$60,$KD138:$KM138))/SUMIF($KD$3:$KM$3,KL$60,$KD$4:$KM$4)))</f>
        <v>0</v>
      </c>
      <c r="KM89" s="197" t="n">
        <f aca="false">IF((SUMIF($KD$3:$KM$3,KM$60,$KD$4:$KM$4))=0,0,((SUMIF($KD$3:$KM$3,KM$60,$KD138:$KM138))/SUMIF($KD$3:$KM$3,KM$60,$KD$4:$KM$4)))</f>
        <v>0</v>
      </c>
      <c r="KN89" s="194" t="str">
        <f aca="false">KC89</f>
        <v>Alumno28</v>
      </c>
      <c r="KO89" s="195" t="n">
        <f aca="false">IF((SUMIF($KO$3:$KX$3,KO$60,$KO$4:$KX$4))=0,0,((SUMIF($KO$3:$KX$3,KO$60,$KO138:$KX138))/SUMIF($KO$3:$KX$3,KO$60,$KO$4:$KX$4)))</f>
        <v>0</v>
      </c>
      <c r="KP89" s="196" t="n">
        <f aca="false">IF((SUMIF($KO$3:$KX$3,KP$60,$KO$4:$KX$4))=0,0,((SUMIF($KO$3:$KX$3,KP$60,$KO138:$KX138))/SUMIF($KO$3:$KX$3,KP$60,$KO$4:$KX$4)))</f>
        <v>0</v>
      </c>
      <c r="KQ89" s="196" t="n">
        <f aca="false">IF((SUMIF($KO$3:$KX$3,KQ$60,$KO$4:$KX$4))=0,0,((SUMIF($KO$3:$KX$3,KQ$60,$KO138:$KX138))/SUMIF($KO$3:$KX$3,KQ$60,$KO$4:$KX$4)))</f>
        <v>0</v>
      </c>
      <c r="KR89" s="196" t="n">
        <f aca="false">IF((SUMIF($KO$3:$KX$3,KR$60,$KO$4:$KX$4))=0,0,((SUMIF($KO$3:$KX$3,KR$60,$KO138:$KX138))/SUMIF($KO$3:$KX$3,KR$60,$KO$4:$KX$4)))</f>
        <v>0</v>
      </c>
      <c r="KS89" s="196" t="n">
        <f aca="false">IF((SUMIF($KO$3:$KX$3,KS$60,$KO$4:$KX$4))=0,0,((SUMIF($KO$3:$KX$3,KS$60,$KO138:$KX138))/SUMIF($KO$3:$KX$3,KS$60,$KO$4:$KX$4)))</f>
        <v>0</v>
      </c>
      <c r="KT89" s="196" t="n">
        <f aca="false">IF((SUMIF($KO$3:$KX$3,KT$60,$KO$4:$KX$4))=0,0,((SUMIF($KO$3:$KX$3,KT$60,$KO138:$KX138))/SUMIF($KO$3:$KX$3,KT$60,$KO$4:$KX$4)))</f>
        <v>0</v>
      </c>
      <c r="KU89" s="196" t="n">
        <f aca="false">IF((SUMIF($KO$3:$KX$3,KU$60,$KO$4:$KX$4))=0,0,((SUMIF($KO$3:$KX$3,KU$60,$KO138:$KX138))/SUMIF($KO$3:$KX$3,KU$60,$KO$4:$KX$4)))</f>
        <v>0</v>
      </c>
      <c r="KV89" s="196" t="n">
        <f aca="false">IF((SUMIF($KO$3:$KX$3,KV$60,$KO$4:$KX$4))=0,0,((SUMIF($KO$3:$KX$3,KV$60,$KO138:$KX138))/SUMIF($KO$3:$KX$3,KV$60,$KO$4:$KX$4)))</f>
        <v>0</v>
      </c>
      <c r="KW89" s="196" t="n">
        <f aca="false">IF((SUMIF($KO$3:$KX$3,KW$60,$KO$4:$KX$4))=0,0,((SUMIF($KO$3:$KX$3,KW$60,$KO138:$KX138))/SUMIF($KO$3:$KX$3,KW$60,$KO$4:$KX$4)))</f>
        <v>0</v>
      </c>
      <c r="KX89" s="197" t="n">
        <f aca="false">IF((SUMIF($KO$3:$KX$3,KX$60,$KO$4:$KX$4))=0,0,((SUMIF($KO$3:$KX$3,KX$60,$KO138:$KX138))/SUMIF($KO$3:$KX$3,KX$60,$KO$4:$KX$4)))</f>
        <v>0</v>
      </c>
      <c r="KY89" s="194" t="str">
        <f aca="false">KN89</f>
        <v>Alumno28</v>
      </c>
      <c r="KZ89" s="195" t="n">
        <f aca="false">IF((SUMIF($KZ$3:$LI$3,KZ$60,$KZ$4:$LI$4))=0,0,((SUMIF($KZ$3:$LI$3,KZ$60,$KZ138:$LI138))/SUMIF($KZ$3:$LI$3,KZ$60,$KZ$4:$LI$4)))</f>
        <v>0</v>
      </c>
      <c r="LA89" s="196" t="n">
        <f aca="false">IF((SUMIF($KZ$3:$LI$3,LA$60,$KZ$4:$LI$4))=0,0,((SUMIF($KZ$3:$LI$3,LA$60,$KZ138:$LI138))/SUMIF($KZ$3:$LI$3,LA$60,$KZ$4:$LI$4)))</f>
        <v>0</v>
      </c>
      <c r="LB89" s="196" t="n">
        <f aca="false">IF((SUMIF($KZ$3:$LI$3,LB$60,$KZ$4:$LI$4))=0,0,((SUMIF($KZ$3:$LI$3,LB$60,$KZ138:$LI138))/SUMIF($KZ$3:$LI$3,LB$60,$KZ$4:$LI$4)))</f>
        <v>0</v>
      </c>
      <c r="LC89" s="196" t="n">
        <f aca="false">IF((SUMIF($KZ$3:$LI$3,LC$60,$KZ$4:$LI$4))=0,0,((SUMIF($KZ$3:$LI$3,LC$60,$KZ138:$LI138))/SUMIF($KZ$3:$LI$3,LC$60,$KZ$4:$LI$4)))</f>
        <v>0</v>
      </c>
      <c r="LD89" s="196" t="n">
        <f aca="false">IF((SUMIF($KZ$3:$LI$3,LD$60,$KZ$4:$LI$4))=0,0,((SUMIF($KZ$3:$LI$3,LD$60,$KZ138:$LI138))/SUMIF($KZ$3:$LI$3,LD$60,$KZ$4:$LI$4)))</f>
        <v>0</v>
      </c>
      <c r="LE89" s="196" t="n">
        <f aca="false">IF((SUMIF($KZ$3:$LI$3,LE$60,$KZ$4:$LI$4))=0,0,((SUMIF($KZ$3:$LI$3,LE$60,$KZ138:$LI138))/SUMIF($KZ$3:$LI$3,LE$60,$KZ$4:$LI$4)))</f>
        <v>0</v>
      </c>
      <c r="LF89" s="196" t="n">
        <f aca="false">IF((SUMIF($KZ$3:$LI$3,LF$60,$KZ$4:$LI$4))=0,0,((SUMIF($KZ$3:$LI$3,LF$60,$KZ138:$LI138))/SUMIF($KZ$3:$LI$3,LF$60,$KZ$4:$LI$4)))</f>
        <v>0</v>
      </c>
      <c r="LG89" s="196" t="n">
        <f aca="false">IF((SUMIF($KZ$3:$LI$3,LG$60,$KZ$4:$LI$4))=0,0,((SUMIF($KZ$3:$LI$3,LG$60,$KZ138:$LI138))/SUMIF($KZ$3:$LI$3,LG$60,$KZ$4:$LI$4)))</f>
        <v>0</v>
      </c>
      <c r="LH89" s="196" t="n">
        <f aca="false">IF((SUMIF($KZ$3:$LI$3,LH$60,$KZ$4:$LI$4))=0,0,((SUMIF($KZ$3:$LI$3,LH$60,$KZ138:$LI138))/SUMIF($KZ$3:$LI$3,LH$60,$KZ$4:$LI$4)))</f>
        <v>0</v>
      </c>
      <c r="LI89" s="197" t="n">
        <f aca="false">IF((SUMIF($KZ$3:$LI$3,LI$60,$KZ$4:$LI$4))=0,0,((SUMIF($KZ$3:$LI$3,LI$60,$KZ138:$LI138))/SUMIF($KZ$3:$LI$3,LI$60,$KZ$4:$LI$4)))</f>
        <v>0</v>
      </c>
      <c r="LJ89" s="194" t="str">
        <f aca="false">KY89</f>
        <v>Alumno28</v>
      </c>
      <c r="LK89" s="195" t="n">
        <f aca="false">IF((SUMIF($LK$3:$LT$3,LK$60,$LK$4:$LT$4))=0,0,((SUMIF($LK$3:$LT$3,LK$60,$LK138:$LT138))/SUMIF($LK$3:$LT$3,LK$60,$LK$4:$LT$4)))</f>
        <v>0</v>
      </c>
      <c r="LL89" s="196" t="n">
        <f aca="false">IF((SUMIF($LK$3:$LT$3,LL$60,$LK$4:$LT$4))=0,0,((SUMIF($LK$3:$LT$3,LL$60,$LK138:$LT138))/SUMIF($LK$3:$LT$3,LL$60,$LK$4:$LT$4)))</f>
        <v>0</v>
      </c>
      <c r="LM89" s="196" t="n">
        <f aca="false">IF((SUMIF($LK$3:$LT$3,LM$60,$LK$4:$LT$4))=0,0,((SUMIF($LK$3:$LT$3,LM$60,$LK138:$LT138))/SUMIF($LK$3:$LT$3,LM$60,$LK$4:$LT$4)))</f>
        <v>0</v>
      </c>
      <c r="LN89" s="196" t="n">
        <f aca="false">IF((SUMIF($LK$3:$LT$3,LN$60,$LK$4:$LT$4))=0,0,((SUMIF($LK$3:$LT$3,LN$60,$LK138:$LT138))/SUMIF($LK$3:$LT$3,LN$60,$LK$4:$LT$4)))</f>
        <v>0</v>
      </c>
      <c r="LO89" s="196" t="n">
        <f aca="false">IF((SUMIF($LK$3:$LT$3,LO$60,$LK$4:$LT$4))=0,0,((SUMIF($LK$3:$LT$3,LO$60,$LK138:$LT138))/SUMIF($LK$3:$LT$3,LO$60,$LK$4:$LT$4)))</f>
        <v>0</v>
      </c>
      <c r="LP89" s="196" t="n">
        <f aca="false">IF((SUMIF($LK$3:$LT$3,LP$60,$LK$4:$LT$4))=0,0,((SUMIF($LK$3:$LT$3,LP$60,$LK138:$LT138))/SUMIF($LK$3:$LT$3,LP$60,$LK$4:$LT$4)))</f>
        <v>0</v>
      </c>
      <c r="LQ89" s="196" t="n">
        <f aca="false">IF((SUMIF($LK$3:$LT$3,LQ$60,$LK$4:$LT$4))=0,0,((SUMIF($LK$3:$LT$3,LQ$60,$LK138:$LT138))/SUMIF($LK$3:$LT$3,LQ$60,$LK$4:$LT$4)))</f>
        <v>0</v>
      </c>
      <c r="LR89" s="196" t="n">
        <f aca="false">IF((SUMIF($LK$3:$LT$3,LR$60,$LK$4:$LT$4))=0,0,((SUMIF($LK$3:$LT$3,LR$60,$LK138:$LT138))/SUMIF($LK$3:$LT$3,LR$60,$LK$4:$LT$4)))</f>
        <v>0</v>
      </c>
      <c r="LS89" s="196" t="n">
        <f aca="false">IF((SUMIF($LK$3:$LT$3,LS$60,$LK$4:$LT$4))=0,0,((SUMIF($LK$3:$LT$3,LS$60,$LK138:$LT138))/SUMIF($LK$3:$LT$3,LS$60,$LK$4:$LT$4)))</f>
        <v>0</v>
      </c>
      <c r="LT89" s="197" t="n">
        <f aca="false">IF((SUMIF($LK$3:$LT$3,LT$60,$LK$4:$LT$4))=0,0,((SUMIF($LK$3:$LT$3,LT$60,$LK138:$LT138))/SUMIF($LK$3:$LT$3,LT$60,$LK$4:$LT$4)))</f>
        <v>0</v>
      </c>
    </row>
    <row r="90" customFormat="false" ht="15" hidden="true" customHeight="false" outlineLevel="0" collapsed="false">
      <c r="C90" s="194" t="str">
        <f aca="false">B34</f>
        <v>Alumno29</v>
      </c>
      <c r="D90" s="195" t="n">
        <f aca="false">IF((SUMIF($D$3:$M$3,D$60,$D$4:$M$4))=0,0,((SUMIF($D$3:$M$3,D$60,$D139:$M139))/SUMIF($D$3:$M$3,D$60,$D$4:$M$4)))</f>
        <v>5</v>
      </c>
      <c r="E90" s="196" t="n">
        <f aca="false">IF((SUMIF($D$3:$M$3,E$60,$D$4:$M$4))=0,0,((SUMIF($D$3:$M$3,E$60,$D139:$M139))/SUMIF($D$3:$M$3,E$60,$D$4:$M$4)))</f>
        <v>0</v>
      </c>
      <c r="F90" s="196" t="n">
        <f aca="false">IF((SUMIF($D$3:$M$3,F$60,$D$4:$M$4))=0,0,((SUMIF($D$3:$M$3,F$60,$D139:$M139))/SUMIF($D$3:$M$3,F$60,$D$4:$M$4)))</f>
        <v>0</v>
      </c>
      <c r="G90" s="196" t="n">
        <f aca="false">IF((SUMIF($D$3:$M$3,G$60,$D$4:$M$4))=0,0,((SUMIF($D$3:$M$3,G$60,$D139:$M139))/SUMIF($D$3:$M$3,G$60,$D$4:$M$4)))</f>
        <v>0</v>
      </c>
      <c r="H90" s="196" t="n">
        <f aca="false">IF((SUMIF($D$3:$M$3,H$60,$D$4:$M$4))=0,0,((SUMIF($D$3:$M$3,H$60,$D139:$M139))/SUMIF($D$3:$M$3,H$60,$D$4:$M$4)))</f>
        <v>0</v>
      </c>
      <c r="I90" s="196" t="n">
        <f aca="false">IF((SUMIF($D$3:$M$3,I$60,$D$4:$M$4))=0,0,((SUMIF($D$3:$M$3,I$60,$D139:$M139))/SUMIF($D$3:$M$3,I$60,$D$4:$M$4)))</f>
        <v>0</v>
      </c>
      <c r="J90" s="196" t="n">
        <f aca="false">IF((SUMIF($D$3:$M$3,J$60,$D$4:$M$4))=0,0,((SUMIF($D$3:$M$3,J$60,$D139:$M139))/SUMIF($D$3:$M$3,J$60,$D$4:$M$4)))</f>
        <v>0</v>
      </c>
      <c r="K90" s="196" t="n">
        <f aca="false">IF((SUMIF($D$3:$M$3,K$60,$D$4:$M$4))=0,0,((SUMIF($D$3:$M$3,K$60,$D139:$M139))/SUMIF($D$3:$M$3,K$60,$D$4:$M$4)))</f>
        <v>0</v>
      </c>
      <c r="L90" s="196" t="n">
        <f aca="false">IF((SUMIF($D$3:$M$3,L$60,$D$4:$M$4))=0,0,((SUMIF($D$3:$M$3,L$60,$D139:$M139))/SUMIF($D$3:$M$3,L$60,$D$4:$M$4)))</f>
        <v>0</v>
      </c>
      <c r="M90" s="197" t="n">
        <f aca="false">IF((SUMIF($D$3:$M$3,M$60,$D$4:$M$4))=0,0,((SUMIF($D$3:$M$3,M$60,$D139:$M139))/SUMIF($D$3:$M$3,M$60,$D$4:$M$4)))</f>
        <v>0</v>
      </c>
      <c r="N90" s="194" t="str">
        <f aca="false">C90</f>
        <v>Alumno29</v>
      </c>
      <c r="O90" s="195" t="n">
        <f aca="false">IF((SUMIF($O$3:$X$3,O$60,$O$4:$X$4))=0,0,((SUMIF($O$3:$X$3,O$60,$O139:$X139))/SUMIF($O$3:$X$3,O$60,$O$4:$X$4)))</f>
        <v>5</v>
      </c>
      <c r="P90" s="196" t="n">
        <f aca="false">IF((SUMIF($O$3:$X$3,P$60,$O$4:$X$4))=0,0,((SUMIF($O$3:$X$3,P$60,$O139:$X139))/SUMIF($O$3:$X$3,P$60,$O$4:$X$4)))</f>
        <v>3</v>
      </c>
      <c r="Q90" s="196" t="n">
        <f aca="false">IF((SUMIF($O$3:$X$3,Q$60,$O$4:$X$4))=0,0,((SUMIF($O$3:$X$3,Q$60,$O139:$X139))/SUMIF($O$3:$X$3,Q$60,$O$4:$X$4)))</f>
        <v>0</v>
      </c>
      <c r="R90" s="196" t="n">
        <f aca="false">IF((SUMIF($O$3:$X$3,R$60,$O$4:$X$4))=0,0,((SUMIF($O$3:$X$3,R$60,$O139:$X139))/SUMIF($O$3:$X$3,R$60,$O$4:$X$4)))</f>
        <v>0</v>
      </c>
      <c r="S90" s="196" t="n">
        <f aca="false">IF((SUMIF($O$3:$X$3,S$60,$O$4:$X$4))=0,0,((SUMIF($O$3:$X$3,S$60,$O139:$X139))/SUMIF($O$3:$X$3,S$60,$O$4:$X$4)))</f>
        <v>0</v>
      </c>
      <c r="T90" s="196" t="n">
        <f aca="false">IF((SUMIF($O$3:$X$3,T$60,$O$4:$X$4))=0,0,((SUMIF($O$3:$X$3,T$60,$O139:$X139))/SUMIF($O$3:$X$3,T$60,$O$4:$X$4)))</f>
        <v>0</v>
      </c>
      <c r="U90" s="196" t="n">
        <f aca="false">IF((SUMIF($O$3:$X$3,U$60,$O$4:$X$4))=0,0,((SUMIF($O$3:$X$3,U$60,$O139:$X139))/SUMIF($O$3:$X$3,U$60,$O$4:$X$4)))</f>
        <v>0</v>
      </c>
      <c r="V90" s="196" t="n">
        <f aca="false">IF((SUMIF($O$3:$X$3,V$60,$O$4:$X$4))=0,0,((SUMIF($O$3:$X$3,V$60,$O139:$X139))/SUMIF($O$3:$X$3,V$60,$O$4:$X$4)))</f>
        <v>0</v>
      </c>
      <c r="W90" s="196" t="n">
        <f aca="false">IF((SUMIF($O$3:$X$3,W$60,$O$4:$X$4))=0,0,((SUMIF($O$3:$X$3,W$60,$O139:$X139))/SUMIF($O$3:$X$3,W$60,$O$4:$X$4)))</f>
        <v>0</v>
      </c>
      <c r="X90" s="197" t="n">
        <f aca="false">IF((SUMIF($O$3:$X$3,X$60,$O$4:$X$4))=0,0,((SUMIF($O$3:$X$3,X$60,$O139:$X139))/SUMIF($O$3:$X$3,X$60,$O$4:$X$4)))</f>
        <v>0</v>
      </c>
      <c r="Y90" s="194" t="str">
        <f aca="false">N90</f>
        <v>Alumno29</v>
      </c>
      <c r="Z90" s="195" t="n">
        <f aca="false">IF((SUMIF($Z$3:$AI$3,Z$60,$Z$4:$AI$4))=0,0,((SUMIF($Z$3:$AI$3,Z$60,$Z139:$AI139))/SUMIF($Z$3:$AI$3,Z$60,$Z$4:$AI$4)))</f>
        <v>9.5</v>
      </c>
      <c r="AA90" s="196" t="n">
        <f aca="false">IF((SUMIF($Z$3:$AI$3,AA$60,$Z$4:$AI$4))=0,0,((SUMIF($Z$3:$AI$3,AA$60,$Z139:$AI139))/SUMIF($Z$3:$AI$3,AA$60,$Z$4:$AI$4)))</f>
        <v>9.5</v>
      </c>
      <c r="AB90" s="196" t="n">
        <f aca="false">IF((SUMIF($Z$3:$AI$3,AB$60,$Z$4:$AI$4))=0,0,((SUMIF($Z$3:$AI$3,AB$60,$Z139:$AI139))/SUMIF($Z$3:$AI$3,AB$60,$Z$4:$AI$4)))</f>
        <v>10</v>
      </c>
      <c r="AC90" s="196" t="n">
        <f aca="false">IF((SUMIF($Z$3:$AI$3,AC$60,$Z$4:$AI$4))=0,0,((SUMIF($Z$3:$AI$3,AC$60,$Z139:$AI139))/SUMIF($Z$3:$AI$3,AC$60,$Z$4:$AI$4)))</f>
        <v>0</v>
      </c>
      <c r="AD90" s="196" t="n">
        <f aca="false">IF((SUMIF($Z$3:$AI$3,AD$60,$Z$4:$AI$4))=0,0,((SUMIF($Z$3:$AI$3,AD$60,$Z139:$AI139))/SUMIF($Z$3:$AI$3,AD$60,$Z$4:$AI$4)))</f>
        <v>0</v>
      </c>
      <c r="AE90" s="196" t="n">
        <f aca="false">IF((SUMIF($Z$3:$AI$3,AE$60,$Z$4:$AI$4))=0,0,((SUMIF($Z$3:$AI$3,AE$60,$Z139:$AI139))/SUMIF($Z$3:$AI$3,AE$60,$Z$4:$AI$4)))</f>
        <v>0</v>
      </c>
      <c r="AF90" s="196" t="n">
        <f aca="false">IF((SUMIF($Z$3:$AI$3,AF$60,$Z$4:$AI$4))=0,0,((SUMIF($Z$3:$AI$3,AF$60,$Z139:$AI139))/SUMIF($Z$3:$AI$3,AF$60,$Z$4:$AI$4)))</f>
        <v>0</v>
      </c>
      <c r="AG90" s="196" t="n">
        <f aca="false">IF((SUMIF($Z$3:$AI$3,AG$60,$Z$4:$AI$4))=0,0,((SUMIF($Z$3:$AI$3,AG$60,$Z139:$AI139))/SUMIF($Z$3:$AI$3,AG$60,$Z$4:$AI$4)))</f>
        <v>0</v>
      </c>
      <c r="AH90" s="196" t="n">
        <f aca="false">IF((SUMIF($Z$3:$AI$3,AH$60,$Z$4:$AI$4))=0,0,((SUMIF($Z$3:$AI$3,AH$60,$Z139:$AI139))/SUMIF($Z$3:$AI$3,AH$60,$Z$4:$AI$4)))</f>
        <v>0</v>
      </c>
      <c r="AI90" s="197" t="n">
        <f aca="false">IF((SUMIF($Z$3:$AI$3,AI$60,$Z$4:$AI$4))=0,0,((SUMIF($Z$3:$AI$3,AI$60,$Z139:$AI139))/SUMIF($Z$3:$AI$3,AI$60,$Z$4:$AI$4)))</f>
        <v>0</v>
      </c>
      <c r="AJ90" s="194" t="str">
        <f aca="false">Y90</f>
        <v>Alumno29</v>
      </c>
      <c r="AK90" s="195" t="n">
        <f aca="false">IF((SUMIF($AK$3:$AT$3,AK$60,$AK$4:$AT$4))=0,0,((SUMIF($AK$3:$AT$3,AK$60,$AK139:$AT139))/SUMIF($AK$3:$AT$3,AK$60,$AK$4:$AT$4)))</f>
        <v>10</v>
      </c>
      <c r="AL90" s="196" t="n">
        <f aca="false">IF((SUMIF($AK$3:$AT$3,AL$60,$AK$4:$AT$4))=0,0,((SUMIF($AK$3:$AT$3,AL$60,$AK139:$AT139))/SUMIF($AK$3:$AT$3,AL$60,$AK$4:$AT$4)))</f>
        <v>9.5</v>
      </c>
      <c r="AM90" s="196" t="n">
        <f aca="false">IF((SUMIF($AK$3:$AT$3,AM$60,$AK$4:$AT$4))=0,0,((SUMIF($AK$3:$AT$3,AM$60,$AK139:$AT139))/SUMIF($AK$3:$AT$3,AM$60,$AK$4:$AT$4)))</f>
        <v>9.5</v>
      </c>
      <c r="AN90" s="196" t="n">
        <f aca="false">IF((SUMIF($AK$3:$AT$3,AN$60,$AK$4:$AT$4))=0,0,((SUMIF($AK$3:$AT$3,AN$60,$AK139:$AT139))/SUMIF($AK$3:$AT$3,AN$60,$AK$4:$AT$4)))</f>
        <v>0</v>
      </c>
      <c r="AO90" s="196" t="n">
        <f aca="false">IF((SUMIF($AK$3:$AT$3,AO$60,$AK$4:$AT$4))=0,0,((SUMIF($AK$3:$AT$3,AO$60,$AK139:$AT139))/SUMIF($AK$3:$AT$3,AO$60,$AK$4:$AT$4)))</f>
        <v>0</v>
      </c>
      <c r="AP90" s="196" t="n">
        <f aca="false">IF((SUMIF($AK$3:$AT$3,AP$60,$AK$4:$AT$4))=0,0,((SUMIF($AK$3:$AT$3,AP$60,$AK139:$AT139))/SUMIF($AK$3:$AT$3,AP$60,$AK$4:$AT$4)))</f>
        <v>0</v>
      </c>
      <c r="AQ90" s="196" t="n">
        <f aca="false">IF((SUMIF($AK$3:$AT$3,AQ$60,$AK$4:$AT$4))=0,0,((SUMIF($AK$3:$AT$3,AQ$60,$AK139:$AT139))/SUMIF($AK$3:$AT$3,AQ$60,$AK$4:$AT$4)))</f>
        <v>0</v>
      </c>
      <c r="AR90" s="196" t="n">
        <f aca="false">IF((SUMIF($AK$3:$AT$3,AR$60,$AK$4:$AT$4))=0,0,((SUMIF($AK$3:$AT$3,AR$60,$AK139:$AT139))/SUMIF($AK$3:$AT$3,AR$60,$AK$4:$AT$4)))</f>
        <v>0</v>
      </c>
      <c r="AS90" s="196" t="n">
        <f aca="false">IF((SUMIF($AK$3:$AT$3,AS$60,$AK$4:$AT$4))=0,0,((SUMIF($AK$3:$AT$3,AS$60,$AK139:$AT139))/SUMIF($AK$3:$AT$3,AS$60,$AK$4:$AT$4)))</f>
        <v>0</v>
      </c>
      <c r="AT90" s="197" t="n">
        <f aca="false">IF((SUMIF($AK$3:$AT$3,AT$60,$AK$4:$AT$4))=0,0,((SUMIF($AK$3:$AT$3,AT$60,$AK139:$AT139))/SUMIF($AK$3:$AT$3,AT$60,$AK$4:$AT$4)))</f>
        <v>0</v>
      </c>
      <c r="AU90" s="194" t="str">
        <f aca="false">AJ90</f>
        <v>Alumno29</v>
      </c>
      <c r="AV90" s="195" t="n">
        <f aca="false">IF((SUMIF($AV$3:$BE$3,AV$60,$AV$4:$BE$4))=0,0,((SUMIF($AV$3:$BE$3,AV$60,$AV139:$BE139))/SUMIF($AV$3:$BE$3,AV$60,$AV$4:$BE$4)))</f>
        <v>5</v>
      </c>
      <c r="AW90" s="196" t="n">
        <f aca="false">IF((SUMIF($AV$3:$BE$3,AW$60,$AV$4:$BE$4))=0,0,((SUMIF($AV$3:$BE$3,AW$60,$AV139:$BE139))/SUMIF($AV$3:$BE$3,AW$60,$AV$4:$BE$4)))</f>
        <v>6</v>
      </c>
      <c r="AX90" s="196" t="n">
        <f aca="false">IF((SUMIF($AV$3:$BE$3,AX$60,$AV$4:$BE$4))=0,0,((SUMIF($AV$3:$BE$3,AX$60,$AV139:$BE139))/SUMIF($AV$3:$BE$3,AX$60,$AV$4:$BE$4)))</f>
        <v>3.6</v>
      </c>
      <c r="AY90" s="196" t="n">
        <f aca="false">IF((SUMIF($AV$3:$BE$3,AY$60,$AV$4:$BE$4))=0,0,((SUMIF($AV$3:$BE$3,AY$60,$AV139:$BE139))/SUMIF($AV$3:$BE$3,AY$60,$AV$4:$BE$4)))</f>
        <v>5</v>
      </c>
      <c r="AZ90" s="196" t="n">
        <f aca="false">IF((SUMIF($AV$3:$BE$3,AZ$60,$AV$4:$BE$4))=0,0,((SUMIF($AV$3:$BE$3,AZ$60,$AV139:$BE139))/SUMIF($AV$3:$BE$3,AZ$60,$AV$4:$BE$4)))</f>
        <v>0</v>
      </c>
      <c r="BA90" s="196" t="n">
        <f aca="false">IF((SUMIF($AV$3:$BE$3,BA$60,$AV$4:$BE$4))=0,0,((SUMIF($AV$3:$BE$3,BA$60,$AV139:$BE139))/SUMIF($AV$3:$BE$3,BA$60,$AV$4:$BE$4)))</f>
        <v>0</v>
      </c>
      <c r="BB90" s="196" t="n">
        <f aca="false">IF((SUMIF($AV$3:$BE$3,BB$60,$AV$4:$BE$4))=0,0,((SUMIF($AV$3:$BE$3,BB$60,$AV139:$BE139))/SUMIF($AV$3:$BE$3,BB$60,$AV$4:$BE$4)))</f>
        <v>0</v>
      </c>
      <c r="BC90" s="196" t="n">
        <f aca="false">IF((SUMIF($AV$3:$BE$3,BC$60,$AV$4:$BE$4))=0,0,((SUMIF($AV$3:$BE$3,BC$60,$AV139:$BE139))/SUMIF($AV$3:$BE$3,BC$60,$AV$4:$BE$4)))</f>
        <v>0</v>
      </c>
      <c r="BD90" s="196" t="n">
        <f aca="false">IF((SUMIF($AV$3:$BE$3,BD$60,$AV$4:$BE$4))=0,0,((SUMIF($AV$3:$BE$3,BD$60,$AV139:$BE139))/SUMIF($AV$3:$BE$3,BD$60,$AV$4:$BE$4)))</f>
        <v>0</v>
      </c>
      <c r="BE90" s="197" t="n">
        <f aca="false">IF((SUMIF($AV$3:$BE$3,BE$60,$AV$4:$BE$4))=0,0,((SUMIF($AV$3:$BE$3,BE$60,$AV139:$BE139))/SUMIF($AV$3:$BE$3,BE$60,$AV$4:$BE$4)))</f>
        <v>0</v>
      </c>
      <c r="BF90" s="194" t="str">
        <f aca="false">AU90</f>
        <v>Alumno29</v>
      </c>
      <c r="BG90" s="195" t="n">
        <f aca="false">IF((SUMIF($BG$3:$BP$3,BG$60,$BG$4:$BP$4))=0,0,((SUMIF($BG$3:$BP$3,BG$60,$BG139:$BP139))/SUMIF($BG$3:$BP$3,BG$60,$BG$4:$BP$4)))</f>
        <v>5</v>
      </c>
      <c r="BH90" s="196" t="n">
        <f aca="false">IF((SUMIF($BG$3:$BP$3,BH$60,$BG$4:$BP$4))=0,0,((SUMIF($BG$3:$BP$3,BH$60,$BG139:$BP139))/SUMIF($BG$3:$BP$3,BH$60,$BG$4:$BP$4)))</f>
        <v>6</v>
      </c>
      <c r="BI90" s="196" t="n">
        <f aca="false">IF((SUMIF($BG$3:$BP$3,BI$60,$BG$4:$BP$4))=0,0,((SUMIF($BG$3:$BP$3,BI$60,$BG139:$BP139))/SUMIF($BG$3:$BP$3,BI$60,$BG$4:$BP$4)))</f>
        <v>3</v>
      </c>
      <c r="BJ90" s="196" t="n">
        <f aca="false">IF((SUMIF($BG$3:$BP$3,BJ$60,$BG$4:$BP$4))=0,0,((SUMIF($BG$3:$BP$3,BJ$60,$BG139:$BP139))/SUMIF($BG$3:$BP$3,BJ$60,$BG$4:$BP$4)))</f>
        <v>4.6</v>
      </c>
      <c r="BK90" s="196" t="n">
        <f aca="false">IF((SUMIF($BG$3:$BP$3,BK$60,$BG$4:$BP$4))=0,0,((SUMIF($BG$3:$BP$3,BK$60,$BG139:$BP139))/SUMIF($BG$3:$BP$3,BK$60,$BG$4:$BP$4)))</f>
        <v>0</v>
      </c>
      <c r="BL90" s="196" t="n">
        <f aca="false">IF((SUMIF($BG$3:$BP$3,BL$60,$BG$4:$BP$4))=0,0,((SUMIF($BG$3:$BP$3,BL$60,$BG139:$BP139))/SUMIF($BG$3:$BP$3,BL$60,$BG$4:$BP$4)))</f>
        <v>0</v>
      </c>
      <c r="BM90" s="196" t="n">
        <f aca="false">IF((SUMIF($BG$3:$BP$3,BM$60,$BG$4:$BP$4))=0,0,((SUMIF($BG$3:$BP$3,BM$60,$BG139:$BP139))/SUMIF($BG$3:$BP$3,BM$60,$BG$4:$BP$4)))</f>
        <v>0</v>
      </c>
      <c r="BN90" s="196" t="n">
        <f aca="false">IF((SUMIF($BG$3:$BP$3,BN$60,$BG$4:$BP$4))=0,0,((SUMIF($BG$3:$BP$3,BN$60,$BG139:$BP139))/SUMIF($BG$3:$BP$3,BN$60,$BG$4:$BP$4)))</f>
        <v>0</v>
      </c>
      <c r="BO90" s="196" t="n">
        <f aca="false">IF((SUMIF($BG$3:$BP$3,BO$60,$BG$4:$BP$4))=0,0,((SUMIF($BG$3:$BP$3,BO$60,$BG139:$BP139))/SUMIF($BG$3:$BP$3,BO$60,$BG$4:$BP$4)))</f>
        <v>0</v>
      </c>
      <c r="BP90" s="197" t="n">
        <f aca="false">IF((SUMIF($BG$3:$BP$3,BP$60,$BG$4:$BP$4))=0,0,((SUMIF($BG$3:$BP$3,BP$60,$BG139:$BP139))/SUMIF($BG$3:$BP$3,BP$60,$BG$4:$BP$4)))</f>
        <v>0</v>
      </c>
      <c r="BQ90" s="194" t="str">
        <f aca="false">BF90</f>
        <v>Alumno29</v>
      </c>
      <c r="BR90" s="195" t="n">
        <f aca="false">IF((SUMIF($BR$3:$CA$3,BR$60,$BR$4:$CA$4))=0,0,((SUMIF($BR$3:$CA$3,BR$60,$BR139:$CA139))/SUMIF($BR$3:$CA$3,BR$60,$BR$4:$CA$4)))</f>
        <v>0</v>
      </c>
      <c r="BS90" s="196" t="n">
        <f aca="false">IF((SUMIF($BR$3:$CA$3,BS$60,$BR$4:$CA$4))=0,0,((SUMIF($BR$3:$CA$3,BS$60,$BR139:$CA139))/SUMIF($BR$3:$CA$3,BS$60,$BR$4:$CA$4)))</f>
        <v>5</v>
      </c>
      <c r="BT90" s="196" t="n">
        <f aca="false">IF((SUMIF($BR$3:$CA$3,BT$60,$BR$4:$CA$4))=0,0,((SUMIF($BR$3:$CA$3,BT$60,$BR139:$CA139))/SUMIF($BR$3:$CA$3,BT$60,$BR$4:$CA$4)))</f>
        <v>5</v>
      </c>
      <c r="BU90" s="196" t="n">
        <f aca="false">IF((SUMIF($BR$3:$CA$3,BU$60,$BR$4:$CA$4))=0,0,((SUMIF($BR$3:$CA$3,BU$60,$BR139:$CA139))/SUMIF($BR$3:$CA$3,BU$60,$BR$4:$CA$4)))</f>
        <v>5</v>
      </c>
      <c r="BV90" s="196" t="n">
        <f aca="false">IF((SUMIF($BR$3:$CA$3,BV$60,$BR$4:$CA$4))=0,0,((SUMIF($BR$3:$CA$3,BV$60,$BR139:$CA139))/SUMIF($BR$3:$CA$3,BV$60,$BR$4:$CA$4)))</f>
        <v>0</v>
      </c>
      <c r="BW90" s="196" t="n">
        <f aca="false">IF((SUMIF($BR$3:$CA$3,BW$60,$BR$4:$CA$4))=0,0,((SUMIF($BR$3:$CA$3,BW$60,$BR139:$CA139))/SUMIF($BR$3:$CA$3,BW$60,$BR$4:$CA$4)))</f>
        <v>0</v>
      </c>
      <c r="BX90" s="196" t="n">
        <f aca="false">IF((SUMIF($BR$3:$CA$3,BX$60,$BR$4:$CA$4))=0,0,((SUMIF($BR$3:$CA$3,BX$60,$BR139:$CA139))/SUMIF($BR$3:$CA$3,BX$60,$BR$4:$CA$4)))</f>
        <v>0</v>
      </c>
      <c r="BY90" s="196" t="n">
        <f aca="false">IF((SUMIF($BR$3:$CA$3,BY$60,$BR$4:$CA$4))=0,0,((SUMIF($BR$3:$CA$3,BY$60,$BR139:$CA139))/SUMIF($BR$3:$CA$3,BY$60,$BR$4:$CA$4)))</f>
        <v>0</v>
      </c>
      <c r="BZ90" s="196" t="n">
        <f aca="false">IF((SUMIF($BR$3:$CA$3,BZ$60,$BR$4:$CA$4))=0,0,((SUMIF($BR$3:$CA$3,BZ$60,$BR139:$CA139))/SUMIF($BR$3:$CA$3,BZ$60,$BR$4:$CA$4)))</f>
        <v>0</v>
      </c>
      <c r="CA90" s="197" t="n">
        <f aca="false">IF((SUMIF($BR$3:$CA$3,CA$60,$BR$4:$CA$4))=0,0,((SUMIF($BR$3:$CA$3,CA$60,$BR139:$CA139))/SUMIF($BR$3:$CA$3,CA$60,$BR$4:$CA$4)))</f>
        <v>0</v>
      </c>
      <c r="CB90" s="194" t="str">
        <f aca="false">BQ90</f>
        <v>Alumno29</v>
      </c>
      <c r="CC90" s="195" t="n">
        <f aca="false">IF((SUMIF($CC$3:$CL$3,CC$60,$CC$4:$CL$4))=0,0,((SUMIF($CC$3:$CL$3,CC$60,$CC139:$CL139))/SUMIF($CC$3:$CL$3,CC$60,$CC$4:$CL$4)))</f>
        <v>0</v>
      </c>
      <c r="CD90" s="196" t="n">
        <f aca="false">IF((SUMIF($CC$3:$CL$3,CD$60,$CC$4:$CL$4))=0,0,((SUMIF($CC$3:$CL$3,CD$60,$CC139:$CL139))/SUMIF($CC$3:$CL$3,CD$60,$CC$4:$CL$4)))</f>
        <v>0</v>
      </c>
      <c r="CE90" s="196" t="n">
        <f aca="false">IF((SUMIF($CC$3:$CL$3,CE$60,$CC$4:$CL$4))=0,0,((SUMIF($CC$3:$CL$3,CE$60,$CC139:$CL139))/SUMIF($CC$3:$CL$3,CE$60,$CC$4:$CL$4)))</f>
        <v>0</v>
      </c>
      <c r="CF90" s="196" t="n">
        <f aca="false">IF((SUMIF($CC$3:$CL$3,CF$60,$CC$4:$CL$4))=0,0,((SUMIF($CC$3:$CL$3,CF$60,$CC139:$CL139))/SUMIF($CC$3:$CL$3,CF$60,$CC$4:$CL$4)))</f>
        <v>0</v>
      </c>
      <c r="CG90" s="196" t="n">
        <f aca="false">IF((SUMIF($CC$3:$CL$3,CG$60,$CC$4:$CL$4))=0,0,((SUMIF($CC$3:$CL$3,CG$60,$CC139:$CL139))/SUMIF($CC$3:$CL$3,CG$60,$CC$4:$CL$4)))</f>
        <v>0</v>
      </c>
      <c r="CH90" s="196" t="n">
        <f aca="false">IF((SUMIF($CC$3:$CL$3,CH$60,$CC$4:$CL$4))=0,0,((SUMIF($CC$3:$CL$3,CH$60,$CC139:$CL139))/SUMIF($CC$3:$CL$3,CH$60,$CC$4:$CL$4)))</f>
        <v>0</v>
      </c>
      <c r="CI90" s="196" t="n">
        <f aca="false">IF((SUMIF($CC$3:$CL$3,CI$60,$CC$4:$CL$4))=0,0,((SUMIF($CC$3:$CL$3,CI$60,$CC139:$CL139))/SUMIF($CC$3:$CL$3,CI$60,$CC$4:$CL$4)))</f>
        <v>0</v>
      </c>
      <c r="CJ90" s="196" t="n">
        <f aca="false">IF((SUMIF($CC$3:$CL$3,CJ$60,$CC$4:$CL$4))=0,0,((SUMIF($CC$3:$CL$3,CJ$60,$CC139:$CL139))/SUMIF($CC$3:$CL$3,CJ$60,$CC$4:$CL$4)))</f>
        <v>0</v>
      </c>
      <c r="CK90" s="196" t="n">
        <f aca="false">IF((SUMIF($CC$3:$CL$3,CK$60,$CC$4:$CL$4))=0,0,((SUMIF($CC$3:$CL$3,CK$60,$CC139:$CL139))/SUMIF($CC$3:$CL$3,CK$60,$CC$4:$CL$4)))</f>
        <v>0</v>
      </c>
      <c r="CL90" s="197" t="n">
        <f aca="false">IF((SUMIF($CC$3:$CL$3,CL$60,$CC$4:$CL$4))=0,0,((SUMIF($CC$3:$CL$3,CL$60,$CC139:$CL139))/SUMIF($CC$3:$CL$3,CL$60,$CC$4:$CL$4)))</f>
        <v>0</v>
      </c>
      <c r="CM90" s="194" t="str">
        <f aca="false">CB90</f>
        <v>Alumno29</v>
      </c>
      <c r="CN90" s="195" t="n">
        <f aca="false">IF((SUMIF($CN$3:$CW$3,CN$60,$CN$4:$CW$4))=0,0,((SUMIF($CN$3:$CW$3,CN$60,$CN139:$CW139))/SUMIF($CN$3:$CW$3,CN$60,$CN$4:$CW$4)))</f>
        <v>0</v>
      </c>
      <c r="CO90" s="196" t="n">
        <f aca="false">IF((SUMIF($CN$3:$CW$3,CO$60,$CN$4:$CW$4))=0,0,((SUMIF($CN$3:$CW$3,CO$60,$CN139:$CW139))/SUMIF($CN$3:$CW$3,CO$60,$CN$4:$CW$4)))</f>
        <v>0</v>
      </c>
      <c r="CP90" s="196" t="n">
        <f aca="false">IF((SUMIF($CN$3:$CW$3,CP$60,$CN$4:$CW$4))=0,0,((SUMIF($CN$3:$CW$3,CP$60,$CN139:$CW139))/SUMIF($CN$3:$CW$3,CP$60,$CN$4:$CW$4)))</f>
        <v>0</v>
      </c>
      <c r="CQ90" s="196" t="n">
        <f aca="false">IF((SUMIF($CN$3:$CW$3,CQ$60,$CN$4:$CW$4))=0,0,((SUMIF($CN$3:$CW$3,CQ$60,$CN139:$CW139))/SUMIF($CN$3:$CW$3,CQ$60,$CN$4:$CW$4)))</f>
        <v>0</v>
      </c>
      <c r="CR90" s="196" t="n">
        <f aca="false">IF((SUMIF($CN$3:$CW$3,CR$60,$CN$4:$CW$4))=0,0,((SUMIF($CN$3:$CW$3,CR$60,$CN139:$CW139))/SUMIF($CN$3:$CW$3,CR$60,$CN$4:$CW$4)))</f>
        <v>0</v>
      </c>
      <c r="CS90" s="196" t="n">
        <f aca="false">IF((SUMIF($CN$3:$CW$3,CS$60,$CN$4:$CW$4))=0,0,((SUMIF($CN$3:$CW$3,CS$60,$CN139:$CW139))/SUMIF($CN$3:$CW$3,CS$60,$CN$4:$CW$4)))</f>
        <v>0</v>
      </c>
      <c r="CT90" s="196" t="n">
        <f aca="false">IF((SUMIF($CN$3:$CW$3,CT$60,$CN$4:$CW$4))=0,0,((SUMIF($CN$3:$CW$3,CT$60,$CN139:$CW139))/SUMIF($CN$3:$CW$3,CT$60,$CN$4:$CW$4)))</f>
        <v>0</v>
      </c>
      <c r="CU90" s="196" t="n">
        <f aca="false">IF((SUMIF($CN$3:$CW$3,CU$60,$CN$4:$CW$4))=0,0,((SUMIF($CN$3:$CW$3,CU$60,$CN139:$CW139))/SUMIF($CN$3:$CW$3,CU$60,$CN$4:$CW$4)))</f>
        <v>0</v>
      </c>
      <c r="CV90" s="196" t="n">
        <f aca="false">IF((SUMIF($CN$3:$CW$3,CV$60,$CN$4:$CW$4))=0,0,((SUMIF($CN$3:$CW$3,CV$60,$CN139:$CW139))/SUMIF($CN$3:$CW$3,CV$60,$CN$4:$CW$4)))</f>
        <v>0</v>
      </c>
      <c r="CW90" s="197" t="n">
        <f aca="false">IF((SUMIF($CN$3:$CW$3,CW$60,$CN$4:$CW$4))=0,0,((SUMIF($CN$3:$CW$3,CW$60,$CN139:$CW139))/SUMIF($CN$3:$CW$3,CW$60,$CN$4:$CW$4)))</f>
        <v>0</v>
      </c>
      <c r="CX90" s="194" t="str">
        <f aca="false">CM90</f>
        <v>Alumno29</v>
      </c>
      <c r="CY90" s="195" t="n">
        <f aca="false">IF((SUMIF($CY$3:$DH$3,CY$60,$CY$4:$DH$4))=0,0,((SUMIF($CY$3:$DH$3,CY$60,$CY139:$DH139))/SUMIF($CY$3:$DH$3,CY$60,$CY$4:$DH$4)))</f>
        <v>0</v>
      </c>
      <c r="CZ90" s="196" t="n">
        <f aca="false">IF((SUMIF($CY$3:$DH$3,CZ$60,$CY$4:$DH$4))=0,0,((SUMIF($CY$3:$DH$3,CZ$60,$CY139:$DH139))/SUMIF($CY$3:$DH$3,CZ$60,$CY$4:$DH$4)))</f>
        <v>0</v>
      </c>
      <c r="DA90" s="196" t="n">
        <f aca="false">IF((SUMIF($CY$3:$DH$3,DA$60,$CY$4:$DH$4))=0,0,((SUMIF($CY$3:$DH$3,DA$60,$CY139:$DH139))/SUMIF($CY$3:$DH$3,DA$60,$CY$4:$DH$4)))</f>
        <v>0</v>
      </c>
      <c r="DB90" s="196" t="n">
        <f aca="false">IF((SUMIF($CY$3:$DH$3,DB$60,$CY$4:$DH$4))=0,0,((SUMIF($CY$3:$DH$3,DB$60,$CY139:$DH139))/SUMIF($CY$3:$DH$3,DB$60,$CY$4:$DH$4)))</f>
        <v>0</v>
      </c>
      <c r="DC90" s="196" t="n">
        <f aca="false">IF((SUMIF($CY$3:$DH$3,DC$60,$CY$4:$DH$4))=0,0,((SUMIF($CY$3:$DH$3,DC$60,$CY139:$DH139))/SUMIF($CY$3:$DH$3,DC$60,$CY$4:$DH$4)))</f>
        <v>0</v>
      </c>
      <c r="DD90" s="196" t="n">
        <f aca="false">IF((SUMIF($CY$3:$DH$3,DD$60,$CY$4:$DH$4))=0,0,((SUMIF($CY$3:$DH$3,DD$60,$CY139:$DH139))/SUMIF($CY$3:$DH$3,DD$60,$CY$4:$DH$4)))</f>
        <v>0</v>
      </c>
      <c r="DE90" s="196" t="n">
        <f aca="false">IF((SUMIF($CY$3:$DH$3,DE$60,$CY$4:$DH$4))=0,0,((SUMIF($CY$3:$DH$3,DE$60,$CY139:$DH139))/SUMIF($CY$3:$DH$3,DE$60,$CY$4:$DH$4)))</f>
        <v>0</v>
      </c>
      <c r="DF90" s="196" t="n">
        <f aca="false">IF((SUMIF($CY$3:$DH$3,DF$60,$CY$4:$DH$4))=0,0,((SUMIF($CY$3:$DH$3,DF$60,$CY139:$DH139))/SUMIF($CY$3:$DH$3,DF$60,$CY$4:$DH$4)))</f>
        <v>0</v>
      </c>
      <c r="DG90" s="196" t="n">
        <f aca="false">IF((SUMIF($CY$3:$DH$3,DG$60,$CY$4:$DH$4))=0,0,((SUMIF($CY$3:$DH$3,DG$60,$CY139:$DH139))/SUMIF($CY$3:$DH$3,DG$60,$CY$4:$DH$4)))</f>
        <v>0</v>
      </c>
      <c r="DH90" s="197" t="n">
        <f aca="false">IF((SUMIF($CY$3:$DH$3,DH$60,$CY$4:$DH$4))=0,0,((SUMIF($CY$3:$DH$3,DH$60,$CY139:$DH139))/SUMIF($CY$3:$DH$3,DH$60,$CY$4:$DH$4)))</f>
        <v>0</v>
      </c>
      <c r="DI90" s="194" t="str">
        <f aca="false">CX90</f>
        <v>Alumno29</v>
      </c>
      <c r="DJ90" s="195" t="n">
        <f aca="false">IF((SUMIF($DJ$3:$DS$3,DJ$60,$DJ$4:$DS$4))=0,0,((SUMIF($DJ$3:$DS$3,DJ$60,$DJ139:$DS139))/SUMIF($DJ$3:$DS$3,DJ$60,$DJ$4:$DS$4)))</f>
        <v>0</v>
      </c>
      <c r="DK90" s="196" t="n">
        <f aca="false">IF((SUMIF($DJ$3:$DS$3,DK$60,$DJ$4:$DS$4))=0,0,((SUMIF($DJ$3:$DS$3,DK$60,$DJ139:$DS139))/SUMIF($DJ$3:$DS$3,DK$60,$DJ$4:$DS$4)))</f>
        <v>0</v>
      </c>
      <c r="DL90" s="196" t="n">
        <f aca="false">IF((SUMIF($DJ$3:$DS$3,DL$60,$DJ$4:$DS$4))=0,0,((SUMIF($DJ$3:$DS$3,DL$60,$DJ139:$DS139))/SUMIF($DJ$3:$DS$3,DL$60,$DJ$4:$DS$4)))</f>
        <v>0</v>
      </c>
      <c r="DM90" s="196" t="n">
        <f aca="false">IF((SUMIF($DJ$3:$DS$3,DM$60,$DJ$4:$DS$4))=0,0,((SUMIF($DJ$3:$DS$3,DM$60,$DJ139:$DS139))/SUMIF($DJ$3:$DS$3,DM$60,$DJ$4:$DS$4)))</f>
        <v>0</v>
      </c>
      <c r="DN90" s="196" t="n">
        <f aca="false">IF((SUMIF($DJ$3:$DS$3,DN$60,$DJ$4:$DS$4))=0,0,((SUMIF($DJ$3:$DS$3,DN$60,$DJ139:$DS139))/SUMIF($DJ$3:$DS$3,DN$60,$DJ$4:$DS$4)))</f>
        <v>0</v>
      </c>
      <c r="DO90" s="196" t="n">
        <f aca="false">IF((SUMIF($DJ$3:$DS$3,DO$60,$DJ$4:$DS$4))=0,0,((SUMIF($DJ$3:$DS$3,DO$60,$DJ139:$DS139))/SUMIF($DJ$3:$DS$3,DO$60,$DJ$4:$DS$4)))</f>
        <v>0</v>
      </c>
      <c r="DP90" s="196" t="n">
        <f aca="false">IF((SUMIF($DJ$3:$DS$3,DP$60,$DJ$4:$DS$4))=0,0,((SUMIF($DJ$3:$DS$3,DP$60,$DJ139:$DS139))/SUMIF($DJ$3:$DS$3,DP$60,$DJ$4:$DS$4)))</f>
        <v>0</v>
      </c>
      <c r="DQ90" s="196" t="n">
        <f aca="false">IF((SUMIF($DJ$3:$DS$3,DQ$60,$DJ$4:$DS$4))=0,0,((SUMIF($DJ$3:$DS$3,DQ$60,$DJ139:$DS139))/SUMIF($DJ$3:$DS$3,DQ$60,$DJ$4:$DS$4)))</f>
        <v>0</v>
      </c>
      <c r="DR90" s="196" t="n">
        <f aca="false">IF((SUMIF($DJ$3:$DS$3,DR$60,$DJ$4:$DS$4))=0,0,((SUMIF($DJ$3:$DS$3,DR$60,$DJ139:$DS139))/SUMIF($DJ$3:$DS$3,DR$60,$DJ$4:$DS$4)))</f>
        <v>0</v>
      </c>
      <c r="DS90" s="197" t="n">
        <f aca="false">IF((SUMIF($DJ$3:$DS$3,DS$60,$DJ$4:$DS$4))=0,0,((SUMIF($DJ$3:$DS$3,DS$60,$DJ139:$DS139))/SUMIF($DJ$3:$DS$3,DS$60,$DJ$4:$DS$4)))</f>
        <v>0</v>
      </c>
      <c r="DT90" s="194" t="str">
        <f aca="false">DI90</f>
        <v>Alumno29</v>
      </c>
      <c r="DU90" s="195" t="n">
        <f aca="false">IF((SUMIF($DU$3:$ED$3,DU$60,$DU$4:$ED$4))=0,0,((SUMIF($DU$3:$ED$3,DU$60,$DU139:$ED139))/SUMIF($DU$3:$ED$3,DU$60,$DU$4:$ED$4)))</f>
        <v>0</v>
      </c>
      <c r="DV90" s="196" t="n">
        <f aca="false">IF((SUMIF($DU$3:$ED$3,DV$60,$DU$4:$ED$4))=0,0,((SUMIF($DU$3:$ED$3,DV$60,$DU139:$ED139))/SUMIF($DU$3:$ED$3,DV$60,$DU$4:$ED$4)))</f>
        <v>0</v>
      </c>
      <c r="DW90" s="196" t="n">
        <f aca="false">IF((SUMIF($DU$3:$ED$3,DW$60,$DU$4:$ED$4))=0,0,((SUMIF($DU$3:$ED$3,DW$60,$DU139:$ED139))/SUMIF($DU$3:$ED$3,DW$60,$DU$4:$ED$4)))</f>
        <v>0</v>
      </c>
      <c r="DX90" s="196" t="n">
        <f aca="false">IF((SUMIF($DU$3:$ED$3,DX$60,$DU$4:$ED$4))=0,0,((SUMIF($DU$3:$ED$3,DX$60,$DU139:$ED139))/SUMIF($DU$3:$ED$3,DX$60,$DU$4:$ED$4)))</f>
        <v>0</v>
      </c>
      <c r="DY90" s="196" t="n">
        <f aca="false">IF((SUMIF($DU$3:$ED$3,DY$60,$DU$4:$ED$4))=0,0,((SUMIF($DU$3:$ED$3,DY$60,$DU139:$ED139))/SUMIF($DU$3:$ED$3,DY$60,$DU$4:$ED$4)))</f>
        <v>0</v>
      </c>
      <c r="DZ90" s="196" t="n">
        <f aca="false">IF((SUMIF($DU$3:$ED$3,DZ$60,$DU$4:$ED$4))=0,0,((SUMIF($DU$3:$ED$3,DZ$60,$DU139:$ED139))/SUMIF($DU$3:$ED$3,DZ$60,$DU$4:$ED$4)))</f>
        <v>0</v>
      </c>
      <c r="EA90" s="196" t="n">
        <f aca="false">IF((SUMIF($DU$3:$ED$3,EA$60,$DU$4:$ED$4))=0,0,((SUMIF($DU$3:$ED$3,EA$60,$DU139:$ED139))/SUMIF($DU$3:$ED$3,EA$60,$DU$4:$ED$4)))</f>
        <v>0</v>
      </c>
      <c r="EB90" s="196" t="n">
        <f aca="false">IF((SUMIF($DU$3:$ED$3,EB$60,$DU$4:$ED$4))=0,0,((SUMIF($DU$3:$ED$3,EB$60,$DU139:$ED139))/SUMIF($DU$3:$ED$3,EB$60,$DU$4:$ED$4)))</f>
        <v>0</v>
      </c>
      <c r="EC90" s="196" t="n">
        <f aca="false">IF((SUMIF($DU$3:$ED$3,EC$60,$DU$4:$ED$4))=0,0,((SUMIF($DU$3:$ED$3,EC$60,$DU139:$ED139))/SUMIF($DU$3:$ED$3,EC$60,$DU$4:$ED$4)))</f>
        <v>0</v>
      </c>
      <c r="ED90" s="197" t="n">
        <f aca="false">IF((SUMIF($DU$3:$ED$3,ED$60,$DU$4:$ED$4))=0,0,((SUMIF($DU$3:$ED$3,ED$60,$DU139:$ED139))/SUMIF($DU$3:$ED$3,ED$60,$DU$4:$ED$4)))</f>
        <v>0</v>
      </c>
      <c r="EE90" s="194" t="str">
        <f aca="false">DT90</f>
        <v>Alumno29</v>
      </c>
      <c r="EF90" s="195" t="n">
        <f aca="false">IF((SUMIF($EF$3:$EO$3,EF$60,$EF$4:$EO$4))=0,0,((SUMIF($EF$3:$EO$3,EF$60,$EF139:$EO139))/SUMIF($EF$3:$EO$3,EF$60,$EF$4:$EO$4)))</f>
        <v>0</v>
      </c>
      <c r="EG90" s="196" t="n">
        <f aca="false">IF((SUMIF($EF$3:$EO$3,EG$60,$EF$4:$EO$4))=0,0,((SUMIF($EF$3:$EO$3,EG$60,$EF139:$EO139))/SUMIF($EF$3:$EO$3,EG$60,$EF$4:$EO$4)))</f>
        <v>0</v>
      </c>
      <c r="EH90" s="196" t="n">
        <f aca="false">IF((SUMIF($EF$3:$EO$3,EH$60,$EF$4:$EO$4))=0,0,((SUMIF($EF$3:$EO$3,EH$60,$EF139:$EO139))/SUMIF($EF$3:$EO$3,EH$60,$EF$4:$EO$4)))</f>
        <v>0</v>
      </c>
      <c r="EI90" s="196" t="n">
        <f aca="false">IF((SUMIF($EF$3:$EO$3,EI$60,$EF$4:$EO$4))=0,0,((SUMIF($EF$3:$EO$3,EI$60,$EF139:$EO139))/SUMIF($EF$3:$EO$3,EI$60,$EF$4:$EO$4)))</f>
        <v>0</v>
      </c>
      <c r="EJ90" s="196" t="n">
        <f aca="false">IF((SUMIF($EF$3:$EO$3,EJ$60,$EF$4:$EO$4))=0,0,((SUMIF($EF$3:$EO$3,EJ$60,$EF139:$EO139))/SUMIF($EF$3:$EO$3,EJ$60,$EF$4:$EO$4)))</f>
        <v>0</v>
      </c>
      <c r="EK90" s="196" t="n">
        <f aca="false">IF((SUMIF($EF$3:$EO$3,EK$60,$EF$4:$EO$4))=0,0,((SUMIF($EF$3:$EO$3,EK$60,$EF139:$EO139))/SUMIF($EF$3:$EO$3,EK$60,$EF$4:$EO$4)))</f>
        <v>0</v>
      </c>
      <c r="EL90" s="196" t="n">
        <f aca="false">IF((SUMIF($EF$3:$EO$3,EL$60,$EF$4:$EO$4))=0,0,((SUMIF($EF$3:$EO$3,EL$60,$EF139:$EO139))/SUMIF($EF$3:$EO$3,EL$60,$EF$4:$EO$4)))</f>
        <v>0</v>
      </c>
      <c r="EM90" s="196" t="n">
        <f aca="false">IF((SUMIF($EF$3:$EO$3,EM$60,$EF$4:$EO$4))=0,0,((SUMIF($EF$3:$EO$3,EM$60,$EF139:$EO139))/SUMIF($EF$3:$EO$3,EM$60,$EF$4:$EO$4)))</f>
        <v>0</v>
      </c>
      <c r="EN90" s="196" t="n">
        <f aca="false">IF((SUMIF($EF$3:$EO$3,EN$60,$EF$4:$EO$4))=0,0,((SUMIF($EF$3:$EO$3,EN$60,$EF139:$EO139))/SUMIF($EF$3:$EO$3,EN$60,$EF$4:$EO$4)))</f>
        <v>0</v>
      </c>
      <c r="EO90" s="197" t="n">
        <f aca="false">IF((SUMIF($EF$3:$EO$3,EO$60,$EF$4:$EO$4))=0,0,((SUMIF($EF$3:$EO$3,EO$60,$EF139:$EO139))/SUMIF($EF$3:$EO$3,EO$60,$EF$4:$EO$4)))</f>
        <v>0</v>
      </c>
      <c r="EP90" s="194" t="str">
        <f aca="false">EE90</f>
        <v>Alumno29</v>
      </c>
      <c r="EQ90" s="195" t="n">
        <f aca="false">IF((SUMIF($EQ$3:$EZ$3,EQ$60,$EQ$4:$EZ$4))=0,0,((SUMIF($EQ$3:$EZ$3,EQ$60,$EQ139:$EZ139))/SUMIF($EQ$3:$EZ$3,EQ$60,$EQ$4:$EZ$4)))</f>
        <v>0</v>
      </c>
      <c r="ER90" s="196" t="n">
        <f aca="false">IF((SUMIF($EQ$3:$EZ$3,ER$60,$EQ$4:$EZ$4))=0,0,((SUMIF($EQ$3:$EZ$3,ER$60,$EQ139:$EZ139))/SUMIF($EQ$3:$EZ$3,ER$60,$EQ$4:$EZ$4)))</f>
        <v>0</v>
      </c>
      <c r="ES90" s="196" t="n">
        <f aca="false">IF((SUMIF($EQ$3:$EZ$3,ES$60,$EQ$4:$EZ$4))=0,0,((SUMIF($EQ$3:$EZ$3,ES$60,$EQ139:$EZ139))/SUMIF($EQ$3:$EZ$3,ES$60,$EQ$4:$EZ$4)))</f>
        <v>0</v>
      </c>
      <c r="ET90" s="196" t="n">
        <f aca="false">IF((SUMIF($EQ$3:$EZ$3,ET$60,$EQ$4:$EZ$4))=0,0,((SUMIF($EQ$3:$EZ$3,ET$60,$EQ139:$EZ139))/SUMIF($EQ$3:$EZ$3,ET$60,$EQ$4:$EZ$4)))</f>
        <v>0</v>
      </c>
      <c r="EU90" s="196" t="n">
        <f aca="false">IF((SUMIF($EQ$3:$EZ$3,EU$60,$EQ$4:$EZ$4))=0,0,((SUMIF($EQ$3:$EZ$3,EU$60,$EQ139:$EZ139))/SUMIF($EQ$3:$EZ$3,EU$60,$EQ$4:$EZ$4)))</f>
        <v>0</v>
      </c>
      <c r="EV90" s="196" t="n">
        <f aca="false">IF((SUMIF($EQ$3:$EZ$3,EV$60,$EQ$4:$EZ$4))=0,0,((SUMIF($EQ$3:$EZ$3,EV$60,$EQ139:$EZ139))/SUMIF($EQ$3:$EZ$3,EV$60,$EQ$4:$EZ$4)))</f>
        <v>0</v>
      </c>
      <c r="EW90" s="196" t="n">
        <f aca="false">IF((SUMIF($EQ$3:$EZ$3,EW$60,$EQ$4:$EZ$4))=0,0,((SUMIF($EQ$3:$EZ$3,EW$60,$EQ139:$EZ139))/SUMIF($EQ$3:$EZ$3,EW$60,$EQ$4:$EZ$4)))</f>
        <v>0</v>
      </c>
      <c r="EX90" s="196" t="n">
        <f aca="false">IF((SUMIF($EQ$3:$EZ$3,EX$60,$EQ$4:$EZ$4))=0,0,((SUMIF($EQ$3:$EZ$3,EX$60,$EQ139:$EZ139))/SUMIF($EQ$3:$EZ$3,EX$60,$EQ$4:$EZ$4)))</f>
        <v>0</v>
      </c>
      <c r="EY90" s="196" t="n">
        <f aca="false">IF((SUMIF($EQ$3:$EZ$3,EY$60,$EQ$4:$EZ$4))=0,0,((SUMIF($EQ$3:$EZ$3,EY$60,$EQ139:$EZ139))/SUMIF($EQ$3:$EZ$3,EY$60,$EQ$4:$EZ$4)))</f>
        <v>0</v>
      </c>
      <c r="EZ90" s="197" t="n">
        <f aca="false">IF((SUMIF($EQ$3:$EZ$3,EZ$60,$EQ$4:$EZ$4))=0,0,((SUMIF($EQ$3:$EZ$3,EZ$60,$EQ139:$EZ139))/SUMIF($EQ$3:$EZ$3,EZ$60,$EQ$4:$EZ$4)))</f>
        <v>0</v>
      </c>
      <c r="FA90" s="194" t="str">
        <f aca="false">EP90</f>
        <v>Alumno29</v>
      </c>
      <c r="FB90" s="195" t="n">
        <f aca="false">IF((SUMIF($FB$3:$FK$3,FB$60,$FB$4:$FK$4))=0,0,((SUMIF($FB$3:$FK$3,FB$60,$FB139:$FK139))/SUMIF($FB$3:$FK$3,FB$60,$FB$4:$FK$4)))</f>
        <v>0</v>
      </c>
      <c r="FC90" s="196" t="n">
        <f aca="false">IF((SUMIF($FB$3:$FK$3,FC$60,$FB$4:$FK$4))=0,0,((SUMIF($FB$3:$FK$3,FC$60,$FB139:$FK139))/SUMIF($FB$3:$FK$3,FC$60,$FB$4:$FK$4)))</f>
        <v>0</v>
      </c>
      <c r="FD90" s="196" t="n">
        <f aca="false">IF((SUMIF($FB$3:$FK$3,FD$60,$FB$4:$FK$4))=0,0,((SUMIF($FB$3:$FK$3,FD$60,$FB139:$FK139))/SUMIF($FB$3:$FK$3,FD$60,$FB$4:$FK$4)))</f>
        <v>0</v>
      </c>
      <c r="FE90" s="196" t="n">
        <f aca="false">IF((SUMIF($FB$3:$FK$3,FE$60,$FB$4:$FK$4))=0,0,((SUMIF($FB$3:$FK$3,FE$60,$FB139:$FK139))/SUMIF($FB$3:$FK$3,FE$60,$FB$4:$FK$4)))</f>
        <v>0</v>
      </c>
      <c r="FF90" s="196" t="n">
        <f aca="false">IF((SUMIF($FB$3:$FK$3,FF$60,$FB$4:$FK$4))=0,0,((SUMIF($FB$3:$FK$3,FF$60,$FB139:$FK139))/SUMIF($FB$3:$FK$3,FF$60,$FB$4:$FK$4)))</f>
        <v>0</v>
      </c>
      <c r="FG90" s="196" t="n">
        <f aca="false">IF((SUMIF($FB$3:$FK$3,FG$60,$FB$4:$FK$4))=0,0,((SUMIF($FB$3:$FK$3,FG$60,$FB139:$FK139))/SUMIF($FB$3:$FK$3,FG$60,$FB$4:$FK$4)))</f>
        <v>0</v>
      </c>
      <c r="FH90" s="196" t="n">
        <f aca="false">IF((SUMIF($FB$3:$FK$3,FH$60,$FB$4:$FK$4))=0,0,((SUMIF($FB$3:$FK$3,FH$60,$FB139:$FK139))/SUMIF($FB$3:$FK$3,FH$60,$FB$4:$FK$4)))</f>
        <v>0</v>
      </c>
      <c r="FI90" s="196" t="n">
        <f aca="false">IF((SUMIF($FB$3:$FK$3,FI$60,$FB$4:$FK$4))=0,0,((SUMIF($FB$3:$FK$3,FI$60,$FB139:$FK139))/SUMIF($FB$3:$FK$3,FI$60,$FB$4:$FK$4)))</f>
        <v>0</v>
      </c>
      <c r="FJ90" s="196" t="n">
        <f aca="false">IF((SUMIF($FB$3:$FK$3,FJ$60,$FB$4:$FK$4))=0,0,((SUMIF($FB$3:$FK$3,FJ$60,$FB139:$FK139))/SUMIF($FB$3:$FK$3,FJ$60,$FB$4:$FK$4)))</f>
        <v>0</v>
      </c>
      <c r="FK90" s="197" t="n">
        <f aca="false">IF((SUMIF($FB$3:$FK$3,FK$60,$FB$4:$FK$4))=0,0,((SUMIF($FB$3:$FK$3,FK$60,$FB139:$FK139))/SUMIF($FB$3:$FK$3,FK$60,$FB$4:$FK$4)))</f>
        <v>0</v>
      </c>
      <c r="FL90" s="194" t="str">
        <f aca="false">FA90</f>
        <v>Alumno29</v>
      </c>
      <c r="FM90" s="195" t="n">
        <f aca="false">IF((SUMIF($FM$3:$FV$3,FM$60,$FM$4:$FV$4))=0,0,((SUMIF($FM$3:$FV$3,FM$60,$FM139:$FV139))/SUMIF($FM$3:$FV$3,FM$60,$FM$4:$FV$4)))</f>
        <v>0</v>
      </c>
      <c r="FN90" s="196" t="n">
        <f aca="false">IF((SUMIF($FM$3:$FV$3,FN$60,$FM$4:$FV$4))=0,0,((SUMIF($FM$3:$FV$3,FN$60,$FM139:$FV139))/SUMIF($FM$3:$FV$3,FN$60,$FM$4:$FV$4)))</f>
        <v>0</v>
      </c>
      <c r="FO90" s="196" t="n">
        <f aca="false">IF((SUMIF($FM$3:$FV$3,FO$60,$FM$4:$FV$4))=0,0,((SUMIF($FM$3:$FV$3,FO$60,$FM139:$FV139))/SUMIF($FM$3:$FV$3,FO$60,$FM$4:$FV$4)))</f>
        <v>0</v>
      </c>
      <c r="FP90" s="196" t="n">
        <f aca="false">IF((SUMIF($FM$3:$FV$3,FP$60,$FM$4:$FV$4))=0,0,((SUMIF($FM$3:$FV$3,FP$60,$FM139:$FV139))/SUMIF($FM$3:$FV$3,FP$60,$FM$4:$FV$4)))</f>
        <v>0</v>
      </c>
      <c r="FQ90" s="196" t="n">
        <f aca="false">IF((SUMIF($FM$3:$FV$3,FQ$60,$FM$4:$FV$4))=0,0,((SUMIF($FM$3:$FV$3,FQ$60,$FM139:$FV139))/SUMIF($FM$3:$FV$3,FQ$60,$FM$4:$FV$4)))</f>
        <v>0</v>
      </c>
      <c r="FR90" s="196" t="n">
        <f aca="false">IF((SUMIF($FM$3:$FV$3,FR$60,$FM$4:$FV$4))=0,0,((SUMIF($FM$3:$FV$3,FR$60,$FM139:$FV139))/SUMIF($FM$3:$FV$3,FR$60,$FM$4:$FV$4)))</f>
        <v>0</v>
      </c>
      <c r="FS90" s="196" t="n">
        <f aca="false">IF((SUMIF($FM$3:$FV$3,FS$60,$FM$4:$FV$4))=0,0,((SUMIF($FM$3:$FV$3,FS$60,$FM139:$FV139))/SUMIF($FM$3:$FV$3,FS$60,$FM$4:$FV$4)))</f>
        <v>0</v>
      </c>
      <c r="FT90" s="196" t="n">
        <f aca="false">IF((SUMIF($FM$3:$FV$3,FT$60,$FM$4:$FV$4))=0,0,((SUMIF($FM$3:$FV$3,FT$60,$FM139:$FV139))/SUMIF($FM$3:$FV$3,FT$60,$FM$4:$FV$4)))</f>
        <v>0</v>
      </c>
      <c r="FU90" s="196" t="n">
        <f aca="false">IF((SUMIF($FM$3:$FV$3,FU$60,$FM$4:$FV$4))=0,0,((SUMIF($FM$3:$FV$3,FU$60,$FM139:$FV139))/SUMIF($FM$3:$FV$3,FU$60,$FM$4:$FV$4)))</f>
        <v>0</v>
      </c>
      <c r="FV90" s="197" t="n">
        <f aca="false">IF((SUMIF($FM$3:$FV$3,FV$60,$FM$4:$FV$4))=0,0,((SUMIF($FM$3:$FV$3,FV$60,$FM139:$FV139))/SUMIF($FM$3:$FV$3,FV$60,$FM$4:$FV$4)))</f>
        <v>0</v>
      </c>
      <c r="FW90" s="194" t="str">
        <f aca="false">FL90</f>
        <v>Alumno29</v>
      </c>
      <c r="FX90" s="195" t="n">
        <f aca="false">IF((SUMIF($FX$3:$GG$3,FX$60,$FX$4:$GG$4))=0,0,((SUMIF($FX$3:$GG$3,FX$60,$FX139:$GG139))/SUMIF($FX$3:$GG$3,FX$60,$FX$4:$GG$4)))</f>
        <v>0</v>
      </c>
      <c r="FY90" s="196" t="n">
        <f aca="false">IF((SUMIF($FX$3:$GG$3,FY$60,$FX$4:$GG$4))=0,0,((SUMIF($FX$3:$GG$3,FY$60,$FX139:$GG139))/SUMIF($FX$3:$GG$3,FY$60,$FX$4:$GG$4)))</f>
        <v>0</v>
      </c>
      <c r="FZ90" s="196" t="n">
        <f aca="false">IF((SUMIF($FX$3:$GG$3,FZ$60,$FX$4:$GG$4))=0,0,((SUMIF($FX$3:$GG$3,FZ$60,$FX139:$GG139))/SUMIF($FX$3:$GG$3,FZ$60,$FX$4:$GG$4)))</f>
        <v>0</v>
      </c>
      <c r="GA90" s="196" t="n">
        <f aca="false">IF((SUMIF($FX$3:$GG$3,GA$60,$FX$4:$GG$4))=0,0,((SUMIF($FX$3:$GG$3,GA$60,$FX139:$GG139))/SUMIF($FX$3:$GG$3,GA$60,$FX$4:$GG$4)))</f>
        <v>0</v>
      </c>
      <c r="GB90" s="196" t="n">
        <f aca="false">IF((SUMIF($FX$3:$GG$3,GB$60,$FX$4:$GG$4))=0,0,((SUMIF($FX$3:$GG$3,GB$60,$FX139:$GG139))/SUMIF($FX$3:$GG$3,GB$60,$FX$4:$GG$4)))</f>
        <v>0</v>
      </c>
      <c r="GC90" s="196" t="n">
        <f aca="false">IF((SUMIF($FX$3:$GG$3,GC$60,$FX$4:$GG$4))=0,0,((SUMIF($FX$3:$GG$3,GC$60,$FX139:$GG139))/SUMIF($FX$3:$GG$3,GC$60,$FX$4:$GG$4)))</f>
        <v>0</v>
      </c>
      <c r="GD90" s="196" t="n">
        <f aca="false">IF((SUMIF($FX$3:$GG$3,GD$60,$FX$4:$GG$4))=0,0,((SUMIF($FX$3:$GG$3,GD$60,$FX139:$GG139))/SUMIF($FX$3:$GG$3,GD$60,$FX$4:$GG$4)))</f>
        <v>0</v>
      </c>
      <c r="GE90" s="196" t="n">
        <f aca="false">IF((SUMIF($FX$3:$GG$3,GE$60,$FX$4:$GG$4))=0,0,((SUMIF($FX$3:$GG$3,GE$60,$FX139:$GG139))/SUMIF($FX$3:$GG$3,GE$60,$FX$4:$GG$4)))</f>
        <v>0</v>
      </c>
      <c r="GF90" s="196" t="n">
        <f aca="false">IF((SUMIF($FX$3:$GG$3,GF$60,$FX$4:$GG$4))=0,0,((SUMIF($FX$3:$GG$3,GF$60,$FX139:$GG139))/SUMIF($FX$3:$GG$3,GF$60,$FX$4:$GG$4)))</f>
        <v>0</v>
      </c>
      <c r="GG90" s="197" t="n">
        <f aca="false">IF((SUMIF($FX$3:$GG$3,GG$60,$FX$4:$GG$4))=0,0,((SUMIF($FX$3:$GG$3,GG$60,$FX139:$GG139))/SUMIF($FX$3:$GG$3,GG$60,$FX$4:$GG$4)))</f>
        <v>0</v>
      </c>
      <c r="GH90" s="194" t="str">
        <f aca="false">FW90</f>
        <v>Alumno29</v>
      </c>
      <c r="GI90" s="195" t="n">
        <f aca="false">IF((SUMIF($GI$3:$GR$3,GI$60,$GI$4:$GR$4))=0,0,((SUMIF($GI$3:$GR$3,GI$60,$GI139:$GR139))/SUMIF($GI$3:$GR$3,GI$60,$GI$4:$GR$4)))</f>
        <v>0</v>
      </c>
      <c r="GJ90" s="196" t="n">
        <f aca="false">IF((SUMIF($GI$3:$GR$3,GJ$60,$GI$4:$GR$4))=0,0,((SUMIF($GI$3:$GR$3,GJ$60,$GI139:$GR139))/SUMIF($GI$3:$GR$3,GJ$60,$GI$4:$GR$4)))</f>
        <v>0</v>
      </c>
      <c r="GK90" s="196" t="n">
        <f aca="false">IF((SUMIF($GI$3:$GR$3,GK$60,$GI$4:$GR$4))=0,0,((SUMIF($GI$3:$GR$3,GK$60,$GI139:$GR139))/SUMIF($GI$3:$GR$3,GK$60,$GI$4:$GR$4)))</f>
        <v>0</v>
      </c>
      <c r="GL90" s="196" t="n">
        <f aca="false">IF((SUMIF($GI$3:$GR$3,GL$60,$GI$4:$GR$4))=0,0,((SUMIF($GI$3:$GR$3,GL$60,$GI139:$GR139))/SUMIF($GI$3:$GR$3,GL$60,$GI$4:$GR$4)))</f>
        <v>0</v>
      </c>
      <c r="GM90" s="196" t="n">
        <f aca="false">IF((SUMIF($GI$3:$GR$3,GM$60,$GI$4:$GR$4))=0,0,((SUMIF($GI$3:$GR$3,GM$60,$GI139:$GR139))/SUMIF($GI$3:$GR$3,GM$60,$GI$4:$GR$4)))</f>
        <v>0</v>
      </c>
      <c r="GN90" s="196" t="n">
        <f aca="false">IF((SUMIF($GI$3:$GR$3,GN$60,$GI$4:$GR$4))=0,0,((SUMIF($GI$3:$GR$3,GN$60,$GI139:$GR139))/SUMIF($GI$3:$GR$3,GN$60,$GI$4:$GR$4)))</f>
        <v>0</v>
      </c>
      <c r="GO90" s="196" t="n">
        <f aca="false">IF((SUMIF($GI$3:$GR$3,GO$60,$GI$4:$GR$4))=0,0,((SUMIF($GI$3:$GR$3,GO$60,$GI139:$GR139))/SUMIF($GI$3:$GR$3,GO$60,$GI$4:$GR$4)))</f>
        <v>0</v>
      </c>
      <c r="GP90" s="196" t="n">
        <f aca="false">IF((SUMIF($GI$3:$GR$3,GP$60,$GI$4:$GR$4))=0,0,((SUMIF($GI$3:$GR$3,GP$60,$GI139:$GR139))/SUMIF($GI$3:$GR$3,GP$60,$GI$4:$GR$4)))</f>
        <v>0</v>
      </c>
      <c r="GQ90" s="196" t="n">
        <f aca="false">IF((SUMIF($GI$3:$GR$3,GQ$60,$GI$4:$GR$4))=0,0,((SUMIF($GI$3:$GR$3,GQ$60,$GI139:$GR139))/SUMIF($GI$3:$GR$3,GQ$60,$GI$4:$GR$4)))</f>
        <v>0</v>
      </c>
      <c r="GR90" s="197" t="n">
        <f aca="false">IF((SUMIF($GI$3:$GR$3,GR$60,$GI$4:$GR$4))=0,0,((SUMIF($GI$3:$GR$3,GR$60,$GI139:$GR139))/SUMIF($GI$3:$GR$3,GR$60,$GI$4:$GR$4)))</f>
        <v>0</v>
      </c>
      <c r="GS90" s="194" t="str">
        <f aca="false">GH90</f>
        <v>Alumno29</v>
      </c>
      <c r="GT90" s="195" t="n">
        <f aca="false">IF((SUMIF($GT$3:$HC$3,GT$60,$GT$4:$HC$4))=0,0,((SUMIF($GT$3:$HC$3,GT$60,$GT139:$HC139))/SUMIF($GT$3:$HC$3,GT$60,$GT$4:$HC$4)))</f>
        <v>0</v>
      </c>
      <c r="GU90" s="196" t="n">
        <f aca="false">IF((SUMIF($GT$3:$HC$3,GU$60,$GT$4:$HC$4))=0,0,((SUMIF($GT$3:$HC$3,GU$60,$GT139:$HC139))/SUMIF($GT$3:$HC$3,GU$60,$GT$4:$HC$4)))</f>
        <v>0</v>
      </c>
      <c r="GV90" s="196" t="n">
        <f aca="false">IF((SUMIF($GT$3:$HC$3,GV$60,$GT$4:$HC$4))=0,0,((SUMIF($GT$3:$HC$3,GV$60,$GT139:$HC139))/SUMIF($GT$3:$HC$3,GV$60,$GT$4:$HC$4)))</f>
        <v>0</v>
      </c>
      <c r="GW90" s="196" t="n">
        <f aca="false">IF((SUMIF($GT$3:$HC$3,GW$60,$GT$4:$HC$4))=0,0,((SUMIF($GT$3:$HC$3,GW$60,$GT139:$HC139))/SUMIF($GT$3:$HC$3,GW$60,$GT$4:$HC$4)))</f>
        <v>0</v>
      </c>
      <c r="GX90" s="196" t="n">
        <f aca="false">IF((SUMIF($GT$3:$HC$3,GX$60,$GT$4:$HC$4))=0,0,((SUMIF($GT$3:$HC$3,GX$60,$GT139:$HC139))/SUMIF($GT$3:$HC$3,GX$60,$GT$4:$HC$4)))</f>
        <v>0</v>
      </c>
      <c r="GY90" s="196" t="n">
        <f aca="false">IF((SUMIF($GT$3:$HC$3,GY$60,$GT$4:$HC$4))=0,0,((SUMIF($GT$3:$HC$3,GY$60,$GT139:$HC139))/SUMIF($GT$3:$HC$3,GY$60,$GT$4:$HC$4)))</f>
        <v>0</v>
      </c>
      <c r="GZ90" s="196" t="n">
        <f aca="false">IF((SUMIF($GT$3:$HC$3,GZ$60,$GT$4:$HC$4))=0,0,((SUMIF($GT$3:$HC$3,GZ$60,$GT139:$HC139))/SUMIF($GT$3:$HC$3,GZ$60,$GT$4:$HC$4)))</f>
        <v>0</v>
      </c>
      <c r="HA90" s="196" t="n">
        <f aca="false">IF((SUMIF($GT$3:$HC$3,HA$60,$GT$4:$HC$4))=0,0,((SUMIF($GT$3:$HC$3,HA$60,$GT139:$HC139))/SUMIF($GT$3:$HC$3,HA$60,$GT$4:$HC$4)))</f>
        <v>0</v>
      </c>
      <c r="HB90" s="196" t="n">
        <f aca="false">IF((SUMIF($GT$3:$HC$3,HB$60,$GT$4:$HC$4))=0,0,((SUMIF($GT$3:$HC$3,HB$60,$GT139:$HC139))/SUMIF($GT$3:$HC$3,HB$60,$GT$4:$HC$4)))</f>
        <v>0</v>
      </c>
      <c r="HC90" s="197" t="n">
        <f aca="false">IF((SUMIF($GT$3:$HC$3,HC$60,$GT$4:$HC$4))=0,0,((SUMIF($GT$3:$HC$3,HC$60,$GT139:$HC139))/SUMIF($GT$3:$HC$3,HC$60,$GT$4:$HC$4)))</f>
        <v>0</v>
      </c>
      <c r="HD90" s="194" t="str">
        <f aca="false">GS90</f>
        <v>Alumno29</v>
      </c>
      <c r="HE90" s="195" t="n">
        <f aca="false">IF((SUMIF($HE$3:$HN$3,HE$60,$HE$4:$HN$4))=0,0,((SUMIF($HE$3:$HN$3,HE$60,$HE139:$HN139))/SUMIF($HE$3:$HN$3,HE$60,$HE$4:$HN$4)))</f>
        <v>0</v>
      </c>
      <c r="HF90" s="196" t="n">
        <f aca="false">IF((SUMIF($HE$3:$HN$3,HF$60,$HE$4:$HN$4))=0,0,((SUMIF($HE$3:$HN$3,HF$60,$HE139:$HN139))/SUMIF($HE$3:$HN$3,HF$60,$HE$4:$HN$4)))</f>
        <v>0</v>
      </c>
      <c r="HG90" s="196" t="n">
        <f aca="false">IF((SUMIF($HE$3:$HN$3,HG$60,$HE$4:$HN$4))=0,0,((SUMIF($HE$3:$HN$3,HG$60,$HE139:$HN139))/SUMIF($HE$3:$HN$3,HG$60,$HE$4:$HN$4)))</f>
        <v>0</v>
      </c>
      <c r="HH90" s="196" t="n">
        <f aca="false">IF((SUMIF($HE$3:$HN$3,HH$60,$HE$4:$HN$4))=0,0,((SUMIF($HE$3:$HN$3,HH$60,$HE139:$HN139))/SUMIF($HE$3:$HN$3,HH$60,$HE$4:$HN$4)))</f>
        <v>0</v>
      </c>
      <c r="HI90" s="196" t="n">
        <f aca="false">IF((SUMIF($HE$3:$HN$3,HI$60,$HE$4:$HN$4))=0,0,((SUMIF($HE$3:$HN$3,HI$60,$HE139:$HN139))/SUMIF($HE$3:$HN$3,HI$60,$HE$4:$HN$4)))</f>
        <v>0</v>
      </c>
      <c r="HJ90" s="196" t="n">
        <f aca="false">IF((SUMIF($HE$3:$HN$3,HJ$60,$HE$4:$HN$4))=0,0,((SUMIF($HE$3:$HN$3,HJ$60,$HE139:$HN139))/SUMIF($HE$3:$HN$3,HJ$60,$HE$4:$HN$4)))</f>
        <v>0</v>
      </c>
      <c r="HK90" s="196" t="n">
        <f aca="false">IF((SUMIF($HE$3:$HN$3,HK$60,$HE$4:$HN$4))=0,0,((SUMIF($HE$3:$HN$3,HK$60,$HE139:$HN139))/SUMIF($HE$3:$HN$3,HK$60,$HE$4:$HN$4)))</f>
        <v>0</v>
      </c>
      <c r="HL90" s="196" t="n">
        <f aca="false">IF((SUMIF($HE$3:$HN$3,HL$60,$HE$4:$HN$4))=0,0,((SUMIF($HE$3:$HN$3,HL$60,$HE139:$HN139))/SUMIF($HE$3:$HN$3,HL$60,$HE$4:$HN$4)))</f>
        <v>0</v>
      </c>
      <c r="HM90" s="196" t="n">
        <f aca="false">IF((SUMIF($HE$3:$HN$3,HM$60,$HE$4:$HN$4))=0,0,((SUMIF($HE$3:$HN$3,HM$60,$HE139:$HN139))/SUMIF($HE$3:$HN$3,HM$60,$HE$4:$HN$4)))</f>
        <v>0</v>
      </c>
      <c r="HN90" s="197" t="n">
        <f aca="false">IF((SUMIF($HE$3:$HN$3,HN$60,$HE$4:$HN$4))=0,0,((SUMIF($HE$3:$HN$3,HN$60,$HE139:$HN139))/SUMIF($HE$3:$HN$3,HN$60,$HE$4:$HN$4)))</f>
        <v>0</v>
      </c>
      <c r="HO90" s="194" t="str">
        <f aca="false">HD90</f>
        <v>Alumno29</v>
      </c>
      <c r="HP90" s="195" t="n">
        <f aca="false">IF((SUMIF($HP$3:$HY$3,HP$60,$HP$4:$HY$4))=0,0,((SUMIF($HP$3:$HY$3,HP$60,$HP139:$HY139))/SUMIF($HP$3:$HY$3,HP$60,$HP$4:$HY$4)))</f>
        <v>0</v>
      </c>
      <c r="HQ90" s="196" t="n">
        <f aca="false">IF((SUMIF($HP$3:$HY$3,HQ$60,$HP$4:$HY$4))=0,0,((SUMIF($HP$3:$HY$3,HQ$60,$HP139:$HY139))/SUMIF($HP$3:$HY$3,HQ$60,$HP$4:$HY$4)))</f>
        <v>0</v>
      </c>
      <c r="HR90" s="196" t="n">
        <f aca="false">IF((SUMIF($HP$3:$HY$3,HR$60,$HP$4:$HY$4))=0,0,((SUMIF($HP$3:$HY$3,HR$60,$HP139:$HY139))/SUMIF($HP$3:$HY$3,HR$60,$HP$4:$HY$4)))</f>
        <v>0</v>
      </c>
      <c r="HS90" s="196" t="n">
        <f aca="false">IF((SUMIF($HP$3:$HY$3,HS$60,$HP$4:$HY$4))=0,0,((SUMIF($HP$3:$HY$3,HS$60,$HP139:$HY139))/SUMIF($HP$3:$HY$3,HS$60,$HP$4:$HY$4)))</f>
        <v>0</v>
      </c>
      <c r="HT90" s="196" t="n">
        <f aca="false">IF((SUMIF($HP$3:$HY$3,HT$60,$HP$4:$HY$4))=0,0,((SUMIF($HP$3:$HY$3,HT$60,$HP139:$HY139))/SUMIF($HP$3:$HY$3,HT$60,$HP$4:$HY$4)))</f>
        <v>0</v>
      </c>
      <c r="HU90" s="196" t="n">
        <f aca="false">IF((SUMIF($HP$3:$HY$3,HU$60,$HP$4:$HY$4))=0,0,((SUMIF($HP$3:$HY$3,HU$60,$HP139:$HY139))/SUMIF($HP$3:$HY$3,HU$60,$HP$4:$HY$4)))</f>
        <v>0</v>
      </c>
      <c r="HV90" s="196" t="n">
        <f aca="false">IF((SUMIF($HP$3:$HY$3,HV$60,$HP$4:$HY$4))=0,0,((SUMIF($HP$3:$HY$3,HV$60,$HP139:$HY139))/SUMIF($HP$3:$HY$3,HV$60,$HP$4:$HY$4)))</f>
        <v>0</v>
      </c>
      <c r="HW90" s="196" t="n">
        <f aca="false">IF((SUMIF($HP$3:$HY$3,HW$60,$HP$4:$HY$4))=0,0,((SUMIF($HP$3:$HY$3,HW$60,$HP139:$HY139))/SUMIF($HP$3:$HY$3,HW$60,$HP$4:$HY$4)))</f>
        <v>0</v>
      </c>
      <c r="HX90" s="196" t="n">
        <f aca="false">IF((SUMIF($HP$3:$HY$3,HX$60,$HP$4:$HY$4))=0,0,((SUMIF($HP$3:$HY$3,HX$60,$HP139:$HY139))/SUMIF($HP$3:$HY$3,HX$60,$HP$4:$HY$4)))</f>
        <v>0</v>
      </c>
      <c r="HY90" s="197" t="n">
        <f aca="false">IF((SUMIF($HP$3:$HY$3,HY$60,$HP$4:$HY$4))=0,0,((SUMIF($HP$3:$HY$3,HY$60,$HP139:$HY139))/SUMIF($HP$3:$HY$3,HY$60,$HP$4:$HY$4)))</f>
        <v>0</v>
      </c>
      <c r="HZ90" s="194" t="str">
        <f aca="false">HO90</f>
        <v>Alumno29</v>
      </c>
      <c r="IA90" s="195" t="n">
        <f aca="false">IF((SUMIF($IA$3:$IJ$3,IA$60,$IA$4:$IJ$4))=0,0,((SUMIF($IA$3:$IJ$3,IA$60,$IA139:$IJ139))/SUMIF($IA$3:$IJ$3,IA$60,$IA$4:$IJ$4)))</f>
        <v>0</v>
      </c>
      <c r="IB90" s="196" t="n">
        <f aca="false">IF((SUMIF($IA$3:$IJ$3,IB$60,$IA$4:$IJ$4))=0,0,((SUMIF($IA$3:$IJ$3,IB$60,$IA139:$IJ139))/SUMIF($IA$3:$IJ$3,IB$60,$IA$4:$IJ$4)))</f>
        <v>0</v>
      </c>
      <c r="IC90" s="196" t="n">
        <f aca="false">IF((SUMIF($IA$3:$IJ$3,IC$60,$IA$4:$IJ$4))=0,0,((SUMIF($IA$3:$IJ$3,IC$60,$IA139:$IJ139))/SUMIF($IA$3:$IJ$3,IC$60,$IA$4:$IJ$4)))</f>
        <v>0</v>
      </c>
      <c r="ID90" s="196" t="n">
        <f aca="false">IF((SUMIF($IA$3:$IJ$3,ID$60,$IA$4:$IJ$4))=0,0,((SUMIF($IA$3:$IJ$3,ID$60,$IA139:$IJ139))/SUMIF($IA$3:$IJ$3,ID$60,$IA$4:$IJ$4)))</f>
        <v>0</v>
      </c>
      <c r="IE90" s="196" t="n">
        <f aca="false">IF((SUMIF($IA$3:$IJ$3,IE$60,$IA$4:$IJ$4))=0,0,((SUMIF($IA$3:$IJ$3,IE$60,$IA139:$IJ139))/SUMIF($IA$3:$IJ$3,IE$60,$IA$4:$IJ$4)))</f>
        <v>0</v>
      </c>
      <c r="IF90" s="196" t="n">
        <f aca="false">IF((SUMIF($IA$3:$IJ$3,IF$60,$IA$4:$IJ$4))=0,0,((SUMIF($IA$3:$IJ$3,IF$60,$IA139:$IJ139))/SUMIF($IA$3:$IJ$3,IF$60,$IA$4:$IJ$4)))</f>
        <v>0</v>
      </c>
      <c r="IG90" s="196" t="n">
        <f aca="false">IF((SUMIF($IA$3:$IJ$3,IG$60,$IA$4:$IJ$4))=0,0,((SUMIF($IA$3:$IJ$3,IG$60,$IA139:$IJ139))/SUMIF($IA$3:$IJ$3,IG$60,$IA$4:$IJ$4)))</f>
        <v>0</v>
      </c>
      <c r="IH90" s="196" t="n">
        <f aca="false">IF((SUMIF($IA$3:$IJ$3,IH$60,$IA$4:$IJ$4))=0,0,((SUMIF($IA$3:$IJ$3,IH$60,$IA139:$IJ139))/SUMIF($IA$3:$IJ$3,IH$60,$IA$4:$IJ$4)))</f>
        <v>0</v>
      </c>
      <c r="II90" s="196" t="n">
        <f aca="false">IF((SUMIF($IA$3:$IJ$3,II$60,$IA$4:$IJ$4))=0,0,((SUMIF($IA$3:$IJ$3,II$60,$IA139:$IJ139))/SUMIF($IA$3:$IJ$3,II$60,$IA$4:$IJ$4)))</f>
        <v>0</v>
      </c>
      <c r="IJ90" s="197" t="n">
        <f aca="false">IF((SUMIF($IA$3:$IJ$3,IJ$60,$IA$4:$IJ$4))=0,0,((SUMIF($IA$3:$IJ$3,IJ$60,$IA139:$IJ139))/SUMIF($IA$3:$IJ$3,IJ$60,$IA$4:$IJ$4)))</f>
        <v>0</v>
      </c>
      <c r="IK90" s="194" t="str">
        <f aca="false">HZ90</f>
        <v>Alumno29</v>
      </c>
      <c r="IL90" s="195" t="n">
        <f aca="false">IF((SUMIF($IL$3:$IU$3,IL$60,$IL$4:$IU$4))=0,0,((SUMIF($IL$3:$IU$3,IL$60,$IL139:$IU139))/SUMIF($IL$3:$IU$3,IL$60,$IL$4:$IU$4)))</f>
        <v>0</v>
      </c>
      <c r="IM90" s="196" t="n">
        <f aca="false">IF((SUMIF($IL$3:$IU$3,IM$60,$IL$4:$IU$4))=0,0,((SUMIF($IL$3:$IU$3,IM$60,$IL139:$IU139))/SUMIF($IL$3:$IU$3,IM$60,$IL$4:$IU$4)))</f>
        <v>0</v>
      </c>
      <c r="IN90" s="196" t="n">
        <f aca="false">IF((SUMIF($IL$3:$IU$3,IN$60,$IL$4:$IU$4))=0,0,((SUMIF($IL$3:$IU$3,IN$60,$IL139:$IU139))/SUMIF($IL$3:$IU$3,IN$60,$IL$4:$IU$4)))</f>
        <v>0</v>
      </c>
      <c r="IO90" s="196" t="n">
        <f aca="false">IF((SUMIF($IL$3:$IU$3,IO$60,$IL$4:$IU$4))=0,0,((SUMIF($IL$3:$IU$3,IO$60,$IL139:$IU139))/SUMIF($IL$3:$IU$3,IO$60,$IL$4:$IU$4)))</f>
        <v>0</v>
      </c>
      <c r="IP90" s="196" t="n">
        <f aca="false">IF((SUMIF($IL$3:$IU$3,IP$60,$IL$4:$IU$4))=0,0,((SUMIF($IL$3:$IU$3,IP$60,$IL139:$IU139))/SUMIF($IL$3:$IU$3,IP$60,$IL$4:$IU$4)))</f>
        <v>0</v>
      </c>
      <c r="IQ90" s="196" t="n">
        <f aca="false">IF((SUMIF($IL$3:$IU$3,IQ$60,$IL$4:$IU$4))=0,0,((SUMIF($IL$3:$IU$3,IQ$60,$IL139:$IU139))/SUMIF($IL$3:$IU$3,IQ$60,$IL$4:$IU$4)))</f>
        <v>0</v>
      </c>
      <c r="IR90" s="196" t="n">
        <f aca="false">IF((SUMIF($IL$3:$IU$3,IR$60,$IL$4:$IU$4))=0,0,((SUMIF($IL$3:$IU$3,IR$60,$IL139:$IU139))/SUMIF($IL$3:$IU$3,IR$60,$IL$4:$IU$4)))</f>
        <v>0</v>
      </c>
      <c r="IS90" s="196" t="n">
        <f aca="false">IF((SUMIF($IL$3:$IU$3,IS$60,$IL$4:$IU$4))=0,0,((SUMIF($IL$3:$IU$3,IS$60,$IL139:$IU139))/SUMIF($IL$3:$IU$3,IS$60,$IL$4:$IU$4)))</f>
        <v>0</v>
      </c>
      <c r="IT90" s="196" t="n">
        <f aca="false">IF((SUMIF($IL$3:$IU$3,IT$60,$IL$4:$IU$4))=0,0,((SUMIF($IL$3:$IU$3,IT$60,$IL139:$IU139))/SUMIF($IL$3:$IU$3,IT$60,$IL$4:$IU$4)))</f>
        <v>0</v>
      </c>
      <c r="IU90" s="197" t="n">
        <f aca="false">IF((SUMIF($IL$3:$IU$3,IU$60,$IL$4:$IU$4))=0,0,((SUMIF($IL$3:$IU$3,IU$60,$IL139:$IU139))/SUMIF($IL$3:$IU$3,IU$60,$IL$4:$IU$4)))</f>
        <v>0</v>
      </c>
      <c r="IV90" s="194" t="str">
        <f aca="false">IK90</f>
        <v>Alumno29</v>
      </c>
      <c r="IW90" s="195" t="n">
        <f aca="false">IF((SUMIF($IW$3:$JF$3,IW$60,$IW$4:$JF$4))=0,0,((SUMIF($IW$3:$JF$3,IW$60,$IW139:$JF139))/SUMIF($IW$3:$JF$3,IW$60,$IW$4:$JF$4)))</f>
        <v>0</v>
      </c>
      <c r="IX90" s="196" t="n">
        <f aca="false">IF((SUMIF($IW$3:$JF$3,IX$60,$IW$4:$JF$4))=0,0,((SUMIF($IW$3:$JF$3,IX$60,$IW139:$JF139))/SUMIF($IW$3:$JF$3,IX$60,$IW$4:$JF$4)))</f>
        <v>0</v>
      </c>
      <c r="IY90" s="196" t="n">
        <f aca="false">IF((SUMIF($IW$3:$JF$3,IY$60,$IW$4:$JF$4))=0,0,((SUMIF($IW$3:$JF$3,IY$60,$IW139:$JF139))/SUMIF($IW$3:$JF$3,IY$60,$IW$4:$JF$4)))</f>
        <v>0</v>
      </c>
      <c r="IZ90" s="196" t="n">
        <f aca="false">IF((SUMIF($IW$3:$JF$3,IZ$60,$IW$4:$JF$4))=0,0,((SUMIF($IW$3:$JF$3,IZ$60,$IW139:$JF139))/SUMIF($IW$3:$JF$3,IZ$60,$IW$4:$JF$4)))</f>
        <v>0</v>
      </c>
      <c r="JA90" s="196" t="n">
        <f aca="false">IF((SUMIF($IW$3:$JF$3,JA$60,$IW$4:$JF$4))=0,0,((SUMIF($IW$3:$JF$3,JA$60,$IW139:$JF139))/SUMIF($IW$3:$JF$3,JA$60,$IW$4:$JF$4)))</f>
        <v>0</v>
      </c>
      <c r="JB90" s="196" t="n">
        <f aca="false">IF((SUMIF($IW$3:$JF$3,JB$60,$IW$4:$JF$4))=0,0,((SUMIF($IW$3:$JF$3,JB$60,$IW139:$JF139))/SUMIF($IW$3:$JF$3,JB$60,$IW$4:$JF$4)))</f>
        <v>0</v>
      </c>
      <c r="JC90" s="196" t="n">
        <f aca="false">IF((SUMIF($IW$3:$JF$3,JC$60,$IW$4:$JF$4))=0,0,((SUMIF($IW$3:$JF$3,JC$60,$IW139:$JF139))/SUMIF($IW$3:$JF$3,JC$60,$IW$4:$JF$4)))</f>
        <v>0</v>
      </c>
      <c r="JD90" s="196" t="n">
        <f aca="false">IF((SUMIF($IW$3:$JF$3,JD$60,$IW$4:$JF$4))=0,0,((SUMIF($IW$3:$JF$3,JD$60,$IW139:$JF139))/SUMIF($IW$3:$JF$3,JD$60,$IW$4:$JF$4)))</f>
        <v>0</v>
      </c>
      <c r="JE90" s="196" t="n">
        <f aca="false">IF((SUMIF($IW$3:$JF$3,JE$60,$IW$4:$JF$4))=0,0,((SUMIF($IW$3:$JF$3,JE$60,$IW139:$JF139))/SUMIF($IW$3:$JF$3,JE$60,$IW$4:$JF$4)))</f>
        <v>0</v>
      </c>
      <c r="JF90" s="197" t="n">
        <f aca="false">IF((SUMIF($IW$3:$JF$3,JF$60,$IW$4:$JF$4))=0,0,((SUMIF($IW$3:$JF$3,JF$60,$IW139:$JF139))/SUMIF($IW$3:$JF$3,JF$60,$IW$4:$JF$4)))</f>
        <v>0</v>
      </c>
      <c r="JG90" s="194" t="str">
        <f aca="false">IV90</f>
        <v>Alumno29</v>
      </c>
      <c r="JH90" s="195" t="n">
        <f aca="false">IF((SUMIF($JH$3:$JQ$3,JH$60,$JH$4:$JQ$4))=0,0,((SUMIF($JH$3:$JQ$3,JH$60,$JH139:$JQ139))/SUMIF($JH$3:$JQ$3,JH$60,$JH$4:$JQ$4)))</f>
        <v>0</v>
      </c>
      <c r="JI90" s="196" t="n">
        <f aca="false">IF((SUMIF($JH$3:$JQ$3,JI$60,$JH$4:$JQ$4))=0,0,((SUMIF($JH$3:$JQ$3,JI$60,$JH139:$JQ139))/SUMIF($JH$3:$JQ$3,JI$60,$JH$4:$JQ$4)))</f>
        <v>0</v>
      </c>
      <c r="JJ90" s="196" t="n">
        <f aca="false">IF((SUMIF($JH$3:$JQ$3,JJ$60,$JH$4:$JQ$4))=0,0,((SUMIF($JH$3:$JQ$3,JJ$60,$JH139:$JQ139))/SUMIF($JH$3:$JQ$3,JJ$60,$JH$4:$JQ$4)))</f>
        <v>0</v>
      </c>
      <c r="JK90" s="196" t="n">
        <f aca="false">IF((SUMIF($JH$3:$JQ$3,JK$60,$JH$4:$JQ$4))=0,0,((SUMIF($JH$3:$JQ$3,JK$60,$JH139:$JQ139))/SUMIF($JH$3:$JQ$3,JK$60,$JH$4:$JQ$4)))</f>
        <v>0</v>
      </c>
      <c r="JL90" s="196" t="n">
        <f aca="false">IF((SUMIF($JH$3:$JQ$3,JL$60,$JH$4:$JQ$4))=0,0,((SUMIF($JH$3:$JQ$3,JL$60,$JH139:$JQ139))/SUMIF($JH$3:$JQ$3,JL$60,$JH$4:$JQ$4)))</f>
        <v>0</v>
      </c>
      <c r="JM90" s="196" t="n">
        <f aca="false">IF((SUMIF($JH$3:$JQ$3,JM$60,$JH$4:$JQ$4))=0,0,((SUMIF($JH$3:$JQ$3,JM$60,$JH139:$JQ139))/SUMIF($JH$3:$JQ$3,JM$60,$JH$4:$JQ$4)))</f>
        <v>0</v>
      </c>
      <c r="JN90" s="196" t="n">
        <f aca="false">IF((SUMIF($JH$3:$JQ$3,JN$60,$JH$4:$JQ$4))=0,0,((SUMIF($JH$3:$JQ$3,JN$60,$JH139:$JQ139))/SUMIF($JH$3:$JQ$3,JN$60,$JH$4:$JQ$4)))</f>
        <v>0</v>
      </c>
      <c r="JO90" s="196" t="n">
        <f aca="false">IF((SUMIF($JH$3:$JQ$3,JO$60,$JH$4:$JQ$4))=0,0,((SUMIF($JH$3:$JQ$3,JO$60,$JH139:$JQ139))/SUMIF($JH$3:$JQ$3,JO$60,$JH$4:$JQ$4)))</f>
        <v>0</v>
      </c>
      <c r="JP90" s="196" t="n">
        <f aca="false">IF((SUMIF($JH$3:$JQ$3,JP$60,$JH$4:$JQ$4))=0,0,((SUMIF($JH$3:$JQ$3,JP$60,$JH139:$JQ139))/SUMIF($JH$3:$JQ$3,JP$60,$JH$4:$JQ$4)))</f>
        <v>0</v>
      </c>
      <c r="JQ90" s="197" t="n">
        <f aca="false">IF((SUMIF($JH$3:$JQ$3,JQ$60,$JH$4:$JQ$4))=0,0,((SUMIF($JH$3:$JQ$3,JQ$60,$JH139:$JQ139))/SUMIF($JH$3:$JQ$3,JQ$60,$JH$4:$JQ$4)))</f>
        <v>0</v>
      </c>
      <c r="JR90" s="194" t="str">
        <f aca="false">JG90</f>
        <v>Alumno29</v>
      </c>
      <c r="JS90" s="195" t="n">
        <f aca="false">IF((SUMIF($JS$3:$KB$3,JS$60,$JS$4:$KB$4))=0,0,((SUMIF($JS$3:$KB$3,JS$60,$JS139:$KB139))/SUMIF($JS$3:$KB$3,JS$60,$JS$4:$KB$4)))</f>
        <v>0</v>
      </c>
      <c r="JT90" s="196" t="n">
        <f aca="false">IF((SUMIF($JS$3:$KB$3,JT$60,$JS$4:$KB$4))=0,0,((SUMIF($JS$3:$KB$3,JT$60,$JS139:$KB139))/SUMIF($JS$3:$KB$3,JT$60,$JS$4:$KB$4)))</f>
        <v>0</v>
      </c>
      <c r="JU90" s="196" t="n">
        <f aca="false">IF((SUMIF($JS$3:$KB$3,JU$60,$JS$4:$KB$4))=0,0,((SUMIF($JS$3:$KB$3,JU$60,$JS139:$KB139))/SUMIF($JS$3:$KB$3,JU$60,$JS$4:$KB$4)))</f>
        <v>0</v>
      </c>
      <c r="JV90" s="196" t="n">
        <f aca="false">IF((SUMIF($JS$3:$KB$3,JV$60,$JS$4:$KB$4))=0,0,((SUMIF($JS$3:$KB$3,JV$60,$JS139:$KB139))/SUMIF($JS$3:$KB$3,JV$60,$JS$4:$KB$4)))</f>
        <v>0</v>
      </c>
      <c r="JW90" s="196" t="n">
        <f aca="false">IF((SUMIF($JS$3:$KB$3,JW$60,$JS$4:$KB$4))=0,0,((SUMIF($JS$3:$KB$3,JW$60,$JS139:$KB139))/SUMIF($JS$3:$KB$3,JW$60,$JS$4:$KB$4)))</f>
        <v>0</v>
      </c>
      <c r="JX90" s="196" t="n">
        <f aca="false">IF((SUMIF($JS$3:$KB$3,JX$60,$JS$4:$KB$4))=0,0,((SUMIF($JS$3:$KB$3,JX$60,$JS139:$KB139))/SUMIF($JS$3:$KB$3,JX$60,$JS$4:$KB$4)))</f>
        <v>0</v>
      </c>
      <c r="JY90" s="196" t="n">
        <f aca="false">IF((SUMIF($JS$3:$KB$3,JY$60,$JS$4:$KB$4))=0,0,((SUMIF($JS$3:$KB$3,JY$60,$JS139:$KB139))/SUMIF($JS$3:$KB$3,JY$60,$JS$4:$KB$4)))</f>
        <v>0</v>
      </c>
      <c r="JZ90" s="196" t="n">
        <f aca="false">IF((SUMIF($JS$3:$KB$3,JZ$60,$JS$4:$KB$4))=0,0,((SUMIF($JS$3:$KB$3,JZ$60,$JS139:$KB139))/SUMIF($JS$3:$KB$3,JZ$60,$JS$4:$KB$4)))</f>
        <v>0</v>
      </c>
      <c r="KA90" s="196" t="n">
        <f aca="false">IF((SUMIF($JS$3:$KB$3,KA$60,$JS$4:$KB$4))=0,0,((SUMIF($JS$3:$KB$3,KA$60,$JS139:$KB139))/SUMIF($JS$3:$KB$3,KA$60,$JS$4:$KB$4)))</f>
        <v>0</v>
      </c>
      <c r="KB90" s="197" t="n">
        <f aca="false">IF((SUMIF($JS$3:$KB$3,KB$60,$JS$4:$KB$4))=0,0,((SUMIF($JS$3:$KB$3,KB$60,$JS139:$KB139))/SUMIF($JS$3:$KB$3,KB$60,$JS$4:$KB$4)))</f>
        <v>0</v>
      </c>
      <c r="KC90" s="194" t="str">
        <f aca="false">JR90</f>
        <v>Alumno29</v>
      </c>
      <c r="KD90" s="195" t="n">
        <f aca="false">IF((SUMIF($KD$3:$KM$3,KD$60,$KD$4:$KM$4))=0,0,((SUMIF($KD$3:$KM$3,KD$60,$KD139:$KM139))/SUMIF($KD$3:$KM$3,KD$60,$KD$4:$KM$4)))</f>
        <v>0</v>
      </c>
      <c r="KE90" s="196" t="n">
        <f aca="false">IF((SUMIF($KD$3:$KM$3,KE$60,$KD$4:$KM$4))=0,0,((SUMIF($KD$3:$KM$3,KE$60,$KD139:$KM139))/SUMIF($KD$3:$KM$3,KE$60,$KD$4:$KM$4)))</f>
        <v>0</v>
      </c>
      <c r="KF90" s="196" t="n">
        <f aca="false">IF((SUMIF($KD$3:$KM$3,KF$60,$KD$4:$KM$4))=0,0,((SUMIF($KD$3:$KM$3,KF$60,$KD139:$KM139))/SUMIF($KD$3:$KM$3,KF$60,$KD$4:$KM$4)))</f>
        <v>0</v>
      </c>
      <c r="KG90" s="196" t="n">
        <f aca="false">IF((SUMIF($KD$3:$KM$3,KG$60,$KD$4:$KM$4))=0,0,((SUMIF($KD$3:$KM$3,KG$60,$KD139:$KM139))/SUMIF($KD$3:$KM$3,KG$60,$KD$4:$KM$4)))</f>
        <v>0</v>
      </c>
      <c r="KH90" s="196" t="n">
        <f aca="false">IF((SUMIF($KD$3:$KM$3,KH$60,$KD$4:$KM$4))=0,0,((SUMIF($KD$3:$KM$3,KH$60,$KD139:$KM139))/SUMIF($KD$3:$KM$3,KH$60,$KD$4:$KM$4)))</f>
        <v>0</v>
      </c>
      <c r="KI90" s="196" t="n">
        <f aca="false">IF((SUMIF($KD$3:$KM$3,KI$60,$KD$4:$KM$4))=0,0,((SUMIF($KD$3:$KM$3,KI$60,$KD139:$KM139))/SUMIF($KD$3:$KM$3,KI$60,$KD$4:$KM$4)))</f>
        <v>0</v>
      </c>
      <c r="KJ90" s="196" t="n">
        <f aca="false">IF((SUMIF($KD$3:$KM$3,KJ$60,$KD$4:$KM$4))=0,0,((SUMIF($KD$3:$KM$3,KJ$60,$KD139:$KM139))/SUMIF($KD$3:$KM$3,KJ$60,$KD$4:$KM$4)))</f>
        <v>0</v>
      </c>
      <c r="KK90" s="196" t="n">
        <f aca="false">IF((SUMIF($KD$3:$KM$3,KK$60,$KD$4:$KM$4))=0,0,((SUMIF($KD$3:$KM$3,KK$60,$KD139:$KM139))/SUMIF($KD$3:$KM$3,KK$60,$KD$4:$KM$4)))</f>
        <v>0</v>
      </c>
      <c r="KL90" s="196" t="n">
        <f aca="false">IF((SUMIF($KD$3:$KM$3,KL$60,$KD$4:$KM$4))=0,0,((SUMIF($KD$3:$KM$3,KL$60,$KD139:$KM139))/SUMIF($KD$3:$KM$3,KL$60,$KD$4:$KM$4)))</f>
        <v>0</v>
      </c>
      <c r="KM90" s="197" t="n">
        <f aca="false">IF((SUMIF($KD$3:$KM$3,KM$60,$KD$4:$KM$4))=0,0,((SUMIF($KD$3:$KM$3,KM$60,$KD139:$KM139))/SUMIF($KD$3:$KM$3,KM$60,$KD$4:$KM$4)))</f>
        <v>0</v>
      </c>
      <c r="KN90" s="194" t="str">
        <f aca="false">KC90</f>
        <v>Alumno29</v>
      </c>
      <c r="KO90" s="195" t="n">
        <f aca="false">IF((SUMIF($KO$3:$KX$3,KO$60,$KO$4:$KX$4))=0,0,((SUMIF($KO$3:$KX$3,KO$60,$KO139:$KX139))/SUMIF($KO$3:$KX$3,KO$60,$KO$4:$KX$4)))</f>
        <v>0</v>
      </c>
      <c r="KP90" s="196" t="n">
        <f aca="false">IF((SUMIF($KO$3:$KX$3,KP$60,$KO$4:$KX$4))=0,0,((SUMIF($KO$3:$KX$3,KP$60,$KO139:$KX139))/SUMIF($KO$3:$KX$3,KP$60,$KO$4:$KX$4)))</f>
        <v>0</v>
      </c>
      <c r="KQ90" s="196" t="n">
        <f aca="false">IF((SUMIF($KO$3:$KX$3,KQ$60,$KO$4:$KX$4))=0,0,((SUMIF($KO$3:$KX$3,KQ$60,$KO139:$KX139))/SUMIF($KO$3:$KX$3,KQ$60,$KO$4:$KX$4)))</f>
        <v>0</v>
      </c>
      <c r="KR90" s="196" t="n">
        <f aca="false">IF((SUMIF($KO$3:$KX$3,KR$60,$KO$4:$KX$4))=0,0,((SUMIF($KO$3:$KX$3,KR$60,$KO139:$KX139))/SUMIF($KO$3:$KX$3,KR$60,$KO$4:$KX$4)))</f>
        <v>0</v>
      </c>
      <c r="KS90" s="196" t="n">
        <f aca="false">IF((SUMIF($KO$3:$KX$3,KS$60,$KO$4:$KX$4))=0,0,((SUMIF($KO$3:$KX$3,KS$60,$KO139:$KX139))/SUMIF($KO$3:$KX$3,KS$60,$KO$4:$KX$4)))</f>
        <v>0</v>
      </c>
      <c r="KT90" s="196" t="n">
        <f aca="false">IF((SUMIF($KO$3:$KX$3,KT$60,$KO$4:$KX$4))=0,0,((SUMIF($KO$3:$KX$3,KT$60,$KO139:$KX139))/SUMIF($KO$3:$KX$3,KT$60,$KO$4:$KX$4)))</f>
        <v>0</v>
      </c>
      <c r="KU90" s="196" t="n">
        <f aca="false">IF((SUMIF($KO$3:$KX$3,KU$60,$KO$4:$KX$4))=0,0,((SUMIF($KO$3:$KX$3,KU$60,$KO139:$KX139))/SUMIF($KO$3:$KX$3,KU$60,$KO$4:$KX$4)))</f>
        <v>0</v>
      </c>
      <c r="KV90" s="196" t="n">
        <f aca="false">IF((SUMIF($KO$3:$KX$3,KV$60,$KO$4:$KX$4))=0,0,((SUMIF($KO$3:$KX$3,KV$60,$KO139:$KX139))/SUMIF($KO$3:$KX$3,KV$60,$KO$4:$KX$4)))</f>
        <v>0</v>
      </c>
      <c r="KW90" s="196" t="n">
        <f aca="false">IF((SUMIF($KO$3:$KX$3,KW$60,$KO$4:$KX$4))=0,0,((SUMIF($KO$3:$KX$3,KW$60,$KO139:$KX139))/SUMIF($KO$3:$KX$3,KW$60,$KO$4:$KX$4)))</f>
        <v>0</v>
      </c>
      <c r="KX90" s="197" t="n">
        <f aca="false">IF((SUMIF($KO$3:$KX$3,KX$60,$KO$4:$KX$4))=0,0,((SUMIF($KO$3:$KX$3,KX$60,$KO139:$KX139))/SUMIF($KO$3:$KX$3,KX$60,$KO$4:$KX$4)))</f>
        <v>0</v>
      </c>
      <c r="KY90" s="194" t="str">
        <f aca="false">KN90</f>
        <v>Alumno29</v>
      </c>
      <c r="KZ90" s="195" t="n">
        <f aca="false">IF((SUMIF($KZ$3:$LI$3,KZ$60,$KZ$4:$LI$4))=0,0,((SUMIF($KZ$3:$LI$3,KZ$60,$KZ139:$LI139))/SUMIF($KZ$3:$LI$3,KZ$60,$KZ$4:$LI$4)))</f>
        <v>0</v>
      </c>
      <c r="LA90" s="196" t="n">
        <f aca="false">IF((SUMIF($KZ$3:$LI$3,LA$60,$KZ$4:$LI$4))=0,0,((SUMIF($KZ$3:$LI$3,LA$60,$KZ139:$LI139))/SUMIF($KZ$3:$LI$3,LA$60,$KZ$4:$LI$4)))</f>
        <v>0</v>
      </c>
      <c r="LB90" s="196" t="n">
        <f aca="false">IF((SUMIF($KZ$3:$LI$3,LB$60,$KZ$4:$LI$4))=0,0,((SUMIF($KZ$3:$LI$3,LB$60,$KZ139:$LI139))/SUMIF($KZ$3:$LI$3,LB$60,$KZ$4:$LI$4)))</f>
        <v>0</v>
      </c>
      <c r="LC90" s="196" t="n">
        <f aca="false">IF((SUMIF($KZ$3:$LI$3,LC$60,$KZ$4:$LI$4))=0,0,((SUMIF($KZ$3:$LI$3,LC$60,$KZ139:$LI139))/SUMIF($KZ$3:$LI$3,LC$60,$KZ$4:$LI$4)))</f>
        <v>0</v>
      </c>
      <c r="LD90" s="196" t="n">
        <f aca="false">IF((SUMIF($KZ$3:$LI$3,LD$60,$KZ$4:$LI$4))=0,0,((SUMIF($KZ$3:$LI$3,LD$60,$KZ139:$LI139))/SUMIF($KZ$3:$LI$3,LD$60,$KZ$4:$LI$4)))</f>
        <v>0</v>
      </c>
      <c r="LE90" s="196" t="n">
        <f aca="false">IF((SUMIF($KZ$3:$LI$3,LE$60,$KZ$4:$LI$4))=0,0,((SUMIF($KZ$3:$LI$3,LE$60,$KZ139:$LI139))/SUMIF($KZ$3:$LI$3,LE$60,$KZ$4:$LI$4)))</f>
        <v>0</v>
      </c>
      <c r="LF90" s="196" t="n">
        <f aca="false">IF((SUMIF($KZ$3:$LI$3,LF$60,$KZ$4:$LI$4))=0,0,((SUMIF($KZ$3:$LI$3,LF$60,$KZ139:$LI139))/SUMIF($KZ$3:$LI$3,LF$60,$KZ$4:$LI$4)))</f>
        <v>0</v>
      </c>
      <c r="LG90" s="196" t="n">
        <f aca="false">IF((SUMIF($KZ$3:$LI$3,LG$60,$KZ$4:$LI$4))=0,0,((SUMIF($KZ$3:$LI$3,LG$60,$KZ139:$LI139))/SUMIF($KZ$3:$LI$3,LG$60,$KZ$4:$LI$4)))</f>
        <v>0</v>
      </c>
      <c r="LH90" s="196" t="n">
        <f aca="false">IF((SUMIF($KZ$3:$LI$3,LH$60,$KZ$4:$LI$4))=0,0,((SUMIF($KZ$3:$LI$3,LH$60,$KZ139:$LI139))/SUMIF($KZ$3:$LI$3,LH$60,$KZ$4:$LI$4)))</f>
        <v>0</v>
      </c>
      <c r="LI90" s="197" t="n">
        <f aca="false">IF((SUMIF($KZ$3:$LI$3,LI$60,$KZ$4:$LI$4))=0,0,((SUMIF($KZ$3:$LI$3,LI$60,$KZ139:$LI139))/SUMIF($KZ$3:$LI$3,LI$60,$KZ$4:$LI$4)))</f>
        <v>0</v>
      </c>
      <c r="LJ90" s="194" t="str">
        <f aca="false">KY90</f>
        <v>Alumno29</v>
      </c>
      <c r="LK90" s="195" t="n">
        <f aca="false">IF((SUMIF($LK$3:$LT$3,LK$60,$LK$4:$LT$4))=0,0,((SUMIF($LK$3:$LT$3,LK$60,$LK139:$LT139))/SUMIF($LK$3:$LT$3,LK$60,$LK$4:$LT$4)))</f>
        <v>0</v>
      </c>
      <c r="LL90" s="196" t="n">
        <f aca="false">IF((SUMIF($LK$3:$LT$3,LL$60,$LK$4:$LT$4))=0,0,((SUMIF($LK$3:$LT$3,LL$60,$LK139:$LT139))/SUMIF($LK$3:$LT$3,LL$60,$LK$4:$LT$4)))</f>
        <v>0</v>
      </c>
      <c r="LM90" s="196" t="n">
        <f aca="false">IF((SUMIF($LK$3:$LT$3,LM$60,$LK$4:$LT$4))=0,0,((SUMIF($LK$3:$LT$3,LM$60,$LK139:$LT139))/SUMIF($LK$3:$LT$3,LM$60,$LK$4:$LT$4)))</f>
        <v>0</v>
      </c>
      <c r="LN90" s="196" t="n">
        <f aca="false">IF((SUMIF($LK$3:$LT$3,LN$60,$LK$4:$LT$4))=0,0,((SUMIF($LK$3:$LT$3,LN$60,$LK139:$LT139))/SUMIF($LK$3:$LT$3,LN$60,$LK$4:$LT$4)))</f>
        <v>0</v>
      </c>
      <c r="LO90" s="196" t="n">
        <f aca="false">IF((SUMIF($LK$3:$LT$3,LO$60,$LK$4:$LT$4))=0,0,((SUMIF($LK$3:$LT$3,LO$60,$LK139:$LT139))/SUMIF($LK$3:$LT$3,LO$60,$LK$4:$LT$4)))</f>
        <v>0</v>
      </c>
      <c r="LP90" s="196" t="n">
        <f aca="false">IF((SUMIF($LK$3:$LT$3,LP$60,$LK$4:$LT$4))=0,0,((SUMIF($LK$3:$LT$3,LP$60,$LK139:$LT139))/SUMIF($LK$3:$LT$3,LP$60,$LK$4:$LT$4)))</f>
        <v>0</v>
      </c>
      <c r="LQ90" s="196" t="n">
        <f aca="false">IF((SUMIF($LK$3:$LT$3,LQ$60,$LK$4:$LT$4))=0,0,((SUMIF($LK$3:$LT$3,LQ$60,$LK139:$LT139))/SUMIF($LK$3:$LT$3,LQ$60,$LK$4:$LT$4)))</f>
        <v>0</v>
      </c>
      <c r="LR90" s="196" t="n">
        <f aca="false">IF((SUMIF($LK$3:$LT$3,LR$60,$LK$4:$LT$4))=0,0,((SUMIF($LK$3:$LT$3,LR$60,$LK139:$LT139))/SUMIF($LK$3:$LT$3,LR$60,$LK$4:$LT$4)))</f>
        <v>0</v>
      </c>
      <c r="LS90" s="196" t="n">
        <f aca="false">IF((SUMIF($LK$3:$LT$3,LS$60,$LK$4:$LT$4))=0,0,((SUMIF($LK$3:$LT$3,LS$60,$LK139:$LT139))/SUMIF($LK$3:$LT$3,LS$60,$LK$4:$LT$4)))</f>
        <v>0</v>
      </c>
      <c r="LT90" s="197" t="n">
        <f aca="false">IF((SUMIF($LK$3:$LT$3,LT$60,$LK$4:$LT$4))=0,0,((SUMIF($LK$3:$LT$3,LT$60,$LK139:$LT139))/SUMIF($LK$3:$LT$3,LT$60,$LK$4:$LT$4)))</f>
        <v>0</v>
      </c>
    </row>
    <row r="91" customFormat="false" ht="15" hidden="true" customHeight="false" outlineLevel="0" collapsed="false">
      <c r="C91" s="194" t="str">
        <f aca="false">B35</f>
        <v>Alumno30</v>
      </c>
      <c r="D91" s="195" t="n">
        <f aca="false">IF((SUMIF($D$3:$M$3,D$60,$D$4:$M$4))=0,0,((SUMIF($D$3:$M$3,D$60,$D140:$M140))/SUMIF($D$3:$M$3,D$60,$D$4:$M$4)))</f>
        <v>5</v>
      </c>
      <c r="E91" s="196" t="n">
        <f aca="false">IF((SUMIF($D$3:$M$3,E$60,$D$4:$M$4))=0,0,((SUMIF($D$3:$M$3,E$60,$D140:$M140))/SUMIF($D$3:$M$3,E$60,$D$4:$M$4)))</f>
        <v>0</v>
      </c>
      <c r="F91" s="196" t="n">
        <f aca="false">IF((SUMIF($D$3:$M$3,F$60,$D$4:$M$4))=0,0,((SUMIF($D$3:$M$3,F$60,$D140:$M140))/SUMIF($D$3:$M$3,F$60,$D$4:$M$4)))</f>
        <v>0</v>
      </c>
      <c r="G91" s="196" t="n">
        <f aca="false">IF((SUMIF($D$3:$M$3,G$60,$D$4:$M$4))=0,0,((SUMIF($D$3:$M$3,G$60,$D140:$M140))/SUMIF($D$3:$M$3,G$60,$D$4:$M$4)))</f>
        <v>0</v>
      </c>
      <c r="H91" s="196" t="n">
        <f aca="false">IF((SUMIF($D$3:$M$3,H$60,$D$4:$M$4))=0,0,((SUMIF($D$3:$M$3,H$60,$D140:$M140))/SUMIF($D$3:$M$3,H$60,$D$4:$M$4)))</f>
        <v>0</v>
      </c>
      <c r="I91" s="196" t="n">
        <f aca="false">IF((SUMIF($D$3:$M$3,I$60,$D$4:$M$4))=0,0,((SUMIF($D$3:$M$3,I$60,$D140:$M140))/SUMIF($D$3:$M$3,I$60,$D$4:$M$4)))</f>
        <v>0</v>
      </c>
      <c r="J91" s="196" t="n">
        <f aca="false">IF((SUMIF($D$3:$M$3,J$60,$D$4:$M$4))=0,0,((SUMIF($D$3:$M$3,J$60,$D140:$M140))/SUMIF($D$3:$M$3,J$60,$D$4:$M$4)))</f>
        <v>0</v>
      </c>
      <c r="K91" s="196" t="n">
        <f aca="false">IF((SUMIF($D$3:$M$3,K$60,$D$4:$M$4))=0,0,((SUMIF($D$3:$M$3,K$60,$D140:$M140))/SUMIF($D$3:$M$3,K$60,$D$4:$M$4)))</f>
        <v>0</v>
      </c>
      <c r="L91" s="196" t="n">
        <f aca="false">IF((SUMIF($D$3:$M$3,L$60,$D$4:$M$4))=0,0,((SUMIF($D$3:$M$3,L$60,$D140:$M140))/SUMIF($D$3:$M$3,L$60,$D$4:$M$4)))</f>
        <v>0</v>
      </c>
      <c r="M91" s="197" t="n">
        <f aca="false">IF((SUMIF($D$3:$M$3,M$60,$D$4:$M$4))=0,0,((SUMIF($D$3:$M$3,M$60,$D140:$M140))/SUMIF($D$3:$M$3,M$60,$D$4:$M$4)))</f>
        <v>0</v>
      </c>
      <c r="N91" s="194" t="str">
        <f aca="false">C91</f>
        <v>Alumno30</v>
      </c>
      <c r="O91" s="195" t="n">
        <f aca="false">IF((SUMIF($O$3:$X$3,O$60,$O$4:$X$4))=0,0,((SUMIF($O$3:$X$3,O$60,$O140:$X140))/SUMIF($O$3:$X$3,O$60,$O$4:$X$4)))</f>
        <v>5</v>
      </c>
      <c r="P91" s="196" t="n">
        <f aca="false">IF((SUMIF($O$3:$X$3,P$60,$O$4:$X$4))=0,0,((SUMIF($O$3:$X$3,P$60,$O140:$X140))/SUMIF($O$3:$X$3,P$60,$O$4:$X$4)))</f>
        <v>5</v>
      </c>
      <c r="Q91" s="196" t="n">
        <f aca="false">IF((SUMIF($O$3:$X$3,Q$60,$O$4:$X$4))=0,0,((SUMIF($O$3:$X$3,Q$60,$O140:$X140))/SUMIF($O$3:$X$3,Q$60,$O$4:$X$4)))</f>
        <v>0</v>
      </c>
      <c r="R91" s="196" t="n">
        <f aca="false">IF((SUMIF($O$3:$X$3,R$60,$O$4:$X$4))=0,0,((SUMIF($O$3:$X$3,R$60,$O140:$X140))/SUMIF($O$3:$X$3,R$60,$O$4:$X$4)))</f>
        <v>0</v>
      </c>
      <c r="S91" s="196" t="n">
        <f aca="false">IF((SUMIF($O$3:$X$3,S$60,$O$4:$X$4))=0,0,((SUMIF($O$3:$X$3,S$60,$O140:$X140))/SUMIF($O$3:$X$3,S$60,$O$4:$X$4)))</f>
        <v>0</v>
      </c>
      <c r="T91" s="196" t="n">
        <f aca="false">IF((SUMIF($O$3:$X$3,T$60,$O$4:$X$4))=0,0,((SUMIF($O$3:$X$3,T$60,$O140:$X140))/SUMIF($O$3:$X$3,T$60,$O$4:$X$4)))</f>
        <v>0</v>
      </c>
      <c r="U91" s="196" t="n">
        <f aca="false">IF((SUMIF($O$3:$X$3,U$60,$O$4:$X$4))=0,0,((SUMIF($O$3:$X$3,U$60,$O140:$X140))/SUMIF($O$3:$X$3,U$60,$O$4:$X$4)))</f>
        <v>0</v>
      </c>
      <c r="V91" s="196" t="n">
        <f aca="false">IF((SUMIF($O$3:$X$3,V$60,$O$4:$X$4))=0,0,((SUMIF($O$3:$X$3,V$60,$O140:$X140))/SUMIF($O$3:$X$3,V$60,$O$4:$X$4)))</f>
        <v>0</v>
      </c>
      <c r="W91" s="196" t="n">
        <f aca="false">IF((SUMIF($O$3:$X$3,W$60,$O$4:$X$4))=0,0,((SUMIF($O$3:$X$3,W$60,$O140:$X140))/SUMIF($O$3:$X$3,W$60,$O$4:$X$4)))</f>
        <v>0</v>
      </c>
      <c r="X91" s="197" t="n">
        <f aca="false">IF((SUMIF($O$3:$X$3,X$60,$O$4:$X$4))=0,0,((SUMIF($O$3:$X$3,X$60,$O140:$X140))/SUMIF($O$3:$X$3,X$60,$O$4:$X$4)))</f>
        <v>0</v>
      </c>
      <c r="Y91" s="194" t="str">
        <f aca="false">N91</f>
        <v>Alumno30</v>
      </c>
      <c r="Z91" s="195" t="n">
        <f aca="false">IF((SUMIF($Z$3:$AI$3,Z$60,$Z$4:$AI$4))=0,0,((SUMIF($Z$3:$AI$3,Z$60,$Z140:$AI140))/SUMIF($Z$3:$AI$3,Z$60,$Z$4:$AI$4)))</f>
        <v>9</v>
      </c>
      <c r="AA91" s="196" t="n">
        <f aca="false">IF((SUMIF($Z$3:$AI$3,AA$60,$Z$4:$AI$4))=0,0,((SUMIF($Z$3:$AI$3,AA$60,$Z140:$AI140))/SUMIF($Z$3:$AI$3,AA$60,$Z$4:$AI$4)))</f>
        <v>9</v>
      </c>
      <c r="AB91" s="196" t="n">
        <f aca="false">IF((SUMIF($Z$3:$AI$3,AB$60,$Z$4:$AI$4))=0,0,((SUMIF($Z$3:$AI$3,AB$60,$Z140:$AI140))/SUMIF($Z$3:$AI$3,AB$60,$Z$4:$AI$4)))</f>
        <v>9</v>
      </c>
      <c r="AC91" s="196" t="n">
        <f aca="false">IF((SUMIF($Z$3:$AI$3,AC$60,$Z$4:$AI$4))=0,0,((SUMIF($Z$3:$AI$3,AC$60,$Z140:$AI140))/SUMIF($Z$3:$AI$3,AC$60,$Z$4:$AI$4)))</f>
        <v>0</v>
      </c>
      <c r="AD91" s="196" t="n">
        <f aca="false">IF((SUMIF($Z$3:$AI$3,AD$60,$Z$4:$AI$4))=0,0,((SUMIF($Z$3:$AI$3,AD$60,$Z140:$AI140))/SUMIF($Z$3:$AI$3,AD$60,$Z$4:$AI$4)))</f>
        <v>0</v>
      </c>
      <c r="AE91" s="196" t="n">
        <f aca="false">IF((SUMIF($Z$3:$AI$3,AE$60,$Z$4:$AI$4))=0,0,((SUMIF($Z$3:$AI$3,AE$60,$Z140:$AI140))/SUMIF($Z$3:$AI$3,AE$60,$Z$4:$AI$4)))</f>
        <v>0</v>
      </c>
      <c r="AF91" s="196" t="n">
        <f aca="false">IF((SUMIF($Z$3:$AI$3,AF$60,$Z$4:$AI$4))=0,0,((SUMIF($Z$3:$AI$3,AF$60,$Z140:$AI140))/SUMIF($Z$3:$AI$3,AF$60,$Z$4:$AI$4)))</f>
        <v>0</v>
      </c>
      <c r="AG91" s="196" t="n">
        <f aca="false">IF((SUMIF($Z$3:$AI$3,AG$60,$Z$4:$AI$4))=0,0,((SUMIF($Z$3:$AI$3,AG$60,$Z140:$AI140))/SUMIF($Z$3:$AI$3,AG$60,$Z$4:$AI$4)))</f>
        <v>0</v>
      </c>
      <c r="AH91" s="196" t="n">
        <f aca="false">IF((SUMIF($Z$3:$AI$3,AH$60,$Z$4:$AI$4))=0,0,((SUMIF($Z$3:$AI$3,AH$60,$Z140:$AI140))/SUMIF($Z$3:$AI$3,AH$60,$Z$4:$AI$4)))</f>
        <v>0</v>
      </c>
      <c r="AI91" s="197" t="n">
        <f aca="false">IF((SUMIF($Z$3:$AI$3,AI$60,$Z$4:$AI$4))=0,0,((SUMIF($Z$3:$AI$3,AI$60,$Z140:$AI140))/SUMIF($Z$3:$AI$3,AI$60,$Z$4:$AI$4)))</f>
        <v>0</v>
      </c>
      <c r="AJ91" s="194" t="str">
        <f aca="false">Y91</f>
        <v>Alumno30</v>
      </c>
      <c r="AK91" s="195" t="n">
        <f aca="false">IF((SUMIF($AK$3:$AT$3,AK$60,$AK$4:$AT$4))=0,0,((SUMIF($AK$3:$AT$3,AK$60,$AK140:$AT140))/SUMIF($AK$3:$AT$3,AK$60,$AK$4:$AT$4)))</f>
        <v>9</v>
      </c>
      <c r="AL91" s="196" t="n">
        <f aca="false">IF((SUMIF($AK$3:$AT$3,AL$60,$AK$4:$AT$4))=0,0,((SUMIF($AK$3:$AT$3,AL$60,$AK140:$AT140))/SUMIF($AK$3:$AT$3,AL$60,$AK$4:$AT$4)))</f>
        <v>9</v>
      </c>
      <c r="AM91" s="196" t="n">
        <f aca="false">IF((SUMIF($AK$3:$AT$3,AM$60,$AK$4:$AT$4))=0,0,((SUMIF($AK$3:$AT$3,AM$60,$AK140:$AT140))/SUMIF($AK$3:$AT$3,AM$60,$AK$4:$AT$4)))</f>
        <v>9</v>
      </c>
      <c r="AN91" s="196" t="n">
        <f aca="false">IF((SUMIF($AK$3:$AT$3,AN$60,$AK$4:$AT$4))=0,0,((SUMIF($AK$3:$AT$3,AN$60,$AK140:$AT140))/SUMIF($AK$3:$AT$3,AN$60,$AK$4:$AT$4)))</f>
        <v>0</v>
      </c>
      <c r="AO91" s="196" t="n">
        <f aca="false">IF((SUMIF($AK$3:$AT$3,AO$60,$AK$4:$AT$4))=0,0,((SUMIF($AK$3:$AT$3,AO$60,$AK140:$AT140))/SUMIF($AK$3:$AT$3,AO$60,$AK$4:$AT$4)))</f>
        <v>0</v>
      </c>
      <c r="AP91" s="196" t="n">
        <f aca="false">IF((SUMIF($AK$3:$AT$3,AP$60,$AK$4:$AT$4))=0,0,((SUMIF($AK$3:$AT$3,AP$60,$AK140:$AT140))/SUMIF($AK$3:$AT$3,AP$60,$AK$4:$AT$4)))</f>
        <v>0</v>
      </c>
      <c r="AQ91" s="196" t="n">
        <f aca="false">IF((SUMIF($AK$3:$AT$3,AQ$60,$AK$4:$AT$4))=0,0,((SUMIF($AK$3:$AT$3,AQ$60,$AK140:$AT140))/SUMIF($AK$3:$AT$3,AQ$60,$AK$4:$AT$4)))</f>
        <v>0</v>
      </c>
      <c r="AR91" s="196" t="n">
        <f aca="false">IF((SUMIF($AK$3:$AT$3,AR$60,$AK$4:$AT$4))=0,0,((SUMIF($AK$3:$AT$3,AR$60,$AK140:$AT140))/SUMIF($AK$3:$AT$3,AR$60,$AK$4:$AT$4)))</f>
        <v>0</v>
      </c>
      <c r="AS91" s="196" t="n">
        <f aca="false">IF((SUMIF($AK$3:$AT$3,AS$60,$AK$4:$AT$4))=0,0,((SUMIF($AK$3:$AT$3,AS$60,$AK140:$AT140))/SUMIF($AK$3:$AT$3,AS$60,$AK$4:$AT$4)))</f>
        <v>0</v>
      </c>
      <c r="AT91" s="197" t="n">
        <f aca="false">IF((SUMIF($AK$3:$AT$3,AT$60,$AK$4:$AT$4))=0,0,((SUMIF($AK$3:$AT$3,AT$60,$AK140:$AT140))/SUMIF($AK$3:$AT$3,AT$60,$AK$4:$AT$4)))</f>
        <v>0</v>
      </c>
      <c r="AU91" s="194" t="str">
        <f aca="false">AJ91</f>
        <v>Alumno30</v>
      </c>
      <c r="AV91" s="195" t="n">
        <f aca="false">IF((SUMIF($AV$3:$BE$3,AV$60,$AV$4:$BE$4))=0,0,((SUMIF($AV$3:$BE$3,AV$60,$AV140:$BE140))/SUMIF($AV$3:$BE$3,AV$60,$AV$4:$BE$4)))</f>
        <v>5</v>
      </c>
      <c r="AW91" s="196" t="n">
        <f aca="false">IF((SUMIF($AV$3:$BE$3,AW$60,$AV$4:$BE$4))=0,0,((SUMIF($AV$3:$BE$3,AW$60,$AV140:$BE140))/SUMIF($AV$3:$BE$3,AW$60,$AV$4:$BE$4)))</f>
        <v>5</v>
      </c>
      <c r="AX91" s="196" t="n">
        <f aca="false">IF((SUMIF($AV$3:$BE$3,AX$60,$AV$4:$BE$4))=0,0,((SUMIF($AV$3:$BE$3,AX$60,$AV140:$BE140))/SUMIF($AV$3:$BE$3,AX$60,$AV$4:$BE$4)))</f>
        <v>5</v>
      </c>
      <c r="AY91" s="196" t="n">
        <f aca="false">IF((SUMIF($AV$3:$BE$3,AY$60,$AV$4:$BE$4))=0,0,((SUMIF($AV$3:$BE$3,AY$60,$AV140:$BE140))/SUMIF($AV$3:$BE$3,AY$60,$AV$4:$BE$4)))</f>
        <v>5</v>
      </c>
      <c r="AZ91" s="196" t="n">
        <f aca="false">IF((SUMIF($AV$3:$BE$3,AZ$60,$AV$4:$BE$4))=0,0,((SUMIF($AV$3:$BE$3,AZ$60,$AV140:$BE140))/SUMIF($AV$3:$BE$3,AZ$60,$AV$4:$BE$4)))</f>
        <v>0</v>
      </c>
      <c r="BA91" s="196" t="n">
        <f aca="false">IF((SUMIF($AV$3:$BE$3,BA$60,$AV$4:$BE$4))=0,0,((SUMIF($AV$3:$BE$3,BA$60,$AV140:$BE140))/SUMIF($AV$3:$BE$3,BA$60,$AV$4:$BE$4)))</f>
        <v>0</v>
      </c>
      <c r="BB91" s="196" t="n">
        <f aca="false">IF((SUMIF($AV$3:$BE$3,BB$60,$AV$4:$BE$4))=0,0,((SUMIF($AV$3:$BE$3,BB$60,$AV140:$BE140))/SUMIF($AV$3:$BE$3,BB$60,$AV$4:$BE$4)))</f>
        <v>0</v>
      </c>
      <c r="BC91" s="196" t="n">
        <f aca="false">IF((SUMIF($AV$3:$BE$3,BC$60,$AV$4:$BE$4))=0,0,((SUMIF($AV$3:$BE$3,BC$60,$AV140:$BE140))/SUMIF($AV$3:$BE$3,BC$60,$AV$4:$BE$4)))</f>
        <v>0</v>
      </c>
      <c r="BD91" s="196" t="n">
        <f aca="false">IF((SUMIF($AV$3:$BE$3,BD$60,$AV$4:$BE$4))=0,0,((SUMIF($AV$3:$BE$3,BD$60,$AV140:$BE140))/SUMIF($AV$3:$BE$3,BD$60,$AV$4:$BE$4)))</f>
        <v>0</v>
      </c>
      <c r="BE91" s="197" t="n">
        <f aca="false">IF((SUMIF($AV$3:$BE$3,BE$60,$AV$4:$BE$4))=0,0,((SUMIF($AV$3:$BE$3,BE$60,$AV140:$BE140))/SUMIF($AV$3:$BE$3,BE$60,$AV$4:$BE$4)))</f>
        <v>0</v>
      </c>
      <c r="BF91" s="194" t="str">
        <f aca="false">AU91</f>
        <v>Alumno30</v>
      </c>
      <c r="BG91" s="195" t="n">
        <f aca="false">IF((SUMIF($BG$3:$BP$3,BG$60,$BG$4:$BP$4))=0,0,((SUMIF($BG$3:$BP$3,BG$60,$BG140:$BP140))/SUMIF($BG$3:$BP$3,BG$60,$BG$4:$BP$4)))</f>
        <v>5</v>
      </c>
      <c r="BH91" s="196" t="n">
        <f aca="false">IF((SUMIF($BG$3:$BP$3,BH$60,$BG$4:$BP$4))=0,0,((SUMIF($BG$3:$BP$3,BH$60,$BG140:$BP140))/SUMIF($BG$3:$BP$3,BH$60,$BG$4:$BP$4)))</f>
        <v>5</v>
      </c>
      <c r="BI91" s="196" t="n">
        <f aca="false">IF((SUMIF($BG$3:$BP$3,BI$60,$BG$4:$BP$4))=0,0,((SUMIF($BG$3:$BP$3,BI$60,$BG140:$BP140))/SUMIF($BG$3:$BP$3,BI$60,$BG$4:$BP$4)))</f>
        <v>5</v>
      </c>
      <c r="BJ91" s="196" t="n">
        <f aca="false">IF((SUMIF($BG$3:$BP$3,BJ$60,$BG$4:$BP$4))=0,0,((SUMIF($BG$3:$BP$3,BJ$60,$BG140:$BP140))/SUMIF($BG$3:$BP$3,BJ$60,$BG$4:$BP$4)))</f>
        <v>5</v>
      </c>
      <c r="BK91" s="196" t="n">
        <f aca="false">IF((SUMIF($BG$3:$BP$3,BK$60,$BG$4:$BP$4))=0,0,((SUMIF($BG$3:$BP$3,BK$60,$BG140:$BP140))/SUMIF($BG$3:$BP$3,BK$60,$BG$4:$BP$4)))</f>
        <v>0</v>
      </c>
      <c r="BL91" s="196" t="n">
        <f aca="false">IF((SUMIF($BG$3:$BP$3,BL$60,$BG$4:$BP$4))=0,0,((SUMIF($BG$3:$BP$3,BL$60,$BG140:$BP140))/SUMIF($BG$3:$BP$3,BL$60,$BG$4:$BP$4)))</f>
        <v>0</v>
      </c>
      <c r="BM91" s="196" t="n">
        <f aca="false">IF((SUMIF($BG$3:$BP$3,BM$60,$BG$4:$BP$4))=0,0,((SUMIF($BG$3:$BP$3,BM$60,$BG140:$BP140))/SUMIF($BG$3:$BP$3,BM$60,$BG$4:$BP$4)))</f>
        <v>0</v>
      </c>
      <c r="BN91" s="196" t="n">
        <f aca="false">IF((SUMIF($BG$3:$BP$3,BN$60,$BG$4:$BP$4))=0,0,((SUMIF($BG$3:$BP$3,BN$60,$BG140:$BP140))/SUMIF($BG$3:$BP$3,BN$60,$BG$4:$BP$4)))</f>
        <v>0</v>
      </c>
      <c r="BO91" s="196" t="n">
        <f aca="false">IF((SUMIF($BG$3:$BP$3,BO$60,$BG$4:$BP$4))=0,0,((SUMIF($BG$3:$BP$3,BO$60,$BG140:$BP140))/SUMIF($BG$3:$BP$3,BO$60,$BG$4:$BP$4)))</f>
        <v>0</v>
      </c>
      <c r="BP91" s="197" t="n">
        <f aca="false">IF((SUMIF($BG$3:$BP$3,BP$60,$BG$4:$BP$4))=0,0,((SUMIF($BG$3:$BP$3,BP$60,$BG140:$BP140))/SUMIF($BG$3:$BP$3,BP$60,$BG$4:$BP$4)))</f>
        <v>0</v>
      </c>
      <c r="BQ91" s="194" t="str">
        <f aca="false">BF91</f>
        <v>Alumno30</v>
      </c>
      <c r="BR91" s="195" t="n">
        <f aca="false">IF((SUMIF($BR$3:$CA$3,BR$60,$BR$4:$CA$4))=0,0,((SUMIF($BR$3:$CA$3,BR$60,$BR140:$CA140))/SUMIF($BR$3:$CA$3,BR$60,$BR$4:$CA$4)))</f>
        <v>0</v>
      </c>
      <c r="BS91" s="196" t="n">
        <f aca="false">IF((SUMIF($BR$3:$CA$3,BS$60,$BR$4:$CA$4))=0,0,((SUMIF($BR$3:$CA$3,BS$60,$BR140:$CA140))/SUMIF($BR$3:$CA$3,BS$60,$BR$4:$CA$4)))</f>
        <v>6</v>
      </c>
      <c r="BT91" s="196" t="n">
        <f aca="false">IF((SUMIF($BR$3:$CA$3,BT$60,$BR$4:$CA$4))=0,0,((SUMIF($BR$3:$CA$3,BT$60,$BR140:$CA140))/SUMIF($BR$3:$CA$3,BT$60,$BR$4:$CA$4)))</f>
        <v>5</v>
      </c>
      <c r="BU91" s="196" t="n">
        <f aca="false">IF((SUMIF($BR$3:$CA$3,BU$60,$BR$4:$CA$4))=0,0,((SUMIF($BR$3:$CA$3,BU$60,$BR140:$CA140))/SUMIF($BR$3:$CA$3,BU$60,$BR$4:$CA$4)))</f>
        <v>4.6</v>
      </c>
      <c r="BV91" s="196" t="n">
        <f aca="false">IF((SUMIF($BR$3:$CA$3,BV$60,$BR$4:$CA$4))=0,0,((SUMIF($BR$3:$CA$3,BV$60,$BR140:$CA140))/SUMIF($BR$3:$CA$3,BV$60,$BR$4:$CA$4)))</f>
        <v>0</v>
      </c>
      <c r="BW91" s="196" t="n">
        <f aca="false">IF((SUMIF($BR$3:$CA$3,BW$60,$BR$4:$CA$4))=0,0,((SUMIF($BR$3:$CA$3,BW$60,$BR140:$CA140))/SUMIF($BR$3:$CA$3,BW$60,$BR$4:$CA$4)))</f>
        <v>0</v>
      </c>
      <c r="BX91" s="196" t="n">
        <f aca="false">IF((SUMIF($BR$3:$CA$3,BX$60,$BR$4:$CA$4))=0,0,((SUMIF($BR$3:$CA$3,BX$60,$BR140:$CA140))/SUMIF($BR$3:$CA$3,BX$60,$BR$4:$CA$4)))</f>
        <v>0</v>
      </c>
      <c r="BY91" s="196" t="n">
        <f aca="false">IF((SUMIF($BR$3:$CA$3,BY$60,$BR$4:$CA$4))=0,0,((SUMIF($BR$3:$CA$3,BY$60,$BR140:$CA140))/SUMIF($BR$3:$CA$3,BY$60,$BR$4:$CA$4)))</f>
        <v>0</v>
      </c>
      <c r="BZ91" s="196" t="n">
        <f aca="false">IF((SUMIF($BR$3:$CA$3,BZ$60,$BR$4:$CA$4))=0,0,((SUMIF($BR$3:$CA$3,BZ$60,$BR140:$CA140))/SUMIF($BR$3:$CA$3,BZ$60,$BR$4:$CA$4)))</f>
        <v>0</v>
      </c>
      <c r="CA91" s="197" t="n">
        <f aca="false">IF((SUMIF($BR$3:$CA$3,CA$60,$BR$4:$CA$4))=0,0,((SUMIF($BR$3:$CA$3,CA$60,$BR140:$CA140))/SUMIF($BR$3:$CA$3,CA$60,$BR$4:$CA$4)))</f>
        <v>0</v>
      </c>
      <c r="CB91" s="194" t="str">
        <f aca="false">BQ91</f>
        <v>Alumno30</v>
      </c>
      <c r="CC91" s="195" t="n">
        <f aca="false">IF((SUMIF($CC$3:$CL$3,CC$60,$CC$4:$CL$4))=0,0,((SUMIF($CC$3:$CL$3,CC$60,$CC140:$CL140))/SUMIF($CC$3:$CL$3,CC$60,$CC$4:$CL$4)))</f>
        <v>0</v>
      </c>
      <c r="CD91" s="196" t="n">
        <f aca="false">IF((SUMIF($CC$3:$CL$3,CD$60,$CC$4:$CL$4))=0,0,((SUMIF($CC$3:$CL$3,CD$60,$CC140:$CL140))/SUMIF($CC$3:$CL$3,CD$60,$CC$4:$CL$4)))</f>
        <v>0</v>
      </c>
      <c r="CE91" s="196" t="n">
        <f aca="false">IF((SUMIF($CC$3:$CL$3,CE$60,$CC$4:$CL$4))=0,0,((SUMIF($CC$3:$CL$3,CE$60,$CC140:$CL140))/SUMIF($CC$3:$CL$3,CE$60,$CC$4:$CL$4)))</f>
        <v>0</v>
      </c>
      <c r="CF91" s="196" t="n">
        <f aca="false">IF((SUMIF($CC$3:$CL$3,CF$60,$CC$4:$CL$4))=0,0,((SUMIF($CC$3:$CL$3,CF$60,$CC140:$CL140))/SUMIF($CC$3:$CL$3,CF$60,$CC$4:$CL$4)))</f>
        <v>0</v>
      </c>
      <c r="CG91" s="196" t="n">
        <f aca="false">IF((SUMIF($CC$3:$CL$3,CG$60,$CC$4:$CL$4))=0,0,((SUMIF($CC$3:$CL$3,CG$60,$CC140:$CL140))/SUMIF($CC$3:$CL$3,CG$60,$CC$4:$CL$4)))</f>
        <v>0</v>
      </c>
      <c r="CH91" s="196" t="n">
        <f aca="false">IF((SUMIF($CC$3:$CL$3,CH$60,$CC$4:$CL$4))=0,0,((SUMIF($CC$3:$CL$3,CH$60,$CC140:$CL140))/SUMIF($CC$3:$CL$3,CH$60,$CC$4:$CL$4)))</f>
        <v>0</v>
      </c>
      <c r="CI91" s="196" t="n">
        <f aca="false">IF((SUMIF($CC$3:$CL$3,CI$60,$CC$4:$CL$4))=0,0,((SUMIF($CC$3:$CL$3,CI$60,$CC140:$CL140))/SUMIF($CC$3:$CL$3,CI$60,$CC$4:$CL$4)))</f>
        <v>0</v>
      </c>
      <c r="CJ91" s="196" t="n">
        <f aca="false">IF((SUMIF($CC$3:$CL$3,CJ$60,$CC$4:$CL$4))=0,0,((SUMIF($CC$3:$CL$3,CJ$60,$CC140:$CL140))/SUMIF($CC$3:$CL$3,CJ$60,$CC$4:$CL$4)))</f>
        <v>0</v>
      </c>
      <c r="CK91" s="196" t="n">
        <f aca="false">IF((SUMIF($CC$3:$CL$3,CK$60,$CC$4:$CL$4))=0,0,((SUMIF($CC$3:$CL$3,CK$60,$CC140:$CL140))/SUMIF($CC$3:$CL$3,CK$60,$CC$4:$CL$4)))</f>
        <v>0</v>
      </c>
      <c r="CL91" s="197" t="n">
        <f aca="false">IF((SUMIF($CC$3:$CL$3,CL$60,$CC$4:$CL$4))=0,0,((SUMIF($CC$3:$CL$3,CL$60,$CC140:$CL140))/SUMIF($CC$3:$CL$3,CL$60,$CC$4:$CL$4)))</f>
        <v>0</v>
      </c>
      <c r="CM91" s="194" t="str">
        <f aca="false">CB91</f>
        <v>Alumno30</v>
      </c>
      <c r="CN91" s="195" t="n">
        <f aca="false">IF((SUMIF($CN$3:$CW$3,CN$60,$CN$4:$CW$4))=0,0,((SUMIF($CN$3:$CW$3,CN$60,$CN140:$CW140))/SUMIF($CN$3:$CW$3,CN$60,$CN$4:$CW$4)))</f>
        <v>0</v>
      </c>
      <c r="CO91" s="196" t="n">
        <f aca="false">IF((SUMIF($CN$3:$CW$3,CO$60,$CN$4:$CW$4))=0,0,((SUMIF($CN$3:$CW$3,CO$60,$CN140:$CW140))/SUMIF($CN$3:$CW$3,CO$60,$CN$4:$CW$4)))</f>
        <v>0</v>
      </c>
      <c r="CP91" s="196" t="n">
        <f aca="false">IF((SUMIF($CN$3:$CW$3,CP$60,$CN$4:$CW$4))=0,0,((SUMIF($CN$3:$CW$3,CP$60,$CN140:$CW140))/SUMIF($CN$3:$CW$3,CP$60,$CN$4:$CW$4)))</f>
        <v>0</v>
      </c>
      <c r="CQ91" s="196" t="n">
        <f aca="false">IF((SUMIF($CN$3:$CW$3,CQ$60,$CN$4:$CW$4))=0,0,((SUMIF($CN$3:$CW$3,CQ$60,$CN140:$CW140))/SUMIF($CN$3:$CW$3,CQ$60,$CN$4:$CW$4)))</f>
        <v>0</v>
      </c>
      <c r="CR91" s="196" t="n">
        <f aca="false">IF((SUMIF($CN$3:$CW$3,CR$60,$CN$4:$CW$4))=0,0,((SUMIF($CN$3:$CW$3,CR$60,$CN140:$CW140))/SUMIF($CN$3:$CW$3,CR$60,$CN$4:$CW$4)))</f>
        <v>0</v>
      </c>
      <c r="CS91" s="196" t="n">
        <f aca="false">IF((SUMIF($CN$3:$CW$3,CS$60,$CN$4:$CW$4))=0,0,((SUMIF($CN$3:$CW$3,CS$60,$CN140:$CW140))/SUMIF($CN$3:$CW$3,CS$60,$CN$4:$CW$4)))</f>
        <v>0</v>
      </c>
      <c r="CT91" s="196" t="n">
        <f aca="false">IF((SUMIF($CN$3:$CW$3,CT$60,$CN$4:$CW$4))=0,0,((SUMIF($CN$3:$CW$3,CT$60,$CN140:$CW140))/SUMIF($CN$3:$CW$3,CT$60,$CN$4:$CW$4)))</f>
        <v>0</v>
      </c>
      <c r="CU91" s="196" t="n">
        <f aca="false">IF((SUMIF($CN$3:$CW$3,CU$60,$CN$4:$CW$4))=0,0,((SUMIF($CN$3:$CW$3,CU$60,$CN140:$CW140))/SUMIF($CN$3:$CW$3,CU$60,$CN$4:$CW$4)))</f>
        <v>0</v>
      </c>
      <c r="CV91" s="196" t="n">
        <f aca="false">IF((SUMIF($CN$3:$CW$3,CV$60,$CN$4:$CW$4))=0,0,((SUMIF($CN$3:$CW$3,CV$60,$CN140:$CW140))/SUMIF($CN$3:$CW$3,CV$60,$CN$4:$CW$4)))</f>
        <v>0</v>
      </c>
      <c r="CW91" s="197" t="n">
        <f aca="false">IF((SUMIF($CN$3:$CW$3,CW$60,$CN$4:$CW$4))=0,0,((SUMIF($CN$3:$CW$3,CW$60,$CN140:$CW140))/SUMIF($CN$3:$CW$3,CW$60,$CN$4:$CW$4)))</f>
        <v>0</v>
      </c>
      <c r="CX91" s="194" t="str">
        <f aca="false">CM91</f>
        <v>Alumno30</v>
      </c>
      <c r="CY91" s="195" t="n">
        <f aca="false">IF((SUMIF($CY$3:$DH$3,CY$60,$CY$4:$DH$4))=0,0,((SUMIF($CY$3:$DH$3,CY$60,$CY140:$DH140))/SUMIF($CY$3:$DH$3,CY$60,$CY$4:$DH$4)))</f>
        <v>0</v>
      </c>
      <c r="CZ91" s="196" t="n">
        <f aca="false">IF((SUMIF($CY$3:$DH$3,CZ$60,$CY$4:$DH$4))=0,0,((SUMIF($CY$3:$DH$3,CZ$60,$CY140:$DH140))/SUMIF($CY$3:$DH$3,CZ$60,$CY$4:$DH$4)))</f>
        <v>0</v>
      </c>
      <c r="DA91" s="196" t="n">
        <f aca="false">IF((SUMIF($CY$3:$DH$3,DA$60,$CY$4:$DH$4))=0,0,((SUMIF($CY$3:$DH$3,DA$60,$CY140:$DH140))/SUMIF($CY$3:$DH$3,DA$60,$CY$4:$DH$4)))</f>
        <v>0</v>
      </c>
      <c r="DB91" s="196" t="n">
        <f aca="false">IF((SUMIF($CY$3:$DH$3,DB$60,$CY$4:$DH$4))=0,0,((SUMIF($CY$3:$DH$3,DB$60,$CY140:$DH140))/SUMIF($CY$3:$DH$3,DB$60,$CY$4:$DH$4)))</f>
        <v>0</v>
      </c>
      <c r="DC91" s="196" t="n">
        <f aca="false">IF((SUMIF($CY$3:$DH$3,DC$60,$CY$4:$DH$4))=0,0,((SUMIF($CY$3:$DH$3,DC$60,$CY140:$DH140))/SUMIF($CY$3:$DH$3,DC$60,$CY$4:$DH$4)))</f>
        <v>0</v>
      </c>
      <c r="DD91" s="196" t="n">
        <f aca="false">IF((SUMIF($CY$3:$DH$3,DD$60,$CY$4:$DH$4))=0,0,((SUMIF($CY$3:$DH$3,DD$60,$CY140:$DH140))/SUMIF($CY$3:$DH$3,DD$60,$CY$4:$DH$4)))</f>
        <v>0</v>
      </c>
      <c r="DE91" s="196" t="n">
        <f aca="false">IF((SUMIF($CY$3:$DH$3,DE$60,$CY$4:$DH$4))=0,0,((SUMIF($CY$3:$DH$3,DE$60,$CY140:$DH140))/SUMIF($CY$3:$DH$3,DE$60,$CY$4:$DH$4)))</f>
        <v>0</v>
      </c>
      <c r="DF91" s="196" t="n">
        <f aca="false">IF((SUMIF($CY$3:$DH$3,DF$60,$CY$4:$DH$4))=0,0,((SUMIF($CY$3:$DH$3,DF$60,$CY140:$DH140))/SUMIF($CY$3:$DH$3,DF$60,$CY$4:$DH$4)))</f>
        <v>0</v>
      </c>
      <c r="DG91" s="196" t="n">
        <f aca="false">IF((SUMIF($CY$3:$DH$3,DG$60,$CY$4:$DH$4))=0,0,((SUMIF($CY$3:$DH$3,DG$60,$CY140:$DH140))/SUMIF($CY$3:$DH$3,DG$60,$CY$4:$DH$4)))</f>
        <v>0</v>
      </c>
      <c r="DH91" s="197" t="n">
        <f aca="false">IF((SUMIF($CY$3:$DH$3,DH$60,$CY$4:$DH$4))=0,0,((SUMIF($CY$3:$DH$3,DH$60,$CY140:$DH140))/SUMIF($CY$3:$DH$3,DH$60,$CY$4:$DH$4)))</f>
        <v>0</v>
      </c>
      <c r="DI91" s="194" t="str">
        <f aca="false">CX91</f>
        <v>Alumno30</v>
      </c>
      <c r="DJ91" s="195" t="n">
        <f aca="false">IF((SUMIF($DJ$3:$DS$3,DJ$60,$DJ$4:$DS$4))=0,0,((SUMIF($DJ$3:$DS$3,DJ$60,$DJ140:$DS140))/SUMIF($DJ$3:$DS$3,DJ$60,$DJ$4:$DS$4)))</f>
        <v>0</v>
      </c>
      <c r="DK91" s="196" t="n">
        <f aca="false">IF((SUMIF($DJ$3:$DS$3,DK$60,$DJ$4:$DS$4))=0,0,((SUMIF($DJ$3:$DS$3,DK$60,$DJ140:$DS140))/SUMIF($DJ$3:$DS$3,DK$60,$DJ$4:$DS$4)))</f>
        <v>0</v>
      </c>
      <c r="DL91" s="196" t="n">
        <f aca="false">IF((SUMIF($DJ$3:$DS$3,DL$60,$DJ$4:$DS$4))=0,0,((SUMIF($DJ$3:$DS$3,DL$60,$DJ140:$DS140))/SUMIF($DJ$3:$DS$3,DL$60,$DJ$4:$DS$4)))</f>
        <v>0</v>
      </c>
      <c r="DM91" s="196" t="n">
        <f aca="false">IF((SUMIF($DJ$3:$DS$3,DM$60,$DJ$4:$DS$4))=0,0,((SUMIF($DJ$3:$DS$3,DM$60,$DJ140:$DS140))/SUMIF($DJ$3:$DS$3,DM$60,$DJ$4:$DS$4)))</f>
        <v>0</v>
      </c>
      <c r="DN91" s="196" t="n">
        <f aca="false">IF((SUMIF($DJ$3:$DS$3,DN$60,$DJ$4:$DS$4))=0,0,((SUMIF($DJ$3:$DS$3,DN$60,$DJ140:$DS140))/SUMIF($DJ$3:$DS$3,DN$60,$DJ$4:$DS$4)))</f>
        <v>0</v>
      </c>
      <c r="DO91" s="196" t="n">
        <f aca="false">IF((SUMIF($DJ$3:$DS$3,DO$60,$DJ$4:$DS$4))=0,0,((SUMIF($DJ$3:$DS$3,DO$60,$DJ140:$DS140))/SUMIF($DJ$3:$DS$3,DO$60,$DJ$4:$DS$4)))</f>
        <v>0</v>
      </c>
      <c r="DP91" s="196" t="n">
        <f aca="false">IF((SUMIF($DJ$3:$DS$3,DP$60,$DJ$4:$DS$4))=0,0,((SUMIF($DJ$3:$DS$3,DP$60,$DJ140:$DS140))/SUMIF($DJ$3:$DS$3,DP$60,$DJ$4:$DS$4)))</f>
        <v>0</v>
      </c>
      <c r="DQ91" s="196" t="n">
        <f aca="false">IF((SUMIF($DJ$3:$DS$3,DQ$60,$DJ$4:$DS$4))=0,0,((SUMIF($DJ$3:$DS$3,DQ$60,$DJ140:$DS140))/SUMIF($DJ$3:$DS$3,DQ$60,$DJ$4:$DS$4)))</f>
        <v>0</v>
      </c>
      <c r="DR91" s="196" t="n">
        <f aca="false">IF((SUMIF($DJ$3:$DS$3,DR$60,$DJ$4:$DS$4))=0,0,((SUMIF($DJ$3:$DS$3,DR$60,$DJ140:$DS140))/SUMIF($DJ$3:$DS$3,DR$60,$DJ$4:$DS$4)))</f>
        <v>0</v>
      </c>
      <c r="DS91" s="197" t="n">
        <f aca="false">IF((SUMIF($DJ$3:$DS$3,DS$60,$DJ$4:$DS$4))=0,0,((SUMIF($DJ$3:$DS$3,DS$60,$DJ140:$DS140))/SUMIF($DJ$3:$DS$3,DS$60,$DJ$4:$DS$4)))</f>
        <v>0</v>
      </c>
      <c r="DT91" s="194" t="str">
        <f aca="false">DI91</f>
        <v>Alumno30</v>
      </c>
      <c r="DU91" s="195" t="n">
        <f aca="false">IF((SUMIF($DU$3:$ED$3,DU$60,$DU$4:$ED$4))=0,0,((SUMIF($DU$3:$ED$3,DU$60,$DU140:$ED140))/SUMIF($DU$3:$ED$3,DU$60,$DU$4:$ED$4)))</f>
        <v>0</v>
      </c>
      <c r="DV91" s="196" t="n">
        <f aca="false">IF((SUMIF($DU$3:$ED$3,DV$60,$DU$4:$ED$4))=0,0,((SUMIF($DU$3:$ED$3,DV$60,$DU140:$ED140))/SUMIF($DU$3:$ED$3,DV$60,$DU$4:$ED$4)))</f>
        <v>0</v>
      </c>
      <c r="DW91" s="196" t="n">
        <f aca="false">IF((SUMIF($DU$3:$ED$3,DW$60,$DU$4:$ED$4))=0,0,((SUMIF($DU$3:$ED$3,DW$60,$DU140:$ED140))/SUMIF($DU$3:$ED$3,DW$60,$DU$4:$ED$4)))</f>
        <v>0</v>
      </c>
      <c r="DX91" s="196" t="n">
        <f aca="false">IF((SUMIF($DU$3:$ED$3,DX$60,$DU$4:$ED$4))=0,0,((SUMIF($DU$3:$ED$3,DX$60,$DU140:$ED140))/SUMIF($DU$3:$ED$3,DX$60,$DU$4:$ED$4)))</f>
        <v>0</v>
      </c>
      <c r="DY91" s="196" t="n">
        <f aca="false">IF((SUMIF($DU$3:$ED$3,DY$60,$DU$4:$ED$4))=0,0,((SUMIF($DU$3:$ED$3,DY$60,$DU140:$ED140))/SUMIF($DU$3:$ED$3,DY$60,$DU$4:$ED$4)))</f>
        <v>0</v>
      </c>
      <c r="DZ91" s="196" t="n">
        <f aca="false">IF((SUMIF($DU$3:$ED$3,DZ$60,$DU$4:$ED$4))=0,0,((SUMIF($DU$3:$ED$3,DZ$60,$DU140:$ED140))/SUMIF($DU$3:$ED$3,DZ$60,$DU$4:$ED$4)))</f>
        <v>0</v>
      </c>
      <c r="EA91" s="196" t="n">
        <f aca="false">IF((SUMIF($DU$3:$ED$3,EA$60,$DU$4:$ED$4))=0,0,((SUMIF($DU$3:$ED$3,EA$60,$DU140:$ED140))/SUMIF($DU$3:$ED$3,EA$60,$DU$4:$ED$4)))</f>
        <v>0</v>
      </c>
      <c r="EB91" s="196" t="n">
        <f aca="false">IF((SUMIF($DU$3:$ED$3,EB$60,$DU$4:$ED$4))=0,0,((SUMIF($DU$3:$ED$3,EB$60,$DU140:$ED140))/SUMIF($DU$3:$ED$3,EB$60,$DU$4:$ED$4)))</f>
        <v>0</v>
      </c>
      <c r="EC91" s="196" t="n">
        <f aca="false">IF((SUMIF($DU$3:$ED$3,EC$60,$DU$4:$ED$4))=0,0,((SUMIF($DU$3:$ED$3,EC$60,$DU140:$ED140))/SUMIF($DU$3:$ED$3,EC$60,$DU$4:$ED$4)))</f>
        <v>0</v>
      </c>
      <c r="ED91" s="197" t="n">
        <f aca="false">IF((SUMIF($DU$3:$ED$3,ED$60,$DU$4:$ED$4))=0,0,((SUMIF($DU$3:$ED$3,ED$60,$DU140:$ED140))/SUMIF($DU$3:$ED$3,ED$60,$DU$4:$ED$4)))</f>
        <v>0</v>
      </c>
      <c r="EE91" s="194" t="str">
        <f aca="false">DT91</f>
        <v>Alumno30</v>
      </c>
      <c r="EF91" s="195" t="n">
        <f aca="false">IF((SUMIF($EF$3:$EO$3,EF$60,$EF$4:$EO$4))=0,0,((SUMIF($EF$3:$EO$3,EF$60,$EF140:$EO140))/SUMIF($EF$3:$EO$3,EF$60,$EF$4:$EO$4)))</f>
        <v>0</v>
      </c>
      <c r="EG91" s="196" t="n">
        <f aca="false">IF((SUMIF($EF$3:$EO$3,EG$60,$EF$4:$EO$4))=0,0,((SUMIF($EF$3:$EO$3,EG$60,$EF140:$EO140))/SUMIF($EF$3:$EO$3,EG$60,$EF$4:$EO$4)))</f>
        <v>0</v>
      </c>
      <c r="EH91" s="196" t="n">
        <f aca="false">IF((SUMIF($EF$3:$EO$3,EH$60,$EF$4:$EO$4))=0,0,((SUMIF($EF$3:$EO$3,EH$60,$EF140:$EO140))/SUMIF($EF$3:$EO$3,EH$60,$EF$4:$EO$4)))</f>
        <v>0</v>
      </c>
      <c r="EI91" s="196" t="n">
        <f aca="false">IF((SUMIF($EF$3:$EO$3,EI$60,$EF$4:$EO$4))=0,0,((SUMIF($EF$3:$EO$3,EI$60,$EF140:$EO140))/SUMIF($EF$3:$EO$3,EI$60,$EF$4:$EO$4)))</f>
        <v>0</v>
      </c>
      <c r="EJ91" s="196" t="n">
        <f aca="false">IF((SUMIF($EF$3:$EO$3,EJ$60,$EF$4:$EO$4))=0,0,((SUMIF($EF$3:$EO$3,EJ$60,$EF140:$EO140))/SUMIF($EF$3:$EO$3,EJ$60,$EF$4:$EO$4)))</f>
        <v>0</v>
      </c>
      <c r="EK91" s="196" t="n">
        <f aca="false">IF((SUMIF($EF$3:$EO$3,EK$60,$EF$4:$EO$4))=0,0,((SUMIF($EF$3:$EO$3,EK$60,$EF140:$EO140))/SUMIF($EF$3:$EO$3,EK$60,$EF$4:$EO$4)))</f>
        <v>0</v>
      </c>
      <c r="EL91" s="196" t="n">
        <f aca="false">IF((SUMIF($EF$3:$EO$3,EL$60,$EF$4:$EO$4))=0,0,((SUMIF($EF$3:$EO$3,EL$60,$EF140:$EO140))/SUMIF($EF$3:$EO$3,EL$60,$EF$4:$EO$4)))</f>
        <v>0</v>
      </c>
      <c r="EM91" s="196" t="n">
        <f aca="false">IF((SUMIF($EF$3:$EO$3,EM$60,$EF$4:$EO$4))=0,0,((SUMIF($EF$3:$EO$3,EM$60,$EF140:$EO140))/SUMIF($EF$3:$EO$3,EM$60,$EF$4:$EO$4)))</f>
        <v>0</v>
      </c>
      <c r="EN91" s="196" t="n">
        <f aca="false">IF((SUMIF($EF$3:$EO$3,EN$60,$EF$4:$EO$4))=0,0,((SUMIF($EF$3:$EO$3,EN$60,$EF140:$EO140))/SUMIF($EF$3:$EO$3,EN$60,$EF$4:$EO$4)))</f>
        <v>0</v>
      </c>
      <c r="EO91" s="197" t="n">
        <f aca="false">IF((SUMIF($EF$3:$EO$3,EO$60,$EF$4:$EO$4))=0,0,((SUMIF($EF$3:$EO$3,EO$60,$EF140:$EO140))/SUMIF($EF$3:$EO$3,EO$60,$EF$4:$EO$4)))</f>
        <v>0</v>
      </c>
      <c r="EP91" s="194" t="str">
        <f aca="false">EE91</f>
        <v>Alumno30</v>
      </c>
      <c r="EQ91" s="195" t="n">
        <f aca="false">IF((SUMIF($EQ$3:$EZ$3,EQ$60,$EQ$4:$EZ$4))=0,0,((SUMIF($EQ$3:$EZ$3,EQ$60,$EQ140:$EZ140))/SUMIF($EQ$3:$EZ$3,EQ$60,$EQ$4:$EZ$4)))</f>
        <v>0</v>
      </c>
      <c r="ER91" s="196" t="n">
        <f aca="false">IF((SUMIF($EQ$3:$EZ$3,ER$60,$EQ$4:$EZ$4))=0,0,((SUMIF($EQ$3:$EZ$3,ER$60,$EQ140:$EZ140))/SUMIF($EQ$3:$EZ$3,ER$60,$EQ$4:$EZ$4)))</f>
        <v>0</v>
      </c>
      <c r="ES91" s="196" t="n">
        <f aca="false">IF((SUMIF($EQ$3:$EZ$3,ES$60,$EQ$4:$EZ$4))=0,0,((SUMIF($EQ$3:$EZ$3,ES$60,$EQ140:$EZ140))/SUMIF($EQ$3:$EZ$3,ES$60,$EQ$4:$EZ$4)))</f>
        <v>0</v>
      </c>
      <c r="ET91" s="196" t="n">
        <f aca="false">IF((SUMIF($EQ$3:$EZ$3,ET$60,$EQ$4:$EZ$4))=0,0,((SUMIF($EQ$3:$EZ$3,ET$60,$EQ140:$EZ140))/SUMIF($EQ$3:$EZ$3,ET$60,$EQ$4:$EZ$4)))</f>
        <v>0</v>
      </c>
      <c r="EU91" s="196" t="n">
        <f aca="false">IF((SUMIF($EQ$3:$EZ$3,EU$60,$EQ$4:$EZ$4))=0,0,((SUMIF($EQ$3:$EZ$3,EU$60,$EQ140:$EZ140))/SUMIF($EQ$3:$EZ$3,EU$60,$EQ$4:$EZ$4)))</f>
        <v>0</v>
      </c>
      <c r="EV91" s="196" t="n">
        <f aca="false">IF((SUMIF($EQ$3:$EZ$3,EV$60,$EQ$4:$EZ$4))=0,0,((SUMIF($EQ$3:$EZ$3,EV$60,$EQ140:$EZ140))/SUMIF($EQ$3:$EZ$3,EV$60,$EQ$4:$EZ$4)))</f>
        <v>0</v>
      </c>
      <c r="EW91" s="196" t="n">
        <f aca="false">IF((SUMIF($EQ$3:$EZ$3,EW$60,$EQ$4:$EZ$4))=0,0,((SUMIF($EQ$3:$EZ$3,EW$60,$EQ140:$EZ140))/SUMIF($EQ$3:$EZ$3,EW$60,$EQ$4:$EZ$4)))</f>
        <v>0</v>
      </c>
      <c r="EX91" s="196" t="n">
        <f aca="false">IF((SUMIF($EQ$3:$EZ$3,EX$60,$EQ$4:$EZ$4))=0,0,((SUMIF($EQ$3:$EZ$3,EX$60,$EQ140:$EZ140))/SUMIF($EQ$3:$EZ$3,EX$60,$EQ$4:$EZ$4)))</f>
        <v>0</v>
      </c>
      <c r="EY91" s="196" t="n">
        <f aca="false">IF((SUMIF($EQ$3:$EZ$3,EY$60,$EQ$4:$EZ$4))=0,0,((SUMIF($EQ$3:$EZ$3,EY$60,$EQ140:$EZ140))/SUMIF($EQ$3:$EZ$3,EY$60,$EQ$4:$EZ$4)))</f>
        <v>0</v>
      </c>
      <c r="EZ91" s="197" t="n">
        <f aca="false">IF((SUMIF($EQ$3:$EZ$3,EZ$60,$EQ$4:$EZ$4))=0,0,((SUMIF($EQ$3:$EZ$3,EZ$60,$EQ140:$EZ140))/SUMIF($EQ$3:$EZ$3,EZ$60,$EQ$4:$EZ$4)))</f>
        <v>0</v>
      </c>
      <c r="FA91" s="194" t="str">
        <f aca="false">EP91</f>
        <v>Alumno30</v>
      </c>
      <c r="FB91" s="195" t="n">
        <f aca="false">IF((SUMIF($FB$3:$FK$3,FB$60,$FB$4:$FK$4))=0,0,((SUMIF($FB$3:$FK$3,FB$60,$FB140:$FK140))/SUMIF($FB$3:$FK$3,FB$60,$FB$4:$FK$4)))</f>
        <v>0</v>
      </c>
      <c r="FC91" s="196" t="n">
        <f aca="false">IF((SUMIF($FB$3:$FK$3,FC$60,$FB$4:$FK$4))=0,0,((SUMIF($FB$3:$FK$3,FC$60,$FB140:$FK140))/SUMIF($FB$3:$FK$3,FC$60,$FB$4:$FK$4)))</f>
        <v>0</v>
      </c>
      <c r="FD91" s="196" t="n">
        <f aca="false">IF((SUMIF($FB$3:$FK$3,FD$60,$FB$4:$FK$4))=0,0,((SUMIF($FB$3:$FK$3,FD$60,$FB140:$FK140))/SUMIF($FB$3:$FK$3,FD$60,$FB$4:$FK$4)))</f>
        <v>0</v>
      </c>
      <c r="FE91" s="196" t="n">
        <f aca="false">IF((SUMIF($FB$3:$FK$3,FE$60,$FB$4:$FK$4))=0,0,((SUMIF($FB$3:$FK$3,FE$60,$FB140:$FK140))/SUMIF($FB$3:$FK$3,FE$60,$FB$4:$FK$4)))</f>
        <v>0</v>
      </c>
      <c r="FF91" s="196" t="n">
        <f aca="false">IF((SUMIF($FB$3:$FK$3,FF$60,$FB$4:$FK$4))=0,0,((SUMIF($FB$3:$FK$3,FF$60,$FB140:$FK140))/SUMIF($FB$3:$FK$3,FF$60,$FB$4:$FK$4)))</f>
        <v>0</v>
      </c>
      <c r="FG91" s="196" t="n">
        <f aca="false">IF((SUMIF($FB$3:$FK$3,FG$60,$FB$4:$FK$4))=0,0,((SUMIF($FB$3:$FK$3,FG$60,$FB140:$FK140))/SUMIF($FB$3:$FK$3,FG$60,$FB$4:$FK$4)))</f>
        <v>0</v>
      </c>
      <c r="FH91" s="196" t="n">
        <f aca="false">IF((SUMIF($FB$3:$FK$3,FH$60,$FB$4:$FK$4))=0,0,((SUMIF($FB$3:$FK$3,FH$60,$FB140:$FK140))/SUMIF($FB$3:$FK$3,FH$60,$FB$4:$FK$4)))</f>
        <v>0</v>
      </c>
      <c r="FI91" s="196" t="n">
        <f aca="false">IF((SUMIF($FB$3:$FK$3,FI$60,$FB$4:$FK$4))=0,0,((SUMIF($FB$3:$FK$3,FI$60,$FB140:$FK140))/SUMIF($FB$3:$FK$3,FI$60,$FB$4:$FK$4)))</f>
        <v>0</v>
      </c>
      <c r="FJ91" s="196" t="n">
        <f aca="false">IF((SUMIF($FB$3:$FK$3,FJ$60,$FB$4:$FK$4))=0,0,((SUMIF($FB$3:$FK$3,FJ$60,$FB140:$FK140))/SUMIF($FB$3:$FK$3,FJ$60,$FB$4:$FK$4)))</f>
        <v>0</v>
      </c>
      <c r="FK91" s="197" t="n">
        <f aca="false">IF((SUMIF($FB$3:$FK$3,FK$60,$FB$4:$FK$4))=0,0,((SUMIF($FB$3:$FK$3,FK$60,$FB140:$FK140))/SUMIF($FB$3:$FK$3,FK$60,$FB$4:$FK$4)))</f>
        <v>0</v>
      </c>
      <c r="FL91" s="194" t="str">
        <f aca="false">FA91</f>
        <v>Alumno30</v>
      </c>
      <c r="FM91" s="195" t="n">
        <f aca="false">IF((SUMIF($FM$3:$FV$3,FM$60,$FM$4:$FV$4))=0,0,((SUMIF($FM$3:$FV$3,FM$60,$FM140:$FV140))/SUMIF($FM$3:$FV$3,FM$60,$FM$4:$FV$4)))</f>
        <v>0</v>
      </c>
      <c r="FN91" s="196" t="n">
        <f aca="false">IF((SUMIF($FM$3:$FV$3,FN$60,$FM$4:$FV$4))=0,0,((SUMIF($FM$3:$FV$3,FN$60,$FM140:$FV140))/SUMIF($FM$3:$FV$3,FN$60,$FM$4:$FV$4)))</f>
        <v>0</v>
      </c>
      <c r="FO91" s="196" t="n">
        <f aca="false">IF((SUMIF($FM$3:$FV$3,FO$60,$FM$4:$FV$4))=0,0,((SUMIF($FM$3:$FV$3,FO$60,$FM140:$FV140))/SUMIF($FM$3:$FV$3,FO$60,$FM$4:$FV$4)))</f>
        <v>0</v>
      </c>
      <c r="FP91" s="196" t="n">
        <f aca="false">IF((SUMIF($FM$3:$FV$3,FP$60,$FM$4:$FV$4))=0,0,((SUMIF($FM$3:$FV$3,FP$60,$FM140:$FV140))/SUMIF($FM$3:$FV$3,FP$60,$FM$4:$FV$4)))</f>
        <v>0</v>
      </c>
      <c r="FQ91" s="196" t="n">
        <f aca="false">IF((SUMIF($FM$3:$FV$3,FQ$60,$FM$4:$FV$4))=0,0,((SUMIF($FM$3:$FV$3,FQ$60,$FM140:$FV140))/SUMIF($FM$3:$FV$3,FQ$60,$FM$4:$FV$4)))</f>
        <v>0</v>
      </c>
      <c r="FR91" s="196" t="n">
        <f aca="false">IF((SUMIF($FM$3:$FV$3,FR$60,$FM$4:$FV$4))=0,0,((SUMIF($FM$3:$FV$3,FR$60,$FM140:$FV140))/SUMIF($FM$3:$FV$3,FR$60,$FM$4:$FV$4)))</f>
        <v>0</v>
      </c>
      <c r="FS91" s="196" t="n">
        <f aca="false">IF((SUMIF($FM$3:$FV$3,FS$60,$FM$4:$FV$4))=0,0,((SUMIF($FM$3:$FV$3,FS$60,$FM140:$FV140))/SUMIF($FM$3:$FV$3,FS$60,$FM$4:$FV$4)))</f>
        <v>0</v>
      </c>
      <c r="FT91" s="196" t="n">
        <f aca="false">IF((SUMIF($FM$3:$FV$3,FT$60,$FM$4:$FV$4))=0,0,((SUMIF($FM$3:$FV$3,FT$60,$FM140:$FV140))/SUMIF($FM$3:$FV$3,FT$60,$FM$4:$FV$4)))</f>
        <v>0</v>
      </c>
      <c r="FU91" s="196" t="n">
        <f aca="false">IF((SUMIF($FM$3:$FV$3,FU$60,$FM$4:$FV$4))=0,0,((SUMIF($FM$3:$FV$3,FU$60,$FM140:$FV140))/SUMIF($FM$3:$FV$3,FU$60,$FM$4:$FV$4)))</f>
        <v>0</v>
      </c>
      <c r="FV91" s="197" t="n">
        <f aca="false">IF((SUMIF($FM$3:$FV$3,FV$60,$FM$4:$FV$4))=0,0,((SUMIF($FM$3:$FV$3,FV$60,$FM140:$FV140))/SUMIF($FM$3:$FV$3,FV$60,$FM$4:$FV$4)))</f>
        <v>0</v>
      </c>
      <c r="FW91" s="194" t="str">
        <f aca="false">FL91</f>
        <v>Alumno30</v>
      </c>
      <c r="FX91" s="195" t="n">
        <f aca="false">IF((SUMIF($FX$3:$GG$3,FX$60,$FX$4:$GG$4))=0,0,((SUMIF($FX$3:$GG$3,FX$60,$FX140:$GG140))/SUMIF($FX$3:$GG$3,FX$60,$FX$4:$GG$4)))</f>
        <v>0</v>
      </c>
      <c r="FY91" s="196" t="n">
        <f aca="false">IF((SUMIF($FX$3:$GG$3,FY$60,$FX$4:$GG$4))=0,0,((SUMIF($FX$3:$GG$3,FY$60,$FX140:$GG140))/SUMIF($FX$3:$GG$3,FY$60,$FX$4:$GG$4)))</f>
        <v>0</v>
      </c>
      <c r="FZ91" s="196" t="n">
        <f aca="false">IF((SUMIF($FX$3:$GG$3,FZ$60,$FX$4:$GG$4))=0,0,((SUMIF($FX$3:$GG$3,FZ$60,$FX140:$GG140))/SUMIF($FX$3:$GG$3,FZ$60,$FX$4:$GG$4)))</f>
        <v>0</v>
      </c>
      <c r="GA91" s="196" t="n">
        <f aca="false">IF((SUMIF($FX$3:$GG$3,GA$60,$FX$4:$GG$4))=0,0,((SUMIF($FX$3:$GG$3,GA$60,$FX140:$GG140))/SUMIF($FX$3:$GG$3,GA$60,$FX$4:$GG$4)))</f>
        <v>0</v>
      </c>
      <c r="GB91" s="196" t="n">
        <f aca="false">IF((SUMIF($FX$3:$GG$3,GB$60,$FX$4:$GG$4))=0,0,((SUMIF($FX$3:$GG$3,GB$60,$FX140:$GG140))/SUMIF($FX$3:$GG$3,GB$60,$FX$4:$GG$4)))</f>
        <v>0</v>
      </c>
      <c r="GC91" s="196" t="n">
        <f aca="false">IF((SUMIF($FX$3:$GG$3,GC$60,$FX$4:$GG$4))=0,0,((SUMIF($FX$3:$GG$3,GC$60,$FX140:$GG140))/SUMIF($FX$3:$GG$3,GC$60,$FX$4:$GG$4)))</f>
        <v>0</v>
      </c>
      <c r="GD91" s="196" t="n">
        <f aca="false">IF((SUMIF($FX$3:$GG$3,GD$60,$FX$4:$GG$4))=0,0,((SUMIF($FX$3:$GG$3,GD$60,$FX140:$GG140))/SUMIF($FX$3:$GG$3,GD$60,$FX$4:$GG$4)))</f>
        <v>0</v>
      </c>
      <c r="GE91" s="196" t="n">
        <f aca="false">IF((SUMIF($FX$3:$GG$3,GE$60,$FX$4:$GG$4))=0,0,((SUMIF($FX$3:$GG$3,GE$60,$FX140:$GG140))/SUMIF($FX$3:$GG$3,GE$60,$FX$4:$GG$4)))</f>
        <v>0</v>
      </c>
      <c r="GF91" s="196" t="n">
        <f aca="false">IF((SUMIF($FX$3:$GG$3,GF$60,$FX$4:$GG$4))=0,0,((SUMIF($FX$3:$GG$3,GF$60,$FX140:$GG140))/SUMIF($FX$3:$GG$3,GF$60,$FX$4:$GG$4)))</f>
        <v>0</v>
      </c>
      <c r="GG91" s="197" t="n">
        <f aca="false">IF((SUMIF($FX$3:$GG$3,GG$60,$FX$4:$GG$4))=0,0,((SUMIF($FX$3:$GG$3,GG$60,$FX140:$GG140))/SUMIF($FX$3:$GG$3,GG$60,$FX$4:$GG$4)))</f>
        <v>0</v>
      </c>
      <c r="GH91" s="194" t="str">
        <f aca="false">FW91</f>
        <v>Alumno30</v>
      </c>
      <c r="GI91" s="195" t="n">
        <f aca="false">IF((SUMIF($GI$3:$GR$3,GI$60,$GI$4:$GR$4))=0,0,((SUMIF($GI$3:$GR$3,GI$60,$GI140:$GR140))/SUMIF($GI$3:$GR$3,GI$60,$GI$4:$GR$4)))</f>
        <v>0</v>
      </c>
      <c r="GJ91" s="196" t="n">
        <f aca="false">IF((SUMIF($GI$3:$GR$3,GJ$60,$GI$4:$GR$4))=0,0,((SUMIF($GI$3:$GR$3,GJ$60,$GI140:$GR140))/SUMIF($GI$3:$GR$3,GJ$60,$GI$4:$GR$4)))</f>
        <v>0</v>
      </c>
      <c r="GK91" s="196" t="n">
        <f aca="false">IF((SUMIF($GI$3:$GR$3,GK$60,$GI$4:$GR$4))=0,0,((SUMIF($GI$3:$GR$3,GK$60,$GI140:$GR140))/SUMIF($GI$3:$GR$3,GK$60,$GI$4:$GR$4)))</f>
        <v>0</v>
      </c>
      <c r="GL91" s="196" t="n">
        <f aca="false">IF((SUMIF($GI$3:$GR$3,GL$60,$GI$4:$GR$4))=0,0,((SUMIF($GI$3:$GR$3,GL$60,$GI140:$GR140))/SUMIF($GI$3:$GR$3,GL$60,$GI$4:$GR$4)))</f>
        <v>0</v>
      </c>
      <c r="GM91" s="196" t="n">
        <f aca="false">IF((SUMIF($GI$3:$GR$3,GM$60,$GI$4:$GR$4))=0,0,((SUMIF($GI$3:$GR$3,GM$60,$GI140:$GR140))/SUMIF($GI$3:$GR$3,GM$60,$GI$4:$GR$4)))</f>
        <v>0</v>
      </c>
      <c r="GN91" s="196" t="n">
        <f aca="false">IF((SUMIF($GI$3:$GR$3,GN$60,$GI$4:$GR$4))=0,0,((SUMIF($GI$3:$GR$3,GN$60,$GI140:$GR140))/SUMIF($GI$3:$GR$3,GN$60,$GI$4:$GR$4)))</f>
        <v>0</v>
      </c>
      <c r="GO91" s="196" t="n">
        <f aca="false">IF((SUMIF($GI$3:$GR$3,GO$60,$GI$4:$GR$4))=0,0,((SUMIF($GI$3:$GR$3,GO$60,$GI140:$GR140))/SUMIF($GI$3:$GR$3,GO$60,$GI$4:$GR$4)))</f>
        <v>0</v>
      </c>
      <c r="GP91" s="196" t="n">
        <f aca="false">IF((SUMIF($GI$3:$GR$3,GP$60,$GI$4:$GR$4))=0,0,((SUMIF($GI$3:$GR$3,GP$60,$GI140:$GR140))/SUMIF($GI$3:$GR$3,GP$60,$GI$4:$GR$4)))</f>
        <v>0</v>
      </c>
      <c r="GQ91" s="196" t="n">
        <f aca="false">IF((SUMIF($GI$3:$GR$3,GQ$60,$GI$4:$GR$4))=0,0,((SUMIF($GI$3:$GR$3,GQ$60,$GI140:$GR140))/SUMIF($GI$3:$GR$3,GQ$60,$GI$4:$GR$4)))</f>
        <v>0</v>
      </c>
      <c r="GR91" s="197" t="n">
        <f aca="false">IF((SUMIF($GI$3:$GR$3,GR$60,$GI$4:$GR$4))=0,0,((SUMIF($GI$3:$GR$3,GR$60,$GI140:$GR140))/SUMIF($GI$3:$GR$3,GR$60,$GI$4:$GR$4)))</f>
        <v>0</v>
      </c>
      <c r="GS91" s="194" t="str">
        <f aca="false">GH91</f>
        <v>Alumno30</v>
      </c>
      <c r="GT91" s="195" t="n">
        <f aca="false">IF((SUMIF($GT$3:$HC$3,GT$60,$GT$4:$HC$4))=0,0,((SUMIF($GT$3:$HC$3,GT$60,$GT140:$HC140))/SUMIF($GT$3:$HC$3,GT$60,$GT$4:$HC$4)))</f>
        <v>0</v>
      </c>
      <c r="GU91" s="196" t="n">
        <f aca="false">IF((SUMIF($GT$3:$HC$3,GU$60,$GT$4:$HC$4))=0,0,((SUMIF($GT$3:$HC$3,GU$60,$GT140:$HC140))/SUMIF($GT$3:$HC$3,GU$60,$GT$4:$HC$4)))</f>
        <v>0</v>
      </c>
      <c r="GV91" s="196" t="n">
        <f aca="false">IF((SUMIF($GT$3:$HC$3,GV$60,$GT$4:$HC$4))=0,0,((SUMIF($GT$3:$HC$3,GV$60,$GT140:$HC140))/SUMIF($GT$3:$HC$3,GV$60,$GT$4:$HC$4)))</f>
        <v>0</v>
      </c>
      <c r="GW91" s="196" t="n">
        <f aca="false">IF((SUMIF($GT$3:$HC$3,GW$60,$GT$4:$HC$4))=0,0,((SUMIF($GT$3:$HC$3,GW$60,$GT140:$HC140))/SUMIF($GT$3:$HC$3,GW$60,$GT$4:$HC$4)))</f>
        <v>0</v>
      </c>
      <c r="GX91" s="196" t="n">
        <f aca="false">IF((SUMIF($GT$3:$HC$3,GX$60,$GT$4:$HC$4))=0,0,((SUMIF($GT$3:$HC$3,GX$60,$GT140:$HC140))/SUMIF($GT$3:$HC$3,GX$60,$GT$4:$HC$4)))</f>
        <v>0</v>
      </c>
      <c r="GY91" s="196" t="n">
        <f aca="false">IF((SUMIF($GT$3:$HC$3,GY$60,$GT$4:$HC$4))=0,0,((SUMIF($GT$3:$HC$3,GY$60,$GT140:$HC140))/SUMIF($GT$3:$HC$3,GY$60,$GT$4:$HC$4)))</f>
        <v>0</v>
      </c>
      <c r="GZ91" s="196" t="n">
        <f aca="false">IF((SUMIF($GT$3:$HC$3,GZ$60,$GT$4:$HC$4))=0,0,((SUMIF($GT$3:$HC$3,GZ$60,$GT140:$HC140))/SUMIF($GT$3:$HC$3,GZ$60,$GT$4:$HC$4)))</f>
        <v>0</v>
      </c>
      <c r="HA91" s="196" t="n">
        <f aca="false">IF((SUMIF($GT$3:$HC$3,HA$60,$GT$4:$HC$4))=0,0,((SUMIF($GT$3:$HC$3,HA$60,$GT140:$HC140))/SUMIF($GT$3:$HC$3,HA$60,$GT$4:$HC$4)))</f>
        <v>0</v>
      </c>
      <c r="HB91" s="196" t="n">
        <f aca="false">IF((SUMIF($GT$3:$HC$3,HB$60,$GT$4:$HC$4))=0,0,((SUMIF($GT$3:$HC$3,HB$60,$GT140:$HC140))/SUMIF($GT$3:$HC$3,HB$60,$GT$4:$HC$4)))</f>
        <v>0</v>
      </c>
      <c r="HC91" s="197" t="n">
        <f aca="false">IF((SUMIF($GT$3:$HC$3,HC$60,$GT$4:$HC$4))=0,0,((SUMIF($GT$3:$HC$3,HC$60,$GT140:$HC140))/SUMIF($GT$3:$HC$3,HC$60,$GT$4:$HC$4)))</f>
        <v>0</v>
      </c>
      <c r="HD91" s="194" t="str">
        <f aca="false">GS91</f>
        <v>Alumno30</v>
      </c>
      <c r="HE91" s="195" t="n">
        <f aca="false">IF((SUMIF($HE$3:$HN$3,HE$60,$HE$4:$HN$4))=0,0,((SUMIF($HE$3:$HN$3,HE$60,$HE140:$HN140))/SUMIF($HE$3:$HN$3,HE$60,$HE$4:$HN$4)))</f>
        <v>0</v>
      </c>
      <c r="HF91" s="196" t="n">
        <f aca="false">IF((SUMIF($HE$3:$HN$3,HF$60,$HE$4:$HN$4))=0,0,((SUMIF($HE$3:$HN$3,HF$60,$HE140:$HN140))/SUMIF($HE$3:$HN$3,HF$60,$HE$4:$HN$4)))</f>
        <v>0</v>
      </c>
      <c r="HG91" s="196" t="n">
        <f aca="false">IF((SUMIF($HE$3:$HN$3,HG$60,$HE$4:$HN$4))=0,0,((SUMIF($HE$3:$HN$3,HG$60,$HE140:$HN140))/SUMIF($HE$3:$HN$3,HG$60,$HE$4:$HN$4)))</f>
        <v>0</v>
      </c>
      <c r="HH91" s="196" t="n">
        <f aca="false">IF((SUMIF($HE$3:$HN$3,HH$60,$HE$4:$HN$4))=0,0,((SUMIF($HE$3:$HN$3,HH$60,$HE140:$HN140))/SUMIF($HE$3:$HN$3,HH$60,$HE$4:$HN$4)))</f>
        <v>0</v>
      </c>
      <c r="HI91" s="196" t="n">
        <f aca="false">IF((SUMIF($HE$3:$HN$3,HI$60,$HE$4:$HN$4))=0,0,((SUMIF($HE$3:$HN$3,HI$60,$HE140:$HN140))/SUMIF($HE$3:$HN$3,HI$60,$HE$4:$HN$4)))</f>
        <v>0</v>
      </c>
      <c r="HJ91" s="196" t="n">
        <f aca="false">IF((SUMIF($HE$3:$HN$3,HJ$60,$HE$4:$HN$4))=0,0,((SUMIF($HE$3:$HN$3,HJ$60,$HE140:$HN140))/SUMIF($HE$3:$HN$3,HJ$60,$HE$4:$HN$4)))</f>
        <v>0</v>
      </c>
      <c r="HK91" s="196" t="n">
        <f aca="false">IF((SUMIF($HE$3:$HN$3,HK$60,$HE$4:$HN$4))=0,0,((SUMIF($HE$3:$HN$3,HK$60,$HE140:$HN140))/SUMIF($HE$3:$HN$3,HK$60,$HE$4:$HN$4)))</f>
        <v>0</v>
      </c>
      <c r="HL91" s="196" t="n">
        <f aca="false">IF((SUMIF($HE$3:$HN$3,HL$60,$HE$4:$HN$4))=0,0,((SUMIF($HE$3:$HN$3,HL$60,$HE140:$HN140))/SUMIF($HE$3:$HN$3,HL$60,$HE$4:$HN$4)))</f>
        <v>0</v>
      </c>
      <c r="HM91" s="196" t="n">
        <f aca="false">IF((SUMIF($HE$3:$HN$3,HM$60,$HE$4:$HN$4))=0,0,((SUMIF($HE$3:$HN$3,HM$60,$HE140:$HN140))/SUMIF($HE$3:$HN$3,HM$60,$HE$4:$HN$4)))</f>
        <v>0</v>
      </c>
      <c r="HN91" s="197" t="n">
        <f aca="false">IF((SUMIF($HE$3:$HN$3,HN$60,$HE$4:$HN$4))=0,0,((SUMIF($HE$3:$HN$3,HN$60,$HE140:$HN140))/SUMIF($HE$3:$HN$3,HN$60,$HE$4:$HN$4)))</f>
        <v>0</v>
      </c>
      <c r="HO91" s="194" t="str">
        <f aca="false">HD91</f>
        <v>Alumno30</v>
      </c>
      <c r="HP91" s="195" t="n">
        <f aca="false">IF((SUMIF($HP$3:$HY$3,HP$60,$HP$4:$HY$4))=0,0,((SUMIF($HP$3:$HY$3,HP$60,$HP140:$HY140))/SUMIF($HP$3:$HY$3,HP$60,$HP$4:$HY$4)))</f>
        <v>0</v>
      </c>
      <c r="HQ91" s="196" t="n">
        <f aca="false">IF((SUMIF($HP$3:$HY$3,HQ$60,$HP$4:$HY$4))=0,0,((SUMIF($HP$3:$HY$3,HQ$60,$HP140:$HY140))/SUMIF($HP$3:$HY$3,HQ$60,$HP$4:$HY$4)))</f>
        <v>0</v>
      </c>
      <c r="HR91" s="196" t="n">
        <f aca="false">IF((SUMIF($HP$3:$HY$3,HR$60,$HP$4:$HY$4))=0,0,((SUMIF($HP$3:$HY$3,HR$60,$HP140:$HY140))/SUMIF($HP$3:$HY$3,HR$60,$HP$4:$HY$4)))</f>
        <v>0</v>
      </c>
      <c r="HS91" s="196" t="n">
        <f aca="false">IF((SUMIF($HP$3:$HY$3,HS$60,$HP$4:$HY$4))=0,0,((SUMIF($HP$3:$HY$3,HS$60,$HP140:$HY140))/SUMIF($HP$3:$HY$3,HS$60,$HP$4:$HY$4)))</f>
        <v>0</v>
      </c>
      <c r="HT91" s="196" t="n">
        <f aca="false">IF((SUMIF($HP$3:$HY$3,HT$60,$HP$4:$HY$4))=0,0,((SUMIF($HP$3:$HY$3,HT$60,$HP140:$HY140))/SUMIF($HP$3:$HY$3,HT$60,$HP$4:$HY$4)))</f>
        <v>0</v>
      </c>
      <c r="HU91" s="196" t="n">
        <f aca="false">IF((SUMIF($HP$3:$HY$3,HU$60,$HP$4:$HY$4))=0,0,((SUMIF($HP$3:$HY$3,HU$60,$HP140:$HY140))/SUMIF($HP$3:$HY$3,HU$60,$HP$4:$HY$4)))</f>
        <v>0</v>
      </c>
      <c r="HV91" s="196" t="n">
        <f aca="false">IF((SUMIF($HP$3:$HY$3,HV$60,$HP$4:$HY$4))=0,0,((SUMIF($HP$3:$HY$3,HV$60,$HP140:$HY140))/SUMIF($HP$3:$HY$3,HV$60,$HP$4:$HY$4)))</f>
        <v>0</v>
      </c>
      <c r="HW91" s="196" t="n">
        <f aca="false">IF((SUMIF($HP$3:$HY$3,HW$60,$HP$4:$HY$4))=0,0,((SUMIF($HP$3:$HY$3,HW$60,$HP140:$HY140))/SUMIF($HP$3:$HY$3,HW$60,$HP$4:$HY$4)))</f>
        <v>0</v>
      </c>
      <c r="HX91" s="196" t="n">
        <f aca="false">IF((SUMIF($HP$3:$HY$3,HX$60,$HP$4:$HY$4))=0,0,((SUMIF($HP$3:$HY$3,HX$60,$HP140:$HY140))/SUMIF($HP$3:$HY$3,HX$60,$HP$4:$HY$4)))</f>
        <v>0</v>
      </c>
      <c r="HY91" s="197" t="n">
        <f aca="false">IF((SUMIF($HP$3:$HY$3,HY$60,$HP$4:$HY$4))=0,0,((SUMIF($HP$3:$HY$3,HY$60,$HP140:$HY140))/SUMIF($HP$3:$HY$3,HY$60,$HP$4:$HY$4)))</f>
        <v>0</v>
      </c>
      <c r="HZ91" s="194" t="str">
        <f aca="false">HO91</f>
        <v>Alumno30</v>
      </c>
      <c r="IA91" s="195" t="n">
        <f aca="false">IF((SUMIF($IA$3:$IJ$3,IA$60,$IA$4:$IJ$4))=0,0,((SUMIF($IA$3:$IJ$3,IA$60,$IA140:$IJ140))/SUMIF($IA$3:$IJ$3,IA$60,$IA$4:$IJ$4)))</f>
        <v>0</v>
      </c>
      <c r="IB91" s="196" t="n">
        <f aca="false">IF((SUMIF($IA$3:$IJ$3,IB$60,$IA$4:$IJ$4))=0,0,((SUMIF($IA$3:$IJ$3,IB$60,$IA140:$IJ140))/SUMIF($IA$3:$IJ$3,IB$60,$IA$4:$IJ$4)))</f>
        <v>0</v>
      </c>
      <c r="IC91" s="196" t="n">
        <f aca="false">IF((SUMIF($IA$3:$IJ$3,IC$60,$IA$4:$IJ$4))=0,0,((SUMIF($IA$3:$IJ$3,IC$60,$IA140:$IJ140))/SUMIF($IA$3:$IJ$3,IC$60,$IA$4:$IJ$4)))</f>
        <v>0</v>
      </c>
      <c r="ID91" s="196" t="n">
        <f aca="false">IF((SUMIF($IA$3:$IJ$3,ID$60,$IA$4:$IJ$4))=0,0,((SUMIF($IA$3:$IJ$3,ID$60,$IA140:$IJ140))/SUMIF($IA$3:$IJ$3,ID$60,$IA$4:$IJ$4)))</f>
        <v>0</v>
      </c>
      <c r="IE91" s="196" t="n">
        <f aca="false">IF((SUMIF($IA$3:$IJ$3,IE$60,$IA$4:$IJ$4))=0,0,((SUMIF($IA$3:$IJ$3,IE$60,$IA140:$IJ140))/SUMIF($IA$3:$IJ$3,IE$60,$IA$4:$IJ$4)))</f>
        <v>0</v>
      </c>
      <c r="IF91" s="196" t="n">
        <f aca="false">IF((SUMIF($IA$3:$IJ$3,IF$60,$IA$4:$IJ$4))=0,0,((SUMIF($IA$3:$IJ$3,IF$60,$IA140:$IJ140))/SUMIF($IA$3:$IJ$3,IF$60,$IA$4:$IJ$4)))</f>
        <v>0</v>
      </c>
      <c r="IG91" s="196" t="n">
        <f aca="false">IF((SUMIF($IA$3:$IJ$3,IG$60,$IA$4:$IJ$4))=0,0,((SUMIF($IA$3:$IJ$3,IG$60,$IA140:$IJ140))/SUMIF($IA$3:$IJ$3,IG$60,$IA$4:$IJ$4)))</f>
        <v>0</v>
      </c>
      <c r="IH91" s="196" t="n">
        <f aca="false">IF((SUMIF($IA$3:$IJ$3,IH$60,$IA$4:$IJ$4))=0,0,((SUMIF($IA$3:$IJ$3,IH$60,$IA140:$IJ140))/SUMIF($IA$3:$IJ$3,IH$60,$IA$4:$IJ$4)))</f>
        <v>0</v>
      </c>
      <c r="II91" s="196" t="n">
        <f aca="false">IF((SUMIF($IA$3:$IJ$3,II$60,$IA$4:$IJ$4))=0,0,((SUMIF($IA$3:$IJ$3,II$60,$IA140:$IJ140))/SUMIF($IA$3:$IJ$3,II$60,$IA$4:$IJ$4)))</f>
        <v>0</v>
      </c>
      <c r="IJ91" s="197" t="n">
        <f aca="false">IF((SUMIF($IA$3:$IJ$3,IJ$60,$IA$4:$IJ$4))=0,0,((SUMIF($IA$3:$IJ$3,IJ$60,$IA140:$IJ140))/SUMIF($IA$3:$IJ$3,IJ$60,$IA$4:$IJ$4)))</f>
        <v>0</v>
      </c>
      <c r="IK91" s="194" t="str">
        <f aca="false">HZ91</f>
        <v>Alumno30</v>
      </c>
      <c r="IL91" s="195" t="n">
        <f aca="false">IF((SUMIF($IL$3:$IU$3,IL$60,$IL$4:$IU$4))=0,0,((SUMIF($IL$3:$IU$3,IL$60,$IL140:$IU140))/SUMIF($IL$3:$IU$3,IL$60,$IL$4:$IU$4)))</f>
        <v>0</v>
      </c>
      <c r="IM91" s="196" t="n">
        <f aca="false">IF((SUMIF($IL$3:$IU$3,IM$60,$IL$4:$IU$4))=0,0,((SUMIF($IL$3:$IU$3,IM$60,$IL140:$IU140))/SUMIF($IL$3:$IU$3,IM$60,$IL$4:$IU$4)))</f>
        <v>0</v>
      </c>
      <c r="IN91" s="196" t="n">
        <f aca="false">IF((SUMIF($IL$3:$IU$3,IN$60,$IL$4:$IU$4))=0,0,((SUMIF($IL$3:$IU$3,IN$60,$IL140:$IU140))/SUMIF($IL$3:$IU$3,IN$60,$IL$4:$IU$4)))</f>
        <v>0</v>
      </c>
      <c r="IO91" s="196" t="n">
        <f aca="false">IF((SUMIF($IL$3:$IU$3,IO$60,$IL$4:$IU$4))=0,0,((SUMIF($IL$3:$IU$3,IO$60,$IL140:$IU140))/SUMIF($IL$3:$IU$3,IO$60,$IL$4:$IU$4)))</f>
        <v>0</v>
      </c>
      <c r="IP91" s="196" t="n">
        <f aca="false">IF((SUMIF($IL$3:$IU$3,IP$60,$IL$4:$IU$4))=0,0,((SUMIF($IL$3:$IU$3,IP$60,$IL140:$IU140))/SUMIF($IL$3:$IU$3,IP$60,$IL$4:$IU$4)))</f>
        <v>0</v>
      </c>
      <c r="IQ91" s="196" t="n">
        <f aca="false">IF((SUMIF($IL$3:$IU$3,IQ$60,$IL$4:$IU$4))=0,0,((SUMIF($IL$3:$IU$3,IQ$60,$IL140:$IU140))/SUMIF($IL$3:$IU$3,IQ$60,$IL$4:$IU$4)))</f>
        <v>0</v>
      </c>
      <c r="IR91" s="196" t="n">
        <f aca="false">IF((SUMIF($IL$3:$IU$3,IR$60,$IL$4:$IU$4))=0,0,((SUMIF($IL$3:$IU$3,IR$60,$IL140:$IU140))/SUMIF($IL$3:$IU$3,IR$60,$IL$4:$IU$4)))</f>
        <v>0</v>
      </c>
      <c r="IS91" s="196" t="n">
        <f aca="false">IF((SUMIF($IL$3:$IU$3,IS$60,$IL$4:$IU$4))=0,0,((SUMIF($IL$3:$IU$3,IS$60,$IL140:$IU140))/SUMIF($IL$3:$IU$3,IS$60,$IL$4:$IU$4)))</f>
        <v>0</v>
      </c>
      <c r="IT91" s="196" t="n">
        <f aca="false">IF((SUMIF($IL$3:$IU$3,IT$60,$IL$4:$IU$4))=0,0,((SUMIF($IL$3:$IU$3,IT$60,$IL140:$IU140))/SUMIF($IL$3:$IU$3,IT$60,$IL$4:$IU$4)))</f>
        <v>0</v>
      </c>
      <c r="IU91" s="197" t="n">
        <f aca="false">IF((SUMIF($IL$3:$IU$3,IU$60,$IL$4:$IU$4))=0,0,((SUMIF($IL$3:$IU$3,IU$60,$IL140:$IU140))/SUMIF($IL$3:$IU$3,IU$60,$IL$4:$IU$4)))</f>
        <v>0</v>
      </c>
      <c r="IV91" s="194" t="str">
        <f aca="false">IK91</f>
        <v>Alumno30</v>
      </c>
      <c r="IW91" s="195" t="n">
        <f aca="false">IF((SUMIF($IW$3:$JF$3,IW$60,$IW$4:$JF$4))=0,0,((SUMIF($IW$3:$JF$3,IW$60,$IW140:$JF140))/SUMIF($IW$3:$JF$3,IW$60,$IW$4:$JF$4)))</f>
        <v>0</v>
      </c>
      <c r="IX91" s="196" t="n">
        <f aca="false">IF((SUMIF($IW$3:$JF$3,IX$60,$IW$4:$JF$4))=0,0,((SUMIF($IW$3:$JF$3,IX$60,$IW140:$JF140))/SUMIF($IW$3:$JF$3,IX$60,$IW$4:$JF$4)))</f>
        <v>0</v>
      </c>
      <c r="IY91" s="196" t="n">
        <f aca="false">IF((SUMIF($IW$3:$JF$3,IY$60,$IW$4:$JF$4))=0,0,((SUMIF($IW$3:$JF$3,IY$60,$IW140:$JF140))/SUMIF($IW$3:$JF$3,IY$60,$IW$4:$JF$4)))</f>
        <v>0</v>
      </c>
      <c r="IZ91" s="196" t="n">
        <f aca="false">IF((SUMIF($IW$3:$JF$3,IZ$60,$IW$4:$JF$4))=0,0,((SUMIF($IW$3:$JF$3,IZ$60,$IW140:$JF140))/SUMIF($IW$3:$JF$3,IZ$60,$IW$4:$JF$4)))</f>
        <v>0</v>
      </c>
      <c r="JA91" s="196" t="n">
        <f aca="false">IF((SUMIF($IW$3:$JF$3,JA$60,$IW$4:$JF$4))=0,0,((SUMIF($IW$3:$JF$3,JA$60,$IW140:$JF140))/SUMIF($IW$3:$JF$3,JA$60,$IW$4:$JF$4)))</f>
        <v>0</v>
      </c>
      <c r="JB91" s="196" t="n">
        <f aca="false">IF((SUMIF($IW$3:$JF$3,JB$60,$IW$4:$JF$4))=0,0,((SUMIF($IW$3:$JF$3,JB$60,$IW140:$JF140))/SUMIF($IW$3:$JF$3,JB$60,$IW$4:$JF$4)))</f>
        <v>0</v>
      </c>
      <c r="JC91" s="196" t="n">
        <f aca="false">IF((SUMIF($IW$3:$JF$3,JC$60,$IW$4:$JF$4))=0,0,((SUMIF($IW$3:$JF$3,JC$60,$IW140:$JF140))/SUMIF($IW$3:$JF$3,JC$60,$IW$4:$JF$4)))</f>
        <v>0</v>
      </c>
      <c r="JD91" s="196" t="n">
        <f aca="false">IF((SUMIF($IW$3:$JF$3,JD$60,$IW$4:$JF$4))=0,0,((SUMIF($IW$3:$JF$3,JD$60,$IW140:$JF140))/SUMIF($IW$3:$JF$3,JD$60,$IW$4:$JF$4)))</f>
        <v>0</v>
      </c>
      <c r="JE91" s="196" t="n">
        <f aca="false">IF((SUMIF($IW$3:$JF$3,JE$60,$IW$4:$JF$4))=0,0,((SUMIF($IW$3:$JF$3,JE$60,$IW140:$JF140))/SUMIF($IW$3:$JF$3,JE$60,$IW$4:$JF$4)))</f>
        <v>0</v>
      </c>
      <c r="JF91" s="197" t="n">
        <f aca="false">IF((SUMIF($IW$3:$JF$3,JF$60,$IW$4:$JF$4))=0,0,((SUMIF($IW$3:$JF$3,JF$60,$IW140:$JF140))/SUMIF($IW$3:$JF$3,JF$60,$IW$4:$JF$4)))</f>
        <v>0</v>
      </c>
      <c r="JG91" s="194" t="str">
        <f aca="false">IV91</f>
        <v>Alumno30</v>
      </c>
      <c r="JH91" s="195" t="n">
        <f aca="false">IF((SUMIF($JH$3:$JQ$3,JH$60,$JH$4:$JQ$4))=0,0,((SUMIF($JH$3:$JQ$3,JH$60,$JH140:$JQ140))/SUMIF($JH$3:$JQ$3,JH$60,$JH$4:$JQ$4)))</f>
        <v>0</v>
      </c>
      <c r="JI91" s="196" t="n">
        <f aca="false">IF((SUMIF($JH$3:$JQ$3,JI$60,$JH$4:$JQ$4))=0,0,((SUMIF($JH$3:$JQ$3,JI$60,$JH140:$JQ140))/SUMIF($JH$3:$JQ$3,JI$60,$JH$4:$JQ$4)))</f>
        <v>0</v>
      </c>
      <c r="JJ91" s="196" t="n">
        <f aca="false">IF((SUMIF($JH$3:$JQ$3,JJ$60,$JH$4:$JQ$4))=0,0,((SUMIF($JH$3:$JQ$3,JJ$60,$JH140:$JQ140))/SUMIF($JH$3:$JQ$3,JJ$60,$JH$4:$JQ$4)))</f>
        <v>0</v>
      </c>
      <c r="JK91" s="196" t="n">
        <f aca="false">IF((SUMIF($JH$3:$JQ$3,JK$60,$JH$4:$JQ$4))=0,0,((SUMIF($JH$3:$JQ$3,JK$60,$JH140:$JQ140))/SUMIF($JH$3:$JQ$3,JK$60,$JH$4:$JQ$4)))</f>
        <v>0</v>
      </c>
      <c r="JL91" s="196" t="n">
        <f aca="false">IF((SUMIF($JH$3:$JQ$3,JL$60,$JH$4:$JQ$4))=0,0,((SUMIF($JH$3:$JQ$3,JL$60,$JH140:$JQ140))/SUMIF($JH$3:$JQ$3,JL$60,$JH$4:$JQ$4)))</f>
        <v>0</v>
      </c>
      <c r="JM91" s="196" t="n">
        <f aca="false">IF((SUMIF($JH$3:$JQ$3,JM$60,$JH$4:$JQ$4))=0,0,((SUMIF($JH$3:$JQ$3,JM$60,$JH140:$JQ140))/SUMIF($JH$3:$JQ$3,JM$60,$JH$4:$JQ$4)))</f>
        <v>0</v>
      </c>
      <c r="JN91" s="196" t="n">
        <f aca="false">IF((SUMIF($JH$3:$JQ$3,JN$60,$JH$4:$JQ$4))=0,0,((SUMIF($JH$3:$JQ$3,JN$60,$JH140:$JQ140))/SUMIF($JH$3:$JQ$3,JN$60,$JH$4:$JQ$4)))</f>
        <v>0</v>
      </c>
      <c r="JO91" s="196" t="n">
        <f aca="false">IF((SUMIF($JH$3:$JQ$3,JO$60,$JH$4:$JQ$4))=0,0,((SUMIF($JH$3:$JQ$3,JO$60,$JH140:$JQ140))/SUMIF($JH$3:$JQ$3,JO$60,$JH$4:$JQ$4)))</f>
        <v>0</v>
      </c>
      <c r="JP91" s="196" t="n">
        <f aca="false">IF((SUMIF($JH$3:$JQ$3,JP$60,$JH$4:$JQ$4))=0,0,((SUMIF($JH$3:$JQ$3,JP$60,$JH140:$JQ140))/SUMIF($JH$3:$JQ$3,JP$60,$JH$4:$JQ$4)))</f>
        <v>0</v>
      </c>
      <c r="JQ91" s="197" t="n">
        <f aca="false">IF((SUMIF($JH$3:$JQ$3,JQ$60,$JH$4:$JQ$4))=0,0,((SUMIF($JH$3:$JQ$3,JQ$60,$JH140:$JQ140))/SUMIF($JH$3:$JQ$3,JQ$60,$JH$4:$JQ$4)))</f>
        <v>0</v>
      </c>
      <c r="JR91" s="194" t="str">
        <f aca="false">JG91</f>
        <v>Alumno30</v>
      </c>
      <c r="JS91" s="195" t="n">
        <f aca="false">IF((SUMIF($JS$3:$KB$3,JS$60,$JS$4:$KB$4))=0,0,((SUMIF($JS$3:$KB$3,JS$60,$JS140:$KB140))/SUMIF($JS$3:$KB$3,JS$60,$JS$4:$KB$4)))</f>
        <v>0</v>
      </c>
      <c r="JT91" s="196" t="n">
        <f aca="false">IF((SUMIF($JS$3:$KB$3,JT$60,$JS$4:$KB$4))=0,0,((SUMIF($JS$3:$KB$3,JT$60,$JS140:$KB140))/SUMIF($JS$3:$KB$3,JT$60,$JS$4:$KB$4)))</f>
        <v>0</v>
      </c>
      <c r="JU91" s="196" t="n">
        <f aca="false">IF((SUMIF($JS$3:$KB$3,JU$60,$JS$4:$KB$4))=0,0,((SUMIF($JS$3:$KB$3,JU$60,$JS140:$KB140))/SUMIF($JS$3:$KB$3,JU$60,$JS$4:$KB$4)))</f>
        <v>0</v>
      </c>
      <c r="JV91" s="196" t="n">
        <f aca="false">IF((SUMIF($JS$3:$KB$3,JV$60,$JS$4:$KB$4))=0,0,((SUMIF($JS$3:$KB$3,JV$60,$JS140:$KB140))/SUMIF($JS$3:$KB$3,JV$60,$JS$4:$KB$4)))</f>
        <v>0</v>
      </c>
      <c r="JW91" s="196" t="n">
        <f aca="false">IF((SUMIF($JS$3:$KB$3,JW$60,$JS$4:$KB$4))=0,0,((SUMIF($JS$3:$KB$3,JW$60,$JS140:$KB140))/SUMIF($JS$3:$KB$3,JW$60,$JS$4:$KB$4)))</f>
        <v>0</v>
      </c>
      <c r="JX91" s="196" t="n">
        <f aca="false">IF((SUMIF($JS$3:$KB$3,JX$60,$JS$4:$KB$4))=0,0,((SUMIF($JS$3:$KB$3,JX$60,$JS140:$KB140))/SUMIF($JS$3:$KB$3,JX$60,$JS$4:$KB$4)))</f>
        <v>0</v>
      </c>
      <c r="JY91" s="196" t="n">
        <f aca="false">IF((SUMIF($JS$3:$KB$3,JY$60,$JS$4:$KB$4))=0,0,((SUMIF($JS$3:$KB$3,JY$60,$JS140:$KB140))/SUMIF($JS$3:$KB$3,JY$60,$JS$4:$KB$4)))</f>
        <v>0</v>
      </c>
      <c r="JZ91" s="196" t="n">
        <f aca="false">IF((SUMIF($JS$3:$KB$3,JZ$60,$JS$4:$KB$4))=0,0,((SUMIF($JS$3:$KB$3,JZ$60,$JS140:$KB140))/SUMIF($JS$3:$KB$3,JZ$60,$JS$4:$KB$4)))</f>
        <v>0</v>
      </c>
      <c r="KA91" s="196" t="n">
        <f aca="false">IF((SUMIF($JS$3:$KB$3,KA$60,$JS$4:$KB$4))=0,0,((SUMIF($JS$3:$KB$3,KA$60,$JS140:$KB140))/SUMIF($JS$3:$KB$3,KA$60,$JS$4:$KB$4)))</f>
        <v>0</v>
      </c>
      <c r="KB91" s="197" t="n">
        <f aca="false">IF((SUMIF($JS$3:$KB$3,KB$60,$JS$4:$KB$4))=0,0,((SUMIF($JS$3:$KB$3,KB$60,$JS140:$KB140))/SUMIF($JS$3:$KB$3,KB$60,$JS$4:$KB$4)))</f>
        <v>0</v>
      </c>
      <c r="KC91" s="194" t="str">
        <f aca="false">JR91</f>
        <v>Alumno30</v>
      </c>
      <c r="KD91" s="195" t="n">
        <f aca="false">IF((SUMIF($KD$3:$KM$3,KD$60,$KD$4:$KM$4))=0,0,((SUMIF($KD$3:$KM$3,KD$60,$KD140:$KM140))/SUMIF($KD$3:$KM$3,KD$60,$KD$4:$KM$4)))</f>
        <v>0</v>
      </c>
      <c r="KE91" s="196" t="n">
        <f aca="false">IF((SUMIF($KD$3:$KM$3,KE$60,$KD$4:$KM$4))=0,0,((SUMIF($KD$3:$KM$3,KE$60,$KD140:$KM140))/SUMIF($KD$3:$KM$3,KE$60,$KD$4:$KM$4)))</f>
        <v>0</v>
      </c>
      <c r="KF91" s="196" t="n">
        <f aca="false">IF((SUMIF($KD$3:$KM$3,KF$60,$KD$4:$KM$4))=0,0,((SUMIF($KD$3:$KM$3,KF$60,$KD140:$KM140))/SUMIF($KD$3:$KM$3,KF$60,$KD$4:$KM$4)))</f>
        <v>0</v>
      </c>
      <c r="KG91" s="196" t="n">
        <f aca="false">IF((SUMIF($KD$3:$KM$3,KG$60,$KD$4:$KM$4))=0,0,((SUMIF($KD$3:$KM$3,KG$60,$KD140:$KM140))/SUMIF($KD$3:$KM$3,KG$60,$KD$4:$KM$4)))</f>
        <v>0</v>
      </c>
      <c r="KH91" s="196" t="n">
        <f aca="false">IF((SUMIF($KD$3:$KM$3,KH$60,$KD$4:$KM$4))=0,0,((SUMIF($KD$3:$KM$3,KH$60,$KD140:$KM140))/SUMIF($KD$3:$KM$3,KH$60,$KD$4:$KM$4)))</f>
        <v>0</v>
      </c>
      <c r="KI91" s="196" t="n">
        <f aca="false">IF((SUMIF($KD$3:$KM$3,KI$60,$KD$4:$KM$4))=0,0,((SUMIF($KD$3:$KM$3,KI$60,$KD140:$KM140))/SUMIF($KD$3:$KM$3,KI$60,$KD$4:$KM$4)))</f>
        <v>0</v>
      </c>
      <c r="KJ91" s="196" t="n">
        <f aca="false">IF((SUMIF($KD$3:$KM$3,KJ$60,$KD$4:$KM$4))=0,0,((SUMIF($KD$3:$KM$3,KJ$60,$KD140:$KM140))/SUMIF($KD$3:$KM$3,KJ$60,$KD$4:$KM$4)))</f>
        <v>0</v>
      </c>
      <c r="KK91" s="196" t="n">
        <f aca="false">IF((SUMIF($KD$3:$KM$3,KK$60,$KD$4:$KM$4))=0,0,((SUMIF($KD$3:$KM$3,KK$60,$KD140:$KM140))/SUMIF($KD$3:$KM$3,KK$60,$KD$4:$KM$4)))</f>
        <v>0</v>
      </c>
      <c r="KL91" s="196" t="n">
        <f aca="false">IF((SUMIF($KD$3:$KM$3,KL$60,$KD$4:$KM$4))=0,0,((SUMIF($KD$3:$KM$3,KL$60,$KD140:$KM140))/SUMIF($KD$3:$KM$3,KL$60,$KD$4:$KM$4)))</f>
        <v>0</v>
      </c>
      <c r="KM91" s="197" t="n">
        <f aca="false">IF((SUMIF($KD$3:$KM$3,KM$60,$KD$4:$KM$4))=0,0,((SUMIF($KD$3:$KM$3,KM$60,$KD140:$KM140))/SUMIF($KD$3:$KM$3,KM$60,$KD$4:$KM$4)))</f>
        <v>0</v>
      </c>
      <c r="KN91" s="194" t="str">
        <f aca="false">KC91</f>
        <v>Alumno30</v>
      </c>
      <c r="KO91" s="195" t="n">
        <f aca="false">IF((SUMIF($KO$3:$KX$3,KO$60,$KO$4:$KX$4))=0,0,((SUMIF($KO$3:$KX$3,KO$60,$KO140:$KX140))/SUMIF($KO$3:$KX$3,KO$60,$KO$4:$KX$4)))</f>
        <v>0</v>
      </c>
      <c r="KP91" s="196" t="n">
        <f aca="false">IF((SUMIF($KO$3:$KX$3,KP$60,$KO$4:$KX$4))=0,0,((SUMIF($KO$3:$KX$3,KP$60,$KO140:$KX140))/SUMIF($KO$3:$KX$3,KP$60,$KO$4:$KX$4)))</f>
        <v>0</v>
      </c>
      <c r="KQ91" s="196" t="n">
        <f aca="false">IF((SUMIF($KO$3:$KX$3,KQ$60,$KO$4:$KX$4))=0,0,((SUMIF($KO$3:$KX$3,KQ$60,$KO140:$KX140))/SUMIF($KO$3:$KX$3,KQ$60,$KO$4:$KX$4)))</f>
        <v>0</v>
      </c>
      <c r="KR91" s="196" t="n">
        <f aca="false">IF((SUMIF($KO$3:$KX$3,KR$60,$KO$4:$KX$4))=0,0,((SUMIF($KO$3:$KX$3,KR$60,$KO140:$KX140))/SUMIF($KO$3:$KX$3,KR$60,$KO$4:$KX$4)))</f>
        <v>0</v>
      </c>
      <c r="KS91" s="196" t="n">
        <f aca="false">IF((SUMIF($KO$3:$KX$3,KS$60,$KO$4:$KX$4))=0,0,((SUMIF($KO$3:$KX$3,KS$60,$KO140:$KX140))/SUMIF($KO$3:$KX$3,KS$60,$KO$4:$KX$4)))</f>
        <v>0</v>
      </c>
      <c r="KT91" s="196" t="n">
        <f aca="false">IF((SUMIF($KO$3:$KX$3,KT$60,$KO$4:$KX$4))=0,0,((SUMIF($KO$3:$KX$3,KT$60,$KO140:$KX140))/SUMIF($KO$3:$KX$3,KT$60,$KO$4:$KX$4)))</f>
        <v>0</v>
      </c>
      <c r="KU91" s="196" t="n">
        <f aca="false">IF((SUMIF($KO$3:$KX$3,KU$60,$KO$4:$KX$4))=0,0,((SUMIF($KO$3:$KX$3,KU$60,$KO140:$KX140))/SUMIF($KO$3:$KX$3,KU$60,$KO$4:$KX$4)))</f>
        <v>0</v>
      </c>
      <c r="KV91" s="196" t="n">
        <f aca="false">IF((SUMIF($KO$3:$KX$3,KV$60,$KO$4:$KX$4))=0,0,((SUMIF($KO$3:$KX$3,KV$60,$KO140:$KX140))/SUMIF($KO$3:$KX$3,KV$60,$KO$4:$KX$4)))</f>
        <v>0</v>
      </c>
      <c r="KW91" s="196" t="n">
        <f aca="false">IF((SUMIF($KO$3:$KX$3,KW$60,$KO$4:$KX$4))=0,0,((SUMIF($KO$3:$KX$3,KW$60,$KO140:$KX140))/SUMIF($KO$3:$KX$3,KW$60,$KO$4:$KX$4)))</f>
        <v>0</v>
      </c>
      <c r="KX91" s="197" t="n">
        <f aca="false">IF((SUMIF($KO$3:$KX$3,KX$60,$KO$4:$KX$4))=0,0,((SUMIF($KO$3:$KX$3,KX$60,$KO140:$KX140))/SUMIF($KO$3:$KX$3,KX$60,$KO$4:$KX$4)))</f>
        <v>0</v>
      </c>
      <c r="KY91" s="194" t="str">
        <f aca="false">KN91</f>
        <v>Alumno30</v>
      </c>
      <c r="KZ91" s="195" t="n">
        <f aca="false">IF((SUMIF($KZ$3:$LI$3,KZ$60,$KZ$4:$LI$4))=0,0,((SUMIF($KZ$3:$LI$3,KZ$60,$KZ140:$LI140))/SUMIF($KZ$3:$LI$3,KZ$60,$KZ$4:$LI$4)))</f>
        <v>0</v>
      </c>
      <c r="LA91" s="196" t="n">
        <f aca="false">IF((SUMIF($KZ$3:$LI$3,LA$60,$KZ$4:$LI$4))=0,0,((SUMIF($KZ$3:$LI$3,LA$60,$KZ140:$LI140))/SUMIF($KZ$3:$LI$3,LA$60,$KZ$4:$LI$4)))</f>
        <v>0</v>
      </c>
      <c r="LB91" s="196" t="n">
        <f aca="false">IF((SUMIF($KZ$3:$LI$3,LB$60,$KZ$4:$LI$4))=0,0,((SUMIF($KZ$3:$LI$3,LB$60,$KZ140:$LI140))/SUMIF($KZ$3:$LI$3,LB$60,$KZ$4:$LI$4)))</f>
        <v>0</v>
      </c>
      <c r="LC91" s="196" t="n">
        <f aca="false">IF((SUMIF($KZ$3:$LI$3,LC$60,$KZ$4:$LI$4))=0,0,((SUMIF($KZ$3:$LI$3,LC$60,$KZ140:$LI140))/SUMIF($KZ$3:$LI$3,LC$60,$KZ$4:$LI$4)))</f>
        <v>0</v>
      </c>
      <c r="LD91" s="196" t="n">
        <f aca="false">IF((SUMIF($KZ$3:$LI$3,LD$60,$KZ$4:$LI$4))=0,0,((SUMIF($KZ$3:$LI$3,LD$60,$KZ140:$LI140))/SUMIF($KZ$3:$LI$3,LD$60,$KZ$4:$LI$4)))</f>
        <v>0</v>
      </c>
      <c r="LE91" s="196" t="n">
        <f aca="false">IF((SUMIF($KZ$3:$LI$3,LE$60,$KZ$4:$LI$4))=0,0,((SUMIF($KZ$3:$LI$3,LE$60,$KZ140:$LI140))/SUMIF($KZ$3:$LI$3,LE$60,$KZ$4:$LI$4)))</f>
        <v>0</v>
      </c>
      <c r="LF91" s="196" t="n">
        <f aca="false">IF((SUMIF($KZ$3:$LI$3,LF$60,$KZ$4:$LI$4))=0,0,((SUMIF($KZ$3:$LI$3,LF$60,$KZ140:$LI140))/SUMIF($KZ$3:$LI$3,LF$60,$KZ$4:$LI$4)))</f>
        <v>0</v>
      </c>
      <c r="LG91" s="196" t="n">
        <f aca="false">IF((SUMIF($KZ$3:$LI$3,LG$60,$KZ$4:$LI$4))=0,0,((SUMIF($KZ$3:$LI$3,LG$60,$KZ140:$LI140))/SUMIF($KZ$3:$LI$3,LG$60,$KZ$4:$LI$4)))</f>
        <v>0</v>
      </c>
      <c r="LH91" s="196" t="n">
        <f aca="false">IF((SUMIF($KZ$3:$LI$3,LH$60,$KZ$4:$LI$4))=0,0,((SUMIF($KZ$3:$LI$3,LH$60,$KZ140:$LI140))/SUMIF($KZ$3:$LI$3,LH$60,$KZ$4:$LI$4)))</f>
        <v>0</v>
      </c>
      <c r="LI91" s="197" t="n">
        <f aca="false">IF((SUMIF($KZ$3:$LI$3,LI$60,$KZ$4:$LI$4))=0,0,((SUMIF($KZ$3:$LI$3,LI$60,$KZ140:$LI140))/SUMIF($KZ$3:$LI$3,LI$60,$KZ$4:$LI$4)))</f>
        <v>0</v>
      </c>
      <c r="LJ91" s="194" t="str">
        <f aca="false">KY91</f>
        <v>Alumno30</v>
      </c>
      <c r="LK91" s="195" t="n">
        <f aca="false">IF((SUMIF($LK$3:$LT$3,LK$60,$LK$4:$LT$4))=0,0,((SUMIF($LK$3:$LT$3,LK$60,$LK140:$LT140))/SUMIF($LK$3:$LT$3,LK$60,$LK$4:$LT$4)))</f>
        <v>0</v>
      </c>
      <c r="LL91" s="196" t="n">
        <f aca="false">IF((SUMIF($LK$3:$LT$3,LL$60,$LK$4:$LT$4))=0,0,((SUMIF($LK$3:$LT$3,LL$60,$LK140:$LT140))/SUMIF($LK$3:$LT$3,LL$60,$LK$4:$LT$4)))</f>
        <v>0</v>
      </c>
      <c r="LM91" s="196" t="n">
        <f aca="false">IF((SUMIF($LK$3:$LT$3,LM$60,$LK$4:$LT$4))=0,0,((SUMIF($LK$3:$LT$3,LM$60,$LK140:$LT140))/SUMIF($LK$3:$LT$3,LM$60,$LK$4:$LT$4)))</f>
        <v>0</v>
      </c>
      <c r="LN91" s="196" t="n">
        <f aca="false">IF((SUMIF($LK$3:$LT$3,LN$60,$LK$4:$LT$4))=0,0,((SUMIF($LK$3:$LT$3,LN$60,$LK140:$LT140))/SUMIF($LK$3:$LT$3,LN$60,$LK$4:$LT$4)))</f>
        <v>0</v>
      </c>
      <c r="LO91" s="196" t="n">
        <f aca="false">IF((SUMIF($LK$3:$LT$3,LO$60,$LK$4:$LT$4))=0,0,((SUMIF($LK$3:$LT$3,LO$60,$LK140:$LT140))/SUMIF($LK$3:$LT$3,LO$60,$LK$4:$LT$4)))</f>
        <v>0</v>
      </c>
      <c r="LP91" s="196" t="n">
        <f aca="false">IF((SUMIF($LK$3:$LT$3,LP$60,$LK$4:$LT$4))=0,0,((SUMIF($LK$3:$LT$3,LP$60,$LK140:$LT140))/SUMIF($LK$3:$LT$3,LP$60,$LK$4:$LT$4)))</f>
        <v>0</v>
      </c>
      <c r="LQ91" s="196" t="n">
        <f aca="false">IF((SUMIF($LK$3:$LT$3,LQ$60,$LK$4:$LT$4))=0,0,((SUMIF($LK$3:$LT$3,LQ$60,$LK140:$LT140))/SUMIF($LK$3:$LT$3,LQ$60,$LK$4:$LT$4)))</f>
        <v>0</v>
      </c>
      <c r="LR91" s="196" t="n">
        <f aca="false">IF((SUMIF($LK$3:$LT$3,LR$60,$LK$4:$LT$4))=0,0,((SUMIF($LK$3:$LT$3,LR$60,$LK140:$LT140))/SUMIF($LK$3:$LT$3,LR$60,$LK$4:$LT$4)))</f>
        <v>0</v>
      </c>
      <c r="LS91" s="196" t="n">
        <f aca="false">IF((SUMIF($LK$3:$LT$3,LS$60,$LK$4:$LT$4))=0,0,((SUMIF($LK$3:$LT$3,LS$60,$LK140:$LT140))/SUMIF($LK$3:$LT$3,LS$60,$LK$4:$LT$4)))</f>
        <v>0</v>
      </c>
      <c r="LT91" s="197" t="n">
        <f aca="false">IF((SUMIF($LK$3:$LT$3,LT$60,$LK$4:$LT$4))=0,0,((SUMIF($LK$3:$LT$3,LT$60,$LK140:$LT140))/SUMIF($LK$3:$LT$3,LT$60,$LK$4:$LT$4)))</f>
        <v>0</v>
      </c>
    </row>
    <row r="92" customFormat="false" ht="15" hidden="true" customHeight="false" outlineLevel="0" collapsed="false">
      <c r="C92" s="194" t="str">
        <f aca="false">B36</f>
        <v>Alumno31</v>
      </c>
      <c r="D92" s="198" t="n">
        <f aca="false">IF((SUMIF($D$3:$M$3,D$60,$D$4:$M$4))=0,0,((SUMIF($D$3:$M$3,D$60,$D141:$M141))/SUMIF($D$3:$M$3,D$60,$D$4:$M$4)))</f>
        <v>0</v>
      </c>
      <c r="E92" s="199" t="n">
        <f aca="false">IF((SUMIF($D$3:$M$3,E$60,$D$4:$M$4))=0,0,((SUMIF($D$3:$M$3,E$60,$D141:$M141))/SUMIF($D$3:$M$3,E$60,$D$4:$M$4)))</f>
        <v>0</v>
      </c>
      <c r="F92" s="199" t="n">
        <f aca="false">IF((SUMIF($D$3:$M$3,F$60,$D$4:$M$4))=0,0,((SUMIF($D$3:$M$3,F$60,$D141:$M141))/SUMIF($D$3:$M$3,F$60,$D$4:$M$4)))</f>
        <v>0</v>
      </c>
      <c r="G92" s="199" t="n">
        <f aca="false">IF((SUMIF($D$3:$M$3,G$60,$D$4:$M$4))=0,0,((SUMIF($D$3:$M$3,G$60,$D141:$M141))/SUMIF($D$3:$M$3,G$60,$D$4:$M$4)))</f>
        <v>0</v>
      </c>
      <c r="H92" s="199" t="n">
        <f aca="false">IF((SUMIF($D$3:$M$3,H$60,$D$4:$M$4))=0,0,((SUMIF($D$3:$M$3,H$60,$D141:$M141))/SUMIF($D$3:$M$3,H$60,$D$4:$M$4)))</f>
        <v>0</v>
      </c>
      <c r="I92" s="199" t="n">
        <f aca="false">IF((SUMIF($D$3:$M$3,I$60,$D$4:$M$4))=0,0,((SUMIF($D$3:$M$3,I$60,$D141:$M141))/SUMIF($D$3:$M$3,I$60,$D$4:$M$4)))</f>
        <v>0</v>
      </c>
      <c r="J92" s="199" t="n">
        <f aca="false">IF((SUMIF($D$3:$M$3,J$60,$D$4:$M$4))=0,0,((SUMIF($D$3:$M$3,J$60,$D141:$M141))/SUMIF($D$3:$M$3,J$60,$D$4:$M$4)))</f>
        <v>0</v>
      </c>
      <c r="K92" s="199" t="n">
        <f aca="false">IF((SUMIF($D$3:$M$3,K$60,$D$4:$M$4))=0,0,((SUMIF($D$3:$M$3,K$60,$D141:$M141))/SUMIF($D$3:$M$3,K$60,$D$4:$M$4)))</f>
        <v>0</v>
      </c>
      <c r="L92" s="199" t="n">
        <f aca="false">IF((SUMIF($D$3:$M$3,L$60,$D$4:$M$4))=0,0,((SUMIF($D$3:$M$3,L$60,$D141:$M141))/SUMIF($D$3:$M$3,L$60,$D$4:$M$4)))</f>
        <v>0</v>
      </c>
      <c r="M92" s="200" t="n">
        <f aca="false">IF((SUMIF($D$3:$M$3,M$60,$D$4:$M$4))=0,0,((SUMIF($D$3:$M$3,M$60,$D141:$M141))/SUMIF($D$3:$M$3,M$60,$D$4:$M$4)))</f>
        <v>0</v>
      </c>
      <c r="N92" s="194" t="str">
        <f aca="false">C92</f>
        <v>Alumno31</v>
      </c>
      <c r="O92" s="198" t="n">
        <f aca="false">IF((SUMIF($O$3:$X$3,O$60,$O$4:$X$4))=0,0,((SUMIF($O$3:$X$3,O$60,$O141:$X141))/SUMIF($O$3:$X$3,O$60,$O$4:$X$4)))</f>
        <v>0</v>
      </c>
      <c r="P92" s="199" t="n">
        <f aca="false">IF((SUMIF($O$3:$X$3,P$60,$O$4:$X$4))=0,0,((SUMIF($O$3:$X$3,P$60,$O141:$X141))/SUMIF($O$3:$X$3,P$60,$O$4:$X$4)))</f>
        <v>0</v>
      </c>
      <c r="Q92" s="199" t="n">
        <f aca="false">IF((SUMIF($O$3:$X$3,Q$60,$O$4:$X$4))=0,0,((SUMIF($O$3:$X$3,Q$60,$O141:$X141))/SUMIF($O$3:$X$3,Q$60,$O$4:$X$4)))</f>
        <v>0</v>
      </c>
      <c r="R92" s="199" t="n">
        <f aca="false">IF((SUMIF($O$3:$X$3,R$60,$O$4:$X$4))=0,0,((SUMIF($O$3:$X$3,R$60,$O141:$X141))/SUMIF($O$3:$X$3,R$60,$O$4:$X$4)))</f>
        <v>0</v>
      </c>
      <c r="S92" s="199" t="n">
        <f aca="false">IF((SUMIF($O$3:$X$3,S$60,$O$4:$X$4))=0,0,((SUMIF($O$3:$X$3,S$60,$O141:$X141))/SUMIF($O$3:$X$3,S$60,$O$4:$X$4)))</f>
        <v>0</v>
      </c>
      <c r="T92" s="199" t="n">
        <f aca="false">IF((SUMIF($O$3:$X$3,T$60,$O$4:$X$4))=0,0,((SUMIF($O$3:$X$3,T$60,$O141:$X141))/SUMIF($O$3:$X$3,T$60,$O$4:$X$4)))</f>
        <v>0</v>
      </c>
      <c r="U92" s="199" t="n">
        <f aca="false">IF((SUMIF($O$3:$X$3,U$60,$O$4:$X$4))=0,0,((SUMIF($O$3:$X$3,U$60,$O141:$X141))/SUMIF($O$3:$X$3,U$60,$O$4:$X$4)))</f>
        <v>0</v>
      </c>
      <c r="V92" s="199" t="n">
        <f aca="false">IF((SUMIF($O$3:$X$3,V$60,$O$4:$X$4))=0,0,((SUMIF($O$3:$X$3,V$60,$O141:$X141))/SUMIF($O$3:$X$3,V$60,$O$4:$X$4)))</f>
        <v>0</v>
      </c>
      <c r="W92" s="199" t="n">
        <f aca="false">IF((SUMIF($O$3:$X$3,W$60,$O$4:$X$4))=0,0,((SUMIF($O$3:$X$3,W$60,$O141:$X141))/SUMIF($O$3:$X$3,W$60,$O$4:$X$4)))</f>
        <v>0</v>
      </c>
      <c r="X92" s="200" t="n">
        <f aca="false">IF((SUMIF($O$3:$X$3,X$60,$O$4:$X$4))=0,0,((SUMIF($O$3:$X$3,X$60,$O141:$X141))/SUMIF($O$3:$X$3,X$60,$O$4:$X$4)))</f>
        <v>0</v>
      </c>
      <c r="Y92" s="194" t="str">
        <f aca="false">N92</f>
        <v>Alumno31</v>
      </c>
      <c r="Z92" s="198" t="n">
        <f aca="false">IF((SUMIF($Z$3:$AI$3,Z$60,$Z$4:$AI$4))=0,0,((SUMIF($Z$3:$AI$3,Z$60,$Z141:$AI141))/SUMIF($Z$3:$AI$3,Z$60,$Z$4:$AI$4)))</f>
        <v>0</v>
      </c>
      <c r="AA92" s="199" t="n">
        <f aca="false">IF((SUMIF($Z$3:$AI$3,AA$60,$Z$4:$AI$4))=0,0,((SUMIF($Z$3:$AI$3,AA$60,$Z141:$AI141))/SUMIF($Z$3:$AI$3,AA$60,$Z$4:$AI$4)))</f>
        <v>0</v>
      </c>
      <c r="AB92" s="199" t="n">
        <f aca="false">IF((SUMIF($Z$3:$AI$3,AB$60,$Z$4:$AI$4))=0,0,((SUMIF($Z$3:$AI$3,AB$60,$Z141:$AI141))/SUMIF($Z$3:$AI$3,AB$60,$Z$4:$AI$4)))</f>
        <v>0</v>
      </c>
      <c r="AC92" s="199" t="n">
        <f aca="false">IF((SUMIF($Z$3:$AI$3,AC$60,$Z$4:$AI$4))=0,0,((SUMIF($Z$3:$AI$3,AC$60,$Z141:$AI141))/SUMIF($Z$3:$AI$3,AC$60,$Z$4:$AI$4)))</f>
        <v>0</v>
      </c>
      <c r="AD92" s="199" t="n">
        <f aca="false">IF((SUMIF($Z$3:$AI$3,AD$60,$Z$4:$AI$4))=0,0,((SUMIF($Z$3:$AI$3,AD$60,$Z141:$AI141))/SUMIF($Z$3:$AI$3,AD$60,$Z$4:$AI$4)))</f>
        <v>0</v>
      </c>
      <c r="AE92" s="199" t="n">
        <f aca="false">IF((SUMIF($Z$3:$AI$3,AE$60,$Z$4:$AI$4))=0,0,((SUMIF($Z$3:$AI$3,AE$60,$Z141:$AI141))/SUMIF($Z$3:$AI$3,AE$60,$Z$4:$AI$4)))</f>
        <v>0</v>
      </c>
      <c r="AF92" s="199" t="n">
        <f aca="false">IF((SUMIF($Z$3:$AI$3,AF$60,$Z$4:$AI$4))=0,0,((SUMIF($Z$3:$AI$3,AF$60,$Z141:$AI141))/SUMIF($Z$3:$AI$3,AF$60,$Z$4:$AI$4)))</f>
        <v>0</v>
      </c>
      <c r="AG92" s="199" t="n">
        <f aca="false">IF((SUMIF($Z$3:$AI$3,AG$60,$Z$4:$AI$4))=0,0,((SUMIF($Z$3:$AI$3,AG$60,$Z141:$AI141))/SUMIF($Z$3:$AI$3,AG$60,$Z$4:$AI$4)))</f>
        <v>0</v>
      </c>
      <c r="AH92" s="199" t="n">
        <f aca="false">IF((SUMIF($Z$3:$AI$3,AH$60,$Z$4:$AI$4))=0,0,((SUMIF($Z$3:$AI$3,AH$60,$Z141:$AI141))/SUMIF($Z$3:$AI$3,AH$60,$Z$4:$AI$4)))</f>
        <v>0</v>
      </c>
      <c r="AI92" s="200" t="n">
        <f aca="false">IF((SUMIF($Z$3:$AI$3,AI$60,$Z$4:$AI$4))=0,0,((SUMIF($Z$3:$AI$3,AI$60,$Z141:$AI141))/SUMIF($Z$3:$AI$3,AI$60,$Z$4:$AI$4)))</f>
        <v>0</v>
      </c>
      <c r="AJ92" s="194" t="str">
        <f aca="false">Y92</f>
        <v>Alumno31</v>
      </c>
      <c r="AK92" s="198" t="n">
        <f aca="false">IF((SUMIF($AK$3:$AT$3,AK$60,$AK$4:$AT$4))=0,0,((SUMIF($AK$3:$AT$3,AK$60,$AK141:$AT141))/SUMIF($AK$3:$AT$3,AK$60,$AK$4:$AT$4)))</f>
        <v>0</v>
      </c>
      <c r="AL92" s="199" t="n">
        <f aca="false">IF((SUMIF($AK$3:$AT$3,AL$60,$AK$4:$AT$4))=0,0,((SUMIF($AK$3:$AT$3,AL$60,$AK141:$AT141))/SUMIF($AK$3:$AT$3,AL$60,$AK$4:$AT$4)))</f>
        <v>0</v>
      </c>
      <c r="AM92" s="199" t="n">
        <f aca="false">IF((SUMIF($AK$3:$AT$3,AM$60,$AK$4:$AT$4))=0,0,((SUMIF($AK$3:$AT$3,AM$60,$AK141:$AT141))/SUMIF($AK$3:$AT$3,AM$60,$AK$4:$AT$4)))</f>
        <v>0</v>
      </c>
      <c r="AN92" s="199" t="n">
        <f aca="false">IF((SUMIF($AK$3:$AT$3,AN$60,$AK$4:$AT$4))=0,0,((SUMIF($AK$3:$AT$3,AN$60,$AK141:$AT141))/SUMIF($AK$3:$AT$3,AN$60,$AK$4:$AT$4)))</f>
        <v>0</v>
      </c>
      <c r="AO92" s="199" t="n">
        <f aca="false">IF((SUMIF($AK$3:$AT$3,AO$60,$AK$4:$AT$4))=0,0,((SUMIF($AK$3:$AT$3,AO$60,$AK141:$AT141))/SUMIF($AK$3:$AT$3,AO$60,$AK$4:$AT$4)))</f>
        <v>0</v>
      </c>
      <c r="AP92" s="199" t="n">
        <f aca="false">IF((SUMIF($AK$3:$AT$3,AP$60,$AK$4:$AT$4))=0,0,((SUMIF($AK$3:$AT$3,AP$60,$AK141:$AT141))/SUMIF($AK$3:$AT$3,AP$60,$AK$4:$AT$4)))</f>
        <v>0</v>
      </c>
      <c r="AQ92" s="199" t="n">
        <f aca="false">IF((SUMIF($AK$3:$AT$3,AQ$60,$AK$4:$AT$4))=0,0,((SUMIF($AK$3:$AT$3,AQ$60,$AK141:$AT141))/SUMIF($AK$3:$AT$3,AQ$60,$AK$4:$AT$4)))</f>
        <v>0</v>
      </c>
      <c r="AR92" s="199" t="n">
        <f aca="false">IF((SUMIF($AK$3:$AT$3,AR$60,$AK$4:$AT$4))=0,0,((SUMIF($AK$3:$AT$3,AR$60,$AK141:$AT141))/SUMIF($AK$3:$AT$3,AR$60,$AK$4:$AT$4)))</f>
        <v>0</v>
      </c>
      <c r="AS92" s="199" t="n">
        <f aca="false">IF((SUMIF($AK$3:$AT$3,AS$60,$AK$4:$AT$4))=0,0,((SUMIF($AK$3:$AT$3,AS$60,$AK141:$AT141))/SUMIF($AK$3:$AT$3,AS$60,$AK$4:$AT$4)))</f>
        <v>0</v>
      </c>
      <c r="AT92" s="200" t="n">
        <f aca="false">IF((SUMIF($AK$3:$AT$3,AT$60,$AK$4:$AT$4))=0,0,((SUMIF($AK$3:$AT$3,AT$60,$AK141:$AT141))/SUMIF($AK$3:$AT$3,AT$60,$AK$4:$AT$4)))</f>
        <v>0</v>
      </c>
      <c r="AU92" s="194" t="str">
        <f aca="false">AJ92</f>
        <v>Alumno31</v>
      </c>
      <c r="AV92" s="198" t="n">
        <f aca="false">IF((SUMIF($AV$3:$BE$3,AV$60,$AV$4:$BE$4))=0,0,((SUMIF($AV$3:$BE$3,AV$60,$AV141:$BE141))/SUMIF($AV$3:$BE$3,AV$60,$AV$4:$BE$4)))</f>
        <v>0</v>
      </c>
      <c r="AW92" s="199" t="n">
        <f aca="false">IF((SUMIF($AV$3:$BE$3,AW$60,$AV$4:$BE$4))=0,0,((SUMIF($AV$3:$BE$3,AW$60,$AV141:$BE141))/SUMIF($AV$3:$BE$3,AW$60,$AV$4:$BE$4)))</f>
        <v>0</v>
      </c>
      <c r="AX92" s="199" t="n">
        <f aca="false">IF((SUMIF($AV$3:$BE$3,AX$60,$AV$4:$BE$4))=0,0,((SUMIF($AV$3:$BE$3,AX$60,$AV141:$BE141))/SUMIF($AV$3:$BE$3,AX$60,$AV$4:$BE$4)))</f>
        <v>0</v>
      </c>
      <c r="AY92" s="199" t="n">
        <f aca="false">IF((SUMIF($AV$3:$BE$3,AY$60,$AV$4:$BE$4))=0,0,((SUMIF($AV$3:$BE$3,AY$60,$AV141:$BE141))/SUMIF($AV$3:$BE$3,AY$60,$AV$4:$BE$4)))</f>
        <v>0</v>
      </c>
      <c r="AZ92" s="199" t="n">
        <f aca="false">IF((SUMIF($AV$3:$BE$3,AZ$60,$AV$4:$BE$4))=0,0,((SUMIF($AV$3:$BE$3,AZ$60,$AV141:$BE141))/SUMIF($AV$3:$BE$3,AZ$60,$AV$4:$BE$4)))</f>
        <v>0</v>
      </c>
      <c r="BA92" s="199" t="n">
        <f aca="false">IF((SUMIF($AV$3:$BE$3,BA$60,$AV$4:$BE$4))=0,0,((SUMIF($AV$3:$BE$3,BA$60,$AV141:$BE141))/SUMIF($AV$3:$BE$3,BA$60,$AV$4:$BE$4)))</f>
        <v>0</v>
      </c>
      <c r="BB92" s="199" t="n">
        <f aca="false">IF((SUMIF($AV$3:$BE$3,BB$60,$AV$4:$BE$4))=0,0,((SUMIF($AV$3:$BE$3,BB$60,$AV141:$BE141))/SUMIF($AV$3:$BE$3,BB$60,$AV$4:$BE$4)))</f>
        <v>0</v>
      </c>
      <c r="BC92" s="199" t="n">
        <f aca="false">IF((SUMIF($AV$3:$BE$3,BC$60,$AV$4:$BE$4))=0,0,((SUMIF($AV$3:$BE$3,BC$60,$AV141:$BE141))/SUMIF($AV$3:$BE$3,BC$60,$AV$4:$BE$4)))</f>
        <v>0</v>
      </c>
      <c r="BD92" s="199" t="n">
        <f aca="false">IF((SUMIF($AV$3:$BE$3,BD$60,$AV$4:$BE$4))=0,0,((SUMIF($AV$3:$BE$3,BD$60,$AV141:$BE141))/SUMIF($AV$3:$BE$3,BD$60,$AV$4:$BE$4)))</f>
        <v>0</v>
      </c>
      <c r="BE92" s="200" t="n">
        <f aca="false">IF((SUMIF($AV$3:$BE$3,BE$60,$AV$4:$BE$4))=0,0,((SUMIF($AV$3:$BE$3,BE$60,$AV141:$BE141))/SUMIF($AV$3:$BE$3,BE$60,$AV$4:$BE$4)))</f>
        <v>0</v>
      </c>
      <c r="BF92" s="194" t="str">
        <f aca="false">AU92</f>
        <v>Alumno31</v>
      </c>
      <c r="BG92" s="198" t="n">
        <f aca="false">IF((SUMIF($BG$3:$BP$3,BG$60,$BG$4:$BP$4))=0,0,((SUMIF($BG$3:$BP$3,BG$60,$BG141:$BP141))/SUMIF($BG$3:$BP$3,BG$60,$BG$4:$BP$4)))</f>
        <v>0</v>
      </c>
      <c r="BH92" s="199" t="n">
        <f aca="false">IF((SUMIF($BG$3:$BP$3,BH$60,$BG$4:$BP$4))=0,0,((SUMIF($BG$3:$BP$3,BH$60,$BG141:$BP141))/SUMIF($BG$3:$BP$3,BH$60,$BG$4:$BP$4)))</f>
        <v>0</v>
      </c>
      <c r="BI92" s="199" t="n">
        <f aca="false">IF((SUMIF($BG$3:$BP$3,BI$60,$BG$4:$BP$4))=0,0,((SUMIF($BG$3:$BP$3,BI$60,$BG141:$BP141))/SUMIF($BG$3:$BP$3,BI$60,$BG$4:$BP$4)))</f>
        <v>0</v>
      </c>
      <c r="BJ92" s="199" t="n">
        <f aca="false">IF((SUMIF($BG$3:$BP$3,BJ$60,$BG$4:$BP$4))=0,0,((SUMIF($BG$3:$BP$3,BJ$60,$BG141:$BP141))/SUMIF($BG$3:$BP$3,BJ$60,$BG$4:$BP$4)))</f>
        <v>0</v>
      </c>
      <c r="BK92" s="199" t="n">
        <f aca="false">IF((SUMIF($BG$3:$BP$3,BK$60,$BG$4:$BP$4))=0,0,((SUMIF($BG$3:$BP$3,BK$60,$BG141:$BP141))/SUMIF($BG$3:$BP$3,BK$60,$BG$4:$BP$4)))</f>
        <v>0</v>
      </c>
      <c r="BL92" s="199" t="n">
        <f aca="false">IF((SUMIF($BG$3:$BP$3,BL$60,$BG$4:$BP$4))=0,0,((SUMIF($BG$3:$BP$3,BL$60,$BG141:$BP141))/SUMIF($BG$3:$BP$3,BL$60,$BG$4:$BP$4)))</f>
        <v>0</v>
      </c>
      <c r="BM92" s="199" t="n">
        <f aca="false">IF((SUMIF($BG$3:$BP$3,BM$60,$BG$4:$BP$4))=0,0,((SUMIF($BG$3:$BP$3,BM$60,$BG141:$BP141))/SUMIF($BG$3:$BP$3,BM$60,$BG$4:$BP$4)))</f>
        <v>0</v>
      </c>
      <c r="BN92" s="199" t="n">
        <f aca="false">IF((SUMIF($BG$3:$BP$3,BN$60,$BG$4:$BP$4))=0,0,((SUMIF($BG$3:$BP$3,BN$60,$BG141:$BP141))/SUMIF($BG$3:$BP$3,BN$60,$BG$4:$BP$4)))</f>
        <v>0</v>
      </c>
      <c r="BO92" s="199" t="n">
        <f aca="false">IF((SUMIF($BG$3:$BP$3,BO$60,$BG$4:$BP$4))=0,0,((SUMIF($BG$3:$BP$3,BO$60,$BG141:$BP141))/SUMIF($BG$3:$BP$3,BO$60,$BG$4:$BP$4)))</f>
        <v>0</v>
      </c>
      <c r="BP92" s="200" t="n">
        <f aca="false">IF((SUMIF($BG$3:$BP$3,BP$60,$BG$4:$BP$4))=0,0,((SUMIF($BG$3:$BP$3,BP$60,$BG141:$BP141))/SUMIF($BG$3:$BP$3,BP$60,$BG$4:$BP$4)))</f>
        <v>0</v>
      </c>
      <c r="BQ92" s="194" t="str">
        <f aca="false">BF92</f>
        <v>Alumno31</v>
      </c>
      <c r="BR92" s="198" t="n">
        <f aca="false">IF((SUMIF($BR$3:$CA$3,BR$60,$BR$4:$CA$4))=0,0,((SUMIF($BR$3:$CA$3,BR$60,$BR141:$CA141))/SUMIF($BR$3:$CA$3,BR$60,$BR$4:$CA$4)))</f>
        <v>0</v>
      </c>
      <c r="BS92" s="199" t="n">
        <f aca="false">IF((SUMIF($BR$3:$CA$3,BS$60,$BR$4:$CA$4))=0,0,((SUMIF($BR$3:$CA$3,BS$60,$BR141:$CA141))/SUMIF($BR$3:$CA$3,BS$60,$BR$4:$CA$4)))</f>
        <v>0</v>
      </c>
      <c r="BT92" s="199" t="n">
        <f aca="false">IF((SUMIF($BR$3:$CA$3,BT$60,$BR$4:$CA$4))=0,0,((SUMIF($BR$3:$CA$3,BT$60,$BR141:$CA141))/SUMIF($BR$3:$CA$3,BT$60,$BR$4:$CA$4)))</f>
        <v>0</v>
      </c>
      <c r="BU92" s="199" t="n">
        <f aca="false">IF((SUMIF($BR$3:$CA$3,BU$60,$BR$4:$CA$4))=0,0,((SUMIF($BR$3:$CA$3,BU$60,$BR141:$CA141))/SUMIF($BR$3:$CA$3,BU$60,$BR$4:$CA$4)))</f>
        <v>0</v>
      </c>
      <c r="BV92" s="199" t="n">
        <f aca="false">IF((SUMIF($BR$3:$CA$3,BV$60,$BR$4:$CA$4))=0,0,((SUMIF($BR$3:$CA$3,BV$60,$BR141:$CA141))/SUMIF($BR$3:$CA$3,BV$60,$BR$4:$CA$4)))</f>
        <v>0</v>
      </c>
      <c r="BW92" s="199" t="n">
        <f aca="false">IF((SUMIF($BR$3:$CA$3,BW$60,$BR$4:$CA$4))=0,0,((SUMIF($BR$3:$CA$3,BW$60,$BR141:$CA141))/SUMIF($BR$3:$CA$3,BW$60,$BR$4:$CA$4)))</f>
        <v>0</v>
      </c>
      <c r="BX92" s="199" t="n">
        <f aca="false">IF((SUMIF($BR$3:$CA$3,BX$60,$BR$4:$CA$4))=0,0,((SUMIF($BR$3:$CA$3,BX$60,$BR141:$CA141))/SUMIF($BR$3:$CA$3,BX$60,$BR$4:$CA$4)))</f>
        <v>0</v>
      </c>
      <c r="BY92" s="199" t="n">
        <f aca="false">IF((SUMIF($BR$3:$CA$3,BY$60,$BR$4:$CA$4))=0,0,((SUMIF($BR$3:$CA$3,BY$60,$BR141:$CA141))/SUMIF($BR$3:$CA$3,BY$60,$BR$4:$CA$4)))</f>
        <v>0</v>
      </c>
      <c r="BZ92" s="199" t="n">
        <f aca="false">IF((SUMIF($BR$3:$CA$3,BZ$60,$BR$4:$CA$4))=0,0,((SUMIF($BR$3:$CA$3,BZ$60,$BR141:$CA141))/SUMIF($BR$3:$CA$3,BZ$60,$BR$4:$CA$4)))</f>
        <v>0</v>
      </c>
      <c r="CA92" s="200" t="n">
        <f aca="false">IF((SUMIF($BR$3:$CA$3,CA$60,$BR$4:$CA$4))=0,0,((SUMIF($BR$3:$CA$3,CA$60,$BR141:$CA141))/SUMIF($BR$3:$CA$3,CA$60,$BR$4:$CA$4)))</f>
        <v>0</v>
      </c>
      <c r="CB92" s="194" t="str">
        <f aca="false">BQ92</f>
        <v>Alumno31</v>
      </c>
      <c r="CC92" s="198" t="n">
        <f aca="false">IF((SUMIF($CC$3:$CL$3,CC$60,$CC$4:$CL$4))=0,0,((SUMIF($CC$3:$CL$3,CC$60,$CC141:$CL141))/SUMIF($CC$3:$CL$3,CC$60,$CC$4:$CL$4)))</f>
        <v>0</v>
      </c>
      <c r="CD92" s="199" t="n">
        <f aca="false">IF((SUMIF($CC$3:$CL$3,CD$60,$CC$4:$CL$4))=0,0,((SUMIF($CC$3:$CL$3,CD$60,$CC141:$CL141))/SUMIF($CC$3:$CL$3,CD$60,$CC$4:$CL$4)))</f>
        <v>0</v>
      </c>
      <c r="CE92" s="199" t="n">
        <f aca="false">IF((SUMIF($CC$3:$CL$3,CE$60,$CC$4:$CL$4))=0,0,((SUMIF($CC$3:$CL$3,CE$60,$CC141:$CL141))/SUMIF($CC$3:$CL$3,CE$60,$CC$4:$CL$4)))</f>
        <v>0</v>
      </c>
      <c r="CF92" s="199" t="n">
        <f aca="false">IF((SUMIF($CC$3:$CL$3,CF$60,$CC$4:$CL$4))=0,0,((SUMIF($CC$3:$CL$3,CF$60,$CC141:$CL141))/SUMIF($CC$3:$CL$3,CF$60,$CC$4:$CL$4)))</f>
        <v>0</v>
      </c>
      <c r="CG92" s="199" t="n">
        <f aca="false">IF((SUMIF($CC$3:$CL$3,CG$60,$CC$4:$CL$4))=0,0,((SUMIF($CC$3:$CL$3,CG$60,$CC141:$CL141))/SUMIF($CC$3:$CL$3,CG$60,$CC$4:$CL$4)))</f>
        <v>0</v>
      </c>
      <c r="CH92" s="199" t="n">
        <f aca="false">IF((SUMIF($CC$3:$CL$3,CH$60,$CC$4:$CL$4))=0,0,((SUMIF($CC$3:$CL$3,CH$60,$CC141:$CL141))/SUMIF($CC$3:$CL$3,CH$60,$CC$4:$CL$4)))</f>
        <v>0</v>
      </c>
      <c r="CI92" s="199" t="n">
        <f aca="false">IF((SUMIF($CC$3:$CL$3,CI$60,$CC$4:$CL$4))=0,0,((SUMIF($CC$3:$CL$3,CI$60,$CC141:$CL141))/SUMIF($CC$3:$CL$3,CI$60,$CC$4:$CL$4)))</f>
        <v>0</v>
      </c>
      <c r="CJ92" s="199" t="n">
        <f aca="false">IF((SUMIF($CC$3:$CL$3,CJ$60,$CC$4:$CL$4))=0,0,((SUMIF($CC$3:$CL$3,CJ$60,$CC141:$CL141))/SUMIF($CC$3:$CL$3,CJ$60,$CC$4:$CL$4)))</f>
        <v>0</v>
      </c>
      <c r="CK92" s="199" t="n">
        <f aca="false">IF((SUMIF($CC$3:$CL$3,CK$60,$CC$4:$CL$4))=0,0,((SUMIF($CC$3:$CL$3,CK$60,$CC141:$CL141))/SUMIF($CC$3:$CL$3,CK$60,$CC$4:$CL$4)))</f>
        <v>0</v>
      </c>
      <c r="CL92" s="200" t="n">
        <f aca="false">IF((SUMIF($CC$3:$CL$3,CL$60,$CC$4:$CL$4))=0,0,((SUMIF($CC$3:$CL$3,CL$60,$CC141:$CL141))/SUMIF($CC$3:$CL$3,CL$60,$CC$4:$CL$4)))</f>
        <v>0</v>
      </c>
      <c r="CM92" s="194" t="str">
        <f aca="false">CB92</f>
        <v>Alumno31</v>
      </c>
      <c r="CN92" s="198" t="n">
        <f aca="false">IF((SUMIF($CN$3:$CW$3,CN$60,$CN$4:$CW$4))=0,0,((SUMIF($CN$3:$CW$3,CN$60,$CN141:$CW141))/SUMIF($CN$3:$CW$3,CN$60,$CN$4:$CW$4)))</f>
        <v>0</v>
      </c>
      <c r="CO92" s="199" t="n">
        <f aca="false">IF((SUMIF($CN$3:$CW$3,CO$60,$CN$4:$CW$4))=0,0,((SUMIF($CN$3:$CW$3,CO$60,$CN141:$CW141))/SUMIF($CN$3:$CW$3,CO$60,$CN$4:$CW$4)))</f>
        <v>0</v>
      </c>
      <c r="CP92" s="199" t="n">
        <f aca="false">IF((SUMIF($CN$3:$CW$3,CP$60,$CN$4:$CW$4))=0,0,((SUMIF($CN$3:$CW$3,CP$60,$CN141:$CW141))/SUMIF($CN$3:$CW$3,CP$60,$CN$4:$CW$4)))</f>
        <v>0</v>
      </c>
      <c r="CQ92" s="199" t="n">
        <f aca="false">IF((SUMIF($CN$3:$CW$3,CQ$60,$CN$4:$CW$4))=0,0,((SUMIF($CN$3:$CW$3,CQ$60,$CN141:$CW141))/SUMIF($CN$3:$CW$3,CQ$60,$CN$4:$CW$4)))</f>
        <v>0</v>
      </c>
      <c r="CR92" s="199" t="n">
        <f aca="false">IF((SUMIF($CN$3:$CW$3,CR$60,$CN$4:$CW$4))=0,0,((SUMIF($CN$3:$CW$3,CR$60,$CN141:$CW141))/SUMIF($CN$3:$CW$3,CR$60,$CN$4:$CW$4)))</f>
        <v>0</v>
      </c>
      <c r="CS92" s="199" t="n">
        <f aca="false">IF((SUMIF($CN$3:$CW$3,CS$60,$CN$4:$CW$4))=0,0,((SUMIF($CN$3:$CW$3,CS$60,$CN141:$CW141))/SUMIF($CN$3:$CW$3,CS$60,$CN$4:$CW$4)))</f>
        <v>0</v>
      </c>
      <c r="CT92" s="199" t="n">
        <f aca="false">IF((SUMIF($CN$3:$CW$3,CT$60,$CN$4:$CW$4))=0,0,((SUMIF($CN$3:$CW$3,CT$60,$CN141:$CW141))/SUMIF($CN$3:$CW$3,CT$60,$CN$4:$CW$4)))</f>
        <v>0</v>
      </c>
      <c r="CU92" s="199" t="n">
        <f aca="false">IF((SUMIF($CN$3:$CW$3,CU$60,$CN$4:$CW$4))=0,0,((SUMIF($CN$3:$CW$3,CU$60,$CN141:$CW141))/SUMIF($CN$3:$CW$3,CU$60,$CN$4:$CW$4)))</f>
        <v>0</v>
      </c>
      <c r="CV92" s="199" t="n">
        <f aca="false">IF((SUMIF($CN$3:$CW$3,CV$60,$CN$4:$CW$4))=0,0,((SUMIF($CN$3:$CW$3,CV$60,$CN141:$CW141))/SUMIF($CN$3:$CW$3,CV$60,$CN$4:$CW$4)))</f>
        <v>0</v>
      </c>
      <c r="CW92" s="200" t="n">
        <f aca="false">IF((SUMIF($CN$3:$CW$3,CW$60,$CN$4:$CW$4))=0,0,((SUMIF($CN$3:$CW$3,CW$60,$CN141:$CW141))/SUMIF($CN$3:$CW$3,CW$60,$CN$4:$CW$4)))</f>
        <v>0</v>
      </c>
      <c r="CX92" s="194" t="str">
        <f aca="false">CM92</f>
        <v>Alumno31</v>
      </c>
      <c r="CY92" s="198" t="n">
        <f aca="false">IF((SUMIF($CY$3:$DH$3,CY$60,$CY$4:$DH$4))=0,0,((SUMIF($CY$3:$DH$3,CY$60,$CY141:$DH141))/SUMIF($CY$3:$DH$3,CY$60,$CY$4:$DH$4)))</f>
        <v>0</v>
      </c>
      <c r="CZ92" s="199" t="n">
        <f aca="false">IF((SUMIF($CY$3:$DH$3,CZ$60,$CY$4:$DH$4))=0,0,((SUMIF($CY$3:$DH$3,CZ$60,$CY141:$DH141))/SUMIF($CY$3:$DH$3,CZ$60,$CY$4:$DH$4)))</f>
        <v>0</v>
      </c>
      <c r="DA92" s="199" t="n">
        <f aca="false">IF((SUMIF($CY$3:$DH$3,DA$60,$CY$4:$DH$4))=0,0,((SUMIF($CY$3:$DH$3,DA$60,$CY141:$DH141))/SUMIF($CY$3:$DH$3,DA$60,$CY$4:$DH$4)))</f>
        <v>0</v>
      </c>
      <c r="DB92" s="199" t="n">
        <f aca="false">IF((SUMIF($CY$3:$DH$3,DB$60,$CY$4:$DH$4))=0,0,((SUMIF($CY$3:$DH$3,DB$60,$CY141:$DH141))/SUMIF($CY$3:$DH$3,DB$60,$CY$4:$DH$4)))</f>
        <v>0</v>
      </c>
      <c r="DC92" s="199" t="n">
        <f aca="false">IF((SUMIF($CY$3:$DH$3,DC$60,$CY$4:$DH$4))=0,0,((SUMIF($CY$3:$DH$3,DC$60,$CY141:$DH141))/SUMIF($CY$3:$DH$3,DC$60,$CY$4:$DH$4)))</f>
        <v>0</v>
      </c>
      <c r="DD92" s="199" t="n">
        <f aca="false">IF((SUMIF($CY$3:$DH$3,DD$60,$CY$4:$DH$4))=0,0,((SUMIF($CY$3:$DH$3,DD$60,$CY141:$DH141))/SUMIF($CY$3:$DH$3,DD$60,$CY$4:$DH$4)))</f>
        <v>0</v>
      </c>
      <c r="DE92" s="199" t="n">
        <f aca="false">IF((SUMIF($CY$3:$DH$3,DE$60,$CY$4:$DH$4))=0,0,((SUMIF($CY$3:$DH$3,DE$60,$CY141:$DH141))/SUMIF($CY$3:$DH$3,DE$60,$CY$4:$DH$4)))</f>
        <v>0</v>
      </c>
      <c r="DF92" s="199" t="n">
        <f aca="false">IF((SUMIF($CY$3:$DH$3,DF$60,$CY$4:$DH$4))=0,0,((SUMIF($CY$3:$DH$3,DF$60,$CY141:$DH141))/SUMIF($CY$3:$DH$3,DF$60,$CY$4:$DH$4)))</f>
        <v>0</v>
      </c>
      <c r="DG92" s="199" t="n">
        <f aca="false">IF((SUMIF($CY$3:$DH$3,DG$60,$CY$4:$DH$4))=0,0,((SUMIF($CY$3:$DH$3,DG$60,$CY141:$DH141))/SUMIF($CY$3:$DH$3,DG$60,$CY$4:$DH$4)))</f>
        <v>0</v>
      </c>
      <c r="DH92" s="200" t="n">
        <f aca="false">IF((SUMIF($CY$3:$DH$3,DH$60,$CY$4:$DH$4))=0,0,((SUMIF($CY$3:$DH$3,DH$60,$CY141:$DH141))/SUMIF($CY$3:$DH$3,DH$60,$CY$4:$DH$4)))</f>
        <v>0</v>
      </c>
      <c r="DI92" s="194" t="str">
        <f aca="false">CX92</f>
        <v>Alumno31</v>
      </c>
      <c r="DJ92" s="198" t="n">
        <f aca="false">IF((SUMIF($DJ$3:$DS$3,DJ$60,$DJ$4:$DS$4))=0,0,((SUMIF($DJ$3:$DS$3,DJ$60,$DJ141:$DS141))/SUMIF($DJ$3:$DS$3,DJ$60,$DJ$4:$DS$4)))</f>
        <v>0</v>
      </c>
      <c r="DK92" s="199" t="n">
        <f aca="false">IF((SUMIF($DJ$3:$DS$3,DK$60,$DJ$4:$DS$4))=0,0,((SUMIF($DJ$3:$DS$3,DK$60,$DJ141:$DS141))/SUMIF($DJ$3:$DS$3,DK$60,$DJ$4:$DS$4)))</f>
        <v>0</v>
      </c>
      <c r="DL92" s="199" t="n">
        <f aca="false">IF((SUMIF($DJ$3:$DS$3,DL$60,$DJ$4:$DS$4))=0,0,((SUMIF($DJ$3:$DS$3,DL$60,$DJ141:$DS141))/SUMIF($DJ$3:$DS$3,DL$60,$DJ$4:$DS$4)))</f>
        <v>0</v>
      </c>
      <c r="DM92" s="199" t="n">
        <f aca="false">IF((SUMIF($DJ$3:$DS$3,DM$60,$DJ$4:$DS$4))=0,0,((SUMIF($DJ$3:$DS$3,DM$60,$DJ141:$DS141))/SUMIF($DJ$3:$DS$3,DM$60,$DJ$4:$DS$4)))</f>
        <v>0</v>
      </c>
      <c r="DN92" s="199" t="n">
        <f aca="false">IF((SUMIF($DJ$3:$DS$3,DN$60,$DJ$4:$DS$4))=0,0,((SUMIF($DJ$3:$DS$3,DN$60,$DJ141:$DS141))/SUMIF($DJ$3:$DS$3,DN$60,$DJ$4:$DS$4)))</f>
        <v>0</v>
      </c>
      <c r="DO92" s="199" t="n">
        <f aca="false">IF((SUMIF($DJ$3:$DS$3,DO$60,$DJ$4:$DS$4))=0,0,((SUMIF($DJ$3:$DS$3,DO$60,$DJ141:$DS141))/SUMIF($DJ$3:$DS$3,DO$60,$DJ$4:$DS$4)))</f>
        <v>0</v>
      </c>
      <c r="DP92" s="199" t="n">
        <f aca="false">IF((SUMIF($DJ$3:$DS$3,DP$60,$DJ$4:$DS$4))=0,0,((SUMIF($DJ$3:$DS$3,DP$60,$DJ141:$DS141))/SUMIF($DJ$3:$DS$3,DP$60,$DJ$4:$DS$4)))</f>
        <v>0</v>
      </c>
      <c r="DQ92" s="199" t="n">
        <f aca="false">IF((SUMIF($DJ$3:$DS$3,DQ$60,$DJ$4:$DS$4))=0,0,((SUMIF($DJ$3:$DS$3,DQ$60,$DJ141:$DS141))/SUMIF($DJ$3:$DS$3,DQ$60,$DJ$4:$DS$4)))</f>
        <v>0</v>
      </c>
      <c r="DR92" s="199" t="n">
        <f aca="false">IF((SUMIF($DJ$3:$DS$3,DR$60,$DJ$4:$DS$4))=0,0,((SUMIF($DJ$3:$DS$3,DR$60,$DJ141:$DS141))/SUMIF($DJ$3:$DS$3,DR$60,$DJ$4:$DS$4)))</f>
        <v>0</v>
      </c>
      <c r="DS92" s="200" t="n">
        <f aca="false">IF((SUMIF($DJ$3:$DS$3,DS$60,$DJ$4:$DS$4))=0,0,((SUMIF($DJ$3:$DS$3,DS$60,$DJ141:$DS141))/SUMIF($DJ$3:$DS$3,DS$60,$DJ$4:$DS$4)))</f>
        <v>0</v>
      </c>
      <c r="DT92" s="194" t="str">
        <f aca="false">DI92</f>
        <v>Alumno31</v>
      </c>
      <c r="DU92" s="198" t="n">
        <f aca="false">IF((SUMIF($DU$3:$ED$3,DU$60,$DU$4:$ED$4))=0,0,((SUMIF($DU$3:$ED$3,DU$60,$DU141:$ED141))/SUMIF($DU$3:$ED$3,DU$60,$DU$4:$ED$4)))</f>
        <v>0</v>
      </c>
      <c r="DV92" s="199" t="n">
        <f aca="false">IF((SUMIF($DU$3:$ED$3,DV$60,$DU$4:$ED$4))=0,0,((SUMIF($DU$3:$ED$3,DV$60,$DU141:$ED141))/SUMIF($DU$3:$ED$3,DV$60,$DU$4:$ED$4)))</f>
        <v>0</v>
      </c>
      <c r="DW92" s="199" t="n">
        <f aca="false">IF((SUMIF($DU$3:$ED$3,DW$60,$DU$4:$ED$4))=0,0,((SUMIF($DU$3:$ED$3,DW$60,$DU141:$ED141))/SUMIF($DU$3:$ED$3,DW$60,$DU$4:$ED$4)))</f>
        <v>0</v>
      </c>
      <c r="DX92" s="199" t="n">
        <f aca="false">IF((SUMIF($DU$3:$ED$3,DX$60,$DU$4:$ED$4))=0,0,((SUMIF($DU$3:$ED$3,DX$60,$DU141:$ED141))/SUMIF($DU$3:$ED$3,DX$60,$DU$4:$ED$4)))</f>
        <v>0</v>
      </c>
      <c r="DY92" s="199" t="n">
        <f aca="false">IF((SUMIF($DU$3:$ED$3,DY$60,$DU$4:$ED$4))=0,0,((SUMIF($DU$3:$ED$3,DY$60,$DU141:$ED141))/SUMIF($DU$3:$ED$3,DY$60,$DU$4:$ED$4)))</f>
        <v>0</v>
      </c>
      <c r="DZ92" s="199" t="n">
        <f aca="false">IF((SUMIF($DU$3:$ED$3,DZ$60,$DU$4:$ED$4))=0,0,((SUMIF($DU$3:$ED$3,DZ$60,$DU141:$ED141))/SUMIF($DU$3:$ED$3,DZ$60,$DU$4:$ED$4)))</f>
        <v>0</v>
      </c>
      <c r="EA92" s="199" t="n">
        <f aca="false">IF((SUMIF($DU$3:$ED$3,EA$60,$DU$4:$ED$4))=0,0,((SUMIF($DU$3:$ED$3,EA$60,$DU141:$ED141))/SUMIF($DU$3:$ED$3,EA$60,$DU$4:$ED$4)))</f>
        <v>0</v>
      </c>
      <c r="EB92" s="199" t="n">
        <f aca="false">IF((SUMIF($DU$3:$ED$3,EB$60,$DU$4:$ED$4))=0,0,((SUMIF($DU$3:$ED$3,EB$60,$DU141:$ED141))/SUMIF($DU$3:$ED$3,EB$60,$DU$4:$ED$4)))</f>
        <v>0</v>
      </c>
      <c r="EC92" s="199" t="n">
        <f aca="false">IF((SUMIF($DU$3:$ED$3,EC$60,$DU$4:$ED$4))=0,0,((SUMIF($DU$3:$ED$3,EC$60,$DU141:$ED141))/SUMIF($DU$3:$ED$3,EC$60,$DU$4:$ED$4)))</f>
        <v>0</v>
      </c>
      <c r="ED92" s="200" t="n">
        <f aca="false">IF((SUMIF($DU$3:$ED$3,ED$60,$DU$4:$ED$4))=0,0,((SUMIF($DU$3:$ED$3,ED$60,$DU141:$ED141))/SUMIF($DU$3:$ED$3,ED$60,$DU$4:$ED$4)))</f>
        <v>0</v>
      </c>
      <c r="EE92" s="194" t="str">
        <f aca="false">DT92</f>
        <v>Alumno31</v>
      </c>
      <c r="EF92" s="198" t="n">
        <f aca="false">IF((SUMIF($EF$3:$EO$3,EF$60,$EF$4:$EO$4))=0,0,((SUMIF($EF$3:$EO$3,EF$60,$EF141:$EO141))/SUMIF($EF$3:$EO$3,EF$60,$EF$4:$EO$4)))</f>
        <v>0</v>
      </c>
      <c r="EG92" s="199" t="n">
        <f aca="false">IF((SUMIF($EF$3:$EO$3,EG$60,$EF$4:$EO$4))=0,0,((SUMIF($EF$3:$EO$3,EG$60,$EF141:$EO141))/SUMIF($EF$3:$EO$3,EG$60,$EF$4:$EO$4)))</f>
        <v>0</v>
      </c>
      <c r="EH92" s="199" t="n">
        <f aca="false">IF((SUMIF($EF$3:$EO$3,EH$60,$EF$4:$EO$4))=0,0,((SUMIF($EF$3:$EO$3,EH$60,$EF141:$EO141))/SUMIF($EF$3:$EO$3,EH$60,$EF$4:$EO$4)))</f>
        <v>0</v>
      </c>
      <c r="EI92" s="199" t="n">
        <f aca="false">IF((SUMIF($EF$3:$EO$3,EI$60,$EF$4:$EO$4))=0,0,((SUMIF($EF$3:$EO$3,EI$60,$EF141:$EO141))/SUMIF($EF$3:$EO$3,EI$60,$EF$4:$EO$4)))</f>
        <v>0</v>
      </c>
      <c r="EJ92" s="199" t="n">
        <f aca="false">IF((SUMIF($EF$3:$EO$3,EJ$60,$EF$4:$EO$4))=0,0,((SUMIF($EF$3:$EO$3,EJ$60,$EF141:$EO141))/SUMIF($EF$3:$EO$3,EJ$60,$EF$4:$EO$4)))</f>
        <v>0</v>
      </c>
      <c r="EK92" s="199" t="n">
        <f aca="false">IF((SUMIF($EF$3:$EO$3,EK$60,$EF$4:$EO$4))=0,0,((SUMIF($EF$3:$EO$3,EK$60,$EF141:$EO141))/SUMIF($EF$3:$EO$3,EK$60,$EF$4:$EO$4)))</f>
        <v>0</v>
      </c>
      <c r="EL92" s="199" t="n">
        <f aca="false">IF((SUMIF($EF$3:$EO$3,EL$60,$EF$4:$EO$4))=0,0,((SUMIF($EF$3:$EO$3,EL$60,$EF141:$EO141))/SUMIF($EF$3:$EO$3,EL$60,$EF$4:$EO$4)))</f>
        <v>0</v>
      </c>
      <c r="EM92" s="199" t="n">
        <f aca="false">IF((SUMIF($EF$3:$EO$3,EM$60,$EF$4:$EO$4))=0,0,((SUMIF($EF$3:$EO$3,EM$60,$EF141:$EO141))/SUMIF($EF$3:$EO$3,EM$60,$EF$4:$EO$4)))</f>
        <v>0</v>
      </c>
      <c r="EN92" s="199" t="n">
        <f aca="false">IF((SUMIF($EF$3:$EO$3,EN$60,$EF$4:$EO$4))=0,0,((SUMIF($EF$3:$EO$3,EN$60,$EF141:$EO141))/SUMIF($EF$3:$EO$3,EN$60,$EF$4:$EO$4)))</f>
        <v>0</v>
      </c>
      <c r="EO92" s="200" t="n">
        <f aca="false">IF((SUMIF($EF$3:$EO$3,EO$60,$EF$4:$EO$4))=0,0,((SUMIF($EF$3:$EO$3,EO$60,$EF141:$EO141))/SUMIF($EF$3:$EO$3,EO$60,$EF$4:$EO$4)))</f>
        <v>0</v>
      </c>
      <c r="EP92" s="194" t="str">
        <f aca="false">EE92</f>
        <v>Alumno31</v>
      </c>
      <c r="EQ92" s="198" t="n">
        <f aca="false">IF((SUMIF($EQ$3:$EZ$3,EQ$60,$EQ$4:$EZ$4))=0,0,((SUMIF($EQ$3:$EZ$3,EQ$60,$EQ141:$EZ141))/SUMIF($EQ$3:$EZ$3,EQ$60,$EQ$4:$EZ$4)))</f>
        <v>0</v>
      </c>
      <c r="ER92" s="199" t="n">
        <f aca="false">IF((SUMIF($EQ$3:$EZ$3,ER$60,$EQ$4:$EZ$4))=0,0,((SUMIF($EQ$3:$EZ$3,ER$60,$EQ141:$EZ141))/SUMIF($EQ$3:$EZ$3,ER$60,$EQ$4:$EZ$4)))</f>
        <v>0</v>
      </c>
      <c r="ES92" s="199" t="n">
        <f aca="false">IF((SUMIF($EQ$3:$EZ$3,ES$60,$EQ$4:$EZ$4))=0,0,((SUMIF($EQ$3:$EZ$3,ES$60,$EQ141:$EZ141))/SUMIF($EQ$3:$EZ$3,ES$60,$EQ$4:$EZ$4)))</f>
        <v>0</v>
      </c>
      <c r="ET92" s="199" t="n">
        <f aca="false">IF((SUMIF($EQ$3:$EZ$3,ET$60,$EQ$4:$EZ$4))=0,0,((SUMIF($EQ$3:$EZ$3,ET$60,$EQ141:$EZ141))/SUMIF($EQ$3:$EZ$3,ET$60,$EQ$4:$EZ$4)))</f>
        <v>0</v>
      </c>
      <c r="EU92" s="199" t="n">
        <f aca="false">IF((SUMIF($EQ$3:$EZ$3,EU$60,$EQ$4:$EZ$4))=0,0,((SUMIF($EQ$3:$EZ$3,EU$60,$EQ141:$EZ141))/SUMIF($EQ$3:$EZ$3,EU$60,$EQ$4:$EZ$4)))</f>
        <v>0</v>
      </c>
      <c r="EV92" s="199" t="n">
        <f aca="false">IF((SUMIF($EQ$3:$EZ$3,EV$60,$EQ$4:$EZ$4))=0,0,((SUMIF($EQ$3:$EZ$3,EV$60,$EQ141:$EZ141))/SUMIF($EQ$3:$EZ$3,EV$60,$EQ$4:$EZ$4)))</f>
        <v>0</v>
      </c>
      <c r="EW92" s="199" t="n">
        <f aca="false">IF((SUMIF($EQ$3:$EZ$3,EW$60,$EQ$4:$EZ$4))=0,0,((SUMIF($EQ$3:$EZ$3,EW$60,$EQ141:$EZ141))/SUMIF($EQ$3:$EZ$3,EW$60,$EQ$4:$EZ$4)))</f>
        <v>0</v>
      </c>
      <c r="EX92" s="199" t="n">
        <f aca="false">IF((SUMIF($EQ$3:$EZ$3,EX$60,$EQ$4:$EZ$4))=0,0,((SUMIF($EQ$3:$EZ$3,EX$60,$EQ141:$EZ141))/SUMIF($EQ$3:$EZ$3,EX$60,$EQ$4:$EZ$4)))</f>
        <v>0</v>
      </c>
      <c r="EY92" s="199" t="n">
        <f aca="false">IF((SUMIF($EQ$3:$EZ$3,EY$60,$EQ$4:$EZ$4))=0,0,((SUMIF($EQ$3:$EZ$3,EY$60,$EQ141:$EZ141))/SUMIF($EQ$3:$EZ$3,EY$60,$EQ$4:$EZ$4)))</f>
        <v>0</v>
      </c>
      <c r="EZ92" s="200" t="n">
        <f aca="false">IF((SUMIF($EQ$3:$EZ$3,EZ$60,$EQ$4:$EZ$4))=0,0,((SUMIF($EQ$3:$EZ$3,EZ$60,$EQ141:$EZ141))/SUMIF($EQ$3:$EZ$3,EZ$60,$EQ$4:$EZ$4)))</f>
        <v>0</v>
      </c>
      <c r="FA92" s="194" t="str">
        <f aca="false">EP92</f>
        <v>Alumno31</v>
      </c>
      <c r="FB92" s="198" t="n">
        <f aca="false">IF((SUMIF($FB$3:$FK$3,FB$60,$FB$4:$FK$4))=0,0,((SUMIF($FB$3:$FK$3,FB$60,$FB141:$FK141))/SUMIF($FB$3:$FK$3,FB$60,$FB$4:$FK$4)))</f>
        <v>0</v>
      </c>
      <c r="FC92" s="199" t="n">
        <f aca="false">IF((SUMIF($FB$3:$FK$3,FC$60,$FB$4:$FK$4))=0,0,((SUMIF($FB$3:$FK$3,FC$60,$FB141:$FK141))/SUMIF($FB$3:$FK$3,FC$60,$FB$4:$FK$4)))</f>
        <v>0</v>
      </c>
      <c r="FD92" s="199" t="n">
        <f aca="false">IF((SUMIF($FB$3:$FK$3,FD$60,$FB$4:$FK$4))=0,0,((SUMIF($FB$3:$FK$3,FD$60,$FB141:$FK141))/SUMIF($FB$3:$FK$3,FD$60,$FB$4:$FK$4)))</f>
        <v>0</v>
      </c>
      <c r="FE92" s="199" t="n">
        <f aca="false">IF((SUMIF($FB$3:$FK$3,FE$60,$FB$4:$FK$4))=0,0,((SUMIF($FB$3:$FK$3,FE$60,$FB141:$FK141))/SUMIF($FB$3:$FK$3,FE$60,$FB$4:$FK$4)))</f>
        <v>0</v>
      </c>
      <c r="FF92" s="199" t="n">
        <f aca="false">IF((SUMIF($FB$3:$FK$3,FF$60,$FB$4:$FK$4))=0,0,((SUMIF($FB$3:$FK$3,FF$60,$FB141:$FK141))/SUMIF($FB$3:$FK$3,FF$60,$FB$4:$FK$4)))</f>
        <v>0</v>
      </c>
      <c r="FG92" s="199" t="n">
        <f aca="false">IF((SUMIF($FB$3:$FK$3,FG$60,$FB$4:$FK$4))=0,0,((SUMIF($FB$3:$FK$3,FG$60,$FB141:$FK141))/SUMIF($FB$3:$FK$3,FG$60,$FB$4:$FK$4)))</f>
        <v>0</v>
      </c>
      <c r="FH92" s="199" t="n">
        <f aca="false">IF((SUMIF($FB$3:$FK$3,FH$60,$FB$4:$FK$4))=0,0,((SUMIF($FB$3:$FK$3,FH$60,$FB141:$FK141))/SUMIF($FB$3:$FK$3,FH$60,$FB$4:$FK$4)))</f>
        <v>0</v>
      </c>
      <c r="FI92" s="199" t="n">
        <f aca="false">IF((SUMIF($FB$3:$FK$3,FI$60,$FB$4:$FK$4))=0,0,((SUMIF($FB$3:$FK$3,FI$60,$FB141:$FK141))/SUMIF($FB$3:$FK$3,FI$60,$FB$4:$FK$4)))</f>
        <v>0</v>
      </c>
      <c r="FJ92" s="199" t="n">
        <f aca="false">IF((SUMIF($FB$3:$FK$3,FJ$60,$FB$4:$FK$4))=0,0,((SUMIF($FB$3:$FK$3,FJ$60,$FB141:$FK141))/SUMIF($FB$3:$FK$3,FJ$60,$FB$4:$FK$4)))</f>
        <v>0</v>
      </c>
      <c r="FK92" s="200" t="n">
        <f aca="false">IF((SUMIF($FB$3:$FK$3,FK$60,$FB$4:$FK$4))=0,0,((SUMIF($FB$3:$FK$3,FK$60,$FB141:$FK141))/SUMIF($FB$3:$FK$3,FK$60,$FB$4:$FK$4)))</f>
        <v>0</v>
      </c>
      <c r="FL92" s="194" t="str">
        <f aca="false">FA92</f>
        <v>Alumno31</v>
      </c>
      <c r="FM92" s="198" t="n">
        <f aca="false">IF((SUMIF($FM$3:$FV$3,FM$60,$FM$4:$FV$4))=0,0,((SUMIF($FM$3:$FV$3,FM$60,$FM141:$FV141))/SUMIF($FM$3:$FV$3,FM$60,$FM$4:$FV$4)))</f>
        <v>0</v>
      </c>
      <c r="FN92" s="199" t="n">
        <f aca="false">IF((SUMIF($FM$3:$FV$3,FN$60,$FM$4:$FV$4))=0,0,((SUMIF($FM$3:$FV$3,FN$60,$FM141:$FV141))/SUMIF($FM$3:$FV$3,FN$60,$FM$4:$FV$4)))</f>
        <v>0</v>
      </c>
      <c r="FO92" s="199" t="n">
        <f aca="false">IF((SUMIF($FM$3:$FV$3,FO$60,$FM$4:$FV$4))=0,0,((SUMIF($FM$3:$FV$3,FO$60,$FM141:$FV141))/SUMIF($FM$3:$FV$3,FO$60,$FM$4:$FV$4)))</f>
        <v>0</v>
      </c>
      <c r="FP92" s="199" t="n">
        <f aca="false">IF((SUMIF($FM$3:$FV$3,FP$60,$FM$4:$FV$4))=0,0,((SUMIF($FM$3:$FV$3,FP$60,$FM141:$FV141))/SUMIF($FM$3:$FV$3,FP$60,$FM$4:$FV$4)))</f>
        <v>0</v>
      </c>
      <c r="FQ92" s="199" t="n">
        <f aca="false">IF((SUMIF($FM$3:$FV$3,FQ$60,$FM$4:$FV$4))=0,0,((SUMIF($FM$3:$FV$3,FQ$60,$FM141:$FV141))/SUMIF($FM$3:$FV$3,FQ$60,$FM$4:$FV$4)))</f>
        <v>0</v>
      </c>
      <c r="FR92" s="199" t="n">
        <f aca="false">IF((SUMIF($FM$3:$FV$3,FR$60,$FM$4:$FV$4))=0,0,((SUMIF($FM$3:$FV$3,FR$60,$FM141:$FV141))/SUMIF($FM$3:$FV$3,FR$60,$FM$4:$FV$4)))</f>
        <v>0</v>
      </c>
      <c r="FS92" s="199" t="n">
        <f aca="false">IF((SUMIF($FM$3:$FV$3,FS$60,$FM$4:$FV$4))=0,0,((SUMIF($FM$3:$FV$3,FS$60,$FM141:$FV141))/SUMIF($FM$3:$FV$3,FS$60,$FM$4:$FV$4)))</f>
        <v>0</v>
      </c>
      <c r="FT92" s="199" t="n">
        <f aca="false">IF((SUMIF($FM$3:$FV$3,FT$60,$FM$4:$FV$4))=0,0,((SUMIF($FM$3:$FV$3,FT$60,$FM141:$FV141))/SUMIF($FM$3:$FV$3,FT$60,$FM$4:$FV$4)))</f>
        <v>0</v>
      </c>
      <c r="FU92" s="199" t="n">
        <f aca="false">IF((SUMIF($FM$3:$FV$3,FU$60,$FM$4:$FV$4))=0,0,((SUMIF($FM$3:$FV$3,FU$60,$FM141:$FV141))/SUMIF($FM$3:$FV$3,FU$60,$FM$4:$FV$4)))</f>
        <v>0</v>
      </c>
      <c r="FV92" s="200" t="n">
        <f aca="false">IF((SUMIF($FM$3:$FV$3,FV$60,$FM$4:$FV$4))=0,0,((SUMIF($FM$3:$FV$3,FV$60,$FM141:$FV141))/SUMIF($FM$3:$FV$3,FV$60,$FM$4:$FV$4)))</f>
        <v>0</v>
      </c>
      <c r="FW92" s="194" t="str">
        <f aca="false">FL92</f>
        <v>Alumno31</v>
      </c>
      <c r="FX92" s="198" t="n">
        <f aca="false">IF((SUMIF($FX$3:$GG$3,FX$60,$FX$4:$GG$4))=0,0,((SUMIF($FX$3:$GG$3,FX$60,$FX141:$GG141))/SUMIF($FX$3:$GG$3,FX$60,$FX$4:$GG$4)))</f>
        <v>0</v>
      </c>
      <c r="FY92" s="199" t="n">
        <f aca="false">IF((SUMIF($FX$3:$GG$3,FY$60,$FX$4:$GG$4))=0,0,((SUMIF($FX$3:$GG$3,FY$60,$FX141:$GG141))/SUMIF($FX$3:$GG$3,FY$60,$FX$4:$GG$4)))</f>
        <v>0</v>
      </c>
      <c r="FZ92" s="199" t="n">
        <f aca="false">IF((SUMIF($FX$3:$GG$3,FZ$60,$FX$4:$GG$4))=0,0,((SUMIF($FX$3:$GG$3,FZ$60,$FX141:$GG141))/SUMIF($FX$3:$GG$3,FZ$60,$FX$4:$GG$4)))</f>
        <v>0</v>
      </c>
      <c r="GA92" s="199" t="n">
        <f aca="false">IF((SUMIF($FX$3:$GG$3,GA$60,$FX$4:$GG$4))=0,0,((SUMIF($FX$3:$GG$3,GA$60,$FX141:$GG141))/SUMIF($FX$3:$GG$3,GA$60,$FX$4:$GG$4)))</f>
        <v>0</v>
      </c>
      <c r="GB92" s="199" t="n">
        <f aca="false">IF((SUMIF($FX$3:$GG$3,GB$60,$FX$4:$GG$4))=0,0,((SUMIF($FX$3:$GG$3,GB$60,$FX141:$GG141))/SUMIF($FX$3:$GG$3,GB$60,$FX$4:$GG$4)))</f>
        <v>0</v>
      </c>
      <c r="GC92" s="199" t="n">
        <f aca="false">IF((SUMIF($FX$3:$GG$3,GC$60,$FX$4:$GG$4))=0,0,((SUMIF($FX$3:$GG$3,GC$60,$FX141:$GG141))/SUMIF($FX$3:$GG$3,GC$60,$FX$4:$GG$4)))</f>
        <v>0</v>
      </c>
      <c r="GD92" s="199" t="n">
        <f aca="false">IF((SUMIF($FX$3:$GG$3,GD$60,$FX$4:$GG$4))=0,0,((SUMIF($FX$3:$GG$3,GD$60,$FX141:$GG141))/SUMIF($FX$3:$GG$3,GD$60,$FX$4:$GG$4)))</f>
        <v>0</v>
      </c>
      <c r="GE92" s="199" t="n">
        <f aca="false">IF((SUMIF($FX$3:$GG$3,GE$60,$FX$4:$GG$4))=0,0,((SUMIF($FX$3:$GG$3,GE$60,$FX141:$GG141))/SUMIF($FX$3:$GG$3,GE$60,$FX$4:$GG$4)))</f>
        <v>0</v>
      </c>
      <c r="GF92" s="199" t="n">
        <f aca="false">IF((SUMIF($FX$3:$GG$3,GF$60,$FX$4:$GG$4))=0,0,((SUMIF($FX$3:$GG$3,GF$60,$FX141:$GG141))/SUMIF($FX$3:$GG$3,GF$60,$FX$4:$GG$4)))</f>
        <v>0</v>
      </c>
      <c r="GG92" s="200" t="n">
        <f aca="false">IF((SUMIF($FX$3:$GG$3,GG$60,$FX$4:$GG$4))=0,0,((SUMIF($FX$3:$GG$3,GG$60,$FX141:$GG141))/SUMIF($FX$3:$GG$3,GG$60,$FX$4:$GG$4)))</f>
        <v>0</v>
      </c>
      <c r="GH92" s="194" t="str">
        <f aca="false">FW92</f>
        <v>Alumno31</v>
      </c>
      <c r="GI92" s="198" t="n">
        <f aca="false">IF((SUMIF($GI$3:$GR$3,GI$60,$GI$4:$GR$4))=0,0,((SUMIF($GI$3:$GR$3,GI$60,$GI141:$GR141))/SUMIF($GI$3:$GR$3,GI$60,$GI$4:$GR$4)))</f>
        <v>0</v>
      </c>
      <c r="GJ92" s="199" t="n">
        <f aca="false">IF((SUMIF($GI$3:$GR$3,GJ$60,$GI$4:$GR$4))=0,0,((SUMIF($GI$3:$GR$3,GJ$60,$GI141:$GR141))/SUMIF($GI$3:$GR$3,GJ$60,$GI$4:$GR$4)))</f>
        <v>0</v>
      </c>
      <c r="GK92" s="199" t="n">
        <f aca="false">IF((SUMIF($GI$3:$GR$3,GK$60,$GI$4:$GR$4))=0,0,((SUMIF($GI$3:$GR$3,GK$60,$GI141:$GR141))/SUMIF($GI$3:$GR$3,GK$60,$GI$4:$GR$4)))</f>
        <v>0</v>
      </c>
      <c r="GL92" s="199" t="n">
        <f aca="false">IF((SUMIF($GI$3:$GR$3,GL$60,$GI$4:$GR$4))=0,0,((SUMIF($GI$3:$GR$3,GL$60,$GI141:$GR141))/SUMIF($GI$3:$GR$3,GL$60,$GI$4:$GR$4)))</f>
        <v>0</v>
      </c>
      <c r="GM92" s="199" t="n">
        <f aca="false">IF((SUMIF($GI$3:$GR$3,GM$60,$GI$4:$GR$4))=0,0,((SUMIF($GI$3:$GR$3,GM$60,$GI141:$GR141))/SUMIF($GI$3:$GR$3,GM$60,$GI$4:$GR$4)))</f>
        <v>0</v>
      </c>
      <c r="GN92" s="199" t="n">
        <f aca="false">IF((SUMIF($GI$3:$GR$3,GN$60,$GI$4:$GR$4))=0,0,((SUMIF($GI$3:$GR$3,GN$60,$GI141:$GR141))/SUMIF($GI$3:$GR$3,GN$60,$GI$4:$GR$4)))</f>
        <v>0</v>
      </c>
      <c r="GO92" s="199" t="n">
        <f aca="false">IF((SUMIF($GI$3:$GR$3,GO$60,$GI$4:$GR$4))=0,0,((SUMIF($GI$3:$GR$3,GO$60,$GI141:$GR141))/SUMIF($GI$3:$GR$3,GO$60,$GI$4:$GR$4)))</f>
        <v>0</v>
      </c>
      <c r="GP92" s="199" t="n">
        <f aca="false">IF((SUMIF($GI$3:$GR$3,GP$60,$GI$4:$GR$4))=0,0,((SUMIF($GI$3:$GR$3,GP$60,$GI141:$GR141))/SUMIF($GI$3:$GR$3,GP$60,$GI$4:$GR$4)))</f>
        <v>0</v>
      </c>
      <c r="GQ92" s="199" t="n">
        <f aca="false">IF((SUMIF($GI$3:$GR$3,GQ$60,$GI$4:$GR$4))=0,0,((SUMIF($GI$3:$GR$3,GQ$60,$GI141:$GR141))/SUMIF($GI$3:$GR$3,GQ$60,$GI$4:$GR$4)))</f>
        <v>0</v>
      </c>
      <c r="GR92" s="200" t="n">
        <f aca="false">IF((SUMIF($GI$3:$GR$3,GR$60,$GI$4:$GR$4))=0,0,((SUMIF($GI$3:$GR$3,GR$60,$GI141:$GR141))/SUMIF($GI$3:$GR$3,GR$60,$GI$4:$GR$4)))</f>
        <v>0</v>
      </c>
      <c r="GS92" s="194" t="str">
        <f aca="false">GH92</f>
        <v>Alumno31</v>
      </c>
      <c r="GT92" s="198" t="n">
        <f aca="false">IF((SUMIF($GT$3:$HC$3,GT$60,$GT$4:$HC$4))=0,0,((SUMIF($GT$3:$HC$3,GT$60,$GT141:$HC141))/SUMIF($GT$3:$HC$3,GT$60,$GT$4:$HC$4)))</f>
        <v>0</v>
      </c>
      <c r="GU92" s="199" t="n">
        <f aca="false">IF((SUMIF($GT$3:$HC$3,GU$60,$GT$4:$HC$4))=0,0,((SUMIF($GT$3:$HC$3,GU$60,$GT141:$HC141))/SUMIF($GT$3:$HC$3,GU$60,$GT$4:$HC$4)))</f>
        <v>0</v>
      </c>
      <c r="GV92" s="199" t="n">
        <f aca="false">IF((SUMIF($GT$3:$HC$3,GV$60,$GT$4:$HC$4))=0,0,((SUMIF($GT$3:$HC$3,GV$60,$GT141:$HC141))/SUMIF($GT$3:$HC$3,GV$60,$GT$4:$HC$4)))</f>
        <v>0</v>
      </c>
      <c r="GW92" s="199" t="n">
        <f aca="false">IF((SUMIF($GT$3:$HC$3,GW$60,$GT$4:$HC$4))=0,0,((SUMIF($GT$3:$HC$3,GW$60,$GT141:$HC141))/SUMIF($GT$3:$HC$3,GW$60,$GT$4:$HC$4)))</f>
        <v>0</v>
      </c>
      <c r="GX92" s="199" t="n">
        <f aca="false">IF((SUMIF($GT$3:$HC$3,GX$60,$GT$4:$HC$4))=0,0,((SUMIF($GT$3:$HC$3,GX$60,$GT141:$HC141))/SUMIF($GT$3:$HC$3,GX$60,$GT$4:$HC$4)))</f>
        <v>0</v>
      </c>
      <c r="GY92" s="199" t="n">
        <f aca="false">IF((SUMIF($GT$3:$HC$3,GY$60,$GT$4:$HC$4))=0,0,((SUMIF($GT$3:$HC$3,GY$60,$GT141:$HC141))/SUMIF($GT$3:$HC$3,GY$60,$GT$4:$HC$4)))</f>
        <v>0</v>
      </c>
      <c r="GZ92" s="199" t="n">
        <f aca="false">IF((SUMIF($GT$3:$HC$3,GZ$60,$GT$4:$HC$4))=0,0,((SUMIF($GT$3:$HC$3,GZ$60,$GT141:$HC141))/SUMIF($GT$3:$HC$3,GZ$60,$GT$4:$HC$4)))</f>
        <v>0</v>
      </c>
      <c r="HA92" s="199" t="n">
        <f aca="false">IF((SUMIF($GT$3:$HC$3,HA$60,$GT$4:$HC$4))=0,0,((SUMIF($GT$3:$HC$3,HA$60,$GT141:$HC141))/SUMIF($GT$3:$HC$3,HA$60,$GT$4:$HC$4)))</f>
        <v>0</v>
      </c>
      <c r="HB92" s="199" t="n">
        <f aca="false">IF((SUMIF($GT$3:$HC$3,HB$60,$GT$4:$HC$4))=0,0,((SUMIF($GT$3:$HC$3,HB$60,$GT141:$HC141))/SUMIF($GT$3:$HC$3,HB$60,$GT$4:$HC$4)))</f>
        <v>0</v>
      </c>
      <c r="HC92" s="200" t="n">
        <f aca="false">IF((SUMIF($GT$3:$HC$3,HC$60,$GT$4:$HC$4))=0,0,((SUMIF($GT$3:$HC$3,HC$60,$GT141:$HC141))/SUMIF($GT$3:$HC$3,HC$60,$GT$4:$HC$4)))</f>
        <v>0</v>
      </c>
      <c r="HD92" s="194" t="str">
        <f aca="false">GS92</f>
        <v>Alumno31</v>
      </c>
      <c r="HE92" s="198" t="n">
        <f aca="false">IF((SUMIF($HE$3:$HN$3,HE$60,$HE$4:$HN$4))=0,0,((SUMIF($HE$3:$HN$3,HE$60,$HE141:$HN141))/SUMIF($HE$3:$HN$3,HE$60,$HE$4:$HN$4)))</f>
        <v>0</v>
      </c>
      <c r="HF92" s="199" t="n">
        <f aca="false">IF((SUMIF($HE$3:$HN$3,HF$60,$HE$4:$HN$4))=0,0,((SUMIF($HE$3:$HN$3,HF$60,$HE141:$HN141))/SUMIF($HE$3:$HN$3,HF$60,$HE$4:$HN$4)))</f>
        <v>0</v>
      </c>
      <c r="HG92" s="199" t="n">
        <f aca="false">IF((SUMIF($HE$3:$HN$3,HG$60,$HE$4:$HN$4))=0,0,((SUMIF($HE$3:$HN$3,HG$60,$HE141:$HN141))/SUMIF($HE$3:$HN$3,HG$60,$HE$4:$HN$4)))</f>
        <v>0</v>
      </c>
      <c r="HH92" s="199" t="n">
        <f aca="false">IF((SUMIF($HE$3:$HN$3,HH$60,$HE$4:$HN$4))=0,0,((SUMIF($HE$3:$HN$3,HH$60,$HE141:$HN141))/SUMIF($HE$3:$HN$3,HH$60,$HE$4:$HN$4)))</f>
        <v>0</v>
      </c>
      <c r="HI92" s="199" t="n">
        <f aca="false">IF((SUMIF($HE$3:$HN$3,HI$60,$HE$4:$HN$4))=0,0,((SUMIF($HE$3:$HN$3,HI$60,$HE141:$HN141))/SUMIF($HE$3:$HN$3,HI$60,$HE$4:$HN$4)))</f>
        <v>0</v>
      </c>
      <c r="HJ92" s="199" t="n">
        <f aca="false">IF((SUMIF($HE$3:$HN$3,HJ$60,$HE$4:$HN$4))=0,0,((SUMIF($HE$3:$HN$3,HJ$60,$HE141:$HN141))/SUMIF($HE$3:$HN$3,HJ$60,$HE$4:$HN$4)))</f>
        <v>0</v>
      </c>
      <c r="HK92" s="199" t="n">
        <f aca="false">IF((SUMIF($HE$3:$HN$3,HK$60,$HE$4:$HN$4))=0,0,((SUMIF($HE$3:$HN$3,HK$60,$HE141:$HN141))/SUMIF($HE$3:$HN$3,HK$60,$HE$4:$HN$4)))</f>
        <v>0</v>
      </c>
      <c r="HL92" s="199" t="n">
        <f aca="false">IF((SUMIF($HE$3:$HN$3,HL$60,$HE$4:$HN$4))=0,0,((SUMIF($HE$3:$HN$3,HL$60,$HE141:$HN141))/SUMIF($HE$3:$HN$3,HL$60,$HE$4:$HN$4)))</f>
        <v>0</v>
      </c>
      <c r="HM92" s="199" t="n">
        <f aca="false">IF((SUMIF($HE$3:$HN$3,HM$60,$HE$4:$HN$4))=0,0,((SUMIF($HE$3:$HN$3,HM$60,$HE141:$HN141))/SUMIF($HE$3:$HN$3,HM$60,$HE$4:$HN$4)))</f>
        <v>0</v>
      </c>
      <c r="HN92" s="200" t="n">
        <f aca="false">IF((SUMIF($HE$3:$HN$3,HN$60,$HE$4:$HN$4))=0,0,((SUMIF($HE$3:$HN$3,HN$60,$HE141:$HN141))/SUMIF($HE$3:$HN$3,HN$60,$HE$4:$HN$4)))</f>
        <v>0</v>
      </c>
      <c r="HO92" s="194" t="str">
        <f aca="false">HD92</f>
        <v>Alumno31</v>
      </c>
      <c r="HP92" s="198" t="n">
        <f aca="false">IF((SUMIF($HP$3:$HY$3,HP$60,$HP$4:$HY$4))=0,0,((SUMIF($HP$3:$HY$3,HP$60,$HP141:$HY141))/SUMIF($HP$3:$HY$3,HP$60,$HP$4:$HY$4)))</f>
        <v>0</v>
      </c>
      <c r="HQ92" s="199" t="n">
        <f aca="false">IF((SUMIF($HP$3:$HY$3,HQ$60,$HP$4:$HY$4))=0,0,((SUMIF($HP$3:$HY$3,HQ$60,$HP141:$HY141))/SUMIF($HP$3:$HY$3,HQ$60,$HP$4:$HY$4)))</f>
        <v>0</v>
      </c>
      <c r="HR92" s="199" t="n">
        <f aca="false">IF((SUMIF($HP$3:$HY$3,HR$60,$HP$4:$HY$4))=0,0,((SUMIF($HP$3:$HY$3,HR$60,$HP141:$HY141))/SUMIF($HP$3:$HY$3,HR$60,$HP$4:$HY$4)))</f>
        <v>0</v>
      </c>
      <c r="HS92" s="199" t="n">
        <f aca="false">IF((SUMIF($HP$3:$HY$3,HS$60,$HP$4:$HY$4))=0,0,((SUMIF($HP$3:$HY$3,HS$60,$HP141:$HY141))/SUMIF($HP$3:$HY$3,HS$60,$HP$4:$HY$4)))</f>
        <v>0</v>
      </c>
      <c r="HT92" s="199" t="n">
        <f aca="false">IF((SUMIF($HP$3:$HY$3,HT$60,$HP$4:$HY$4))=0,0,((SUMIF($HP$3:$HY$3,HT$60,$HP141:$HY141))/SUMIF($HP$3:$HY$3,HT$60,$HP$4:$HY$4)))</f>
        <v>0</v>
      </c>
      <c r="HU92" s="199" t="n">
        <f aca="false">IF((SUMIF($HP$3:$HY$3,HU$60,$HP$4:$HY$4))=0,0,((SUMIF($HP$3:$HY$3,HU$60,$HP141:$HY141))/SUMIF($HP$3:$HY$3,HU$60,$HP$4:$HY$4)))</f>
        <v>0</v>
      </c>
      <c r="HV92" s="199" t="n">
        <f aca="false">IF((SUMIF($HP$3:$HY$3,HV$60,$HP$4:$HY$4))=0,0,((SUMIF($HP$3:$HY$3,HV$60,$HP141:$HY141))/SUMIF($HP$3:$HY$3,HV$60,$HP$4:$HY$4)))</f>
        <v>0</v>
      </c>
      <c r="HW92" s="199" t="n">
        <f aca="false">IF((SUMIF($HP$3:$HY$3,HW$60,$HP$4:$HY$4))=0,0,((SUMIF($HP$3:$HY$3,HW$60,$HP141:$HY141))/SUMIF($HP$3:$HY$3,HW$60,$HP$4:$HY$4)))</f>
        <v>0</v>
      </c>
      <c r="HX92" s="199" t="n">
        <f aca="false">IF((SUMIF($HP$3:$HY$3,HX$60,$HP$4:$HY$4))=0,0,((SUMIF($HP$3:$HY$3,HX$60,$HP141:$HY141))/SUMIF($HP$3:$HY$3,HX$60,$HP$4:$HY$4)))</f>
        <v>0</v>
      </c>
      <c r="HY92" s="200" t="n">
        <f aca="false">IF((SUMIF($HP$3:$HY$3,HY$60,$HP$4:$HY$4))=0,0,((SUMIF($HP$3:$HY$3,HY$60,$HP141:$HY141))/SUMIF($HP$3:$HY$3,HY$60,$HP$4:$HY$4)))</f>
        <v>0</v>
      </c>
      <c r="HZ92" s="194" t="str">
        <f aca="false">HO92</f>
        <v>Alumno31</v>
      </c>
      <c r="IA92" s="198" t="n">
        <f aca="false">IF((SUMIF($IA$3:$IJ$3,IA$60,$IA$4:$IJ$4))=0,0,((SUMIF($IA$3:$IJ$3,IA$60,$IA141:$IJ141))/SUMIF($IA$3:$IJ$3,IA$60,$IA$4:$IJ$4)))</f>
        <v>0</v>
      </c>
      <c r="IB92" s="199" t="n">
        <f aca="false">IF((SUMIF($IA$3:$IJ$3,IB$60,$IA$4:$IJ$4))=0,0,((SUMIF($IA$3:$IJ$3,IB$60,$IA141:$IJ141))/SUMIF($IA$3:$IJ$3,IB$60,$IA$4:$IJ$4)))</f>
        <v>0</v>
      </c>
      <c r="IC92" s="199" t="n">
        <f aca="false">IF((SUMIF($IA$3:$IJ$3,IC$60,$IA$4:$IJ$4))=0,0,((SUMIF($IA$3:$IJ$3,IC$60,$IA141:$IJ141))/SUMIF($IA$3:$IJ$3,IC$60,$IA$4:$IJ$4)))</f>
        <v>0</v>
      </c>
      <c r="ID92" s="199" t="n">
        <f aca="false">IF((SUMIF($IA$3:$IJ$3,ID$60,$IA$4:$IJ$4))=0,0,((SUMIF($IA$3:$IJ$3,ID$60,$IA141:$IJ141))/SUMIF($IA$3:$IJ$3,ID$60,$IA$4:$IJ$4)))</f>
        <v>0</v>
      </c>
      <c r="IE92" s="199" t="n">
        <f aca="false">IF((SUMIF($IA$3:$IJ$3,IE$60,$IA$4:$IJ$4))=0,0,((SUMIF($IA$3:$IJ$3,IE$60,$IA141:$IJ141))/SUMIF($IA$3:$IJ$3,IE$60,$IA$4:$IJ$4)))</f>
        <v>0</v>
      </c>
      <c r="IF92" s="199" t="n">
        <f aca="false">IF((SUMIF($IA$3:$IJ$3,IF$60,$IA$4:$IJ$4))=0,0,((SUMIF($IA$3:$IJ$3,IF$60,$IA141:$IJ141))/SUMIF($IA$3:$IJ$3,IF$60,$IA$4:$IJ$4)))</f>
        <v>0</v>
      </c>
      <c r="IG92" s="199" t="n">
        <f aca="false">IF((SUMIF($IA$3:$IJ$3,IG$60,$IA$4:$IJ$4))=0,0,((SUMIF($IA$3:$IJ$3,IG$60,$IA141:$IJ141))/SUMIF($IA$3:$IJ$3,IG$60,$IA$4:$IJ$4)))</f>
        <v>0</v>
      </c>
      <c r="IH92" s="199" t="n">
        <f aca="false">IF((SUMIF($IA$3:$IJ$3,IH$60,$IA$4:$IJ$4))=0,0,((SUMIF($IA$3:$IJ$3,IH$60,$IA141:$IJ141))/SUMIF($IA$3:$IJ$3,IH$60,$IA$4:$IJ$4)))</f>
        <v>0</v>
      </c>
      <c r="II92" s="199" t="n">
        <f aca="false">IF((SUMIF($IA$3:$IJ$3,II$60,$IA$4:$IJ$4))=0,0,((SUMIF($IA$3:$IJ$3,II$60,$IA141:$IJ141))/SUMIF($IA$3:$IJ$3,II$60,$IA$4:$IJ$4)))</f>
        <v>0</v>
      </c>
      <c r="IJ92" s="200" t="n">
        <f aca="false">IF((SUMIF($IA$3:$IJ$3,IJ$60,$IA$4:$IJ$4))=0,0,((SUMIF($IA$3:$IJ$3,IJ$60,$IA141:$IJ141))/SUMIF($IA$3:$IJ$3,IJ$60,$IA$4:$IJ$4)))</f>
        <v>0</v>
      </c>
      <c r="IK92" s="194" t="str">
        <f aca="false">HZ92</f>
        <v>Alumno31</v>
      </c>
      <c r="IL92" s="198" t="n">
        <f aca="false">IF((SUMIF($IL$3:$IU$3,IL$60,$IL$4:$IU$4))=0,0,((SUMIF($IL$3:$IU$3,IL$60,$IL141:$IU141))/SUMIF($IL$3:$IU$3,IL$60,$IL$4:$IU$4)))</f>
        <v>0</v>
      </c>
      <c r="IM92" s="199" t="n">
        <f aca="false">IF((SUMIF($IL$3:$IU$3,IM$60,$IL$4:$IU$4))=0,0,((SUMIF($IL$3:$IU$3,IM$60,$IL141:$IU141))/SUMIF($IL$3:$IU$3,IM$60,$IL$4:$IU$4)))</f>
        <v>0</v>
      </c>
      <c r="IN92" s="199" t="n">
        <f aca="false">IF((SUMIF($IL$3:$IU$3,IN$60,$IL$4:$IU$4))=0,0,((SUMIF($IL$3:$IU$3,IN$60,$IL141:$IU141))/SUMIF($IL$3:$IU$3,IN$60,$IL$4:$IU$4)))</f>
        <v>0</v>
      </c>
      <c r="IO92" s="199" t="n">
        <f aca="false">IF((SUMIF($IL$3:$IU$3,IO$60,$IL$4:$IU$4))=0,0,((SUMIF($IL$3:$IU$3,IO$60,$IL141:$IU141))/SUMIF($IL$3:$IU$3,IO$60,$IL$4:$IU$4)))</f>
        <v>0</v>
      </c>
      <c r="IP92" s="199" t="n">
        <f aca="false">IF((SUMIF($IL$3:$IU$3,IP$60,$IL$4:$IU$4))=0,0,((SUMIF($IL$3:$IU$3,IP$60,$IL141:$IU141))/SUMIF($IL$3:$IU$3,IP$60,$IL$4:$IU$4)))</f>
        <v>0</v>
      </c>
      <c r="IQ92" s="199" t="n">
        <f aca="false">IF((SUMIF($IL$3:$IU$3,IQ$60,$IL$4:$IU$4))=0,0,((SUMIF($IL$3:$IU$3,IQ$60,$IL141:$IU141))/SUMIF($IL$3:$IU$3,IQ$60,$IL$4:$IU$4)))</f>
        <v>0</v>
      </c>
      <c r="IR92" s="199" t="n">
        <f aca="false">IF((SUMIF($IL$3:$IU$3,IR$60,$IL$4:$IU$4))=0,0,((SUMIF($IL$3:$IU$3,IR$60,$IL141:$IU141))/SUMIF($IL$3:$IU$3,IR$60,$IL$4:$IU$4)))</f>
        <v>0</v>
      </c>
      <c r="IS92" s="199" t="n">
        <f aca="false">IF((SUMIF($IL$3:$IU$3,IS$60,$IL$4:$IU$4))=0,0,((SUMIF($IL$3:$IU$3,IS$60,$IL141:$IU141))/SUMIF($IL$3:$IU$3,IS$60,$IL$4:$IU$4)))</f>
        <v>0</v>
      </c>
      <c r="IT92" s="199" t="n">
        <f aca="false">IF((SUMIF($IL$3:$IU$3,IT$60,$IL$4:$IU$4))=0,0,((SUMIF($IL$3:$IU$3,IT$60,$IL141:$IU141))/SUMIF($IL$3:$IU$3,IT$60,$IL$4:$IU$4)))</f>
        <v>0</v>
      </c>
      <c r="IU92" s="200" t="n">
        <f aca="false">IF((SUMIF($IL$3:$IU$3,IU$60,$IL$4:$IU$4))=0,0,((SUMIF($IL$3:$IU$3,IU$60,$IL141:$IU141))/SUMIF($IL$3:$IU$3,IU$60,$IL$4:$IU$4)))</f>
        <v>0</v>
      </c>
      <c r="IV92" s="194" t="str">
        <f aca="false">IK92</f>
        <v>Alumno31</v>
      </c>
      <c r="IW92" s="198" t="n">
        <f aca="false">IF((SUMIF($IW$3:$JF$3,IW$60,$IW$4:$JF$4))=0,0,((SUMIF($IW$3:$JF$3,IW$60,$IW141:$JF141))/SUMIF($IW$3:$JF$3,IW$60,$IW$4:$JF$4)))</f>
        <v>0</v>
      </c>
      <c r="IX92" s="199" t="n">
        <f aca="false">IF((SUMIF($IW$3:$JF$3,IX$60,$IW$4:$JF$4))=0,0,((SUMIF($IW$3:$JF$3,IX$60,$IW141:$JF141))/SUMIF($IW$3:$JF$3,IX$60,$IW$4:$JF$4)))</f>
        <v>0</v>
      </c>
      <c r="IY92" s="199" t="n">
        <f aca="false">IF((SUMIF($IW$3:$JF$3,IY$60,$IW$4:$JF$4))=0,0,((SUMIF($IW$3:$JF$3,IY$60,$IW141:$JF141))/SUMIF($IW$3:$JF$3,IY$60,$IW$4:$JF$4)))</f>
        <v>0</v>
      </c>
      <c r="IZ92" s="199" t="n">
        <f aca="false">IF((SUMIF($IW$3:$JF$3,IZ$60,$IW$4:$JF$4))=0,0,((SUMIF($IW$3:$JF$3,IZ$60,$IW141:$JF141))/SUMIF($IW$3:$JF$3,IZ$60,$IW$4:$JF$4)))</f>
        <v>0</v>
      </c>
      <c r="JA92" s="199" t="n">
        <f aca="false">IF((SUMIF($IW$3:$JF$3,JA$60,$IW$4:$JF$4))=0,0,((SUMIF($IW$3:$JF$3,JA$60,$IW141:$JF141))/SUMIF($IW$3:$JF$3,JA$60,$IW$4:$JF$4)))</f>
        <v>0</v>
      </c>
      <c r="JB92" s="199" t="n">
        <f aca="false">IF((SUMIF($IW$3:$JF$3,JB$60,$IW$4:$JF$4))=0,0,((SUMIF($IW$3:$JF$3,JB$60,$IW141:$JF141))/SUMIF($IW$3:$JF$3,JB$60,$IW$4:$JF$4)))</f>
        <v>0</v>
      </c>
      <c r="JC92" s="199" t="n">
        <f aca="false">IF((SUMIF($IW$3:$JF$3,JC$60,$IW$4:$JF$4))=0,0,((SUMIF($IW$3:$JF$3,JC$60,$IW141:$JF141))/SUMIF($IW$3:$JF$3,JC$60,$IW$4:$JF$4)))</f>
        <v>0</v>
      </c>
      <c r="JD92" s="199" t="n">
        <f aca="false">IF((SUMIF($IW$3:$JF$3,JD$60,$IW$4:$JF$4))=0,0,((SUMIF($IW$3:$JF$3,JD$60,$IW141:$JF141))/SUMIF($IW$3:$JF$3,JD$60,$IW$4:$JF$4)))</f>
        <v>0</v>
      </c>
      <c r="JE92" s="199" t="n">
        <f aca="false">IF((SUMIF($IW$3:$JF$3,JE$60,$IW$4:$JF$4))=0,0,((SUMIF($IW$3:$JF$3,JE$60,$IW141:$JF141))/SUMIF($IW$3:$JF$3,JE$60,$IW$4:$JF$4)))</f>
        <v>0</v>
      </c>
      <c r="JF92" s="200" t="n">
        <f aca="false">IF((SUMIF($IW$3:$JF$3,JF$60,$IW$4:$JF$4))=0,0,((SUMIF($IW$3:$JF$3,JF$60,$IW141:$JF141))/SUMIF($IW$3:$JF$3,JF$60,$IW$4:$JF$4)))</f>
        <v>0</v>
      </c>
      <c r="JG92" s="194" t="str">
        <f aca="false">IV92</f>
        <v>Alumno31</v>
      </c>
      <c r="JH92" s="198" t="n">
        <f aca="false">IF((SUMIF($JH$3:$JQ$3,JH$60,$JH$4:$JQ$4))=0,0,((SUMIF($JH$3:$JQ$3,JH$60,$JH141:$JQ141))/SUMIF($JH$3:$JQ$3,JH$60,$JH$4:$JQ$4)))</f>
        <v>0</v>
      </c>
      <c r="JI92" s="199" t="n">
        <f aca="false">IF((SUMIF($JH$3:$JQ$3,JI$60,$JH$4:$JQ$4))=0,0,((SUMIF($JH$3:$JQ$3,JI$60,$JH141:$JQ141))/SUMIF($JH$3:$JQ$3,JI$60,$JH$4:$JQ$4)))</f>
        <v>0</v>
      </c>
      <c r="JJ92" s="199" t="n">
        <f aca="false">IF((SUMIF($JH$3:$JQ$3,JJ$60,$JH$4:$JQ$4))=0,0,((SUMIF($JH$3:$JQ$3,JJ$60,$JH141:$JQ141))/SUMIF($JH$3:$JQ$3,JJ$60,$JH$4:$JQ$4)))</f>
        <v>0</v>
      </c>
      <c r="JK92" s="199" t="n">
        <f aca="false">IF((SUMIF($JH$3:$JQ$3,JK$60,$JH$4:$JQ$4))=0,0,((SUMIF($JH$3:$JQ$3,JK$60,$JH141:$JQ141))/SUMIF($JH$3:$JQ$3,JK$60,$JH$4:$JQ$4)))</f>
        <v>0</v>
      </c>
      <c r="JL92" s="199" t="n">
        <f aca="false">IF((SUMIF($JH$3:$JQ$3,JL$60,$JH$4:$JQ$4))=0,0,((SUMIF($JH$3:$JQ$3,JL$60,$JH141:$JQ141))/SUMIF($JH$3:$JQ$3,JL$60,$JH$4:$JQ$4)))</f>
        <v>0</v>
      </c>
      <c r="JM92" s="199" t="n">
        <f aca="false">IF((SUMIF($JH$3:$JQ$3,JM$60,$JH$4:$JQ$4))=0,0,((SUMIF($JH$3:$JQ$3,JM$60,$JH141:$JQ141))/SUMIF($JH$3:$JQ$3,JM$60,$JH$4:$JQ$4)))</f>
        <v>0</v>
      </c>
      <c r="JN92" s="199" t="n">
        <f aca="false">IF((SUMIF($JH$3:$JQ$3,JN$60,$JH$4:$JQ$4))=0,0,((SUMIF($JH$3:$JQ$3,JN$60,$JH141:$JQ141))/SUMIF($JH$3:$JQ$3,JN$60,$JH$4:$JQ$4)))</f>
        <v>0</v>
      </c>
      <c r="JO92" s="199" t="n">
        <f aca="false">IF((SUMIF($JH$3:$JQ$3,JO$60,$JH$4:$JQ$4))=0,0,((SUMIF($JH$3:$JQ$3,JO$60,$JH141:$JQ141))/SUMIF($JH$3:$JQ$3,JO$60,$JH$4:$JQ$4)))</f>
        <v>0</v>
      </c>
      <c r="JP92" s="199" t="n">
        <f aca="false">IF((SUMIF($JH$3:$JQ$3,JP$60,$JH$4:$JQ$4))=0,0,((SUMIF($JH$3:$JQ$3,JP$60,$JH141:$JQ141))/SUMIF($JH$3:$JQ$3,JP$60,$JH$4:$JQ$4)))</f>
        <v>0</v>
      </c>
      <c r="JQ92" s="200" t="n">
        <f aca="false">IF((SUMIF($JH$3:$JQ$3,JQ$60,$JH$4:$JQ$4))=0,0,((SUMIF($JH$3:$JQ$3,JQ$60,$JH141:$JQ141))/SUMIF($JH$3:$JQ$3,JQ$60,$JH$4:$JQ$4)))</f>
        <v>0</v>
      </c>
      <c r="JR92" s="194" t="str">
        <f aca="false">JG92</f>
        <v>Alumno31</v>
      </c>
      <c r="JS92" s="198" t="n">
        <f aca="false">IF((SUMIF($JS$3:$KB$3,JS$60,$JS$4:$KB$4))=0,0,((SUMIF($JS$3:$KB$3,JS$60,$JS141:$KB141))/SUMIF($JS$3:$KB$3,JS$60,$JS$4:$KB$4)))</f>
        <v>0</v>
      </c>
      <c r="JT92" s="199" t="n">
        <f aca="false">IF((SUMIF($JS$3:$KB$3,JT$60,$JS$4:$KB$4))=0,0,((SUMIF($JS$3:$KB$3,JT$60,$JS141:$KB141))/SUMIF($JS$3:$KB$3,JT$60,$JS$4:$KB$4)))</f>
        <v>0</v>
      </c>
      <c r="JU92" s="199" t="n">
        <f aca="false">IF((SUMIF($JS$3:$KB$3,JU$60,$JS$4:$KB$4))=0,0,((SUMIF($JS$3:$KB$3,JU$60,$JS141:$KB141))/SUMIF($JS$3:$KB$3,JU$60,$JS$4:$KB$4)))</f>
        <v>0</v>
      </c>
      <c r="JV92" s="199" t="n">
        <f aca="false">IF((SUMIF($JS$3:$KB$3,JV$60,$JS$4:$KB$4))=0,0,((SUMIF($JS$3:$KB$3,JV$60,$JS141:$KB141))/SUMIF($JS$3:$KB$3,JV$60,$JS$4:$KB$4)))</f>
        <v>0</v>
      </c>
      <c r="JW92" s="199" t="n">
        <f aca="false">IF((SUMIF($JS$3:$KB$3,JW$60,$JS$4:$KB$4))=0,0,((SUMIF($JS$3:$KB$3,JW$60,$JS141:$KB141))/SUMIF($JS$3:$KB$3,JW$60,$JS$4:$KB$4)))</f>
        <v>0</v>
      </c>
      <c r="JX92" s="199" t="n">
        <f aca="false">IF((SUMIF($JS$3:$KB$3,JX$60,$JS$4:$KB$4))=0,0,((SUMIF($JS$3:$KB$3,JX$60,$JS141:$KB141))/SUMIF($JS$3:$KB$3,JX$60,$JS$4:$KB$4)))</f>
        <v>0</v>
      </c>
      <c r="JY92" s="199" t="n">
        <f aca="false">IF((SUMIF($JS$3:$KB$3,JY$60,$JS$4:$KB$4))=0,0,((SUMIF($JS$3:$KB$3,JY$60,$JS141:$KB141))/SUMIF($JS$3:$KB$3,JY$60,$JS$4:$KB$4)))</f>
        <v>0</v>
      </c>
      <c r="JZ92" s="199" t="n">
        <f aca="false">IF((SUMIF($JS$3:$KB$3,JZ$60,$JS$4:$KB$4))=0,0,((SUMIF($JS$3:$KB$3,JZ$60,$JS141:$KB141))/SUMIF($JS$3:$KB$3,JZ$60,$JS$4:$KB$4)))</f>
        <v>0</v>
      </c>
      <c r="KA92" s="199" t="n">
        <f aca="false">IF((SUMIF($JS$3:$KB$3,KA$60,$JS$4:$KB$4))=0,0,((SUMIF($JS$3:$KB$3,KA$60,$JS141:$KB141))/SUMIF($JS$3:$KB$3,KA$60,$JS$4:$KB$4)))</f>
        <v>0</v>
      </c>
      <c r="KB92" s="200" t="n">
        <f aca="false">IF((SUMIF($JS$3:$KB$3,KB$60,$JS$4:$KB$4))=0,0,((SUMIF($JS$3:$KB$3,KB$60,$JS141:$KB141))/SUMIF($JS$3:$KB$3,KB$60,$JS$4:$KB$4)))</f>
        <v>0</v>
      </c>
      <c r="KC92" s="194" t="str">
        <f aca="false">JR92</f>
        <v>Alumno31</v>
      </c>
      <c r="KD92" s="198" t="n">
        <f aca="false">IF((SUMIF($KD$3:$KM$3,KD$60,$KD$4:$KM$4))=0,0,((SUMIF($KD$3:$KM$3,KD$60,$KD141:$KM141))/SUMIF($KD$3:$KM$3,KD$60,$KD$4:$KM$4)))</f>
        <v>0</v>
      </c>
      <c r="KE92" s="199" t="n">
        <f aca="false">IF((SUMIF($KD$3:$KM$3,KE$60,$KD$4:$KM$4))=0,0,((SUMIF($KD$3:$KM$3,KE$60,$KD141:$KM141))/SUMIF($KD$3:$KM$3,KE$60,$KD$4:$KM$4)))</f>
        <v>0</v>
      </c>
      <c r="KF92" s="199" t="n">
        <f aca="false">IF((SUMIF($KD$3:$KM$3,KF$60,$KD$4:$KM$4))=0,0,((SUMIF($KD$3:$KM$3,KF$60,$KD141:$KM141))/SUMIF($KD$3:$KM$3,KF$60,$KD$4:$KM$4)))</f>
        <v>0</v>
      </c>
      <c r="KG92" s="199" t="n">
        <f aca="false">IF((SUMIF($KD$3:$KM$3,KG$60,$KD$4:$KM$4))=0,0,((SUMIF($KD$3:$KM$3,KG$60,$KD141:$KM141))/SUMIF($KD$3:$KM$3,KG$60,$KD$4:$KM$4)))</f>
        <v>0</v>
      </c>
      <c r="KH92" s="199" t="n">
        <f aca="false">IF((SUMIF($KD$3:$KM$3,KH$60,$KD$4:$KM$4))=0,0,((SUMIF($KD$3:$KM$3,KH$60,$KD141:$KM141))/SUMIF($KD$3:$KM$3,KH$60,$KD$4:$KM$4)))</f>
        <v>0</v>
      </c>
      <c r="KI92" s="199" t="n">
        <f aca="false">IF((SUMIF($KD$3:$KM$3,KI$60,$KD$4:$KM$4))=0,0,((SUMIF($KD$3:$KM$3,KI$60,$KD141:$KM141))/SUMIF($KD$3:$KM$3,KI$60,$KD$4:$KM$4)))</f>
        <v>0</v>
      </c>
      <c r="KJ92" s="199" t="n">
        <f aca="false">IF((SUMIF($KD$3:$KM$3,KJ$60,$KD$4:$KM$4))=0,0,((SUMIF($KD$3:$KM$3,KJ$60,$KD141:$KM141))/SUMIF($KD$3:$KM$3,KJ$60,$KD$4:$KM$4)))</f>
        <v>0</v>
      </c>
      <c r="KK92" s="199" t="n">
        <f aca="false">IF((SUMIF($KD$3:$KM$3,KK$60,$KD$4:$KM$4))=0,0,((SUMIF($KD$3:$KM$3,KK$60,$KD141:$KM141))/SUMIF($KD$3:$KM$3,KK$60,$KD$4:$KM$4)))</f>
        <v>0</v>
      </c>
      <c r="KL92" s="199" t="n">
        <f aca="false">IF((SUMIF($KD$3:$KM$3,KL$60,$KD$4:$KM$4))=0,0,((SUMIF($KD$3:$KM$3,KL$60,$KD141:$KM141))/SUMIF($KD$3:$KM$3,KL$60,$KD$4:$KM$4)))</f>
        <v>0</v>
      </c>
      <c r="KM92" s="200" t="n">
        <f aca="false">IF((SUMIF($KD$3:$KM$3,KM$60,$KD$4:$KM$4))=0,0,((SUMIF($KD$3:$KM$3,KM$60,$KD141:$KM141))/SUMIF($KD$3:$KM$3,KM$60,$KD$4:$KM$4)))</f>
        <v>0</v>
      </c>
      <c r="KN92" s="194" t="str">
        <f aca="false">KC92</f>
        <v>Alumno31</v>
      </c>
      <c r="KO92" s="198" t="n">
        <f aca="false">IF((SUMIF($KO$3:$KX$3,KO$60,$KO$4:$KX$4))=0,0,((SUMIF($KO$3:$KX$3,KO$60,$KO141:$KX141))/SUMIF($KO$3:$KX$3,KO$60,$KO$4:$KX$4)))</f>
        <v>0</v>
      </c>
      <c r="KP92" s="199" t="n">
        <f aca="false">IF((SUMIF($KO$3:$KX$3,KP$60,$KO$4:$KX$4))=0,0,((SUMIF($KO$3:$KX$3,KP$60,$KO141:$KX141))/SUMIF($KO$3:$KX$3,KP$60,$KO$4:$KX$4)))</f>
        <v>0</v>
      </c>
      <c r="KQ92" s="199" t="n">
        <f aca="false">IF((SUMIF($KO$3:$KX$3,KQ$60,$KO$4:$KX$4))=0,0,((SUMIF($KO$3:$KX$3,KQ$60,$KO141:$KX141))/SUMIF($KO$3:$KX$3,KQ$60,$KO$4:$KX$4)))</f>
        <v>0</v>
      </c>
      <c r="KR92" s="199" t="n">
        <f aca="false">IF((SUMIF($KO$3:$KX$3,KR$60,$KO$4:$KX$4))=0,0,((SUMIF($KO$3:$KX$3,KR$60,$KO141:$KX141))/SUMIF($KO$3:$KX$3,KR$60,$KO$4:$KX$4)))</f>
        <v>0</v>
      </c>
      <c r="KS92" s="199" t="n">
        <f aca="false">IF((SUMIF($KO$3:$KX$3,KS$60,$KO$4:$KX$4))=0,0,((SUMIF($KO$3:$KX$3,KS$60,$KO141:$KX141))/SUMIF($KO$3:$KX$3,KS$60,$KO$4:$KX$4)))</f>
        <v>0</v>
      </c>
      <c r="KT92" s="199" t="n">
        <f aca="false">IF((SUMIF($KO$3:$KX$3,KT$60,$KO$4:$KX$4))=0,0,((SUMIF($KO$3:$KX$3,KT$60,$KO141:$KX141))/SUMIF($KO$3:$KX$3,KT$60,$KO$4:$KX$4)))</f>
        <v>0</v>
      </c>
      <c r="KU92" s="199" t="n">
        <f aca="false">IF((SUMIF($KO$3:$KX$3,KU$60,$KO$4:$KX$4))=0,0,((SUMIF($KO$3:$KX$3,KU$60,$KO141:$KX141))/SUMIF($KO$3:$KX$3,KU$60,$KO$4:$KX$4)))</f>
        <v>0</v>
      </c>
      <c r="KV92" s="199" t="n">
        <f aca="false">IF((SUMIF($KO$3:$KX$3,KV$60,$KO$4:$KX$4))=0,0,((SUMIF($KO$3:$KX$3,KV$60,$KO141:$KX141))/SUMIF($KO$3:$KX$3,KV$60,$KO$4:$KX$4)))</f>
        <v>0</v>
      </c>
      <c r="KW92" s="199" t="n">
        <f aca="false">IF((SUMIF($KO$3:$KX$3,KW$60,$KO$4:$KX$4))=0,0,((SUMIF($KO$3:$KX$3,KW$60,$KO141:$KX141))/SUMIF($KO$3:$KX$3,KW$60,$KO$4:$KX$4)))</f>
        <v>0</v>
      </c>
      <c r="KX92" s="200" t="n">
        <f aca="false">IF((SUMIF($KO$3:$KX$3,KX$60,$KO$4:$KX$4))=0,0,((SUMIF($KO$3:$KX$3,KX$60,$KO141:$KX141))/SUMIF($KO$3:$KX$3,KX$60,$KO$4:$KX$4)))</f>
        <v>0</v>
      </c>
      <c r="KY92" s="194" t="str">
        <f aca="false">KN92</f>
        <v>Alumno31</v>
      </c>
      <c r="KZ92" s="198" t="n">
        <f aca="false">IF((SUMIF($KZ$3:$LI$3,KZ$60,$KZ$4:$LI$4))=0,0,((SUMIF($KZ$3:$LI$3,KZ$60,$KZ141:$LI141))/SUMIF($KZ$3:$LI$3,KZ$60,$KZ$4:$LI$4)))</f>
        <v>0</v>
      </c>
      <c r="LA92" s="199" t="n">
        <f aca="false">IF((SUMIF($KZ$3:$LI$3,LA$60,$KZ$4:$LI$4))=0,0,((SUMIF($KZ$3:$LI$3,LA$60,$KZ141:$LI141))/SUMIF($KZ$3:$LI$3,LA$60,$KZ$4:$LI$4)))</f>
        <v>0</v>
      </c>
      <c r="LB92" s="199" t="n">
        <f aca="false">IF((SUMIF($KZ$3:$LI$3,LB$60,$KZ$4:$LI$4))=0,0,((SUMIF($KZ$3:$LI$3,LB$60,$KZ141:$LI141))/SUMIF($KZ$3:$LI$3,LB$60,$KZ$4:$LI$4)))</f>
        <v>0</v>
      </c>
      <c r="LC92" s="199" t="n">
        <f aca="false">IF((SUMIF($KZ$3:$LI$3,LC$60,$KZ$4:$LI$4))=0,0,((SUMIF($KZ$3:$LI$3,LC$60,$KZ141:$LI141))/SUMIF($KZ$3:$LI$3,LC$60,$KZ$4:$LI$4)))</f>
        <v>0</v>
      </c>
      <c r="LD92" s="199" t="n">
        <f aca="false">IF((SUMIF($KZ$3:$LI$3,LD$60,$KZ$4:$LI$4))=0,0,((SUMIF($KZ$3:$LI$3,LD$60,$KZ141:$LI141))/SUMIF($KZ$3:$LI$3,LD$60,$KZ$4:$LI$4)))</f>
        <v>0</v>
      </c>
      <c r="LE92" s="199" t="n">
        <f aca="false">IF((SUMIF($KZ$3:$LI$3,LE$60,$KZ$4:$LI$4))=0,0,((SUMIF($KZ$3:$LI$3,LE$60,$KZ141:$LI141))/SUMIF($KZ$3:$LI$3,LE$60,$KZ$4:$LI$4)))</f>
        <v>0</v>
      </c>
      <c r="LF92" s="199" t="n">
        <f aca="false">IF((SUMIF($KZ$3:$LI$3,LF$60,$KZ$4:$LI$4))=0,0,((SUMIF($KZ$3:$LI$3,LF$60,$KZ141:$LI141))/SUMIF($KZ$3:$LI$3,LF$60,$KZ$4:$LI$4)))</f>
        <v>0</v>
      </c>
      <c r="LG92" s="199" t="n">
        <f aca="false">IF((SUMIF($KZ$3:$LI$3,LG$60,$KZ$4:$LI$4))=0,0,((SUMIF($KZ$3:$LI$3,LG$60,$KZ141:$LI141))/SUMIF($KZ$3:$LI$3,LG$60,$KZ$4:$LI$4)))</f>
        <v>0</v>
      </c>
      <c r="LH92" s="199" t="n">
        <f aca="false">IF((SUMIF($KZ$3:$LI$3,LH$60,$KZ$4:$LI$4))=0,0,((SUMIF($KZ$3:$LI$3,LH$60,$KZ141:$LI141))/SUMIF($KZ$3:$LI$3,LH$60,$KZ$4:$LI$4)))</f>
        <v>0</v>
      </c>
      <c r="LI92" s="200" t="n">
        <f aca="false">IF((SUMIF($KZ$3:$LI$3,LI$60,$KZ$4:$LI$4))=0,0,((SUMIF($KZ$3:$LI$3,LI$60,$KZ141:$LI141))/SUMIF($KZ$3:$LI$3,LI$60,$KZ$4:$LI$4)))</f>
        <v>0</v>
      </c>
      <c r="LJ92" s="194" t="str">
        <f aca="false">KY92</f>
        <v>Alumno31</v>
      </c>
      <c r="LK92" s="198" t="n">
        <f aca="false">IF((SUMIF($LK$3:$LT$3,LK$60,$LK$4:$LT$4))=0,0,((SUMIF($LK$3:$LT$3,LK$60,$LK141:$LT141))/SUMIF($LK$3:$LT$3,LK$60,$LK$4:$LT$4)))</f>
        <v>0</v>
      </c>
      <c r="LL92" s="199" t="n">
        <f aca="false">IF((SUMIF($LK$3:$LT$3,LL$60,$LK$4:$LT$4))=0,0,((SUMIF($LK$3:$LT$3,LL$60,$LK141:$LT141))/SUMIF($LK$3:$LT$3,LL$60,$LK$4:$LT$4)))</f>
        <v>0</v>
      </c>
      <c r="LM92" s="199" t="n">
        <f aca="false">IF((SUMIF($LK$3:$LT$3,LM$60,$LK$4:$LT$4))=0,0,((SUMIF($LK$3:$LT$3,LM$60,$LK141:$LT141))/SUMIF($LK$3:$LT$3,LM$60,$LK$4:$LT$4)))</f>
        <v>0</v>
      </c>
      <c r="LN92" s="199" t="n">
        <f aca="false">IF((SUMIF($LK$3:$LT$3,LN$60,$LK$4:$LT$4))=0,0,((SUMIF($LK$3:$LT$3,LN$60,$LK141:$LT141))/SUMIF($LK$3:$LT$3,LN$60,$LK$4:$LT$4)))</f>
        <v>0</v>
      </c>
      <c r="LO92" s="199" t="n">
        <f aca="false">IF((SUMIF($LK$3:$LT$3,LO$60,$LK$4:$LT$4))=0,0,((SUMIF($LK$3:$LT$3,LO$60,$LK141:$LT141))/SUMIF($LK$3:$LT$3,LO$60,$LK$4:$LT$4)))</f>
        <v>0</v>
      </c>
      <c r="LP92" s="199" t="n">
        <f aca="false">IF((SUMIF($LK$3:$LT$3,LP$60,$LK$4:$LT$4))=0,0,((SUMIF($LK$3:$LT$3,LP$60,$LK141:$LT141))/SUMIF($LK$3:$LT$3,LP$60,$LK$4:$LT$4)))</f>
        <v>0</v>
      </c>
      <c r="LQ92" s="199" t="n">
        <f aca="false">IF((SUMIF($LK$3:$LT$3,LQ$60,$LK$4:$LT$4))=0,0,((SUMIF($LK$3:$LT$3,LQ$60,$LK141:$LT141))/SUMIF($LK$3:$LT$3,LQ$60,$LK$4:$LT$4)))</f>
        <v>0</v>
      </c>
      <c r="LR92" s="199" t="n">
        <f aca="false">IF((SUMIF($LK$3:$LT$3,LR$60,$LK$4:$LT$4))=0,0,((SUMIF($LK$3:$LT$3,LR$60,$LK141:$LT141))/SUMIF($LK$3:$LT$3,LR$60,$LK$4:$LT$4)))</f>
        <v>0</v>
      </c>
      <c r="LS92" s="199" t="n">
        <f aca="false">IF((SUMIF($LK$3:$LT$3,LS$60,$LK$4:$LT$4))=0,0,((SUMIF($LK$3:$LT$3,LS$60,$LK141:$LT141))/SUMIF($LK$3:$LT$3,LS$60,$LK$4:$LT$4)))</f>
        <v>0</v>
      </c>
      <c r="LT92" s="200" t="n">
        <f aca="false">IF((SUMIF($LK$3:$LT$3,LT$60,$LK$4:$LT$4))=0,0,((SUMIF($LK$3:$LT$3,LT$60,$LK141:$LT141))/SUMIF($LK$3:$LT$3,LT$60,$LK$4:$LT$4)))</f>
        <v>0</v>
      </c>
    </row>
    <row r="93" customFormat="false" ht="15" hidden="true" customHeight="false" outlineLevel="0" collapsed="false">
      <c r="C93" s="194" t="str">
        <f aca="false">B37</f>
        <v>Alumno32</v>
      </c>
      <c r="D93" s="198" t="n">
        <f aca="false">IF((SUMIF($D$3:$M$3,D$60,$D$4:$M$4))=0,0,((SUMIF($D$3:$M$3,D$60,$D142:$M142))/SUMIF($D$3:$M$3,D$60,$D$4:$M$4)))</f>
        <v>0</v>
      </c>
      <c r="E93" s="199" t="n">
        <f aca="false">IF((SUMIF($D$3:$M$3,E$60,$D$4:$M$4))=0,0,((SUMIF($D$3:$M$3,E$60,$D142:$M142))/SUMIF($D$3:$M$3,E$60,$D$4:$M$4)))</f>
        <v>0</v>
      </c>
      <c r="F93" s="199" t="n">
        <f aca="false">IF((SUMIF($D$3:$M$3,F$60,$D$4:$M$4))=0,0,((SUMIF($D$3:$M$3,F$60,$D142:$M142))/SUMIF($D$3:$M$3,F$60,$D$4:$M$4)))</f>
        <v>0</v>
      </c>
      <c r="G93" s="199" t="n">
        <f aca="false">IF((SUMIF($D$3:$M$3,G$60,$D$4:$M$4))=0,0,((SUMIF($D$3:$M$3,G$60,$D142:$M142))/SUMIF($D$3:$M$3,G$60,$D$4:$M$4)))</f>
        <v>0</v>
      </c>
      <c r="H93" s="199" t="n">
        <f aca="false">IF((SUMIF($D$3:$M$3,H$60,$D$4:$M$4))=0,0,((SUMIF($D$3:$M$3,H$60,$D142:$M142))/SUMIF($D$3:$M$3,H$60,$D$4:$M$4)))</f>
        <v>0</v>
      </c>
      <c r="I93" s="199" t="n">
        <f aca="false">IF((SUMIF($D$3:$M$3,I$60,$D$4:$M$4))=0,0,((SUMIF($D$3:$M$3,I$60,$D142:$M142))/SUMIF($D$3:$M$3,I$60,$D$4:$M$4)))</f>
        <v>0</v>
      </c>
      <c r="J93" s="199" t="n">
        <f aca="false">IF((SUMIF($D$3:$M$3,J$60,$D$4:$M$4))=0,0,((SUMIF($D$3:$M$3,J$60,$D142:$M142))/SUMIF($D$3:$M$3,J$60,$D$4:$M$4)))</f>
        <v>0</v>
      </c>
      <c r="K93" s="199" t="n">
        <f aca="false">IF((SUMIF($D$3:$M$3,K$60,$D$4:$M$4))=0,0,((SUMIF($D$3:$M$3,K$60,$D142:$M142))/SUMIF($D$3:$M$3,K$60,$D$4:$M$4)))</f>
        <v>0</v>
      </c>
      <c r="L93" s="199" t="n">
        <f aca="false">IF((SUMIF($D$3:$M$3,L$60,$D$4:$M$4))=0,0,((SUMIF($D$3:$M$3,L$60,$D142:$M142))/SUMIF($D$3:$M$3,L$60,$D$4:$M$4)))</f>
        <v>0</v>
      </c>
      <c r="M93" s="200" t="n">
        <f aca="false">IF((SUMIF($D$3:$M$3,M$60,$D$4:$M$4))=0,0,((SUMIF($D$3:$M$3,M$60,$D142:$M142))/SUMIF($D$3:$M$3,M$60,$D$4:$M$4)))</f>
        <v>0</v>
      </c>
      <c r="N93" s="194" t="str">
        <f aca="false">C93</f>
        <v>Alumno32</v>
      </c>
      <c r="O93" s="198" t="n">
        <f aca="false">IF((SUMIF($O$3:$X$3,O$60,$O$4:$X$4))=0,0,((SUMIF($O$3:$X$3,O$60,$O142:$X142))/SUMIF($O$3:$X$3,O$60,$O$4:$X$4)))</f>
        <v>0</v>
      </c>
      <c r="P93" s="199" t="n">
        <f aca="false">IF((SUMIF($O$3:$X$3,P$60,$O$4:$X$4))=0,0,((SUMIF($O$3:$X$3,P$60,$O142:$X142))/SUMIF($O$3:$X$3,P$60,$O$4:$X$4)))</f>
        <v>0</v>
      </c>
      <c r="Q93" s="199" t="n">
        <f aca="false">IF((SUMIF($O$3:$X$3,Q$60,$O$4:$X$4))=0,0,((SUMIF($O$3:$X$3,Q$60,$O142:$X142))/SUMIF($O$3:$X$3,Q$60,$O$4:$X$4)))</f>
        <v>0</v>
      </c>
      <c r="R93" s="199" t="n">
        <f aca="false">IF((SUMIF($O$3:$X$3,R$60,$O$4:$X$4))=0,0,((SUMIF($O$3:$X$3,R$60,$O142:$X142))/SUMIF($O$3:$X$3,R$60,$O$4:$X$4)))</f>
        <v>0</v>
      </c>
      <c r="S93" s="199" t="n">
        <f aca="false">IF((SUMIF($O$3:$X$3,S$60,$O$4:$X$4))=0,0,((SUMIF($O$3:$X$3,S$60,$O142:$X142))/SUMIF($O$3:$X$3,S$60,$O$4:$X$4)))</f>
        <v>0</v>
      </c>
      <c r="T93" s="199" t="n">
        <f aca="false">IF((SUMIF($O$3:$X$3,T$60,$O$4:$X$4))=0,0,((SUMIF($O$3:$X$3,T$60,$O142:$X142))/SUMIF($O$3:$X$3,T$60,$O$4:$X$4)))</f>
        <v>0</v>
      </c>
      <c r="U93" s="199" t="n">
        <f aca="false">IF((SUMIF($O$3:$X$3,U$60,$O$4:$X$4))=0,0,((SUMIF($O$3:$X$3,U$60,$O142:$X142))/SUMIF($O$3:$X$3,U$60,$O$4:$X$4)))</f>
        <v>0</v>
      </c>
      <c r="V93" s="199" t="n">
        <f aca="false">IF((SUMIF($O$3:$X$3,V$60,$O$4:$X$4))=0,0,((SUMIF($O$3:$X$3,V$60,$O142:$X142))/SUMIF($O$3:$X$3,V$60,$O$4:$X$4)))</f>
        <v>0</v>
      </c>
      <c r="W93" s="199" t="n">
        <f aca="false">IF((SUMIF($O$3:$X$3,W$60,$O$4:$X$4))=0,0,((SUMIF($O$3:$X$3,W$60,$O142:$X142))/SUMIF($O$3:$X$3,W$60,$O$4:$X$4)))</f>
        <v>0</v>
      </c>
      <c r="X93" s="200" t="n">
        <f aca="false">IF((SUMIF($O$3:$X$3,X$60,$O$4:$X$4))=0,0,((SUMIF($O$3:$X$3,X$60,$O142:$X142))/SUMIF($O$3:$X$3,X$60,$O$4:$X$4)))</f>
        <v>0</v>
      </c>
      <c r="Y93" s="194" t="str">
        <f aca="false">N93</f>
        <v>Alumno32</v>
      </c>
      <c r="Z93" s="198" t="n">
        <f aca="false">IF((SUMIF($Z$3:$AI$3,Z$60,$Z$4:$AI$4))=0,0,((SUMIF($Z$3:$AI$3,Z$60,$Z142:$AI142))/SUMIF($Z$3:$AI$3,Z$60,$Z$4:$AI$4)))</f>
        <v>0</v>
      </c>
      <c r="AA93" s="199" t="n">
        <f aca="false">IF((SUMIF($Z$3:$AI$3,AA$60,$Z$4:$AI$4))=0,0,((SUMIF($Z$3:$AI$3,AA$60,$Z142:$AI142))/SUMIF($Z$3:$AI$3,AA$60,$Z$4:$AI$4)))</f>
        <v>0</v>
      </c>
      <c r="AB93" s="199" t="n">
        <f aca="false">IF((SUMIF($Z$3:$AI$3,AB$60,$Z$4:$AI$4))=0,0,((SUMIF($Z$3:$AI$3,AB$60,$Z142:$AI142))/SUMIF($Z$3:$AI$3,AB$60,$Z$4:$AI$4)))</f>
        <v>0</v>
      </c>
      <c r="AC93" s="199" t="n">
        <f aca="false">IF((SUMIF($Z$3:$AI$3,AC$60,$Z$4:$AI$4))=0,0,((SUMIF($Z$3:$AI$3,AC$60,$Z142:$AI142))/SUMIF($Z$3:$AI$3,AC$60,$Z$4:$AI$4)))</f>
        <v>0</v>
      </c>
      <c r="AD93" s="199" t="n">
        <f aca="false">IF((SUMIF($Z$3:$AI$3,AD$60,$Z$4:$AI$4))=0,0,((SUMIF($Z$3:$AI$3,AD$60,$Z142:$AI142))/SUMIF($Z$3:$AI$3,AD$60,$Z$4:$AI$4)))</f>
        <v>0</v>
      </c>
      <c r="AE93" s="199" t="n">
        <f aca="false">IF((SUMIF($Z$3:$AI$3,AE$60,$Z$4:$AI$4))=0,0,((SUMIF($Z$3:$AI$3,AE$60,$Z142:$AI142))/SUMIF($Z$3:$AI$3,AE$60,$Z$4:$AI$4)))</f>
        <v>0</v>
      </c>
      <c r="AF93" s="199" t="n">
        <f aca="false">IF((SUMIF($Z$3:$AI$3,AF$60,$Z$4:$AI$4))=0,0,((SUMIF($Z$3:$AI$3,AF$60,$Z142:$AI142))/SUMIF($Z$3:$AI$3,AF$60,$Z$4:$AI$4)))</f>
        <v>0</v>
      </c>
      <c r="AG93" s="199" t="n">
        <f aca="false">IF((SUMIF($Z$3:$AI$3,AG$60,$Z$4:$AI$4))=0,0,((SUMIF($Z$3:$AI$3,AG$60,$Z142:$AI142))/SUMIF($Z$3:$AI$3,AG$60,$Z$4:$AI$4)))</f>
        <v>0</v>
      </c>
      <c r="AH93" s="199" t="n">
        <f aca="false">IF((SUMIF($Z$3:$AI$3,AH$60,$Z$4:$AI$4))=0,0,((SUMIF($Z$3:$AI$3,AH$60,$Z142:$AI142))/SUMIF($Z$3:$AI$3,AH$60,$Z$4:$AI$4)))</f>
        <v>0</v>
      </c>
      <c r="AI93" s="200" t="n">
        <f aca="false">IF((SUMIF($Z$3:$AI$3,AI$60,$Z$4:$AI$4))=0,0,((SUMIF($Z$3:$AI$3,AI$60,$Z142:$AI142))/SUMIF($Z$3:$AI$3,AI$60,$Z$4:$AI$4)))</f>
        <v>0</v>
      </c>
      <c r="AJ93" s="194" t="str">
        <f aca="false">Y93</f>
        <v>Alumno32</v>
      </c>
      <c r="AK93" s="198" t="n">
        <f aca="false">IF((SUMIF($AK$3:$AT$3,AK$60,$AK$4:$AT$4))=0,0,((SUMIF($AK$3:$AT$3,AK$60,$AK142:$AT142))/SUMIF($AK$3:$AT$3,AK$60,$AK$4:$AT$4)))</f>
        <v>0</v>
      </c>
      <c r="AL93" s="199" t="n">
        <f aca="false">IF((SUMIF($AK$3:$AT$3,AL$60,$AK$4:$AT$4))=0,0,((SUMIF($AK$3:$AT$3,AL$60,$AK142:$AT142))/SUMIF($AK$3:$AT$3,AL$60,$AK$4:$AT$4)))</f>
        <v>0</v>
      </c>
      <c r="AM93" s="199" t="n">
        <f aca="false">IF((SUMIF($AK$3:$AT$3,AM$60,$AK$4:$AT$4))=0,0,((SUMIF($AK$3:$AT$3,AM$60,$AK142:$AT142))/SUMIF($AK$3:$AT$3,AM$60,$AK$4:$AT$4)))</f>
        <v>0</v>
      </c>
      <c r="AN93" s="199" t="n">
        <f aca="false">IF((SUMIF($AK$3:$AT$3,AN$60,$AK$4:$AT$4))=0,0,((SUMIF($AK$3:$AT$3,AN$60,$AK142:$AT142))/SUMIF($AK$3:$AT$3,AN$60,$AK$4:$AT$4)))</f>
        <v>0</v>
      </c>
      <c r="AO93" s="199" t="n">
        <f aca="false">IF((SUMIF($AK$3:$AT$3,AO$60,$AK$4:$AT$4))=0,0,((SUMIF($AK$3:$AT$3,AO$60,$AK142:$AT142))/SUMIF($AK$3:$AT$3,AO$60,$AK$4:$AT$4)))</f>
        <v>0</v>
      </c>
      <c r="AP93" s="199" t="n">
        <f aca="false">IF((SUMIF($AK$3:$AT$3,AP$60,$AK$4:$AT$4))=0,0,((SUMIF($AK$3:$AT$3,AP$60,$AK142:$AT142))/SUMIF($AK$3:$AT$3,AP$60,$AK$4:$AT$4)))</f>
        <v>0</v>
      </c>
      <c r="AQ93" s="199" t="n">
        <f aca="false">IF((SUMIF($AK$3:$AT$3,AQ$60,$AK$4:$AT$4))=0,0,((SUMIF($AK$3:$AT$3,AQ$60,$AK142:$AT142))/SUMIF($AK$3:$AT$3,AQ$60,$AK$4:$AT$4)))</f>
        <v>0</v>
      </c>
      <c r="AR93" s="199" t="n">
        <f aca="false">IF((SUMIF($AK$3:$AT$3,AR$60,$AK$4:$AT$4))=0,0,((SUMIF($AK$3:$AT$3,AR$60,$AK142:$AT142))/SUMIF($AK$3:$AT$3,AR$60,$AK$4:$AT$4)))</f>
        <v>0</v>
      </c>
      <c r="AS93" s="199" t="n">
        <f aca="false">IF((SUMIF($AK$3:$AT$3,AS$60,$AK$4:$AT$4))=0,0,((SUMIF($AK$3:$AT$3,AS$60,$AK142:$AT142))/SUMIF($AK$3:$AT$3,AS$60,$AK$4:$AT$4)))</f>
        <v>0</v>
      </c>
      <c r="AT93" s="200" t="n">
        <f aca="false">IF((SUMIF($AK$3:$AT$3,AT$60,$AK$4:$AT$4))=0,0,((SUMIF($AK$3:$AT$3,AT$60,$AK142:$AT142))/SUMIF($AK$3:$AT$3,AT$60,$AK$4:$AT$4)))</f>
        <v>0</v>
      </c>
      <c r="AU93" s="194" t="str">
        <f aca="false">AJ93</f>
        <v>Alumno32</v>
      </c>
      <c r="AV93" s="198" t="n">
        <f aca="false">IF((SUMIF($AV$3:$BE$3,AV$60,$AV$4:$BE$4))=0,0,((SUMIF($AV$3:$BE$3,AV$60,$AV142:$BE142))/SUMIF($AV$3:$BE$3,AV$60,$AV$4:$BE$4)))</f>
        <v>0</v>
      </c>
      <c r="AW93" s="199" t="n">
        <f aca="false">IF((SUMIF($AV$3:$BE$3,AW$60,$AV$4:$BE$4))=0,0,((SUMIF($AV$3:$BE$3,AW$60,$AV142:$BE142))/SUMIF($AV$3:$BE$3,AW$60,$AV$4:$BE$4)))</f>
        <v>0</v>
      </c>
      <c r="AX93" s="199" t="n">
        <f aca="false">IF((SUMIF($AV$3:$BE$3,AX$60,$AV$4:$BE$4))=0,0,((SUMIF($AV$3:$BE$3,AX$60,$AV142:$BE142))/SUMIF($AV$3:$BE$3,AX$60,$AV$4:$BE$4)))</f>
        <v>0</v>
      </c>
      <c r="AY93" s="199" t="n">
        <f aca="false">IF((SUMIF($AV$3:$BE$3,AY$60,$AV$4:$BE$4))=0,0,((SUMIF($AV$3:$BE$3,AY$60,$AV142:$BE142))/SUMIF($AV$3:$BE$3,AY$60,$AV$4:$BE$4)))</f>
        <v>0</v>
      </c>
      <c r="AZ93" s="199" t="n">
        <f aca="false">IF((SUMIF($AV$3:$BE$3,AZ$60,$AV$4:$BE$4))=0,0,((SUMIF($AV$3:$BE$3,AZ$60,$AV142:$BE142))/SUMIF($AV$3:$BE$3,AZ$60,$AV$4:$BE$4)))</f>
        <v>0</v>
      </c>
      <c r="BA93" s="199" t="n">
        <f aca="false">IF((SUMIF($AV$3:$BE$3,BA$60,$AV$4:$BE$4))=0,0,((SUMIF($AV$3:$BE$3,BA$60,$AV142:$BE142))/SUMIF($AV$3:$BE$3,BA$60,$AV$4:$BE$4)))</f>
        <v>0</v>
      </c>
      <c r="BB93" s="199" t="n">
        <f aca="false">IF((SUMIF($AV$3:$BE$3,BB$60,$AV$4:$BE$4))=0,0,((SUMIF($AV$3:$BE$3,BB$60,$AV142:$BE142))/SUMIF($AV$3:$BE$3,BB$60,$AV$4:$BE$4)))</f>
        <v>0</v>
      </c>
      <c r="BC93" s="199" t="n">
        <f aca="false">IF((SUMIF($AV$3:$BE$3,BC$60,$AV$4:$BE$4))=0,0,((SUMIF($AV$3:$BE$3,BC$60,$AV142:$BE142))/SUMIF($AV$3:$BE$3,BC$60,$AV$4:$BE$4)))</f>
        <v>0</v>
      </c>
      <c r="BD93" s="199" t="n">
        <f aca="false">IF((SUMIF($AV$3:$BE$3,BD$60,$AV$4:$BE$4))=0,0,((SUMIF($AV$3:$BE$3,BD$60,$AV142:$BE142))/SUMIF($AV$3:$BE$3,BD$60,$AV$4:$BE$4)))</f>
        <v>0</v>
      </c>
      <c r="BE93" s="200" t="n">
        <f aca="false">IF((SUMIF($AV$3:$BE$3,BE$60,$AV$4:$BE$4))=0,0,((SUMIF($AV$3:$BE$3,BE$60,$AV142:$BE142))/SUMIF($AV$3:$BE$3,BE$60,$AV$4:$BE$4)))</f>
        <v>0</v>
      </c>
      <c r="BF93" s="194" t="str">
        <f aca="false">AU93</f>
        <v>Alumno32</v>
      </c>
      <c r="BG93" s="198" t="n">
        <f aca="false">IF((SUMIF($BG$3:$BP$3,BG$60,$BG$4:$BP$4))=0,0,((SUMIF($BG$3:$BP$3,BG$60,$BG142:$BP142))/SUMIF($BG$3:$BP$3,BG$60,$BG$4:$BP$4)))</f>
        <v>0</v>
      </c>
      <c r="BH93" s="199" t="n">
        <f aca="false">IF((SUMIF($BG$3:$BP$3,BH$60,$BG$4:$BP$4))=0,0,((SUMIF($BG$3:$BP$3,BH$60,$BG142:$BP142))/SUMIF($BG$3:$BP$3,BH$60,$BG$4:$BP$4)))</f>
        <v>0</v>
      </c>
      <c r="BI93" s="199" t="n">
        <f aca="false">IF((SUMIF($BG$3:$BP$3,BI$60,$BG$4:$BP$4))=0,0,((SUMIF($BG$3:$BP$3,BI$60,$BG142:$BP142))/SUMIF($BG$3:$BP$3,BI$60,$BG$4:$BP$4)))</f>
        <v>0</v>
      </c>
      <c r="BJ93" s="199" t="n">
        <f aca="false">IF((SUMIF($BG$3:$BP$3,BJ$60,$BG$4:$BP$4))=0,0,((SUMIF($BG$3:$BP$3,BJ$60,$BG142:$BP142))/SUMIF($BG$3:$BP$3,BJ$60,$BG$4:$BP$4)))</f>
        <v>0</v>
      </c>
      <c r="BK93" s="199" t="n">
        <f aca="false">IF((SUMIF($BG$3:$BP$3,BK$60,$BG$4:$BP$4))=0,0,((SUMIF($BG$3:$BP$3,BK$60,$BG142:$BP142))/SUMIF($BG$3:$BP$3,BK$60,$BG$4:$BP$4)))</f>
        <v>0</v>
      </c>
      <c r="BL93" s="199" t="n">
        <f aca="false">IF((SUMIF($BG$3:$BP$3,BL$60,$BG$4:$BP$4))=0,0,((SUMIF($BG$3:$BP$3,BL$60,$BG142:$BP142))/SUMIF($BG$3:$BP$3,BL$60,$BG$4:$BP$4)))</f>
        <v>0</v>
      </c>
      <c r="BM93" s="199" t="n">
        <f aca="false">IF((SUMIF($BG$3:$BP$3,BM$60,$BG$4:$BP$4))=0,0,((SUMIF($BG$3:$BP$3,BM$60,$BG142:$BP142))/SUMIF($BG$3:$BP$3,BM$60,$BG$4:$BP$4)))</f>
        <v>0</v>
      </c>
      <c r="BN93" s="199" t="n">
        <f aca="false">IF((SUMIF($BG$3:$BP$3,BN$60,$BG$4:$BP$4))=0,0,((SUMIF($BG$3:$BP$3,BN$60,$BG142:$BP142))/SUMIF($BG$3:$BP$3,BN$60,$BG$4:$BP$4)))</f>
        <v>0</v>
      </c>
      <c r="BO93" s="199" t="n">
        <f aca="false">IF((SUMIF($BG$3:$BP$3,BO$60,$BG$4:$BP$4))=0,0,((SUMIF($BG$3:$BP$3,BO$60,$BG142:$BP142))/SUMIF($BG$3:$BP$3,BO$60,$BG$4:$BP$4)))</f>
        <v>0</v>
      </c>
      <c r="BP93" s="200" t="n">
        <f aca="false">IF((SUMIF($BG$3:$BP$3,BP$60,$BG$4:$BP$4))=0,0,((SUMIF($BG$3:$BP$3,BP$60,$BG142:$BP142))/SUMIF($BG$3:$BP$3,BP$60,$BG$4:$BP$4)))</f>
        <v>0</v>
      </c>
      <c r="BQ93" s="194" t="str">
        <f aca="false">BF93</f>
        <v>Alumno32</v>
      </c>
      <c r="BR93" s="198" t="n">
        <f aca="false">IF((SUMIF($BR$3:$CA$3,BR$60,$BR$4:$CA$4))=0,0,((SUMIF($BR$3:$CA$3,BR$60,$BR142:$CA142))/SUMIF($BR$3:$CA$3,BR$60,$BR$4:$CA$4)))</f>
        <v>0</v>
      </c>
      <c r="BS93" s="199" t="n">
        <f aca="false">IF((SUMIF($BR$3:$CA$3,BS$60,$BR$4:$CA$4))=0,0,((SUMIF($BR$3:$CA$3,BS$60,$BR142:$CA142))/SUMIF($BR$3:$CA$3,BS$60,$BR$4:$CA$4)))</f>
        <v>0</v>
      </c>
      <c r="BT93" s="199" t="n">
        <f aca="false">IF((SUMIF($BR$3:$CA$3,BT$60,$BR$4:$CA$4))=0,0,((SUMIF($BR$3:$CA$3,BT$60,$BR142:$CA142))/SUMIF($BR$3:$CA$3,BT$60,$BR$4:$CA$4)))</f>
        <v>0</v>
      </c>
      <c r="BU93" s="199" t="n">
        <f aca="false">IF((SUMIF($BR$3:$CA$3,BU$60,$BR$4:$CA$4))=0,0,((SUMIF($BR$3:$CA$3,BU$60,$BR142:$CA142))/SUMIF($BR$3:$CA$3,BU$60,$BR$4:$CA$4)))</f>
        <v>0</v>
      </c>
      <c r="BV93" s="199" t="n">
        <f aca="false">IF((SUMIF($BR$3:$CA$3,BV$60,$BR$4:$CA$4))=0,0,((SUMIF($BR$3:$CA$3,BV$60,$BR142:$CA142))/SUMIF($BR$3:$CA$3,BV$60,$BR$4:$CA$4)))</f>
        <v>0</v>
      </c>
      <c r="BW93" s="199" t="n">
        <f aca="false">IF((SUMIF($BR$3:$CA$3,BW$60,$BR$4:$CA$4))=0,0,((SUMIF($BR$3:$CA$3,BW$60,$BR142:$CA142))/SUMIF($BR$3:$CA$3,BW$60,$BR$4:$CA$4)))</f>
        <v>0</v>
      </c>
      <c r="BX93" s="199" t="n">
        <f aca="false">IF((SUMIF($BR$3:$CA$3,BX$60,$BR$4:$CA$4))=0,0,((SUMIF($BR$3:$CA$3,BX$60,$BR142:$CA142))/SUMIF($BR$3:$CA$3,BX$60,$BR$4:$CA$4)))</f>
        <v>0</v>
      </c>
      <c r="BY93" s="199" t="n">
        <f aca="false">IF((SUMIF($BR$3:$CA$3,BY$60,$BR$4:$CA$4))=0,0,((SUMIF($BR$3:$CA$3,BY$60,$BR142:$CA142))/SUMIF($BR$3:$CA$3,BY$60,$BR$4:$CA$4)))</f>
        <v>0</v>
      </c>
      <c r="BZ93" s="199" t="n">
        <f aca="false">IF((SUMIF($BR$3:$CA$3,BZ$60,$BR$4:$CA$4))=0,0,((SUMIF($BR$3:$CA$3,BZ$60,$BR142:$CA142))/SUMIF($BR$3:$CA$3,BZ$60,$BR$4:$CA$4)))</f>
        <v>0</v>
      </c>
      <c r="CA93" s="200" t="n">
        <f aca="false">IF((SUMIF($BR$3:$CA$3,CA$60,$BR$4:$CA$4))=0,0,((SUMIF($BR$3:$CA$3,CA$60,$BR142:$CA142))/SUMIF($BR$3:$CA$3,CA$60,$BR$4:$CA$4)))</f>
        <v>0</v>
      </c>
      <c r="CB93" s="194" t="str">
        <f aca="false">BQ93</f>
        <v>Alumno32</v>
      </c>
      <c r="CC93" s="198" t="n">
        <f aca="false">IF((SUMIF($CC$3:$CL$3,CC$60,$CC$4:$CL$4))=0,0,((SUMIF($CC$3:$CL$3,CC$60,$CC142:$CL142))/SUMIF($CC$3:$CL$3,CC$60,$CC$4:$CL$4)))</f>
        <v>0</v>
      </c>
      <c r="CD93" s="199" t="n">
        <f aca="false">IF((SUMIF($CC$3:$CL$3,CD$60,$CC$4:$CL$4))=0,0,((SUMIF($CC$3:$CL$3,CD$60,$CC142:$CL142))/SUMIF($CC$3:$CL$3,CD$60,$CC$4:$CL$4)))</f>
        <v>0</v>
      </c>
      <c r="CE93" s="199" t="n">
        <f aca="false">IF((SUMIF($CC$3:$CL$3,CE$60,$CC$4:$CL$4))=0,0,((SUMIF($CC$3:$CL$3,CE$60,$CC142:$CL142))/SUMIF($CC$3:$CL$3,CE$60,$CC$4:$CL$4)))</f>
        <v>0</v>
      </c>
      <c r="CF93" s="199" t="n">
        <f aca="false">IF((SUMIF($CC$3:$CL$3,CF$60,$CC$4:$CL$4))=0,0,((SUMIF($CC$3:$CL$3,CF$60,$CC142:$CL142))/SUMIF($CC$3:$CL$3,CF$60,$CC$4:$CL$4)))</f>
        <v>0</v>
      </c>
      <c r="CG93" s="199" t="n">
        <f aca="false">IF((SUMIF($CC$3:$CL$3,CG$60,$CC$4:$CL$4))=0,0,((SUMIF($CC$3:$CL$3,CG$60,$CC142:$CL142))/SUMIF($CC$3:$CL$3,CG$60,$CC$4:$CL$4)))</f>
        <v>0</v>
      </c>
      <c r="CH93" s="199" t="n">
        <f aca="false">IF((SUMIF($CC$3:$CL$3,CH$60,$CC$4:$CL$4))=0,0,((SUMIF($CC$3:$CL$3,CH$60,$CC142:$CL142))/SUMIF($CC$3:$CL$3,CH$60,$CC$4:$CL$4)))</f>
        <v>0</v>
      </c>
      <c r="CI93" s="199" t="n">
        <f aca="false">IF((SUMIF($CC$3:$CL$3,CI$60,$CC$4:$CL$4))=0,0,((SUMIF($CC$3:$CL$3,CI$60,$CC142:$CL142))/SUMIF($CC$3:$CL$3,CI$60,$CC$4:$CL$4)))</f>
        <v>0</v>
      </c>
      <c r="CJ93" s="199" t="n">
        <f aca="false">IF((SUMIF($CC$3:$CL$3,CJ$60,$CC$4:$CL$4))=0,0,((SUMIF($CC$3:$CL$3,CJ$60,$CC142:$CL142))/SUMIF($CC$3:$CL$3,CJ$60,$CC$4:$CL$4)))</f>
        <v>0</v>
      </c>
      <c r="CK93" s="199" t="n">
        <f aca="false">IF((SUMIF($CC$3:$CL$3,CK$60,$CC$4:$CL$4))=0,0,((SUMIF($CC$3:$CL$3,CK$60,$CC142:$CL142))/SUMIF($CC$3:$CL$3,CK$60,$CC$4:$CL$4)))</f>
        <v>0</v>
      </c>
      <c r="CL93" s="200" t="n">
        <f aca="false">IF((SUMIF($CC$3:$CL$3,CL$60,$CC$4:$CL$4))=0,0,((SUMIF($CC$3:$CL$3,CL$60,$CC142:$CL142))/SUMIF($CC$3:$CL$3,CL$60,$CC$4:$CL$4)))</f>
        <v>0</v>
      </c>
      <c r="CM93" s="194" t="str">
        <f aca="false">CB93</f>
        <v>Alumno32</v>
      </c>
      <c r="CN93" s="198" t="n">
        <f aca="false">IF((SUMIF($CN$3:$CW$3,CN$60,$CN$4:$CW$4))=0,0,((SUMIF($CN$3:$CW$3,CN$60,$CN142:$CW142))/SUMIF($CN$3:$CW$3,CN$60,$CN$4:$CW$4)))</f>
        <v>0</v>
      </c>
      <c r="CO93" s="199" t="n">
        <f aca="false">IF((SUMIF($CN$3:$CW$3,CO$60,$CN$4:$CW$4))=0,0,((SUMIF($CN$3:$CW$3,CO$60,$CN142:$CW142))/SUMIF($CN$3:$CW$3,CO$60,$CN$4:$CW$4)))</f>
        <v>0</v>
      </c>
      <c r="CP93" s="199" t="n">
        <f aca="false">IF((SUMIF($CN$3:$CW$3,CP$60,$CN$4:$CW$4))=0,0,((SUMIF($CN$3:$CW$3,CP$60,$CN142:$CW142))/SUMIF($CN$3:$CW$3,CP$60,$CN$4:$CW$4)))</f>
        <v>0</v>
      </c>
      <c r="CQ93" s="199" t="n">
        <f aca="false">IF((SUMIF($CN$3:$CW$3,CQ$60,$CN$4:$CW$4))=0,0,((SUMIF($CN$3:$CW$3,CQ$60,$CN142:$CW142))/SUMIF($CN$3:$CW$3,CQ$60,$CN$4:$CW$4)))</f>
        <v>0</v>
      </c>
      <c r="CR93" s="199" t="n">
        <f aca="false">IF((SUMIF($CN$3:$CW$3,CR$60,$CN$4:$CW$4))=0,0,((SUMIF($CN$3:$CW$3,CR$60,$CN142:$CW142))/SUMIF($CN$3:$CW$3,CR$60,$CN$4:$CW$4)))</f>
        <v>0</v>
      </c>
      <c r="CS93" s="199" t="n">
        <f aca="false">IF((SUMIF($CN$3:$CW$3,CS$60,$CN$4:$CW$4))=0,0,((SUMIF($CN$3:$CW$3,CS$60,$CN142:$CW142))/SUMIF($CN$3:$CW$3,CS$60,$CN$4:$CW$4)))</f>
        <v>0</v>
      </c>
      <c r="CT93" s="199" t="n">
        <f aca="false">IF((SUMIF($CN$3:$CW$3,CT$60,$CN$4:$CW$4))=0,0,((SUMIF($CN$3:$CW$3,CT$60,$CN142:$CW142))/SUMIF($CN$3:$CW$3,CT$60,$CN$4:$CW$4)))</f>
        <v>0</v>
      </c>
      <c r="CU93" s="199" t="n">
        <f aca="false">IF((SUMIF($CN$3:$CW$3,CU$60,$CN$4:$CW$4))=0,0,((SUMIF($CN$3:$CW$3,CU$60,$CN142:$CW142))/SUMIF($CN$3:$CW$3,CU$60,$CN$4:$CW$4)))</f>
        <v>0</v>
      </c>
      <c r="CV93" s="199" t="n">
        <f aca="false">IF((SUMIF($CN$3:$CW$3,CV$60,$CN$4:$CW$4))=0,0,((SUMIF($CN$3:$CW$3,CV$60,$CN142:$CW142))/SUMIF($CN$3:$CW$3,CV$60,$CN$4:$CW$4)))</f>
        <v>0</v>
      </c>
      <c r="CW93" s="200" t="n">
        <f aca="false">IF((SUMIF($CN$3:$CW$3,CW$60,$CN$4:$CW$4))=0,0,((SUMIF($CN$3:$CW$3,CW$60,$CN142:$CW142))/SUMIF($CN$3:$CW$3,CW$60,$CN$4:$CW$4)))</f>
        <v>0</v>
      </c>
      <c r="CX93" s="194" t="str">
        <f aca="false">CM93</f>
        <v>Alumno32</v>
      </c>
      <c r="CY93" s="198" t="n">
        <f aca="false">IF((SUMIF($CY$3:$DH$3,CY$60,$CY$4:$DH$4))=0,0,((SUMIF($CY$3:$DH$3,CY$60,$CY142:$DH142))/SUMIF($CY$3:$DH$3,CY$60,$CY$4:$DH$4)))</f>
        <v>0</v>
      </c>
      <c r="CZ93" s="199" t="n">
        <f aca="false">IF((SUMIF($CY$3:$DH$3,CZ$60,$CY$4:$DH$4))=0,0,((SUMIF($CY$3:$DH$3,CZ$60,$CY142:$DH142))/SUMIF($CY$3:$DH$3,CZ$60,$CY$4:$DH$4)))</f>
        <v>0</v>
      </c>
      <c r="DA93" s="199" t="n">
        <f aca="false">IF((SUMIF($CY$3:$DH$3,DA$60,$CY$4:$DH$4))=0,0,((SUMIF($CY$3:$DH$3,DA$60,$CY142:$DH142))/SUMIF($CY$3:$DH$3,DA$60,$CY$4:$DH$4)))</f>
        <v>0</v>
      </c>
      <c r="DB93" s="199" t="n">
        <f aca="false">IF((SUMIF($CY$3:$DH$3,DB$60,$CY$4:$DH$4))=0,0,((SUMIF($CY$3:$DH$3,DB$60,$CY142:$DH142))/SUMIF($CY$3:$DH$3,DB$60,$CY$4:$DH$4)))</f>
        <v>0</v>
      </c>
      <c r="DC93" s="199" t="n">
        <f aca="false">IF((SUMIF($CY$3:$DH$3,DC$60,$CY$4:$DH$4))=0,0,((SUMIF($CY$3:$DH$3,DC$60,$CY142:$DH142))/SUMIF($CY$3:$DH$3,DC$60,$CY$4:$DH$4)))</f>
        <v>0</v>
      </c>
      <c r="DD93" s="199" t="n">
        <f aca="false">IF((SUMIF($CY$3:$DH$3,DD$60,$CY$4:$DH$4))=0,0,((SUMIF($CY$3:$DH$3,DD$60,$CY142:$DH142))/SUMIF($CY$3:$DH$3,DD$60,$CY$4:$DH$4)))</f>
        <v>0</v>
      </c>
      <c r="DE93" s="199" t="n">
        <f aca="false">IF((SUMIF($CY$3:$DH$3,DE$60,$CY$4:$DH$4))=0,0,((SUMIF($CY$3:$DH$3,DE$60,$CY142:$DH142))/SUMIF($CY$3:$DH$3,DE$60,$CY$4:$DH$4)))</f>
        <v>0</v>
      </c>
      <c r="DF93" s="199" t="n">
        <f aca="false">IF((SUMIF($CY$3:$DH$3,DF$60,$CY$4:$DH$4))=0,0,((SUMIF($CY$3:$DH$3,DF$60,$CY142:$DH142))/SUMIF($CY$3:$DH$3,DF$60,$CY$4:$DH$4)))</f>
        <v>0</v>
      </c>
      <c r="DG93" s="199" t="n">
        <f aca="false">IF((SUMIF($CY$3:$DH$3,DG$60,$CY$4:$DH$4))=0,0,((SUMIF($CY$3:$DH$3,DG$60,$CY142:$DH142))/SUMIF($CY$3:$DH$3,DG$60,$CY$4:$DH$4)))</f>
        <v>0</v>
      </c>
      <c r="DH93" s="200" t="n">
        <f aca="false">IF((SUMIF($CY$3:$DH$3,DH$60,$CY$4:$DH$4))=0,0,((SUMIF($CY$3:$DH$3,DH$60,$CY142:$DH142))/SUMIF($CY$3:$DH$3,DH$60,$CY$4:$DH$4)))</f>
        <v>0</v>
      </c>
      <c r="DI93" s="194" t="str">
        <f aca="false">CX93</f>
        <v>Alumno32</v>
      </c>
      <c r="DJ93" s="198" t="n">
        <f aca="false">IF((SUMIF($DJ$3:$DS$3,DJ$60,$DJ$4:$DS$4))=0,0,((SUMIF($DJ$3:$DS$3,DJ$60,$DJ142:$DS142))/SUMIF($DJ$3:$DS$3,DJ$60,$DJ$4:$DS$4)))</f>
        <v>0</v>
      </c>
      <c r="DK93" s="199" t="n">
        <f aca="false">IF((SUMIF($DJ$3:$DS$3,DK$60,$DJ$4:$DS$4))=0,0,((SUMIF($DJ$3:$DS$3,DK$60,$DJ142:$DS142))/SUMIF($DJ$3:$DS$3,DK$60,$DJ$4:$DS$4)))</f>
        <v>0</v>
      </c>
      <c r="DL93" s="199" t="n">
        <f aca="false">IF((SUMIF($DJ$3:$DS$3,DL$60,$DJ$4:$DS$4))=0,0,((SUMIF($DJ$3:$DS$3,DL$60,$DJ142:$DS142))/SUMIF($DJ$3:$DS$3,DL$60,$DJ$4:$DS$4)))</f>
        <v>0</v>
      </c>
      <c r="DM93" s="199" t="n">
        <f aca="false">IF((SUMIF($DJ$3:$DS$3,DM$60,$DJ$4:$DS$4))=0,0,((SUMIF($DJ$3:$DS$3,DM$60,$DJ142:$DS142))/SUMIF($DJ$3:$DS$3,DM$60,$DJ$4:$DS$4)))</f>
        <v>0</v>
      </c>
      <c r="DN93" s="199" t="n">
        <f aca="false">IF((SUMIF($DJ$3:$DS$3,DN$60,$DJ$4:$DS$4))=0,0,((SUMIF($DJ$3:$DS$3,DN$60,$DJ142:$DS142))/SUMIF($DJ$3:$DS$3,DN$60,$DJ$4:$DS$4)))</f>
        <v>0</v>
      </c>
      <c r="DO93" s="199" t="n">
        <f aca="false">IF((SUMIF($DJ$3:$DS$3,DO$60,$DJ$4:$DS$4))=0,0,((SUMIF($DJ$3:$DS$3,DO$60,$DJ142:$DS142))/SUMIF($DJ$3:$DS$3,DO$60,$DJ$4:$DS$4)))</f>
        <v>0</v>
      </c>
      <c r="DP93" s="199" t="n">
        <f aca="false">IF((SUMIF($DJ$3:$DS$3,DP$60,$DJ$4:$DS$4))=0,0,((SUMIF($DJ$3:$DS$3,DP$60,$DJ142:$DS142))/SUMIF($DJ$3:$DS$3,DP$60,$DJ$4:$DS$4)))</f>
        <v>0</v>
      </c>
      <c r="DQ93" s="199" t="n">
        <f aca="false">IF((SUMIF($DJ$3:$DS$3,DQ$60,$DJ$4:$DS$4))=0,0,((SUMIF($DJ$3:$DS$3,DQ$60,$DJ142:$DS142))/SUMIF($DJ$3:$DS$3,DQ$60,$DJ$4:$DS$4)))</f>
        <v>0</v>
      </c>
      <c r="DR93" s="199" t="n">
        <f aca="false">IF((SUMIF($DJ$3:$DS$3,DR$60,$DJ$4:$DS$4))=0,0,((SUMIF($DJ$3:$DS$3,DR$60,$DJ142:$DS142))/SUMIF($DJ$3:$DS$3,DR$60,$DJ$4:$DS$4)))</f>
        <v>0</v>
      </c>
      <c r="DS93" s="200" t="n">
        <f aca="false">IF((SUMIF($DJ$3:$DS$3,DS$60,$DJ$4:$DS$4))=0,0,((SUMIF($DJ$3:$DS$3,DS$60,$DJ142:$DS142))/SUMIF($DJ$3:$DS$3,DS$60,$DJ$4:$DS$4)))</f>
        <v>0</v>
      </c>
      <c r="DT93" s="194" t="str">
        <f aca="false">DI93</f>
        <v>Alumno32</v>
      </c>
      <c r="DU93" s="198" t="n">
        <f aca="false">IF((SUMIF($DU$3:$ED$3,DU$60,$DU$4:$ED$4))=0,0,((SUMIF($DU$3:$ED$3,DU$60,$DU142:$ED142))/SUMIF($DU$3:$ED$3,DU$60,$DU$4:$ED$4)))</f>
        <v>0</v>
      </c>
      <c r="DV93" s="199" t="n">
        <f aca="false">IF((SUMIF($DU$3:$ED$3,DV$60,$DU$4:$ED$4))=0,0,((SUMIF($DU$3:$ED$3,DV$60,$DU142:$ED142))/SUMIF($DU$3:$ED$3,DV$60,$DU$4:$ED$4)))</f>
        <v>0</v>
      </c>
      <c r="DW93" s="199" t="n">
        <f aca="false">IF((SUMIF($DU$3:$ED$3,DW$60,$DU$4:$ED$4))=0,0,((SUMIF($DU$3:$ED$3,DW$60,$DU142:$ED142))/SUMIF($DU$3:$ED$3,DW$60,$DU$4:$ED$4)))</f>
        <v>0</v>
      </c>
      <c r="DX93" s="199" t="n">
        <f aca="false">IF((SUMIF($DU$3:$ED$3,DX$60,$DU$4:$ED$4))=0,0,((SUMIF($DU$3:$ED$3,DX$60,$DU142:$ED142))/SUMIF($DU$3:$ED$3,DX$60,$DU$4:$ED$4)))</f>
        <v>0</v>
      </c>
      <c r="DY93" s="199" t="n">
        <f aca="false">IF((SUMIF($DU$3:$ED$3,DY$60,$DU$4:$ED$4))=0,0,((SUMIF($DU$3:$ED$3,DY$60,$DU142:$ED142))/SUMIF($DU$3:$ED$3,DY$60,$DU$4:$ED$4)))</f>
        <v>0</v>
      </c>
      <c r="DZ93" s="199" t="n">
        <f aca="false">IF((SUMIF($DU$3:$ED$3,DZ$60,$DU$4:$ED$4))=0,0,((SUMIF($DU$3:$ED$3,DZ$60,$DU142:$ED142))/SUMIF($DU$3:$ED$3,DZ$60,$DU$4:$ED$4)))</f>
        <v>0</v>
      </c>
      <c r="EA93" s="199" t="n">
        <f aca="false">IF((SUMIF($DU$3:$ED$3,EA$60,$DU$4:$ED$4))=0,0,((SUMIF($DU$3:$ED$3,EA$60,$DU142:$ED142))/SUMIF($DU$3:$ED$3,EA$60,$DU$4:$ED$4)))</f>
        <v>0</v>
      </c>
      <c r="EB93" s="199" t="n">
        <f aca="false">IF((SUMIF($DU$3:$ED$3,EB$60,$DU$4:$ED$4))=0,0,((SUMIF($DU$3:$ED$3,EB$60,$DU142:$ED142))/SUMIF($DU$3:$ED$3,EB$60,$DU$4:$ED$4)))</f>
        <v>0</v>
      </c>
      <c r="EC93" s="199" t="n">
        <f aca="false">IF((SUMIF($DU$3:$ED$3,EC$60,$DU$4:$ED$4))=0,0,((SUMIF($DU$3:$ED$3,EC$60,$DU142:$ED142))/SUMIF($DU$3:$ED$3,EC$60,$DU$4:$ED$4)))</f>
        <v>0</v>
      </c>
      <c r="ED93" s="200" t="n">
        <f aca="false">IF((SUMIF($DU$3:$ED$3,ED$60,$DU$4:$ED$4))=0,0,((SUMIF($DU$3:$ED$3,ED$60,$DU142:$ED142))/SUMIF($DU$3:$ED$3,ED$60,$DU$4:$ED$4)))</f>
        <v>0</v>
      </c>
      <c r="EE93" s="194" t="str">
        <f aca="false">DT93</f>
        <v>Alumno32</v>
      </c>
      <c r="EF93" s="198" t="n">
        <f aca="false">IF((SUMIF($EF$3:$EO$3,EF$60,$EF$4:$EO$4))=0,0,((SUMIF($EF$3:$EO$3,EF$60,$EF142:$EO142))/SUMIF($EF$3:$EO$3,EF$60,$EF$4:$EO$4)))</f>
        <v>0</v>
      </c>
      <c r="EG93" s="199" t="n">
        <f aca="false">IF((SUMIF($EF$3:$EO$3,EG$60,$EF$4:$EO$4))=0,0,((SUMIF($EF$3:$EO$3,EG$60,$EF142:$EO142))/SUMIF($EF$3:$EO$3,EG$60,$EF$4:$EO$4)))</f>
        <v>0</v>
      </c>
      <c r="EH93" s="199" t="n">
        <f aca="false">IF((SUMIF($EF$3:$EO$3,EH$60,$EF$4:$EO$4))=0,0,((SUMIF($EF$3:$EO$3,EH$60,$EF142:$EO142))/SUMIF($EF$3:$EO$3,EH$60,$EF$4:$EO$4)))</f>
        <v>0</v>
      </c>
      <c r="EI93" s="199" t="n">
        <f aca="false">IF((SUMIF($EF$3:$EO$3,EI$60,$EF$4:$EO$4))=0,0,((SUMIF($EF$3:$EO$3,EI$60,$EF142:$EO142))/SUMIF($EF$3:$EO$3,EI$60,$EF$4:$EO$4)))</f>
        <v>0</v>
      </c>
      <c r="EJ93" s="199" t="n">
        <f aca="false">IF((SUMIF($EF$3:$EO$3,EJ$60,$EF$4:$EO$4))=0,0,((SUMIF($EF$3:$EO$3,EJ$60,$EF142:$EO142))/SUMIF($EF$3:$EO$3,EJ$60,$EF$4:$EO$4)))</f>
        <v>0</v>
      </c>
      <c r="EK93" s="199" t="n">
        <f aca="false">IF((SUMIF($EF$3:$EO$3,EK$60,$EF$4:$EO$4))=0,0,((SUMIF($EF$3:$EO$3,EK$60,$EF142:$EO142))/SUMIF($EF$3:$EO$3,EK$60,$EF$4:$EO$4)))</f>
        <v>0</v>
      </c>
      <c r="EL93" s="199" t="n">
        <f aca="false">IF((SUMIF($EF$3:$EO$3,EL$60,$EF$4:$EO$4))=0,0,((SUMIF($EF$3:$EO$3,EL$60,$EF142:$EO142))/SUMIF($EF$3:$EO$3,EL$60,$EF$4:$EO$4)))</f>
        <v>0</v>
      </c>
      <c r="EM93" s="199" t="n">
        <f aca="false">IF((SUMIF($EF$3:$EO$3,EM$60,$EF$4:$EO$4))=0,0,((SUMIF($EF$3:$EO$3,EM$60,$EF142:$EO142))/SUMIF($EF$3:$EO$3,EM$60,$EF$4:$EO$4)))</f>
        <v>0</v>
      </c>
      <c r="EN93" s="199" t="n">
        <f aca="false">IF((SUMIF($EF$3:$EO$3,EN$60,$EF$4:$EO$4))=0,0,((SUMIF($EF$3:$EO$3,EN$60,$EF142:$EO142))/SUMIF($EF$3:$EO$3,EN$60,$EF$4:$EO$4)))</f>
        <v>0</v>
      </c>
      <c r="EO93" s="200" t="n">
        <f aca="false">IF((SUMIF($EF$3:$EO$3,EO$60,$EF$4:$EO$4))=0,0,((SUMIF($EF$3:$EO$3,EO$60,$EF142:$EO142))/SUMIF($EF$3:$EO$3,EO$60,$EF$4:$EO$4)))</f>
        <v>0</v>
      </c>
      <c r="EP93" s="194" t="str">
        <f aca="false">EE93</f>
        <v>Alumno32</v>
      </c>
      <c r="EQ93" s="198" t="n">
        <f aca="false">IF((SUMIF($EQ$3:$EZ$3,EQ$60,$EQ$4:$EZ$4))=0,0,((SUMIF($EQ$3:$EZ$3,EQ$60,$EQ142:$EZ142))/SUMIF($EQ$3:$EZ$3,EQ$60,$EQ$4:$EZ$4)))</f>
        <v>0</v>
      </c>
      <c r="ER93" s="199" t="n">
        <f aca="false">IF((SUMIF($EQ$3:$EZ$3,ER$60,$EQ$4:$EZ$4))=0,0,((SUMIF($EQ$3:$EZ$3,ER$60,$EQ142:$EZ142))/SUMIF($EQ$3:$EZ$3,ER$60,$EQ$4:$EZ$4)))</f>
        <v>0</v>
      </c>
      <c r="ES93" s="199" t="n">
        <f aca="false">IF((SUMIF($EQ$3:$EZ$3,ES$60,$EQ$4:$EZ$4))=0,0,((SUMIF($EQ$3:$EZ$3,ES$60,$EQ142:$EZ142))/SUMIF($EQ$3:$EZ$3,ES$60,$EQ$4:$EZ$4)))</f>
        <v>0</v>
      </c>
      <c r="ET93" s="199" t="n">
        <f aca="false">IF((SUMIF($EQ$3:$EZ$3,ET$60,$EQ$4:$EZ$4))=0,0,((SUMIF($EQ$3:$EZ$3,ET$60,$EQ142:$EZ142))/SUMIF($EQ$3:$EZ$3,ET$60,$EQ$4:$EZ$4)))</f>
        <v>0</v>
      </c>
      <c r="EU93" s="199" t="n">
        <f aca="false">IF((SUMIF($EQ$3:$EZ$3,EU$60,$EQ$4:$EZ$4))=0,0,((SUMIF($EQ$3:$EZ$3,EU$60,$EQ142:$EZ142))/SUMIF($EQ$3:$EZ$3,EU$60,$EQ$4:$EZ$4)))</f>
        <v>0</v>
      </c>
      <c r="EV93" s="199" t="n">
        <f aca="false">IF((SUMIF($EQ$3:$EZ$3,EV$60,$EQ$4:$EZ$4))=0,0,((SUMIF($EQ$3:$EZ$3,EV$60,$EQ142:$EZ142))/SUMIF($EQ$3:$EZ$3,EV$60,$EQ$4:$EZ$4)))</f>
        <v>0</v>
      </c>
      <c r="EW93" s="199" t="n">
        <f aca="false">IF((SUMIF($EQ$3:$EZ$3,EW$60,$EQ$4:$EZ$4))=0,0,((SUMIF($EQ$3:$EZ$3,EW$60,$EQ142:$EZ142))/SUMIF($EQ$3:$EZ$3,EW$60,$EQ$4:$EZ$4)))</f>
        <v>0</v>
      </c>
      <c r="EX93" s="199" t="n">
        <f aca="false">IF((SUMIF($EQ$3:$EZ$3,EX$60,$EQ$4:$EZ$4))=0,0,((SUMIF($EQ$3:$EZ$3,EX$60,$EQ142:$EZ142))/SUMIF($EQ$3:$EZ$3,EX$60,$EQ$4:$EZ$4)))</f>
        <v>0</v>
      </c>
      <c r="EY93" s="199" t="n">
        <f aca="false">IF((SUMIF($EQ$3:$EZ$3,EY$60,$EQ$4:$EZ$4))=0,0,((SUMIF($EQ$3:$EZ$3,EY$60,$EQ142:$EZ142))/SUMIF($EQ$3:$EZ$3,EY$60,$EQ$4:$EZ$4)))</f>
        <v>0</v>
      </c>
      <c r="EZ93" s="200" t="n">
        <f aca="false">IF((SUMIF($EQ$3:$EZ$3,EZ$60,$EQ$4:$EZ$4))=0,0,((SUMIF($EQ$3:$EZ$3,EZ$60,$EQ142:$EZ142))/SUMIF($EQ$3:$EZ$3,EZ$60,$EQ$4:$EZ$4)))</f>
        <v>0</v>
      </c>
      <c r="FA93" s="194" t="str">
        <f aca="false">EP93</f>
        <v>Alumno32</v>
      </c>
      <c r="FB93" s="198" t="n">
        <f aca="false">IF((SUMIF($FB$3:$FK$3,FB$60,$FB$4:$FK$4))=0,0,((SUMIF($FB$3:$FK$3,FB$60,$FB142:$FK142))/SUMIF($FB$3:$FK$3,FB$60,$FB$4:$FK$4)))</f>
        <v>0</v>
      </c>
      <c r="FC93" s="199" t="n">
        <f aca="false">IF((SUMIF($FB$3:$FK$3,FC$60,$FB$4:$FK$4))=0,0,((SUMIF($FB$3:$FK$3,FC$60,$FB142:$FK142))/SUMIF($FB$3:$FK$3,FC$60,$FB$4:$FK$4)))</f>
        <v>0</v>
      </c>
      <c r="FD93" s="199" t="n">
        <f aca="false">IF((SUMIF($FB$3:$FK$3,FD$60,$FB$4:$FK$4))=0,0,((SUMIF($FB$3:$FK$3,FD$60,$FB142:$FK142))/SUMIF($FB$3:$FK$3,FD$60,$FB$4:$FK$4)))</f>
        <v>0</v>
      </c>
      <c r="FE93" s="199" t="n">
        <f aca="false">IF((SUMIF($FB$3:$FK$3,FE$60,$FB$4:$FK$4))=0,0,((SUMIF($FB$3:$FK$3,FE$60,$FB142:$FK142))/SUMIF($FB$3:$FK$3,FE$60,$FB$4:$FK$4)))</f>
        <v>0</v>
      </c>
      <c r="FF93" s="199" t="n">
        <f aca="false">IF((SUMIF($FB$3:$FK$3,FF$60,$FB$4:$FK$4))=0,0,((SUMIF($FB$3:$FK$3,FF$60,$FB142:$FK142))/SUMIF($FB$3:$FK$3,FF$60,$FB$4:$FK$4)))</f>
        <v>0</v>
      </c>
      <c r="FG93" s="199" t="n">
        <f aca="false">IF((SUMIF($FB$3:$FK$3,FG$60,$FB$4:$FK$4))=0,0,((SUMIF($FB$3:$FK$3,FG$60,$FB142:$FK142))/SUMIF($FB$3:$FK$3,FG$60,$FB$4:$FK$4)))</f>
        <v>0</v>
      </c>
      <c r="FH93" s="199" t="n">
        <f aca="false">IF((SUMIF($FB$3:$FK$3,FH$60,$FB$4:$FK$4))=0,0,((SUMIF($FB$3:$FK$3,FH$60,$FB142:$FK142))/SUMIF($FB$3:$FK$3,FH$60,$FB$4:$FK$4)))</f>
        <v>0</v>
      </c>
      <c r="FI93" s="199" t="n">
        <f aca="false">IF((SUMIF($FB$3:$FK$3,FI$60,$FB$4:$FK$4))=0,0,((SUMIF($FB$3:$FK$3,FI$60,$FB142:$FK142))/SUMIF($FB$3:$FK$3,FI$60,$FB$4:$FK$4)))</f>
        <v>0</v>
      </c>
      <c r="FJ93" s="199" t="n">
        <f aca="false">IF((SUMIF($FB$3:$FK$3,FJ$60,$FB$4:$FK$4))=0,0,((SUMIF($FB$3:$FK$3,FJ$60,$FB142:$FK142))/SUMIF($FB$3:$FK$3,FJ$60,$FB$4:$FK$4)))</f>
        <v>0</v>
      </c>
      <c r="FK93" s="200" t="n">
        <f aca="false">IF((SUMIF($FB$3:$FK$3,FK$60,$FB$4:$FK$4))=0,0,((SUMIF($FB$3:$FK$3,FK$60,$FB142:$FK142))/SUMIF($FB$3:$FK$3,FK$60,$FB$4:$FK$4)))</f>
        <v>0</v>
      </c>
      <c r="FL93" s="194" t="str">
        <f aca="false">FA93</f>
        <v>Alumno32</v>
      </c>
      <c r="FM93" s="198" t="n">
        <f aca="false">IF((SUMIF($FM$3:$FV$3,FM$60,$FM$4:$FV$4))=0,0,((SUMIF($FM$3:$FV$3,FM$60,$FM142:$FV142))/SUMIF($FM$3:$FV$3,FM$60,$FM$4:$FV$4)))</f>
        <v>0</v>
      </c>
      <c r="FN93" s="199" t="n">
        <f aca="false">IF((SUMIF($FM$3:$FV$3,FN$60,$FM$4:$FV$4))=0,0,((SUMIF($FM$3:$FV$3,FN$60,$FM142:$FV142))/SUMIF($FM$3:$FV$3,FN$60,$FM$4:$FV$4)))</f>
        <v>0</v>
      </c>
      <c r="FO93" s="199" t="n">
        <f aca="false">IF((SUMIF($FM$3:$FV$3,FO$60,$FM$4:$FV$4))=0,0,((SUMIF($FM$3:$FV$3,FO$60,$FM142:$FV142))/SUMIF($FM$3:$FV$3,FO$60,$FM$4:$FV$4)))</f>
        <v>0</v>
      </c>
      <c r="FP93" s="199" t="n">
        <f aca="false">IF((SUMIF($FM$3:$FV$3,FP$60,$FM$4:$FV$4))=0,0,((SUMIF($FM$3:$FV$3,FP$60,$FM142:$FV142))/SUMIF($FM$3:$FV$3,FP$60,$FM$4:$FV$4)))</f>
        <v>0</v>
      </c>
      <c r="FQ93" s="199" t="n">
        <f aca="false">IF((SUMIF($FM$3:$FV$3,FQ$60,$FM$4:$FV$4))=0,0,((SUMIF($FM$3:$FV$3,FQ$60,$FM142:$FV142))/SUMIF($FM$3:$FV$3,FQ$60,$FM$4:$FV$4)))</f>
        <v>0</v>
      </c>
      <c r="FR93" s="199" t="n">
        <f aca="false">IF((SUMIF($FM$3:$FV$3,FR$60,$FM$4:$FV$4))=0,0,((SUMIF($FM$3:$FV$3,FR$60,$FM142:$FV142))/SUMIF($FM$3:$FV$3,FR$60,$FM$4:$FV$4)))</f>
        <v>0</v>
      </c>
      <c r="FS93" s="199" t="n">
        <f aca="false">IF((SUMIF($FM$3:$FV$3,FS$60,$FM$4:$FV$4))=0,0,((SUMIF($FM$3:$FV$3,FS$60,$FM142:$FV142))/SUMIF($FM$3:$FV$3,FS$60,$FM$4:$FV$4)))</f>
        <v>0</v>
      </c>
      <c r="FT93" s="199" t="n">
        <f aca="false">IF((SUMIF($FM$3:$FV$3,FT$60,$FM$4:$FV$4))=0,0,((SUMIF($FM$3:$FV$3,FT$60,$FM142:$FV142))/SUMIF($FM$3:$FV$3,FT$60,$FM$4:$FV$4)))</f>
        <v>0</v>
      </c>
      <c r="FU93" s="199" t="n">
        <f aca="false">IF((SUMIF($FM$3:$FV$3,FU$60,$FM$4:$FV$4))=0,0,((SUMIF($FM$3:$FV$3,FU$60,$FM142:$FV142))/SUMIF($FM$3:$FV$3,FU$60,$FM$4:$FV$4)))</f>
        <v>0</v>
      </c>
      <c r="FV93" s="200" t="n">
        <f aca="false">IF((SUMIF($FM$3:$FV$3,FV$60,$FM$4:$FV$4))=0,0,((SUMIF($FM$3:$FV$3,FV$60,$FM142:$FV142))/SUMIF($FM$3:$FV$3,FV$60,$FM$4:$FV$4)))</f>
        <v>0</v>
      </c>
      <c r="FW93" s="194" t="str">
        <f aca="false">FL93</f>
        <v>Alumno32</v>
      </c>
      <c r="FX93" s="198" t="n">
        <f aca="false">IF((SUMIF($FX$3:$GG$3,FX$60,$FX$4:$GG$4))=0,0,((SUMIF($FX$3:$GG$3,FX$60,$FX142:$GG142))/SUMIF($FX$3:$GG$3,FX$60,$FX$4:$GG$4)))</f>
        <v>0</v>
      </c>
      <c r="FY93" s="199" t="n">
        <f aca="false">IF((SUMIF($FX$3:$GG$3,FY$60,$FX$4:$GG$4))=0,0,((SUMIF($FX$3:$GG$3,FY$60,$FX142:$GG142))/SUMIF($FX$3:$GG$3,FY$60,$FX$4:$GG$4)))</f>
        <v>0</v>
      </c>
      <c r="FZ93" s="199" t="n">
        <f aca="false">IF((SUMIF($FX$3:$GG$3,FZ$60,$FX$4:$GG$4))=0,0,((SUMIF($FX$3:$GG$3,FZ$60,$FX142:$GG142))/SUMIF($FX$3:$GG$3,FZ$60,$FX$4:$GG$4)))</f>
        <v>0</v>
      </c>
      <c r="GA93" s="199" t="n">
        <f aca="false">IF((SUMIF($FX$3:$GG$3,GA$60,$FX$4:$GG$4))=0,0,((SUMIF($FX$3:$GG$3,GA$60,$FX142:$GG142))/SUMIF($FX$3:$GG$3,GA$60,$FX$4:$GG$4)))</f>
        <v>0</v>
      </c>
      <c r="GB93" s="199" t="n">
        <f aca="false">IF((SUMIF($FX$3:$GG$3,GB$60,$FX$4:$GG$4))=0,0,((SUMIF($FX$3:$GG$3,GB$60,$FX142:$GG142))/SUMIF($FX$3:$GG$3,GB$60,$FX$4:$GG$4)))</f>
        <v>0</v>
      </c>
      <c r="GC93" s="199" t="n">
        <f aca="false">IF((SUMIF($FX$3:$GG$3,GC$60,$FX$4:$GG$4))=0,0,((SUMIF($FX$3:$GG$3,GC$60,$FX142:$GG142))/SUMIF($FX$3:$GG$3,GC$60,$FX$4:$GG$4)))</f>
        <v>0</v>
      </c>
      <c r="GD93" s="199" t="n">
        <f aca="false">IF((SUMIF($FX$3:$GG$3,GD$60,$FX$4:$GG$4))=0,0,((SUMIF($FX$3:$GG$3,GD$60,$FX142:$GG142))/SUMIF($FX$3:$GG$3,GD$60,$FX$4:$GG$4)))</f>
        <v>0</v>
      </c>
      <c r="GE93" s="199" t="n">
        <f aca="false">IF((SUMIF($FX$3:$GG$3,GE$60,$FX$4:$GG$4))=0,0,((SUMIF($FX$3:$GG$3,GE$60,$FX142:$GG142))/SUMIF($FX$3:$GG$3,GE$60,$FX$4:$GG$4)))</f>
        <v>0</v>
      </c>
      <c r="GF93" s="199" t="n">
        <f aca="false">IF((SUMIF($FX$3:$GG$3,GF$60,$FX$4:$GG$4))=0,0,((SUMIF($FX$3:$GG$3,GF$60,$FX142:$GG142))/SUMIF($FX$3:$GG$3,GF$60,$FX$4:$GG$4)))</f>
        <v>0</v>
      </c>
      <c r="GG93" s="200" t="n">
        <f aca="false">IF((SUMIF($FX$3:$GG$3,GG$60,$FX$4:$GG$4))=0,0,((SUMIF($FX$3:$GG$3,GG$60,$FX142:$GG142))/SUMIF($FX$3:$GG$3,GG$60,$FX$4:$GG$4)))</f>
        <v>0</v>
      </c>
      <c r="GH93" s="194" t="str">
        <f aca="false">FW93</f>
        <v>Alumno32</v>
      </c>
      <c r="GI93" s="198" t="n">
        <f aca="false">IF((SUMIF($GI$3:$GR$3,GI$60,$GI$4:$GR$4))=0,0,((SUMIF($GI$3:$GR$3,GI$60,$GI142:$GR142))/SUMIF($GI$3:$GR$3,GI$60,$GI$4:$GR$4)))</f>
        <v>0</v>
      </c>
      <c r="GJ93" s="199" t="n">
        <f aca="false">IF((SUMIF($GI$3:$GR$3,GJ$60,$GI$4:$GR$4))=0,0,((SUMIF($GI$3:$GR$3,GJ$60,$GI142:$GR142))/SUMIF($GI$3:$GR$3,GJ$60,$GI$4:$GR$4)))</f>
        <v>0</v>
      </c>
      <c r="GK93" s="199" t="n">
        <f aca="false">IF((SUMIF($GI$3:$GR$3,GK$60,$GI$4:$GR$4))=0,0,((SUMIF($GI$3:$GR$3,GK$60,$GI142:$GR142))/SUMIF($GI$3:$GR$3,GK$60,$GI$4:$GR$4)))</f>
        <v>0</v>
      </c>
      <c r="GL93" s="199" t="n">
        <f aca="false">IF((SUMIF($GI$3:$GR$3,GL$60,$GI$4:$GR$4))=0,0,((SUMIF($GI$3:$GR$3,GL$60,$GI142:$GR142))/SUMIF($GI$3:$GR$3,GL$60,$GI$4:$GR$4)))</f>
        <v>0</v>
      </c>
      <c r="GM93" s="199" t="n">
        <f aca="false">IF((SUMIF($GI$3:$GR$3,GM$60,$GI$4:$GR$4))=0,0,((SUMIF($GI$3:$GR$3,GM$60,$GI142:$GR142))/SUMIF($GI$3:$GR$3,GM$60,$GI$4:$GR$4)))</f>
        <v>0</v>
      </c>
      <c r="GN93" s="199" t="n">
        <f aca="false">IF((SUMIF($GI$3:$GR$3,GN$60,$GI$4:$GR$4))=0,0,((SUMIF($GI$3:$GR$3,GN$60,$GI142:$GR142))/SUMIF($GI$3:$GR$3,GN$60,$GI$4:$GR$4)))</f>
        <v>0</v>
      </c>
      <c r="GO93" s="199" t="n">
        <f aca="false">IF((SUMIF($GI$3:$GR$3,GO$60,$GI$4:$GR$4))=0,0,((SUMIF($GI$3:$GR$3,GO$60,$GI142:$GR142))/SUMIF($GI$3:$GR$3,GO$60,$GI$4:$GR$4)))</f>
        <v>0</v>
      </c>
      <c r="GP93" s="199" t="n">
        <f aca="false">IF((SUMIF($GI$3:$GR$3,GP$60,$GI$4:$GR$4))=0,0,((SUMIF($GI$3:$GR$3,GP$60,$GI142:$GR142))/SUMIF($GI$3:$GR$3,GP$60,$GI$4:$GR$4)))</f>
        <v>0</v>
      </c>
      <c r="GQ93" s="199" t="n">
        <f aca="false">IF((SUMIF($GI$3:$GR$3,GQ$60,$GI$4:$GR$4))=0,0,((SUMIF($GI$3:$GR$3,GQ$60,$GI142:$GR142))/SUMIF($GI$3:$GR$3,GQ$60,$GI$4:$GR$4)))</f>
        <v>0</v>
      </c>
      <c r="GR93" s="200" t="n">
        <f aca="false">IF((SUMIF($GI$3:$GR$3,GR$60,$GI$4:$GR$4))=0,0,((SUMIF($GI$3:$GR$3,GR$60,$GI142:$GR142))/SUMIF($GI$3:$GR$3,GR$60,$GI$4:$GR$4)))</f>
        <v>0</v>
      </c>
      <c r="GS93" s="194" t="str">
        <f aca="false">GH93</f>
        <v>Alumno32</v>
      </c>
      <c r="GT93" s="198" t="n">
        <f aca="false">IF((SUMIF($GT$3:$HC$3,GT$60,$GT$4:$HC$4))=0,0,((SUMIF($GT$3:$HC$3,GT$60,$GT142:$HC142))/SUMIF($GT$3:$HC$3,GT$60,$GT$4:$HC$4)))</f>
        <v>0</v>
      </c>
      <c r="GU93" s="199" t="n">
        <f aca="false">IF((SUMIF($GT$3:$HC$3,GU$60,$GT$4:$HC$4))=0,0,((SUMIF($GT$3:$HC$3,GU$60,$GT142:$HC142))/SUMIF($GT$3:$HC$3,GU$60,$GT$4:$HC$4)))</f>
        <v>0</v>
      </c>
      <c r="GV93" s="199" t="n">
        <f aca="false">IF((SUMIF($GT$3:$HC$3,GV$60,$GT$4:$HC$4))=0,0,((SUMIF($GT$3:$HC$3,GV$60,$GT142:$HC142))/SUMIF($GT$3:$HC$3,GV$60,$GT$4:$HC$4)))</f>
        <v>0</v>
      </c>
      <c r="GW93" s="199" t="n">
        <f aca="false">IF((SUMIF($GT$3:$HC$3,GW$60,$GT$4:$HC$4))=0,0,((SUMIF($GT$3:$HC$3,GW$60,$GT142:$HC142))/SUMIF($GT$3:$HC$3,GW$60,$GT$4:$HC$4)))</f>
        <v>0</v>
      </c>
      <c r="GX93" s="199" t="n">
        <f aca="false">IF((SUMIF($GT$3:$HC$3,GX$60,$GT$4:$HC$4))=0,0,((SUMIF($GT$3:$HC$3,GX$60,$GT142:$HC142))/SUMIF($GT$3:$HC$3,GX$60,$GT$4:$HC$4)))</f>
        <v>0</v>
      </c>
      <c r="GY93" s="199" t="n">
        <f aca="false">IF((SUMIF($GT$3:$HC$3,GY$60,$GT$4:$HC$4))=0,0,((SUMIF($GT$3:$HC$3,GY$60,$GT142:$HC142))/SUMIF($GT$3:$HC$3,GY$60,$GT$4:$HC$4)))</f>
        <v>0</v>
      </c>
      <c r="GZ93" s="199" t="n">
        <f aca="false">IF((SUMIF($GT$3:$HC$3,GZ$60,$GT$4:$HC$4))=0,0,((SUMIF($GT$3:$HC$3,GZ$60,$GT142:$HC142))/SUMIF($GT$3:$HC$3,GZ$60,$GT$4:$HC$4)))</f>
        <v>0</v>
      </c>
      <c r="HA93" s="199" t="n">
        <f aca="false">IF((SUMIF($GT$3:$HC$3,HA$60,$GT$4:$HC$4))=0,0,((SUMIF($GT$3:$HC$3,HA$60,$GT142:$HC142))/SUMIF($GT$3:$HC$3,HA$60,$GT$4:$HC$4)))</f>
        <v>0</v>
      </c>
      <c r="HB93" s="199" t="n">
        <f aca="false">IF((SUMIF($GT$3:$HC$3,HB$60,$GT$4:$HC$4))=0,0,((SUMIF($GT$3:$HC$3,HB$60,$GT142:$HC142))/SUMIF($GT$3:$HC$3,HB$60,$GT$4:$HC$4)))</f>
        <v>0</v>
      </c>
      <c r="HC93" s="200" t="n">
        <f aca="false">IF((SUMIF($GT$3:$HC$3,HC$60,$GT$4:$HC$4))=0,0,((SUMIF($GT$3:$HC$3,HC$60,$GT142:$HC142))/SUMIF($GT$3:$HC$3,HC$60,$GT$4:$HC$4)))</f>
        <v>0</v>
      </c>
      <c r="HD93" s="194" t="str">
        <f aca="false">GS93</f>
        <v>Alumno32</v>
      </c>
      <c r="HE93" s="198" t="n">
        <f aca="false">IF((SUMIF($HE$3:$HN$3,HE$60,$HE$4:$HN$4))=0,0,((SUMIF($HE$3:$HN$3,HE$60,$HE142:$HN142))/SUMIF($HE$3:$HN$3,HE$60,$HE$4:$HN$4)))</f>
        <v>0</v>
      </c>
      <c r="HF93" s="199" t="n">
        <f aca="false">IF((SUMIF($HE$3:$HN$3,HF$60,$HE$4:$HN$4))=0,0,((SUMIF($HE$3:$HN$3,HF$60,$HE142:$HN142))/SUMIF($HE$3:$HN$3,HF$60,$HE$4:$HN$4)))</f>
        <v>0</v>
      </c>
      <c r="HG93" s="199" t="n">
        <f aca="false">IF((SUMIF($HE$3:$HN$3,HG$60,$HE$4:$HN$4))=0,0,((SUMIF($HE$3:$HN$3,HG$60,$HE142:$HN142))/SUMIF($HE$3:$HN$3,HG$60,$HE$4:$HN$4)))</f>
        <v>0</v>
      </c>
      <c r="HH93" s="199" t="n">
        <f aca="false">IF((SUMIF($HE$3:$HN$3,HH$60,$HE$4:$HN$4))=0,0,((SUMIF($HE$3:$HN$3,HH$60,$HE142:$HN142))/SUMIF($HE$3:$HN$3,HH$60,$HE$4:$HN$4)))</f>
        <v>0</v>
      </c>
      <c r="HI93" s="199" t="n">
        <f aca="false">IF((SUMIF($HE$3:$HN$3,HI$60,$HE$4:$HN$4))=0,0,((SUMIF($HE$3:$HN$3,HI$60,$HE142:$HN142))/SUMIF($HE$3:$HN$3,HI$60,$HE$4:$HN$4)))</f>
        <v>0</v>
      </c>
      <c r="HJ93" s="199" t="n">
        <f aca="false">IF((SUMIF($HE$3:$HN$3,HJ$60,$HE$4:$HN$4))=0,0,((SUMIF($HE$3:$HN$3,HJ$60,$HE142:$HN142))/SUMIF($HE$3:$HN$3,HJ$60,$HE$4:$HN$4)))</f>
        <v>0</v>
      </c>
      <c r="HK93" s="199" t="n">
        <f aca="false">IF((SUMIF($HE$3:$HN$3,HK$60,$HE$4:$HN$4))=0,0,((SUMIF($HE$3:$HN$3,HK$60,$HE142:$HN142))/SUMIF($HE$3:$HN$3,HK$60,$HE$4:$HN$4)))</f>
        <v>0</v>
      </c>
      <c r="HL93" s="199" t="n">
        <f aca="false">IF((SUMIF($HE$3:$HN$3,HL$60,$HE$4:$HN$4))=0,0,((SUMIF($HE$3:$HN$3,HL$60,$HE142:$HN142))/SUMIF($HE$3:$HN$3,HL$60,$HE$4:$HN$4)))</f>
        <v>0</v>
      </c>
      <c r="HM93" s="199" t="n">
        <f aca="false">IF((SUMIF($HE$3:$HN$3,HM$60,$HE$4:$HN$4))=0,0,((SUMIF($HE$3:$HN$3,HM$60,$HE142:$HN142))/SUMIF($HE$3:$HN$3,HM$60,$HE$4:$HN$4)))</f>
        <v>0</v>
      </c>
      <c r="HN93" s="200" t="n">
        <f aca="false">IF((SUMIF($HE$3:$HN$3,HN$60,$HE$4:$HN$4))=0,0,((SUMIF($HE$3:$HN$3,HN$60,$HE142:$HN142))/SUMIF($HE$3:$HN$3,HN$60,$HE$4:$HN$4)))</f>
        <v>0</v>
      </c>
      <c r="HO93" s="194" t="str">
        <f aca="false">HD93</f>
        <v>Alumno32</v>
      </c>
      <c r="HP93" s="198" t="n">
        <f aca="false">IF((SUMIF($HP$3:$HY$3,HP$60,$HP$4:$HY$4))=0,0,((SUMIF($HP$3:$HY$3,HP$60,$HP142:$HY142))/SUMIF($HP$3:$HY$3,HP$60,$HP$4:$HY$4)))</f>
        <v>0</v>
      </c>
      <c r="HQ93" s="199" t="n">
        <f aca="false">IF((SUMIF($HP$3:$HY$3,HQ$60,$HP$4:$HY$4))=0,0,((SUMIF($HP$3:$HY$3,HQ$60,$HP142:$HY142))/SUMIF($HP$3:$HY$3,HQ$60,$HP$4:$HY$4)))</f>
        <v>0</v>
      </c>
      <c r="HR93" s="199" t="n">
        <f aca="false">IF((SUMIF($HP$3:$HY$3,HR$60,$HP$4:$HY$4))=0,0,((SUMIF($HP$3:$HY$3,HR$60,$HP142:$HY142))/SUMIF($HP$3:$HY$3,HR$60,$HP$4:$HY$4)))</f>
        <v>0</v>
      </c>
      <c r="HS93" s="199" t="n">
        <f aca="false">IF((SUMIF($HP$3:$HY$3,HS$60,$HP$4:$HY$4))=0,0,((SUMIF($HP$3:$HY$3,HS$60,$HP142:$HY142))/SUMIF($HP$3:$HY$3,HS$60,$HP$4:$HY$4)))</f>
        <v>0</v>
      </c>
      <c r="HT93" s="199" t="n">
        <f aca="false">IF((SUMIF($HP$3:$HY$3,HT$60,$HP$4:$HY$4))=0,0,((SUMIF($HP$3:$HY$3,HT$60,$HP142:$HY142))/SUMIF($HP$3:$HY$3,HT$60,$HP$4:$HY$4)))</f>
        <v>0</v>
      </c>
      <c r="HU93" s="199" t="n">
        <f aca="false">IF((SUMIF($HP$3:$HY$3,HU$60,$HP$4:$HY$4))=0,0,((SUMIF($HP$3:$HY$3,HU$60,$HP142:$HY142))/SUMIF($HP$3:$HY$3,HU$60,$HP$4:$HY$4)))</f>
        <v>0</v>
      </c>
      <c r="HV93" s="199" t="n">
        <f aca="false">IF((SUMIF($HP$3:$HY$3,HV$60,$HP$4:$HY$4))=0,0,((SUMIF($HP$3:$HY$3,HV$60,$HP142:$HY142))/SUMIF($HP$3:$HY$3,HV$60,$HP$4:$HY$4)))</f>
        <v>0</v>
      </c>
      <c r="HW93" s="199" t="n">
        <f aca="false">IF((SUMIF($HP$3:$HY$3,HW$60,$HP$4:$HY$4))=0,0,((SUMIF($HP$3:$HY$3,HW$60,$HP142:$HY142))/SUMIF($HP$3:$HY$3,HW$60,$HP$4:$HY$4)))</f>
        <v>0</v>
      </c>
      <c r="HX93" s="199" t="n">
        <f aca="false">IF((SUMIF($HP$3:$HY$3,HX$60,$HP$4:$HY$4))=0,0,((SUMIF($HP$3:$HY$3,HX$60,$HP142:$HY142))/SUMIF($HP$3:$HY$3,HX$60,$HP$4:$HY$4)))</f>
        <v>0</v>
      </c>
      <c r="HY93" s="200" t="n">
        <f aca="false">IF((SUMIF($HP$3:$HY$3,HY$60,$HP$4:$HY$4))=0,0,((SUMIF($HP$3:$HY$3,HY$60,$HP142:$HY142))/SUMIF($HP$3:$HY$3,HY$60,$HP$4:$HY$4)))</f>
        <v>0</v>
      </c>
      <c r="HZ93" s="194" t="str">
        <f aca="false">HO93</f>
        <v>Alumno32</v>
      </c>
      <c r="IA93" s="198" t="n">
        <f aca="false">IF((SUMIF($IA$3:$IJ$3,IA$60,$IA$4:$IJ$4))=0,0,((SUMIF($IA$3:$IJ$3,IA$60,$IA142:$IJ142))/SUMIF($IA$3:$IJ$3,IA$60,$IA$4:$IJ$4)))</f>
        <v>0</v>
      </c>
      <c r="IB93" s="199" t="n">
        <f aca="false">IF((SUMIF($IA$3:$IJ$3,IB$60,$IA$4:$IJ$4))=0,0,((SUMIF($IA$3:$IJ$3,IB$60,$IA142:$IJ142))/SUMIF($IA$3:$IJ$3,IB$60,$IA$4:$IJ$4)))</f>
        <v>0</v>
      </c>
      <c r="IC93" s="199" t="n">
        <f aca="false">IF((SUMIF($IA$3:$IJ$3,IC$60,$IA$4:$IJ$4))=0,0,((SUMIF($IA$3:$IJ$3,IC$60,$IA142:$IJ142))/SUMIF($IA$3:$IJ$3,IC$60,$IA$4:$IJ$4)))</f>
        <v>0</v>
      </c>
      <c r="ID93" s="199" t="n">
        <f aca="false">IF((SUMIF($IA$3:$IJ$3,ID$60,$IA$4:$IJ$4))=0,0,((SUMIF($IA$3:$IJ$3,ID$60,$IA142:$IJ142))/SUMIF($IA$3:$IJ$3,ID$60,$IA$4:$IJ$4)))</f>
        <v>0</v>
      </c>
      <c r="IE93" s="199" t="n">
        <f aca="false">IF((SUMIF($IA$3:$IJ$3,IE$60,$IA$4:$IJ$4))=0,0,((SUMIF($IA$3:$IJ$3,IE$60,$IA142:$IJ142))/SUMIF($IA$3:$IJ$3,IE$60,$IA$4:$IJ$4)))</f>
        <v>0</v>
      </c>
      <c r="IF93" s="199" t="n">
        <f aca="false">IF((SUMIF($IA$3:$IJ$3,IF$60,$IA$4:$IJ$4))=0,0,((SUMIF($IA$3:$IJ$3,IF$60,$IA142:$IJ142))/SUMIF($IA$3:$IJ$3,IF$60,$IA$4:$IJ$4)))</f>
        <v>0</v>
      </c>
      <c r="IG93" s="199" t="n">
        <f aca="false">IF((SUMIF($IA$3:$IJ$3,IG$60,$IA$4:$IJ$4))=0,0,((SUMIF($IA$3:$IJ$3,IG$60,$IA142:$IJ142))/SUMIF($IA$3:$IJ$3,IG$60,$IA$4:$IJ$4)))</f>
        <v>0</v>
      </c>
      <c r="IH93" s="199" t="n">
        <f aca="false">IF((SUMIF($IA$3:$IJ$3,IH$60,$IA$4:$IJ$4))=0,0,((SUMIF($IA$3:$IJ$3,IH$60,$IA142:$IJ142))/SUMIF($IA$3:$IJ$3,IH$60,$IA$4:$IJ$4)))</f>
        <v>0</v>
      </c>
      <c r="II93" s="199" t="n">
        <f aca="false">IF((SUMIF($IA$3:$IJ$3,II$60,$IA$4:$IJ$4))=0,0,((SUMIF($IA$3:$IJ$3,II$60,$IA142:$IJ142))/SUMIF($IA$3:$IJ$3,II$60,$IA$4:$IJ$4)))</f>
        <v>0</v>
      </c>
      <c r="IJ93" s="200" t="n">
        <f aca="false">IF((SUMIF($IA$3:$IJ$3,IJ$60,$IA$4:$IJ$4))=0,0,((SUMIF($IA$3:$IJ$3,IJ$60,$IA142:$IJ142))/SUMIF($IA$3:$IJ$3,IJ$60,$IA$4:$IJ$4)))</f>
        <v>0</v>
      </c>
      <c r="IK93" s="194" t="str">
        <f aca="false">HZ93</f>
        <v>Alumno32</v>
      </c>
      <c r="IL93" s="198" t="n">
        <f aca="false">IF((SUMIF($IL$3:$IU$3,IL$60,$IL$4:$IU$4))=0,0,((SUMIF($IL$3:$IU$3,IL$60,$IL142:$IU142))/SUMIF($IL$3:$IU$3,IL$60,$IL$4:$IU$4)))</f>
        <v>0</v>
      </c>
      <c r="IM93" s="199" t="n">
        <f aca="false">IF((SUMIF($IL$3:$IU$3,IM$60,$IL$4:$IU$4))=0,0,((SUMIF($IL$3:$IU$3,IM$60,$IL142:$IU142))/SUMIF($IL$3:$IU$3,IM$60,$IL$4:$IU$4)))</f>
        <v>0</v>
      </c>
      <c r="IN93" s="199" t="n">
        <f aca="false">IF((SUMIF($IL$3:$IU$3,IN$60,$IL$4:$IU$4))=0,0,((SUMIF($IL$3:$IU$3,IN$60,$IL142:$IU142))/SUMIF($IL$3:$IU$3,IN$60,$IL$4:$IU$4)))</f>
        <v>0</v>
      </c>
      <c r="IO93" s="199" t="n">
        <f aca="false">IF((SUMIF($IL$3:$IU$3,IO$60,$IL$4:$IU$4))=0,0,((SUMIF($IL$3:$IU$3,IO$60,$IL142:$IU142))/SUMIF($IL$3:$IU$3,IO$60,$IL$4:$IU$4)))</f>
        <v>0</v>
      </c>
      <c r="IP93" s="199" t="n">
        <f aca="false">IF((SUMIF($IL$3:$IU$3,IP$60,$IL$4:$IU$4))=0,0,((SUMIF($IL$3:$IU$3,IP$60,$IL142:$IU142))/SUMIF($IL$3:$IU$3,IP$60,$IL$4:$IU$4)))</f>
        <v>0</v>
      </c>
      <c r="IQ93" s="199" t="n">
        <f aca="false">IF((SUMIF($IL$3:$IU$3,IQ$60,$IL$4:$IU$4))=0,0,((SUMIF($IL$3:$IU$3,IQ$60,$IL142:$IU142))/SUMIF($IL$3:$IU$3,IQ$60,$IL$4:$IU$4)))</f>
        <v>0</v>
      </c>
      <c r="IR93" s="199" t="n">
        <f aca="false">IF((SUMIF($IL$3:$IU$3,IR$60,$IL$4:$IU$4))=0,0,((SUMIF($IL$3:$IU$3,IR$60,$IL142:$IU142))/SUMIF($IL$3:$IU$3,IR$60,$IL$4:$IU$4)))</f>
        <v>0</v>
      </c>
      <c r="IS93" s="199" t="n">
        <f aca="false">IF((SUMIF($IL$3:$IU$3,IS$60,$IL$4:$IU$4))=0,0,((SUMIF($IL$3:$IU$3,IS$60,$IL142:$IU142))/SUMIF($IL$3:$IU$3,IS$60,$IL$4:$IU$4)))</f>
        <v>0</v>
      </c>
      <c r="IT93" s="199" t="n">
        <f aca="false">IF((SUMIF($IL$3:$IU$3,IT$60,$IL$4:$IU$4))=0,0,((SUMIF($IL$3:$IU$3,IT$60,$IL142:$IU142))/SUMIF($IL$3:$IU$3,IT$60,$IL$4:$IU$4)))</f>
        <v>0</v>
      </c>
      <c r="IU93" s="200" t="n">
        <f aca="false">IF((SUMIF($IL$3:$IU$3,IU$60,$IL$4:$IU$4))=0,0,((SUMIF($IL$3:$IU$3,IU$60,$IL142:$IU142))/SUMIF($IL$3:$IU$3,IU$60,$IL$4:$IU$4)))</f>
        <v>0</v>
      </c>
      <c r="IV93" s="194" t="str">
        <f aca="false">IK93</f>
        <v>Alumno32</v>
      </c>
      <c r="IW93" s="198" t="n">
        <f aca="false">IF((SUMIF($IW$3:$JF$3,IW$60,$IW$4:$JF$4))=0,0,((SUMIF($IW$3:$JF$3,IW$60,$IW142:$JF142))/SUMIF($IW$3:$JF$3,IW$60,$IW$4:$JF$4)))</f>
        <v>0</v>
      </c>
      <c r="IX93" s="199" t="n">
        <f aca="false">IF((SUMIF($IW$3:$JF$3,IX$60,$IW$4:$JF$4))=0,0,((SUMIF($IW$3:$JF$3,IX$60,$IW142:$JF142))/SUMIF($IW$3:$JF$3,IX$60,$IW$4:$JF$4)))</f>
        <v>0</v>
      </c>
      <c r="IY93" s="199" t="n">
        <f aca="false">IF((SUMIF($IW$3:$JF$3,IY$60,$IW$4:$JF$4))=0,0,((SUMIF($IW$3:$JF$3,IY$60,$IW142:$JF142))/SUMIF($IW$3:$JF$3,IY$60,$IW$4:$JF$4)))</f>
        <v>0</v>
      </c>
      <c r="IZ93" s="199" t="n">
        <f aca="false">IF((SUMIF($IW$3:$JF$3,IZ$60,$IW$4:$JF$4))=0,0,((SUMIF($IW$3:$JF$3,IZ$60,$IW142:$JF142))/SUMIF($IW$3:$JF$3,IZ$60,$IW$4:$JF$4)))</f>
        <v>0</v>
      </c>
      <c r="JA93" s="199" t="n">
        <f aca="false">IF((SUMIF($IW$3:$JF$3,JA$60,$IW$4:$JF$4))=0,0,((SUMIF($IW$3:$JF$3,JA$60,$IW142:$JF142))/SUMIF($IW$3:$JF$3,JA$60,$IW$4:$JF$4)))</f>
        <v>0</v>
      </c>
      <c r="JB93" s="199" t="n">
        <f aca="false">IF((SUMIF($IW$3:$JF$3,JB$60,$IW$4:$JF$4))=0,0,((SUMIF($IW$3:$JF$3,JB$60,$IW142:$JF142))/SUMIF($IW$3:$JF$3,JB$60,$IW$4:$JF$4)))</f>
        <v>0</v>
      </c>
      <c r="JC93" s="199" t="n">
        <f aca="false">IF((SUMIF($IW$3:$JF$3,JC$60,$IW$4:$JF$4))=0,0,((SUMIF($IW$3:$JF$3,JC$60,$IW142:$JF142))/SUMIF($IW$3:$JF$3,JC$60,$IW$4:$JF$4)))</f>
        <v>0</v>
      </c>
      <c r="JD93" s="199" t="n">
        <f aca="false">IF((SUMIF($IW$3:$JF$3,JD$60,$IW$4:$JF$4))=0,0,((SUMIF($IW$3:$JF$3,JD$60,$IW142:$JF142))/SUMIF($IW$3:$JF$3,JD$60,$IW$4:$JF$4)))</f>
        <v>0</v>
      </c>
      <c r="JE93" s="199" t="n">
        <f aca="false">IF((SUMIF($IW$3:$JF$3,JE$60,$IW$4:$JF$4))=0,0,((SUMIF($IW$3:$JF$3,JE$60,$IW142:$JF142))/SUMIF($IW$3:$JF$3,JE$60,$IW$4:$JF$4)))</f>
        <v>0</v>
      </c>
      <c r="JF93" s="200" t="n">
        <f aca="false">IF((SUMIF($IW$3:$JF$3,JF$60,$IW$4:$JF$4))=0,0,((SUMIF($IW$3:$JF$3,JF$60,$IW142:$JF142))/SUMIF($IW$3:$JF$3,JF$60,$IW$4:$JF$4)))</f>
        <v>0</v>
      </c>
      <c r="JG93" s="194" t="str">
        <f aca="false">IV93</f>
        <v>Alumno32</v>
      </c>
      <c r="JH93" s="198" t="n">
        <f aca="false">IF((SUMIF($JH$3:$JQ$3,JH$60,$JH$4:$JQ$4))=0,0,((SUMIF($JH$3:$JQ$3,JH$60,$JH142:$JQ142))/SUMIF($JH$3:$JQ$3,JH$60,$JH$4:$JQ$4)))</f>
        <v>0</v>
      </c>
      <c r="JI93" s="199" t="n">
        <f aca="false">IF((SUMIF($JH$3:$JQ$3,JI$60,$JH$4:$JQ$4))=0,0,((SUMIF($JH$3:$JQ$3,JI$60,$JH142:$JQ142))/SUMIF($JH$3:$JQ$3,JI$60,$JH$4:$JQ$4)))</f>
        <v>0</v>
      </c>
      <c r="JJ93" s="199" t="n">
        <f aca="false">IF((SUMIF($JH$3:$JQ$3,JJ$60,$JH$4:$JQ$4))=0,0,((SUMIF($JH$3:$JQ$3,JJ$60,$JH142:$JQ142))/SUMIF($JH$3:$JQ$3,JJ$60,$JH$4:$JQ$4)))</f>
        <v>0</v>
      </c>
      <c r="JK93" s="199" t="n">
        <f aca="false">IF((SUMIF($JH$3:$JQ$3,JK$60,$JH$4:$JQ$4))=0,0,((SUMIF($JH$3:$JQ$3,JK$60,$JH142:$JQ142))/SUMIF($JH$3:$JQ$3,JK$60,$JH$4:$JQ$4)))</f>
        <v>0</v>
      </c>
      <c r="JL93" s="199" t="n">
        <f aca="false">IF((SUMIF($JH$3:$JQ$3,JL$60,$JH$4:$JQ$4))=0,0,((SUMIF($JH$3:$JQ$3,JL$60,$JH142:$JQ142))/SUMIF($JH$3:$JQ$3,JL$60,$JH$4:$JQ$4)))</f>
        <v>0</v>
      </c>
      <c r="JM93" s="199" t="n">
        <f aca="false">IF((SUMIF($JH$3:$JQ$3,JM$60,$JH$4:$JQ$4))=0,0,((SUMIF($JH$3:$JQ$3,JM$60,$JH142:$JQ142))/SUMIF($JH$3:$JQ$3,JM$60,$JH$4:$JQ$4)))</f>
        <v>0</v>
      </c>
      <c r="JN93" s="199" t="n">
        <f aca="false">IF((SUMIF($JH$3:$JQ$3,JN$60,$JH$4:$JQ$4))=0,0,((SUMIF($JH$3:$JQ$3,JN$60,$JH142:$JQ142))/SUMIF($JH$3:$JQ$3,JN$60,$JH$4:$JQ$4)))</f>
        <v>0</v>
      </c>
      <c r="JO93" s="199" t="n">
        <f aca="false">IF((SUMIF($JH$3:$JQ$3,JO$60,$JH$4:$JQ$4))=0,0,((SUMIF($JH$3:$JQ$3,JO$60,$JH142:$JQ142))/SUMIF($JH$3:$JQ$3,JO$60,$JH$4:$JQ$4)))</f>
        <v>0</v>
      </c>
      <c r="JP93" s="199" t="n">
        <f aca="false">IF((SUMIF($JH$3:$JQ$3,JP$60,$JH$4:$JQ$4))=0,0,((SUMIF($JH$3:$JQ$3,JP$60,$JH142:$JQ142))/SUMIF($JH$3:$JQ$3,JP$60,$JH$4:$JQ$4)))</f>
        <v>0</v>
      </c>
      <c r="JQ93" s="200" t="n">
        <f aca="false">IF((SUMIF($JH$3:$JQ$3,JQ$60,$JH$4:$JQ$4))=0,0,((SUMIF($JH$3:$JQ$3,JQ$60,$JH142:$JQ142))/SUMIF($JH$3:$JQ$3,JQ$60,$JH$4:$JQ$4)))</f>
        <v>0</v>
      </c>
      <c r="JR93" s="194" t="str">
        <f aca="false">JG93</f>
        <v>Alumno32</v>
      </c>
      <c r="JS93" s="198" t="n">
        <f aca="false">IF((SUMIF($JS$3:$KB$3,JS$60,$JS$4:$KB$4))=0,0,((SUMIF($JS$3:$KB$3,JS$60,$JS142:$KB142))/SUMIF($JS$3:$KB$3,JS$60,$JS$4:$KB$4)))</f>
        <v>0</v>
      </c>
      <c r="JT93" s="199" t="n">
        <f aca="false">IF((SUMIF($JS$3:$KB$3,JT$60,$JS$4:$KB$4))=0,0,((SUMIF($JS$3:$KB$3,JT$60,$JS142:$KB142))/SUMIF($JS$3:$KB$3,JT$60,$JS$4:$KB$4)))</f>
        <v>0</v>
      </c>
      <c r="JU93" s="199" t="n">
        <f aca="false">IF((SUMIF($JS$3:$KB$3,JU$60,$JS$4:$KB$4))=0,0,((SUMIF($JS$3:$KB$3,JU$60,$JS142:$KB142))/SUMIF($JS$3:$KB$3,JU$60,$JS$4:$KB$4)))</f>
        <v>0</v>
      </c>
      <c r="JV93" s="199" t="n">
        <f aca="false">IF((SUMIF($JS$3:$KB$3,JV$60,$JS$4:$KB$4))=0,0,((SUMIF($JS$3:$KB$3,JV$60,$JS142:$KB142))/SUMIF($JS$3:$KB$3,JV$60,$JS$4:$KB$4)))</f>
        <v>0</v>
      </c>
      <c r="JW93" s="199" t="n">
        <f aca="false">IF((SUMIF($JS$3:$KB$3,JW$60,$JS$4:$KB$4))=0,0,((SUMIF($JS$3:$KB$3,JW$60,$JS142:$KB142))/SUMIF($JS$3:$KB$3,JW$60,$JS$4:$KB$4)))</f>
        <v>0</v>
      </c>
      <c r="JX93" s="199" t="n">
        <f aca="false">IF((SUMIF($JS$3:$KB$3,JX$60,$JS$4:$KB$4))=0,0,((SUMIF($JS$3:$KB$3,JX$60,$JS142:$KB142))/SUMIF($JS$3:$KB$3,JX$60,$JS$4:$KB$4)))</f>
        <v>0</v>
      </c>
      <c r="JY93" s="199" t="n">
        <f aca="false">IF((SUMIF($JS$3:$KB$3,JY$60,$JS$4:$KB$4))=0,0,((SUMIF($JS$3:$KB$3,JY$60,$JS142:$KB142))/SUMIF($JS$3:$KB$3,JY$60,$JS$4:$KB$4)))</f>
        <v>0</v>
      </c>
      <c r="JZ93" s="199" t="n">
        <f aca="false">IF((SUMIF($JS$3:$KB$3,JZ$60,$JS$4:$KB$4))=0,0,((SUMIF($JS$3:$KB$3,JZ$60,$JS142:$KB142))/SUMIF($JS$3:$KB$3,JZ$60,$JS$4:$KB$4)))</f>
        <v>0</v>
      </c>
      <c r="KA93" s="199" t="n">
        <f aca="false">IF((SUMIF($JS$3:$KB$3,KA$60,$JS$4:$KB$4))=0,0,((SUMIF($JS$3:$KB$3,KA$60,$JS142:$KB142))/SUMIF($JS$3:$KB$3,KA$60,$JS$4:$KB$4)))</f>
        <v>0</v>
      </c>
      <c r="KB93" s="200" t="n">
        <f aca="false">IF((SUMIF($JS$3:$KB$3,KB$60,$JS$4:$KB$4))=0,0,((SUMIF($JS$3:$KB$3,KB$60,$JS142:$KB142))/SUMIF($JS$3:$KB$3,KB$60,$JS$4:$KB$4)))</f>
        <v>0</v>
      </c>
      <c r="KC93" s="194" t="str">
        <f aca="false">JR93</f>
        <v>Alumno32</v>
      </c>
      <c r="KD93" s="198" t="n">
        <f aca="false">IF((SUMIF($KD$3:$KM$3,KD$60,$KD$4:$KM$4))=0,0,((SUMIF($KD$3:$KM$3,KD$60,$KD142:$KM142))/SUMIF($KD$3:$KM$3,KD$60,$KD$4:$KM$4)))</f>
        <v>0</v>
      </c>
      <c r="KE93" s="199" t="n">
        <f aca="false">IF((SUMIF($KD$3:$KM$3,KE$60,$KD$4:$KM$4))=0,0,((SUMIF($KD$3:$KM$3,KE$60,$KD142:$KM142))/SUMIF($KD$3:$KM$3,KE$60,$KD$4:$KM$4)))</f>
        <v>0</v>
      </c>
      <c r="KF93" s="199" t="n">
        <f aca="false">IF((SUMIF($KD$3:$KM$3,KF$60,$KD$4:$KM$4))=0,0,((SUMIF($KD$3:$KM$3,KF$60,$KD142:$KM142))/SUMIF($KD$3:$KM$3,KF$60,$KD$4:$KM$4)))</f>
        <v>0</v>
      </c>
      <c r="KG93" s="199" t="n">
        <f aca="false">IF((SUMIF($KD$3:$KM$3,KG$60,$KD$4:$KM$4))=0,0,((SUMIF($KD$3:$KM$3,KG$60,$KD142:$KM142))/SUMIF($KD$3:$KM$3,KG$60,$KD$4:$KM$4)))</f>
        <v>0</v>
      </c>
      <c r="KH93" s="199" t="n">
        <f aca="false">IF((SUMIF($KD$3:$KM$3,KH$60,$KD$4:$KM$4))=0,0,((SUMIF($KD$3:$KM$3,KH$60,$KD142:$KM142))/SUMIF($KD$3:$KM$3,KH$60,$KD$4:$KM$4)))</f>
        <v>0</v>
      </c>
      <c r="KI93" s="199" t="n">
        <f aca="false">IF((SUMIF($KD$3:$KM$3,KI$60,$KD$4:$KM$4))=0,0,((SUMIF($KD$3:$KM$3,KI$60,$KD142:$KM142))/SUMIF($KD$3:$KM$3,KI$60,$KD$4:$KM$4)))</f>
        <v>0</v>
      </c>
      <c r="KJ93" s="199" t="n">
        <f aca="false">IF((SUMIF($KD$3:$KM$3,KJ$60,$KD$4:$KM$4))=0,0,((SUMIF($KD$3:$KM$3,KJ$60,$KD142:$KM142))/SUMIF($KD$3:$KM$3,KJ$60,$KD$4:$KM$4)))</f>
        <v>0</v>
      </c>
      <c r="KK93" s="199" t="n">
        <f aca="false">IF((SUMIF($KD$3:$KM$3,KK$60,$KD$4:$KM$4))=0,0,((SUMIF($KD$3:$KM$3,KK$60,$KD142:$KM142))/SUMIF($KD$3:$KM$3,KK$60,$KD$4:$KM$4)))</f>
        <v>0</v>
      </c>
      <c r="KL93" s="199" t="n">
        <f aca="false">IF((SUMIF($KD$3:$KM$3,KL$60,$KD$4:$KM$4))=0,0,((SUMIF($KD$3:$KM$3,KL$60,$KD142:$KM142))/SUMIF($KD$3:$KM$3,KL$60,$KD$4:$KM$4)))</f>
        <v>0</v>
      </c>
      <c r="KM93" s="200" t="n">
        <f aca="false">IF((SUMIF($KD$3:$KM$3,KM$60,$KD$4:$KM$4))=0,0,((SUMIF($KD$3:$KM$3,KM$60,$KD142:$KM142))/SUMIF($KD$3:$KM$3,KM$60,$KD$4:$KM$4)))</f>
        <v>0</v>
      </c>
      <c r="KN93" s="194" t="str">
        <f aca="false">KC93</f>
        <v>Alumno32</v>
      </c>
      <c r="KO93" s="198" t="n">
        <f aca="false">IF((SUMIF($KO$3:$KX$3,KO$60,$KO$4:$KX$4))=0,0,((SUMIF($KO$3:$KX$3,KO$60,$KO142:$KX142))/SUMIF($KO$3:$KX$3,KO$60,$KO$4:$KX$4)))</f>
        <v>0</v>
      </c>
      <c r="KP93" s="199" t="n">
        <f aca="false">IF((SUMIF($KO$3:$KX$3,KP$60,$KO$4:$KX$4))=0,0,((SUMIF($KO$3:$KX$3,KP$60,$KO142:$KX142))/SUMIF($KO$3:$KX$3,KP$60,$KO$4:$KX$4)))</f>
        <v>0</v>
      </c>
      <c r="KQ93" s="199" t="n">
        <f aca="false">IF((SUMIF($KO$3:$KX$3,KQ$60,$KO$4:$KX$4))=0,0,((SUMIF($KO$3:$KX$3,KQ$60,$KO142:$KX142))/SUMIF($KO$3:$KX$3,KQ$60,$KO$4:$KX$4)))</f>
        <v>0</v>
      </c>
      <c r="KR93" s="199" t="n">
        <f aca="false">IF((SUMIF($KO$3:$KX$3,KR$60,$KO$4:$KX$4))=0,0,((SUMIF($KO$3:$KX$3,KR$60,$KO142:$KX142))/SUMIF($KO$3:$KX$3,KR$60,$KO$4:$KX$4)))</f>
        <v>0</v>
      </c>
      <c r="KS93" s="199" t="n">
        <f aca="false">IF((SUMIF($KO$3:$KX$3,KS$60,$KO$4:$KX$4))=0,0,((SUMIF($KO$3:$KX$3,KS$60,$KO142:$KX142))/SUMIF($KO$3:$KX$3,KS$60,$KO$4:$KX$4)))</f>
        <v>0</v>
      </c>
      <c r="KT93" s="199" t="n">
        <f aca="false">IF((SUMIF($KO$3:$KX$3,KT$60,$KO$4:$KX$4))=0,0,((SUMIF($KO$3:$KX$3,KT$60,$KO142:$KX142))/SUMIF($KO$3:$KX$3,KT$60,$KO$4:$KX$4)))</f>
        <v>0</v>
      </c>
      <c r="KU93" s="199" t="n">
        <f aca="false">IF((SUMIF($KO$3:$KX$3,KU$60,$KO$4:$KX$4))=0,0,((SUMIF($KO$3:$KX$3,KU$60,$KO142:$KX142))/SUMIF($KO$3:$KX$3,KU$60,$KO$4:$KX$4)))</f>
        <v>0</v>
      </c>
      <c r="KV93" s="199" t="n">
        <f aca="false">IF((SUMIF($KO$3:$KX$3,KV$60,$KO$4:$KX$4))=0,0,((SUMIF($KO$3:$KX$3,KV$60,$KO142:$KX142))/SUMIF($KO$3:$KX$3,KV$60,$KO$4:$KX$4)))</f>
        <v>0</v>
      </c>
      <c r="KW93" s="199" t="n">
        <f aca="false">IF((SUMIF($KO$3:$KX$3,KW$60,$KO$4:$KX$4))=0,0,((SUMIF($KO$3:$KX$3,KW$60,$KO142:$KX142))/SUMIF($KO$3:$KX$3,KW$60,$KO$4:$KX$4)))</f>
        <v>0</v>
      </c>
      <c r="KX93" s="200" t="n">
        <f aca="false">IF((SUMIF($KO$3:$KX$3,KX$60,$KO$4:$KX$4))=0,0,((SUMIF($KO$3:$KX$3,KX$60,$KO142:$KX142))/SUMIF($KO$3:$KX$3,KX$60,$KO$4:$KX$4)))</f>
        <v>0</v>
      </c>
      <c r="KY93" s="194" t="str">
        <f aca="false">KN93</f>
        <v>Alumno32</v>
      </c>
      <c r="KZ93" s="198" t="n">
        <f aca="false">IF((SUMIF($KZ$3:$LI$3,KZ$60,$KZ$4:$LI$4))=0,0,((SUMIF($KZ$3:$LI$3,KZ$60,$KZ142:$LI142))/SUMIF($KZ$3:$LI$3,KZ$60,$KZ$4:$LI$4)))</f>
        <v>0</v>
      </c>
      <c r="LA93" s="199" t="n">
        <f aca="false">IF((SUMIF($KZ$3:$LI$3,LA$60,$KZ$4:$LI$4))=0,0,((SUMIF($KZ$3:$LI$3,LA$60,$KZ142:$LI142))/SUMIF($KZ$3:$LI$3,LA$60,$KZ$4:$LI$4)))</f>
        <v>0</v>
      </c>
      <c r="LB93" s="199" t="n">
        <f aca="false">IF((SUMIF($KZ$3:$LI$3,LB$60,$KZ$4:$LI$4))=0,0,((SUMIF($KZ$3:$LI$3,LB$60,$KZ142:$LI142))/SUMIF($KZ$3:$LI$3,LB$60,$KZ$4:$LI$4)))</f>
        <v>0</v>
      </c>
      <c r="LC93" s="199" t="n">
        <f aca="false">IF((SUMIF($KZ$3:$LI$3,LC$60,$KZ$4:$LI$4))=0,0,((SUMIF($KZ$3:$LI$3,LC$60,$KZ142:$LI142))/SUMIF($KZ$3:$LI$3,LC$60,$KZ$4:$LI$4)))</f>
        <v>0</v>
      </c>
      <c r="LD93" s="199" t="n">
        <f aca="false">IF((SUMIF($KZ$3:$LI$3,LD$60,$KZ$4:$LI$4))=0,0,((SUMIF($KZ$3:$LI$3,LD$60,$KZ142:$LI142))/SUMIF($KZ$3:$LI$3,LD$60,$KZ$4:$LI$4)))</f>
        <v>0</v>
      </c>
      <c r="LE93" s="199" t="n">
        <f aca="false">IF((SUMIF($KZ$3:$LI$3,LE$60,$KZ$4:$LI$4))=0,0,((SUMIF($KZ$3:$LI$3,LE$60,$KZ142:$LI142))/SUMIF($KZ$3:$LI$3,LE$60,$KZ$4:$LI$4)))</f>
        <v>0</v>
      </c>
      <c r="LF93" s="199" t="n">
        <f aca="false">IF((SUMIF($KZ$3:$LI$3,LF$60,$KZ$4:$LI$4))=0,0,((SUMIF($KZ$3:$LI$3,LF$60,$KZ142:$LI142))/SUMIF($KZ$3:$LI$3,LF$60,$KZ$4:$LI$4)))</f>
        <v>0</v>
      </c>
      <c r="LG93" s="199" t="n">
        <f aca="false">IF((SUMIF($KZ$3:$LI$3,LG$60,$KZ$4:$LI$4))=0,0,((SUMIF($KZ$3:$LI$3,LG$60,$KZ142:$LI142))/SUMIF($KZ$3:$LI$3,LG$60,$KZ$4:$LI$4)))</f>
        <v>0</v>
      </c>
      <c r="LH93" s="199" t="n">
        <f aca="false">IF((SUMIF($KZ$3:$LI$3,LH$60,$KZ$4:$LI$4))=0,0,((SUMIF($KZ$3:$LI$3,LH$60,$KZ142:$LI142))/SUMIF($KZ$3:$LI$3,LH$60,$KZ$4:$LI$4)))</f>
        <v>0</v>
      </c>
      <c r="LI93" s="200" t="n">
        <f aca="false">IF((SUMIF($KZ$3:$LI$3,LI$60,$KZ$4:$LI$4))=0,0,((SUMIF($KZ$3:$LI$3,LI$60,$KZ142:$LI142))/SUMIF($KZ$3:$LI$3,LI$60,$KZ$4:$LI$4)))</f>
        <v>0</v>
      </c>
      <c r="LJ93" s="194" t="str">
        <f aca="false">KY93</f>
        <v>Alumno32</v>
      </c>
      <c r="LK93" s="198" t="n">
        <f aca="false">IF((SUMIF($LK$3:$LT$3,LK$60,$LK$4:$LT$4))=0,0,((SUMIF($LK$3:$LT$3,LK$60,$LK142:$LT142))/SUMIF($LK$3:$LT$3,LK$60,$LK$4:$LT$4)))</f>
        <v>0</v>
      </c>
      <c r="LL93" s="199" t="n">
        <f aca="false">IF((SUMIF($LK$3:$LT$3,LL$60,$LK$4:$LT$4))=0,0,((SUMIF($LK$3:$LT$3,LL$60,$LK142:$LT142))/SUMIF($LK$3:$LT$3,LL$60,$LK$4:$LT$4)))</f>
        <v>0</v>
      </c>
      <c r="LM93" s="199" t="n">
        <f aca="false">IF((SUMIF($LK$3:$LT$3,LM$60,$LK$4:$LT$4))=0,0,((SUMIF($LK$3:$LT$3,LM$60,$LK142:$LT142))/SUMIF($LK$3:$LT$3,LM$60,$LK$4:$LT$4)))</f>
        <v>0</v>
      </c>
      <c r="LN93" s="199" t="n">
        <f aca="false">IF((SUMIF($LK$3:$LT$3,LN$60,$LK$4:$LT$4))=0,0,((SUMIF($LK$3:$LT$3,LN$60,$LK142:$LT142))/SUMIF($LK$3:$LT$3,LN$60,$LK$4:$LT$4)))</f>
        <v>0</v>
      </c>
      <c r="LO93" s="199" t="n">
        <f aca="false">IF((SUMIF($LK$3:$LT$3,LO$60,$LK$4:$LT$4))=0,0,((SUMIF($LK$3:$LT$3,LO$60,$LK142:$LT142))/SUMIF($LK$3:$LT$3,LO$60,$LK$4:$LT$4)))</f>
        <v>0</v>
      </c>
      <c r="LP93" s="199" t="n">
        <f aca="false">IF((SUMIF($LK$3:$LT$3,LP$60,$LK$4:$LT$4))=0,0,((SUMIF($LK$3:$LT$3,LP$60,$LK142:$LT142))/SUMIF($LK$3:$LT$3,LP$60,$LK$4:$LT$4)))</f>
        <v>0</v>
      </c>
      <c r="LQ93" s="199" t="n">
        <f aca="false">IF((SUMIF($LK$3:$LT$3,LQ$60,$LK$4:$LT$4))=0,0,((SUMIF($LK$3:$LT$3,LQ$60,$LK142:$LT142))/SUMIF($LK$3:$LT$3,LQ$60,$LK$4:$LT$4)))</f>
        <v>0</v>
      </c>
      <c r="LR93" s="199" t="n">
        <f aca="false">IF((SUMIF($LK$3:$LT$3,LR$60,$LK$4:$LT$4))=0,0,((SUMIF($LK$3:$LT$3,LR$60,$LK142:$LT142))/SUMIF($LK$3:$LT$3,LR$60,$LK$4:$LT$4)))</f>
        <v>0</v>
      </c>
      <c r="LS93" s="199" t="n">
        <f aca="false">IF((SUMIF($LK$3:$LT$3,LS$60,$LK$4:$LT$4))=0,0,((SUMIF($LK$3:$LT$3,LS$60,$LK142:$LT142))/SUMIF($LK$3:$LT$3,LS$60,$LK$4:$LT$4)))</f>
        <v>0</v>
      </c>
      <c r="LT93" s="200" t="n">
        <f aca="false">IF((SUMIF($LK$3:$LT$3,LT$60,$LK$4:$LT$4))=0,0,((SUMIF($LK$3:$LT$3,LT$60,$LK142:$LT142))/SUMIF($LK$3:$LT$3,LT$60,$LK$4:$LT$4)))</f>
        <v>0</v>
      </c>
    </row>
    <row r="94" customFormat="false" ht="15" hidden="true" customHeight="false" outlineLevel="0" collapsed="false">
      <c r="C94" s="194" t="str">
        <f aca="false">B38</f>
        <v>Alumno33</v>
      </c>
      <c r="D94" s="198" t="n">
        <f aca="false">IF((SUMIF($D$3:$M$3,D$60,$D$4:$M$4))=0,0,((SUMIF($D$3:$M$3,D$60,$D143:$M143))/SUMIF($D$3:$M$3,D$60,$D$4:$M$4)))</f>
        <v>0</v>
      </c>
      <c r="E94" s="199" t="n">
        <f aca="false">IF((SUMIF($D$3:$M$3,E$60,$D$4:$M$4))=0,0,((SUMIF($D$3:$M$3,E$60,$D143:$M143))/SUMIF($D$3:$M$3,E$60,$D$4:$M$4)))</f>
        <v>0</v>
      </c>
      <c r="F94" s="199" t="n">
        <f aca="false">IF((SUMIF($D$3:$M$3,F$60,$D$4:$M$4))=0,0,((SUMIF($D$3:$M$3,F$60,$D143:$M143))/SUMIF($D$3:$M$3,F$60,$D$4:$M$4)))</f>
        <v>0</v>
      </c>
      <c r="G94" s="199" t="n">
        <f aca="false">IF((SUMIF($D$3:$M$3,G$60,$D$4:$M$4))=0,0,((SUMIF($D$3:$M$3,G$60,$D143:$M143))/SUMIF($D$3:$M$3,G$60,$D$4:$M$4)))</f>
        <v>0</v>
      </c>
      <c r="H94" s="199" t="n">
        <f aca="false">IF((SUMIF($D$3:$M$3,H$60,$D$4:$M$4))=0,0,((SUMIF($D$3:$M$3,H$60,$D143:$M143))/SUMIF($D$3:$M$3,H$60,$D$4:$M$4)))</f>
        <v>0</v>
      </c>
      <c r="I94" s="199" t="n">
        <f aca="false">IF((SUMIF($D$3:$M$3,I$60,$D$4:$M$4))=0,0,((SUMIF($D$3:$M$3,I$60,$D143:$M143))/SUMIF($D$3:$M$3,I$60,$D$4:$M$4)))</f>
        <v>0</v>
      </c>
      <c r="J94" s="199" t="n">
        <f aca="false">IF((SUMIF($D$3:$M$3,J$60,$D$4:$M$4))=0,0,((SUMIF($D$3:$M$3,J$60,$D143:$M143))/SUMIF($D$3:$M$3,J$60,$D$4:$M$4)))</f>
        <v>0</v>
      </c>
      <c r="K94" s="199" t="n">
        <f aca="false">IF((SUMIF($D$3:$M$3,K$60,$D$4:$M$4))=0,0,((SUMIF($D$3:$M$3,K$60,$D143:$M143))/SUMIF($D$3:$M$3,K$60,$D$4:$M$4)))</f>
        <v>0</v>
      </c>
      <c r="L94" s="199" t="n">
        <f aca="false">IF((SUMIF($D$3:$M$3,L$60,$D$4:$M$4))=0,0,((SUMIF($D$3:$M$3,L$60,$D143:$M143))/SUMIF($D$3:$M$3,L$60,$D$4:$M$4)))</f>
        <v>0</v>
      </c>
      <c r="M94" s="200" t="n">
        <f aca="false">IF((SUMIF($D$3:$M$3,M$60,$D$4:$M$4))=0,0,((SUMIF($D$3:$M$3,M$60,$D143:$M143))/SUMIF($D$3:$M$3,M$60,$D$4:$M$4)))</f>
        <v>0</v>
      </c>
      <c r="N94" s="194" t="str">
        <f aca="false">C94</f>
        <v>Alumno33</v>
      </c>
      <c r="O94" s="198" t="n">
        <f aca="false">IF((SUMIF($O$3:$X$3,O$60,$O$4:$X$4))=0,0,((SUMIF($O$3:$X$3,O$60,$O143:$X143))/SUMIF($O$3:$X$3,O$60,$O$4:$X$4)))</f>
        <v>0</v>
      </c>
      <c r="P94" s="199" t="n">
        <f aca="false">IF((SUMIF($O$3:$X$3,P$60,$O$4:$X$4))=0,0,((SUMIF($O$3:$X$3,P$60,$O143:$X143))/SUMIF($O$3:$X$3,P$60,$O$4:$X$4)))</f>
        <v>0</v>
      </c>
      <c r="Q94" s="199" t="n">
        <f aca="false">IF((SUMIF($O$3:$X$3,Q$60,$O$4:$X$4))=0,0,((SUMIF($O$3:$X$3,Q$60,$O143:$X143))/SUMIF($O$3:$X$3,Q$60,$O$4:$X$4)))</f>
        <v>0</v>
      </c>
      <c r="R94" s="199" t="n">
        <f aca="false">IF((SUMIF($O$3:$X$3,R$60,$O$4:$X$4))=0,0,((SUMIF($O$3:$X$3,R$60,$O143:$X143))/SUMIF($O$3:$X$3,R$60,$O$4:$X$4)))</f>
        <v>0</v>
      </c>
      <c r="S94" s="199" t="n">
        <f aca="false">IF((SUMIF($O$3:$X$3,S$60,$O$4:$X$4))=0,0,((SUMIF($O$3:$X$3,S$60,$O143:$X143))/SUMIF($O$3:$X$3,S$60,$O$4:$X$4)))</f>
        <v>0</v>
      </c>
      <c r="T94" s="199" t="n">
        <f aca="false">IF((SUMIF($O$3:$X$3,T$60,$O$4:$X$4))=0,0,((SUMIF($O$3:$X$3,T$60,$O143:$X143))/SUMIF($O$3:$X$3,T$60,$O$4:$X$4)))</f>
        <v>0</v>
      </c>
      <c r="U94" s="199" t="n">
        <f aca="false">IF((SUMIF($O$3:$X$3,U$60,$O$4:$X$4))=0,0,((SUMIF($O$3:$X$3,U$60,$O143:$X143))/SUMIF($O$3:$X$3,U$60,$O$4:$X$4)))</f>
        <v>0</v>
      </c>
      <c r="V94" s="199" t="n">
        <f aca="false">IF((SUMIF($O$3:$X$3,V$60,$O$4:$X$4))=0,0,((SUMIF($O$3:$X$3,V$60,$O143:$X143))/SUMIF($O$3:$X$3,V$60,$O$4:$X$4)))</f>
        <v>0</v>
      </c>
      <c r="W94" s="199" t="n">
        <f aca="false">IF((SUMIF($O$3:$X$3,W$60,$O$4:$X$4))=0,0,((SUMIF($O$3:$X$3,W$60,$O143:$X143))/SUMIF($O$3:$X$3,W$60,$O$4:$X$4)))</f>
        <v>0</v>
      </c>
      <c r="X94" s="200" t="n">
        <f aca="false">IF((SUMIF($O$3:$X$3,X$60,$O$4:$X$4))=0,0,((SUMIF($O$3:$X$3,X$60,$O143:$X143))/SUMIF($O$3:$X$3,X$60,$O$4:$X$4)))</f>
        <v>0</v>
      </c>
      <c r="Y94" s="194" t="str">
        <f aca="false">N94</f>
        <v>Alumno33</v>
      </c>
      <c r="Z94" s="198" t="n">
        <f aca="false">IF((SUMIF($Z$3:$AI$3,Z$60,$Z$4:$AI$4))=0,0,((SUMIF($Z$3:$AI$3,Z$60,$Z143:$AI143))/SUMIF($Z$3:$AI$3,Z$60,$Z$4:$AI$4)))</f>
        <v>0</v>
      </c>
      <c r="AA94" s="199" t="n">
        <f aca="false">IF((SUMIF($Z$3:$AI$3,AA$60,$Z$4:$AI$4))=0,0,((SUMIF($Z$3:$AI$3,AA$60,$Z143:$AI143))/SUMIF($Z$3:$AI$3,AA$60,$Z$4:$AI$4)))</f>
        <v>0</v>
      </c>
      <c r="AB94" s="199" t="n">
        <f aca="false">IF((SUMIF($Z$3:$AI$3,AB$60,$Z$4:$AI$4))=0,0,((SUMIF($Z$3:$AI$3,AB$60,$Z143:$AI143))/SUMIF($Z$3:$AI$3,AB$60,$Z$4:$AI$4)))</f>
        <v>0</v>
      </c>
      <c r="AC94" s="199" t="n">
        <f aca="false">IF((SUMIF($Z$3:$AI$3,AC$60,$Z$4:$AI$4))=0,0,((SUMIF($Z$3:$AI$3,AC$60,$Z143:$AI143))/SUMIF($Z$3:$AI$3,AC$60,$Z$4:$AI$4)))</f>
        <v>0</v>
      </c>
      <c r="AD94" s="199" t="n">
        <f aca="false">IF((SUMIF($Z$3:$AI$3,AD$60,$Z$4:$AI$4))=0,0,((SUMIF($Z$3:$AI$3,AD$60,$Z143:$AI143))/SUMIF($Z$3:$AI$3,AD$60,$Z$4:$AI$4)))</f>
        <v>0</v>
      </c>
      <c r="AE94" s="199" t="n">
        <f aca="false">IF((SUMIF($Z$3:$AI$3,AE$60,$Z$4:$AI$4))=0,0,((SUMIF($Z$3:$AI$3,AE$60,$Z143:$AI143))/SUMIF($Z$3:$AI$3,AE$60,$Z$4:$AI$4)))</f>
        <v>0</v>
      </c>
      <c r="AF94" s="199" t="n">
        <f aca="false">IF((SUMIF($Z$3:$AI$3,AF$60,$Z$4:$AI$4))=0,0,((SUMIF($Z$3:$AI$3,AF$60,$Z143:$AI143))/SUMIF($Z$3:$AI$3,AF$60,$Z$4:$AI$4)))</f>
        <v>0</v>
      </c>
      <c r="AG94" s="199" t="n">
        <f aca="false">IF((SUMIF($Z$3:$AI$3,AG$60,$Z$4:$AI$4))=0,0,((SUMIF($Z$3:$AI$3,AG$60,$Z143:$AI143))/SUMIF($Z$3:$AI$3,AG$60,$Z$4:$AI$4)))</f>
        <v>0</v>
      </c>
      <c r="AH94" s="199" t="n">
        <f aca="false">IF((SUMIF($Z$3:$AI$3,AH$60,$Z$4:$AI$4))=0,0,((SUMIF($Z$3:$AI$3,AH$60,$Z143:$AI143))/SUMIF($Z$3:$AI$3,AH$60,$Z$4:$AI$4)))</f>
        <v>0</v>
      </c>
      <c r="AI94" s="200" t="n">
        <f aca="false">IF((SUMIF($Z$3:$AI$3,AI$60,$Z$4:$AI$4))=0,0,((SUMIF($Z$3:$AI$3,AI$60,$Z143:$AI143))/SUMIF($Z$3:$AI$3,AI$60,$Z$4:$AI$4)))</f>
        <v>0</v>
      </c>
      <c r="AJ94" s="194" t="str">
        <f aca="false">Y94</f>
        <v>Alumno33</v>
      </c>
      <c r="AK94" s="198" t="n">
        <f aca="false">IF((SUMIF($AK$3:$AT$3,AK$60,$AK$4:$AT$4))=0,0,((SUMIF($AK$3:$AT$3,AK$60,$AK143:$AT143))/SUMIF($AK$3:$AT$3,AK$60,$AK$4:$AT$4)))</f>
        <v>0</v>
      </c>
      <c r="AL94" s="199" t="n">
        <f aca="false">IF((SUMIF($AK$3:$AT$3,AL$60,$AK$4:$AT$4))=0,0,((SUMIF($AK$3:$AT$3,AL$60,$AK143:$AT143))/SUMIF($AK$3:$AT$3,AL$60,$AK$4:$AT$4)))</f>
        <v>0</v>
      </c>
      <c r="AM94" s="199" t="n">
        <f aca="false">IF((SUMIF($AK$3:$AT$3,AM$60,$AK$4:$AT$4))=0,0,((SUMIF($AK$3:$AT$3,AM$60,$AK143:$AT143))/SUMIF($AK$3:$AT$3,AM$60,$AK$4:$AT$4)))</f>
        <v>0</v>
      </c>
      <c r="AN94" s="199" t="n">
        <f aca="false">IF((SUMIF($AK$3:$AT$3,AN$60,$AK$4:$AT$4))=0,0,((SUMIF($AK$3:$AT$3,AN$60,$AK143:$AT143))/SUMIF($AK$3:$AT$3,AN$60,$AK$4:$AT$4)))</f>
        <v>0</v>
      </c>
      <c r="AO94" s="199" t="n">
        <f aca="false">IF((SUMIF($AK$3:$AT$3,AO$60,$AK$4:$AT$4))=0,0,((SUMIF($AK$3:$AT$3,AO$60,$AK143:$AT143))/SUMIF($AK$3:$AT$3,AO$60,$AK$4:$AT$4)))</f>
        <v>0</v>
      </c>
      <c r="AP94" s="199" t="n">
        <f aca="false">IF((SUMIF($AK$3:$AT$3,AP$60,$AK$4:$AT$4))=0,0,((SUMIF($AK$3:$AT$3,AP$60,$AK143:$AT143))/SUMIF($AK$3:$AT$3,AP$60,$AK$4:$AT$4)))</f>
        <v>0</v>
      </c>
      <c r="AQ94" s="199" t="n">
        <f aca="false">IF((SUMIF($AK$3:$AT$3,AQ$60,$AK$4:$AT$4))=0,0,((SUMIF($AK$3:$AT$3,AQ$60,$AK143:$AT143))/SUMIF($AK$3:$AT$3,AQ$60,$AK$4:$AT$4)))</f>
        <v>0</v>
      </c>
      <c r="AR94" s="199" t="n">
        <f aca="false">IF((SUMIF($AK$3:$AT$3,AR$60,$AK$4:$AT$4))=0,0,((SUMIF($AK$3:$AT$3,AR$60,$AK143:$AT143))/SUMIF($AK$3:$AT$3,AR$60,$AK$4:$AT$4)))</f>
        <v>0</v>
      </c>
      <c r="AS94" s="199" t="n">
        <f aca="false">IF((SUMIF($AK$3:$AT$3,AS$60,$AK$4:$AT$4))=0,0,((SUMIF($AK$3:$AT$3,AS$60,$AK143:$AT143))/SUMIF($AK$3:$AT$3,AS$60,$AK$4:$AT$4)))</f>
        <v>0</v>
      </c>
      <c r="AT94" s="200" t="n">
        <f aca="false">IF((SUMIF($AK$3:$AT$3,AT$60,$AK$4:$AT$4))=0,0,((SUMIF($AK$3:$AT$3,AT$60,$AK143:$AT143))/SUMIF($AK$3:$AT$3,AT$60,$AK$4:$AT$4)))</f>
        <v>0</v>
      </c>
      <c r="AU94" s="194" t="str">
        <f aca="false">AJ94</f>
        <v>Alumno33</v>
      </c>
      <c r="AV94" s="198" t="n">
        <f aca="false">IF((SUMIF($AV$3:$BE$3,AV$60,$AV$4:$BE$4))=0,0,((SUMIF($AV$3:$BE$3,AV$60,$AV143:$BE143))/SUMIF($AV$3:$BE$3,AV$60,$AV$4:$BE$4)))</f>
        <v>0</v>
      </c>
      <c r="AW94" s="199" t="n">
        <f aca="false">IF((SUMIF($AV$3:$BE$3,AW$60,$AV$4:$BE$4))=0,0,((SUMIF($AV$3:$BE$3,AW$60,$AV143:$BE143))/SUMIF($AV$3:$BE$3,AW$60,$AV$4:$BE$4)))</f>
        <v>0</v>
      </c>
      <c r="AX94" s="199" t="n">
        <f aca="false">IF((SUMIF($AV$3:$BE$3,AX$60,$AV$4:$BE$4))=0,0,((SUMIF($AV$3:$BE$3,AX$60,$AV143:$BE143))/SUMIF($AV$3:$BE$3,AX$60,$AV$4:$BE$4)))</f>
        <v>0</v>
      </c>
      <c r="AY94" s="199" t="n">
        <f aca="false">IF((SUMIF($AV$3:$BE$3,AY$60,$AV$4:$BE$4))=0,0,((SUMIF($AV$3:$BE$3,AY$60,$AV143:$BE143))/SUMIF($AV$3:$BE$3,AY$60,$AV$4:$BE$4)))</f>
        <v>0</v>
      </c>
      <c r="AZ94" s="199" t="n">
        <f aca="false">IF((SUMIF($AV$3:$BE$3,AZ$60,$AV$4:$BE$4))=0,0,((SUMIF($AV$3:$BE$3,AZ$60,$AV143:$BE143))/SUMIF($AV$3:$BE$3,AZ$60,$AV$4:$BE$4)))</f>
        <v>0</v>
      </c>
      <c r="BA94" s="199" t="n">
        <f aca="false">IF((SUMIF($AV$3:$BE$3,BA$60,$AV$4:$BE$4))=0,0,((SUMIF($AV$3:$BE$3,BA$60,$AV143:$BE143))/SUMIF($AV$3:$BE$3,BA$60,$AV$4:$BE$4)))</f>
        <v>0</v>
      </c>
      <c r="BB94" s="199" t="n">
        <f aca="false">IF((SUMIF($AV$3:$BE$3,BB$60,$AV$4:$BE$4))=0,0,((SUMIF($AV$3:$BE$3,BB$60,$AV143:$BE143))/SUMIF($AV$3:$BE$3,BB$60,$AV$4:$BE$4)))</f>
        <v>0</v>
      </c>
      <c r="BC94" s="199" t="n">
        <f aca="false">IF((SUMIF($AV$3:$BE$3,BC$60,$AV$4:$BE$4))=0,0,((SUMIF($AV$3:$BE$3,BC$60,$AV143:$BE143))/SUMIF($AV$3:$BE$3,BC$60,$AV$4:$BE$4)))</f>
        <v>0</v>
      </c>
      <c r="BD94" s="199" t="n">
        <f aca="false">IF((SUMIF($AV$3:$BE$3,BD$60,$AV$4:$BE$4))=0,0,((SUMIF($AV$3:$BE$3,BD$60,$AV143:$BE143))/SUMIF($AV$3:$BE$3,BD$60,$AV$4:$BE$4)))</f>
        <v>0</v>
      </c>
      <c r="BE94" s="200" t="n">
        <f aca="false">IF((SUMIF($AV$3:$BE$3,BE$60,$AV$4:$BE$4))=0,0,((SUMIF($AV$3:$BE$3,BE$60,$AV143:$BE143))/SUMIF($AV$3:$BE$3,BE$60,$AV$4:$BE$4)))</f>
        <v>0</v>
      </c>
      <c r="BF94" s="194" t="str">
        <f aca="false">AU94</f>
        <v>Alumno33</v>
      </c>
      <c r="BG94" s="198" t="n">
        <f aca="false">IF((SUMIF($BG$3:$BP$3,BG$60,$BG$4:$BP$4))=0,0,((SUMIF($BG$3:$BP$3,BG$60,$BG143:$BP143))/SUMIF($BG$3:$BP$3,BG$60,$BG$4:$BP$4)))</f>
        <v>0</v>
      </c>
      <c r="BH94" s="199" t="n">
        <f aca="false">IF((SUMIF($BG$3:$BP$3,BH$60,$BG$4:$BP$4))=0,0,((SUMIF($BG$3:$BP$3,BH$60,$BG143:$BP143))/SUMIF($BG$3:$BP$3,BH$60,$BG$4:$BP$4)))</f>
        <v>0</v>
      </c>
      <c r="BI94" s="199" t="n">
        <f aca="false">IF((SUMIF($BG$3:$BP$3,BI$60,$BG$4:$BP$4))=0,0,((SUMIF($BG$3:$BP$3,BI$60,$BG143:$BP143))/SUMIF($BG$3:$BP$3,BI$60,$BG$4:$BP$4)))</f>
        <v>0</v>
      </c>
      <c r="BJ94" s="199" t="n">
        <f aca="false">IF((SUMIF($BG$3:$BP$3,BJ$60,$BG$4:$BP$4))=0,0,((SUMIF($BG$3:$BP$3,BJ$60,$BG143:$BP143))/SUMIF($BG$3:$BP$3,BJ$60,$BG$4:$BP$4)))</f>
        <v>0</v>
      </c>
      <c r="BK94" s="199" t="n">
        <f aca="false">IF((SUMIF($BG$3:$BP$3,BK$60,$BG$4:$BP$4))=0,0,((SUMIF($BG$3:$BP$3,BK$60,$BG143:$BP143))/SUMIF($BG$3:$BP$3,BK$60,$BG$4:$BP$4)))</f>
        <v>0</v>
      </c>
      <c r="BL94" s="199" t="n">
        <f aca="false">IF((SUMIF($BG$3:$BP$3,BL$60,$BG$4:$BP$4))=0,0,((SUMIF($BG$3:$BP$3,BL$60,$BG143:$BP143))/SUMIF($BG$3:$BP$3,BL$60,$BG$4:$BP$4)))</f>
        <v>0</v>
      </c>
      <c r="BM94" s="199" t="n">
        <f aca="false">IF((SUMIF($BG$3:$BP$3,BM$60,$BG$4:$BP$4))=0,0,((SUMIF($BG$3:$BP$3,BM$60,$BG143:$BP143))/SUMIF($BG$3:$BP$3,BM$60,$BG$4:$BP$4)))</f>
        <v>0</v>
      </c>
      <c r="BN94" s="199" t="n">
        <f aca="false">IF((SUMIF($BG$3:$BP$3,BN$60,$BG$4:$BP$4))=0,0,((SUMIF($BG$3:$BP$3,BN$60,$BG143:$BP143))/SUMIF($BG$3:$BP$3,BN$60,$BG$4:$BP$4)))</f>
        <v>0</v>
      </c>
      <c r="BO94" s="199" t="n">
        <f aca="false">IF((SUMIF($BG$3:$BP$3,BO$60,$BG$4:$BP$4))=0,0,((SUMIF($BG$3:$BP$3,BO$60,$BG143:$BP143))/SUMIF($BG$3:$BP$3,BO$60,$BG$4:$BP$4)))</f>
        <v>0</v>
      </c>
      <c r="BP94" s="200" t="n">
        <f aca="false">IF((SUMIF($BG$3:$BP$3,BP$60,$BG$4:$BP$4))=0,0,((SUMIF($BG$3:$BP$3,BP$60,$BG143:$BP143))/SUMIF($BG$3:$BP$3,BP$60,$BG$4:$BP$4)))</f>
        <v>0</v>
      </c>
      <c r="BQ94" s="194" t="str">
        <f aca="false">BF94</f>
        <v>Alumno33</v>
      </c>
      <c r="BR94" s="198" t="n">
        <f aca="false">IF((SUMIF($BR$3:$CA$3,BR$60,$BR$4:$CA$4))=0,0,((SUMIF($BR$3:$CA$3,BR$60,$BR143:$CA143))/SUMIF($BR$3:$CA$3,BR$60,$BR$4:$CA$4)))</f>
        <v>0</v>
      </c>
      <c r="BS94" s="199" t="n">
        <f aca="false">IF((SUMIF($BR$3:$CA$3,BS$60,$BR$4:$CA$4))=0,0,((SUMIF($BR$3:$CA$3,BS$60,$BR143:$CA143))/SUMIF($BR$3:$CA$3,BS$60,$BR$4:$CA$4)))</f>
        <v>0</v>
      </c>
      <c r="BT94" s="199" t="n">
        <f aca="false">IF((SUMIF($BR$3:$CA$3,BT$60,$BR$4:$CA$4))=0,0,((SUMIF($BR$3:$CA$3,BT$60,$BR143:$CA143))/SUMIF($BR$3:$CA$3,BT$60,$BR$4:$CA$4)))</f>
        <v>0</v>
      </c>
      <c r="BU94" s="199" t="n">
        <f aca="false">IF((SUMIF($BR$3:$CA$3,BU$60,$BR$4:$CA$4))=0,0,((SUMIF($BR$3:$CA$3,BU$60,$BR143:$CA143))/SUMIF($BR$3:$CA$3,BU$60,$BR$4:$CA$4)))</f>
        <v>0</v>
      </c>
      <c r="BV94" s="199" t="n">
        <f aca="false">IF((SUMIF($BR$3:$CA$3,BV$60,$BR$4:$CA$4))=0,0,((SUMIF($BR$3:$CA$3,BV$60,$BR143:$CA143))/SUMIF($BR$3:$CA$3,BV$60,$BR$4:$CA$4)))</f>
        <v>0</v>
      </c>
      <c r="BW94" s="199" t="n">
        <f aca="false">IF((SUMIF($BR$3:$CA$3,BW$60,$BR$4:$CA$4))=0,0,((SUMIF($BR$3:$CA$3,BW$60,$BR143:$CA143))/SUMIF($BR$3:$CA$3,BW$60,$BR$4:$CA$4)))</f>
        <v>0</v>
      </c>
      <c r="BX94" s="199" t="n">
        <f aca="false">IF((SUMIF($BR$3:$CA$3,BX$60,$BR$4:$CA$4))=0,0,((SUMIF($BR$3:$CA$3,BX$60,$BR143:$CA143))/SUMIF($BR$3:$CA$3,BX$60,$BR$4:$CA$4)))</f>
        <v>0</v>
      </c>
      <c r="BY94" s="199" t="n">
        <f aca="false">IF((SUMIF($BR$3:$CA$3,BY$60,$BR$4:$CA$4))=0,0,((SUMIF($BR$3:$CA$3,BY$60,$BR143:$CA143))/SUMIF($BR$3:$CA$3,BY$60,$BR$4:$CA$4)))</f>
        <v>0</v>
      </c>
      <c r="BZ94" s="199" t="n">
        <f aca="false">IF((SUMIF($BR$3:$CA$3,BZ$60,$BR$4:$CA$4))=0,0,((SUMIF($BR$3:$CA$3,BZ$60,$BR143:$CA143))/SUMIF($BR$3:$CA$3,BZ$60,$BR$4:$CA$4)))</f>
        <v>0</v>
      </c>
      <c r="CA94" s="200" t="n">
        <f aca="false">IF((SUMIF($BR$3:$CA$3,CA$60,$BR$4:$CA$4))=0,0,((SUMIF($BR$3:$CA$3,CA$60,$BR143:$CA143))/SUMIF($BR$3:$CA$3,CA$60,$BR$4:$CA$4)))</f>
        <v>0</v>
      </c>
      <c r="CB94" s="194" t="str">
        <f aca="false">BQ94</f>
        <v>Alumno33</v>
      </c>
      <c r="CC94" s="198" t="n">
        <f aca="false">IF((SUMIF($CC$3:$CL$3,CC$60,$CC$4:$CL$4))=0,0,((SUMIF($CC$3:$CL$3,CC$60,$CC143:$CL143))/SUMIF($CC$3:$CL$3,CC$60,$CC$4:$CL$4)))</f>
        <v>0</v>
      </c>
      <c r="CD94" s="199" t="n">
        <f aca="false">IF((SUMIF($CC$3:$CL$3,CD$60,$CC$4:$CL$4))=0,0,((SUMIF($CC$3:$CL$3,CD$60,$CC143:$CL143))/SUMIF($CC$3:$CL$3,CD$60,$CC$4:$CL$4)))</f>
        <v>0</v>
      </c>
      <c r="CE94" s="199" t="n">
        <f aca="false">IF((SUMIF($CC$3:$CL$3,CE$60,$CC$4:$CL$4))=0,0,((SUMIF($CC$3:$CL$3,CE$60,$CC143:$CL143))/SUMIF($CC$3:$CL$3,CE$60,$CC$4:$CL$4)))</f>
        <v>0</v>
      </c>
      <c r="CF94" s="199" t="n">
        <f aca="false">IF((SUMIF($CC$3:$CL$3,CF$60,$CC$4:$CL$4))=0,0,((SUMIF($CC$3:$CL$3,CF$60,$CC143:$CL143))/SUMIF($CC$3:$CL$3,CF$60,$CC$4:$CL$4)))</f>
        <v>0</v>
      </c>
      <c r="CG94" s="199" t="n">
        <f aca="false">IF((SUMIF($CC$3:$CL$3,CG$60,$CC$4:$CL$4))=0,0,((SUMIF($CC$3:$CL$3,CG$60,$CC143:$CL143))/SUMIF($CC$3:$CL$3,CG$60,$CC$4:$CL$4)))</f>
        <v>0</v>
      </c>
      <c r="CH94" s="199" t="n">
        <f aca="false">IF((SUMIF($CC$3:$CL$3,CH$60,$CC$4:$CL$4))=0,0,((SUMIF($CC$3:$CL$3,CH$60,$CC143:$CL143))/SUMIF($CC$3:$CL$3,CH$60,$CC$4:$CL$4)))</f>
        <v>0</v>
      </c>
      <c r="CI94" s="199" t="n">
        <f aca="false">IF((SUMIF($CC$3:$CL$3,CI$60,$CC$4:$CL$4))=0,0,((SUMIF($CC$3:$CL$3,CI$60,$CC143:$CL143))/SUMIF($CC$3:$CL$3,CI$60,$CC$4:$CL$4)))</f>
        <v>0</v>
      </c>
      <c r="CJ94" s="199" t="n">
        <f aca="false">IF((SUMIF($CC$3:$CL$3,CJ$60,$CC$4:$CL$4))=0,0,((SUMIF($CC$3:$CL$3,CJ$60,$CC143:$CL143))/SUMIF($CC$3:$CL$3,CJ$60,$CC$4:$CL$4)))</f>
        <v>0</v>
      </c>
      <c r="CK94" s="199" t="n">
        <f aca="false">IF((SUMIF($CC$3:$CL$3,CK$60,$CC$4:$CL$4))=0,0,((SUMIF($CC$3:$CL$3,CK$60,$CC143:$CL143))/SUMIF($CC$3:$CL$3,CK$60,$CC$4:$CL$4)))</f>
        <v>0</v>
      </c>
      <c r="CL94" s="200" t="n">
        <f aca="false">IF((SUMIF($CC$3:$CL$3,CL$60,$CC$4:$CL$4))=0,0,((SUMIF($CC$3:$CL$3,CL$60,$CC143:$CL143))/SUMIF($CC$3:$CL$3,CL$60,$CC$4:$CL$4)))</f>
        <v>0</v>
      </c>
      <c r="CM94" s="194" t="str">
        <f aca="false">CB94</f>
        <v>Alumno33</v>
      </c>
      <c r="CN94" s="198" t="n">
        <f aca="false">IF((SUMIF($CN$3:$CW$3,CN$60,$CN$4:$CW$4))=0,0,((SUMIF($CN$3:$CW$3,CN$60,$CN143:$CW143))/SUMIF($CN$3:$CW$3,CN$60,$CN$4:$CW$4)))</f>
        <v>0</v>
      </c>
      <c r="CO94" s="199" t="n">
        <f aca="false">IF((SUMIF($CN$3:$CW$3,CO$60,$CN$4:$CW$4))=0,0,((SUMIF($CN$3:$CW$3,CO$60,$CN143:$CW143))/SUMIF($CN$3:$CW$3,CO$60,$CN$4:$CW$4)))</f>
        <v>0</v>
      </c>
      <c r="CP94" s="199" t="n">
        <f aca="false">IF((SUMIF($CN$3:$CW$3,CP$60,$CN$4:$CW$4))=0,0,((SUMIF($CN$3:$CW$3,CP$60,$CN143:$CW143))/SUMIF($CN$3:$CW$3,CP$60,$CN$4:$CW$4)))</f>
        <v>0</v>
      </c>
      <c r="CQ94" s="199" t="n">
        <f aca="false">IF((SUMIF($CN$3:$CW$3,CQ$60,$CN$4:$CW$4))=0,0,((SUMIF($CN$3:$CW$3,CQ$60,$CN143:$CW143))/SUMIF($CN$3:$CW$3,CQ$60,$CN$4:$CW$4)))</f>
        <v>0</v>
      </c>
      <c r="CR94" s="199" t="n">
        <f aca="false">IF((SUMIF($CN$3:$CW$3,CR$60,$CN$4:$CW$4))=0,0,((SUMIF($CN$3:$CW$3,CR$60,$CN143:$CW143))/SUMIF($CN$3:$CW$3,CR$60,$CN$4:$CW$4)))</f>
        <v>0</v>
      </c>
      <c r="CS94" s="199" t="n">
        <f aca="false">IF((SUMIF($CN$3:$CW$3,CS$60,$CN$4:$CW$4))=0,0,((SUMIF($CN$3:$CW$3,CS$60,$CN143:$CW143))/SUMIF($CN$3:$CW$3,CS$60,$CN$4:$CW$4)))</f>
        <v>0</v>
      </c>
      <c r="CT94" s="199" t="n">
        <f aca="false">IF((SUMIF($CN$3:$CW$3,CT$60,$CN$4:$CW$4))=0,0,((SUMIF($CN$3:$CW$3,CT$60,$CN143:$CW143))/SUMIF($CN$3:$CW$3,CT$60,$CN$4:$CW$4)))</f>
        <v>0</v>
      </c>
      <c r="CU94" s="199" t="n">
        <f aca="false">IF((SUMIF($CN$3:$CW$3,CU$60,$CN$4:$CW$4))=0,0,((SUMIF($CN$3:$CW$3,CU$60,$CN143:$CW143))/SUMIF($CN$3:$CW$3,CU$60,$CN$4:$CW$4)))</f>
        <v>0</v>
      </c>
      <c r="CV94" s="199" t="n">
        <f aca="false">IF((SUMIF($CN$3:$CW$3,CV$60,$CN$4:$CW$4))=0,0,((SUMIF($CN$3:$CW$3,CV$60,$CN143:$CW143))/SUMIF($CN$3:$CW$3,CV$60,$CN$4:$CW$4)))</f>
        <v>0</v>
      </c>
      <c r="CW94" s="200" t="n">
        <f aca="false">IF((SUMIF($CN$3:$CW$3,CW$60,$CN$4:$CW$4))=0,0,((SUMIF($CN$3:$CW$3,CW$60,$CN143:$CW143))/SUMIF($CN$3:$CW$3,CW$60,$CN$4:$CW$4)))</f>
        <v>0</v>
      </c>
      <c r="CX94" s="194" t="str">
        <f aca="false">CM94</f>
        <v>Alumno33</v>
      </c>
      <c r="CY94" s="198" t="n">
        <f aca="false">IF((SUMIF($CY$3:$DH$3,CY$60,$CY$4:$DH$4))=0,0,((SUMIF($CY$3:$DH$3,CY$60,$CY143:$DH143))/SUMIF($CY$3:$DH$3,CY$60,$CY$4:$DH$4)))</f>
        <v>0</v>
      </c>
      <c r="CZ94" s="199" t="n">
        <f aca="false">IF((SUMIF($CY$3:$DH$3,CZ$60,$CY$4:$DH$4))=0,0,((SUMIF($CY$3:$DH$3,CZ$60,$CY143:$DH143))/SUMIF($CY$3:$DH$3,CZ$60,$CY$4:$DH$4)))</f>
        <v>0</v>
      </c>
      <c r="DA94" s="199" t="n">
        <f aca="false">IF((SUMIF($CY$3:$DH$3,DA$60,$CY$4:$DH$4))=0,0,((SUMIF($CY$3:$DH$3,DA$60,$CY143:$DH143))/SUMIF($CY$3:$DH$3,DA$60,$CY$4:$DH$4)))</f>
        <v>0</v>
      </c>
      <c r="DB94" s="199" t="n">
        <f aca="false">IF((SUMIF($CY$3:$DH$3,DB$60,$CY$4:$DH$4))=0,0,((SUMIF($CY$3:$DH$3,DB$60,$CY143:$DH143))/SUMIF($CY$3:$DH$3,DB$60,$CY$4:$DH$4)))</f>
        <v>0</v>
      </c>
      <c r="DC94" s="199" t="n">
        <f aca="false">IF((SUMIF($CY$3:$DH$3,DC$60,$CY$4:$DH$4))=0,0,((SUMIF($CY$3:$DH$3,DC$60,$CY143:$DH143))/SUMIF($CY$3:$DH$3,DC$60,$CY$4:$DH$4)))</f>
        <v>0</v>
      </c>
      <c r="DD94" s="199" t="n">
        <f aca="false">IF((SUMIF($CY$3:$DH$3,DD$60,$CY$4:$DH$4))=0,0,((SUMIF($CY$3:$DH$3,DD$60,$CY143:$DH143))/SUMIF($CY$3:$DH$3,DD$60,$CY$4:$DH$4)))</f>
        <v>0</v>
      </c>
      <c r="DE94" s="199" t="n">
        <f aca="false">IF((SUMIF($CY$3:$DH$3,DE$60,$CY$4:$DH$4))=0,0,((SUMIF($CY$3:$DH$3,DE$60,$CY143:$DH143))/SUMIF($CY$3:$DH$3,DE$60,$CY$4:$DH$4)))</f>
        <v>0</v>
      </c>
      <c r="DF94" s="199" t="n">
        <f aca="false">IF((SUMIF($CY$3:$DH$3,DF$60,$CY$4:$DH$4))=0,0,((SUMIF($CY$3:$DH$3,DF$60,$CY143:$DH143))/SUMIF($CY$3:$DH$3,DF$60,$CY$4:$DH$4)))</f>
        <v>0</v>
      </c>
      <c r="DG94" s="199" t="n">
        <f aca="false">IF((SUMIF($CY$3:$DH$3,DG$60,$CY$4:$DH$4))=0,0,((SUMIF($CY$3:$DH$3,DG$60,$CY143:$DH143))/SUMIF($CY$3:$DH$3,DG$60,$CY$4:$DH$4)))</f>
        <v>0</v>
      </c>
      <c r="DH94" s="200" t="n">
        <f aca="false">IF((SUMIF($CY$3:$DH$3,DH$60,$CY$4:$DH$4))=0,0,((SUMIF($CY$3:$DH$3,DH$60,$CY143:$DH143))/SUMIF($CY$3:$DH$3,DH$60,$CY$4:$DH$4)))</f>
        <v>0</v>
      </c>
      <c r="DI94" s="194" t="str">
        <f aca="false">CX94</f>
        <v>Alumno33</v>
      </c>
      <c r="DJ94" s="198" t="n">
        <f aca="false">IF((SUMIF($DJ$3:$DS$3,DJ$60,$DJ$4:$DS$4))=0,0,((SUMIF($DJ$3:$DS$3,DJ$60,$DJ143:$DS143))/SUMIF($DJ$3:$DS$3,DJ$60,$DJ$4:$DS$4)))</f>
        <v>0</v>
      </c>
      <c r="DK94" s="199" t="n">
        <f aca="false">IF((SUMIF($DJ$3:$DS$3,DK$60,$DJ$4:$DS$4))=0,0,((SUMIF($DJ$3:$DS$3,DK$60,$DJ143:$DS143))/SUMIF($DJ$3:$DS$3,DK$60,$DJ$4:$DS$4)))</f>
        <v>0</v>
      </c>
      <c r="DL94" s="199" t="n">
        <f aca="false">IF((SUMIF($DJ$3:$DS$3,DL$60,$DJ$4:$DS$4))=0,0,((SUMIF($DJ$3:$DS$3,DL$60,$DJ143:$DS143))/SUMIF($DJ$3:$DS$3,DL$60,$DJ$4:$DS$4)))</f>
        <v>0</v>
      </c>
      <c r="DM94" s="199" t="n">
        <f aca="false">IF((SUMIF($DJ$3:$DS$3,DM$60,$DJ$4:$DS$4))=0,0,((SUMIF($DJ$3:$DS$3,DM$60,$DJ143:$DS143))/SUMIF($DJ$3:$DS$3,DM$60,$DJ$4:$DS$4)))</f>
        <v>0</v>
      </c>
      <c r="DN94" s="199" t="n">
        <f aca="false">IF((SUMIF($DJ$3:$DS$3,DN$60,$DJ$4:$DS$4))=0,0,((SUMIF($DJ$3:$DS$3,DN$60,$DJ143:$DS143))/SUMIF($DJ$3:$DS$3,DN$60,$DJ$4:$DS$4)))</f>
        <v>0</v>
      </c>
      <c r="DO94" s="199" t="n">
        <f aca="false">IF((SUMIF($DJ$3:$DS$3,DO$60,$DJ$4:$DS$4))=0,0,((SUMIF($DJ$3:$DS$3,DO$60,$DJ143:$DS143))/SUMIF($DJ$3:$DS$3,DO$60,$DJ$4:$DS$4)))</f>
        <v>0</v>
      </c>
      <c r="DP94" s="199" t="n">
        <f aca="false">IF((SUMIF($DJ$3:$DS$3,DP$60,$DJ$4:$DS$4))=0,0,((SUMIF($DJ$3:$DS$3,DP$60,$DJ143:$DS143))/SUMIF($DJ$3:$DS$3,DP$60,$DJ$4:$DS$4)))</f>
        <v>0</v>
      </c>
      <c r="DQ94" s="199" t="n">
        <f aca="false">IF((SUMIF($DJ$3:$DS$3,DQ$60,$DJ$4:$DS$4))=0,0,((SUMIF($DJ$3:$DS$3,DQ$60,$DJ143:$DS143))/SUMIF($DJ$3:$DS$3,DQ$60,$DJ$4:$DS$4)))</f>
        <v>0</v>
      </c>
      <c r="DR94" s="199" t="n">
        <f aca="false">IF((SUMIF($DJ$3:$DS$3,DR$60,$DJ$4:$DS$4))=0,0,((SUMIF($DJ$3:$DS$3,DR$60,$DJ143:$DS143))/SUMIF($DJ$3:$DS$3,DR$60,$DJ$4:$DS$4)))</f>
        <v>0</v>
      </c>
      <c r="DS94" s="200" t="n">
        <f aca="false">IF((SUMIF($DJ$3:$DS$3,DS$60,$DJ$4:$DS$4))=0,0,((SUMIF($DJ$3:$DS$3,DS$60,$DJ143:$DS143))/SUMIF($DJ$3:$DS$3,DS$60,$DJ$4:$DS$4)))</f>
        <v>0</v>
      </c>
      <c r="DT94" s="194" t="str">
        <f aca="false">DI94</f>
        <v>Alumno33</v>
      </c>
      <c r="DU94" s="198" t="n">
        <f aca="false">IF((SUMIF($DU$3:$ED$3,DU$60,$DU$4:$ED$4))=0,0,((SUMIF($DU$3:$ED$3,DU$60,$DU143:$ED143))/SUMIF($DU$3:$ED$3,DU$60,$DU$4:$ED$4)))</f>
        <v>0</v>
      </c>
      <c r="DV94" s="199" t="n">
        <f aca="false">IF((SUMIF($DU$3:$ED$3,DV$60,$DU$4:$ED$4))=0,0,((SUMIF($DU$3:$ED$3,DV$60,$DU143:$ED143))/SUMIF($DU$3:$ED$3,DV$60,$DU$4:$ED$4)))</f>
        <v>0</v>
      </c>
      <c r="DW94" s="199" t="n">
        <f aca="false">IF((SUMIF($DU$3:$ED$3,DW$60,$DU$4:$ED$4))=0,0,((SUMIF($DU$3:$ED$3,DW$60,$DU143:$ED143))/SUMIF($DU$3:$ED$3,DW$60,$DU$4:$ED$4)))</f>
        <v>0</v>
      </c>
      <c r="DX94" s="199" t="n">
        <f aca="false">IF((SUMIF($DU$3:$ED$3,DX$60,$DU$4:$ED$4))=0,0,((SUMIF($DU$3:$ED$3,DX$60,$DU143:$ED143))/SUMIF($DU$3:$ED$3,DX$60,$DU$4:$ED$4)))</f>
        <v>0</v>
      </c>
      <c r="DY94" s="199" t="n">
        <f aca="false">IF((SUMIF($DU$3:$ED$3,DY$60,$DU$4:$ED$4))=0,0,((SUMIF($DU$3:$ED$3,DY$60,$DU143:$ED143))/SUMIF($DU$3:$ED$3,DY$60,$DU$4:$ED$4)))</f>
        <v>0</v>
      </c>
      <c r="DZ94" s="199" t="n">
        <f aca="false">IF((SUMIF($DU$3:$ED$3,DZ$60,$DU$4:$ED$4))=0,0,((SUMIF($DU$3:$ED$3,DZ$60,$DU143:$ED143))/SUMIF($DU$3:$ED$3,DZ$60,$DU$4:$ED$4)))</f>
        <v>0</v>
      </c>
      <c r="EA94" s="199" t="n">
        <f aca="false">IF((SUMIF($DU$3:$ED$3,EA$60,$DU$4:$ED$4))=0,0,((SUMIF($DU$3:$ED$3,EA$60,$DU143:$ED143))/SUMIF($DU$3:$ED$3,EA$60,$DU$4:$ED$4)))</f>
        <v>0</v>
      </c>
      <c r="EB94" s="199" t="n">
        <f aca="false">IF((SUMIF($DU$3:$ED$3,EB$60,$DU$4:$ED$4))=0,0,((SUMIF($DU$3:$ED$3,EB$60,$DU143:$ED143))/SUMIF($DU$3:$ED$3,EB$60,$DU$4:$ED$4)))</f>
        <v>0</v>
      </c>
      <c r="EC94" s="199" t="n">
        <f aca="false">IF((SUMIF($DU$3:$ED$3,EC$60,$DU$4:$ED$4))=0,0,((SUMIF($DU$3:$ED$3,EC$60,$DU143:$ED143))/SUMIF($DU$3:$ED$3,EC$60,$DU$4:$ED$4)))</f>
        <v>0</v>
      </c>
      <c r="ED94" s="200" t="n">
        <f aca="false">IF((SUMIF($DU$3:$ED$3,ED$60,$DU$4:$ED$4))=0,0,((SUMIF($DU$3:$ED$3,ED$60,$DU143:$ED143))/SUMIF($DU$3:$ED$3,ED$60,$DU$4:$ED$4)))</f>
        <v>0</v>
      </c>
      <c r="EE94" s="194" t="str">
        <f aca="false">DT94</f>
        <v>Alumno33</v>
      </c>
      <c r="EF94" s="198" t="n">
        <f aca="false">IF((SUMIF($EF$3:$EO$3,EF$60,$EF$4:$EO$4))=0,0,((SUMIF($EF$3:$EO$3,EF$60,$EF143:$EO143))/SUMIF($EF$3:$EO$3,EF$60,$EF$4:$EO$4)))</f>
        <v>0</v>
      </c>
      <c r="EG94" s="199" t="n">
        <f aca="false">IF((SUMIF($EF$3:$EO$3,EG$60,$EF$4:$EO$4))=0,0,((SUMIF($EF$3:$EO$3,EG$60,$EF143:$EO143))/SUMIF($EF$3:$EO$3,EG$60,$EF$4:$EO$4)))</f>
        <v>0</v>
      </c>
      <c r="EH94" s="199" t="n">
        <f aca="false">IF((SUMIF($EF$3:$EO$3,EH$60,$EF$4:$EO$4))=0,0,((SUMIF($EF$3:$EO$3,EH$60,$EF143:$EO143))/SUMIF($EF$3:$EO$3,EH$60,$EF$4:$EO$4)))</f>
        <v>0</v>
      </c>
      <c r="EI94" s="199" t="n">
        <f aca="false">IF((SUMIF($EF$3:$EO$3,EI$60,$EF$4:$EO$4))=0,0,((SUMIF($EF$3:$EO$3,EI$60,$EF143:$EO143))/SUMIF($EF$3:$EO$3,EI$60,$EF$4:$EO$4)))</f>
        <v>0</v>
      </c>
      <c r="EJ94" s="199" t="n">
        <f aca="false">IF((SUMIF($EF$3:$EO$3,EJ$60,$EF$4:$EO$4))=0,0,((SUMIF($EF$3:$EO$3,EJ$60,$EF143:$EO143))/SUMIF($EF$3:$EO$3,EJ$60,$EF$4:$EO$4)))</f>
        <v>0</v>
      </c>
      <c r="EK94" s="199" t="n">
        <f aca="false">IF((SUMIF($EF$3:$EO$3,EK$60,$EF$4:$EO$4))=0,0,((SUMIF($EF$3:$EO$3,EK$60,$EF143:$EO143))/SUMIF($EF$3:$EO$3,EK$60,$EF$4:$EO$4)))</f>
        <v>0</v>
      </c>
      <c r="EL94" s="199" t="n">
        <f aca="false">IF((SUMIF($EF$3:$EO$3,EL$60,$EF$4:$EO$4))=0,0,((SUMIF($EF$3:$EO$3,EL$60,$EF143:$EO143))/SUMIF($EF$3:$EO$3,EL$60,$EF$4:$EO$4)))</f>
        <v>0</v>
      </c>
      <c r="EM94" s="199" t="n">
        <f aca="false">IF((SUMIF($EF$3:$EO$3,EM$60,$EF$4:$EO$4))=0,0,((SUMIF($EF$3:$EO$3,EM$60,$EF143:$EO143))/SUMIF($EF$3:$EO$3,EM$60,$EF$4:$EO$4)))</f>
        <v>0</v>
      </c>
      <c r="EN94" s="199" t="n">
        <f aca="false">IF((SUMIF($EF$3:$EO$3,EN$60,$EF$4:$EO$4))=0,0,((SUMIF($EF$3:$EO$3,EN$60,$EF143:$EO143))/SUMIF($EF$3:$EO$3,EN$60,$EF$4:$EO$4)))</f>
        <v>0</v>
      </c>
      <c r="EO94" s="200" t="n">
        <f aca="false">IF((SUMIF($EF$3:$EO$3,EO$60,$EF$4:$EO$4))=0,0,((SUMIF($EF$3:$EO$3,EO$60,$EF143:$EO143))/SUMIF($EF$3:$EO$3,EO$60,$EF$4:$EO$4)))</f>
        <v>0</v>
      </c>
      <c r="EP94" s="194" t="str">
        <f aca="false">EE94</f>
        <v>Alumno33</v>
      </c>
      <c r="EQ94" s="198" t="n">
        <f aca="false">IF((SUMIF($EQ$3:$EZ$3,EQ$60,$EQ$4:$EZ$4))=0,0,((SUMIF($EQ$3:$EZ$3,EQ$60,$EQ143:$EZ143))/SUMIF($EQ$3:$EZ$3,EQ$60,$EQ$4:$EZ$4)))</f>
        <v>0</v>
      </c>
      <c r="ER94" s="199" t="n">
        <f aca="false">IF((SUMIF($EQ$3:$EZ$3,ER$60,$EQ$4:$EZ$4))=0,0,((SUMIF($EQ$3:$EZ$3,ER$60,$EQ143:$EZ143))/SUMIF($EQ$3:$EZ$3,ER$60,$EQ$4:$EZ$4)))</f>
        <v>0</v>
      </c>
      <c r="ES94" s="199" t="n">
        <f aca="false">IF((SUMIF($EQ$3:$EZ$3,ES$60,$EQ$4:$EZ$4))=0,0,((SUMIF($EQ$3:$EZ$3,ES$60,$EQ143:$EZ143))/SUMIF($EQ$3:$EZ$3,ES$60,$EQ$4:$EZ$4)))</f>
        <v>0</v>
      </c>
      <c r="ET94" s="199" t="n">
        <f aca="false">IF((SUMIF($EQ$3:$EZ$3,ET$60,$EQ$4:$EZ$4))=0,0,((SUMIF($EQ$3:$EZ$3,ET$60,$EQ143:$EZ143))/SUMIF($EQ$3:$EZ$3,ET$60,$EQ$4:$EZ$4)))</f>
        <v>0</v>
      </c>
      <c r="EU94" s="199" t="n">
        <f aca="false">IF((SUMIF($EQ$3:$EZ$3,EU$60,$EQ$4:$EZ$4))=0,0,((SUMIF($EQ$3:$EZ$3,EU$60,$EQ143:$EZ143))/SUMIF($EQ$3:$EZ$3,EU$60,$EQ$4:$EZ$4)))</f>
        <v>0</v>
      </c>
      <c r="EV94" s="199" t="n">
        <f aca="false">IF((SUMIF($EQ$3:$EZ$3,EV$60,$EQ$4:$EZ$4))=0,0,((SUMIF($EQ$3:$EZ$3,EV$60,$EQ143:$EZ143))/SUMIF($EQ$3:$EZ$3,EV$60,$EQ$4:$EZ$4)))</f>
        <v>0</v>
      </c>
      <c r="EW94" s="199" t="n">
        <f aca="false">IF((SUMIF($EQ$3:$EZ$3,EW$60,$EQ$4:$EZ$4))=0,0,((SUMIF($EQ$3:$EZ$3,EW$60,$EQ143:$EZ143))/SUMIF($EQ$3:$EZ$3,EW$60,$EQ$4:$EZ$4)))</f>
        <v>0</v>
      </c>
      <c r="EX94" s="199" t="n">
        <f aca="false">IF((SUMIF($EQ$3:$EZ$3,EX$60,$EQ$4:$EZ$4))=0,0,((SUMIF($EQ$3:$EZ$3,EX$60,$EQ143:$EZ143))/SUMIF($EQ$3:$EZ$3,EX$60,$EQ$4:$EZ$4)))</f>
        <v>0</v>
      </c>
      <c r="EY94" s="199" t="n">
        <f aca="false">IF((SUMIF($EQ$3:$EZ$3,EY$60,$EQ$4:$EZ$4))=0,0,((SUMIF($EQ$3:$EZ$3,EY$60,$EQ143:$EZ143))/SUMIF($EQ$3:$EZ$3,EY$60,$EQ$4:$EZ$4)))</f>
        <v>0</v>
      </c>
      <c r="EZ94" s="200" t="n">
        <f aca="false">IF((SUMIF($EQ$3:$EZ$3,EZ$60,$EQ$4:$EZ$4))=0,0,((SUMIF($EQ$3:$EZ$3,EZ$60,$EQ143:$EZ143))/SUMIF($EQ$3:$EZ$3,EZ$60,$EQ$4:$EZ$4)))</f>
        <v>0</v>
      </c>
      <c r="FA94" s="194" t="str">
        <f aca="false">EP94</f>
        <v>Alumno33</v>
      </c>
      <c r="FB94" s="198" t="n">
        <f aca="false">IF((SUMIF($FB$3:$FK$3,FB$60,$FB$4:$FK$4))=0,0,((SUMIF($FB$3:$FK$3,FB$60,$FB143:$FK143))/SUMIF($FB$3:$FK$3,FB$60,$FB$4:$FK$4)))</f>
        <v>0</v>
      </c>
      <c r="FC94" s="199" t="n">
        <f aca="false">IF((SUMIF($FB$3:$FK$3,FC$60,$FB$4:$FK$4))=0,0,((SUMIF($FB$3:$FK$3,FC$60,$FB143:$FK143))/SUMIF($FB$3:$FK$3,FC$60,$FB$4:$FK$4)))</f>
        <v>0</v>
      </c>
      <c r="FD94" s="199" t="n">
        <f aca="false">IF((SUMIF($FB$3:$FK$3,FD$60,$FB$4:$FK$4))=0,0,((SUMIF($FB$3:$FK$3,FD$60,$FB143:$FK143))/SUMIF($FB$3:$FK$3,FD$60,$FB$4:$FK$4)))</f>
        <v>0</v>
      </c>
      <c r="FE94" s="199" t="n">
        <f aca="false">IF((SUMIF($FB$3:$FK$3,FE$60,$FB$4:$FK$4))=0,0,((SUMIF($FB$3:$FK$3,FE$60,$FB143:$FK143))/SUMIF($FB$3:$FK$3,FE$60,$FB$4:$FK$4)))</f>
        <v>0</v>
      </c>
      <c r="FF94" s="199" t="n">
        <f aca="false">IF((SUMIF($FB$3:$FK$3,FF$60,$FB$4:$FK$4))=0,0,((SUMIF($FB$3:$FK$3,FF$60,$FB143:$FK143))/SUMIF($FB$3:$FK$3,FF$60,$FB$4:$FK$4)))</f>
        <v>0</v>
      </c>
      <c r="FG94" s="199" t="n">
        <f aca="false">IF((SUMIF($FB$3:$FK$3,FG$60,$FB$4:$FK$4))=0,0,((SUMIF($FB$3:$FK$3,FG$60,$FB143:$FK143))/SUMIF($FB$3:$FK$3,FG$60,$FB$4:$FK$4)))</f>
        <v>0</v>
      </c>
      <c r="FH94" s="199" t="n">
        <f aca="false">IF((SUMIF($FB$3:$FK$3,FH$60,$FB$4:$FK$4))=0,0,((SUMIF($FB$3:$FK$3,FH$60,$FB143:$FK143))/SUMIF($FB$3:$FK$3,FH$60,$FB$4:$FK$4)))</f>
        <v>0</v>
      </c>
      <c r="FI94" s="199" t="n">
        <f aca="false">IF((SUMIF($FB$3:$FK$3,FI$60,$FB$4:$FK$4))=0,0,((SUMIF($FB$3:$FK$3,FI$60,$FB143:$FK143))/SUMIF($FB$3:$FK$3,FI$60,$FB$4:$FK$4)))</f>
        <v>0</v>
      </c>
      <c r="FJ94" s="199" t="n">
        <f aca="false">IF((SUMIF($FB$3:$FK$3,FJ$60,$FB$4:$FK$4))=0,0,((SUMIF($FB$3:$FK$3,FJ$60,$FB143:$FK143))/SUMIF($FB$3:$FK$3,FJ$60,$FB$4:$FK$4)))</f>
        <v>0</v>
      </c>
      <c r="FK94" s="200" t="n">
        <f aca="false">IF((SUMIF($FB$3:$FK$3,FK$60,$FB$4:$FK$4))=0,0,((SUMIF($FB$3:$FK$3,FK$60,$FB143:$FK143))/SUMIF($FB$3:$FK$3,FK$60,$FB$4:$FK$4)))</f>
        <v>0</v>
      </c>
      <c r="FL94" s="194" t="str">
        <f aca="false">FA94</f>
        <v>Alumno33</v>
      </c>
      <c r="FM94" s="198" t="n">
        <f aca="false">IF((SUMIF($FM$3:$FV$3,FM$60,$FM$4:$FV$4))=0,0,((SUMIF($FM$3:$FV$3,FM$60,$FM143:$FV143))/SUMIF($FM$3:$FV$3,FM$60,$FM$4:$FV$4)))</f>
        <v>0</v>
      </c>
      <c r="FN94" s="199" t="n">
        <f aca="false">IF((SUMIF($FM$3:$FV$3,FN$60,$FM$4:$FV$4))=0,0,((SUMIF($FM$3:$FV$3,FN$60,$FM143:$FV143))/SUMIF($FM$3:$FV$3,FN$60,$FM$4:$FV$4)))</f>
        <v>0</v>
      </c>
      <c r="FO94" s="199" t="n">
        <f aca="false">IF((SUMIF($FM$3:$FV$3,FO$60,$FM$4:$FV$4))=0,0,((SUMIF($FM$3:$FV$3,FO$60,$FM143:$FV143))/SUMIF($FM$3:$FV$3,FO$60,$FM$4:$FV$4)))</f>
        <v>0</v>
      </c>
      <c r="FP94" s="199" t="n">
        <f aca="false">IF((SUMIF($FM$3:$FV$3,FP$60,$FM$4:$FV$4))=0,0,((SUMIF($FM$3:$FV$3,FP$60,$FM143:$FV143))/SUMIF($FM$3:$FV$3,FP$60,$FM$4:$FV$4)))</f>
        <v>0</v>
      </c>
      <c r="FQ94" s="199" t="n">
        <f aca="false">IF((SUMIF($FM$3:$FV$3,FQ$60,$FM$4:$FV$4))=0,0,((SUMIF($FM$3:$FV$3,FQ$60,$FM143:$FV143))/SUMIF($FM$3:$FV$3,FQ$60,$FM$4:$FV$4)))</f>
        <v>0</v>
      </c>
      <c r="FR94" s="199" t="n">
        <f aca="false">IF((SUMIF($FM$3:$FV$3,FR$60,$FM$4:$FV$4))=0,0,((SUMIF($FM$3:$FV$3,FR$60,$FM143:$FV143))/SUMIF($FM$3:$FV$3,FR$60,$FM$4:$FV$4)))</f>
        <v>0</v>
      </c>
      <c r="FS94" s="199" t="n">
        <f aca="false">IF((SUMIF($FM$3:$FV$3,FS$60,$FM$4:$FV$4))=0,0,((SUMIF($FM$3:$FV$3,FS$60,$FM143:$FV143))/SUMIF($FM$3:$FV$3,FS$60,$FM$4:$FV$4)))</f>
        <v>0</v>
      </c>
      <c r="FT94" s="199" t="n">
        <f aca="false">IF((SUMIF($FM$3:$FV$3,FT$60,$FM$4:$FV$4))=0,0,((SUMIF($FM$3:$FV$3,FT$60,$FM143:$FV143))/SUMIF($FM$3:$FV$3,FT$60,$FM$4:$FV$4)))</f>
        <v>0</v>
      </c>
      <c r="FU94" s="199" t="n">
        <f aca="false">IF((SUMIF($FM$3:$FV$3,FU$60,$FM$4:$FV$4))=0,0,((SUMIF($FM$3:$FV$3,FU$60,$FM143:$FV143))/SUMIF($FM$3:$FV$3,FU$60,$FM$4:$FV$4)))</f>
        <v>0</v>
      </c>
      <c r="FV94" s="200" t="n">
        <f aca="false">IF((SUMIF($FM$3:$FV$3,FV$60,$FM$4:$FV$4))=0,0,((SUMIF($FM$3:$FV$3,FV$60,$FM143:$FV143))/SUMIF($FM$3:$FV$3,FV$60,$FM$4:$FV$4)))</f>
        <v>0</v>
      </c>
      <c r="FW94" s="194" t="str">
        <f aca="false">FL94</f>
        <v>Alumno33</v>
      </c>
      <c r="FX94" s="198" t="n">
        <f aca="false">IF((SUMIF($FX$3:$GG$3,FX$60,$FX$4:$GG$4))=0,0,((SUMIF($FX$3:$GG$3,FX$60,$FX143:$GG143))/SUMIF($FX$3:$GG$3,FX$60,$FX$4:$GG$4)))</f>
        <v>0</v>
      </c>
      <c r="FY94" s="199" t="n">
        <f aca="false">IF((SUMIF($FX$3:$GG$3,FY$60,$FX$4:$GG$4))=0,0,((SUMIF($FX$3:$GG$3,FY$60,$FX143:$GG143))/SUMIF($FX$3:$GG$3,FY$60,$FX$4:$GG$4)))</f>
        <v>0</v>
      </c>
      <c r="FZ94" s="199" t="n">
        <f aca="false">IF((SUMIF($FX$3:$GG$3,FZ$60,$FX$4:$GG$4))=0,0,((SUMIF($FX$3:$GG$3,FZ$60,$FX143:$GG143))/SUMIF($FX$3:$GG$3,FZ$60,$FX$4:$GG$4)))</f>
        <v>0</v>
      </c>
      <c r="GA94" s="199" t="n">
        <f aca="false">IF((SUMIF($FX$3:$GG$3,GA$60,$FX$4:$GG$4))=0,0,((SUMIF($FX$3:$GG$3,GA$60,$FX143:$GG143))/SUMIF($FX$3:$GG$3,GA$60,$FX$4:$GG$4)))</f>
        <v>0</v>
      </c>
      <c r="GB94" s="199" t="n">
        <f aca="false">IF((SUMIF($FX$3:$GG$3,GB$60,$FX$4:$GG$4))=0,0,((SUMIF($FX$3:$GG$3,GB$60,$FX143:$GG143))/SUMIF($FX$3:$GG$3,GB$60,$FX$4:$GG$4)))</f>
        <v>0</v>
      </c>
      <c r="GC94" s="199" t="n">
        <f aca="false">IF((SUMIF($FX$3:$GG$3,GC$60,$FX$4:$GG$4))=0,0,((SUMIF($FX$3:$GG$3,GC$60,$FX143:$GG143))/SUMIF($FX$3:$GG$3,GC$60,$FX$4:$GG$4)))</f>
        <v>0</v>
      </c>
      <c r="GD94" s="199" t="n">
        <f aca="false">IF((SUMIF($FX$3:$GG$3,GD$60,$FX$4:$GG$4))=0,0,((SUMIF($FX$3:$GG$3,GD$60,$FX143:$GG143))/SUMIF($FX$3:$GG$3,GD$60,$FX$4:$GG$4)))</f>
        <v>0</v>
      </c>
      <c r="GE94" s="199" t="n">
        <f aca="false">IF((SUMIF($FX$3:$GG$3,GE$60,$FX$4:$GG$4))=0,0,((SUMIF($FX$3:$GG$3,GE$60,$FX143:$GG143))/SUMIF($FX$3:$GG$3,GE$60,$FX$4:$GG$4)))</f>
        <v>0</v>
      </c>
      <c r="GF94" s="199" t="n">
        <f aca="false">IF((SUMIF($FX$3:$GG$3,GF$60,$FX$4:$GG$4))=0,0,((SUMIF($FX$3:$GG$3,GF$60,$FX143:$GG143))/SUMIF($FX$3:$GG$3,GF$60,$FX$4:$GG$4)))</f>
        <v>0</v>
      </c>
      <c r="GG94" s="200" t="n">
        <f aca="false">IF((SUMIF($FX$3:$GG$3,GG$60,$FX$4:$GG$4))=0,0,((SUMIF($FX$3:$GG$3,GG$60,$FX143:$GG143))/SUMIF($FX$3:$GG$3,GG$60,$FX$4:$GG$4)))</f>
        <v>0</v>
      </c>
      <c r="GH94" s="194" t="str">
        <f aca="false">FW94</f>
        <v>Alumno33</v>
      </c>
      <c r="GI94" s="198" t="n">
        <f aca="false">IF((SUMIF($GI$3:$GR$3,GI$60,$GI$4:$GR$4))=0,0,((SUMIF($GI$3:$GR$3,GI$60,$GI143:$GR143))/SUMIF($GI$3:$GR$3,GI$60,$GI$4:$GR$4)))</f>
        <v>0</v>
      </c>
      <c r="GJ94" s="199" t="n">
        <f aca="false">IF((SUMIF($GI$3:$GR$3,GJ$60,$GI$4:$GR$4))=0,0,((SUMIF($GI$3:$GR$3,GJ$60,$GI143:$GR143))/SUMIF($GI$3:$GR$3,GJ$60,$GI$4:$GR$4)))</f>
        <v>0</v>
      </c>
      <c r="GK94" s="199" t="n">
        <f aca="false">IF((SUMIF($GI$3:$GR$3,GK$60,$GI$4:$GR$4))=0,0,((SUMIF($GI$3:$GR$3,GK$60,$GI143:$GR143))/SUMIF($GI$3:$GR$3,GK$60,$GI$4:$GR$4)))</f>
        <v>0</v>
      </c>
      <c r="GL94" s="199" t="n">
        <f aca="false">IF((SUMIF($GI$3:$GR$3,GL$60,$GI$4:$GR$4))=0,0,((SUMIF($GI$3:$GR$3,GL$60,$GI143:$GR143))/SUMIF($GI$3:$GR$3,GL$60,$GI$4:$GR$4)))</f>
        <v>0</v>
      </c>
      <c r="GM94" s="199" t="n">
        <f aca="false">IF((SUMIF($GI$3:$GR$3,GM$60,$GI$4:$GR$4))=0,0,((SUMIF($GI$3:$GR$3,GM$60,$GI143:$GR143))/SUMIF($GI$3:$GR$3,GM$60,$GI$4:$GR$4)))</f>
        <v>0</v>
      </c>
      <c r="GN94" s="199" t="n">
        <f aca="false">IF((SUMIF($GI$3:$GR$3,GN$60,$GI$4:$GR$4))=0,0,((SUMIF($GI$3:$GR$3,GN$60,$GI143:$GR143))/SUMIF($GI$3:$GR$3,GN$60,$GI$4:$GR$4)))</f>
        <v>0</v>
      </c>
      <c r="GO94" s="199" t="n">
        <f aca="false">IF((SUMIF($GI$3:$GR$3,GO$60,$GI$4:$GR$4))=0,0,((SUMIF($GI$3:$GR$3,GO$60,$GI143:$GR143))/SUMIF($GI$3:$GR$3,GO$60,$GI$4:$GR$4)))</f>
        <v>0</v>
      </c>
      <c r="GP94" s="199" t="n">
        <f aca="false">IF((SUMIF($GI$3:$GR$3,GP$60,$GI$4:$GR$4))=0,0,((SUMIF($GI$3:$GR$3,GP$60,$GI143:$GR143))/SUMIF($GI$3:$GR$3,GP$60,$GI$4:$GR$4)))</f>
        <v>0</v>
      </c>
      <c r="GQ94" s="199" t="n">
        <f aca="false">IF((SUMIF($GI$3:$GR$3,GQ$60,$GI$4:$GR$4))=0,0,((SUMIF($GI$3:$GR$3,GQ$60,$GI143:$GR143))/SUMIF($GI$3:$GR$3,GQ$60,$GI$4:$GR$4)))</f>
        <v>0</v>
      </c>
      <c r="GR94" s="200" t="n">
        <f aca="false">IF((SUMIF($GI$3:$GR$3,GR$60,$GI$4:$GR$4))=0,0,((SUMIF($GI$3:$GR$3,GR$60,$GI143:$GR143))/SUMIF($GI$3:$GR$3,GR$60,$GI$4:$GR$4)))</f>
        <v>0</v>
      </c>
      <c r="GS94" s="194" t="str">
        <f aca="false">GH94</f>
        <v>Alumno33</v>
      </c>
      <c r="GT94" s="198" t="n">
        <f aca="false">IF((SUMIF($GT$3:$HC$3,GT$60,$GT$4:$HC$4))=0,0,((SUMIF($GT$3:$HC$3,GT$60,$GT143:$HC143))/SUMIF($GT$3:$HC$3,GT$60,$GT$4:$HC$4)))</f>
        <v>0</v>
      </c>
      <c r="GU94" s="199" t="n">
        <f aca="false">IF((SUMIF($GT$3:$HC$3,GU$60,$GT$4:$HC$4))=0,0,((SUMIF($GT$3:$HC$3,GU$60,$GT143:$HC143))/SUMIF($GT$3:$HC$3,GU$60,$GT$4:$HC$4)))</f>
        <v>0</v>
      </c>
      <c r="GV94" s="199" t="n">
        <f aca="false">IF((SUMIF($GT$3:$HC$3,GV$60,$GT$4:$HC$4))=0,0,((SUMIF($GT$3:$HC$3,GV$60,$GT143:$HC143))/SUMIF($GT$3:$HC$3,GV$60,$GT$4:$HC$4)))</f>
        <v>0</v>
      </c>
      <c r="GW94" s="199" t="n">
        <f aca="false">IF((SUMIF($GT$3:$HC$3,GW$60,$GT$4:$HC$4))=0,0,((SUMIF($GT$3:$HC$3,GW$60,$GT143:$HC143))/SUMIF($GT$3:$HC$3,GW$60,$GT$4:$HC$4)))</f>
        <v>0</v>
      </c>
      <c r="GX94" s="199" t="n">
        <f aca="false">IF((SUMIF($GT$3:$HC$3,GX$60,$GT$4:$HC$4))=0,0,((SUMIF($GT$3:$HC$3,GX$60,$GT143:$HC143))/SUMIF($GT$3:$HC$3,GX$60,$GT$4:$HC$4)))</f>
        <v>0</v>
      </c>
      <c r="GY94" s="199" t="n">
        <f aca="false">IF((SUMIF($GT$3:$HC$3,GY$60,$GT$4:$HC$4))=0,0,((SUMIF($GT$3:$HC$3,GY$60,$GT143:$HC143))/SUMIF($GT$3:$HC$3,GY$60,$GT$4:$HC$4)))</f>
        <v>0</v>
      </c>
      <c r="GZ94" s="199" t="n">
        <f aca="false">IF((SUMIF($GT$3:$HC$3,GZ$60,$GT$4:$HC$4))=0,0,((SUMIF($GT$3:$HC$3,GZ$60,$GT143:$HC143))/SUMIF($GT$3:$HC$3,GZ$60,$GT$4:$HC$4)))</f>
        <v>0</v>
      </c>
      <c r="HA94" s="199" t="n">
        <f aca="false">IF((SUMIF($GT$3:$HC$3,HA$60,$GT$4:$HC$4))=0,0,((SUMIF($GT$3:$HC$3,HA$60,$GT143:$HC143))/SUMIF($GT$3:$HC$3,HA$60,$GT$4:$HC$4)))</f>
        <v>0</v>
      </c>
      <c r="HB94" s="199" t="n">
        <f aca="false">IF((SUMIF($GT$3:$HC$3,HB$60,$GT$4:$HC$4))=0,0,((SUMIF($GT$3:$HC$3,HB$60,$GT143:$HC143))/SUMIF($GT$3:$HC$3,HB$60,$GT$4:$HC$4)))</f>
        <v>0</v>
      </c>
      <c r="HC94" s="200" t="n">
        <f aca="false">IF((SUMIF($GT$3:$HC$3,HC$60,$GT$4:$HC$4))=0,0,((SUMIF($GT$3:$HC$3,HC$60,$GT143:$HC143))/SUMIF($GT$3:$HC$3,HC$60,$GT$4:$HC$4)))</f>
        <v>0</v>
      </c>
      <c r="HD94" s="194" t="str">
        <f aca="false">GS94</f>
        <v>Alumno33</v>
      </c>
      <c r="HE94" s="198" t="n">
        <f aca="false">IF((SUMIF($HE$3:$HN$3,HE$60,$HE$4:$HN$4))=0,0,((SUMIF($HE$3:$HN$3,HE$60,$HE143:$HN143))/SUMIF($HE$3:$HN$3,HE$60,$HE$4:$HN$4)))</f>
        <v>0</v>
      </c>
      <c r="HF94" s="199" t="n">
        <f aca="false">IF((SUMIF($HE$3:$HN$3,HF$60,$HE$4:$HN$4))=0,0,((SUMIF($HE$3:$HN$3,HF$60,$HE143:$HN143))/SUMIF($HE$3:$HN$3,HF$60,$HE$4:$HN$4)))</f>
        <v>0</v>
      </c>
      <c r="HG94" s="199" t="n">
        <f aca="false">IF((SUMIF($HE$3:$HN$3,HG$60,$HE$4:$HN$4))=0,0,((SUMIF($HE$3:$HN$3,HG$60,$HE143:$HN143))/SUMIF($HE$3:$HN$3,HG$60,$HE$4:$HN$4)))</f>
        <v>0</v>
      </c>
      <c r="HH94" s="199" t="n">
        <f aca="false">IF((SUMIF($HE$3:$HN$3,HH$60,$HE$4:$HN$4))=0,0,((SUMIF($HE$3:$HN$3,HH$60,$HE143:$HN143))/SUMIF($HE$3:$HN$3,HH$60,$HE$4:$HN$4)))</f>
        <v>0</v>
      </c>
      <c r="HI94" s="199" t="n">
        <f aca="false">IF((SUMIF($HE$3:$HN$3,HI$60,$HE$4:$HN$4))=0,0,((SUMIF($HE$3:$HN$3,HI$60,$HE143:$HN143))/SUMIF($HE$3:$HN$3,HI$60,$HE$4:$HN$4)))</f>
        <v>0</v>
      </c>
      <c r="HJ94" s="199" t="n">
        <f aca="false">IF((SUMIF($HE$3:$HN$3,HJ$60,$HE$4:$HN$4))=0,0,((SUMIF($HE$3:$HN$3,HJ$60,$HE143:$HN143))/SUMIF($HE$3:$HN$3,HJ$60,$HE$4:$HN$4)))</f>
        <v>0</v>
      </c>
      <c r="HK94" s="199" t="n">
        <f aca="false">IF((SUMIF($HE$3:$HN$3,HK$60,$HE$4:$HN$4))=0,0,((SUMIF($HE$3:$HN$3,HK$60,$HE143:$HN143))/SUMIF($HE$3:$HN$3,HK$60,$HE$4:$HN$4)))</f>
        <v>0</v>
      </c>
      <c r="HL94" s="199" t="n">
        <f aca="false">IF((SUMIF($HE$3:$HN$3,HL$60,$HE$4:$HN$4))=0,0,((SUMIF($HE$3:$HN$3,HL$60,$HE143:$HN143))/SUMIF($HE$3:$HN$3,HL$60,$HE$4:$HN$4)))</f>
        <v>0</v>
      </c>
      <c r="HM94" s="199" t="n">
        <f aca="false">IF((SUMIF($HE$3:$HN$3,HM$60,$HE$4:$HN$4))=0,0,((SUMIF($HE$3:$HN$3,HM$60,$HE143:$HN143))/SUMIF($HE$3:$HN$3,HM$60,$HE$4:$HN$4)))</f>
        <v>0</v>
      </c>
      <c r="HN94" s="200" t="n">
        <f aca="false">IF((SUMIF($HE$3:$HN$3,HN$60,$HE$4:$HN$4))=0,0,((SUMIF($HE$3:$HN$3,HN$60,$HE143:$HN143))/SUMIF($HE$3:$HN$3,HN$60,$HE$4:$HN$4)))</f>
        <v>0</v>
      </c>
      <c r="HO94" s="194" t="str">
        <f aca="false">HD94</f>
        <v>Alumno33</v>
      </c>
      <c r="HP94" s="198" t="n">
        <f aca="false">IF((SUMIF($HP$3:$HY$3,HP$60,$HP$4:$HY$4))=0,0,((SUMIF($HP$3:$HY$3,HP$60,$HP143:$HY143))/SUMIF($HP$3:$HY$3,HP$60,$HP$4:$HY$4)))</f>
        <v>0</v>
      </c>
      <c r="HQ94" s="199" t="n">
        <f aca="false">IF((SUMIF($HP$3:$HY$3,HQ$60,$HP$4:$HY$4))=0,0,((SUMIF($HP$3:$HY$3,HQ$60,$HP143:$HY143))/SUMIF($HP$3:$HY$3,HQ$60,$HP$4:$HY$4)))</f>
        <v>0</v>
      </c>
      <c r="HR94" s="199" t="n">
        <f aca="false">IF((SUMIF($HP$3:$HY$3,HR$60,$HP$4:$HY$4))=0,0,((SUMIF($HP$3:$HY$3,HR$60,$HP143:$HY143))/SUMIF($HP$3:$HY$3,HR$60,$HP$4:$HY$4)))</f>
        <v>0</v>
      </c>
      <c r="HS94" s="199" t="n">
        <f aca="false">IF((SUMIF($HP$3:$HY$3,HS$60,$HP$4:$HY$4))=0,0,((SUMIF($HP$3:$HY$3,HS$60,$HP143:$HY143))/SUMIF($HP$3:$HY$3,HS$60,$HP$4:$HY$4)))</f>
        <v>0</v>
      </c>
      <c r="HT94" s="199" t="n">
        <f aca="false">IF((SUMIF($HP$3:$HY$3,HT$60,$HP$4:$HY$4))=0,0,((SUMIF($HP$3:$HY$3,HT$60,$HP143:$HY143))/SUMIF($HP$3:$HY$3,HT$60,$HP$4:$HY$4)))</f>
        <v>0</v>
      </c>
      <c r="HU94" s="199" t="n">
        <f aca="false">IF((SUMIF($HP$3:$HY$3,HU$60,$HP$4:$HY$4))=0,0,((SUMIF($HP$3:$HY$3,HU$60,$HP143:$HY143))/SUMIF($HP$3:$HY$3,HU$60,$HP$4:$HY$4)))</f>
        <v>0</v>
      </c>
      <c r="HV94" s="199" t="n">
        <f aca="false">IF((SUMIF($HP$3:$HY$3,HV$60,$HP$4:$HY$4))=0,0,((SUMIF($HP$3:$HY$3,HV$60,$HP143:$HY143))/SUMIF($HP$3:$HY$3,HV$60,$HP$4:$HY$4)))</f>
        <v>0</v>
      </c>
      <c r="HW94" s="199" t="n">
        <f aca="false">IF((SUMIF($HP$3:$HY$3,HW$60,$HP$4:$HY$4))=0,0,((SUMIF($HP$3:$HY$3,HW$60,$HP143:$HY143))/SUMIF($HP$3:$HY$3,HW$60,$HP$4:$HY$4)))</f>
        <v>0</v>
      </c>
      <c r="HX94" s="199" t="n">
        <f aca="false">IF((SUMIF($HP$3:$HY$3,HX$60,$HP$4:$HY$4))=0,0,((SUMIF($HP$3:$HY$3,HX$60,$HP143:$HY143))/SUMIF($HP$3:$HY$3,HX$60,$HP$4:$HY$4)))</f>
        <v>0</v>
      </c>
      <c r="HY94" s="200" t="n">
        <f aca="false">IF((SUMIF($HP$3:$HY$3,HY$60,$HP$4:$HY$4))=0,0,((SUMIF($HP$3:$HY$3,HY$60,$HP143:$HY143))/SUMIF($HP$3:$HY$3,HY$60,$HP$4:$HY$4)))</f>
        <v>0</v>
      </c>
      <c r="HZ94" s="194" t="str">
        <f aca="false">HO94</f>
        <v>Alumno33</v>
      </c>
      <c r="IA94" s="198" t="n">
        <f aca="false">IF((SUMIF($IA$3:$IJ$3,IA$60,$IA$4:$IJ$4))=0,0,((SUMIF($IA$3:$IJ$3,IA$60,$IA143:$IJ143))/SUMIF($IA$3:$IJ$3,IA$60,$IA$4:$IJ$4)))</f>
        <v>0</v>
      </c>
      <c r="IB94" s="199" t="n">
        <f aca="false">IF((SUMIF($IA$3:$IJ$3,IB$60,$IA$4:$IJ$4))=0,0,((SUMIF($IA$3:$IJ$3,IB$60,$IA143:$IJ143))/SUMIF($IA$3:$IJ$3,IB$60,$IA$4:$IJ$4)))</f>
        <v>0</v>
      </c>
      <c r="IC94" s="199" t="n">
        <f aca="false">IF((SUMIF($IA$3:$IJ$3,IC$60,$IA$4:$IJ$4))=0,0,((SUMIF($IA$3:$IJ$3,IC$60,$IA143:$IJ143))/SUMIF($IA$3:$IJ$3,IC$60,$IA$4:$IJ$4)))</f>
        <v>0</v>
      </c>
      <c r="ID94" s="199" t="n">
        <f aca="false">IF((SUMIF($IA$3:$IJ$3,ID$60,$IA$4:$IJ$4))=0,0,((SUMIF($IA$3:$IJ$3,ID$60,$IA143:$IJ143))/SUMIF($IA$3:$IJ$3,ID$60,$IA$4:$IJ$4)))</f>
        <v>0</v>
      </c>
      <c r="IE94" s="199" t="n">
        <f aca="false">IF((SUMIF($IA$3:$IJ$3,IE$60,$IA$4:$IJ$4))=0,0,((SUMIF($IA$3:$IJ$3,IE$60,$IA143:$IJ143))/SUMIF($IA$3:$IJ$3,IE$60,$IA$4:$IJ$4)))</f>
        <v>0</v>
      </c>
      <c r="IF94" s="199" t="n">
        <f aca="false">IF((SUMIF($IA$3:$IJ$3,IF$60,$IA$4:$IJ$4))=0,0,((SUMIF($IA$3:$IJ$3,IF$60,$IA143:$IJ143))/SUMIF($IA$3:$IJ$3,IF$60,$IA$4:$IJ$4)))</f>
        <v>0</v>
      </c>
      <c r="IG94" s="199" t="n">
        <f aca="false">IF((SUMIF($IA$3:$IJ$3,IG$60,$IA$4:$IJ$4))=0,0,((SUMIF($IA$3:$IJ$3,IG$60,$IA143:$IJ143))/SUMIF($IA$3:$IJ$3,IG$60,$IA$4:$IJ$4)))</f>
        <v>0</v>
      </c>
      <c r="IH94" s="199" t="n">
        <f aca="false">IF((SUMIF($IA$3:$IJ$3,IH$60,$IA$4:$IJ$4))=0,0,((SUMIF($IA$3:$IJ$3,IH$60,$IA143:$IJ143))/SUMIF($IA$3:$IJ$3,IH$60,$IA$4:$IJ$4)))</f>
        <v>0</v>
      </c>
      <c r="II94" s="199" t="n">
        <f aca="false">IF((SUMIF($IA$3:$IJ$3,II$60,$IA$4:$IJ$4))=0,0,((SUMIF($IA$3:$IJ$3,II$60,$IA143:$IJ143))/SUMIF($IA$3:$IJ$3,II$60,$IA$4:$IJ$4)))</f>
        <v>0</v>
      </c>
      <c r="IJ94" s="200" t="n">
        <f aca="false">IF((SUMIF($IA$3:$IJ$3,IJ$60,$IA$4:$IJ$4))=0,0,((SUMIF($IA$3:$IJ$3,IJ$60,$IA143:$IJ143))/SUMIF($IA$3:$IJ$3,IJ$60,$IA$4:$IJ$4)))</f>
        <v>0</v>
      </c>
      <c r="IK94" s="194" t="str">
        <f aca="false">HZ94</f>
        <v>Alumno33</v>
      </c>
      <c r="IL94" s="198" t="n">
        <f aca="false">IF((SUMIF($IL$3:$IU$3,IL$60,$IL$4:$IU$4))=0,0,((SUMIF($IL$3:$IU$3,IL$60,$IL143:$IU143))/SUMIF($IL$3:$IU$3,IL$60,$IL$4:$IU$4)))</f>
        <v>0</v>
      </c>
      <c r="IM94" s="199" t="n">
        <f aca="false">IF((SUMIF($IL$3:$IU$3,IM$60,$IL$4:$IU$4))=0,0,((SUMIF($IL$3:$IU$3,IM$60,$IL143:$IU143))/SUMIF($IL$3:$IU$3,IM$60,$IL$4:$IU$4)))</f>
        <v>0</v>
      </c>
      <c r="IN94" s="199" t="n">
        <f aca="false">IF((SUMIF($IL$3:$IU$3,IN$60,$IL$4:$IU$4))=0,0,((SUMIF($IL$3:$IU$3,IN$60,$IL143:$IU143))/SUMIF($IL$3:$IU$3,IN$60,$IL$4:$IU$4)))</f>
        <v>0</v>
      </c>
      <c r="IO94" s="199" t="n">
        <f aca="false">IF((SUMIF($IL$3:$IU$3,IO$60,$IL$4:$IU$4))=0,0,((SUMIF($IL$3:$IU$3,IO$60,$IL143:$IU143))/SUMIF($IL$3:$IU$3,IO$60,$IL$4:$IU$4)))</f>
        <v>0</v>
      </c>
      <c r="IP94" s="199" t="n">
        <f aca="false">IF((SUMIF($IL$3:$IU$3,IP$60,$IL$4:$IU$4))=0,0,((SUMIF($IL$3:$IU$3,IP$60,$IL143:$IU143))/SUMIF($IL$3:$IU$3,IP$60,$IL$4:$IU$4)))</f>
        <v>0</v>
      </c>
      <c r="IQ94" s="199" t="n">
        <f aca="false">IF((SUMIF($IL$3:$IU$3,IQ$60,$IL$4:$IU$4))=0,0,((SUMIF($IL$3:$IU$3,IQ$60,$IL143:$IU143))/SUMIF($IL$3:$IU$3,IQ$60,$IL$4:$IU$4)))</f>
        <v>0</v>
      </c>
      <c r="IR94" s="199" t="n">
        <f aca="false">IF((SUMIF($IL$3:$IU$3,IR$60,$IL$4:$IU$4))=0,0,((SUMIF($IL$3:$IU$3,IR$60,$IL143:$IU143))/SUMIF($IL$3:$IU$3,IR$60,$IL$4:$IU$4)))</f>
        <v>0</v>
      </c>
      <c r="IS94" s="199" t="n">
        <f aca="false">IF((SUMIF($IL$3:$IU$3,IS$60,$IL$4:$IU$4))=0,0,((SUMIF($IL$3:$IU$3,IS$60,$IL143:$IU143))/SUMIF($IL$3:$IU$3,IS$60,$IL$4:$IU$4)))</f>
        <v>0</v>
      </c>
      <c r="IT94" s="199" t="n">
        <f aca="false">IF((SUMIF($IL$3:$IU$3,IT$60,$IL$4:$IU$4))=0,0,((SUMIF($IL$3:$IU$3,IT$60,$IL143:$IU143))/SUMIF($IL$3:$IU$3,IT$60,$IL$4:$IU$4)))</f>
        <v>0</v>
      </c>
      <c r="IU94" s="200" t="n">
        <f aca="false">IF((SUMIF($IL$3:$IU$3,IU$60,$IL$4:$IU$4))=0,0,((SUMIF($IL$3:$IU$3,IU$60,$IL143:$IU143))/SUMIF($IL$3:$IU$3,IU$60,$IL$4:$IU$4)))</f>
        <v>0</v>
      </c>
      <c r="IV94" s="194" t="str">
        <f aca="false">IK94</f>
        <v>Alumno33</v>
      </c>
      <c r="IW94" s="198" t="n">
        <f aca="false">IF((SUMIF($IW$3:$JF$3,IW$60,$IW$4:$JF$4))=0,0,((SUMIF($IW$3:$JF$3,IW$60,$IW143:$JF143))/SUMIF($IW$3:$JF$3,IW$60,$IW$4:$JF$4)))</f>
        <v>0</v>
      </c>
      <c r="IX94" s="199" t="n">
        <f aca="false">IF((SUMIF($IW$3:$JF$3,IX$60,$IW$4:$JF$4))=0,0,((SUMIF($IW$3:$JF$3,IX$60,$IW143:$JF143))/SUMIF($IW$3:$JF$3,IX$60,$IW$4:$JF$4)))</f>
        <v>0</v>
      </c>
      <c r="IY94" s="199" t="n">
        <f aca="false">IF((SUMIF($IW$3:$JF$3,IY$60,$IW$4:$JF$4))=0,0,((SUMIF($IW$3:$JF$3,IY$60,$IW143:$JF143))/SUMIF($IW$3:$JF$3,IY$60,$IW$4:$JF$4)))</f>
        <v>0</v>
      </c>
      <c r="IZ94" s="199" t="n">
        <f aca="false">IF((SUMIF($IW$3:$JF$3,IZ$60,$IW$4:$JF$4))=0,0,((SUMIF($IW$3:$JF$3,IZ$60,$IW143:$JF143))/SUMIF($IW$3:$JF$3,IZ$60,$IW$4:$JF$4)))</f>
        <v>0</v>
      </c>
      <c r="JA94" s="199" t="n">
        <f aca="false">IF((SUMIF($IW$3:$JF$3,JA$60,$IW$4:$JF$4))=0,0,((SUMIF($IW$3:$JF$3,JA$60,$IW143:$JF143))/SUMIF($IW$3:$JF$3,JA$60,$IW$4:$JF$4)))</f>
        <v>0</v>
      </c>
      <c r="JB94" s="199" t="n">
        <f aca="false">IF((SUMIF($IW$3:$JF$3,JB$60,$IW$4:$JF$4))=0,0,((SUMIF($IW$3:$JF$3,JB$60,$IW143:$JF143))/SUMIF($IW$3:$JF$3,JB$60,$IW$4:$JF$4)))</f>
        <v>0</v>
      </c>
      <c r="JC94" s="199" t="n">
        <f aca="false">IF((SUMIF($IW$3:$JF$3,JC$60,$IW$4:$JF$4))=0,0,((SUMIF($IW$3:$JF$3,JC$60,$IW143:$JF143))/SUMIF($IW$3:$JF$3,JC$60,$IW$4:$JF$4)))</f>
        <v>0</v>
      </c>
      <c r="JD94" s="199" t="n">
        <f aca="false">IF((SUMIF($IW$3:$JF$3,JD$60,$IW$4:$JF$4))=0,0,((SUMIF($IW$3:$JF$3,JD$60,$IW143:$JF143))/SUMIF($IW$3:$JF$3,JD$60,$IW$4:$JF$4)))</f>
        <v>0</v>
      </c>
      <c r="JE94" s="199" t="n">
        <f aca="false">IF((SUMIF($IW$3:$JF$3,JE$60,$IW$4:$JF$4))=0,0,((SUMIF($IW$3:$JF$3,JE$60,$IW143:$JF143))/SUMIF($IW$3:$JF$3,JE$60,$IW$4:$JF$4)))</f>
        <v>0</v>
      </c>
      <c r="JF94" s="200" t="n">
        <f aca="false">IF((SUMIF($IW$3:$JF$3,JF$60,$IW$4:$JF$4))=0,0,((SUMIF($IW$3:$JF$3,JF$60,$IW143:$JF143))/SUMIF($IW$3:$JF$3,JF$60,$IW$4:$JF$4)))</f>
        <v>0</v>
      </c>
      <c r="JG94" s="194" t="str">
        <f aca="false">IV94</f>
        <v>Alumno33</v>
      </c>
      <c r="JH94" s="198" t="n">
        <f aca="false">IF((SUMIF($JH$3:$JQ$3,JH$60,$JH$4:$JQ$4))=0,0,((SUMIF($JH$3:$JQ$3,JH$60,$JH143:$JQ143))/SUMIF($JH$3:$JQ$3,JH$60,$JH$4:$JQ$4)))</f>
        <v>0</v>
      </c>
      <c r="JI94" s="199" t="n">
        <f aca="false">IF((SUMIF($JH$3:$JQ$3,JI$60,$JH$4:$JQ$4))=0,0,((SUMIF($JH$3:$JQ$3,JI$60,$JH143:$JQ143))/SUMIF($JH$3:$JQ$3,JI$60,$JH$4:$JQ$4)))</f>
        <v>0</v>
      </c>
      <c r="JJ94" s="199" t="n">
        <f aca="false">IF((SUMIF($JH$3:$JQ$3,JJ$60,$JH$4:$JQ$4))=0,0,((SUMIF($JH$3:$JQ$3,JJ$60,$JH143:$JQ143))/SUMIF($JH$3:$JQ$3,JJ$60,$JH$4:$JQ$4)))</f>
        <v>0</v>
      </c>
      <c r="JK94" s="199" t="n">
        <f aca="false">IF((SUMIF($JH$3:$JQ$3,JK$60,$JH$4:$JQ$4))=0,0,((SUMIF($JH$3:$JQ$3,JK$60,$JH143:$JQ143))/SUMIF($JH$3:$JQ$3,JK$60,$JH$4:$JQ$4)))</f>
        <v>0</v>
      </c>
      <c r="JL94" s="199" t="n">
        <f aca="false">IF((SUMIF($JH$3:$JQ$3,JL$60,$JH$4:$JQ$4))=0,0,((SUMIF($JH$3:$JQ$3,JL$60,$JH143:$JQ143))/SUMIF($JH$3:$JQ$3,JL$60,$JH$4:$JQ$4)))</f>
        <v>0</v>
      </c>
      <c r="JM94" s="199" t="n">
        <f aca="false">IF((SUMIF($JH$3:$JQ$3,JM$60,$JH$4:$JQ$4))=0,0,((SUMIF($JH$3:$JQ$3,JM$60,$JH143:$JQ143))/SUMIF($JH$3:$JQ$3,JM$60,$JH$4:$JQ$4)))</f>
        <v>0</v>
      </c>
      <c r="JN94" s="199" t="n">
        <f aca="false">IF((SUMIF($JH$3:$JQ$3,JN$60,$JH$4:$JQ$4))=0,0,((SUMIF($JH$3:$JQ$3,JN$60,$JH143:$JQ143))/SUMIF($JH$3:$JQ$3,JN$60,$JH$4:$JQ$4)))</f>
        <v>0</v>
      </c>
      <c r="JO94" s="199" t="n">
        <f aca="false">IF((SUMIF($JH$3:$JQ$3,JO$60,$JH$4:$JQ$4))=0,0,((SUMIF($JH$3:$JQ$3,JO$60,$JH143:$JQ143))/SUMIF($JH$3:$JQ$3,JO$60,$JH$4:$JQ$4)))</f>
        <v>0</v>
      </c>
      <c r="JP94" s="199" t="n">
        <f aca="false">IF((SUMIF($JH$3:$JQ$3,JP$60,$JH$4:$JQ$4))=0,0,((SUMIF($JH$3:$JQ$3,JP$60,$JH143:$JQ143))/SUMIF($JH$3:$JQ$3,JP$60,$JH$4:$JQ$4)))</f>
        <v>0</v>
      </c>
      <c r="JQ94" s="200" t="n">
        <f aca="false">IF((SUMIF($JH$3:$JQ$3,JQ$60,$JH$4:$JQ$4))=0,0,((SUMIF($JH$3:$JQ$3,JQ$60,$JH143:$JQ143))/SUMIF($JH$3:$JQ$3,JQ$60,$JH$4:$JQ$4)))</f>
        <v>0</v>
      </c>
      <c r="JR94" s="194" t="str">
        <f aca="false">JG94</f>
        <v>Alumno33</v>
      </c>
      <c r="JS94" s="198" t="n">
        <f aca="false">IF((SUMIF($JS$3:$KB$3,JS$60,$JS$4:$KB$4))=0,0,((SUMIF($JS$3:$KB$3,JS$60,$JS143:$KB143))/SUMIF($JS$3:$KB$3,JS$60,$JS$4:$KB$4)))</f>
        <v>0</v>
      </c>
      <c r="JT94" s="199" t="n">
        <f aca="false">IF((SUMIF($JS$3:$KB$3,JT$60,$JS$4:$KB$4))=0,0,((SUMIF($JS$3:$KB$3,JT$60,$JS143:$KB143))/SUMIF($JS$3:$KB$3,JT$60,$JS$4:$KB$4)))</f>
        <v>0</v>
      </c>
      <c r="JU94" s="199" t="n">
        <f aca="false">IF((SUMIF($JS$3:$KB$3,JU$60,$JS$4:$KB$4))=0,0,((SUMIF($JS$3:$KB$3,JU$60,$JS143:$KB143))/SUMIF($JS$3:$KB$3,JU$60,$JS$4:$KB$4)))</f>
        <v>0</v>
      </c>
      <c r="JV94" s="199" t="n">
        <f aca="false">IF((SUMIF($JS$3:$KB$3,JV$60,$JS$4:$KB$4))=0,0,((SUMIF($JS$3:$KB$3,JV$60,$JS143:$KB143))/SUMIF($JS$3:$KB$3,JV$60,$JS$4:$KB$4)))</f>
        <v>0</v>
      </c>
      <c r="JW94" s="199" t="n">
        <f aca="false">IF((SUMIF($JS$3:$KB$3,JW$60,$JS$4:$KB$4))=0,0,((SUMIF($JS$3:$KB$3,JW$60,$JS143:$KB143))/SUMIF($JS$3:$KB$3,JW$60,$JS$4:$KB$4)))</f>
        <v>0</v>
      </c>
      <c r="JX94" s="199" t="n">
        <f aca="false">IF((SUMIF($JS$3:$KB$3,JX$60,$JS$4:$KB$4))=0,0,((SUMIF($JS$3:$KB$3,JX$60,$JS143:$KB143))/SUMIF($JS$3:$KB$3,JX$60,$JS$4:$KB$4)))</f>
        <v>0</v>
      </c>
      <c r="JY94" s="199" t="n">
        <f aca="false">IF((SUMIF($JS$3:$KB$3,JY$60,$JS$4:$KB$4))=0,0,((SUMIF($JS$3:$KB$3,JY$60,$JS143:$KB143))/SUMIF($JS$3:$KB$3,JY$60,$JS$4:$KB$4)))</f>
        <v>0</v>
      </c>
      <c r="JZ94" s="199" t="n">
        <f aca="false">IF((SUMIF($JS$3:$KB$3,JZ$60,$JS$4:$KB$4))=0,0,((SUMIF($JS$3:$KB$3,JZ$60,$JS143:$KB143))/SUMIF($JS$3:$KB$3,JZ$60,$JS$4:$KB$4)))</f>
        <v>0</v>
      </c>
      <c r="KA94" s="199" t="n">
        <f aca="false">IF((SUMIF($JS$3:$KB$3,KA$60,$JS$4:$KB$4))=0,0,((SUMIF($JS$3:$KB$3,KA$60,$JS143:$KB143))/SUMIF($JS$3:$KB$3,KA$60,$JS$4:$KB$4)))</f>
        <v>0</v>
      </c>
      <c r="KB94" s="200" t="n">
        <f aca="false">IF((SUMIF($JS$3:$KB$3,KB$60,$JS$4:$KB$4))=0,0,((SUMIF($JS$3:$KB$3,KB$60,$JS143:$KB143))/SUMIF($JS$3:$KB$3,KB$60,$JS$4:$KB$4)))</f>
        <v>0</v>
      </c>
      <c r="KC94" s="194" t="str">
        <f aca="false">JR94</f>
        <v>Alumno33</v>
      </c>
      <c r="KD94" s="198" t="n">
        <f aca="false">IF((SUMIF($KD$3:$KM$3,KD$60,$KD$4:$KM$4))=0,0,((SUMIF($KD$3:$KM$3,KD$60,$KD143:$KM143))/SUMIF($KD$3:$KM$3,KD$60,$KD$4:$KM$4)))</f>
        <v>0</v>
      </c>
      <c r="KE94" s="199" t="n">
        <f aca="false">IF((SUMIF($KD$3:$KM$3,KE$60,$KD$4:$KM$4))=0,0,((SUMIF($KD$3:$KM$3,KE$60,$KD143:$KM143))/SUMIF($KD$3:$KM$3,KE$60,$KD$4:$KM$4)))</f>
        <v>0</v>
      </c>
      <c r="KF94" s="199" t="n">
        <f aca="false">IF((SUMIF($KD$3:$KM$3,KF$60,$KD$4:$KM$4))=0,0,((SUMIF($KD$3:$KM$3,KF$60,$KD143:$KM143))/SUMIF($KD$3:$KM$3,KF$60,$KD$4:$KM$4)))</f>
        <v>0</v>
      </c>
      <c r="KG94" s="199" t="n">
        <f aca="false">IF((SUMIF($KD$3:$KM$3,KG$60,$KD$4:$KM$4))=0,0,((SUMIF($KD$3:$KM$3,KG$60,$KD143:$KM143))/SUMIF($KD$3:$KM$3,KG$60,$KD$4:$KM$4)))</f>
        <v>0</v>
      </c>
      <c r="KH94" s="199" t="n">
        <f aca="false">IF((SUMIF($KD$3:$KM$3,KH$60,$KD$4:$KM$4))=0,0,((SUMIF($KD$3:$KM$3,KH$60,$KD143:$KM143))/SUMIF($KD$3:$KM$3,KH$60,$KD$4:$KM$4)))</f>
        <v>0</v>
      </c>
      <c r="KI94" s="199" t="n">
        <f aca="false">IF((SUMIF($KD$3:$KM$3,KI$60,$KD$4:$KM$4))=0,0,((SUMIF($KD$3:$KM$3,KI$60,$KD143:$KM143))/SUMIF($KD$3:$KM$3,KI$60,$KD$4:$KM$4)))</f>
        <v>0</v>
      </c>
      <c r="KJ94" s="199" t="n">
        <f aca="false">IF((SUMIF($KD$3:$KM$3,KJ$60,$KD$4:$KM$4))=0,0,((SUMIF($KD$3:$KM$3,KJ$60,$KD143:$KM143))/SUMIF($KD$3:$KM$3,KJ$60,$KD$4:$KM$4)))</f>
        <v>0</v>
      </c>
      <c r="KK94" s="199" t="n">
        <f aca="false">IF((SUMIF($KD$3:$KM$3,KK$60,$KD$4:$KM$4))=0,0,((SUMIF($KD$3:$KM$3,KK$60,$KD143:$KM143))/SUMIF($KD$3:$KM$3,KK$60,$KD$4:$KM$4)))</f>
        <v>0</v>
      </c>
      <c r="KL94" s="199" t="n">
        <f aca="false">IF((SUMIF($KD$3:$KM$3,KL$60,$KD$4:$KM$4))=0,0,((SUMIF($KD$3:$KM$3,KL$60,$KD143:$KM143))/SUMIF($KD$3:$KM$3,KL$60,$KD$4:$KM$4)))</f>
        <v>0</v>
      </c>
      <c r="KM94" s="200" t="n">
        <f aca="false">IF((SUMIF($KD$3:$KM$3,KM$60,$KD$4:$KM$4))=0,0,((SUMIF($KD$3:$KM$3,KM$60,$KD143:$KM143))/SUMIF($KD$3:$KM$3,KM$60,$KD$4:$KM$4)))</f>
        <v>0</v>
      </c>
      <c r="KN94" s="194" t="str">
        <f aca="false">KC94</f>
        <v>Alumno33</v>
      </c>
      <c r="KO94" s="198" t="n">
        <f aca="false">IF((SUMIF($KO$3:$KX$3,KO$60,$KO$4:$KX$4))=0,0,((SUMIF($KO$3:$KX$3,KO$60,$KO143:$KX143))/SUMIF($KO$3:$KX$3,KO$60,$KO$4:$KX$4)))</f>
        <v>0</v>
      </c>
      <c r="KP94" s="199" t="n">
        <f aca="false">IF((SUMIF($KO$3:$KX$3,KP$60,$KO$4:$KX$4))=0,0,((SUMIF($KO$3:$KX$3,KP$60,$KO143:$KX143))/SUMIF($KO$3:$KX$3,KP$60,$KO$4:$KX$4)))</f>
        <v>0</v>
      </c>
      <c r="KQ94" s="199" t="n">
        <f aca="false">IF((SUMIF($KO$3:$KX$3,KQ$60,$KO$4:$KX$4))=0,0,((SUMIF($KO$3:$KX$3,KQ$60,$KO143:$KX143))/SUMIF($KO$3:$KX$3,KQ$60,$KO$4:$KX$4)))</f>
        <v>0</v>
      </c>
      <c r="KR94" s="199" t="n">
        <f aca="false">IF((SUMIF($KO$3:$KX$3,KR$60,$KO$4:$KX$4))=0,0,((SUMIF($KO$3:$KX$3,KR$60,$KO143:$KX143))/SUMIF($KO$3:$KX$3,KR$60,$KO$4:$KX$4)))</f>
        <v>0</v>
      </c>
      <c r="KS94" s="199" t="n">
        <f aca="false">IF((SUMIF($KO$3:$KX$3,KS$60,$KO$4:$KX$4))=0,0,((SUMIF($KO$3:$KX$3,KS$60,$KO143:$KX143))/SUMIF($KO$3:$KX$3,KS$60,$KO$4:$KX$4)))</f>
        <v>0</v>
      </c>
      <c r="KT94" s="199" t="n">
        <f aca="false">IF((SUMIF($KO$3:$KX$3,KT$60,$KO$4:$KX$4))=0,0,((SUMIF($KO$3:$KX$3,KT$60,$KO143:$KX143))/SUMIF($KO$3:$KX$3,KT$60,$KO$4:$KX$4)))</f>
        <v>0</v>
      </c>
      <c r="KU94" s="199" t="n">
        <f aca="false">IF((SUMIF($KO$3:$KX$3,KU$60,$KO$4:$KX$4))=0,0,((SUMIF($KO$3:$KX$3,KU$60,$KO143:$KX143))/SUMIF($KO$3:$KX$3,KU$60,$KO$4:$KX$4)))</f>
        <v>0</v>
      </c>
      <c r="KV94" s="199" t="n">
        <f aca="false">IF((SUMIF($KO$3:$KX$3,KV$60,$KO$4:$KX$4))=0,0,((SUMIF($KO$3:$KX$3,KV$60,$KO143:$KX143))/SUMIF($KO$3:$KX$3,KV$60,$KO$4:$KX$4)))</f>
        <v>0</v>
      </c>
      <c r="KW94" s="199" t="n">
        <f aca="false">IF((SUMIF($KO$3:$KX$3,KW$60,$KO$4:$KX$4))=0,0,((SUMIF($KO$3:$KX$3,KW$60,$KO143:$KX143))/SUMIF($KO$3:$KX$3,KW$60,$KO$4:$KX$4)))</f>
        <v>0</v>
      </c>
      <c r="KX94" s="200" t="n">
        <f aca="false">IF((SUMIF($KO$3:$KX$3,KX$60,$KO$4:$KX$4))=0,0,((SUMIF($KO$3:$KX$3,KX$60,$KO143:$KX143))/SUMIF($KO$3:$KX$3,KX$60,$KO$4:$KX$4)))</f>
        <v>0</v>
      </c>
      <c r="KY94" s="194" t="str">
        <f aca="false">KN94</f>
        <v>Alumno33</v>
      </c>
      <c r="KZ94" s="198" t="n">
        <f aca="false">IF((SUMIF($KZ$3:$LI$3,KZ$60,$KZ$4:$LI$4))=0,0,((SUMIF($KZ$3:$LI$3,KZ$60,$KZ143:$LI143))/SUMIF($KZ$3:$LI$3,KZ$60,$KZ$4:$LI$4)))</f>
        <v>0</v>
      </c>
      <c r="LA94" s="199" t="n">
        <f aca="false">IF((SUMIF($KZ$3:$LI$3,LA$60,$KZ$4:$LI$4))=0,0,((SUMIF($KZ$3:$LI$3,LA$60,$KZ143:$LI143))/SUMIF($KZ$3:$LI$3,LA$60,$KZ$4:$LI$4)))</f>
        <v>0</v>
      </c>
      <c r="LB94" s="199" t="n">
        <f aca="false">IF((SUMIF($KZ$3:$LI$3,LB$60,$KZ$4:$LI$4))=0,0,((SUMIF($KZ$3:$LI$3,LB$60,$KZ143:$LI143))/SUMIF($KZ$3:$LI$3,LB$60,$KZ$4:$LI$4)))</f>
        <v>0</v>
      </c>
      <c r="LC94" s="199" t="n">
        <f aca="false">IF((SUMIF($KZ$3:$LI$3,LC$60,$KZ$4:$LI$4))=0,0,((SUMIF($KZ$3:$LI$3,LC$60,$KZ143:$LI143))/SUMIF($KZ$3:$LI$3,LC$60,$KZ$4:$LI$4)))</f>
        <v>0</v>
      </c>
      <c r="LD94" s="199" t="n">
        <f aca="false">IF((SUMIF($KZ$3:$LI$3,LD$60,$KZ$4:$LI$4))=0,0,((SUMIF($KZ$3:$LI$3,LD$60,$KZ143:$LI143))/SUMIF($KZ$3:$LI$3,LD$60,$KZ$4:$LI$4)))</f>
        <v>0</v>
      </c>
      <c r="LE94" s="199" t="n">
        <f aca="false">IF((SUMIF($KZ$3:$LI$3,LE$60,$KZ$4:$LI$4))=0,0,((SUMIF($KZ$3:$LI$3,LE$60,$KZ143:$LI143))/SUMIF($KZ$3:$LI$3,LE$60,$KZ$4:$LI$4)))</f>
        <v>0</v>
      </c>
      <c r="LF94" s="199" t="n">
        <f aca="false">IF((SUMIF($KZ$3:$LI$3,LF$60,$KZ$4:$LI$4))=0,0,((SUMIF($KZ$3:$LI$3,LF$60,$KZ143:$LI143))/SUMIF($KZ$3:$LI$3,LF$60,$KZ$4:$LI$4)))</f>
        <v>0</v>
      </c>
      <c r="LG94" s="199" t="n">
        <f aca="false">IF((SUMIF($KZ$3:$LI$3,LG$60,$KZ$4:$LI$4))=0,0,((SUMIF($KZ$3:$LI$3,LG$60,$KZ143:$LI143))/SUMIF($KZ$3:$LI$3,LG$60,$KZ$4:$LI$4)))</f>
        <v>0</v>
      </c>
      <c r="LH94" s="199" t="n">
        <f aca="false">IF((SUMIF($KZ$3:$LI$3,LH$60,$KZ$4:$LI$4))=0,0,((SUMIF($KZ$3:$LI$3,LH$60,$KZ143:$LI143))/SUMIF($KZ$3:$LI$3,LH$60,$KZ$4:$LI$4)))</f>
        <v>0</v>
      </c>
      <c r="LI94" s="200" t="n">
        <f aca="false">IF((SUMIF($KZ$3:$LI$3,LI$60,$KZ$4:$LI$4))=0,0,((SUMIF($KZ$3:$LI$3,LI$60,$KZ143:$LI143))/SUMIF($KZ$3:$LI$3,LI$60,$KZ$4:$LI$4)))</f>
        <v>0</v>
      </c>
      <c r="LJ94" s="194" t="str">
        <f aca="false">KY94</f>
        <v>Alumno33</v>
      </c>
      <c r="LK94" s="198" t="n">
        <f aca="false">IF((SUMIF($LK$3:$LT$3,LK$60,$LK$4:$LT$4))=0,0,((SUMIF($LK$3:$LT$3,LK$60,$LK143:$LT143))/SUMIF($LK$3:$LT$3,LK$60,$LK$4:$LT$4)))</f>
        <v>0</v>
      </c>
      <c r="LL94" s="199" t="n">
        <f aca="false">IF((SUMIF($LK$3:$LT$3,LL$60,$LK$4:$LT$4))=0,0,((SUMIF($LK$3:$LT$3,LL$60,$LK143:$LT143))/SUMIF($LK$3:$LT$3,LL$60,$LK$4:$LT$4)))</f>
        <v>0</v>
      </c>
      <c r="LM94" s="199" t="n">
        <f aca="false">IF((SUMIF($LK$3:$LT$3,LM$60,$LK$4:$LT$4))=0,0,((SUMIF($LK$3:$LT$3,LM$60,$LK143:$LT143))/SUMIF($LK$3:$LT$3,LM$60,$LK$4:$LT$4)))</f>
        <v>0</v>
      </c>
      <c r="LN94" s="199" t="n">
        <f aca="false">IF((SUMIF($LK$3:$LT$3,LN$60,$LK$4:$LT$4))=0,0,((SUMIF($LK$3:$LT$3,LN$60,$LK143:$LT143))/SUMIF($LK$3:$LT$3,LN$60,$LK$4:$LT$4)))</f>
        <v>0</v>
      </c>
      <c r="LO94" s="199" t="n">
        <f aca="false">IF((SUMIF($LK$3:$LT$3,LO$60,$LK$4:$LT$4))=0,0,((SUMIF($LK$3:$LT$3,LO$60,$LK143:$LT143))/SUMIF($LK$3:$LT$3,LO$60,$LK$4:$LT$4)))</f>
        <v>0</v>
      </c>
      <c r="LP94" s="199" t="n">
        <f aca="false">IF((SUMIF($LK$3:$LT$3,LP$60,$LK$4:$LT$4))=0,0,((SUMIF($LK$3:$LT$3,LP$60,$LK143:$LT143))/SUMIF($LK$3:$LT$3,LP$60,$LK$4:$LT$4)))</f>
        <v>0</v>
      </c>
      <c r="LQ94" s="199" t="n">
        <f aca="false">IF((SUMIF($LK$3:$LT$3,LQ$60,$LK$4:$LT$4))=0,0,((SUMIF($LK$3:$LT$3,LQ$60,$LK143:$LT143))/SUMIF($LK$3:$LT$3,LQ$60,$LK$4:$LT$4)))</f>
        <v>0</v>
      </c>
      <c r="LR94" s="199" t="n">
        <f aca="false">IF((SUMIF($LK$3:$LT$3,LR$60,$LK$4:$LT$4))=0,0,((SUMIF($LK$3:$LT$3,LR$60,$LK143:$LT143))/SUMIF($LK$3:$LT$3,LR$60,$LK$4:$LT$4)))</f>
        <v>0</v>
      </c>
      <c r="LS94" s="199" t="n">
        <f aca="false">IF((SUMIF($LK$3:$LT$3,LS$60,$LK$4:$LT$4))=0,0,((SUMIF($LK$3:$LT$3,LS$60,$LK143:$LT143))/SUMIF($LK$3:$LT$3,LS$60,$LK$4:$LT$4)))</f>
        <v>0</v>
      </c>
      <c r="LT94" s="200" t="n">
        <f aca="false">IF((SUMIF($LK$3:$LT$3,LT$60,$LK$4:$LT$4))=0,0,((SUMIF($LK$3:$LT$3,LT$60,$LK143:$LT143))/SUMIF($LK$3:$LT$3,LT$60,$LK$4:$LT$4)))</f>
        <v>0</v>
      </c>
    </row>
    <row r="95" customFormat="false" ht="15" hidden="true" customHeight="false" outlineLevel="0" collapsed="false">
      <c r="C95" s="194" t="str">
        <f aca="false">B39</f>
        <v>Alumno34</v>
      </c>
      <c r="D95" s="198" t="n">
        <f aca="false">IF((SUMIF($D$3:$M$3,D$60,$D$4:$M$4))=0,0,((SUMIF($D$3:$M$3,D$60,$D144:$M144))/SUMIF($D$3:$M$3,D$60,$D$4:$M$4)))</f>
        <v>0</v>
      </c>
      <c r="E95" s="199" t="n">
        <f aca="false">IF((SUMIF($D$3:$M$3,E$60,$D$4:$M$4))=0,0,((SUMIF($D$3:$M$3,E$60,$D144:$M144))/SUMIF($D$3:$M$3,E$60,$D$4:$M$4)))</f>
        <v>0</v>
      </c>
      <c r="F95" s="199" t="n">
        <f aca="false">IF((SUMIF($D$3:$M$3,F$60,$D$4:$M$4))=0,0,((SUMIF($D$3:$M$3,F$60,$D144:$M144))/SUMIF($D$3:$M$3,F$60,$D$4:$M$4)))</f>
        <v>0</v>
      </c>
      <c r="G95" s="199" t="n">
        <f aca="false">IF((SUMIF($D$3:$M$3,G$60,$D$4:$M$4))=0,0,((SUMIF($D$3:$M$3,G$60,$D144:$M144))/SUMIF($D$3:$M$3,G$60,$D$4:$M$4)))</f>
        <v>0</v>
      </c>
      <c r="H95" s="199" t="n">
        <f aca="false">IF((SUMIF($D$3:$M$3,H$60,$D$4:$M$4))=0,0,((SUMIF($D$3:$M$3,H$60,$D144:$M144))/SUMIF($D$3:$M$3,H$60,$D$4:$M$4)))</f>
        <v>0</v>
      </c>
      <c r="I95" s="199" t="n">
        <f aca="false">IF((SUMIF($D$3:$M$3,I$60,$D$4:$M$4))=0,0,((SUMIF($D$3:$M$3,I$60,$D144:$M144))/SUMIF($D$3:$M$3,I$60,$D$4:$M$4)))</f>
        <v>0</v>
      </c>
      <c r="J95" s="199" t="n">
        <f aca="false">IF((SUMIF($D$3:$M$3,J$60,$D$4:$M$4))=0,0,((SUMIF($D$3:$M$3,J$60,$D144:$M144))/SUMIF($D$3:$M$3,J$60,$D$4:$M$4)))</f>
        <v>0</v>
      </c>
      <c r="K95" s="199" t="n">
        <f aca="false">IF((SUMIF($D$3:$M$3,K$60,$D$4:$M$4))=0,0,((SUMIF($D$3:$M$3,K$60,$D144:$M144))/SUMIF($D$3:$M$3,K$60,$D$4:$M$4)))</f>
        <v>0</v>
      </c>
      <c r="L95" s="199" t="n">
        <f aca="false">IF((SUMIF($D$3:$M$3,L$60,$D$4:$M$4))=0,0,((SUMIF($D$3:$M$3,L$60,$D144:$M144))/SUMIF($D$3:$M$3,L$60,$D$4:$M$4)))</f>
        <v>0</v>
      </c>
      <c r="M95" s="200" t="n">
        <f aca="false">IF((SUMIF($D$3:$M$3,M$60,$D$4:$M$4))=0,0,((SUMIF($D$3:$M$3,M$60,$D144:$M144))/SUMIF($D$3:$M$3,M$60,$D$4:$M$4)))</f>
        <v>0</v>
      </c>
      <c r="N95" s="194" t="str">
        <f aca="false">C95</f>
        <v>Alumno34</v>
      </c>
      <c r="O95" s="198" t="n">
        <f aca="false">IF((SUMIF($O$3:$X$3,O$60,$O$4:$X$4))=0,0,((SUMIF($O$3:$X$3,O$60,$O144:$X144))/SUMIF($O$3:$X$3,O$60,$O$4:$X$4)))</f>
        <v>0</v>
      </c>
      <c r="P95" s="199" t="n">
        <f aca="false">IF((SUMIF($O$3:$X$3,P$60,$O$4:$X$4))=0,0,((SUMIF($O$3:$X$3,P$60,$O144:$X144))/SUMIF($O$3:$X$3,P$60,$O$4:$X$4)))</f>
        <v>0</v>
      </c>
      <c r="Q95" s="199" t="n">
        <f aca="false">IF((SUMIF($O$3:$X$3,Q$60,$O$4:$X$4))=0,0,((SUMIF($O$3:$X$3,Q$60,$O144:$X144))/SUMIF($O$3:$X$3,Q$60,$O$4:$X$4)))</f>
        <v>0</v>
      </c>
      <c r="R95" s="199" t="n">
        <f aca="false">IF((SUMIF($O$3:$X$3,R$60,$O$4:$X$4))=0,0,((SUMIF($O$3:$X$3,R$60,$O144:$X144))/SUMIF($O$3:$X$3,R$60,$O$4:$X$4)))</f>
        <v>0</v>
      </c>
      <c r="S95" s="199" t="n">
        <f aca="false">IF((SUMIF($O$3:$X$3,S$60,$O$4:$X$4))=0,0,((SUMIF($O$3:$X$3,S$60,$O144:$X144))/SUMIF($O$3:$X$3,S$60,$O$4:$X$4)))</f>
        <v>0</v>
      </c>
      <c r="T95" s="199" t="n">
        <f aca="false">IF((SUMIF($O$3:$X$3,T$60,$O$4:$X$4))=0,0,((SUMIF($O$3:$X$3,T$60,$O144:$X144))/SUMIF($O$3:$X$3,T$60,$O$4:$X$4)))</f>
        <v>0</v>
      </c>
      <c r="U95" s="199" t="n">
        <f aca="false">IF((SUMIF($O$3:$X$3,U$60,$O$4:$X$4))=0,0,((SUMIF($O$3:$X$3,U$60,$O144:$X144))/SUMIF($O$3:$X$3,U$60,$O$4:$X$4)))</f>
        <v>0</v>
      </c>
      <c r="V95" s="199" t="n">
        <f aca="false">IF((SUMIF($O$3:$X$3,V$60,$O$4:$X$4))=0,0,((SUMIF($O$3:$X$3,V$60,$O144:$X144))/SUMIF($O$3:$X$3,V$60,$O$4:$X$4)))</f>
        <v>0</v>
      </c>
      <c r="W95" s="199" t="n">
        <f aca="false">IF((SUMIF($O$3:$X$3,W$60,$O$4:$X$4))=0,0,((SUMIF($O$3:$X$3,W$60,$O144:$X144))/SUMIF($O$3:$X$3,W$60,$O$4:$X$4)))</f>
        <v>0</v>
      </c>
      <c r="X95" s="200" t="n">
        <f aca="false">IF((SUMIF($O$3:$X$3,X$60,$O$4:$X$4))=0,0,((SUMIF($O$3:$X$3,X$60,$O144:$X144))/SUMIF($O$3:$X$3,X$60,$O$4:$X$4)))</f>
        <v>0</v>
      </c>
      <c r="Y95" s="194" t="str">
        <f aca="false">N95</f>
        <v>Alumno34</v>
      </c>
      <c r="Z95" s="198" t="n">
        <f aca="false">IF((SUMIF($Z$3:$AI$3,Z$60,$Z$4:$AI$4))=0,0,((SUMIF($Z$3:$AI$3,Z$60,$Z144:$AI144))/SUMIF($Z$3:$AI$3,Z$60,$Z$4:$AI$4)))</f>
        <v>0</v>
      </c>
      <c r="AA95" s="199" t="n">
        <f aca="false">IF((SUMIF($Z$3:$AI$3,AA$60,$Z$4:$AI$4))=0,0,((SUMIF($Z$3:$AI$3,AA$60,$Z144:$AI144))/SUMIF($Z$3:$AI$3,AA$60,$Z$4:$AI$4)))</f>
        <v>0</v>
      </c>
      <c r="AB95" s="199" t="n">
        <f aca="false">IF((SUMIF($Z$3:$AI$3,AB$60,$Z$4:$AI$4))=0,0,((SUMIF($Z$3:$AI$3,AB$60,$Z144:$AI144))/SUMIF($Z$3:$AI$3,AB$60,$Z$4:$AI$4)))</f>
        <v>0</v>
      </c>
      <c r="AC95" s="199" t="n">
        <f aca="false">IF((SUMIF($Z$3:$AI$3,AC$60,$Z$4:$AI$4))=0,0,((SUMIF($Z$3:$AI$3,AC$60,$Z144:$AI144))/SUMIF($Z$3:$AI$3,AC$60,$Z$4:$AI$4)))</f>
        <v>0</v>
      </c>
      <c r="AD95" s="199" t="n">
        <f aca="false">IF((SUMIF($Z$3:$AI$3,AD$60,$Z$4:$AI$4))=0,0,((SUMIF($Z$3:$AI$3,AD$60,$Z144:$AI144))/SUMIF($Z$3:$AI$3,AD$60,$Z$4:$AI$4)))</f>
        <v>0</v>
      </c>
      <c r="AE95" s="199" t="n">
        <f aca="false">IF((SUMIF($Z$3:$AI$3,AE$60,$Z$4:$AI$4))=0,0,((SUMIF($Z$3:$AI$3,AE$60,$Z144:$AI144))/SUMIF($Z$3:$AI$3,AE$60,$Z$4:$AI$4)))</f>
        <v>0</v>
      </c>
      <c r="AF95" s="199" t="n">
        <f aca="false">IF((SUMIF($Z$3:$AI$3,AF$60,$Z$4:$AI$4))=0,0,((SUMIF($Z$3:$AI$3,AF$60,$Z144:$AI144))/SUMIF($Z$3:$AI$3,AF$60,$Z$4:$AI$4)))</f>
        <v>0</v>
      </c>
      <c r="AG95" s="199" t="n">
        <f aca="false">IF((SUMIF($Z$3:$AI$3,AG$60,$Z$4:$AI$4))=0,0,((SUMIF($Z$3:$AI$3,AG$60,$Z144:$AI144))/SUMIF($Z$3:$AI$3,AG$60,$Z$4:$AI$4)))</f>
        <v>0</v>
      </c>
      <c r="AH95" s="199" t="n">
        <f aca="false">IF((SUMIF($Z$3:$AI$3,AH$60,$Z$4:$AI$4))=0,0,((SUMIF($Z$3:$AI$3,AH$60,$Z144:$AI144))/SUMIF($Z$3:$AI$3,AH$60,$Z$4:$AI$4)))</f>
        <v>0</v>
      </c>
      <c r="AI95" s="200" t="n">
        <f aca="false">IF((SUMIF($Z$3:$AI$3,AI$60,$Z$4:$AI$4))=0,0,((SUMIF($Z$3:$AI$3,AI$60,$Z144:$AI144))/SUMIF($Z$3:$AI$3,AI$60,$Z$4:$AI$4)))</f>
        <v>0</v>
      </c>
      <c r="AJ95" s="194" t="str">
        <f aca="false">Y95</f>
        <v>Alumno34</v>
      </c>
      <c r="AK95" s="198" t="n">
        <f aca="false">IF((SUMIF($AK$3:$AT$3,AK$60,$AK$4:$AT$4))=0,0,((SUMIF($AK$3:$AT$3,AK$60,$AK144:$AT144))/SUMIF($AK$3:$AT$3,AK$60,$AK$4:$AT$4)))</f>
        <v>0</v>
      </c>
      <c r="AL95" s="199" t="n">
        <f aca="false">IF((SUMIF($AK$3:$AT$3,AL$60,$AK$4:$AT$4))=0,0,((SUMIF($AK$3:$AT$3,AL$60,$AK144:$AT144))/SUMIF($AK$3:$AT$3,AL$60,$AK$4:$AT$4)))</f>
        <v>0</v>
      </c>
      <c r="AM95" s="199" t="n">
        <f aca="false">IF((SUMIF($AK$3:$AT$3,AM$60,$AK$4:$AT$4))=0,0,((SUMIF($AK$3:$AT$3,AM$60,$AK144:$AT144))/SUMIF($AK$3:$AT$3,AM$60,$AK$4:$AT$4)))</f>
        <v>0</v>
      </c>
      <c r="AN95" s="199" t="n">
        <f aca="false">IF((SUMIF($AK$3:$AT$3,AN$60,$AK$4:$AT$4))=0,0,((SUMIF($AK$3:$AT$3,AN$60,$AK144:$AT144))/SUMIF($AK$3:$AT$3,AN$60,$AK$4:$AT$4)))</f>
        <v>0</v>
      </c>
      <c r="AO95" s="199" t="n">
        <f aca="false">IF((SUMIF($AK$3:$AT$3,AO$60,$AK$4:$AT$4))=0,0,((SUMIF($AK$3:$AT$3,AO$60,$AK144:$AT144))/SUMIF($AK$3:$AT$3,AO$60,$AK$4:$AT$4)))</f>
        <v>0</v>
      </c>
      <c r="AP95" s="199" t="n">
        <f aca="false">IF((SUMIF($AK$3:$AT$3,AP$60,$AK$4:$AT$4))=0,0,((SUMIF($AK$3:$AT$3,AP$60,$AK144:$AT144))/SUMIF($AK$3:$AT$3,AP$60,$AK$4:$AT$4)))</f>
        <v>0</v>
      </c>
      <c r="AQ95" s="199" t="n">
        <f aca="false">IF((SUMIF($AK$3:$AT$3,AQ$60,$AK$4:$AT$4))=0,0,((SUMIF($AK$3:$AT$3,AQ$60,$AK144:$AT144))/SUMIF($AK$3:$AT$3,AQ$60,$AK$4:$AT$4)))</f>
        <v>0</v>
      </c>
      <c r="AR95" s="199" t="n">
        <f aca="false">IF((SUMIF($AK$3:$AT$3,AR$60,$AK$4:$AT$4))=0,0,((SUMIF($AK$3:$AT$3,AR$60,$AK144:$AT144))/SUMIF($AK$3:$AT$3,AR$60,$AK$4:$AT$4)))</f>
        <v>0</v>
      </c>
      <c r="AS95" s="199" t="n">
        <f aca="false">IF((SUMIF($AK$3:$AT$3,AS$60,$AK$4:$AT$4))=0,0,((SUMIF($AK$3:$AT$3,AS$60,$AK144:$AT144))/SUMIF($AK$3:$AT$3,AS$60,$AK$4:$AT$4)))</f>
        <v>0</v>
      </c>
      <c r="AT95" s="200" t="n">
        <f aca="false">IF((SUMIF($AK$3:$AT$3,AT$60,$AK$4:$AT$4))=0,0,((SUMIF($AK$3:$AT$3,AT$60,$AK144:$AT144))/SUMIF($AK$3:$AT$3,AT$60,$AK$4:$AT$4)))</f>
        <v>0</v>
      </c>
      <c r="AU95" s="194" t="str">
        <f aca="false">AJ95</f>
        <v>Alumno34</v>
      </c>
      <c r="AV95" s="198" t="n">
        <f aca="false">IF((SUMIF($AV$3:$BE$3,AV$60,$AV$4:$BE$4))=0,0,((SUMIF($AV$3:$BE$3,AV$60,$AV144:$BE144))/SUMIF($AV$3:$BE$3,AV$60,$AV$4:$BE$4)))</f>
        <v>0</v>
      </c>
      <c r="AW95" s="199" t="n">
        <f aca="false">IF((SUMIF($AV$3:$BE$3,AW$60,$AV$4:$BE$4))=0,0,((SUMIF($AV$3:$BE$3,AW$60,$AV144:$BE144))/SUMIF($AV$3:$BE$3,AW$60,$AV$4:$BE$4)))</f>
        <v>0</v>
      </c>
      <c r="AX95" s="199" t="n">
        <f aca="false">IF((SUMIF($AV$3:$BE$3,AX$60,$AV$4:$BE$4))=0,0,((SUMIF($AV$3:$BE$3,AX$60,$AV144:$BE144))/SUMIF($AV$3:$BE$3,AX$60,$AV$4:$BE$4)))</f>
        <v>0</v>
      </c>
      <c r="AY95" s="199" t="n">
        <f aca="false">IF((SUMIF($AV$3:$BE$3,AY$60,$AV$4:$BE$4))=0,0,((SUMIF($AV$3:$BE$3,AY$60,$AV144:$BE144))/SUMIF($AV$3:$BE$3,AY$60,$AV$4:$BE$4)))</f>
        <v>0</v>
      </c>
      <c r="AZ95" s="199" t="n">
        <f aca="false">IF((SUMIF($AV$3:$BE$3,AZ$60,$AV$4:$BE$4))=0,0,((SUMIF($AV$3:$BE$3,AZ$60,$AV144:$BE144))/SUMIF($AV$3:$BE$3,AZ$60,$AV$4:$BE$4)))</f>
        <v>0</v>
      </c>
      <c r="BA95" s="199" t="n">
        <f aca="false">IF((SUMIF($AV$3:$BE$3,BA$60,$AV$4:$BE$4))=0,0,((SUMIF($AV$3:$BE$3,BA$60,$AV144:$BE144))/SUMIF($AV$3:$BE$3,BA$60,$AV$4:$BE$4)))</f>
        <v>0</v>
      </c>
      <c r="BB95" s="199" t="n">
        <f aca="false">IF((SUMIF($AV$3:$BE$3,BB$60,$AV$4:$BE$4))=0,0,((SUMIF($AV$3:$BE$3,BB$60,$AV144:$BE144))/SUMIF($AV$3:$BE$3,BB$60,$AV$4:$BE$4)))</f>
        <v>0</v>
      </c>
      <c r="BC95" s="199" t="n">
        <f aca="false">IF((SUMIF($AV$3:$BE$3,BC$60,$AV$4:$BE$4))=0,0,((SUMIF($AV$3:$BE$3,BC$60,$AV144:$BE144))/SUMIF($AV$3:$BE$3,BC$60,$AV$4:$BE$4)))</f>
        <v>0</v>
      </c>
      <c r="BD95" s="199" t="n">
        <f aca="false">IF((SUMIF($AV$3:$BE$3,BD$60,$AV$4:$BE$4))=0,0,((SUMIF($AV$3:$BE$3,BD$60,$AV144:$BE144))/SUMIF($AV$3:$BE$3,BD$60,$AV$4:$BE$4)))</f>
        <v>0</v>
      </c>
      <c r="BE95" s="200" t="n">
        <f aca="false">IF((SUMIF($AV$3:$BE$3,BE$60,$AV$4:$BE$4))=0,0,((SUMIF($AV$3:$BE$3,BE$60,$AV144:$BE144))/SUMIF($AV$3:$BE$3,BE$60,$AV$4:$BE$4)))</f>
        <v>0</v>
      </c>
      <c r="BF95" s="194" t="str">
        <f aca="false">AU95</f>
        <v>Alumno34</v>
      </c>
      <c r="BG95" s="198" t="n">
        <f aca="false">IF((SUMIF($BG$3:$BP$3,BG$60,$BG$4:$BP$4))=0,0,((SUMIF($BG$3:$BP$3,BG$60,$BG144:$BP144))/SUMIF($BG$3:$BP$3,BG$60,$BG$4:$BP$4)))</f>
        <v>0</v>
      </c>
      <c r="BH95" s="199" t="n">
        <f aca="false">IF((SUMIF($BG$3:$BP$3,BH$60,$BG$4:$BP$4))=0,0,((SUMIF($BG$3:$BP$3,BH$60,$BG144:$BP144))/SUMIF($BG$3:$BP$3,BH$60,$BG$4:$BP$4)))</f>
        <v>0</v>
      </c>
      <c r="BI95" s="199" t="n">
        <f aca="false">IF((SUMIF($BG$3:$BP$3,BI$60,$BG$4:$BP$4))=0,0,((SUMIF($BG$3:$BP$3,BI$60,$BG144:$BP144))/SUMIF($BG$3:$BP$3,BI$60,$BG$4:$BP$4)))</f>
        <v>0</v>
      </c>
      <c r="BJ95" s="199" t="n">
        <f aca="false">IF((SUMIF($BG$3:$BP$3,BJ$60,$BG$4:$BP$4))=0,0,((SUMIF($BG$3:$BP$3,BJ$60,$BG144:$BP144))/SUMIF($BG$3:$BP$3,BJ$60,$BG$4:$BP$4)))</f>
        <v>0</v>
      </c>
      <c r="BK95" s="199" t="n">
        <f aca="false">IF((SUMIF($BG$3:$BP$3,BK$60,$BG$4:$BP$4))=0,0,((SUMIF($BG$3:$BP$3,BK$60,$BG144:$BP144))/SUMIF($BG$3:$BP$3,BK$60,$BG$4:$BP$4)))</f>
        <v>0</v>
      </c>
      <c r="BL95" s="199" t="n">
        <f aca="false">IF((SUMIF($BG$3:$BP$3,BL$60,$BG$4:$BP$4))=0,0,((SUMIF($BG$3:$BP$3,BL$60,$BG144:$BP144))/SUMIF($BG$3:$BP$3,BL$60,$BG$4:$BP$4)))</f>
        <v>0</v>
      </c>
      <c r="BM95" s="199" t="n">
        <f aca="false">IF((SUMIF($BG$3:$BP$3,BM$60,$BG$4:$BP$4))=0,0,((SUMIF($BG$3:$BP$3,BM$60,$BG144:$BP144))/SUMIF($BG$3:$BP$3,BM$60,$BG$4:$BP$4)))</f>
        <v>0</v>
      </c>
      <c r="BN95" s="199" t="n">
        <f aca="false">IF((SUMIF($BG$3:$BP$3,BN$60,$BG$4:$BP$4))=0,0,((SUMIF($BG$3:$BP$3,BN$60,$BG144:$BP144))/SUMIF($BG$3:$BP$3,BN$60,$BG$4:$BP$4)))</f>
        <v>0</v>
      </c>
      <c r="BO95" s="199" t="n">
        <f aca="false">IF((SUMIF($BG$3:$BP$3,BO$60,$BG$4:$BP$4))=0,0,((SUMIF($BG$3:$BP$3,BO$60,$BG144:$BP144))/SUMIF($BG$3:$BP$3,BO$60,$BG$4:$BP$4)))</f>
        <v>0</v>
      </c>
      <c r="BP95" s="200" t="n">
        <f aca="false">IF((SUMIF($BG$3:$BP$3,BP$60,$BG$4:$BP$4))=0,0,((SUMIF($BG$3:$BP$3,BP$60,$BG144:$BP144))/SUMIF($BG$3:$BP$3,BP$60,$BG$4:$BP$4)))</f>
        <v>0</v>
      </c>
      <c r="BQ95" s="194" t="str">
        <f aca="false">BF95</f>
        <v>Alumno34</v>
      </c>
      <c r="BR95" s="198" t="n">
        <f aca="false">IF((SUMIF($BR$3:$CA$3,BR$60,$BR$4:$CA$4))=0,0,((SUMIF($BR$3:$CA$3,BR$60,$BR144:$CA144))/SUMIF($BR$3:$CA$3,BR$60,$BR$4:$CA$4)))</f>
        <v>0</v>
      </c>
      <c r="BS95" s="199" t="n">
        <f aca="false">IF((SUMIF($BR$3:$CA$3,BS$60,$BR$4:$CA$4))=0,0,((SUMIF($BR$3:$CA$3,BS$60,$BR144:$CA144))/SUMIF($BR$3:$CA$3,BS$60,$BR$4:$CA$4)))</f>
        <v>0</v>
      </c>
      <c r="BT95" s="199" t="n">
        <f aca="false">IF((SUMIF($BR$3:$CA$3,BT$60,$BR$4:$CA$4))=0,0,((SUMIF($BR$3:$CA$3,BT$60,$BR144:$CA144))/SUMIF($BR$3:$CA$3,BT$60,$BR$4:$CA$4)))</f>
        <v>0</v>
      </c>
      <c r="BU95" s="199" t="n">
        <f aca="false">IF((SUMIF($BR$3:$CA$3,BU$60,$BR$4:$CA$4))=0,0,((SUMIF($BR$3:$CA$3,BU$60,$BR144:$CA144))/SUMIF($BR$3:$CA$3,BU$60,$BR$4:$CA$4)))</f>
        <v>0</v>
      </c>
      <c r="BV95" s="199" t="n">
        <f aca="false">IF((SUMIF($BR$3:$CA$3,BV$60,$BR$4:$CA$4))=0,0,((SUMIF($BR$3:$CA$3,BV$60,$BR144:$CA144))/SUMIF($BR$3:$CA$3,BV$60,$BR$4:$CA$4)))</f>
        <v>0</v>
      </c>
      <c r="BW95" s="199" t="n">
        <f aca="false">IF((SUMIF($BR$3:$CA$3,BW$60,$BR$4:$CA$4))=0,0,((SUMIF($BR$3:$CA$3,BW$60,$BR144:$CA144))/SUMIF($BR$3:$CA$3,BW$60,$BR$4:$CA$4)))</f>
        <v>0</v>
      </c>
      <c r="BX95" s="199" t="n">
        <f aca="false">IF((SUMIF($BR$3:$CA$3,BX$60,$BR$4:$CA$4))=0,0,((SUMIF($BR$3:$CA$3,BX$60,$BR144:$CA144))/SUMIF($BR$3:$CA$3,BX$60,$BR$4:$CA$4)))</f>
        <v>0</v>
      </c>
      <c r="BY95" s="199" t="n">
        <f aca="false">IF((SUMIF($BR$3:$CA$3,BY$60,$BR$4:$CA$4))=0,0,((SUMIF($BR$3:$CA$3,BY$60,$BR144:$CA144))/SUMIF($BR$3:$CA$3,BY$60,$BR$4:$CA$4)))</f>
        <v>0</v>
      </c>
      <c r="BZ95" s="199" t="n">
        <f aca="false">IF((SUMIF($BR$3:$CA$3,BZ$60,$BR$4:$CA$4))=0,0,((SUMIF($BR$3:$CA$3,BZ$60,$BR144:$CA144))/SUMIF($BR$3:$CA$3,BZ$60,$BR$4:$CA$4)))</f>
        <v>0</v>
      </c>
      <c r="CA95" s="200" t="n">
        <f aca="false">IF((SUMIF($BR$3:$CA$3,CA$60,$BR$4:$CA$4))=0,0,((SUMIF($BR$3:$CA$3,CA$60,$BR144:$CA144))/SUMIF($BR$3:$CA$3,CA$60,$BR$4:$CA$4)))</f>
        <v>0</v>
      </c>
      <c r="CB95" s="194" t="str">
        <f aca="false">BQ95</f>
        <v>Alumno34</v>
      </c>
      <c r="CC95" s="198" t="n">
        <f aca="false">IF((SUMIF($CC$3:$CL$3,CC$60,$CC$4:$CL$4))=0,0,((SUMIF($CC$3:$CL$3,CC$60,$CC144:$CL144))/SUMIF($CC$3:$CL$3,CC$60,$CC$4:$CL$4)))</f>
        <v>0</v>
      </c>
      <c r="CD95" s="199" t="n">
        <f aca="false">IF((SUMIF($CC$3:$CL$3,CD$60,$CC$4:$CL$4))=0,0,((SUMIF($CC$3:$CL$3,CD$60,$CC144:$CL144))/SUMIF($CC$3:$CL$3,CD$60,$CC$4:$CL$4)))</f>
        <v>0</v>
      </c>
      <c r="CE95" s="199" t="n">
        <f aca="false">IF((SUMIF($CC$3:$CL$3,CE$60,$CC$4:$CL$4))=0,0,((SUMIF($CC$3:$CL$3,CE$60,$CC144:$CL144))/SUMIF($CC$3:$CL$3,CE$60,$CC$4:$CL$4)))</f>
        <v>0</v>
      </c>
      <c r="CF95" s="199" t="n">
        <f aca="false">IF((SUMIF($CC$3:$CL$3,CF$60,$CC$4:$CL$4))=0,0,((SUMIF($CC$3:$CL$3,CF$60,$CC144:$CL144))/SUMIF($CC$3:$CL$3,CF$60,$CC$4:$CL$4)))</f>
        <v>0</v>
      </c>
      <c r="CG95" s="199" t="n">
        <f aca="false">IF((SUMIF($CC$3:$CL$3,CG$60,$CC$4:$CL$4))=0,0,((SUMIF($CC$3:$CL$3,CG$60,$CC144:$CL144))/SUMIF($CC$3:$CL$3,CG$60,$CC$4:$CL$4)))</f>
        <v>0</v>
      </c>
      <c r="CH95" s="199" t="n">
        <f aca="false">IF((SUMIF($CC$3:$CL$3,CH$60,$CC$4:$CL$4))=0,0,((SUMIF($CC$3:$CL$3,CH$60,$CC144:$CL144))/SUMIF($CC$3:$CL$3,CH$60,$CC$4:$CL$4)))</f>
        <v>0</v>
      </c>
      <c r="CI95" s="199" t="n">
        <f aca="false">IF((SUMIF($CC$3:$CL$3,CI$60,$CC$4:$CL$4))=0,0,((SUMIF($CC$3:$CL$3,CI$60,$CC144:$CL144))/SUMIF($CC$3:$CL$3,CI$60,$CC$4:$CL$4)))</f>
        <v>0</v>
      </c>
      <c r="CJ95" s="199" t="n">
        <f aca="false">IF((SUMIF($CC$3:$CL$3,CJ$60,$CC$4:$CL$4))=0,0,((SUMIF($CC$3:$CL$3,CJ$60,$CC144:$CL144))/SUMIF($CC$3:$CL$3,CJ$60,$CC$4:$CL$4)))</f>
        <v>0</v>
      </c>
      <c r="CK95" s="199" t="n">
        <f aca="false">IF((SUMIF($CC$3:$CL$3,CK$60,$CC$4:$CL$4))=0,0,((SUMIF($CC$3:$CL$3,CK$60,$CC144:$CL144))/SUMIF($CC$3:$CL$3,CK$60,$CC$4:$CL$4)))</f>
        <v>0</v>
      </c>
      <c r="CL95" s="200" t="n">
        <f aca="false">IF((SUMIF($CC$3:$CL$3,CL$60,$CC$4:$CL$4))=0,0,((SUMIF($CC$3:$CL$3,CL$60,$CC144:$CL144))/SUMIF($CC$3:$CL$3,CL$60,$CC$4:$CL$4)))</f>
        <v>0</v>
      </c>
      <c r="CM95" s="194" t="str">
        <f aca="false">CB95</f>
        <v>Alumno34</v>
      </c>
      <c r="CN95" s="198" t="n">
        <f aca="false">IF((SUMIF($CN$3:$CW$3,CN$60,$CN$4:$CW$4))=0,0,((SUMIF($CN$3:$CW$3,CN$60,$CN144:$CW144))/SUMIF($CN$3:$CW$3,CN$60,$CN$4:$CW$4)))</f>
        <v>0</v>
      </c>
      <c r="CO95" s="199" t="n">
        <f aca="false">IF((SUMIF($CN$3:$CW$3,CO$60,$CN$4:$CW$4))=0,0,((SUMIF($CN$3:$CW$3,CO$60,$CN144:$CW144))/SUMIF($CN$3:$CW$3,CO$60,$CN$4:$CW$4)))</f>
        <v>0</v>
      </c>
      <c r="CP95" s="199" t="n">
        <f aca="false">IF((SUMIF($CN$3:$CW$3,CP$60,$CN$4:$CW$4))=0,0,((SUMIF($CN$3:$CW$3,CP$60,$CN144:$CW144))/SUMIF($CN$3:$CW$3,CP$60,$CN$4:$CW$4)))</f>
        <v>0</v>
      </c>
      <c r="CQ95" s="199" t="n">
        <f aca="false">IF((SUMIF($CN$3:$CW$3,CQ$60,$CN$4:$CW$4))=0,0,((SUMIF($CN$3:$CW$3,CQ$60,$CN144:$CW144))/SUMIF($CN$3:$CW$3,CQ$60,$CN$4:$CW$4)))</f>
        <v>0</v>
      </c>
      <c r="CR95" s="199" t="n">
        <f aca="false">IF((SUMIF($CN$3:$CW$3,CR$60,$CN$4:$CW$4))=0,0,((SUMIF($CN$3:$CW$3,CR$60,$CN144:$CW144))/SUMIF($CN$3:$CW$3,CR$60,$CN$4:$CW$4)))</f>
        <v>0</v>
      </c>
      <c r="CS95" s="199" t="n">
        <f aca="false">IF((SUMIF($CN$3:$CW$3,CS$60,$CN$4:$CW$4))=0,0,((SUMIF($CN$3:$CW$3,CS$60,$CN144:$CW144))/SUMIF($CN$3:$CW$3,CS$60,$CN$4:$CW$4)))</f>
        <v>0</v>
      </c>
      <c r="CT95" s="199" t="n">
        <f aca="false">IF((SUMIF($CN$3:$CW$3,CT$60,$CN$4:$CW$4))=0,0,((SUMIF($CN$3:$CW$3,CT$60,$CN144:$CW144))/SUMIF($CN$3:$CW$3,CT$60,$CN$4:$CW$4)))</f>
        <v>0</v>
      </c>
      <c r="CU95" s="199" t="n">
        <f aca="false">IF((SUMIF($CN$3:$CW$3,CU$60,$CN$4:$CW$4))=0,0,((SUMIF($CN$3:$CW$3,CU$60,$CN144:$CW144))/SUMIF($CN$3:$CW$3,CU$60,$CN$4:$CW$4)))</f>
        <v>0</v>
      </c>
      <c r="CV95" s="199" t="n">
        <f aca="false">IF((SUMIF($CN$3:$CW$3,CV$60,$CN$4:$CW$4))=0,0,((SUMIF($CN$3:$CW$3,CV$60,$CN144:$CW144))/SUMIF($CN$3:$CW$3,CV$60,$CN$4:$CW$4)))</f>
        <v>0</v>
      </c>
      <c r="CW95" s="200" t="n">
        <f aca="false">IF((SUMIF($CN$3:$CW$3,CW$60,$CN$4:$CW$4))=0,0,((SUMIF($CN$3:$CW$3,CW$60,$CN144:$CW144))/SUMIF($CN$3:$CW$3,CW$60,$CN$4:$CW$4)))</f>
        <v>0</v>
      </c>
      <c r="CX95" s="194" t="str">
        <f aca="false">CM95</f>
        <v>Alumno34</v>
      </c>
      <c r="CY95" s="198" t="n">
        <f aca="false">IF((SUMIF($CY$3:$DH$3,CY$60,$CY$4:$DH$4))=0,0,((SUMIF($CY$3:$DH$3,CY$60,$CY144:$DH144))/SUMIF($CY$3:$DH$3,CY$60,$CY$4:$DH$4)))</f>
        <v>0</v>
      </c>
      <c r="CZ95" s="199" t="n">
        <f aca="false">IF((SUMIF($CY$3:$DH$3,CZ$60,$CY$4:$DH$4))=0,0,((SUMIF($CY$3:$DH$3,CZ$60,$CY144:$DH144))/SUMIF($CY$3:$DH$3,CZ$60,$CY$4:$DH$4)))</f>
        <v>0</v>
      </c>
      <c r="DA95" s="199" t="n">
        <f aca="false">IF((SUMIF($CY$3:$DH$3,DA$60,$CY$4:$DH$4))=0,0,((SUMIF($CY$3:$DH$3,DA$60,$CY144:$DH144))/SUMIF($CY$3:$DH$3,DA$60,$CY$4:$DH$4)))</f>
        <v>0</v>
      </c>
      <c r="DB95" s="199" t="n">
        <f aca="false">IF((SUMIF($CY$3:$DH$3,DB$60,$CY$4:$DH$4))=0,0,((SUMIF($CY$3:$DH$3,DB$60,$CY144:$DH144))/SUMIF($CY$3:$DH$3,DB$60,$CY$4:$DH$4)))</f>
        <v>0</v>
      </c>
      <c r="DC95" s="199" t="n">
        <f aca="false">IF((SUMIF($CY$3:$DH$3,DC$60,$CY$4:$DH$4))=0,0,((SUMIF($CY$3:$DH$3,DC$60,$CY144:$DH144))/SUMIF($CY$3:$DH$3,DC$60,$CY$4:$DH$4)))</f>
        <v>0</v>
      </c>
      <c r="DD95" s="199" t="n">
        <f aca="false">IF((SUMIF($CY$3:$DH$3,DD$60,$CY$4:$DH$4))=0,0,((SUMIF($CY$3:$DH$3,DD$60,$CY144:$DH144))/SUMIF($CY$3:$DH$3,DD$60,$CY$4:$DH$4)))</f>
        <v>0</v>
      </c>
      <c r="DE95" s="199" t="n">
        <f aca="false">IF((SUMIF($CY$3:$DH$3,DE$60,$CY$4:$DH$4))=0,0,((SUMIF($CY$3:$DH$3,DE$60,$CY144:$DH144))/SUMIF($CY$3:$DH$3,DE$60,$CY$4:$DH$4)))</f>
        <v>0</v>
      </c>
      <c r="DF95" s="199" t="n">
        <f aca="false">IF((SUMIF($CY$3:$DH$3,DF$60,$CY$4:$DH$4))=0,0,((SUMIF($CY$3:$DH$3,DF$60,$CY144:$DH144))/SUMIF($CY$3:$DH$3,DF$60,$CY$4:$DH$4)))</f>
        <v>0</v>
      </c>
      <c r="DG95" s="199" t="n">
        <f aca="false">IF((SUMIF($CY$3:$DH$3,DG$60,$CY$4:$DH$4))=0,0,((SUMIF($CY$3:$DH$3,DG$60,$CY144:$DH144))/SUMIF($CY$3:$DH$3,DG$60,$CY$4:$DH$4)))</f>
        <v>0</v>
      </c>
      <c r="DH95" s="200" t="n">
        <f aca="false">IF((SUMIF($CY$3:$DH$3,DH$60,$CY$4:$DH$4))=0,0,((SUMIF($CY$3:$DH$3,DH$60,$CY144:$DH144))/SUMIF($CY$3:$DH$3,DH$60,$CY$4:$DH$4)))</f>
        <v>0</v>
      </c>
      <c r="DI95" s="194" t="str">
        <f aca="false">CX95</f>
        <v>Alumno34</v>
      </c>
      <c r="DJ95" s="198" t="n">
        <f aca="false">IF((SUMIF($DJ$3:$DS$3,DJ$60,$DJ$4:$DS$4))=0,0,((SUMIF($DJ$3:$DS$3,DJ$60,$DJ144:$DS144))/SUMIF($DJ$3:$DS$3,DJ$60,$DJ$4:$DS$4)))</f>
        <v>0</v>
      </c>
      <c r="DK95" s="199" t="n">
        <f aca="false">IF((SUMIF($DJ$3:$DS$3,DK$60,$DJ$4:$DS$4))=0,0,((SUMIF($DJ$3:$DS$3,DK$60,$DJ144:$DS144))/SUMIF($DJ$3:$DS$3,DK$60,$DJ$4:$DS$4)))</f>
        <v>0</v>
      </c>
      <c r="DL95" s="199" t="n">
        <f aca="false">IF((SUMIF($DJ$3:$DS$3,DL$60,$DJ$4:$DS$4))=0,0,((SUMIF($DJ$3:$DS$3,DL$60,$DJ144:$DS144))/SUMIF($DJ$3:$DS$3,DL$60,$DJ$4:$DS$4)))</f>
        <v>0</v>
      </c>
      <c r="DM95" s="199" t="n">
        <f aca="false">IF((SUMIF($DJ$3:$DS$3,DM$60,$DJ$4:$DS$4))=0,0,((SUMIF($DJ$3:$DS$3,DM$60,$DJ144:$DS144))/SUMIF($DJ$3:$DS$3,DM$60,$DJ$4:$DS$4)))</f>
        <v>0</v>
      </c>
      <c r="DN95" s="199" t="n">
        <f aca="false">IF((SUMIF($DJ$3:$DS$3,DN$60,$DJ$4:$DS$4))=0,0,((SUMIF($DJ$3:$DS$3,DN$60,$DJ144:$DS144))/SUMIF($DJ$3:$DS$3,DN$60,$DJ$4:$DS$4)))</f>
        <v>0</v>
      </c>
      <c r="DO95" s="199" t="n">
        <f aca="false">IF((SUMIF($DJ$3:$DS$3,DO$60,$DJ$4:$DS$4))=0,0,((SUMIF($DJ$3:$DS$3,DO$60,$DJ144:$DS144))/SUMIF($DJ$3:$DS$3,DO$60,$DJ$4:$DS$4)))</f>
        <v>0</v>
      </c>
      <c r="DP95" s="199" t="n">
        <f aca="false">IF((SUMIF($DJ$3:$DS$3,DP$60,$DJ$4:$DS$4))=0,0,((SUMIF($DJ$3:$DS$3,DP$60,$DJ144:$DS144))/SUMIF($DJ$3:$DS$3,DP$60,$DJ$4:$DS$4)))</f>
        <v>0</v>
      </c>
      <c r="DQ95" s="199" t="n">
        <f aca="false">IF((SUMIF($DJ$3:$DS$3,DQ$60,$DJ$4:$DS$4))=0,0,((SUMIF($DJ$3:$DS$3,DQ$60,$DJ144:$DS144))/SUMIF($DJ$3:$DS$3,DQ$60,$DJ$4:$DS$4)))</f>
        <v>0</v>
      </c>
      <c r="DR95" s="199" t="n">
        <f aca="false">IF((SUMIF($DJ$3:$DS$3,DR$60,$DJ$4:$DS$4))=0,0,((SUMIF($DJ$3:$DS$3,DR$60,$DJ144:$DS144))/SUMIF($DJ$3:$DS$3,DR$60,$DJ$4:$DS$4)))</f>
        <v>0</v>
      </c>
      <c r="DS95" s="200" t="n">
        <f aca="false">IF((SUMIF($DJ$3:$DS$3,DS$60,$DJ$4:$DS$4))=0,0,((SUMIF($DJ$3:$DS$3,DS$60,$DJ144:$DS144))/SUMIF($DJ$3:$DS$3,DS$60,$DJ$4:$DS$4)))</f>
        <v>0</v>
      </c>
      <c r="DT95" s="194" t="str">
        <f aca="false">DI95</f>
        <v>Alumno34</v>
      </c>
      <c r="DU95" s="198" t="n">
        <f aca="false">IF((SUMIF($DU$3:$ED$3,DU$60,$DU$4:$ED$4))=0,0,((SUMIF($DU$3:$ED$3,DU$60,$DU144:$ED144))/SUMIF($DU$3:$ED$3,DU$60,$DU$4:$ED$4)))</f>
        <v>0</v>
      </c>
      <c r="DV95" s="199" t="n">
        <f aca="false">IF((SUMIF($DU$3:$ED$3,DV$60,$DU$4:$ED$4))=0,0,((SUMIF($DU$3:$ED$3,DV$60,$DU144:$ED144))/SUMIF($DU$3:$ED$3,DV$60,$DU$4:$ED$4)))</f>
        <v>0</v>
      </c>
      <c r="DW95" s="199" t="n">
        <f aca="false">IF((SUMIF($DU$3:$ED$3,DW$60,$DU$4:$ED$4))=0,0,((SUMIF($DU$3:$ED$3,DW$60,$DU144:$ED144))/SUMIF($DU$3:$ED$3,DW$60,$DU$4:$ED$4)))</f>
        <v>0</v>
      </c>
      <c r="DX95" s="199" t="n">
        <f aca="false">IF((SUMIF($DU$3:$ED$3,DX$60,$DU$4:$ED$4))=0,0,((SUMIF($DU$3:$ED$3,DX$60,$DU144:$ED144))/SUMIF($DU$3:$ED$3,DX$60,$DU$4:$ED$4)))</f>
        <v>0</v>
      </c>
      <c r="DY95" s="199" t="n">
        <f aca="false">IF((SUMIF($DU$3:$ED$3,DY$60,$DU$4:$ED$4))=0,0,((SUMIF($DU$3:$ED$3,DY$60,$DU144:$ED144))/SUMIF($DU$3:$ED$3,DY$60,$DU$4:$ED$4)))</f>
        <v>0</v>
      </c>
      <c r="DZ95" s="199" t="n">
        <f aca="false">IF((SUMIF($DU$3:$ED$3,DZ$60,$DU$4:$ED$4))=0,0,((SUMIF($DU$3:$ED$3,DZ$60,$DU144:$ED144))/SUMIF($DU$3:$ED$3,DZ$60,$DU$4:$ED$4)))</f>
        <v>0</v>
      </c>
      <c r="EA95" s="199" t="n">
        <f aca="false">IF((SUMIF($DU$3:$ED$3,EA$60,$DU$4:$ED$4))=0,0,((SUMIF($DU$3:$ED$3,EA$60,$DU144:$ED144))/SUMIF($DU$3:$ED$3,EA$60,$DU$4:$ED$4)))</f>
        <v>0</v>
      </c>
      <c r="EB95" s="199" t="n">
        <f aca="false">IF((SUMIF($DU$3:$ED$3,EB$60,$DU$4:$ED$4))=0,0,((SUMIF($DU$3:$ED$3,EB$60,$DU144:$ED144))/SUMIF($DU$3:$ED$3,EB$60,$DU$4:$ED$4)))</f>
        <v>0</v>
      </c>
      <c r="EC95" s="199" t="n">
        <f aca="false">IF((SUMIF($DU$3:$ED$3,EC$60,$DU$4:$ED$4))=0,0,((SUMIF($DU$3:$ED$3,EC$60,$DU144:$ED144))/SUMIF($DU$3:$ED$3,EC$60,$DU$4:$ED$4)))</f>
        <v>0</v>
      </c>
      <c r="ED95" s="200" t="n">
        <f aca="false">IF((SUMIF($DU$3:$ED$3,ED$60,$DU$4:$ED$4))=0,0,((SUMIF($DU$3:$ED$3,ED$60,$DU144:$ED144))/SUMIF($DU$3:$ED$3,ED$60,$DU$4:$ED$4)))</f>
        <v>0</v>
      </c>
      <c r="EE95" s="194" t="str">
        <f aca="false">DT95</f>
        <v>Alumno34</v>
      </c>
      <c r="EF95" s="198" t="n">
        <f aca="false">IF((SUMIF($EF$3:$EO$3,EF$60,$EF$4:$EO$4))=0,0,((SUMIF($EF$3:$EO$3,EF$60,$EF144:$EO144))/SUMIF($EF$3:$EO$3,EF$60,$EF$4:$EO$4)))</f>
        <v>0</v>
      </c>
      <c r="EG95" s="199" t="n">
        <f aca="false">IF((SUMIF($EF$3:$EO$3,EG$60,$EF$4:$EO$4))=0,0,((SUMIF($EF$3:$EO$3,EG$60,$EF144:$EO144))/SUMIF($EF$3:$EO$3,EG$60,$EF$4:$EO$4)))</f>
        <v>0</v>
      </c>
      <c r="EH95" s="199" t="n">
        <f aca="false">IF((SUMIF($EF$3:$EO$3,EH$60,$EF$4:$EO$4))=0,0,((SUMIF($EF$3:$EO$3,EH$60,$EF144:$EO144))/SUMIF($EF$3:$EO$3,EH$60,$EF$4:$EO$4)))</f>
        <v>0</v>
      </c>
      <c r="EI95" s="199" t="n">
        <f aca="false">IF((SUMIF($EF$3:$EO$3,EI$60,$EF$4:$EO$4))=0,0,((SUMIF($EF$3:$EO$3,EI$60,$EF144:$EO144))/SUMIF($EF$3:$EO$3,EI$60,$EF$4:$EO$4)))</f>
        <v>0</v>
      </c>
      <c r="EJ95" s="199" t="n">
        <f aca="false">IF((SUMIF($EF$3:$EO$3,EJ$60,$EF$4:$EO$4))=0,0,((SUMIF($EF$3:$EO$3,EJ$60,$EF144:$EO144))/SUMIF($EF$3:$EO$3,EJ$60,$EF$4:$EO$4)))</f>
        <v>0</v>
      </c>
      <c r="EK95" s="199" t="n">
        <f aca="false">IF((SUMIF($EF$3:$EO$3,EK$60,$EF$4:$EO$4))=0,0,((SUMIF($EF$3:$EO$3,EK$60,$EF144:$EO144))/SUMIF($EF$3:$EO$3,EK$60,$EF$4:$EO$4)))</f>
        <v>0</v>
      </c>
      <c r="EL95" s="199" t="n">
        <f aca="false">IF((SUMIF($EF$3:$EO$3,EL$60,$EF$4:$EO$4))=0,0,((SUMIF($EF$3:$EO$3,EL$60,$EF144:$EO144))/SUMIF($EF$3:$EO$3,EL$60,$EF$4:$EO$4)))</f>
        <v>0</v>
      </c>
      <c r="EM95" s="199" t="n">
        <f aca="false">IF((SUMIF($EF$3:$EO$3,EM$60,$EF$4:$EO$4))=0,0,((SUMIF($EF$3:$EO$3,EM$60,$EF144:$EO144))/SUMIF($EF$3:$EO$3,EM$60,$EF$4:$EO$4)))</f>
        <v>0</v>
      </c>
      <c r="EN95" s="199" t="n">
        <f aca="false">IF((SUMIF($EF$3:$EO$3,EN$60,$EF$4:$EO$4))=0,0,((SUMIF($EF$3:$EO$3,EN$60,$EF144:$EO144))/SUMIF($EF$3:$EO$3,EN$60,$EF$4:$EO$4)))</f>
        <v>0</v>
      </c>
      <c r="EO95" s="200" t="n">
        <f aca="false">IF((SUMIF($EF$3:$EO$3,EO$60,$EF$4:$EO$4))=0,0,((SUMIF($EF$3:$EO$3,EO$60,$EF144:$EO144))/SUMIF($EF$3:$EO$3,EO$60,$EF$4:$EO$4)))</f>
        <v>0</v>
      </c>
      <c r="EP95" s="194" t="str">
        <f aca="false">EE95</f>
        <v>Alumno34</v>
      </c>
      <c r="EQ95" s="198" t="n">
        <f aca="false">IF((SUMIF($EQ$3:$EZ$3,EQ$60,$EQ$4:$EZ$4))=0,0,((SUMIF($EQ$3:$EZ$3,EQ$60,$EQ144:$EZ144))/SUMIF($EQ$3:$EZ$3,EQ$60,$EQ$4:$EZ$4)))</f>
        <v>0</v>
      </c>
      <c r="ER95" s="199" t="n">
        <f aca="false">IF((SUMIF($EQ$3:$EZ$3,ER$60,$EQ$4:$EZ$4))=0,0,((SUMIF($EQ$3:$EZ$3,ER$60,$EQ144:$EZ144))/SUMIF($EQ$3:$EZ$3,ER$60,$EQ$4:$EZ$4)))</f>
        <v>0</v>
      </c>
      <c r="ES95" s="199" t="n">
        <f aca="false">IF((SUMIF($EQ$3:$EZ$3,ES$60,$EQ$4:$EZ$4))=0,0,((SUMIF($EQ$3:$EZ$3,ES$60,$EQ144:$EZ144))/SUMIF($EQ$3:$EZ$3,ES$60,$EQ$4:$EZ$4)))</f>
        <v>0</v>
      </c>
      <c r="ET95" s="199" t="n">
        <f aca="false">IF((SUMIF($EQ$3:$EZ$3,ET$60,$EQ$4:$EZ$4))=0,0,((SUMIF($EQ$3:$EZ$3,ET$60,$EQ144:$EZ144))/SUMIF($EQ$3:$EZ$3,ET$60,$EQ$4:$EZ$4)))</f>
        <v>0</v>
      </c>
      <c r="EU95" s="199" t="n">
        <f aca="false">IF((SUMIF($EQ$3:$EZ$3,EU$60,$EQ$4:$EZ$4))=0,0,((SUMIF($EQ$3:$EZ$3,EU$60,$EQ144:$EZ144))/SUMIF($EQ$3:$EZ$3,EU$60,$EQ$4:$EZ$4)))</f>
        <v>0</v>
      </c>
      <c r="EV95" s="199" t="n">
        <f aca="false">IF((SUMIF($EQ$3:$EZ$3,EV$60,$EQ$4:$EZ$4))=0,0,((SUMIF($EQ$3:$EZ$3,EV$60,$EQ144:$EZ144))/SUMIF($EQ$3:$EZ$3,EV$60,$EQ$4:$EZ$4)))</f>
        <v>0</v>
      </c>
      <c r="EW95" s="199" t="n">
        <f aca="false">IF((SUMIF($EQ$3:$EZ$3,EW$60,$EQ$4:$EZ$4))=0,0,((SUMIF($EQ$3:$EZ$3,EW$60,$EQ144:$EZ144))/SUMIF($EQ$3:$EZ$3,EW$60,$EQ$4:$EZ$4)))</f>
        <v>0</v>
      </c>
      <c r="EX95" s="199" t="n">
        <f aca="false">IF((SUMIF($EQ$3:$EZ$3,EX$60,$EQ$4:$EZ$4))=0,0,((SUMIF($EQ$3:$EZ$3,EX$60,$EQ144:$EZ144))/SUMIF($EQ$3:$EZ$3,EX$60,$EQ$4:$EZ$4)))</f>
        <v>0</v>
      </c>
      <c r="EY95" s="199" t="n">
        <f aca="false">IF((SUMIF($EQ$3:$EZ$3,EY$60,$EQ$4:$EZ$4))=0,0,((SUMIF($EQ$3:$EZ$3,EY$60,$EQ144:$EZ144))/SUMIF($EQ$3:$EZ$3,EY$60,$EQ$4:$EZ$4)))</f>
        <v>0</v>
      </c>
      <c r="EZ95" s="200" t="n">
        <f aca="false">IF((SUMIF($EQ$3:$EZ$3,EZ$60,$EQ$4:$EZ$4))=0,0,((SUMIF($EQ$3:$EZ$3,EZ$60,$EQ144:$EZ144))/SUMIF($EQ$3:$EZ$3,EZ$60,$EQ$4:$EZ$4)))</f>
        <v>0</v>
      </c>
      <c r="FA95" s="194" t="str">
        <f aca="false">EP95</f>
        <v>Alumno34</v>
      </c>
      <c r="FB95" s="198" t="n">
        <f aca="false">IF((SUMIF($FB$3:$FK$3,FB$60,$FB$4:$FK$4))=0,0,((SUMIF($FB$3:$FK$3,FB$60,$FB144:$FK144))/SUMIF($FB$3:$FK$3,FB$60,$FB$4:$FK$4)))</f>
        <v>0</v>
      </c>
      <c r="FC95" s="199" t="n">
        <f aca="false">IF((SUMIF($FB$3:$FK$3,FC$60,$FB$4:$FK$4))=0,0,((SUMIF($FB$3:$FK$3,FC$60,$FB144:$FK144))/SUMIF($FB$3:$FK$3,FC$60,$FB$4:$FK$4)))</f>
        <v>0</v>
      </c>
      <c r="FD95" s="199" t="n">
        <f aca="false">IF((SUMIF($FB$3:$FK$3,FD$60,$FB$4:$FK$4))=0,0,((SUMIF($FB$3:$FK$3,FD$60,$FB144:$FK144))/SUMIF($FB$3:$FK$3,FD$60,$FB$4:$FK$4)))</f>
        <v>0</v>
      </c>
      <c r="FE95" s="199" t="n">
        <f aca="false">IF((SUMIF($FB$3:$FK$3,FE$60,$FB$4:$FK$4))=0,0,((SUMIF($FB$3:$FK$3,FE$60,$FB144:$FK144))/SUMIF($FB$3:$FK$3,FE$60,$FB$4:$FK$4)))</f>
        <v>0</v>
      </c>
      <c r="FF95" s="199" t="n">
        <f aca="false">IF((SUMIF($FB$3:$FK$3,FF$60,$FB$4:$FK$4))=0,0,((SUMIF($FB$3:$FK$3,FF$60,$FB144:$FK144))/SUMIF($FB$3:$FK$3,FF$60,$FB$4:$FK$4)))</f>
        <v>0</v>
      </c>
      <c r="FG95" s="199" t="n">
        <f aca="false">IF((SUMIF($FB$3:$FK$3,FG$60,$FB$4:$FK$4))=0,0,((SUMIF($FB$3:$FK$3,FG$60,$FB144:$FK144))/SUMIF($FB$3:$FK$3,FG$60,$FB$4:$FK$4)))</f>
        <v>0</v>
      </c>
      <c r="FH95" s="199" t="n">
        <f aca="false">IF((SUMIF($FB$3:$FK$3,FH$60,$FB$4:$FK$4))=0,0,((SUMIF($FB$3:$FK$3,FH$60,$FB144:$FK144))/SUMIF($FB$3:$FK$3,FH$60,$FB$4:$FK$4)))</f>
        <v>0</v>
      </c>
      <c r="FI95" s="199" t="n">
        <f aca="false">IF((SUMIF($FB$3:$FK$3,FI$60,$FB$4:$FK$4))=0,0,((SUMIF($FB$3:$FK$3,FI$60,$FB144:$FK144))/SUMIF($FB$3:$FK$3,FI$60,$FB$4:$FK$4)))</f>
        <v>0</v>
      </c>
      <c r="FJ95" s="199" t="n">
        <f aca="false">IF((SUMIF($FB$3:$FK$3,FJ$60,$FB$4:$FK$4))=0,0,((SUMIF($FB$3:$FK$3,FJ$60,$FB144:$FK144))/SUMIF($FB$3:$FK$3,FJ$60,$FB$4:$FK$4)))</f>
        <v>0</v>
      </c>
      <c r="FK95" s="200" t="n">
        <f aca="false">IF((SUMIF($FB$3:$FK$3,FK$60,$FB$4:$FK$4))=0,0,((SUMIF($FB$3:$FK$3,FK$60,$FB144:$FK144))/SUMIF($FB$3:$FK$3,FK$60,$FB$4:$FK$4)))</f>
        <v>0</v>
      </c>
      <c r="FL95" s="194" t="str">
        <f aca="false">FA95</f>
        <v>Alumno34</v>
      </c>
      <c r="FM95" s="198" t="n">
        <f aca="false">IF((SUMIF($FM$3:$FV$3,FM$60,$FM$4:$FV$4))=0,0,((SUMIF($FM$3:$FV$3,FM$60,$FM144:$FV144))/SUMIF($FM$3:$FV$3,FM$60,$FM$4:$FV$4)))</f>
        <v>0</v>
      </c>
      <c r="FN95" s="199" t="n">
        <f aca="false">IF((SUMIF($FM$3:$FV$3,FN$60,$FM$4:$FV$4))=0,0,((SUMIF($FM$3:$FV$3,FN$60,$FM144:$FV144))/SUMIF($FM$3:$FV$3,FN$60,$FM$4:$FV$4)))</f>
        <v>0</v>
      </c>
      <c r="FO95" s="199" t="n">
        <f aca="false">IF((SUMIF($FM$3:$FV$3,FO$60,$FM$4:$FV$4))=0,0,((SUMIF($FM$3:$FV$3,FO$60,$FM144:$FV144))/SUMIF($FM$3:$FV$3,FO$60,$FM$4:$FV$4)))</f>
        <v>0</v>
      </c>
      <c r="FP95" s="199" t="n">
        <f aca="false">IF((SUMIF($FM$3:$FV$3,FP$60,$FM$4:$FV$4))=0,0,((SUMIF($FM$3:$FV$3,FP$60,$FM144:$FV144))/SUMIF($FM$3:$FV$3,FP$60,$FM$4:$FV$4)))</f>
        <v>0</v>
      </c>
      <c r="FQ95" s="199" t="n">
        <f aca="false">IF((SUMIF($FM$3:$FV$3,FQ$60,$FM$4:$FV$4))=0,0,((SUMIF($FM$3:$FV$3,FQ$60,$FM144:$FV144))/SUMIF($FM$3:$FV$3,FQ$60,$FM$4:$FV$4)))</f>
        <v>0</v>
      </c>
      <c r="FR95" s="199" t="n">
        <f aca="false">IF((SUMIF($FM$3:$FV$3,FR$60,$FM$4:$FV$4))=0,0,((SUMIF($FM$3:$FV$3,FR$60,$FM144:$FV144))/SUMIF($FM$3:$FV$3,FR$60,$FM$4:$FV$4)))</f>
        <v>0</v>
      </c>
      <c r="FS95" s="199" t="n">
        <f aca="false">IF((SUMIF($FM$3:$FV$3,FS$60,$FM$4:$FV$4))=0,0,((SUMIF($FM$3:$FV$3,FS$60,$FM144:$FV144))/SUMIF($FM$3:$FV$3,FS$60,$FM$4:$FV$4)))</f>
        <v>0</v>
      </c>
      <c r="FT95" s="199" t="n">
        <f aca="false">IF((SUMIF($FM$3:$FV$3,FT$60,$FM$4:$FV$4))=0,0,((SUMIF($FM$3:$FV$3,FT$60,$FM144:$FV144))/SUMIF($FM$3:$FV$3,FT$60,$FM$4:$FV$4)))</f>
        <v>0</v>
      </c>
      <c r="FU95" s="199" t="n">
        <f aca="false">IF((SUMIF($FM$3:$FV$3,FU$60,$FM$4:$FV$4))=0,0,((SUMIF($FM$3:$FV$3,FU$60,$FM144:$FV144))/SUMIF($FM$3:$FV$3,FU$60,$FM$4:$FV$4)))</f>
        <v>0</v>
      </c>
      <c r="FV95" s="200" t="n">
        <f aca="false">IF((SUMIF($FM$3:$FV$3,FV$60,$FM$4:$FV$4))=0,0,((SUMIF($FM$3:$FV$3,FV$60,$FM144:$FV144))/SUMIF($FM$3:$FV$3,FV$60,$FM$4:$FV$4)))</f>
        <v>0</v>
      </c>
      <c r="FW95" s="194" t="str">
        <f aca="false">FL95</f>
        <v>Alumno34</v>
      </c>
      <c r="FX95" s="198" t="n">
        <f aca="false">IF((SUMIF($FX$3:$GG$3,FX$60,$FX$4:$GG$4))=0,0,((SUMIF($FX$3:$GG$3,FX$60,$FX144:$GG144))/SUMIF($FX$3:$GG$3,FX$60,$FX$4:$GG$4)))</f>
        <v>0</v>
      </c>
      <c r="FY95" s="199" t="n">
        <f aca="false">IF((SUMIF($FX$3:$GG$3,FY$60,$FX$4:$GG$4))=0,0,((SUMIF($FX$3:$GG$3,FY$60,$FX144:$GG144))/SUMIF($FX$3:$GG$3,FY$60,$FX$4:$GG$4)))</f>
        <v>0</v>
      </c>
      <c r="FZ95" s="199" t="n">
        <f aca="false">IF((SUMIF($FX$3:$GG$3,FZ$60,$FX$4:$GG$4))=0,0,((SUMIF($FX$3:$GG$3,FZ$60,$FX144:$GG144))/SUMIF($FX$3:$GG$3,FZ$60,$FX$4:$GG$4)))</f>
        <v>0</v>
      </c>
      <c r="GA95" s="199" t="n">
        <f aca="false">IF((SUMIF($FX$3:$GG$3,GA$60,$FX$4:$GG$4))=0,0,((SUMIF($FX$3:$GG$3,GA$60,$FX144:$GG144))/SUMIF($FX$3:$GG$3,GA$60,$FX$4:$GG$4)))</f>
        <v>0</v>
      </c>
      <c r="GB95" s="199" t="n">
        <f aca="false">IF((SUMIF($FX$3:$GG$3,GB$60,$FX$4:$GG$4))=0,0,((SUMIF($FX$3:$GG$3,GB$60,$FX144:$GG144))/SUMIF($FX$3:$GG$3,GB$60,$FX$4:$GG$4)))</f>
        <v>0</v>
      </c>
      <c r="GC95" s="199" t="n">
        <f aca="false">IF((SUMIF($FX$3:$GG$3,GC$60,$FX$4:$GG$4))=0,0,((SUMIF($FX$3:$GG$3,GC$60,$FX144:$GG144))/SUMIF($FX$3:$GG$3,GC$60,$FX$4:$GG$4)))</f>
        <v>0</v>
      </c>
      <c r="GD95" s="199" t="n">
        <f aca="false">IF((SUMIF($FX$3:$GG$3,GD$60,$FX$4:$GG$4))=0,0,((SUMIF($FX$3:$GG$3,GD$60,$FX144:$GG144))/SUMIF($FX$3:$GG$3,GD$60,$FX$4:$GG$4)))</f>
        <v>0</v>
      </c>
      <c r="GE95" s="199" t="n">
        <f aca="false">IF((SUMIF($FX$3:$GG$3,GE$60,$FX$4:$GG$4))=0,0,((SUMIF($FX$3:$GG$3,GE$60,$FX144:$GG144))/SUMIF($FX$3:$GG$3,GE$60,$FX$4:$GG$4)))</f>
        <v>0</v>
      </c>
      <c r="GF95" s="199" t="n">
        <f aca="false">IF((SUMIF($FX$3:$GG$3,GF$60,$FX$4:$GG$4))=0,0,((SUMIF($FX$3:$GG$3,GF$60,$FX144:$GG144))/SUMIF($FX$3:$GG$3,GF$60,$FX$4:$GG$4)))</f>
        <v>0</v>
      </c>
      <c r="GG95" s="200" t="n">
        <f aca="false">IF((SUMIF($FX$3:$GG$3,GG$60,$FX$4:$GG$4))=0,0,((SUMIF($FX$3:$GG$3,GG$60,$FX144:$GG144))/SUMIF($FX$3:$GG$3,GG$60,$FX$4:$GG$4)))</f>
        <v>0</v>
      </c>
      <c r="GH95" s="194" t="str">
        <f aca="false">FW95</f>
        <v>Alumno34</v>
      </c>
      <c r="GI95" s="198" t="n">
        <f aca="false">IF((SUMIF($GI$3:$GR$3,GI$60,$GI$4:$GR$4))=0,0,((SUMIF($GI$3:$GR$3,GI$60,$GI144:$GR144))/SUMIF($GI$3:$GR$3,GI$60,$GI$4:$GR$4)))</f>
        <v>0</v>
      </c>
      <c r="GJ95" s="199" t="n">
        <f aca="false">IF((SUMIF($GI$3:$GR$3,GJ$60,$GI$4:$GR$4))=0,0,((SUMIF($GI$3:$GR$3,GJ$60,$GI144:$GR144))/SUMIF($GI$3:$GR$3,GJ$60,$GI$4:$GR$4)))</f>
        <v>0</v>
      </c>
      <c r="GK95" s="199" t="n">
        <f aca="false">IF((SUMIF($GI$3:$GR$3,GK$60,$GI$4:$GR$4))=0,0,((SUMIF($GI$3:$GR$3,GK$60,$GI144:$GR144))/SUMIF($GI$3:$GR$3,GK$60,$GI$4:$GR$4)))</f>
        <v>0</v>
      </c>
      <c r="GL95" s="199" t="n">
        <f aca="false">IF((SUMIF($GI$3:$GR$3,GL$60,$GI$4:$GR$4))=0,0,((SUMIF($GI$3:$GR$3,GL$60,$GI144:$GR144))/SUMIF($GI$3:$GR$3,GL$60,$GI$4:$GR$4)))</f>
        <v>0</v>
      </c>
      <c r="GM95" s="199" t="n">
        <f aca="false">IF((SUMIF($GI$3:$GR$3,GM$60,$GI$4:$GR$4))=0,0,((SUMIF($GI$3:$GR$3,GM$60,$GI144:$GR144))/SUMIF($GI$3:$GR$3,GM$60,$GI$4:$GR$4)))</f>
        <v>0</v>
      </c>
      <c r="GN95" s="199" t="n">
        <f aca="false">IF((SUMIF($GI$3:$GR$3,GN$60,$GI$4:$GR$4))=0,0,((SUMIF($GI$3:$GR$3,GN$60,$GI144:$GR144))/SUMIF($GI$3:$GR$3,GN$60,$GI$4:$GR$4)))</f>
        <v>0</v>
      </c>
      <c r="GO95" s="199" t="n">
        <f aca="false">IF((SUMIF($GI$3:$GR$3,GO$60,$GI$4:$GR$4))=0,0,((SUMIF($GI$3:$GR$3,GO$60,$GI144:$GR144))/SUMIF($GI$3:$GR$3,GO$60,$GI$4:$GR$4)))</f>
        <v>0</v>
      </c>
      <c r="GP95" s="199" t="n">
        <f aca="false">IF((SUMIF($GI$3:$GR$3,GP$60,$GI$4:$GR$4))=0,0,((SUMIF($GI$3:$GR$3,GP$60,$GI144:$GR144))/SUMIF($GI$3:$GR$3,GP$60,$GI$4:$GR$4)))</f>
        <v>0</v>
      </c>
      <c r="GQ95" s="199" t="n">
        <f aca="false">IF((SUMIF($GI$3:$GR$3,GQ$60,$GI$4:$GR$4))=0,0,((SUMIF($GI$3:$GR$3,GQ$60,$GI144:$GR144))/SUMIF($GI$3:$GR$3,GQ$60,$GI$4:$GR$4)))</f>
        <v>0</v>
      </c>
      <c r="GR95" s="200" t="n">
        <f aca="false">IF((SUMIF($GI$3:$GR$3,GR$60,$GI$4:$GR$4))=0,0,((SUMIF($GI$3:$GR$3,GR$60,$GI144:$GR144))/SUMIF($GI$3:$GR$3,GR$60,$GI$4:$GR$4)))</f>
        <v>0</v>
      </c>
      <c r="GS95" s="194" t="str">
        <f aca="false">GH95</f>
        <v>Alumno34</v>
      </c>
      <c r="GT95" s="198" t="n">
        <f aca="false">IF((SUMIF($GT$3:$HC$3,GT$60,$GT$4:$HC$4))=0,0,((SUMIF($GT$3:$HC$3,GT$60,$GT144:$HC144))/SUMIF($GT$3:$HC$3,GT$60,$GT$4:$HC$4)))</f>
        <v>0</v>
      </c>
      <c r="GU95" s="199" t="n">
        <f aca="false">IF((SUMIF($GT$3:$HC$3,GU$60,$GT$4:$HC$4))=0,0,((SUMIF($GT$3:$HC$3,GU$60,$GT144:$HC144))/SUMIF($GT$3:$HC$3,GU$60,$GT$4:$HC$4)))</f>
        <v>0</v>
      </c>
      <c r="GV95" s="199" t="n">
        <f aca="false">IF((SUMIF($GT$3:$HC$3,GV$60,$GT$4:$HC$4))=0,0,((SUMIF($GT$3:$HC$3,GV$60,$GT144:$HC144))/SUMIF($GT$3:$HC$3,GV$60,$GT$4:$HC$4)))</f>
        <v>0</v>
      </c>
      <c r="GW95" s="199" t="n">
        <f aca="false">IF((SUMIF($GT$3:$HC$3,GW$60,$GT$4:$HC$4))=0,0,((SUMIF($GT$3:$HC$3,GW$60,$GT144:$HC144))/SUMIF($GT$3:$HC$3,GW$60,$GT$4:$HC$4)))</f>
        <v>0</v>
      </c>
      <c r="GX95" s="199" t="n">
        <f aca="false">IF((SUMIF($GT$3:$HC$3,GX$60,$GT$4:$HC$4))=0,0,((SUMIF($GT$3:$HC$3,GX$60,$GT144:$HC144))/SUMIF($GT$3:$HC$3,GX$60,$GT$4:$HC$4)))</f>
        <v>0</v>
      </c>
      <c r="GY95" s="199" t="n">
        <f aca="false">IF((SUMIF($GT$3:$HC$3,GY$60,$GT$4:$HC$4))=0,0,((SUMIF($GT$3:$HC$3,GY$60,$GT144:$HC144))/SUMIF($GT$3:$HC$3,GY$60,$GT$4:$HC$4)))</f>
        <v>0</v>
      </c>
      <c r="GZ95" s="199" t="n">
        <f aca="false">IF((SUMIF($GT$3:$HC$3,GZ$60,$GT$4:$HC$4))=0,0,((SUMIF($GT$3:$HC$3,GZ$60,$GT144:$HC144))/SUMIF($GT$3:$HC$3,GZ$60,$GT$4:$HC$4)))</f>
        <v>0</v>
      </c>
      <c r="HA95" s="199" t="n">
        <f aca="false">IF((SUMIF($GT$3:$HC$3,HA$60,$GT$4:$HC$4))=0,0,((SUMIF($GT$3:$HC$3,HA$60,$GT144:$HC144))/SUMIF($GT$3:$HC$3,HA$60,$GT$4:$HC$4)))</f>
        <v>0</v>
      </c>
      <c r="HB95" s="199" t="n">
        <f aca="false">IF((SUMIF($GT$3:$HC$3,HB$60,$GT$4:$HC$4))=0,0,((SUMIF($GT$3:$HC$3,HB$60,$GT144:$HC144))/SUMIF($GT$3:$HC$3,HB$60,$GT$4:$HC$4)))</f>
        <v>0</v>
      </c>
      <c r="HC95" s="200" t="n">
        <f aca="false">IF((SUMIF($GT$3:$HC$3,HC$60,$GT$4:$HC$4))=0,0,((SUMIF($GT$3:$HC$3,HC$60,$GT144:$HC144))/SUMIF($GT$3:$HC$3,HC$60,$GT$4:$HC$4)))</f>
        <v>0</v>
      </c>
      <c r="HD95" s="194" t="str">
        <f aca="false">GS95</f>
        <v>Alumno34</v>
      </c>
      <c r="HE95" s="198" t="n">
        <f aca="false">IF((SUMIF($HE$3:$HN$3,HE$60,$HE$4:$HN$4))=0,0,((SUMIF($HE$3:$HN$3,HE$60,$HE144:$HN144))/SUMIF($HE$3:$HN$3,HE$60,$HE$4:$HN$4)))</f>
        <v>0</v>
      </c>
      <c r="HF95" s="199" t="n">
        <f aca="false">IF((SUMIF($HE$3:$HN$3,HF$60,$HE$4:$HN$4))=0,0,((SUMIF($HE$3:$HN$3,HF$60,$HE144:$HN144))/SUMIF($HE$3:$HN$3,HF$60,$HE$4:$HN$4)))</f>
        <v>0</v>
      </c>
      <c r="HG95" s="199" t="n">
        <f aca="false">IF((SUMIF($HE$3:$HN$3,HG$60,$HE$4:$HN$4))=0,0,((SUMIF($HE$3:$HN$3,HG$60,$HE144:$HN144))/SUMIF($HE$3:$HN$3,HG$60,$HE$4:$HN$4)))</f>
        <v>0</v>
      </c>
      <c r="HH95" s="199" t="n">
        <f aca="false">IF((SUMIF($HE$3:$HN$3,HH$60,$HE$4:$HN$4))=0,0,((SUMIF($HE$3:$HN$3,HH$60,$HE144:$HN144))/SUMIF($HE$3:$HN$3,HH$60,$HE$4:$HN$4)))</f>
        <v>0</v>
      </c>
      <c r="HI95" s="199" t="n">
        <f aca="false">IF((SUMIF($HE$3:$HN$3,HI$60,$HE$4:$HN$4))=0,0,((SUMIF($HE$3:$HN$3,HI$60,$HE144:$HN144))/SUMIF($HE$3:$HN$3,HI$60,$HE$4:$HN$4)))</f>
        <v>0</v>
      </c>
      <c r="HJ95" s="199" t="n">
        <f aca="false">IF((SUMIF($HE$3:$HN$3,HJ$60,$HE$4:$HN$4))=0,0,((SUMIF($HE$3:$HN$3,HJ$60,$HE144:$HN144))/SUMIF($HE$3:$HN$3,HJ$60,$HE$4:$HN$4)))</f>
        <v>0</v>
      </c>
      <c r="HK95" s="199" t="n">
        <f aca="false">IF((SUMIF($HE$3:$HN$3,HK$60,$HE$4:$HN$4))=0,0,((SUMIF($HE$3:$HN$3,HK$60,$HE144:$HN144))/SUMIF($HE$3:$HN$3,HK$60,$HE$4:$HN$4)))</f>
        <v>0</v>
      </c>
      <c r="HL95" s="199" t="n">
        <f aca="false">IF((SUMIF($HE$3:$HN$3,HL$60,$HE$4:$HN$4))=0,0,((SUMIF($HE$3:$HN$3,HL$60,$HE144:$HN144))/SUMIF($HE$3:$HN$3,HL$60,$HE$4:$HN$4)))</f>
        <v>0</v>
      </c>
      <c r="HM95" s="199" t="n">
        <f aca="false">IF((SUMIF($HE$3:$HN$3,HM$60,$HE$4:$HN$4))=0,0,((SUMIF($HE$3:$HN$3,HM$60,$HE144:$HN144))/SUMIF($HE$3:$HN$3,HM$60,$HE$4:$HN$4)))</f>
        <v>0</v>
      </c>
      <c r="HN95" s="200" t="n">
        <f aca="false">IF((SUMIF($HE$3:$HN$3,HN$60,$HE$4:$HN$4))=0,0,((SUMIF($HE$3:$HN$3,HN$60,$HE144:$HN144))/SUMIF($HE$3:$HN$3,HN$60,$HE$4:$HN$4)))</f>
        <v>0</v>
      </c>
      <c r="HO95" s="194" t="str">
        <f aca="false">HD95</f>
        <v>Alumno34</v>
      </c>
      <c r="HP95" s="198" t="n">
        <f aca="false">IF((SUMIF($HP$3:$HY$3,HP$60,$HP$4:$HY$4))=0,0,((SUMIF($HP$3:$HY$3,HP$60,$HP144:$HY144))/SUMIF($HP$3:$HY$3,HP$60,$HP$4:$HY$4)))</f>
        <v>0</v>
      </c>
      <c r="HQ95" s="199" t="n">
        <f aca="false">IF((SUMIF($HP$3:$HY$3,HQ$60,$HP$4:$HY$4))=0,0,((SUMIF($HP$3:$HY$3,HQ$60,$HP144:$HY144))/SUMIF($HP$3:$HY$3,HQ$60,$HP$4:$HY$4)))</f>
        <v>0</v>
      </c>
      <c r="HR95" s="199" t="n">
        <f aca="false">IF((SUMIF($HP$3:$HY$3,HR$60,$HP$4:$HY$4))=0,0,((SUMIF($HP$3:$HY$3,HR$60,$HP144:$HY144))/SUMIF($HP$3:$HY$3,HR$60,$HP$4:$HY$4)))</f>
        <v>0</v>
      </c>
      <c r="HS95" s="199" t="n">
        <f aca="false">IF((SUMIF($HP$3:$HY$3,HS$60,$HP$4:$HY$4))=0,0,((SUMIF($HP$3:$HY$3,HS$60,$HP144:$HY144))/SUMIF($HP$3:$HY$3,HS$60,$HP$4:$HY$4)))</f>
        <v>0</v>
      </c>
      <c r="HT95" s="199" t="n">
        <f aca="false">IF((SUMIF($HP$3:$HY$3,HT$60,$HP$4:$HY$4))=0,0,((SUMIF($HP$3:$HY$3,HT$60,$HP144:$HY144))/SUMIF($HP$3:$HY$3,HT$60,$HP$4:$HY$4)))</f>
        <v>0</v>
      </c>
      <c r="HU95" s="199" t="n">
        <f aca="false">IF((SUMIF($HP$3:$HY$3,HU$60,$HP$4:$HY$4))=0,0,((SUMIF($HP$3:$HY$3,HU$60,$HP144:$HY144))/SUMIF($HP$3:$HY$3,HU$60,$HP$4:$HY$4)))</f>
        <v>0</v>
      </c>
      <c r="HV95" s="199" t="n">
        <f aca="false">IF((SUMIF($HP$3:$HY$3,HV$60,$HP$4:$HY$4))=0,0,((SUMIF($HP$3:$HY$3,HV$60,$HP144:$HY144))/SUMIF($HP$3:$HY$3,HV$60,$HP$4:$HY$4)))</f>
        <v>0</v>
      </c>
      <c r="HW95" s="199" t="n">
        <f aca="false">IF((SUMIF($HP$3:$HY$3,HW$60,$HP$4:$HY$4))=0,0,((SUMIF($HP$3:$HY$3,HW$60,$HP144:$HY144))/SUMIF($HP$3:$HY$3,HW$60,$HP$4:$HY$4)))</f>
        <v>0</v>
      </c>
      <c r="HX95" s="199" t="n">
        <f aca="false">IF((SUMIF($HP$3:$HY$3,HX$60,$HP$4:$HY$4))=0,0,((SUMIF($HP$3:$HY$3,HX$60,$HP144:$HY144))/SUMIF($HP$3:$HY$3,HX$60,$HP$4:$HY$4)))</f>
        <v>0</v>
      </c>
      <c r="HY95" s="200" t="n">
        <f aca="false">IF((SUMIF($HP$3:$HY$3,HY$60,$HP$4:$HY$4))=0,0,((SUMIF($HP$3:$HY$3,HY$60,$HP144:$HY144))/SUMIF($HP$3:$HY$3,HY$60,$HP$4:$HY$4)))</f>
        <v>0</v>
      </c>
      <c r="HZ95" s="194" t="str">
        <f aca="false">HO95</f>
        <v>Alumno34</v>
      </c>
      <c r="IA95" s="198" t="n">
        <f aca="false">IF((SUMIF($IA$3:$IJ$3,IA$60,$IA$4:$IJ$4))=0,0,((SUMIF($IA$3:$IJ$3,IA$60,$IA144:$IJ144))/SUMIF($IA$3:$IJ$3,IA$60,$IA$4:$IJ$4)))</f>
        <v>0</v>
      </c>
      <c r="IB95" s="199" t="n">
        <f aca="false">IF((SUMIF($IA$3:$IJ$3,IB$60,$IA$4:$IJ$4))=0,0,((SUMIF($IA$3:$IJ$3,IB$60,$IA144:$IJ144))/SUMIF($IA$3:$IJ$3,IB$60,$IA$4:$IJ$4)))</f>
        <v>0</v>
      </c>
      <c r="IC95" s="199" t="n">
        <f aca="false">IF((SUMIF($IA$3:$IJ$3,IC$60,$IA$4:$IJ$4))=0,0,((SUMIF($IA$3:$IJ$3,IC$60,$IA144:$IJ144))/SUMIF($IA$3:$IJ$3,IC$60,$IA$4:$IJ$4)))</f>
        <v>0</v>
      </c>
      <c r="ID95" s="199" t="n">
        <f aca="false">IF((SUMIF($IA$3:$IJ$3,ID$60,$IA$4:$IJ$4))=0,0,((SUMIF($IA$3:$IJ$3,ID$60,$IA144:$IJ144))/SUMIF($IA$3:$IJ$3,ID$60,$IA$4:$IJ$4)))</f>
        <v>0</v>
      </c>
      <c r="IE95" s="199" t="n">
        <f aca="false">IF((SUMIF($IA$3:$IJ$3,IE$60,$IA$4:$IJ$4))=0,0,((SUMIF($IA$3:$IJ$3,IE$60,$IA144:$IJ144))/SUMIF($IA$3:$IJ$3,IE$60,$IA$4:$IJ$4)))</f>
        <v>0</v>
      </c>
      <c r="IF95" s="199" t="n">
        <f aca="false">IF((SUMIF($IA$3:$IJ$3,IF$60,$IA$4:$IJ$4))=0,0,((SUMIF($IA$3:$IJ$3,IF$60,$IA144:$IJ144))/SUMIF($IA$3:$IJ$3,IF$60,$IA$4:$IJ$4)))</f>
        <v>0</v>
      </c>
      <c r="IG95" s="199" t="n">
        <f aca="false">IF((SUMIF($IA$3:$IJ$3,IG$60,$IA$4:$IJ$4))=0,0,((SUMIF($IA$3:$IJ$3,IG$60,$IA144:$IJ144))/SUMIF($IA$3:$IJ$3,IG$60,$IA$4:$IJ$4)))</f>
        <v>0</v>
      </c>
      <c r="IH95" s="199" t="n">
        <f aca="false">IF((SUMIF($IA$3:$IJ$3,IH$60,$IA$4:$IJ$4))=0,0,((SUMIF($IA$3:$IJ$3,IH$60,$IA144:$IJ144))/SUMIF($IA$3:$IJ$3,IH$60,$IA$4:$IJ$4)))</f>
        <v>0</v>
      </c>
      <c r="II95" s="199" t="n">
        <f aca="false">IF((SUMIF($IA$3:$IJ$3,II$60,$IA$4:$IJ$4))=0,0,((SUMIF($IA$3:$IJ$3,II$60,$IA144:$IJ144))/SUMIF($IA$3:$IJ$3,II$60,$IA$4:$IJ$4)))</f>
        <v>0</v>
      </c>
      <c r="IJ95" s="200" t="n">
        <f aca="false">IF((SUMIF($IA$3:$IJ$3,IJ$60,$IA$4:$IJ$4))=0,0,((SUMIF($IA$3:$IJ$3,IJ$60,$IA144:$IJ144))/SUMIF($IA$3:$IJ$3,IJ$60,$IA$4:$IJ$4)))</f>
        <v>0</v>
      </c>
      <c r="IK95" s="194" t="str">
        <f aca="false">HZ95</f>
        <v>Alumno34</v>
      </c>
      <c r="IL95" s="198" t="n">
        <f aca="false">IF((SUMIF($IL$3:$IU$3,IL$60,$IL$4:$IU$4))=0,0,((SUMIF($IL$3:$IU$3,IL$60,$IL144:$IU144))/SUMIF($IL$3:$IU$3,IL$60,$IL$4:$IU$4)))</f>
        <v>0</v>
      </c>
      <c r="IM95" s="199" t="n">
        <f aca="false">IF((SUMIF($IL$3:$IU$3,IM$60,$IL$4:$IU$4))=0,0,((SUMIF($IL$3:$IU$3,IM$60,$IL144:$IU144))/SUMIF($IL$3:$IU$3,IM$60,$IL$4:$IU$4)))</f>
        <v>0</v>
      </c>
      <c r="IN95" s="199" t="n">
        <f aca="false">IF((SUMIF($IL$3:$IU$3,IN$60,$IL$4:$IU$4))=0,0,((SUMIF($IL$3:$IU$3,IN$60,$IL144:$IU144))/SUMIF($IL$3:$IU$3,IN$60,$IL$4:$IU$4)))</f>
        <v>0</v>
      </c>
      <c r="IO95" s="199" t="n">
        <f aca="false">IF((SUMIF($IL$3:$IU$3,IO$60,$IL$4:$IU$4))=0,0,((SUMIF($IL$3:$IU$3,IO$60,$IL144:$IU144))/SUMIF($IL$3:$IU$3,IO$60,$IL$4:$IU$4)))</f>
        <v>0</v>
      </c>
      <c r="IP95" s="199" t="n">
        <f aca="false">IF((SUMIF($IL$3:$IU$3,IP$60,$IL$4:$IU$4))=0,0,((SUMIF($IL$3:$IU$3,IP$60,$IL144:$IU144))/SUMIF($IL$3:$IU$3,IP$60,$IL$4:$IU$4)))</f>
        <v>0</v>
      </c>
      <c r="IQ95" s="199" t="n">
        <f aca="false">IF((SUMIF($IL$3:$IU$3,IQ$60,$IL$4:$IU$4))=0,0,((SUMIF($IL$3:$IU$3,IQ$60,$IL144:$IU144))/SUMIF($IL$3:$IU$3,IQ$60,$IL$4:$IU$4)))</f>
        <v>0</v>
      </c>
      <c r="IR95" s="199" t="n">
        <f aca="false">IF((SUMIF($IL$3:$IU$3,IR$60,$IL$4:$IU$4))=0,0,((SUMIF($IL$3:$IU$3,IR$60,$IL144:$IU144))/SUMIF($IL$3:$IU$3,IR$60,$IL$4:$IU$4)))</f>
        <v>0</v>
      </c>
      <c r="IS95" s="199" t="n">
        <f aca="false">IF((SUMIF($IL$3:$IU$3,IS$60,$IL$4:$IU$4))=0,0,((SUMIF($IL$3:$IU$3,IS$60,$IL144:$IU144))/SUMIF($IL$3:$IU$3,IS$60,$IL$4:$IU$4)))</f>
        <v>0</v>
      </c>
      <c r="IT95" s="199" t="n">
        <f aca="false">IF((SUMIF($IL$3:$IU$3,IT$60,$IL$4:$IU$4))=0,0,((SUMIF($IL$3:$IU$3,IT$60,$IL144:$IU144))/SUMIF($IL$3:$IU$3,IT$60,$IL$4:$IU$4)))</f>
        <v>0</v>
      </c>
      <c r="IU95" s="200" t="n">
        <f aca="false">IF((SUMIF($IL$3:$IU$3,IU$60,$IL$4:$IU$4))=0,0,((SUMIF($IL$3:$IU$3,IU$60,$IL144:$IU144))/SUMIF($IL$3:$IU$3,IU$60,$IL$4:$IU$4)))</f>
        <v>0</v>
      </c>
      <c r="IV95" s="194" t="str">
        <f aca="false">IK95</f>
        <v>Alumno34</v>
      </c>
      <c r="IW95" s="198" t="n">
        <f aca="false">IF((SUMIF($IW$3:$JF$3,IW$60,$IW$4:$JF$4))=0,0,((SUMIF($IW$3:$JF$3,IW$60,$IW144:$JF144))/SUMIF($IW$3:$JF$3,IW$60,$IW$4:$JF$4)))</f>
        <v>0</v>
      </c>
      <c r="IX95" s="199" t="n">
        <f aca="false">IF((SUMIF($IW$3:$JF$3,IX$60,$IW$4:$JF$4))=0,0,((SUMIF($IW$3:$JF$3,IX$60,$IW144:$JF144))/SUMIF($IW$3:$JF$3,IX$60,$IW$4:$JF$4)))</f>
        <v>0</v>
      </c>
      <c r="IY95" s="199" t="n">
        <f aca="false">IF((SUMIF($IW$3:$JF$3,IY$60,$IW$4:$JF$4))=0,0,((SUMIF($IW$3:$JF$3,IY$60,$IW144:$JF144))/SUMIF($IW$3:$JF$3,IY$60,$IW$4:$JF$4)))</f>
        <v>0</v>
      </c>
      <c r="IZ95" s="199" t="n">
        <f aca="false">IF((SUMIF($IW$3:$JF$3,IZ$60,$IW$4:$JF$4))=0,0,((SUMIF($IW$3:$JF$3,IZ$60,$IW144:$JF144))/SUMIF($IW$3:$JF$3,IZ$60,$IW$4:$JF$4)))</f>
        <v>0</v>
      </c>
      <c r="JA95" s="199" t="n">
        <f aca="false">IF((SUMIF($IW$3:$JF$3,JA$60,$IW$4:$JF$4))=0,0,((SUMIF($IW$3:$JF$3,JA$60,$IW144:$JF144))/SUMIF($IW$3:$JF$3,JA$60,$IW$4:$JF$4)))</f>
        <v>0</v>
      </c>
      <c r="JB95" s="199" t="n">
        <f aca="false">IF((SUMIF($IW$3:$JF$3,JB$60,$IW$4:$JF$4))=0,0,((SUMIF($IW$3:$JF$3,JB$60,$IW144:$JF144))/SUMIF($IW$3:$JF$3,JB$60,$IW$4:$JF$4)))</f>
        <v>0</v>
      </c>
      <c r="JC95" s="199" t="n">
        <f aca="false">IF((SUMIF($IW$3:$JF$3,JC$60,$IW$4:$JF$4))=0,0,((SUMIF($IW$3:$JF$3,JC$60,$IW144:$JF144))/SUMIF($IW$3:$JF$3,JC$60,$IW$4:$JF$4)))</f>
        <v>0</v>
      </c>
      <c r="JD95" s="199" t="n">
        <f aca="false">IF((SUMIF($IW$3:$JF$3,JD$60,$IW$4:$JF$4))=0,0,((SUMIF($IW$3:$JF$3,JD$60,$IW144:$JF144))/SUMIF($IW$3:$JF$3,JD$60,$IW$4:$JF$4)))</f>
        <v>0</v>
      </c>
      <c r="JE95" s="199" t="n">
        <f aca="false">IF((SUMIF($IW$3:$JF$3,JE$60,$IW$4:$JF$4))=0,0,((SUMIF($IW$3:$JF$3,JE$60,$IW144:$JF144))/SUMIF($IW$3:$JF$3,JE$60,$IW$4:$JF$4)))</f>
        <v>0</v>
      </c>
      <c r="JF95" s="200" t="n">
        <f aca="false">IF((SUMIF($IW$3:$JF$3,JF$60,$IW$4:$JF$4))=0,0,((SUMIF($IW$3:$JF$3,JF$60,$IW144:$JF144))/SUMIF($IW$3:$JF$3,JF$60,$IW$4:$JF$4)))</f>
        <v>0</v>
      </c>
      <c r="JG95" s="194" t="str">
        <f aca="false">IV95</f>
        <v>Alumno34</v>
      </c>
      <c r="JH95" s="198" t="n">
        <f aca="false">IF((SUMIF($JH$3:$JQ$3,JH$60,$JH$4:$JQ$4))=0,0,((SUMIF($JH$3:$JQ$3,JH$60,$JH144:$JQ144))/SUMIF($JH$3:$JQ$3,JH$60,$JH$4:$JQ$4)))</f>
        <v>0</v>
      </c>
      <c r="JI95" s="199" t="n">
        <f aca="false">IF((SUMIF($JH$3:$JQ$3,JI$60,$JH$4:$JQ$4))=0,0,((SUMIF($JH$3:$JQ$3,JI$60,$JH144:$JQ144))/SUMIF($JH$3:$JQ$3,JI$60,$JH$4:$JQ$4)))</f>
        <v>0</v>
      </c>
      <c r="JJ95" s="199" t="n">
        <f aca="false">IF((SUMIF($JH$3:$JQ$3,JJ$60,$JH$4:$JQ$4))=0,0,((SUMIF($JH$3:$JQ$3,JJ$60,$JH144:$JQ144))/SUMIF($JH$3:$JQ$3,JJ$60,$JH$4:$JQ$4)))</f>
        <v>0</v>
      </c>
      <c r="JK95" s="199" t="n">
        <f aca="false">IF((SUMIF($JH$3:$JQ$3,JK$60,$JH$4:$JQ$4))=0,0,((SUMIF($JH$3:$JQ$3,JK$60,$JH144:$JQ144))/SUMIF($JH$3:$JQ$3,JK$60,$JH$4:$JQ$4)))</f>
        <v>0</v>
      </c>
      <c r="JL95" s="199" t="n">
        <f aca="false">IF((SUMIF($JH$3:$JQ$3,JL$60,$JH$4:$JQ$4))=0,0,((SUMIF($JH$3:$JQ$3,JL$60,$JH144:$JQ144))/SUMIF($JH$3:$JQ$3,JL$60,$JH$4:$JQ$4)))</f>
        <v>0</v>
      </c>
      <c r="JM95" s="199" t="n">
        <f aca="false">IF((SUMIF($JH$3:$JQ$3,JM$60,$JH$4:$JQ$4))=0,0,((SUMIF($JH$3:$JQ$3,JM$60,$JH144:$JQ144))/SUMIF($JH$3:$JQ$3,JM$60,$JH$4:$JQ$4)))</f>
        <v>0</v>
      </c>
      <c r="JN95" s="199" t="n">
        <f aca="false">IF((SUMIF($JH$3:$JQ$3,JN$60,$JH$4:$JQ$4))=0,0,((SUMIF($JH$3:$JQ$3,JN$60,$JH144:$JQ144))/SUMIF($JH$3:$JQ$3,JN$60,$JH$4:$JQ$4)))</f>
        <v>0</v>
      </c>
      <c r="JO95" s="199" t="n">
        <f aca="false">IF((SUMIF($JH$3:$JQ$3,JO$60,$JH$4:$JQ$4))=0,0,((SUMIF($JH$3:$JQ$3,JO$60,$JH144:$JQ144))/SUMIF($JH$3:$JQ$3,JO$60,$JH$4:$JQ$4)))</f>
        <v>0</v>
      </c>
      <c r="JP95" s="199" t="n">
        <f aca="false">IF((SUMIF($JH$3:$JQ$3,JP$60,$JH$4:$JQ$4))=0,0,((SUMIF($JH$3:$JQ$3,JP$60,$JH144:$JQ144))/SUMIF($JH$3:$JQ$3,JP$60,$JH$4:$JQ$4)))</f>
        <v>0</v>
      </c>
      <c r="JQ95" s="200" t="n">
        <f aca="false">IF((SUMIF($JH$3:$JQ$3,JQ$60,$JH$4:$JQ$4))=0,0,((SUMIF($JH$3:$JQ$3,JQ$60,$JH144:$JQ144))/SUMIF($JH$3:$JQ$3,JQ$60,$JH$4:$JQ$4)))</f>
        <v>0</v>
      </c>
      <c r="JR95" s="194" t="str">
        <f aca="false">JG95</f>
        <v>Alumno34</v>
      </c>
      <c r="JS95" s="198" t="n">
        <f aca="false">IF((SUMIF($JS$3:$KB$3,JS$60,$JS$4:$KB$4))=0,0,((SUMIF($JS$3:$KB$3,JS$60,$JS144:$KB144))/SUMIF($JS$3:$KB$3,JS$60,$JS$4:$KB$4)))</f>
        <v>0</v>
      </c>
      <c r="JT95" s="199" t="n">
        <f aca="false">IF((SUMIF($JS$3:$KB$3,JT$60,$JS$4:$KB$4))=0,0,((SUMIF($JS$3:$KB$3,JT$60,$JS144:$KB144))/SUMIF($JS$3:$KB$3,JT$60,$JS$4:$KB$4)))</f>
        <v>0</v>
      </c>
      <c r="JU95" s="199" t="n">
        <f aca="false">IF((SUMIF($JS$3:$KB$3,JU$60,$JS$4:$KB$4))=0,0,((SUMIF($JS$3:$KB$3,JU$60,$JS144:$KB144))/SUMIF($JS$3:$KB$3,JU$60,$JS$4:$KB$4)))</f>
        <v>0</v>
      </c>
      <c r="JV95" s="199" t="n">
        <f aca="false">IF((SUMIF($JS$3:$KB$3,JV$60,$JS$4:$KB$4))=0,0,((SUMIF($JS$3:$KB$3,JV$60,$JS144:$KB144))/SUMIF($JS$3:$KB$3,JV$60,$JS$4:$KB$4)))</f>
        <v>0</v>
      </c>
      <c r="JW95" s="199" t="n">
        <f aca="false">IF((SUMIF($JS$3:$KB$3,JW$60,$JS$4:$KB$4))=0,0,((SUMIF($JS$3:$KB$3,JW$60,$JS144:$KB144))/SUMIF($JS$3:$KB$3,JW$60,$JS$4:$KB$4)))</f>
        <v>0</v>
      </c>
      <c r="JX95" s="199" t="n">
        <f aca="false">IF((SUMIF($JS$3:$KB$3,JX$60,$JS$4:$KB$4))=0,0,((SUMIF($JS$3:$KB$3,JX$60,$JS144:$KB144))/SUMIF($JS$3:$KB$3,JX$60,$JS$4:$KB$4)))</f>
        <v>0</v>
      </c>
      <c r="JY95" s="199" t="n">
        <f aca="false">IF((SUMIF($JS$3:$KB$3,JY$60,$JS$4:$KB$4))=0,0,((SUMIF($JS$3:$KB$3,JY$60,$JS144:$KB144))/SUMIF($JS$3:$KB$3,JY$60,$JS$4:$KB$4)))</f>
        <v>0</v>
      </c>
      <c r="JZ95" s="199" t="n">
        <f aca="false">IF((SUMIF($JS$3:$KB$3,JZ$60,$JS$4:$KB$4))=0,0,((SUMIF($JS$3:$KB$3,JZ$60,$JS144:$KB144))/SUMIF($JS$3:$KB$3,JZ$60,$JS$4:$KB$4)))</f>
        <v>0</v>
      </c>
      <c r="KA95" s="199" t="n">
        <f aca="false">IF((SUMIF($JS$3:$KB$3,KA$60,$JS$4:$KB$4))=0,0,((SUMIF($JS$3:$KB$3,KA$60,$JS144:$KB144))/SUMIF($JS$3:$KB$3,KA$60,$JS$4:$KB$4)))</f>
        <v>0</v>
      </c>
      <c r="KB95" s="200" t="n">
        <f aca="false">IF((SUMIF($JS$3:$KB$3,KB$60,$JS$4:$KB$4))=0,0,((SUMIF($JS$3:$KB$3,KB$60,$JS144:$KB144))/SUMIF($JS$3:$KB$3,KB$60,$JS$4:$KB$4)))</f>
        <v>0</v>
      </c>
      <c r="KC95" s="194" t="str">
        <f aca="false">JR95</f>
        <v>Alumno34</v>
      </c>
      <c r="KD95" s="198" t="n">
        <f aca="false">IF((SUMIF($KD$3:$KM$3,KD$60,$KD$4:$KM$4))=0,0,((SUMIF($KD$3:$KM$3,KD$60,$KD144:$KM144))/SUMIF($KD$3:$KM$3,KD$60,$KD$4:$KM$4)))</f>
        <v>0</v>
      </c>
      <c r="KE95" s="199" t="n">
        <f aca="false">IF((SUMIF($KD$3:$KM$3,KE$60,$KD$4:$KM$4))=0,0,((SUMIF($KD$3:$KM$3,KE$60,$KD144:$KM144))/SUMIF($KD$3:$KM$3,KE$60,$KD$4:$KM$4)))</f>
        <v>0</v>
      </c>
      <c r="KF95" s="199" t="n">
        <f aca="false">IF((SUMIF($KD$3:$KM$3,KF$60,$KD$4:$KM$4))=0,0,((SUMIF($KD$3:$KM$3,KF$60,$KD144:$KM144))/SUMIF($KD$3:$KM$3,KF$60,$KD$4:$KM$4)))</f>
        <v>0</v>
      </c>
      <c r="KG95" s="199" t="n">
        <f aca="false">IF((SUMIF($KD$3:$KM$3,KG$60,$KD$4:$KM$4))=0,0,((SUMIF($KD$3:$KM$3,KG$60,$KD144:$KM144))/SUMIF($KD$3:$KM$3,KG$60,$KD$4:$KM$4)))</f>
        <v>0</v>
      </c>
      <c r="KH95" s="199" t="n">
        <f aca="false">IF((SUMIF($KD$3:$KM$3,KH$60,$KD$4:$KM$4))=0,0,((SUMIF($KD$3:$KM$3,KH$60,$KD144:$KM144))/SUMIF($KD$3:$KM$3,KH$60,$KD$4:$KM$4)))</f>
        <v>0</v>
      </c>
      <c r="KI95" s="199" t="n">
        <f aca="false">IF((SUMIF($KD$3:$KM$3,KI$60,$KD$4:$KM$4))=0,0,((SUMIF($KD$3:$KM$3,KI$60,$KD144:$KM144))/SUMIF($KD$3:$KM$3,KI$60,$KD$4:$KM$4)))</f>
        <v>0</v>
      </c>
      <c r="KJ95" s="199" t="n">
        <f aca="false">IF((SUMIF($KD$3:$KM$3,KJ$60,$KD$4:$KM$4))=0,0,((SUMIF($KD$3:$KM$3,KJ$60,$KD144:$KM144))/SUMIF($KD$3:$KM$3,KJ$60,$KD$4:$KM$4)))</f>
        <v>0</v>
      </c>
      <c r="KK95" s="199" t="n">
        <f aca="false">IF((SUMIF($KD$3:$KM$3,KK$60,$KD$4:$KM$4))=0,0,((SUMIF($KD$3:$KM$3,KK$60,$KD144:$KM144))/SUMIF($KD$3:$KM$3,KK$60,$KD$4:$KM$4)))</f>
        <v>0</v>
      </c>
      <c r="KL95" s="199" t="n">
        <f aca="false">IF((SUMIF($KD$3:$KM$3,KL$60,$KD$4:$KM$4))=0,0,((SUMIF($KD$3:$KM$3,KL$60,$KD144:$KM144))/SUMIF($KD$3:$KM$3,KL$60,$KD$4:$KM$4)))</f>
        <v>0</v>
      </c>
      <c r="KM95" s="200" t="n">
        <f aca="false">IF((SUMIF($KD$3:$KM$3,KM$60,$KD$4:$KM$4))=0,0,((SUMIF($KD$3:$KM$3,KM$60,$KD144:$KM144))/SUMIF($KD$3:$KM$3,KM$60,$KD$4:$KM$4)))</f>
        <v>0</v>
      </c>
      <c r="KN95" s="194" t="str">
        <f aca="false">KC95</f>
        <v>Alumno34</v>
      </c>
      <c r="KO95" s="198" t="n">
        <f aca="false">IF((SUMIF($KO$3:$KX$3,KO$60,$KO$4:$KX$4))=0,0,((SUMIF($KO$3:$KX$3,KO$60,$KO144:$KX144))/SUMIF($KO$3:$KX$3,KO$60,$KO$4:$KX$4)))</f>
        <v>0</v>
      </c>
      <c r="KP95" s="199" t="n">
        <f aca="false">IF((SUMIF($KO$3:$KX$3,KP$60,$KO$4:$KX$4))=0,0,((SUMIF($KO$3:$KX$3,KP$60,$KO144:$KX144))/SUMIF($KO$3:$KX$3,KP$60,$KO$4:$KX$4)))</f>
        <v>0</v>
      </c>
      <c r="KQ95" s="199" t="n">
        <f aca="false">IF((SUMIF($KO$3:$KX$3,KQ$60,$KO$4:$KX$4))=0,0,((SUMIF($KO$3:$KX$3,KQ$60,$KO144:$KX144))/SUMIF($KO$3:$KX$3,KQ$60,$KO$4:$KX$4)))</f>
        <v>0</v>
      </c>
      <c r="KR95" s="199" t="n">
        <f aca="false">IF((SUMIF($KO$3:$KX$3,KR$60,$KO$4:$KX$4))=0,0,((SUMIF($KO$3:$KX$3,KR$60,$KO144:$KX144))/SUMIF($KO$3:$KX$3,KR$60,$KO$4:$KX$4)))</f>
        <v>0</v>
      </c>
      <c r="KS95" s="199" t="n">
        <f aca="false">IF((SUMIF($KO$3:$KX$3,KS$60,$KO$4:$KX$4))=0,0,((SUMIF($KO$3:$KX$3,KS$60,$KO144:$KX144))/SUMIF($KO$3:$KX$3,KS$60,$KO$4:$KX$4)))</f>
        <v>0</v>
      </c>
      <c r="KT95" s="199" t="n">
        <f aca="false">IF((SUMIF($KO$3:$KX$3,KT$60,$KO$4:$KX$4))=0,0,((SUMIF($KO$3:$KX$3,KT$60,$KO144:$KX144))/SUMIF($KO$3:$KX$3,KT$60,$KO$4:$KX$4)))</f>
        <v>0</v>
      </c>
      <c r="KU95" s="199" t="n">
        <f aca="false">IF((SUMIF($KO$3:$KX$3,KU$60,$KO$4:$KX$4))=0,0,((SUMIF($KO$3:$KX$3,KU$60,$KO144:$KX144))/SUMIF($KO$3:$KX$3,KU$60,$KO$4:$KX$4)))</f>
        <v>0</v>
      </c>
      <c r="KV95" s="199" t="n">
        <f aca="false">IF((SUMIF($KO$3:$KX$3,KV$60,$KO$4:$KX$4))=0,0,((SUMIF($KO$3:$KX$3,KV$60,$KO144:$KX144))/SUMIF($KO$3:$KX$3,KV$60,$KO$4:$KX$4)))</f>
        <v>0</v>
      </c>
      <c r="KW95" s="199" t="n">
        <f aca="false">IF((SUMIF($KO$3:$KX$3,KW$60,$KO$4:$KX$4))=0,0,((SUMIF($KO$3:$KX$3,KW$60,$KO144:$KX144))/SUMIF($KO$3:$KX$3,KW$60,$KO$4:$KX$4)))</f>
        <v>0</v>
      </c>
      <c r="KX95" s="200" t="n">
        <f aca="false">IF((SUMIF($KO$3:$KX$3,KX$60,$KO$4:$KX$4))=0,0,((SUMIF($KO$3:$KX$3,KX$60,$KO144:$KX144))/SUMIF($KO$3:$KX$3,KX$60,$KO$4:$KX$4)))</f>
        <v>0</v>
      </c>
      <c r="KY95" s="194" t="str">
        <f aca="false">KN95</f>
        <v>Alumno34</v>
      </c>
      <c r="KZ95" s="198" t="n">
        <f aca="false">IF((SUMIF($KZ$3:$LI$3,KZ$60,$KZ$4:$LI$4))=0,0,((SUMIF($KZ$3:$LI$3,KZ$60,$KZ144:$LI144))/SUMIF($KZ$3:$LI$3,KZ$60,$KZ$4:$LI$4)))</f>
        <v>0</v>
      </c>
      <c r="LA95" s="199" t="n">
        <f aca="false">IF((SUMIF($KZ$3:$LI$3,LA$60,$KZ$4:$LI$4))=0,0,((SUMIF($KZ$3:$LI$3,LA$60,$KZ144:$LI144))/SUMIF($KZ$3:$LI$3,LA$60,$KZ$4:$LI$4)))</f>
        <v>0</v>
      </c>
      <c r="LB95" s="199" t="n">
        <f aca="false">IF((SUMIF($KZ$3:$LI$3,LB$60,$KZ$4:$LI$4))=0,0,((SUMIF($KZ$3:$LI$3,LB$60,$KZ144:$LI144))/SUMIF($KZ$3:$LI$3,LB$60,$KZ$4:$LI$4)))</f>
        <v>0</v>
      </c>
      <c r="LC95" s="199" t="n">
        <f aca="false">IF((SUMIF($KZ$3:$LI$3,LC$60,$KZ$4:$LI$4))=0,0,((SUMIF($KZ$3:$LI$3,LC$60,$KZ144:$LI144))/SUMIF($KZ$3:$LI$3,LC$60,$KZ$4:$LI$4)))</f>
        <v>0</v>
      </c>
      <c r="LD95" s="199" t="n">
        <f aca="false">IF((SUMIF($KZ$3:$LI$3,LD$60,$KZ$4:$LI$4))=0,0,((SUMIF($KZ$3:$LI$3,LD$60,$KZ144:$LI144))/SUMIF($KZ$3:$LI$3,LD$60,$KZ$4:$LI$4)))</f>
        <v>0</v>
      </c>
      <c r="LE95" s="199" t="n">
        <f aca="false">IF((SUMIF($KZ$3:$LI$3,LE$60,$KZ$4:$LI$4))=0,0,((SUMIF($KZ$3:$LI$3,LE$60,$KZ144:$LI144))/SUMIF($KZ$3:$LI$3,LE$60,$KZ$4:$LI$4)))</f>
        <v>0</v>
      </c>
      <c r="LF95" s="199" t="n">
        <f aca="false">IF((SUMIF($KZ$3:$LI$3,LF$60,$KZ$4:$LI$4))=0,0,((SUMIF($KZ$3:$LI$3,LF$60,$KZ144:$LI144))/SUMIF($KZ$3:$LI$3,LF$60,$KZ$4:$LI$4)))</f>
        <v>0</v>
      </c>
      <c r="LG95" s="199" t="n">
        <f aca="false">IF((SUMIF($KZ$3:$LI$3,LG$60,$KZ$4:$LI$4))=0,0,((SUMIF($KZ$3:$LI$3,LG$60,$KZ144:$LI144))/SUMIF($KZ$3:$LI$3,LG$60,$KZ$4:$LI$4)))</f>
        <v>0</v>
      </c>
      <c r="LH95" s="199" t="n">
        <f aca="false">IF((SUMIF($KZ$3:$LI$3,LH$60,$KZ$4:$LI$4))=0,0,((SUMIF($KZ$3:$LI$3,LH$60,$KZ144:$LI144))/SUMIF($KZ$3:$LI$3,LH$60,$KZ$4:$LI$4)))</f>
        <v>0</v>
      </c>
      <c r="LI95" s="200" t="n">
        <f aca="false">IF((SUMIF($KZ$3:$LI$3,LI$60,$KZ$4:$LI$4))=0,0,((SUMIF($KZ$3:$LI$3,LI$60,$KZ144:$LI144))/SUMIF($KZ$3:$LI$3,LI$60,$KZ$4:$LI$4)))</f>
        <v>0</v>
      </c>
      <c r="LJ95" s="194" t="str">
        <f aca="false">KY95</f>
        <v>Alumno34</v>
      </c>
      <c r="LK95" s="198" t="n">
        <f aca="false">IF((SUMIF($LK$3:$LT$3,LK$60,$LK$4:$LT$4))=0,0,((SUMIF($LK$3:$LT$3,LK$60,$LK144:$LT144))/SUMIF($LK$3:$LT$3,LK$60,$LK$4:$LT$4)))</f>
        <v>0</v>
      </c>
      <c r="LL95" s="199" t="n">
        <f aca="false">IF((SUMIF($LK$3:$LT$3,LL$60,$LK$4:$LT$4))=0,0,((SUMIF($LK$3:$LT$3,LL$60,$LK144:$LT144))/SUMIF($LK$3:$LT$3,LL$60,$LK$4:$LT$4)))</f>
        <v>0</v>
      </c>
      <c r="LM95" s="199" t="n">
        <f aca="false">IF((SUMIF($LK$3:$LT$3,LM$60,$LK$4:$LT$4))=0,0,((SUMIF($LK$3:$LT$3,LM$60,$LK144:$LT144))/SUMIF($LK$3:$LT$3,LM$60,$LK$4:$LT$4)))</f>
        <v>0</v>
      </c>
      <c r="LN95" s="199" t="n">
        <f aca="false">IF((SUMIF($LK$3:$LT$3,LN$60,$LK$4:$LT$4))=0,0,((SUMIF($LK$3:$LT$3,LN$60,$LK144:$LT144))/SUMIF($LK$3:$LT$3,LN$60,$LK$4:$LT$4)))</f>
        <v>0</v>
      </c>
      <c r="LO95" s="199" t="n">
        <f aca="false">IF((SUMIF($LK$3:$LT$3,LO$60,$LK$4:$LT$4))=0,0,((SUMIF($LK$3:$LT$3,LO$60,$LK144:$LT144))/SUMIF($LK$3:$LT$3,LO$60,$LK$4:$LT$4)))</f>
        <v>0</v>
      </c>
      <c r="LP95" s="199" t="n">
        <f aca="false">IF((SUMIF($LK$3:$LT$3,LP$60,$LK$4:$LT$4))=0,0,((SUMIF($LK$3:$LT$3,LP$60,$LK144:$LT144))/SUMIF($LK$3:$LT$3,LP$60,$LK$4:$LT$4)))</f>
        <v>0</v>
      </c>
      <c r="LQ95" s="199" t="n">
        <f aca="false">IF((SUMIF($LK$3:$LT$3,LQ$60,$LK$4:$LT$4))=0,0,((SUMIF($LK$3:$LT$3,LQ$60,$LK144:$LT144))/SUMIF($LK$3:$LT$3,LQ$60,$LK$4:$LT$4)))</f>
        <v>0</v>
      </c>
      <c r="LR95" s="199" t="n">
        <f aca="false">IF((SUMIF($LK$3:$LT$3,LR$60,$LK$4:$LT$4))=0,0,((SUMIF($LK$3:$LT$3,LR$60,$LK144:$LT144))/SUMIF($LK$3:$LT$3,LR$60,$LK$4:$LT$4)))</f>
        <v>0</v>
      </c>
      <c r="LS95" s="199" t="n">
        <f aca="false">IF((SUMIF($LK$3:$LT$3,LS$60,$LK$4:$LT$4))=0,0,((SUMIF($LK$3:$LT$3,LS$60,$LK144:$LT144))/SUMIF($LK$3:$LT$3,LS$60,$LK$4:$LT$4)))</f>
        <v>0</v>
      </c>
      <c r="LT95" s="200" t="n">
        <f aca="false">IF((SUMIF($LK$3:$LT$3,LT$60,$LK$4:$LT$4))=0,0,((SUMIF($LK$3:$LT$3,LT$60,$LK144:$LT144))/SUMIF($LK$3:$LT$3,LT$60,$LK$4:$LT$4)))</f>
        <v>0</v>
      </c>
    </row>
    <row r="96" customFormat="false" ht="15" hidden="true" customHeight="false" outlineLevel="0" collapsed="false">
      <c r="C96" s="194" t="str">
        <f aca="false">B40</f>
        <v>Alumno35</v>
      </c>
      <c r="D96" s="198" t="n">
        <f aca="false">IF((SUMIF($D$3:$M$3,D$60,$D$4:$M$4))=0,0,((SUMIF($D$3:$M$3,D$60,$D145:$M145))/SUMIF($D$3:$M$3,D$60,$D$4:$M$4)))</f>
        <v>0</v>
      </c>
      <c r="E96" s="199" t="n">
        <f aca="false">IF((SUMIF($D$3:$M$3,E$60,$D$4:$M$4))=0,0,((SUMIF($D$3:$M$3,E$60,$D145:$M145))/SUMIF($D$3:$M$3,E$60,$D$4:$M$4)))</f>
        <v>0</v>
      </c>
      <c r="F96" s="199" t="n">
        <f aca="false">IF((SUMIF($D$3:$M$3,F$60,$D$4:$M$4))=0,0,((SUMIF($D$3:$M$3,F$60,$D145:$M145))/SUMIF($D$3:$M$3,F$60,$D$4:$M$4)))</f>
        <v>0</v>
      </c>
      <c r="G96" s="199" t="n">
        <f aca="false">IF((SUMIF($D$3:$M$3,G$60,$D$4:$M$4))=0,0,((SUMIF($D$3:$M$3,G$60,$D145:$M145))/SUMIF($D$3:$M$3,G$60,$D$4:$M$4)))</f>
        <v>0</v>
      </c>
      <c r="H96" s="199" t="n">
        <f aca="false">IF((SUMIF($D$3:$M$3,H$60,$D$4:$M$4))=0,0,((SUMIF($D$3:$M$3,H$60,$D145:$M145))/SUMIF($D$3:$M$3,H$60,$D$4:$M$4)))</f>
        <v>0</v>
      </c>
      <c r="I96" s="199" t="n">
        <f aca="false">IF((SUMIF($D$3:$M$3,I$60,$D$4:$M$4))=0,0,((SUMIF($D$3:$M$3,I$60,$D145:$M145))/SUMIF($D$3:$M$3,I$60,$D$4:$M$4)))</f>
        <v>0</v>
      </c>
      <c r="J96" s="199" t="n">
        <f aca="false">IF((SUMIF($D$3:$M$3,J$60,$D$4:$M$4))=0,0,((SUMIF($D$3:$M$3,J$60,$D145:$M145))/SUMIF($D$3:$M$3,J$60,$D$4:$M$4)))</f>
        <v>0</v>
      </c>
      <c r="K96" s="199" t="n">
        <f aca="false">IF((SUMIF($D$3:$M$3,K$60,$D$4:$M$4))=0,0,((SUMIF($D$3:$M$3,K$60,$D145:$M145))/SUMIF($D$3:$M$3,K$60,$D$4:$M$4)))</f>
        <v>0</v>
      </c>
      <c r="L96" s="199" t="n">
        <f aca="false">IF((SUMIF($D$3:$M$3,L$60,$D$4:$M$4))=0,0,((SUMIF($D$3:$M$3,L$60,$D145:$M145))/SUMIF($D$3:$M$3,L$60,$D$4:$M$4)))</f>
        <v>0</v>
      </c>
      <c r="M96" s="200" t="n">
        <f aca="false">IF((SUMIF($D$3:$M$3,M$60,$D$4:$M$4))=0,0,((SUMIF($D$3:$M$3,M$60,$D145:$M145))/SUMIF($D$3:$M$3,M$60,$D$4:$M$4)))</f>
        <v>0</v>
      </c>
      <c r="N96" s="194" t="str">
        <f aca="false">C96</f>
        <v>Alumno35</v>
      </c>
      <c r="O96" s="198" t="n">
        <f aca="false">IF((SUMIF($O$3:$X$3,O$60,$O$4:$X$4))=0,0,((SUMIF($O$3:$X$3,O$60,$O145:$X145))/SUMIF($O$3:$X$3,O$60,$O$4:$X$4)))</f>
        <v>0</v>
      </c>
      <c r="P96" s="199" t="n">
        <f aca="false">IF((SUMIF($O$3:$X$3,P$60,$O$4:$X$4))=0,0,((SUMIF($O$3:$X$3,P$60,$O145:$X145))/SUMIF($O$3:$X$3,P$60,$O$4:$X$4)))</f>
        <v>0</v>
      </c>
      <c r="Q96" s="199" t="n">
        <f aca="false">IF((SUMIF($O$3:$X$3,Q$60,$O$4:$X$4))=0,0,((SUMIF($O$3:$X$3,Q$60,$O145:$X145))/SUMIF($O$3:$X$3,Q$60,$O$4:$X$4)))</f>
        <v>0</v>
      </c>
      <c r="R96" s="199" t="n">
        <f aca="false">IF((SUMIF($O$3:$X$3,R$60,$O$4:$X$4))=0,0,((SUMIF($O$3:$X$3,R$60,$O145:$X145))/SUMIF($O$3:$X$3,R$60,$O$4:$X$4)))</f>
        <v>0</v>
      </c>
      <c r="S96" s="199" t="n">
        <f aca="false">IF((SUMIF($O$3:$X$3,S$60,$O$4:$X$4))=0,0,((SUMIF($O$3:$X$3,S$60,$O145:$X145))/SUMIF($O$3:$X$3,S$60,$O$4:$X$4)))</f>
        <v>0</v>
      </c>
      <c r="T96" s="199" t="n">
        <f aca="false">IF((SUMIF($O$3:$X$3,T$60,$O$4:$X$4))=0,0,((SUMIF($O$3:$X$3,T$60,$O145:$X145))/SUMIF($O$3:$X$3,T$60,$O$4:$X$4)))</f>
        <v>0</v>
      </c>
      <c r="U96" s="199" t="n">
        <f aca="false">IF((SUMIF($O$3:$X$3,U$60,$O$4:$X$4))=0,0,((SUMIF($O$3:$X$3,U$60,$O145:$X145))/SUMIF($O$3:$X$3,U$60,$O$4:$X$4)))</f>
        <v>0</v>
      </c>
      <c r="V96" s="199" t="n">
        <f aca="false">IF((SUMIF($O$3:$X$3,V$60,$O$4:$X$4))=0,0,((SUMIF($O$3:$X$3,V$60,$O145:$X145))/SUMIF($O$3:$X$3,V$60,$O$4:$X$4)))</f>
        <v>0</v>
      </c>
      <c r="W96" s="199" t="n">
        <f aca="false">IF((SUMIF($O$3:$X$3,W$60,$O$4:$X$4))=0,0,((SUMIF($O$3:$X$3,W$60,$O145:$X145))/SUMIF($O$3:$X$3,W$60,$O$4:$X$4)))</f>
        <v>0</v>
      </c>
      <c r="X96" s="200" t="n">
        <f aca="false">IF((SUMIF($O$3:$X$3,X$60,$O$4:$X$4))=0,0,((SUMIF($O$3:$X$3,X$60,$O145:$X145))/SUMIF($O$3:$X$3,X$60,$O$4:$X$4)))</f>
        <v>0</v>
      </c>
      <c r="Y96" s="194" t="str">
        <f aca="false">N96</f>
        <v>Alumno35</v>
      </c>
      <c r="Z96" s="198" t="n">
        <f aca="false">IF((SUMIF($Z$3:$AI$3,Z$60,$Z$4:$AI$4))=0,0,((SUMIF($Z$3:$AI$3,Z$60,$Z145:$AI145))/SUMIF($Z$3:$AI$3,Z$60,$Z$4:$AI$4)))</f>
        <v>0</v>
      </c>
      <c r="AA96" s="199" t="n">
        <f aca="false">IF((SUMIF($Z$3:$AI$3,AA$60,$Z$4:$AI$4))=0,0,((SUMIF($Z$3:$AI$3,AA$60,$Z145:$AI145))/SUMIF($Z$3:$AI$3,AA$60,$Z$4:$AI$4)))</f>
        <v>0</v>
      </c>
      <c r="AB96" s="199" t="n">
        <f aca="false">IF((SUMIF($Z$3:$AI$3,AB$60,$Z$4:$AI$4))=0,0,((SUMIF($Z$3:$AI$3,AB$60,$Z145:$AI145))/SUMIF($Z$3:$AI$3,AB$60,$Z$4:$AI$4)))</f>
        <v>0</v>
      </c>
      <c r="AC96" s="199" t="n">
        <f aca="false">IF((SUMIF($Z$3:$AI$3,AC$60,$Z$4:$AI$4))=0,0,((SUMIF($Z$3:$AI$3,AC$60,$Z145:$AI145))/SUMIF($Z$3:$AI$3,AC$60,$Z$4:$AI$4)))</f>
        <v>0</v>
      </c>
      <c r="AD96" s="199" t="n">
        <f aca="false">IF((SUMIF($Z$3:$AI$3,AD$60,$Z$4:$AI$4))=0,0,((SUMIF($Z$3:$AI$3,AD$60,$Z145:$AI145))/SUMIF($Z$3:$AI$3,AD$60,$Z$4:$AI$4)))</f>
        <v>0</v>
      </c>
      <c r="AE96" s="199" t="n">
        <f aca="false">IF((SUMIF($Z$3:$AI$3,AE$60,$Z$4:$AI$4))=0,0,((SUMIF($Z$3:$AI$3,AE$60,$Z145:$AI145))/SUMIF($Z$3:$AI$3,AE$60,$Z$4:$AI$4)))</f>
        <v>0</v>
      </c>
      <c r="AF96" s="199" t="n">
        <f aca="false">IF((SUMIF($Z$3:$AI$3,AF$60,$Z$4:$AI$4))=0,0,((SUMIF($Z$3:$AI$3,AF$60,$Z145:$AI145))/SUMIF($Z$3:$AI$3,AF$60,$Z$4:$AI$4)))</f>
        <v>0</v>
      </c>
      <c r="AG96" s="199" t="n">
        <f aca="false">IF((SUMIF($Z$3:$AI$3,AG$60,$Z$4:$AI$4))=0,0,((SUMIF($Z$3:$AI$3,AG$60,$Z145:$AI145))/SUMIF($Z$3:$AI$3,AG$60,$Z$4:$AI$4)))</f>
        <v>0</v>
      </c>
      <c r="AH96" s="199" t="n">
        <f aca="false">IF((SUMIF($Z$3:$AI$3,AH$60,$Z$4:$AI$4))=0,0,((SUMIF($Z$3:$AI$3,AH$60,$Z145:$AI145))/SUMIF($Z$3:$AI$3,AH$60,$Z$4:$AI$4)))</f>
        <v>0</v>
      </c>
      <c r="AI96" s="200" t="n">
        <f aca="false">IF((SUMIF($Z$3:$AI$3,AI$60,$Z$4:$AI$4))=0,0,((SUMIF($Z$3:$AI$3,AI$60,$Z145:$AI145))/SUMIF($Z$3:$AI$3,AI$60,$Z$4:$AI$4)))</f>
        <v>0</v>
      </c>
      <c r="AJ96" s="194" t="str">
        <f aca="false">Y96</f>
        <v>Alumno35</v>
      </c>
      <c r="AK96" s="198" t="n">
        <f aca="false">IF((SUMIF($AK$3:$AT$3,AK$60,$AK$4:$AT$4))=0,0,((SUMIF($AK$3:$AT$3,AK$60,$AK145:$AT145))/SUMIF($AK$3:$AT$3,AK$60,$AK$4:$AT$4)))</f>
        <v>0</v>
      </c>
      <c r="AL96" s="199" t="n">
        <f aca="false">IF((SUMIF($AK$3:$AT$3,AL$60,$AK$4:$AT$4))=0,0,((SUMIF($AK$3:$AT$3,AL$60,$AK145:$AT145))/SUMIF($AK$3:$AT$3,AL$60,$AK$4:$AT$4)))</f>
        <v>0</v>
      </c>
      <c r="AM96" s="199" t="n">
        <f aca="false">IF((SUMIF($AK$3:$AT$3,AM$60,$AK$4:$AT$4))=0,0,((SUMIF($AK$3:$AT$3,AM$60,$AK145:$AT145))/SUMIF($AK$3:$AT$3,AM$60,$AK$4:$AT$4)))</f>
        <v>0</v>
      </c>
      <c r="AN96" s="199" t="n">
        <f aca="false">IF((SUMIF($AK$3:$AT$3,AN$60,$AK$4:$AT$4))=0,0,((SUMIF($AK$3:$AT$3,AN$60,$AK145:$AT145))/SUMIF($AK$3:$AT$3,AN$60,$AK$4:$AT$4)))</f>
        <v>0</v>
      </c>
      <c r="AO96" s="199" t="n">
        <f aca="false">IF((SUMIF($AK$3:$AT$3,AO$60,$AK$4:$AT$4))=0,0,((SUMIF($AK$3:$AT$3,AO$60,$AK145:$AT145))/SUMIF($AK$3:$AT$3,AO$60,$AK$4:$AT$4)))</f>
        <v>0</v>
      </c>
      <c r="AP96" s="199" t="n">
        <f aca="false">IF((SUMIF($AK$3:$AT$3,AP$60,$AK$4:$AT$4))=0,0,((SUMIF($AK$3:$AT$3,AP$60,$AK145:$AT145))/SUMIF($AK$3:$AT$3,AP$60,$AK$4:$AT$4)))</f>
        <v>0</v>
      </c>
      <c r="AQ96" s="199" t="n">
        <f aca="false">IF((SUMIF($AK$3:$AT$3,AQ$60,$AK$4:$AT$4))=0,0,((SUMIF($AK$3:$AT$3,AQ$60,$AK145:$AT145))/SUMIF($AK$3:$AT$3,AQ$60,$AK$4:$AT$4)))</f>
        <v>0</v>
      </c>
      <c r="AR96" s="199" t="n">
        <f aca="false">IF((SUMIF($AK$3:$AT$3,AR$60,$AK$4:$AT$4))=0,0,((SUMIF($AK$3:$AT$3,AR$60,$AK145:$AT145))/SUMIF($AK$3:$AT$3,AR$60,$AK$4:$AT$4)))</f>
        <v>0</v>
      </c>
      <c r="AS96" s="199" t="n">
        <f aca="false">IF((SUMIF($AK$3:$AT$3,AS$60,$AK$4:$AT$4))=0,0,((SUMIF($AK$3:$AT$3,AS$60,$AK145:$AT145))/SUMIF($AK$3:$AT$3,AS$60,$AK$4:$AT$4)))</f>
        <v>0</v>
      </c>
      <c r="AT96" s="200" t="n">
        <f aca="false">IF((SUMIF($AK$3:$AT$3,AT$60,$AK$4:$AT$4))=0,0,((SUMIF($AK$3:$AT$3,AT$60,$AK145:$AT145))/SUMIF($AK$3:$AT$3,AT$60,$AK$4:$AT$4)))</f>
        <v>0</v>
      </c>
      <c r="AU96" s="194" t="str">
        <f aca="false">AJ96</f>
        <v>Alumno35</v>
      </c>
      <c r="AV96" s="198" t="n">
        <f aca="false">IF((SUMIF($AV$3:$BE$3,AV$60,$AV$4:$BE$4))=0,0,((SUMIF($AV$3:$BE$3,AV$60,$AV145:$BE145))/SUMIF($AV$3:$BE$3,AV$60,$AV$4:$BE$4)))</f>
        <v>0</v>
      </c>
      <c r="AW96" s="199" t="n">
        <f aca="false">IF((SUMIF($AV$3:$BE$3,AW$60,$AV$4:$BE$4))=0,0,((SUMIF($AV$3:$BE$3,AW$60,$AV145:$BE145))/SUMIF($AV$3:$BE$3,AW$60,$AV$4:$BE$4)))</f>
        <v>0</v>
      </c>
      <c r="AX96" s="199" t="n">
        <f aca="false">IF((SUMIF($AV$3:$BE$3,AX$60,$AV$4:$BE$4))=0,0,((SUMIF($AV$3:$BE$3,AX$60,$AV145:$BE145))/SUMIF($AV$3:$BE$3,AX$60,$AV$4:$BE$4)))</f>
        <v>0</v>
      </c>
      <c r="AY96" s="199" t="n">
        <f aca="false">IF((SUMIF($AV$3:$BE$3,AY$60,$AV$4:$BE$4))=0,0,((SUMIF($AV$3:$BE$3,AY$60,$AV145:$BE145))/SUMIF($AV$3:$BE$3,AY$60,$AV$4:$BE$4)))</f>
        <v>0</v>
      </c>
      <c r="AZ96" s="199" t="n">
        <f aca="false">IF((SUMIF($AV$3:$BE$3,AZ$60,$AV$4:$BE$4))=0,0,((SUMIF($AV$3:$BE$3,AZ$60,$AV145:$BE145))/SUMIF($AV$3:$BE$3,AZ$60,$AV$4:$BE$4)))</f>
        <v>0</v>
      </c>
      <c r="BA96" s="199" t="n">
        <f aca="false">IF((SUMIF($AV$3:$BE$3,BA$60,$AV$4:$BE$4))=0,0,((SUMIF($AV$3:$BE$3,BA$60,$AV145:$BE145))/SUMIF($AV$3:$BE$3,BA$60,$AV$4:$BE$4)))</f>
        <v>0</v>
      </c>
      <c r="BB96" s="199" t="n">
        <f aca="false">IF((SUMIF($AV$3:$BE$3,BB$60,$AV$4:$BE$4))=0,0,((SUMIF($AV$3:$BE$3,BB$60,$AV145:$BE145))/SUMIF($AV$3:$BE$3,BB$60,$AV$4:$BE$4)))</f>
        <v>0</v>
      </c>
      <c r="BC96" s="199" t="n">
        <f aca="false">IF((SUMIF($AV$3:$BE$3,BC$60,$AV$4:$BE$4))=0,0,((SUMIF($AV$3:$BE$3,BC$60,$AV145:$BE145))/SUMIF($AV$3:$BE$3,BC$60,$AV$4:$BE$4)))</f>
        <v>0</v>
      </c>
      <c r="BD96" s="199" t="n">
        <f aca="false">IF((SUMIF($AV$3:$BE$3,BD$60,$AV$4:$BE$4))=0,0,((SUMIF($AV$3:$BE$3,BD$60,$AV145:$BE145))/SUMIF($AV$3:$BE$3,BD$60,$AV$4:$BE$4)))</f>
        <v>0</v>
      </c>
      <c r="BE96" s="200" t="n">
        <f aca="false">IF((SUMIF($AV$3:$BE$3,BE$60,$AV$4:$BE$4))=0,0,((SUMIF($AV$3:$BE$3,BE$60,$AV145:$BE145))/SUMIF($AV$3:$BE$3,BE$60,$AV$4:$BE$4)))</f>
        <v>0</v>
      </c>
      <c r="BF96" s="194" t="str">
        <f aca="false">AU96</f>
        <v>Alumno35</v>
      </c>
      <c r="BG96" s="198" t="n">
        <f aca="false">IF((SUMIF($BG$3:$BP$3,BG$60,$BG$4:$BP$4))=0,0,((SUMIF($BG$3:$BP$3,BG$60,$BG145:$BP145))/SUMIF($BG$3:$BP$3,BG$60,$BG$4:$BP$4)))</f>
        <v>0</v>
      </c>
      <c r="BH96" s="199" t="n">
        <f aca="false">IF((SUMIF($BG$3:$BP$3,BH$60,$BG$4:$BP$4))=0,0,((SUMIF($BG$3:$BP$3,BH$60,$BG145:$BP145))/SUMIF($BG$3:$BP$3,BH$60,$BG$4:$BP$4)))</f>
        <v>0</v>
      </c>
      <c r="BI96" s="199" t="n">
        <f aca="false">IF((SUMIF($BG$3:$BP$3,BI$60,$BG$4:$BP$4))=0,0,((SUMIF($BG$3:$BP$3,BI$60,$BG145:$BP145))/SUMIF($BG$3:$BP$3,BI$60,$BG$4:$BP$4)))</f>
        <v>0</v>
      </c>
      <c r="BJ96" s="199" t="n">
        <f aca="false">IF((SUMIF($BG$3:$BP$3,BJ$60,$BG$4:$BP$4))=0,0,((SUMIF($BG$3:$BP$3,BJ$60,$BG145:$BP145))/SUMIF($BG$3:$BP$3,BJ$60,$BG$4:$BP$4)))</f>
        <v>0</v>
      </c>
      <c r="BK96" s="199" t="n">
        <f aca="false">IF((SUMIF($BG$3:$BP$3,BK$60,$BG$4:$BP$4))=0,0,((SUMIF($BG$3:$BP$3,BK$60,$BG145:$BP145))/SUMIF($BG$3:$BP$3,BK$60,$BG$4:$BP$4)))</f>
        <v>0</v>
      </c>
      <c r="BL96" s="199" t="n">
        <f aca="false">IF((SUMIF($BG$3:$BP$3,BL$60,$BG$4:$BP$4))=0,0,((SUMIF($BG$3:$BP$3,BL$60,$BG145:$BP145))/SUMIF($BG$3:$BP$3,BL$60,$BG$4:$BP$4)))</f>
        <v>0</v>
      </c>
      <c r="BM96" s="199" t="n">
        <f aca="false">IF((SUMIF($BG$3:$BP$3,BM$60,$BG$4:$BP$4))=0,0,((SUMIF($BG$3:$BP$3,BM$60,$BG145:$BP145))/SUMIF($BG$3:$BP$3,BM$60,$BG$4:$BP$4)))</f>
        <v>0</v>
      </c>
      <c r="BN96" s="199" t="n">
        <f aca="false">IF((SUMIF($BG$3:$BP$3,BN$60,$BG$4:$BP$4))=0,0,((SUMIF($BG$3:$BP$3,BN$60,$BG145:$BP145))/SUMIF($BG$3:$BP$3,BN$60,$BG$4:$BP$4)))</f>
        <v>0</v>
      </c>
      <c r="BO96" s="199" t="n">
        <f aca="false">IF((SUMIF($BG$3:$BP$3,BO$60,$BG$4:$BP$4))=0,0,((SUMIF($BG$3:$BP$3,BO$60,$BG145:$BP145))/SUMIF($BG$3:$BP$3,BO$60,$BG$4:$BP$4)))</f>
        <v>0</v>
      </c>
      <c r="BP96" s="200" t="n">
        <f aca="false">IF((SUMIF($BG$3:$BP$3,BP$60,$BG$4:$BP$4))=0,0,((SUMIF($BG$3:$BP$3,BP$60,$BG145:$BP145))/SUMIF($BG$3:$BP$3,BP$60,$BG$4:$BP$4)))</f>
        <v>0</v>
      </c>
      <c r="BQ96" s="194" t="str">
        <f aca="false">BF96</f>
        <v>Alumno35</v>
      </c>
      <c r="BR96" s="198" t="n">
        <f aca="false">IF((SUMIF($BR$3:$CA$3,BR$60,$BR$4:$CA$4))=0,0,((SUMIF($BR$3:$CA$3,BR$60,$BR145:$CA145))/SUMIF($BR$3:$CA$3,BR$60,$BR$4:$CA$4)))</f>
        <v>0</v>
      </c>
      <c r="BS96" s="199" t="n">
        <f aca="false">IF((SUMIF($BR$3:$CA$3,BS$60,$BR$4:$CA$4))=0,0,((SUMIF($BR$3:$CA$3,BS$60,$BR145:$CA145))/SUMIF($BR$3:$CA$3,BS$60,$BR$4:$CA$4)))</f>
        <v>0</v>
      </c>
      <c r="BT96" s="199" t="n">
        <f aca="false">IF((SUMIF($BR$3:$CA$3,BT$60,$BR$4:$CA$4))=0,0,((SUMIF($BR$3:$CA$3,BT$60,$BR145:$CA145))/SUMIF($BR$3:$CA$3,BT$60,$BR$4:$CA$4)))</f>
        <v>0</v>
      </c>
      <c r="BU96" s="199" t="n">
        <f aca="false">IF((SUMIF($BR$3:$CA$3,BU$60,$BR$4:$CA$4))=0,0,((SUMIF($BR$3:$CA$3,BU$60,$BR145:$CA145))/SUMIF($BR$3:$CA$3,BU$60,$BR$4:$CA$4)))</f>
        <v>0</v>
      </c>
      <c r="BV96" s="199" t="n">
        <f aca="false">IF((SUMIF($BR$3:$CA$3,BV$60,$BR$4:$CA$4))=0,0,((SUMIF($BR$3:$CA$3,BV$60,$BR145:$CA145))/SUMIF($BR$3:$CA$3,BV$60,$BR$4:$CA$4)))</f>
        <v>0</v>
      </c>
      <c r="BW96" s="199" t="n">
        <f aca="false">IF((SUMIF($BR$3:$CA$3,BW$60,$BR$4:$CA$4))=0,0,((SUMIF($BR$3:$CA$3,BW$60,$BR145:$CA145))/SUMIF($BR$3:$CA$3,BW$60,$BR$4:$CA$4)))</f>
        <v>0</v>
      </c>
      <c r="BX96" s="199" t="n">
        <f aca="false">IF((SUMIF($BR$3:$CA$3,BX$60,$BR$4:$CA$4))=0,0,((SUMIF($BR$3:$CA$3,BX$60,$BR145:$CA145))/SUMIF($BR$3:$CA$3,BX$60,$BR$4:$CA$4)))</f>
        <v>0</v>
      </c>
      <c r="BY96" s="199" t="n">
        <f aca="false">IF((SUMIF($BR$3:$CA$3,BY$60,$BR$4:$CA$4))=0,0,((SUMIF($BR$3:$CA$3,BY$60,$BR145:$CA145))/SUMIF($BR$3:$CA$3,BY$60,$BR$4:$CA$4)))</f>
        <v>0</v>
      </c>
      <c r="BZ96" s="199" t="n">
        <f aca="false">IF((SUMIF($BR$3:$CA$3,BZ$60,$BR$4:$CA$4))=0,0,((SUMIF($BR$3:$CA$3,BZ$60,$BR145:$CA145))/SUMIF($BR$3:$CA$3,BZ$60,$BR$4:$CA$4)))</f>
        <v>0</v>
      </c>
      <c r="CA96" s="200" t="n">
        <f aca="false">IF((SUMIF($BR$3:$CA$3,CA$60,$BR$4:$CA$4))=0,0,((SUMIF($BR$3:$CA$3,CA$60,$BR145:$CA145))/SUMIF($BR$3:$CA$3,CA$60,$BR$4:$CA$4)))</f>
        <v>0</v>
      </c>
      <c r="CB96" s="194" t="str">
        <f aca="false">BQ96</f>
        <v>Alumno35</v>
      </c>
      <c r="CC96" s="198" t="n">
        <f aca="false">IF((SUMIF($CC$3:$CL$3,CC$60,$CC$4:$CL$4))=0,0,((SUMIF($CC$3:$CL$3,CC$60,$CC145:$CL145))/SUMIF($CC$3:$CL$3,CC$60,$CC$4:$CL$4)))</f>
        <v>0</v>
      </c>
      <c r="CD96" s="199" t="n">
        <f aca="false">IF((SUMIF($CC$3:$CL$3,CD$60,$CC$4:$CL$4))=0,0,((SUMIF($CC$3:$CL$3,CD$60,$CC145:$CL145))/SUMIF($CC$3:$CL$3,CD$60,$CC$4:$CL$4)))</f>
        <v>0</v>
      </c>
      <c r="CE96" s="199" t="n">
        <f aca="false">IF((SUMIF($CC$3:$CL$3,CE$60,$CC$4:$CL$4))=0,0,((SUMIF($CC$3:$CL$3,CE$60,$CC145:$CL145))/SUMIF($CC$3:$CL$3,CE$60,$CC$4:$CL$4)))</f>
        <v>0</v>
      </c>
      <c r="CF96" s="199" t="n">
        <f aca="false">IF((SUMIF($CC$3:$CL$3,CF$60,$CC$4:$CL$4))=0,0,((SUMIF($CC$3:$CL$3,CF$60,$CC145:$CL145))/SUMIF($CC$3:$CL$3,CF$60,$CC$4:$CL$4)))</f>
        <v>0</v>
      </c>
      <c r="CG96" s="199" t="n">
        <f aca="false">IF((SUMIF($CC$3:$CL$3,CG$60,$CC$4:$CL$4))=0,0,((SUMIF($CC$3:$CL$3,CG$60,$CC145:$CL145))/SUMIF($CC$3:$CL$3,CG$60,$CC$4:$CL$4)))</f>
        <v>0</v>
      </c>
      <c r="CH96" s="199" t="n">
        <f aca="false">IF((SUMIF($CC$3:$CL$3,CH$60,$CC$4:$CL$4))=0,0,((SUMIF($CC$3:$CL$3,CH$60,$CC145:$CL145))/SUMIF($CC$3:$CL$3,CH$60,$CC$4:$CL$4)))</f>
        <v>0</v>
      </c>
      <c r="CI96" s="199" t="n">
        <f aca="false">IF((SUMIF($CC$3:$CL$3,CI$60,$CC$4:$CL$4))=0,0,((SUMIF($CC$3:$CL$3,CI$60,$CC145:$CL145))/SUMIF($CC$3:$CL$3,CI$60,$CC$4:$CL$4)))</f>
        <v>0</v>
      </c>
      <c r="CJ96" s="199" t="n">
        <f aca="false">IF((SUMIF($CC$3:$CL$3,CJ$60,$CC$4:$CL$4))=0,0,((SUMIF($CC$3:$CL$3,CJ$60,$CC145:$CL145))/SUMIF($CC$3:$CL$3,CJ$60,$CC$4:$CL$4)))</f>
        <v>0</v>
      </c>
      <c r="CK96" s="199" t="n">
        <f aca="false">IF((SUMIF($CC$3:$CL$3,CK$60,$CC$4:$CL$4))=0,0,((SUMIF($CC$3:$CL$3,CK$60,$CC145:$CL145))/SUMIF($CC$3:$CL$3,CK$60,$CC$4:$CL$4)))</f>
        <v>0</v>
      </c>
      <c r="CL96" s="200" t="n">
        <f aca="false">IF((SUMIF($CC$3:$CL$3,CL$60,$CC$4:$CL$4))=0,0,((SUMIF($CC$3:$CL$3,CL$60,$CC145:$CL145))/SUMIF($CC$3:$CL$3,CL$60,$CC$4:$CL$4)))</f>
        <v>0</v>
      </c>
      <c r="CM96" s="194" t="str">
        <f aca="false">CB96</f>
        <v>Alumno35</v>
      </c>
      <c r="CN96" s="198" t="n">
        <f aca="false">IF((SUMIF($CN$3:$CW$3,CN$60,$CN$4:$CW$4))=0,0,((SUMIF($CN$3:$CW$3,CN$60,$CN145:$CW145))/SUMIF($CN$3:$CW$3,CN$60,$CN$4:$CW$4)))</f>
        <v>0</v>
      </c>
      <c r="CO96" s="199" t="n">
        <f aca="false">IF((SUMIF($CN$3:$CW$3,CO$60,$CN$4:$CW$4))=0,0,((SUMIF($CN$3:$CW$3,CO$60,$CN145:$CW145))/SUMIF($CN$3:$CW$3,CO$60,$CN$4:$CW$4)))</f>
        <v>0</v>
      </c>
      <c r="CP96" s="199" t="n">
        <f aca="false">IF((SUMIF($CN$3:$CW$3,CP$60,$CN$4:$CW$4))=0,0,((SUMIF($CN$3:$CW$3,CP$60,$CN145:$CW145))/SUMIF($CN$3:$CW$3,CP$60,$CN$4:$CW$4)))</f>
        <v>0</v>
      </c>
      <c r="CQ96" s="199" t="n">
        <f aca="false">IF((SUMIF($CN$3:$CW$3,CQ$60,$CN$4:$CW$4))=0,0,((SUMIF($CN$3:$CW$3,CQ$60,$CN145:$CW145))/SUMIF($CN$3:$CW$3,CQ$60,$CN$4:$CW$4)))</f>
        <v>0</v>
      </c>
      <c r="CR96" s="199" t="n">
        <f aca="false">IF((SUMIF($CN$3:$CW$3,CR$60,$CN$4:$CW$4))=0,0,((SUMIF($CN$3:$CW$3,CR$60,$CN145:$CW145))/SUMIF($CN$3:$CW$3,CR$60,$CN$4:$CW$4)))</f>
        <v>0</v>
      </c>
      <c r="CS96" s="199" t="n">
        <f aca="false">IF((SUMIF($CN$3:$CW$3,CS$60,$CN$4:$CW$4))=0,0,((SUMIF($CN$3:$CW$3,CS$60,$CN145:$CW145))/SUMIF($CN$3:$CW$3,CS$60,$CN$4:$CW$4)))</f>
        <v>0</v>
      </c>
      <c r="CT96" s="199" t="n">
        <f aca="false">IF((SUMIF($CN$3:$CW$3,CT$60,$CN$4:$CW$4))=0,0,((SUMIF($CN$3:$CW$3,CT$60,$CN145:$CW145))/SUMIF($CN$3:$CW$3,CT$60,$CN$4:$CW$4)))</f>
        <v>0</v>
      </c>
      <c r="CU96" s="199" t="n">
        <f aca="false">IF((SUMIF($CN$3:$CW$3,CU$60,$CN$4:$CW$4))=0,0,((SUMIF($CN$3:$CW$3,CU$60,$CN145:$CW145))/SUMIF($CN$3:$CW$3,CU$60,$CN$4:$CW$4)))</f>
        <v>0</v>
      </c>
      <c r="CV96" s="199" t="n">
        <f aca="false">IF((SUMIF($CN$3:$CW$3,CV$60,$CN$4:$CW$4))=0,0,((SUMIF($CN$3:$CW$3,CV$60,$CN145:$CW145))/SUMIF($CN$3:$CW$3,CV$60,$CN$4:$CW$4)))</f>
        <v>0</v>
      </c>
      <c r="CW96" s="200" t="n">
        <f aca="false">IF((SUMIF($CN$3:$CW$3,CW$60,$CN$4:$CW$4))=0,0,((SUMIF($CN$3:$CW$3,CW$60,$CN145:$CW145))/SUMIF($CN$3:$CW$3,CW$60,$CN$4:$CW$4)))</f>
        <v>0</v>
      </c>
      <c r="CX96" s="194" t="str">
        <f aca="false">CM96</f>
        <v>Alumno35</v>
      </c>
      <c r="CY96" s="198" t="n">
        <f aca="false">IF((SUMIF($CY$3:$DH$3,CY$60,$CY$4:$DH$4))=0,0,((SUMIF($CY$3:$DH$3,CY$60,$CY145:$DH145))/SUMIF($CY$3:$DH$3,CY$60,$CY$4:$DH$4)))</f>
        <v>0</v>
      </c>
      <c r="CZ96" s="199" t="n">
        <f aca="false">IF((SUMIF($CY$3:$DH$3,CZ$60,$CY$4:$DH$4))=0,0,((SUMIF($CY$3:$DH$3,CZ$60,$CY145:$DH145))/SUMIF($CY$3:$DH$3,CZ$60,$CY$4:$DH$4)))</f>
        <v>0</v>
      </c>
      <c r="DA96" s="199" t="n">
        <f aca="false">IF((SUMIF($CY$3:$DH$3,DA$60,$CY$4:$DH$4))=0,0,((SUMIF($CY$3:$DH$3,DA$60,$CY145:$DH145))/SUMIF($CY$3:$DH$3,DA$60,$CY$4:$DH$4)))</f>
        <v>0</v>
      </c>
      <c r="DB96" s="199" t="n">
        <f aca="false">IF((SUMIF($CY$3:$DH$3,DB$60,$CY$4:$DH$4))=0,0,((SUMIF($CY$3:$DH$3,DB$60,$CY145:$DH145))/SUMIF($CY$3:$DH$3,DB$60,$CY$4:$DH$4)))</f>
        <v>0</v>
      </c>
      <c r="DC96" s="199" t="n">
        <f aca="false">IF((SUMIF($CY$3:$DH$3,DC$60,$CY$4:$DH$4))=0,0,((SUMIF($CY$3:$DH$3,DC$60,$CY145:$DH145))/SUMIF($CY$3:$DH$3,DC$60,$CY$4:$DH$4)))</f>
        <v>0</v>
      </c>
      <c r="DD96" s="199" t="n">
        <f aca="false">IF((SUMIF($CY$3:$DH$3,DD$60,$CY$4:$DH$4))=0,0,((SUMIF($CY$3:$DH$3,DD$60,$CY145:$DH145))/SUMIF($CY$3:$DH$3,DD$60,$CY$4:$DH$4)))</f>
        <v>0</v>
      </c>
      <c r="DE96" s="199" t="n">
        <f aca="false">IF((SUMIF($CY$3:$DH$3,DE$60,$CY$4:$DH$4))=0,0,((SUMIF($CY$3:$DH$3,DE$60,$CY145:$DH145))/SUMIF($CY$3:$DH$3,DE$60,$CY$4:$DH$4)))</f>
        <v>0</v>
      </c>
      <c r="DF96" s="199" t="n">
        <f aca="false">IF((SUMIF($CY$3:$DH$3,DF$60,$CY$4:$DH$4))=0,0,((SUMIF($CY$3:$DH$3,DF$60,$CY145:$DH145))/SUMIF($CY$3:$DH$3,DF$60,$CY$4:$DH$4)))</f>
        <v>0</v>
      </c>
      <c r="DG96" s="199" t="n">
        <f aca="false">IF((SUMIF($CY$3:$DH$3,DG$60,$CY$4:$DH$4))=0,0,((SUMIF($CY$3:$DH$3,DG$60,$CY145:$DH145))/SUMIF($CY$3:$DH$3,DG$60,$CY$4:$DH$4)))</f>
        <v>0</v>
      </c>
      <c r="DH96" s="200" t="n">
        <f aca="false">IF((SUMIF($CY$3:$DH$3,DH$60,$CY$4:$DH$4))=0,0,((SUMIF($CY$3:$DH$3,DH$60,$CY145:$DH145))/SUMIF($CY$3:$DH$3,DH$60,$CY$4:$DH$4)))</f>
        <v>0</v>
      </c>
      <c r="DI96" s="194" t="str">
        <f aca="false">CX96</f>
        <v>Alumno35</v>
      </c>
      <c r="DJ96" s="198" t="n">
        <f aca="false">IF((SUMIF($DJ$3:$DS$3,DJ$60,$DJ$4:$DS$4))=0,0,((SUMIF($DJ$3:$DS$3,DJ$60,$DJ145:$DS145))/SUMIF($DJ$3:$DS$3,DJ$60,$DJ$4:$DS$4)))</f>
        <v>0</v>
      </c>
      <c r="DK96" s="199" t="n">
        <f aca="false">IF((SUMIF($DJ$3:$DS$3,DK$60,$DJ$4:$DS$4))=0,0,((SUMIF($DJ$3:$DS$3,DK$60,$DJ145:$DS145))/SUMIF($DJ$3:$DS$3,DK$60,$DJ$4:$DS$4)))</f>
        <v>0</v>
      </c>
      <c r="DL96" s="199" t="n">
        <f aca="false">IF((SUMIF($DJ$3:$DS$3,DL$60,$DJ$4:$DS$4))=0,0,((SUMIF($DJ$3:$DS$3,DL$60,$DJ145:$DS145))/SUMIF($DJ$3:$DS$3,DL$60,$DJ$4:$DS$4)))</f>
        <v>0</v>
      </c>
      <c r="DM96" s="199" t="n">
        <f aca="false">IF((SUMIF($DJ$3:$DS$3,DM$60,$DJ$4:$DS$4))=0,0,((SUMIF($DJ$3:$DS$3,DM$60,$DJ145:$DS145))/SUMIF($DJ$3:$DS$3,DM$60,$DJ$4:$DS$4)))</f>
        <v>0</v>
      </c>
      <c r="DN96" s="199" t="n">
        <f aca="false">IF((SUMIF($DJ$3:$DS$3,DN$60,$DJ$4:$DS$4))=0,0,((SUMIF($DJ$3:$DS$3,DN$60,$DJ145:$DS145))/SUMIF($DJ$3:$DS$3,DN$60,$DJ$4:$DS$4)))</f>
        <v>0</v>
      </c>
      <c r="DO96" s="199" t="n">
        <f aca="false">IF((SUMIF($DJ$3:$DS$3,DO$60,$DJ$4:$DS$4))=0,0,((SUMIF($DJ$3:$DS$3,DO$60,$DJ145:$DS145))/SUMIF($DJ$3:$DS$3,DO$60,$DJ$4:$DS$4)))</f>
        <v>0</v>
      </c>
      <c r="DP96" s="199" t="n">
        <f aca="false">IF((SUMIF($DJ$3:$DS$3,DP$60,$DJ$4:$DS$4))=0,0,((SUMIF($DJ$3:$DS$3,DP$60,$DJ145:$DS145))/SUMIF($DJ$3:$DS$3,DP$60,$DJ$4:$DS$4)))</f>
        <v>0</v>
      </c>
      <c r="DQ96" s="199" t="n">
        <f aca="false">IF((SUMIF($DJ$3:$DS$3,DQ$60,$DJ$4:$DS$4))=0,0,((SUMIF($DJ$3:$DS$3,DQ$60,$DJ145:$DS145))/SUMIF($DJ$3:$DS$3,DQ$60,$DJ$4:$DS$4)))</f>
        <v>0</v>
      </c>
      <c r="DR96" s="199" t="n">
        <f aca="false">IF((SUMIF($DJ$3:$DS$3,DR$60,$DJ$4:$DS$4))=0,0,((SUMIF($DJ$3:$DS$3,DR$60,$DJ145:$DS145))/SUMIF($DJ$3:$DS$3,DR$60,$DJ$4:$DS$4)))</f>
        <v>0</v>
      </c>
      <c r="DS96" s="200" t="n">
        <f aca="false">IF((SUMIF($DJ$3:$DS$3,DS$60,$DJ$4:$DS$4))=0,0,((SUMIF($DJ$3:$DS$3,DS$60,$DJ145:$DS145))/SUMIF($DJ$3:$DS$3,DS$60,$DJ$4:$DS$4)))</f>
        <v>0</v>
      </c>
      <c r="DT96" s="194" t="str">
        <f aca="false">DI96</f>
        <v>Alumno35</v>
      </c>
      <c r="DU96" s="198" t="n">
        <f aca="false">IF((SUMIF($DU$3:$ED$3,DU$60,$DU$4:$ED$4))=0,0,((SUMIF($DU$3:$ED$3,DU$60,$DU145:$ED145))/SUMIF($DU$3:$ED$3,DU$60,$DU$4:$ED$4)))</f>
        <v>0</v>
      </c>
      <c r="DV96" s="199" t="n">
        <f aca="false">IF((SUMIF($DU$3:$ED$3,DV$60,$DU$4:$ED$4))=0,0,((SUMIF($DU$3:$ED$3,DV$60,$DU145:$ED145))/SUMIF($DU$3:$ED$3,DV$60,$DU$4:$ED$4)))</f>
        <v>0</v>
      </c>
      <c r="DW96" s="199" t="n">
        <f aca="false">IF((SUMIF($DU$3:$ED$3,DW$60,$DU$4:$ED$4))=0,0,((SUMIF($DU$3:$ED$3,DW$60,$DU145:$ED145))/SUMIF($DU$3:$ED$3,DW$60,$DU$4:$ED$4)))</f>
        <v>0</v>
      </c>
      <c r="DX96" s="199" t="n">
        <f aca="false">IF((SUMIF($DU$3:$ED$3,DX$60,$DU$4:$ED$4))=0,0,((SUMIF($DU$3:$ED$3,DX$60,$DU145:$ED145))/SUMIF($DU$3:$ED$3,DX$60,$DU$4:$ED$4)))</f>
        <v>0</v>
      </c>
      <c r="DY96" s="199" t="n">
        <f aca="false">IF((SUMIF($DU$3:$ED$3,DY$60,$DU$4:$ED$4))=0,0,((SUMIF($DU$3:$ED$3,DY$60,$DU145:$ED145))/SUMIF($DU$3:$ED$3,DY$60,$DU$4:$ED$4)))</f>
        <v>0</v>
      </c>
      <c r="DZ96" s="199" t="n">
        <f aca="false">IF((SUMIF($DU$3:$ED$3,DZ$60,$DU$4:$ED$4))=0,0,((SUMIF($DU$3:$ED$3,DZ$60,$DU145:$ED145))/SUMIF($DU$3:$ED$3,DZ$60,$DU$4:$ED$4)))</f>
        <v>0</v>
      </c>
      <c r="EA96" s="199" t="n">
        <f aca="false">IF((SUMIF($DU$3:$ED$3,EA$60,$DU$4:$ED$4))=0,0,((SUMIF($DU$3:$ED$3,EA$60,$DU145:$ED145))/SUMIF($DU$3:$ED$3,EA$60,$DU$4:$ED$4)))</f>
        <v>0</v>
      </c>
      <c r="EB96" s="199" t="n">
        <f aca="false">IF((SUMIF($DU$3:$ED$3,EB$60,$DU$4:$ED$4))=0,0,((SUMIF($DU$3:$ED$3,EB$60,$DU145:$ED145))/SUMIF($DU$3:$ED$3,EB$60,$DU$4:$ED$4)))</f>
        <v>0</v>
      </c>
      <c r="EC96" s="199" t="n">
        <f aca="false">IF((SUMIF($DU$3:$ED$3,EC$60,$DU$4:$ED$4))=0,0,((SUMIF($DU$3:$ED$3,EC$60,$DU145:$ED145))/SUMIF($DU$3:$ED$3,EC$60,$DU$4:$ED$4)))</f>
        <v>0</v>
      </c>
      <c r="ED96" s="200" t="n">
        <f aca="false">IF((SUMIF($DU$3:$ED$3,ED$60,$DU$4:$ED$4))=0,0,((SUMIF($DU$3:$ED$3,ED$60,$DU145:$ED145))/SUMIF($DU$3:$ED$3,ED$60,$DU$4:$ED$4)))</f>
        <v>0</v>
      </c>
      <c r="EE96" s="194" t="str">
        <f aca="false">DT96</f>
        <v>Alumno35</v>
      </c>
      <c r="EF96" s="198" t="n">
        <f aca="false">IF((SUMIF($EF$3:$EO$3,EF$60,$EF$4:$EO$4))=0,0,((SUMIF($EF$3:$EO$3,EF$60,$EF145:$EO145))/SUMIF($EF$3:$EO$3,EF$60,$EF$4:$EO$4)))</f>
        <v>0</v>
      </c>
      <c r="EG96" s="199" t="n">
        <f aca="false">IF((SUMIF($EF$3:$EO$3,EG$60,$EF$4:$EO$4))=0,0,((SUMIF($EF$3:$EO$3,EG$60,$EF145:$EO145))/SUMIF($EF$3:$EO$3,EG$60,$EF$4:$EO$4)))</f>
        <v>0</v>
      </c>
      <c r="EH96" s="199" t="n">
        <f aca="false">IF((SUMIF($EF$3:$EO$3,EH$60,$EF$4:$EO$4))=0,0,((SUMIF($EF$3:$EO$3,EH$60,$EF145:$EO145))/SUMIF($EF$3:$EO$3,EH$60,$EF$4:$EO$4)))</f>
        <v>0</v>
      </c>
      <c r="EI96" s="199" t="n">
        <f aca="false">IF((SUMIF($EF$3:$EO$3,EI$60,$EF$4:$EO$4))=0,0,((SUMIF($EF$3:$EO$3,EI$60,$EF145:$EO145))/SUMIF($EF$3:$EO$3,EI$60,$EF$4:$EO$4)))</f>
        <v>0</v>
      </c>
      <c r="EJ96" s="199" t="n">
        <f aca="false">IF((SUMIF($EF$3:$EO$3,EJ$60,$EF$4:$EO$4))=0,0,((SUMIF($EF$3:$EO$3,EJ$60,$EF145:$EO145))/SUMIF($EF$3:$EO$3,EJ$60,$EF$4:$EO$4)))</f>
        <v>0</v>
      </c>
      <c r="EK96" s="199" t="n">
        <f aca="false">IF((SUMIF($EF$3:$EO$3,EK$60,$EF$4:$EO$4))=0,0,((SUMIF($EF$3:$EO$3,EK$60,$EF145:$EO145))/SUMIF($EF$3:$EO$3,EK$60,$EF$4:$EO$4)))</f>
        <v>0</v>
      </c>
      <c r="EL96" s="199" t="n">
        <f aca="false">IF((SUMIF($EF$3:$EO$3,EL$60,$EF$4:$EO$4))=0,0,((SUMIF($EF$3:$EO$3,EL$60,$EF145:$EO145))/SUMIF($EF$3:$EO$3,EL$60,$EF$4:$EO$4)))</f>
        <v>0</v>
      </c>
      <c r="EM96" s="199" t="n">
        <f aca="false">IF((SUMIF($EF$3:$EO$3,EM$60,$EF$4:$EO$4))=0,0,((SUMIF($EF$3:$EO$3,EM$60,$EF145:$EO145))/SUMIF($EF$3:$EO$3,EM$60,$EF$4:$EO$4)))</f>
        <v>0</v>
      </c>
      <c r="EN96" s="199" t="n">
        <f aca="false">IF((SUMIF($EF$3:$EO$3,EN$60,$EF$4:$EO$4))=0,0,((SUMIF($EF$3:$EO$3,EN$60,$EF145:$EO145))/SUMIF($EF$3:$EO$3,EN$60,$EF$4:$EO$4)))</f>
        <v>0</v>
      </c>
      <c r="EO96" s="200" t="n">
        <f aca="false">IF((SUMIF($EF$3:$EO$3,EO$60,$EF$4:$EO$4))=0,0,((SUMIF($EF$3:$EO$3,EO$60,$EF145:$EO145))/SUMIF($EF$3:$EO$3,EO$60,$EF$4:$EO$4)))</f>
        <v>0</v>
      </c>
      <c r="EP96" s="194" t="str">
        <f aca="false">EE96</f>
        <v>Alumno35</v>
      </c>
      <c r="EQ96" s="198" t="n">
        <f aca="false">IF((SUMIF($EQ$3:$EZ$3,EQ$60,$EQ$4:$EZ$4))=0,0,((SUMIF($EQ$3:$EZ$3,EQ$60,$EQ145:$EZ145))/SUMIF($EQ$3:$EZ$3,EQ$60,$EQ$4:$EZ$4)))</f>
        <v>0</v>
      </c>
      <c r="ER96" s="199" t="n">
        <f aca="false">IF((SUMIF($EQ$3:$EZ$3,ER$60,$EQ$4:$EZ$4))=0,0,((SUMIF($EQ$3:$EZ$3,ER$60,$EQ145:$EZ145))/SUMIF($EQ$3:$EZ$3,ER$60,$EQ$4:$EZ$4)))</f>
        <v>0</v>
      </c>
      <c r="ES96" s="199" t="n">
        <f aca="false">IF((SUMIF($EQ$3:$EZ$3,ES$60,$EQ$4:$EZ$4))=0,0,((SUMIF($EQ$3:$EZ$3,ES$60,$EQ145:$EZ145))/SUMIF($EQ$3:$EZ$3,ES$60,$EQ$4:$EZ$4)))</f>
        <v>0</v>
      </c>
      <c r="ET96" s="199" t="n">
        <f aca="false">IF((SUMIF($EQ$3:$EZ$3,ET$60,$EQ$4:$EZ$4))=0,0,((SUMIF($EQ$3:$EZ$3,ET$60,$EQ145:$EZ145))/SUMIF($EQ$3:$EZ$3,ET$60,$EQ$4:$EZ$4)))</f>
        <v>0</v>
      </c>
      <c r="EU96" s="199" t="n">
        <f aca="false">IF((SUMIF($EQ$3:$EZ$3,EU$60,$EQ$4:$EZ$4))=0,0,((SUMIF($EQ$3:$EZ$3,EU$60,$EQ145:$EZ145))/SUMIF($EQ$3:$EZ$3,EU$60,$EQ$4:$EZ$4)))</f>
        <v>0</v>
      </c>
      <c r="EV96" s="199" t="n">
        <f aca="false">IF((SUMIF($EQ$3:$EZ$3,EV$60,$EQ$4:$EZ$4))=0,0,((SUMIF($EQ$3:$EZ$3,EV$60,$EQ145:$EZ145))/SUMIF($EQ$3:$EZ$3,EV$60,$EQ$4:$EZ$4)))</f>
        <v>0</v>
      </c>
      <c r="EW96" s="199" t="n">
        <f aca="false">IF((SUMIF($EQ$3:$EZ$3,EW$60,$EQ$4:$EZ$4))=0,0,((SUMIF($EQ$3:$EZ$3,EW$60,$EQ145:$EZ145))/SUMIF($EQ$3:$EZ$3,EW$60,$EQ$4:$EZ$4)))</f>
        <v>0</v>
      </c>
      <c r="EX96" s="199" t="n">
        <f aca="false">IF((SUMIF($EQ$3:$EZ$3,EX$60,$EQ$4:$EZ$4))=0,0,((SUMIF($EQ$3:$EZ$3,EX$60,$EQ145:$EZ145))/SUMIF($EQ$3:$EZ$3,EX$60,$EQ$4:$EZ$4)))</f>
        <v>0</v>
      </c>
      <c r="EY96" s="199" t="n">
        <f aca="false">IF((SUMIF($EQ$3:$EZ$3,EY$60,$EQ$4:$EZ$4))=0,0,((SUMIF($EQ$3:$EZ$3,EY$60,$EQ145:$EZ145))/SUMIF($EQ$3:$EZ$3,EY$60,$EQ$4:$EZ$4)))</f>
        <v>0</v>
      </c>
      <c r="EZ96" s="200" t="n">
        <f aca="false">IF((SUMIF($EQ$3:$EZ$3,EZ$60,$EQ$4:$EZ$4))=0,0,((SUMIF($EQ$3:$EZ$3,EZ$60,$EQ145:$EZ145))/SUMIF($EQ$3:$EZ$3,EZ$60,$EQ$4:$EZ$4)))</f>
        <v>0</v>
      </c>
      <c r="FA96" s="194" t="str">
        <f aca="false">EP96</f>
        <v>Alumno35</v>
      </c>
      <c r="FB96" s="198" t="n">
        <f aca="false">IF((SUMIF($FB$3:$FK$3,FB$60,$FB$4:$FK$4))=0,0,((SUMIF($FB$3:$FK$3,FB$60,$FB145:$FK145))/SUMIF($FB$3:$FK$3,FB$60,$FB$4:$FK$4)))</f>
        <v>0</v>
      </c>
      <c r="FC96" s="199" t="n">
        <f aca="false">IF((SUMIF($FB$3:$FK$3,FC$60,$FB$4:$FK$4))=0,0,((SUMIF($FB$3:$FK$3,FC$60,$FB145:$FK145))/SUMIF($FB$3:$FK$3,FC$60,$FB$4:$FK$4)))</f>
        <v>0</v>
      </c>
      <c r="FD96" s="199" t="n">
        <f aca="false">IF((SUMIF($FB$3:$FK$3,FD$60,$FB$4:$FK$4))=0,0,((SUMIF($FB$3:$FK$3,FD$60,$FB145:$FK145))/SUMIF($FB$3:$FK$3,FD$60,$FB$4:$FK$4)))</f>
        <v>0</v>
      </c>
      <c r="FE96" s="199" t="n">
        <f aca="false">IF((SUMIF($FB$3:$FK$3,FE$60,$FB$4:$FK$4))=0,0,((SUMIF($FB$3:$FK$3,FE$60,$FB145:$FK145))/SUMIF($FB$3:$FK$3,FE$60,$FB$4:$FK$4)))</f>
        <v>0</v>
      </c>
      <c r="FF96" s="199" t="n">
        <f aca="false">IF((SUMIF($FB$3:$FK$3,FF$60,$FB$4:$FK$4))=0,0,((SUMIF($FB$3:$FK$3,FF$60,$FB145:$FK145))/SUMIF($FB$3:$FK$3,FF$60,$FB$4:$FK$4)))</f>
        <v>0</v>
      </c>
      <c r="FG96" s="199" t="n">
        <f aca="false">IF((SUMIF($FB$3:$FK$3,FG$60,$FB$4:$FK$4))=0,0,((SUMIF($FB$3:$FK$3,FG$60,$FB145:$FK145))/SUMIF($FB$3:$FK$3,FG$60,$FB$4:$FK$4)))</f>
        <v>0</v>
      </c>
      <c r="FH96" s="199" t="n">
        <f aca="false">IF((SUMIF($FB$3:$FK$3,FH$60,$FB$4:$FK$4))=0,0,((SUMIF($FB$3:$FK$3,FH$60,$FB145:$FK145))/SUMIF($FB$3:$FK$3,FH$60,$FB$4:$FK$4)))</f>
        <v>0</v>
      </c>
      <c r="FI96" s="199" t="n">
        <f aca="false">IF((SUMIF($FB$3:$FK$3,FI$60,$FB$4:$FK$4))=0,0,((SUMIF($FB$3:$FK$3,FI$60,$FB145:$FK145))/SUMIF($FB$3:$FK$3,FI$60,$FB$4:$FK$4)))</f>
        <v>0</v>
      </c>
      <c r="FJ96" s="199" t="n">
        <f aca="false">IF((SUMIF($FB$3:$FK$3,FJ$60,$FB$4:$FK$4))=0,0,((SUMIF($FB$3:$FK$3,FJ$60,$FB145:$FK145))/SUMIF($FB$3:$FK$3,FJ$60,$FB$4:$FK$4)))</f>
        <v>0</v>
      </c>
      <c r="FK96" s="200" t="n">
        <f aca="false">IF((SUMIF($FB$3:$FK$3,FK$60,$FB$4:$FK$4))=0,0,((SUMIF($FB$3:$FK$3,FK$60,$FB145:$FK145))/SUMIF($FB$3:$FK$3,FK$60,$FB$4:$FK$4)))</f>
        <v>0</v>
      </c>
      <c r="FL96" s="194" t="str">
        <f aca="false">FA96</f>
        <v>Alumno35</v>
      </c>
      <c r="FM96" s="198" t="n">
        <f aca="false">IF((SUMIF($FM$3:$FV$3,FM$60,$FM$4:$FV$4))=0,0,((SUMIF($FM$3:$FV$3,FM$60,$FM145:$FV145))/SUMIF($FM$3:$FV$3,FM$60,$FM$4:$FV$4)))</f>
        <v>0</v>
      </c>
      <c r="FN96" s="199" t="n">
        <f aca="false">IF((SUMIF($FM$3:$FV$3,FN$60,$FM$4:$FV$4))=0,0,((SUMIF($FM$3:$FV$3,FN$60,$FM145:$FV145))/SUMIF($FM$3:$FV$3,FN$60,$FM$4:$FV$4)))</f>
        <v>0</v>
      </c>
      <c r="FO96" s="199" t="n">
        <f aca="false">IF((SUMIF($FM$3:$FV$3,FO$60,$FM$4:$FV$4))=0,0,((SUMIF($FM$3:$FV$3,FO$60,$FM145:$FV145))/SUMIF($FM$3:$FV$3,FO$60,$FM$4:$FV$4)))</f>
        <v>0</v>
      </c>
      <c r="FP96" s="199" t="n">
        <f aca="false">IF((SUMIF($FM$3:$FV$3,FP$60,$FM$4:$FV$4))=0,0,((SUMIF($FM$3:$FV$3,FP$60,$FM145:$FV145))/SUMIF($FM$3:$FV$3,FP$60,$FM$4:$FV$4)))</f>
        <v>0</v>
      </c>
      <c r="FQ96" s="199" t="n">
        <f aca="false">IF((SUMIF($FM$3:$FV$3,FQ$60,$FM$4:$FV$4))=0,0,((SUMIF($FM$3:$FV$3,FQ$60,$FM145:$FV145))/SUMIF($FM$3:$FV$3,FQ$60,$FM$4:$FV$4)))</f>
        <v>0</v>
      </c>
      <c r="FR96" s="199" t="n">
        <f aca="false">IF((SUMIF($FM$3:$FV$3,FR$60,$FM$4:$FV$4))=0,0,((SUMIF($FM$3:$FV$3,FR$60,$FM145:$FV145))/SUMIF($FM$3:$FV$3,FR$60,$FM$4:$FV$4)))</f>
        <v>0</v>
      </c>
      <c r="FS96" s="199" t="n">
        <f aca="false">IF((SUMIF($FM$3:$FV$3,FS$60,$FM$4:$FV$4))=0,0,((SUMIF($FM$3:$FV$3,FS$60,$FM145:$FV145))/SUMIF($FM$3:$FV$3,FS$60,$FM$4:$FV$4)))</f>
        <v>0</v>
      </c>
      <c r="FT96" s="199" t="n">
        <f aca="false">IF((SUMIF($FM$3:$FV$3,FT$60,$FM$4:$FV$4))=0,0,((SUMIF($FM$3:$FV$3,FT$60,$FM145:$FV145))/SUMIF($FM$3:$FV$3,FT$60,$FM$4:$FV$4)))</f>
        <v>0</v>
      </c>
      <c r="FU96" s="199" t="n">
        <f aca="false">IF((SUMIF($FM$3:$FV$3,FU$60,$FM$4:$FV$4))=0,0,((SUMIF($FM$3:$FV$3,FU$60,$FM145:$FV145))/SUMIF($FM$3:$FV$3,FU$60,$FM$4:$FV$4)))</f>
        <v>0</v>
      </c>
      <c r="FV96" s="200" t="n">
        <f aca="false">IF((SUMIF($FM$3:$FV$3,FV$60,$FM$4:$FV$4))=0,0,((SUMIF($FM$3:$FV$3,FV$60,$FM145:$FV145))/SUMIF($FM$3:$FV$3,FV$60,$FM$4:$FV$4)))</f>
        <v>0</v>
      </c>
      <c r="FW96" s="194" t="str">
        <f aca="false">FL96</f>
        <v>Alumno35</v>
      </c>
      <c r="FX96" s="198" t="n">
        <f aca="false">IF((SUMIF($FX$3:$GG$3,FX$60,$FX$4:$GG$4))=0,0,((SUMIF($FX$3:$GG$3,FX$60,$FX145:$GG145))/SUMIF($FX$3:$GG$3,FX$60,$FX$4:$GG$4)))</f>
        <v>0</v>
      </c>
      <c r="FY96" s="199" t="n">
        <f aca="false">IF((SUMIF($FX$3:$GG$3,FY$60,$FX$4:$GG$4))=0,0,((SUMIF($FX$3:$GG$3,FY$60,$FX145:$GG145))/SUMIF($FX$3:$GG$3,FY$60,$FX$4:$GG$4)))</f>
        <v>0</v>
      </c>
      <c r="FZ96" s="199" t="n">
        <f aca="false">IF((SUMIF($FX$3:$GG$3,FZ$60,$FX$4:$GG$4))=0,0,((SUMIF($FX$3:$GG$3,FZ$60,$FX145:$GG145))/SUMIF($FX$3:$GG$3,FZ$60,$FX$4:$GG$4)))</f>
        <v>0</v>
      </c>
      <c r="GA96" s="199" t="n">
        <f aca="false">IF((SUMIF($FX$3:$GG$3,GA$60,$FX$4:$GG$4))=0,0,((SUMIF($FX$3:$GG$3,GA$60,$FX145:$GG145))/SUMIF($FX$3:$GG$3,GA$60,$FX$4:$GG$4)))</f>
        <v>0</v>
      </c>
      <c r="GB96" s="199" t="n">
        <f aca="false">IF((SUMIF($FX$3:$GG$3,GB$60,$FX$4:$GG$4))=0,0,((SUMIF($FX$3:$GG$3,GB$60,$FX145:$GG145))/SUMIF($FX$3:$GG$3,GB$60,$FX$4:$GG$4)))</f>
        <v>0</v>
      </c>
      <c r="GC96" s="199" t="n">
        <f aca="false">IF((SUMIF($FX$3:$GG$3,GC$60,$FX$4:$GG$4))=0,0,((SUMIF($FX$3:$GG$3,GC$60,$FX145:$GG145))/SUMIF($FX$3:$GG$3,GC$60,$FX$4:$GG$4)))</f>
        <v>0</v>
      </c>
      <c r="GD96" s="199" t="n">
        <f aca="false">IF((SUMIF($FX$3:$GG$3,GD$60,$FX$4:$GG$4))=0,0,((SUMIF($FX$3:$GG$3,GD$60,$FX145:$GG145))/SUMIF($FX$3:$GG$3,GD$60,$FX$4:$GG$4)))</f>
        <v>0</v>
      </c>
      <c r="GE96" s="199" t="n">
        <f aca="false">IF((SUMIF($FX$3:$GG$3,GE$60,$FX$4:$GG$4))=0,0,((SUMIF($FX$3:$GG$3,GE$60,$FX145:$GG145))/SUMIF($FX$3:$GG$3,GE$60,$FX$4:$GG$4)))</f>
        <v>0</v>
      </c>
      <c r="GF96" s="199" t="n">
        <f aca="false">IF((SUMIF($FX$3:$GG$3,GF$60,$FX$4:$GG$4))=0,0,((SUMIF($FX$3:$GG$3,GF$60,$FX145:$GG145))/SUMIF($FX$3:$GG$3,GF$60,$FX$4:$GG$4)))</f>
        <v>0</v>
      </c>
      <c r="GG96" s="200" t="n">
        <f aca="false">IF((SUMIF($FX$3:$GG$3,GG$60,$FX$4:$GG$4))=0,0,((SUMIF($FX$3:$GG$3,GG$60,$FX145:$GG145))/SUMIF($FX$3:$GG$3,GG$60,$FX$4:$GG$4)))</f>
        <v>0</v>
      </c>
      <c r="GH96" s="194" t="str">
        <f aca="false">FW96</f>
        <v>Alumno35</v>
      </c>
      <c r="GI96" s="198" t="n">
        <f aca="false">IF((SUMIF($GI$3:$GR$3,GI$60,$GI$4:$GR$4))=0,0,((SUMIF($GI$3:$GR$3,GI$60,$GI145:$GR145))/SUMIF($GI$3:$GR$3,GI$60,$GI$4:$GR$4)))</f>
        <v>0</v>
      </c>
      <c r="GJ96" s="199" t="n">
        <f aca="false">IF((SUMIF($GI$3:$GR$3,GJ$60,$GI$4:$GR$4))=0,0,((SUMIF($GI$3:$GR$3,GJ$60,$GI145:$GR145))/SUMIF($GI$3:$GR$3,GJ$60,$GI$4:$GR$4)))</f>
        <v>0</v>
      </c>
      <c r="GK96" s="199" t="n">
        <f aca="false">IF((SUMIF($GI$3:$GR$3,GK$60,$GI$4:$GR$4))=0,0,((SUMIF($GI$3:$GR$3,GK$60,$GI145:$GR145))/SUMIF($GI$3:$GR$3,GK$60,$GI$4:$GR$4)))</f>
        <v>0</v>
      </c>
      <c r="GL96" s="199" t="n">
        <f aca="false">IF((SUMIF($GI$3:$GR$3,GL$60,$GI$4:$GR$4))=0,0,((SUMIF($GI$3:$GR$3,GL$60,$GI145:$GR145))/SUMIF($GI$3:$GR$3,GL$60,$GI$4:$GR$4)))</f>
        <v>0</v>
      </c>
      <c r="GM96" s="199" t="n">
        <f aca="false">IF((SUMIF($GI$3:$GR$3,GM$60,$GI$4:$GR$4))=0,0,((SUMIF($GI$3:$GR$3,GM$60,$GI145:$GR145))/SUMIF($GI$3:$GR$3,GM$60,$GI$4:$GR$4)))</f>
        <v>0</v>
      </c>
      <c r="GN96" s="199" t="n">
        <f aca="false">IF((SUMIF($GI$3:$GR$3,GN$60,$GI$4:$GR$4))=0,0,((SUMIF($GI$3:$GR$3,GN$60,$GI145:$GR145))/SUMIF($GI$3:$GR$3,GN$60,$GI$4:$GR$4)))</f>
        <v>0</v>
      </c>
      <c r="GO96" s="199" t="n">
        <f aca="false">IF((SUMIF($GI$3:$GR$3,GO$60,$GI$4:$GR$4))=0,0,((SUMIF($GI$3:$GR$3,GO$60,$GI145:$GR145))/SUMIF($GI$3:$GR$3,GO$60,$GI$4:$GR$4)))</f>
        <v>0</v>
      </c>
      <c r="GP96" s="199" t="n">
        <f aca="false">IF((SUMIF($GI$3:$GR$3,GP$60,$GI$4:$GR$4))=0,0,((SUMIF($GI$3:$GR$3,GP$60,$GI145:$GR145))/SUMIF($GI$3:$GR$3,GP$60,$GI$4:$GR$4)))</f>
        <v>0</v>
      </c>
      <c r="GQ96" s="199" t="n">
        <f aca="false">IF((SUMIF($GI$3:$GR$3,GQ$60,$GI$4:$GR$4))=0,0,((SUMIF($GI$3:$GR$3,GQ$60,$GI145:$GR145))/SUMIF($GI$3:$GR$3,GQ$60,$GI$4:$GR$4)))</f>
        <v>0</v>
      </c>
      <c r="GR96" s="200" t="n">
        <f aca="false">IF((SUMIF($GI$3:$GR$3,GR$60,$GI$4:$GR$4))=0,0,((SUMIF($GI$3:$GR$3,GR$60,$GI145:$GR145))/SUMIF($GI$3:$GR$3,GR$60,$GI$4:$GR$4)))</f>
        <v>0</v>
      </c>
      <c r="GS96" s="194" t="str">
        <f aca="false">GH96</f>
        <v>Alumno35</v>
      </c>
      <c r="GT96" s="198" t="n">
        <f aca="false">IF((SUMIF($GT$3:$HC$3,GT$60,$GT$4:$HC$4))=0,0,((SUMIF($GT$3:$HC$3,GT$60,$GT145:$HC145))/SUMIF($GT$3:$HC$3,GT$60,$GT$4:$HC$4)))</f>
        <v>0</v>
      </c>
      <c r="GU96" s="199" t="n">
        <f aca="false">IF((SUMIF($GT$3:$HC$3,GU$60,$GT$4:$HC$4))=0,0,((SUMIF($GT$3:$HC$3,GU$60,$GT145:$HC145))/SUMIF($GT$3:$HC$3,GU$60,$GT$4:$HC$4)))</f>
        <v>0</v>
      </c>
      <c r="GV96" s="199" t="n">
        <f aca="false">IF((SUMIF($GT$3:$HC$3,GV$60,$GT$4:$HC$4))=0,0,((SUMIF($GT$3:$HC$3,GV$60,$GT145:$HC145))/SUMIF($GT$3:$HC$3,GV$60,$GT$4:$HC$4)))</f>
        <v>0</v>
      </c>
      <c r="GW96" s="199" t="n">
        <f aca="false">IF((SUMIF($GT$3:$HC$3,GW$60,$GT$4:$HC$4))=0,0,((SUMIF($GT$3:$HC$3,GW$60,$GT145:$HC145))/SUMIF($GT$3:$HC$3,GW$60,$GT$4:$HC$4)))</f>
        <v>0</v>
      </c>
      <c r="GX96" s="199" t="n">
        <f aca="false">IF((SUMIF($GT$3:$HC$3,GX$60,$GT$4:$HC$4))=0,0,((SUMIF($GT$3:$HC$3,GX$60,$GT145:$HC145))/SUMIF($GT$3:$HC$3,GX$60,$GT$4:$HC$4)))</f>
        <v>0</v>
      </c>
      <c r="GY96" s="199" t="n">
        <f aca="false">IF((SUMIF($GT$3:$HC$3,GY$60,$GT$4:$HC$4))=0,0,((SUMIF($GT$3:$HC$3,GY$60,$GT145:$HC145))/SUMIF($GT$3:$HC$3,GY$60,$GT$4:$HC$4)))</f>
        <v>0</v>
      </c>
      <c r="GZ96" s="199" t="n">
        <f aca="false">IF((SUMIF($GT$3:$HC$3,GZ$60,$GT$4:$HC$4))=0,0,((SUMIF($GT$3:$HC$3,GZ$60,$GT145:$HC145))/SUMIF($GT$3:$HC$3,GZ$60,$GT$4:$HC$4)))</f>
        <v>0</v>
      </c>
      <c r="HA96" s="199" t="n">
        <f aca="false">IF((SUMIF($GT$3:$HC$3,HA$60,$GT$4:$HC$4))=0,0,((SUMIF($GT$3:$HC$3,HA$60,$GT145:$HC145))/SUMIF($GT$3:$HC$3,HA$60,$GT$4:$HC$4)))</f>
        <v>0</v>
      </c>
      <c r="HB96" s="199" t="n">
        <f aca="false">IF((SUMIF($GT$3:$HC$3,HB$60,$GT$4:$HC$4))=0,0,((SUMIF($GT$3:$HC$3,HB$60,$GT145:$HC145))/SUMIF($GT$3:$HC$3,HB$60,$GT$4:$HC$4)))</f>
        <v>0</v>
      </c>
      <c r="HC96" s="200" t="n">
        <f aca="false">IF((SUMIF($GT$3:$HC$3,HC$60,$GT$4:$HC$4))=0,0,((SUMIF($GT$3:$HC$3,HC$60,$GT145:$HC145))/SUMIF($GT$3:$HC$3,HC$60,$GT$4:$HC$4)))</f>
        <v>0</v>
      </c>
      <c r="HD96" s="194" t="str">
        <f aca="false">GS96</f>
        <v>Alumno35</v>
      </c>
      <c r="HE96" s="198" t="n">
        <f aca="false">IF((SUMIF($HE$3:$HN$3,HE$60,$HE$4:$HN$4))=0,0,((SUMIF($HE$3:$HN$3,HE$60,$HE145:$HN145))/SUMIF($HE$3:$HN$3,HE$60,$HE$4:$HN$4)))</f>
        <v>0</v>
      </c>
      <c r="HF96" s="199" t="n">
        <f aca="false">IF((SUMIF($HE$3:$HN$3,HF$60,$HE$4:$HN$4))=0,0,((SUMIF($HE$3:$HN$3,HF$60,$HE145:$HN145))/SUMIF($HE$3:$HN$3,HF$60,$HE$4:$HN$4)))</f>
        <v>0</v>
      </c>
      <c r="HG96" s="199" t="n">
        <f aca="false">IF((SUMIF($HE$3:$HN$3,HG$60,$HE$4:$HN$4))=0,0,((SUMIF($HE$3:$HN$3,HG$60,$HE145:$HN145))/SUMIF($HE$3:$HN$3,HG$60,$HE$4:$HN$4)))</f>
        <v>0</v>
      </c>
      <c r="HH96" s="199" t="n">
        <f aca="false">IF((SUMIF($HE$3:$HN$3,HH$60,$HE$4:$HN$4))=0,0,((SUMIF($HE$3:$HN$3,HH$60,$HE145:$HN145))/SUMIF($HE$3:$HN$3,HH$60,$HE$4:$HN$4)))</f>
        <v>0</v>
      </c>
      <c r="HI96" s="199" t="n">
        <f aca="false">IF((SUMIF($HE$3:$HN$3,HI$60,$HE$4:$HN$4))=0,0,((SUMIF($HE$3:$HN$3,HI$60,$HE145:$HN145))/SUMIF($HE$3:$HN$3,HI$60,$HE$4:$HN$4)))</f>
        <v>0</v>
      </c>
      <c r="HJ96" s="199" t="n">
        <f aca="false">IF((SUMIF($HE$3:$HN$3,HJ$60,$HE$4:$HN$4))=0,0,((SUMIF($HE$3:$HN$3,HJ$60,$HE145:$HN145))/SUMIF($HE$3:$HN$3,HJ$60,$HE$4:$HN$4)))</f>
        <v>0</v>
      </c>
      <c r="HK96" s="199" t="n">
        <f aca="false">IF((SUMIF($HE$3:$HN$3,HK$60,$HE$4:$HN$4))=0,0,((SUMIF($HE$3:$HN$3,HK$60,$HE145:$HN145))/SUMIF($HE$3:$HN$3,HK$60,$HE$4:$HN$4)))</f>
        <v>0</v>
      </c>
      <c r="HL96" s="199" t="n">
        <f aca="false">IF((SUMIF($HE$3:$HN$3,HL$60,$HE$4:$HN$4))=0,0,((SUMIF($HE$3:$HN$3,HL$60,$HE145:$HN145))/SUMIF($HE$3:$HN$3,HL$60,$HE$4:$HN$4)))</f>
        <v>0</v>
      </c>
      <c r="HM96" s="199" t="n">
        <f aca="false">IF((SUMIF($HE$3:$HN$3,HM$60,$HE$4:$HN$4))=0,0,((SUMIF($HE$3:$HN$3,HM$60,$HE145:$HN145))/SUMIF($HE$3:$HN$3,HM$60,$HE$4:$HN$4)))</f>
        <v>0</v>
      </c>
      <c r="HN96" s="200" t="n">
        <f aca="false">IF((SUMIF($HE$3:$HN$3,HN$60,$HE$4:$HN$4))=0,0,((SUMIF($HE$3:$HN$3,HN$60,$HE145:$HN145))/SUMIF($HE$3:$HN$3,HN$60,$HE$4:$HN$4)))</f>
        <v>0</v>
      </c>
      <c r="HO96" s="194" t="str">
        <f aca="false">HD96</f>
        <v>Alumno35</v>
      </c>
      <c r="HP96" s="198" t="n">
        <f aca="false">IF((SUMIF($HP$3:$HY$3,HP$60,$HP$4:$HY$4))=0,0,((SUMIF($HP$3:$HY$3,HP$60,$HP145:$HY145))/SUMIF($HP$3:$HY$3,HP$60,$HP$4:$HY$4)))</f>
        <v>0</v>
      </c>
      <c r="HQ96" s="199" t="n">
        <f aca="false">IF((SUMIF($HP$3:$HY$3,HQ$60,$HP$4:$HY$4))=0,0,((SUMIF($HP$3:$HY$3,HQ$60,$HP145:$HY145))/SUMIF($HP$3:$HY$3,HQ$60,$HP$4:$HY$4)))</f>
        <v>0</v>
      </c>
      <c r="HR96" s="199" t="n">
        <f aca="false">IF((SUMIF($HP$3:$HY$3,HR$60,$HP$4:$HY$4))=0,0,((SUMIF($HP$3:$HY$3,HR$60,$HP145:$HY145))/SUMIF($HP$3:$HY$3,HR$60,$HP$4:$HY$4)))</f>
        <v>0</v>
      </c>
      <c r="HS96" s="199" t="n">
        <f aca="false">IF((SUMIF($HP$3:$HY$3,HS$60,$HP$4:$HY$4))=0,0,((SUMIF($HP$3:$HY$3,HS$60,$HP145:$HY145))/SUMIF($HP$3:$HY$3,HS$60,$HP$4:$HY$4)))</f>
        <v>0</v>
      </c>
      <c r="HT96" s="199" t="n">
        <f aca="false">IF((SUMIF($HP$3:$HY$3,HT$60,$HP$4:$HY$4))=0,0,((SUMIF($HP$3:$HY$3,HT$60,$HP145:$HY145))/SUMIF($HP$3:$HY$3,HT$60,$HP$4:$HY$4)))</f>
        <v>0</v>
      </c>
      <c r="HU96" s="199" t="n">
        <f aca="false">IF((SUMIF($HP$3:$HY$3,HU$60,$HP$4:$HY$4))=0,0,((SUMIF($HP$3:$HY$3,HU$60,$HP145:$HY145))/SUMIF($HP$3:$HY$3,HU$60,$HP$4:$HY$4)))</f>
        <v>0</v>
      </c>
      <c r="HV96" s="199" t="n">
        <f aca="false">IF((SUMIF($HP$3:$HY$3,HV$60,$HP$4:$HY$4))=0,0,((SUMIF($HP$3:$HY$3,HV$60,$HP145:$HY145))/SUMIF($HP$3:$HY$3,HV$60,$HP$4:$HY$4)))</f>
        <v>0</v>
      </c>
      <c r="HW96" s="199" t="n">
        <f aca="false">IF((SUMIF($HP$3:$HY$3,HW$60,$HP$4:$HY$4))=0,0,((SUMIF($HP$3:$HY$3,HW$60,$HP145:$HY145))/SUMIF($HP$3:$HY$3,HW$60,$HP$4:$HY$4)))</f>
        <v>0</v>
      </c>
      <c r="HX96" s="199" t="n">
        <f aca="false">IF((SUMIF($HP$3:$HY$3,HX$60,$HP$4:$HY$4))=0,0,((SUMIF($HP$3:$HY$3,HX$60,$HP145:$HY145))/SUMIF($HP$3:$HY$3,HX$60,$HP$4:$HY$4)))</f>
        <v>0</v>
      </c>
      <c r="HY96" s="200" t="n">
        <f aca="false">IF((SUMIF($HP$3:$HY$3,HY$60,$HP$4:$HY$4))=0,0,((SUMIF($HP$3:$HY$3,HY$60,$HP145:$HY145))/SUMIF($HP$3:$HY$3,HY$60,$HP$4:$HY$4)))</f>
        <v>0</v>
      </c>
      <c r="HZ96" s="194" t="str">
        <f aca="false">HO96</f>
        <v>Alumno35</v>
      </c>
      <c r="IA96" s="198" t="n">
        <f aca="false">IF((SUMIF($IA$3:$IJ$3,IA$60,$IA$4:$IJ$4))=0,0,((SUMIF($IA$3:$IJ$3,IA$60,$IA145:$IJ145))/SUMIF($IA$3:$IJ$3,IA$60,$IA$4:$IJ$4)))</f>
        <v>0</v>
      </c>
      <c r="IB96" s="199" t="n">
        <f aca="false">IF((SUMIF($IA$3:$IJ$3,IB$60,$IA$4:$IJ$4))=0,0,((SUMIF($IA$3:$IJ$3,IB$60,$IA145:$IJ145))/SUMIF($IA$3:$IJ$3,IB$60,$IA$4:$IJ$4)))</f>
        <v>0</v>
      </c>
      <c r="IC96" s="199" t="n">
        <f aca="false">IF((SUMIF($IA$3:$IJ$3,IC$60,$IA$4:$IJ$4))=0,0,((SUMIF($IA$3:$IJ$3,IC$60,$IA145:$IJ145))/SUMIF($IA$3:$IJ$3,IC$60,$IA$4:$IJ$4)))</f>
        <v>0</v>
      </c>
      <c r="ID96" s="199" t="n">
        <f aca="false">IF((SUMIF($IA$3:$IJ$3,ID$60,$IA$4:$IJ$4))=0,0,((SUMIF($IA$3:$IJ$3,ID$60,$IA145:$IJ145))/SUMIF($IA$3:$IJ$3,ID$60,$IA$4:$IJ$4)))</f>
        <v>0</v>
      </c>
      <c r="IE96" s="199" t="n">
        <f aca="false">IF((SUMIF($IA$3:$IJ$3,IE$60,$IA$4:$IJ$4))=0,0,((SUMIF($IA$3:$IJ$3,IE$60,$IA145:$IJ145))/SUMIF($IA$3:$IJ$3,IE$60,$IA$4:$IJ$4)))</f>
        <v>0</v>
      </c>
      <c r="IF96" s="199" t="n">
        <f aca="false">IF((SUMIF($IA$3:$IJ$3,IF$60,$IA$4:$IJ$4))=0,0,((SUMIF($IA$3:$IJ$3,IF$60,$IA145:$IJ145))/SUMIF($IA$3:$IJ$3,IF$60,$IA$4:$IJ$4)))</f>
        <v>0</v>
      </c>
      <c r="IG96" s="199" t="n">
        <f aca="false">IF((SUMIF($IA$3:$IJ$3,IG$60,$IA$4:$IJ$4))=0,0,((SUMIF($IA$3:$IJ$3,IG$60,$IA145:$IJ145))/SUMIF($IA$3:$IJ$3,IG$60,$IA$4:$IJ$4)))</f>
        <v>0</v>
      </c>
      <c r="IH96" s="199" t="n">
        <f aca="false">IF((SUMIF($IA$3:$IJ$3,IH$60,$IA$4:$IJ$4))=0,0,((SUMIF($IA$3:$IJ$3,IH$60,$IA145:$IJ145))/SUMIF($IA$3:$IJ$3,IH$60,$IA$4:$IJ$4)))</f>
        <v>0</v>
      </c>
      <c r="II96" s="199" t="n">
        <f aca="false">IF((SUMIF($IA$3:$IJ$3,II$60,$IA$4:$IJ$4))=0,0,((SUMIF($IA$3:$IJ$3,II$60,$IA145:$IJ145))/SUMIF($IA$3:$IJ$3,II$60,$IA$4:$IJ$4)))</f>
        <v>0</v>
      </c>
      <c r="IJ96" s="200" t="n">
        <f aca="false">IF((SUMIF($IA$3:$IJ$3,IJ$60,$IA$4:$IJ$4))=0,0,((SUMIF($IA$3:$IJ$3,IJ$60,$IA145:$IJ145))/SUMIF($IA$3:$IJ$3,IJ$60,$IA$4:$IJ$4)))</f>
        <v>0</v>
      </c>
      <c r="IK96" s="194" t="str">
        <f aca="false">HZ96</f>
        <v>Alumno35</v>
      </c>
      <c r="IL96" s="198" t="n">
        <f aca="false">IF((SUMIF($IL$3:$IU$3,IL$60,$IL$4:$IU$4))=0,0,((SUMIF($IL$3:$IU$3,IL$60,$IL145:$IU145))/SUMIF($IL$3:$IU$3,IL$60,$IL$4:$IU$4)))</f>
        <v>0</v>
      </c>
      <c r="IM96" s="199" t="n">
        <f aca="false">IF((SUMIF($IL$3:$IU$3,IM$60,$IL$4:$IU$4))=0,0,((SUMIF($IL$3:$IU$3,IM$60,$IL145:$IU145))/SUMIF($IL$3:$IU$3,IM$60,$IL$4:$IU$4)))</f>
        <v>0</v>
      </c>
      <c r="IN96" s="199" t="n">
        <f aca="false">IF((SUMIF($IL$3:$IU$3,IN$60,$IL$4:$IU$4))=0,0,((SUMIF($IL$3:$IU$3,IN$60,$IL145:$IU145))/SUMIF($IL$3:$IU$3,IN$60,$IL$4:$IU$4)))</f>
        <v>0</v>
      </c>
      <c r="IO96" s="199" t="n">
        <f aca="false">IF((SUMIF($IL$3:$IU$3,IO$60,$IL$4:$IU$4))=0,0,((SUMIF($IL$3:$IU$3,IO$60,$IL145:$IU145))/SUMIF($IL$3:$IU$3,IO$60,$IL$4:$IU$4)))</f>
        <v>0</v>
      </c>
      <c r="IP96" s="199" t="n">
        <f aca="false">IF((SUMIF($IL$3:$IU$3,IP$60,$IL$4:$IU$4))=0,0,((SUMIF($IL$3:$IU$3,IP$60,$IL145:$IU145))/SUMIF($IL$3:$IU$3,IP$60,$IL$4:$IU$4)))</f>
        <v>0</v>
      </c>
      <c r="IQ96" s="199" t="n">
        <f aca="false">IF((SUMIF($IL$3:$IU$3,IQ$60,$IL$4:$IU$4))=0,0,((SUMIF($IL$3:$IU$3,IQ$60,$IL145:$IU145))/SUMIF($IL$3:$IU$3,IQ$60,$IL$4:$IU$4)))</f>
        <v>0</v>
      </c>
      <c r="IR96" s="199" t="n">
        <f aca="false">IF((SUMIF($IL$3:$IU$3,IR$60,$IL$4:$IU$4))=0,0,((SUMIF($IL$3:$IU$3,IR$60,$IL145:$IU145))/SUMIF($IL$3:$IU$3,IR$60,$IL$4:$IU$4)))</f>
        <v>0</v>
      </c>
      <c r="IS96" s="199" t="n">
        <f aca="false">IF((SUMIF($IL$3:$IU$3,IS$60,$IL$4:$IU$4))=0,0,((SUMIF($IL$3:$IU$3,IS$60,$IL145:$IU145))/SUMIF($IL$3:$IU$3,IS$60,$IL$4:$IU$4)))</f>
        <v>0</v>
      </c>
      <c r="IT96" s="199" t="n">
        <f aca="false">IF((SUMIF($IL$3:$IU$3,IT$60,$IL$4:$IU$4))=0,0,((SUMIF($IL$3:$IU$3,IT$60,$IL145:$IU145))/SUMIF($IL$3:$IU$3,IT$60,$IL$4:$IU$4)))</f>
        <v>0</v>
      </c>
      <c r="IU96" s="200" t="n">
        <f aca="false">IF((SUMIF($IL$3:$IU$3,IU$60,$IL$4:$IU$4))=0,0,((SUMIF($IL$3:$IU$3,IU$60,$IL145:$IU145))/SUMIF($IL$3:$IU$3,IU$60,$IL$4:$IU$4)))</f>
        <v>0</v>
      </c>
      <c r="IV96" s="194" t="str">
        <f aca="false">IK96</f>
        <v>Alumno35</v>
      </c>
      <c r="IW96" s="198" t="n">
        <f aca="false">IF((SUMIF($IW$3:$JF$3,IW$60,$IW$4:$JF$4))=0,0,((SUMIF($IW$3:$JF$3,IW$60,$IW145:$JF145))/SUMIF($IW$3:$JF$3,IW$60,$IW$4:$JF$4)))</f>
        <v>0</v>
      </c>
      <c r="IX96" s="199" t="n">
        <f aca="false">IF((SUMIF($IW$3:$JF$3,IX$60,$IW$4:$JF$4))=0,0,((SUMIF($IW$3:$JF$3,IX$60,$IW145:$JF145))/SUMIF($IW$3:$JF$3,IX$60,$IW$4:$JF$4)))</f>
        <v>0</v>
      </c>
      <c r="IY96" s="199" t="n">
        <f aca="false">IF((SUMIF($IW$3:$JF$3,IY$60,$IW$4:$JF$4))=0,0,((SUMIF($IW$3:$JF$3,IY$60,$IW145:$JF145))/SUMIF($IW$3:$JF$3,IY$60,$IW$4:$JF$4)))</f>
        <v>0</v>
      </c>
      <c r="IZ96" s="199" t="n">
        <f aca="false">IF((SUMIF($IW$3:$JF$3,IZ$60,$IW$4:$JF$4))=0,0,((SUMIF($IW$3:$JF$3,IZ$60,$IW145:$JF145))/SUMIF($IW$3:$JF$3,IZ$60,$IW$4:$JF$4)))</f>
        <v>0</v>
      </c>
      <c r="JA96" s="199" t="n">
        <f aca="false">IF((SUMIF($IW$3:$JF$3,JA$60,$IW$4:$JF$4))=0,0,((SUMIF($IW$3:$JF$3,JA$60,$IW145:$JF145))/SUMIF($IW$3:$JF$3,JA$60,$IW$4:$JF$4)))</f>
        <v>0</v>
      </c>
      <c r="JB96" s="199" t="n">
        <f aca="false">IF((SUMIF($IW$3:$JF$3,JB$60,$IW$4:$JF$4))=0,0,((SUMIF($IW$3:$JF$3,JB$60,$IW145:$JF145))/SUMIF($IW$3:$JF$3,JB$60,$IW$4:$JF$4)))</f>
        <v>0</v>
      </c>
      <c r="JC96" s="199" t="n">
        <f aca="false">IF((SUMIF($IW$3:$JF$3,JC$60,$IW$4:$JF$4))=0,0,((SUMIF($IW$3:$JF$3,JC$60,$IW145:$JF145))/SUMIF($IW$3:$JF$3,JC$60,$IW$4:$JF$4)))</f>
        <v>0</v>
      </c>
      <c r="JD96" s="199" t="n">
        <f aca="false">IF((SUMIF($IW$3:$JF$3,JD$60,$IW$4:$JF$4))=0,0,((SUMIF($IW$3:$JF$3,JD$60,$IW145:$JF145))/SUMIF($IW$3:$JF$3,JD$60,$IW$4:$JF$4)))</f>
        <v>0</v>
      </c>
      <c r="JE96" s="199" t="n">
        <f aca="false">IF((SUMIF($IW$3:$JF$3,JE$60,$IW$4:$JF$4))=0,0,((SUMIF($IW$3:$JF$3,JE$60,$IW145:$JF145))/SUMIF($IW$3:$JF$3,JE$60,$IW$4:$JF$4)))</f>
        <v>0</v>
      </c>
      <c r="JF96" s="200" t="n">
        <f aca="false">IF((SUMIF($IW$3:$JF$3,JF$60,$IW$4:$JF$4))=0,0,((SUMIF($IW$3:$JF$3,JF$60,$IW145:$JF145))/SUMIF($IW$3:$JF$3,JF$60,$IW$4:$JF$4)))</f>
        <v>0</v>
      </c>
      <c r="JG96" s="194" t="str">
        <f aca="false">IV96</f>
        <v>Alumno35</v>
      </c>
      <c r="JH96" s="198" t="n">
        <f aca="false">IF((SUMIF($JH$3:$JQ$3,JH$60,$JH$4:$JQ$4))=0,0,((SUMIF($JH$3:$JQ$3,JH$60,$JH145:$JQ145))/SUMIF($JH$3:$JQ$3,JH$60,$JH$4:$JQ$4)))</f>
        <v>0</v>
      </c>
      <c r="JI96" s="199" t="n">
        <f aca="false">IF((SUMIF($JH$3:$JQ$3,JI$60,$JH$4:$JQ$4))=0,0,((SUMIF($JH$3:$JQ$3,JI$60,$JH145:$JQ145))/SUMIF($JH$3:$JQ$3,JI$60,$JH$4:$JQ$4)))</f>
        <v>0</v>
      </c>
      <c r="JJ96" s="199" t="n">
        <f aca="false">IF((SUMIF($JH$3:$JQ$3,JJ$60,$JH$4:$JQ$4))=0,0,((SUMIF($JH$3:$JQ$3,JJ$60,$JH145:$JQ145))/SUMIF($JH$3:$JQ$3,JJ$60,$JH$4:$JQ$4)))</f>
        <v>0</v>
      </c>
      <c r="JK96" s="199" t="n">
        <f aca="false">IF((SUMIF($JH$3:$JQ$3,JK$60,$JH$4:$JQ$4))=0,0,((SUMIF($JH$3:$JQ$3,JK$60,$JH145:$JQ145))/SUMIF($JH$3:$JQ$3,JK$60,$JH$4:$JQ$4)))</f>
        <v>0</v>
      </c>
      <c r="JL96" s="199" t="n">
        <f aca="false">IF((SUMIF($JH$3:$JQ$3,JL$60,$JH$4:$JQ$4))=0,0,((SUMIF($JH$3:$JQ$3,JL$60,$JH145:$JQ145))/SUMIF($JH$3:$JQ$3,JL$60,$JH$4:$JQ$4)))</f>
        <v>0</v>
      </c>
      <c r="JM96" s="199" t="n">
        <f aca="false">IF((SUMIF($JH$3:$JQ$3,JM$60,$JH$4:$JQ$4))=0,0,((SUMIF($JH$3:$JQ$3,JM$60,$JH145:$JQ145))/SUMIF($JH$3:$JQ$3,JM$60,$JH$4:$JQ$4)))</f>
        <v>0</v>
      </c>
      <c r="JN96" s="199" t="n">
        <f aca="false">IF((SUMIF($JH$3:$JQ$3,JN$60,$JH$4:$JQ$4))=0,0,((SUMIF($JH$3:$JQ$3,JN$60,$JH145:$JQ145))/SUMIF($JH$3:$JQ$3,JN$60,$JH$4:$JQ$4)))</f>
        <v>0</v>
      </c>
      <c r="JO96" s="199" t="n">
        <f aca="false">IF((SUMIF($JH$3:$JQ$3,JO$60,$JH$4:$JQ$4))=0,0,((SUMIF($JH$3:$JQ$3,JO$60,$JH145:$JQ145))/SUMIF($JH$3:$JQ$3,JO$60,$JH$4:$JQ$4)))</f>
        <v>0</v>
      </c>
      <c r="JP96" s="199" t="n">
        <f aca="false">IF((SUMIF($JH$3:$JQ$3,JP$60,$JH$4:$JQ$4))=0,0,((SUMIF($JH$3:$JQ$3,JP$60,$JH145:$JQ145))/SUMIF($JH$3:$JQ$3,JP$60,$JH$4:$JQ$4)))</f>
        <v>0</v>
      </c>
      <c r="JQ96" s="200" t="n">
        <f aca="false">IF((SUMIF($JH$3:$JQ$3,JQ$60,$JH$4:$JQ$4))=0,0,((SUMIF($JH$3:$JQ$3,JQ$60,$JH145:$JQ145))/SUMIF($JH$3:$JQ$3,JQ$60,$JH$4:$JQ$4)))</f>
        <v>0</v>
      </c>
      <c r="JR96" s="194" t="str">
        <f aca="false">JG96</f>
        <v>Alumno35</v>
      </c>
      <c r="JS96" s="198" t="n">
        <f aca="false">IF((SUMIF($JS$3:$KB$3,JS$60,$JS$4:$KB$4))=0,0,((SUMIF($JS$3:$KB$3,JS$60,$JS145:$KB145))/SUMIF($JS$3:$KB$3,JS$60,$JS$4:$KB$4)))</f>
        <v>0</v>
      </c>
      <c r="JT96" s="199" t="n">
        <f aca="false">IF((SUMIF($JS$3:$KB$3,JT$60,$JS$4:$KB$4))=0,0,((SUMIF($JS$3:$KB$3,JT$60,$JS145:$KB145))/SUMIF($JS$3:$KB$3,JT$60,$JS$4:$KB$4)))</f>
        <v>0</v>
      </c>
      <c r="JU96" s="199" t="n">
        <f aca="false">IF((SUMIF($JS$3:$KB$3,JU$60,$JS$4:$KB$4))=0,0,((SUMIF($JS$3:$KB$3,JU$60,$JS145:$KB145))/SUMIF($JS$3:$KB$3,JU$60,$JS$4:$KB$4)))</f>
        <v>0</v>
      </c>
      <c r="JV96" s="199" t="n">
        <f aca="false">IF((SUMIF($JS$3:$KB$3,JV$60,$JS$4:$KB$4))=0,0,((SUMIF($JS$3:$KB$3,JV$60,$JS145:$KB145))/SUMIF($JS$3:$KB$3,JV$60,$JS$4:$KB$4)))</f>
        <v>0</v>
      </c>
      <c r="JW96" s="199" t="n">
        <f aca="false">IF((SUMIF($JS$3:$KB$3,JW$60,$JS$4:$KB$4))=0,0,((SUMIF($JS$3:$KB$3,JW$60,$JS145:$KB145))/SUMIF($JS$3:$KB$3,JW$60,$JS$4:$KB$4)))</f>
        <v>0</v>
      </c>
      <c r="JX96" s="199" t="n">
        <f aca="false">IF((SUMIF($JS$3:$KB$3,JX$60,$JS$4:$KB$4))=0,0,((SUMIF($JS$3:$KB$3,JX$60,$JS145:$KB145))/SUMIF($JS$3:$KB$3,JX$60,$JS$4:$KB$4)))</f>
        <v>0</v>
      </c>
      <c r="JY96" s="199" t="n">
        <f aca="false">IF((SUMIF($JS$3:$KB$3,JY$60,$JS$4:$KB$4))=0,0,((SUMIF($JS$3:$KB$3,JY$60,$JS145:$KB145))/SUMIF($JS$3:$KB$3,JY$60,$JS$4:$KB$4)))</f>
        <v>0</v>
      </c>
      <c r="JZ96" s="199" t="n">
        <f aca="false">IF((SUMIF($JS$3:$KB$3,JZ$60,$JS$4:$KB$4))=0,0,((SUMIF($JS$3:$KB$3,JZ$60,$JS145:$KB145))/SUMIF($JS$3:$KB$3,JZ$60,$JS$4:$KB$4)))</f>
        <v>0</v>
      </c>
      <c r="KA96" s="199" t="n">
        <f aca="false">IF((SUMIF($JS$3:$KB$3,KA$60,$JS$4:$KB$4))=0,0,((SUMIF($JS$3:$KB$3,KA$60,$JS145:$KB145))/SUMIF($JS$3:$KB$3,KA$60,$JS$4:$KB$4)))</f>
        <v>0</v>
      </c>
      <c r="KB96" s="200" t="n">
        <f aca="false">IF((SUMIF($JS$3:$KB$3,KB$60,$JS$4:$KB$4))=0,0,((SUMIF($JS$3:$KB$3,KB$60,$JS145:$KB145))/SUMIF($JS$3:$KB$3,KB$60,$JS$4:$KB$4)))</f>
        <v>0</v>
      </c>
      <c r="KC96" s="194" t="str">
        <f aca="false">JR96</f>
        <v>Alumno35</v>
      </c>
      <c r="KD96" s="198" t="n">
        <f aca="false">IF((SUMIF($KD$3:$KM$3,KD$60,$KD$4:$KM$4))=0,0,((SUMIF($KD$3:$KM$3,KD$60,$KD145:$KM145))/SUMIF($KD$3:$KM$3,KD$60,$KD$4:$KM$4)))</f>
        <v>0</v>
      </c>
      <c r="KE96" s="199" t="n">
        <f aca="false">IF((SUMIF($KD$3:$KM$3,KE$60,$KD$4:$KM$4))=0,0,((SUMIF($KD$3:$KM$3,KE$60,$KD145:$KM145))/SUMIF($KD$3:$KM$3,KE$60,$KD$4:$KM$4)))</f>
        <v>0</v>
      </c>
      <c r="KF96" s="199" t="n">
        <f aca="false">IF((SUMIF($KD$3:$KM$3,KF$60,$KD$4:$KM$4))=0,0,((SUMIF($KD$3:$KM$3,KF$60,$KD145:$KM145))/SUMIF($KD$3:$KM$3,KF$60,$KD$4:$KM$4)))</f>
        <v>0</v>
      </c>
      <c r="KG96" s="199" t="n">
        <f aca="false">IF((SUMIF($KD$3:$KM$3,KG$60,$KD$4:$KM$4))=0,0,((SUMIF($KD$3:$KM$3,KG$60,$KD145:$KM145))/SUMIF($KD$3:$KM$3,KG$60,$KD$4:$KM$4)))</f>
        <v>0</v>
      </c>
      <c r="KH96" s="199" t="n">
        <f aca="false">IF((SUMIF($KD$3:$KM$3,KH$60,$KD$4:$KM$4))=0,0,((SUMIF($KD$3:$KM$3,KH$60,$KD145:$KM145))/SUMIF($KD$3:$KM$3,KH$60,$KD$4:$KM$4)))</f>
        <v>0</v>
      </c>
      <c r="KI96" s="199" t="n">
        <f aca="false">IF((SUMIF($KD$3:$KM$3,KI$60,$KD$4:$KM$4))=0,0,((SUMIF($KD$3:$KM$3,KI$60,$KD145:$KM145))/SUMIF($KD$3:$KM$3,KI$60,$KD$4:$KM$4)))</f>
        <v>0</v>
      </c>
      <c r="KJ96" s="199" t="n">
        <f aca="false">IF((SUMIF($KD$3:$KM$3,KJ$60,$KD$4:$KM$4))=0,0,((SUMIF($KD$3:$KM$3,KJ$60,$KD145:$KM145))/SUMIF($KD$3:$KM$3,KJ$60,$KD$4:$KM$4)))</f>
        <v>0</v>
      </c>
      <c r="KK96" s="199" t="n">
        <f aca="false">IF((SUMIF($KD$3:$KM$3,KK$60,$KD$4:$KM$4))=0,0,((SUMIF($KD$3:$KM$3,KK$60,$KD145:$KM145))/SUMIF($KD$3:$KM$3,KK$60,$KD$4:$KM$4)))</f>
        <v>0</v>
      </c>
      <c r="KL96" s="199" t="n">
        <f aca="false">IF((SUMIF($KD$3:$KM$3,KL$60,$KD$4:$KM$4))=0,0,((SUMIF($KD$3:$KM$3,KL$60,$KD145:$KM145))/SUMIF($KD$3:$KM$3,KL$60,$KD$4:$KM$4)))</f>
        <v>0</v>
      </c>
      <c r="KM96" s="200" t="n">
        <f aca="false">IF((SUMIF($KD$3:$KM$3,KM$60,$KD$4:$KM$4))=0,0,((SUMIF($KD$3:$KM$3,KM$60,$KD145:$KM145))/SUMIF($KD$3:$KM$3,KM$60,$KD$4:$KM$4)))</f>
        <v>0</v>
      </c>
      <c r="KN96" s="194" t="str">
        <f aca="false">KC96</f>
        <v>Alumno35</v>
      </c>
      <c r="KO96" s="198" t="n">
        <f aca="false">IF((SUMIF($KO$3:$KX$3,KO$60,$KO$4:$KX$4))=0,0,((SUMIF($KO$3:$KX$3,KO$60,$KO145:$KX145))/SUMIF($KO$3:$KX$3,KO$60,$KO$4:$KX$4)))</f>
        <v>0</v>
      </c>
      <c r="KP96" s="199" t="n">
        <f aca="false">IF((SUMIF($KO$3:$KX$3,KP$60,$KO$4:$KX$4))=0,0,((SUMIF($KO$3:$KX$3,KP$60,$KO145:$KX145))/SUMIF($KO$3:$KX$3,KP$60,$KO$4:$KX$4)))</f>
        <v>0</v>
      </c>
      <c r="KQ96" s="199" t="n">
        <f aca="false">IF((SUMIF($KO$3:$KX$3,KQ$60,$KO$4:$KX$4))=0,0,((SUMIF($KO$3:$KX$3,KQ$60,$KO145:$KX145))/SUMIF($KO$3:$KX$3,KQ$60,$KO$4:$KX$4)))</f>
        <v>0</v>
      </c>
      <c r="KR96" s="199" t="n">
        <f aca="false">IF((SUMIF($KO$3:$KX$3,KR$60,$KO$4:$KX$4))=0,0,((SUMIF($KO$3:$KX$3,KR$60,$KO145:$KX145))/SUMIF($KO$3:$KX$3,KR$60,$KO$4:$KX$4)))</f>
        <v>0</v>
      </c>
      <c r="KS96" s="199" t="n">
        <f aca="false">IF((SUMIF($KO$3:$KX$3,KS$60,$KO$4:$KX$4))=0,0,((SUMIF($KO$3:$KX$3,KS$60,$KO145:$KX145))/SUMIF($KO$3:$KX$3,KS$60,$KO$4:$KX$4)))</f>
        <v>0</v>
      </c>
      <c r="KT96" s="199" t="n">
        <f aca="false">IF((SUMIF($KO$3:$KX$3,KT$60,$KO$4:$KX$4))=0,0,((SUMIF($KO$3:$KX$3,KT$60,$KO145:$KX145))/SUMIF($KO$3:$KX$3,KT$60,$KO$4:$KX$4)))</f>
        <v>0</v>
      </c>
      <c r="KU96" s="199" t="n">
        <f aca="false">IF((SUMIF($KO$3:$KX$3,KU$60,$KO$4:$KX$4))=0,0,((SUMIF($KO$3:$KX$3,KU$60,$KO145:$KX145))/SUMIF($KO$3:$KX$3,KU$60,$KO$4:$KX$4)))</f>
        <v>0</v>
      </c>
      <c r="KV96" s="199" t="n">
        <f aca="false">IF((SUMIF($KO$3:$KX$3,KV$60,$KO$4:$KX$4))=0,0,((SUMIF($KO$3:$KX$3,KV$60,$KO145:$KX145))/SUMIF($KO$3:$KX$3,KV$60,$KO$4:$KX$4)))</f>
        <v>0</v>
      </c>
      <c r="KW96" s="199" t="n">
        <f aca="false">IF((SUMIF($KO$3:$KX$3,KW$60,$KO$4:$KX$4))=0,0,((SUMIF($KO$3:$KX$3,KW$60,$KO145:$KX145))/SUMIF($KO$3:$KX$3,KW$60,$KO$4:$KX$4)))</f>
        <v>0</v>
      </c>
      <c r="KX96" s="200" t="n">
        <f aca="false">IF((SUMIF($KO$3:$KX$3,KX$60,$KO$4:$KX$4))=0,0,((SUMIF($KO$3:$KX$3,KX$60,$KO145:$KX145))/SUMIF($KO$3:$KX$3,KX$60,$KO$4:$KX$4)))</f>
        <v>0</v>
      </c>
      <c r="KY96" s="194" t="str">
        <f aca="false">KN96</f>
        <v>Alumno35</v>
      </c>
      <c r="KZ96" s="198" t="n">
        <f aca="false">IF((SUMIF($KZ$3:$LI$3,KZ$60,$KZ$4:$LI$4))=0,0,((SUMIF($KZ$3:$LI$3,KZ$60,$KZ145:$LI145))/SUMIF($KZ$3:$LI$3,KZ$60,$KZ$4:$LI$4)))</f>
        <v>0</v>
      </c>
      <c r="LA96" s="199" t="n">
        <f aca="false">IF((SUMIF($KZ$3:$LI$3,LA$60,$KZ$4:$LI$4))=0,0,((SUMIF($KZ$3:$LI$3,LA$60,$KZ145:$LI145))/SUMIF($KZ$3:$LI$3,LA$60,$KZ$4:$LI$4)))</f>
        <v>0</v>
      </c>
      <c r="LB96" s="199" t="n">
        <f aca="false">IF((SUMIF($KZ$3:$LI$3,LB$60,$KZ$4:$LI$4))=0,0,((SUMIF($KZ$3:$LI$3,LB$60,$KZ145:$LI145))/SUMIF($KZ$3:$LI$3,LB$60,$KZ$4:$LI$4)))</f>
        <v>0</v>
      </c>
      <c r="LC96" s="199" t="n">
        <f aca="false">IF((SUMIF($KZ$3:$LI$3,LC$60,$KZ$4:$LI$4))=0,0,((SUMIF($KZ$3:$LI$3,LC$60,$KZ145:$LI145))/SUMIF($KZ$3:$LI$3,LC$60,$KZ$4:$LI$4)))</f>
        <v>0</v>
      </c>
      <c r="LD96" s="199" t="n">
        <f aca="false">IF((SUMIF($KZ$3:$LI$3,LD$60,$KZ$4:$LI$4))=0,0,((SUMIF($KZ$3:$LI$3,LD$60,$KZ145:$LI145))/SUMIF($KZ$3:$LI$3,LD$60,$KZ$4:$LI$4)))</f>
        <v>0</v>
      </c>
      <c r="LE96" s="199" t="n">
        <f aca="false">IF((SUMIF($KZ$3:$LI$3,LE$60,$KZ$4:$LI$4))=0,0,((SUMIF($KZ$3:$LI$3,LE$60,$KZ145:$LI145))/SUMIF($KZ$3:$LI$3,LE$60,$KZ$4:$LI$4)))</f>
        <v>0</v>
      </c>
      <c r="LF96" s="199" t="n">
        <f aca="false">IF((SUMIF($KZ$3:$LI$3,LF$60,$KZ$4:$LI$4))=0,0,((SUMIF($KZ$3:$LI$3,LF$60,$KZ145:$LI145))/SUMIF($KZ$3:$LI$3,LF$60,$KZ$4:$LI$4)))</f>
        <v>0</v>
      </c>
      <c r="LG96" s="199" t="n">
        <f aca="false">IF((SUMIF($KZ$3:$LI$3,LG$60,$KZ$4:$LI$4))=0,0,((SUMIF($KZ$3:$LI$3,LG$60,$KZ145:$LI145))/SUMIF($KZ$3:$LI$3,LG$60,$KZ$4:$LI$4)))</f>
        <v>0</v>
      </c>
      <c r="LH96" s="199" t="n">
        <f aca="false">IF((SUMIF($KZ$3:$LI$3,LH$60,$KZ$4:$LI$4))=0,0,((SUMIF($KZ$3:$LI$3,LH$60,$KZ145:$LI145))/SUMIF($KZ$3:$LI$3,LH$60,$KZ$4:$LI$4)))</f>
        <v>0</v>
      </c>
      <c r="LI96" s="200" t="n">
        <f aca="false">IF((SUMIF($KZ$3:$LI$3,LI$60,$KZ$4:$LI$4))=0,0,((SUMIF($KZ$3:$LI$3,LI$60,$KZ145:$LI145))/SUMIF($KZ$3:$LI$3,LI$60,$KZ$4:$LI$4)))</f>
        <v>0</v>
      </c>
      <c r="LJ96" s="194" t="str">
        <f aca="false">KY96</f>
        <v>Alumno35</v>
      </c>
      <c r="LK96" s="198" t="n">
        <f aca="false">IF((SUMIF($LK$3:$LT$3,LK$60,$LK$4:$LT$4))=0,0,((SUMIF($LK$3:$LT$3,LK$60,$LK145:$LT145))/SUMIF($LK$3:$LT$3,LK$60,$LK$4:$LT$4)))</f>
        <v>0</v>
      </c>
      <c r="LL96" s="199" t="n">
        <f aca="false">IF((SUMIF($LK$3:$LT$3,LL$60,$LK$4:$LT$4))=0,0,((SUMIF($LK$3:$LT$3,LL$60,$LK145:$LT145))/SUMIF($LK$3:$LT$3,LL$60,$LK$4:$LT$4)))</f>
        <v>0</v>
      </c>
      <c r="LM96" s="199" t="n">
        <f aca="false">IF((SUMIF($LK$3:$LT$3,LM$60,$LK$4:$LT$4))=0,0,((SUMIF($LK$3:$LT$3,LM$60,$LK145:$LT145))/SUMIF($LK$3:$LT$3,LM$60,$LK$4:$LT$4)))</f>
        <v>0</v>
      </c>
      <c r="LN96" s="199" t="n">
        <f aca="false">IF((SUMIF($LK$3:$LT$3,LN$60,$LK$4:$LT$4))=0,0,((SUMIF($LK$3:$LT$3,LN$60,$LK145:$LT145))/SUMIF($LK$3:$LT$3,LN$60,$LK$4:$LT$4)))</f>
        <v>0</v>
      </c>
      <c r="LO96" s="199" t="n">
        <f aca="false">IF((SUMIF($LK$3:$LT$3,LO$60,$LK$4:$LT$4))=0,0,((SUMIF($LK$3:$LT$3,LO$60,$LK145:$LT145))/SUMIF($LK$3:$LT$3,LO$60,$LK$4:$LT$4)))</f>
        <v>0</v>
      </c>
      <c r="LP96" s="199" t="n">
        <f aca="false">IF((SUMIF($LK$3:$LT$3,LP$60,$LK$4:$LT$4))=0,0,((SUMIF($LK$3:$LT$3,LP$60,$LK145:$LT145))/SUMIF($LK$3:$LT$3,LP$60,$LK$4:$LT$4)))</f>
        <v>0</v>
      </c>
      <c r="LQ96" s="199" t="n">
        <f aca="false">IF((SUMIF($LK$3:$LT$3,LQ$60,$LK$4:$LT$4))=0,0,((SUMIF($LK$3:$LT$3,LQ$60,$LK145:$LT145))/SUMIF($LK$3:$LT$3,LQ$60,$LK$4:$LT$4)))</f>
        <v>0</v>
      </c>
      <c r="LR96" s="199" t="n">
        <f aca="false">IF((SUMIF($LK$3:$LT$3,LR$60,$LK$4:$LT$4))=0,0,((SUMIF($LK$3:$LT$3,LR$60,$LK145:$LT145))/SUMIF($LK$3:$LT$3,LR$60,$LK$4:$LT$4)))</f>
        <v>0</v>
      </c>
      <c r="LS96" s="199" t="n">
        <f aca="false">IF((SUMIF($LK$3:$LT$3,LS$60,$LK$4:$LT$4))=0,0,((SUMIF($LK$3:$LT$3,LS$60,$LK145:$LT145))/SUMIF($LK$3:$LT$3,LS$60,$LK$4:$LT$4)))</f>
        <v>0</v>
      </c>
      <c r="LT96" s="200" t="n">
        <f aca="false">IF((SUMIF($LK$3:$LT$3,LT$60,$LK$4:$LT$4))=0,0,((SUMIF($LK$3:$LT$3,LT$60,$LK145:$LT145))/SUMIF($LK$3:$LT$3,LT$60,$LK$4:$LT$4)))</f>
        <v>0</v>
      </c>
    </row>
    <row r="97" customFormat="false" ht="15" hidden="true" customHeight="false" outlineLevel="0" collapsed="false">
      <c r="C97" s="194" t="str">
        <f aca="false">B41</f>
        <v>Alumno36</v>
      </c>
      <c r="D97" s="198" t="n">
        <f aca="false">IF((SUMIF($D$3:$M$3,D$60,$D$4:$M$4))=0,0,((SUMIF($D$3:$M$3,D$60,$D146:$M146))/SUMIF($D$3:$M$3,D$60,$D$4:$M$4)))</f>
        <v>0</v>
      </c>
      <c r="E97" s="199" t="n">
        <f aca="false">IF((SUMIF($D$3:$M$3,E$60,$D$4:$M$4))=0,0,((SUMIF($D$3:$M$3,E$60,$D146:$M146))/SUMIF($D$3:$M$3,E$60,$D$4:$M$4)))</f>
        <v>0</v>
      </c>
      <c r="F97" s="199" t="n">
        <f aca="false">IF((SUMIF($D$3:$M$3,F$60,$D$4:$M$4))=0,0,((SUMIF($D$3:$M$3,F$60,$D146:$M146))/SUMIF($D$3:$M$3,F$60,$D$4:$M$4)))</f>
        <v>0</v>
      </c>
      <c r="G97" s="199" t="n">
        <f aca="false">IF((SUMIF($D$3:$M$3,G$60,$D$4:$M$4))=0,0,((SUMIF($D$3:$M$3,G$60,$D146:$M146))/SUMIF($D$3:$M$3,G$60,$D$4:$M$4)))</f>
        <v>0</v>
      </c>
      <c r="H97" s="199" t="n">
        <f aca="false">IF((SUMIF($D$3:$M$3,H$60,$D$4:$M$4))=0,0,((SUMIF($D$3:$M$3,H$60,$D146:$M146))/SUMIF($D$3:$M$3,H$60,$D$4:$M$4)))</f>
        <v>0</v>
      </c>
      <c r="I97" s="199" t="n">
        <f aca="false">IF((SUMIF($D$3:$M$3,I$60,$D$4:$M$4))=0,0,((SUMIF($D$3:$M$3,I$60,$D146:$M146))/SUMIF($D$3:$M$3,I$60,$D$4:$M$4)))</f>
        <v>0</v>
      </c>
      <c r="J97" s="199" t="n">
        <f aca="false">IF((SUMIF($D$3:$M$3,J$60,$D$4:$M$4))=0,0,((SUMIF($D$3:$M$3,J$60,$D146:$M146))/SUMIF($D$3:$M$3,J$60,$D$4:$M$4)))</f>
        <v>0</v>
      </c>
      <c r="K97" s="199" t="n">
        <f aca="false">IF((SUMIF($D$3:$M$3,K$60,$D$4:$M$4))=0,0,((SUMIF($D$3:$M$3,K$60,$D146:$M146))/SUMIF($D$3:$M$3,K$60,$D$4:$M$4)))</f>
        <v>0</v>
      </c>
      <c r="L97" s="199" t="n">
        <f aca="false">IF((SUMIF($D$3:$M$3,L$60,$D$4:$M$4))=0,0,((SUMIF($D$3:$M$3,L$60,$D146:$M146))/SUMIF($D$3:$M$3,L$60,$D$4:$M$4)))</f>
        <v>0</v>
      </c>
      <c r="M97" s="200" t="n">
        <f aca="false">IF((SUMIF($D$3:$M$3,M$60,$D$4:$M$4))=0,0,((SUMIF($D$3:$M$3,M$60,$D146:$M146))/SUMIF($D$3:$M$3,M$60,$D$4:$M$4)))</f>
        <v>0</v>
      </c>
      <c r="N97" s="194" t="str">
        <f aca="false">C97</f>
        <v>Alumno36</v>
      </c>
      <c r="O97" s="198" t="n">
        <f aca="false">IF((SUMIF($O$3:$X$3,O$60,$O$4:$X$4))=0,0,((SUMIF($O$3:$X$3,O$60,$O146:$X146))/SUMIF($O$3:$X$3,O$60,$O$4:$X$4)))</f>
        <v>0</v>
      </c>
      <c r="P97" s="199" t="n">
        <f aca="false">IF((SUMIF($O$3:$X$3,P$60,$O$4:$X$4))=0,0,((SUMIF($O$3:$X$3,P$60,$O146:$X146))/SUMIF($O$3:$X$3,P$60,$O$4:$X$4)))</f>
        <v>0</v>
      </c>
      <c r="Q97" s="199" t="n">
        <f aca="false">IF((SUMIF($O$3:$X$3,Q$60,$O$4:$X$4))=0,0,((SUMIF($O$3:$X$3,Q$60,$O146:$X146))/SUMIF($O$3:$X$3,Q$60,$O$4:$X$4)))</f>
        <v>0</v>
      </c>
      <c r="R97" s="199" t="n">
        <f aca="false">IF((SUMIF($O$3:$X$3,R$60,$O$4:$X$4))=0,0,((SUMIF($O$3:$X$3,R$60,$O146:$X146))/SUMIF($O$3:$X$3,R$60,$O$4:$X$4)))</f>
        <v>0</v>
      </c>
      <c r="S97" s="199" t="n">
        <f aca="false">IF((SUMIF($O$3:$X$3,S$60,$O$4:$X$4))=0,0,((SUMIF($O$3:$X$3,S$60,$O146:$X146))/SUMIF($O$3:$X$3,S$60,$O$4:$X$4)))</f>
        <v>0</v>
      </c>
      <c r="T97" s="199" t="n">
        <f aca="false">IF((SUMIF($O$3:$X$3,T$60,$O$4:$X$4))=0,0,((SUMIF($O$3:$X$3,T$60,$O146:$X146))/SUMIF($O$3:$X$3,T$60,$O$4:$X$4)))</f>
        <v>0</v>
      </c>
      <c r="U97" s="199" t="n">
        <f aca="false">IF((SUMIF($O$3:$X$3,U$60,$O$4:$X$4))=0,0,((SUMIF($O$3:$X$3,U$60,$O146:$X146))/SUMIF($O$3:$X$3,U$60,$O$4:$X$4)))</f>
        <v>0</v>
      </c>
      <c r="V97" s="199" t="n">
        <f aca="false">IF((SUMIF($O$3:$X$3,V$60,$O$4:$X$4))=0,0,((SUMIF($O$3:$X$3,V$60,$O146:$X146))/SUMIF($O$3:$X$3,V$60,$O$4:$X$4)))</f>
        <v>0</v>
      </c>
      <c r="W97" s="199" t="n">
        <f aca="false">IF((SUMIF($O$3:$X$3,W$60,$O$4:$X$4))=0,0,((SUMIF($O$3:$X$3,W$60,$O146:$X146))/SUMIF($O$3:$X$3,W$60,$O$4:$X$4)))</f>
        <v>0</v>
      </c>
      <c r="X97" s="200" t="n">
        <f aca="false">IF((SUMIF($O$3:$X$3,X$60,$O$4:$X$4))=0,0,((SUMIF($O$3:$X$3,X$60,$O146:$X146))/SUMIF($O$3:$X$3,X$60,$O$4:$X$4)))</f>
        <v>0</v>
      </c>
      <c r="Y97" s="194" t="str">
        <f aca="false">N97</f>
        <v>Alumno36</v>
      </c>
      <c r="Z97" s="198" t="n">
        <f aca="false">IF((SUMIF($Z$3:$AI$3,Z$60,$Z$4:$AI$4))=0,0,((SUMIF($Z$3:$AI$3,Z$60,$Z146:$AI146))/SUMIF($Z$3:$AI$3,Z$60,$Z$4:$AI$4)))</f>
        <v>0</v>
      </c>
      <c r="AA97" s="199" t="n">
        <f aca="false">IF((SUMIF($Z$3:$AI$3,AA$60,$Z$4:$AI$4))=0,0,((SUMIF($Z$3:$AI$3,AA$60,$Z146:$AI146))/SUMIF($Z$3:$AI$3,AA$60,$Z$4:$AI$4)))</f>
        <v>0</v>
      </c>
      <c r="AB97" s="199" t="n">
        <f aca="false">IF((SUMIF($Z$3:$AI$3,AB$60,$Z$4:$AI$4))=0,0,((SUMIF($Z$3:$AI$3,AB$60,$Z146:$AI146))/SUMIF($Z$3:$AI$3,AB$60,$Z$4:$AI$4)))</f>
        <v>0</v>
      </c>
      <c r="AC97" s="199" t="n">
        <f aca="false">IF((SUMIF($Z$3:$AI$3,AC$60,$Z$4:$AI$4))=0,0,((SUMIF($Z$3:$AI$3,AC$60,$Z146:$AI146))/SUMIF($Z$3:$AI$3,AC$60,$Z$4:$AI$4)))</f>
        <v>0</v>
      </c>
      <c r="AD97" s="199" t="n">
        <f aca="false">IF((SUMIF($Z$3:$AI$3,AD$60,$Z$4:$AI$4))=0,0,((SUMIF($Z$3:$AI$3,AD$60,$Z146:$AI146))/SUMIF($Z$3:$AI$3,AD$60,$Z$4:$AI$4)))</f>
        <v>0</v>
      </c>
      <c r="AE97" s="199" t="n">
        <f aca="false">IF((SUMIF($Z$3:$AI$3,AE$60,$Z$4:$AI$4))=0,0,((SUMIF($Z$3:$AI$3,AE$60,$Z146:$AI146))/SUMIF($Z$3:$AI$3,AE$60,$Z$4:$AI$4)))</f>
        <v>0</v>
      </c>
      <c r="AF97" s="199" t="n">
        <f aca="false">IF((SUMIF($Z$3:$AI$3,AF$60,$Z$4:$AI$4))=0,0,((SUMIF($Z$3:$AI$3,AF$60,$Z146:$AI146))/SUMIF($Z$3:$AI$3,AF$60,$Z$4:$AI$4)))</f>
        <v>0</v>
      </c>
      <c r="AG97" s="199" t="n">
        <f aca="false">IF((SUMIF($Z$3:$AI$3,AG$60,$Z$4:$AI$4))=0,0,((SUMIF($Z$3:$AI$3,AG$60,$Z146:$AI146))/SUMIF($Z$3:$AI$3,AG$60,$Z$4:$AI$4)))</f>
        <v>0</v>
      </c>
      <c r="AH97" s="199" t="n">
        <f aca="false">IF((SUMIF($Z$3:$AI$3,AH$60,$Z$4:$AI$4))=0,0,((SUMIF($Z$3:$AI$3,AH$60,$Z146:$AI146))/SUMIF($Z$3:$AI$3,AH$60,$Z$4:$AI$4)))</f>
        <v>0</v>
      </c>
      <c r="AI97" s="200" t="n">
        <f aca="false">IF((SUMIF($Z$3:$AI$3,AI$60,$Z$4:$AI$4))=0,0,((SUMIF($Z$3:$AI$3,AI$60,$Z146:$AI146))/SUMIF($Z$3:$AI$3,AI$60,$Z$4:$AI$4)))</f>
        <v>0</v>
      </c>
      <c r="AJ97" s="194" t="str">
        <f aca="false">Y97</f>
        <v>Alumno36</v>
      </c>
      <c r="AK97" s="198" t="n">
        <f aca="false">IF((SUMIF($AK$3:$AT$3,AK$60,$AK$4:$AT$4))=0,0,((SUMIF($AK$3:$AT$3,AK$60,$AK146:$AT146))/SUMIF($AK$3:$AT$3,AK$60,$AK$4:$AT$4)))</f>
        <v>0</v>
      </c>
      <c r="AL97" s="199" t="n">
        <f aca="false">IF((SUMIF($AK$3:$AT$3,AL$60,$AK$4:$AT$4))=0,0,((SUMIF($AK$3:$AT$3,AL$60,$AK146:$AT146))/SUMIF($AK$3:$AT$3,AL$60,$AK$4:$AT$4)))</f>
        <v>0</v>
      </c>
      <c r="AM97" s="199" t="n">
        <f aca="false">IF((SUMIF($AK$3:$AT$3,AM$60,$AK$4:$AT$4))=0,0,((SUMIF($AK$3:$AT$3,AM$60,$AK146:$AT146))/SUMIF($AK$3:$AT$3,AM$60,$AK$4:$AT$4)))</f>
        <v>0</v>
      </c>
      <c r="AN97" s="199" t="n">
        <f aca="false">IF((SUMIF($AK$3:$AT$3,AN$60,$AK$4:$AT$4))=0,0,((SUMIF($AK$3:$AT$3,AN$60,$AK146:$AT146))/SUMIF($AK$3:$AT$3,AN$60,$AK$4:$AT$4)))</f>
        <v>0</v>
      </c>
      <c r="AO97" s="199" t="n">
        <f aca="false">IF((SUMIF($AK$3:$AT$3,AO$60,$AK$4:$AT$4))=0,0,((SUMIF($AK$3:$AT$3,AO$60,$AK146:$AT146))/SUMIF($AK$3:$AT$3,AO$60,$AK$4:$AT$4)))</f>
        <v>0</v>
      </c>
      <c r="AP97" s="199" t="n">
        <f aca="false">IF((SUMIF($AK$3:$AT$3,AP$60,$AK$4:$AT$4))=0,0,((SUMIF($AK$3:$AT$3,AP$60,$AK146:$AT146))/SUMIF($AK$3:$AT$3,AP$60,$AK$4:$AT$4)))</f>
        <v>0</v>
      </c>
      <c r="AQ97" s="199" t="n">
        <f aca="false">IF((SUMIF($AK$3:$AT$3,AQ$60,$AK$4:$AT$4))=0,0,((SUMIF($AK$3:$AT$3,AQ$60,$AK146:$AT146))/SUMIF($AK$3:$AT$3,AQ$60,$AK$4:$AT$4)))</f>
        <v>0</v>
      </c>
      <c r="AR97" s="199" t="n">
        <f aca="false">IF((SUMIF($AK$3:$AT$3,AR$60,$AK$4:$AT$4))=0,0,((SUMIF($AK$3:$AT$3,AR$60,$AK146:$AT146))/SUMIF($AK$3:$AT$3,AR$60,$AK$4:$AT$4)))</f>
        <v>0</v>
      </c>
      <c r="AS97" s="199" t="n">
        <f aca="false">IF((SUMIF($AK$3:$AT$3,AS$60,$AK$4:$AT$4))=0,0,((SUMIF($AK$3:$AT$3,AS$60,$AK146:$AT146))/SUMIF($AK$3:$AT$3,AS$60,$AK$4:$AT$4)))</f>
        <v>0</v>
      </c>
      <c r="AT97" s="200" t="n">
        <f aca="false">IF((SUMIF($AK$3:$AT$3,AT$60,$AK$4:$AT$4))=0,0,((SUMIF($AK$3:$AT$3,AT$60,$AK146:$AT146))/SUMIF($AK$3:$AT$3,AT$60,$AK$4:$AT$4)))</f>
        <v>0</v>
      </c>
      <c r="AU97" s="194" t="str">
        <f aca="false">AJ97</f>
        <v>Alumno36</v>
      </c>
      <c r="AV97" s="198" t="n">
        <f aca="false">IF((SUMIF($AV$3:$BE$3,AV$60,$AV$4:$BE$4))=0,0,((SUMIF($AV$3:$BE$3,AV$60,$AV146:$BE146))/SUMIF($AV$3:$BE$3,AV$60,$AV$4:$BE$4)))</f>
        <v>0</v>
      </c>
      <c r="AW97" s="199" t="n">
        <f aca="false">IF((SUMIF($AV$3:$BE$3,AW$60,$AV$4:$BE$4))=0,0,((SUMIF($AV$3:$BE$3,AW$60,$AV146:$BE146))/SUMIF($AV$3:$BE$3,AW$60,$AV$4:$BE$4)))</f>
        <v>0</v>
      </c>
      <c r="AX97" s="199" t="n">
        <f aca="false">IF((SUMIF($AV$3:$BE$3,AX$60,$AV$4:$BE$4))=0,0,((SUMIF($AV$3:$BE$3,AX$60,$AV146:$BE146))/SUMIF($AV$3:$BE$3,AX$60,$AV$4:$BE$4)))</f>
        <v>0</v>
      </c>
      <c r="AY97" s="199" t="n">
        <f aca="false">IF((SUMIF($AV$3:$BE$3,AY$60,$AV$4:$BE$4))=0,0,((SUMIF($AV$3:$BE$3,AY$60,$AV146:$BE146))/SUMIF($AV$3:$BE$3,AY$60,$AV$4:$BE$4)))</f>
        <v>0</v>
      </c>
      <c r="AZ97" s="199" t="n">
        <f aca="false">IF((SUMIF($AV$3:$BE$3,AZ$60,$AV$4:$BE$4))=0,0,((SUMIF($AV$3:$BE$3,AZ$60,$AV146:$BE146))/SUMIF($AV$3:$BE$3,AZ$60,$AV$4:$BE$4)))</f>
        <v>0</v>
      </c>
      <c r="BA97" s="199" t="n">
        <f aca="false">IF((SUMIF($AV$3:$BE$3,BA$60,$AV$4:$BE$4))=0,0,((SUMIF($AV$3:$BE$3,BA$60,$AV146:$BE146))/SUMIF($AV$3:$BE$3,BA$60,$AV$4:$BE$4)))</f>
        <v>0</v>
      </c>
      <c r="BB97" s="199" t="n">
        <f aca="false">IF((SUMIF($AV$3:$BE$3,BB$60,$AV$4:$BE$4))=0,0,((SUMIF($AV$3:$BE$3,BB$60,$AV146:$BE146))/SUMIF($AV$3:$BE$3,BB$60,$AV$4:$BE$4)))</f>
        <v>0</v>
      </c>
      <c r="BC97" s="199" t="n">
        <f aca="false">IF((SUMIF($AV$3:$BE$3,BC$60,$AV$4:$BE$4))=0,0,((SUMIF($AV$3:$BE$3,BC$60,$AV146:$BE146))/SUMIF($AV$3:$BE$3,BC$60,$AV$4:$BE$4)))</f>
        <v>0</v>
      </c>
      <c r="BD97" s="199" t="n">
        <f aca="false">IF((SUMIF($AV$3:$BE$3,BD$60,$AV$4:$BE$4))=0,0,((SUMIF($AV$3:$BE$3,BD$60,$AV146:$BE146))/SUMIF($AV$3:$BE$3,BD$60,$AV$4:$BE$4)))</f>
        <v>0</v>
      </c>
      <c r="BE97" s="200" t="n">
        <f aca="false">IF((SUMIF($AV$3:$BE$3,BE$60,$AV$4:$BE$4))=0,0,((SUMIF($AV$3:$BE$3,BE$60,$AV146:$BE146))/SUMIF($AV$3:$BE$3,BE$60,$AV$4:$BE$4)))</f>
        <v>0</v>
      </c>
      <c r="BF97" s="194" t="str">
        <f aca="false">AU97</f>
        <v>Alumno36</v>
      </c>
      <c r="BG97" s="198" t="n">
        <f aca="false">IF((SUMIF($BG$3:$BP$3,BG$60,$BG$4:$BP$4))=0,0,((SUMIF($BG$3:$BP$3,BG$60,$BG146:$BP146))/SUMIF($BG$3:$BP$3,BG$60,$BG$4:$BP$4)))</f>
        <v>0</v>
      </c>
      <c r="BH97" s="199" t="n">
        <f aca="false">IF((SUMIF($BG$3:$BP$3,BH$60,$BG$4:$BP$4))=0,0,((SUMIF($BG$3:$BP$3,BH$60,$BG146:$BP146))/SUMIF($BG$3:$BP$3,BH$60,$BG$4:$BP$4)))</f>
        <v>0</v>
      </c>
      <c r="BI97" s="199" t="n">
        <f aca="false">IF((SUMIF($BG$3:$BP$3,BI$60,$BG$4:$BP$4))=0,0,((SUMIF($BG$3:$BP$3,BI$60,$BG146:$BP146))/SUMIF($BG$3:$BP$3,BI$60,$BG$4:$BP$4)))</f>
        <v>0</v>
      </c>
      <c r="BJ97" s="199" t="n">
        <f aca="false">IF((SUMIF($BG$3:$BP$3,BJ$60,$BG$4:$BP$4))=0,0,((SUMIF($BG$3:$BP$3,BJ$60,$BG146:$BP146))/SUMIF($BG$3:$BP$3,BJ$60,$BG$4:$BP$4)))</f>
        <v>0</v>
      </c>
      <c r="BK97" s="199" t="n">
        <f aca="false">IF((SUMIF($BG$3:$BP$3,BK$60,$BG$4:$BP$4))=0,0,((SUMIF($BG$3:$BP$3,BK$60,$BG146:$BP146))/SUMIF($BG$3:$BP$3,BK$60,$BG$4:$BP$4)))</f>
        <v>0</v>
      </c>
      <c r="BL97" s="199" t="n">
        <f aca="false">IF((SUMIF($BG$3:$BP$3,BL$60,$BG$4:$BP$4))=0,0,((SUMIF($BG$3:$BP$3,BL$60,$BG146:$BP146))/SUMIF($BG$3:$BP$3,BL$60,$BG$4:$BP$4)))</f>
        <v>0</v>
      </c>
      <c r="BM97" s="199" t="n">
        <f aca="false">IF((SUMIF($BG$3:$BP$3,BM$60,$BG$4:$BP$4))=0,0,((SUMIF($BG$3:$BP$3,BM$60,$BG146:$BP146))/SUMIF($BG$3:$BP$3,BM$60,$BG$4:$BP$4)))</f>
        <v>0</v>
      </c>
      <c r="BN97" s="199" t="n">
        <f aca="false">IF((SUMIF($BG$3:$BP$3,BN$60,$BG$4:$BP$4))=0,0,((SUMIF($BG$3:$BP$3,BN$60,$BG146:$BP146))/SUMIF($BG$3:$BP$3,BN$60,$BG$4:$BP$4)))</f>
        <v>0</v>
      </c>
      <c r="BO97" s="199" t="n">
        <f aca="false">IF((SUMIF($BG$3:$BP$3,BO$60,$BG$4:$BP$4))=0,0,((SUMIF($BG$3:$BP$3,BO$60,$BG146:$BP146))/SUMIF($BG$3:$BP$3,BO$60,$BG$4:$BP$4)))</f>
        <v>0</v>
      </c>
      <c r="BP97" s="200" t="n">
        <f aca="false">IF((SUMIF($BG$3:$BP$3,BP$60,$BG$4:$BP$4))=0,0,((SUMIF($BG$3:$BP$3,BP$60,$BG146:$BP146))/SUMIF($BG$3:$BP$3,BP$60,$BG$4:$BP$4)))</f>
        <v>0</v>
      </c>
      <c r="BQ97" s="194" t="str">
        <f aca="false">BF97</f>
        <v>Alumno36</v>
      </c>
      <c r="BR97" s="198" t="n">
        <f aca="false">IF((SUMIF($BR$3:$CA$3,BR$60,$BR$4:$CA$4))=0,0,((SUMIF($BR$3:$CA$3,BR$60,$BR146:$CA146))/SUMIF($BR$3:$CA$3,BR$60,$BR$4:$CA$4)))</f>
        <v>0</v>
      </c>
      <c r="BS97" s="199" t="n">
        <f aca="false">IF((SUMIF($BR$3:$CA$3,BS$60,$BR$4:$CA$4))=0,0,((SUMIF($BR$3:$CA$3,BS$60,$BR146:$CA146))/SUMIF($BR$3:$CA$3,BS$60,$BR$4:$CA$4)))</f>
        <v>0</v>
      </c>
      <c r="BT97" s="199" t="n">
        <f aca="false">IF((SUMIF($BR$3:$CA$3,BT$60,$BR$4:$CA$4))=0,0,((SUMIF($BR$3:$CA$3,BT$60,$BR146:$CA146))/SUMIF($BR$3:$CA$3,BT$60,$BR$4:$CA$4)))</f>
        <v>0</v>
      </c>
      <c r="BU97" s="199" t="n">
        <f aca="false">IF((SUMIF($BR$3:$CA$3,BU$60,$BR$4:$CA$4))=0,0,((SUMIF($BR$3:$CA$3,BU$60,$BR146:$CA146))/SUMIF($BR$3:$CA$3,BU$60,$BR$4:$CA$4)))</f>
        <v>0</v>
      </c>
      <c r="BV97" s="199" t="n">
        <f aca="false">IF((SUMIF($BR$3:$CA$3,BV$60,$BR$4:$CA$4))=0,0,((SUMIF($BR$3:$CA$3,BV$60,$BR146:$CA146))/SUMIF($BR$3:$CA$3,BV$60,$BR$4:$CA$4)))</f>
        <v>0</v>
      </c>
      <c r="BW97" s="199" t="n">
        <f aca="false">IF((SUMIF($BR$3:$CA$3,BW$60,$BR$4:$CA$4))=0,0,((SUMIF($BR$3:$CA$3,BW$60,$BR146:$CA146))/SUMIF($BR$3:$CA$3,BW$60,$BR$4:$CA$4)))</f>
        <v>0</v>
      </c>
      <c r="BX97" s="199" t="n">
        <f aca="false">IF((SUMIF($BR$3:$CA$3,BX$60,$BR$4:$CA$4))=0,0,((SUMIF($BR$3:$CA$3,BX$60,$BR146:$CA146))/SUMIF($BR$3:$CA$3,BX$60,$BR$4:$CA$4)))</f>
        <v>0</v>
      </c>
      <c r="BY97" s="199" t="n">
        <f aca="false">IF((SUMIF($BR$3:$CA$3,BY$60,$BR$4:$CA$4))=0,0,((SUMIF($BR$3:$CA$3,BY$60,$BR146:$CA146))/SUMIF($BR$3:$CA$3,BY$60,$BR$4:$CA$4)))</f>
        <v>0</v>
      </c>
      <c r="BZ97" s="199" t="n">
        <f aca="false">IF((SUMIF($BR$3:$CA$3,BZ$60,$BR$4:$CA$4))=0,0,((SUMIF($BR$3:$CA$3,BZ$60,$BR146:$CA146))/SUMIF($BR$3:$CA$3,BZ$60,$BR$4:$CA$4)))</f>
        <v>0</v>
      </c>
      <c r="CA97" s="200" t="n">
        <f aca="false">IF((SUMIF($BR$3:$CA$3,CA$60,$BR$4:$CA$4))=0,0,((SUMIF($BR$3:$CA$3,CA$60,$BR146:$CA146))/SUMIF($BR$3:$CA$3,CA$60,$BR$4:$CA$4)))</f>
        <v>0</v>
      </c>
      <c r="CB97" s="194" t="str">
        <f aca="false">BQ97</f>
        <v>Alumno36</v>
      </c>
      <c r="CC97" s="198" t="n">
        <f aca="false">IF((SUMIF($CC$3:$CL$3,CC$60,$CC$4:$CL$4))=0,0,((SUMIF($CC$3:$CL$3,CC$60,$CC146:$CL146))/SUMIF($CC$3:$CL$3,CC$60,$CC$4:$CL$4)))</f>
        <v>0</v>
      </c>
      <c r="CD97" s="199" t="n">
        <f aca="false">IF((SUMIF($CC$3:$CL$3,CD$60,$CC$4:$CL$4))=0,0,((SUMIF($CC$3:$CL$3,CD$60,$CC146:$CL146))/SUMIF($CC$3:$CL$3,CD$60,$CC$4:$CL$4)))</f>
        <v>0</v>
      </c>
      <c r="CE97" s="199" t="n">
        <f aca="false">IF((SUMIF($CC$3:$CL$3,CE$60,$CC$4:$CL$4))=0,0,((SUMIF($CC$3:$CL$3,CE$60,$CC146:$CL146))/SUMIF($CC$3:$CL$3,CE$60,$CC$4:$CL$4)))</f>
        <v>0</v>
      </c>
      <c r="CF97" s="199" t="n">
        <f aca="false">IF((SUMIF($CC$3:$CL$3,CF$60,$CC$4:$CL$4))=0,0,((SUMIF($CC$3:$CL$3,CF$60,$CC146:$CL146))/SUMIF($CC$3:$CL$3,CF$60,$CC$4:$CL$4)))</f>
        <v>0</v>
      </c>
      <c r="CG97" s="199" t="n">
        <f aca="false">IF((SUMIF($CC$3:$CL$3,CG$60,$CC$4:$CL$4))=0,0,((SUMIF($CC$3:$CL$3,CG$60,$CC146:$CL146))/SUMIF($CC$3:$CL$3,CG$60,$CC$4:$CL$4)))</f>
        <v>0</v>
      </c>
      <c r="CH97" s="199" t="n">
        <f aca="false">IF((SUMIF($CC$3:$CL$3,CH$60,$CC$4:$CL$4))=0,0,((SUMIF($CC$3:$CL$3,CH$60,$CC146:$CL146))/SUMIF($CC$3:$CL$3,CH$60,$CC$4:$CL$4)))</f>
        <v>0</v>
      </c>
      <c r="CI97" s="199" t="n">
        <f aca="false">IF((SUMIF($CC$3:$CL$3,CI$60,$CC$4:$CL$4))=0,0,((SUMIF($CC$3:$CL$3,CI$60,$CC146:$CL146))/SUMIF($CC$3:$CL$3,CI$60,$CC$4:$CL$4)))</f>
        <v>0</v>
      </c>
      <c r="CJ97" s="199" t="n">
        <f aca="false">IF((SUMIF($CC$3:$CL$3,CJ$60,$CC$4:$CL$4))=0,0,((SUMIF($CC$3:$CL$3,CJ$60,$CC146:$CL146))/SUMIF($CC$3:$CL$3,CJ$60,$CC$4:$CL$4)))</f>
        <v>0</v>
      </c>
      <c r="CK97" s="199" t="n">
        <f aca="false">IF((SUMIF($CC$3:$CL$3,CK$60,$CC$4:$CL$4))=0,0,((SUMIF($CC$3:$CL$3,CK$60,$CC146:$CL146))/SUMIF($CC$3:$CL$3,CK$60,$CC$4:$CL$4)))</f>
        <v>0</v>
      </c>
      <c r="CL97" s="200" t="n">
        <f aca="false">IF((SUMIF($CC$3:$CL$3,CL$60,$CC$4:$CL$4))=0,0,((SUMIF($CC$3:$CL$3,CL$60,$CC146:$CL146))/SUMIF($CC$3:$CL$3,CL$60,$CC$4:$CL$4)))</f>
        <v>0</v>
      </c>
      <c r="CM97" s="194" t="str">
        <f aca="false">CB97</f>
        <v>Alumno36</v>
      </c>
      <c r="CN97" s="198" t="n">
        <f aca="false">IF((SUMIF($CN$3:$CW$3,CN$60,$CN$4:$CW$4))=0,0,((SUMIF($CN$3:$CW$3,CN$60,$CN146:$CW146))/SUMIF($CN$3:$CW$3,CN$60,$CN$4:$CW$4)))</f>
        <v>0</v>
      </c>
      <c r="CO97" s="199" t="n">
        <f aca="false">IF((SUMIF($CN$3:$CW$3,CO$60,$CN$4:$CW$4))=0,0,((SUMIF($CN$3:$CW$3,CO$60,$CN146:$CW146))/SUMIF($CN$3:$CW$3,CO$60,$CN$4:$CW$4)))</f>
        <v>0</v>
      </c>
      <c r="CP97" s="199" t="n">
        <f aca="false">IF((SUMIF($CN$3:$CW$3,CP$60,$CN$4:$CW$4))=0,0,((SUMIF($CN$3:$CW$3,CP$60,$CN146:$CW146))/SUMIF($CN$3:$CW$3,CP$60,$CN$4:$CW$4)))</f>
        <v>0</v>
      </c>
      <c r="CQ97" s="199" t="n">
        <f aca="false">IF((SUMIF($CN$3:$CW$3,CQ$60,$CN$4:$CW$4))=0,0,((SUMIF($CN$3:$CW$3,CQ$60,$CN146:$CW146))/SUMIF($CN$3:$CW$3,CQ$60,$CN$4:$CW$4)))</f>
        <v>0</v>
      </c>
      <c r="CR97" s="199" t="n">
        <f aca="false">IF((SUMIF($CN$3:$CW$3,CR$60,$CN$4:$CW$4))=0,0,((SUMIF($CN$3:$CW$3,CR$60,$CN146:$CW146))/SUMIF($CN$3:$CW$3,CR$60,$CN$4:$CW$4)))</f>
        <v>0</v>
      </c>
      <c r="CS97" s="199" t="n">
        <f aca="false">IF((SUMIF($CN$3:$CW$3,CS$60,$CN$4:$CW$4))=0,0,((SUMIF($CN$3:$CW$3,CS$60,$CN146:$CW146))/SUMIF($CN$3:$CW$3,CS$60,$CN$4:$CW$4)))</f>
        <v>0</v>
      </c>
      <c r="CT97" s="199" t="n">
        <f aca="false">IF((SUMIF($CN$3:$CW$3,CT$60,$CN$4:$CW$4))=0,0,((SUMIF($CN$3:$CW$3,CT$60,$CN146:$CW146))/SUMIF($CN$3:$CW$3,CT$60,$CN$4:$CW$4)))</f>
        <v>0</v>
      </c>
      <c r="CU97" s="199" t="n">
        <f aca="false">IF((SUMIF($CN$3:$CW$3,CU$60,$CN$4:$CW$4))=0,0,((SUMIF($CN$3:$CW$3,CU$60,$CN146:$CW146))/SUMIF($CN$3:$CW$3,CU$60,$CN$4:$CW$4)))</f>
        <v>0</v>
      </c>
      <c r="CV97" s="199" t="n">
        <f aca="false">IF((SUMIF($CN$3:$CW$3,CV$60,$CN$4:$CW$4))=0,0,((SUMIF($CN$3:$CW$3,CV$60,$CN146:$CW146))/SUMIF($CN$3:$CW$3,CV$60,$CN$4:$CW$4)))</f>
        <v>0</v>
      </c>
      <c r="CW97" s="200" t="n">
        <f aca="false">IF((SUMIF($CN$3:$CW$3,CW$60,$CN$4:$CW$4))=0,0,((SUMIF($CN$3:$CW$3,CW$60,$CN146:$CW146))/SUMIF($CN$3:$CW$3,CW$60,$CN$4:$CW$4)))</f>
        <v>0</v>
      </c>
      <c r="CX97" s="194" t="str">
        <f aca="false">CM97</f>
        <v>Alumno36</v>
      </c>
      <c r="CY97" s="198" t="n">
        <f aca="false">IF((SUMIF($CY$3:$DH$3,CY$60,$CY$4:$DH$4))=0,0,((SUMIF($CY$3:$DH$3,CY$60,$CY146:$DH146))/SUMIF($CY$3:$DH$3,CY$60,$CY$4:$DH$4)))</f>
        <v>0</v>
      </c>
      <c r="CZ97" s="199" t="n">
        <f aca="false">IF((SUMIF($CY$3:$DH$3,CZ$60,$CY$4:$DH$4))=0,0,((SUMIF($CY$3:$DH$3,CZ$60,$CY146:$DH146))/SUMIF($CY$3:$DH$3,CZ$60,$CY$4:$DH$4)))</f>
        <v>0</v>
      </c>
      <c r="DA97" s="199" t="n">
        <f aca="false">IF((SUMIF($CY$3:$DH$3,DA$60,$CY$4:$DH$4))=0,0,((SUMIF($CY$3:$DH$3,DA$60,$CY146:$DH146))/SUMIF($CY$3:$DH$3,DA$60,$CY$4:$DH$4)))</f>
        <v>0</v>
      </c>
      <c r="DB97" s="199" t="n">
        <f aca="false">IF((SUMIF($CY$3:$DH$3,DB$60,$CY$4:$DH$4))=0,0,((SUMIF($CY$3:$DH$3,DB$60,$CY146:$DH146))/SUMIF($CY$3:$DH$3,DB$60,$CY$4:$DH$4)))</f>
        <v>0</v>
      </c>
      <c r="DC97" s="199" t="n">
        <f aca="false">IF((SUMIF($CY$3:$DH$3,DC$60,$CY$4:$DH$4))=0,0,((SUMIF($CY$3:$DH$3,DC$60,$CY146:$DH146))/SUMIF($CY$3:$DH$3,DC$60,$CY$4:$DH$4)))</f>
        <v>0</v>
      </c>
      <c r="DD97" s="199" t="n">
        <f aca="false">IF((SUMIF($CY$3:$DH$3,DD$60,$CY$4:$DH$4))=0,0,((SUMIF($CY$3:$DH$3,DD$60,$CY146:$DH146))/SUMIF($CY$3:$DH$3,DD$60,$CY$4:$DH$4)))</f>
        <v>0</v>
      </c>
      <c r="DE97" s="199" t="n">
        <f aca="false">IF((SUMIF($CY$3:$DH$3,DE$60,$CY$4:$DH$4))=0,0,((SUMIF($CY$3:$DH$3,DE$60,$CY146:$DH146))/SUMIF($CY$3:$DH$3,DE$60,$CY$4:$DH$4)))</f>
        <v>0</v>
      </c>
      <c r="DF97" s="199" t="n">
        <f aca="false">IF((SUMIF($CY$3:$DH$3,DF$60,$CY$4:$DH$4))=0,0,((SUMIF($CY$3:$DH$3,DF$60,$CY146:$DH146))/SUMIF($CY$3:$DH$3,DF$60,$CY$4:$DH$4)))</f>
        <v>0</v>
      </c>
      <c r="DG97" s="199" t="n">
        <f aca="false">IF((SUMIF($CY$3:$DH$3,DG$60,$CY$4:$DH$4))=0,0,((SUMIF($CY$3:$DH$3,DG$60,$CY146:$DH146))/SUMIF($CY$3:$DH$3,DG$60,$CY$4:$DH$4)))</f>
        <v>0</v>
      </c>
      <c r="DH97" s="200" t="n">
        <f aca="false">IF((SUMIF($CY$3:$DH$3,DH$60,$CY$4:$DH$4))=0,0,((SUMIF($CY$3:$DH$3,DH$60,$CY146:$DH146))/SUMIF($CY$3:$DH$3,DH$60,$CY$4:$DH$4)))</f>
        <v>0</v>
      </c>
      <c r="DI97" s="194" t="str">
        <f aca="false">CX97</f>
        <v>Alumno36</v>
      </c>
      <c r="DJ97" s="198" t="n">
        <f aca="false">IF((SUMIF($DJ$3:$DS$3,DJ$60,$DJ$4:$DS$4))=0,0,((SUMIF($DJ$3:$DS$3,DJ$60,$DJ146:$DS146))/SUMIF($DJ$3:$DS$3,DJ$60,$DJ$4:$DS$4)))</f>
        <v>0</v>
      </c>
      <c r="DK97" s="199" t="n">
        <f aca="false">IF((SUMIF($DJ$3:$DS$3,DK$60,$DJ$4:$DS$4))=0,0,((SUMIF($DJ$3:$DS$3,DK$60,$DJ146:$DS146))/SUMIF($DJ$3:$DS$3,DK$60,$DJ$4:$DS$4)))</f>
        <v>0</v>
      </c>
      <c r="DL97" s="199" t="n">
        <f aca="false">IF((SUMIF($DJ$3:$DS$3,DL$60,$DJ$4:$DS$4))=0,0,((SUMIF($DJ$3:$DS$3,DL$60,$DJ146:$DS146))/SUMIF($DJ$3:$DS$3,DL$60,$DJ$4:$DS$4)))</f>
        <v>0</v>
      </c>
      <c r="DM97" s="199" t="n">
        <f aca="false">IF((SUMIF($DJ$3:$DS$3,DM$60,$DJ$4:$DS$4))=0,0,((SUMIF($DJ$3:$DS$3,DM$60,$DJ146:$DS146))/SUMIF($DJ$3:$DS$3,DM$60,$DJ$4:$DS$4)))</f>
        <v>0</v>
      </c>
      <c r="DN97" s="199" t="n">
        <f aca="false">IF((SUMIF($DJ$3:$DS$3,DN$60,$DJ$4:$DS$4))=0,0,((SUMIF($DJ$3:$DS$3,DN$60,$DJ146:$DS146))/SUMIF($DJ$3:$DS$3,DN$60,$DJ$4:$DS$4)))</f>
        <v>0</v>
      </c>
      <c r="DO97" s="199" t="n">
        <f aca="false">IF((SUMIF($DJ$3:$DS$3,DO$60,$DJ$4:$DS$4))=0,0,((SUMIF($DJ$3:$DS$3,DO$60,$DJ146:$DS146))/SUMIF($DJ$3:$DS$3,DO$60,$DJ$4:$DS$4)))</f>
        <v>0</v>
      </c>
      <c r="DP97" s="199" t="n">
        <f aca="false">IF((SUMIF($DJ$3:$DS$3,DP$60,$DJ$4:$DS$4))=0,0,((SUMIF($DJ$3:$DS$3,DP$60,$DJ146:$DS146))/SUMIF($DJ$3:$DS$3,DP$60,$DJ$4:$DS$4)))</f>
        <v>0</v>
      </c>
      <c r="DQ97" s="199" t="n">
        <f aca="false">IF((SUMIF($DJ$3:$DS$3,DQ$60,$DJ$4:$DS$4))=0,0,((SUMIF($DJ$3:$DS$3,DQ$60,$DJ146:$DS146))/SUMIF($DJ$3:$DS$3,DQ$60,$DJ$4:$DS$4)))</f>
        <v>0</v>
      </c>
      <c r="DR97" s="199" t="n">
        <f aca="false">IF((SUMIF($DJ$3:$DS$3,DR$60,$DJ$4:$DS$4))=0,0,((SUMIF($DJ$3:$DS$3,DR$60,$DJ146:$DS146))/SUMIF($DJ$3:$DS$3,DR$60,$DJ$4:$DS$4)))</f>
        <v>0</v>
      </c>
      <c r="DS97" s="200" t="n">
        <f aca="false">IF((SUMIF($DJ$3:$DS$3,DS$60,$DJ$4:$DS$4))=0,0,((SUMIF($DJ$3:$DS$3,DS$60,$DJ146:$DS146))/SUMIF($DJ$3:$DS$3,DS$60,$DJ$4:$DS$4)))</f>
        <v>0</v>
      </c>
      <c r="DT97" s="194" t="str">
        <f aca="false">DI97</f>
        <v>Alumno36</v>
      </c>
      <c r="DU97" s="198" t="n">
        <f aca="false">IF((SUMIF($DU$3:$ED$3,DU$60,$DU$4:$ED$4))=0,0,((SUMIF($DU$3:$ED$3,DU$60,$DU146:$ED146))/SUMIF($DU$3:$ED$3,DU$60,$DU$4:$ED$4)))</f>
        <v>0</v>
      </c>
      <c r="DV97" s="199" t="n">
        <f aca="false">IF((SUMIF($DU$3:$ED$3,DV$60,$DU$4:$ED$4))=0,0,((SUMIF($DU$3:$ED$3,DV$60,$DU146:$ED146))/SUMIF($DU$3:$ED$3,DV$60,$DU$4:$ED$4)))</f>
        <v>0</v>
      </c>
      <c r="DW97" s="199" t="n">
        <f aca="false">IF((SUMIF($DU$3:$ED$3,DW$60,$DU$4:$ED$4))=0,0,((SUMIF($DU$3:$ED$3,DW$60,$DU146:$ED146))/SUMIF($DU$3:$ED$3,DW$60,$DU$4:$ED$4)))</f>
        <v>0</v>
      </c>
      <c r="DX97" s="199" t="n">
        <f aca="false">IF((SUMIF($DU$3:$ED$3,DX$60,$DU$4:$ED$4))=0,0,((SUMIF($DU$3:$ED$3,DX$60,$DU146:$ED146))/SUMIF($DU$3:$ED$3,DX$60,$DU$4:$ED$4)))</f>
        <v>0</v>
      </c>
      <c r="DY97" s="199" t="n">
        <f aca="false">IF((SUMIF($DU$3:$ED$3,DY$60,$DU$4:$ED$4))=0,0,((SUMIF($DU$3:$ED$3,DY$60,$DU146:$ED146))/SUMIF($DU$3:$ED$3,DY$60,$DU$4:$ED$4)))</f>
        <v>0</v>
      </c>
      <c r="DZ97" s="199" t="n">
        <f aca="false">IF((SUMIF($DU$3:$ED$3,DZ$60,$DU$4:$ED$4))=0,0,((SUMIF($DU$3:$ED$3,DZ$60,$DU146:$ED146))/SUMIF($DU$3:$ED$3,DZ$60,$DU$4:$ED$4)))</f>
        <v>0</v>
      </c>
      <c r="EA97" s="199" t="n">
        <f aca="false">IF((SUMIF($DU$3:$ED$3,EA$60,$DU$4:$ED$4))=0,0,((SUMIF($DU$3:$ED$3,EA$60,$DU146:$ED146))/SUMIF($DU$3:$ED$3,EA$60,$DU$4:$ED$4)))</f>
        <v>0</v>
      </c>
      <c r="EB97" s="199" t="n">
        <f aca="false">IF((SUMIF($DU$3:$ED$3,EB$60,$DU$4:$ED$4))=0,0,((SUMIF($DU$3:$ED$3,EB$60,$DU146:$ED146))/SUMIF($DU$3:$ED$3,EB$60,$DU$4:$ED$4)))</f>
        <v>0</v>
      </c>
      <c r="EC97" s="199" t="n">
        <f aca="false">IF((SUMIF($DU$3:$ED$3,EC$60,$DU$4:$ED$4))=0,0,((SUMIF($DU$3:$ED$3,EC$60,$DU146:$ED146))/SUMIF($DU$3:$ED$3,EC$60,$DU$4:$ED$4)))</f>
        <v>0</v>
      </c>
      <c r="ED97" s="200" t="n">
        <f aca="false">IF((SUMIF($DU$3:$ED$3,ED$60,$DU$4:$ED$4))=0,0,((SUMIF($DU$3:$ED$3,ED$60,$DU146:$ED146))/SUMIF($DU$3:$ED$3,ED$60,$DU$4:$ED$4)))</f>
        <v>0</v>
      </c>
      <c r="EE97" s="194" t="str">
        <f aca="false">DT97</f>
        <v>Alumno36</v>
      </c>
      <c r="EF97" s="198" t="n">
        <f aca="false">IF((SUMIF($EF$3:$EO$3,EF$60,$EF$4:$EO$4))=0,0,((SUMIF($EF$3:$EO$3,EF$60,$EF146:$EO146))/SUMIF($EF$3:$EO$3,EF$60,$EF$4:$EO$4)))</f>
        <v>0</v>
      </c>
      <c r="EG97" s="199" t="n">
        <f aca="false">IF((SUMIF($EF$3:$EO$3,EG$60,$EF$4:$EO$4))=0,0,((SUMIF($EF$3:$EO$3,EG$60,$EF146:$EO146))/SUMIF($EF$3:$EO$3,EG$60,$EF$4:$EO$4)))</f>
        <v>0</v>
      </c>
      <c r="EH97" s="199" t="n">
        <f aca="false">IF((SUMIF($EF$3:$EO$3,EH$60,$EF$4:$EO$4))=0,0,((SUMIF($EF$3:$EO$3,EH$60,$EF146:$EO146))/SUMIF($EF$3:$EO$3,EH$60,$EF$4:$EO$4)))</f>
        <v>0</v>
      </c>
      <c r="EI97" s="199" t="n">
        <f aca="false">IF((SUMIF($EF$3:$EO$3,EI$60,$EF$4:$EO$4))=0,0,((SUMIF($EF$3:$EO$3,EI$60,$EF146:$EO146))/SUMIF($EF$3:$EO$3,EI$60,$EF$4:$EO$4)))</f>
        <v>0</v>
      </c>
      <c r="EJ97" s="199" t="n">
        <f aca="false">IF((SUMIF($EF$3:$EO$3,EJ$60,$EF$4:$EO$4))=0,0,((SUMIF($EF$3:$EO$3,EJ$60,$EF146:$EO146))/SUMIF($EF$3:$EO$3,EJ$60,$EF$4:$EO$4)))</f>
        <v>0</v>
      </c>
      <c r="EK97" s="199" t="n">
        <f aca="false">IF((SUMIF($EF$3:$EO$3,EK$60,$EF$4:$EO$4))=0,0,((SUMIF($EF$3:$EO$3,EK$60,$EF146:$EO146))/SUMIF($EF$3:$EO$3,EK$60,$EF$4:$EO$4)))</f>
        <v>0</v>
      </c>
      <c r="EL97" s="199" t="n">
        <f aca="false">IF((SUMIF($EF$3:$EO$3,EL$60,$EF$4:$EO$4))=0,0,((SUMIF($EF$3:$EO$3,EL$60,$EF146:$EO146))/SUMIF($EF$3:$EO$3,EL$60,$EF$4:$EO$4)))</f>
        <v>0</v>
      </c>
      <c r="EM97" s="199" t="n">
        <f aca="false">IF((SUMIF($EF$3:$EO$3,EM$60,$EF$4:$EO$4))=0,0,((SUMIF($EF$3:$EO$3,EM$60,$EF146:$EO146))/SUMIF($EF$3:$EO$3,EM$60,$EF$4:$EO$4)))</f>
        <v>0</v>
      </c>
      <c r="EN97" s="199" t="n">
        <f aca="false">IF((SUMIF($EF$3:$EO$3,EN$60,$EF$4:$EO$4))=0,0,((SUMIF($EF$3:$EO$3,EN$60,$EF146:$EO146))/SUMIF($EF$3:$EO$3,EN$60,$EF$4:$EO$4)))</f>
        <v>0</v>
      </c>
      <c r="EO97" s="200" t="n">
        <f aca="false">IF((SUMIF($EF$3:$EO$3,EO$60,$EF$4:$EO$4))=0,0,((SUMIF($EF$3:$EO$3,EO$60,$EF146:$EO146))/SUMIF($EF$3:$EO$3,EO$60,$EF$4:$EO$4)))</f>
        <v>0</v>
      </c>
      <c r="EP97" s="194" t="str">
        <f aca="false">EE97</f>
        <v>Alumno36</v>
      </c>
      <c r="EQ97" s="198" t="n">
        <f aca="false">IF((SUMIF($EQ$3:$EZ$3,EQ$60,$EQ$4:$EZ$4))=0,0,((SUMIF($EQ$3:$EZ$3,EQ$60,$EQ146:$EZ146))/SUMIF($EQ$3:$EZ$3,EQ$60,$EQ$4:$EZ$4)))</f>
        <v>0</v>
      </c>
      <c r="ER97" s="199" t="n">
        <f aca="false">IF((SUMIF($EQ$3:$EZ$3,ER$60,$EQ$4:$EZ$4))=0,0,((SUMIF($EQ$3:$EZ$3,ER$60,$EQ146:$EZ146))/SUMIF($EQ$3:$EZ$3,ER$60,$EQ$4:$EZ$4)))</f>
        <v>0</v>
      </c>
      <c r="ES97" s="199" t="n">
        <f aca="false">IF((SUMIF($EQ$3:$EZ$3,ES$60,$EQ$4:$EZ$4))=0,0,((SUMIF($EQ$3:$EZ$3,ES$60,$EQ146:$EZ146))/SUMIF($EQ$3:$EZ$3,ES$60,$EQ$4:$EZ$4)))</f>
        <v>0</v>
      </c>
      <c r="ET97" s="199" t="n">
        <f aca="false">IF((SUMIF($EQ$3:$EZ$3,ET$60,$EQ$4:$EZ$4))=0,0,((SUMIF($EQ$3:$EZ$3,ET$60,$EQ146:$EZ146))/SUMIF($EQ$3:$EZ$3,ET$60,$EQ$4:$EZ$4)))</f>
        <v>0</v>
      </c>
      <c r="EU97" s="199" t="n">
        <f aca="false">IF((SUMIF($EQ$3:$EZ$3,EU$60,$EQ$4:$EZ$4))=0,0,((SUMIF($EQ$3:$EZ$3,EU$60,$EQ146:$EZ146))/SUMIF($EQ$3:$EZ$3,EU$60,$EQ$4:$EZ$4)))</f>
        <v>0</v>
      </c>
      <c r="EV97" s="199" t="n">
        <f aca="false">IF((SUMIF($EQ$3:$EZ$3,EV$60,$EQ$4:$EZ$4))=0,0,((SUMIF($EQ$3:$EZ$3,EV$60,$EQ146:$EZ146))/SUMIF($EQ$3:$EZ$3,EV$60,$EQ$4:$EZ$4)))</f>
        <v>0</v>
      </c>
      <c r="EW97" s="199" t="n">
        <f aca="false">IF((SUMIF($EQ$3:$EZ$3,EW$60,$EQ$4:$EZ$4))=0,0,((SUMIF($EQ$3:$EZ$3,EW$60,$EQ146:$EZ146))/SUMIF($EQ$3:$EZ$3,EW$60,$EQ$4:$EZ$4)))</f>
        <v>0</v>
      </c>
      <c r="EX97" s="199" t="n">
        <f aca="false">IF((SUMIF($EQ$3:$EZ$3,EX$60,$EQ$4:$EZ$4))=0,0,((SUMIF($EQ$3:$EZ$3,EX$60,$EQ146:$EZ146))/SUMIF($EQ$3:$EZ$3,EX$60,$EQ$4:$EZ$4)))</f>
        <v>0</v>
      </c>
      <c r="EY97" s="199" t="n">
        <f aca="false">IF((SUMIF($EQ$3:$EZ$3,EY$60,$EQ$4:$EZ$4))=0,0,((SUMIF($EQ$3:$EZ$3,EY$60,$EQ146:$EZ146))/SUMIF($EQ$3:$EZ$3,EY$60,$EQ$4:$EZ$4)))</f>
        <v>0</v>
      </c>
      <c r="EZ97" s="200" t="n">
        <f aca="false">IF((SUMIF($EQ$3:$EZ$3,EZ$60,$EQ$4:$EZ$4))=0,0,((SUMIF($EQ$3:$EZ$3,EZ$60,$EQ146:$EZ146))/SUMIF($EQ$3:$EZ$3,EZ$60,$EQ$4:$EZ$4)))</f>
        <v>0</v>
      </c>
      <c r="FA97" s="194" t="str">
        <f aca="false">EP97</f>
        <v>Alumno36</v>
      </c>
      <c r="FB97" s="198" t="n">
        <f aca="false">IF((SUMIF($FB$3:$FK$3,FB$60,$FB$4:$FK$4))=0,0,((SUMIF($FB$3:$FK$3,FB$60,$FB146:$FK146))/SUMIF($FB$3:$FK$3,FB$60,$FB$4:$FK$4)))</f>
        <v>0</v>
      </c>
      <c r="FC97" s="199" t="n">
        <f aca="false">IF((SUMIF($FB$3:$FK$3,FC$60,$FB$4:$FK$4))=0,0,((SUMIF($FB$3:$FK$3,FC$60,$FB146:$FK146))/SUMIF($FB$3:$FK$3,FC$60,$FB$4:$FK$4)))</f>
        <v>0</v>
      </c>
      <c r="FD97" s="199" t="n">
        <f aca="false">IF((SUMIF($FB$3:$FK$3,FD$60,$FB$4:$FK$4))=0,0,((SUMIF($FB$3:$FK$3,FD$60,$FB146:$FK146))/SUMIF($FB$3:$FK$3,FD$60,$FB$4:$FK$4)))</f>
        <v>0</v>
      </c>
      <c r="FE97" s="199" t="n">
        <f aca="false">IF((SUMIF($FB$3:$FK$3,FE$60,$FB$4:$FK$4))=0,0,((SUMIF($FB$3:$FK$3,FE$60,$FB146:$FK146))/SUMIF($FB$3:$FK$3,FE$60,$FB$4:$FK$4)))</f>
        <v>0</v>
      </c>
      <c r="FF97" s="199" t="n">
        <f aca="false">IF((SUMIF($FB$3:$FK$3,FF$60,$FB$4:$FK$4))=0,0,((SUMIF($FB$3:$FK$3,FF$60,$FB146:$FK146))/SUMIF($FB$3:$FK$3,FF$60,$FB$4:$FK$4)))</f>
        <v>0</v>
      </c>
      <c r="FG97" s="199" t="n">
        <f aca="false">IF((SUMIF($FB$3:$FK$3,FG$60,$FB$4:$FK$4))=0,0,((SUMIF($FB$3:$FK$3,FG$60,$FB146:$FK146))/SUMIF($FB$3:$FK$3,FG$60,$FB$4:$FK$4)))</f>
        <v>0</v>
      </c>
      <c r="FH97" s="199" t="n">
        <f aca="false">IF((SUMIF($FB$3:$FK$3,FH$60,$FB$4:$FK$4))=0,0,((SUMIF($FB$3:$FK$3,FH$60,$FB146:$FK146))/SUMIF($FB$3:$FK$3,FH$60,$FB$4:$FK$4)))</f>
        <v>0</v>
      </c>
      <c r="FI97" s="199" t="n">
        <f aca="false">IF((SUMIF($FB$3:$FK$3,FI$60,$FB$4:$FK$4))=0,0,((SUMIF($FB$3:$FK$3,FI$60,$FB146:$FK146))/SUMIF($FB$3:$FK$3,FI$60,$FB$4:$FK$4)))</f>
        <v>0</v>
      </c>
      <c r="FJ97" s="199" t="n">
        <f aca="false">IF((SUMIF($FB$3:$FK$3,FJ$60,$FB$4:$FK$4))=0,0,((SUMIF($FB$3:$FK$3,FJ$60,$FB146:$FK146))/SUMIF($FB$3:$FK$3,FJ$60,$FB$4:$FK$4)))</f>
        <v>0</v>
      </c>
      <c r="FK97" s="200" t="n">
        <f aca="false">IF((SUMIF($FB$3:$FK$3,FK$60,$FB$4:$FK$4))=0,0,((SUMIF($FB$3:$FK$3,FK$60,$FB146:$FK146))/SUMIF($FB$3:$FK$3,FK$60,$FB$4:$FK$4)))</f>
        <v>0</v>
      </c>
      <c r="FL97" s="194" t="str">
        <f aca="false">FA97</f>
        <v>Alumno36</v>
      </c>
      <c r="FM97" s="198" t="n">
        <f aca="false">IF((SUMIF($FM$3:$FV$3,FM$60,$FM$4:$FV$4))=0,0,((SUMIF($FM$3:$FV$3,FM$60,$FM146:$FV146))/SUMIF($FM$3:$FV$3,FM$60,$FM$4:$FV$4)))</f>
        <v>0</v>
      </c>
      <c r="FN97" s="199" t="n">
        <f aca="false">IF((SUMIF($FM$3:$FV$3,FN$60,$FM$4:$FV$4))=0,0,((SUMIF($FM$3:$FV$3,FN$60,$FM146:$FV146))/SUMIF($FM$3:$FV$3,FN$60,$FM$4:$FV$4)))</f>
        <v>0</v>
      </c>
      <c r="FO97" s="199" t="n">
        <f aca="false">IF((SUMIF($FM$3:$FV$3,FO$60,$FM$4:$FV$4))=0,0,((SUMIF($FM$3:$FV$3,FO$60,$FM146:$FV146))/SUMIF($FM$3:$FV$3,FO$60,$FM$4:$FV$4)))</f>
        <v>0</v>
      </c>
      <c r="FP97" s="199" t="n">
        <f aca="false">IF((SUMIF($FM$3:$FV$3,FP$60,$FM$4:$FV$4))=0,0,((SUMIF($FM$3:$FV$3,FP$60,$FM146:$FV146))/SUMIF($FM$3:$FV$3,FP$60,$FM$4:$FV$4)))</f>
        <v>0</v>
      </c>
      <c r="FQ97" s="199" t="n">
        <f aca="false">IF((SUMIF($FM$3:$FV$3,FQ$60,$FM$4:$FV$4))=0,0,((SUMIF($FM$3:$FV$3,FQ$60,$FM146:$FV146))/SUMIF($FM$3:$FV$3,FQ$60,$FM$4:$FV$4)))</f>
        <v>0</v>
      </c>
      <c r="FR97" s="199" t="n">
        <f aca="false">IF((SUMIF($FM$3:$FV$3,FR$60,$FM$4:$FV$4))=0,0,((SUMIF($FM$3:$FV$3,FR$60,$FM146:$FV146))/SUMIF($FM$3:$FV$3,FR$60,$FM$4:$FV$4)))</f>
        <v>0</v>
      </c>
      <c r="FS97" s="199" t="n">
        <f aca="false">IF((SUMIF($FM$3:$FV$3,FS$60,$FM$4:$FV$4))=0,0,((SUMIF($FM$3:$FV$3,FS$60,$FM146:$FV146))/SUMIF($FM$3:$FV$3,FS$60,$FM$4:$FV$4)))</f>
        <v>0</v>
      </c>
      <c r="FT97" s="199" t="n">
        <f aca="false">IF((SUMIF($FM$3:$FV$3,FT$60,$FM$4:$FV$4))=0,0,((SUMIF($FM$3:$FV$3,FT$60,$FM146:$FV146))/SUMIF($FM$3:$FV$3,FT$60,$FM$4:$FV$4)))</f>
        <v>0</v>
      </c>
      <c r="FU97" s="199" t="n">
        <f aca="false">IF((SUMIF($FM$3:$FV$3,FU$60,$FM$4:$FV$4))=0,0,((SUMIF($FM$3:$FV$3,FU$60,$FM146:$FV146))/SUMIF($FM$3:$FV$3,FU$60,$FM$4:$FV$4)))</f>
        <v>0</v>
      </c>
      <c r="FV97" s="200" t="n">
        <f aca="false">IF((SUMIF($FM$3:$FV$3,FV$60,$FM$4:$FV$4))=0,0,((SUMIF($FM$3:$FV$3,FV$60,$FM146:$FV146))/SUMIF($FM$3:$FV$3,FV$60,$FM$4:$FV$4)))</f>
        <v>0</v>
      </c>
      <c r="FW97" s="194" t="str">
        <f aca="false">FL97</f>
        <v>Alumno36</v>
      </c>
      <c r="FX97" s="198" t="n">
        <f aca="false">IF((SUMIF($FX$3:$GG$3,FX$60,$FX$4:$GG$4))=0,0,((SUMIF($FX$3:$GG$3,FX$60,$FX146:$GG146))/SUMIF($FX$3:$GG$3,FX$60,$FX$4:$GG$4)))</f>
        <v>0</v>
      </c>
      <c r="FY97" s="199" t="n">
        <f aca="false">IF((SUMIF($FX$3:$GG$3,FY$60,$FX$4:$GG$4))=0,0,((SUMIF($FX$3:$GG$3,FY$60,$FX146:$GG146))/SUMIF($FX$3:$GG$3,FY$60,$FX$4:$GG$4)))</f>
        <v>0</v>
      </c>
      <c r="FZ97" s="199" t="n">
        <f aca="false">IF((SUMIF($FX$3:$GG$3,FZ$60,$FX$4:$GG$4))=0,0,((SUMIF($FX$3:$GG$3,FZ$60,$FX146:$GG146))/SUMIF($FX$3:$GG$3,FZ$60,$FX$4:$GG$4)))</f>
        <v>0</v>
      </c>
      <c r="GA97" s="199" t="n">
        <f aca="false">IF((SUMIF($FX$3:$GG$3,GA$60,$FX$4:$GG$4))=0,0,((SUMIF($FX$3:$GG$3,GA$60,$FX146:$GG146))/SUMIF($FX$3:$GG$3,GA$60,$FX$4:$GG$4)))</f>
        <v>0</v>
      </c>
      <c r="GB97" s="199" t="n">
        <f aca="false">IF((SUMIF($FX$3:$GG$3,GB$60,$FX$4:$GG$4))=0,0,((SUMIF($FX$3:$GG$3,GB$60,$FX146:$GG146))/SUMIF($FX$3:$GG$3,GB$60,$FX$4:$GG$4)))</f>
        <v>0</v>
      </c>
      <c r="GC97" s="199" t="n">
        <f aca="false">IF((SUMIF($FX$3:$GG$3,GC$60,$FX$4:$GG$4))=0,0,((SUMIF($FX$3:$GG$3,GC$60,$FX146:$GG146))/SUMIF($FX$3:$GG$3,GC$60,$FX$4:$GG$4)))</f>
        <v>0</v>
      </c>
      <c r="GD97" s="199" t="n">
        <f aca="false">IF((SUMIF($FX$3:$GG$3,GD$60,$FX$4:$GG$4))=0,0,((SUMIF($FX$3:$GG$3,GD$60,$FX146:$GG146))/SUMIF($FX$3:$GG$3,GD$60,$FX$4:$GG$4)))</f>
        <v>0</v>
      </c>
      <c r="GE97" s="199" t="n">
        <f aca="false">IF((SUMIF($FX$3:$GG$3,GE$60,$FX$4:$GG$4))=0,0,((SUMIF($FX$3:$GG$3,GE$60,$FX146:$GG146))/SUMIF($FX$3:$GG$3,GE$60,$FX$4:$GG$4)))</f>
        <v>0</v>
      </c>
      <c r="GF97" s="199" t="n">
        <f aca="false">IF((SUMIF($FX$3:$GG$3,GF$60,$FX$4:$GG$4))=0,0,((SUMIF($FX$3:$GG$3,GF$60,$FX146:$GG146))/SUMIF($FX$3:$GG$3,GF$60,$FX$4:$GG$4)))</f>
        <v>0</v>
      </c>
      <c r="GG97" s="200" t="n">
        <f aca="false">IF((SUMIF($FX$3:$GG$3,GG$60,$FX$4:$GG$4))=0,0,((SUMIF($FX$3:$GG$3,GG$60,$FX146:$GG146))/SUMIF($FX$3:$GG$3,GG$60,$FX$4:$GG$4)))</f>
        <v>0</v>
      </c>
      <c r="GH97" s="194" t="str">
        <f aca="false">FW97</f>
        <v>Alumno36</v>
      </c>
      <c r="GI97" s="198" t="n">
        <f aca="false">IF((SUMIF($GI$3:$GR$3,GI$60,$GI$4:$GR$4))=0,0,((SUMIF($GI$3:$GR$3,GI$60,$GI146:$GR146))/SUMIF($GI$3:$GR$3,GI$60,$GI$4:$GR$4)))</f>
        <v>0</v>
      </c>
      <c r="GJ97" s="199" t="n">
        <f aca="false">IF((SUMIF($GI$3:$GR$3,GJ$60,$GI$4:$GR$4))=0,0,((SUMIF($GI$3:$GR$3,GJ$60,$GI146:$GR146))/SUMIF($GI$3:$GR$3,GJ$60,$GI$4:$GR$4)))</f>
        <v>0</v>
      </c>
      <c r="GK97" s="199" t="n">
        <f aca="false">IF((SUMIF($GI$3:$GR$3,GK$60,$GI$4:$GR$4))=0,0,((SUMIF($GI$3:$GR$3,GK$60,$GI146:$GR146))/SUMIF($GI$3:$GR$3,GK$60,$GI$4:$GR$4)))</f>
        <v>0</v>
      </c>
      <c r="GL97" s="199" t="n">
        <f aca="false">IF((SUMIF($GI$3:$GR$3,GL$60,$GI$4:$GR$4))=0,0,((SUMIF($GI$3:$GR$3,GL$60,$GI146:$GR146))/SUMIF($GI$3:$GR$3,GL$60,$GI$4:$GR$4)))</f>
        <v>0</v>
      </c>
      <c r="GM97" s="199" t="n">
        <f aca="false">IF((SUMIF($GI$3:$GR$3,GM$60,$GI$4:$GR$4))=0,0,((SUMIF($GI$3:$GR$3,GM$60,$GI146:$GR146))/SUMIF($GI$3:$GR$3,GM$60,$GI$4:$GR$4)))</f>
        <v>0</v>
      </c>
      <c r="GN97" s="199" t="n">
        <f aca="false">IF((SUMIF($GI$3:$GR$3,GN$60,$GI$4:$GR$4))=0,0,((SUMIF($GI$3:$GR$3,GN$60,$GI146:$GR146))/SUMIF($GI$3:$GR$3,GN$60,$GI$4:$GR$4)))</f>
        <v>0</v>
      </c>
      <c r="GO97" s="199" t="n">
        <f aca="false">IF((SUMIF($GI$3:$GR$3,GO$60,$GI$4:$GR$4))=0,0,((SUMIF($GI$3:$GR$3,GO$60,$GI146:$GR146))/SUMIF($GI$3:$GR$3,GO$60,$GI$4:$GR$4)))</f>
        <v>0</v>
      </c>
      <c r="GP97" s="199" t="n">
        <f aca="false">IF((SUMIF($GI$3:$GR$3,GP$60,$GI$4:$GR$4))=0,0,((SUMIF($GI$3:$GR$3,GP$60,$GI146:$GR146))/SUMIF($GI$3:$GR$3,GP$60,$GI$4:$GR$4)))</f>
        <v>0</v>
      </c>
      <c r="GQ97" s="199" t="n">
        <f aca="false">IF((SUMIF($GI$3:$GR$3,GQ$60,$GI$4:$GR$4))=0,0,((SUMIF($GI$3:$GR$3,GQ$60,$GI146:$GR146))/SUMIF($GI$3:$GR$3,GQ$60,$GI$4:$GR$4)))</f>
        <v>0</v>
      </c>
      <c r="GR97" s="200" t="n">
        <f aca="false">IF((SUMIF($GI$3:$GR$3,GR$60,$GI$4:$GR$4))=0,0,((SUMIF($GI$3:$GR$3,GR$60,$GI146:$GR146))/SUMIF($GI$3:$GR$3,GR$60,$GI$4:$GR$4)))</f>
        <v>0</v>
      </c>
      <c r="GS97" s="194" t="str">
        <f aca="false">GH97</f>
        <v>Alumno36</v>
      </c>
      <c r="GT97" s="198" t="n">
        <f aca="false">IF((SUMIF($GT$3:$HC$3,GT$60,$GT$4:$HC$4))=0,0,((SUMIF($GT$3:$HC$3,GT$60,$GT146:$HC146))/SUMIF($GT$3:$HC$3,GT$60,$GT$4:$HC$4)))</f>
        <v>0</v>
      </c>
      <c r="GU97" s="199" t="n">
        <f aca="false">IF((SUMIF($GT$3:$HC$3,GU$60,$GT$4:$HC$4))=0,0,((SUMIF($GT$3:$HC$3,GU$60,$GT146:$HC146))/SUMIF($GT$3:$HC$3,GU$60,$GT$4:$HC$4)))</f>
        <v>0</v>
      </c>
      <c r="GV97" s="199" t="n">
        <f aca="false">IF((SUMIF($GT$3:$HC$3,GV$60,$GT$4:$HC$4))=0,0,((SUMIF($GT$3:$HC$3,GV$60,$GT146:$HC146))/SUMIF($GT$3:$HC$3,GV$60,$GT$4:$HC$4)))</f>
        <v>0</v>
      </c>
      <c r="GW97" s="199" t="n">
        <f aca="false">IF((SUMIF($GT$3:$HC$3,GW$60,$GT$4:$HC$4))=0,0,((SUMIF($GT$3:$HC$3,GW$60,$GT146:$HC146))/SUMIF($GT$3:$HC$3,GW$60,$GT$4:$HC$4)))</f>
        <v>0</v>
      </c>
      <c r="GX97" s="199" t="n">
        <f aca="false">IF((SUMIF($GT$3:$HC$3,GX$60,$GT$4:$HC$4))=0,0,((SUMIF($GT$3:$HC$3,GX$60,$GT146:$HC146))/SUMIF($GT$3:$HC$3,GX$60,$GT$4:$HC$4)))</f>
        <v>0</v>
      </c>
      <c r="GY97" s="199" t="n">
        <f aca="false">IF((SUMIF($GT$3:$HC$3,GY$60,$GT$4:$HC$4))=0,0,((SUMIF($GT$3:$HC$3,GY$60,$GT146:$HC146))/SUMIF($GT$3:$HC$3,GY$60,$GT$4:$HC$4)))</f>
        <v>0</v>
      </c>
      <c r="GZ97" s="199" t="n">
        <f aca="false">IF((SUMIF($GT$3:$HC$3,GZ$60,$GT$4:$HC$4))=0,0,((SUMIF($GT$3:$HC$3,GZ$60,$GT146:$HC146))/SUMIF($GT$3:$HC$3,GZ$60,$GT$4:$HC$4)))</f>
        <v>0</v>
      </c>
      <c r="HA97" s="199" t="n">
        <f aca="false">IF((SUMIF($GT$3:$HC$3,HA$60,$GT$4:$HC$4))=0,0,((SUMIF($GT$3:$HC$3,HA$60,$GT146:$HC146))/SUMIF($GT$3:$HC$3,HA$60,$GT$4:$HC$4)))</f>
        <v>0</v>
      </c>
      <c r="HB97" s="199" t="n">
        <f aca="false">IF((SUMIF($GT$3:$HC$3,HB$60,$GT$4:$HC$4))=0,0,((SUMIF($GT$3:$HC$3,HB$60,$GT146:$HC146))/SUMIF($GT$3:$HC$3,HB$60,$GT$4:$HC$4)))</f>
        <v>0</v>
      </c>
      <c r="HC97" s="200" t="n">
        <f aca="false">IF((SUMIF($GT$3:$HC$3,HC$60,$GT$4:$HC$4))=0,0,((SUMIF($GT$3:$HC$3,HC$60,$GT146:$HC146))/SUMIF($GT$3:$HC$3,HC$60,$GT$4:$HC$4)))</f>
        <v>0</v>
      </c>
      <c r="HD97" s="194" t="str">
        <f aca="false">GS97</f>
        <v>Alumno36</v>
      </c>
      <c r="HE97" s="198" t="n">
        <f aca="false">IF((SUMIF($HE$3:$HN$3,HE$60,$HE$4:$HN$4))=0,0,((SUMIF($HE$3:$HN$3,HE$60,$HE146:$HN146))/SUMIF($HE$3:$HN$3,HE$60,$HE$4:$HN$4)))</f>
        <v>0</v>
      </c>
      <c r="HF97" s="199" t="n">
        <f aca="false">IF((SUMIF($HE$3:$HN$3,HF$60,$HE$4:$HN$4))=0,0,((SUMIF($HE$3:$HN$3,HF$60,$HE146:$HN146))/SUMIF($HE$3:$HN$3,HF$60,$HE$4:$HN$4)))</f>
        <v>0</v>
      </c>
      <c r="HG97" s="199" t="n">
        <f aca="false">IF((SUMIF($HE$3:$HN$3,HG$60,$HE$4:$HN$4))=0,0,((SUMIF($HE$3:$HN$3,HG$60,$HE146:$HN146))/SUMIF($HE$3:$HN$3,HG$60,$HE$4:$HN$4)))</f>
        <v>0</v>
      </c>
      <c r="HH97" s="199" t="n">
        <f aca="false">IF((SUMIF($HE$3:$HN$3,HH$60,$HE$4:$HN$4))=0,0,((SUMIF($HE$3:$HN$3,HH$60,$HE146:$HN146))/SUMIF($HE$3:$HN$3,HH$60,$HE$4:$HN$4)))</f>
        <v>0</v>
      </c>
      <c r="HI97" s="199" t="n">
        <f aca="false">IF((SUMIF($HE$3:$HN$3,HI$60,$HE$4:$HN$4))=0,0,((SUMIF($HE$3:$HN$3,HI$60,$HE146:$HN146))/SUMIF($HE$3:$HN$3,HI$60,$HE$4:$HN$4)))</f>
        <v>0</v>
      </c>
      <c r="HJ97" s="199" t="n">
        <f aca="false">IF((SUMIF($HE$3:$HN$3,HJ$60,$HE$4:$HN$4))=0,0,((SUMIF($HE$3:$HN$3,HJ$60,$HE146:$HN146))/SUMIF($HE$3:$HN$3,HJ$60,$HE$4:$HN$4)))</f>
        <v>0</v>
      </c>
      <c r="HK97" s="199" t="n">
        <f aca="false">IF((SUMIF($HE$3:$HN$3,HK$60,$HE$4:$HN$4))=0,0,((SUMIF($HE$3:$HN$3,HK$60,$HE146:$HN146))/SUMIF($HE$3:$HN$3,HK$60,$HE$4:$HN$4)))</f>
        <v>0</v>
      </c>
      <c r="HL97" s="199" t="n">
        <f aca="false">IF((SUMIF($HE$3:$HN$3,HL$60,$HE$4:$HN$4))=0,0,((SUMIF($HE$3:$HN$3,HL$60,$HE146:$HN146))/SUMIF($HE$3:$HN$3,HL$60,$HE$4:$HN$4)))</f>
        <v>0</v>
      </c>
      <c r="HM97" s="199" t="n">
        <f aca="false">IF((SUMIF($HE$3:$HN$3,HM$60,$HE$4:$HN$4))=0,0,((SUMIF($HE$3:$HN$3,HM$60,$HE146:$HN146))/SUMIF($HE$3:$HN$3,HM$60,$HE$4:$HN$4)))</f>
        <v>0</v>
      </c>
      <c r="HN97" s="200" t="n">
        <f aca="false">IF((SUMIF($HE$3:$HN$3,HN$60,$HE$4:$HN$4))=0,0,((SUMIF($HE$3:$HN$3,HN$60,$HE146:$HN146))/SUMIF($HE$3:$HN$3,HN$60,$HE$4:$HN$4)))</f>
        <v>0</v>
      </c>
      <c r="HO97" s="194" t="str">
        <f aca="false">HD97</f>
        <v>Alumno36</v>
      </c>
      <c r="HP97" s="198" t="n">
        <f aca="false">IF((SUMIF($HP$3:$HY$3,HP$60,$HP$4:$HY$4))=0,0,((SUMIF($HP$3:$HY$3,HP$60,$HP146:$HY146))/SUMIF($HP$3:$HY$3,HP$60,$HP$4:$HY$4)))</f>
        <v>0</v>
      </c>
      <c r="HQ97" s="199" t="n">
        <f aca="false">IF((SUMIF($HP$3:$HY$3,HQ$60,$HP$4:$HY$4))=0,0,((SUMIF($HP$3:$HY$3,HQ$60,$HP146:$HY146))/SUMIF($HP$3:$HY$3,HQ$60,$HP$4:$HY$4)))</f>
        <v>0</v>
      </c>
      <c r="HR97" s="199" t="n">
        <f aca="false">IF((SUMIF($HP$3:$HY$3,HR$60,$HP$4:$HY$4))=0,0,((SUMIF($HP$3:$HY$3,HR$60,$HP146:$HY146))/SUMIF($HP$3:$HY$3,HR$60,$HP$4:$HY$4)))</f>
        <v>0</v>
      </c>
      <c r="HS97" s="199" t="n">
        <f aca="false">IF((SUMIF($HP$3:$HY$3,HS$60,$HP$4:$HY$4))=0,0,((SUMIF($HP$3:$HY$3,HS$60,$HP146:$HY146))/SUMIF($HP$3:$HY$3,HS$60,$HP$4:$HY$4)))</f>
        <v>0</v>
      </c>
      <c r="HT97" s="199" t="n">
        <f aca="false">IF((SUMIF($HP$3:$HY$3,HT$60,$HP$4:$HY$4))=0,0,((SUMIF($HP$3:$HY$3,HT$60,$HP146:$HY146))/SUMIF($HP$3:$HY$3,HT$60,$HP$4:$HY$4)))</f>
        <v>0</v>
      </c>
      <c r="HU97" s="199" t="n">
        <f aca="false">IF((SUMIF($HP$3:$HY$3,HU$60,$HP$4:$HY$4))=0,0,((SUMIF($HP$3:$HY$3,HU$60,$HP146:$HY146))/SUMIF($HP$3:$HY$3,HU$60,$HP$4:$HY$4)))</f>
        <v>0</v>
      </c>
      <c r="HV97" s="199" t="n">
        <f aca="false">IF((SUMIF($HP$3:$HY$3,HV$60,$HP$4:$HY$4))=0,0,((SUMIF($HP$3:$HY$3,HV$60,$HP146:$HY146))/SUMIF($HP$3:$HY$3,HV$60,$HP$4:$HY$4)))</f>
        <v>0</v>
      </c>
      <c r="HW97" s="199" t="n">
        <f aca="false">IF((SUMIF($HP$3:$HY$3,HW$60,$HP$4:$HY$4))=0,0,((SUMIF($HP$3:$HY$3,HW$60,$HP146:$HY146))/SUMIF($HP$3:$HY$3,HW$60,$HP$4:$HY$4)))</f>
        <v>0</v>
      </c>
      <c r="HX97" s="199" t="n">
        <f aca="false">IF((SUMIF($HP$3:$HY$3,HX$60,$HP$4:$HY$4))=0,0,((SUMIF($HP$3:$HY$3,HX$60,$HP146:$HY146))/SUMIF($HP$3:$HY$3,HX$60,$HP$4:$HY$4)))</f>
        <v>0</v>
      </c>
      <c r="HY97" s="200" t="n">
        <f aca="false">IF((SUMIF($HP$3:$HY$3,HY$60,$HP$4:$HY$4))=0,0,((SUMIF($HP$3:$HY$3,HY$60,$HP146:$HY146))/SUMIF($HP$3:$HY$3,HY$60,$HP$4:$HY$4)))</f>
        <v>0</v>
      </c>
      <c r="HZ97" s="194" t="str">
        <f aca="false">HO97</f>
        <v>Alumno36</v>
      </c>
      <c r="IA97" s="198" t="n">
        <f aca="false">IF((SUMIF($IA$3:$IJ$3,IA$60,$IA$4:$IJ$4))=0,0,((SUMIF($IA$3:$IJ$3,IA$60,$IA146:$IJ146))/SUMIF($IA$3:$IJ$3,IA$60,$IA$4:$IJ$4)))</f>
        <v>0</v>
      </c>
      <c r="IB97" s="199" t="n">
        <f aca="false">IF((SUMIF($IA$3:$IJ$3,IB$60,$IA$4:$IJ$4))=0,0,((SUMIF($IA$3:$IJ$3,IB$60,$IA146:$IJ146))/SUMIF($IA$3:$IJ$3,IB$60,$IA$4:$IJ$4)))</f>
        <v>0</v>
      </c>
      <c r="IC97" s="199" t="n">
        <f aca="false">IF((SUMIF($IA$3:$IJ$3,IC$60,$IA$4:$IJ$4))=0,0,((SUMIF($IA$3:$IJ$3,IC$60,$IA146:$IJ146))/SUMIF($IA$3:$IJ$3,IC$60,$IA$4:$IJ$4)))</f>
        <v>0</v>
      </c>
      <c r="ID97" s="199" t="n">
        <f aca="false">IF((SUMIF($IA$3:$IJ$3,ID$60,$IA$4:$IJ$4))=0,0,((SUMIF($IA$3:$IJ$3,ID$60,$IA146:$IJ146))/SUMIF($IA$3:$IJ$3,ID$60,$IA$4:$IJ$4)))</f>
        <v>0</v>
      </c>
      <c r="IE97" s="199" t="n">
        <f aca="false">IF((SUMIF($IA$3:$IJ$3,IE$60,$IA$4:$IJ$4))=0,0,((SUMIF($IA$3:$IJ$3,IE$60,$IA146:$IJ146))/SUMIF($IA$3:$IJ$3,IE$60,$IA$4:$IJ$4)))</f>
        <v>0</v>
      </c>
      <c r="IF97" s="199" t="n">
        <f aca="false">IF((SUMIF($IA$3:$IJ$3,IF$60,$IA$4:$IJ$4))=0,0,((SUMIF($IA$3:$IJ$3,IF$60,$IA146:$IJ146))/SUMIF($IA$3:$IJ$3,IF$60,$IA$4:$IJ$4)))</f>
        <v>0</v>
      </c>
      <c r="IG97" s="199" t="n">
        <f aca="false">IF((SUMIF($IA$3:$IJ$3,IG$60,$IA$4:$IJ$4))=0,0,((SUMIF($IA$3:$IJ$3,IG$60,$IA146:$IJ146))/SUMIF($IA$3:$IJ$3,IG$60,$IA$4:$IJ$4)))</f>
        <v>0</v>
      </c>
      <c r="IH97" s="199" t="n">
        <f aca="false">IF((SUMIF($IA$3:$IJ$3,IH$60,$IA$4:$IJ$4))=0,0,((SUMIF($IA$3:$IJ$3,IH$60,$IA146:$IJ146))/SUMIF($IA$3:$IJ$3,IH$60,$IA$4:$IJ$4)))</f>
        <v>0</v>
      </c>
      <c r="II97" s="199" t="n">
        <f aca="false">IF((SUMIF($IA$3:$IJ$3,II$60,$IA$4:$IJ$4))=0,0,((SUMIF($IA$3:$IJ$3,II$60,$IA146:$IJ146))/SUMIF($IA$3:$IJ$3,II$60,$IA$4:$IJ$4)))</f>
        <v>0</v>
      </c>
      <c r="IJ97" s="200" t="n">
        <f aca="false">IF((SUMIF($IA$3:$IJ$3,IJ$60,$IA$4:$IJ$4))=0,0,((SUMIF($IA$3:$IJ$3,IJ$60,$IA146:$IJ146))/SUMIF($IA$3:$IJ$3,IJ$60,$IA$4:$IJ$4)))</f>
        <v>0</v>
      </c>
      <c r="IK97" s="194" t="str">
        <f aca="false">HZ97</f>
        <v>Alumno36</v>
      </c>
      <c r="IL97" s="198" t="n">
        <f aca="false">IF((SUMIF($IL$3:$IU$3,IL$60,$IL$4:$IU$4))=0,0,((SUMIF($IL$3:$IU$3,IL$60,$IL146:$IU146))/SUMIF($IL$3:$IU$3,IL$60,$IL$4:$IU$4)))</f>
        <v>0</v>
      </c>
      <c r="IM97" s="199" t="n">
        <f aca="false">IF((SUMIF($IL$3:$IU$3,IM$60,$IL$4:$IU$4))=0,0,((SUMIF($IL$3:$IU$3,IM$60,$IL146:$IU146))/SUMIF($IL$3:$IU$3,IM$60,$IL$4:$IU$4)))</f>
        <v>0</v>
      </c>
      <c r="IN97" s="199" t="n">
        <f aca="false">IF((SUMIF($IL$3:$IU$3,IN$60,$IL$4:$IU$4))=0,0,((SUMIF($IL$3:$IU$3,IN$60,$IL146:$IU146))/SUMIF($IL$3:$IU$3,IN$60,$IL$4:$IU$4)))</f>
        <v>0</v>
      </c>
      <c r="IO97" s="199" t="n">
        <f aca="false">IF((SUMIF($IL$3:$IU$3,IO$60,$IL$4:$IU$4))=0,0,((SUMIF($IL$3:$IU$3,IO$60,$IL146:$IU146))/SUMIF($IL$3:$IU$3,IO$60,$IL$4:$IU$4)))</f>
        <v>0</v>
      </c>
      <c r="IP97" s="199" t="n">
        <f aca="false">IF((SUMIF($IL$3:$IU$3,IP$60,$IL$4:$IU$4))=0,0,((SUMIF($IL$3:$IU$3,IP$60,$IL146:$IU146))/SUMIF($IL$3:$IU$3,IP$60,$IL$4:$IU$4)))</f>
        <v>0</v>
      </c>
      <c r="IQ97" s="199" t="n">
        <f aca="false">IF((SUMIF($IL$3:$IU$3,IQ$60,$IL$4:$IU$4))=0,0,((SUMIF($IL$3:$IU$3,IQ$60,$IL146:$IU146))/SUMIF($IL$3:$IU$3,IQ$60,$IL$4:$IU$4)))</f>
        <v>0</v>
      </c>
      <c r="IR97" s="199" t="n">
        <f aca="false">IF((SUMIF($IL$3:$IU$3,IR$60,$IL$4:$IU$4))=0,0,((SUMIF($IL$3:$IU$3,IR$60,$IL146:$IU146))/SUMIF($IL$3:$IU$3,IR$60,$IL$4:$IU$4)))</f>
        <v>0</v>
      </c>
      <c r="IS97" s="199" t="n">
        <f aca="false">IF((SUMIF($IL$3:$IU$3,IS$60,$IL$4:$IU$4))=0,0,((SUMIF($IL$3:$IU$3,IS$60,$IL146:$IU146))/SUMIF($IL$3:$IU$3,IS$60,$IL$4:$IU$4)))</f>
        <v>0</v>
      </c>
      <c r="IT97" s="199" t="n">
        <f aca="false">IF((SUMIF($IL$3:$IU$3,IT$60,$IL$4:$IU$4))=0,0,((SUMIF($IL$3:$IU$3,IT$60,$IL146:$IU146))/SUMIF($IL$3:$IU$3,IT$60,$IL$4:$IU$4)))</f>
        <v>0</v>
      </c>
      <c r="IU97" s="200" t="n">
        <f aca="false">IF((SUMIF($IL$3:$IU$3,IU$60,$IL$4:$IU$4))=0,0,((SUMIF($IL$3:$IU$3,IU$60,$IL146:$IU146))/SUMIF($IL$3:$IU$3,IU$60,$IL$4:$IU$4)))</f>
        <v>0</v>
      </c>
      <c r="IV97" s="194" t="str">
        <f aca="false">IK97</f>
        <v>Alumno36</v>
      </c>
      <c r="IW97" s="198" t="n">
        <f aca="false">IF((SUMIF($IW$3:$JF$3,IW$60,$IW$4:$JF$4))=0,0,((SUMIF($IW$3:$JF$3,IW$60,$IW146:$JF146))/SUMIF($IW$3:$JF$3,IW$60,$IW$4:$JF$4)))</f>
        <v>0</v>
      </c>
      <c r="IX97" s="199" t="n">
        <f aca="false">IF((SUMIF($IW$3:$JF$3,IX$60,$IW$4:$JF$4))=0,0,((SUMIF($IW$3:$JF$3,IX$60,$IW146:$JF146))/SUMIF($IW$3:$JF$3,IX$60,$IW$4:$JF$4)))</f>
        <v>0</v>
      </c>
      <c r="IY97" s="199" t="n">
        <f aca="false">IF((SUMIF($IW$3:$JF$3,IY$60,$IW$4:$JF$4))=0,0,((SUMIF($IW$3:$JF$3,IY$60,$IW146:$JF146))/SUMIF($IW$3:$JF$3,IY$60,$IW$4:$JF$4)))</f>
        <v>0</v>
      </c>
      <c r="IZ97" s="199" t="n">
        <f aca="false">IF((SUMIF($IW$3:$JF$3,IZ$60,$IW$4:$JF$4))=0,0,((SUMIF($IW$3:$JF$3,IZ$60,$IW146:$JF146))/SUMIF($IW$3:$JF$3,IZ$60,$IW$4:$JF$4)))</f>
        <v>0</v>
      </c>
      <c r="JA97" s="199" t="n">
        <f aca="false">IF((SUMIF($IW$3:$JF$3,JA$60,$IW$4:$JF$4))=0,0,((SUMIF($IW$3:$JF$3,JA$60,$IW146:$JF146))/SUMIF($IW$3:$JF$3,JA$60,$IW$4:$JF$4)))</f>
        <v>0</v>
      </c>
      <c r="JB97" s="199" t="n">
        <f aca="false">IF((SUMIF($IW$3:$JF$3,JB$60,$IW$4:$JF$4))=0,0,((SUMIF($IW$3:$JF$3,JB$60,$IW146:$JF146))/SUMIF($IW$3:$JF$3,JB$60,$IW$4:$JF$4)))</f>
        <v>0</v>
      </c>
      <c r="JC97" s="199" t="n">
        <f aca="false">IF((SUMIF($IW$3:$JF$3,JC$60,$IW$4:$JF$4))=0,0,((SUMIF($IW$3:$JF$3,JC$60,$IW146:$JF146))/SUMIF($IW$3:$JF$3,JC$60,$IW$4:$JF$4)))</f>
        <v>0</v>
      </c>
      <c r="JD97" s="199" t="n">
        <f aca="false">IF((SUMIF($IW$3:$JF$3,JD$60,$IW$4:$JF$4))=0,0,((SUMIF($IW$3:$JF$3,JD$60,$IW146:$JF146))/SUMIF($IW$3:$JF$3,JD$60,$IW$4:$JF$4)))</f>
        <v>0</v>
      </c>
      <c r="JE97" s="199" t="n">
        <f aca="false">IF((SUMIF($IW$3:$JF$3,JE$60,$IW$4:$JF$4))=0,0,((SUMIF($IW$3:$JF$3,JE$60,$IW146:$JF146))/SUMIF($IW$3:$JF$3,JE$60,$IW$4:$JF$4)))</f>
        <v>0</v>
      </c>
      <c r="JF97" s="200" t="n">
        <f aca="false">IF((SUMIF($IW$3:$JF$3,JF$60,$IW$4:$JF$4))=0,0,((SUMIF($IW$3:$JF$3,JF$60,$IW146:$JF146))/SUMIF($IW$3:$JF$3,JF$60,$IW$4:$JF$4)))</f>
        <v>0</v>
      </c>
      <c r="JG97" s="194" t="str">
        <f aca="false">IV97</f>
        <v>Alumno36</v>
      </c>
      <c r="JH97" s="198" t="n">
        <f aca="false">IF((SUMIF($JH$3:$JQ$3,JH$60,$JH$4:$JQ$4))=0,0,((SUMIF($JH$3:$JQ$3,JH$60,$JH146:$JQ146))/SUMIF($JH$3:$JQ$3,JH$60,$JH$4:$JQ$4)))</f>
        <v>0</v>
      </c>
      <c r="JI97" s="199" t="n">
        <f aca="false">IF((SUMIF($JH$3:$JQ$3,JI$60,$JH$4:$JQ$4))=0,0,((SUMIF($JH$3:$JQ$3,JI$60,$JH146:$JQ146))/SUMIF($JH$3:$JQ$3,JI$60,$JH$4:$JQ$4)))</f>
        <v>0</v>
      </c>
      <c r="JJ97" s="199" t="n">
        <f aca="false">IF((SUMIF($JH$3:$JQ$3,JJ$60,$JH$4:$JQ$4))=0,0,((SUMIF($JH$3:$JQ$3,JJ$60,$JH146:$JQ146))/SUMIF($JH$3:$JQ$3,JJ$60,$JH$4:$JQ$4)))</f>
        <v>0</v>
      </c>
      <c r="JK97" s="199" t="n">
        <f aca="false">IF((SUMIF($JH$3:$JQ$3,JK$60,$JH$4:$JQ$4))=0,0,((SUMIF($JH$3:$JQ$3,JK$60,$JH146:$JQ146))/SUMIF($JH$3:$JQ$3,JK$60,$JH$4:$JQ$4)))</f>
        <v>0</v>
      </c>
      <c r="JL97" s="199" t="n">
        <f aca="false">IF((SUMIF($JH$3:$JQ$3,JL$60,$JH$4:$JQ$4))=0,0,((SUMIF($JH$3:$JQ$3,JL$60,$JH146:$JQ146))/SUMIF($JH$3:$JQ$3,JL$60,$JH$4:$JQ$4)))</f>
        <v>0</v>
      </c>
      <c r="JM97" s="199" t="n">
        <f aca="false">IF((SUMIF($JH$3:$JQ$3,JM$60,$JH$4:$JQ$4))=0,0,((SUMIF($JH$3:$JQ$3,JM$60,$JH146:$JQ146))/SUMIF($JH$3:$JQ$3,JM$60,$JH$4:$JQ$4)))</f>
        <v>0</v>
      </c>
      <c r="JN97" s="199" t="n">
        <f aca="false">IF((SUMIF($JH$3:$JQ$3,JN$60,$JH$4:$JQ$4))=0,0,((SUMIF($JH$3:$JQ$3,JN$60,$JH146:$JQ146))/SUMIF($JH$3:$JQ$3,JN$60,$JH$4:$JQ$4)))</f>
        <v>0</v>
      </c>
      <c r="JO97" s="199" t="n">
        <f aca="false">IF((SUMIF($JH$3:$JQ$3,JO$60,$JH$4:$JQ$4))=0,0,((SUMIF($JH$3:$JQ$3,JO$60,$JH146:$JQ146))/SUMIF($JH$3:$JQ$3,JO$60,$JH$4:$JQ$4)))</f>
        <v>0</v>
      </c>
      <c r="JP97" s="199" t="n">
        <f aca="false">IF((SUMIF($JH$3:$JQ$3,JP$60,$JH$4:$JQ$4))=0,0,((SUMIF($JH$3:$JQ$3,JP$60,$JH146:$JQ146))/SUMIF($JH$3:$JQ$3,JP$60,$JH$4:$JQ$4)))</f>
        <v>0</v>
      </c>
      <c r="JQ97" s="200" t="n">
        <f aca="false">IF((SUMIF($JH$3:$JQ$3,JQ$60,$JH$4:$JQ$4))=0,0,((SUMIF($JH$3:$JQ$3,JQ$60,$JH146:$JQ146))/SUMIF($JH$3:$JQ$3,JQ$60,$JH$4:$JQ$4)))</f>
        <v>0</v>
      </c>
      <c r="JR97" s="194" t="str">
        <f aca="false">JG97</f>
        <v>Alumno36</v>
      </c>
      <c r="JS97" s="198" t="n">
        <f aca="false">IF((SUMIF($JS$3:$KB$3,JS$60,$JS$4:$KB$4))=0,0,((SUMIF($JS$3:$KB$3,JS$60,$JS146:$KB146))/SUMIF($JS$3:$KB$3,JS$60,$JS$4:$KB$4)))</f>
        <v>0</v>
      </c>
      <c r="JT97" s="199" t="n">
        <f aca="false">IF((SUMIF($JS$3:$KB$3,JT$60,$JS$4:$KB$4))=0,0,((SUMIF($JS$3:$KB$3,JT$60,$JS146:$KB146))/SUMIF($JS$3:$KB$3,JT$60,$JS$4:$KB$4)))</f>
        <v>0</v>
      </c>
      <c r="JU97" s="199" t="n">
        <f aca="false">IF((SUMIF($JS$3:$KB$3,JU$60,$JS$4:$KB$4))=0,0,((SUMIF($JS$3:$KB$3,JU$60,$JS146:$KB146))/SUMIF($JS$3:$KB$3,JU$60,$JS$4:$KB$4)))</f>
        <v>0</v>
      </c>
      <c r="JV97" s="199" t="n">
        <f aca="false">IF((SUMIF($JS$3:$KB$3,JV$60,$JS$4:$KB$4))=0,0,((SUMIF($JS$3:$KB$3,JV$60,$JS146:$KB146))/SUMIF($JS$3:$KB$3,JV$60,$JS$4:$KB$4)))</f>
        <v>0</v>
      </c>
      <c r="JW97" s="199" t="n">
        <f aca="false">IF((SUMIF($JS$3:$KB$3,JW$60,$JS$4:$KB$4))=0,0,((SUMIF($JS$3:$KB$3,JW$60,$JS146:$KB146))/SUMIF($JS$3:$KB$3,JW$60,$JS$4:$KB$4)))</f>
        <v>0</v>
      </c>
      <c r="JX97" s="199" t="n">
        <f aca="false">IF((SUMIF($JS$3:$KB$3,JX$60,$JS$4:$KB$4))=0,0,((SUMIF($JS$3:$KB$3,JX$60,$JS146:$KB146))/SUMIF($JS$3:$KB$3,JX$60,$JS$4:$KB$4)))</f>
        <v>0</v>
      </c>
      <c r="JY97" s="199" t="n">
        <f aca="false">IF((SUMIF($JS$3:$KB$3,JY$60,$JS$4:$KB$4))=0,0,((SUMIF($JS$3:$KB$3,JY$60,$JS146:$KB146))/SUMIF($JS$3:$KB$3,JY$60,$JS$4:$KB$4)))</f>
        <v>0</v>
      </c>
      <c r="JZ97" s="199" t="n">
        <f aca="false">IF((SUMIF($JS$3:$KB$3,JZ$60,$JS$4:$KB$4))=0,0,((SUMIF($JS$3:$KB$3,JZ$60,$JS146:$KB146))/SUMIF($JS$3:$KB$3,JZ$60,$JS$4:$KB$4)))</f>
        <v>0</v>
      </c>
      <c r="KA97" s="199" t="n">
        <f aca="false">IF((SUMIF($JS$3:$KB$3,KA$60,$JS$4:$KB$4))=0,0,((SUMIF($JS$3:$KB$3,KA$60,$JS146:$KB146))/SUMIF($JS$3:$KB$3,KA$60,$JS$4:$KB$4)))</f>
        <v>0</v>
      </c>
      <c r="KB97" s="200" t="n">
        <f aca="false">IF((SUMIF($JS$3:$KB$3,KB$60,$JS$4:$KB$4))=0,0,((SUMIF($JS$3:$KB$3,KB$60,$JS146:$KB146))/SUMIF($JS$3:$KB$3,KB$60,$JS$4:$KB$4)))</f>
        <v>0</v>
      </c>
      <c r="KC97" s="194" t="str">
        <f aca="false">JR97</f>
        <v>Alumno36</v>
      </c>
      <c r="KD97" s="198" t="n">
        <f aca="false">IF((SUMIF($KD$3:$KM$3,KD$60,$KD$4:$KM$4))=0,0,((SUMIF($KD$3:$KM$3,KD$60,$KD146:$KM146))/SUMIF($KD$3:$KM$3,KD$60,$KD$4:$KM$4)))</f>
        <v>0</v>
      </c>
      <c r="KE97" s="199" t="n">
        <f aca="false">IF((SUMIF($KD$3:$KM$3,KE$60,$KD$4:$KM$4))=0,0,((SUMIF($KD$3:$KM$3,KE$60,$KD146:$KM146))/SUMIF($KD$3:$KM$3,KE$60,$KD$4:$KM$4)))</f>
        <v>0</v>
      </c>
      <c r="KF97" s="199" t="n">
        <f aca="false">IF((SUMIF($KD$3:$KM$3,KF$60,$KD$4:$KM$4))=0,0,((SUMIF($KD$3:$KM$3,KF$60,$KD146:$KM146))/SUMIF($KD$3:$KM$3,KF$60,$KD$4:$KM$4)))</f>
        <v>0</v>
      </c>
      <c r="KG97" s="199" t="n">
        <f aca="false">IF((SUMIF($KD$3:$KM$3,KG$60,$KD$4:$KM$4))=0,0,((SUMIF($KD$3:$KM$3,KG$60,$KD146:$KM146))/SUMIF($KD$3:$KM$3,KG$60,$KD$4:$KM$4)))</f>
        <v>0</v>
      </c>
      <c r="KH97" s="199" t="n">
        <f aca="false">IF((SUMIF($KD$3:$KM$3,KH$60,$KD$4:$KM$4))=0,0,((SUMIF($KD$3:$KM$3,KH$60,$KD146:$KM146))/SUMIF($KD$3:$KM$3,KH$60,$KD$4:$KM$4)))</f>
        <v>0</v>
      </c>
      <c r="KI97" s="199" t="n">
        <f aca="false">IF((SUMIF($KD$3:$KM$3,KI$60,$KD$4:$KM$4))=0,0,((SUMIF($KD$3:$KM$3,KI$60,$KD146:$KM146))/SUMIF($KD$3:$KM$3,KI$60,$KD$4:$KM$4)))</f>
        <v>0</v>
      </c>
      <c r="KJ97" s="199" t="n">
        <f aca="false">IF((SUMIF($KD$3:$KM$3,KJ$60,$KD$4:$KM$4))=0,0,((SUMIF($KD$3:$KM$3,KJ$60,$KD146:$KM146))/SUMIF($KD$3:$KM$3,KJ$60,$KD$4:$KM$4)))</f>
        <v>0</v>
      </c>
      <c r="KK97" s="199" t="n">
        <f aca="false">IF((SUMIF($KD$3:$KM$3,KK$60,$KD$4:$KM$4))=0,0,((SUMIF($KD$3:$KM$3,KK$60,$KD146:$KM146))/SUMIF($KD$3:$KM$3,KK$60,$KD$4:$KM$4)))</f>
        <v>0</v>
      </c>
      <c r="KL97" s="199" t="n">
        <f aca="false">IF((SUMIF($KD$3:$KM$3,KL$60,$KD$4:$KM$4))=0,0,((SUMIF($KD$3:$KM$3,KL$60,$KD146:$KM146))/SUMIF($KD$3:$KM$3,KL$60,$KD$4:$KM$4)))</f>
        <v>0</v>
      </c>
      <c r="KM97" s="200" t="n">
        <f aca="false">IF((SUMIF($KD$3:$KM$3,KM$60,$KD$4:$KM$4))=0,0,((SUMIF($KD$3:$KM$3,KM$60,$KD146:$KM146))/SUMIF($KD$3:$KM$3,KM$60,$KD$4:$KM$4)))</f>
        <v>0</v>
      </c>
      <c r="KN97" s="194" t="str">
        <f aca="false">KC97</f>
        <v>Alumno36</v>
      </c>
      <c r="KO97" s="198" t="n">
        <f aca="false">IF((SUMIF($KO$3:$KX$3,KO$60,$KO$4:$KX$4))=0,0,((SUMIF($KO$3:$KX$3,KO$60,$KO146:$KX146))/SUMIF($KO$3:$KX$3,KO$60,$KO$4:$KX$4)))</f>
        <v>0</v>
      </c>
      <c r="KP97" s="199" t="n">
        <f aca="false">IF((SUMIF($KO$3:$KX$3,KP$60,$KO$4:$KX$4))=0,0,((SUMIF($KO$3:$KX$3,KP$60,$KO146:$KX146))/SUMIF($KO$3:$KX$3,KP$60,$KO$4:$KX$4)))</f>
        <v>0</v>
      </c>
      <c r="KQ97" s="199" t="n">
        <f aca="false">IF((SUMIF($KO$3:$KX$3,KQ$60,$KO$4:$KX$4))=0,0,((SUMIF($KO$3:$KX$3,KQ$60,$KO146:$KX146))/SUMIF($KO$3:$KX$3,KQ$60,$KO$4:$KX$4)))</f>
        <v>0</v>
      </c>
      <c r="KR97" s="199" t="n">
        <f aca="false">IF((SUMIF($KO$3:$KX$3,KR$60,$KO$4:$KX$4))=0,0,((SUMIF($KO$3:$KX$3,KR$60,$KO146:$KX146))/SUMIF($KO$3:$KX$3,KR$60,$KO$4:$KX$4)))</f>
        <v>0</v>
      </c>
      <c r="KS97" s="199" t="n">
        <f aca="false">IF((SUMIF($KO$3:$KX$3,KS$60,$KO$4:$KX$4))=0,0,((SUMIF($KO$3:$KX$3,KS$60,$KO146:$KX146))/SUMIF($KO$3:$KX$3,KS$60,$KO$4:$KX$4)))</f>
        <v>0</v>
      </c>
      <c r="KT97" s="199" t="n">
        <f aca="false">IF((SUMIF($KO$3:$KX$3,KT$60,$KO$4:$KX$4))=0,0,((SUMIF($KO$3:$KX$3,KT$60,$KO146:$KX146))/SUMIF($KO$3:$KX$3,KT$60,$KO$4:$KX$4)))</f>
        <v>0</v>
      </c>
      <c r="KU97" s="199" t="n">
        <f aca="false">IF((SUMIF($KO$3:$KX$3,KU$60,$KO$4:$KX$4))=0,0,((SUMIF($KO$3:$KX$3,KU$60,$KO146:$KX146))/SUMIF($KO$3:$KX$3,KU$60,$KO$4:$KX$4)))</f>
        <v>0</v>
      </c>
      <c r="KV97" s="199" t="n">
        <f aca="false">IF((SUMIF($KO$3:$KX$3,KV$60,$KO$4:$KX$4))=0,0,((SUMIF($KO$3:$KX$3,KV$60,$KO146:$KX146))/SUMIF($KO$3:$KX$3,KV$60,$KO$4:$KX$4)))</f>
        <v>0</v>
      </c>
      <c r="KW97" s="199" t="n">
        <f aca="false">IF((SUMIF($KO$3:$KX$3,KW$60,$KO$4:$KX$4))=0,0,((SUMIF($KO$3:$KX$3,KW$60,$KO146:$KX146))/SUMIF($KO$3:$KX$3,KW$60,$KO$4:$KX$4)))</f>
        <v>0</v>
      </c>
      <c r="KX97" s="200" t="n">
        <f aca="false">IF((SUMIF($KO$3:$KX$3,KX$60,$KO$4:$KX$4))=0,0,((SUMIF($KO$3:$KX$3,KX$60,$KO146:$KX146))/SUMIF($KO$3:$KX$3,KX$60,$KO$4:$KX$4)))</f>
        <v>0</v>
      </c>
      <c r="KY97" s="194" t="str">
        <f aca="false">KN97</f>
        <v>Alumno36</v>
      </c>
      <c r="KZ97" s="198" t="n">
        <f aca="false">IF((SUMIF($KZ$3:$LI$3,KZ$60,$KZ$4:$LI$4))=0,0,((SUMIF($KZ$3:$LI$3,KZ$60,$KZ146:$LI146))/SUMIF($KZ$3:$LI$3,KZ$60,$KZ$4:$LI$4)))</f>
        <v>0</v>
      </c>
      <c r="LA97" s="199" t="n">
        <f aca="false">IF((SUMIF($KZ$3:$LI$3,LA$60,$KZ$4:$LI$4))=0,0,((SUMIF($KZ$3:$LI$3,LA$60,$KZ146:$LI146))/SUMIF($KZ$3:$LI$3,LA$60,$KZ$4:$LI$4)))</f>
        <v>0</v>
      </c>
      <c r="LB97" s="199" t="n">
        <f aca="false">IF((SUMIF($KZ$3:$LI$3,LB$60,$KZ$4:$LI$4))=0,0,((SUMIF($KZ$3:$LI$3,LB$60,$KZ146:$LI146))/SUMIF($KZ$3:$LI$3,LB$60,$KZ$4:$LI$4)))</f>
        <v>0</v>
      </c>
      <c r="LC97" s="199" t="n">
        <f aca="false">IF((SUMIF($KZ$3:$LI$3,LC$60,$KZ$4:$LI$4))=0,0,((SUMIF($KZ$3:$LI$3,LC$60,$KZ146:$LI146))/SUMIF($KZ$3:$LI$3,LC$60,$KZ$4:$LI$4)))</f>
        <v>0</v>
      </c>
      <c r="LD97" s="199" t="n">
        <f aca="false">IF((SUMIF($KZ$3:$LI$3,LD$60,$KZ$4:$LI$4))=0,0,((SUMIF($KZ$3:$LI$3,LD$60,$KZ146:$LI146))/SUMIF($KZ$3:$LI$3,LD$60,$KZ$4:$LI$4)))</f>
        <v>0</v>
      </c>
      <c r="LE97" s="199" t="n">
        <f aca="false">IF((SUMIF($KZ$3:$LI$3,LE$60,$KZ$4:$LI$4))=0,0,((SUMIF($KZ$3:$LI$3,LE$60,$KZ146:$LI146))/SUMIF($KZ$3:$LI$3,LE$60,$KZ$4:$LI$4)))</f>
        <v>0</v>
      </c>
      <c r="LF97" s="199" t="n">
        <f aca="false">IF((SUMIF($KZ$3:$LI$3,LF$60,$KZ$4:$LI$4))=0,0,((SUMIF($KZ$3:$LI$3,LF$60,$KZ146:$LI146))/SUMIF($KZ$3:$LI$3,LF$60,$KZ$4:$LI$4)))</f>
        <v>0</v>
      </c>
      <c r="LG97" s="199" t="n">
        <f aca="false">IF((SUMIF($KZ$3:$LI$3,LG$60,$KZ$4:$LI$4))=0,0,((SUMIF($KZ$3:$LI$3,LG$60,$KZ146:$LI146))/SUMIF($KZ$3:$LI$3,LG$60,$KZ$4:$LI$4)))</f>
        <v>0</v>
      </c>
      <c r="LH97" s="199" t="n">
        <f aca="false">IF((SUMIF($KZ$3:$LI$3,LH$60,$KZ$4:$LI$4))=0,0,((SUMIF($KZ$3:$LI$3,LH$60,$KZ146:$LI146))/SUMIF($KZ$3:$LI$3,LH$60,$KZ$4:$LI$4)))</f>
        <v>0</v>
      </c>
      <c r="LI97" s="200" t="n">
        <f aca="false">IF((SUMIF($KZ$3:$LI$3,LI$60,$KZ$4:$LI$4))=0,0,((SUMIF($KZ$3:$LI$3,LI$60,$KZ146:$LI146))/SUMIF($KZ$3:$LI$3,LI$60,$KZ$4:$LI$4)))</f>
        <v>0</v>
      </c>
      <c r="LJ97" s="194" t="str">
        <f aca="false">KY97</f>
        <v>Alumno36</v>
      </c>
      <c r="LK97" s="198" t="n">
        <f aca="false">IF((SUMIF($LK$3:$LT$3,LK$60,$LK$4:$LT$4))=0,0,((SUMIF($LK$3:$LT$3,LK$60,$LK146:$LT146))/SUMIF($LK$3:$LT$3,LK$60,$LK$4:$LT$4)))</f>
        <v>0</v>
      </c>
      <c r="LL97" s="199" t="n">
        <f aca="false">IF((SUMIF($LK$3:$LT$3,LL$60,$LK$4:$LT$4))=0,0,((SUMIF($LK$3:$LT$3,LL$60,$LK146:$LT146))/SUMIF($LK$3:$LT$3,LL$60,$LK$4:$LT$4)))</f>
        <v>0</v>
      </c>
      <c r="LM97" s="199" t="n">
        <f aca="false">IF((SUMIF($LK$3:$LT$3,LM$60,$LK$4:$LT$4))=0,0,((SUMIF($LK$3:$LT$3,LM$60,$LK146:$LT146))/SUMIF($LK$3:$LT$3,LM$60,$LK$4:$LT$4)))</f>
        <v>0</v>
      </c>
      <c r="LN97" s="199" t="n">
        <f aca="false">IF((SUMIF($LK$3:$LT$3,LN$60,$LK$4:$LT$4))=0,0,((SUMIF($LK$3:$LT$3,LN$60,$LK146:$LT146))/SUMIF($LK$3:$LT$3,LN$60,$LK$4:$LT$4)))</f>
        <v>0</v>
      </c>
      <c r="LO97" s="199" t="n">
        <f aca="false">IF((SUMIF($LK$3:$LT$3,LO$60,$LK$4:$LT$4))=0,0,((SUMIF($LK$3:$LT$3,LO$60,$LK146:$LT146))/SUMIF($LK$3:$LT$3,LO$60,$LK$4:$LT$4)))</f>
        <v>0</v>
      </c>
      <c r="LP97" s="199" t="n">
        <f aca="false">IF((SUMIF($LK$3:$LT$3,LP$60,$LK$4:$LT$4))=0,0,((SUMIF($LK$3:$LT$3,LP$60,$LK146:$LT146))/SUMIF($LK$3:$LT$3,LP$60,$LK$4:$LT$4)))</f>
        <v>0</v>
      </c>
      <c r="LQ97" s="199" t="n">
        <f aca="false">IF((SUMIF($LK$3:$LT$3,LQ$60,$LK$4:$LT$4))=0,0,((SUMIF($LK$3:$LT$3,LQ$60,$LK146:$LT146))/SUMIF($LK$3:$LT$3,LQ$60,$LK$4:$LT$4)))</f>
        <v>0</v>
      </c>
      <c r="LR97" s="199" t="n">
        <f aca="false">IF((SUMIF($LK$3:$LT$3,LR$60,$LK$4:$LT$4))=0,0,((SUMIF($LK$3:$LT$3,LR$60,$LK146:$LT146))/SUMIF($LK$3:$LT$3,LR$60,$LK$4:$LT$4)))</f>
        <v>0</v>
      </c>
      <c r="LS97" s="199" t="n">
        <f aca="false">IF((SUMIF($LK$3:$LT$3,LS$60,$LK$4:$LT$4))=0,0,((SUMIF($LK$3:$LT$3,LS$60,$LK146:$LT146))/SUMIF($LK$3:$LT$3,LS$60,$LK$4:$LT$4)))</f>
        <v>0</v>
      </c>
      <c r="LT97" s="200" t="n">
        <f aca="false">IF((SUMIF($LK$3:$LT$3,LT$60,$LK$4:$LT$4))=0,0,((SUMIF($LK$3:$LT$3,LT$60,$LK146:$LT146))/SUMIF($LK$3:$LT$3,LT$60,$LK$4:$LT$4)))</f>
        <v>0</v>
      </c>
    </row>
    <row r="98" customFormat="false" ht="15" hidden="true" customHeight="false" outlineLevel="0" collapsed="false">
      <c r="C98" s="194" t="str">
        <f aca="false">B42</f>
        <v>Alumno37</v>
      </c>
      <c r="D98" s="198" t="n">
        <f aca="false">IF((SUMIF($D$3:$M$3,D$60,$D$4:$M$4))=0,0,((SUMIF($D$3:$M$3,D$60,$D147:$M147))/SUMIF($D$3:$M$3,D$60,$D$4:$M$4)))</f>
        <v>0</v>
      </c>
      <c r="E98" s="199" t="n">
        <f aca="false">IF((SUMIF($D$3:$M$3,E$60,$D$4:$M$4))=0,0,((SUMIF($D$3:$M$3,E$60,$D147:$M147))/SUMIF($D$3:$M$3,E$60,$D$4:$M$4)))</f>
        <v>0</v>
      </c>
      <c r="F98" s="199" t="n">
        <f aca="false">IF((SUMIF($D$3:$M$3,F$60,$D$4:$M$4))=0,0,((SUMIF($D$3:$M$3,F$60,$D147:$M147))/SUMIF($D$3:$M$3,F$60,$D$4:$M$4)))</f>
        <v>0</v>
      </c>
      <c r="G98" s="199" t="n">
        <f aca="false">IF((SUMIF($D$3:$M$3,G$60,$D$4:$M$4))=0,0,((SUMIF($D$3:$M$3,G$60,$D147:$M147))/SUMIF($D$3:$M$3,G$60,$D$4:$M$4)))</f>
        <v>0</v>
      </c>
      <c r="H98" s="199" t="n">
        <f aca="false">IF((SUMIF($D$3:$M$3,H$60,$D$4:$M$4))=0,0,((SUMIF($D$3:$M$3,H$60,$D147:$M147))/SUMIF($D$3:$M$3,H$60,$D$4:$M$4)))</f>
        <v>0</v>
      </c>
      <c r="I98" s="199" t="n">
        <f aca="false">IF((SUMIF($D$3:$M$3,I$60,$D$4:$M$4))=0,0,((SUMIF($D$3:$M$3,I$60,$D147:$M147))/SUMIF($D$3:$M$3,I$60,$D$4:$M$4)))</f>
        <v>0</v>
      </c>
      <c r="J98" s="199" t="n">
        <f aca="false">IF((SUMIF($D$3:$M$3,J$60,$D$4:$M$4))=0,0,((SUMIF($D$3:$M$3,J$60,$D147:$M147))/SUMIF($D$3:$M$3,J$60,$D$4:$M$4)))</f>
        <v>0</v>
      </c>
      <c r="K98" s="199" t="n">
        <f aca="false">IF((SUMIF($D$3:$M$3,K$60,$D$4:$M$4))=0,0,((SUMIF($D$3:$M$3,K$60,$D147:$M147))/SUMIF($D$3:$M$3,K$60,$D$4:$M$4)))</f>
        <v>0</v>
      </c>
      <c r="L98" s="199" t="n">
        <f aca="false">IF((SUMIF($D$3:$M$3,L$60,$D$4:$M$4))=0,0,((SUMIF($D$3:$M$3,L$60,$D147:$M147))/SUMIF($D$3:$M$3,L$60,$D$4:$M$4)))</f>
        <v>0</v>
      </c>
      <c r="M98" s="200" t="n">
        <f aca="false">IF((SUMIF($D$3:$M$3,M$60,$D$4:$M$4))=0,0,((SUMIF($D$3:$M$3,M$60,$D147:$M147))/SUMIF($D$3:$M$3,M$60,$D$4:$M$4)))</f>
        <v>0</v>
      </c>
      <c r="N98" s="194" t="str">
        <f aca="false">C98</f>
        <v>Alumno37</v>
      </c>
      <c r="O98" s="198" t="n">
        <f aca="false">IF((SUMIF($O$3:$X$3,O$60,$O$4:$X$4))=0,0,((SUMIF($O$3:$X$3,O$60,$O147:$X147))/SUMIF($O$3:$X$3,O$60,$O$4:$X$4)))</f>
        <v>0</v>
      </c>
      <c r="P98" s="199" t="n">
        <f aca="false">IF((SUMIF($O$3:$X$3,P$60,$O$4:$X$4))=0,0,((SUMIF($O$3:$X$3,P$60,$O147:$X147))/SUMIF($O$3:$X$3,P$60,$O$4:$X$4)))</f>
        <v>0</v>
      </c>
      <c r="Q98" s="199" t="n">
        <f aca="false">IF((SUMIF($O$3:$X$3,Q$60,$O$4:$X$4))=0,0,((SUMIF($O$3:$X$3,Q$60,$O147:$X147))/SUMIF($O$3:$X$3,Q$60,$O$4:$X$4)))</f>
        <v>0</v>
      </c>
      <c r="R98" s="199" t="n">
        <f aca="false">IF((SUMIF($O$3:$X$3,R$60,$O$4:$X$4))=0,0,((SUMIF($O$3:$X$3,R$60,$O147:$X147))/SUMIF($O$3:$X$3,R$60,$O$4:$X$4)))</f>
        <v>0</v>
      </c>
      <c r="S98" s="199" t="n">
        <f aca="false">IF((SUMIF($O$3:$X$3,S$60,$O$4:$X$4))=0,0,((SUMIF($O$3:$X$3,S$60,$O147:$X147))/SUMIF($O$3:$X$3,S$60,$O$4:$X$4)))</f>
        <v>0</v>
      </c>
      <c r="T98" s="199" t="n">
        <f aca="false">IF((SUMIF($O$3:$X$3,T$60,$O$4:$X$4))=0,0,((SUMIF($O$3:$X$3,T$60,$O147:$X147))/SUMIF($O$3:$X$3,T$60,$O$4:$X$4)))</f>
        <v>0</v>
      </c>
      <c r="U98" s="199" t="n">
        <f aca="false">IF((SUMIF($O$3:$X$3,U$60,$O$4:$X$4))=0,0,((SUMIF($O$3:$X$3,U$60,$O147:$X147))/SUMIF($O$3:$X$3,U$60,$O$4:$X$4)))</f>
        <v>0</v>
      </c>
      <c r="V98" s="199" t="n">
        <f aca="false">IF((SUMIF($O$3:$X$3,V$60,$O$4:$X$4))=0,0,((SUMIF($O$3:$X$3,V$60,$O147:$X147))/SUMIF($O$3:$X$3,V$60,$O$4:$X$4)))</f>
        <v>0</v>
      </c>
      <c r="W98" s="199" t="n">
        <f aca="false">IF((SUMIF($O$3:$X$3,W$60,$O$4:$X$4))=0,0,((SUMIF($O$3:$X$3,W$60,$O147:$X147))/SUMIF($O$3:$X$3,W$60,$O$4:$X$4)))</f>
        <v>0</v>
      </c>
      <c r="X98" s="200" t="n">
        <f aca="false">IF((SUMIF($O$3:$X$3,X$60,$O$4:$X$4))=0,0,((SUMIF($O$3:$X$3,X$60,$O147:$X147))/SUMIF($O$3:$X$3,X$60,$O$4:$X$4)))</f>
        <v>0</v>
      </c>
      <c r="Y98" s="194" t="str">
        <f aca="false">N98</f>
        <v>Alumno37</v>
      </c>
      <c r="Z98" s="198" t="n">
        <f aca="false">IF((SUMIF($Z$3:$AI$3,Z$60,$Z$4:$AI$4))=0,0,((SUMIF($Z$3:$AI$3,Z$60,$Z147:$AI147))/SUMIF($Z$3:$AI$3,Z$60,$Z$4:$AI$4)))</f>
        <v>0</v>
      </c>
      <c r="AA98" s="199" t="n">
        <f aca="false">IF((SUMIF($Z$3:$AI$3,AA$60,$Z$4:$AI$4))=0,0,((SUMIF($Z$3:$AI$3,AA$60,$Z147:$AI147))/SUMIF($Z$3:$AI$3,AA$60,$Z$4:$AI$4)))</f>
        <v>0</v>
      </c>
      <c r="AB98" s="199" t="n">
        <f aca="false">IF((SUMIF($Z$3:$AI$3,AB$60,$Z$4:$AI$4))=0,0,((SUMIF($Z$3:$AI$3,AB$60,$Z147:$AI147))/SUMIF($Z$3:$AI$3,AB$60,$Z$4:$AI$4)))</f>
        <v>0</v>
      </c>
      <c r="AC98" s="199" t="n">
        <f aca="false">IF((SUMIF($Z$3:$AI$3,AC$60,$Z$4:$AI$4))=0,0,((SUMIF($Z$3:$AI$3,AC$60,$Z147:$AI147))/SUMIF($Z$3:$AI$3,AC$60,$Z$4:$AI$4)))</f>
        <v>0</v>
      </c>
      <c r="AD98" s="199" t="n">
        <f aca="false">IF((SUMIF($Z$3:$AI$3,AD$60,$Z$4:$AI$4))=0,0,((SUMIF($Z$3:$AI$3,AD$60,$Z147:$AI147))/SUMIF($Z$3:$AI$3,AD$60,$Z$4:$AI$4)))</f>
        <v>0</v>
      </c>
      <c r="AE98" s="199" t="n">
        <f aca="false">IF((SUMIF($Z$3:$AI$3,AE$60,$Z$4:$AI$4))=0,0,((SUMIF($Z$3:$AI$3,AE$60,$Z147:$AI147))/SUMIF($Z$3:$AI$3,AE$60,$Z$4:$AI$4)))</f>
        <v>0</v>
      </c>
      <c r="AF98" s="199" t="n">
        <f aca="false">IF((SUMIF($Z$3:$AI$3,AF$60,$Z$4:$AI$4))=0,0,((SUMIF($Z$3:$AI$3,AF$60,$Z147:$AI147))/SUMIF($Z$3:$AI$3,AF$60,$Z$4:$AI$4)))</f>
        <v>0</v>
      </c>
      <c r="AG98" s="199" t="n">
        <f aca="false">IF((SUMIF($Z$3:$AI$3,AG$60,$Z$4:$AI$4))=0,0,((SUMIF($Z$3:$AI$3,AG$60,$Z147:$AI147))/SUMIF($Z$3:$AI$3,AG$60,$Z$4:$AI$4)))</f>
        <v>0</v>
      </c>
      <c r="AH98" s="199" t="n">
        <f aca="false">IF((SUMIF($Z$3:$AI$3,AH$60,$Z$4:$AI$4))=0,0,((SUMIF($Z$3:$AI$3,AH$60,$Z147:$AI147))/SUMIF($Z$3:$AI$3,AH$60,$Z$4:$AI$4)))</f>
        <v>0</v>
      </c>
      <c r="AI98" s="200" t="n">
        <f aca="false">IF((SUMIF($Z$3:$AI$3,AI$60,$Z$4:$AI$4))=0,0,((SUMIF($Z$3:$AI$3,AI$60,$Z147:$AI147))/SUMIF($Z$3:$AI$3,AI$60,$Z$4:$AI$4)))</f>
        <v>0</v>
      </c>
      <c r="AJ98" s="194" t="str">
        <f aca="false">Y98</f>
        <v>Alumno37</v>
      </c>
      <c r="AK98" s="198" t="n">
        <f aca="false">IF((SUMIF($AK$3:$AT$3,AK$60,$AK$4:$AT$4))=0,0,((SUMIF($AK$3:$AT$3,AK$60,$AK147:$AT147))/SUMIF($AK$3:$AT$3,AK$60,$AK$4:$AT$4)))</f>
        <v>0</v>
      </c>
      <c r="AL98" s="199" t="n">
        <f aca="false">IF((SUMIF($AK$3:$AT$3,AL$60,$AK$4:$AT$4))=0,0,((SUMIF($AK$3:$AT$3,AL$60,$AK147:$AT147))/SUMIF($AK$3:$AT$3,AL$60,$AK$4:$AT$4)))</f>
        <v>0</v>
      </c>
      <c r="AM98" s="199" t="n">
        <f aca="false">IF((SUMIF($AK$3:$AT$3,AM$60,$AK$4:$AT$4))=0,0,((SUMIF($AK$3:$AT$3,AM$60,$AK147:$AT147))/SUMIF($AK$3:$AT$3,AM$60,$AK$4:$AT$4)))</f>
        <v>0</v>
      </c>
      <c r="AN98" s="199" t="n">
        <f aca="false">IF((SUMIF($AK$3:$AT$3,AN$60,$AK$4:$AT$4))=0,0,((SUMIF($AK$3:$AT$3,AN$60,$AK147:$AT147))/SUMIF($AK$3:$AT$3,AN$60,$AK$4:$AT$4)))</f>
        <v>0</v>
      </c>
      <c r="AO98" s="199" t="n">
        <f aca="false">IF((SUMIF($AK$3:$AT$3,AO$60,$AK$4:$AT$4))=0,0,((SUMIF($AK$3:$AT$3,AO$60,$AK147:$AT147))/SUMIF($AK$3:$AT$3,AO$60,$AK$4:$AT$4)))</f>
        <v>0</v>
      </c>
      <c r="AP98" s="199" t="n">
        <f aca="false">IF((SUMIF($AK$3:$AT$3,AP$60,$AK$4:$AT$4))=0,0,((SUMIF($AK$3:$AT$3,AP$60,$AK147:$AT147))/SUMIF($AK$3:$AT$3,AP$60,$AK$4:$AT$4)))</f>
        <v>0</v>
      </c>
      <c r="AQ98" s="199" t="n">
        <f aca="false">IF((SUMIF($AK$3:$AT$3,AQ$60,$AK$4:$AT$4))=0,0,((SUMIF($AK$3:$AT$3,AQ$60,$AK147:$AT147))/SUMIF($AK$3:$AT$3,AQ$60,$AK$4:$AT$4)))</f>
        <v>0</v>
      </c>
      <c r="AR98" s="199" t="n">
        <f aca="false">IF((SUMIF($AK$3:$AT$3,AR$60,$AK$4:$AT$4))=0,0,((SUMIF($AK$3:$AT$3,AR$60,$AK147:$AT147))/SUMIF($AK$3:$AT$3,AR$60,$AK$4:$AT$4)))</f>
        <v>0</v>
      </c>
      <c r="AS98" s="199" t="n">
        <f aca="false">IF((SUMIF($AK$3:$AT$3,AS$60,$AK$4:$AT$4))=0,0,((SUMIF($AK$3:$AT$3,AS$60,$AK147:$AT147))/SUMIF($AK$3:$AT$3,AS$60,$AK$4:$AT$4)))</f>
        <v>0</v>
      </c>
      <c r="AT98" s="200" t="n">
        <f aca="false">IF((SUMIF($AK$3:$AT$3,AT$60,$AK$4:$AT$4))=0,0,((SUMIF($AK$3:$AT$3,AT$60,$AK147:$AT147))/SUMIF($AK$3:$AT$3,AT$60,$AK$4:$AT$4)))</f>
        <v>0</v>
      </c>
      <c r="AU98" s="194" t="str">
        <f aca="false">AJ98</f>
        <v>Alumno37</v>
      </c>
      <c r="AV98" s="198" t="n">
        <f aca="false">IF((SUMIF($AV$3:$BE$3,AV$60,$AV$4:$BE$4))=0,0,((SUMIF($AV$3:$BE$3,AV$60,$AV147:$BE147))/SUMIF($AV$3:$BE$3,AV$60,$AV$4:$BE$4)))</f>
        <v>0</v>
      </c>
      <c r="AW98" s="199" t="n">
        <f aca="false">IF((SUMIF($AV$3:$BE$3,AW$60,$AV$4:$BE$4))=0,0,((SUMIF($AV$3:$BE$3,AW$60,$AV147:$BE147))/SUMIF($AV$3:$BE$3,AW$60,$AV$4:$BE$4)))</f>
        <v>0</v>
      </c>
      <c r="AX98" s="199" t="n">
        <f aca="false">IF((SUMIF($AV$3:$BE$3,AX$60,$AV$4:$BE$4))=0,0,((SUMIF($AV$3:$BE$3,AX$60,$AV147:$BE147))/SUMIF($AV$3:$BE$3,AX$60,$AV$4:$BE$4)))</f>
        <v>0</v>
      </c>
      <c r="AY98" s="199" t="n">
        <f aca="false">IF((SUMIF($AV$3:$BE$3,AY$60,$AV$4:$BE$4))=0,0,((SUMIF($AV$3:$BE$3,AY$60,$AV147:$BE147))/SUMIF($AV$3:$BE$3,AY$60,$AV$4:$BE$4)))</f>
        <v>0</v>
      </c>
      <c r="AZ98" s="199" t="n">
        <f aca="false">IF((SUMIF($AV$3:$BE$3,AZ$60,$AV$4:$BE$4))=0,0,((SUMIF($AV$3:$BE$3,AZ$60,$AV147:$BE147))/SUMIF($AV$3:$BE$3,AZ$60,$AV$4:$BE$4)))</f>
        <v>0</v>
      </c>
      <c r="BA98" s="199" t="n">
        <f aca="false">IF((SUMIF($AV$3:$BE$3,BA$60,$AV$4:$BE$4))=0,0,((SUMIF($AV$3:$BE$3,BA$60,$AV147:$BE147))/SUMIF($AV$3:$BE$3,BA$60,$AV$4:$BE$4)))</f>
        <v>0</v>
      </c>
      <c r="BB98" s="199" t="n">
        <f aca="false">IF((SUMIF($AV$3:$BE$3,BB$60,$AV$4:$BE$4))=0,0,((SUMIF($AV$3:$BE$3,BB$60,$AV147:$BE147))/SUMIF($AV$3:$BE$3,BB$60,$AV$4:$BE$4)))</f>
        <v>0</v>
      </c>
      <c r="BC98" s="199" t="n">
        <f aca="false">IF((SUMIF($AV$3:$BE$3,BC$60,$AV$4:$BE$4))=0,0,((SUMIF($AV$3:$BE$3,BC$60,$AV147:$BE147))/SUMIF($AV$3:$BE$3,BC$60,$AV$4:$BE$4)))</f>
        <v>0</v>
      </c>
      <c r="BD98" s="199" t="n">
        <f aca="false">IF((SUMIF($AV$3:$BE$3,BD$60,$AV$4:$BE$4))=0,0,((SUMIF($AV$3:$BE$3,BD$60,$AV147:$BE147))/SUMIF($AV$3:$BE$3,BD$60,$AV$4:$BE$4)))</f>
        <v>0</v>
      </c>
      <c r="BE98" s="200" t="n">
        <f aca="false">IF((SUMIF($AV$3:$BE$3,BE$60,$AV$4:$BE$4))=0,0,((SUMIF($AV$3:$BE$3,BE$60,$AV147:$BE147))/SUMIF($AV$3:$BE$3,BE$60,$AV$4:$BE$4)))</f>
        <v>0</v>
      </c>
      <c r="BF98" s="194" t="str">
        <f aca="false">AU98</f>
        <v>Alumno37</v>
      </c>
      <c r="BG98" s="198" t="n">
        <f aca="false">IF((SUMIF($BG$3:$BP$3,BG$60,$BG$4:$BP$4))=0,0,((SUMIF($BG$3:$BP$3,BG$60,$BG147:$BP147))/SUMIF($BG$3:$BP$3,BG$60,$BG$4:$BP$4)))</f>
        <v>0</v>
      </c>
      <c r="BH98" s="199" t="n">
        <f aca="false">IF((SUMIF($BG$3:$BP$3,BH$60,$BG$4:$BP$4))=0,0,((SUMIF($BG$3:$BP$3,BH$60,$BG147:$BP147))/SUMIF($BG$3:$BP$3,BH$60,$BG$4:$BP$4)))</f>
        <v>0</v>
      </c>
      <c r="BI98" s="199" t="n">
        <f aca="false">IF((SUMIF($BG$3:$BP$3,BI$60,$BG$4:$BP$4))=0,0,((SUMIF($BG$3:$BP$3,BI$60,$BG147:$BP147))/SUMIF($BG$3:$BP$3,BI$60,$BG$4:$BP$4)))</f>
        <v>0</v>
      </c>
      <c r="BJ98" s="199" t="n">
        <f aca="false">IF((SUMIF($BG$3:$BP$3,BJ$60,$BG$4:$BP$4))=0,0,((SUMIF($BG$3:$BP$3,BJ$60,$BG147:$BP147))/SUMIF($BG$3:$BP$3,BJ$60,$BG$4:$BP$4)))</f>
        <v>0</v>
      </c>
      <c r="BK98" s="199" t="n">
        <f aca="false">IF((SUMIF($BG$3:$BP$3,BK$60,$BG$4:$BP$4))=0,0,((SUMIF($BG$3:$BP$3,BK$60,$BG147:$BP147))/SUMIF($BG$3:$BP$3,BK$60,$BG$4:$BP$4)))</f>
        <v>0</v>
      </c>
      <c r="BL98" s="199" t="n">
        <f aca="false">IF((SUMIF($BG$3:$BP$3,BL$60,$BG$4:$BP$4))=0,0,((SUMIF($BG$3:$BP$3,BL$60,$BG147:$BP147))/SUMIF($BG$3:$BP$3,BL$60,$BG$4:$BP$4)))</f>
        <v>0</v>
      </c>
      <c r="BM98" s="199" t="n">
        <f aca="false">IF((SUMIF($BG$3:$BP$3,BM$60,$BG$4:$BP$4))=0,0,((SUMIF($BG$3:$BP$3,BM$60,$BG147:$BP147))/SUMIF($BG$3:$BP$3,BM$60,$BG$4:$BP$4)))</f>
        <v>0</v>
      </c>
      <c r="BN98" s="199" t="n">
        <f aca="false">IF((SUMIF($BG$3:$BP$3,BN$60,$BG$4:$BP$4))=0,0,((SUMIF($BG$3:$BP$3,BN$60,$BG147:$BP147))/SUMIF($BG$3:$BP$3,BN$60,$BG$4:$BP$4)))</f>
        <v>0</v>
      </c>
      <c r="BO98" s="199" t="n">
        <f aca="false">IF((SUMIF($BG$3:$BP$3,BO$60,$BG$4:$BP$4))=0,0,((SUMIF($BG$3:$BP$3,BO$60,$BG147:$BP147))/SUMIF($BG$3:$BP$3,BO$60,$BG$4:$BP$4)))</f>
        <v>0</v>
      </c>
      <c r="BP98" s="200" t="n">
        <f aca="false">IF((SUMIF($BG$3:$BP$3,BP$60,$BG$4:$BP$4))=0,0,((SUMIF($BG$3:$BP$3,BP$60,$BG147:$BP147))/SUMIF($BG$3:$BP$3,BP$60,$BG$4:$BP$4)))</f>
        <v>0</v>
      </c>
      <c r="BQ98" s="194" t="str">
        <f aca="false">BF98</f>
        <v>Alumno37</v>
      </c>
      <c r="BR98" s="198" t="n">
        <f aca="false">IF((SUMIF($BR$3:$CA$3,BR$60,$BR$4:$CA$4))=0,0,((SUMIF($BR$3:$CA$3,BR$60,$BR147:$CA147))/SUMIF($BR$3:$CA$3,BR$60,$BR$4:$CA$4)))</f>
        <v>0</v>
      </c>
      <c r="BS98" s="199" t="n">
        <f aca="false">IF((SUMIF($BR$3:$CA$3,BS$60,$BR$4:$CA$4))=0,0,((SUMIF($BR$3:$CA$3,BS$60,$BR147:$CA147))/SUMIF($BR$3:$CA$3,BS$60,$BR$4:$CA$4)))</f>
        <v>0</v>
      </c>
      <c r="BT98" s="199" t="n">
        <f aca="false">IF((SUMIF($BR$3:$CA$3,BT$60,$BR$4:$CA$4))=0,0,((SUMIF($BR$3:$CA$3,BT$60,$BR147:$CA147))/SUMIF($BR$3:$CA$3,BT$60,$BR$4:$CA$4)))</f>
        <v>0</v>
      </c>
      <c r="BU98" s="199" t="n">
        <f aca="false">IF((SUMIF($BR$3:$CA$3,BU$60,$BR$4:$CA$4))=0,0,((SUMIF($BR$3:$CA$3,BU$60,$BR147:$CA147))/SUMIF($BR$3:$CA$3,BU$60,$BR$4:$CA$4)))</f>
        <v>0</v>
      </c>
      <c r="BV98" s="199" t="n">
        <f aca="false">IF((SUMIF($BR$3:$CA$3,BV$60,$BR$4:$CA$4))=0,0,((SUMIF($BR$3:$CA$3,BV$60,$BR147:$CA147))/SUMIF($BR$3:$CA$3,BV$60,$BR$4:$CA$4)))</f>
        <v>0</v>
      </c>
      <c r="BW98" s="199" t="n">
        <f aca="false">IF((SUMIF($BR$3:$CA$3,BW$60,$BR$4:$CA$4))=0,0,((SUMIF($BR$3:$CA$3,BW$60,$BR147:$CA147))/SUMIF($BR$3:$CA$3,BW$60,$BR$4:$CA$4)))</f>
        <v>0</v>
      </c>
      <c r="BX98" s="199" t="n">
        <f aca="false">IF((SUMIF($BR$3:$CA$3,BX$60,$BR$4:$CA$4))=0,0,((SUMIF($BR$3:$CA$3,BX$60,$BR147:$CA147))/SUMIF($BR$3:$CA$3,BX$60,$BR$4:$CA$4)))</f>
        <v>0</v>
      </c>
      <c r="BY98" s="199" t="n">
        <f aca="false">IF((SUMIF($BR$3:$CA$3,BY$60,$BR$4:$CA$4))=0,0,((SUMIF($BR$3:$CA$3,BY$60,$BR147:$CA147))/SUMIF($BR$3:$CA$3,BY$60,$BR$4:$CA$4)))</f>
        <v>0</v>
      </c>
      <c r="BZ98" s="199" t="n">
        <f aca="false">IF((SUMIF($BR$3:$CA$3,BZ$60,$BR$4:$CA$4))=0,0,((SUMIF($BR$3:$CA$3,BZ$60,$BR147:$CA147))/SUMIF($BR$3:$CA$3,BZ$60,$BR$4:$CA$4)))</f>
        <v>0</v>
      </c>
      <c r="CA98" s="200" t="n">
        <f aca="false">IF((SUMIF($BR$3:$CA$3,CA$60,$BR$4:$CA$4))=0,0,((SUMIF($BR$3:$CA$3,CA$60,$BR147:$CA147))/SUMIF($BR$3:$CA$3,CA$60,$BR$4:$CA$4)))</f>
        <v>0</v>
      </c>
      <c r="CB98" s="194" t="str">
        <f aca="false">BQ98</f>
        <v>Alumno37</v>
      </c>
      <c r="CC98" s="198" t="n">
        <f aca="false">IF((SUMIF($CC$3:$CL$3,CC$60,$CC$4:$CL$4))=0,0,((SUMIF($CC$3:$CL$3,CC$60,$CC147:$CL147))/SUMIF($CC$3:$CL$3,CC$60,$CC$4:$CL$4)))</f>
        <v>0</v>
      </c>
      <c r="CD98" s="199" t="n">
        <f aca="false">IF((SUMIF($CC$3:$CL$3,CD$60,$CC$4:$CL$4))=0,0,((SUMIF($CC$3:$CL$3,CD$60,$CC147:$CL147))/SUMIF($CC$3:$CL$3,CD$60,$CC$4:$CL$4)))</f>
        <v>0</v>
      </c>
      <c r="CE98" s="199" t="n">
        <f aca="false">IF((SUMIF($CC$3:$CL$3,CE$60,$CC$4:$CL$4))=0,0,((SUMIF($CC$3:$CL$3,CE$60,$CC147:$CL147))/SUMIF($CC$3:$CL$3,CE$60,$CC$4:$CL$4)))</f>
        <v>0</v>
      </c>
      <c r="CF98" s="199" t="n">
        <f aca="false">IF((SUMIF($CC$3:$CL$3,CF$60,$CC$4:$CL$4))=0,0,((SUMIF($CC$3:$CL$3,CF$60,$CC147:$CL147))/SUMIF($CC$3:$CL$3,CF$60,$CC$4:$CL$4)))</f>
        <v>0</v>
      </c>
      <c r="CG98" s="199" t="n">
        <f aca="false">IF((SUMIF($CC$3:$CL$3,CG$60,$CC$4:$CL$4))=0,0,((SUMIF($CC$3:$CL$3,CG$60,$CC147:$CL147))/SUMIF($CC$3:$CL$3,CG$60,$CC$4:$CL$4)))</f>
        <v>0</v>
      </c>
      <c r="CH98" s="199" t="n">
        <f aca="false">IF((SUMIF($CC$3:$CL$3,CH$60,$CC$4:$CL$4))=0,0,((SUMIF($CC$3:$CL$3,CH$60,$CC147:$CL147))/SUMIF($CC$3:$CL$3,CH$60,$CC$4:$CL$4)))</f>
        <v>0</v>
      </c>
      <c r="CI98" s="199" t="n">
        <f aca="false">IF((SUMIF($CC$3:$CL$3,CI$60,$CC$4:$CL$4))=0,0,((SUMIF($CC$3:$CL$3,CI$60,$CC147:$CL147))/SUMIF($CC$3:$CL$3,CI$60,$CC$4:$CL$4)))</f>
        <v>0</v>
      </c>
      <c r="CJ98" s="199" t="n">
        <f aca="false">IF((SUMIF($CC$3:$CL$3,CJ$60,$CC$4:$CL$4))=0,0,((SUMIF($CC$3:$CL$3,CJ$60,$CC147:$CL147))/SUMIF($CC$3:$CL$3,CJ$60,$CC$4:$CL$4)))</f>
        <v>0</v>
      </c>
      <c r="CK98" s="199" t="n">
        <f aca="false">IF((SUMIF($CC$3:$CL$3,CK$60,$CC$4:$CL$4))=0,0,((SUMIF($CC$3:$CL$3,CK$60,$CC147:$CL147))/SUMIF($CC$3:$CL$3,CK$60,$CC$4:$CL$4)))</f>
        <v>0</v>
      </c>
      <c r="CL98" s="200" t="n">
        <f aca="false">IF((SUMIF($CC$3:$CL$3,CL$60,$CC$4:$CL$4))=0,0,((SUMIF($CC$3:$CL$3,CL$60,$CC147:$CL147))/SUMIF($CC$3:$CL$3,CL$60,$CC$4:$CL$4)))</f>
        <v>0</v>
      </c>
      <c r="CM98" s="194" t="str">
        <f aca="false">CB98</f>
        <v>Alumno37</v>
      </c>
      <c r="CN98" s="198" t="n">
        <f aca="false">IF((SUMIF($CN$3:$CW$3,CN$60,$CN$4:$CW$4))=0,0,((SUMIF($CN$3:$CW$3,CN$60,$CN147:$CW147))/SUMIF($CN$3:$CW$3,CN$60,$CN$4:$CW$4)))</f>
        <v>0</v>
      </c>
      <c r="CO98" s="199" t="n">
        <f aca="false">IF((SUMIF($CN$3:$CW$3,CO$60,$CN$4:$CW$4))=0,0,((SUMIF($CN$3:$CW$3,CO$60,$CN147:$CW147))/SUMIF($CN$3:$CW$3,CO$60,$CN$4:$CW$4)))</f>
        <v>0</v>
      </c>
      <c r="CP98" s="199" t="n">
        <f aca="false">IF((SUMIF($CN$3:$CW$3,CP$60,$CN$4:$CW$4))=0,0,((SUMIF($CN$3:$CW$3,CP$60,$CN147:$CW147))/SUMIF($CN$3:$CW$3,CP$60,$CN$4:$CW$4)))</f>
        <v>0</v>
      </c>
      <c r="CQ98" s="199" t="n">
        <f aca="false">IF((SUMIF($CN$3:$CW$3,CQ$60,$CN$4:$CW$4))=0,0,((SUMIF($CN$3:$CW$3,CQ$60,$CN147:$CW147))/SUMIF($CN$3:$CW$3,CQ$60,$CN$4:$CW$4)))</f>
        <v>0</v>
      </c>
      <c r="CR98" s="199" t="n">
        <f aca="false">IF((SUMIF($CN$3:$CW$3,CR$60,$CN$4:$CW$4))=0,0,((SUMIF($CN$3:$CW$3,CR$60,$CN147:$CW147))/SUMIF($CN$3:$CW$3,CR$60,$CN$4:$CW$4)))</f>
        <v>0</v>
      </c>
      <c r="CS98" s="199" t="n">
        <f aca="false">IF((SUMIF($CN$3:$CW$3,CS$60,$CN$4:$CW$4))=0,0,((SUMIF($CN$3:$CW$3,CS$60,$CN147:$CW147))/SUMIF($CN$3:$CW$3,CS$60,$CN$4:$CW$4)))</f>
        <v>0</v>
      </c>
      <c r="CT98" s="199" t="n">
        <f aca="false">IF((SUMIF($CN$3:$CW$3,CT$60,$CN$4:$CW$4))=0,0,((SUMIF($CN$3:$CW$3,CT$60,$CN147:$CW147))/SUMIF($CN$3:$CW$3,CT$60,$CN$4:$CW$4)))</f>
        <v>0</v>
      </c>
      <c r="CU98" s="199" t="n">
        <f aca="false">IF((SUMIF($CN$3:$CW$3,CU$60,$CN$4:$CW$4))=0,0,((SUMIF($CN$3:$CW$3,CU$60,$CN147:$CW147))/SUMIF($CN$3:$CW$3,CU$60,$CN$4:$CW$4)))</f>
        <v>0</v>
      </c>
      <c r="CV98" s="199" t="n">
        <f aca="false">IF((SUMIF($CN$3:$CW$3,CV$60,$CN$4:$CW$4))=0,0,((SUMIF($CN$3:$CW$3,CV$60,$CN147:$CW147))/SUMIF($CN$3:$CW$3,CV$60,$CN$4:$CW$4)))</f>
        <v>0</v>
      </c>
      <c r="CW98" s="200" t="n">
        <f aca="false">IF((SUMIF($CN$3:$CW$3,CW$60,$CN$4:$CW$4))=0,0,((SUMIF($CN$3:$CW$3,CW$60,$CN147:$CW147))/SUMIF($CN$3:$CW$3,CW$60,$CN$4:$CW$4)))</f>
        <v>0</v>
      </c>
      <c r="CX98" s="194" t="str">
        <f aca="false">CM98</f>
        <v>Alumno37</v>
      </c>
      <c r="CY98" s="198" t="n">
        <f aca="false">IF((SUMIF($CY$3:$DH$3,CY$60,$CY$4:$DH$4))=0,0,((SUMIF($CY$3:$DH$3,CY$60,$CY147:$DH147))/SUMIF($CY$3:$DH$3,CY$60,$CY$4:$DH$4)))</f>
        <v>0</v>
      </c>
      <c r="CZ98" s="199" t="n">
        <f aca="false">IF((SUMIF($CY$3:$DH$3,CZ$60,$CY$4:$DH$4))=0,0,((SUMIF($CY$3:$DH$3,CZ$60,$CY147:$DH147))/SUMIF($CY$3:$DH$3,CZ$60,$CY$4:$DH$4)))</f>
        <v>0</v>
      </c>
      <c r="DA98" s="199" t="n">
        <f aca="false">IF((SUMIF($CY$3:$DH$3,DA$60,$CY$4:$DH$4))=0,0,((SUMIF($CY$3:$DH$3,DA$60,$CY147:$DH147))/SUMIF($CY$3:$DH$3,DA$60,$CY$4:$DH$4)))</f>
        <v>0</v>
      </c>
      <c r="DB98" s="199" t="n">
        <f aca="false">IF((SUMIF($CY$3:$DH$3,DB$60,$CY$4:$DH$4))=0,0,((SUMIF($CY$3:$DH$3,DB$60,$CY147:$DH147))/SUMIF($CY$3:$DH$3,DB$60,$CY$4:$DH$4)))</f>
        <v>0</v>
      </c>
      <c r="DC98" s="199" t="n">
        <f aca="false">IF((SUMIF($CY$3:$DH$3,DC$60,$CY$4:$DH$4))=0,0,((SUMIF($CY$3:$DH$3,DC$60,$CY147:$DH147))/SUMIF($CY$3:$DH$3,DC$60,$CY$4:$DH$4)))</f>
        <v>0</v>
      </c>
      <c r="DD98" s="199" t="n">
        <f aca="false">IF((SUMIF($CY$3:$DH$3,DD$60,$CY$4:$DH$4))=0,0,((SUMIF($CY$3:$DH$3,DD$60,$CY147:$DH147))/SUMIF($CY$3:$DH$3,DD$60,$CY$4:$DH$4)))</f>
        <v>0</v>
      </c>
      <c r="DE98" s="199" t="n">
        <f aca="false">IF((SUMIF($CY$3:$DH$3,DE$60,$CY$4:$DH$4))=0,0,((SUMIF($CY$3:$DH$3,DE$60,$CY147:$DH147))/SUMIF($CY$3:$DH$3,DE$60,$CY$4:$DH$4)))</f>
        <v>0</v>
      </c>
      <c r="DF98" s="199" t="n">
        <f aca="false">IF((SUMIF($CY$3:$DH$3,DF$60,$CY$4:$DH$4))=0,0,((SUMIF($CY$3:$DH$3,DF$60,$CY147:$DH147))/SUMIF($CY$3:$DH$3,DF$60,$CY$4:$DH$4)))</f>
        <v>0</v>
      </c>
      <c r="DG98" s="199" t="n">
        <f aca="false">IF((SUMIF($CY$3:$DH$3,DG$60,$CY$4:$DH$4))=0,0,((SUMIF($CY$3:$DH$3,DG$60,$CY147:$DH147))/SUMIF($CY$3:$DH$3,DG$60,$CY$4:$DH$4)))</f>
        <v>0</v>
      </c>
      <c r="DH98" s="200" t="n">
        <f aca="false">IF((SUMIF($CY$3:$DH$3,DH$60,$CY$4:$DH$4))=0,0,((SUMIF($CY$3:$DH$3,DH$60,$CY147:$DH147))/SUMIF($CY$3:$DH$3,DH$60,$CY$4:$DH$4)))</f>
        <v>0</v>
      </c>
      <c r="DI98" s="194" t="str">
        <f aca="false">CX98</f>
        <v>Alumno37</v>
      </c>
      <c r="DJ98" s="198" t="n">
        <f aca="false">IF((SUMIF($DJ$3:$DS$3,DJ$60,$DJ$4:$DS$4))=0,0,((SUMIF($DJ$3:$DS$3,DJ$60,$DJ147:$DS147))/SUMIF($DJ$3:$DS$3,DJ$60,$DJ$4:$DS$4)))</f>
        <v>0</v>
      </c>
      <c r="DK98" s="199" t="n">
        <f aca="false">IF((SUMIF($DJ$3:$DS$3,DK$60,$DJ$4:$DS$4))=0,0,((SUMIF($DJ$3:$DS$3,DK$60,$DJ147:$DS147))/SUMIF($DJ$3:$DS$3,DK$60,$DJ$4:$DS$4)))</f>
        <v>0</v>
      </c>
      <c r="DL98" s="199" t="n">
        <f aca="false">IF((SUMIF($DJ$3:$DS$3,DL$60,$DJ$4:$DS$4))=0,0,((SUMIF($DJ$3:$DS$3,DL$60,$DJ147:$DS147))/SUMIF($DJ$3:$DS$3,DL$60,$DJ$4:$DS$4)))</f>
        <v>0</v>
      </c>
      <c r="DM98" s="199" t="n">
        <f aca="false">IF((SUMIF($DJ$3:$DS$3,DM$60,$DJ$4:$DS$4))=0,0,((SUMIF($DJ$3:$DS$3,DM$60,$DJ147:$DS147))/SUMIF($DJ$3:$DS$3,DM$60,$DJ$4:$DS$4)))</f>
        <v>0</v>
      </c>
      <c r="DN98" s="199" t="n">
        <f aca="false">IF((SUMIF($DJ$3:$DS$3,DN$60,$DJ$4:$DS$4))=0,0,((SUMIF($DJ$3:$DS$3,DN$60,$DJ147:$DS147))/SUMIF($DJ$3:$DS$3,DN$60,$DJ$4:$DS$4)))</f>
        <v>0</v>
      </c>
      <c r="DO98" s="199" t="n">
        <f aca="false">IF((SUMIF($DJ$3:$DS$3,DO$60,$DJ$4:$DS$4))=0,0,((SUMIF($DJ$3:$DS$3,DO$60,$DJ147:$DS147))/SUMIF($DJ$3:$DS$3,DO$60,$DJ$4:$DS$4)))</f>
        <v>0</v>
      </c>
      <c r="DP98" s="199" t="n">
        <f aca="false">IF((SUMIF($DJ$3:$DS$3,DP$60,$DJ$4:$DS$4))=0,0,((SUMIF($DJ$3:$DS$3,DP$60,$DJ147:$DS147))/SUMIF($DJ$3:$DS$3,DP$60,$DJ$4:$DS$4)))</f>
        <v>0</v>
      </c>
      <c r="DQ98" s="199" t="n">
        <f aca="false">IF((SUMIF($DJ$3:$DS$3,DQ$60,$DJ$4:$DS$4))=0,0,((SUMIF($DJ$3:$DS$3,DQ$60,$DJ147:$DS147))/SUMIF($DJ$3:$DS$3,DQ$60,$DJ$4:$DS$4)))</f>
        <v>0</v>
      </c>
      <c r="DR98" s="199" t="n">
        <f aca="false">IF((SUMIF($DJ$3:$DS$3,DR$60,$DJ$4:$DS$4))=0,0,((SUMIF($DJ$3:$DS$3,DR$60,$DJ147:$DS147))/SUMIF($DJ$3:$DS$3,DR$60,$DJ$4:$DS$4)))</f>
        <v>0</v>
      </c>
      <c r="DS98" s="200" t="n">
        <f aca="false">IF((SUMIF($DJ$3:$DS$3,DS$60,$DJ$4:$DS$4))=0,0,((SUMIF($DJ$3:$DS$3,DS$60,$DJ147:$DS147))/SUMIF($DJ$3:$DS$3,DS$60,$DJ$4:$DS$4)))</f>
        <v>0</v>
      </c>
      <c r="DT98" s="194" t="str">
        <f aca="false">DI98</f>
        <v>Alumno37</v>
      </c>
      <c r="DU98" s="198" t="n">
        <f aca="false">IF((SUMIF($DU$3:$ED$3,DU$60,$DU$4:$ED$4))=0,0,((SUMIF($DU$3:$ED$3,DU$60,$DU147:$ED147))/SUMIF($DU$3:$ED$3,DU$60,$DU$4:$ED$4)))</f>
        <v>0</v>
      </c>
      <c r="DV98" s="199" t="n">
        <f aca="false">IF((SUMIF($DU$3:$ED$3,DV$60,$DU$4:$ED$4))=0,0,((SUMIF($DU$3:$ED$3,DV$60,$DU147:$ED147))/SUMIF($DU$3:$ED$3,DV$60,$DU$4:$ED$4)))</f>
        <v>0</v>
      </c>
      <c r="DW98" s="199" t="n">
        <f aca="false">IF((SUMIF($DU$3:$ED$3,DW$60,$DU$4:$ED$4))=0,0,((SUMIF($DU$3:$ED$3,DW$60,$DU147:$ED147))/SUMIF($DU$3:$ED$3,DW$60,$DU$4:$ED$4)))</f>
        <v>0</v>
      </c>
      <c r="DX98" s="199" t="n">
        <f aca="false">IF((SUMIF($DU$3:$ED$3,DX$60,$DU$4:$ED$4))=0,0,((SUMIF($DU$3:$ED$3,DX$60,$DU147:$ED147))/SUMIF($DU$3:$ED$3,DX$60,$DU$4:$ED$4)))</f>
        <v>0</v>
      </c>
      <c r="DY98" s="199" t="n">
        <f aca="false">IF((SUMIF($DU$3:$ED$3,DY$60,$DU$4:$ED$4))=0,0,((SUMIF($DU$3:$ED$3,DY$60,$DU147:$ED147))/SUMIF($DU$3:$ED$3,DY$60,$DU$4:$ED$4)))</f>
        <v>0</v>
      </c>
      <c r="DZ98" s="199" t="n">
        <f aca="false">IF((SUMIF($DU$3:$ED$3,DZ$60,$DU$4:$ED$4))=0,0,((SUMIF($DU$3:$ED$3,DZ$60,$DU147:$ED147))/SUMIF($DU$3:$ED$3,DZ$60,$DU$4:$ED$4)))</f>
        <v>0</v>
      </c>
      <c r="EA98" s="199" t="n">
        <f aca="false">IF((SUMIF($DU$3:$ED$3,EA$60,$DU$4:$ED$4))=0,0,((SUMIF($DU$3:$ED$3,EA$60,$DU147:$ED147))/SUMIF($DU$3:$ED$3,EA$60,$DU$4:$ED$4)))</f>
        <v>0</v>
      </c>
      <c r="EB98" s="199" t="n">
        <f aca="false">IF((SUMIF($DU$3:$ED$3,EB$60,$DU$4:$ED$4))=0,0,((SUMIF($DU$3:$ED$3,EB$60,$DU147:$ED147))/SUMIF($DU$3:$ED$3,EB$60,$DU$4:$ED$4)))</f>
        <v>0</v>
      </c>
      <c r="EC98" s="199" t="n">
        <f aca="false">IF((SUMIF($DU$3:$ED$3,EC$60,$DU$4:$ED$4))=0,0,((SUMIF($DU$3:$ED$3,EC$60,$DU147:$ED147))/SUMIF($DU$3:$ED$3,EC$60,$DU$4:$ED$4)))</f>
        <v>0</v>
      </c>
      <c r="ED98" s="200" t="n">
        <f aca="false">IF((SUMIF($DU$3:$ED$3,ED$60,$DU$4:$ED$4))=0,0,((SUMIF($DU$3:$ED$3,ED$60,$DU147:$ED147))/SUMIF($DU$3:$ED$3,ED$60,$DU$4:$ED$4)))</f>
        <v>0</v>
      </c>
      <c r="EE98" s="194" t="str">
        <f aca="false">DT98</f>
        <v>Alumno37</v>
      </c>
      <c r="EF98" s="198" t="n">
        <f aca="false">IF((SUMIF($EF$3:$EO$3,EF$60,$EF$4:$EO$4))=0,0,((SUMIF($EF$3:$EO$3,EF$60,$EF147:$EO147))/SUMIF($EF$3:$EO$3,EF$60,$EF$4:$EO$4)))</f>
        <v>0</v>
      </c>
      <c r="EG98" s="199" t="n">
        <f aca="false">IF((SUMIF($EF$3:$EO$3,EG$60,$EF$4:$EO$4))=0,0,((SUMIF($EF$3:$EO$3,EG$60,$EF147:$EO147))/SUMIF($EF$3:$EO$3,EG$60,$EF$4:$EO$4)))</f>
        <v>0</v>
      </c>
      <c r="EH98" s="199" t="n">
        <f aca="false">IF((SUMIF($EF$3:$EO$3,EH$60,$EF$4:$EO$4))=0,0,((SUMIF($EF$3:$EO$3,EH$60,$EF147:$EO147))/SUMIF($EF$3:$EO$3,EH$60,$EF$4:$EO$4)))</f>
        <v>0</v>
      </c>
      <c r="EI98" s="199" t="n">
        <f aca="false">IF((SUMIF($EF$3:$EO$3,EI$60,$EF$4:$EO$4))=0,0,((SUMIF($EF$3:$EO$3,EI$60,$EF147:$EO147))/SUMIF($EF$3:$EO$3,EI$60,$EF$4:$EO$4)))</f>
        <v>0</v>
      </c>
      <c r="EJ98" s="199" t="n">
        <f aca="false">IF((SUMIF($EF$3:$EO$3,EJ$60,$EF$4:$EO$4))=0,0,((SUMIF($EF$3:$EO$3,EJ$60,$EF147:$EO147))/SUMIF($EF$3:$EO$3,EJ$60,$EF$4:$EO$4)))</f>
        <v>0</v>
      </c>
      <c r="EK98" s="199" t="n">
        <f aca="false">IF((SUMIF($EF$3:$EO$3,EK$60,$EF$4:$EO$4))=0,0,((SUMIF($EF$3:$EO$3,EK$60,$EF147:$EO147))/SUMIF($EF$3:$EO$3,EK$60,$EF$4:$EO$4)))</f>
        <v>0</v>
      </c>
      <c r="EL98" s="199" t="n">
        <f aca="false">IF((SUMIF($EF$3:$EO$3,EL$60,$EF$4:$EO$4))=0,0,((SUMIF($EF$3:$EO$3,EL$60,$EF147:$EO147))/SUMIF($EF$3:$EO$3,EL$60,$EF$4:$EO$4)))</f>
        <v>0</v>
      </c>
      <c r="EM98" s="199" t="n">
        <f aca="false">IF((SUMIF($EF$3:$EO$3,EM$60,$EF$4:$EO$4))=0,0,((SUMIF($EF$3:$EO$3,EM$60,$EF147:$EO147))/SUMIF($EF$3:$EO$3,EM$60,$EF$4:$EO$4)))</f>
        <v>0</v>
      </c>
      <c r="EN98" s="199" t="n">
        <f aca="false">IF((SUMIF($EF$3:$EO$3,EN$60,$EF$4:$EO$4))=0,0,((SUMIF($EF$3:$EO$3,EN$60,$EF147:$EO147))/SUMIF($EF$3:$EO$3,EN$60,$EF$4:$EO$4)))</f>
        <v>0</v>
      </c>
      <c r="EO98" s="200" t="n">
        <f aca="false">IF((SUMIF($EF$3:$EO$3,EO$60,$EF$4:$EO$4))=0,0,((SUMIF($EF$3:$EO$3,EO$60,$EF147:$EO147))/SUMIF($EF$3:$EO$3,EO$60,$EF$4:$EO$4)))</f>
        <v>0</v>
      </c>
      <c r="EP98" s="194" t="str">
        <f aca="false">EE98</f>
        <v>Alumno37</v>
      </c>
      <c r="EQ98" s="198" t="n">
        <f aca="false">IF((SUMIF($EQ$3:$EZ$3,EQ$60,$EQ$4:$EZ$4))=0,0,((SUMIF($EQ$3:$EZ$3,EQ$60,$EQ147:$EZ147))/SUMIF($EQ$3:$EZ$3,EQ$60,$EQ$4:$EZ$4)))</f>
        <v>0</v>
      </c>
      <c r="ER98" s="199" t="n">
        <f aca="false">IF((SUMIF($EQ$3:$EZ$3,ER$60,$EQ$4:$EZ$4))=0,0,((SUMIF($EQ$3:$EZ$3,ER$60,$EQ147:$EZ147))/SUMIF($EQ$3:$EZ$3,ER$60,$EQ$4:$EZ$4)))</f>
        <v>0</v>
      </c>
      <c r="ES98" s="199" t="n">
        <f aca="false">IF((SUMIF($EQ$3:$EZ$3,ES$60,$EQ$4:$EZ$4))=0,0,((SUMIF($EQ$3:$EZ$3,ES$60,$EQ147:$EZ147))/SUMIF($EQ$3:$EZ$3,ES$60,$EQ$4:$EZ$4)))</f>
        <v>0</v>
      </c>
      <c r="ET98" s="199" t="n">
        <f aca="false">IF((SUMIF($EQ$3:$EZ$3,ET$60,$EQ$4:$EZ$4))=0,0,((SUMIF($EQ$3:$EZ$3,ET$60,$EQ147:$EZ147))/SUMIF($EQ$3:$EZ$3,ET$60,$EQ$4:$EZ$4)))</f>
        <v>0</v>
      </c>
      <c r="EU98" s="199" t="n">
        <f aca="false">IF((SUMIF($EQ$3:$EZ$3,EU$60,$EQ$4:$EZ$4))=0,0,((SUMIF($EQ$3:$EZ$3,EU$60,$EQ147:$EZ147))/SUMIF($EQ$3:$EZ$3,EU$60,$EQ$4:$EZ$4)))</f>
        <v>0</v>
      </c>
      <c r="EV98" s="199" t="n">
        <f aca="false">IF((SUMIF($EQ$3:$EZ$3,EV$60,$EQ$4:$EZ$4))=0,0,((SUMIF($EQ$3:$EZ$3,EV$60,$EQ147:$EZ147))/SUMIF($EQ$3:$EZ$3,EV$60,$EQ$4:$EZ$4)))</f>
        <v>0</v>
      </c>
      <c r="EW98" s="199" t="n">
        <f aca="false">IF((SUMIF($EQ$3:$EZ$3,EW$60,$EQ$4:$EZ$4))=0,0,((SUMIF($EQ$3:$EZ$3,EW$60,$EQ147:$EZ147))/SUMIF($EQ$3:$EZ$3,EW$60,$EQ$4:$EZ$4)))</f>
        <v>0</v>
      </c>
      <c r="EX98" s="199" t="n">
        <f aca="false">IF((SUMIF($EQ$3:$EZ$3,EX$60,$EQ$4:$EZ$4))=0,0,((SUMIF($EQ$3:$EZ$3,EX$60,$EQ147:$EZ147))/SUMIF($EQ$3:$EZ$3,EX$60,$EQ$4:$EZ$4)))</f>
        <v>0</v>
      </c>
      <c r="EY98" s="199" t="n">
        <f aca="false">IF((SUMIF($EQ$3:$EZ$3,EY$60,$EQ$4:$EZ$4))=0,0,((SUMIF($EQ$3:$EZ$3,EY$60,$EQ147:$EZ147))/SUMIF($EQ$3:$EZ$3,EY$60,$EQ$4:$EZ$4)))</f>
        <v>0</v>
      </c>
      <c r="EZ98" s="200" t="n">
        <f aca="false">IF((SUMIF($EQ$3:$EZ$3,EZ$60,$EQ$4:$EZ$4))=0,0,((SUMIF($EQ$3:$EZ$3,EZ$60,$EQ147:$EZ147))/SUMIF($EQ$3:$EZ$3,EZ$60,$EQ$4:$EZ$4)))</f>
        <v>0</v>
      </c>
      <c r="FA98" s="194" t="str">
        <f aca="false">EP98</f>
        <v>Alumno37</v>
      </c>
      <c r="FB98" s="198" t="n">
        <f aca="false">IF((SUMIF($FB$3:$FK$3,FB$60,$FB$4:$FK$4))=0,0,((SUMIF($FB$3:$FK$3,FB$60,$FB147:$FK147))/SUMIF($FB$3:$FK$3,FB$60,$FB$4:$FK$4)))</f>
        <v>0</v>
      </c>
      <c r="FC98" s="199" t="n">
        <f aca="false">IF((SUMIF($FB$3:$FK$3,FC$60,$FB$4:$FK$4))=0,0,((SUMIF($FB$3:$FK$3,FC$60,$FB147:$FK147))/SUMIF($FB$3:$FK$3,FC$60,$FB$4:$FK$4)))</f>
        <v>0</v>
      </c>
      <c r="FD98" s="199" t="n">
        <f aca="false">IF((SUMIF($FB$3:$FK$3,FD$60,$FB$4:$FK$4))=0,0,((SUMIF($FB$3:$FK$3,FD$60,$FB147:$FK147))/SUMIF($FB$3:$FK$3,FD$60,$FB$4:$FK$4)))</f>
        <v>0</v>
      </c>
      <c r="FE98" s="199" t="n">
        <f aca="false">IF((SUMIF($FB$3:$FK$3,FE$60,$FB$4:$FK$4))=0,0,((SUMIF($FB$3:$FK$3,FE$60,$FB147:$FK147))/SUMIF($FB$3:$FK$3,FE$60,$FB$4:$FK$4)))</f>
        <v>0</v>
      </c>
      <c r="FF98" s="199" t="n">
        <f aca="false">IF((SUMIF($FB$3:$FK$3,FF$60,$FB$4:$FK$4))=0,0,((SUMIF($FB$3:$FK$3,FF$60,$FB147:$FK147))/SUMIF($FB$3:$FK$3,FF$60,$FB$4:$FK$4)))</f>
        <v>0</v>
      </c>
      <c r="FG98" s="199" t="n">
        <f aca="false">IF((SUMIF($FB$3:$FK$3,FG$60,$FB$4:$FK$4))=0,0,((SUMIF($FB$3:$FK$3,FG$60,$FB147:$FK147))/SUMIF($FB$3:$FK$3,FG$60,$FB$4:$FK$4)))</f>
        <v>0</v>
      </c>
      <c r="FH98" s="199" t="n">
        <f aca="false">IF((SUMIF($FB$3:$FK$3,FH$60,$FB$4:$FK$4))=0,0,((SUMIF($FB$3:$FK$3,FH$60,$FB147:$FK147))/SUMIF($FB$3:$FK$3,FH$60,$FB$4:$FK$4)))</f>
        <v>0</v>
      </c>
      <c r="FI98" s="199" t="n">
        <f aca="false">IF((SUMIF($FB$3:$FK$3,FI$60,$FB$4:$FK$4))=0,0,((SUMIF($FB$3:$FK$3,FI$60,$FB147:$FK147))/SUMIF($FB$3:$FK$3,FI$60,$FB$4:$FK$4)))</f>
        <v>0</v>
      </c>
      <c r="FJ98" s="199" t="n">
        <f aca="false">IF((SUMIF($FB$3:$FK$3,FJ$60,$FB$4:$FK$4))=0,0,((SUMIF($FB$3:$FK$3,FJ$60,$FB147:$FK147))/SUMIF($FB$3:$FK$3,FJ$60,$FB$4:$FK$4)))</f>
        <v>0</v>
      </c>
      <c r="FK98" s="200" t="n">
        <f aca="false">IF((SUMIF($FB$3:$FK$3,FK$60,$FB$4:$FK$4))=0,0,((SUMIF($FB$3:$FK$3,FK$60,$FB147:$FK147))/SUMIF($FB$3:$FK$3,FK$60,$FB$4:$FK$4)))</f>
        <v>0</v>
      </c>
      <c r="FL98" s="194" t="str">
        <f aca="false">FA98</f>
        <v>Alumno37</v>
      </c>
      <c r="FM98" s="198" t="n">
        <f aca="false">IF((SUMIF($FM$3:$FV$3,FM$60,$FM$4:$FV$4))=0,0,((SUMIF($FM$3:$FV$3,FM$60,$FM147:$FV147))/SUMIF($FM$3:$FV$3,FM$60,$FM$4:$FV$4)))</f>
        <v>0</v>
      </c>
      <c r="FN98" s="199" t="n">
        <f aca="false">IF((SUMIF($FM$3:$FV$3,FN$60,$FM$4:$FV$4))=0,0,((SUMIF($FM$3:$FV$3,FN$60,$FM147:$FV147))/SUMIF($FM$3:$FV$3,FN$60,$FM$4:$FV$4)))</f>
        <v>0</v>
      </c>
      <c r="FO98" s="199" t="n">
        <f aca="false">IF((SUMIF($FM$3:$FV$3,FO$60,$FM$4:$FV$4))=0,0,((SUMIF($FM$3:$FV$3,FO$60,$FM147:$FV147))/SUMIF($FM$3:$FV$3,FO$60,$FM$4:$FV$4)))</f>
        <v>0</v>
      </c>
      <c r="FP98" s="199" t="n">
        <f aca="false">IF((SUMIF($FM$3:$FV$3,FP$60,$FM$4:$FV$4))=0,0,((SUMIF($FM$3:$FV$3,FP$60,$FM147:$FV147))/SUMIF($FM$3:$FV$3,FP$60,$FM$4:$FV$4)))</f>
        <v>0</v>
      </c>
      <c r="FQ98" s="199" t="n">
        <f aca="false">IF((SUMIF($FM$3:$FV$3,FQ$60,$FM$4:$FV$4))=0,0,((SUMIF($FM$3:$FV$3,FQ$60,$FM147:$FV147))/SUMIF($FM$3:$FV$3,FQ$60,$FM$4:$FV$4)))</f>
        <v>0</v>
      </c>
      <c r="FR98" s="199" t="n">
        <f aca="false">IF((SUMIF($FM$3:$FV$3,FR$60,$FM$4:$FV$4))=0,0,((SUMIF($FM$3:$FV$3,FR$60,$FM147:$FV147))/SUMIF($FM$3:$FV$3,FR$60,$FM$4:$FV$4)))</f>
        <v>0</v>
      </c>
      <c r="FS98" s="199" t="n">
        <f aca="false">IF((SUMIF($FM$3:$FV$3,FS$60,$FM$4:$FV$4))=0,0,((SUMIF($FM$3:$FV$3,FS$60,$FM147:$FV147))/SUMIF($FM$3:$FV$3,FS$60,$FM$4:$FV$4)))</f>
        <v>0</v>
      </c>
      <c r="FT98" s="199" t="n">
        <f aca="false">IF((SUMIF($FM$3:$FV$3,FT$60,$FM$4:$FV$4))=0,0,((SUMIF($FM$3:$FV$3,FT$60,$FM147:$FV147))/SUMIF($FM$3:$FV$3,FT$60,$FM$4:$FV$4)))</f>
        <v>0</v>
      </c>
      <c r="FU98" s="199" t="n">
        <f aca="false">IF((SUMIF($FM$3:$FV$3,FU$60,$FM$4:$FV$4))=0,0,((SUMIF($FM$3:$FV$3,FU$60,$FM147:$FV147))/SUMIF($FM$3:$FV$3,FU$60,$FM$4:$FV$4)))</f>
        <v>0</v>
      </c>
      <c r="FV98" s="200" t="n">
        <f aca="false">IF((SUMIF($FM$3:$FV$3,FV$60,$FM$4:$FV$4))=0,0,((SUMIF($FM$3:$FV$3,FV$60,$FM147:$FV147))/SUMIF($FM$3:$FV$3,FV$60,$FM$4:$FV$4)))</f>
        <v>0</v>
      </c>
      <c r="FW98" s="194" t="str">
        <f aca="false">FL98</f>
        <v>Alumno37</v>
      </c>
      <c r="FX98" s="198" t="n">
        <f aca="false">IF((SUMIF($FX$3:$GG$3,FX$60,$FX$4:$GG$4))=0,0,((SUMIF($FX$3:$GG$3,FX$60,$FX147:$GG147))/SUMIF($FX$3:$GG$3,FX$60,$FX$4:$GG$4)))</f>
        <v>0</v>
      </c>
      <c r="FY98" s="199" t="n">
        <f aca="false">IF((SUMIF($FX$3:$GG$3,FY$60,$FX$4:$GG$4))=0,0,((SUMIF($FX$3:$GG$3,FY$60,$FX147:$GG147))/SUMIF($FX$3:$GG$3,FY$60,$FX$4:$GG$4)))</f>
        <v>0</v>
      </c>
      <c r="FZ98" s="199" t="n">
        <f aca="false">IF((SUMIF($FX$3:$GG$3,FZ$60,$FX$4:$GG$4))=0,0,((SUMIF($FX$3:$GG$3,FZ$60,$FX147:$GG147))/SUMIF($FX$3:$GG$3,FZ$60,$FX$4:$GG$4)))</f>
        <v>0</v>
      </c>
      <c r="GA98" s="199" t="n">
        <f aca="false">IF((SUMIF($FX$3:$GG$3,GA$60,$FX$4:$GG$4))=0,0,((SUMIF($FX$3:$GG$3,GA$60,$FX147:$GG147))/SUMIF($FX$3:$GG$3,GA$60,$FX$4:$GG$4)))</f>
        <v>0</v>
      </c>
      <c r="GB98" s="199" t="n">
        <f aca="false">IF((SUMIF($FX$3:$GG$3,GB$60,$FX$4:$GG$4))=0,0,((SUMIF($FX$3:$GG$3,GB$60,$FX147:$GG147))/SUMIF($FX$3:$GG$3,GB$60,$FX$4:$GG$4)))</f>
        <v>0</v>
      </c>
      <c r="GC98" s="199" t="n">
        <f aca="false">IF((SUMIF($FX$3:$GG$3,GC$60,$FX$4:$GG$4))=0,0,((SUMIF($FX$3:$GG$3,GC$60,$FX147:$GG147))/SUMIF($FX$3:$GG$3,GC$60,$FX$4:$GG$4)))</f>
        <v>0</v>
      </c>
      <c r="GD98" s="199" t="n">
        <f aca="false">IF((SUMIF($FX$3:$GG$3,GD$60,$FX$4:$GG$4))=0,0,((SUMIF($FX$3:$GG$3,GD$60,$FX147:$GG147))/SUMIF($FX$3:$GG$3,GD$60,$FX$4:$GG$4)))</f>
        <v>0</v>
      </c>
      <c r="GE98" s="199" t="n">
        <f aca="false">IF((SUMIF($FX$3:$GG$3,GE$60,$FX$4:$GG$4))=0,0,((SUMIF($FX$3:$GG$3,GE$60,$FX147:$GG147))/SUMIF($FX$3:$GG$3,GE$60,$FX$4:$GG$4)))</f>
        <v>0</v>
      </c>
      <c r="GF98" s="199" t="n">
        <f aca="false">IF((SUMIF($FX$3:$GG$3,GF$60,$FX$4:$GG$4))=0,0,((SUMIF($FX$3:$GG$3,GF$60,$FX147:$GG147))/SUMIF($FX$3:$GG$3,GF$60,$FX$4:$GG$4)))</f>
        <v>0</v>
      </c>
      <c r="GG98" s="200" t="n">
        <f aca="false">IF((SUMIF($FX$3:$GG$3,GG$60,$FX$4:$GG$4))=0,0,((SUMIF($FX$3:$GG$3,GG$60,$FX147:$GG147))/SUMIF($FX$3:$GG$3,GG$60,$FX$4:$GG$4)))</f>
        <v>0</v>
      </c>
      <c r="GH98" s="194" t="str">
        <f aca="false">FW98</f>
        <v>Alumno37</v>
      </c>
      <c r="GI98" s="198" t="n">
        <f aca="false">IF((SUMIF($GI$3:$GR$3,GI$60,$GI$4:$GR$4))=0,0,((SUMIF($GI$3:$GR$3,GI$60,$GI147:$GR147))/SUMIF($GI$3:$GR$3,GI$60,$GI$4:$GR$4)))</f>
        <v>0</v>
      </c>
      <c r="GJ98" s="199" t="n">
        <f aca="false">IF((SUMIF($GI$3:$GR$3,GJ$60,$GI$4:$GR$4))=0,0,((SUMIF($GI$3:$GR$3,GJ$60,$GI147:$GR147))/SUMIF($GI$3:$GR$3,GJ$60,$GI$4:$GR$4)))</f>
        <v>0</v>
      </c>
      <c r="GK98" s="199" t="n">
        <f aca="false">IF((SUMIF($GI$3:$GR$3,GK$60,$GI$4:$GR$4))=0,0,((SUMIF($GI$3:$GR$3,GK$60,$GI147:$GR147))/SUMIF($GI$3:$GR$3,GK$60,$GI$4:$GR$4)))</f>
        <v>0</v>
      </c>
      <c r="GL98" s="199" t="n">
        <f aca="false">IF((SUMIF($GI$3:$GR$3,GL$60,$GI$4:$GR$4))=0,0,((SUMIF($GI$3:$GR$3,GL$60,$GI147:$GR147))/SUMIF($GI$3:$GR$3,GL$60,$GI$4:$GR$4)))</f>
        <v>0</v>
      </c>
      <c r="GM98" s="199" t="n">
        <f aca="false">IF((SUMIF($GI$3:$GR$3,GM$60,$GI$4:$GR$4))=0,0,((SUMIF($GI$3:$GR$3,GM$60,$GI147:$GR147))/SUMIF($GI$3:$GR$3,GM$60,$GI$4:$GR$4)))</f>
        <v>0</v>
      </c>
      <c r="GN98" s="199" t="n">
        <f aca="false">IF((SUMIF($GI$3:$GR$3,GN$60,$GI$4:$GR$4))=0,0,((SUMIF($GI$3:$GR$3,GN$60,$GI147:$GR147))/SUMIF($GI$3:$GR$3,GN$60,$GI$4:$GR$4)))</f>
        <v>0</v>
      </c>
      <c r="GO98" s="199" t="n">
        <f aca="false">IF((SUMIF($GI$3:$GR$3,GO$60,$GI$4:$GR$4))=0,0,((SUMIF($GI$3:$GR$3,GO$60,$GI147:$GR147))/SUMIF($GI$3:$GR$3,GO$60,$GI$4:$GR$4)))</f>
        <v>0</v>
      </c>
      <c r="GP98" s="199" t="n">
        <f aca="false">IF((SUMIF($GI$3:$GR$3,GP$60,$GI$4:$GR$4))=0,0,((SUMIF($GI$3:$GR$3,GP$60,$GI147:$GR147))/SUMIF($GI$3:$GR$3,GP$60,$GI$4:$GR$4)))</f>
        <v>0</v>
      </c>
      <c r="GQ98" s="199" t="n">
        <f aca="false">IF((SUMIF($GI$3:$GR$3,GQ$60,$GI$4:$GR$4))=0,0,((SUMIF($GI$3:$GR$3,GQ$60,$GI147:$GR147))/SUMIF($GI$3:$GR$3,GQ$60,$GI$4:$GR$4)))</f>
        <v>0</v>
      </c>
      <c r="GR98" s="200" t="n">
        <f aca="false">IF((SUMIF($GI$3:$GR$3,GR$60,$GI$4:$GR$4))=0,0,((SUMIF($GI$3:$GR$3,GR$60,$GI147:$GR147))/SUMIF($GI$3:$GR$3,GR$60,$GI$4:$GR$4)))</f>
        <v>0</v>
      </c>
      <c r="GS98" s="194" t="str">
        <f aca="false">GH98</f>
        <v>Alumno37</v>
      </c>
      <c r="GT98" s="198" t="n">
        <f aca="false">IF((SUMIF($GT$3:$HC$3,GT$60,$GT$4:$HC$4))=0,0,((SUMIF($GT$3:$HC$3,GT$60,$GT147:$HC147))/SUMIF($GT$3:$HC$3,GT$60,$GT$4:$HC$4)))</f>
        <v>0</v>
      </c>
      <c r="GU98" s="199" t="n">
        <f aca="false">IF((SUMIF($GT$3:$HC$3,GU$60,$GT$4:$HC$4))=0,0,((SUMIF($GT$3:$HC$3,GU$60,$GT147:$HC147))/SUMIF($GT$3:$HC$3,GU$60,$GT$4:$HC$4)))</f>
        <v>0</v>
      </c>
      <c r="GV98" s="199" t="n">
        <f aca="false">IF((SUMIF($GT$3:$HC$3,GV$60,$GT$4:$HC$4))=0,0,((SUMIF($GT$3:$HC$3,GV$60,$GT147:$HC147))/SUMIF($GT$3:$HC$3,GV$60,$GT$4:$HC$4)))</f>
        <v>0</v>
      </c>
      <c r="GW98" s="199" t="n">
        <f aca="false">IF((SUMIF($GT$3:$HC$3,GW$60,$GT$4:$HC$4))=0,0,((SUMIF($GT$3:$HC$3,GW$60,$GT147:$HC147))/SUMIF($GT$3:$HC$3,GW$60,$GT$4:$HC$4)))</f>
        <v>0</v>
      </c>
      <c r="GX98" s="199" t="n">
        <f aca="false">IF((SUMIF($GT$3:$HC$3,GX$60,$GT$4:$HC$4))=0,0,((SUMIF($GT$3:$HC$3,GX$60,$GT147:$HC147))/SUMIF($GT$3:$HC$3,GX$60,$GT$4:$HC$4)))</f>
        <v>0</v>
      </c>
      <c r="GY98" s="199" t="n">
        <f aca="false">IF((SUMIF($GT$3:$HC$3,GY$60,$GT$4:$HC$4))=0,0,((SUMIF($GT$3:$HC$3,GY$60,$GT147:$HC147))/SUMIF($GT$3:$HC$3,GY$60,$GT$4:$HC$4)))</f>
        <v>0</v>
      </c>
      <c r="GZ98" s="199" t="n">
        <f aca="false">IF((SUMIF($GT$3:$HC$3,GZ$60,$GT$4:$HC$4))=0,0,((SUMIF($GT$3:$HC$3,GZ$60,$GT147:$HC147))/SUMIF($GT$3:$HC$3,GZ$60,$GT$4:$HC$4)))</f>
        <v>0</v>
      </c>
      <c r="HA98" s="199" t="n">
        <f aca="false">IF((SUMIF($GT$3:$HC$3,HA$60,$GT$4:$HC$4))=0,0,((SUMIF($GT$3:$HC$3,HA$60,$GT147:$HC147))/SUMIF($GT$3:$HC$3,HA$60,$GT$4:$HC$4)))</f>
        <v>0</v>
      </c>
      <c r="HB98" s="199" t="n">
        <f aca="false">IF((SUMIF($GT$3:$HC$3,HB$60,$GT$4:$HC$4))=0,0,((SUMIF($GT$3:$HC$3,HB$60,$GT147:$HC147))/SUMIF($GT$3:$HC$3,HB$60,$GT$4:$HC$4)))</f>
        <v>0</v>
      </c>
      <c r="HC98" s="200" t="n">
        <f aca="false">IF((SUMIF($GT$3:$HC$3,HC$60,$GT$4:$HC$4))=0,0,((SUMIF($GT$3:$HC$3,HC$60,$GT147:$HC147))/SUMIF($GT$3:$HC$3,HC$60,$GT$4:$HC$4)))</f>
        <v>0</v>
      </c>
      <c r="HD98" s="194" t="str">
        <f aca="false">GS98</f>
        <v>Alumno37</v>
      </c>
      <c r="HE98" s="198" t="n">
        <f aca="false">IF((SUMIF($HE$3:$HN$3,HE$60,$HE$4:$HN$4))=0,0,((SUMIF($HE$3:$HN$3,HE$60,$HE147:$HN147))/SUMIF($HE$3:$HN$3,HE$60,$HE$4:$HN$4)))</f>
        <v>0</v>
      </c>
      <c r="HF98" s="199" t="n">
        <f aca="false">IF((SUMIF($HE$3:$HN$3,HF$60,$HE$4:$HN$4))=0,0,((SUMIF($HE$3:$HN$3,HF$60,$HE147:$HN147))/SUMIF($HE$3:$HN$3,HF$60,$HE$4:$HN$4)))</f>
        <v>0</v>
      </c>
      <c r="HG98" s="199" t="n">
        <f aca="false">IF((SUMIF($HE$3:$HN$3,HG$60,$HE$4:$HN$4))=0,0,((SUMIF($HE$3:$HN$3,HG$60,$HE147:$HN147))/SUMIF($HE$3:$HN$3,HG$60,$HE$4:$HN$4)))</f>
        <v>0</v>
      </c>
      <c r="HH98" s="199" t="n">
        <f aca="false">IF((SUMIF($HE$3:$HN$3,HH$60,$HE$4:$HN$4))=0,0,((SUMIF($HE$3:$HN$3,HH$60,$HE147:$HN147))/SUMIF($HE$3:$HN$3,HH$60,$HE$4:$HN$4)))</f>
        <v>0</v>
      </c>
      <c r="HI98" s="199" t="n">
        <f aca="false">IF((SUMIF($HE$3:$HN$3,HI$60,$HE$4:$HN$4))=0,0,((SUMIF($HE$3:$HN$3,HI$60,$HE147:$HN147))/SUMIF($HE$3:$HN$3,HI$60,$HE$4:$HN$4)))</f>
        <v>0</v>
      </c>
      <c r="HJ98" s="199" t="n">
        <f aca="false">IF((SUMIF($HE$3:$HN$3,HJ$60,$HE$4:$HN$4))=0,0,((SUMIF($HE$3:$HN$3,HJ$60,$HE147:$HN147))/SUMIF($HE$3:$HN$3,HJ$60,$HE$4:$HN$4)))</f>
        <v>0</v>
      </c>
      <c r="HK98" s="199" t="n">
        <f aca="false">IF((SUMIF($HE$3:$HN$3,HK$60,$HE$4:$HN$4))=0,0,((SUMIF($HE$3:$HN$3,HK$60,$HE147:$HN147))/SUMIF($HE$3:$HN$3,HK$60,$HE$4:$HN$4)))</f>
        <v>0</v>
      </c>
      <c r="HL98" s="199" t="n">
        <f aca="false">IF((SUMIF($HE$3:$HN$3,HL$60,$HE$4:$HN$4))=0,0,((SUMIF($HE$3:$HN$3,HL$60,$HE147:$HN147))/SUMIF($HE$3:$HN$3,HL$60,$HE$4:$HN$4)))</f>
        <v>0</v>
      </c>
      <c r="HM98" s="199" t="n">
        <f aca="false">IF((SUMIF($HE$3:$HN$3,HM$60,$HE$4:$HN$4))=0,0,((SUMIF($HE$3:$HN$3,HM$60,$HE147:$HN147))/SUMIF($HE$3:$HN$3,HM$60,$HE$4:$HN$4)))</f>
        <v>0</v>
      </c>
      <c r="HN98" s="200" t="n">
        <f aca="false">IF((SUMIF($HE$3:$HN$3,HN$60,$HE$4:$HN$4))=0,0,((SUMIF($HE$3:$HN$3,HN$60,$HE147:$HN147))/SUMIF($HE$3:$HN$3,HN$60,$HE$4:$HN$4)))</f>
        <v>0</v>
      </c>
      <c r="HO98" s="194" t="str">
        <f aca="false">HD98</f>
        <v>Alumno37</v>
      </c>
      <c r="HP98" s="198" t="n">
        <f aca="false">IF((SUMIF($HP$3:$HY$3,HP$60,$HP$4:$HY$4))=0,0,((SUMIF($HP$3:$HY$3,HP$60,$HP147:$HY147))/SUMIF($HP$3:$HY$3,HP$60,$HP$4:$HY$4)))</f>
        <v>0</v>
      </c>
      <c r="HQ98" s="199" t="n">
        <f aca="false">IF((SUMIF($HP$3:$HY$3,HQ$60,$HP$4:$HY$4))=0,0,((SUMIF($HP$3:$HY$3,HQ$60,$HP147:$HY147))/SUMIF($HP$3:$HY$3,HQ$60,$HP$4:$HY$4)))</f>
        <v>0</v>
      </c>
      <c r="HR98" s="199" t="n">
        <f aca="false">IF((SUMIF($HP$3:$HY$3,HR$60,$HP$4:$HY$4))=0,0,((SUMIF($HP$3:$HY$3,HR$60,$HP147:$HY147))/SUMIF($HP$3:$HY$3,HR$60,$HP$4:$HY$4)))</f>
        <v>0</v>
      </c>
      <c r="HS98" s="199" t="n">
        <f aca="false">IF((SUMIF($HP$3:$HY$3,HS$60,$HP$4:$HY$4))=0,0,((SUMIF($HP$3:$HY$3,HS$60,$HP147:$HY147))/SUMIF($HP$3:$HY$3,HS$60,$HP$4:$HY$4)))</f>
        <v>0</v>
      </c>
      <c r="HT98" s="199" t="n">
        <f aca="false">IF((SUMIF($HP$3:$HY$3,HT$60,$HP$4:$HY$4))=0,0,((SUMIF($HP$3:$HY$3,HT$60,$HP147:$HY147))/SUMIF($HP$3:$HY$3,HT$60,$HP$4:$HY$4)))</f>
        <v>0</v>
      </c>
      <c r="HU98" s="199" t="n">
        <f aca="false">IF((SUMIF($HP$3:$HY$3,HU$60,$HP$4:$HY$4))=0,0,((SUMIF($HP$3:$HY$3,HU$60,$HP147:$HY147))/SUMIF($HP$3:$HY$3,HU$60,$HP$4:$HY$4)))</f>
        <v>0</v>
      </c>
      <c r="HV98" s="199" t="n">
        <f aca="false">IF((SUMIF($HP$3:$HY$3,HV$60,$HP$4:$HY$4))=0,0,((SUMIF($HP$3:$HY$3,HV$60,$HP147:$HY147))/SUMIF($HP$3:$HY$3,HV$60,$HP$4:$HY$4)))</f>
        <v>0</v>
      </c>
      <c r="HW98" s="199" t="n">
        <f aca="false">IF((SUMIF($HP$3:$HY$3,HW$60,$HP$4:$HY$4))=0,0,((SUMIF($HP$3:$HY$3,HW$60,$HP147:$HY147))/SUMIF($HP$3:$HY$3,HW$60,$HP$4:$HY$4)))</f>
        <v>0</v>
      </c>
      <c r="HX98" s="199" t="n">
        <f aca="false">IF((SUMIF($HP$3:$HY$3,HX$60,$HP$4:$HY$4))=0,0,((SUMIF($HP$3:$HY$3,HX$60,$HP147:$HY147))/SUMIF($HP$3:$HY$3,HX$60,$HP$4:$HY$4)))</f>
        <v>0</v>
      </c>
      <c r="HY98" s="200" t="n">
        <f aca="false">IF((SUMIF($HP$3:$HY$3,HY$60,$HP$4:$HY$4))=0,0,((SUMIF($HP$3:$HY$3,HY$60,$HP147:$HY147))/SUMIF($HP$3:$HY$3,HY$60,$HP$4:$HY$4)))</f>
        <v>0</v>
      </c>
      <c r="HZ98" s="194" t="str">
        <f aca="false">HO98</f>
        <v>Alumno37</v>
      </c>
      <c r="IA98" s="198" t="n">
        <f aca="false">IF((SUMIF($IA$3:$IJ$3,IA$60,$IA$4:$IJ$4))=0,0,((SUMIF($IA$3:$IJ$3,IA$60,$IA147:$IJ147))/SUMIF($IA$3:$IJ$3,IA$60,$IA$4:$IJ$4)))</f>
        <v>0</v>
      </c>
      <c r="IB98" s="199" t="n">
        <f aca="false">IF((SUMIF($IA$3:$IJ$3,IB$60,$IA$4:$IJ$4))=0,0,((SUMIF($IA$3:$IJ$3,IB$60,$IA147:$IJ147))/SUMIF($IA$3:$IJ$3,IB$60,$IA$4:$IJ$4)))</f>
        <v>0</v>
      </c>
      <c r="IC98" s="199" t="n">
        <f aca="false">IF((SUMIF($IA$3:$IJ$3,IC$60,$IA$4:$IJ$4))=0,0,((SUMIF($IA$3:$IJ$3,IC$60,$IA147:$IJ147))/SUMIF($IA$3:$IJ$3,IC$60,$IA$4:$IJ$4)))</f>
        <v>0</v>
      </c>
      <c r="ID98" s="199" t="n">
        <f aca="false">IF((SUMIF($IA$3:$IJ$3,ID$60,$IA$4:$IJ$4))=0,0,((SUMIF($IA$3:$IJ$3,ID$60,$IA147:$IJ147))/SUMIF($IA$3:$IJ$3,ID$60,$IA$4:$IJ$4)))</f>
        <v>0</v>
      </c>
      <c r="IE98" s="199" t="n">
        <f aca="false">IF((SUMIF($IA$3:$IJ$3,IE$60,$IA$4:$IJ$4))=0,0,((SUMIF($IA$3:$IJ$3,IE$60,$IA147:$IJ147))/SUMIF($IA$3:$IJ$3,IE$60,$IA$4:$IJ$4)))</f>
        <v>0</v>
      </c>
      <c r="IF98" s="199" t="n">
        <f aca="false">IF((SUMIF($IA$3:$IJ$3,IF$60,$IA$4:$IJ$4))=0,0,((SUMIF($IA$3:$IJ$3,IF$60,$IA147:$IJ147))/SUMIF($IA$3:$IJ$3,IF$60,$IA$4:$IJ$4)))</f>
        <v>0</v>
      </c>
      <c r="IG98" s="199" t="n">
        <f aca="false">IF((SUMIF($IA$3:$IJ$3,IG$60,$IA$4:$IJ$4))=0,0,((SUMIF($IA$3:$IJ$3,IG$60,$IA147:$IJ147))/SUMIF($IA$3:$IJ$3,IG$60,$IA$4:$IJ$4)))</f>
        <v>0</v>
      </c>
      <c r="IH98" s="199" t="n">
        <f aca="false">IF((SUMIF($IA$3:$IJ$3,IH$60,$IA$4:$IJ$4))=0,0,((SUMIF($IA$3:$IJ$3,IH$60,$IA147:$IJ147))/SUMIF($IA$3:$IJ$3,IH$60,$IA$4:$IJ$4)))</f>
        <v>0</v>
      </c>
      <c r="II98" s="199" t="n">
        <f aca="false">IF((SUMIF($IA$3:$IJ$3,II$60,$IA$4:$IJ$4))=0,0,((SUMIF($IA$3:$IJ$3,II$60,$IA147:$IJ147))/SUMIF($IA$3:$IJ$3,II$60,$IA$4:$IJ$4)))</f>
        <v>0</v>
      </c>
      <c r="IJ98" s="200" t="n">
        <f aca="false">IF((SUMIF($IA$3:$IJ$3,IJ$60,$IA$4:$IJ$4))=0,0,((SUMIF($IA$3:$IJ$3,IJ$60,$IA147:$IJ147))/SUMIF($IA$3:$IJ$3,IJ$60,$IA$4:$IJ$4)))</f>
        <v>0</v>
      </c>
      <c r="IK98" s="194" t="str">
        <f aca="false">HZ98</f>
        <v>Alumno37</v>
      </c>
      <c r="IL98" s="198" t="n">
        <f aca="false">IF((SUMIF($IL$3:$IU$3,IL$60,$IL$4:$IU$4))=0,0,((SUMIF($IL$3:$IU$3,IL$60,$IL147:$IU147))/SUMIF($IL$3:$IU$3,IL$60,$IL$4:$IU$4)))</f>
        <v>0</v>
      </c>
      <c r="IM98" s="199" t="n">
        <f aca="false">IF((SUMIF($IL$3:$IU$3,IM$60,$IL$4:$IU$4))=0,0,((SUMIF($IL$3:$IU$3,IM$60,$IL147:$IU147))/SUMIF($IL$3:$IU$3,IM$60,$IL$4:$IU$4)))</f>
        <v>0</v>
      </c>
      <c r="IN98" s="199" t="n">
        <f aca="false">IF((SUMIF($IL$3:$IU$3,IN$60,$IL$4:$IU$4))=0,0,((SUMIF($IL$3:$IU$3,IN$60,$IL147:$IU147))/SUMIF($IL$3:$IU$3,IN$60,$IL$4:$IU$4)))</f>
        <v>0</v>
      </c>
      <c r="IO98" s="199" t="n">
        <f aca="false">IF((SUMIF($IL$3:$IU$3,IO$60,$IL$4:$IU$4))=0,0,((SUMIF($IL$3:$IU$3,IO$60,$IL147:$IU147))/SUMIF($IL$3:$IU$3,IO$60,$IL$4:$IU$4)))</f>
        <v>0</v>
      </c>
      <c r="IP98" s="199" t="n">
        <f aca="false">IF((SUMIF($IL$3:$IU$3,IP$60,$IL$4:$IU$4))=0,0,((SUMIF($IL$3:$IU$3,IP$60,$IL147:$IU147))/SUMIF($IL$3:$IU$3,IP$60,$IL$4:$IU$4)))</f>
        <v>0</v>
      </c>
      <c r="IQ98" s="199" t="n">
        <f aca="false">IF((SUMIF($IL$3:$IU$3,IQ$60,$IL$4:$IU$4))=0,0,((SUMIF($IL$3:$IU$3,IQ$60,$IL147:$IU147))/SUMIF($IL$3:$IU$3,IQ$60,$IL$4:$IU$4)))</f>
        <v>0</v>
      </c>
      <c r="IR98" s="199" t="n">
        <f aca="false">IF((SUMIF($IL$3:$IU$3,IR$60,$IL$4:$IU$4))=0,0,((SUMIF($IL$3:$IU$3,IR$60,$IL147:$IU147))/SUMIF($IL$3:$IU$3,IR$60,$IL$4:$IU$4)))</f>
        <v>0</v>
      </c>
      <c r="IS98" s="199" t="n">
        <f aca="false">IF((SUMIF($IL$3:$IU$3,IS$60,$IL$4:$IU$4))=0,0,((SUMIF($IL$3:$IU$3,IS$60,$IL147:$IU147))/SUMIF($IL$3:$IU$3,IS$60,$IL$4:$IU$4)))</f>
        <v>0</v>
      </c>
      <c r="IT98" s="199" t="n">
        <f aca="false">IF((SUMIF($IL$3:$IU$3,IT$60,$IL$4:$IU$4))=0,0,((SUMIF($IL$3:$IU$3,IT$60,$IL147:$IU147))/SUMIF($IL$3:$IU$3,IT$60,$IL$4:$IU$4)))</f>
        <v>0</v>
      </c>
      <c r="IU98" s="200" t="n">
        <f aca="false">IF((SUMIF($IL$3:$IU$3,IU$60,$IL$4:$IU$4))=0,0,((SUMIF($IL$3:$IU$3,IU$60,$IL147:$IU147))/SUMIF($IL$3:$IU$3,IU$60,$IL$4:$IU$4)))</f>
        <v>0</v>
      </c>
      <c r="IV98" s="194" t="str">
        <f aca="false">IK98</f>
        <v>Alumno37</v>
      </c>
      <c r="IW98" s="198" t="n">
        <f aca="false">IF((SUMIF($IW$3:$JF$3,IW$60,$IW$4:$JF$4))=0,0,((SUMIF($IW$3:$JF$3,IW$60,$IW147:$JF147))/SUMIF($IW$3:$JF$3,IW$60,$IW$4:$JF$4)))</f>
        <v>0</v>
      </c>
      <c r="IX98" s="199" t="n">
        <f aca="false">IF((SUMIF($IW$3:$JF$3,IX$60,$IW$4:$JF$4))=0,0,((SUMIF($IW$3:$JF$3,IX$60,$IW147:$JF147))/SUMIF($IW$3:$JF$3,IX$60,$IW$4:$JF$4)))</f>
        <v>0</v>
      </c>
      <c r="IY98" s="199" t="n">
        <f aca="false">IF((SUMIF($IW$3:$JF$3,IY$60,$IW$4:$JF$4))=0,0,((SUMIF($IW$3:$JF$3,IY$60,$IW147:$JF147))/SUMIF($IW$3:$JF$3,IY$60,$IW$4:$JF$4)))</f>
        <v>0</v>
      </c>
      <c r="IZ98" s="199" t="n">
        <f aca="false">IF((SUMIF($IW$3:$JF$3,IZ$60,$IW$4:$JF$4))=0,0,((SUMIF($IW$3:$JF$3,IZ$60,$IW147:$JF147))/SUMIF($IW$3:$JF$3,IZ$60,$IW$4:$JF$4)))</f>
        <v>0</v>
      </c>
      <c r="JA98" s="199" t="n">
        <f aca="false">IF((SUMIF($IW$3:$JF$3,JA$60,$IW$4:$JF$4))=0,0,((SUMIF($IW$3:$JF$3,JA$60,$IW147:$JF147))/SUMIF($IW$3:$JF$3,JA$60,$IW$4:$JF$4)))</f>
        <v>0</v>
      </c>
      <c r="JB98" s="199" t="n">
        <f aca="false">IF((SUMIF($IW$3:$JF$3,JB$60,$IW$4:$JF$4))=0,0,((SUMIF($IW$3:$JF$3,JB$60,$IW147:$JF147))/SUMIF($IW$3:$JF$3,JB$60,$IW$4:$JF$4)))</f>
        <v>0</v>
      </c>
      <c r="JC98" s="199" t="n">
        <f aca="false">IF((SUMIF($IW$3:$JF$3,JC$60,$IW$4:$JF$4))=0,0,((SUMIF($IW$3:$JF$3,JC$60,$IW147:$JF147))/SUMIF($IW$3:$JF$3,JC$60,$IW$4:$JF$4)))</f>
        <v>0</v>
      </c>
      <c r="JD98" s="199" t="n">
        <f aca="false">IF((SUMIF($IW$3:$JF$3,JD$60,$IW$4:$JF$4))=0,0,((SUMIF($IW$3:$JF$3,JD$60,$IW147:$JF147))/SUMIF($IW$3:$JF$3,JD$60,$IW$4:$JF$4)))</f>
        <v>0</v>
      </c>
      <c r="JE98" s="199" t="n">
        <f aca="false">IF((SUMIF($IW$3:$JF$3,JE$60,$IW$4:$JF$4))=0,0,((SUMIF($IW$3:$JF$3,JE$60,$IW147:$JF147))/SUMIF($IW$3:$JF$3,JE$60,$IW$4:$JF$4)))</f>
        <v>0</v>
      </c>
      <c r="JF98" s="200" t="n">
        <f aca="false">IF((SUMIF($IW$3:$JF$3,JF$60,$IW$4:$JF$4))=0,0,((SUMIF($IW$3:$JF$3,JF$60,$IW147:$JF147))/SUMIF($IW$3:$JF$3,JF$60,$IW$4:$JF$4)))</f>
        <v>0</v>
      </c>
      <c r="JG98" s="194" t="str">
        <f aca="false">IV98</f>
        <v>Alumno37</v>
      </c>
      <c r="JH98" s="198" t="n">
        <f aca="false">IF((SUMIF($JH$3:$JQ$3,JH$60,$JH$4:$JQ$4))=0,0,((SUMIF($JH$3:$JQ$3,JH$60,$JH147:$JQ147))/SUMIF($JH$3:$JQ$3,JH$60,$JH$4:$JQ$4)))</f>
        <v>0</v>
      </c>
      <c r="JI98" s="199" t="n">
        <f aca="false">IF((SUMIF($JH$3:$JQ$3,JI$60,$JH$4:$JQ$4))=0,0,((SUMIF($JH$3:$JQ$3,JI$60,$JH147:$JQ147))/SUMIF($JH$3:$JQ$3,JI$60,$JH$4:$JQ$4)))</f>
        <v>0</v>
      </c>
      <c r="JJ98" s="199" t="n">
        <f aca="false">IF((SUMIF($JH$3:$JQ$3,JJ$60,$JH$4:$JQ$4))=0,0,((SUMIF($JH$3:$JQ$3,JJ$60,$JH147:$JQ147))/SUMIF($JH$3:$JQ$3,JJ$60,$JH$4:$JQ$4)))</f>
        <v>0</v>
      </c>
      <c r="JK98" s="199" t="n">
        <f aca="false">IF((SUMIF($JH$3:$JQ$3,JK$60,$JH$4:$JQ$4))=0,0,((SUMIF($JH$3:$JQ$3,JK$60,$JH147:$JQ147))/SUMIF($JH$3:$JQ$3,JK$60,$JH$4:$JQ$4)))</f>
        <v>0</v>
      </c>
      <c r="JL98" s="199" t="n">
        <f aca="false">IF((SUMIF($JH$3:$JQ$3,JL$60,$JH$4:$JQ$4))=0,0,((SUMIF($JH$3:$JQ$3,JL$60,$JH147:$JQ147))/SUMIF($JH$3:$JQ$3,JL$60,$JH$4:$JQ$4)))</f>
        <v>0</v>
      </c>
      <c r="JM98" s="199" t="n">
        <f aca="false">IF((SUMIF($JH$3:$JQ$3,JM$60,$JH$4:$JQ$4))=0,0,((SUMIF($JH$3:$JQ$3,JM$60,$JH147:$JQ147))/SUMIF($JH$3:$JQ$3,JM$60,$JH$4:$JQ$4)))</f>
        <v>0</v>
      </c>
      <c r="JN98" s="199" t="n">
        <f aca="false">IF((SUMIF($JH$3:$JQ$3,JN$60,$JH$4:$JQ$4))=0,0,((SUMIF($JH$3:$JQ$3,JN$60,$JH147:$JQ147))/SUMIF($JH$3:$JQ$3,JN$60,$JH$4:$JQ$4)))</f>
        <v>0</v>
      </c>
      <c r="JO98" s="199" t="n">
        <f aca="false">IF((SUMIF($JH$3:$JQ$3,JO$60,$JH$4:$JQ$4))=0,0,((SUMIF($JH$3:$JQ$3,JO$60,$JH147:$JQ147))/SUMIF($JH$3:$JQ$3,JO$60,$JH$4:$JQ$4)))</f>
        <v>0</v>
      </c>
      <c r="JP98" s="199" t="n">
        <f aca="false">IF((SUMIF($JH$3:$JQ$3,JP$60,$JH$4:$JQ$4))=0,0,((SUMIF($JH$3:$JQ$3,JP$60,$JH147:$JQ147))/SUMIF($JH$3:$JQ$3,JP$60,$JH$4:$JQ$4)))</f>
        <v>0</v>
      </c>
      <c r="JQ98" s="200" t="n">
        <f aca="false">IF((SUMIF($JH$3:$JQ$3,JQ$60,$JH$4:$JQ$4))=0,0,((SUMIF($JH$3:$JQ$3,JQ$60,$JH147:$JQ147))/SUMIF($JH$3:$JQ$3,JQ$60,$JH$4:$JQ$4)))</f>
        <v>0</v>
      </c>
      <c r="JR98" s="194" t="str">
        <f aca="false">JG98</f>
        <v>Alumno37</v>
      </c>
      <c r="JS98" s="198" t="n">
        <f aca="false">IF((SUMIF($JS$3:$KB$3,JS$60,$JS$4:$KB$4))=0,0,((SUMIF($JS$3:$KB$3,JS$60,$JS147:$KB147))/SUMIF($JS$3:$KB$3,JS$60,$JS$4:$KB$4)))</f>
        <v>0</v>
      </c>
      <c r="JT98" s="199" t="n">
        <f aca="false">IF((SUMIF($JS$3:$KB$3,JT$60,$JS$4:$KB$4))=0,0,((SUMIF($JS$3:$KB$3,JT$60,$JS147:$KB147))/SUMIF($JS$3:$KB$3,JT$60,$JS$4:$KB$4)))</f>
        <v>0</v>
      </c>
      <c r="JU98" s="199" t="n">
        <f aca="false">IF((SUMIF($JS$3:$KB$3,JU$60,$JS$4:$KB$4))=0,0,((SUMIF($JS$3:$KB$3,JU$60,$JS147:$KB147))/SUMIF($JS$3:$KB$3,JU$60,$JS$4:$KB$4)))</f>
        <v>0</v>
      </c>
      <c r="JV98" s="199" t="n">
        <f aca="false">IF((SUMIF($JS$3:$KB$3,JV$60,$JS$4:$KB$4))=0,0,((SUMIF($JS$3:$KB$3,JV$60,$JS147:$KB147))/SUMIF($JS$3:$KB$3,JV$60,$JS$4:$KB$4)))</f>
        <v>0</v>
      </c>
      <c r="JW98" s="199" t="n">
        <f aca="false">IF((SUMIF($JS$3:$KB$3,JW$60,$JS$4:$KB$4))=0,0,((SUMIF($JS$3:$KB$3,JW$60,$JS147:$KB147))/SUMIF($JS$3:$KB$3,JW$60,$JS$4:$KB$4)))</f>
        <v>0</v>
      </c>
      <c r="JX98" s="199" t="n">
        <f aca="false">IF((SUMIF($JS$3:$KB$3,JX$60,$JS$4:$KB$4))=0,0,((SUMIF($JS$3:$KB$3,JX$60,$JS147:$KB147))/SUMIF($JS$3:$KB$3,JX$60,$JS$4:$KB$4)))</f>
        <v>0</v>
      </c>
      <c r="JY98" s="199" t="n">
        <f aca="false">IF((SUMIF($JS$3:$KB$3,JY$60,$JS$4:$KB$4))=0,0,((SUMIF($JS$3:$KB$3,JY$60,$JS147:$KB147))/SUMIF($JS$3:$KB$3,JY$60,$JS$4:$KB$4)))</f>
        <v>0</v>
      </c>
      <c r="JZ98" s="199" t="n">
        <f aca="false">IF((SUMIF($JS$3:$KB$3,JZ$60,$JS$4:$KB$4))=0,0,((SUMIF($JS$3:$KB$3,JZ$60,$JS147:$KB147))/SUMIF($JS$3:$KB$3,JZ$60,$JS$4:$KB$4)))</f>
        <v>0</v>
      </c>
      <c r="KA98" s="199" t="n">
        <f aca="false">IF((SUMIF($JS$3:$KB$3,KA$60,$JS$4:$KB$4))=0,0,((SUMIF($JS$3:$KB$3,KA$60,$JS147:$KB147))/SUMIF($JS$3:$KB$3,KA$60,$JS$4:$KB$4)))</f>
        <v>0</v>
      </c>
      <c r="KB98" s="200" t="n">
        <f aca="false">IF((SUMIF($JS$3:$KB$3,KB$60,$JS$4:$KB$4))=0,0,((SUMIF($JS$3:$KB$3,KB$60,$JS147:$KB147))/SUMIF($JS$3:$KB$3,KB$60,$JS$4:$KB$4)))</f>
        <v>0</v>
      </c>
      <c r="KC98" s="194" t="str">
        <f aca="false">JR98</f>
        <v>Alumno37</v>
      </c>
      <c r="KD98" s="198" t="n">
        <f aca="false">IF((SUMIF($KD$3:$KM$3,KD$60,$KD$4:$KM$4))=0,0,((SUMIF($KD$3:$KM$3,KD$60,$KD147:$KM147))/SUMIF($KD$3:$KM$3,KD$60,$KD$4:$KM$4)))</f>
        <v>0</v>
      </c>
      <c r="KE98" s="199" t="n">
        <f aca="false">IF((SUMIF($KD$3:$KM$3,KE$60,$KD$4:$KM$4))=0,0,((SUMIF($KD$3:$KM$3,KE$60,$KD147:$KM147))/SUMIF($KD$3:$KM$3,KE$60,$KD$4:$KM$4)))</f>
        <v>0</v>
      </c>
      <c r="KF98" s="199" t="n">
        <f aca="false">IF((SUMIF($KD$3:$KM$3,KF$60,$KD$4:$KM$4))=0,0,((SUMIF($KD$3:$KM$3,KF$60,$KD147:$KM147))/SUMIF($KD$3:$KM$3,KF$60,$KD$4:$KM$4)))</f>
        <v>0</v>
      </c>
      <c r="KG98" s="199" t="n">
        <f aca="false">IF((SUMIF($KD$3:$KM$3,KG$60,$KD$4:$KM$4))=0,0,((SUMIF($KD$3:$KM$3,KG$60,$KD147:$KM147))/SUMIF($KD$3:$KM$3,KG$60,$KD$4:$KM$4)))</f>
        <v>0</v>
      </c>
      <c r="KH98" s="199" t="n">
        <f aca="false">IF((SUMIF($KD$3:$KM$3,KH$60,$KD$4:$KM$4))=0,0,((SUMIF($KD$3:$KM$3,KH$60,$KD147:$KM147))/SUMIF($KD$3:$KM$3,KH$60,$KD$4:$KM$4)))</f>
        <v>0</v>
      </c>
      <c r="KI98" s="199" t="n">
        <f aca="false">IF((SUMIF($KD$3:$KM$3,KI$60,$KD$4:$KM$4))=0,0,((SUMIF($KD$3:$KM$3,KI$60,$KD147:$KM147))/SUMIF($KD$3:$KM$3,KI$60,$KD$4:$KM$4)))</f>
        <v>0</v>
      </c>
      <c r="KJ98" s="199" t="n">
        <f aca="false">IF((SUMIF($KD$3:$KM$3,KJ$60,$KD$4:$KM$4))=0,0,((SUMIF($KD$3:$KM$3,KJ$60,$KD147:$KM147))/SUMIF($KD$3:$KM$3,KJ$60,$KD$4:$KM$4)))</f>
        <v>0</v>
      </c>
      <c r="KK98" s="199" t="n">
        <f aca="false">IF((SUMIF($KD$3:$KM$3,KK$60,$KD$4:$KM$4))=0,0,((SUMIF($KD$3:$KM$3,KK$60,$KD147:$KM147))/SUMIF($KD$3:$KM$3,KK$60,$KD$4:$KM$4)))</f>
        <v>0</v>
      </c>
      <c r="KL98" s="199" t="n">
        <f aca="false">IF((SUMIF($KD$3:$KM$3,KL$60,$KD$4:$KM$4))=0,0,((SUMIF($KD$3:$KM$3,KL$60,$KD147:$KM147))/SUMIF($KD$3:$KM$3,KL$60,$KD$4:$KM$4)))</f>
        <v>0</v>
      </c>
      <c r="KM98" s="200" t="n">
        <f aca="false">IF((SUMIF($KD$3:$KM$3,KM$60,$KD$4:$KM$4))=0,0,((SUMIF($KD$3:$KM$3,KM$60,$KD147:$KM147))/SUMIF($KD$3:$KM$3,KM$60,$KD$4:$KM$4)))</f>
        <v>0</v>
      </c>
      <c r="KN98" s="194" t="str">
        <f aca="false">KC98</f>
        <v>Alumno37</v>
      </c>
      <c r="KO98" s="198" t="n">
        <f aca="false">IF((SUMIF($KO$3:$KX$3,KO$60,$KO$4:$KX$4))=0,0,((SUMIF($KO$3:$KX$3,KO$60,$KO147:$KX147))/SUMIF($KO$3:$KX$3,KO$60,$KO$4:$KX$4)))</f>
        <v>0</v>
      </c>
      <c r="KP98" s="199" t="n">
        <f aca="false">IF((SUMIF($KO$3:$KX$3,KP$60,$KO$4:$KX$4))=0,0,((SUMIF($KO$3:$KX$3,KP$60,$KO147:$KX147))/SUMIF($KO$3:$KX$3,KP$60,$KO$4:$KX$4)))</f>
        <v>0</v>
      </c>
      <c r="KQ98" s="199" t="n">
        <f aca="false">IF((SUMIF($KO$3:$KX$3,KQ$60,$KO$4:$KX$4))=0,0,((SUMIF($KO$3:$KX$3,KQ$60,$KO147:$KX147))/SUMIF($KO$3:$KX$3,KQ$60,$KO$4:$KX$4)))</f>
        <v>0</v>
      </c>
      <c r="KR98" s="199" t="n">
        <f aca="false">IF((SUMIF($KO$3:$KX$3,KR$60,$KO$4:$KX$4))=0,0,((SUMIF($KO$3:$KX$3,KR$60,$KO147:$KX147))/SUMIF($KO$3:$KX$3,KR$60,$KO$4:$KX$4)))</f>
        <v>0</v>
      </c>
      <c r="KS98" s="199" t="n">
        <f aca="false">IF((SUMIF($KO$3:$KX$3,KS$60,$KO$4:$KX$4))=0,0,((SUMIF($KO$3:$KX$3,KS$60,$KO147:$KX147))/SUMIF($KO$3:$KX$3,KS$60,$KO$4:$KX$4)))</f>
        <v>0</v>
      </c>
      <c r="KT98" s="199" t="n">
        <f aca="false">IF((SUMIF($KO$3:$KX$3,KT$60,$KO$4:$KX$4))=0,0,((SUMIF($KO$3:$KX$3,KT$60,$KO147:$KX147))/SUMIF($KO$3:$KX$3,KT$60,$KO$4:$KX$4)))</f>
        <v>0</v>
      </c>
      <c r="KU98" s="199" t="n">
        <f aca="false">IF((SUMIF($KO$3:$KX$3,KU$60,$KO$4:$KX$4))=0,0,((SUMIF($KO$3:$KX$3,KU$60,$KO147:$KX147))/SUMIF($KO$3:$KX$3,KU$60,$KO$4:$KX$4)))</f>
        <v>0</v>
      </c>
      <c r="KV98" s="199" t="n">
        <f aca="false">IF((SUMIF($KO$3:$KX$3,KV$60,$KO$4:$KX$4))=0,0,((SUMIF($KO$3:$KX$3,KV$60,$KO147:$KX147))/SUMIF($KO$3:$KX$3,KV$60,$KO$4:$KX$4)))</f>
        <v>0</v>
      </c>
      <c r="KW98" s="199" t="n">
        <f aca="false">IF((SUMIF($KO$3:$KX$3,KW$60,$KO$4:$KX$4))=0,0,((SUMIF($KO$3:$KX$3,KW$60,$KO147:$KX147))/SUMIF($KO$3:$KX$3,KW$60,$KO$4:$KX$4)))</f>
        <v>0</v>
      </c>
      <c r="KX98" s="200" t="n">
        <f aca="false">IF((SUMIF($KO$3:$KX$3,KX$60,$KO$4:$KX$4))=0,0,((SUMIF($KO$3:$KX$3,KX$60,$KO147:$KX147))/SUMIF($KO$3:$KX$3,KX$60,$KO$4:$KX$4)))</f>
        <v>0</v>
      </c>
      <c r="KY98" s="194" t="str">
        <f aca="false">KN98</f>
        <v>Alumno37</v>
      </c>
      <c r="KZ98" s="198" t="n">
        <f aca="false">IF((SUMIF($KZ$3:$LI$3,KZ$60,$KZ$4:$LI$4))=0,0,((SUMIF($KZ$3:$LI$3,KZ$60,$KZ147:$LI147))/SUMIF($KZ$3:$LI$3,KZ$60,$KZ$4:$LI$4)))</f>
        <v>0</v>
      </c>
      <c r="LA98" s="199" t="n">
        <f aca="false">IF((SUMIF($KZ$3:$LI$3,LA$60,$KZ$4:$LI$4))=0,0,((SUMIF($KZ$3:$LI$3,LA$60,$KZ147:$LI147))/SUMIF($KZ$3:$LI$3,LA$60,$KZ$4:$LI$4)))</f>
        <v>0</v>
      </c>
      <c r="LB98" s="199" t="n">
        <f aca="false">IF((SUMIF($KZ$3:$LI$3,LB$60,$KZ$4:$LI$4))=0,0,((SUMIF($KZ$3:$LI$3,LB$60,$KZ147:$LI147))/SUMIF($KZ$3:$LI$3,LB$60,$KZ$4:$LI$4)))</f>
        <v>0</v>
      </c>
      <c r="LC98" s="199" t="n">
        <f aca="false">IF((SUMIF($KZ$3:$LI$3,LC$60,$KZ$4:$LI$4))=0,0,((SUMIF($KZ$3:$LI$3,LC$60,$KZ147:$LI147))/SUMIF($KZ$3:$LI$3,LC$60,$KZ$4:$LI$4)))</f>
        <v>0</v>
      </c>
      <c r="LD98" s="199" t="n">
        <f aca="false">IF((SUMIF($KZ$3:$LI$3,LD$60,$KZ$4:$LI$4))=0,0,((SUMIF($KZ$3:$LI$3,LD$60,$KZ147:$LI147))/SUMIF($KZ$3:$LI$3,LD$60,$KZ$4:$LI$4)))</f>
        <v>0</v>
      </c>
      <c r="LE98" s="199" t="n">
        <f aca="false">IF((SUMIF($KZ$3:$LI$3,LE$60,$KZ$4:$LI$4))=0,0,((SUMIF($KZ$3:$LI$3,LE$60,$KZ147:$LI147))/SUMIF($KZ$3:$LI$3,LE$60,$KZ$4:$LI$4)))</f>
        <v>0</v>
      </c>
      <c r="LF98" s="199" t="n">
        <f aca="false">IF((SUMIF($KZ$3:$LI$3,LF$60,$KZ$4:$LI$4))=0,0,((SUMIF($KZ$3:$LI$3,LF$60,$KZ147:$LI147))/SUMIF($KZ$3:$LI$3,LF$60,$KZ$4:$LI$4)))</f>
        <v>0</v>
      </c>
      <c r="LG98" s="199" t="n">
        <f aca="false">IF((SUMIF($KZ$3:$LI$3,LG$60,$KZ$4:$LI$4))=0,0,((SUMIF($KZ$3:$LI$3,LG$60,$KZ147:$LI147))/SUMIF($KZ$3:$LI$3,LG$60,$KZ$4:$LI$4)))</f>
        <v>0</v>
      </c>
      <c r="LH98" s="199" t="n">
        <f aca="false">IF((SUMIF($KZ$3:$LI$3,LH$60,$KZ$4:$LI$4))=0,0,((SUMIF($KZ$3:$LI$3,LH$60,$KZ147:$LI147))/SUMIF($KZ$3:$LI$3,LH$60,$KZ$4:$LI$4)))</f>
        <v>0</v>
      </c>
      <c r="LI98" s="200" t="n">
        <f aca="false">IF((SUMIF($KZ$3:$LI$3,LI$60,$KZ$4:$LI$4))=0,0,((SUMIF($KZ$3:$LI$3,LI$60,$KZ147:$LI147))/SUMIF($KZ$3:$LI$3,LI$60,$KZ$4:$LI$4)))</f>
        <v>0</v>
      </c>
      <c r="LJ98" s="194" t="str">
        <f aca="false">KY98</f>
        <v>Alumno37</v>
      </c>
      <c r="LK98" s="198" t="n">
        <f aca="false">IF((SUMIF($LK$3:$LT$3,LK$60,$LK$4:$LT$4))=0,0,((SUMIF($LK$3:$LT$3,LK$60,$LK147:$LT147))/SUMIF($LK$3:$LT$3,LK$60,$LK$4:$LT$4)))</f>
        <v>0</v>
      </c>
      <c r="LL98" s="199" t="n">
        <f aca="false">IF((SUMIF($LK$3:$LT$3,LL$60,$LK$4:$LT$4))=0,0,((SUMIF($LK$3:$LT$3,LL$60,$LK147:$LT147))/SUMIF($LK$3:$LT$3,LL$60,$LK$4:$LT$4)))</f>
        <v>0</v>
      </c>
      <c r="LM98" s="199" t="n">
        <f aca="false">IF((SUMIF($LK$3:$LT$3,LM$60,$LK$4:$LT$4))=0,0,((SUMIF($LK$3:$LT$3,LM$60,$LK147:$LT147))/SUMIF($LK$3:$LT$3,LM$60,$LK$4:$LT$4)))</f>
        <v>0</v>
      </c>
      <c r="LN98" s="199" t="n">
        <f aca="false">IF((SUMIF($LK$3:$LT$3,LN$60,$LK$4:$LT$4))=0,0,((SUMIF($LK$3:$LT$3,LN$60,$LK147:$LT147))/SUMIF($LK$3:$LT$3,LN$60,$LK$4:$LT$4)))</f>
        <v>0</v>
      </c>
      <c r="LO98" s="199" t="n">
        <f aca="false">IF((SUMIF($LK$3:$LT$3,LO$60,$LK$4:$LT$4))=0,0,((SUMIF($LK$3:$LT$3,LO$60,$LK147:$LT147))/SUMIF($LK$3:$LT$3,LO$60,$LK$4:$LT$4)))</f>
        <v>0</v>
      </c>
      <c r="LP98" s="199" t="n">
        <f aca="false">IF((SUMIF($LK$3:$LT$3,LP$60,$LK$4:$LT$4))=0,0,((SUMIF($LK$3:$LT$3,LP$60,$LK147:$LT147))/SUMIF($LK$3:$LT$3,LP$60,$LK$4:$LT$4)))</f>
        <v>0</v>
      </c>
      <c r="LQ98" s="199" t="n">
        <f aca="false">IF((SUMIF($LK$3:$LT$3,LQ$60,$LK$4:$LT$4))=0,0,((SUMIF($LK$3:$LT$3,LQ$60,$LK147:$LT147))/SUMIF($LK$3:$LT$3,LQ$60,$LK$4:$LT$4)))</f>
        <v>0</v>
      </c>
      <c r="LR98" s="199" t="n">
        <f aca="false">IF((SUMIF($LK$3:$LT$3,LR$60,$LK$4:$LT$4))=0,0,((SUMIF($LK$3:$LT$3,LR$60,$LK147:$LT147))/SUMIF($LK$3:$LT$3,LR$60,$LK$4:$LT$4)))</f>
        <v>0</v>
      </c>
      <c r="LS98" s="199" t="n">
        <f aca="false">IF((SUMIF($LK$3:$LT$3,LS$60,$LK$4:$LT$4))=0,0,((SUMIF($LK$3:$LT$3,LS$60,$LK147:$LT147))/SUMIF($LK$3:$LT$3,LS$60,$LK$4:$LT$4)))</f>
        <v>0</v>
      </c>
      <c r="LT98" s="200" t="n">
        <f aca="false">IF((SUMIF($LK$3:$LT$3,LT$60,$LK$4:$LT$4))=0,0,((SUMIF($LK$3:$LT$3,LT$60,$LK147:$LT147))/SUMIF($LK$3:$LT$3,LT$60,$LK$4:$LT$4)))</f>
        <v>0</v>
      </c>
    </row>
    <row r="99" customFormat="false" ht="15" hidden="true" customHeight="false" outlineLevel="0" collapsed="false">
      <c r="C99" s="194" t="str">
        <f aca="false">B43</f>
        <v>Alumno38</v>
      </c>
      <c r="D99" s="198" t="n">
        <f aca="false">IF((SUMIF($D$3:$M$3,D$60,$D$4:$M$4))=0,0,((SUMIF($D$3:$M$3,D$60,$D148:$M148))/SUMIF($D$3:$M$3,D$60,$D$4:$M$4)))</f>
        <v>0</v>
      </c>
      <c r="E99" s="199" t="n">
        <f aca="false">IF((SUMIF($D$3:$M$3,E$60,$D$4:$M$4))=0,0,((SUMIF($D$3:$M$3,E$60,$D148:$M148))/SUMIF($D$3:$M$3,E$60,$D$4:$M$4)))</f>
        <v>0</v>
      </c>
      <c r="F99" s="199" t="n">
        <f aca="false">IF((SUMIF($D$3:$M$3,F$60,$D$4:$M$4))=0,0,((SUMIF($D$3:$M$3,F$60,$D148:$M148))/SUMIF($D$3:$M$3,F$60,$D$4:$M$4)))</f>
        <v>0</v>
      </c>
      <c r="G99" s="199" t="n">
        <f aca="false">IF((SUMIF($D$3:$M$3,G$60,$D$4:$M$4))=0,0,((SUMIF($D$3:$M$3,G$60,$D148:$M148))/SUMIF($D$3:$M$3,G$60,$D$4:$M$4)))</f>
        <v>0</v>
      </c>
      <c r="H99" s="199" t="n">
        <f aca="false">IF((SUMIF($D$3:$M$3,H$60,$D$4:$M$4))=0,0,((SUMIF($D$3:$M$3,H$60,$D148:$M148))/SUMIF($D$3:$M$3,H$60,$D$4:$M$4)))</f>
        <v>0</v>
      </c>
      <c r="I99" s="199" t="n">
        <f aca="false">IF((SUMIF($D$3:$M$3,I$60,$D$4:$M$4))=0,0,((SUMIF($D$3:$M$3,I$60,$D148:$M148))/SUMIF($D$3:$M$3,I$60,$D$4:$M$4)))</f>
        <v>0</v>
      </c>
      <c r="J99" s="199" t="n">
        <f aca="false">IF((SUMIF($D$3:$M$3,J$60,$D$4:$M$4))=0,0,((SUMIF($D$3:$M$3,J$60,$D148:$M148))/SUMIF($D$3:$M$3,J$60,$D$4:$M$4)))</f>
        <v>0</v>
      </c>
      <c r="K99" s="199" t="n">
        <f aca="false">IF((SUMIF($D$3:$M$3,K$60,$D$4:$M$4))=0,0,((SUMIF($D$3:$M$3,K$60,$D148:$M148))/SUMIF($D$3:$M$3,K$60,$D$4:$M$4)))</f>
        <v>0</v>
      </c>
      <c r="L99" s="199" t="n">
        <f aca="false">IF((SUMIF($D$3:$M$3,L$60,$D$4:$M$4))=0,0,((SUMIF($D$3:$M$3,L$60,$D148:$M148))/SUMIF($D$3:$M$3,L$60,$D$4:$M$4)))</f>
        <v>0</v>
      </c>
      <c r="M99" s="200" t="n">
        <f aca="false">IF((SUMIF($D$3:$M$3,M$60,$D$4:$M$4))=0,0,((SUMIF($D$3:$M$3,M$60,$D148:$M148))/SUMIF($D$3:$M$3,M$60,$D$4:$M$4)))</f>
        <v>0</v>
      </c>
      <c r="N99" s="194" t="str">
        <f aca="false">C99</f>
        <v>Alumno38</v>
      </c>
      <c r="O99" s="198" t="n">
        <f aca="false">IF((SUMIF($O$3:$X$3,O$60,$O$4:$X$4))=0,0,((SUMIF($O$3:$X$3,O$60,$O148:$X148))/SUMIF($O$3:$X$3,O$60,$O$4:$X$4)))</f>
        <v>0</v>
      </c>
      <c r="P99" s="199" t="n">
        <f aca="false">IF((SUMIF($O$3:$X$3,P$60,$O$4:$X$4))=0,0,((SUMIF($O$3:$X$3,P$60,$O148:$X148))/SUMIF($O$3:$X$3,P$60,$O$4:$X$4)))</f>
        <v>0</v>
      </c>
      <c r="Q99" s="199" t="n">
        <f aca="false">IF((SUMIF($O$3:$X$3,Q$60,$O$4:$X$4))=0,0,((SUMIF($O$3:$X$3,Q$60,$O148:$X148))/SUMIF($O$3:$X$3,Q$60,$O$4:$X$4)))</f>
        <v>0</v>
      </c>
      <c r="R99" s="199" t="n">
        <f aca="false">IF((SUMIF($O$3:$X$3,R$60,$O$4:$X$4))=0,0,((SUMIF($O$3:$X$3,R$60,$O148:$X148))/SUMIF($O$3:$X$3,R$60,$O$4:$X$4)))</f>
        <v>0</v>
      </c>
      <c r="S99" s="199" t="n">
        <f aca="false">IF((SUMIF($O$3:$X$3,S$60,$O$4:$X$4))=0,0,((SUMIF($O$3:$X$3,S$60,$O148:$X148))/SUMIF($O$3:$X$3,S$60,$O$4:$X$4)))</f>
        <v>0</v>
      </c>
      <c r="T99" s="199" t="n">
        <f aca="false">IF((SUMIF($O$3:$X$3,T$60,$O$4:$X$4))=0,0,((SUMIF($O$3:$X$3,T$60,$O148:$X148))/SUMIF($O$3:$X$3,T$60,$O$4:$X$4)))</f>
        <v>0</v>
      </c>
      <c r="U99" s="199" t="n">
        <f aca="false">IF((SUMIF($O$3:$X$3,U$60,$O$4:$X$4))=0,0,((SUMIF($O$3:$X$3,U$60,$O148:$X148))/SUMIF($O$3:$X$3,U$60,$O$4:$X$4)))</f>
        <v>0</v>
      </c>
      <c r="V99" s="199" t="n">
        <f aca="false">IF((SUMIF($O$3:$X$3,V$60,$O$4:$X$4))=0,0,((SUMIF($O$3:$X$3,V$60,$O148:$X148))/SUMIF($O$3:$X$3,V$60,$O$4:$X$4)))</f>
        <v>0</v>
      </c>
      <c r="W99" s="199" t="n">
        <f aca="false">IF((SUMIF($O$3:$X$3,W$60,$O$4:$X$4))=0,0,((SUMIF($O$3:$X$3,W$60,$O148:$X148))/SUMIF($O$3:$X$3,W$60,$O$4:$X$4)))</f>
        <v>0</v>
      </c>
      <c r="X99" s="200" t="n">
        <f aca="false">IF((SUMIF($O$3:$X$3,X$60,$O$4:$X$4))=0,0,((SUMIF($O$3:$X$3,X$60,$O148:$X148))/SUMIF($O$3:$X$3,X$60,$O$4:$X$4)))</f>
        <v>0</v>
      </c>
      <c r="Y99" s="194" t="str">
        <f aca="false">N99</f>
        <v>Alumno38</v>
      </c>
      <c r="Z99" s="198" t="n">
        <f aca="false">IF((SUMIF($Z$3:$AI$3,Z$60,$Z$4:$AI$4))=0,0,((SUMIF($Z$3:$AI$3,Z$60,$Z148:$AI148))/SUMIF($Z$3:$AI$3,Z$60,$Z$4:$AI$4)))</f>
        <v>0</v>
      </c>
      <c r="AA99" s="199" t="n">
        <f aca="false">IF((SUMIF($Z$3:$AI$3,AA$60,$Z$4:$AI$4))=0,0,((SUMIF($Z$3:$AI$3,AA$60,$Z148:$AI148))/SUMIF($Z$3:$AI$3,AA$60,$Z$4:$AI$4)))</f>
        <v>0</v>
      </c>
      <c r="AB99" s="199" t="n">
        <f aca="false">IF((SUMIF($Z$3:$AI$3,AB$60,$Z$4:$AI$4))=0,0,((SUMIF($Z$3:$AI$3,AB$60,$Z148:$AI148))/SUMIF($Z$3:$AI$3,AB$60,$Z$4:$AI$4)))</f>
        <v>0</v>
      </c>
      <c r="AC99" s="199" t="n">
        <f aca="false">IF((SUMIF($Z$3:$AI$3,AC$60,$Z$4:$AI$4))=0,0,((SUMIF($Z$3:$AI$3,AC$60,$Z148:$AI148))/SUMIF($Z$3:$AI$3,AC$60,$Z$4:$AI$4)))</f>
        <v>0</v>
      </c>
      <c r="AD99" s="199" t="n">
        <f aca="false">IF((SUMIF($Z$3:$AI$3,AD$60,$Z$4:$AI$4))=0,0,((SUMIF($Z$3:$AI$3,AD$60,$Z148:$AI148))/SUMIF($Z$3:$AI$3,AD$60,$Z$4:$AI$4)))</f>
        <v>0</v>
      </c>
      <c r="AE99" s="199" t="n">
        <f aca="false">IF((SUMIF($Z$3:$AI$3,AE$60,$Z$4:$AI$4))=0,0,((SUMIF($Z$3:$AI$3,AE$60,$Z148:$AI148))/SUMIF($Z$3:$AI$3,AE$60,$Z$4:$AI$4)))</f>
        <v>0</v>
      </c>
      <c r="AF99" s="199" t="n">
        <f aca="false">IF((SUMIF($Z$3:$AI$3,AF$60,$Z$4:$AI$4))=0,0,((SUMIF($Z$3:$AI$3,AF$60,$Z148:$AI148))/SUMIF($Z$3:$AI$3,AF$60,$Z$4:$AI$4)))</f>
        <v>0</v>
      </c>
      <c r="AG99" s="199" t="n">
        <f aca="false">IF((SUMIF($Z$3:$AI$3,AG$60,$Z$4:$AI$4))=0,0,((SUMIF($Z$3:$AI$3,AG$60,$Z148:$AI148))/SUMIF($Z$3:$AI$3,AG$60,$Z$4:$AI$4)))</f>
        <v>0</v>
      </c>
      <c r="AH99" s="199" t="n">
        <f aca="false">IF((SUMIF($Z$3:$AI$3,AH$60,$Z$4:$AI$4))=0,0,((SUMIF($Z$3:$AI$3,AH$60,$Z148:$AI148))/SUMIF($Z$3:$AI$3,AH$60,$Z$4:$AI$4)))</f>
        <v>0</v>
      </c>
      <c r="AI99" s="200" t="n">
        <f aca="false">IF((SUMIF($Z$3:$AI$3,AI$60,$Z$4:$AI$4))=0,0,((SUMIF($Z$3:$AI$3,AI$60,$Z148:$AI148))/SUMIF($Z$3:$AI$3,AI$60,$Z$4:$AI$4)))</f>
        <v>0</v>
      </c>
      <c r="AJ99" s="194" t="str">
        <f aca="false">Y99</f>
        <v>Alumno38</v>
      </c>
      <c r="AK99" s="198" t="n">
        <f aca="false">IF((SUMIF($AK$3:$AT$3,AK$60,$AK$4:$AT$4))=0,0,((SUMIF($AK$3:$AT$3,AK$60,$AK148:$AT148))/SUMIF($AK$3:$AT$3,AK$60,$AK$4:$AT$4)))</f>
        <v>0</v>
      </c>
      <c r="AL99" s="199" t="n">
        <f aca="false">IF((SUMIF($AK$3:$AT$3,AL$60,$AK$4:$AT$4))=0,0,((SUMIF($AK$3:$AT$3,AL$60,$AK148:$AT148))/SUMIF($AK$3:$AT$3,AL$60,$AK$4:$AT$4)))</f>
        <v>0</v>
      </c>
      <c r="AM99" s="199" t="n">
        <f aca="false">IF((SUMIF($AK$3:$AT$3,AM$60,$AK$4:$AT$4))=0,0,((SUMIF($AK$3:$AT$3,AM$60,$AK148:$AT148))/SUMIF($AK$3:$AT$3,AM$60,$AK$4:$AT$4)))</f>
        <v>0</v>
      </c>
      <c r="AN99" s="199" t="n">
        <f aca="false">IF((SUMIF($AK$3:$AT$3,AN$60,$AK$4:$AT$4))=0,0,((SUMIF($AK$3:$AT$3,AN$60,$AK148:$AT148))/SUMIF($AK$3:$AT$3,AN$60,$AK$4:$AT$4)))</f>
        <v>0</v>
      </c>
      <c r="AO99" s="199" t="n">
        <f aca="false">IF((SUMIF($AK$3:$AT$3,AO$60,$AK$4:$AT$4))=0,0,((SUMIF($AK$3:$AT$3,AO$60,$AK148:$AT148))/SUMIF($AK$3:$AT$3,AO$60,$AK$4:$AT$4)))</f>
        <v>0</v>
      </c>
      <c r="AP99" s="199" t="n">
        <f aca="false">IF((SUMIF($AK$3:$AT$3,AP$60,$AK$4:$AT$4))=0,0,((SUMIF($AK$3:$AT$3,AP$60,$AK148:$AT148))/SUMIF($AK$3:$AT$3,AP$60,$AK$4:$AT$4)))</f>
        <v>0</v>
      </c>
      <c r="AQ99" s="199" t="n">
        <f aca="false">IF((SUMIF($AK$3:$AT$3,AQ$60,$AK$4:$AT$4))=0,0,((SUMIF($AK$3:$AT$3,AQ$60,$AK148:$AT148))/SUMIF($AK$3:$AT$3,AQ$60,$AK$4:$AT$4)))</f>
        <v>0</v>
      </c>
      <c r="AR99" s="199" t="n">
        <f aca="false">IF((SUMIF($AK$3:$AT$3,AR$60,$AK$4:$AT$4))=0,0,((SUMIF($AK$3:$AT$3,AR$60,$AK148:$AT148))/SUMIF($AK$3:$AT$3,AR$60,$AK$4:$AT$4)))</f>
        <v>0</v>
      </c>
      <c r="AS99" s="199" t="n">
        <f aca="false">IF((SUMIF($AK$3:$AT$3,AS$60,$AK$4:$AT$4))=0,0,((SUMIF($AK$3:$AT$3,AS$60,$AK148:$AT148))/SUMIF($AK$3:$AT$3,AS$60,$AK$4:$AT$4)))</f>
        <v>0</v>
      </c>
      <c r="AT99" s="200" t="n">
        <f aca="false">IF((SUMIF($AK$3:$AT$3,AT$60,$AK$4:$AT$4))=0,0,((SUMIF($AK$3:$AT$3,AT$60,$AK148:$AT148))/SUMIF($AK$3:$AT$3,AT$60,$AK$4:$AT$4)))</f>
        <v>0</v>
      </c>
      <c r="AU99" s="194" t="str">
        <f aca="false">AJ99</f>
        <v>Alumno38</v>
      </c>
      <c r="AV99" s="198" t="n">
        <f aca="false">IF((SUMIF($AV$3:$BE$3,AV$60,$AV$4:$BE$4))=0,0,((SUMIF($AV$3:$BE$3,AV$60,$AV148:$BE148))/SUMIF($AV$3:$BE$3,AV$60,$AV$4:$BE$4)))</f>
        <v>0</v>
      </c>
      <c r="AW99" s="199" t="n">
        <f aca="false">IF((SUMIF($AV$3:$BE$3,AW$60,$AV$4:$BE$4))=0,0,((SUMIF($AV$3:$BE$3,AW$60,$AV148:$BE148))/SUMIF($AV$3:$BE$3,AW$60,$AV$4:$BE$4)))</f>
        <v>0</v>
      </c>
      <c r="AX99" s="199" t="n">
        <f aca="false">IF((SUMIF($AV$3:$BE$3,AX$60,$AV$4:$BE$4))=0,0,((SUMIF($AV$3:$BE$3,AX$60,$AV148:$BE148))/SUMIF($AV$3:$BE$3,AX$60,$AV$4:$BE$4)))</f>
        <v>0</v>
      </c>
      <c r="AY99" s="199" t="n">
        <f aca="false">IF((SUMIF($AV$3:$BE$3,AY$60,$AV$4:$BE$4))=0,0,((SUMIF($AV$3:$BE$3,AY$60,$AV148:$BE148))/SUMIF($AV$3:$BE$3,AY$60,$AV$4:$BE$4)))</f>
        <v>0</v>
      </c>
      <c r="AZ99" s="199" t="n">
        <f aca="false">IF((SUMIF($AV$3:$BE$3,AZ$60,$AV$4:$BE$4))=0,0,((SUMIF($AV$3:$BE$3,AZ$60,$AV148:$BE148))/SUMIF($AV$3:$BE$3,AZ$60,$AV$4:$BE$4)))</f>
        <v>0</v>
      </c>
      <c r="BA99" s="199" t="n">
        <f aca="false">IF((SUMIF($AV$3:$BE$3,BA$60,$AV$4:$BE$4))=0,0,((SUMIF($AV$3:$BE$3,BA$60,$AV148:$BE148))/SUMIF($AV$3:$BE$3,BA$60,$AV$4:$BE$4)))</f>
        <v>0</v>
      </c>
      <c r="BB99" s="199" t="n">
        <f aca="false">IF((SUMIF($AV$3:$BE$3,BB$60,$AV$4:$BE$4))=0,0,((SUMIF($AV$3:$BE$3,BB$60,$AV148:$BE148))/SUMIF($AV$3:$BE$3,BB$60,$AV$4:$BE$4)))</f>
        <v>0</v>
      </c>
      <c r="BC99" s="199" t="n">
        <f aca="false">IF((SUMIF($AV$3:$BE$3,BC$60,$AV$4:$BE$4))=0,0,((SUMIF($AV$3:$BE$3,BC$60,$AV148:$BE148))/SUMIF($AV$3:$BE$3,BC$60,$AV$4:$BE$4)))</f>
        <v>0</v>
      </c>
      <c r="BD99" s="199" t="n">
        <f aca="false">IF((SUMIF($AV$3:$BE$3,BD$60,$AV$4:$BE$4))=0,0,((SUMIF($AV$3:$BE$3,BD$60,$AV148:$BE148))/SUMIF($AV$3:$BE$3,BD$60,$AV$4:$BE$4)))</f>
        <v>0</v>
      </c>
      <c r="BE99" s="200" t="n">
        <f aca="false">IF((SUMIF($AV$3:$BE$3,BE$60,$AV$4:$BE$4))=0,0,((SUMIF($AV$3:$BE$3,BE$60,$AV148:$BE148))/SUMIF($AV$3:$BE$3,BE$60,$AV$4:$BE$4)))</f>
        <v>0</v>
      </c>
      <c r="BF99" s="194" t="str">
        <f aca="false">AU99</f>
        <v>Alumno38</v>
      </c>
      <c r="BG99" s="198" t="n">
        <f aca="false">IF((SUMIF($BG$3:$BP$3,BG$60,$BG$4:$BP$4))=0,0,((SUMIF($BG$3:$BP$3,BG$60,$BG148:$BP148))/SUMIF($BG$3:$BP$3,BG$60,$BG$4:$BP$4)))</f>
        <v>0</v>
      </c>
      <c r="BH99" s="199" t="n">
        <f aca="false">IF((SUMIF($BG$3:$BP$3,BH$60,$BG$4:$BP$4))=0,0,((SUMIF($BG$3:$BP$3,BH$60,$BG148:$BP148))/SUMIF($BG$3:$BP$3,BH$60,$BG$4:$BP$4)))</f>
        <v>0</v>
      </c>
      <c r="BI99" s="199" t="n">
        <f aca="false">IF((SUMIF($BG$3:$BP$3,BI$60,$BG$4:$BP$4))=0,0,((SUMIF($BG$3:$BP$3,BI$60,$BG148:$BP148))/SUMIF($BG$3:$BP$3,BI$60,$BG$4:$BP$4)))</f>
        <v>0</v>
      </c>
      <c r="BJ99" s="199" t="n">
        <f aca="false">IF((SUMIF($BG$3:$BP$3,BJ$60,$BG$4:$BP$4))=0,0,((SUMIF($BG$3:$BP$3,BJ$60,$BG148:$BP148))/SUMIF($BG$3:$BP$3,BJ$60,$BG$4:$BP$4)))</f>
        <v>0</v>
      </c>
      <c r="BK99" s="199" t="n">
        <f aca="false">IF((SUMIF($BG$3:$BP$3,BK$60,$BG$4:$BP$4))=0,0,((SUMIF($BG$3:$BP$3,BK$60,$BG148:$BP148))/SUMIF($BG$3:$BP$3,BK$60,$BG$4:$BP$4)))</f>
        <v>0</v>
      </c>
      <c r="BL99" s="199" t="n">
        <f aca="false">IF((SUMIF($BG$3:$BP$3,BL$60,$BG$4:$BP$4))=0,0,((SUMIF($BG$3:$BP$3,BL$60,$BG148:$BP148))/SUMIF($BG$3:$BP$3,BL$60,$BG$4:$BP$4)))</f>
        <v>0</v>
      </c>
      <c r="BM99" s="199" t="n">
        <f aca="false">IF((SUMIF($BG$3:$BP$3,BM$60,$BG$4:$BP$4))=0,0,((SUMIF($BG$3:$BP$3,BM$60,$BG148:$BP148))/SUMIF($BG$3:$BP$3,BM$60,$BG$4:$BP$4)))</f>
        <v>0</v>
      </c>
      <c r="BN99" s="199" t="n">
        <f aca="false">IF((SUMIF($BG$3:$BP$3,BN$60,$BG$4:$BP$4))=0,0,((SUMIF($BG$3:$BP$3,BN$60,$BG148:$BP148))/SUMIF($BG$3:$BP$3,BN$60,$BG$4:$BP$4)))</f>
        <v>0</v>
      </c>
      <c r="BO99" s="199" t="n">
        <f aca="false">IF((SUMIF($BG$3:$BP$3,BO$60,$BG$4:$BP$4))=0,0,((SUMIF($BG$3:$BP$3,BO$60,$BG148:$BP148))/SUMIF($BG$3:$BP$3,BO$60,$BG$4:$BP$4)))</f>
        <v>0</v>
      </c>
      <c r="BP99" s="200" t="n">
        <f aca="false">IF((SUMIF($BG$3:$BP$3,BP$60,$BG$4:$BP$4))=0,0,((SUMIF($BG$3:$BP$3,BP$60,$BG148:$BP148))/SUMIF($BG$3:$BP$3,BP$60,$BG$4:$BP$4)))</f>
        <v>0</v>
      </c>
      <c r="BQ99" s="194" t="str">
        <f aca="false">BF99</f>
        <v>Alumno38</v>
      </c>
      <c r="BR99" s="198" t="n">
        <f aca="false">IF((SUMIF($BR$3:$CA$3,BR$60,$BR$4:$CA$4))=0,0,((SUMIF($BR$3:$CA$3,BR$60,$BR148:$CA148))/SUMIF($BR$3:$CA$3,BR$60,$BR$4:$CA$4)))</f>
        <v>0</v>
      </c>
      <c r="BS99" s="199" t="n">
        <f aca="false">IF((SUMIF($BR$3:$CA$3,BS$60,$BR$4:$CA$4))=0,0,((SUMIF($BR$3:$CA$3,BS$60,$BR148:$CA148))/SUMIF($BR$3:$CA$3,BS$60,$BR$4:$CA$4)))</f>
        <v>0</v>
      </c>
      <c r="BT99" s="199" t="n">
        <f aca="false">IF((SUMIF($BR$3:$CA$3,BT$60,$BR$4:$CA$4))=0,0,((SUMIF($BR$3:$CA$3,BT$60,$BR148:$CA148))/SUMIF($BR$3:$CA$3,BT$60,$BR$4:$CA$4)))</f>
        <v>0</v>
      </c>
      <c r="BU99" s="199" t="n">
        <f aca="false">IF((SUMIF($BR$3:$CA$3,BU$60,$BR$4:$CA$4))=0,0,((SUMIF($BR$3:$CA$3,BU$60,$BR148:$CA148))/SUMIF($BR$3:$CA$3,BU$60,$BR$4:$CA$4)))</f>
        <v>0</v>
      </c>
      <c r="BV99" s="199" t="n">
        <f aca="false">IF((SUMIF($BR$3:$CA$3,BV$60,$BR$4:$CA$4))=0,0,((SUMIF($BR$3:$CA$3,BV$60,$BR148:$CA148))/SUMIF($BR$3:$CA$3,BV$60,$BR$4:$CA$4)))</f>
        <v>0</v>
      </c>
      <c r="BW99" s="199" t="n">
        <f aca="false">IF((SUMIF($BR$3:$CA$3,BW$60,$BR$4:$CA$4))=0,0,((SUMIF($BR$3:$CA$3,BW$60,$BR148:$CA148))/SUMIF($BR$3:$CA$3,BW$60,$BR$4:$CA$4)))</f>
        <v>0</v>
      </c>
      <c r="BX99" s="199" t="n">
        <f aca="false">IF((SUMIF($BR$3:$CA$3,BX$60,$BR$4:$CA$4))=0,0,((SUMIF($BR$3:$CA$3,BX$60,$BR148:$CA148))/SUMIF($BR$3:$CA$3,BX$60,$BR$4:$CA$4)))</f>
        <v>0</v>
      </c>
      <c r="BY99" s="199" t="n">
        <f aca="false">IF((SUMIF($BR$3:$CA$3,BY$60,$BR$4:$CA$4))=0,0,((SUMIF($BR$3:$CA$3,BY$60,$BR148:$CA148))/SUMIF($BR$3:$CA$3,BY$60,$BR$4:$CA$4)))</f>
        <v>0</v>
      </c>
      <c r="BZ99" s="199" t="n">
        <f aca="false">IF((SUMIF($BR$3:$CA$3,BZ$60,$BR$4:$CA$4))=0,0,((SUMIF($BR$3:$CA$3,BZ$60,$BR148:$CA148))/SUMIF($BR$3:$CA$3,BZ$60,$BR$4:$CA$4)))</f>
        <v>0</v>
      </c>
      <c r="CA99" s="200" t="n">
        <f aca="false">IF((SUMIF($BR$3:$CA$3,CA$60,$BR$4:$CA$4))=0,0,((SUMIF($BR$3:$CA$3,CA$60,$BR148:$CA148))/SUMIF($BR$3:$CA$3,CA$60,$BR$4:$CA$4)))</f>
        <v>0</v>
      </c>
      <c r="CB99" s="194" t="str">
        <f aca="false">BQ99</f>
        <v>Alumno38</v>
      </c>
      <c r="CC99" s="198" t="n">
        <f aca="false">IF((SUMIF($CC$3:$CL$3,CC$60,$CC$4:$CL$4))=0,0,((SUMIF($CC$3:$CL$3,CC$60,$CC148:$CL148))/SUMIF($CC$3:$CL$3,CC$60,$CC$4:$CL$4)))</f>
        <v>0</v>
      </c>
      <c r="CD99" s="199" t="n">
        <f aca="false">IF((SUMIF($CC$3:$CL$3,CD$60,$CC$4:$CL$4))=0,0,((SUMIF($CC$3:$CL$3,CD$60,$CC148:$CL148))/SUMIF($CC$3:$CL$3,CD$60,$CC$4:$CL$4)))</f>
        <v>0</v>
      </c>
      <c r="CE99" s="199" t="n">
        <f aca="false">IF((SUMIF($CC$3:$CL$3,CE$60,$CC$4:$CL$4))=0,0,((SUMIF($CC$3:$CL$3,CE$60,$CC148:$CL148))/SUMIF($CC$3:$CL$3,CE$60,$CC$4:$CL$4)))</f>
        <v>0</v>
      </c>
      <c r="CF99" s="199" t="n">
        <f aca="false">IF((SUMIF($CC$3:$CL$3,CF$60,$CC$4:$CL$4))=0,0,((SUMIF($CC$3:$CL$3,CF$60,$CC148:$CL148))/SUMIF($CC$3:$CL$3,CF$60,$CC$4:$CL$4)))</f>
        <v>0</v>
      </c>
      <c r="CG99" s="199" t="n">
        <f aca="false">IF((SUMIF($CC$3:$CL$3,CG$60,$CC$4:$CL$4))=0,0,((SUMIF($CC$3:$CL$3,CG$60,$CC148:$CL148))/SUMIF($CC$3:$CL$3,CG$60,$CC$4:$CL$4)))</f>
        <v>0</v>
      </c>
      <c r="CH99" s="199" t="n">
        <f aca="false">IF((SUMIF($CC$3:$CL$3,CH$60,$CC$4:$CL$4))=0,0,((SUMIF($CC$3:$CL$3,CH$60,$CC148:$CL148))/SUMIF($CC$3:$CL$3,CH$60,$CC$4:$CL$4)))</f>
        <v>0</v>
      </c>
      <c r="CI99" s="199" t="n">
        <f aca="false">IF((SUMIF($CC$3:$CL$3,CI$60,$CC$4:$CL$4))=0,0,((SUMIF($CC$3:$CL$3,CI$60,$CC148:$CL148))/SUMIF($CC$3:$CL$3,CI$60,$CC$4:$CL$4)))</f>
        <v>0</v>
      </c>
      <c r="CJ99" s="199" t="n">
        <f aca="false">IF((SUMIF($CC$3:$CL$3,CJ$60,$CC$4:$CL$4))=0,0,((SUMIF($CC$3:$CL$3,CJ$60,$CC148:$CL148))/SUMIF($CC$3:$CL$3,CJ$60,$CC$4:$CL$4)))</f>
        <v>0</v>
      </c>
      <c r="CK99" s="199" t="n">
        <f aca="false">IF((SUMIF($CC$3:$CL$3,CK$60,$CC$4:$CL$4))=0,0,((SUMIF($CC$3:$CL$3,CK$60,$CC148:$CL148))/SUMIF($CC$3:$CL$3,CK$60,$CC$4:$CL$4)))</f>
        <v>0</v>
      </c>
      <c r="CL99" s="200" t="n">
        <f aca="false">IF((SUMIF($CC$3:$CL$3,CL$60,$CC$4:$CL$4))=0,0,((SUMIF($CC$3:$CL$3,CL$60,$CC148:$CL148))/SUMIF($CC$3:$CL$3,CL$60,$CC$4:$CL$4)))</f>
        <v>0</v>
      </c>
      <c r="CM99" s="194" t="str">
        <f aca="false">CB99</f>
        <v>Alumno38</v>
      </c>
      <c r="CN99" s="198" t="n">
        <f aca="false">IF((SUMIF($CN$3:$CW$3,CN$60,$CN$4:$CW$4))=0,0,((SUMIF($CN$3:$CW$3,CN$60,$CN148:$CW148))/SUMIF($CN$3:$CW$3,CN$60,$CN$4:$CW$4)))</f>
        <v>0</v>
      </c>
      <c r="CO99" s="199" t="n">
        <f aca="false">IF((SUMIF($CN$3:$CW$3,CO$60,$CN$4:$CW$4))=0,0,((SUMIF($CN$3:$CW$3,CO$60,$CN148:$CW148))/SUMIF($CN$3:$CW$3,CO$60,$CN$4:$CW$4)))</f>
        <v>0</v>
      </c>
      <c r="CP99" s="199" t="n">
        <f aca="false">IF((SUMIF($CN$3:$CW$3,CP$60,$CN$4:$CW$4))=0,0,((SUMIF($CN$3:$CW$3,CP$60,$CN148:$CW148))/SUMIF($CN$3:$CW$3,CP$60,$CN$4:$CW$4)))</f>
        <v>0</v>
      </c>
      <c r="CQ99" s="199" t="n">
        <f aca="false">IF((SUMIF($CN$3:$CW$3,CQ$60,$CN$4:$CW$4))=0,0,((SUMIF($CN$3:$CW$3,CQ$60,$CN148:$CW148))/SUMIF($CN$3:$CW$3,CQ$60,$CN$4:$CW$4)))</f>
        <v>0</v>
      </c>
      <c r="CR99" s="199" t="n">
        <f aca="false">IF((SUMIF($CN$3:$CW$3,CR$60,$CN$4:$CW$4))=0,0,((SUMIF($CN$3:$CW$3,CR$60,$CN148:$CW148))/SUMIF($CN$3:$CW$3,CR$60,$CN$4:$CW$4)))</f>
        <v>0</v>
      </c>
      <c r="CS99" s="199" t="n">
        <f aca="false">IF((SUMIF($CN$3:$CW$3,CS$60,$CN$4:$CW$4))=0,0,((SUMIF($CN$3:$CW$3,CS$60,$CN148:$CW148))/SUMIF($CN$3:$CW$3,CS$60,$CN$4:$CW$4)))</f>
        <v>0</v>
      </c>
      <c r="CT99" s="199" t="n">
        <f aca="false">IF((SUMIF($CN$3:$CW$3,CT$60,$CN$4:$CW$4))=0,0,((SUMIF($CN$3:$CW$3,CT$60,$CN148:$CW148))/SUMIF($CN$3:$CW$3,CT$60,$CN$4:$CW$4)))</f>
        <v>0</v>
      </c>
      <c r="CU99" s="199" t="n">
        <f aca="false">IF((SUMIF($CN$3:$CW$3,CU$60,$CN$4:$CW$4))=0,0,((SUMIF($CN$3:$CW$3,CU$60,$CN148:$CW148))/SUMIF($CN$3:$CW$3,CU$60,$CN$4:$CW$4)))</f>
        <v>0</v>
      </c>
      <c r="CV99" s="199" t="n">
        <f aca="false">IF((SUMIF($CN$3:$CW$3,CV$60,$CN$4:$CW$4))=0,0,((SUMIF($CN$3:$CW$3,CV$60,$CN148:$CW148))/SUMIF($CN$3:$CW$3,CV$60,$CN$4:$CW$4)))</f>
        <v>0</v>
      </c>
      <c r="CW99" s="200" t="n">
        <f aca="false">IF((SUMIF($CN$3:$CW$3,CW$60,$CN$4:$CW$4))=0,0,((SUMIF($CN$3:$CW$3,CW$60,$CN148:$CW148))/SUMIF($CN$3:$CW$3,CW$60,$CN$4:$CW$4)))</f>
        <v>0</v>
      </c>
      <c r="CX99" s="194" t="str">
        <f aca="false">CM99</f>
        <v>Alumno38</v>
      </c>
      <c r="CY99" s="198" t="n">
        <f aca="false">IF((SUMIF($CY$3:$DH$3,CY$60,$CY$4:$DH$4))=0,0,((SUMIF($CY$3:$DH$3,CY$60,$CY148:$DH148))/SUMIF($CY$3:$DH$3,CY$60,$CY$4:$DH$4)))</f>
        <v>0</v>
      </c>
      <c r="CZ99" s="199" t="n">
        <f aca="false">IF((SUMIF($CY$3:$DH$3,CZ$60,$CY$4:$DH$4))=0,0,((SUMIF($CY$3:$DH$3,CZ$60,$CY148:$DH148))/SUMIF($CY$3:$DH$3,CZ$60,$CY$4:$DH$4)))</f>
        <v>0</v>
      </c>
      <c r="DA99" s="199" t="n">
        <f aca="false">IF((SUMIF($CY$3:$DH$3,DA$60,$CY$4:$DH$4))=0,0,((SUMIF($CY$3:$DH$3,DA$60,$CY148:$DH148))/SUMIF($CY$3:$DH$3,DA$60,$CY$4:$DH$4)))</f>
        <v>0</v>
      </c>
      <c r="DB99" s="199" t="n">
        <f aca="false">IF((SUMIF($CY$3:$DH$3,DB$60,$CY$4:$DH$4))=0,0,((SUMIF($CY$3:$DH$3,DB$60,$CY148:$DH148))/SUMIF($CY$3:$DH$3,DB$60,$CY$4:$DH$4)))</f>
        <v>0</v>
      </c>
      <c r="DC99" s="199" t="n">
        <f aca="false">IF((SUMIF($CY$3:$DH$3,DC$60,$CY$4:$DH$4))=0,0,((SUMIF($CY$3:$DH$3,DC$60,$CY148:$DH148))/SUMIF($CY$3:$DH$3,DC$60,$CY$4:$DH$4)))</f>
        <v>0</v>
      </c>
      <c r="DD99" s="199" t="n">
        <f aca="false">IF((SUMIF($CY$3:$DH$3,DD$60,$CY$4:$DH$4))=0,0,((SUMIF($CY$3:$DH$3,DD$60,$CY148:$DH148))/SUMIF($CY$3:$DH$3,DD$60,$CY$4:$DH$4)))</f>
        <v>0</v>
      </c>
      <c r="DE99" s="199" t="n">
        <f aca="false">IF((SUMIF($CY$3:$DH$3,DE$60,$CY$4:$DH$4))=0,0,((SUMIF($CY$3:$DH$3,DE$60,$CY148:$DH148))/SUMIF($CY$3:$DH$3,DE$60,$CY$4:$DH$4)))</f>
        <v>0</v>
      </c>
      <c r="DF99" s="199" t="n">
        <f aca="false">IF((SUMIF($CY$3:$DH$3,DF$60,$CY$4:$DH$4))=0,0,((SUMIF($CY$3:$DH$3,DF$60,$CY148:$DH148))/SUMIF($CY$3:$DH$3,DF$60,$CY$4:$DH$4)))</f>
        <v>0</v>
      </c>
      <c r="DG99" s="199" t="n">
        <f aca="false">IF((SUMIF($CY$3:$DH$3,DG$60,$CY$4:$DH$4))=0,0,((SUMIF($CY$3:$DH$3,DG$60,$CY148:$DH148))/SUMIF($CY$3:$DH$3,DG$60,$CY$4:$DH$4)))</f>
        <v>0</v>
      </c>
      <c r="DH99" s="200" t="n">
        <f aca="false">IF((SUMIF($CY$3:$DH$3,DH$60,$CY$4:$DH$4))=0,0,((SUMIF($CY$3:$DH$3,DH$60,$CY148:$DH148))/SUMIF($CY$3:$DH$3,DH$60,$CY$4:$DH$4)))</f>
        <v>0</v>
      </c>
      <c r="DI99" s="194" t="str">
        <f aca="false">CX99</f>
        <v>Alumno38</v>
      </c>
      <c r="DJ99" s="198" t="n">
        <f aca="false">IF((SUMIF($DJ$3:$DS$3,DJ$60,$DJ$4:$DS$4))=0,0,((SUMIF($DJ$3:$DS$3,DJ$60,$DJ148:$DS148))/SUMIF($DJ$3:$DS$3,DJ$60,$DJ$4:$DS$4)))</f>
        <v>0</v>
      </c>
      <c r="DK99" s="199" t="n">
        <f aca="false">IF((SUMIF($DJ$3:$DS$3,DK$60,$DJ$4:$DS$4))=0,0,((SUMIF($DJ$3:$DS$3,DK$60,$DJ148:$DS148))/SUMIF($DJ$3:$DS$3,DK$60,$DJ$4:$DS$4)))</f>
        <v>0</v>
      </c>
      <c r="DL99" s="199" t="n">
        <f aca="false">IF((SUMIF($DJ$3:$DS$3,DL$60,$DJ$4:$DS$4))=0,0,((SUMIF($DJ$3:$DS$3,DL$60,$DJ148:$DS148))/SUMIF($DJ$3:$DS$3,DL$60,$DJ$4:$DS$4)))</f>
        <v>0</v>
      </c>
      <c r="DM99" s="199" t="n">
        <f aca="false">IF((SUMIF($DJ$3:$DS$3,DM$60,$DJ$4:$DS$4))=0,0,((SUMIF($DJ$3:$DS$3,DM$60,$DJ148:$DS148))/SUMIF($DJ$3:$DS$3,DM$60,$DJ$4:$DS$4)))</f>
        <v>0</v>
      </c>
      <c r="DN99" s="199" t="n">
        <f aca="false">IF((SUMIF($DJ$3:$DS$3,DN$60,$DJ$4:$DS$4))=0,0,((SUMIF($DJ$3:$DS$3,DN$60,$DJ148:$DS148))/SUMIF($DJ$3:$DS$3,DN$60,$DJ$4:$DS$4)))</f>
        <v>0</v>
      </c>
      <c r="DO99" s="199" t="n">
        <f aca="false">IF((SUMIF($DJ$3:$DS$3,DO$60,$DJ$4:$DS$4))=0,0,((SUMIF($DJ$3:$DS$3,DO$60,$DJ148:$DS148))/SUMIF($DJ$3:$DS$3,DO$60,$DJ$4:$DS$4)))</f>
        <v>0</v>
      </c>
      <c r="DP99" s="199" t="n">
        <f aca="false">IF((SUMIF($DJ$3:$DS$3,DP$60,$DJ$4:$DS$4))=0,0,((SUMIF($DJ$3:$DS$3,DP$60,$DJ148:$DS148))/SUMIF($DJ$3:$DS$3,DP$60,$DJ$4:$DS$4)))</f>
        <v>0</v>
      </c>
      <c r="DQ99" s="199" t="n">
        <f aca="false">IF((SUMIF($DJ$3:$DS$3,DQ$60,$DJ$4:$DS$4))=0,0,((SUMIF($DJ$3:$DS$3,DQ$60,$DJ148:$DS148))/SUMIF($DJ$3:$DS$3,DQ$60,$DJ$4:$DS$4)))</f>
        <v>0</v>
      </c>
      <c r="DR99" s="199" t="n">
        <f aca="false">IF((SUMIF($DJ$3:$DS$3,DR$60,$DJ$4:$DS$4))=0,0,((SUMIF($DJ$3:$DS$3,DR$60,$DJ148:$DS148))/SUMIF($DJ$3:$DS$3,DR$60,$DJ$4:$DS$4)))</f>
        <v>0</v>
      </c>
      <c r="DS99" s="200" t="n">
        <f aca="false">IF((SUMIF($DJ$3:$DS$3,DS$60,$DJ$4:$DS$4))=0,0,((SUMIF($DJ$3:$DS$3,DS$60,$DJ148:$DS148))/SUMIF($DJ$3:$DS$3,DS$60,$DJ$4:$DS$4)))</f>
        <v>0</v>
      </c>
      <c r="DT99" s="194" t="str">
        <f aca="false">DI99</f>
        <v>Alumno38</v>
      </c>
      <c r="DU99" s="198" t="n">
        <f aca="false">IF((SUMIF($DU$3:$ED$3,DU$60,$DU$4:$ED$4))=0,0,((SUMIF($DU$3:$ED$3,DU$60,$DU148:$ED148))/SUMIF($DU$3:$ED$3,DU$60,$DU$4:$ED$4)))</f>
        <v>0</v>
      </c>
      <c r="DV99" s="199" t="n">
        <f aca="false">IF((SUMIF($DU$3:$ED$3,DV$60,$DU$4:$ED$4))=0,0,((SUMIF($DU$3:$ED$3,DV$60,$DU148:$ED148))/SUMIF($DU$3:$ED$3,DV$60,$DU$4:$ED$4)))</f>
        <v>0</v>
      </c>
      <c r="DW99" s="199" t="n">
        <f aca="false">IF((SUMIF($DU$3:$ED$3,DW$60,$DU$4:$ED$4))=0,0,((SUMIF($DU$3:$ED$3,DW$60,$DU148:$ED148))/SUMIF($DU$3:$ED$3,DW$60,$DU$4:$ED$4)))</f>
        <v>0</v>
      </c>
      <c r="DX99" s="199" t="n">
        <f aca="false">IF((SUMIF($DU$3:$ED$3,DX$60,$DU$4:$ED$4))=0,0,((SUMIF($DU$3:$ED$3,DX$60,$DU148:$ED148))/SUMIF($DU$3:$ED$3,DX$60,$DU$4:$ED$4)))</f>
        <v>0</v>
      </c>
      <c r="DY99" s="199" t="n">
        <f aca="false">IF((SUMIF($DU$3:$ED$3,DY$60,$DU$4:$ED$4))=0,0,((SUMIF($DU$3:$ED$3,DY$60,$DU148:$ED148))/SUMIF($DU$3:$ED$3,DY$60,$DU$4:$ED$4)))</f>
        <v>0</v>
      </c>
      <c r="DZ99" s="199" t="n">
        <f aca="false">IF((SUMIF($DU$3:$ED$3,DZ$60,$DU$4:$ED$4))=0,0,((SUMIF($DU$3:$ED$3,DZ$60,$DU148:$ED148))/SUMIF($DU$3:$ED$3,DZ$60,$DU$4:$ED$4)))</f>
        <v>0</v>
      </c>
      <c r="EA99" s="199" t="n">
        <f aca="false">IF((SUMIF($DU$3:$ED$3,EA$60,$DU$4:$ED$4))=0,0,((SUMIF($DU$3:$ED$3,EA$60,$DU148:$ED148))/SUMIF($DU$3:$ED$3,EA$60,$DU$4:$ED$4)))</f>
        <v>0</v>
      </c>
      <c r="EB99" s="199" t="n">
        <f aca="false">IF((SUMIF($DU$3:$ED$3,EB$60,$DU$4:$ED$4))=0,0,((SUMIF($DU$3:$ED$3,EB$60,$DU148:$ED148))/SUMIF($DU$3:$ED$3,EB$60,$DU$4:$ED$4)))</f>
        <v>0</v>
      </c>
      <c r="EC99" s="199" t="n">
        <f aca="false">IF((SUMIF($DU$3:$ED$3,EC$60,$DU$4:$ED$4))=0,0,((SUMIF($DU$3:$ED$3,EC$60,$DU148:$ED148))/SUMIF($DU$3:$ED$3,EC$60,$DU$4:$ED$4)))</f>
        <v>0</v>
      </c>
      <c r="ED99" s="200" t="n">
        <f aca="false">IF((SUMIF($DU$3:$ED$3,ED$60,$DU$4:$ED$4))=0,0,((SUMIF($DU$3:$ED$3,ED$60,$DU148:$ED148))/SUMIF($DU$3:$ED$3,ED$60,$DU$4:$ED$4)))</f>
        <v>0</v>
      </c>
      <c r="EE99" s="194" t="str">
        <f aca="false">DT99</f>
        <v>Alumno38</v>
      </c>
      <c r="EF99" s="198" t="n">
        <f aca="false">IF((SUMIF($EF$3:$EO$3,EF$60,$EF$4:$EO$4))=0,0,((SUMIF($EF$3:$EO$3,EF$60,$EF148:$EO148))/SUMIF($EF$3:$EO$3,EF$60,$EF$4:$EO$4)))</f>
        <v>0</v>
      </c>
      <c r="EG99" s="199" t="n">
        <f aca="false">IF((SUMIF($EF$3:$EO$3,EG$60,$EF$4:$EO$4))=0,0,((SUMIF($EF$3:$EO$3,EG$60,$EF148:$EO148))/SUMIF($EF$3:$EO$3,EG$60,$EF$4:$EO$4)))</f>
        <v>0</v>
      </c>
      <c r="EH99" s="199" t="n">
        <f aca="false">IF((SUMIF($EF$3:$EO$3,EH$60,$EF$4:$EO$4))=0,0,((SUMIF($EF$3:$EO$3,EH$60,$EF148:$EO148))/SUMIF($EF$3:$EO$3,EH$60,$EF$4:$EO$4)))</f>
        <v>0</v>
      </c>
      <c r="EI99" s="199" t="n">
        <f aca="false">IF((SUMIF($EF$3:$EO$3,EI$60,$EF$4:$EO$4))=0,0,((SUMIF($EF$3:$EO$3,EI$60,$EF148:$EO148))/SUMIF($EF$3:$EO$3,EI$60,$EF$4:$EO$4)))</f>
        <v>0</v>
      </c>
      <c r="EJ99" s="199" t="n">
        <f aca="false">IF((SUMIF($EF$3:$EO$3,EJ$60,$EF$4:$EO$4))=0,0,((SUMIF($EF$3:$EO$3,EJ$60,$EF148:$EO148))/SUMIF($EF$3:$EO$3,EJ$60,$EF$4:$EO$4)))</f>
        <v>0</v>
      </c>
      <c r="EK99" s="199" t="n">
        <f aca="false">IF((SUMIF($EF$3:$EO$3,EK$60,$EF$4:$EO$4))=0,0,((SUMIF($EF$3:$EO$3,EK$60,$EF148:$EO148))/SUMIF($EF$3:$EO$3,EK$60,$EF$4:$EO$4)))</f>
        <v>0</v>
      </c>
      <c r="EL99" s="199" t="n">
        <f aca="false">IF((SUMIF($EF$3:$EO$3,EL$60,$EF$4:$EO$4))=0,0,((SUMIF($EF$3:$EO$3,EL$60,$EF148:$EO148))/SUMIF($EF$3:$EO$3,EL$60,$EF$4:$EO$4)))</f>
        <v>0</v>
      </c>
      <c r="EM99" s="199" t="n">
        <f aca="false">IF((SUMIF($EF$3:$EO$3,EM$60,$EF$4:$EO$4))=0,0,((SUMIF($EF$3:$EO$3,EM$60,$EF148:$EO148))/SUMIF($EF$3:$EO$3,EM$60,$EF$4:$EO$4)))</f>
        <v>0</v>
      </c>
      <c r="EN99" s="199" t="n">
        <f aca="false">IF((SUMIF($EF$3:$EO$3,EN$60,$EF$4:$EO$4))=0,0,((SUMIF($EF$3:$EO$3,EN$60,$EF148:$EO148))/SUMIF($EF$3:$EO$3,EN$60,$EF$4:$EO$4)))</f>
        <v>0</v>
      </c>
      <c r="EO99" s="200" t="n">
        <f aca="false">IF((SUMIF($EF$3:$EO$3,EO$60,$EF$4:$EO$4))=0,0,((SUMIF($EF$3:$EO$3,EO$60,$EF148:$EO148))/SUMIF($EF$3:$EO$3,EO$60,$EF$4:$EO$4)))</f>
        <v>0</v>
      </c>
      <c r="EP99" s="194" t="str">
        <f aca="false">EE99</f>
        <v>Alumno38</v>
      </c>
      <c r="EQ99" s="198" t="n">
        <f aca="false">IF((SUMIF($EQ$3:$EZ$3,EQ$60,$EQ$4:$EZ$4))=0,0,((SUMIF($EQ$3:$EZ$3,EQ$60,$EQ148:$EZ148))/SUMIF($EQ$3:$EZ$3,EQ$60,$EQ$4:$EZ$4)))</f>
        <v>0</v>
      </c>
      <c r="ER99" s="199" t="n">
        <f aca="false">IF((SUMIF($EQ$3:$EZ$3,ER$60,$EQ$4:$EZ$4))=0,0,((SUMIF($EQ$3:$EZ$3,ER$60,$EQ148:$EZ148))/SUMIF($EQ$3:$EZ$3,ER$60,$EQ$4:$EZ$4)))</f>
        <v>0</v>
      </c>
      <c r="ES99" s="199" t="n">
        <f aca="false">IF((SUMIF($EQ$3:$EZ$3,ES$60,$EQ$4:$EZ$4))=0,0,((SUMIF($EQ$3:$EZ$3,ES$60,$EQ148:$EZ148))/SUMIF($EQ$3:$EZ$3,ES$60,$EQ$4:$EZ$4)))</f>
        <v>0</v>
      </c>
      <c r="ET99" s="199" t="n">
        <f aca="false">IF((SUMIF($EQ$3:$EZ$3,ET$60,$EQ$4:$EZ$4))=0,0,((SUMIF($EQ$3:$EZ$3,ET$60,$EQ148:$EZ148))/SUMIF($EQ$3:$EZ$3,ET$60,$EQ$4:$EZ$4)))</f>
        <v>0</v>
      </c>
      <c r="EU99" s="199" t="n">
        <f aca="false">IF((SUMIF($EQ$3:$EZ$3,EU$60,$EQ$4:$EZ$4))=0,0,((SUMIF($EQ$3:$EZ$3,EU$60,$EQ148:$EZ148))/SUMIF($EQ$3:$EZ$3,EU$60,$EQ$4:$EZ$4)))</f>
        <v>0</v>
      </c>
      <c r="EV99" s="199" t="n">
        <f aca="false">IF((SUMIF($EQ$3:$EZ$3,EV$60,$EQ$4:$EZ$4))=0,0,((SUMIF($EQ$3:$EZ$3,EV$60,$EQ148:$EZ148))/SUMIF($EQ$3:$EZ$3,EV$60,$EQ$4:$EZ$4)))</f>
        <v>0</v>
      </c>
      <c r="EW99" s="199" t="n">
        <f aca="false">IF((SUMIF($EQ$3:$EZ$3,EW$60,$EQ$4:$EZ$4))=0,0,((SUMIF($EQ$3:$EZ$3,EW$60,$EQ148:$EZ148))/SUMIF($EQ$3:$EZ$3,EW$60,$EQ$4:$EZ$4)))</f>
        <v>0</v>
      </c>
      <c r="EX99" s="199" t="n">
        <f aca="false">IF((SUMIF($EQ$3:$EZ$3,EX$60,$EQ$4:$EZ$4))=0,0,((SUMIF($EQ$3:$EZ$3,EX$60,$EQ148:$EZ148))/SUMIF($EQ$3:$EZ$3,EX$60,$EQ$4:$EZ$4)))</f>
        <v>0</v>
      </c>
      <c r="EY99" s="199" t="n">
        <f aca="false">IF((SUMIF($EQ$3:$EZ$3,EY$60,$EQ$4:$EZ$4))=0,0,((SUMIF($EQ$3:$EZ$3,EY$60,$EQ148:$EZ148))/SUMIF($EQ$3:$EZ$3,EY$60,$EQ$4:$EZ$4)))</f>
        <v>0</v>
      </c>
      <c r="EZ99" s="200" t="n">
        <f aca="false">IF((SUMIF($EQ$3:$EZ$3,EZ$60,$EQ$4:$EZ$4))=0,0,((SUMIF($EQ$3:$EZ$3,EZ$60,$EQ148:$EZ148))/SUMIF($EQ$3:$EZ$3,EZ$60,$EQ$4:$EZ$4)))</f>
        <v>0</v>
      </c>
      <c r="FA99" s="194" t="str">
        <f aca="false">EP99</f>
        <v>Alumno38</v>
      </c>
      <c r="FB99" s="198" t="n">
        <f aca="false">IF((SUMIF($FB$3:$FK$3,FB$60,$FB$4:$FK$4))=0,0,((SUMIF($FB$3:$FK$3,FB$60,$FB148:$FK148))/SUMIF($FB$3:$FK$3,FB$60,$FB$4:$FK$4)))</f>
        <v>0</v>
      </c>
      <c r="FC99" s="199" t="n">
        <f aca="false">IF((SUMIF($FB$3:$FK$3,FC$60,$FB$4:$FK$4))=0,0,((SUMIF($FB$3:$FK$3,FC$60,$FB148:$FK148))/SUMIF($FB$3:$FK$3,FC$60,$FB$4:$FK$4)))</f>
        <v>0</v>
      </c>
      <c r="FD99" s="199" t="n">
        <f aca="false">IF((SUMIF($FB$3:$FK$3,FD$60,$FB$4:$FK$4))=0,0,((SUMIF($FB$3:$FK$3,FD$60,$FB148:$FK148))/SUMIF($FB$3:$FK$3,FD$60,$FB$4:$FK$4)))</f>
        <v>0</v>
      </c>
      <c r="FE99" s="199" t="n">
        <f aca="false">IF((SUMIF($FB$3:$FK$3,FE$60,$FB$4:$FK$4))=0,0,((SUMIF($FB$3:$FK$3,FE$60,$FB148:$FK148))/SUMIF($FB$3:$FK$3,FE$60,$FB$4:$FK$4)))</f>
        <v>0</v>
      </c>
      <c r="FF99" s="199" t="n">
        <f aca="false">IF((SUMIF($FB$3:$FK$3,FF$60,$FB$4:$FK$4))=0,0,((SUMIF($FB$3:$FK$3,FF$60,$FB148:$FK148))/SUMIF($FB$3:$FK$3,FF$60,$FB$4:$FK$4)))</f>
        <v>0</v>
      </c>
      <c r="FG99" s="199" t="n">
        <f aca="false">IF((SUMIF($FB$3:$FK$3,FG$60,$FB$4:$FK$4))=0,0,((SUMIF($FB$3:$FK$3,FG$60,$FB148:$FK148))/SUMIF($FB$3:$FK$3,FG$60,$FB$4:$FK$4)))</f>
        <v>0</v>
      </c>
      <c r="FH99" s="199" t="n">
        <f aca="false">IF((SUMIF($FB$3:$FK$3,FH$60,$FB$4:$FK$4))=0,0,((SUMIF($FB$3:$FK$3,FH$60,$FB148:$FK148))/SUMIF($FB$3:$FK$3,FH$60,$FB$4:$FK$4)))</f>
        <v>0</v>
      </c>
      <c r="FI99" s="199" t="n">
        <f aca="false">IF((SUMIF($FB$3:$FK$3,FI$60,$FB$4:$FK$4))=0,0,((SUMIF($FB$3:$FK$3,FI$60,$FB148:$FK148))/SUMIF($FB$3:$FK$3,FI$60,$FB$4:$FK$4)))</f>
        <v>0</v>
      </c>
      <c r="FJ99" s="199" t="n">
        <f aca="false">IF((SUMIF($FB$3:$FK$3,FJ$60,$FB$4:$FK$4))=0,0,((SUMIF($FB$3:$FK$3,FJ$60,$FB148:$FK148))/SUMIF($FB$3:$FK$3,FJ$60,$FB$4:$FK$4)))</f>
        <v>0</v>
      </c>
      <c r="FK99" s="200" t="n">
        <f aca="false">IF((SUMIF($FB$3:$FK$3,FK$60,$FB$4:$FK$4))=0,0,((SUMIF($FB$3:$FK$3,FK$60,$FB148:$FK148))/SUMIF($FB$3:$FK$3,FK$60,$FB$4:$FK$4)))</f>
        <v>0</v>
      </c>
      <c r="FL99" s="194" t="str">
        <f aca="false">FA99</f>
        <v>Alumno38</v>
      </c>
      <c r="FM99" s="198" t="n">
        <f aca="false">IF((SUMIF($FM$3:$FV$3,FM$60,$FM$4:$FV$4))=0,0,((SUMIF($FM$3:$FV$3,FM$60,$FM148:$FV148))/SUMIF($FM$3:$FV$3,FM$60,$FM$4:$FV$4)))</f>
        <v>0</v>
      </c>
      <c r="FN99" s="199" t="n">
        <f aca="false">IF((SUMIF($FM$3:$FV$3,FN$60,$FM$4:$FV$4))=0,0,((SUMIF($FM$3:$FV$3,FN$60,$FM148:$FV148))/SUMIF($FM$3:$FV$3,FN$60,$FM$4:$FV$4)))</f>
        <v>0</v>
      </c>
      <c r="FO99" s="199" t="n">
        <f aca="false">IF((SUMIF($FM$3:$FV$3,FO$60,$FM$4:$FV$4))=0,0,((SUMIF($FM$3:$FV$3,FO$60,$FM148:$FV148))/SUMIF($FM$3:$FV$3,FO$60,$FM$4:$FV$4)))</f>
        <v>0</v>
      </c>
      <c r="FP99" s="199" t="n">
        <f aca="false">IF((SUMIF($FM$3:$FV$3,FP$60,$FM$4:$FV$4))=0,0,((SUMIF($FM$3:$FV$3,FP$60,$FM148:$FV148))/SUMIF($FM$3:$FV$3,FP$60,$FM$4:$FV$4)))</f>
        <v>0</v>
      </c>
      <c r="FQ99" s="199" t="n">
        <f aca="false">IF((SUMIF($FM$3:$FV$3,FQ$60,$FM$4:$FV$4))=0,0,((SUMIF($FM$3:$FV$3,FQ$60,$FM148:$FV148))/SUMIF($FM$3:$FV$3,FQ$60,$FM$4:$FV$4)))</f>
        <v>0</v>
      </c>
      <c r="FR99" s="199" t="n">
        <f aca="false">IF((SUMIF($FM$3:$FV$3,FR$60,$FM$4:$FV$4))=0,0,((SUMIF($FM$3:$FV$3,FR$60,$FM148:$FV148))/SUMIF($FM$3:$FV$3,FR$60,$FM$4:$FV$4)))</f>
        <v>0</v>
      </c>
      <c r="FS99" s="199" t="n">
        <f aca="false">IF((SUMIF($FM$3:$FV$3,FS$60,$FM$4:$FV$4))=0,0,((SUMIF($FM$3:$FV$3,FS$60,$FM148:$FV148))/SUMIF($FM$3:$FV$3,FS$60,$FM$4:$FV$4)))</f>
        <v>0</v>
      </c>
      <c r="FT99" s="199" t="n">
        <f aca="false">IF((SUMIF($FM$3:$FV$3,FT$60,$FM$4:$FV$4))=0,0,((SUMIF($FM$3:$FV$3,FT$60,$FM148:$FV148))/SUMIF($FM$3:$FV$3,FT$60,$FM$4:$FV$4)))</f>
        <v>0</v>
      </c>
      <c r="FU99" s="199" t="n">
        <f aca="false">IF((SUMIF($FM$3:$FV$3,FU$60,$FM$4:$FV$4))=0,0,((SUMIF($FM$3:$FV$3,FU$60,$FM148:$FV148))/SUMIF($FM$3:$FV$3,FU$60,$FM$4:$FV$4)))</f>
        <v>0</v>
      </c>
      <c r="FV99" s="200" t="n">
        <f aca="false">IF((SUMIF($FM$3:$FV$3,FV$60,$FM$4:$FV$4))=0,0,((SUMIF($FM$3:$FV$3,FV$60,$FM148:$FV148))/SUMIF($FM$3:$FV$3,FV$60,$FM$4:$FV$4)))</f>
        <v>0</v>
      </c>
      <c r="FW99" s="194" t="str">
        <f aca="false">FL99</f>
        <v>Alumno38</v>
      </c>
      <c r="FX99" s="198" t="n">
        <f aca="false">IF((SUMIF($FX$3:$GG$3,FX$60,$FX$4:$GG$4))=0,0,((SUMIF($FX$3:$GG$3,FX$60,$FX148:$GG148))/SUMIF($FX$3:$GG$3,FX$60,$FX$4:$GG$4)))</f>
        <v>0</v>
      </c>
      <c r="FY99" s="199" t="n">
        <f aca="false">IF((SUMIF($FX$3:$GG$3,FY$60,$FX$4:$GG$4))=0,0,((SUMIF($FX$3:$GG$3,FY$60,$FX148:$GG148))/SUMIF($FX$3:$GG$3,FY$60,$FX$4:$GG$4)))</f>
        <v>0</v>
      </c>
      <c r="FZ99" s="199" t="n">
        <f aca="false">IF((SUMIF($FX$3:$GG$3,FZ$60,$FX$4:$GG$4))=0,0,((SUMIF($FX$3:$GG$3,FZ$60,$FX148:$GG148))/SUMIF($FX$3:$GG$3,FZ$60,$FX$4:$GG$4)))</f>
        <v>0</v>
      </c>
      <c r="GA99" s="199" t="n">
        <f aca="false">IF((SUMIF($FX$3:$GG$3,GA$60,$FX$4:$GG$4))=0,0,((SUMIF($FX$3:$GG$3,GA$60,$FX148:$GG148))/SUMIF($FX$3:$GG$3,GA$60,$FX$4:$GG$4)))</f>
        <v>0</v>
      </c>
      <c r="GB99" s="199" t="n">
        <f aca="false">IF((SUMIF($FX$3:$GG$3,GB$60,$FX$4:$GG$4))=0,0,((SUMIF($FX$3:$GG$3,GB$60,$FX148:$GG148))/SUMIF($FX$3:$GG$3,GB$60,$FX$4:$GG$4)))</f>
        <v>0</v>
      </c>
      <c r="GC99" s="199" t="n">
        <f aca="false">IF((SUMIF($FX$3:$GG$3,GC$60,$FX$4:$GG$4))=0,0,((SUMIF($FX$3:$GG$3,GC$60,$FX148:$GG148))/SUMIF($FX$3:$GG$3,GC$60,$FX$4:$GG$4)))</f>
        <v>0</v>
      </c>
      <c r="GD99" s="199" t="n">
        <f aca="false">IF((SUMIF($FX$3:$GG$3,GD$60,$FX$4:$GG$4))=0,0,((SUMIF($FX$3:$GG$3,GD$60,$FX148:$GG148))/SUMIF($FX$3:$GG$3,GD$60,$FX$4:$GG$4)))</f>
        <v>0</v>
      </c>
      <c r="GE99" s="199" t="n">
        <f aca="false">IF((SUMIF($FX$3:$GG$3,GE$60,$FX$4:$GG$4))=0,0,((SUMIF($FX$3:$GG$3,GE$60,$FX148:$GG148))/SUMIF($FX$3:$GG$3,GE$60,$FX$4:$GG$4)))</f>
        <v>0</v>
      </c>
      <c r="GF99" s="199" t="n">
        <f aca="false">IF((SUMIF($FX$3:$GG$3,GF$60,$FX$4:$GG$4))=0,0,((SUMIF($FX$3:$GG$3,GF$60,$FX148:$GG148))/SUMIF($FX$3:$GG$3,GF$60,$FX$4:$GG$4)))</f>
        <v>0</v>
      </c>
      <c r="GG99" s="200" t="n">
        <f aca="false">IF((SUMIF($FX$3:$GG$3,GG$60,$FX$4:$GG$4))=0,0,((SUMIF($FX$3:$GG$3,GG$60,$FX148:$GG148))/SUMIF($FX$3:$GG$3,GG$60,$FX$4:$GG$4)))</f>
        <v>0</v>
      </c>
      <c r="GH99" s="194" t="str">
        <f aca="false">FW99</f>
        <v>Alumno38</v>
      </c>
      <c r="GI99" s="198" t="n">
        <f aca="false">IF((SUMIF($GI$3:$GR$3,GI$60,$GI$4:$GR$4))=0,0,((SUMIF($GI$3:$GR$3,GI$60,$GI148:$GR148))/SUMIF($GI$3:$GR$3,GI$60,$GI$4:$GR$4)))</f>
        <v>0</v>
      </c>
      <c r="GJ99" s="199" t="n">
        <f aca="false">IF((SUMIF($GI$3:$GR$3,GJ$60,$GI$4:$GR$4))=0,0,((SUMIF($GI$3:$GR$3,GJ$60,$GI148:$GR148))/SUMIF($GI$3:$GR$3,GJ$60,$GI$4:$GR$4)))</f>
        <v>0</v>
      </c>
      <c r="GK99" s="199" t="n">
        <f aca="false">IF((SUMIF($GI$3:$GR$3,GK$60,$GI$4:$GR$4))=0,0,((SUMIF($GI$3:$GR$3,GK$60,$GI148:$GR148))/SUMIF($GI$3:$GR$3,GK$60,$GI$4:$GR$4)))</f>
        <v>0</v>
      </c>
      <c r="GL99" s="199" t="n">
        <f aca="false">IF((SUMIF($GI$3:$GR$3,GL$60,$GI$4:$GR$4))=0,0,((SUMIF($GI$3:$GR$3,GL$60,$GI148:$GR148))/SUMIF($GI$3:$GR$3,GL$60,$GI$4:$GR$4)))</f>
        <v>0</v>
      </c>
      <c r="GM99" s="199" t="n">
        <f aca="false">IF((SUMIF($GI$3:$GR$3,GM$60,$GI$4:$GR$4))=0,0,((SUMIF($GI$3:$GR$3,GM$60,$GI148:$GR148))/SUMIF($GI$3:$GR$3,GM$60,$GI$4:$GR$4)))</f>
        <v>0</v>
      </c>
      <c r="GN99" s="199" t="n">
        <f aca="false">IF((SUMIF($GI$3:$GR$3,GN$60,$GI$4:$GR$4))=0,0,((SUMIF($GI$3:$GR$3,GN$60,$GI148:$GR148))/SUMIF($GI$3:$GR$3,GN$60,$GI$4:$GR$4)))</f>
        <v>0</v>
      </c>
      <c r="GO99" s="199" t="n">
        <f aca="false">IF((SUMIF($GI$3:$GR$3,GO$60,$GI$4:$GR$4))=0,0,((SUMIF($GI$3:$GR$3,GO$60,$GI148:$GR148))/SUMIF($GI$3:$GR$3,GO$60,$GI$4:$GR$4)))</f>
        <v>0</v>
      </c>
      <c r="GP99" s="199" t="n">
        <f aca="false">IF((SUMIF($GI$3:$GR$3,GP$60,$GI$4:$GR$4))=0,0,((SUMIF($GI$3:$GR$3,GP$60,$GI148:$GR148))/SUMIF($GI$3:$GR$3,GP$60,$GI$4:$GR$4)))</f>
        <v>0</v>
      </c>
      <c r="GQ99" s="199" t="n">
        <f aca="false">IF((SUMIF($GI$3:$GR$3,GQ$60,$GI$4:$GR$4))=0,0,((SUMIF($GI$3:$GR$3,GQ$60,$GI148:$GR148))/SUMIF($GI$3:$GR$3,GQ$60,$GI$4:$GR$4)))</f>
        <v>0</v>
      </c>
      <c r="GR99" s="200" t="n">
        <f aca="false">IF((SUMIF($GI$3:$GR$3,GR$60,$GI$4:$GR$4))=0,0,((SUMIF($GI$3:$GR$3,GR$60,$GI148:$GR148))/SUMIF($GI$3:$GR$3,GR$60,$GI$4:$GR$4)))</f>
        <v>0</v>
      </c>
      <c r="GS99" s="194" t="str">
        <f aca="false">GH99</f>
        <v>Alumno38</v>
      </c>
      <c r="GT99" s="198" t="n">
        <f aca="false">IF((SUMIF($GT$3:$HC$3,GT$60,$GT$4:$HC$4))=0,0,((SUMIF($GT$3:$HC$3,GT$60,$GT148:$HC148))/SUMIF($GT$3:$HC$3,GT$60,$GT$4:$HC$4)))</f>
        <v>0</v>
      </c>
      <c r="GU99" s="199" t="n">
        <f aca="false">IF((SUMIF($GT$3:$HC$3,GU$60,$GT$4:$HC$4))=0,0,((SUMIF($GT$3:$HC$3,GU$60,$GT148:$HC148))/SUMIF($GT$3:$HC$3,GU$60,$GT$4:$HC$4)))</f>
        <v>0</v>
      </c>
      <c r="GV99" s="199" t="n">
        <f aca="false">IF((SUMIF($GT$3:$HC$3,GV$60,$GT$4:$HC$4))=0,0,((SUMIF($GT$3:$HC$3,GV$60,$GT148:$HC148))/SUMIF($GT$3:$HC$3,GV$60,$GT$4:$HC$4)))</f>
        <v>0</v>
      </c>
      <c r="GW99" s="199" t="n">
        <f aca="false">IF((SUMIF($GT$3:$HC$3,GW$60,$GT$4:$HC$4))=0,0,((SUMIF($GT$3:$HC$3,GW$60,$GT148:$HC148))/SUMIF($GT$3:$HC$3,GW$60,$GT$4:$HC$4)))</f>
        <v>0</v>
      </c>
      <c r="GX99" s="199" t="n">
        <f aca="false">IF((SUMIF($GT$3:$HC$3,GX$60,$GT$4:$HC$4))=0,0,((SUMIF($GT$3:$HC$3,GX$60,$GT148:$HC148))/SUMIF($GT$3:$HC$3,GX$60,$GT$4:$HC$4)))</f>
        <v>0</v>
      </c>
      <c r="GY99" s="199" t="n">
        <f aca="false">IF((SUMIF($GT$3:$HC$3,GY$60,$GT$4:$HC$4))=0,0,((SUMIF($GT$3:$HC$3,GY$60,$GT148:$HC148))/SUMIF($GT$3:$HC$3,GY$60,$GT$4:$HC$4)))</f>
        <v>0</v>
      </c>
      <c r="GZ99" s="199" t="n">
        <f aca="false">IF((SUMIF($GT$3:$HC$3,GZ$60,$GT$4:$HC$4))=0,0,((SUMIF($GT$3:$HC$3,GZ$60,$GT148:$HC148))/SUMIF($GT$3:$HC$3,GZ$60,$GT$4:$HC$4)))</f>
        <v>0</v>
      </c>
      <c r="HA99" s="199" t="n">
        <f aca="false">IF((SUMIF($GT$3:$HC$3,HA$60,$GT$4:$HC$4))=0,0,((SUMIF($GT$3:$HC$3,HA$60,$GT148:$HC148))/SUMIF($GT$3:$HC$3,HA$60,$GT$4:$HC$4)))</f>
        <v>0</v>
      </c>
      <c r="HB99" s="199" t="n">
        <f aca="false">IF((SUMIF($GT$3:$HC$3,HB$60,$GT$4:$HC$4))=0,0,((SUMIF($GT$3:$HC$3,HB$60,$GT148:$HC148))/SUMIF($GT$3:$HC$3,HB$60,$GT$4:$HC$4)))</f>
        <v>0</v>
      </c>
      <c r="HC99" s="200" t="n">
        <f aca="false">IF((SUMIF($GT$3:$HC$3,HC$60,$GT$4:$HC$4))=0,0,((SUMIF($GT$3:$HC$3,HC$60,$GT148:$HC148))/SUMIF($GT$3:$HC$3,HC$60,$GT$4:$HC$4)))</f>
        <v>0</v>
      </c>
      <c r="HD99" s="194" t="str">
        <f aca="false">GS99</f>
        <v>Alumno38</v>
      </c>
      <c r="HE99" s="198" t="n">
        <f aca="false">IF((SUMIF($HE$3:$HN$3,HE$60,$HE$4:$HN$4))=0,0,((SUMIF($HE$3:$HN$3,HE$60,$HE148:$HN148))/SUMIF($HE$3:$HN$3,HE$60,$HE$4:$HN$4)))</f>
        <v>0</v>
      </c>
      <c r="HF99" s="199" t="n">
        <f aca="false">IF((SUMIF($HE$3:$HN$3,HF$60,$HE$4:$HN$4))=0,0,((SUMIF($HE$3:$HN$3,HF$60,$HE148:$HN148))/SUMIF($HE$3:$HN$3,HF$60,$HE$4:$HN$4)))</f>
        <v>0</v>
      </c>
      <c r="HG99" s="199" t="n">
        <f aca="false">IF((SUMIF($HE$3:$HN$3,HG$60,$HE$4:$HN$4))=0,0,((SUMIF($HE$3:$HN$3,HG$60,$HE148:$HN148))/SUMIF($HE$3:$HN$3,HG$60,$HE$4:$HN$4)))</f>
        <v>0</v>
      </c>
      <c r="HH99" s="199" t="n">
        <f aca="false">IF((SUMIF($HE$3:$HN$3,HH$60,$HE$4:$HN$4))=0,0,((SUMIF($HE$3:$HN$3,HH$60,$HE148:$HN148))/SUMIF($HE$3:$HN$3,HH$60,$HE$4:$HN$4)))</f>
        <v>0</v>
      </c>
      <c r="HI99" s="199" t="n">
        <f aca="false">IF((SUMIF($HE$3:$HN$3,HI$60,$HE$4:$HN$4))=0,0,((SUMIF($HE$3:$HN$3,HI$60,$HE148:$HN148))/SUMIF($HE$3:$HN$3,HI$60,$HE$4:$HN$4)))</f>
        <v>0</v>
      </c>
      <c r="HJ99" s="199" t="n">
        <f aca="false">IF((SUMIF($HE$3:$HN$3,HJ$60,$HE$4:$HN$4))=0,0,((SUMIF($HE$3:$HN$3,HJ$60,$HE148:$HN148))/SUMIF($HE$3:$HN$3,HJ$60,$HE$4:$HN$4)))</f>
        <v>0</v>
      </c>
      <c r="HK99" s="199" t="n">
        <f aca="false">IF((SUMIF($HE$3:$HN$3,HK$60,$HE$4:$HN$4))=0,0,((SUMIF($HE$3:$HN$3,HK$60,$HE148:$HN148))/SUMIF($HE$3:$HN$3,HK$60,$HE$4:$HN$4)))</f>
        <v>0</v>
      </c>
      <c r="HL99" s="199" t="n">
        <f aca="false">IF((SUMIF($HE$3:$HN$3,HL$60,$HE$4:$HN$4))=0,0,((SUMIF($HE$3:$HN$3,HL$60,$HE148:$HN148))/SUMIF($HE$3:$HN$3,HL$60,$HE$4:$HN$4)))</f>
        <v>0</v>
      </c>
      <c r="HM99" s="199" t="n">
        <f aca="false">IF((SUMIF($HE$3:$HN$3,HM$60,$HE$4:$HN$4))=0,0,((SUMIF($HE$3:$HN$3,HM$60,$HE148:$HN148))/SUMIF($HE$3:$HN$3,HM$60,$HE$4:$HN$4)))</f>
        <v>0</v>
      </c>
      <c r="HN99" s="200" t="n">
        <f aca="false">IF((SUMIF($HE$3:$HN$3,HN$60,$HE$4:$HN$4))=0,0,((SUMIF($HE$3:$HN$3,HN$60,$HE148:$HN148))/SUMIF($HE$3:$HN$3,HN$60,$HE$4:$HN$4)))</f>
        <v>0</v>
      </c>
      <c r="HO99" s="194" t="str">
        <f aca="false">HD99</f>
        <v>Alumno38</v>
      </c>
      <c r="HP99" s="198" t="n">
        <f aca="false">IF((SUMIF($HP$3:$HY$3,HP$60,$HP$4:$HY$4))=0,0,((SUMIF($HP$3:$HY$3,HP$60,$HP148:$HY148))/SUMIF($HP$3:$HY$3,HP$60,$HP$4:$HY$4)))</f>
        <v>0</v>
      </c>
      <c r="HQ99" s="199" t="n">
        <f aca="false">IF((SUMIF($HP$3:$HY$3,HQ$60,$HP$4:$HY$4))=0,0,((SUMIF($HP$3:$HY$3,HQ$60,$HP148:$HY148))/SUMIF($HP$3:$HY$3,HQ$60,$HP$4:$HY$4)))</f>
        <v>0</v>
      </c>
      <c r="HR99" s="199" t="n">
        <f aca="false">IF((SUMIF($HP$3:$HY$3,HR$60,$HP$4:$HY$4))=0,0,((SUMIF($HP$3:$HY$3,HR$60,$HP148:$HY148))/SUMIF($HP$3:$HY$3,HR$60,$HP$4:$HY$4)))</f>
        <v>0</v>
      </c>
      <c r="HS99" s="199" t="n">
        <f aca="false">IF((SUMIF($HP$3:$HY$3,HS$60,$HP$4:$HY$4))=0,0,((SUMIF($HP$3:$HY$3,HS$60,$HP148:$HY148))/SUMIF($HP$3:$HY$3,HS$60,$HP$4:$HY$4)))</f>
        <v>0</v>
      </c>
      <c r="HT99" s="199" t="n">
        <f aca="false">IF((SUMIF($HP$3:$HY$3,HT$60,$HP$4:$HY$4))=0,0,((SUMIF($HP$3:$HY$3,HT$60,$HP148:$HY148))/SUMIF($HP$3:$HY$3,HT$60,$HP$4:$HY$4)))</f>
        <v>0</v>
      </c>
      <c r="HU99" s="199" t="n">
        <f aca="false">IF((SUMIF($HP$3:$HY$3,HU$60,$HP$4:$HY$4))=0,0,((SUMIF($HP$3:$HY$3,HU$60,$HP148:$HY148))/SUMIF($HP$3:$HY$3,HU$60,$HP$4:$HY$4)))</f>
        <v>0</v>
      </c>
      <c r="HV99" s="199" t="n">
        <f aca="false">IF((SUMIF($HP$3:$HY$3,HV$60,$HP$4:$HY$4))=0,0,((SUMIF($HP$3:$HY$3,HV$60,$HP148:$HY148))/SUMIF($HP$3:$HY$3,HV$60,$HP$4:$HY$4)))</f>
        <v>0</v>
      </c>
      <c r="HW99" s="199" t="n">
        <f aca="false">IF((SUMIF($HP$3:$HY$3,HW$60,$HP$4:$HY$4))=0,0,((SUMIF($HP$3:$HY$3,HW$60,$HP148:$HY148))/SUMIF($HP$3:$HY$3,HW$60,$HP$4:$HY$4)))</f>
        <v>0</v>
      </c>
      <c r="HX99" s="199" t="n">
        <f aca="false">IF((SUMIF($HP$3:$HY$3,HX$60,$HP$4:$HY$4))=0,0,((SUMIF($HP$3:$HY$3,HX$60,$HP148:$HY148))/SUMIF($HP$3:$HY$3,HX$60,$HP$4:$HY$4)))</f>
        <v>0</v>
      </c>
      <c r="HY99" s="200" t="n">
        <f aca="false">IF((SUMIF($HP$3:$HY$3,HY$60,$HP$4:$HY$4))=0,0,((SUMIF($HP$3:$HY$3,HY$60,$HP148:$HY148))/SUMIF($HP$3:$HY$3,HY$60,$HP$4:$HY$4)))</f>
        <v>0</v>
      </c>
      <c r="HZ99" s="194" t="str">
        <f aca="false">HO99</f>
        <v>Alumno38</v>
      </c>
      <c r="IA99" s="198" t="n">
        <f aca="false">IF((SUMIF($IA$3:$IJ$3,IA$60,$IA$4:$IJ$4))=0,0,((SUMIF($IA$3:$IJ$3,IA$60,$IA148:$IJ148))/SUMIF($IA$3:$IJ$3,IA$60,$IA$4:$IJ$4)))</f>
        <v>0</v>
      </c>
      <c r="IB99" s="199" t="n">
        <f aca="false">IF((SUMIF($IA$3:$IJ$3,IB$60,$IA$4:$IJ$4))=0,0,((SUMIF($IA$3:$IJ$3,IB$60,$IA148:$IJ148))/SUMIF($IA$3:$IJ$3,IB$60,$IA$4:$IJ$4)))</f>
        <v>0</v>
      </c>
      <c r="IC99" s="199" t="n">
        <f aca="false">IF((SUMIF($IA$3:$IJ$3,IC$60,$IA$4:$IJ$4))=0,0,((SUMIF($IA$3:$IJ$3,IC$60,$IA148:$IJ148))/SUMIF($IA$3:$IJ$3,IC$60,$IA$4:$IJ$4)))</f>
        <v>0</v>
      </c>
      <c r="ID99" s="199" t="n">
        <f aca="false">IF((SUMIF($IA$3:$IJ$3,ID$60,$IA$4:$IJ$4))=0,0,((SUMIF($IA$3:$IJ$3,ID$60,$IA148:$IJ148))/SUMIF($IA$3:$IJ$3,ID$60,$IA$4:$IJ$4)))</f>
        <v>0</v>
      </c>
      <c r="IE99" s="199" t="n">
        <f aca="false">IF((SUMIF($IA$3:$IJ$3,IE$60,$IA$4:$IJ$4))=0,0,((SUMIF($IA$3:$IJ$3,IE$60,$IA148:$IJ148))/SUMIF($IA$3:$IJ$3,IE$60,$IA$4:$IJ$4)))</f>
        <v>0</v>
      </c>
      <c r="IF99" s="199" t="n">
        <f aca="false">IF((SUMIF($IA$3:$IJ$3,IF$60,$IA$4:$IJ$4))=0,0,((SUMIF($IA$3:$IJ$3,IF$60,$IA148:$IJ148))/SUMIF($IA$3:$IJ$3,IF$60,$IA$4:$IJ$4)))</f>
        <v>0</v>
      </c>
      <c r="IG99" s="199" t="n">
        <f aca="false">IF((SUMIF($IA$3:$IJ$3,IG$60,$IA$4:$IJ$4))=0,0,((SUMIF($IA$3:$IJ$3,IG$60,$IA148:$IJ148))/SUMIF($IA$3:$IJ$3,IG$60,$IA$4:$IJ$4)))</f>
        <v>0</v>
      </c>
      <c r="IH99" s="199" t="n">
        <f aca="false">IF((SUMIF($IA$3:$IJ$3,IH$60,$IA$4:$IJ$4))=0,0,((SUMIF($IA$3:$IJ$3,IH$60,$IA148:$IJ148))/SUMIF($IA$3:$IJ$3,IH$60,$IA$4:$IJ$4)))</f>
        <v>0</v>
      </c>
      <c r="II99" s="199" t="n">
        <f aca="false">IF((SUMIF($IA$3:$IJ$3,II$60,$IA$4:$IJ$4))=0,0,((SUMIF($IA$3:$IJ$3,II$60,$IA148:$IJ148))/SUMIF($IA$3:$IJ$3,II$60,$IA$4:$IJ$4)))</f>
        <v>0</v>
      </c>
      <c r="IJ99" s="200" t="n">
        <f aca="false">IF((SUMIF($IA$3:$IJ$3,IJ$60,$IA$4:$IJ$4))=0,0,((SUMIF($IA$3:$IJ$3,IJ$60,$IA148:$IJ148))/SUMIF($IA$3:$IJ$3,IJ$60,$IA$4:$IJ$4)))</f>
        <v>0</v>
      </c>
      <c r="IK99" s="194" t="str">
        <f aca="false">HZ99</f>
        <v>Alumno38</v>
      </c>
      <c r="IL99" s="198" t="n">
        <f aca="false">IF((SUMIF($IL$3:$IU$3,IL$60,$IL$4:$IU$4))=0,0,((SUMIF($IL$3:$IU$3,IL$60,$IL148:$IU148))/SUMIF($IL$3:$IU$3,IL$60,$IL$4:$IU$4)))</f>
        <v>0</v>
      </c>
      <c r="IM99" s="199" t="n">
        <f aca="false">IF((SUMIF($IL$3:$IU$3,IM$60,$IL$4:$IU$4))=0,0,((SUMIF($IL$3:$IU$3,IM$60,$IL148:$IU148))/SUMIF($IL$3:$IU$3,IM$60,$IL$4:$IU$4)))</f>
        <v>0</v>
      </c>
      <c r="IN99" s="199" t="n">
        <f aca="false">IF((SUMIF($IL$3:$IU$3,IN$60,$IL$4:$IU$4))=0,0,((SUMIF($IL$3:$IU$3,IN$60,$IL148:$IU148))/SUMIF($IL$3:$IU$3,IN$60,$IL$4:$IU$4)))</f>
        <v>0</v>
      </c>
      <c r="IO99" s="199" t="n">
        <f aca="false">IF((SUMIF($IL$3:$IU$3,IO$60,$IL$4:$IU$4))=0,0,((SUMIF($IL$3:$IU$3,IO$60,$IL148:$IU148))/SUMIF($IL$3:$IU$3,IO$60,$IL$4:$IU$4)))</f>
        <v>0</v>
      </c>
      <c r="IP99" s="199" t="n">
        <f aca="false">IF((SUMIF($IL$3:$IU$3,IP$60,$IL$4:$IU$4))=0,0,((SUMIF($IL$3:$IU$3,IP$60,$IL148:$IU148))/SUMIF($IL$3:$IU$3,IP$60,$IL$4:$IU$4)))</f>
        <v>0</v>
      </c>
      <c r="IQ99" s="199" t="n">
        <f aca="false">IF((SUMIF($IL$3:$IU$3,IQ$60,$IL$4:$IU$4))=0,0,((SUMIF($IL$3:$IU$3,IQ$60,$IL148:$IU148))/SUMIF($IL$3:$IU$3,IQ$60,$IL$4:$IU$4)))</f>
        <v>0</v>
      </c>
      <c r="IR99" s="199" t="n">
        <f aca="false">IF((SUMIF($IL$3:$IU$3,IR$60,$IL$4:$IU$4))=0,0,((SUMIF($IL$3:$IU$3,IR$60,$IL148:$IU148))/SUMIF($IL$3:$IU$3,IR$60,$IL$4:$IU$4)))</f>
        <v>0</v>
      </c>
      <c r="IS99" s="199" t="n">
        <f aca="false">IF((SUMIF($IL$3:$IU$3,IS$60,$IL$4:$IU$4))=0,0,((SUMIF($IL$3:$IU$3,IS$60,$IL148:$IU148))/SUMIF($IL$3:$IU$3,IS$60,$IL$4:$IU$4)))</f>
        <v>0</v>
      </c>
      <c r="IT99" s="199" t="n">
        <f aca="false">IF((SUMIF($IL$3:$IU$3,IT$60,$IL$4:$IU$4))=0,0,((SUMIF($IL$3:$IU$3,IT$60,$IL148:$IU148))/SUMIF($IL$3:$IU$3,IT$60,$IL$4:$IU$4)))</f>
        <v>0</v>
      </c>
      <c r="IU99" s="200" t="n">
        <f aca="false">IF((SUMIF($IL$3:$IU$3,IU$60,$IL$4:$IU$4))=0,0,((SUMIF($IL$3:$IU$3,IU$60,$IL148:$IU148))/SUMIF($IL$3:$IU$3,IU$60,$IL$4:$IU$4)))</f>
        <v>0</v>
      </c>
      <c r="IV99" s="194" t="str">
        <f aca="false">IK99</f>
        <v>Alumno38</v>
      </c>
      <c r="IW99" s="198" t="n">
        <f aca="false">IF((SUMIF($IW$3:$JF$3,IW$60,$IW$4:$JF$4))=0,0,((SUMIF($IW$3:$JF$3,IW$60,$IW148:$JF148))/SUMIF($IW$3:$JF$3,IW$60,$IW$4:$JF$4)))</f>
        <v>0</v>
      </c>
      <c r="IX99" s="199" t="n">
        <f aca="false">IF((SUMIF($IW$3:$JF$3,IX$60,$IW$4:$JF$4))=0,0,((SUMIF($IW$3:$JF$3,IX$60,$IW148:$JF148))/SUMIF($IW$3:$JF$3,IX$60,$IW$4:$JF$4)))</f>
        <v>0</v>
      </c>
      <c r="IY99" s="199" t="n">
        <f aca="false">IF((SUMIF($IW$3:$JF$3,IY$60,$IW$4:$JF$4))=0,0,((SUMIF($IW$3:$JF$3,IY$60,$IW148:$JF148))/SUMIF($IW$3:$JF$3,IY$60,$IW$4:$JF$4)))</f>
        <v>0</v>
      </c>
      <c r="IZ99" s="199" t="n">
        <f aca="false">IF((SUMIF($IW$3:$JF$3,IZ$60,$IW$4:$JF$4))=0,0,((SUMIF($IW$3:$JF$3,IZ$60,$IW148:$JF148))/SUMIF($IW$3:$JF$3,IZ$60,$IW$4:$JF$4)))</f>
        <v>0</v>
      </c>
      <c r="JA99" s="199" t="n">
        <f aca="false">IF((SUMIF($IW$3:$JF$3,JA$60,$IW$4:$JF$4))=0,0,((SUMIF($IW$3:$JF$3,JA$60,$IW148:$JF148))/SUMIF($IW$3:$JF$3,JA$60,$IW$4:$JF$4)))</f>
        <v>0</v>
      </c>
      <c r="JB99" s="199" t="n">
        <f aca="false">IF((SUMIF($IW$3:$JF$3,JB$60,$IW$4:$JF$4))=0,0,((SUMIF($IW$3:$JF$3,JB$60,$IW148:$JF148))/SUMIF($IW$3:$JF$3,JB$60,$IW$4:$JF$4)))</f>
        <v>0</v>
      </c>
      <c r="JC99" s="199" t="n">
        <f aca="false">IF((SUMIF($IW$3:$JF$3,JC$60,$IW$4:$JF$4))=0,0,((SUMIF($IW$3:$JF$3,JC$60,$IW148:$JF148))/SUMIF($IW$3:$JF$3,JC$60,$IW$4:$JF$4)))</f>
        <v>0</v>
      </c>
      <c r="JD99" s="199" t="n">
        <f aca="false">IF((SUMIF($IW$3:$JF$3,JD$60,$IW$4:$JF$4))=0,0,((SUMIF($IW$3:$JF$3,JD$60,$IW148:$JF148))/SUMIF($IW$3:$JF$3,JD$60,$IW$4:$JF$4)))</f>
        <v>0</v>
      </c>
      <c r="JE99" s="199" t="n">
        <f aca="false">IF((SUMIF($IW$3:$JF$3,JE$60,$IW$4:$JF$4))=0,0,((SUMIF($IW$3:$JF$3,JE$60,$IW148:$JF148))/SUMIF($IW$3:$JF$3,JE$60,$IW$4:$JF$4)))</f>
        <v>0</v>
      </c>
      <c r="JF99" s="200" t="n">
        <f aca="false">IF((SUMIF($IW$3:$JF$3,JF$60,$IW$4:$JF$4))=0,0,((SUMIF($IW$3:$JF$3,JF$60,$IW148:$JF148))/SUMIF($IW$3:$JF$3,JF$60,$IW$4:$JF$4)))</f>
        <v>0</v>
      </c>
      <c r="JG99" s="194" t="str">
        <f aca="false">IV99</f>
        <v>Alumno38</v>
      </c>
      <c r="JH99" s="198" t="n">
        <f aca="false">IF((SUMIF($JH$3:$JQ$3,JH$60,$JH$4:$JQ$4))=0,0,((SUMIF($JH$3:$JQ$3,JH$60,$JH148:$JQ148))/SUMIF($JH$3:$JQ$3,JH$60,$JH$4:$JQ$4)))</f>
        <v>0</v>
      </c>
      <c r="JI99" s="199" t="n">
        <f aca="false">IF((SUMIF($JH$3:$JQ$3,JI$60,$JH$4:$JQ$4))=0,0,((SUMIF($JH$3:$JQ$3,JI$60,$JH148:$JQ148))/SUMIF($JH$3:$JQ$3,JI$60,$JH$4:$JQ$4)))</f>
        <v>0</v>
      </c>
      <c r="JJ99" s="199" t="n">
        <f aca="false">IF((SUMIF($JH$3:$JQ$3,JJ$60,$JH$4:$JQ$4))=0,0,((SUMIF($JH$3:$JQ$3,JJ$60,$JH148:$JQ148))/SUMIF($JH$3:$JQ$3,JJ$60,$JH$4:$JQ$4)))</f>
        <v>0</v>
      </c>
      <c r="JK99" s="199" t="n">
        <f aca="false">IF((SUMIF($JH$3:$JQ$3,JK$60,$JH$4:$JQ$4))=0,0,((SUMIF($JH$3:$JQ$3,JK$60,$JH148:$JQ148))/SUMIF($JH$3:$JQ$3,JK$60,$JH$4:$JQ$4)))</f>
        <v>0</v>
      </c>
      <c r="JL99" s="199" t="n">
        <f aca="false">IF((SUMIF($JH$3:$JQ$3,JL$60,$JH$4:$JQ$4))=0,0,((SUMIF($JH$3:$JQ$3,JL$60,$JH148:$JQ148))/SUMIF($JH$3:$JQ$3,JL$60,$JH$4:$JQ$4)))</f>
        <v>0</v>
      </c>
      <c r="JM99" s="199" t="n">
        <f aca="false">IF((SUMIF($JH$3:$JQ$3,JM$60,$JH$4:$JQ$4))=0,0,((SUMIF($JH$3:$JQ$3,JM$60,$JH148:$JQ148))/SUMIF($JH$3:$JQ$3,JM$60,$JH$4:$JQ$4)))</f>
        <v>0</v>
      </c>
      <c r="JN99" s="199" t="n">
        <f aca="false">IF((SUMIF($JH$3:$JQ$3,JN$60,$JH$4:$JQ$4))=0,0,((SUMIF($JH$3:$JQ$3,JN$60,$JH148:$JQ148))/SUMIF($JH$3:$JQ$3,JN$60,$JH$4:$JQ$4)))</f>
        <v>0</v>
      </c>
      <c r="JO99" s="199" t="n">
        <f aca="false">IF((SUMIF($JH$3:$JQ$3,JO$60,$JH$4:$JQ$4))=0,0,((SUMIF($JH$3:$JQ$3,JO$60,$JH148:$JQ148))/SUMIF($JH$3:$JQ$3,JO$60,$JH$4:$JQ$4)))</f>
        <v>0</v>
      </c>
      <c r="JP99" s="199" t="n">
        <f aca="false">IF((SUMIF($JH$3:$JQ$3,JP$60,$JH$4:$JQ$4))=0,0,((SUMIF($JH$3:$JQ$3,JP$60,$JH148:$JQ148))/SUMIF($JH$3:$JQ$3,JP$60,$JH$4:$JQ$4)))</f>
        <v>0</v>
      </c>
      <c r="JQ99" s="200" t="n">
        <f aca="false">IF((SUMIF($JH$3:$JQ$3,JQ$60,$JH$4:$JQ$4))=0,0,((SUMIF($JH$3:$JQ$3,JQ$60,$JH148:$JQ148))/SUMIF($JH$3:$JQ$3,JQ$60,$JH$4:$JQ$4)))</f>
        <v>0</v>
      </c>
      <c r="JR99" s="194" t="str">
        <f aca="false">JG99</f>
        <v>Alumno38</v>
      </c>
      <c r="JS99" s="198" t="n">
        <f aca="false">IF((SUMIF($JS$3:$KB$3,JS$60,$JS$4:$KB$4))=0,0,((SUMIF($JS$3:$KB$3,JS$60,$JS148:$KB148))/SUMIF($JS$3:$KB$3,JS$60,$JS$4:$KB$4)))</f>
        <v>0</v>
      </c>
      <c r="JT99" s="199" t="n">
        <f aca="false">IF((SUMIF($JS$3:$KB$3,JT$60,$JS$4:$KB$4))=0,0,((SUMIF($JS$3:$KB$3,JT$60,$JS148:$KB148))/SUMIF($JS$3:$KB$3,JT$60,$JS$4:$KB$4)))</f>
        <v>0</v>
      </c>
      <c r="JU99" s="199" t="n">
        <f aca="false">IF((SUMIF($JS$3:$KB$3,JU$60,$JS$4:$KB$4))=0,0,((SUMIF($JS$3:$KB$3,JU$60,$JS148:$KB148))/SUMIF($JS$3:$KB$3,JU$60,$JS$4:$KB$4)))</f>
        <v>0</v>
      </c>
      <c r="JV99" s="199" t="n">
        <f aca="false">IF((SUMIF($JS$3:$KB$3,JV$60,$JS$4:$KB$4))=0,0,((SUMIF($JS$3:$KB$3,JV$60,$JS148:$KB148))/SUMIF($JS$3:$KB$3,JV$60,$JS$4:$KB$4)))</f>
        <v>0</v>
      </c>
      <c r="JW99" s="199" t="n">
        <f aca="false">IF((SUMIF($JS$3:$KB$3,JW$60,$JS$4:$KB$4))=0,0,((SUMIF($JS$3:$KB$3,JW$60,$JS148:$KB148))/SUMIF($JS$3:$KB$3,JW$60,$JS$4:$KB$4)))</f>
        <v>0</v>
      </c>
      <c r="JX99" s="199" t="n">
        <f aca="false">IF((SUMIF($JS$3:$KB$3,JX$60,$JS$4:$KB$4))=0,0,((SUMIF($JS$3:$KB$3,JX$60,$JS148:$KB148))/SUMIF($JS$3:$KB$3,JX$60,$JS$4:$KB$4)))</f>
        <v>0</v>
      </c>
      <c r="JY99" s="199" t="n">
        <f aca="false">IF((SUMIF($JS$3:$KB$3,JY$60,$JS$4:$KB$4))=0,0,((SUMIF($JS$3:$KB$3,JY$60,$JS148:$KB148))/SUMIF($JS$3:$KB$3,JY$60,$JS$4:$KB$4)))</f>
        <v>0</v>
      </c>
      <c r="JZ99" s="199" t="n">
        <f aca="false">IF((SUMIF($JS$3:$KB$3,JZ$60,$JS$4:$KB$4))=0,0,((SUMIF($JS$3:$KB$3,JZ$60,$JS148:$KB148))/SUMIF($JS$3:$KB$3,JZ$60,$JS$4:$KB$4)))</f>
        <v>0</v>
      </c>
      <c r="KA99" s="199" t="n">
        <f aca="false">IF((SUMIF($JS$3:$KB$3,KA$60,$JS$4:$KB$4))=0,0,((SUMIF($JS$3:$KB$3,KA$60,$JS148:$KB148))/SUMIF($JS$3:$KB$3,KA$60,$JS$4:$KB$4)))</f>
        <v>0</v>
      </c>
      <c r="KB99" s="200" t="n">
        <f aca="false">IF((SUMIF($JS$3:$KB$3,KB$60,$JS$4:$KB$4))=0,0,((SUMIF($JS$3:$KB$3,KB$60,$JS148:$KB148))/SUMIF($JS$3:$KB$3,KB$60,$JS$4:$KB$4)))</f>
        <v>0</v>
      </c>
      <c r="KC99" s="194" t="str">
        <f aca="false">JR99</f>
        <v>Alumno38</v>
      </c>
      <c r="KD99" s="198" t="n">
        <f aca="false">IF((SUMIF($KD$3:$KM$3,KD$60,$KD$4:$KM$4))=0,0,((SUMIF($KD$3:$KM$3,KD$60,$KD148:$KM148))/SUMIF($KD$3:$KM$3,KD$60,$KD$4:$KM$4)))</f>
        <v>0</v>
      </c>
      <c r="KE99" s="199" t="n">
        <f aca="false">IF((SUMIF($KD$3:$KM$3,KE$60,$KD$4:$KM$4))=0,0,((SUMIF($KD$3:$KM$3,KE$60,$KD148:$KM148))/SUMIF($KD$3:$KM$3,KE$60,$KD$4:$KM$4)))</f>
        <v>0</v>
      </c>
      <c r="KF99" s="199" t="n">
        <f aca="false">IF((SUMIF($KD$3:$KM$3,KF$60,$KD$4:$KM$4))=0,0,((SUMIF($KD$3:$KM$3,KF$60,$KD148:$KM148))/SUMIF($KD$3:$KM$3,KF$60,$KD$4:$KM$4)))</f>
        <v>0</v>
      </c>
      <c r="KG99" s="199" t="n">
        <f aca="false">IF((SUMIF($KD$3:$KM$3,KG$60,$KD$4:$KM$4))=0,0,((SUMIF($KD$3:$KM$3,KG$60,$KD148:$KM148))/SUMIF($KD$3:$KM$3,KG$60,$KD$4:$KM$4)))</f>
        <v>0</v>
      </c>
      <c r="KH99" s="199" t="n">
        <f aca="false">IF((SUMIF($KD$3:$KM$3,KH$60,$KD$4:$KM$4))=0,0,((SUMIF($KD$3:$KM$3,KH$60,$KD148:$KM148))/SUMIF($KD$3:$KM$3,KH$60,$KD$4:$KM$4)))</f>
        <v>0</v>
      </c>
      <c r="KI99" s="199" t="n">
        <f aca="false">IF((SUMIF($KD$3:$KM$3,KI$60,$KD$4:$KM$4))=0,0,((SUMIF($KD$3:$KM$3,KI$60,$KD148:$KM148))/SUMIF($KD$3:$KM$3,KI$60,$KD$4:$KM$4)))</f>
        <v>0</v>
      </c>
      <c r="KJ99" s="199" t="n">
        <f aca="false">IF((SUMIF($KD$3:$KM$3,KJ$60,$KD$4:$KM$4))=0,0,((SUMIF($KD$3:$KM$3,KJ$60,$KD148:$KM148))/SUMIF($KD$3:$KM$3,KJ$60,$KD$4:$KM$4)))</f>
        <v>0</v>
      </c>
      <c r="KK99" s="199" t="n">
        <f aca="false">IF((SUMIF($KD$3:$KM$3,KK$60,$KD$4:$KM$4))=0,0,((SUMIF($KD$3:$KM$3,KK$60,$KD148:$KM148))/SUMIF($KD$3:$KM$3,KK$60,$KD$4:$KM$4)))</f>
        <v>0</v>
      </c>
      <c r="KL99" s="199" t="n">
        <f aca="false">IF((SUMIF($KD$3:$KM$3,KL$60,$KD$4:$KM$4))=0,0,((SUMIF($KD$3:$KM$3,KL$60,$KD148:$KM148))/SUMIF($KD$3:$KM$3,KL$60,$KD$4:$KM$4)))</f>
        <v>0</v>
      </c>
      <c r="KM99" s="200" t="n">
        <f aca="false">IF((SUMIF($KD$3:$KM$3,KM$60,$KD$4:$KM$4))=0,0,((SUMIF($KD$3:$KM$3,KM$60,$KD148:$KM148))/SUMIF($KD$3:$KM$3,KM$60,$KD$4:$KM$4)))</f>
        <v>0</v>
      </c>
      <c r="KN99" s="194" t="str">
        <f aca="false">KC99</f>
        <v>Alumno38</v>
      </c>
      <c r="KO99" s="198" t="n">
        <f aca="false">IF((SUMIF($KO$3:$KX$3,KO$60,$KO$4:$KX$4))=0,0,((SUMIF($KO$3:$KX$3,KO$60,$KO148:$KX148))/SUMIF($KO$3:$KX$3,KO$60,$KO$4:$KX$4)))</f>
        <v>0</v>
      </c>
      <c r="KP99" s="199" t="n">
        <f aca="false">IF((SUMIF($KO$3:$KX$3,KP$60,$KO$4:$KX$4))=0,0,((SUMIF($KO$3:$KX$3,KP$60,$KO148:$KX148))/SUMIF($KO$3:$KX$3,KP$60,$KO$4:$KX$4)))</f>
        <v>0</v>
      </c>
      <c r="KQ99" s="199" t="n">
        <f aca="false">IF((SUMIF($KO$3:$KX$3,KQ$60,$KO$4:$KX$4))=0,0,((SUMIF($KO$3:$KX$3,KQ$60,$KO148:$KX148))/SUMIF($KO$3:$KX$3,KQ$60,$KO$4:$KX$4)))</f>
        <v>0</v>
      </c>
      <c r="KR99" s="199" t="n">
        <f aca="false">IF((SUMIF($KO$3:$KX$3,KR$60,$KO$4:$KX$4))=0,0,((SUMIF($KO$3:$KX$3,KR$60,$KO148:$KX148))/SUMIF($KO$3:$KX$3,KR$60,$KO$4:$KX$4)))</f>
        <v>0</v>
      </c>
      <c r="KS99" s="199" t="n">
        <f aca="false">IF((SUMIF($KO$3:$KX$3,KS$60,$KO$4:$KX$4))=0,0,((SUMIF($KO$3:$KX$3,KS$60,$KO148:$KX148))/SUMIF($KO$3:$KX$3,KS$60,$KO$4:$KX$4)))</f>
        <v>0</v>
      </c>
      <c r="KT99" s="199" t="n">
        <f aca="false">IF((SUMIF($KO$3:$KX$3,KT$60,$KO$4:$KX$4))=0,0,((SUMIF($KO$3:$KX$3,KT$60,$KO148:$KX148))/SUMIF($KO$3:$KX$3,KT$60,$KO$4:$KX$4)))</f>
        <v>0</v>
      </c>
      <c r="KU99" s="199" t="n">
        <f aca="false">IF((SUMIF($KO$3:$KX$3,KU$60,$KO$4:$KX$4))=0,0,((SUMIF($KO$3:$KX$3,KU$60,$KO148:$KX148))/SUMIF($KO$3:$KX$3,KU$60,$KO$4:$KX$4)))</f>
        <v>0</v>
      </c>
      <c r="KV99" s="199" t="n">
        <f aca="false">IF((SUMIF($KO$3:$KX$3,KV$60,$KO$4:$KX$4))=0,0,((SUMIF($KO$3:$KX$3,KV$60,$KO148:$KX148))/SUMIF($KO$3:$KX$3,KV$60,$KO$4:$KX$4)))</f>
        <v>0</v>
      </c>
      <c r="KW99" s="199" t="n">
        <f aca="false">IF((SUMIF($KO$3:$KX$3,KW$60,$KO$4:$KX$4))=0,0,((SUMIF($KO$3:$KX$3,KW$60,$KO148:$KX148))/SUMIF($KO$3:$KX$3,KW$60,$KO$4:$KX$4)))</f>
        <v>0</v>
      </c>
      <c r="KX99" s="200" t="n">
        <f aca="false">IF((SUMIF($KO$3:$KX$3,KX$60,$KO$4:$KX$4))=0,0,((SUMIF($KO$3:$KX$3,KX$60,$KO148:$KX148))/SUMIF($KO$3:$KX$3,KX$60,$KO$4:$KX$4)))</f>
        <v>0</v>
      </c>
      <c r="KY99" s="194" t="str">
        <f aca="false">KN99</f>
        <v>Alumno38</v>
      </c>
      <c r="KZ99" s="198" t="n">
        <f aca="false">IF((SUMIF($KZ$3:$LI$3,KZ$60,$KZ$4:$LI$4))=0,0,((SUMIF($KZ$3:$LI$3,KZ$60,$KZ148:$LI148))/SUMIF($KZ$3:$LI$3,KZ$60,$KZ$4:$LI$4)))</f>
        <v>0</v>
      </c>
      <c r="LA99" s="199" t="n">
        <f aca="false">IF((SUMIF($KZ$3:$LI$3,LA$60,$KZ$4:$LI$4))=0,0,((SUMIF($KZ$3:$LI$3,LA$60,$KZ148:$LI148))/SUMIF($KZ$3:$LI$3,LA$60,$KZ$4:$LI$4)))</f>
        <v>0</v>
      </c>
      <c r="LB99" s="199" t="n">
        <f aca="false">IF((SUMIF($KZ$3:$LI$3,LB$60,$KZ$4:$LI$4))=0,0,((SUMIF($KZ$3:$LI$3,LB$60,$KZ148:$LI148))/SUMIF($KZ$3:$LI$3,LB$60,$KZ$4:$LI$4)))</f>
        <v>0</v>
      </c>
      <c r="LC99" s="199" t="n">
        <f aca="false">IF((SUMIF($KZ$3:$LI$3,LC$60,$KZ$4:$LI$4))=0,0,((SUMIF($KZ$3:$LI$3,LC$60,$KZ148:$LI148))/SUMIF($KZ$3:$LI$3,LC$60,$KZ$4:$LI$4)))</f>
        <v>0</v>
      </c>
      <c r="LD99" s="199" t="n">
        <f aca="false">IF((SUMIF($KZ$3:$LI$3,LD$60,$KZ$4:$LI$4))=0,0,((SUMIF($KZ$3:$LI$3,LD$60,$KZ148:$LI148))/SUMIF($KZ$3:$LI$3,LD$60,$KZ$4:$LI$4)))</f>
        <v>0</v>
      </c>
      <c r="LE99" s="199" t="n">
        <f aca="false">IF((SUMIF($KZ$3:$LI$3,LE$60,$KZ$4:$LI$4))=0,0,((SUMIF($KZ$3:$LI$3,LE$60,$KZ148:$LI148))/SUMIF($KZ$3:$LI$3,LE$60,$KZ$4:$LI$4)))</f>
        <v>0</v>
      </c>
      <c r="LF99" s="199" t="n">
        <f aca="false">IF((SUMIF($KZ$3:$LI$3,LF$60,$KZ$4:$LI$4))=0,0,((SUMIF($KZ$3:$LI$3,LF$60,$KZ148:$LI148))/SUMIF($KZ$3:$LI$3,LF$60,$KZ$4:$LI$4)))</f>
        <v>0</v>
      </c>
      <c r="LG99" s="199" t="n">
        <f aca="false">IF((SUMIF($KZ$3:$LI$3,LG$60,$KZ$4:$LI$4))=0,0,((SUMIF($KZ$3:$LI$3,LG$60,$KZ148:$LI148))/SUMIF($KZ$3:$LI$3,LG$60,$KZ$4:$LI$4)))</f>
        <v>0</v>
      </c>
      <c r="LH99" s="199" t="n">
        <f aca="false">IF((SUMIF($KZ$3:$LI$3,LH$60,$KZ$4:$LI$4))=0,0,((SUMIF($KZ$3:$LI$3,LH$60,$KZ148:$LI148))/SUMIF($KZ$3:$LI$3,LH$60,$KZ$4:$LI$4)))</f>
        <v>0</v>
      </c>
      <c r="LI99" s="200" t="n">
        <f aca="false">IF((SUMIF($KZ$3:$LI$3,LI$60,$KZ$4:$LI$4))=0,0,((SUMIF($KZ$3:$LI$3,LI$60,$KZ148:$LI148))/SUMIF($KZ$3:$LI$3,LI$60,$KZ$4:$LI$4)))</f>
        <v>0</v>
      </c>
      <c r="LJ99" s="194" t="str">
        <f aca="false">KY99</f>
        <v>Alumno38</v>
      </c>
      <c r="LK99" s="198" t="n">
        <f aca="false">IF((SUMIF($LK$3:$LT$3,LK$60,$LK$4:$LT$4))=0,0,((SUMIF($LK$3:$LT$3,LK$60,$LK148:$LT148))/SUMIF($LK$3:$LT$3,LK$60,$LK$4:$LT$4)))</f>
        <v>0</v>
      </c>
      <c r="LL99" s="199" t="n">
        <f aca="false">IF((SUMIF($LK$3:$LT$3,LL$60,$LK$4:$LT$4))=0,0,((SUMIF($LK$3:$LT$3,LL$60,$LK148:$LT148))/SUMIF($LK$3:$LT$3,LL$60,$LK$4:$LT$4)))</f>
        <v>0</v>
      </c>
      <c r="LM99" s="199" t="n">
        <f aca="false">IF((SUMIF($LK$3:$LT$3,LM$60,$LK$4:$LT$4))=0,0,((SUMIF($LK$3:$LT$3,LM$60,$LK148:$LT148))/SUMIF($LK$3:$LT$3,LM$60,$LK$4:$LT$4)))</f>
        <v>0</v>
      </c>
      <c r="LN99" s="199" t="n">
        <f aca="false">IF((SUMIF($LK$3:$LT$3,LN$60,$LK$4:$LT$4))=0,0,((SUMIF($LK$3:$LT$3,LN$60,$LK148:$LT148))/SUMIF($LK$3:$LT$3,LN$60,$LK$4:$LT$4)))</f>
        <v>0</v>
      </c>
      <c r="LO99" s="199" t="n">
        <f aca="false">IF((SUMIF($LK$3:$LT$3,LO$60,$LK$4:$LT$4))=0,0,((SUMIF($LK$3:$LT$3,LO$60,$LK148:$LT148))/SUMIF($LK$3:$LT$3,LO$60,$LK$4:$LT$4)))</f>
        <v>0</v>
      </c>
      <c r="LP99" s="199" t="n">
        <f aca="false">IF((SUMIF($LK$3:$LT$3,LP$60,$LK$4:$LT$4))=0,0,((SUMIF($LK$3:$LT$3,LP$60,$LK148:$LT148))/SUMIF($LK$3:$LT$3,LP$60,$LK$4:$LT$4)))</f>
        <v>0</v>
      </c>
      <c r="LQ99" s="199" t="n">
        <f aca="false">IF((SUMIF($LK$3:$LT$3,LQ$60,$LK$4:$LT$4))=0,0,((SUMIF($LK$3:$LT$3,LQ$60,$LK148:$LT148))/SUMIF($LK$3:$LT$3,LQ$60,$LK$4:$LT$4)))</f>
        <v>0</v>
      </c>
      <c r="LR99" s="199" t="n">
        <f aca="false">IF((SUMIF($LK$3:$LT$3,LR$60,$LK$4:$LT$4))=0,0,((SUMIF($LK$3:$LT$3,LR$60,$LK148:$LT148))/SUMIF($LK$3:$LT$3,LR$60,$LK$4:$LT$4)))</f>
        <v>0</v>
      </c>
      <c r="LS99" s="199" t="n">
        <f aca="false">IF((SUMIF($LK$3:$LT$3,LS$60,$LK$4:$LT$4))=0,0,((SUMIF($LK$3:$LT$3,LS$60,$LK148:$LT148))/SUMIF($LK$3:$LT$3,LS$60,$LK$4:$LT$4)))</f>
        <v>0</v>
      </c>
      <c r="LT99" s="200" t="n">
        <f aca="false">IF((SUMIF($LK$3:$LT$3,LT$60,$LK$4:$LT$4))=0,0,((SUMIF($LK$3:$LT$3,LT$60,$LK148:$LT148))/SUMIF($LK$3:$LT$3,LT$60,$LK$4:$LT$4)))</f>
        <v>0</v>
      </c>
    </row>
    <row r="100" customFormat="false" ht="15" hidden="true" customHeight="false" outlineLevel="0" collapsed="false">
      <c r="C100" s="194" t="str">
        <f aca="false">B44</f>
        <v>Alumno39</v>
      </c>
      <c r="D100" s="198" t="n">
        <f aca="false">IF((SUMIF($D$3:$M$3,D$60,$D$4:$M$4))=0,0,((SUMIF($D$3:$M$3,D$60,$D149:$M149))/SUMIF($D$3:$M$3,D$60,$D$4:$M$4)))</f>
        <v>0</v>
      </c>
      <c r="E100" s="199" t="n">
        <f aca="false">IF((SUMIF($D$3:$M$3,E$60,$D$4:$M$4))=0,0,((SUMIF($D$3:$M$3,E$60,$D149:$M149))/SUMIF($D$3:$M$3,E$60,$D$4:$M$4)))</f>
        <v>0</v>
      </c>
      <c r="F100" s="199" t="n">
        <f aca="false">IF((SUMIF($D$3:$M$3,F$60,$D$4:$M$4))=0,0,((SUMIF($D$3:$M$3,F$60,$D149:$M149))/SUMIF($D$3:$M$3,F$60,$D$4:$M$4)))</f>
        <v>0</v>
      </c>
      <c r="G100" s="199" t="n">
        <f aca="false">IF((SUMIF($D$3:$M$3,G$60,$D$4:$M$4))=0,0,((SUMIF($D$3:$M$3,G$60,$D149:$M149))/SUMIF($D$3:$M$3,G$60,$D$4:$M$4)))</f>
        <v>0</v>
      </c>
      <c r="H100" s="199" t="n">
        <f aca="false">IF((SUMIF($D$3:$M$3,H$60,$D$4:$M$4))=0,0,((SUMIF($D$3:$M$3,H$60,$D149:$M149))/SUMIF($D$3:$M$3,H$60,$D$4:$M$4)))</f>
        <v>0</v>
      </c>
      <c r="I100" s="199" t="n">
        <f aca="false">IF((SUMIF($D$3:$M$3,I$60,$D$4:$M$4))=0,0,((SUMIF($D$3:$M$3,I$60,$D149:$M149))/SUMIF($D$3:$M$3,I$60,$D$4:$M$4)))</f>
        <v>0</v>
      </c>
      <c r="J100" s="199" t="n">
        <f aca="false">IF((SUMIF($D$3:$M$3,J$60,$D$4:$M$4))=0,0,((SUMIF($D$3:$M$3,J$60,$D149:$M149))/SUMIF($D$3:$M$3,J$60,$D$4:$M$4)))</f>
        <v>0</v>
      </c>
      <c r="K100" s="199" t="n">
        <f aca="false">IF((SUMIF($D$3:$M$3,K$60,$D$4:$M$4))=0,0,((SUMIF($D$3:$M$3,K$60,$D149:$M149))/SUMIF($D$3:$M$3,K$60,$D$4:$M$4)))</f>
        <v>0</v>
      </c>
      <c r="L100" s="199" t="n">
        <f aca="false">IF((SUMIF($D$3:$M$3,L$60,$D$4:$M$4))=0,0,((SUMIF($D$3:$M$3,L$60,$D149:$M149))/SUMIF($D$3:$M$3,L$60,$D$4:$M$4)))</f>
        <v>0</v>
      </c>
      <c r="M100" s="200" t="n">
        <f aca="false">IF((SUMIF($D$3:$M$3,M$60,$D$4:$M$4))=0,0,((SUMIF($D$3:$M$3,M$60,$D149:$M149))/SUMIF($D$3:$M$3,M$60,$D$4:$M$4)))</f>
        <v>0</v>
      </c>
      <c r="N100" s="194" t="str">
        <f aca="false">C100</f>
        <v>Alumno39</v>
      </c>
      <c r="O100" s="198" t="n">
        <f aca="false">IF((SUMIF($O$3:$X$3,O$60,$O$4:$X$4))=0,0,((SUMIF($O$3:$X$3,O$60,$O149:$X149))/SUMIF($O$3:$X$3,O$60,$O$4:$X$4)))</f>
        <v>0</v>
      </c>
      <c r="P100" s="199" t="n">
        <f aca="false">IF((SUMIF($O$3:$X$3,P$60,$O$4:$X$4))=0,0,((SUMIF($O$3:$X$3,P$60,$O149:$X149))/SUMIF($O$3:$X$3,P$60,$O$4:$X$4)))</f>
        <v>0</v>
      </c>
      <c r="Q100" s="199" t="n">
        <f aca="false">IF((SUMIF($O$3:$X$3,Q$60,$O$4:$X$4))=0,0,((SUMIF($O$3:$X$3,Q$60,$O149:$X149))/SUMIF($O$3:$X$3,Q$60,$O$4:$X$4)))</f>
        <v>0</v>
      </c>
      <c r="R100" s="199" t="n">
        <f aca="false">IF((SUMIF($O$3:$X$3,R$60,$O$4:$X$4))=0,0,((SUMIF($O$3:$X$3,R$60,$O149:$X149))/SUMIF($O$3:$X$3,R$60,$O$4:$X$4)))</f>
        <v>0</v>
      </c>
      <c r="S100" s="199" t="n">
        <f aca="false">IF((SUMIF($O$3:$X$3,S$60,$O$4:$X$4))=0,0,((SUMIF($O$3:$X$3,S$60,$O149:$X149))/SUMIF($O$3:$X$3,S$60,$O$4:$X$4)))</f>
        <v>0</v>
      </c>
      <c r="T100" s="199" t="n">
        <f aca="false">IF((SUMIF($O$3:$X$3,T$60,$O$4:$X$4))=0,0,((SUMIF($O$3:$X$3,T$60,$O149:$X149))/SUMIF($O$3:$X$3,T$60,$O$4:$X$4)))</f>
        <v>0</v>
      </c>
      <c r="U100" s="199" t="n">
        <f aca="false">IF((SUMIF($O$3:$X$3,U$60,$O$4:$X$4))=0,0,((SUMIF($O$3:$X$3,U$60,$O149:$X149))/SUMIF($O$3:$X$3,U$60,$O$4:$X$4)))</f>
        <v>0</v>
      </c>
      <c r="V100" s="199" t="n">
        <f aca="false">IF((SUMIF($O$3:$X$3,V$60,$O$4:$X$4))=0,0,((SUMIF($O$3:$X$3,V$60,$O149:$X149))/SUMIF($O$3:$X$3,V$60,$O$4:$X$4)))</f>
        <v>0</v>
      </c>
      <c r="W100" s="199" t="n">
        <f aca="false">IF((SUMIF($O$3:$X$3,W$60,$O$4:$X$4))=0,0,((SUMIF($O$3:$X$3,W$60,$O149:$X149))/SUMIF($O$3:$X$3,W$60,$O$4:$X$4)))</f>
        <v>0</v>
      </c>
      <c r="X100" s="200" t="n">
        <f aca="false">IF((SUMIF($O$3:$X$3,X$60,$O$4:$X$4))=0,0,((SUMIF($O$3:$X$3,X$60,$O149:$X149))/SUMIF($O$3:$X$3,X$60,$O$4:$X$4)))</f>
        <v>0</v>
      </c>
      <c r="Y100" s="194" t="str">
        <f aca="false">N100</f>
        <v>Alumno39</v>
      </c>
      <c r="Z100" s="198" t="n">
        <f aca="false">IF((SUMIF($Z$3:$AI$3,Z$60,$Z$4:$AI$4))=0,0,((SUMIF($Z$3:$AI$3,Z$60,$Z149:$AI149))/SUMIF($Z$3:$AI$3,Z$60,$Z$4:$AI$4)))</f>
        <v>0</v>
      </c>
      <c r="AA100" s="199" t="n">
        <f aca="false">IF((SUMIF($Z$3:$AI$3,AA$60,$Z$4:$AI$4))=0,0,((SUMIF($Z$3:$AI$3,AA$60,$Z149:$AI149))/SUMIF($Z$3:$AI$3,AA$60,$Z$4:$AI$4)))</f>
        <v>0</v>
      </c>
      <c r="AB100" s="199" t="n">
        <f aca="false">IF((SUMIF($Z$3:$AI$3,AB$60,$Z$4:$AI$4))=0,0,((SUMIF($Z$3:$AI$3,AB$60,$Z149:$AI149))/SUMIF($Z$3:$AI$3,AB$60,$Z$4:$AI$4)))</f>
        <v>0</v>
      </c>
      <c r="AC100" s="199" t="n">
        <f aca="false">IF((SUMIF($Z$3:$AI$3,AC$60,$Z$4:$AI$4))=0,0,((SUMIF($Z$3:$AI$3,AC$60,$Z149:$AI149))/SUMIF($Z$3:$AI$3,AC$60,$Z$4:$AI$4)))</f>
        <v>0</v>
      </c>
      <c r="AD100" s="199" t="n">
        <f aca="false">IF((SUMIF($Z$3:$AI$3,AD$60,$Z$4:$AI$4))=0,0,((SUMIF($Z$3:$AI$3,AD$60,$Z149:$AI149))/SUMIF($Z$3:$AI$3,AD$60,$Z$4:$AI$4)))</f>
        <v>0</v>
      </c>
      <c r="AE100" s="199" t="n">
        <f aca="false">IF((SUMIF($Z$3:$AI$3,AE$60,$Z$4:$AI$4))=0,0,((SUMIF($Z$3:$AI$3,AE$60,$Z149:$AI149))/SUMIF($Z$3:$AI$3,AE$60,$Z$4:$AI$4)))</f>
        <v>0</v>
      </c>
      <c r="AF100" s="199" t="n">
        <f aca="false">IF((SUMIF($Z$3:$AI$3,AF$60,$Z$4:$AI$4))=0,0,((SUMIF($Z$3:$AI$3,AF$60,$Z149:$AI149))/SUMIF($Z$3:$AI$3,AF$60,$Z$4:$AI$4)))</f>
        <v>0</v>
      </c>
      <c r="AG100" s="199" t="n">
        <f aca="false">IF((SUMIF($Z$3:$AI$3,AG$60,$Z$4:$AI$4))=0,0,((SUMIF($Z$3:$AI$3,AG$60,$Z149:$AI149))/SUMIF($Z$3:$AI$3,AG$60,$Z$4:$AI$4)))</f>
        <v>0</v>
      </c>
      <c r="AH100" s="199" t="n">
        <f aca="false">IF((SUMIF($Z$3:$AI$3,AH$60,$Z$4:$AI$4))=0,0,((SUMIF($Z$3:$AI$3,AH$60,$Z149:$AI149))/SUMIF($Z$3:$AI$3,AH$60,$Z$4:$AI$4)))</f>
        <v>0</v>
      </c>
      <c r="AI100" s="200" t="n">
        <f aca="false">IF((SUMIF($Z$3:$AI$3,AI$60,$Z$4:$AI$4))=0,0,((SUMIF($Z$3:$AI$3,AI$60,$Z149:$AI149))/SUMIF($Z$3:$AI$3,AI$60,$Z$4:$AI$4)))</f>
        <v>0</v>
      </c>
      <c r="AJ100" s="194" t="str">
        <f aca="false">Y100</f>
        <v>Alumno39</v>
      </c>
      <c r="AK100" s="198" t="n">
        <f aca="false">IF((SUMIF($AK$3:$AT$3,AK$60,$AK$4:$AT$4))=0,0,((SUMIF($AK$3:$AT$3,AK$60,$AK149:$AT149))/SUMIF($AK$3:$AT$3,AK$60,$AK$4:$AT$4)))</f>
        <v>0</v>
      </c>
      <c r="AL100" s="199" t="n">
        <f aca="false">IF((SUMIF($AK$3:$AT$3,AL$60,$AK$4:$AT$4))=0,0,((SUMIF($AK$3:$AT$3,AL$60,$AK149:$AT149))/SUMIF($AK$3:$AT$3,AL$60,$AK$4:$AT$4)))</f>
        <v>0</v>
      </c>
      <c r="AM100" s="199" t="n">
        <f aca="false">IF((SUMIF($AK$3:$AT$3,AM$60,$AK$4:$AT$4))=0,0,((SUMIF($AK$3:$AT$3,AM$60,$AK149:$AT149))/SUMIF($AK$3:$AT$3,AM$60,$AK$4:$AT$4)))</f>
        <v>0</v>
      </c>
      <c r="AN100" s="199" t="n">
        <f aca="false">IF((SUMIF($AK$3:$AT$3,AN$60,$AK$4:$AT$4))=0,0,((SUMIF($AK$3:$AT$3,AN$60,$AK149:$AT149))/SUMIF($AK$3:$AT$3,AN$60,$AK$4:$AT$4)))</f>
        <v>0</v>
      </c>
      <c r="AO100" s="199" t="n">
        <f aca="false">IF((SUMIF($AK$3:$AT$3,AO$60,$AK$4:$AT$4))=0,0,((SUMIF($AK$3:$AT$3,AO$60,$AK149:$AT149))/SUMIF($AK$3:$AT$3,AO$60,$AK$4:$AT$4)))</f>
        <v>0</v>
      </c>
      <c r="AP100" s="199" t="n">
        <f aca="false">IF((SUMIF($AK$3:$AT$3,AP$60,$AK$4:$AT$4))=0,0,((SUMIF($AK$3:$AT$3,AP$60,$AK149:$AT149))/SUMIF($AK$3:$AT$3,AP$60,$AK$4:$AT$4)))</f>
        <v>0</v>
      </c>
      <c r="AQ100" s="199" t="n">
        <f aca="false">IF((SUMIF($AK$3:$AT$3,AQ$60,$AK$4:$AT$4))=0,0,((SUMIF($AK$3:$AT$3,AQ$60,$AK149:$AT149))/SUMIF($AK$3:$AT$3,AQ$60,$AK$4:$AT$4)))</f>
        <v>0</v>
      </c>
      <c r="AR100" s="199" t="n">
        <f aca="false">IF((SUMIF($AK$3:$AT$3,AR$60,$AK$4:$AT$4))=0,0,((SUMIF($AK$3:$AT$3,AR$60,$AK149:$AT149))/SUMIF($AK$3:$AT$3,AR$60,$AK$4:$AT$4)))</f>
        <v>0</v>
      </c>
      <c r="AS100" s="199" t="n">
        <f aca="false">IF((SUMIF($AK$3:$AT$3,AS$60,$AK$4:$AT$4))=0,0,((SUMIF($AK$3:$AT$3,AS$60,$AK149:$AT149))/SUMIF($AK$3:$AT$3,AS$60,$AK$4:$AT$4)))</f>
        <v>0</v>
      </c>
      <c r="AT100" s="200" t="n">
        <f aca="false">IF((SUMIF($AK$3:$AT$3,AT$60,$AK$4:$AT$4))=0,0,((SUMIF($AK$3:$AT$3,AT$60,$AK149:$AT149))/SUMIF($AK$3:$AT$3,AT$60,$AK$4:$AT$4)))</f>
        <v>0</v>
      </c>
      <c r="AU100" s="194" t="str">
        <f aca="false">AJ100</f>
        <v>Alumno39</v>
      </c>
      <c r="AV100" s="198" t="n">
        <f aca="false">IF((SUMIF($AV$3:$BE$3,AV$60,$AV$4:$BE$4))=0,0,((SUMIF($AV$3:$BE$3,AV$60,$AV149:$BE149))/SUMIF($AV$3:$BE$3,AV$60,$AV$4:$BE$4)))</f>
        <v>0</v>
      </c>
      <c r="AW100" s="199" t="n">
        <f aca="false">IF((SUMIF($AV$3:$BE$3,AW$60,$AV$4:$BE$4))=0,0,((SUMIF($AV$3:$BE$3,AW$60,$AV149:$BE149))/SUMIF($AV$3:$BE$3,AW$60,$AV$4:$BE$4)))</f>
        <v>0</v>
      </c>
      <c r="AX100" s="199" t="n">
        <f aca="false">IF((SUMIF($AV$3:$BE$3,AX$60,$AV$4:$BE$4))=0,0,((SUMIF($AV$3:$BE$3,AX$60,$AV149:$BE149))/SUMIF($AV$3:$BE$3,AX$60,$AV$4:$BE$4)))</f>
        <v>0</v>
      </c>
      <c r="AY100" s="199" t="n">
        <f aca="false">IF((SUMIF($AV$3:$BE$3,AY$60,$AV$4:$BE$4))=0,0,((SUMIF($AV$3:$BE$3,AY$60,$AV149:$BE149))/SUMIF($AV$3:$BE$3,AY$60,$AV$4:$BE$4)))</f>
        <v>0</v>
      </c>
      <c r="AZ100" s="199" t="n">
        <f aca="false">IF((SUMIF($AV$3:$BE$3,AZ$60,$AV$4:$BE$4))=0,0,((SUMIF($AV$3:$BE$3,AZ$60,$AV149:$BE149))/SUMIF($AV$3:$BE$3,AZ$60,$AV$4:$BE$4)))</f>
        <v>0</v>
      </c>
      <c r="BA100" s="199" t="n">
        <f aca="false">IF((SUMIF($AV$3:$BE$3,BA$60,$AV$4:$BE$4))=0,0,((SUMIF($AV$3:$BE$3,BA$60,$AV149:$BE149))/SUMIF($AV$3:$BE$3,BA$60,$AV$4:$BE$4)))</f>
        <v>0</v>
      </c>
      <c r="BB100" s="199" t="n">
        <f aca="false">IF((SUMIF($AV$3:$BE$3,BB$60,$AV$4:$BE$4))=0,0,((SUMIF($AV$3:$BE$3,BB$60,$AV149:$BE149))/SUMIF($AV$3:$BE$3,BB$60,$AV$4:$BE$4)))</f>
        <v>0</v>
      </c>
      <c r="BC100" s="199" t="n">
        <f aca="false">IF((SUMIF($AV$3:$BE$3,BC$60,$AV$4:$BE$4))=0,0,((SUMIF($AV$3:$BE$3,BC$60,$AV149:$BE149))/SUMIF($AV$3:$BE$3,BC$60,$AV$4:$BE$4)))</f>
        <v>0</v>
      </c>
      <c r="BD100" s="199" t="n">
        <f aca="false">IF((SUMIF($AV$3:$BE$3,BD$60,$AV$4:$BE$4))=0,0,((SUMIF($AV$3:$BE$3,BD$60,$AV149:$BE149))/SUMIF($AV$3:$BE$3,BD$60,$AV$4:$BE$4)))</f>
        <v>0</v>
      </c>
      <c r="BE100" s="200" t="n">
        <f aca="false">IF((SUMIF($AV$3:$BE$3,BE$60,$AV$4:$BE$4))=0,0,((SUMIF($AV$3:$BE$3,BE$60,$AV149:$BE149))/SUMIF($AV$3:$BE$3,BE$60,$AV$4:$BE$4)))</f>
        <v>0</v>
      </c>
      <c r="BF100" s="194" t="str">
        <f aca="false">AU100</f>
        <v>Alumno39</v>
      </c>
      <c r="BG100" s="198" t="n">
        <f aca="false">IF((SUMIF($BG$3:$BP$3,BG$60,$BG$4:$BP$4))=0,0,((SUMIF($BG$3:$BP$3,BG$60,$BG149:$BP149))/SUMIF($BG$3:$BP$3,BG$60,$BG$4:$BP$4)))</f>
        <v>0</v>
      </c>
      <c r="BH100" s="199" t="n">
        <f aca="false">IF((SUMIF($BG$3:$BP$3,BH$60,$BG$4:$BP$4))=0,0,((SUMIF($BG$3:$BP$3,BH$60,$BG149:$BP149))/SUMIF($BG$3:$BP$3,BH$60,$BG$4:$BP$4)))</f>
        <v>0</v>
      </c>
      <c r="BI100" s="199" t="n">
        <f aca="false">IF((SUMIF($BG$3:$BP$3,BI$60,$BG$4:$BP$4))=0,0,((SUMIF($BG$3:$BP$3,BI$60,$BG149:$BP149))/SUMIF($BG$3:$BP$3,BI$60,$BG$4:$BP$4)))</f>
        <v>0</v>
      </c>
      <c r="BJ100" s="199" t="n">
        <f aca="false">IF((SUMIF($BG$3:$BP$3,BJ$60,$BG$4:$BP$4))=0,0,((SUMIF($BG$3:$BP$3,BJ$60,$BG149:$BP149))/SUMIF($BG$3:$BP$3,BJ$60,$BG$4:$BP$4)))</f>
        <v>0</v>
      </c>
      <c r="BK100" s="199" t="n">
        <f aca="false">IF((SUMIF($BG$3:$BP$3,BK$60,$BG$4:$BP$4))=0,0,((SUMIF($BG$3:$BP$3,BK$60,$BG149:$BP149))/SUMIF($BG$3:$BP$3,BK$60,$BG$4:$BP$4)))</f>
        <v>0</v>
      </c>
      <c r="BL100" s="199" t="n">
        <f aca="false">IF((SUMIF($BG$3:$BP$3,BL$60,$BG$4:$BP$4))=0,0,((SUMIF($BG$3:$BP$3,BL$60,$BG149:$BP149))/SUMIF($BG$3:$BP$3,BL$60,$BG$4:$BP$4)))</f>
        <v>0</v>
      </c>
      <c r="BM100" s="199" t="n">
        <f aca="false">IF((SUMIF($BG$3:$BP$3,BM$60,$BG$4:$BP$4))=0,0,((SUMIF($BG$3:$BP$3,BM$60,$BG149:$BP149))/SUMIF($BG$3:$BP$3,BM$60,$BG$4:$BP$4)))</f>
        <v>0</v>
      </c>
      <c r="BN100" s="199" t="n">
        <f aca="false">IF((SUMIF($BG$3:$BP$3,BN$60,$BG$4:$BP$4))=0,0,((SUMIF($BG$3:$BP$3,BN$60,$BG149:$BP149))/SUMIF($BG$3:$BP$3,BN$60,$BG$4:$BP$4)))</f>
        <v>0</v>
      </c>
      <c r="BO100" s="199" t="n">
        <f aca="false">IF((SUMIF($BG$3:$BP$3,BO$60,$BG$4:$BP$4))=0,0,((SUMIF($BG$3:$BP$3,BO$60,$BG149:$BP149))/SUMIF($BG$3:$BP$3,BO$60,$BG$4:$BP$4)))</f>
        <v>0</v>
      </c>
      <c r="BP100" s="200" t="n">
        <f aca="false">IF((SUMIF($BG$3:$BP$3,BP$60,$BG$4:$BP$4))=0,0,((SUMIF($BG$3:$BP$3,BP$60,$BG149:$BP149))/SUMIF($BG$3:$BP$3,BP$60,$BG$4:$BP$4)))</f>
        <v>0</v>
      </c>
      <c r="BQ100" s="194" t="str">
        <f aca="false">BF100</f>
        <v>Alumno39</v>
      </c>
      <c r="BR100" s="198" t="n">
        <f aca="false">IF((SUMIF($BR$3:$CA$3,BR$60,$BR$4:$CA$4))=0,0,((SUMIF($BR$3:$CA$3,BR$60,$BR149:$CA149))/SUMIF($BR$3:$CA$3,BR$60,$BR$4:$CA$4)))</f>
        <v>0</v>
      </c>
      <c r="BS100" s="199" t="n">
        <f aca="false">IF((SUMIF($BR$3:$CA$3,BS$60,$BR$4:$CA$4))=0,0,((SUMIF($BR$3:$CA$3,BS$60,$BR149:$CA149))/SUMIF($BR$3:$CA$3,BS$60,$BR$4:$CA$4)))</f>
        <v>0</v>
      </c>
      <c r="BT100" s="199" t="n">
        <f aca="false">IF((SUMIF($BR$3:$CA$3,BT$60,$BR$4:$CA$4))=0,0,((SUMIF($BR$3:$CA$3,BT$60,$BR149:$CA149))/SUMIF($BR$3:$CA$3,BT$60,$BR$4:$CA$4)))</f>
        <v>0</v>
      </c>
      <c r="BU100" s="199" t="n">
        <f aca="false">IF((SUMIF($BR$3:$CA$3,BU$60,$BR$4:$CA$4))=0,0,((SUMIF($BR$3:$CA$3,BU$60,$BR149:$CA149))/SUMIF($BR$3:$CA$3,BU$60,$BR$4:$CA$4)))</f>
        <v>0</v>
      </c>
      <c r="BV100" s="199" t="n">
        <f aca="false">IF((SUMIF($BR$3:$CA$3,BV$60,$BR$4:$CA$4))=0,0,((SUMIF($BR$3:$CA$3,BV$60,$BR149:$CA149))/SUMIF($BR$3:$CA$3,BV$60,$BR$4:$CA$4)))</f>
        <v>0</v>
      </c>
      <c r="BW100" s="199" t="n">
        <f aca="false">IF((SUMIF($BR$3:$CA$3,BW$60,$BR$4:$CA$4))=0,0,((SUMIF($BR$3:$CA$3,BW$60,$BR149:$CA149))/SUMIF($BR$3:$CA$3,BW$60,$BR$4:$CA$4)))</f>
        <v>0</v>
      </c>
      <c r="BX100" s="199" t="n">
        <f aca="false">IF((SUMIF($BR$3:$CA$3,BX$60,$BR$4:$CA$4))=0,0,((SUMIF($BR$3:$CA$3,BX$60,$BR149:$CA149))/SUMIF($BR$3:$CA$3,BX$60,$BR$4:$CA$4)))</f>
        <v>0</v>
      </c>
      <c r="BY100" s="199" t="n">
        <f aca="false">IF((SUMIF($BR$3:$CA$3,BY$60,$BR$4:$CA$4))=0,0,((SUMIF($BR$3:$CA$3,BY$60,$BR149:$CA149))/SUMIF($BR$3:$CA$3,BY$60,$BR$4:$CA$4)))</f>
        <v>0</v>
      </c>
      <c r="BZ100" s="199" t="n">
        <f aca="false">IF((SUMIF($BR$3:$CA$3,BZ$60,$BR$4:$CA$4))=0,0,((SUMIF($BR$3:$CA$3,BZ$60,$BR149:$CA149))/SUMIF($BR$3:$CA$3,BZ$60,$BR$4:$CA$4)))</f>
        <v>0</v>
      </c>
      <c r="CA100" s="200" t="n">
        <f aca="false">IF((SUMIF($BR$3:$CA$3,CA$60,$BR$4:$CA$4))=0,0,((SUMIF($BR$3:$CA$3,CA$60,$BR149:$CA149))/SUMIF($BR$3:$CA$3,CA$60,$BR$4:$CA$4)))</f>
        <v>0</v>
      </c>
      <c r="CB100" s="194" t="str">
        <f aca="false">BQ100</f>
        <v>Alumno39</v>
      </c>
      <c r="CC100" s="198" t="n">
        <f aca="false">IF((SUMIF($CC$3:$CL$3,CC$60,$CC$4:$CL$4))=0,0,((SUMIF($CC$3:$CL$3,CC$60,$CC149:$CL149))/SUMIF($CC$3:$CL$3,CC$60,$CC$4:$CL$4)))</f>
        <v>0</v>
      </c>
      <c r="CD100" s="199" t="n">
        <f aca="false">IF((SUMIF($CC$3:$CL$3,CD$60,$CC$4:$CL$4))=0,0,((SUMIF($CC$3:$CL$3,CD$60,$CC149:$CL149))/SUMIF($CC$3:$CL$3,CD$60,$CC$4:$CL$4)))</f>
        <v>0</v>
      </c>
      <c r="CE100" s="199" t="n">
        <f aca="false">IF((SUMIF($CC$3:$CL$3,CE$60,$CC$4:$CL$4))=0,0,((SUMIF($CC$3:$CL$3,CE$60,$CC149:$CL149))/SUMIF($CC$3:$CL$3,CE$60,$CC$4:$CL$4)))</f>
        <v>0</v>
      </c>
      <c r="CF100" s="199" t="n">
        <f aca="false">IF((SUMIF($CC$3:$CL$3,CF$60,$CC$4:$CL$4))=0,0,((SUMIF($CC$3:$CL$3,CF$60,$CC149:$CL149))/SUMIF($CC$3:$CL$3,CF$60,$CC$4:$CL$4)))</f>
        <v>0</v>
      </c>
      <c r="CG100" s="199" t="n">
        <f aca="false">IF((SUMIF($CC$3:$CL$3,CG$60,$CC$4:$CL$4))=0,0,((SUMIF($CC$3:$CL$3,CG$60,$CC149:$CL149))/SUMIF($CC$3:$CL$3,CG$60,$CC$4:$CL$4)))</f>
        <v>0</v>
      </c>
      <c r="CH100" s="199" t="n">
        <f aca="false">IF((SUMIF($CC$3:$CL$3,CH$60,$CC$4:$CL$4))=0,0,((SUMIF($CC$3:$CL$3,CH$60,$CC149:$CL149))/SUMIF($CC$3:$CL$3,CH$60,$CC$4:$CL$4)))</f>
        <v>0</v>
      </c>
      <c r="CI100" s="199" t="n">
        <f aca="false">IF((SUMIF($CC$3:$CL$3,CI$60,$CC$4:$CL$4))=0,0,((SUMIF($CC$3:$CL$3,CI$60,$CC149:$CL149))/SUMIF($CC$3:$CL$3,CI$60,$CC$4:$CL$4)))</f>
        <v>0</v>
      </c>
      <c r="CJ100" s="199" t="n">
        <f aca="false">IF((SUMIF($CC$3:$CL$3,CJ$60,$CC$4:$CL$4))=0,0,((SUMIF($CC$3:$CL$3,CJ$60,$CC149:$CL149))/SUMIF($CC$3:$CL$3,CJ$60,$CC$4:$CL$4)))</f>
        <v>0</v>
      </c>
      <c r="CK100" s="199" t="n">
        <f aca="false">IF((SUMIF($CC$3:$CL$3,CK$60,$CC$4:$CL$4))=0,0,((SUMIF($CC$3:$CL$3,CK$60,$CC149:$CL149))/SUMIF($CC$3:$CL$3,CK$60,$CC$4:$CL$4)))</f>
        <v>0</v>
      </c>
      <c r="CL100" s="200" t="n">
        <f aca="false">IF((SUMIF($CC$3:$CL$3,CL$60,$CC$4:$CL$4))=0,0,((SUMIF($CC$3:$CL$3,CL$60,$CC149:$CL149))/SUMIF($CC$3:$CL$3,CL$60,$CC$4:$CL$4)))</f>
        <v>0</v>
      </c>
      <c r="CM100" s="194" t="str">
        <f aca="false">CB100</f>
        <v>Alumno39</v>
      </c>
      <c r="CN100" s="198" t="n">
        <f aca="false">IF((SUMIF($CN$3:$CW$3,CN$60,$CN$4:$CW$4))=0,0,((SUMIF($CN$3:$CW$3,CN$60,$CN149:$CW149))/SUMIF($CN$3:$CW$3,CN$60,$CN$4:$CW$4)))</f>
        <v>0</v>
      </c>
      <c r="CO100" s="199" t="n">
        <f aca="false">IF((SUMIF($CN$3:$CW$3,CO$60,$CN$4:$CW$4))=0,0,((SUMIF($CN$3:$CW$3,CO$60,$CN149:$CW149))/SUMIF($CN$3:$CW$3,CO$60,$CN$4:$CW$4)))</f>
        <v>0</v>
      </c>
      <c r="CP100" s="199" t="n">
        <f aca="false">IF((SUMIF($CN$3:$CW$3,CP$60,$CN$4:$CW$4))=0,0,((SUMIF($CN$3:$CW$3,CP$60,$CN149:$CW149))/SUMIF($CN$3:$CW$3,CP$60,$CN$4:$CW$4)))</f>
        <v>0</v>
      </c>
      <c r="CQ100" s="199" t="n">
        <f aca="false">IF((SUMIF($CN$3:$CW$3,CQ$60,$CN$4:$CW$4))=0,0,((SUMIF($CN$3:$CW$3,CQ$60,$CN149:$CW149))/SUMIF($CN$3:$CW$3,CQ$60,$CN$4:$CW$4)))</f>
        <v>0</v>
      </c>
      <c r="CR100" s="199" t="n">
        <f aca="false">IF((SUMIF($CN$3:$CW$3,CR$60,$CN$4:$CW$4))=0,0,((SUMIF($CN$3:$CW$3,CR$60,$CN149:$CW149))/SUMIF($CN$3:$CW$3,CR$60,$CN$4:$CW$4)))</f>
        <v>0</v>
      </c>
      <c r="CS100" s="199" t="n">
        <f aca="false">IF((SUMIF($CN$3:$CW$3,CS$60,$CN$4:$CW$4))=0,0,((SUMIF($CN$3:$CW$3,CS$60,$CN149:$CW149))/SUMIF($CN$3:$CW$3,CS$60,$CN$4:$CW$4)))</f>
        <v>0</v>
      </c>
      <c r="CT100" s="199" t="n">
        <f aca="false">IF((SUMIF($CN$3:$CW$3,CT$60,$CN$4:$CW$4))=0,0,((SUMIF($CN$3:$CW$3,CT$60,$CN149:$CW149))/SUMIF($CN$3:$CW$3,CT$60,$CN$4:$CW$4)))</f>
        <v>0</v>
      </c>
      <c r="CU100" s="199" t="n">
        <f aca="false">IF((SUMIF($CN$3:$CW$3,CU$60,$CN$4:$CW$4))=0,0,((SUMIF($CN$3:$CW$3,CU$60,$CN149:$CW149))/SUMIF($CN$3:$CW$3,CU$60,$CN$4:$CW$4)))</f>
        <v>0</v>
      </c>
      <c r="CV100" s="199" t="n">
        <f aca="false">IF((SUMIF($CN$3:$CW$3,CV$60,$CN$4:$CW$4))=0,0,((SUMIF($CN$3:$CW$3,CV$60,$CN149:$CW149))/SUMIF($CN$3:$CW$3,CV$60,$CN$4:$CW$4)))</f>
        <v>0</v>
      </c>
      <c r="CW100" s="200" t="n">
        <f aca="false">IF((SUMIF($CN$3:$CW$3,CW$60,$CN$4:$CW$4))=0,0,((SUMIF($CN$3:$CW$3,CW$60,$CN149:$CW149))/SUMIF($CN$3:$CW$3,CW$60,$CN$4:$CW$4)))</f>
        <v>0</v>
      </c>
      <c r="CX100" s="194" t="str">
        <f aca="false">CM100</f>
        <v>Alumno39</v>
      </c>
      <c r="CY100" s="198" t="n">
        <f aca="false">IF((SUMIF($CY$3:$DH$3,CY$60,$CY$4:$DH$4))=0,0,((SUMIF($CY$3:$DH$3,CY$60,$CY149:$DH149))/SUMIF($CY$3:$DH$3,CY$60,$CY$4:$DH$4)))</f>
        <v>0</v>
      </c>
      <c r="CZ100" s="199" t="n">
        <f aca="false">IF((SUMIF($CY$3:$DH$3,CZ$60,$CY$4:$DH$4))=0,0,((SUMIF($CY$3:$DH$3,CZ$60,$CY149:$DH149))/SUMIF($CY$3:$DH$3,CZ$60,$CY$4:$DH$4)))</f>
        <v>0</v>
      </c>
      <c r="DA100" s="199" t="n">
        <f aca="false">IF((SUMIF($CY$3:$DH$3,DA$60,$CY$4:$DH$4))=0,0,((SUMIF($CY$3:$DH$3,DA$60,$CY149:$DH149))/SUMIF($CY$3:$DH$3,DA$60,$CY$4:$DH$4)))</f>
        <v>0</v>
      </c>
      <c r="DB100" s="199" t="n">
        <f aca="false">IF((SUMIF($CY$3:$DH$3,DB$60,$CY$4:$DH$4))=0,0,((SUMIF($CY$3:$DH$3,DB$60,$CY149:$DH149))/SUMIF($CY$3:$DH$3,DB$60,$CY$4:$DH$4)))</f>
        <v>0</v>
      </c>
      <c r="DC100" s="199" t="n">
        <f aca="false">IF((SUMIF($CY$3:$DH$3,DC$60,$CY$4:$DH$4))=0,0,((SUMIF($CY$3:$DH$3,DC$60,$CY149:$DH149))/SUMIF($CY$3:$DH$3,DC$60,$CY$4:$DH$4)))</f>
        <v>0</v>
      </c>
      <c r="DD100" s="199" t="n">
        <f aca="false">IF((SUMIF($CY$3:$DH$3,DD$60,$CY$4:$DH$4))=0,0,((SUMIF($CY$3:$DH$3,DD$60,$CY149:$DH149))/SUMIF($CY$3:$DH$3,DD$60,$CY$4:$DH$4)))</f>
        <v>0</v>
      </c>
      <c r="DE100" s="199" t="n">
        <f aca="false">IF((SUMIF($CY$3:$DH$3,DE$60,$CY$4:$DH$4))=0,0,((SUMIF($CY$3:$DH$3,DE$60,$CY149:$DH149))/SUMIF($CY$3:$DH$3,DE$60,$CY$4:$DH$4)))</f>
        <v>0</v>
      </c>
      <c r="DF100" s="199" t="n">
        <f aca="false">IF((SUMIF($CY$3:$DH$3,DF$60,$CY$4:$DH$4))=0,0,((SUMIF($CY$3:$DH$3,DF$60,$CY149:$DH149))/SUMIF($CY$3:$DH$3,DF$60,$CY$4:$DH$4)))</f>
        <v>0</v>
      </c>
      <c r="DG100" s="199" t="n">
        <f aca="false">IF((SUMIF($CY$3:$DH$3,DG$60,$CY$4:$DH$4))=0,0,((SUMIF($CY$3:$DH$3,DG$60,$CY149:$DH149))/SUMIF($CY$3:$DH$3,DG$60,$CY$4:$DH$4)))</f>
        <v>0</v>
      </c>
      <c r="DH100" s="200" t="n">
        <f aca="false">IF((SUMIF($CY$3:$DH$3,DH$60,$CY$4:$DH$4))=0,0,((SUMIF($CY$3:$DH$3,DH$60,$CY149:$DH149))/SUMIF($CY$3:$DH$3,DH$60,$CY$4:$DH$4)))</f>
        <v>0</v>
      </c>
      <c r="DI100" s="194" t="str">
        <f aca="false">CX100</f>
        <v>Alumno39</v>
      </c>
      <c r="DJ100" s="198" t="n">
        <f aca="false">IF((SUMIF($DJ$3:$DS$3,DJ$60,$DJ$4:$DS$4))=0,0,((SUMIF($DJ$3:$DS$3,DJ$60,$DJ149:$DS149))/SUMIF($DJ$3:$DS$3,DJ$60,$DJ$4:$DS$4)))</f>
        <v>0</v>
      </c>
      <c r="DK100" s="199" t="n">
        <f aca="false">IF((SUMIF($DJ$3:$DS$3,DK$60,$DJ$4:$DS$4))=0,0,((SUMIF($DJ$3:$DS$3,DK$60,$DJ149:$DS149))/SUMIF($DJ$3:$DS$3,DK$60,$DJ$4:$DS$4)))</f>
        <v>0</v>
      </c>
      <c r="DL100" s="199" t="n">
        <f aca="false">IF((SUMIF($DJ$3:$DS$3,DL$60,$DJ$4:$DS$4))=0,0,((SUMIF($DJ$3:$DS$3,DL$60,$DJ149:$DS149))/SUMIF($DJ$3:$DS$3,DL$60,$DJ$4:$DS$4)))</f>
        <v>0</v>
      </c>
      <c r="DM100" s="199" t="n">
        <f aca="false">IF((SUMIF($DJ$3:$DS$3,DM$60,$DJ$4:$DS$4))=0,0,((SUMIF($DJ$3:$DS$3,DM$60,$DJ149:$DS149))/SUMIF($DJ$3:$DS$3,DM$60,$DJ$4:$DS$4)))</f>
        <v>0</v>
      </c>
      <c r="DN100" s="199" t="n">
        <f aca="false">IF((SUMIF($DJ$3:$DS$3,DN$60,$DJ$4:$DS$4))=0,0,((SUMIF($DJ$3:$DS$3,DN$60,$DJ149:$DS149))/SUMIF($DJ$3:$DS$3,DN$60,$DJ$4:$DS$4)))</f>
        <v>0</v>
      </c>
      <c r="DO100" s="199" t="n">
        <f aca="false">IF((SUMIF($DJ$3:$DS$3,DO$60,$DJ$4:$DS$4))=0,0,((SUMIF($DJ$3:$DS$3,DO$60,$DJ149:$DS149))/SUMIF($DJ$3:$DS$3,DO$60,$DJ$4:$DS$4)))</f>
        <v>0</v>
      </c>
      <c r="DP100" s="199" t="n">
        <f aca="false">IF((SUMIF($DJ$3:$DS$3,DP$60,$DJ$4:$DS$4))=0,0,((SUMIF($DJ$3:$DS$3,DP$60,$DJ149:$DS149))/SUMIF($DJ$3:$DS$3,DP$60,$DJ$4:$DS$4)))</f>
        <v>0</v>
      </c>
      <c r="DQ100" s="199" t="n">
        <f aca="false">IF((SUMIF($DJ$3:$DS$3,DQ$60,$DJ$4:$DS$4))=0,0,((SUMIF($DJ$3:$DS$3,DQ$60,$DJ149:$DS149))/SUMIF($DJ$3:$DS$3,DQ$60,$DJ$4:$DS$4)))</f>
        <v>0</v>
      </c>
      <c r="DR100" s="199" t="n">
        <f aca="false">IF((SUMIF($DJ$3:$DS$3,DR$60,$DJ$4:$DS$4))=0,0,((SUMIF($DJ$3:$DS$3,DR$60,$DJ149:$DS149))/SUMIF($DJ$3:$DS$3,DR$60,$DJ$4:$DS$4)))</f>
        <v>0</v>
      </c>
      <c r="DS100" s="200" t="n">
        <f aca="false">IF((SUMIF($DJ$3:$DS$3,DS$60,$DJ$4:$DS$4))=0,0,((SUMIF($DJ$3:$DS$3,DS$60,$DJ149:$DS149))/SUMIF($DJ$3:$DS$3,DS$60,$DJ$4:$DS$4)))</f>
        <v>0</v>
      </c>
      <c r="DT100" s="194" t="str">
        <f aca="false">DI100</f>
        <v>Alumno39</v>
      </c>
      <c r="DU100" s="198" t="n">
        <f aca="false">IF((SUMIF($DU$3:$ED$3,DU$60,$DU$4:$ED$4))=0,0,((SUMIF($DU$3:$ED$3,DU$60,$DU149:$ED149))/SUMIF($DU$3:$ED$3,DU$60,$DU$4:$ED$4)))</f>
        <v>0</v>
      </c>
      <c r="DV100" s="199" t="n">
        <f aca="false">IF((SUMIF($DU$3:$ED$3,DV$60,$DU$4:$ED$4))=0,0,((SUMIF($DU$3:$ED$3,DV$60,$DU149:$ED149))/SUMIF($DU$3:$ED$3,DV$60,$DU$4:$ED$4)))</f>
        <v>0</v>
      </c>
      <c r="DW100" s="199" t="n">
        <f aca="false">IF((SUMIF($DU$3:$ED$3,DW$60,$DU$4:$ED$4))=0,0,((SUMIF($DU$3:$ED$3,DW$60,$DU149:$ED149))/SUMIF($DU$3:$ED$3,DW$60,$DU$4:$ED$4)))</f>
        <v>0</v>
      </c>
      <c r="DX100" s="199" t="n">
        <f aca="false">IF((SUMIF($DU$3:$ED$3,DX$60,$DU$4:$ED$4))=0,0,((SUMIF($DU$3:$ED$3,DX$60,$DU149:$ED149))/SUMIF($DU$3:$ED$3,DX$60,$DU$4:$ED$4)))</f>
        <v>0</v>
      </c>
      <c r="DY100" s="199" t="n">
        <f aca="false">IF((SUMIF($DU$3:$ED$3,DY$60,$DU$4:$ED$4))=0,0,((SUMIF($DU$3:$ED$3,DY$60,$DU149:$ED149))/SUMIF($DU$3:$ED$3,DY$60,$DU$4:$ED$4)))</f>
        <v>0</v>
      </c>
      <c r="DZ100" s="199" t="n">
        <f aca="false">IF((SUMIF($DU$3:$ED$3,DZ$60,$DU$4:$ED$4))=0,0,((SUMIF($DU$3:$ED$3,DZ$60,$DU149:$ED149))/SUMIF($DU$3:$ED$3,DZ$60,$DU$4:$ED$4)))</f>
        <v>0</v>
      </c>
      <c r="EA100" s="199" t="n">
        <f aca="false">IF((SUMIF($DU$3:$ED$3,EA$60,$DU$4:$ED$4))=0,0,((SUMIF($DU$3:$ED$3,EA$60,$DU149:$ED149))/SUMIF($DU$3:$ED$3,EA$60,$DU$4:$ED$4)))</f>
        <v>0</v>
      </c>
      <c r="EB100" s="199" t="n">
        <f aca="false">IF((SUMIF($DU$3:$ED$3,EB$60,$DU$4:$ED$4))=0,0,((SUMIF($DU$3:$ED$3,EB$60,$DU149:$ED149))/SUMIF($DU$3:$ED$3,EB$60,$DU$4:$ED$4)))</f>
        <v>0</v>
      </c>
      <c r="EC100" s="199" t="n">
        <f aca="false">IF((SUMIF($DU$3:$ED$3,EC$60,$DU$4:$ED$4))=0,0,((SUMIF($DU$3:$ED$3,EC$60,$DU149:$ED149))/SUMIF($DU$3:$ED$3,EC$60,$DU$4:$ED$4)))</f>
        <v>0</v>
      </c>
      <c r="ED100" s="200" t="n">
        <f aca="false">IF((SUMIF($DU$3:$ED$3,ED$60,$DU$4:$ED$4))=0,0,((SUMIF($DU$3:$ED$3,ED$60,$DU149:$ED149))/SUMIF($DU$3:$ED$3,ED$60,$DU$4:$ED$4)))</f>
        <v>0</v>
      </c>
      <c r="EE100" s="194" t="str">
        <f aca="false">DT100</f>
        <v>Alumno39</v>
      </c>
      <c r="EF100" s="198" t="n">
        <f aca="false">IF((SUMIF($EF$3:$EO$3,EF$60,$EF$4:$EO$4))=0,0,((SUMIF($EF$3:$EO$3,EF$60,$EF149:$EO149))/SUMIF($EF$3:$EO$3,EF$60,$EF$4:$EO$4)))</f>
        <v>0</v>
      </c>
      <c r="EG100" s="199" t="n">
        <f aca="false">IF((SUMIF($EF$3:$EO$3,EG$60,$EF$4:$EO$4))=0,0,((SUMIF($EF$3:$EO$3,EG$60,$EF149:$EO149))/SUMIF($EF$3:$EO$3,EG$60,$EF$4:$EO$4)))</f>
        <v>0</v>
      </c>
      <c r="EH100" s="199" t="n">
        <f aca="false">IF((SUMIF($EF$3:$EO$3,EH$60,$EF$4:$EO$4))=0,0,((SUMIF($EF$3:$EO$3,EH$60,$EF149:$EO149))/SUMIF($EF$3:$EO$3,EH$60,$EF$4:$EO$4)))</f>
        <v>0</v>
      </c>
      <c r="EI100" s="199" t="n">
        <f aca="false">IF((SUMIF($EF$3:$EO$3,EI$60,$EF$4:$EO$4))=0,0,((SUMIF($EF$3:$EO$3,EI$60,$EF149:$EO149))/SUMIF($EF$3:$EO$3,EI$60,$EF$4:$EO$4)))</f>
        <v>0</v>
      </c>
      <c r="EJ100" s="199" t="n">
        <f aca="false">IF((SUMIF($EF$3:$EO$3,EJ$60,$EF$4:$EO$4))=0,0,((SUMIF($EF$3:$EO$3,EJ$60,$EF149:$EO149))/SUMIF($EF$3:$EO$3,EJ$60,$EF$4:$EO$4)))</f>
        <v>0</v>
      </c>
      <c r="EK100" s="199" t="n">
        <f aca="false">IF((SUMIF($EF$3:$EO$3,EK$60,$EF$4:$EO$4))=0,0,((SUMIF($EF$3:$EO$3,EK$60,$EF149:$EO149))/SUMIF($EF$3:$EO$3,EK$60,$EF$4:$EO$4)))</f>
        <v>0</v>
      </c>
      <c r="EL100" s="199" t="n">
        <f aca="false">IF((SUMIF($EF$3:$EO$3,EL$60,$EF$4:$EO$4))=0,0,((SUMIF($EF$3:$EO$3,EL$60,$EF149:$EO149))/SUMIF($EF$3:$EO$3,EL$60,$EF$4:$EO$4)))</f>
        <v>0</v>
      </c>
      <c r="EM100" s="199" t="n">
        <f aca="false">IF((SUMIF($EF$3:$EO$3,EM$60,$EF$4:$EO$4))=0,0,((SUMIF($EF$3:$EO$3,EM$60,$EF149:$EO149))/SUMIF($EF$3:$EO$3,EM$60,$EF$4:$EO$4)))</f>
        <v>0</v>
      </c>
      <c r="EN100" s="199" t="n">
        <f aca="false">IF((SUMIF($EF$3:$EO$3,EN$60,$EF$4:$EO$4))=0,0,((SUMIF($EF$3:$EO$3,EN$60,$EF149:$EO149))/SUMIF($EF$3:$EO$3,EN$60,$EF$4:$EO$4)))</f>
        <v>0</v>
      </c>
      <c r="EO100" s="200" t="n">
        <f aca="false">IF((SUMIF($EF$3:$EO$3,EO$60,$EF$4:$EO$4))=0,0,((SUMIF($EF$3:$EO$3,EO$60,$EF149:$EO149))/SUMIF($EF$3:$EO$3,EO$60,$EF$4:$EO$4)))</f>
        <v>0</v>
      </c>
      <c r="EP100" s="194" t="str">
        <f aca="false">EE100</f>
        <v>Alumno39</v>
      </c>
      <c r="EQ100" s="198" t="n">
        <f aca="false">IF((SUMIF($EQ$3:$EZ$3,EQ$60,$EQ$4:$EZ$4))=0,0,((SUMIF($EQ$3:$EZ$3,EQ$60,$EQ149:$EZ149))/SUMIF($EQ$3:$EZ$3,EQ$60,$EQ$4:$EZ$4)))</f>
        <v>0</v>
      </c>
      <c r="ER100" s="199" t="n">
        <f aca="false">IF((SUMIF($EQ$3:$EZ$3,ER$60,$EQ$4:$EZ$4))=0,0,((SUMIF($EQ$3:$EZ$3,ER$60,$EQ149:$EZ149))/SUMIF($EQ$3:$EZ$3,ER$60,$EQ$4:$EZ$4)))</f>
        <v>0</v>
      </c>
      <c r="ES100" s="199" t="n">
        <f aca="false">IF((SUMIF($EQ$3:$EZ$3,ES$60,$EQ$4:$EZ$4))=0,0,((SUMIF($EQ$3:$EZ$3,ES$60,$EQ149:$EZ149))/SUMIF($EQ$3:$EZ$3,ES$60,$EQ$4:$EZ$4)))</f>
        <v>0</v>
      </c>
      <c r="ET100" s="199" t="n">
        <f aca="false">IF((SUMIF($EQ$3:$EZ$3,ET$60,$EQ$4:$EZ$4))=0,0,((SUMIF($EQ$3:$EZ$3,ET$60,$EQ149:$EZ149))/SUMIF($EQ$3:$EZ$3,ET$60,$EQ$4:$EZ$4)))</f>
        <v>0</v>
      </c>
      <c r="EU100" s="199" t="n">
        <f aca="false">IF((SUMIF($EQ$3:$EZ$3,EU$60,$EQ$4:$EZ$4))=0,0,((SUMIF($EQ$3:$EZ$3,EU$60,$EQ149:$EZ149))/SUMIF($EQ$3:$EZ$3,EU$60,$EQ$4:$EZ$4)))</f>
        <v>0</v>
      </c>
      <c r="EV100" s="199" t="n">
        <f aca="false">IF((SUMIF($EQ$3:$EZ$3,EV$60,$EQ$4:$EZ$4))=0,0,((SUMIF($EQ$3:$EZ$3,EV$60,$EQ149:$EZ149))/SUMIF($EQ$3:$EZ$3,EV$60,$EQ$4:$EZ$4)))</f>
        <v>0</v>
      </c>
      <c r="EW100" s="199" t="n">
        <f aca="false">IF((SUMIF($EQ$3:$EZ$3,EW$60,$EQ$4:$EZ$4))=0,0,((SUMIF($EQ$3:$EZ$3,EW$60,$EQ149:$EZ149))/SUMIF($EQ$3:$EZ$3,EW$60,$EQ$4:$EZ$4)))</f>
        <v>0</v>
      </c>
      <c r="EX100" s="199" t="n">
        <f aca="false">IF((SUMIF($EQ$3:$EZ$3,EX$60,$EQ$4:$EZ$4))=0,0,((SUMIF($EQ$3:$EZ$3,EX$60,$EQ149:$EZ149))/SUMIF($EQ$3:$EZ$3,EX$60,$EQ$4:$EZ$4)))</f>
        <v>0</v>
      </c>
      <c r="EY100" s="199" t="n">
        <f aca="false">IF((SUMIF($EQ$3:$EZ$3,EY$60,$EQ$4:$EZ$4))=0,0,((SUMIF($EQ$3:$EZ$3,EY$60,$EQ149:$EZ149))/SUMIF($EQ$3:$EZ$3,EY$60,$EQ$4:$EZ$4)))</f>
        <v>0</v>
      </c>
      <c r="EZ100" s="200" t="n">
        <f aca="false">IF((SUMIF($EQ$3:$EZ$3,EZ$60,$EQ$4:$EZ$4))=0,0,((SUMIF($EQ$3:$EZ$3,EZ$60,$EQ149:$EZ149))/SUMIF($EQ$3:$EZ$3,EZ$60,$EQ$4:$EZ$4)))</f>
        <v>0</v>
      </c>
      <c r="FA100" s="194" t="str">
        <f aca="false">EP100</f>
        <v>Alumno39</v>
      </c>
      <c r="FB100" s="198" t="n">
        <f aca="false">IF((SUMIF($FB$3:$FK$3,FB$60,$FB$4:$FK$4))=0,0,((SUMIF($FB$3:$FK$3,FB$60,$FB149:$FK149))/SUMIF($FB$3:$FK$3,FB$60,$FB$4:$FK$4)))</f>
        <v>0</v>
      </c>
      <c r="FC100" s="199" t="n">
        <f aca="false">IF((SUMIF($FB$3:$FK$3,FC$60,$FB$4:$FK$4))=0,0,((SUMIF($FB$3:$FK$3,FC$60,$FB149:$FK149))/SUMIF($FB$3:$FK$3,FC$60,$FB$4:$FK$4)))</f>
        <v>0</v>
      </c>
      <c r="FD100" s="199" t="n">
        <f aca="false">IF((SUMIF($FB$3:$FK$3,FD$60,$FB$4:$FK$4))=0,0,((SUMIF($FB$3:$FK$3,FD$60,$FB149:$FK149))/SUMIF($FB$3:$FK$3,FD$60,$FB$4:$FK$4)))</f>
        <v>0</v>
      </c>
      <c r="FE100" s="199" t="n">
        <f aca="false">IF((SUMIF($FB$3:$FK$3,FE$60,$FB$4:$FK$4))=0,0,((SUMIF($FB$3:$FK$3,FE$60,$FB149:$FK149))/SUMIF($FB$3:$FK$3,FE$60,$FB$4:$FK$4)))</f>
        <v>0</v>
      </c>
      <c r="FF100" s="199" t="n">
        <f aca="false">IF((SUMIF($FB$3:$FK$3,FF$60,$FB$4:$FK$4))=0,0,((SUMIF($FB$3:$FK$3,FF$60,$FB149:$FK149))/SUMIF($FB$3:$FK$3,FF$60,$FB$4:$FK$4)))</f>
        <v>0</v>
      </c>
      <c r="FG100" s="199" t="n">
        <f aca="false">IF((SUMIF($FB$3:$FK$3,FG$60,$FB$4:$FK$4))=0,0,((SUMIF($FB$3:$FK$3,FG$60,$FB149:$FK149))/SUMIF($FB$3:$FK$3,FG$60,$FB$4:$FK$4)))</f>
        <v>0</v>
      </c>
      <c r="FH100" s="199" t="n">
        <f aca="false">IF((SUMIF($FB$3:$FK$3,FH$60,$FB$4:$FK$4))=0,0,((SUMIF($FB$3:$FK$3,FH$60,$FB149:$FK149))/SUMIF($FB$3:$FK$3,FH$60,$FB$4:$FK$4)))</f>
        <v>0</v>
      </c>
      <c r="FI100" s="199" t="n">
        <f aca="false">IF((SUMIF($FB$3:$FK$3,FI$60,$FB$4:$FK$4))=0,0,((SUMIF($FB$3:$FK$3,FI$60,$FB149:$FK149))/SUMIF($FB$3:$FK$3,FI$60,$FB$4:$FK$4)))</f>
        <v>0</v>
      </c>
      <c r="FJ100" s="199" t="n">
        <f aca="false">IF((SUMIF($FB$3:$FK$3,FJ$60,$FB$4:$FK$4))=0,0,((SUMIF($FB$3:$FK$3,FJ$60,$FB149:$FK149))/SUMIF($FB$3:$FK$3,FJ$60,$FB$4:$FK$4)))</f>
        <v>0</v>
      </c>
      <c r="FK100" s="200" t="n">
        <f aca="false">IF((SUMIF($FB$3:$FK$3,FK$60,$FB$4:$FK$4))=0,0,((SUMIF($FB$3:$FK$3,FK$60,$FB149:$FK149))/SUMIF($FB$3:$FK$3,FK$60,$FB$4:$FK$4)))</f>
        <v>0</v>
      </c>
      <c r="FL100" s="194" t="str">
        <f aca="false">FA100</f>
        <v>Alumno39</v>
      </c>
      <c r="FM100" s="198" t="n">
        <f aca="false">IF((SUMIF($FM$3:$FV$3,FM$60,$FM$4:$FV$4))=0,0,((SUMIF($FM$3:$FV$3,FM$60,$FM149:$FV149))/SUMIF($FM$3:$FV$3,FM$60,$FM$4:$FV$4)))</f>
        <v>0</v>
      </c>
      <c r="FN100" s="199" t="n">
        <f aca="false">IF((SUMIF($FM$3:$FV$3,FN$60,$FM$4:$FV$4))=0,0,((SUMIF($FM$3:$FV$3,FN$60,$FM149:$FV149))/SUMIF($FM$3:$FV$3,FN$60,$FM$4:$FV$4)))</f>
        <v>0</v>
      </c>
      <c r="FO100" s="199" t="n">
        <f aca="false">IF((SUMIF($FM$3:$FV$3,FO$60,$FM$4:$FV$4))=0,0,((SUMIF($FM$3:$FV$3,FO$60,$FM149:$FV149))/SUMIF($FM$3:$FV$3,FO$60,$FM$4:$FV$4)))</f>
        <v>0</v>
      </c>
      <c r="FP100" s="199" t="n">
        <f aca="false">IF((SUMIF($FM$3:$FV$3,FP$60,$FM$4:$FV$4))=0,0,((SUMIF($FM$3:$FV$3,FP$60,$FM149:$FV149))/SUMIF($FM$3:$FV$3,FP$60,$FM$4:$FV$4)))</f>
        <v>0</v>
      </c>
      <c r="FQ100" s="199" t="n">
        <f aca="false">IF((SUMIF($FM$3:$FV$3,FQ$60,$FM$4:$FV$4))=0,0,((SUMIF($FM$3:$FV$3,FQ$60,$FM149:$FV149))/SUMIF($FM$3:$FV$3,FQ$60,$FM$4:$FV$4)))</f>
        <v>0</v>
      </c>
      <c r="FR100" s="199" t="n">
        <f aca="false">IF((SUMIF($FM$3:$FV$3,FR$60,$FM$4:$FV$4))=0,0,((SUMIF($FM$3:$FV$3,FR$60,$FM149:$FV149))/SUMIF($FM$3:$FV$3,FR$60,$FM$4:$FV$4)))</f>
        <v>0</v>
      </c>
      <c r="FS100" s="199" t="n">
        <f aca="false">IF((SUMIF($FM$3:$FV$3,FS$60,$FM$4:$FV$4))=0,0,((SUMIF($FM$3:$FV$3,FS$60,$FM149:$FV149))/SUMIF($FM$3:$FV$3,FS$60,$FM$4:$FV$4)))</f>
        <v>0</v>
      </c>
      <c r="FT100" s="199" t="n">
        <f aca="false">IF((SUMIF($FM$3:$FV$3,FT$60,$FM$4:$FV$4))=0,0,((SUMIF($FM$3:$FV$3,FT$60,$FM149:$FV149))/SUMIF($FM$3:$FV$3,FT$60,$FM$4:$FV$4)))</f>
        <v>0</v>
      </c>
      <c r="FU100" s="199" t="n">
        <f aca="false">IF((SUMIF($FM$3:$FV$3,FU$60,$FM$4:$FV$4))=0,0,((SUMIF($FM$3:$FV$3,FU$60,$FM149:$FV149))/SUMIF($FM$3:$FV$3,FU$60,$FM$4:$FV$4)))</f>
        <v>0</v>
      </c>
      <c r="FV100" s="200" t="n">
        <f aca="false">IF((SUMIF($FM$3:$FV$3,FV$60,$FM$4:$FV$4))=0,0,((SUMIF($FM$3:$FV$3,FV$60,$FM149:$FV149))/SUMIF($FM$3:$FV$3,FV$60,$FM$4:$FV$4)))</f>
        <v>0</v>
      </c>
      <c r="FW100" s="194" t="str">
        <f aca="false">FL100</f>
        <v>Alumno39</v>
      </c>
      <c r="FX100" s="198" t="n">
        <f aca="false">IF((SUMIF($FX$3:$GG$3,FX$60,$FX$4:$GG$4))=0,0,((SUMIF($FX$3:$GG$3,FX$60,$FX149:$GG149))/SUMIF($FX$3:$GG$3,FX$60,$FX$4:$GG$4)))</f>
        <v>0</v>
      </c>
      <c r="FY100" s="199" t="n">
        <f aca="false">IF((SUMIF($FX$3:$GG$3,FY$60,$FX$4:$GG$4))=0,0,((SUMIF($FX$3:$GG$3,FY$60,$FX149:$GG149))/SUMIF($FX$3:$GG$3,FY$60,$FX$4:$GG$4)))</f>
        <v>0</v>
      </c>
      <c r="FZ100" s="199" t="n">
        <f aca="false">IF((SUMIF($FX$3:$GG$3,FZ$60,$FX$4:$GG$4))=0,0,((SUMIF($FX$3:$GG$3,FZ$60,$FX149:$GG149))/SUMIF($FX$3:$GG$3,FZ$60,$FX$4:$GG$4)))</f>
        <v>0</v>
      </c>
      <c r="GA100" s="199" t="n">
        <f aca="false">IF((SUMIF($FX$3:$GG$3,GA$60,$FX$4:$GG$4))=0,0,((SUMIF($FX$3:$GG$3,GA$60,$FX149:$GG149))/SUMIF($FX$3:$GG$3,GA$60,$FX$4:$GG$4)))</f>
        <v>0</v>
      </c>
      <c r="GB100" s="199" t="n">
        <f aca="false">IF((SUMIF($FX$3:$GG$3,GB$60,$FX$4:$GG$4))=0,0,((SUMIF($FX$3:$GG$3,GB$60,$FX149:$GG149))/SUMIF($FX$3:$GG$3,GB$60,$FX$4:$GG$4)))</f>
        <v>0</v>
      </c>
      <c r="GC100" s="199" t="n">
        <f aca="false">IF((SUMIF($FX$3:$GG$3,GC$60,$FX$4:$GG$4))=0,0,((SUMIF($FX$3:$GG$3,GC$60,$FX149:$GG149))/SUMIF($FX$3:$GG$3,GC$60,$FX$4:$GG$4)))</f>
        <v>0</v>
      </c>
      <c r="GD100" s="199" t="n">
        <f aca="false">IF((SUMIF($FX$3:$GG$3,GD$60,$FX$4:$GG$4))=0,0,((SUMIF($FX$3:$GG$3,GD$60,$FX149:$GG149))/SUMIF($FX$3:$GG$3,GD$60,$FX$4:$GG$4)))</f>
        <v>0</v>
      </c>
      <c r="GE100" s="199" t="n">
        <f aca="false">IF((SUMIF($FX$3:$GG$3,GE$60,$FX$4:$GG$4))=0,0,((SUMIF($FX$3:$GG$3,GE$60,$FX149:$GG149))/SUMIF($FX$3:$GG$3,GE$60,$FX$4:$GG$4)))</f>
        <v>0</v>
      </c>
      <c r="GF100" s="199" t="n">
        <f aca="false">IF((SUMIF($FX$3:$GG$3,GF$60,$FX$4:$GG$4))=0,0,((SUMIF($FX$3:$GG$3,GF$60,$FX149:$GG149))/SUMIF($FX$3:$GG$3,GF$60,$FX$4:$GG$4)))</f>
        <v>0</v>
      </c>
      <c r="GG100" s="200" t="n">
        <f aca="false">IF((SUMIF($FX$3:$GG$3,GG$60,$FX$4:$GG$4))=0,0,((SUMIF($FX$3:$GG$3,GG$60,$FX149:$GG149))/SUMIF($FX$3:$GG$3,GG$60,$FX$4:$GG$4)))</f>
        <v>0</v>
      </c>
      <c r="GH100" s="194" t="str">
        <f aca="false">FW100</f>
        <v>Alumno39</v>
      </c>
      <c r="GI100" s="198" t="n">
        <f aca="false">IF((SUMIF($GI$3:$GR$3,GI$60,$GI$4:$GR$4))=0,0,((SUMIF($GI$3:$GR$3,GI$60,$GI149:$GR149))/SUMIF($GI$3:$GR$3,GI$60,$GI$4:$GR$4)))</f>
        <v>0</v>
      </c>
      <c r="GJ100" s="199" t="n">
        <f aca="false">IF((SUMIF($GI$3:$GR$3,GJ$60,$GI$4:$GR$4))=0,0,((SUMIF($GI$3:$GR$3,GJ$60,$GI149:$GR149))/SUMIF($GI$3:$GR$3,GJ$60,$GI$4:$GR$4)))</f>
        <v>0</v>
      </c>
      <c r="GK100" s="199" t="n">
        <f aca="false">IF((SUMIF($GI$3:$GR$3,GK$60,$GI$4:$GR$4))=0,0,((SUMIF($GI$3:$GR$3,GK$60,$GI149:$GR149))/SUMIF($GI$3:$GR$3,GK$60,$GI$4:$GR$4)))</f>
        <v>0</v>
      </c>
      <c r="GL100" s="199" t="n">
        <f aca="false">IF((SUMIF($GI$3:$GR$3,GL$60,$GI$4:$GR$4))=0,0,((SUMIF($GI$3:$GR$3,GL$60,$GI149:$GR149))/SUMIF($GI$3:$GR$3,GL$60,$GI$4:$GR$4)))</f>
        <v>0</v>
      </c>
      <c r="GM100" s="199" t="n">
        <f aca="false">IF((SUMIF($GI$3:$GR$3,GM$60,$GI$4:$GR$4))=0,0,((SUMIF($GI$3:$GR$3,GM$60,$GI149:$GR149))/SUMIF($GI$3:$GR$3,GM$60,$GI$4:$GR$4)))</f>
        <v>0</v>
      </c>
      <c r="GN100" s="199" t="n">
        <f aca="false">IF((SUMIF($GI$3:$GR$3,GN$60,$GI$4:$GR$4))=0,0,((SUMIF($GI$3:$GR$3,GN$60,$GI149:$GR149))/SUMIF($GI$3:$GR$3,GN$60,$GI$4:$GR$4)))</f>
        <v>0</v>
      </c>
      <c r="GO100" s="199" t="n">
        <f aca="false">IF((SUMIF($GI$3:$GR$3,GO$60,$GI$4:$GR$4))=0,0,((SUMIF($GI$3:$GR$3,GO$60,$GI149:$GR149))/SUMIF($GI$3:$GR$3,GO$60,$GI$4:$GR$4)))</f>
        <v>0</v>
      </c>
      <c r="GP100" s="199" t="n">
        <f aca="false">IF((SUMIF($GI$3:$GR$3,GP$60,$GI$4:$GR$4))=0,0,((SUMIF($GI$3:$GR$3,GP$60,$GI149:$GR149))/SUMIF($GI$3:$GR$3,GP$60,$GI$4:$GR$4)))</f>
        <v>0</v>
      </c>
      <c r="GQ100" s="199" t="n">
        <f aca="false">IF((SUMIF($GI$3:$GR$3,GQ$60,$GI$4:$GR$4))=0,0,((SUMIF($GI$3:$GR$3,GQ$60,$GI149:$GR149))/SUMIF($GI$3:$GR$3,GQ$60,$GI$4:$GR$4)))</f>
        <v>0</v>
      </c>
      <c r="GR100" s="200" t="n">
        <f aca="false">IF((SUMIF($GI$3:$GR$3,GR$60,$GI$4:$GR$4))=0,0,((SUMIF($GI$3:$GR$3,GR$60,$GI149:$GR149))/SUMIF($GI$3:$GR$3,GR$60,$GI$4:$GR$4)))</f>
        <v>0</v>
      </c>
      <c r="GS100" s="194" t="str">
        <f aca="false">GH100</f>
        <v>Alumno39</v>
      </c>
      <c r="GT100" s="198" t="n">
        <f aca="false">IF((SUMIF($GT$3:$HC$3,GT$60,$GT$4:$HC$4))=0,0,((SUMIF($GT$3:$HC$3,GT$60,$GT149:$HC149))/SUMIF($GT$3:$HC$3,GT$60,$GT$4:$HC$4)))</f>
        <v>0</v>
      </c>
      <c r="GU100" s="199" t="n">
        <f aca="false">IF((SUMIF($GT$3:$HC$3,GU$60,$GT$4:$HC$4))=0,0,((SUMIF($GT$3:$HC$3,GU$60,$GT149:$HC149))/SUMIF($GT$3:$HC$3,GU$60,$GT$4:$HC$4)))</f>
        <v>0</v>
      </c>
      <c r="GV100" s="199" t="n">
        <f aca="false">IF((SUMIF($GT$3:$HC$3,GV$60,$GT$4:$HC$4))=0,0,((SUMIF($GT$3:$HC$3,GV$60,$GT149:$HC149))/SUMIF($GT$3:$HC$3,GV$60,$GT$4:$HC$4)))</f>
        <v>0</v>
      </c>
      <c r="GW100" s="199" t="n">
        <f aca="false">IF((SUMIF($GT$3:$HC$3,GW$60,$GT$4:$HC$4))=0,0,((SUMIF($GT$3:$HC$3,GW$60,$GT149:$HC149))/SUMIF($GT$3:$HC$3,GW$60,$GT$4:$HC$4)))</f>
        <v>0</v>
      </c>
      <c r="GX100" s="199" t="n">
        <f aca="false">IF((SUMIF($GT$3:$HC$3,GX$60,$GT$4:$HC$4))=0,0,((SUMIF($GT$3:$HC$3,GX$60,$GT149:$HC149))/SUMIF($GT$3:$HC$3,GX$60,$GT$4:$HC$4)))</f>
        <v>0</v>
      </c>
      <c r="GY100" s="199" t="n">
        <f aca="false">IF((SUMIF($GT$3:$HC$3,GY$60,$GT$4:$HC$4))=0,0,((SUMIF($GT$3:$HC$3,GY$60,$GT149:$HC149))/SUMIF($GT$3:$HC$3,GY$60,$GT$4:$HC$4)))</f>
        <v>0</v>
      </c>
      <c r="GZ100" s="199" t="n">
        <f aca="false">IF((SUMIF($GT$3:$HC$3,GZ$60,$GT$4:$HC$4))=0,0,((SUMIF($GT$3:$HC$3,GZ$60,$GT149:$HC149))/SUMIF($GT$3:$HC$3,GZ$60,$GT$4:$HC$4)))</f>
        <v>0</v>
      </c>
      <c r="HA100" s="199" t="n">
        <f aca="false">IF((SUMIF($GT$3:$HC$3,HA$60,$GT$4:$HC$4))=0,0,((SUMIF($GT$3:$HC$3,HA$60,$GT149:$HC149))/SUMIF($GT$3:$HC$3,HA$60,$GT$4:$HC$4)))</f>
        <v>0</v>
      </c>
      <c r="HB100" s="199" t="n">
        <f aca="false">IF((SUMIF($GT$3:$HC$3,HB$60,$GT$4:$HC$4))=0,0,((SUMIF($GT$3:$HC$3,HB$60,$GT149:$HC149))/SUMIF($GT$3:$HC$3,HB$60,$GT$4:$HC$4)))</f>
        <v>0</v>
      </c>
      <c r="HC100" s="200" t="n">
        <f aca="false">IF((SUMIF($GT$3:$HC$3,HC$60,$GT$4:$HC$4))=0,0,((SUMIF($GT$3:$HC$3,HC$60,$GT149:$HC149))/SUMIF($GT$3:$HC$3,HC$60,$GT$4:$HC$4)))</f>
        <v>0</v>
      </c>
      <c r="HD100" s="194" t="str">
        <f aca="false">GS100</f>
        <v>Alumno39</v>
      </c>
      <c r="HE100" s="198" t="n">
        <f aca="false">IF((SUMIF($HE$3:$HN$3,HE$60,$HE$4:$HN$4))=0,0,((SUMIF($HE$3:$HN$3,HE$60,$HE149:$HN149))/SUMIF($HE$3:$HN$3,HE$60,$HE$4:$HN$4)))</f>
        <v>0</v>
      </c>
      <c r="HF100" s="199" t="n">
        <f aca="false">IF((SUMIF($HE$3:$HN$3,HF$60,$HE$4:$HN$4))=0,0,((SUMIF($HE$3:$HN$3,HF$60,$HE149:$HN149))/SUMIF($HE$3:$HN$3,HF$60,$HE$4:$HN$4)))</f>
        <v>0</v>
      </c>
      <c r="HG100" s="199" t="n">
        <f aca="false">IF((SUMIF($HE$3:$HN$3,HG$60,$HE$4:$HN$4))=0,0,((SUMIF($HE$3:$HN$3,HG$60,$HE149:$HN149))/SUMIF($HE$3:$HN$3,HG$60,$HE$4:$HN$4)))</f>
        <v>0</v>
      </c>
      <c r="HH100" s="199" t="n">
        <f aca="false">IF((SUMIF($HE$3:$HN$3,HH$60,$HE$4:$HN$4))=0,0,((SUMIF($HE$3:$HN$3,HH$60,$HE149:$HN149))/SUMIF($HE$3:$HN$3,HH$60,$HE$4:$HN$4)))</f>
        <v>0</v>
      </c>
      <c r="HI100" s="199" t="n">
        <f aca="false">IF((SUMIF($HE$3:$HN$3,HI$60,$HE$4:$HN$4))=0,0,((SUMIF($HE$3:$HN$3,HI$60,$HE149:$HN149))/SUMIF($HE$3:$HN$3,HI$60,$HE$4:$HN$4)))</f>
        <v>0</v>
      </c>
      <c r="HJ100" s="199" t="n">
        <f aca="false">IF((SUMIF($HE$3:$HN$3,HJ$60,$HE$4:$HN$4))=0,0,((SUMIF($HE$3:$HN$3,HJ$60,$HE149:$HN149))/SUMIF($HE$3:$HN$3,HJ$60,$HE$4:$HN$4)))</f>
        <v>0</v>
      </c>
      <c r="HK100" s="199" t="n">
        <f aca="false">IF((SUMIF($HE$3:$HN$3,HK$60,$HE$4:$HN$4))=0,0,((SUMIF($HE$3:$HN$3,HK$60,$HE149:$HN149))/SUMIF($HE$3:$HN$3,HK$60,$HE$4:$HN$4)))</f>
        <v>0</v>
      </c>
      <c r="HL100" s="199" t="n">
        <f aca="false">IF((SUMIF($HE$3:$HN$3,HL$60,$HE$4:$HN$4))=0,0,((SUMIF($HE$3:$HN$3,HL$60,$HE149:$HN149))/SUMIF($HE$3:$HN$3,HL$60,$HE$4:$HN$4)))</f>
        <v>0</v>
      </c>
      <c r="HM100" s="199" t="n">
        <f aca="false">IF((SUMIF($HE$3:$HN$3,HM$60,$HE$4:$HN$4))=0,0,((SUMIF($HE$3:$HN$3,HM$60,$HE149:$HN149))/SUMIF($HE$3:$HN$3,HM$60,$HE$4:$HN$4)))</f>
        <v>0</v>
      </c>
      <c r="HN100" s="200" t="n">
        <f aca="false">IF((SUMIF($HE$3:$HN$3,HN$60,$HE$4:$HN$4))=0,0,((SUMIF($HE$3:$HN$3,HN$60,$HE149:$HN149))/SUMIF($HE$3:$HN$3,HN$60,$HE$4:$HN$4)))</f>
        <v>0</v>
      </c>
      <c r="HO100" s="194" t="str">
        <f aca="false">HD100</f>
        <v>Alumno39</v>
      </c>
      <c r="HP100" s="198" t="n">
        <f aca="false">IF((SUMIF($HP$3:$HY$3,HP$60,$HP$4:$HY$4))=0,0,((SUMIF($HP$3:$HY$3,HP$60,$HP149:$HY149))/SUMIF($HP$3:$HY$3,HP$60,$HP$4:$HY$4)))</f>
        <v>0</v>
      </c>
      <c r="HQ100" s="199" t="n">
        <f aca="false">IF((SUMIF($HP$3:$HY$3,HQ$60,$HP$4:$HY$4))=0,0,((SUMIF($HP$3:$HY$3,HQ$60,$HP149:$HY149))/SUMIF($HP$3:$HY$3,HQ$60,$HP$4:$HY$4)))</f>
        <v>0</v>
      </c>
      <c r="HR100" s="199" t="n">
        <f aca="false">IF((SUMIF($HP$3:$HY$3,HR$60,$HP$4:$HY$4))=0,0,((SUMIF($HP$3:$HY$3,HR$60,$HP149:$HY149))/SUMIF($HP$3:$HY$3,HR$60,$HP$4:$HY$4)))</f>
        <v>0</v>
      </c>
      <c r="HS100" s="199" t="n">
        <f aca="false">IF((SUMIF($HP$3:$HY$3,HS$60,$HP$4:$HY$4))=0,0,((SUMIF($HP$3:$HY$3,HS$60,$HP149:$HY149))/SUMIF($HP$3:$HY$3,HS$60,$HP$4:$HY$4)))</f>
        <v>0</v>
      </c>
      <c r="HT100" s="199" t="n">
        <f aca="false">IF((SUMIF($HP$3:$HY$3,HT$60,$HP$4:$HY$4))=0,0,((SUMIF($HP$3:$HY$3,HT$60,$HP149:$HY149))/SUMIF($HP$3:$HY$3,HT$60,$HP$4:$HY$4)))</f>
        <v>0</v>
      </c>
      <c r="HU100" s="199" t="n">
        <f aca="false">IF((SUMIF($HP$3:$HY$3,HU$60,$HP$4:$HY$4))=0,0,((SUMIF($HP$3:$HY$3,HU$60,$HP149:$HY149))/SUMIF($HP$3:$HY$3,HU$60,$HP$4:$HY$4)))</f>
        <v>0</v>
      </c>
      <c r="HV100" s="199" t="n">
        <f aca="false">IF((SUMIF($HP$3:$HY$3,HV$60,$HP$4:$HY$4))=0,0,((SUMIF($HP$3:$HY$3,HV$60,$HP149:$HY149))/SUMIF($HP$3:$HY$3,HV$60,$HP$4:$HY$4)))</f>
        <v>0</v>
      </c>
      <c r="HW100" s="199" t="n">
        <f aca="false">IF((SUMIF($HP$3:$HY$3,HW$60,$HP$4:$HY$4))=0,0,((SUMIF($HP$3:$HY$3,HW$60,$HP149:$HY149))/SUMIF($HP$3:$HY$3,HW$60,$HP$4:$HY$4)))</f>
        <v>0</v>
      </c>
      <c r="HX100" s="199" t="n">
        <f aca="false">IF((SUMIF($HP$3:$HY$3,HX$60,$HP$4:$HY$4))=0,0,((SUMIF($HP$3:$HY$3,HX$60,$HP149:$HY149))/SUMIF($HP$3:$HY$3,HX$60,$HP$4:$HY$4)))</f>
        <v>0</v>
      </c>
      <c r="HY100" s="200" t="n">
        <f aca="false">IF((SUMIF($HP$3:$HY$3,HY$60,$HP$4:$HY$4))=0,0,((SUMIF($HP$3:$HY$3,HY$60,$HP149:$HY149))/SUMIF($HP$3:$HY$3,HY$60,$HP$4:$HY$4)))</f>
        <v>0</v>
      </c>
      <c r="HZ100" s="194" t="str">
        <f aca="false">HO100</f>
        <v>Alumno39</v>
      </c>
      <c r="IA100" s="198" t="n">
        <f aca="false">IF((SUMIF($IA$3:$IJ$3,IA$60,$IA$4:$IJ$4))=0,0,((SUMIF($IA$3:$IJ$3,IA$60,$IA149:$IJ149))/SUMIF($IA$3:$IJ$3,IA$60,$IA$4:$IJ$4)))</f>
        <v>0</v>
      </c>
      <c r="IB100" s="199" t="n">
        <f aca="false">IF((SUMIF($IA$3:$IJ$3,IB$60,$IA$4:$IJ$4))=0,0,((SUMIF($IA$3:$IJ$3,IB$60,$IA149:$IJ149))/SUMIF($IA$3:$IJ$3,IB$60,$IA$4:$IJ$4)))</f>
        <v>0</v>
      </c>
      <c r="IC100" s="199" t="n">
        <f aca="false">IF((SUMIF($IA$3:$IJ$3,IC$60,$IA$4:$IJ$4))=0,0,((SUMIF($IA$3:$IJ$3,IC$60,$IA149:$IJ149))/SUMIF($IA$3:$IJ$3,IC$60,$IA$4:$IJ$4)))</f>
        <v>0</v>
      </c>
      <c r="ID100" s="199" t="n">
        <f aca="false">IF((SUMIF($IA$3:$IJ$3,ID$60,$IA$4:$IJ$4))=0,0,((SUMIF($IA$3:$IJ$3,ID$60,$IA149:$IJ149))/SUMIF($IA$3:$IJ$3,ID$60,$IA$4:$IJ$4)))</f>
        <v>0</v>
      </c>
      <c r="IE100" s="199" t="n">
        <f aca="false">IF((SUMIF($IA$3:$IJ$3,IE$60,$IA$4:$IJ$4))=0,0,((SUMIF($IA$3:$IJ$3,IE$60,$IA149:$IJ149))/SUMIF($IA$3:$IJ$3,IE$60,$IA$4:$IJ$4)))</f>
        <v>0</v>
      </c>
      <c r="IF100" s="199" t="n">
        <f aca="false">IF((SUMIF($IA$3:$IJ$3,IF$60,$IA$4:$IJ$4))=0,0,((SUMIF($IA$3:$IJ$3,IF$60,$IA149:$IJ149))/SUMIF($IA$3:$IJ$3,IF$60,$IA$4:$IJ$4)))</f>
        <v>0</v>
      </c>
      <c r="IG100" s="199" t="n">
        <f aca="false">IF((SUMIF($IA$3:$IJ$3,IG$60,$IA$4:$IJ$4))=0,0,((SUMIF($IA$3:$IJ$3,IG$60,$IA149:$IJ149))/SUMIF($IA$3:$IJ$3,IG$60,$IA$4:$IJ$4)))</f>
        <v>0</v>
      </c>
      <c r="IH100" s="199" t="n">
        <f aca="false">IF((SUMIF($IA$3:$IJ$3,IH$60,$IA$4:$IJ$4))=0,0,((SUMIF($IA$3:$IJ$3,IH$60,$IA149:$IJ149))/SUMIF($IA$3:$IJ$3,IH$60,$IA$4:$IJ$4)))</f>
        <v>0</v>
      </c>
      <c r="II100" s="199" t="n">
        <f aca="false">IF((SUMIF($IA$3:$IJ$3,II$60,$IA$4:$IJ$4))=0,0,((SUMIF($IA$3:$IJ$3,II$60,$IA149:$IJ149))/SUMIF($IA$3:$IJ$3,II$60,$IA$4:$IJ$4)))</f>
        <v>0</v>
      </c>
      <c r="IJ100" s="200" t="n">
        <f aca="false">IF((SUMIF($IA$3:$IJ$3,IJ$60,$IA$4:$IJ$4))=0,0,((SUMIF($IA$3:$IJ$3,IJ$60,$IA149:$IJ149))/SUMIF($IA$3:$IJ$3,IJ$60,$IA$4:$IJ$4)))</f>
        <v>0</v>
      </c>
      <c r="IK100" s="194" t="str">
        <f aca="false">HZ100</f>
        <v>Alumno39</v>
      </c>
      <c r="IL100" s="198" t="n">
        <f aca="false">IF((SUMIF($IL$3:$IU$3,IL$60,$IL$4:$IU$4))=0,0,((SUMIF($IL$3:$IU$3,IL$60,$IL149:$IU149))/SUMIF($IL$3:$IU$3,IL$60,$IL$4:$IU$4)))</f>
        <v>0</v>
      </c>
      <c r="IM100" s="199" t="n">
        <f aca="false">IF((SUMIF($IL$3:$IU$3,IM$60,$IL$4:$IU$4))=0,0,((SUMIF($IL$3:$IU$3,IM$60,$IL149:$IU149))/SUMIF($IL$3:$IU$3,IM$60,$IL$4:$IU$4)))</f>
        <v>0</v>
      </c>
      <c r="IN100" s="199" t="n">
        <f aca="false">IF((SUMIF($IL$3:$IU$3,IN$60,$IL$4:$IU$4))=0,0,((SUMIF($IL$3:$IU$3,IN$60,$IL149:$IU149))/SUMIF($IL$3:$IU$3,IN$60,$IL$4:$IU$4)))</f>
        <v>0</v>
      </c>
      <c r="IO100" s="199" t="n">
        <f aca="false">IF((SUMIF($IL$3:$IU$3,IO$60,$IL$4:$IU$4))=0,0,((SUMIF($IL$3:$IU$3,IO$60,$IL149:$IU149))/SUMIF($IL$3:$IU$3,IO$60,$IL$4:$IU$4)))</f>
        <v>0</v>
      </c>
      <c r="IP100" s="199" t="n">
        <f aca="false">IF((SUMIF($IL$3:$IU$3,IP$60,$IL$4:$IU$4))=0,0,((SUMIF($IL$3:$IU$3,IP$60,$IL149:$IU149))/SUMIF($IL$3:$IU$3,IP$60,$IL$4:$IU$4)))</f>
        <v>0</v>
      </c>
      <c r="IQ100" s="199" t="n">
        <f aca="false">IF((SUMIF($IL$3:$IU$3,IQ$60,$IL$4:$IU$4))=0,0,((SUMIF($IL$3:$IU$3,IQ$60,$IL149:$IU149))/SUMIF($IL$3:$IU$3,IQ$60,$IL$4:$IU$4)))</f>
        <v>0</v>
      </c>
      <c r="IR100" s="199" t="n">
        <f aca="false">IF((SUMIF($IL$3:$IU$3,IR$60,$IL$4:$IU$4))=0,0,((SUMIF($IL$3:$IU$3,IR$60,$IL149:$IU149))/SUMIF($IL$3:$IU$3,IR$60,$IL$4:$IU$4)))</f>
        <v>0</v>
      </c>
      <c r="IS100" s="199" t="n">
        <f aca="false">IF((SUMIF($IL$3:$IU$3,IS$60,$IL$4:$IU$4))=0,0,((SUMIF($IL$3:$IU$3,IS$60,$IL149:$IU149))/SUMIF($IL$3:$IU$3,IS$60,$IL$4:$IU$4)))</f>
        <v>0</v>
      </c>
      <c r="IT100" s="199" t="n">
        <f aca="false">IF((SUMIF($IL$3:$IU$3,IT$60,$IL$4:$IU$4))=0,0,((SUMIF($IL$3:$IU$3,IT$60,$IL149:$IU149))/SUMIF($IL$3:$IU$3,IT$60,$IL$4:$IU$4)))</f>
        <v>0</v>
      </c>
      <c r="IU100" s="200" t="n">
        <f aca="false">IF((SUMIF($IL$3:$IU$3,IU$60,$IL$4:$IU$4))=0,0,((SUMIF($IL$3:$IU$3,IU$60,$IL149:$IU149))/SUMIF($IL$3:$IU$3,IU$60,$IL$4:$IU$4)))</f>
        <v>0</v>
      </c>
      <c r="IV100" s="194" t="str">
        <f aca="false">IK100</f>
        <v>Alumno39</v>
      </c>
      <c r="IW100" s="198" t="n">
        <f aca="false">IF((SUMIF($IW$3:$JF$3,IW$60,$IW$4:$JF$4))=0,0,((SUMIF($IW$3:$JF$3,IW$60,$IW149:$JF149))/SUMIF($IW$3:$JF$3,IW$60,$IW$4:$JF$4)))</f>
        <v>0</v>
      </c>
      <c r="IX100" s="199" t="n">
        <f aca="false">IF((SUMIF($IW$3:$JF$3,IX$60,$IW$4:$JF$4))=0,0,((SUMIF($IW$3:$JF$3,IX$60,$IW149:$JF149))/SUMIF($IW$3:$JF$3,IX$60,$IW$4:$JF$4)))</f>
        <v>0</v>
      </c>
      <c r="IY100" s="199" t="n">
        <f aca="false">IF((SUMIF($IW$3:$JF$3,IY$60,$IW$4:$JF$4))=0,0,((SUMIF($IW$3:$JF$3,IY$60,$IW149:$JF149))/SUMIF($IW$3:$JF$3,IY$60,$IW$4:$JF$4)))</f>
        <v>0</v>
      </c>
      <c r="IZ100" s="199" t="n">
        <f aca="false">IF((SUMIF($IW$3:$JF$3,IZ$60,$IW$4:$JF$4))=0,0,((SUMIF($IW$3:$JF$3,IZ$60,$IW149:$JF149))/SUMIF($IW$3:$JF$3,IZ$60,$IW$4:$JF$4)))</f>
        <v>0</v>
      </c>
      <c r="JA100" s="199" t="n">
        <f aca="false">IF((SUMIF($IW$3:$JF$3,JA$60,$IW$4:$JF$4))=0,0,((SUMIF($IW$3:$JF$3,JA$60,$IW149:$JF149))/SUMIF($IW$3:$JF$3,JA$60,$IW$4:$JF$4)))</f>
        <v>0</v>
      </c>
      <c r="JB100" s="199" t="n">
        <f aca="false">IF((SUMIF($IW$3:$JF$3,JB$60,$IW$4:$JF$4))=0,0,((SUMIF($IW$3:$JF$3,JB$60,$IW149:$JF149))/SUMIF($IW$3:$JF$3,JB$60,$IW$4:$JF$4)))</f>
        <v>0</v>
      </c>
      <c r="JC100" s="199" t="n">
        <f aca="false">IF((SUMIF($IW$3:$JF$3,JC$60,$IW$4:$JF$4))=0,0,((SUMIF($IW$3:$JF$3,JC$60,$IW149:$JF149))/SUMIF($IW$3:$JF$3,JC$60,$IW$4:$JF$4)))</f>
        <v>0</v>
      </c>
      <c r="JD100" s="199" t="n">
        <f aca="false">IF((SUMIF($IW$3:$JF$3,JD$60,$IW$4:$JF$4))=0,0,((SUMIF($IW$3:$JF$3,JD$60,$IW149:$JF149))/SUMIF($IW$3:$JF$3,JD$60,$IW$4:$JF$4)))</f>
        <v>0</v>
      </c>
      <c r="JE100" s="199" t="n">
        <f aca="false">IF((SUMIF($IW$3:$JF$3,JE$60,$IW$4:$JF$4))=0,0,((SUMIF($IW$3:$JF$3,JE$60,$IW149:$JF149))/SUMIF($IW$3:$JF$3,JE$60,$IW$4:$JF$4)))</f>
        <v>0</v>
      </c>
      <c r="JF100" s="200" t="n">
        <f aca="false">IF((SUMIF($IW$3:$JF$3,JF$60,$IW$4:$JF$4))=0,0,((SUMIF($IW$3:$JF$3,JF$60,$IW149:$JF149))/SUMIF($IW$3:$JF$3,JF$60,$IW$4:$JF$4)))</f>
        <v>0</v>
      </c>
      <c r="JG100" s="194" t="str">
        <f aca="false">IV100</f>
        <v>Alumno39</v>
      </c>
      <c r="JH100" s="198" t="n">
        <f aca="false">IF((SUMIF($JH$3:$JQ$3,JH$60,$JH$4:$JQ$4))=0,0,((SUMIF($JH$3:$JQ$3,JH$60,$JH149:$JQ149))/SUMIF($JH$3:$JQ$3,JH$60,$JH$4:$JQ$4)))</f>
        <v>0</v>
      </c>
      <c r="JI100" s="199" t="n">
        <f aca="false">IF((SUMIF($JH$3:$JQ$3,JI$60,$JH$4:$JQ$4))=0,0,((SUMIF($JH$3:$JQ$3,JI$60,$JH149:$JQ149))/SUMIF($JH$3:$JQ$3,JI$60,$JH$4:$JQ$4)))</f>
        <v>0</v>
      </c>
      <c r="JJ100" s="199" t="n">
        <f aca="false">IF((SUMIF($JH$3:$JQ$3,JJ$60,$JH$4:$JQ$4))=0,0,((SUMIF($JH$3:$JQ$3,JJ$60,$JH149:$JQ149))/SUMIF($JH$3:$JQ$3,JJ$60,$JH$4:$JQ$4)))</f>
        <v>0</v>
      </c>
      <c r="JK100" s="199" t="n">
        <f aca="false">IF((SUMIF($JH$3:$JQ$3,JK$60,$JH$4:$JQ$4))=0,0,((SUMIF($JH$3:$JQ$3,JK$60,$JH149:$JQ149))/SUMIF($JH$3:$JQ$3,JK$60,$JH$4:$JQ$4)))</f>
        <v>0</v>
      </c>
      <c r="JL100" s="199" t="n">
        <f aca="false">IF((SUMIF($JH$3:$JQ$3,JL$60,$JH$4:$JQ$4))=0,0,((SUMIF($JH$3:$JQ$3,JL$60,$JH149:$JQ149))/SUMIF($JH$3:$JQ$3,JL$60,$JH$4:$JQ$4)))</f>
        <v>0</v>
      </c>
      <c r="JM100" s="199" t="n">
        <f aca="false">IF((SUMIF($JH$3:$JQ$3,JM$60,$JH$4:$JQ$4))=0,0,((SUMIF($JH$3:$JQ$3,JM$60,$JH149:$JQ149))/SUMIF($JH$3:$JQ$3,JM$60,$JH$4:$JQ$4)))</f>
        <v>0</v>
      </c>
      <c r="JN100" s="199" t="n">
        <f aca="false">IF((SUMIF($JH$3:$JQ$3,JN$60,$JH$4:$JQ$4))=0,0,((SUMIF($JH$3:$JQ$3,JN$60,$JH149:$JQ149))/SUMIF($JH$3:$JQ$3,JN$60,$JH$4:$JQ$4)))</f>
        <v>0</v>
      </c>
      <c r="JO100" s="199" t="n">
        <f aca="false">IF((SUMIF($JH$3:$JQ$3,JO$60,$JH$4:$JQ$4))=0,0,((SUMIF($JH$3:$JQ$3,JO$60,$JH149:$JQ149))/SUMIF($JH$3:$JQ$3,JO$60,$JH$4:$JQ$4)))</f>
        <v>0</v>
      </c>
      <c r="JP100" s="199" t="n">
        <f aca="false">IF((SUMIF($JH$3:$JQ$3,JP$60,$JH$4:$JQ$4))=0,0,((SUMIF($JH$3:$JQ$3,JP$60,$JH149:$JQ149))/SUMIF($JH$3:$JQ$3,JP$60,$JH$4:$JQ$4)))</f>
        <v>0</v>
      </c>
      <c r="JQ100" s="200" t="n">
        <f aca="false">IF((SUMIF($JH$3:$JQ$3,JQ$60,$JH$4:$JQ$4))=0,0,((SUMIF($JH$3:$JQ$3,JQ$60,$JH149:$JQ149))/SUMIF($JH$3:$JQ$3,JQ$60,$JH$4:$JQ$4)))</f>
        <v>0</v>
      </c>
      <c r="JR100" s="194" t="str">
        <f aca="false">JG100</f>
        <v>Alumno39</v>
      </c>
      <c r="JS100" s="198" t="n">
        <f aca="false">IF((SUMIF($JS$3:$KB$3,JS$60,$JS$4:$KB$4))=0,0,((SUMIF($JS$3:$KB$3,JS$60,$JS149:$KB149))/SUMIF($JS$3:$KB$3,JS$60,$JS$4:$KB$4)))</f>
        <v>0</v>
      </c>
      <c r="JT100" s="199" t="n">
        <f aca="false">IF((SUMIF($JS$3:$KB$3,JT$60,$JS$4:$KB$4))=0,0,((SUMIF($JS$3:$KB$3,JT$60,$JS149:$KB149))/SUMIF($JS$3:$KB$3,JT$60,$JS$4:$KB$4)))</f>
        <v>0</v>
      </c>
      <c r="JU100" s="199" t="n">
        <f aca="false">IF((SUMIF($JS$3:$KB$3,JU$60,$JS$4:$KB$4))=0,0,((SUMIF($JS$3:$KB$3,JU$60,$JS149:$KB149))/SUMIF($JS$3:$KB$3,JU$60,$JS$4:$KB$4)))</f>
        <v>0</v>
      </c>
      <c r="JV100" s="199" t="n">
        <f aca="false">IF((SUMIF($JS$3:$KB$3,JV$60,$JS$4:$KB$4))=0,0,((SUMIF($JS$3:$KB$3,JV$60,$JS149:$KB149))/SUMIF($JS$3:$KB$3,JV$60,$JS$4:$KB$4)))</f>
        <v>0</v>
      </c>
      <c r="JW100" s="199" t="n">
        <f aca="false">IF((SUMIF($JS$3:$KB$3,JW$60,$JS$4:$KB$4))=0,0,((SUMIF($JS$3:$KB$3,JW$60,$JS149:$KB149))/SUMIF($JS$3:$KB$3,JW$60,$JS$4:$KB$4)))</f>
        <v>0</v>
      </c>
      <c r="JX100" s="199" t="n">
        <f aca="false">IF((SUMIF($JS$3:$KB$3,JX$60,$JS$4:$KB$4))=0,0,((SUMIF($JS$3:$KB$3,JX$60,$JS149:$KB149))/SUMIF($JS$3:$KB$3,JX$60,$JS$4:$KB$4)))</f>
        <v>0</v>
      </c>
      <c r="JY100" s="199" t="n">
        <f aca="false">IF((SUMIF($JS$3:$KB$3,JY$60,$JS$4:$KB$4))=0,0,((SUMIF($JS$3:$KB$3,JY$60,$JS149:$KB149))/SUMIF($JS$3:$KB$3,JY$60,$JS$4:$KB$4)))</f>
        <v>0</v>
      </c>
      <c r="JZ100" s="199" t="n">
        <f aca="false">IF((SUMIF($JS$3:$KB$3,JZ$60,$JS$4:$KB$4))=0,0,((SUMIF($JS$3:$KB$3,JZ$60,$JS149:$KB149))/SUMIF($JS$3:$KB$3,JZ$60,$JS$4:$KB$4)))</f>
        <v>0</v>
      </c>
      <c r="KA100" s="199" t="n">
        <f aca="false">IF((SUMIF($JS$3:$KB$3,KA$60,$JS$4:$KB$4))=0,0,((SUMIF($JS$3:$KB$3,KA$60,$JS149:$KB149))/SUMIF($JS$3:$KB$3,KA$60,$JS$4:$KB$4)))</f>
        <v>0</v>
      </c>
      <c r="KB100" s="200" t="n">
        <f aca="false">IF((SUMIF($JS$3:$KB$3,KB$60,$JS$4:$KB$4))=0,0,((SUMIF($JS$3:$KB$3,KB$60,$JS149:$KB149))/SUMIF($JS$3:$KB$3,KB$60,$JS$4:$KB$4)))</f>
        <v>0</v>
      </c>
      <c r="KC100" s="194" t="str">
        <f aca="false">JR100</f>
        <v>Alumno39</v>
      </c>
      <c r="KD100" s="198" t="n">
        <f aca="false">IF((SUMIF($KD$3:$KM$3,KD$60,$KD$4:$KM$4))=0,0,((SUMIF($KD$3:$KM$3,KD$60,$KD149:$KM149))/SUMIF($KD$3:$KM$3,KD$60,$KD$4:$KM$4)))</f>
        <v>0</v>
      </c>
      <c r="KE100" s="199" t="n">
        <f aca="false">IF((SUMIF($KD$3:$KM$3,KE$60,$KD$4:$KM$4))=0,0,((SUMIF($KD$3:$KM$3,KE$60,$KD149:$KM149))/SUMIF($KD$3:$KM$3,KE$60,$KD$4:$KM$4)))</f>
        <v>0</v>
      </c>
      <c r="KF100" s="199" t="n">
        <f aca="false">IF((SUMIF($KD$3:$KM$3,KF$60,$KD$4:$KM$4))=0,0,((SUMIF($KD$3:$KM$3,KF$60,$KD149:$KM149))/SUMIF($KD$3:$KM$3,KF$60,$KD$4:$KM$4)))</f>
        <v>0</v>
      </c>
      <c r="KG100" s="199" t="n">
        <f aca="false">IF((SUMIF($KD$3:$KM$3,KG$60,$KD$4:$KM$4))=0,0,((SUMIF($KD$3:$KM$3,KG$60,$KD149:$KM149))/SUMIF($KD$3:$KM$3,KG$60,$KD$4:$KM$4)))</f>
        <v>0</v>
      </c>
      <c r="KH100" s="199" t="n">
        <f aca="false">IF((SUMIF($KD$3:$KM$3,KH$60,$KD$4:$KM$4))=0,0,((SUMIF($KD$3:$KM$3,KH$60,$KD149:$KM149))/SUMIF($KD$3:$KM$3,KH$60,$KD$4:$KM$4)))</f>
        <v>0</v>
      </c>
      <c r="KI100" s="199" t="n">
        <f aca="false">IF((SUMIF($KD$3:$KM$3,KI$60,$KD$4:$KM$4))=0,0,((SUMIF($KD$3:$KM$3,KI$60,$KD149:$KM149))/SUMIF($KD$3:$KM$3,KI$60,$KD$4:$KM$4)))</f>
        <v>0</v>
      </c>
      <c r="KJ100" s="199" t="n">
        <f aca="false">IF((SUMIF($KD$3:$KM$3,KJ$60,$KD$4:$KM$4))=0,0,((SUMIF($KD$3:$KM$3,KJ$60,$KD149:$KM149))/SUMIF($KD$3:$KM$3,KJ$60,$KD$4:$KM$4)))</f>
        <v>0</v>
      </c>
      <c r="KK100" s="199" t="n">
        <f aca="false">IF((SUMIF($KD$3:$KM$3,KK$60,$KD$4:$KM$4))=0,0,((SUMIF($KD$3:$KM$3,KK$60,$KD149:$KM149))/SUMIF($KD$3:$KM$3,KK$60,$KD$4:$KM$4)))</f>
        <v>0</v>
      </c>
      <c r="KL100" s="199" t="n">
        <f aca="false">IF((SUMIF($KD$3:$KM$3,KL$60,$KD$4:$KM$4))=0,0,((SUMIF($KD$3:$KM$3,KL$60,$KD149:$KM149))/SUMIF($KD$3:$KM$3,KL$60,$KD$4:$KM$4)))</f>
        <v>0</v>
      </c>
      <c r="KM100" s="200" t="n">
        <f aca="false">IF((SUMIF($KD$3:$KM$3,KM$60,$KD$4:$KM$4))=0,0,((SUMIF($KD$3:$KM$3,KM$60,$KD149:$KM149))/SUMIF($KD$3:$KM$3,KM$60,$KD$4:$KM$4)))</f>
        <v>0</v>
      </c>
      <c r="KN100" s="194" t="str">
        <f aca="false">KC100</f>
        <v>Alumno39</v>
      </c>
      <c r="KO100" s="198" t="n">
        <f aca="false">IF((SUMIF($KO$3:$KX$3,KO$60,$KO$4:$KX$4))=0,0,((SUMIF($KO$3:$KX$3,KO$60,$KO149:$KX149))/SUMIF($KO$3:$KX$3,KO$60,$KO$4:$KX$4)))</f>
        <v>0</v>
      </c>
      <c r="KP100" s="199" t="n">
        <f aca="false">IF((SUMIF($KO$3:$KX$3,KP$60,$KO$4:$KX$4))=0,0,((SUMIF($KO$3:$KX$3,KP$60,$KO149:$KX149))/SUMIF($KO$3:$KX$3,KP$60,$KO$4:$KX$4)))</f>
        <v>0</v>
      </c>
      <c r="KQ100" s="199" t="n">
        <f aca="false">IF((SUMIF($KO$3:$KX$3,KQ$60,$KO$4:$KX$4))=0,0,((SUMIF($KO$3:$KX$3,KQ$60,$KO149:$KX149))/SUMIF($KO$3:$KX$3,KQ$60,$KO$4:$KX$4)))</f>
        <v>0</v>
      </c>
      <c r="KR100" s="199" t="n">
        <f aca="false">IF((SUMIF($KO$3:$KX$3,KR$60,$KO$4:$KX$4))=0,0,((SUMIF($KO$3:$KX$3,KR$60,$KO149:$KX149))/SUMIF($KO$3:$KX$3,KR$60,$KO$4:$KX$4)))</f>
        <v>0</v>
      </c>
      <c r="KS100" s="199" t="n">
        <f aca="false">IF((SUMIF($KO$3:$KX$3,KS$60,$KO$4:$KX$4))=0,0,((SUMIF($KO$3:$KX$3,KS$60,$KO149:$KX149))/SUMIF($KO$3:$KX$3,KS$60,$KO$4:$KX$4)))</f>
        <v>0</v>
      </c>
      <c r="KT100" s="199" t="n">
        <f aca="false">IF((SUMIF($KO$3:$KX$3,KT$60,$KO$4:$KX$4))=0,0,((SUMIF($KO$3:$KX$3,KT$60,$KO149:$KX149))/SUMIF($KO$3:$KX$3,KT$60,$KO$4:$KX$4)))</f>
        <v>0</v>
      </c>
      <c r="KU100" s="199" t="n">
        <f aca="false">IF((SUMIF($KO$3:$KX$3,KU$60,$KO$4:$KX$4))=0,0,((SUMIF($KO$3:$KX$3,KU$60,$KO149:$KX149))/SUMIF($KO$3:$KX$3,KU$60,$KO$4:$KX$4)))</f>
        <v>0</v>
      </c>
      <c r="KV100" s="199" t="n">
        <f aca="false">IF((SUMIF($KO$3:$KX$3,KV$60,$KO$4:$KX$4))=0,0,((SUMIF($KO$3:$KX$3,KV$60,$KO149:$KX149))/SUMIF($KO$3:$KX$3,KV$60,$KO$4:$KX$4)))</f>
        <v>0</v>
      </c>
      <c r="KW100" s="199" t="n">
        <f aca="false">IF((SUMIF($KO$3:$KX$3,KW$60,$KO$4:$KX$4))=0,0,((SUMIF($KO$3:$KX$3,KW$60,$KO149:$KX149))/SUMIF($KO$3:$KX$3,KW$60,$KO$4:$KX$4)))</f>
        <v>0</v>
      </c>
      <c r="KX100" s="200" t="n">
        <f aca="false">IF((SUMIF($KO$3:$KX$3,KX$60,$KO$4:$KX$4))=0,0,((SUMIF($KO$3:$KX$3,KX$60,$KO149:$KX149))/SUMIF($KO$3:$KX$3,KX$60,$KO$4:$KX$4)))</f>
        <v>0</v>
      </c>
      <c r="KY100" s="194" t="str">
        <f aca="false">KN100</f>
        <v>Alumno39</v>
      </c>
      <c r="KZ100" s="198" t="n">
        <f aca="false">IF((SUMIF($KZ$3:$LI$3,KZ$60,$KZ$4:$LI$4))=0,0,((SUMIF($KZ$3:$LI$3,KZ$60,$KZ149:$LI149))/SUMIF($KZ$3:$LI$3,KZ$60,$KZ$4:$LI$4)))</f>
        <v>0</v>
      </c>
      <c r="LA100" s="199" t="n">
        <f aca="false">IF((SUMIF($KZ$3:$LI$3,LA$60,$KZ$4:$LI$4))=0,0,((SUMIF($KZ$3:$LI$3,LA$60,$KZ149:$LI149))/SUMIF($KZ$3:$LI$3,LA$60,$KZ$4:$LI$4)))</f>
        <v>0</v>
      </c>
      <c r="LB100" s="199" t="n">
        <f aca="false">IF((SUMIF($KZ$3:$LI$3,LB$60,$KZ$4:$LI$4))=0,0,((SUMIF($KZ$3:$LI$3,LB$60,$KZ149:$LI149))/SUMIF($KZ$3:$LI$3,LB$60,$KZ$4:$LI$4)))</f>
        <v>0</v>
      </c>
      <c r="LC100" s="199" t="n">
        <f aca="false">IF((SUMIF($KZ$3:$LI$3,LC$60,$KZ$4:$LI$4))=0,0,((SUMIF($KZ$3:$LI$3,LC$60,$KZ149:$LI149))/SUMIF($KZ$3:$LI$3,LC$60,$KZ$4:$LI$4)))</f>
        <v>0</v>
      </c>
      <c r="LD100" s="199" t="n">
        <f aca="false">IF((SUMIF($KZ$3:$LI$3,LD$60,$KZ$4:$LI$4))=0,0,((SUMIF($KZ$3:$LI$3,LD$60,$KZ149:$LI149))/SUMIF($KZ$3:$LI$3,LD$60,$KZ$4:$LI$4)))</f>
        <v>0</v>
      </c>
      <c r="LE100" s="199" t="n">
        <f aca="false">IF((SUMIF($KZ$3:$LI$3,LE$60,$KZ$4:$LI$4))=0,0,((SUMIF($KZ$3:$LI$3,LE$60,$KZ149:$LI149))/SUMIF($KZ$3:$LI$3,LE$60,$KZ$4:$LI$4)))</f>
        <v>0</v>
      </c>
      <c r="LF100" s="199" t="n">
        <f aca="false">IF((SUMIF($KZ$3:$LI$3,LF$60,$KZ$4:$LI$4))=0,0,((SUMIF($KZ$3:$LI$3,LF$60,$KZ149:$LI149))/SUMIF($KZ$3:$LI$3,LF$60,$KZ$4:$LI$4)))</f>
        <v>0</v>
      </c>
      <c r="LG100" s="199" t="n">
        <f aca="false">IF((SUMIF($KZ$3:$LI$3,LG$60,$KZ$4:$LI$4))=0,0,((SUMIF($KZ$3:$LI$3,LG$60,$KZ149:$LI149))/SUMIF($KZ$3:$LI$3,LG$60,$KZ$4:$LI$4)))</f>
        <v>0</v>
      </c>
      <c r="LH100" s="199" t="n">
        <f aca="false">IF((SUMIF($KZ$3:$LI$3,LH$60,$KZ$4:$LI$4))=0,0,((SUMIF($KZ$3:$LI$3,LH$60,$KZ149:$LI149))/SUMIF($KZ$3:$LI$3,LH$60,$KZ$4:$LI$4)))</f>
        <v>0</v>
      </c>
      <c r="LI100" s="200" t="n">
        <f aca="false">IF((SUMIF($KZ$3:$LI$3,LI$60,$KZ$4:$LI$4))=0,0,((SUMIF($KZ$3:$LI$3,LI$60,$KZ149:$LI149))/SUMIF($KZ$3:$LI$3,LI$60,$KZ$4:$LI$4)))</f>
        <v>0</v>
      </c>
      <c r="LJ100" s="194" t="str">
        <f aca="false">KY100</f>
        <v>Alumno39</v>
      </c>
      <c r="LK100" s="198" t="n">
        <f aca="false">IF((SUMIF($LK$3:$LT$3,LK$60,$LK$4:$LT$4))=0,0,((SUMIF($LK$3:$LT$3,LK$60,$LK149:$LT149))/SUMIF($LK$3:$LT$3,LK$60,$LK$4:$LT$4)))</f>
        <v>0</v>
      </c>
      <c r="LL100" s="199" t="n">
        <f aca="false">IF((SUMIF($LK$3:$LT$3,LL$60,$LK$4:$LT$4))=0,0,((SUMIF($LK$3:$LT$3,LL$60,$LK149:$LT149))/SUMIF($LK$3:$LT$3,LL$60,$LK$4:$LT$4)))</f>
        <v>0</v>
      </c>
      <c r="LM100" s="199" t="n">
        <f aca="false">IF((SUMIF($LK$3:$LT$3,LM$60,$LK$4:$LT$4))=0,0,((SUMIF($LK$3:$LT$3,LM$60,$LK149:$LT149))/SUMIF($LK$3:$LT$3,LM$60,$LK$4:$LT$4)))</f>
        <v>0</v>
      </c>
      <c r="LN100" s="199" t="n">
        <f aca="false">IF((SUMIF($LK$3:$LT$3,LN$60,$LK$4:$LT$4))=0,0,((SUMIF($LK$3:$LT$3,LN$60,$LK149:$LT149))/SUMIF($LK$3:$LT$3,LN$60,$LK$4:$LT$4)))</f>
        <v>0</v>
      </c>
      <c r="LO100" s="199" t="n">
        <f aca="false">IF((SUMIF($LK$3:$LT$3,LO$60,$LK$4:$LT$4))=0,0,((SUMIF($LK$3:$LT$3,LO$60,$LK149:$LT149))/SUMIF($LK$3:$LT$3,LO$60,$LK$4:$LT$4)))</f>
        <v>0</v>
      </c>
      <c r="LP100" s="199" t="n">
        <f aca="false">IF((SUMIF($LK$3:$LT$3,LP$60,$LK$4:$LT$4))=0,0,((SUMIF($LK$3:$LT$3,LP$60,$LK149:$LT149))/SUMIF($LK$3:$LT$3,LP$60,$LK$4:$LT$4)))</f>
        <v>0</v>
      </c>
      <c r="LQ100" s="199" t="n">
        <f aca="false">IF((SUMIF($LK$3:$LT$3,LQ$60,$LK$4:$LT$4))=0,0,((SUMIF($LK$3:$LT$3,LQ$60,$LK149:$LT149))/SUMIF($LK$3:$LT$3,LQ$60,$LK$4:$LT$4)))</f>
        <v>0</v>
      </c>
      <c r="LR100" s="199" t="n">
        <f aca="false">IF((SUMIF($LK$3:$LT$3,LR$60,$LK$4:$LT$4))=0,0,((SUMIF($LK$3:$LT$3,LR$60,$LK149:$LT149))/SUMIF($LK$3:$LT$3,LR$60,$LK$4:$LT$4)))</f>
        <v>0</v>
      </c>
      <c r="LS100" s="199" t="n">
        <f aca="false">IF((SUMIF($LK$3:$LT$3,LS$60,$LK$4:$LT$4))=0,0,((SUMIF($LK$3:$LT$3,LS$60,$LK149:$LT149))/SUMIF($LK$3:$LT$3,LS$60,$LK$4:$LT$4)))</f>
        <v>0</v>
      </c>
      <c r="LT100" s="200" t="n">
        <f aca="false">IF((SUMIF($LK$3:$LT$3,LT$60,$LK$4:$LT$4))=0,0,((SUMIF($LK$3:$LT$3,LT$60,$LK149:$LT149))/SUMIF($LK$3:$LT$3,LT$60,$LK$4:$LT$4)))</f>
        <v>0</v>
      </c>
    </row>
    <row r="101" customFormat="false" ht="15" hidden="true" customHeight="false" outlineLevel="0" collapsed="false">
      <c r="C101" s="194" t="str">
        <f aca="false">B45</f>
        <v>Alumno40</v>
      </c>
      <c r="D101" s="198" t="n">
        <f aca="false">IF((SUMIF($D$3:$M$3,D$60,$D$4:$M$4))=0,0,((SUMIF($D$3:$M$3,D$60,$D150:$M150))/SUMIF($D$3:$M$3,D$60,$D$4:$M$4)))</f>
        <v>0</v>
      </c>
      <c r="E101" s="199" t="n">
        <f aca="false">IF((SUMIF($D$3:$M$3,E$60,$D$4:$M$4))=0,0,((SUMIF($D$3:$M$3,E$60,$D150:$M150))/SUMIF($D$3:$M$3,E$60,$D$4:$M$4)))</f>
        <v>0</v>
      </c>
      <c r="F101" s="199" t="n">
        <f aca="false">IF((SUMIF($D$3:$M$3,F$60,$D$4:$M$4))=0,0,((SUMIF($D$3:$M$3,F$60,$D150:$M150))/SUMIF($D$3:$M$3,F$60,$D$4:$M$4)))</f>
        <v>0</v>
      </c>
      <c r="G101" s="199" t="n">
        <f aca="false">IF((SUMIF($D$3:$M$3,G$60,$D$4:$M$4))=0,0,((SUMIF($D$3:$M$3,G$60,$D150:$M150))/SUMIF($D$3:$M$3,G$60,$D$4:$M$4)))</f>
        <v>0</v>
      </c>
      <c r="H101" s="199" t="n">
        <f aca="false">IF((SUMIF($D$3:$M$3,H$60,$D$4:$M$4))=0,0,((SUMIF($D$3:$M$3,H$60,$D150:$M150))/SUMIF($D$3:$M$3,H$60,$D$4:$M$4)))</f>
        <v>0</v>
      </c>
      <c r="I101" s="199" t="n">
        <f aca="false">IF((SUMIF($D$3:$M$3,I$60,$D$4:$M$4))=0,0,((SUMIF($D$3:$M$3,I$60,$D150:$M150))/SUMIF($D$3:$M$3,I$60,$D$4:$M$4)))</f>
        <v>0</v>
      </c>
      <c r="J101" s="199" t="n">
        <f aca="false">IF((SUMIF($D$3:$M$3,J$60,$D$4:$M$4))=0,0,((SUMIF($D$3:$M$3,J$60,$D150:$M150))/SUMIF($D$3:$M$3,J$60,$D$4:$M$4)))</f>
        <v>0</v>
      </c>
      <c r="K101" s="199" t="n">
        <f aca="false">IF((SUMIF($D$3:$M$3,K$60,$D$4:$M$4))=0,0,((SUMIF($D$3:$M$3,K$60,$D150:$M150))/SUMIF($D$3:$M$3,K$60,$D$4:$M$4)))</f>
        <v>0</v>
      </c>
      <c r="L101" s="199" t="n">
        <f aca="false">IF((SUMIF($D$3:$M$3,L$60,$D$4:$M$4))=0,0,((SUMIF($D$3:$M$3,L$60,$D150:$M150))/SUMIF($D$3:$M$3,L$60,$D$4:$M$4)))</f>
        <v>0</v>
      </c>
      <c r="M101" s="200" t="n">
        <f aca="false">IF((SUMIF($D$3:$M$3,M$60,$D$4:$M$4))=0,0,((SUMIF($D$3:$M$3,M$60,$D150:$M150))/SUMIF($D$3:$M$3,M$60,$D$4:$M$4)))</f>
        <v>0</v>
      </c>
      <c r="N101" s="194" t="str">
        <f aca="false">C101</f>
        <v>Alumno40</v>
      </c>
      <c r="O101" s="198" t="n">
        <f aca="false">IF((SUMIF($O$3:$X$3,O$60,$O$4:$X$4))=0,0,((SUMIF($O$3:$X$3,O$60,$O150:$X150))/SUMIF($O$3:$X$3,O$60,$O$4:$X$4)))</f>
        <v>0</v>
      </c>
      <c r="P101" s="199" t="n">
        <f aca="false">IF((SUMIF($O$3:$X$3,P$60,$O$4:$X$4))=0,0,((SUMIF($O$3:$X$3,P$60,$O150:$X150))/SUMIF($O$3:$X$3,P$60,$O$4:$X$4)))</f>
        <v>0</v>
      </c>
      <c r="Q101" s="199" t="n">
        <f aca="false">IF((SUMIF($O$3:$X$3,Q$60,$O$4:$X$4))=0,0,((SUMIF($O$3:$X$3,Q$60,$O150:$X150))/SUMIF($O$3:$X$3,Q$60,$O$4:$X$4)))</f>
        <v>0</v>
      </c>
      <c r="R101" s="199" t="n">
        <f aca="false">IF((SUMIF($O$3:$X$3,R$60,$O$4:$X$4))=0,0,((SUMIF($O$3:$X$3,R$60,$O150:$X150))/SUMIF($O$3:$X$3,R$60,$O$4:$X$4)))</f>
        <v>0</v>
      </c>
      <c r="S101" s="199" t="n">
        <f aca="false">IF((SUMIF($O$3:$X$3,S$60,$O$4:$X$4))=0,0,((SUMIF($O$3:$X$3,S$60,$O150:$X150))/SUMIF($O$3:$X$3,S$60,$O$4:$X$4)))</f>
        <v>0</v>
      </c>
      <c r="T101" s="199" t="n">
        <f aca="false">IF((SUMIF($O$3:$X$3,T$60,$O$4:$X$4))=0,0,((SUMIF($O$3:$X$3,T$60,$O150:$X150))/SUMIF($O$3:$X$3,T$60,$O$4:$X$4)))</f>
        <v>0</v>
      </c>
      <c r="U101" s="199" t="n">
        <f aca="false">IF((SUMIF($O$3:$X$3,U$60,$O$4:$X$4))=0,0,((SUMIF($O$3:$X$3,U$60,$O150:$X150))/SUMIF($O$3:$X$3,U$60,$O$4:$X$4)))</f>
        <v>0</v>
      </c>
      <c r="V101" s="199" t="n">
        <f aca="false">IF((SUMIF($O$3:$X$3,V$60,$O$4:$X$4))=0,0,((SUMIF($O$3:$X$3,V$60,$O150:$X150))/SUMIF($O$3:$X$3,V$60,$O$4:$X$4)))</f>
        <v>0</v>
      </c>
      <c r="W101" s="199" t="n">
        <f aca="false">IF((SUMIF($O$3:$X$3,W$60,$O$4:$X$4))=0,0,((SUMIF($O$3:$X$3,W$60,$O150:$X150))/SUMIF($O$3:$X$3,W$60,$O$4:$X$4)))</f>
        <v>0</v>
      </c>
      <c r="X101" s="200" t="n">
        <f aca="false">IF((SUMIF($O$3:$X$3,X$60,$O$4:$X$4))=0,0,((SUMIF($O$3:$X$3,X$60,$O150:$X150))/SUMIF($O$3:$X$3,X$60,$O$4:$X$4)))</f>
        <v>0</v>
      </c>
      <c r="Y101" s="194" t="str">
        <f aca="false">N101</f>
        <v>Alumno40</v>
      </c>
      <c r="Z101" s="198" t="n">
        <f aca="false">IF((SUMIF($Z$3:$AI$3,Z$60,$Z$4:$AI$4))=0,0,((SUMIF($Z$3:$AI$3,Z$60,$Z150:$AI150))/SUMIF($Z$3:$AI$3,Z$60,$Z$4:$AI$4)))</f>
        <v>0</v>
      </c>
      <c r="AA101" s="199" t="n">
        <f aca="false">IF((SUMIF($Z$3:$AI$3,AA$60,$Z$4:$AI$4))=0,0,((SUMIF($Z$3:$AI$3,AA$60,$Z150:$AI150))/SUMIF($Z$3:$AI$3,AA$60,$Z$4:$AI$4)))</f>
        <v>0</v>
      </c>
      <c r="AB101" s="199" t="n">
        <f aca="false">IF((SUMIF($Z$3:$AI$3,AB$60,$Z$4:$AI$4))=0,0,((SUMIF($Z$3:$AI$3,AB$60,$Z150:$AI150))/SUMIF($Z$3:$AI$3,AB$60,$Z$4:$AI$4)))</f>
        <v>0</v>
      </c>
      <c r="AC101" s="199" t="n">
        <f aca="false">IF((SUMIF($Z$3:$AI$3,AC$60,$Z$4:$AI$4))=0,0,((SUMIF($Z$3:$AI$3,AC$60,$Z150:$AI150))/SUMIF($Z$3:$AI$3,AC$60,$Z$4:$AI$4)))</f>
        <v>0</v>
      </c>
      <c r="AD101" s="199" t="n">
        <f aca="false">IF((SUMIF($Z$3:$AI$3,AD$60,$Z$4:$AI$4))=0,0,((SUMIF($Z$3:$AI$3,AD$60,$Z150:$AI150))/SUMIF($Z$3:$AI$3,AD$60,$Z$4:$AI$4)))</f>
        <v>0</v>
      </c>
      <c r="AE101" s="199" t="n">
        <f aca="false">IF((SUMIF($Z$3:$AI$3,AE$60,$Z$4:$AI$4))=0,0,((SUMIF($Z$3:$AI$3,AE$60,$Z150:$AI150))/SUMIF($Z$3:$AI$3,AE$60,$Z$4:$AI$4)))</f>
        <v>0</v>
      </c>
      <c r="AF101" s="199" t="n">
        <f aca="false">IF((SUMIF($Z$3:$AI$3,AF$60,$Z$4:$AI$4))=0,0,((SUMIF($Z$3:$AI$3,AF$60,$Z150:$AI150))/SUMIF($Z$3:$AI$3,AF$60,$Z$4:$AI$4)))</f>
        <v>0</v>
      </c>
      <c r="AG101" s="199" t="n">
        <f aca="false">IF((SUMIF($Z$3:$AI$3,AG$60,$Z$4:$AI$4))=0,0,((SUMIF($Z$3:$AI$3,AG$60,$Z150:$AI150))/SUMIF($Z$3:$AI$3,AG$60,$Z$4:$AI$4)))</f>
        <v>0</v>
      </c>
      <c r="AH101" s="199" t="n">
        <f aca="false">IF((SUMIF($Z$3:$AI$3,AH$60,$Z$4:$AI$4))=0,0,((SUMIF($Z$3:$AI$3,AH$60,$Z150:$AI150))/SUMIF($Z$3:$AI$3,AH$60,$Z$4:$AI$4)))</f>
        <v>0</v>
      </c>
      <c r="AI101" s="200" t="n">
        <f aca="false">IF((SUMIF($Z$3:$AI$3,AI$60,$Z$4:$AI$4))=0,0,((SUMIF($Z$3:$AI$3,AI$60,$Z150:$AI150))/SUMIF($Z$3:$AI$3,AI$60,$Z$4:$AI$4)))</f>
        <v>0</v>
      </c>
      <c r="AJ101" s="194" t="str">
        <f aca="false">Y101</f>
        <v>Alumno40</v>
      </c>
      <c r="AK101" s="198" t="n">
        <f aca="false">IF((SUMIF($AK$3:$AT$3,AK$60,$AK$4:$AT$4))=0,0,((SUMIF($AK$3:$AT$3,AK$60,$AK150:$AT150))/SUMIF($AK$3:$AT$3,AK$60,$AK$4:$AT$4)))</f>
        <v>0</v>
      </c>
      <c r="AL101" s="199" t="n">
        <f aca="false">IF((SUMIF($AK$3:$AT$3,AL$60,$AK$4:$AT$4))=0,0,((SUMIF($AK$3:$AT$3,AL$60,$AK150:$AT150))/SUMIF($AK$3:$AT$3,AL$60,$AK$4:$AT$4)))</f>
        <v>0</v>
      </c>
      <c r="AM101" s="199" t="n">
        <f aca="false">IF((SUMIF($AK$3:$AT$3,AM$60,$AK$4:$AT$4))=0,0,((SUMIF($AK$3:$AT$3,AM$60,$AK150:$AT150))/SUMIF($AK$3:$AT$3,AM$60,$AK$4:$AT$4)))</f>
        <v>0</v>
      </c>
      <c r="AN101" s="199" t="n">
        <f aca="false">IF((SUMIF($AK$3:$AT$3,AN$60,$AK$4:$AT$4))=0,0,((SUMIF($AK$3:$AT$3,AN$60,$AK150:$AT150))/SUMIF($AK$3:$AT$3,AN$60,$AK$4:$AT$4)))</f>
        <v>0</v>
      </c>
      <c r="AO101" s="199" t="n">
        <f aca="false">IF((SUMIF($AK$3:$AT$3,AO$60,$AK$4:$AT$4))=0,0,((SUMIF($AK$3:$AT$3,AO$60,$AK150:$AT150))/SUMIF($AK$3:$AT$3,AO$60,$AK$4:$AT$4)))</f>
        <v>0</v>
      </c>
      <c r="AP101" s="199" t="n">
        <f aca="false">IF((SUMIF($AK$3:$AT$3,AP$60,$AK$4:$AT$4))=0,0,((SUMIF($AK$3:$AT$3,AP$60,$AK150:$AT150))/SUMIF($AK$3:$AT$3,AP$60,$AK$4:$AT$4)))</f>
        <v>0</v>
      </c>
      <c r="AQ101" s="199" t="n">
        <f aca="false">IF((SUMIF($AK$3:$AT$3,AQ$60,$AK$4:$AT$4))=0,0,((SUMIF($AK$3:$AT$3,AQ$60,$AK150:$AT150))/SUMIF($AK$3:$AT$3,AQ$60,$AK$4:$AT$4)))</f>
        <v>0</v>
      </c>
      <c r="AR101" s="199" t="n">
        <f aca="false">IF((SUMIF($AK$3:$AT$3,AR$60,$AK$4:$AT$4))=0,0,((SUMIF($AK$3:$AT$3,AR$60,$AK150:$AT150))/SUMIF($AK$3:$AT$3,AR$60,$AK$4:$AT$4)))</f>
        <v>0</v>
      </c>
      <c r="AS101" s="199" t="n">
        <f aca="false">IF((SUMIF($AK$3:$AT$3,AS$60,$AK$4:$AT$4))=0,0,((SUMIF($AK$3:$AT$3,AS$60,$AK150:$AT150))/SUMIF($AK$3:$AT$3,AS$60,$AK$4:$AT$4)))</f>
        <v>0</v>
      </c>
      <c r="AT101" s="200" t="n">
        <f aca="false">IF((SUMIF($AK$3:$AT$3,AT$60,$AK$4:$AT$4))=0,0,((SUMIF($AK$3:$AT$3,AT$60,$AK150:$AT150))/SUMIF($AK$3:$AT$3,AT$60,$AK$4:$AT$4)))</f>
        <v>0</v>
      </c>
      <c r="AU101" s="194" t="str">
        <f aca="false">AJ101</f>
        <v>Alumno40</v>
      </c>
      <c r="AV101" s="198" t="n">
        <f aca="false">IF((SUMIF($AV$3:$BE$3,AV$60,$AV$4:$BE$4))=0,0,((SUMIF($AV$3:$BE$3,AV$60,$AV150:$BE150))/SUMIF($AV$3:$BE$3,AV$60,$AV$4:$BE$4)))</f>
        <v>0</v>
      </c>
      <c r="AW101" s="199" t="n">
        <f aca="false">IF((SUMIF($AV$3:$BE$3,AW$60,$AV$4:$BE$4))=0,0,((SUMIF($AV$3:$BE$3,AW$60,$AV150:$BE150))/SUMIF($AV$3:$BE$3,AW$60,$AV$4:$BE$4)))</f>
        <v>0</v>
      </c>
      <c r="AX101" s="199" t="n">
        <f aca="false">IF((SUMIF($AV$3:$BE$3,AX$60,$AV$4:$BE$4))=0,0,((SUMIF($AV$3:$BE$3,AX$60,$AV150:$BE150))/SUMIF($AV$3:$BE$3,AX$60,$AV$4:$BE$4)))</f>
        <v>0</v>
      </c>
      <c r="AY101" s="199" t="n">
        <f aca="false">IF((SUMIF($AV$3:$BE$3,AY$60,$AV$4:$BE$4))=0,0,((SUMIF($AV$3:$BE$3,AY$60,$AV150:$BE150))/SUMIF($AV$3:$BE$3,AY$60,$AV$4:$BE$4)))</f>
        <v>0</v>
      </c>
      <c r="AZ101" s="199" t="n">
        <f aca="false">IF((SUMIF($AV$3:$BE$3,AZ$60,$AV$4:$BE$4))=0,0,((SUMIF($AV$3:$BE$3,AZ$60,$AV150:$BE150))/SUMIF($AV$3:$BE$3,AZ$60,$AV$4:$BE$4)))</f>
        <v>0</v>
      </c>
      <c r="BA101" s="199" t="n">
        <f aca="false">IF((SUMIF($AV$3:$BE$3,BA$60,$AV$4:$BE$4))=0,0,((SUMIF($AV$3:$BE$3,BA$60,$AV150:$BE150))/SUMIF($AV$3:$BE$3,BA$60,$AV$4:$BE$4)))</f>
        <v>0</v>
      </c>
      <c r="BB101" s="199" t="n">
        <f aca="false">IF((SUMIF($AV$3:$BE$3,BB$60,$AV$4:$BE$4))=0,0,((SUMIF($AV$3:$BE$3,BB$60,$AV150:$BE150))/SUMIF($AV$3:$BE$3,BB$60,$AV$4:$BE$4)))</f>
        <v>0</v>
      </c>
      <c r="BC101" s="199" t="n">
        <f aca="false">IF((SUMIF($AV$3:$BE$3,BC$60,$AV$4:$BE$4))=0,0,((SUMIF($AV$3:$BE$3,BC$60,$AV150:$BE150))/SUMIF($AV$3:$BE$3,BC$60,$AV$4:$BE$4)))</f>
        <v>0</v>
      </c>
      <c r="BD101" s="199" t="n">
        <f aca="false">IF((SUMIF($AV$3:$BE$3,BD$60,$AV$4:$BE$4))=0,0,((SUMIF($AV$3:$BE$3,BD$60,$AV150:$BE150))/SUMIF($AV$3:$BE$3,BD$60,$AV$4:$BE$4)))</f>
        <v>0</v>
      </c>
      <c r="BE101" s="200" t="n">
        <f aca="false">IF((SUMIF($AV$3:$BE$3,BE$60,$AV$4:$BE$4))=0,0,((SUMIF($AV$3:$BE$3,BE$60,$AV150:$BE150))/SUMIF($AV$3:$BE$3,BE$60,$AV$4:$BE$4)))</f>
        <v>0</v>
      </c>
      <c r="BF101" s="194" t="str">
        <f aca="false">AU101</f>
        <v>Alumno40</v>
      </c>
      <c r="BG101" s="198" t="n">
        <f aca="false">IF((SUMIF($BG$3:$BP$3,BG$60,$BG$4:$BP$4))=0,0,((SUMIF($BG$3:$BP$3,BG$60,$BG150:$BP150))/SUMIF($BG$3:$BP$3,BG$60,$BG$4:$BP$4)))</f>
        <v>0</v>
      </c>
      <c r="BH101" s="199" t="n">
        <f aca="false">IF((SUMIF($BG$3:$BP$3,BH$60,$BG$4:$BP$4))=0,0,((SUMIF($BG$3:$BP$3,BH$60,$BG150:$BP150))/SUMIF($BG$3:$BP$3,BH$60,$BG$4:$BP$4)))</f>
        <v>0</v>
      </c>
      <c r="BI101" s="199" t="n">
        <f aca="false">IF((SUMIF($BG$3:$BP$3,BI$60,$BG$4:$BP$4))=0,0,((SUMIF($BG$3:$BP$3,BI$60,$BG150:$BP150))/SUMIF($BG$3:$BP$3,BI$60,$BG$4:$BP$4)))</f>
        <v>0</v>
      </c>
      <c r="BJ101" s="199" t="n">
        <f aca="false">IF((SUMIF($BG$3:$BP$3,BJ$60,$BG$4:$BP$4))=0,0,((SUMIF($BG$3:$BP$3,BJ$60,$BG150:$BP150))/SUMIF($BG$3:$BP$3,BJ$60,$BG$4:$BP$4)))</f>
        <v>0</v>
      </c>
      <c r="BK101" s="199" t="n">
        <f aca="false">IF((SUMIF($BG$3:$BP$3,BK$60,$BG$4:$BP$4))=0,0,((SUMIF($BG$3:$BP$3,BK$60,$BG150:$BP150))/SUMIF($BG$3:$BP$3,BK$60,$BG$4:$BP$4)))</f>
        <v>0</v>
      </c>
      <c r="BL101" s="199" t="n">
        <f aca="false">IF((SUMIF($BG$3:$BP$3,BL$60,$BG$4:$BP$4))=0,0,((SUMIF($BG$3:$BP$3,BL$60,$BG150:$BP150))/SUMIF($BG$3:$BP$3,BL$60,$BG$4:$BP$4)))</f>
        <v>0</v>
      </c>
      <c r="BM101" s="199" t="n">
        <f aca="false">IF((SUMIF($BG$3:$BP$3,BM$60,$BG$4:$BP$4))=0,0,((SUMIF($BG$3:$BP$3,BM$60,$BG150:$BP150))/SUMIF($BG$3:$BP$3,BM$60,$BG$4:$BP$4)))</f>
        <v>0</v>
      </c>
      <c r="BN101" s="199" t="n">
        <f aca="false">IF((SUMIF($BG$3:$BP$3,BN$60,$BG$4:$BP$4))=0,0,((SUMIF($BG$3:$BP$3,BN$60,$BG150:$BP150))/SUMIF($BG$3:$BP$3,BN$60,$BG$4:$BP$4)))</f>
        <v>0</v>
      </c>
      <c r="BO101" s="199" t="n">
        <f aca="false">IF((SUMIF($BG$3:$BP$3,BO$60,$BG$4:$BP$4))=0,0,((SUMIF($BG$3:$BP$3,BO$60,$BG150:$BP150))/SUMIF($BG$3:$BP$3,BO$60,$BG$4:$BP$4)))</f>
        <v>0</v>
      </c>
      <c r="BP101" s="200" t="n">
        <f aca="false">IF((SUMIF($BG$3:$BP$3,BP$60,$BG$4:$BP$4))=0,0,((SUMIF($BG$3:$BP$3,BP$60,$BG150:$BP150))/SUMIF($BG$3:$BP$3,BP$60,$BG$4:$BP$4)))</f>
        <v>0</v>
      </c>
      <c r="BQ101" s="194" t="str">
        <f aca="false">BF101</f>
        <v>Alumno40</v>
      </c>
      <c r="BR101" s="198" t="n">
        <f aca="false">IF((SUMIF($BR$3:$CA$3,BR$60,$BR$4:$CA$4))=0,0,((SUMIF($BR$3:$CA$3,BR$60,$BR150:$CA150))/SUMIF($BR$3:$CA$3,BR$60,$BR$4:$CA$4)))</f>
        <v>0</v>
      </c>
      <c r="BS101" s="199" t="n">
        <f aca="false">IF((SUMIF($BR$3:$CA$3,BS$60,$BR$4:$CA$4))=0,0,((SUMIF($BR$3:$CA$3,BS$60,$BR150:$CA150))/SUMIF($BR$3:$CA$3,BS$60,$BR$4:$CA$4)))</f>
        <v>0</v>
      </c>
      <c r="BT101" s="199" t="n">
        <f aca="false">IF((SUMIF($BR$3:$CA$3,BT$60,$BR$4:$CA$4))=0,0,((SUMIF($BR$3:$CA$3,BT$60,$BR150:$CA150))/SUMIF($BR$3:$CA$3,BT$60,$BR$4:$CA$4)))</f>
        <v>0</v>
      </c>
      <c r="BU101" s="199" t="n">
        <f aca="false">IF((SUMIF($BR$3:$CA$3,BU$60,$BR$4:$CA$4))=0,0,((SUMIF($BR$3:$CA$3,BU$60,$BR150:$CA150))/SUMIF($BR$3:$CA$3,BU$60,$BR$4:$CA$4)))</f>
        <v>0</v>
      </c>
      <c r="BV101" s="199" t="n">
        <f aca="false">IF((SUMIF($BR$3:$CA$3,BV$60,$BR$4:$CA$4))=0,0,((SUMIF($BR$3:$CA$3,BV$60,$BR150:$CA150))/SUMIF($BR$3:$CA$3,BV$60,$BR$4:$CA$4)))</f>
        <v>0</v>
      </c>
      <c r="BW101" s="199" t="n">
        <f aca="false">IF((SUMIF($BR$3:$CA$3,BW$60,$BR$4:$CA$4))=0,0,((SUMIF($BR$3:$CA$3,BW$60,$BR150:$CA150))/SUMIF($BR$3:$CA$3,BW$60,$BR$4:$CA$4)))</f>
        <v>0</v>
      </c>
      <c r="BX101" s="199" t="n">
        <f aca="false">IF((SUMIF($BR$3:$CA$3,BX$60,$BR$4:$CA$4))=0,0,((SUMIF($BR$3:$CA$3,BX$60,$BR150:$CA150))/SUMIF($BR$3:$CA$3,BX$60,$BR$4:$CA$4)))</f>
        <v>0</v>
      </c>
      <c r="BY101" s="199" t="n">
        <f aca="false">IF((SUMIF($BR$3:$CA$3,BY$60,$BR$4:$CA$4))=0,0,((SUMIF($BR$3:$CA$3,BY$60,$BR150:$CA150))/SUMIF($BR$3:$CA$3,BY$60,$BR$4:$CA$4)))</f>
        <v>0</v>
      </c>
      <c r="BZ101" s="199" t="n">
        <f aca="false">IF((SUMIF($BR$3:$CA$3,BZ$60,$BR$4:$CA$4))=0,0,((SUMIF($BR$3:$CA$3,BZ$60,$BR150:$CA150))/SUMIF($BR$3:$CA$3,BZ$60,$BR$4:$CA$4)))</f>
        <v>0</v>
      </c>
      <c r="CA101" s="200" t="n">
        <f aca="false">IF((SUMIF($BR$3:$CA$3,CA$60,$BR$4:$CA$4))=0,0,((SUMIF($BR$3:$CA$3,CA$60,$BR150:$CA150))/SUMIF($BR$3:$CA$3,CA$60,$BR$4:$CA$4)))</f>
        <v>0</v>
      </c>
      <c r="CB101" s="194" t="str">
        <f aca="false">BQ101</f>
        <v>Alumno40</v>
      </c>
      <c r="CC101" s="198" t="n">
        <f aca="false">IF((SUMIF($CC$3:$CL$3,CC$60,$CC$4:$CL$4))=0,0,((SUMIF($CC$3:$CL$3,CC$60,$CC150:$CL150))/SUMIF($CC$3:$CL$3,CC$60,$CC$4:$CL$4)))</f>
        <v>0</v>
      </c>
      <c r="CD101" s="199" t="n">
        <f aca="false">IF((SUMIF($CC$3:$CL$3,CD$60,$CC$4:$CL$4))=0,0,((SUMIF($CC$3:$CL$3,CD$60,$CC150:$CL150))/SUMIF($CC$3:$CL$3,CD$60,$CC$4:$CL$4)))</f>
        <v>0</v>
      </c>
      <c r="CE101" s="199" t="n">
        <f aca="false">IF((SUMIF($CC$3:$CL$3,CE$60,$CC$4:$CL$4))=0,0,((SUMIF($CC$3:$CL$3,CE$60,$CC150:$CL150))/SUMIF($CC$3:$CL$3,CE$60,$CC$4:$CL$4)))</f>
        <v>0</v>
      </c>
      <c r="CF101" s="199" t="n">
        <f aca="false">IF((SUMIF($CC$3:$CL$3,CF$60,$CC$4:$CL$4))=0,0,((SUMIF($CC$3:$CL$3,CF$60,$CC150:$CL150))/SUMIF($CC$3:$CL$3,CF$60,$CC$4:$CL$4)))</f>
        <v>0</v>
      </c>
      <c r="CG101" s="199" t="n">
        <f aca="false">IF((SUMIF($CC$3:$CL$3,CG$60,$CC$4:$CL$4))=0,0,((SUMIF($CC$3:$CL$3,CG$60,$CC150:$CL150))/SUMIF($CC$3:$CL$3,CG$60,$CC$4:$CL$4)))</f>
        <v>0</v>
      </c>
      <c r="CH101" s="199" t="n">
        <f aca="false">IF((SUMIF($CC$3:$CL$3,CH$60,$CC$4:$CL$4))=0,0,((SUMIF($CC$3:$CL$3,CH$60,$CC150:$CL150))/SUMIF($CC$3:$CL$3,CH$60,$CC$4:$CL$4)))</f>
        <v>0</v>
      </c>
      <c r="CI101" s="199" t="n">
        <f aca="false">IF((SUMIF($CC$3:$CL$3,CI$60,$CC$4:$CL$4))=0,0,((SUMIF($CC$3:$CL$3,CI$60,$CC150:$CL150))/SUMIF($CC$3:$CL$3,CI$60,$CC$4:$CL$4)))</f>
        <v>0</v>
      </c>
      <c r="CJ101" s="199" t="n">
        <f aca="false">IF((SUMIF($CC$3:$CL$3,CJ$60,$CC$4:$CL$4))=0,0,((SUMIF($CC$3:$CL$3,CJ$60,$CC150:$CL150))/SUMIF($CC$3:$CL$3,CJ$60,$CC$4:$CL$4)))</f>
        <v>0</v>
      </c>
      <c r="CK101" s="199" t="n">
        <f aca="false">IF((SUMIF($CC$3:$CL$3,CK$60,$CC$4:$CL$4))=0,0,((SUMIF($CC$3:$CL$3,CK$60,$CC150:$CL150))/SUMIF($CC$3:$CL$3,CK$60,$CC$4:$CL$4)))</f>
        <v>0</v>
      </c>
      <c r="CL101" s="200" t="n">
        <f aca="false">IF((SUMIF($CC$3:$CL$3,CL$60,$CC$4:$CL$4))=0,0,((SUMIF($CC$3:$CL$3,CL$60,$CC150:$CL150))/SUMIF($CC$3:$CL$3,CL$60,$CC$4:$CL$4)))</f>
        <v>0</v>
      </c>
      <c r="CM101" s="194" t="str">
        <f aca="false">CB101</f>
        <v>Alumno40</v>
      </c>
      <c r="CN101" s="198" t="n">
        <f aca="false">IF((SUMIF($CN$3:$CW$3,CN$60,$CN$4:$CW$4))=0,0,((SUMIF($CN$3:$CW$3,CN$60,$CN150:$CW150))/SUMIF($CN$3:$CW$3,CN$60,$CN$4:$CW$4)))</f>
        <v>0</v>
      </c>
      <c r="CO101" s="199" t="n">
        <f aca="false">IF((SUMIF($CN$3:$CW$3,CO$60,$CN$4:$CW$4))=0,0,((SUMIF($CN$3:$CW$3,CO$60,$CN150:$CW150))/SUMIF($CN$3:$CW$3,CO$60,$CN$4:$CW$4)))</f>
        <v>0</v>
      </c>
      <c r="CP101" s="199" t="n">
        <f aca="false">IF((SUMIF($CN$3:$CW$3,CP$60,$CN$4:$CW$4))=0,0,((SUMIF($CN$3:$CW$3,CP$60,$CN150:$CW150))/SUMIF($CN$3:$CW$3,CP$60,$CN$4:$CW$4)))</f>
        <v>0</v>
      </c>
      <c r="CQ101" s="199" t="n">
        <f aca="false">IF((SUMIF($CN$3:$CW$3,CQ$60,$CN$4:$CW$4))=0,0,((SUMIF($CN$3:$CW$3,CQ$60,$CN150:$CW150))/SUMIF($CN$3:$CW$3,CQ$60,$CN$4:$CW$4)))</f>
        <v>0</v>
      </c>
      <c r="CR101" s="199" t="n">
        <f aca="false">IF((SUMIF($CN$3:$CW$3,CR$60,$CN$4:$CW$4))=0,0,((SUMIF($CN$3:$CW$3,CR$60,$CN150:$CW150))/SUMIF($CN$3:$CW$3,CR$60,$CN$4:$CW$4)))</f>
        <v>0</v>
      </c>
      <c r="CS101" s="199" t="n">
        <f aca="false">IF((SUMIF($CN$3:$CW$3,CS$60,$CN$4:$CW$4))=0,0,((SUMIF($CN$3:$CW$3,CS$60,$CN150:$CW150))/SUMIF($CN$3:$CW$3,CS$60,$CN$4:$CW$4)))</f>
        <v>0</v>
      </c>
      <c r="CT101" s="199" t="n">
        <f aca="false">IF((SUMIF($CN$3:$CW$3,CT$60,$CN$4:$CW$4))=0,0,((SUMIF($CN$3:$CW$3,CT$60,$CN150:$CW150))/SUMIF($CN$3:$CW$3,CT$60,$CN$4:$CW$4)))</f>
        <v>0</v>
      </c>
      <c r="CU101" s="199" t="n">
        <f aca="false">IF((SUMIF($CN$3:$CW$3,CU$60,$CN$4:$CW$4))=0,0,((SUMIF($CN$3:$CW$3,CU$60,$CN150:$CW150))/SUMIF($CN$3:$CW$3,CU$60,$CN$4:$CW$4)))</f>
        <v>0</v>
      </c>
      <c r="CV101" s="199" t="n">
        <f aca="false">IF((SUMIF($CN$3:$CW$3,CV$60,$CN$4:$CW$4))=0,0,((SUMIF($CN$3:$CW$3,CV$60,$CN150:$CW150))/SUMIF($CN$3:$CW$3,CV$60,$CN$4:$CW$4)))</f>
        <v>0</v>
      </c>
      <c r="CW101" s="200" t="n">
        <f aca="false">IF((SUMIF($CN$3:$CW$3,CW$60,$CN$4:$CW$4))=0,0,((SUMIF($CN$3:$CW$3,CW$60,$CN150:$CW150))/SUMIF($CN$3:$CW$3,CW$60,$CN$4:$CW$4)))</f>
        <v>0</v>
      </c>
      <c r="CX101" s="194" t="str">
        <f aca="false">CM101</f>
        <v>Alumno40</v>
      </c>
      <c r="CY101" s="198" t="n">
        <f aca="false">IF((SUMIF($CY$3:$DH$3,CY$60,$CY$4:$DH$4))=0,0,((SUMIF($CY$3:$DH$3,CY$60,$CY150:$DH150))/SUMIF($CY$3:$DH$3,CY$60,$CY$4:$DH$4)))</f>
        <v>0</v>
      </c>
      <c r="CZ101" s="199" t="n">
        <f aca="false">IF((SUMIF($CY$3:$DH$3,CZ$60,$CY$4:$DH$4))=0,0,((SUMIF($CY$3:$DH$3,CZ$60,$CY150:$DH150))/SUMIF($CY$3:$DH$3,CZ$60,$CY$4:$DH$4)))</f>
        <v>0</v>
      </c>
      <c r="DA101" s="199" t="n">
        <f aca="false">IF((SUMIF($CY$3:$DH$3,DA$60,$CY$4:$DH$4))=0,0,((SUMIF($CY$3:$DH$3,DA$60,$CY150:$DH150))/SUMIF($CY$3:$DH$3,DA$60,$CY$4:$DH$4)))</f>
        <v>0</v>
      </c>
      <c r="DB101" s="199" t="n">
        <f aca="false">IF((SUMIF($CY$3:$DH$3,DB$60,$CY$4:$DH$4))=0,0,((SUMIF($CY$3:$DH$3,DB$60,$CY150:$DH150))/SUMIF($CY$3:$DH$3,DB$60,$CY$4:$DH$4)))</f>
        <v>0</v>
      </c>
      <c r="DC101" s="199" t="n">
        <f aca="false">IF((SUMIF($CY$3:$DH$3,DC$60,$CY$4:$DH$4))=0,0,((SUMIF($CY$3:$DH$3,DC$60,$CY150:$DH150))/SUMIF($CY$3:$DH$3,DC$60,$CY$4:$DH$4)))</f>
        <v>0</v>
      </c>
      <c r="DD101" s="199" t="n">
        <f aca="false">IF((SUMIF($CY$3:$DH$3,DD$60,$CY$4:$DH$4))=0,0,((SUMIF($CY$3:$DH$3,DD$60,$CY150:$DH150))/SUMIF($CY$3:$DH$3,DD$60,$CY$4:$DH$4)))</f>
        <v>0</v>
      </c>
      <c r="DE101" s="199" t="n">
        <f aca="false">IF((SUMIF($CY$3:$DH$3,DE$60,$CY$4:$DH$4))=0,0,((SUMIF($CY$3:$DH$3,DE$60,$CY150:$DH150))/SUMIF($CY$3:$DH$3,DE$60,$CY$4:$DH$4)))</f>
        <v>0</v>
      </c>
      <c r="DF101" s="199" t="n">
        <f aca="false">IF((SUMIF($CY$3:$DH$3,DF$60,$CY$4:$DH$4))=0,0,((SUMIF($CY$3:$DH$3,DF$60,$CY150:$DH150))/SUMIF($CY$3:$DH$3,DF$60,$CY$4:$DH$4)))</f>
        <v>0</v>
      </c>
      <c r="DG101" s="199" t="n">
        <f aca="false">IF((SUMIF($CY$3:$DH$3,DG$60,$CY$4:$DH$4))=0,0,((SUMIF($CY$3:$DH$3,DG$60,$CY150:$DH150))/SUMIF($CY$3:$DH$3,DG$60,$CY$4:$DH$4)))</f>
        <v>0</v>
      </c>
      <c r="DH101" s="200" t="n">
        <f aca="false">IF((SUMIF($CY$3:$DH$3,DH$60,$CY$4:$DH$4))=0,0,((SUMIF($CY$3:$DH$3,DH$60,$CY150:$DH150))/SUMIF($CY$3:$DH$3,DH$60,$CY$4:$DH$4)))</f>
        <v>0</v>
      </c>
      <c r="DI101" s="194" t="str">
        <f aca="false">CX101</f>
        <v>Alumno40</v>
      </c>
      <c r="DJ101" s="198" t="n">
        <f aca="false">IF((SUMIF($DJ$3:$DS$3,DJ$60,$DJ$4:$DS$4))=0,0,((SUMIF($DJ$3:$DS$3,DJ$60,$DJ150:$DS150))/SUMIF($DJ$3:$DS$3,DJ$60,$DJ$4:$DS$4)))</f>
        <v>0</v>
      </c>
      <c r="DK101" s="199" t="n">
        <f aca="false">IF((SUMIF($DJ$3:$DS$3,DK$60,$DJ$4:$DS$4))=0,0,((SUMIF($DJ$3:$DS$3,DK$60,$DJ150:$DS150))/SUMIF($DJ$3:$DS$3,DK$60,$DJ$4:$DS$4)))</f>
        <v>0</v>
      </c>
      <c r="DL101" s="199" t="n">
        <f aca="false">IF((SUMIF($DJ$3:$DS$3,DL$60,$DJ$4:$DS$4))=0,0,((SUMIF($DJ$3:$DS$3,DL$60,$DJ150:$DS150))/SUMIF($DJ$3:$DS$3,DL$60,$DJ$4:$DS$4)))</f>
        <v>0</v>
      </c>
      <c r="DM101" s="199" t="n">
        <f aca="false">IF((SUMIF($DJ$3:$DS$3,DM$60,$DJ$4:$DS$4))=0,0,((SUMIF($DJ$3:$DS$3,DM$60,$DJ150:$DS150))/SUMIF($DJ$3:$DS$3,DM$60,$DJ$4:$DS$4)))</f>
        <v>0</v>
      </c>
      <c r="DN101" s="199" t="n">
        <f aca="false">IF((SUMIF($DJ$3:$DS$3,DN$60,$DJ$4:$DS$4))=0,0,((SUMIF($DJ$3:$DS$3,DN$60,$DJ150:$DS150))/SUMIF($DJ$3:$DS$3,DN$60,$DJ$4:$DS$4)))</f>
        <v>0</v>
      </c>
      <c r="DO101" s="199" t="n">
        <f aca="false">IF((SUMIF($DJ$3:$DS$3,DO$60,$DJ$4:$DS$4))=0,0,((SUMIF($DJ$3:$DS$3,DO$60,$DJ150:$DS150))/SUMIF($DJ$3:$DS$3,DO$60,$DJ$4:$DS$4)))</f>
        <v>0</v>
      </c>
      <c r="DP101" s="199" t="n">
        <f aca="false">IF((SUMIF($DJ$3:$DS$3,DP$60,$DJ$4:$DS$4))=0,0,((SUMIF($DJ$3:$DS$3,DP$60,$DJ150:$DS150))/SUMIF($DJ$3:$DS$3,DP$60,$DJ$4:$DS$4)))</f>
        <v>0</v>
      </c>
      <c r="DQ101" s="199" t="n">
        <f aca="false">IF((SUMIF($DJ$3:$DS$3,DQ$60,$DJ$4:$DS$4))=0,0,((SUMIF($DJ$3:$DS$3,DQ$60,$DJ150:$DS150))/SUMIF($DJ$3:$DS$3,DQ$60,$DJ$4:$DS$4)))</f>
        <v>0</v>
      </c>
      <c r="DR101" s="199" t="n">
        <f aca="false">IF((SUMIF($DJ$3:$DS$3,DR$60,$DJ$4:$DS$4))=0,0,((SUMIF($DJ$3:$DS$3,DR$60,$DJ150:$DS150))/SUMIF($DJ$3:$DS$3,DR$60,$DJ$4:$DS$4)))</f>
        <v>0</v>
      </c>
      <c r="DS101" s="200" t="n">
        <f aca="false">IF((SUMIF($DJ$3:$DS$3,DS$60,$DJ$4:$DS$4))=0,0,((SUMIF($DJ$3:$DS$3,DS$60,$DJ150:$DS150))/SUMIF($DJ$3:$DS$3,DS$60,$DJ$4:$DS$4)))</f>
        <v>0</v>
      </c>
      <c r="DT101" s="194" t="str">
        <f aca="false">DI101</f>
        <v>Alumno40</v>
      </c>
      <c r="DU101" s="198" t="n">
        <f aca="false">IF((SUMIF($DU$3:$ED$3,DU$60,$DU$4:$ED$4))=0,0,((SUMIF($DU$3:$ED$3,DU$60,$DU150:$ED150))/SUMIF($DU$3:$ED$3,DU$60,$DU$4:$ED$4)))</f>
        <v>0</v>
      </c>
      <c r="DV101" s="199" t="n">
        <f aca="false">IF((SUMIF($DU$3:$ED$3,DV$60,$DU$4:$ED$4))=0,0,((SUMIF($DU$3:$ED$3,DV$60,$DU150:$ED150))/SUMIF($DU$3:$ED$3,DV$60,$DU$4:$ED$4)))</f>
        <v>0</v>
      </c>
      <c r="DW101" s="199" t="n">
        <f aca="false">IF((SUMIF($DU$3:$ED$3,DW$60,$DU$4:$ED$4))=0,0,((SUMIF($DU$3:$ED$3,DW$60,$DU150:$ED150))/SUMIF($DU$3:$ED$3,DW$60,$DU$4:$ED$4)))</f>
        <v>0</v>
      </c>
      <c r="DX101" s="199" t="n">
        <f aca="false">IF((SUMIF($DU$3:$ED$3,DX$60,$DU$4:$ED$4))=0,0,((SUMIF($DU$3:$ED$3,DX$60,$DU150:$ED150))/SUMIF($DU$3:$ED$3,DX$60,$DU$4:$ED$4)))</f>
        <v>0</v>
      </c>
      <c r="DY101" s="199" t="n">
        <f aca="false">IF((SUMIF($DU$3:$ED$3,DY$60,$DU$4:$ED$4))=0,0,((SUMIF($DU$3:$ED$3,DY$60,$DU150:$ED150))/SUMIF($DU$3:$ED$3,DY$60,$DU$4:$ED$4)))</f>
        <v>0</v>
      </c>
      <c r="DZ101" s="199" t="n">
        <f aca="false">IF((SUMIF($DU$3:$ED$3,DZ$60,$DU$4:$ED$4))=0,0,((SUMIF($DU$3:$ED$3,DZ$60,$DU150:$ED150))/SUMIF($DU$3:$ED$3,DZ$60,$DU$4:$ED$4)))</f>
        <v>0</v>
      </c>
      <c r="EA101" s="199" t="n">
        <f aca="false">IF((SUMIF($DU$3:$ED$3,EA$60,$DU$4:$ED$4))=0,0,((SUMIF($DU$3:$ED$3,EA$60,$DU150:$ED150))/SUMIF($DU$3:$ED$3,EA$60,$DU$4:$ED$4)))</f>
        <v>0</v>
      </c>
      <c r="EB101" s="199" t="n">
        <f aca="false">IF((SUMIF($DU$3:$ED$3,EB$60,$DU$4:$ED$4))=0,0,((SUMIF($DU$3:$ED$3,EB$60,$DU150:$ED150))/SUMIF($DU$3:$ED$3,EB$60,$DU$4:$ED$4)))</f>
        <v>0</v>
      </c>
      <c r="EC101" s="199" t="n">
        <f aca="false">IF((SUMIF($DU$3:$ED$3,EC$60,$DU$4:$ED$4))=0,0,((SUMIF($DU$3:$ED$3,EC$60,$DU150:$ED150))/SUMIF($DU$3:$ED$3,EC$60,$DU$4:$ED$4)))</f>
        <v>0</v>
      </c>
      <c r="ED101" s="200" t="n">
        <f aca="false">IF((SUMIF($DU$3:$ED$3,ED$60,$DU$4:$ED$4))=0,0,((SUMIF($DU$3:$ED$3,ED$60,$DU150:$ED150))/SUMIF($DU$3:$ED$3,ED$60,$DU$4:$ED$4)))</f>
        <v>0</v>
      </c>
      <c r="EE101" s="194" t="str">
        <f aca="false">DT101</f>
        <v>Alumno40</v>
      </c>
      <c r="EF101" s="198" t="n">
        <f aca="false">IF((SUMIF($EF$3:$EO$3,EF$60,$EF$4:$EO$4))=0,0,((SUMIF($EF$3:$EO$3,EF$60,$EF150:$EO150))/SUMIF($EF$3:$EO$3,EF$60,$EF$4:$EO$4)))</f>
        <v>0</v>
      </c>
      <c r="EG101" s="199" t="n">
        <f aca="false">IF((SUMIF($EF$3:$EO$3,EG$60,$EF$4:$EO$4))=0,0,((SUMIF($EF$3:$EO$3,EG$60,$EF150:$EO150))/SUMIF($EF$3:$EO$3,EG$60,$EF$4:$EO$4)))</f>
        <v>0</v>
      </c>
      <c r="EH101" s="199" t="n">
        <f aca="false">IF((SUMIF($EF$3:$EO$3,EH$60,$EF$4:$EO$4))=0,0,((SUMIF($EF$3:$EO$3,EH$60,$EF150:$EO150))/SUMIF($EF$3:$EO$3,EH$60,$EF$4:$EO$4)))</f>
        <v>0</v>
      </c>
      <c r="EI101" s="199" t="n">
        <f aca="false">IF((SUMIF($EF$3:$EO$3,EI$60,$EF$4:$EO$4))=0,0,((SUMIF($EF$3:$EO$3,EI$60,$EF150:$EO150))/SUMIF($EF$3:$EO$3,EI$60,$EF$4:$EO$4)))</f>
        <v>0</v>
      </c>
      <c r="EJ101" s="199" t="n">
        <f aca="false">IF((SUMIF($EF$3:$EO$3,EJ$60,$EF$4:$EO$4))=0,0,((SUMIF($EF$3:$EO$3,EJ$60,$EF150:$EO150))/SUMIF($EF$3:$EO$3,EJ$60,$EF$4:$EO$4)))</f>
        <v>0</v>
      </c>
      <c r="EK101" s="199" t="n">
        <f aca="false">IF((SUMIF($EF$3:$EO$3,EK$60,$EF$4:$EO$4))=0,0,((SUMIF($EF$3:$EO$3,EK$60,$EF150:$EO150))/SUMIF($EF$3:$EO$3,EK$60,$EF$4:$EO$4)))</f>
        <v>0</v>
      </c>
      <c r="EL101" s="199" t="n">
        <f aca="false">IF((SUMIF($EF$3:$EO$3,EL$60,$EF$4:$EO$4))=0,0,((SUMIF($EF$3:$EO$3,EL$60,$EF150:$EO150))/SUMIF($EF$3:$EO$3,EL$60,$EF$4:$EO$4)))</f>
        <v>0</v>
      </c>
      <c r="EM101" s="199" t="n">
        <f aca="false">IF((SUMIF($EF$3:$EO$3,EM$60,$EF$4:$EO$4))=0,0,((SUMIF($EF$3:$EO$3,EM$60,$EF150:$EO150))/SUMIF($EF$3:$EO$3,EM$60,$EF$4:$EO$4)))</f>
        <v>0</v>
      </c>
      <c r="EN101" s="199" t="n">
        <f aca="false">IF((SUMIF($EF$3:$EO$3,EN$60,$EF$4:$EO$4))=0,0,((SUMIF($EF$3:$EO$3,EN$60,$EF150:$EO150))/SUMIF($EF$3:$EO$3,EN$60,$EF$4:$EO$4)))</f>
        <v>0</v>
      </c>
      <c r="EO101" s="200" t="n">
        <f aca="false">IF((SUMIF($EF$3:$EO$3,EO$60,$EF$4:$EO$4))=0,0,((SUMIF($EF$3:$EO$3,EO$60,$EF150:$EO150))/SUMIF($EF$3:$EO$3,EO$60,$EF$4:$EO$4)))</f>
        <v>0</v>
      </c>
      <c r="EP101" s="194" t="str">
        <f aca="false">EE101</f>
        <v>Alumno40</v>
      </c>
      <c r="EQ101" s="198" t="n">
        <f aca="false">IF((SUMIF($EQ$3:$EZ$3,EQ$60,$EQ$4:$EZ$4))=0,0,((SUMIF($EQ$3:$EZ$3,EQ$60,$EQ150:$EZ150))/SUMIF($EQ$3:$EZ$3,EQ$60,$EQ$4:$EZ$4)))</f>
        <v>0</v>
      </c>
      <c r="ER101" s="199" t="n">
        <f aca="false">IF((SUMIF($EQ$3:$EZ$3,ER$60,$EQ$4:$EZ$4))=0,0,((SUMIF($EQ$3:$EZ$3,ER$60,$EQ150:$EZ150))/SUMIF($EQ$3:$EZ$3,ER$60,$EQ$4:$EZ$4)))</f>
        <v>0</v>
      </c>
      <c r="ES101" s="199" t="n">
        <f aca="false">IF((SUMIF($EQ$3:$EZ$3,ES$60,$EQ$4:$EZ$4))=0,0,((SUMIF($EQ$3:$EZ$3,ES$60,$EQ150:$EZ150))/SUMIF($EQ$3:$EZ$3,ES$60,$EQ$4:$EZ$4)))</f>
        <v>0</v>
      </c>
      <c r="ET101" s="199" t="n">
        <f aca="false">IF((SUMIF($EQ$3:$EZ$3,ET$60,$EQ$4:$EZ$4))=0,0,((SUMIF($EQ$3:$EZ$3,ET$60,$EQ150:$EZ150))/SUMIF($EQ$3:$EZ$3,ET$60,$EQ$4:$EZ$4)))</f>
        <v>0</v>
      </c>
      <c r="EU101" s="199" t="n">
        <f aca="false">IF((SUMIF($EQ$3:$EZ$3,EU$60,$EQ$4:$EZ$4))=0,0,((SUMIF($EQ$3:$EZ$3,EU$60,$EQ150:$EZ150))/SUMIF($EQ$3:$EZ$3,EU$60,$EQ$4:$EZ$4)))</f>
        <v>0</v>
      </c>
      <c r="EV101" s="199" t="n">
        <f aca="false">IF((SUMIF($EQ$3:$EZ$3,EV$60,$EQ$4:$EZ$4))=0,0,((SUMIF($EQ$3:$EZ$3,EV$60,$EQ150:$EZ150))/SUMIF($EQ$3:$EZ$3,EV$60,$EQ$4:$EZ$4)))</f>
        <v>0</v>
      </c>
      <c r="EW101" s="199" t="n">
        <f aca="false">IF((SUMIF($EQ$3:$EZ$3,EW$60,$EQ$4:$EZ$4))=0,0,((SUMIF($EQ$3:$EZ$3,EW$60,$EQ150:$EZ150))/SUMIF($EQ$3:$EZ$3,EW$60,$EQ$4:$EZ$4)))</f>
        <v>0</v>
      </c>
      <c r="EX101" s="199" t="n">
        <f aca="false">IF((SUMIF($EQ$3:$EZ$3,EX$60,$EQ$4:$EZ$4))=0,0,((SUMIF($EQ$3:$EZ$3,EX$60,$EQ150:$EZ150))/SUMIF($EQ$3:$EZ$3,EX$60,$EQ$4:$EZ$4)))</f>
        <v>0</v>
      </c>
      <c r="EY101" s="199" t="n">
        <f aca="false">IF((SUMIF($EQ$3:$EZ$3,EY$60,$EQ$4:$EZ$4))=0,0,((SUMIF($EQ$3:$EZ$3,EY$60,$EQ150:$EZ150))/SUMIF($EQ$3:$EZ$3,EY$60,$EQ$4:$EZ$4)))</f>
        <v>0</v>
      </c>
      <c r="EZ101" s="200" t="n">
        <f aca="false">IF((SUMIF($EQ$3:$EZ$3,EZ$60,$EQ$4:$EZ$4))=0,0,((SUMIF($EQ$3:$EZ$3,EZ$60,$EQ150:$EZ150))/SUMIF($EQ$3:$EZ$3,EZ$60,$EQ$4:$EZ$4)))</f>
        <v>0</v>
      </c>
      <c r="FA101" s="194" t="str">
        <f aca="false">EP101</f>
        <v>Alumno40</v>
      </c>
      <c r="FB101" s="198" t="n">
        <f aca="false">IF((SUMIF($FB$3:$FK$3,FB$60,$FB$4:$FK$4))=0,0,((SUMIF($FB$3:$FK$3,FB$60,$FB150:$FK150))/SUMIF($FB$3:$FK$3,FB$60,$FB$4:$FK$4)))</f>
        <v>0</v>
      </c>
      <c r="FC101" s="199" t="n">
        <f aca="false">IF((SUMIF($FB$3:$FK$3,FC$60,$FB$4:$FK$4))=0,0,((SUMIF($FB$3:$FK$3,FC$60,$FB150:$FK150))/SUMIF($FB$3:$FK$3,FC$60,$FB$4:$FK$4)))</f>
        <v>0</v>
      </c>
      <c r="FD101" s="199" t="n">
        <f aca="false">IF((SUMIF($FB$3:$FK$3,FD$60,$FB$4:$FK$4))=0,0,((SUMIF($FB$3:$FK$3,FD$60,$FB150:$FK150))/SUMIF($FB$3:$FK$3,FD$60,$FB$4:$FK$4)))</f>
        <v>0</v>
      </c>
      <c r="FE101" s="199" t="n">
        <f aca="false">IF((SUMIF($FB$3:$FK$3,FE$60,$FB$4:$FK$4))=0,0,((SUMIF($FB$3:$FK$3,FE$60,$FB150:$FK150))/SUMIF($FB$3:$FK$3,FE$60,$FB$4:$FK$4)))</f>
        <v>0</v>
      </c>
      <c r="FF101" s="199" t="n">
        <f aca="false">IF((SUMIF($FB$3:$FK$3,FF$60,$FB$4:$FK$4))=0,0,((SUMIF($FB$3:$FK$3,FF$60,$FB150:$FK150))/SUMIF($FB$3:$FK$3,FF$60,$FB$4:$FK$4)))</f>
        <v>0</v>
      </c>
      <c r="FG101" s="199" t="n">
        <f aca="false">IF((SUMIF($FB$3:$FK$3,FG$60,$FB$4:$FK$4))=0,0,((SUMIF($FB$3:$FK$3,FG$60,$FB150:$FK150))/SUMIF($FB$3:$FK$3,FG$60,$FB$4:$FK$4)))</f>
        <v>0</v>
      </c>
      <c r="FH101" s="199" t="n">
        <f aca="false">IF((SUMIF($FB$3:$FK$3,FH$60,$FB$4:$FK$4))=0,0,((SUMIF($FB$3:$FK$3,FH$60,$FB150:$FK150))/SUMIF($FB$3:$FK$3,FH$60,$FB$4:$FK$4)))</f>
        <v>0</v>
      </c>
      <c r="FI101" s="199" t="n">
        <f aca="false">IF((SUMIF($FB$3:$FK$3,FI$60,$FB$4:$FK$4))=0,0,((SUMIF($FB$3:$FK$3,FI$60,$FB150:$FK150))/SUMIF($FB$3:$FK$3,FI$60,$FB$4:$FK$4)))</f>
        <v>0</v>
      </c>
      <c r="FJ101" s="199" t="n">
        <f aca="false">IF((SUMIF($FB$3:$FK$3,FJ$60,$FB$4:$FK$4))=0,0,((SUMIF($FB$3:$FK$3,FJ$60,$FB150:$FK150))/SUMIF($FB$3:$FK$3,FJ$60,$FB$4:$FK$4)))</f>
        <v>0</v>
      </c>
      <c r="FK101" s="200" t="n">
        <f aca="false">IF((SUMIF($FB$3:$FK$3,FK$60,$FB$4:$FK$4))=0,0,((SUMIF($FB$3:$FK$3,FK$60,$FB150:$FK150))/SUMIF($FB$3:$FK$3,FK$60,$FB$4:$FK$4)))</f>
        <v>0</v>
      </c>
      <c r="FL101" s="194" t="str">
        <f aca="false">FA101</f>
        <v>Alumno40</v>
      </c>
      <c r="FM101" s="198" t="n">
        <f aca="false">IF((SUMIF($FM$3:$FV$3,FM$60,$FM$4:$FV$4))=0,0,((SUMIF($FM$3:$FV$3,FM$60,$FM150:$FV150))/SUMIF($FM$3:$FV$3,FM$60,$FM$4:$FV$4)))</f>
        <v>0</v>
      </c>
      <c r="FN101" s="199" t="n">
        <f aca="false">IF((SUMIF($FM$3:$FV$3,FN$60,$FM$4:$FV$4))=0,0,((SUMIF($FM$3:$FV$3,FN$60,$FM150:$FV150))/SUMIF($FM$3:$FV$3,FN$60,$FM$4:$FV$4)))</f>
        <v>0</v>
      </c>
      <c r="FO101" s="199" t="n">
        <f aca="false">IF((SUMIF($FM$3:$FV$3,FO$60,$FM$4:$FV$4))=0,0,((SUMIF($FM$3:$FV$3,FO$60,$FM150:$FV150))/SUMIF($FM$3:$FV$3,FO$60,$FM$4:$FV$4)))</f>
        <v>0</v>
      </c>
      <c r="FP101" s="199" t="n">
        <f aca="false">IF((SUMIF($FM$3:$FV$3,FP$60,$FM$4:$FV$4))=0,0,((SUMIF($FM$3:$FV$3,FP$60,$FM150:$FV150))/SUMIF($FM$3:$FV$3,FP$60,$FM$4:$FV$4)))</f>
        <v>0</v>
      </c>
      <c r="FQ101" s="199" t="n">
        <f aca="false">IF((SUMIF($FM$3:$FV$3,FQ$60,$FM$4:$FV$4))=0,0,((SUMIF($FM$3:$FV$3,FQ$60,$FM150:$FV150))/SUMIF($FM$3:$FV$3,FQ$60,$FM$4:$FV$4)))</f>
        <v>0</v>
      </c>
      <c r="FR101" s="199" t="n">
        <f aca="false">IF((SUMIF($FM$3:$FV$3,FR$60,$FM$4:$FV$4))=0,0,((SUMIF($FM$3:$FV$3,FR$60,$FM150:$FV150))/SUMIF($FM$3:$FV$3,FR$60,$FM$4:$FV$4)))</f>
        <v>0</v>
      </c>
      <c r="FS101" s="199" t="n">
        <f aca="false">IF((SUMIF($FM$3:$FV$3,FS$60,$FM$4:$FV$4))=0,0,((SUMIF($FM$3:$FV$3,FS$60,$FM150:$FV150))/SUMIF($FM$3:$FV$3,FS$60,$FM$4:$FV$4)))</f>
        <v>0</v>
      </c>
      <c r="FT101" s="199" t="n">
        <f aca="false">IF((SUMIF($FM$3:$FV$3,FT$60,$FM$4:$FV$4))=0,0,((SUMIF($FM$3:$FV$3,FT$60,$FM150:$FV150))/SUMIF($FM$3:$FV$3,FT$60,$FM$4:$FV$4)))</f>
        <v>0</v>
      </c>
      <c r="FU101" s="199" t="n">
        <f aca="false">IF((SUMIF($FM$3:$FV$3,FU$60,$FM$4:$FV$4))=0,0,((SUMIF($FM$3:$FV$3,FU$60,$FM150:$FV150))/SUMIF($FM$3:$FV$3,FU$60,$FM$4:$FV$4)))</f>
        <v>0</v>
      </c>
      <c r="FV101" s="200" t="n">
        <f aca="false">IF((SUMIF($FM$3:$FV$3,FV$60,$FM$4:$FV$4))=0,0,((SUMIF($FM$3:$FV$3,FV$60,$FM150:$FV150))/SUMIF($FM$3:$FV$3,FV$60,$FM$4:$FV$4)))</f>
        <v>0</v>
      </c>
      <c r="FW101" s="194" t="str">
        <f aca="false">FL101</f>
        <v>Alumno40</v>
      </c>
      <c r="FX101" s="198" t="n">
        <f aca="false">IF((SUMIF($FX$3:$GG$3,FX$60,$FX$4:$GG$4))=0,0,((SUMIF($FX$3:$GG$3,FX$60,$FX150:$GG150))/SUMIF($FX$3:$GG$3,FX$60,$FX$4:$GG$4)))</f>
        <v>0</v>
      </c>
      <c r="FY101" s="199" t="n">
        <f aca="false">IF((SUMIF($FX$3:$GG$3,FY$60,$FX$4:$GG$4))=0,0,((SUMIF($FX$3:$GG$3,FY$60,$FX150:$GG150))/SUMIF($FX$3:$GG$3,FY$60,$FX$4:$GG$4)))</f>
        <v>0</v>
      </c>
      <c r="FZ101" s="199" t="n">
        <f aca="false">IF((SUMIF($FX$3:$GG$3,FZ$60,$FX$4:$GG$4))=0,0,((SUMIF($FX$3:$GG$3,FZ$60,$FX150:$GG150))/SUMIF($FX$3:$GG$3,FZ$60,$FX$4:$GG$4)))</f>
        <v>0</v>
      </c>
      <c r="GA101" s="199" t="n">
        <f aca="false">IF((SUMIF($FX$3:$GG$3,GA$60,$FX$4:$GG$4))=0,0,((SUMIF($FX$3:$GG$3,GA$60,$FX150:$GG150))/SUMIF($FX$3:$GG$3,GA$60,$FX$4:$GG$4)))</f>
        <v>0</v>
      </c>
      <c r="GB101" s="199" t="n">
        <f aca="false">IF((SUMIF($FX$3:$GG$3,GB$60,$FX$4:$GG$4))=0,0,((SUMIF($FX$3:$GG$3,GB$60,$FX150:$GG150))/SUMIF($FX$3:$GG$3,GB$60,$FX$4:$GG$4)))</f>
        <v>0</v>
      </c>
      <c r="GC101" s="199" t="n">
        <f aca="false">IF((SUMIF($FX$3:$GG$3,GC$60,$FX$4:$GG$4))=0,0,((SUMIF($FX$3:$GG$3,GC$60,$FX150:$GG150))/SUMIF($FX$3:$GG$3,GC$60,$FX$4:$GG$4)))</f>
        <v>0</v>
      </c>
      <c r="GD101" s="199" t="n">
        <f aca="false">IF((SUMIF($FX$3:$GG$3,GD$60,$FX$4:$GG$4))=0,0,((SUMIF($FX$3:$GG$3,GD$60,$FX150:$GG150))/SUMIF($FX$3:$GG$3,GD$60,$FX$4:$GG$4)))</f>
        <v>0</v>
      </c>
      <c r="GE101" s="199" t="n">
        <f aca="false">IF((SUMIF($FX$3:$GG$3,GE$60,$FX$4:$GG$4))=0,0,((SUMIF($FX$3:$GG$3,GE$60,$FX150:$GG150))/SUMIF($FX$3:$GG$3,GE$60,$FX$4:$GG$4)))</f>
        <v>0</v>
      </c>
      <c r="GF101" s="199" t="n">
        <f aca="false">IF((SUMIF($FX$3:$GG$3,GF$60,$FX$4:$GG$4))=0,0,((SUMIF($FX$3:$GG$3,GF$60,$FX150:$GG150))/SUMIF($FX$3:$GG$3,GF$60,$FX$4:$GG$4)))</f>
        <v>0</v>
      </c>
      <c r="GG101" s="200" t="n">
        <f aca="false">IF((SUMIF($FX$3:$GG$3,GG$60,$FX$4:$GG$4))=0,0,((SUMIF($FX$3:$GG$3,GG$60,$FX150:$GG150))/SUMIF($FX$3:$GG$3,GG$60,$FX$4:$GG$4)))</f>
        <v>0</v>
      </c>
      <c r="GH101" s="194" t="str">
        <f aca="false">FW101</f>
        <v>Alumno40</v>
      </c>
      <c r="GI101" s="198" t="n">
        <f aca="false">IF((SUMIF($GI$3:$GR$3,GI$60,$GI$4:$GR$4))=0,0,((SUMIF($GI$3:$GR$3,GI$60,$GI150:$GR150))/SUMIF($GI$3:$GR$3,GI$60,$GI$4:$GR$4)))</f>
        <v>0</v>
      </c>
      <c r="GJ101" s="199" t="n">
        <f aca="false">IF((SUMIF($GI$3:$GR$3,GJ$60,$GI$4:$GR$4))=0,0,((SUMIF($GI$3:$GR$3,GJ$60,$GI150:$GR150))/SUMIF($GI$3:$GR$3,GJ$60,$GI$4:$GR$4)))</f>
        <v>0</v>
      </c>
      <c r="GK101" s="199" t="n">
        <f aca="false">IF((SUMIF($GI$3:$GR$3,GK$60,$GI$4:$GR$4))=0,0,((SUMIF($GI$3:$GR$3,GK$60,$GI150:$GR150))/SUMIF($GI$3:$GR$3,GK$60,$GI$4:$GR$4)))</f>
        <v>0</v>
      </c>
      <c r="GL101" s="199" t="n">
        <f aca="false">IF((SUMIF($GI$3:$GR$3,GL$60,$GI$4:$GR$4))=0,0,((SUMIF($GI$3:$GR$3,GL$60,$GI150:$GR150))/SUMIF($GI$3:$GR$3,GL$60,$GI$4:$GR$4)))</f>
        <v>0</v>
      </c>
      <c r="GM101" s="199" t="n">
        <f aca="false">IF((SUMIF($GI$3:$GR$3,GM$60,$GI$4:$GR$4))=0,0,((SUMIF($GI$3:$GR$3,GM$60,$GI150:$GR150))/SUMIF($GI$3:$GR$3,GM$60,$GI$4:$GR$4)))</f>
        <v>0</v>
      </c>
      <c r="GN101" s="199" t="n">
        <f aca="false">IF((SUMIF($GI$3:$GR$3,GN$60,$GI$4:$GR$4))=0,0,((SUMIF($GI$3:$GR$3,GN$60,$GI150:$GR150))/SUMIF($GI$3:$GR$3,GN$60,$GI$4:$GR$4)))</f>
        <v>0</v>
      </c>
      <c r="GO101" s="199" t="n">
        <f aca="false">IF((SUMIF($GI$3:$GR$3,GO$60,$GI$4:$GR$4))=0,0,((SUMIF($GI$3:$GR$3,GO$60,$GI150:$GR150))/SUMIF($GI$3:$GR$3,GO$60,$GI$4:$GR$4)))</f>
        <v>0</v>
      </c>
      <c r="GP101" s="199" t="n">
        <f aca="false">IF((SUMIF($GI$3:$GR$3,GP$60,$GI$4:$GR$4))=0,0,((SUMIF($GI$3:$GR$3,GP$60,$GI150:$GR150))/SUMIF($GI$3:$GR$3,GP$60,$GI$4:$GR$4)))</f>
        <v>0</v>
      </c>
      <c r="GQ101" s="199" t="n">
        <f aca="false">IF((SUMIF($GI$3:$GR$3,GQ$60,$GI$4:$GR$4))=0,0,((SUMIF($GI$3:$GR$3,GQ$60,$GI150:$GR150))/SUMIF($GI$3:$GR$3,GQ$60,$GI$4:$GR$4)))</f>
        <v>0</v>
      </c>
      <c r="GR101" s="200" t="n">
        <f aca="false">IF((SUMIF($GI$3:$GR$3,GR$60,$GI$4:$GR$4))=0,0,((SUMIF($GI$3:$GR$3,GR$60,$GI150:$GR150))/SUMIF($GI$3:$GR$3,GR$60,$GI$4:$GR$4)))</f>
        <v>0</v>
      </c>
      <c r="GS101" s="194" t="str">
        <f aca="false">GH101</f>
        <v>Alumno40</v>
      </c>
      <c r="GT101" s="198" t="n">
        <f aca="false">IF((SUMIF($GT$3:$HC$3,GT$60,$GT$4:$HC$4))=0,0,((SUMIF($GT$3:$HC$3,GT$60,$GT150:$HC150))/SUMIF($GT$3:$HC$3,GT$60,$GT$4:$HC$4)))</f>
        <v>0</v>
      </c>
      <c r="GU101" s="199" t="n">
        <f aca="false">IF((SUMIF($GT$3:$HC$3,GU$60,$GT$4:$HC$4))=0,0,((SUMIF($GT$3:$HC$3,GU$60,$GT150:$HC150))/SUMIF($GT$3:$HC$3,GU$60,$GT$4:$HC$4)))</f>
        <v>0</v>
      </c>
      <c r="GV101" s="199" t="n">
        <f aca="false">IF((SUMIF($GT$3:$HC$3,GV$60,$GT$4:$HC$4))=0,0,((SUMIF($GT$3:$HC$3,GV$60,$GT150:$HC150))/SUMIF($GT$3:$HC$3,GV$60,$GT$4:$HC$4)))</f>
        <v>0</v>
      </c>
      <c r="GW101" s="199" t="n">
        <f aca="false">IF((SUMIF($GT$3:$HC$3,GW$60,$GT$4:$HC$4))=0,0,((SUMIF($GT$3:$HC$3,GW$60,$GT150:$HC150))/SUMIF($GT$3:$HC$3,GW$60,$GT$4:$HC$4)))</f>
        <v>0</v>
      </c>
      <c r="GX101" s="199" t="n">
        <f aca="false">IF((SUMIF($GT$3:$HC$3,GX$60,$GT$4:$HC$4))=0,0,((SUMIF($GT$3:$HC$3,GX$60,$GT150:$HC150))/SUMIF($GT$3:$HC$3,GX$60,$GT$4:$HC$4)))</f>
        <v>0</v>
      </c>
      <c r="GY101" s="199" t="n">
        <f aca="false">IF((SUMIF($GT$3:$HC$3,GY$60,$GT$4:$HC$4))=0,0,((SUMIF($GT$3:$HC$3,GY$60,$GT150:$HC150))/SUMIF($GT$3:$HC$3,GY$60,$GT$4:$HC$4)))</f>
        <v>0</v>
      </c>
      <c r="GZ101" s="199" t="n">
        <f aca="false">IF((SUMIF($GT$3:$HC$3,GZ$60,$GT$4:$HC$4))=0,0,((SUMIF($GT$3:$HC$3,GZ$60,$GT150:$HC150))/SUMIF($GT$3:$HC$3,GZ$60,$GT$4:$HC$4)))</f>
        <v>0</v>
      </c>
      <c r="HA101" s="199" t="n">
        <f aca="false">IF((SUMIF($GT$3:$HC$3,HA$60,$GT$4:$HC$4))=0,0,((SUMIF($GT$3:$HC$3,HA$60,$GT150:$HC150))/SUMIF($GT$3:$HC$3,HA$60,$GT$4:$HC$4)))</f>
        <v>0</v>
      </c>
      <c r="HB101" s="199" t="n">
        <f aca="false">IF((SUMIF($GT$3:$HC$3,HB$60,$GT$4:$HC$4))=0,0,((SUMIF($GT$3:$HC$3,HB$60,$GT150:$HC150))/SUMIF($GT$3:$HC$3,HB$60,$GT$4:$HC$4)))</f>
        <v>0</v>
      </c>
      <c r="HC101" s="200" t="n">
        <f aca="false">IF((SUMIF($GT$3:$HC$3,HC$60,$GT$4:$HC$4))=0,0,((SUMIF($GT$3:$HC$3,HC$60,$GT150:$HC150))/SUMIF($GT$3:$HC$3,HC$60,$GT$4:$HC$4)))</f>
        <v>0</v>
      </c>
      <c r="HD101" s="194" t="str">
        <f aca="false">GS101</f>
        <v>Alumno40</v>
      </c>
      <c r="HE101" s="198" t="n">
        <f aca="false">IF((SUMIF($HE$3:$HN$3,HE$60,$HE$4:$HN$4))=0,0,((SUMIF($HE$3:$HN$3,HE$60,$HE150:$HN150))/SUMIF($HE$3:$HN$3,HE$60,$HE$4:$HN$4)))</f>
        <v>0</v>
      </c>
      <c r="HF101" s="199" t="n">
        <f aca="false">IF((SUMIF($HE$3:$HN$3,HF$60,$HE$4:$HN$4))=0,0,((SUMIF($HE$3:$HN$3,HF$60,$HE150:$HN150))/SUMIF($HE$3:$HN$3,HF$60,$HE$4:$HN$4)))</f>
        <v>0</v>
      </c>
      <c r="HG101" s="199" t="n">
        <f aca="false">IF((SUMIF($HE$3:$HN$3,HG$60,$HE$4:$HN$4))=0,0,((SUMIF($HE$3:$HN$3,HG$60,$HE150:$HN150))/SUMIF($HE$3:$HN$3,HG$60,$HE$4:$HN$4)))</f>
        <v>0</v>
      </c>
      <c r="HH101" s="199" t="n">
        <f aca="false">IF((SUMIF($HE$3:$HN$3,HH$60,$HE$4:$HN$4))=0,0,((SUMIF($HE$3:$HN$3,HH$60,$HE150:$HN150))/SUMIF($HE$3:$HN$3,HH$60,$HE$4:$HN$4)))</f>
        <v>0</v>
      </c>
      <c r="HI101" s="199" t="n">
        <f aca="false">IF((SUMIF($HE$3:$HN$3,HI$60,$HE$4:$HN$4))=0,0,((SUMIF($HE$3:$HN$3,HI$60,$HE150:$HN150))/SUMIF($HE$3:$HN$3,HI$60,$HE$4:$HN$4)))</f>
        <v>0</v>
      </c>
      <c r="HJ101" s="199" t="n">
        <f aca="false">IF((SUMIF($HE$3:$HN$3,HJ$60,$HE$4:$HN$4))=0,0,((SUMIF($HE$3:$HN$3,HJ$60,$HE150:$HN150))/SUMIF($HE$3:$HN$3,HJ$60,$HE$4:$HN$4)))</f>
        <v>0</v>
      </c>
      <c r="HK101" s="199" t="n">
        <f aca="false">IF((SUMIF($HE$3:$HN$3,HK$60,$HE$4:$HN$4))=0,0,((SUMIF($HE$3:$HN$3,HK$60,$HE150:$HN150))/SUMIF($HE$3:$HN$3,HK$60,$HE$4:$HN$4)))</f>
        <v>0</v>
      </c>
      <c r="HL101" s="199" t="n">
        <f aca="false">IF((SUMIF($HE$3:$HN$3,HL$60,$HE$4:$HN$4))=0,0,((SUMIF($HE$3:$HN$3,HL$60,$HE150:$HN150))/SUMIF($HE$3:$HN$3,HL$60,$HE$4:$HN$4)))</f>
        <v>0</v>
      </c>
      <c r="HM101" s="199" t="n">
        <f aca="false">IF((SUMIF($HE$3:$HN$3,HM$60,$HE$4:$HN$4))=0,0,((SUMIF($HE$3:$HN$3,HM$60,$HE150:$HN150))/SUMIF($HE$3:$HN$3,HM$60,$HE$4:$HN$4)))</f>
        <v>0</v>
      </c>
      <c r="HN101" s="200" t="n">
        <f aca="false">IF((SUMIF($HE$3:$HN$3,HN$60,$HE$4:$HN$4))=0,0,((SUMIF($HE$3:$HN$3,HN$60,$HE150:$HN150))/SUMIF($HE$3:$HN$3,HN$60,$HE$4:$HN$4)))</f>
        <v>0</v>
      </c>
      <c r="HO101" s="194" t="str">
        <f aca="false">HD101</f>
        <v>Alumno40</v>
      </c>
      <c r="HP101" s="198" t="n">
        <f aca="false">IF((SUMIF($HP$3:$HY$3,HP$60,$HP$4:$HY$4))=0,0,((SUMIF($HP$3:$HY$3,HP$60,$HP150:$HY150))/SUMIF($HP$3:$HY$3,HP$60,$HP$4:$HY$4)))</f>
        <v>0</v>
      </c>
      <c r="HQ101" s="199" t="n">
        <f aca="false">IF((SUMIF($HP$3:$HY$3,HQ$60,$HP$4:$HY$4))=0,0,((SUMIF($HP$3:$HY$3,HQ$60,$HP150:$HY150))/SUMIF($HP$3:$HY$3,HQ$60,$HP$4:$HY$4)))</f>
        <v>0</v>
      </c>
      <c r="HR101" s="199" t="n">
        <f aca="false">IF((SUMIF($HP$3:$HY$3,HR$60,$HP$4:$HY$4))=0,0,((SUMIF($HP$3:$HY$3,HR$60,$HP150:$HY150))/SUMIF($HP$3:$HY$3,HR$60,$HP$4:$HY$4)))</f>
        <v>0</v>
      </c>
      <c r="HS101" s="199" t="n">
        <f aca="false">IF((SUMIF($HP$3:$HY$3,HS$60,$HP$4:$HY$4))=0,0,((SUMIF($HP$3:$HY$3,HS$60,$HP150:$HY150))/SUMIF($HP$3:$HY$3,HS$60,$HP$4:$HY$4)))</f>
        <v>0</v>
      </c>
      <c r="HT101" s="199" t="n">
        <f aca="false">IF((SUMIF($HP$3:$HY$3,HT$60,$HP$4:$HY$4))=0,0,((SUMIF($HP$3:$HY$3,HT$60,$HP150:$HY150))/SUMIF($HP$3:$HY$3,HT$60,$HP$4:$HY$4)))</f>
        <v>0</v>
      </c>
      <c r="HU101" s="199" t="n">
        <f aca="false">IF((SUMIF($HP$3:$HY$3,HU$60,$HP$4:$HY$4))=0,0,((SUMIF($HP$3:$HY$3,HU$60,$HP150:$HY150))/SUMIF($HP$3:$HY$3,HU$60,$HP$4:$HY$4)))</f>
        <v>0</v>
      </c>
      <c r="HV101" s="199" t="n">
        <f aca="false">IF((SUMIF($HP$3:$HY$3,HV$60,$HP$4:$HY$4))=0,0,((SUMIF($HP$3:$HY$3,HV$60,$HP150:$HY150))/SUMIF($HP$3:$HY$3,HV$60,$HP$4:$HY$4)))</f>
        <v>0</v>
      </c>
      <c r="HW101" s="199" t="n">
        <f aca="false">IF((SUMIF($HP$3:$HY$3,HW$60,$HP$4:$HY$4))=0,0,((SUMIF($HP$3:$HY$3,HW$60,$HP150:$HY150))/SUMIF($HP$3:$HY$3,HW$60,$HP$4:$HY$4)))</f>
        <v>0</v>
      </c>
      <c r="HX101" s="199" t="n">
        <f aca="false">IF((SUMIF($HP$3:$HY$3,HX$60,$HP$4:$HY$4))=0,0,((SUMIF($HP$3:$HY$3,HX$60,$HP150:$HY150))/SUMIF($HP$3:$HY$3,HX$60,$HP$4:$HY$4)))</f>
        <v>0</v>
      </c>
      <c r="HY101" s="200" t="n">
        <f aca="false">IF((SUMIF($HP$3:$HY$3,HY$60,$HP$4:$HY$4))=0,0,((SUMIF($HP$3:$HY$3,HY$60,$HP150:$HY150))/SUMIF($HP$3:$HY$3,HY$60,$HP$4:$HY$4)))</f>
        <v>0</v>
      </c>
      <c r="HZ101" s="194" t="str">
        <f aca="false">HO101</f>
        <v>Alumno40</v>
      </c>
      <c r="IA101" s="198" t="n">
        <f aca="false">IF((SUMIF($IA$3:$IJ$3,IA$60,$IA$4:$IJ$4))=0,0,((SUMIF($IA$3:$IJ$3,IA$60,$IA150:$IJ150))/SUMIF($IA$3:$IJ$3,IA$60,$IA$4:$IJ$4)))</f>
        <v>0</v>
      </c>
      <c r="IB101" s="199" t="n">
        <f aca="false">IF((SUMIF($IA$3:$IJ$3,IB$60,$IA$4:$IJ$4))=0,0,((SUMIF($IA$3:$IJ$3,IB$60,$IA150:$IJ150))/SUMIF($IA$3:$IJ$3,IB$60,$IA$4:$IJ$4)))</f>
        <v>0</v>
      </c>
      <c r="IC101" s="199" t="n">
        <f aca="false">IF((SUMIF($IA$3:$IJ$3,IC$60,$IA$4:$IJ$4))=0,0,((SUMIF($IA$3:$IJ$3,IC$60,$IA150:$IJ150))/SUMIF($IA$3:$IJ$3,IC$60,$IA$4:$IJ$4)))</f>
        <v>0</v>
      </c>
      <c r="ID101" s="199" t="n">
        <f aca="false">IF((SUMIF($IA$3:$IJ$3,ID$60,$IA$4:$IJ$4))=0,0,((SUMIF($IA$3:$IJ$3,ID$60,$IA150:$IJ150))/SUMIF($IA$3:$IJ$3,ID$60,$IA$4:$IJ$4)))</f>
        <v>0</v>
      </c>
      <c r="IE101" s="199" t="n">
        <f aca="false">IF((SUMIF($IA$3:$IJ$3,IE$60,$IA$4:$IJ$4))=0,0,((SUMIF($IA$3:$IJ$3,IE$60,$IA150:$IJ150))/SUMIF($IA$3:$IJ$3,IE$60,$IA$4:$IJ$4)))</f>
        <v>0</v>
      </c>
      <c r="IF101" s="199" t="n">
        <f aca="false">IF((SUMIF($IA$3:$IJ$3,IF$60,$IA$4:$IJ$4))=0,0,((SUMIF($IA$3:$IJ$3,IF$60,$IA150:$IJ150))/SUMIF($IA$3:$IJ$3,IF$60,$IA$4:$IJ$4)))</f>
        <v>0</v>
      </c>
      <c r="IG101" s="199" t="n">
        <f aca="false">IF((SUMIF($IA$3:$IJ$3,IG$60,$IA$4:$IJ$4))=0,0,((SUMIF($IA$3:$IJ$3,IG$60,$IA150:$IJ150))/SUMIF($IA$3:$IJ$3,IG$60,$IA$4:$IJ$4)))</f>
        <v>0</v>
      </c>
      <c r="IH101" s="199" t="n">
        <f aca="false">IF((SUMIF($IA$3:$IJ$3,IH$60,$IA$4:$IJ$4))=0,0,((SUMIF($IA$3:$IJ$3,IH$60,$IA150:$IJ150))/SUMIF($IA$3:$IJ$3,IH$60,$IA$4:$IJ$4)))</f>
        <v>0</v>
      </c>
      <c r="II101" s="199" t="n">
        <f aca="false">IF((SUMIF($IA$3:$IJ$3,II$60,$IA$4:$IJ$4))=0,0,((SUMIF($IA$3:$IJ$3,II$60,$IA150:$IJ150))/SUMIF($IA$3:$IJ$3,II$60,$IA$4:$IJ$4)))</f>
        <v>0</v>
      </c>
      <c r="IJ101" s="200" t="n">
        <f aca="false">IF((SUMIF($IA$3:$IJ$3,IJ$60,$IA$4:$IJ$4))=0,0,((SUMIF($IA$3:$IJ$3,IJ$60,$IA150:$IJ150))/SUMIF($IA$3:$IJ$3,IJ$60,$IA$4:$IJ$4)))</f>
        <v>0</v>
      </c>
      <c r="IK101" s="194" t="str">
        <f aca="false">HZ101</f>
        <v>Alumno40</v>
      </c>
      <c r="IL101" s="198" t="n">
        <f aca="false">IF((SUMIF($IL$3:$IU$3,IL$60,$IL$4:$IU$4))=0,0,((SUMIF($IL$3:$IU$3,IL$60,$IL150:$IU150))/SUMIF($IL$3:$IU$3,IL$60,$IL$4:$IU$4)))</f>
        <v>0</v>
      </c>
      <c r="IM101" s="199" t="n">
        <f aca="false">IF((SUMIF($IL$3:$IU$3,IM$60,$IL$4:$IU$4))=0,0,((SUMIF($IL$3:$IU$3,IM$60,$IL150:$IU150))/SUMIF($IL$3:$IU$3,IM$60,$IL$4:$IU$4)))</f>
        <v>0</v>
      </c>
      <c r="IN101" s="199" t="n">
        <f aca="false">IF((SUMIF($IL$3:$IU$3,IN$60,$IL$4:$IU$4))=0,0,((SUMIF($IL$3:$IU$3,IN$60,$IL150:$IU150))/SUMIF($IL$3:$IU$3,IN$60,$IL$4:$IU$4)))</f>
        <v>0</v>
      </c>
      <c r="IO101" s="199" t="n">
        <f aca="false">IF((SUMIF($IL$3:$IU$3,IO$60,$IL$4:$IU$4))=0,0,((SUMIF($IL$3:$IU$3,IO$60,$IL150:$IU150))/SUMIF($IL$3:$IU$3,IO$60,$IL$4:$IU$4)))</f>
        <v>0</v>
      </c>
      <c r="IP101" s="199" t="n">
        <f aca="false">IF((SUMIF($IL$3:$IU$3,IP$60,$IL$4:$IU$4))=0,0,((SUMIF($IL$3:$IU$3,IP$60,$IL150:$IU150))/SUMIF($IL$3:$IU$3,IP$60,$IL$4:$IU$4)))</f>
        <v>0</v>
      </c>
      <c r="IQ101" s="199" t="n">
        <f aca="false">IF((SUMIF($IL$3:$IU$3,IQ$60,$IL$4:$IU$4))=0,0,((SUMIF($IL$3:$IU$3,IQ$60,$IL150:$IU150))/SUMIF($IL$3:$IU$3,IQ$60,$IL$4:$IU$4)))</f>
        <v>0</v>
      </c>
      <c r="IR101" s="199" t="n">
        <f aca="false">IF((SUMIF($IL$3:$IU$3,IR$60,$IL$4:$IU$4))=0,0,((SUMIF($IL$3:$IU$3,IR$60,$IL150:$IU150))/SUMIF($IL$3:$IU$3,IR$60,$IL$4:$IU$4)))</f>
        <v>0</v>
      </c>
      <c r="IS101" s="199" t="n">
        <f aca="false">IF((SUMIF($IL$3:$IU$3,IS$60,$IL$4:$IU$4))=0,0,((SUMIF($IL$3:$IU$3,IS$60,$IL150:$IU150))/SUMIF($IL$3:$IU$3,IS$60,$IL$4:$IU$4)))</f>
        <v>0</v>
      </c>
      <c r="IT101" s="199" t="n">
        <f aca="false">IF((SUMIF($IL$3:$IU$3,IT$60,$IL$4:$IU$4))=0,0,((SUMIF($IL$3:$IU$3,IT$60,$IL150:$IU150))/SUMIF($IL$3:$IU$3,IT$60,$IL$4:$IU$4)))</f>
        <v>0</v>
      </c>
      <c r="IU101" s="200" t="n">
        <f aca="false">IF((SUMIF($IL$3:$IU$3,IU$60,$IL$4:$IU$4))=0,0,((SUMIF($IL$3:$IU$3,IU$60,$IL150:$IU150))/SUMIF($IL$3:$IU$3,IU$60,$IL$4:$IU$4)))</f>
        <v>0</v>
      </c>
      <c r="IV101" s="194" t="str">
        <f aca="false">IK101</f>
        <v>Alumno40</v>
      </c>
      <c r="IW101" s="198" t="n">
        <f aca="false">IF((SUMIF($IW$3:$JF$3,IW$60,$IW$4:$JF$4))=0,0,((SUMIF($IW$3:$JF$3,IW$60,$IW150:$JF150))/SUMIF($IW$3:$JF$3,IW$60,$IW$4:$JF$4)))</f>
        <v>0</v>
      </c>
      <c r="IX101" s="199" t="n">
        <f aca="false">IF((SUMIF($IW$3:$JF$3,IX$60,$IW$4:$JF$4))=0,0,((SUMIF($IW$3:$JF$3,IX$60,$IW150:$JF150))/SUMIF($IW$3:$JF$3,IX$60,$IW$4:$JF$4)))</f>
        <v>0</v>
      </c>
      <c r="IY101" s="199" t="n">
        <f aca="false">IF((SUMIF($IW$3:$JF$3,IY$60,$IW$4:$JF$4))=0,0,((SUMIF($IW$3:$JF$3,IY$60,$IW150:$JF150))/SUMIF($IW$3:$JF$3,IY$60,$IW$4:$JF$4)))</f>
        <v>0</v>
      </c>
      <c r="IZ101" s="199" t="n">
        <f aca="false">IF((SUMIF($IW$3:$JF$3,IZ$60,$IW$4:$JF$4))=0,0,((SUMIF($IW$3:$JF$3,IZ$60,$IW150:$JF150))/SUMIF($IW$3:$JF$3,IZ$60,$IW$4:$JF$4)))</f>
        <v>0</v>
      </c>
      <c r="JA101" s="199" t="n">
        <f aca="false">IF((SUMIF($IW$3:$JF$3,JA$60,$IW$4:$JF$4))=0,0,((SUMIF($IW$3:$JF$3,JA$60,$IW150:$JF150))/SUMIF($IW$3:$JF$3,JA$60,$IW$4:$JF$4)))</f>
        <v>0</v>
      </c>
      <c r="JB101" s="199" t="n">
        <f aca="false">IF((SUMIF($IW$3:$JF$3,JB$60,$IW$4:$JF$4))=0,0,((SUMIF($IW$3:$JF$3,JB$60,$IW150:$JF150))/SUMIF($IW$3:$JF$3,JB$60,$IW$4:$JF$4)))</f>
        <v>0</v>
      </c>
      <c r="JC101" s="199" t="n">
        <f aca="false">IF((SUMIF($IW$3:$JF$3,JC$60,$IW$4:$JF$4))=0,0,((SUMIF($IW$3:$JF$3,JC$60,$IW150:$JF150))/SUMIF($IW$3:$JF$3,JC$60,$IW$4:$JF$4)))</f>
        <v>0</v>
      </c>
      <c r="JD101" s="199" t="n">
        <f aca="false">IF((SUMIF($IW$3:$JF$3,JD$60,$IW$4:$JF$4))=0,0,((SUMIF($IW$3:$JF$3,JD$60,$IW150:$JF150))/SUMIF($IW$3:$JF$3,JD$60,$IW$4:$JF$4)))</f>
        <v>0</v>
      </c>
      <c r="JE101" s="199" t="n">
        <f aca="false">IF((SUMIF($IW$3:$JF$3,JE$60,$IW$4:$JF$4))=0,0,((SUMIF($IW$3:$JF$3,JE$60,$IW150:$JF150))/SUMIF($IW$3:$JF$3,JE$60,$IW$4:$JF$4)))</f>
        <v>0</v>
      </c>
      <c r="JF101" s="200" t="n">
        <f aca="false">IF((SUMIF($IW$3:$JF$3,JF$60,$IW$4:$JF$4))=0,0,((SUMIF($IW$3:$JF$3,JF$60,$IW150:$JF150))/SUMIF($IW$3:$JF$3,JF$60,$IW$4:$JF$4)))</f>
        <v>0</v>
      </c>
      <c r="JG101" s="194" t="str">
        <f aca="false">IV101</f>
        <v>Alumno40</v>
      </c>
      <c r="JH101" s="198" t="n">
        <f aca="false">IF((SUMIF($JH$3:$JQ$3,JH$60,$JH$4:$JQ$4))=0,0,((SUMIF($JH$3:$JQ$3,JH$60,$JH150:$JQ150))/SUMIF($JH$3:$JQ$3,JH$60,$JH$4:$JQ$4)))</f>
        <v>0</v>
      </c>
      <c r="JI101" s="199" t="n">
        <f aca="false">IF((SUMIF($JH$3:$JQ$3,JI$60,$JH$4:$JQ$4))=0,0,((SUMIF($JH$3:$JQ$3,JI$60,$JH150:$JQ150))/SUMIF($JH$3:$JQ$3,JI$60,$JH$4:$JQ$4)))</f>
        <v>0</v>
      </c>
      <c r="JJ101" s="199" t="n">
        <f aca="false">IF((SUMIF($JH$3:$JQ$3,JJ$60,$JH$4:$JQ$4))=0,0,((SUMIF($JH$3:$JQ$3,JJ$60,$JH150:$JQ150))/SUMIF($JH$3:$JQ$3,JJ$60,$JH$4:$JQ$4)))</f>
        <v>0</v>
      </c>
      <c r="JK101" s="199" t="n">
        <f aca="false">IF((SUMIF($JH$3:$JQ$3,JK$60,$JH$4:$JQ$4))=0,0,((SUMIF($JH$3:$JQ$3,JK$60,$JH150:$JQ150))/SUMIF($JH$3:$JQ$3,JK$60,$JH$4:$JQ$4)))</f>
        <v>0</v>
      </c>
      <c r="JL101" s="199" t="n">
        <f aca="false">IF((SUMIF($JH$3:$JQ$3,JL$60,$JH$4:$JQ$4))=0,0,((SUMIF($JH$3:$JQ$3,JL$60,$JH150:$JQ150))/SUMIF($JH$3:$JQ$3,JL$60,$JH$4:$JQ$4)))</f>
        <v>0</v>
      </c>
      <c r="JM101" s="199" t="n">
        <f aca="false">IF((SUMIF($JH$3:$JQ$3,JM$60,$JH$4:$JQ$4))=0,0,((SUMIF($JH$3:$JQ$3,JM$60,$JH150:$JQ150))/SUMIF($JH$3:$JQ$3,JM$60,$JH$4:$JQ$4)))</f>
        <v>0</v>
      </c>
      <c r="JN101" s="199" t="n">
        <f aca="false">IF((SUMIF($JH$3:$JQ$3,JN$60,$JH$4:$JQ$4))=0,0,((SUMIF($JH$3:$JQ$3,JN$60,$JH150:$JQ150))/SUMIF($JH$3:$JQ$3,JN$60,$JH$4:$JQ$4)))</f>
        <v>0</v>
      </c>
      <c r="JO101" s="199" t="n">
        <f aca="false">IF((SUMIF($JH$3:$JQ$3,JO$60,$JH$4:$JQ$4))=0,0,((SUMIF($JH$3:$JQ$3,JO$60,$JH150:$JQ150))/SUMIF($JH$3:$JQ$3,JO$60,$JH$4:$JQ$4)))</f>
        <v>0</v>
      </c>
      <c r="JP101" s="199" t="n">
        <f aca="false">IF((SUMIF($JH$3:$JQ$3,JP$60,$JH$4:$JQ$4))=0,0,((SUMIF($JH$3:$JQ$3,JP$60,$JH150:$JQ150))/SUMIF($JH$3:$JQ$3,JP$60,$JH$4:$JQ$4)))</f>
        <v>0</v>
      </c>
      <c r="JQ101" s="200" t="n">
        <f aca="false">IF((SUMIF($JH$3:$JQ$3,JQ$60,$JH$4:$JQ$4))=0,0,((SUMIF($JH$3:$JQ$3,JQ$60,$JH150:$JQ150))/SUMIF($JH$3:$JQ$3,JQ$60,$JH$4:$JQ$4)))</f>
        <v>0</v>
      </c>
      <c r="JR101" s="194" t="str">
        <f aca="false">JG101</f>
        <v>Alumno40</v>
      </c>
      <c r="JS101" s="198" t="n">
        <f aca="false">IF((SUMIF($JS$3:$KB$3,JS$60,$JS$4:$KB$4))=0,0,((SUMIF($JS$3:$KB$3,JS$60,$JS150:$KB150))/SUMIF($JS$3:$KB$3,JS$60,$JS$4:$KB$4)))</f>
        <v>0</v>
      </c>
      <c r="JT101" s="199" t="n">
        <f aca="false">IF((SUMIF($JS$3:$KB$3,JT$60,$JS$4:$KB$4))=0,0,((SUMIF($JS$3:$KB$3,JT$60,$JS150:$KB150))/SUMIF($JS$3:$KB$3,JT$60,$JS$4:$KB$4)))</f>
        <v>0</v>
      </c>
      <c r="JU101" s="199" t="n">
        <f aca="false">IF((SUMIF($JS$3:$KB$3,JU$60,$JS$4:$KB$4))=0,0,((SUMIF($JS$3:$KB$3,JU$60,$JS150:$KB150))/SUMIF($JS$3:$KB$3,JU$60,$JS$4:$KB$4)))</f>
        <v>0</v>
      </c>
      <c r="JV101" s="199" t="n">
        <f aca="false">IF((SUMIF($JS$3:$KB$3,JV$60,$JS$4:$KB$4))=0,0,((SUMIF($JS$3:$KB$3,JV$60,$JS150:$KB150))/SUMIF($JS$3:$KB$3,JV$60,$JS$4:$KB$4)))</f>
        <v>0</v>
      </c>
      <c r="JW101" s="199" t="n">
        <f aca="false">IF((SUMIF($JS$3:$KB$3,JW$60,$JS$4:$KB$4))=0,0,((SUMIF($JS$3:$KB$3,JW$60,$JS150:$KB150))/SUMIF($JS$3:$KB$3,JW$60,$JS$4:$KB$4)))</f>
        <v>0</v>
      </c>
      <c r="JX101" s="199" t="n">
        <f aca="false">IF((SUMIF($JS$3:$KB$3,JX$60,$JS$4:$KB$4))=0,0,((SUMIF($JS$3:$KB$3,JX$60,$JS150:$KB150))/SUMIF($JS$3:$KB$3,JX$60,$JS$4:$KB$4)))</f>
        <v>0</v>
      </c>
      <c r="JY101" s="199" t="n">
        <f aca="false">IF((SUMIF($JS$3:$KB$3,JY$60,$JS$4:$KB$4))=0,0,((SUMIF($JS$3:$KB$3,JY$60,$JS150:$KB150))/SUMIF($JS$3:$KB$3,JY$60,$JS$4:$KB$4)))</f>
        <v>0</v>
      </c>
      <c r="JZ101" s="199" t="n">
        <f aca="false">IF((SUMIF($JS$3:$KB$3,JZ$60,$JS$4:$KB$4))=0,0,((SUMIF($JS$3:$KB$3,JZ$60,$JS150:$KB150))/SUMIF($JS$3:$KB$3,JZ$60,$JS$4:$KB$4)))</f>
        <v>0</v>
      </c>
      <c r="KA101" s="199" t="n">
        <f aca="false">IF((SUMIF($JS$3:$KB$3,KA$60,$JS$4:$KB$4))=0,0,((SUMIF($JS$3:$KB$3,KA$60,$JS150:$KB150))/SUMIF($JS$3:$KB$3,KA$60,$JS$4:$KB$4)))</f>
        <v>0</v>
      </c>
      <c r="KB101" s="200" t="n">
        <f aca="false">IF((SUMIF($JS$3:$KB$3,KB$60,$JS$4:$KB$4))=0,0,((SUMIF($JS$3:$KB$3,KB$60,$JS150:$KB150))/SUMIF($JS$3:$KB$3,KB$60,$JS$4:$KB$4)))</f>
        <v>0</v>
      </c>
      <c r="KC101" s="194" t="str">
        <f aca="false">JR101</f>
        <v>Alumno40</v>
      </c>
      <c r="KD101" s="198" t="n">
        <f aca="false">IF((SUMIF($KD$3:$KM$3,KD$60,$KD$4:$KM$4))=0,0,((SUMIF($KD$3:$KM$3,KD$60,$KD150:$KM150))/SUMIF($KD$3:$KM$3,KD$60,$KD$4:$KM$4)))</f>
        <v>0</v>
      </c>
      <c r="KE101" s="199" t="n">
        <f aca="false">IF((SUMIF($KD$3:$KM$3,KE$60,$KD$4:$KM$4))=0,0,((SUMIF($KD$3:$KM$3,KE$60,$KD150:$KM150))/SUMIF($KD$3:$KM$3,KE$60,$KD$4:$KM$4)))</f>
        <v>0</v>
      </c>
      <c r="KF101" s="199" t="n">
        <f aca="false">IF((SUMIF($KD$3:$KM$3,KF$60,$KD$4:$KM$4))=0,0,((SUMIF($KD$3:$KM$3,KF$60,$KD150:$KM150))/SUMIF($KD$3:$KM$3,KF$60,$KD$4:$KM$4)))</f>
        <v>0</v>
      </c>
      <c r="KG101" s="199" t="n">
        <f aca="false">IF((SUMIF($KD$3:$KM$3,KG$60,$KD$4:$KM$4))=0,0,((SUMIF($KD$3:$KM$3,KG$60,$KD150:$KM150))/SUMIF($KD$3:$KM$3,KG$60,$KD$4:$KM$4)))</f>
        <v>0</v>
      </c>
      <c r="KH101" s="199" t="n">
        <f aca="false">IF((SUMIF($KD$3:$KM$3,KH$60,$KD$4:$KM$4))=0,0,((SUMIF($KD$3:$KM$3,KH$60,$KD150:$KM150))/SUMIF($KD$3:$KM$3,KH$60,$KD$4:$KM$4)))</f>
        <v>0</v>
      </c>
      <c r="KI101" s="199" t="n">
        <f aca="false">IF((SUMIF($KD$3:$KM$3,KI$60,$KD$4:$KM$4))=0,0,((SUMIF($KD$3:$KM$3,KI$60,$KD150:$KM150))/SUMIF($KD$3:$KM$3,KI$60,$KD$4:$KM$4)))</f>
        <v>0</v>
      </c>
      <c r="KJ101" s="199" t="n">
        <f aca="false">IF((SUMIF($KD$3:$KM$3,KJ$60,$KD$4:$KM$4))=0,0,((SUMIF($KD$3:$KM$3,KJ$60,$KD150:$KM150))/SUMIF($KD$3:$KM$3,KJ$60,$KD$4:$KM$4)))</f>
        <v>0</v>
      </c>
      <c r="KK101" s="199" t="n">
        <f aca="false">IF((SUMIF($KD$3:$KM$3,KK$60,$KD$4:$KM$4))=0,0,((SUMIF($KD$3:$KM$3,KK$60,$KD150:$KM150))/SUMIF($KD$3:$KM$3,KK$60,$KD$4:$KM$4)))</f>
        <v>0</v>
      </c>
      <c r="KL101" s="199" t="n">
        <f aca="false">IF((SUMIF($KD$3:$KM$3,KL$60,$KD$4:$KM$4))=0,0,((SUMIF($KD$3:$KM$3,KL$60,$KD150:$KM150))/SUMIF($KD$3:$KM$3,KL$60,$KD$4:$KM$4)))</f>
        <v>0</v>
      </c>
      <c r="KM101" s="200" t="n">
        <f aca="false">IF((SUMIF($KD$3:$KM$3,KM$60,$KD$4:$KM$4))=0,0,((SUMIF($KD$3:$KM$3,KM$60,$KD150:$KM150))/SUMIF($KD$3:$KM$3,KM$60,$KD$4:$KM$4)))</f>
        <v>0</v>
      </c>
      <c r="KN101" s="194" t="str">
        <f aca="false">KC101</f>
        <v>Alumno40</v>
      </c>
      <c r="KO101" s="198" t="n">
        <f aca="false">IF((SUMIF($KO$3:$KX$3,KO$60,$KO$4:$KX$4))=0,0,((SUMIF($KO$3:$KX$3,KO$60,$KO150:$KX150))/SUMIF($KO$3:$KX$3,KO$60,$KO$4:$KX$4)))</f>
        <v>0</v>
      </c>
      <c r="KP101" s="199" t="n">
        <f aca="false">IF((SUMIF($KO$3:$KX$3,KP$60,$KO$4:$KX$4))=0,0,((SUMIF($KO$3:$KX$3,KP$60,$KO150:$KX150))/SUMIF($KO$3:$KX$3,KP$60,$KO$4:$KX$4)))</f>
        <v>0</v>
      </c>
      <c r="KQ101" s="199" t="n">
        <f aca="false">IF((SUMIF($KO$3:$KX$3,KQ$60,$KO$4:$KX$4))=0,0,((SUMIF($KO$3:$KX$3,KQ$60,$KO150:$KX150))/SUMIF($KO$3:$KX$3,KQ$60,$KO$4:$KX$4)))</f>
        <v>0</v>
      </c>
      <c r="KR101" s="199" t="n">
        <f aca="false">IF((SUMIF($KO$3:$KX$3,KR$60,$KO$4:$KX$4))=0,0,((SUMIF($KO$3:$KX$3,KR$60,$KO150:$KX150))/SUMIF($KO$3:$KX$3,KR$60,$KO$4:$KX$4)))</f>
        <v>0</v>
      </c>
      <c r="KS101" s="199" t="n">
        <f aca="false">IF((SUMIF($KO$3:$KX$3,KS$60,$KO$4:$KX$4))=0,0,((SUMIF($KO$3:$KX$3,KS$60,$KO150:$KX150))/SUMIF($KO$3:$KX$3,KS$60,$KO$4:$KX$4)))</f>
        <v>0</v>
      </c>
      <c r="KT101" s="199" t="n">
        <f aca="false">IF((SUMIF($KO$3:$KX$3,KT$60,$KO$4:$KX$4))=0,0,((SUMIF($KO$3:$KX$3,KT$60,$KO150:$KX150))/SUMIF($KO$3:$KX$3,KT$60,$KO$4:$KX$4)))</f>
        <v>0</v>
      </c>
      <c r="KU101" s="199" t="n">
        <f aca="false">IF((SUMIF($KO$3:$KX$3,KU$60,$KO$4:$KX$4))=0,0,((SUMIF($KO$3:$KX$3,KU$60,$KO150:$KX150))/SUMIF($KO$3:$KX$3,KU$60,$KO$4:$KX$4)))</f>
        <v>0</v>
      </c>
      <c r="KV101" s="199" t="n">
        <f aca="false">IF((SUMIF($KO$3:$KX$3,KV$60,$KO$4:$KX$4))=0,0,((SUMIF($KO$3:$KX$3,KV$60,$KO150:$KX150))/SUMIF($KO$3:$KX$3,KV$60,$KO$4:$KX$4)))</f>
        <v>0</v>
      </c>
      <c r="KW101" s="199" t="n">
        <f aca="false">IF((SUMIF($KO$3:$KX$3,KW$60,$KO$4:$KX$4))=0,0,((SUMIF($KO$3:$KX$3,KW$60,$KO150:$KX150))/SUMIF($KO$3:$KX$3,KW$60,$KO$4:$KX$4)))</f>
        <v>0</v>
      </c>
      <c r="KX101" s="200" t="n">
        <f aca="false">IF((SUMIF($KO$3:$KX$3,KX$60,$KO$4:$KX$4))=0,0,((SUMIF($KO$3:$KX$3,KX$60,$KO150:$KX150))/SUMIF($KO$3:$KX$3,KX$60,$KO$4:$KX$4)))</f>
        <v>0</v>
      </c>
      <c r="KY101" s="194" t="str">
        <f aca="false">KN101</f>
        <v>Alumno40</v>
      </c>
      <c r="KZ101" s="198" t="n">
        <f aca="false">IF((SUMIF($KZ$3:$LI$3,KZ$60,$KZ$4:$LI$4))=0,0,((SUMIF($KZ$3:$LI$3,KZ$60,$KZ150:$LI150))/SUMIF($KZ$3:$LI$3,KZ$60,$KZ$4:$LI$4)))</f>
        <v>0</v>
      </c>
      <c r="LA101" s="199" t="n">
        <f aca="false">IF((SUMIF($KZ$3:$LI$3,LA$60,$KZ$4:$LI$4))=0,0,((SUMIF($KZ$3:$LI$3,LA$60,$KZ150:$LI150))/SUMIF($KZ$3:$LI$3,LA$60,$KZ$4:$LI$4)))</f>
        <v>0</v>
      </c>
      <c r="LB101" s="199" t="n">
        <f aca="false">IF((SUMIF($KZ$3:$LI$3,LB$60,$KZ$4:$LI$4))=0,0,((SUMIF($KZ$3:$LI$3,LB$60,$KZ150:$LI150))/SUMIF($KZ$3:$LI$3,LB$60,$KZ$4:$LI$4)))</f>
        <v>0</v>
      </c>
      <c r="LC101" s="199" t="n">
        <f aca="false">IF((SUMIF($KZ$3:$LI$3,LC$60,$KZ$4:$LI$4))=0,0,((SUMIF($KZ$3:$LI$3,LC$60,$KZ150:$LI150))/SUMIF($KZ$3:$LI$3,LC$60,$KZ$4:$LI$4)))</f>
        <v>0</v>
      </c>
      <c r="LD101" s="199" t="n">
        <f aca="false">IF((SUMIF($KZ$3:$LI$3,LD$60,$KZ$4:$LI$4))=0,0,((SUMIF($KZ$3:$LI$3,LD$60,$KZ150:$LI150))/SUMIF($KZ$3:$LI$3,LD$60,$KZ$4:$LI$4)))</f>
        <v>0</v>
      </c>
      <c r="LE101" s="199" t="n">
        <f aca="false">IF((SUMIF($KZ$3:$LI$3,LE$60,$KZ$4:$LI$4))=0,0,((SUMIF($KZ$3:$LI$3,LE$60,$KZ150:$LI150))/SUMIF($KZ$3:$LI$3,LE$60,$KZ$4:$LI$4)))</f>
        <v>0</v>
      </c>
      <c r="LF101" s="199" t="n">
        <f aca="false">IF((SUMIF($KZ$3:$LI$3,LF$60,$KZ$4:$LI$4))=0,0,((SUMIF($KZ$3:$LI$3,LF$60,$KZ150:$LI150))/SUMIF($KZ$3:$LI$3,LF$60,$KZ$4:$LI$4)))</f>
        <v>0</v>
      </c>
      <c r="LG101" s="199" t="n">
        <f aca="false">IF((SUMIF($KZ$3:$LI$3,LG$60,$KZ$4:$LI$4))=0,0,((SUMIF($KZ$3:$LI$3,LG$60,$KZ150:$LI150))/SUMIF($KZ$3:$LI$3,LG$60,$KZ$4:$LI$4)))</f>
        <v>0</v>
      </c>
      <c r="LH101" s="199" t="n">
        <f aca="false">IF((SUMIF($KZ$3:$LI$3,LH$60,$KZ$4:$LI$4))=0,0,((SUMIF($KZ$3:$LI$3,LH$60,$KZ150:$LI150))/SUMIF($KZ$3:$LI$3,LH$60,$KZ$4:$LI$4)))</f>
        <v>0</v>
      </c>
      <c r="LI101" s="200" t="n">
        <f aca="false">IF((SUMIF($KZ$3:$LI$3,LI$60,$KZ$4:$LI$4))=0,0,((SUMIF($KZ$3:$LI$3,LI$60,$KZ150:$LI150))/SUMIF($KZ$3:$LI$3,LI$60,$KZ$4:$LI$4)))</f>
        <v>0</v>
      </c>
      <c r="LJ101" s="194" t="str">
        <f aca="false">KY101</f>
        <v>Alumno40</v>
      </c>
      <c r="LK101" s="198" t="n">
        <f aca="false">IF((SUMIF($LK$3:$LT$3,LK$60,$LK$4:$LT$4))=0,0,((SUMIF($LK$3:$LT$3,LK$60,$LK150:$LT150))/SUMIF($LK$3:$LT$3,LK$60,$LK$4:$LT$4)))</f>
        <v>0</v>
      </c>
      <c r="LL101" s="199" t="n">
        <f aca="false">IF((SUMIF($LK$3:$LT$3,LL$60,$LK$4:$LT$4))=0,0,((SUMIF($LK$3:$LT$3,LL$60,$LK150:$LT150))/SUMIF($LK$3:$LT$3,LL$60,$LK$4:$LT$4)))</f>
        <v>0</v>
      </c>
      <c r="LM101" s="199" t="n">
        <f aca="false">IF((SUMIF($LK$3:$LT$3,LM$60,$LK$4:$LT$4))=0,0,((SUMIF($LK$3:$LT$3,LM$60,$LK150:$LT150))/SUMIF($LK$3:$LT$3,LM$60,$LK$4:$LT$4)))</f>
        <v>0</v>
      </c>
      <c r="LN101" s="199" t="n">
        <f aca="false">IF((SUMIF($LK$3:$LT$3,LN$60,$LK$4:$LT$4))=0,0,((SUMIF($LK$3:$LT$3,LN$60,$LK150:$LT150))/SUMIF($LK$3:$LT$3,LN$60,$LK$4:$LT$4)))</f>
        <v>0</v>
      </c>
      <c r="LO101" s="199" t="n">
        <f aca="false">IF((SUMIF($LK$3:$LT$3,LO$60,$LK$4:$LT$4))=0,0,((SUMIF($LK$3:$LT$3,LO$60,$LK150:$LT150))/SUMIF($LK$3:$LT$3,LO$60,$LK$4:$LT$4)))</f>
        <v>0</v>
      </c>
      <c r="LP101" s="199" t="n">
        <f aca="false">IF((SUMIF($LK$3:$LT$3,LP$60,$LK$4:$LT$4))=0,0,((SUMIF($LK$3:$LT$3,LP$60,$LK150:$LT150))/SUMIF($LK$3:$LT$3,LP$60,$LK$4:$LT$4)))</f>
        <v>0</v>
      </c>
      <c r="LQ101" s="199" t="n">
        <f aca="false">IF((SUMIF($LK$3:$LT$3,LQ$60,$LK$4:$LT$4))=0,0,((SUMIF($LK$3:$LT$3,LQ$60,$LK150:$LT150))/SUMIF($LK$3:$LT$3,LQ$60,$LK$4:$LT$4)))</f>
        <v>0</v>
      </c>
      <c r="LR101" s="199" t="n">
        <f aca="false">IF((SUMIF($LK$3:$LT$3,LR$60,$LK$4:$LT$4))=0,0,((SUMIF($LK$3:$LT$3,LR$60,$LK150:$LT150))/SUMIF($LK$3:$LT$3,LR$60,$LK$4:$LT$4)))</f>
        <v>0</v>
      </c>
      <c r="LS101" s="199" t="n">
        <f aca="false">IF((SUMIF($LK$3:$LT$3,LS$60,$LK$4:$LT$4))=0,0,((SUMIF($LK$3:$LT$3,LS$60,$LK150:$LT150))/SUMIF($LK$3:$LT$3,LS$60,$LK$4:$LT$4)))</f>
        <v>0</v>
      </c>
      <c r="LT101" s="200" t="n">
        <f aca="false">IF((SUMIF($LK$3:$LT$3,LT$60,$LK$4:$LT$4))=0,0,((SUMIF($LK$3:$LT$3,LT$60,$LK150:$LT150))/SUMIF($LK$3:$LT$3,LT$60,$LK$4:$LT$4)))</f>
        <v>0</v>
      </c>
    </row>
    <row r="102" customFormat="false" ht="15" hidden="true" customHeight="false" outlineLevel="0" collapsed="false">
      <c r="C102" s="194" t="str">
        <f aca="false">B46</f>
        <v>Alumno41</v>
      </c>
      <c r="D102" s="198" t="n">
        <f aca="false">IF((SUMIF($D$3:$M$3,D$60,$D$4:$M$4))=0,0,((SUMIF($D$3:$M$3,D$60,$D151:$M151))/SUMIF($D$3:$M$3,D$60,$D$4:$M$4)))</f>
        <v>0</v>
      </c>
      <c r="E102" s="199" t="n">
        <f aca="false">IF((SUMIF($D$3:$M$3,E$60,$D$4:$M$4))=0,0,((SUMIF($D$3:$M$3,E$60,$D151:$M151))/SUMIF($D$3:$M$3,E$60,$D$4:$M$4)))</f>
        <v>0</v>
      </c>
      <c r="F102" s="199" t="n">
        <f aca="false">IF((SUMIF($D$3:$M$3,F$60,$D$4:$M$4))=0,0,((SUMIF($D$3:$M$3,F$60,$D151:$M151))/SUMIF($D$3:$M$3,F$60,$D$4:$M$4)))</f>
        <v>0</v>
      </c>
      <c r="G102" s="199" t="n">
        <f aca="false">IF((SUMIF($D$3:$M$3,G$60,$D$4:$M$4))=0,0,((SUMIF($D$3:$M$3,G$60,$D151:$M151))/SUMIF($D$3:$M$3,G$60,$D$4:$M$4)))</f>
        <v>0</v>
      </c>
      <c r="H102" s="199" t="n">
        <f aca="false">IF((SUMIF($D$3:$M$3,H$60,$D$4:$M$4))=0,0,((SUMIF($D$3:$M$3,H$60,$D151:$M151))/SUMIF($D$3:$M$3,H$60,$D$4:$M$4)))</f>
        <v>0</v>
      </c>
      <c r="I102" s="199" t="n">
        <f aca="false">IF((SUMIF($D$3:$M$3,I$60,$D$4:$M$4))=0,0,((SUMIF($D$3:$M$3,I$60,$D151:$M151))/SUMIF($D$3:$M$3,I$60,$D$4:$M$4)))</f>
        <v>0</v>
      </c>
      <c r="J102" s="199" t="n">
        <f aca="false">IF((SUMIF($D$3:$M$3,J$60,$D$4:$M$4))=0,0,((SUMIF($D$3:$M$3,J$60,$D151:$M151))/SUMIF($D$3:$M$3,J$60,$D$4:$M$4)))</f>
        <v>0</v>
      </c>
      <c r="K102" s="199" t="n">
        <f aca="false">IF((SUMIF($D$3:$M$3,K$60,$D$4:$M$4))=0,0,((SUMIF($D$3:$M$3,K$60,$D151:$M151))/SUMIF($D$3:$M$3,K$60,$D$4:$M$4)))</f>
        <v>0</v>
      </c>
      <c r="L102" s="199" t="n">
        <f aca="false">IF((SUMIF($D$3:$M$3,L$60,$D$4:$M$4))=0,0,((SUMIF($D$3:$M$3,L$60,$D151:$M151))/SUMIF($D$3:$M$3,L$60,$D$4:$M$4)))</f>
        <v>0</v>
      </c>
      <c r="M102" s="200" t="n">
        <f aca="false">IF((SUMIF($D$3:$M$3,M$60,$D$4:$M$4))=0,0,((SUMIF($D$3:$M$3,M$60,$D151:$M151))/SUMIF($D$3:$M$3,M$60,$D$4:$M$4)))</f>
        <v>0</v>
      </c>
      <c r="N102" s="194" t="str">
        <f aca="false">C102</f>
        <v>Alumno41</v>
      </c>
      <c r="O102" s="198" t="n">
        <f aca="false">IF((SUMIF($O$3:$X$3,O$60,$O$4:$X$4))=0,0,((SUMIF($O$3:$X$3,O$60,$O151:$X151))/SUMIF($O$3:$X$3,O$60,$O$4:$X$4)))</f>
        <v>0</v>
      </c>
      <c r="P102" s="199" t="n">
        <f aca="false">IF((SUMIF($O$3:$X$3,P$60,$O$4:$X$4))=0,0,((SUMIF($O$3:$X$3,P$60,$O151:$X151))/SUMIF($O$3:$X$3,P$60,$O$4:$X$4)))</f>
        <v>0</v>
      </c>
      <c r="Q102" s="199" t="n">
        <f aca="false">IF((SUMIF($O$3:$X$3,Q$60,$O$4:$X$4))=0,0,((SUMIF($O$3:$X$3,Q$60,$O151:$X151))/SUMIF($O$3:$X$3,Q$60,$O$4:$X$4)))</f>
        <v>0</v>
      </c>
      <c r="R102" s="199" t="n">
        <f aca="false">IF((SUMIF($O$3:$X$3,R$60,$O$4:$X$4))=0,0,((SUMIF($O$3:$X$3,R$60,$O151:$X151))/SUMIF($O$3:$X$3,R$60,$O$4:$X$4)))</f>
        <v>0</v>
      </c>
      <c r="S102" s="199" t="n">
        <f aca="false">IF((SUMIF($O$3:$X$3,S$60,$O$4:$X$4))=0,0,((SUMIF($O$3:$X$3,S$60,$O151:$X151))/SUMIF($O$3:$X$3,S$60,$O$4:$X$4)))</f>
        <v>0</v>
      </c>
      <c r="T102" s="199" t="n">
        <f aca="false">IF((SUMIF($O$3:$X$3,T$60,$O$4:$X$4))=0,0,((SUMIF($O$3:$X$3,T$60,$O151:$X151))/SUMIF($O$3:$X$3,T$60,$O$4:$X$4)))</f>
        <v>0</v>
      </c>
      <c r="U102" s="199" t="n">
        <f aca="false">IF((SUMIF($O$3:$X$3,U$60,$O$4:$X$4))=0,0,((SUMIF($O$3:$X$3,U$60,$O151:$X151))/SUMIF($O$3:$X$3,U$60,$O$4:$X$4)))</f>
        <v>0</v>
      </c>
      <c r="V102" s="199" t="n">
        <f aca="false">IF((SUMIF($O$3:$X$3,V$60,$O$4:$X$4))=0,0,((SUMIF($O$3:$X$3,V$60,$O151:$X151))/SUMIF($O$3:$X$3,V$60,$O$4:$X$4)))</f>
        <v>0</v>
      </c>
      <c r="W102" s="199" t="n">
        <f aca="false">IF((SUMIF($O$3:$X$3,W$60,$O$4:$X$4))=0,0,((SUMIF($O$3:$X$3,W$60,$O151:$X151))/SUMIF($O$3:$X$3,W$60,$O$4:$X$4)))</f>
        <v>0</v>
      </c>
      <c r="X102" s="200" t="n">
        <f aca="false">IF((SUMIF($O$3:$X$3,X$60,$O$4:$X$4))=0,0,((SUMIF($O$3:$X$3,X$60,$O151:$X151))/SUMIF($O$3:$X$3,X$60,$O$4:$X$4)))</f>
        <v>0</v>
      </c>
      <c r="Y102" s="194" t="str">
        <f aca="false">N102</f>
        <v>Alumno41</v>
      </c>
      <c r="Z102" s="198" t="n">
        <f aca="false">IF((SUMIF($Z$3:$AI$3,Z$60,$Z$4:$AI$4))=0,0,((SUMIF($Z$3:$AI$3,Z$60,$Z151:$AI151))/SUMIF($Z$3:$AI$3,Z$60,$Z$4:$AI$4)))</f>
        <v>0</v>
      </c>
      <c r="AA102" s="199" t="n">
        <f aca="false">IF((SUMIF($Z$3:$AI$3,AA$60,$Z$4:$AI$4))=0,0,((SUMIF($Z$3:$AI$3,AA$60,$Z151:$AI151))/SUMIF($Z$3:$AI$3,AA$60,$Z$4:$AI$4)))</f>
        <v>0</v>
      </c>
      <c r="AB102" s="199" t="n">
        <f aca="false">IF((SUMIF($Z$3:$AI$3,AB$60,$Z$4:$AI$4))=0,0,((SUMIF($Z$3:$AI$3,AB$60,$Z151:$AI151))/SUMIF($Z$3:$AI$3,AB$60,$Z$4:$AI$4)))</f>
        <v>0</v>
      </c>
      <c r="AC102" s="199" t="n">
        <f aca="false">IF((SUMIF($Z$3:$AI$3,AC$60,$Z$4:$AI$4))=0,0,((SUMIF($Z$3:$AI$3,AC$60,$Z151:$AI151))/SUMIF($Z$3:$AI$3,AC$60,$Z$4:$AI$4)))</f>
        <v>0</v>
      </c>
      <c r="AD102" s="199" t="n">
        <f aca="false">IF((SUMIF($Z$3:$AI$3,AD$60,$Z$4:$AI$4))=0,0,((SUMIF($Z$3:$AI$3,AD$60,$Z151:$AI151))/SUMIF($Z$3:$AI$3,AD$60,$Z$4:$AI$4)))</f>
        <v>0</v>
      </c>
      <c r="AE102" s="199" t="n">
        <f aca="false">IF((SUMIF($Z$3:$AI$3,AE$60,$Z$4:$AI$4))=0,0,((SUMIF($Z$3:$AI$3,AE$60,$Z151:$AI151))/SUMIF($Z$3:$AI$3,AE$60,$Z$4:$AI$4)))</f>
        <v>0</v>
      </c>
      <c r="AF102" s="199" t="n">
        <f aca="false">IF((SUMIF($Z$3:$AI$3,AF$60,$Z$4:$AI$4))=0,0,((SUMIF($Z$3:$AI$3,AF$60,$Z151:$AI151))/SUMIF($Z$3:$AI$3,AF$60,$Z$4:$AI$4)))</f>
        <v>0</v>
      </c>
      <c r="AG102" s="199" t="n">
        <f aca="false">IF((SUMIF($Z$3:$AI$3,AG$60,$Z$4:$AI$4))=0,0,((SUMIF($Z$3:$AI$3,AG$60,$Z151:$AI151))/SUMIF($Z$3:$AI$3,AG$60,$Z$4:$AI$4)))</f>
        <v>0</v>
      </c>
      <c r="AH102" s="199" t="n">
        <f aca="false">IF((SUMIF($Z$3:$AI$3,AH$60,$Z$4:$AI$4))=0,0,((SUMIF($Z$3:$AI$3,AH$60,$Z151:$AI151))/SUMIF($Z$3:$AI$3,AH$60,$Z$4:$AI$4)))</f>
        <v>0</v>
      </c>
      <c r="AI102" s="200" t="n">
        <f aca="false">IF((SUMIF($Z$3:$AI$3,AI$60,$Z$4:$AI$4))=0,0,((SUMIF($Z$3:$AI$3,AI$60,$Z151:$AI151))/SUMIF($Z$3:$AI$3,AI$60,$Z$4:$AI$4)))</f>
        <v>0</v>
      </c>
      <c r="AJ102" s="194" t="str">
        <f aca="false">Y102</f>
        <v>Alumno41</v>
      </c>
      <c r="AK102" s="198" t="n">
        <f aca="false">IF((SUMIF($AK$3:$AT$3,AK$60,$AK$4:$AT$4))=0,0,((SUMIF($AK$3:$AT$3,AK$60,$AK151:$AT151))/SUMIF($AK$3:$AT$3,AK$60,$AK$4:$AT$4)))</f>
        <v>0</v>
      </c>
      <c r="AL102" s="199" t="n">
        <f aca="false">IF((SUMIF($AK$3:$AT$3,AL$60,$AK$4:$AT$4))=0,0,((SUMIF($AK$3:$AT$3,AL$60,$AK151:$AT151))/SUMIF($AK$3:$AT$3,AL$60,$AK$4:$AT$4)))</f>
        <v>0</v>
      </c>
      <c r="AM102" s="199" t="n">
        <f aca="false">IF((SUMIF($AK$3:$AT$3,AM$60,$AK$4:$AT$4))=0,0,((SUMIF($AK$3:$AT$3,AM$60,$AK151:$AT151))/SUMIF($AK$3:$AT$3,AM$60,$AK$4:$AT$4)))</f>
        <v>0</v>
      </c>
      <c r="AN102" s="199" t="n">
        <f aca="false">IF((SUMIF($AK$3:$AT$3,AN$60,$AK$4:$AT$4))=0,0,((SUMIF($AK$3:$AT$3,AN$60,$AK151:$AT151))/SUMIF($AK$3:$AT$3,AN$60,$AK$4:$AT$4)))</f>
        <v>0</v>
      </c>
      <c r="AO102" s="199" t="n">
        <f aca="false">IF((SUMIF($AK$3:$AT$3,AO$60,$AK$4:$AT$4))=0,0,((SUMIF($AK$3:$AT$3,AO$60,$AK151:$AT151))/SUMIF($AK$3:$AT$3,AO$60,$AK$4:$AT$4)))</f>
        <v>0</v>
      </c>
      <c r="AP102" s="199" t="n">
        <f aca="false">IF((SUMIF($AK$3:$AT$3,AP$60,$AK$4:$AT$4))=0,0,((SUMIF($AK$3:$AT$3,AP$60,$AK151:$AT151))/SUMIF($AK$3:$AT$3,AP$60,$AK$4:$AT$4)))</f>
        <v>0</v>
      </c>
      <c r="AQ102" s="199" t="n">
        <f aca="false">IF((SUMIF($AK$3:$AT$3,AQ$60,$AK$4:$AT$4))=0,0,((SUMIF($AK$3:$AT$3,AQ$60,$AK151:$AT151))/SUMIF($AK$3:$AT$3,AQ$60,$AK$4:$AT$4)))</f>
        <v>0</v>
      </c>
      <c r="AR102" s="199" t="n">
        <f aca="false">IF((SUMIF($AK$3:$AT$3,AR$60,$AK$4:$AT$4))=0,0,((SUMIF($AK$3:$AT$3,AR$60,$AK151:$AT151))/SUMIF($AK$3:$AT$3,AR$60,$AK$4:$AT$4)))</f>
        <v>0</v>
      </c>
      <c r="AS102" s="199" t="n">
        <f aca="false">IF((SUMIF($AK$3:$AT$3,AS$60,$AK$4:$AT$4))=0,0,((SUMIF($AK$3:$AT$3,AS$60,$AK151:$AT151))/SUMIF($AK$3:$AT$3,AS$60,$AK$4:$AT$4)))</f>
        <v>0</v>
      </c>
      <c r="AT102" s="200" t="n">
        <f aca="false">IF((SUMIF($AK$3:$AT$3,AT$60,$AK$4:$AT$4))=0,0,((SUMIF($AK$3:$AT$3,AT$60,$AK151:$AT151))/SUMIF($AK$3:$AT$3,AT$60,$AK$4:$AT$4)))</f>
        <v>0</v>
      </c>
      <c r="AU102" s="194" t="str">
        <f aca="false">AJ102</f>
        <v>Alumno41</v>
      </c>
      <c r="AV102" s="198" t="n">
        <f aca="false">IF((SUMIF($AV$3:$BE$3,AV$60,$AV$4:$BE$4))=0,0,((SUMIF($AV$3:$BE$3,AV$60,$AV151:$BE151))/SUMIF($AV$3:$BE$3,AV$60,$AV$4:$BE$4)))</f>
        <v>0</v>
      </c>
      <c r="AW102" s="199" t="n">
        <f aca="false">IF((SUMIF($AV$3:$BE$3,AW$60,$AV$4:$BE$4))=0,0,((SUMIF($AV$3:$BE$3,AW$60,$AV151:$BE151))/SUMIF($AV$3:$BE$3,AW$60,$AV$4:$BE$4)))</f>
        <v>0</v>
      </c>
      <c r="AX102" s="199" t="n">
        <f aca="false">IF((SUMIF($AV$3:$BE$3,AX$60,$AV$4:$BE$4))=0,0,((SUMIF($AV$3:$BE$3,AX$60,$AV151:$BE151))/SUMIF($AV$3:$BE$3,AX$60,$AV$4:$BE$4)))</f>
        <v>0</v>
      </c>
      <c r="AY102" s="199" t="n">
        <f aca="false">IF((SUMIF($AV$3:$BE$3,AY$60,$AV$4:$BE$4))=0,0,((SUMIF($AV$3:$BE$3,AY$60,$AV151:$BE151))/SUMIF($AV$3:$BE$3,AY$60,$AV$4:$BE$4)))</f>
        <v>0</v>
      </c>
      <c r="AZ102" s="199" t="n">
        <f aca="false">IF((SUMIF($AV$3:$BE$3,AZ$60,$AV$4:$BE$4))=0,0,((SUMIF($AV$3:$BE$3,AZ$60,$AV151:$BE151))/SUMIF($AV$3:$BE$3,AZ$60,$AV$4:$BE$4)))</f>
        <v>0</v>
      </c>
      <c r="BA102" s="199" t="n">
        <f aca="false">IF((SUMIF($AV$3:$BE$3,BA$60,$AV$4:$BE$4))=0,0,((SUMIF($AV$3:$BE$3,BA$60,$AV151:$BE151))/SUMIF($AV$3:$BE$3,BA$60,$AV$4:$BE$4)))</f>
        <v>0</v>
      </c>
      <c r="BB102" s="199" t="n">
        <f aca="false">IF((SUMIF($AV$3:$BE$3,BB$60,$AV$4:$BE$4))=0,0,((SUMIF($AV$3:$BE$3,BB$60,$AV151:$BE151))/SUMIF($AV$3:$BE$3,BB$60,$AV$4:$BE$4)))</f>
        <v>0</v>
      </c>
      <c r="BC102" s="199" t="n">
        <f aca="false">IF((SUMIF($AV$3:$BE$3,BC$60,$AV$4:$BE$4))=0,0,((SUMIF($AV$3:$BE$3,BC$60,$AV151:$BE151))/SUMIF($AV$3:$BE$3,BC$60,$AV$4:$BE$4)))</f>
        <v>0</v>
      </c>
      <c r="BD102" s="199" t="n">
        <f aca="false">IF((SUMIF($AV$3:$BE$3,BD$60,$AV$4:$BE$4))=0,0,((SUMIF($AV$3:$BE$3,BD$60,$AV151:$BE151))/SUMIF($AV$3:$BE$3,BD$60,$AV$4:$BE$4)))</f>
        <v>0</v>
      </c>
      <c r="BE102" s="200" t="n">
        <f aca="false">IF((SUMIF($AV$3:$BE$3,BE$60,$AV$4:$BE$4))=0,0,((SUMIF($AV$3:$BE$3,BE$60,$AV151:$BE151))/SUMIF($AV$3:$BE$3,BE$60,$AV$4:$BE$4)))</f>
        <v>0</v>
      </c>
      <c r="BF102" s="194" t="str">
        <f aca="false">AU102</f>
        <v>Alumno41</v>
      </c>
      <c r="BG102" s="198" t="n">
        <f aca="false">IF((SUMIF($BG$3:$BP$3,BG$60,$BG$4:$BP$4))=0,0,((SUMIF($BG$3:$BP$3,BG$60,$BG151:$BP151))/SUMIF($BG$3:$BP$3,BG$60,$BG$4:$BP$4)))</f>
        <v>0</v>
      </c>
      <c r="BH102" s="199" t="n">
        <f aca="false">IF((SUMIF($BG$3:$BP$3,BH$60,$BG$4:$BP$4))=0,0,((SUMIF($BG$3:$BP$3,BH$60,$BG151:$BP151))/SUMIF($BG$3:$BP$3,BH$60,$BG$4:$BP$4)))</f>
        <v>0</v>
      </c>
      <c r="BI102" s="199" t="n">
        <f aca="false">IF((SUMIF($BG$3:$BP$3,BI$60,$BG$4:$BP$4))=0,0,((SUMIF($BG$3:$BP$3,BI$60,$BG151:$BP151))/SUMIF($BG$3:$BP$3,BI$60,$BG$4:$BP$4)))</f>
        <v>0</v>
      </c>
      <c r="BJ102" s="199" t="n">
        <f aca="false">IF((SUMIF($BG$3:$BP$3,BJ$60,$BG$4:$BP$4))=0,0,((SUMIF($BG$3:$BP$3,BJ$60,$BG151:$BP151))/SUMIF($BG$3:$BP$3,BJ$60,$BG$4:$BP$4)))</f>
        <v>0</v>
      </c>
      <c r="BK102" s="199" t="n">
        <f aca="false">IF((SUMIF($BG$3:$BP$3,BK$60,$BG$4:$BP$4))=0,0,((SUMIF($BG$3:$BP$3,BK$60,$BG151:$BP151))/SUMIF($BG$3:$BP$3,BK$60,$BG$4:$BP$4)))</f>
        <v>0</v>
      </c>
      <c r="BL102" s="199" t="n">
        <f aca="false">IF((SUMIF($BG$3:$BP$3,BL$60,$BG$4:$BP$4))=0,0,((SUMIF($BG$3:$BP$3,BL$60,$BG151:$BP151))/SUMIF($BG$3:$BP$3,BL$60,$BG$4:$BP$4)))</f>
        <v>0</v>
      </c>
      <c r="BM102" s="199" t="n">
        <f aca="false">IF((SUMIF($BG$3:$BP$3,BM$60,$BG$4:$BP$4))=0,0,((SUMIF($BG$3:$BP$3,BM$60,$BG151:$BP151))/SUMIF($BG$3:$BP$3,BM$60,$BG$4:$BP$4)))</f>
        <v>0</v>
      </c>
      <c r="BN102" s="199" t="n">
        <f aca="false">IF((SUMIF($BG$3:$BP$3,BN$60,$BG$4:$BP$4))=0,0,((SUMIF($BG$3:$BP$3,BN$60,$BG151:$BP151))/SUMIF($BG$3:$BP$3,BN$60,$BG$4:$BP$4)))</f>
        <v>0</v>
      </c>
      <c r="BO102" s="199" t="n">
        <f aca="false">IF((SUMIF($BG$3:$BP$3,BO$60,$BG$4:$BP$4))=0,0,((SUMIF($BG$3:$BP$3,BO$60,$BG151:$BP151))/SUMIF($BG$3:$BP$3,BO$60,$BG$4:$BP$4)))</f>
        <v>0</v>
      </c>
      <c r="BP102" s="200" t="n">
        <f aca="false">IF((SUMIF($BG$3:$BP$3,BP$60,$BG$4:$BP$4))=0,0,((SUMIF($BG$3:$BP$3,BP$60,$BG151:$BP151))/SUMIF($BG$3:$BP$3,BP$60,$BG$4:$BP$4)))</f>
        <v>0</v>
      </c>
      <c r="BQ102" s="194" t="str">
        <f aca="false">BF102</f>
        <v>Alumno41</v>
      </c>
      <c r="BR102" s="198" t="n">
        <f aca="false">IF((SUMIF($BR$3:$CA$3,BR$60,$BR$4:$CA$4))=0,0,((SUMIF($BR$3:$CA$3,BR$60,$BR151:$CA151))/SUMIF($BR$3:$CA$3,BR$60,$BR$4:$CA$4)))</f>
        <v>0</v>
      </c>
      <c r="BS102" s="199" t="n">
        <f aca="false">IF((SUMIF($BR$3:$CA$3,BS$60,$BR$4:$CA$4))=0,0,((SUMIF($BR$3:$CA$3,BS$60,$BR151:$CA151))/SUMIF($BR$3:$CA$3,BS$60,$BR$4:$CA$4)))</f>
        <v>0</v>
      </c>
      <c r="BT102" s="199" t="n">
        <f aca="false">IF((SUMIF($BR$3:$CA$3,BT$60,$BR$4:$CA$4))=0,0,((SUMIF($BR$3:$CA$3,BT$60,$BR151:$CA151))/SUMIF($BR$3:$CA$3,BT$60,$BR$4:$CA$4)))</f>
        <v>0</v>
      </c>
      <c r="BU102" s="199" t="n">
        <f aca="false">IF((SUMIF($BR$3:$CA$3,BU$60,$BR$4:$CA$4))=0,0,((SUMIF($BR$3:$CA$3,BU$60,$BR151:$CA151))/SUMIF($BR$3:$CA$3,BU$60,$BR$4:$CA$4)))</f>
        <v>0</v>
      </c>
      <c r="BV102" s="199" t="n">
        <f aca="false">IF((SUMIF($BR$3:$CA$3,BV$60,$BR$4:$CA$4))=0,0,((SUMIF($BR$3:$CA$3,BV$60,$BR151:$CA151))/SUMIF($BR$3:$CA$3,BV$60,$BR$4:$CA$4)))</f>
        <v>0</v>
      </c>
      <c r="BW102" s="199" t="n">
        <f aca="false">IF((SUMIF($BR$3:$CA$3,BW$60,$BR$4:$CA$4))=0,0,((SUMIF($BR$3:$CA$3,BW$60,$BR151:$CA151))/SUMIF($BR$3:$CA$3,BW$60,$BR$4:$CA$4)))</f>
        <v>0</v>
      </c>
      <c r="BX102" s="199" t="n">
        <f aca="false">IF((SUMIF($BR$3:$CA$3,BX$60,$BR$4:$CA$4))=0,0,((SUMIF($BR$3:$CA$3,BX$60,$BR151:$CA151))/SUMIF($BR$3:$CA$3,BX$60,$BR$4:$CA$4)))</f>
        <v>0</v>
      </c>
      <c r="BY102" s="199" t="n">
        <f aca="false">IF((SUMIF($BR$3:$CA$3,BY$60,$BR$4:$CA$4))=0,0,((SUMIF($BR$3:$CA$3,BY$60,$BR151:$CA151))/SUMIF($BR$3:$CA$3,BY$60,$BR$4:$CA$4)))</f>
        <v>0</v>
      </c>
      <c r="BZ102" s="199" t="n">
        <f aca="false">IF((SUMIF($BR$3:$CA$3,BZ$60,$BR$4:$CA$4))=0,0,((SUMIF($BR$3:$CA$3,BZ$60,$BR151:$CA151))/SUMIF($BR$3:$CA$3,BZ$60,$BR$4:$CA$4)))</f>
        <v>0</v>
      </c>
      <c r="CA102" s="200" t="n">
        <f aca="false">IF((SUMIF($BR$3:$CA$3,CA$60,$BR$4:$CA$4))=0,0,((SUMIF($BR$3:$CA$3,CA$60,$BR151:$CA151))/SUMIF($BR$3:$CA$3,CA$60,$BR$4:$CA$4)))</f>
        <v>0</v>
      </c>
      <c r="CB102" s="194" t="str">
        <f aca="false">BQ102</f>
        <v>Alumno41</v>
      </c>
      <c r="CC102" s="198" t="n">
        <f aca="false">IF((SUMIF($CC$3:$CL$3,CC$60,$CC$4:$CL$4))=0,0,((SUMIF($CC$3:$CL$3,CC$60,$CC151:$CL151))/SUMIF($CC$3:$CL$3,CC$60,$CC$4:$CL$4)))</f>
        <v>0</v>
      </c>
      <c r="CD102" s="199" t="n">
        <f aca="false">IF((SUMIF($CC$3:$CL$3,CD$60,$CC$4:$CL$4))=0,0,((SUMIF($CC$3:$CL$3,CD$60,$CC151:$CL151))/SUMIF($CC$3:$CL$3,CD$60,$CC$4:$CL$4)))</f>
        <v>0</v>
      </c>
      <c r="CE102" s="199" t="n">
        <f aca="false">IF((SUMIF($CC$3:$CL$3,CE$60,$CC$4:$CL$4))=0,0,((SUMIF($CC$3:$CL$3,CE$60,$CC151:$CL151))/SUMIF($CC$3:$CL$3,CE$60,$CC$4:$CL$4)))</f>
        <v>0</v>
      </c>
      <c r="CF102" s="199" t="n">
        <f aca="false">IF((SUMIF($CC$3:$CL$3,CF$60,$CC$4:$CL$4))=0,0,((SUMIF($CC$3:$CL$3,CF$60,$CC151:$CL151))/SUMIF($CC$3:$CL$3,CF$60,$CC$4:$CL$4)))</f>
        <v>0</v>
      </c>
      <c r="CG102" s="199" t="n">
        <f aca="false">IF((SUMIF($CC$3:$CL$3,CG$60,$CC$4:$CL$4))=0,0,((SUMIF($CC$3:$CL$3,CG$60,$CC151:$CL151))/SUMIF($CC$3:$CL$3,CG$60,$CC$4:$CL$4)))</f>
        <v>0</v>
      </c>
      <c r="CH102" s="199" t="n">
        <f aca="false">IF((SUMIF($CC$3:$CL$3,CH$60,$CC$4:$CL$4))=0,0,((SUMIF($CC$3:$CL$3,CH$60,$CC151:$CL151))/SUMIF($CC$3:$CL$3,CH$60,$CC$4:$CL$4)))</f>
        <v>0</v>
      </c>
      <c r="CI102" s="199" t="n">
        <f aca="false">IF((SUMIF($CC$3:$CL$3,CI$60,$CC$4:$CL$4))=0,0,((SUMIF($CC$3:$CL$3,CI$60,$CC151:$CL151))/SUMIF($CC$3:$CL$3,CI$60,$CC$4:$CL$4)))</f>
        <v>0</v>
      </c>
      <c r="CJ102" s="199" t="n">
        <f aca="false">IF((SUMIF($CC$3:$CL$3,CJ$60,$CC$4:$CL$4))=0,0,((SUMIF($CC$3:$CL$3,CJ$60,$CC151:$CL151))/SUMIF($CC$3:$CL$3,CJ$60,$CC$4:$CL$4)))</f>
        <v>0</v>
      </c>
      <c r="CK102" s="199" t="n">
        <f aca="false">IF((SUMIF($CC$3:$CL$3,CK$60,$CC$4:$CL$4))=0,0,((SUMIF($CC$3:$CL$3,CK$60,$CC151:$CL151))/SUMIF($CC$3:$CL$3,CK$60,$CC$4:$CL$4)))</f>
        <v>0</v>
      </c>
      <c r="CL102" s="200" t="n">
        <f aca="false">IF((SUMIF($CC$3:$CL$3,CL$60,$CC$4:$CL$4))=0,0,((SUMIF($CC$3:$CL$3,CL$60,$CC151:$CL151))/SUMIF($CC$3:$CL$3,CL$60,$CC$4:$CL$4)))</f>
        <v>0</v>
      </c>
      <c r="CM102" s="194" t="str">
        <f aca="false">CB102</f>
        <v>Alumno41</v>
      </c>
      <c r="CN102" s="198" t="n">
        <f aca="false">IF((SUMIF($CN$3:$CW$3,CN$60,$CN$4:$CW$4))=0,0,((SUMIF($CN$3:$CW$3,CN$60,$CN151:$CW151))/SUMIF($CN$3:$CW$3,CN$60,$CN$4:$CW$4)))</f>
        <v>0</v>
      </c>
      <c r="CO102" s="199" t="n">
        <f aca="false">IF((SUMIF($CN$3:$CW$3,CO$60,$CN$4:$CW$4))=0,0,((SUMIF($CN$3:$CW$3,CO$60,$CN151:$CW151))/SUMIF($CN$3:$CW$3,CO$60,$CN$4:$CW$4)))</f>
        <v>0</v>
      </c>
      <c r="CP102" s="199" t="n">
        <f aca="false">IF((SUMIF($CN$3:$CW$3,CP$60,$CN$4:$CW$4))=0,0,((SUMIF($CN$3:$CW$3,CP$60,$CN151:$CW151))/SUMIF($CN$3:$CW$3,CP$60,$CN$4:$CW$4)))</f>
        <v>0</v>
      </c>
      <c r="CQ102" s="199" t="n">
        <f aca="false">IF((SUMIF($CN$3:$CW$3,CQ$60,$CN$4:$CW$4))=0,0,((SUMIF($CN$3:$CW$3,CQ$60,$CN151:$CW151))/SUMIF($CN$3:$CW$3,CQ$60,$CN$4:$CW$4)))</f>
        <v>0</v>
      </c>
      <c r="CR102" s="199" t="n">
        <f aca="false">IF((SUMIF($CN$3:$CW$3,CR$60,$CN$4:$CW$4))=0,0,((SUMIF($CN$3:$CW$3,CR$60,$CN151:$CW151))/SUMIF($CN$3:$CW$3,CR$60,$CN$4:$CW$4)))</f>
        <v>0</v>
      </c>
      <c r="CS102" s="199" t="n">
        <f aca="false">IF((SUMIF($CN$3:$CW$3,CS$60,$CN$4:$CW$4))=0,0,((SUMIF($CN$3:$CW$3,CS$60,$CN151:$CW151))/SUMIF($CN$3:$CW$3,CS$60,$CN$4:$CW$4)))</f>
        <v>0</v>
      </c>
      <c r="CT102" s="199" t="n">
        <f aca="false">IF((SUMIF($CN$3:$CW$3,CT$60,$CN$4:$CW$4))=0,0,((SUMIF($CN$3:$CW$3,CT$60,$CN151:$CW151))/SUMIF($CN$3:$CW$3,CT$60,$CN$4:$CW$4)))</f>
        <v>0</v>
      </c>
      <c r="CU102" s="199" t="n">
        <f aca="false">IF((SUMIF($CN$3:$CW$3,CU$60,$CN$4:$CW$4))=0,0,((SUMIF($CN$3:$CW$3,CU$60,$CN151:$CW151))/SUMIF($CN$3:$CW$3,CU$60,$CN$4:$CW$4)))</f>
        <v>0</v>
      </c>
      <c r="CV102" s="199" t="n">
        <f aca="false">IF((SUMIF($CN$3:$CW$3,CV$60,$CN$4:$CW$4))=0,0,((SUMIF($CN$3:$CW$3,CV$60,$CN151:$CW151))/SUMIF($CN$3:$CW$3,CV$60,$CN$4:$CW$4)))</f>
        <v>0</v>
      </c>
      <c r="CW102" s="200" t="n">
        <f aca="false">IF((SUMIF($CN$3:$CW$3,CW$60,$CN$4:$CW$4))=0,0,((SUMIF($CN$3:$CW$3,CW$60,$CN151:$CW151))/SUMIF($CN$3:$CW$3,CW$60,$CN$4:$CW$4)))</f>
        <v>0</v>
      </c>
      <c r="CX102" s="194" t="str">
        <f aca="false">CM102</f>
        <v>Alumno41</v>
      </c>
      <c r="CY102" s="198" t="n">
        <f aca="false">IF((SUMIF($CY$3:$DH$3,CY$60,$CY$4:$DH$4))=0,0,((SUMIF($CY$3:$DH$3,CY$60,$CY151:$DH151))/SUMIF($CY$3:$DH$3,CY$60,$CY$4:$DH$4)))</f>
        <v>0</v>
      </c>
      <c r="CZ102" s="199" t="n">
        <f aca="false">IF((SUMIF($CY$3:$DH$3,CZ$60,$CY$4:$DH$4))=0,0,((SUMIF($CY$3:$DH$3,CZ$60,$CY151:$DH151))/SUMIF($CY$3:$DH$3,CZ$60,$CY$4:$DH$4)))</f>
        <v>0</v>
      </c>
      <c r="DA102" s="199" t="n">
        <f aca="false">IF((SUMIF($CY$3:$DH$3,DA$60,$CY$4:$DH$4))=0,0,((SUMIF($CY$3:$DH$3,DA$60,$CY151:$DH151))/SUMIF($CY$3:$DH$3,DA$60,$CY$4:$DH$4)))</f>
        <v>0</v>
      </c>
      <c r="DB102" s="199" t="n">
        <f aca="false">IF((SUMIF($CY$3:$DH$3,DB$60,$CY$4:$DH$4))=0,0,((SUMIF($CY$3:$DH$3,DB$60,$CY151:$DH151))/SUMIF($CY$3:$DH$3,DB$60,$CY$4:$DH$4)))</f>
        <v>0</v>
      </c>
      <c r="DC102" s="199" t="n">
        <f aca="false">IF((SUMIF($CY$3:$DH$3,DC$60,$CY$4:$DH$4))=0,0,((SUMIF($CY$3:$DH$3,DC$60,$CY151:$DH151))/SUMIF($CY$3:$DH$3,DC$60,$CY$4:$DH$4)))</f>
        <v>0</v>
      </c>
      <c r="DD102" s="199" t="n">
        <f aca="false">IF((SUMIF($CY$3:$DH$3,DD$60,$CY$4:$DH$4))=0,0,((SUMIF($CY$3:$DH$3,DD$60,$CY151:$DH151))/SUMIF($CY$3:$DH$3,DD$60,$CY$4:$DH$4)))</f>
        <v>0</v>
      </c>
      <c r="DE102" s="199" t="n">
        <f aca="false">IF((SUMIF($CY$3:$DH$3,DE$60,$CY$4:$DH$4))=0,0,((SUMIF($CY$3:$DH$3,DE$60,$CY151:$DH151))/SUMIF($CY$3:$DH$3,DE$60,$CY$4:$DH$4)))</f>
        <v>0</v>
      </c>
      <c r="DF102" s="199" t="n">
        <f aca="false">IF((SUMIF($CY$3:$DH$3,DF$60,$CY$4:$DH$4))=0,0,((SUMIF($CY$3:$DH$3,DF$60,$CY151:$DH151))/SUMIF($CY$3:$DH$3,DF$60,$CY$4:$DH$4)))</f>
        <v>0</v>
      </c>
      <c r="DG102" s="199" t="n">
        <f aca="false">IF((SUMIF($CY$3:$DH$3,DG$60,$CY$4:$DH$4))=0,0,((SUMIF($CY$3:$DH$3,DG$60,$CY151:$DH151))/SUMIF($CY$3:$DH$3,DG$60,$CY$4:$DH$4)))</f>
        <v>0</v>
      </c>
      <c r="DH102" s="200" t="n">
        <f aca="false">IF((SUMIF($CY$3:$DH$3,DH$60,$CY$4:$DH$4))=0,0,((SUMIF($CY$3:$DH$3,DH$60,$CY151:$DH151))/SUMIF($CY$3:$DH$3,DH$60,$CY$4:$DH$4)))</f>
        <v>0</v>
      </c>
      <c r="DI102" s="194" t="str">
        <f aca="false">CX102</f>
        <v>Alumno41</v>
      </c>
      <c r="DJ102" s="198" t="n">
        <f aca="false">IF((SUMIF($DJ$3:$DS$3,DJ$60,$DJ$4:$DS$4))=0,0,((SUMIF($DJ$3:$DS$3,DJ$60,$DJ151:$DS151))/SUMIF($DJ$3:$DS$3,DJ$60,$DJ$4:$DS$4)))</f>
        <v>0</v>
      </c>
      <c r="DK102" s="199" t="n">
        <f aca="false">IF((SUMIF($DJ$3:$DS$3,DK$60,$DJ$4:$DS$4))=0,0,((SUMIF($DJ$3:$DS$3,DK$60,$DJ151:$DS151))/SUMIF($DJ$3:$DS$3,DK$60,$DJ$4:$DS$4)))</f>
        <v>0</v>
      </c>
      <c r="DL102" s="199" t="n">
        <f aca="false">IF((SUMIF($DJ$3:$DS$3,DL$60,$DJ$4:$DS$4))=0,0,((SUMIF($DJ$3:$DS$3,DL$60,$DJ151:$DS151))/SUMIF($DJ$3:$DS$3,DL$60,$DJ$4:$DS$4)))</f>
        <v>0</v>
      </c>
      <c r="DM102" s="199" t="n">
        <f aca="false">IF((SUMIF($DJ$3:$DS$3,DM$60,$DJ$4:$DS$4))=0,0,((SUMIF($DJ$3:$DS$3,DM$60,$DJ151:$DS151))/SUMIF($DJ$3:$DS$3,DM$60,$DJ$4:$DS$4)))</f>
        <v>0</v>
      </c>
      <c r="DN102" s="199" t="n">
        <f aca="false">IF((SUMIF($DJ$3:$DS$3,DN$60,$DJ$4:$DS$4))=0,0,((SUMIF($DJ$3:$DS$3,DN$60,$DJ151:$DS151))/SUMIF($DJ$3:$DS$3,DN$60,$DJ$4:$DS$4)))</f>
        <v>0</v>
      </c>
      <c r="DO102" s="199" t="n">
        <f aca="false">IF((SUMIF($DJ$3:$DS$3,DO$60,$DJ$4:$DS$4))=0,0,((SUMIF($DJ$3:$DS$3,DO$60,$DJ151:$DS151))/SUMIF($DJ$3:$DS$3,DO$60,$DJ$4:$DS$4)))</f>
        <v>0</v>
      </c>
      <c r="DP102" s="199" t="n">
        <f aca="false">IF((SUMIF($DJ$3:$DS$3,DP$60,$DJ$4:$DS$4))=0,0,((SUMIF($DJ$3:$DS$3,DP$60,$DJ151:$DS151))/SUMIF($DJ$3:$DS$3,DP$60,$DJ$4:$DS$4)))</f>
        <v>0</v>
      </c>
      <c r="DQ102" s="199" t="n">
        <f aca="false">IF((SUMIF($DJ$3:$DS$3,DQ$60,$DJ$4:$DS$4))=0,0,((SUMIF($DJ$3:$DS$3,DQ$60,$DJ151:$DS151))/SUMIF($DJ$3:$DS$3,DQ$60,$DJ$4:$DS$4)))</f>
        <v>0</v>
      </c>
      <c r="DR102" s="199" t="n">
        <f aca="false">IF((SUMIF($DJ$3:$DS$3,DR$60,$DJ$4:$DS$4))=0,0,((SUMIF($DJ$3:$DS$3,DR$60,$DJ151:$DS151))/SUMIF($DJ$3:$DS$3,DR$60,$DJ$4:$DS$4)))</f>
        <v>0</v>
      </c>
      <c r="DS102" s="200" t="n">
        <f aca="false">IF((SUMIF($DJ$3:$DS$3,DS$60,$DJ$4:$DS$4))=0,0,((SUMIF($DJ$3:$DS$3,DS$60,$DJ151:$DS151))/SUMIF($DJ$3:$DS$3,DS$60,$DJ$4:$DS$4)))</f>
        <v>0</v>
      </c>
      <c r="DT102" s="194" t="str">
        <f aca="false">DI102</f>
        <v>Alumno41</v>
      </c>
      <c r="DU102" s="198" t="n">
        <f aca="false">IF((SUMIF($DU$3:$ED$3,DU$60,$DU$4:$ED$4))=0,0,((SUMIF($DU$3:$ED$3,DU$60,$DU151:$ED151))/SUMIF($DU$3:$ED$3,DU$60,$DU$4:$ED$4)))</f>
        <v>0</v>
      </c>
      <c r="DV102" s="199" t="n">
        <f aca="false">IF((SUMIF($DU$3:$ED$3,DV$60,$DU$4:$ED$4))=0,0,((SUMIF($DU$3:$ED$3,DV$60,$DU151:$ED151))/SUMIF($DU$3:$ED$3,DV$60,$DU$4:$ED$4)))</f>
        <v>0</v>
      </c>
      <c r="DW102" s="199" t="n">
        <f aca="false">IF((SUMIF($DU$3:$ED$3,DW$60,$DU$4:$ED$4))=0,0,((SUMIF($DU$3:$ED$3,DW$60,$DU151:$ED151))/SUMIF($DU$3:$ED$3,DW$60,$DU$4:$ED$4)))</f>
        <v>0</v>
      </c>
      <c r="DX102" s="199" t="n">
        <f aca="false">IF((SUMIF($DU$3:$ED$3,DX$60,$DU$4:$ED$4))=0,0,((SUMIF($DU$3:$ED$3,DX$60,$DU151:$ED151))/SUMIF($DU$3:$ED$3,DX$60,$DU$4:$ED$4)))</f>
        <v>0</v>
      </c>
      <c r="DY102" s="199" t="n">
        <f aca="false">IF((SUMIF($DU$3:$ED$3,DY$60,$DU$4:$ED$4))=0,0,((SUMIF($DU$3:$ED$3,DY$60,$DU151:$ED151))/SUMIF($DU$3:$ED$3,DY$60,$DU$4:$ED$4)))</f>
        <v>0</v>
      </c>
      <c r="DZ102" s="199" t="n">
        <f aca="false">IF((SUMIF($DU$3:$ED$3,DZ$60,$DU$4:$ED$4))=0,0,((SUMIF($DU$3:$ED$3,DZ$60,$DU151:$ED151))/SUMIF($DU$3:$ED$3,DZ$60,$DU$4:$ED$4)))</f>
        <v>0</v>
      </c>
      <c r="EA102" s="199" t="n">
        <f aca="false">IF((SUMIF($DU$3:$ED$3,EA$60,$DU$4:$ED$4))=0,0,((SUMIF($DU$3:$ED$3,EA$60,$DU151:$ED151))/SUMIF($DU$3:$ED$3,EA$60,$DU$4:$ED$4)))</f>
        <v>0</v>
      </c>
      <c r="EB102" s="199" t="n">
        <f aca="false">IF((SUMIF($DU$3:$ED$3,EB$60,$DU$4:$ED$4))=0,0,((SUMIF($DU$3:$ED$3,EB$60,$DU151:$ED151))/SUMIF($DU$3:$ED$3,EB$60,$DU$4:$ED$4)))</f>
        <v>0</v>
      </c>
      <c r="EC102" s="199" t="n">
        <f aca="false">IF((SUMIF($DU$3:$ED$3,EC$60,$DU$4:$ED$4))=0,0,((SUMIF($DU$3:$ED$3,EC$60,$DU151:$ED151))/SUMIF($DU$3:$ED$3,EC$60,$DU$4:$ED$4)))</f>
        <v>0</v>
      </c>
      <c r="ED102" s="200" t="n">
        <f aca="false">IF((SUMIF($DU$3:$ED$3,ED$60,$DU$4:$ED$4))=0,0,((SUMIF($DU$3:$ED$3,ED$60,$DU151:$ED151))/SUMIF($DU$3:$ED$3,ED$60,$DU$4:$ED$4)))</f>
        <v>0</v>
      </c>
      <c r="EE102" s="194" t="str">
        <f aca="false">DT102</f>
        <v>Alumno41</v>
      </c>
      <c r="EF102" s="198" t="n">
        <f aca="false">IF((SUMIF($EF$3:$EO$3,EF$60,$EF$4:$EO$4))=0,0,((SUMIF($EF$3:$EO$3,EF$60,$EF151:$EO151))/SUMIF($EF$3:$EO$3,EF$60,$EF$4:$EO$4)))</f>
        <v>0</v>
      </c>
      <c r="EG102" s="199" t="n">
        <f aca="false">IF((SUMIF($EF$3:$EO$3,EG$60,$EF$4:$EO$4))=0,0,((SUMIF($EF$3:$EO$3,EG$60,$EF151:$EO151))/SUMIF($EF$3:$EO$3,EG$60,$EF$4:$EO$4)))</f>
        <v>0</v>
      </c>
      <c r="EH102" s="199" t="n">
        <f aca="false">IF((SUMIF($EF$3:$EO$3,EH$60,$EF$4:$EO$4))=0,0,((SUMIF($EF$3:$EO$3,EH$60,$EF151:$EO151))/SUMIF($EF$3:$EO$3,EH$60,$EF$4:$EO$4)))</f>
        <v>0</v>
      </c>
      <c r="EI102" s="199" t="n">
        <f aca="false">IF((SUMIF($EF$3:$EO$3,EI$60,$EF$4:$EO$4))=0,0,((SUMIF($EF$3:$EO$3,EI$60,$EF151:$EO151))/SUMIF($EF$3:$EO$3,EI$60,$EF$4:$EO$4)))</f>
        <v>0</v>
      </c>
      <c r="EJ102" s="199" t="n">
        <f aca="false">IF((SUMIF($EF$3:$EO$3,EJ$60,$EF$4:$EO$4))=0,0,((SUMIF($EF$3:$EO$3,EJ$60,$EF151:$EO151))/SUMIF($EF$3:$EO$3,EJ$60,$EF$4:$EO$4)))</f>
        <v>0</v>
      </c>
      <c r="EK102" s="199" t="n">
        <f aca="false">IF((SUMIF($EF$3:$EO$3,EK$60,$EF$4:$EO$4))=0,0,((SUMIF($EF$3:$EO$3,EK$60,$EF151:$EO151))/SUMIF($EF$3:$EO$3,EK$60,$EF$4:$EO$4)))</f>
        <v>0</v>
      </c>
      <c r="EL102" s="199" t="n">
        <f aca="false">IF((SUMIF($EF$3:$EO$3,EL$60,$EF$4:$EO$4))=0,0,((SUMIF($EF$3:$EO$3,EL$60,$EF151:$EO151))/SUMIF($EF$3:$EO$3,EL$60,$EF$4:$EO$4)))</f>
        <v>0</v>
      </c>
      <c r="EM102" s="199" t="n">
        <f aca="false">IF((SUMIF($EF$3:$EO$3,EM$60,$EF$4:$EO$4))=0,0,((SUMIF($EF$3:$EO$3,EM$60,$EF151:$EO151))/SUMIF($EF$3:$EO$3,EM$60,$EF$4:$EO$4)))</f>
        <v>0</v>
      </c>
      <c r="EN102" s="199" t="n">
        <f aca="false">IF((SUMIF($EF$3:$EO$3,EN$60,$EF$4:$EO$4))=0,0,((SUMIF($EF$3:$EO$3,EN$60,$EF151:$EO151))/SUMIF($EF$3:$EO$3,EN$60,$EF$4:$EO$4)))</f>
        <v>0</v>
      </c>
      <c r="EO102" s="200" t="n">
        <f aca="false">IF((SUMIF($EF$3:$EO$3,EO$60,$EF$4:$EO$4))=0,0,((SUMIF($EF$3:$EO$3,EO$60,$EF151:$EO151))/SUMIF($EF$3:$EO$3,EO$60,$EF$4:$EO$4)))</f>
        <v>0</v>
      </c>
      <c r="EP102" s="194" t="str">
        <f aca="false">EE102</f>
        <v>Alumno41</v>
      </c>
      <c r="EQ102" s="198" t="n">
        <f aca="false">IF((SUMIF($EQ$3:$EZ$3,EQ$60,$EQ$4:$EZ$4))=0,0,((SUMIF($EQ$3:$EZ$3,EQ$60,$EQ151:$EZ151))/SUMIF($EQ$3:$EZ$3,EQ$60,$EQ$4:$EZ$4)))</f>
        <v>0</v>
      </c>
      <c r="ER102" s="199" t="n">
        <f aca="false">IF((SUMIF($EQ$3:$EZ$3,ER$60,$EQ$4:$EZ$4))=0,0,((SUMIF($EQ$3:$EZ$3,ER$60,$EQ151:$EZ151))/SUMIF($EQ$3:$EZ$3,ER$60,$EQ$4:$EZ$4)))</f>
        <v>0</v>
      </c>
      <c r="ES102" s="199" t="n">
        <f aca="false">IF((SUMIF($EQ$3:$EZ$3,ES$60,$EQ$4:$EZ$4))=0,0,((SUMIF($EQ$3:$EZ$3,ES$60,$EQ151:$EZ151))/SUMIF($EQ$3:$EZ$3,ES$60,$EQ$4:$EZ$4)))</f>
        <v>0</v>
      </c>
      <c r="ET102" s="199" t="n">
        <f aca="false">IF((SUMIF($EQ$3:$EZ$3,ET$60,$EQ$4:$EZ$4))=0,0,((SUMIF($EQ$3:$EZ$3,ET$60,$EQ151:$EZ151))/SUMIF($EQ$3:$EZ$3,ET$60,$EQ$4:$EZ$4)))</f>
        <v>0</v>
      </c>
      <c r="EU102" s="199" t="n">
        <f aca="false">IF((SUMIF($EQ$3:$EZ$3,EU$60,$EQ$4:$EZ$4))=0,0,((SUMIF($EQ$3:$EZ$3,EU$60,$EQ151:$EZ151))/SUMIF($EQ$3:$EZ$3,EU$60,$EQ$4:$EZ$4)))</f>
        <v>0</v>
      </c>
      <c r="EV102" s="199" t="n">
        <f aca="false">IF((SUMIF($EQ$3:$EZ$3,EV$60,$EQ$4:$EZ$4))=0,0,((SUMIF($EQ$3:$EZ$3,EV$60,$EQ151:$EZ151))/SUMIF($EQ$3:$EZ$3,EV$60,$EQ$4:$EZ$4)))</f>
        <v>0</v>
      </c>
      <c r="EW102" s="199" t="n">
        <f aca="false">IF((SUMIF($EQ$3:$EZ$3,EW$60,$EQ$4:$EZ$4))=0,0,((SUMIF($EQ$3:$EZ$3,EW$60,$EQ151:$EZ151))/SUMIF($EQ$3:$EZ$3,EW$60,$EQ$4:$EZ$4)))</f>
        <v>0</v>
      </c>
      <c r="EX102" s="199" t="n">
        <f aca="false">IF((SUMIF($EQ$3:$EZ$3,EX$60,$EQ$4:$EZ$4))=0,0,((SUMIF($EQ$3:$EZ$3,EX$60,$EQ151:$EZ151))/SUMIF($EQ$3:$EZ$3,EX$60,$EQ$4:$EZ$4)))</f>
        <v>0</v>
      </c>
      <c r="EY102" s="199" t="n">
        <f aca="false">IF((SUMIF($EQ$3:$EZ$3,EY$60,$EQ$4:$EZ$4))=0,0,((SUMIF($EQ$3:$EZ$3,EY$60,$EQ151:$EZ151))/SUMIF($EQ$3:$EZ$3,EY$60,$EQ$4:$EZ$4)))</f>
        <v>0</v>
      </c>
      <c r="EZ102" s="200" t="n">
        <f aca="false">IF((SUMIF($EQ$3:$EZ$3,EZ$60,$EQ$4:$EZ$4))=0,0,((SUMIF($EQ$3:$EZ$3,EZ$60,$EQ151:$EZ151))/SUMIF($EQ$3:$EZ$3,EZ$60,$EQ$4:$EZ$4)))</f>
        <v>0</v>
      </c>
      <c r="FA102" s="194" t="str">
        <f aca="false">EP102</f>
        <v>Alumno41</v>
      </c>
      <c r="FB102" s="198" t="n">
        <f aca="false">IF((SUMIF($FB$3:$FK$3,FB$60,$FB$4:$FK$4))=0,0,((SUMIF($FB$3:$FK$3,FB$60,$FB151:$FK151))/SUMIF($FB$3:$FK$3,FB$60,$FB$4:$FK$4)))</f>
        <v>0</v>
      </c>
      <c r="FC102" s="199" t="n">
        <f aca="false">IF((SUMIF($FB$3:$FK$3,FC$60,$FB$4:$FK$4))=0,0,((SUMIF($FB$3:$FK$3,FC$60,$FB151:$FK151))/SUMIF($FB$3:$FK$3,FC$60,$FB$4:$FK$4)))</f>
        <v>0</v>
      </c>
      <c r="FD102" s="199" t="n">
        <f aca="false">IF((SUMIF($FB$3:$FK$3,FD$60,$FB$4:$FK$4))=0,0,((SUMIF($FB$3:$FK$3,FD$60,$FB151:$FK151))/SUMIF($FB$3:$FK$3,FD$60,$FB$4:$FK$4)))</f>
        <v>0</v>
      </c>
      <c r="FE102" s="199" t="n">
        <f aca="false">IF((SUMIF($FB$3:$FK$3,FE$60,$FB$4:$FK$4))=0,0,((SUMIF($FB$3:$FK$3,FE$60,$FB151:$FK151))/SUMIF($FB$3:$FK$3,FE$60,$FB$4:$FK$4)))</f>
        <v>0</v>
      </c>
      <c r="FF102" s="199" t="n">
        <f aca="false">IF((SUMIF($FB$3:$FK$3,FF$60,$FB$4:$FK$4))=0,0,((SUMIF($FB$3:$FK$3,FF$60,$FB151:$FK151))/SUMIF($FB$3:$FK$3,FF$60,$FB$4:$FK$4)))</f>
        <v>0</v>
      </c>
      <c r="FG102" s="199" t="n">
        <f aca="false">IF((SUMIF($FB$3:$FK$3,FG$60,$FB$4:$FK$4))=0,0,((SUMIF($FB$3:$FK$3,FG$60,$FB151:$FK151))/SUMIF($FB$3:$FK$3,FG$60,$FB$4:$FK$4)))</f>
        <v>0</v>
      </c>
      <c r="FH102" s="199" t="n">
        <f aca="false">IF((SUMIF($FB$3:$FK$3,FH$60,$FB$4:$FK$4))=0,0,((SUMIF($FB$3:$FK$3,FH$60,$FB151:$FK151))/SUMIF($FB$3:$FK$3,FH$60,$FB$4:$FK$4)))</f>
        <v>0</v>
      </c>
      <c r="FI102" s="199" t="n">
        <f aca="false">IF((SUMIF($FB$3:$FK$3,FI$60,$FB$4:$FK$4))=0,0,((SUMIF($FB$3:$FK$3,FI$60,$FB151:$FK151))/SUMIF($FB$3:$FK$3,FI$60,$FB$4:$FK$4)))</f>
        <v>0</v>
      </c>
      <c r="FJ102" s="199" t="n">
        <f aca="false">IF((SUMIF($FB$3:$FK$3,FJ$60,$FB$4:$FK$4))=0,0,((SUMIF($FB$3:$FK$3,FJ$60,$FB151:$FK151))/SUMIF($FB$3:$FK$3,FJ$60,$FB$4:$FK$4)))</f>
        <v>0</v>
      </c>
      <c r="FK102" s="200" t="n">
        <f aca="false">IF((SUMIF($FB$3:$FK$3,FK$60,$FB$4:$FK$4))=0,0,((SUMIF($FB$3:$FK$3,FK$60,$FB151:$FK151))/SUMIF($FB$3:$FK$3,FK$60,$FB$4:$FK$4)))</f>
        <v>0</v>
      </c>
      <c r="FL102" s="194" t="str">
        <f aca="false">FA102</f>
        <v>Alumno41</v>
      </c>
      <c r="FM102" s="198" t="n">
        <f aca="false">IF((SUMIF($FM$3:$FV$3,FM$60,$FM$4:$FV$4))=0,0,((SUMIF($FM$3:$FV$3,FM$60,$FM151:$FV151))/SUMIF($FM$3:$FV$3,FM$60,$FM$4:$FV$4)))</f>
        <v>0</v>
      </c>
      <c r="FN102" s="199" t="n">
        <f aca="false">IF((SUMIF($FM$3:$FV$3,FN$60,$FM$4:$FV$4))=0,0,((SUMIF($FM$3:$FV$3,FN$60,$FM151:$FV151))/SUMIF($FM$3:$FV$3,FN$60,$FM$4:$FV$4)))</f>
        <v>0</v>
      </c>
      <c r="FO102" s="199" t="n">
        <f aca="false">IF((SUMIF($FM$3:$FV$3,FO$60,$FM$4:$FV$4))=0,0,((SUMIF($FM$3:$FV$3,FO$60,$FM151:$FV151))/SUMIF($FM$3:$FV$3,FO$60,$FM$4:$FV$4)))</f>
        <v>0</v>
      </c>
      <c r="FP102" s="199" t="n">
        <f aca="false">IF((SUMIF($FM$3:$FV$3,FP$60,$FM$4:$FV$4))=0,0,((SUMIF($FM$3:$FV$3,FP$60,$FM151:$FV151))/SUMIF($FM$3:$FV$3,FP$60,$FM$4:$FV$4)))</f>
        <v>0</v>
      </c>
      <c r="FQ102" s="199" t="n">
        <f aca="false">IF((SUMIF($FM$3:$FV$3,FQ$60,$FM$4:$FV$4))=0,0,((SUMIF($FM$3:$FV$3,FQ$60,$FM151:$FV151))/SUMIF($FM$3:$FV$3,FQ$60,$FM$4:$FV$4)))</f>
        <v>0</v>
      </c>
      <c r="FR102" s="199" t="n">
        <f aca="false">IF((SUMIF($FM$3:$FV$3,FR$60,$FM$4:$FV$4))=0,0,((SUMIF($FM$3:$FV$3,FR$60,$FM151:$FV151))/SUMIF($FM$3:$FV$3,FR$60,$FM$4:$FV$4)))</f>
        <v>0</v>
      </c>
      <c r="FS102" s="199" t="n">
        <f aca="false">IF((SUMIF($FM$3:$FV$3,FS$60,$FM$4:$FV$4))=0,0,((SUMIF($FM$3:$FV$3,FS$60,$FM151:$FV151))/SUMIF($FM$3:$FV$3,FS$60,$FM$4:$FV$4)))</f>
        <v>0</v>
      </c>
      <c r="FT102" s="199" t="n">
        <f aca="false">IF((SUMIF($FM$3:$FV$3,FT$60,$FM$4:$FV$4))=0,0,((SUMIF($FM$3:$FV$3,FT$60,$FM151:$FV151))/SUMIF($FM$3:$FV$3,FT$60,$FM$4:$FV$4)))</f>
        <v>0</v>
      </c>
      <c r="FU102" s="199" t="n">
        <f aca="false">IF((SUMIF($FM$3:$FV$3,FU$60,$FM$4:$FV$4))=0,0,((SUMIF($FM$3:$FV$3,FU$60,$FM151:$FV151))/SUMIF($FM$3:$FV$3,FU$60,$FM$4:$FV$4)))</f>
        <v>0</v>
      </c>
      <c r="FV102" s="200" t="n">
        <f aca="false">IF((SUMIF($FM$3:$FV$3,FV$60,$FM$4:$FV$4))=0,0,((SUMIF($FM$3:$FV$3,FV$60,$FM151:$FV151))/SUMIF($FM$3:$FV$3,FV$60,$FM$4:$FV$4)))</f>
        <v>0</v>
      </c>
      <c r="FW102" s="194" t="str">
        <f aca="false">FL102</f>
        <v>Alumno41</v>
      </c>
      <c r="FX102" s="198" t="n">
        <f aca="false">IF((SUMIF($FX$3:$GG$3,FX$60,$FX$4:$GG$4))=0,0,((SUMIF($FX$3:$GG$3,FX$60,$FX151:$GG151))/SUMIF($FX$3:$GG$3,FX$60,$FX$4:$GG$4)))</f>
        <v>0</v>
      </c>
      <c r="FY102" s="199" t="n">
        <f aca="false">IF((SUMIF($FX$3:$GG$3,FY$60,$FX$4:$GG$4))=0,0,((SUMIF($FX$3:$GG$3,FY$60,$FX151:$GG151))/SUMIF($FX$3:$GG$3,FY$60,$FX$4:$GG$4)))</f>
        <v>0</v>
      </c>
      <c r="FZ102" s="199" t="n">
        <f aca="false">IF((SUMIF($FX$3:$GG$3,FZ$60,$FX$4:$GG$4))=0,0,((SUMIF($FX$3:$GG$3,FZ$60,$FX151:$GG151))/SUMIF($FX$3:$GG$3,FZ$60,$FX$4:$GG$4)))</f>
        <v>0</v>
      </c>
      <c r="GA102" s="199" t="n">
        <f aca="false">IF((SUMIF($FX$3:$GG$3,GA$60,$FX$4:$GG$4))=0,0,((SUMIF($FX$3:$GG$3,GA$60,$FX151:$GG151))/SUMIF($FX$3:$GG$3,GA$60,$FX$4:$GG$4)))</f>
        <v>0</v>
      </c>
      <c r="GB102" s="199" t="n">
        <f aca="false">IF((SUMIF($FX$3:$GG$3,GB$60,$FX$4:$GG$4))=0,0,((SUMIF($FX$3:$GG$3,GB$60,$FX151:$GG151))/SUMIF($FX$3:$GG$3,GB$60,$FX$4:$GG$4)))</f>
        <v>0</v>
      </c>
      <c r="GC102" s="199" t="n">
        <f aca="false">IF((SUMIF($FX$3:$GG$3,GC$60,$FX$4:$GG$4))=0,0,((SUMIF($FX$3:$GG$3,GC$60,$FX151:$GG151))/SUMIF($FX$3:$GG$3,GC$60,$FX$4:$GG$4)))</f>
        <v>0</v>
      </c>
      <c r="GD102" s="199" t="n">
        <f aca="false">IF((SUMIF($FX$3:$GG$3,GD$60,$FX$4:$GG$4))=0,0,((SUMIF($FX$3:$GG$3,GD$60,$FX151:$GG151))/SUMIF($FX$3:$GG$3,GD$60,$FX$4:$GG$4)))</f>
        <v>0</v>
      </c>
      <c r="GE102" s="199" t="n">
        <f aca="false">IF((SUMIF($FX$3:$GG$3,GE$60,$FX$4:$GG$4))=0,0,((SUMIF($FX$3:$GG$3,GE$60,$FX151:$GG151))/SUMIF($FX$3:$GG$3,GE$60,$FX$4:$GG$4)))</f>
        <v>0</v>
      </c>
      <c r="GF102" s="199" t="n">
        <f aca="false">IF((SUMIF($FX$3:$GG$3,GF$60,$FX$4:$GG$4))=0,0,((SUMIF($FX$3:$GG$3,GF$60,$FX151:$GG151))/SUMIF($FX$3:$GG$3,GF$60,$FX$4:$GG$4)))</f>
        <v>0</v>
      </c>
      <c r="GG102" s="200" t="n">
        <f aca="false">IF((SUMIF($FX$3:$GG$3,GG$60,$FX$4:$GG$4))=0,0,((SUMIF($FX$3:$GG$3,GG$60,$FX151:$GG151))/SUMIF($FX$3:$GG$3,GG$60,$FX$4:$GG$4)))</f>
        <v>0</v>
      </c>
      <c r="GH102" s="194" t="str">
        <f aca="false">FW102</f>
        <v>Alumno41</v>
      </c>
      <c r="GI102" s="198" t="n">
        <f aca="false">IF((SUMIF($GI$3:$GR$3,GI$60,$GI$4:$GR$4))=0,0,((SUMIF($GI$3:$GR$3,GI$60,$GI151:$GR151))/SUMIF($GI$3:$GR$3,GI$60,$GI$4:$GR$4)))</f>
        <v>0</v>
      </c>
      <c r="GJ102" s="199" t="n">
        <f aca="false">IF((SUMIF($GI$3:$GR$3,GJ$60,$GI$4:$GR$4))=0,0,((SUMIF($GI$3:$GR$3,GJ$60,$GI151:$GR151))/SUMIF($GI$3:$GR$3,GJ$60,$GI$4:$GR$4)))</f>
        <v>0</v>
      </c>
      <c r="GK102" s="199" t="n">
        <f aca="false">IF((SUMIF($GI$3:$GR$3,GK$60,$GI$4:$GR$4))=0,0,((SUMIF($GI$3:$GR$3,GK$60,$GI151:$GR151))/SUMIF($GI$3:$GR$3,GK$60,$GI$4:$GR$4)))</f>
        <v>0</v>
      </c>
      <c r="GL102" s="199" t="n">
        <f aca="false">IF((SUMIF($GI$3:$GR$3,GL$60,$GI$4:$GR$4))=0,0,((SUMIF($GI$3:$GR$3,GL$60,$GI151:$GR151))/SUMIF($GI$3:$GR$3,GL$60,$GI$4:$GR$4)))</f>
        <v>0</v>
      </c>
      <c r="GM102" s="199" t="n">
        <f aca="false">IF((SUMIF($GI$3:$GR$3,GM$60,$GI$4:$GR$4))=0,0,((SUMIF($GI$3:$GR$3,GM$60,$GI151:$GR151))/SUMIF($GI$3:$GR$3,GM$60,$GI$4:$GR$4)))</f>
        <v>0</v>
      </c>
      <c r="GN102" s="199" t="n">
        <f aca="false">IF((SUMIF($GI$3:$GR$3,GN$60,$GI$4:$GR$4))=0,0,((SUMIF($GI$3:$GR$3,GN$60,$GI151:$GR151))/SUMIF($GI$3:$GR$3,GN$60,$GI$4:$GR$4)))</f>
        <v>0</v>
      </c>
      <c r="GO102" s="199" t="n">
        <f aca="false">IF((SUMIF($GI$3:$GR$3,GO$60,$GI$4:$GR$4))=0,0,((SUMIF($GI$3:$GR$3,GO$60,$GI151:$GR151))/SUMIF($GI$3:$GR$3,GO$60,$GI$4:$GR$4)))</f>
        <v>0</v>
      </c>
      <c r="GP102" s="199" t="n">
        <f aca="false">IF((SUMIF($GI$3:$GR$3,GP$60,$GI$4:$GR$4))=0,0,((SUMIF($GI$3:$GR$3,GP$60,$GI151:$GR151))/SUMIF($GI$3:$GR$3,GP$60,$GI$4:$GR$4)))</f>
        <v>0</v>
      </c>
      <c r="GQ102" s="199" t="n">
        <f aca="false">IF((SUMIF($GI$3:$GR$3,GQ$60,$GI$4:$GR$4))=0,0,((SUMIF($GI$3:$GR$3,GQ$60,$GI151:$GR151))/SUMIF($GI$3:$GR$3,GQ$60,$GI$4:$GR$4)))</f>
        <v>0</v>
      </c>
      <c r="GR102" s="200" t="n">
        <f aca="false">IF((SUMIF($GI$3:$GR$3,GR$60,$GI$4:$GR$4))=0,0,((SUMIF($GI$3:$GR$3,GR$60,$GI151:$GR151))/SUMIF($GI$3:$GR$3,GR$60,$GI$4:$GR$4)))</f>
        <v>0</v>
      </c>
      <c r="GS102" s="194" t="str">
        <f aca="false">GH102</f>
        <v>Alumno41</v>
      </c>
      <c r="GT102" s="198" t="n">
        <f aca="false">IF((SUMIF($GT$3:$HC$3,GT$60,$GT$4:$HC$4))=0,0,((SUMIF($GT$3:$HC$3,GT$60,$GT151:$HC151))/SUMIF($GT$3:$HC$3,GT$60,$GT$4:$HC$4)))</f>
        <v>0</v>
      </c>
      <c r="GU102" s="199" t="n">
        <f aca="false">IF((SUMIF($GT$3:$HC$3,GU$60,$GT$4:$HC$4))=0,0,((SUMIF($GT$3:$HC$3,GU$60,$GT151:$HC151))/SUMIF($GT$3:$HC$3,GU$60,$GT$4:$HC$4)))</f>
        <v>0</v>
      </c>
      <c r="GV102" s="199" t="n">
        <f aca="false">IF((SUMIF($GT$3:$HC$3,GV$60,$GT$4:$HC$4))=0,0,((SUMIF($GT$3:$HC$3,GV$60,$GT151:$HC151))/SUMIF($GT$3:$HC$3,GV$60,$GT$4:$HC$4)))</f>
        <v>0</v>
      </c>
      <c r="GW102" s="199" t="n">
        <f aca="false">IF((SUMIF($GT$3:$HC$3,GW$60,$GT$4:$HC$4))=0,0,((SUMIF($GT$3:$HC$3,GW$60,$GT151:$HC151))/SUMIF($GT$3:$HC$3,GW$60,$GT$4:$HC$4)))</f>
        <v>0</v>
      </c>
      <c r="GX102" s="199" t="n">
        <f aca="false">IF((SUMIF($GT$3:$HC$3,GX$60,$GT$4:$HC$4))=0,0,((SUMIF($GT$3:$HC$3,GX$60,$GT151:$HC151))/SUMIF($GT$3:$HC$3,GX$60,$GT$4:$HC$4)))</f>
        <v>0</v>
      </c>
      <c r="GY102" s="199" t="n">
        <f aca="false">IF((SUMIF($GT$3:$HC$3,GY$60,$GT$4:$HC$4))=0,0,((SUMIF($GT$3:$HC$3,GY$60,$GT151:$HC151))/SUMIF($GT$3:$HC$3,GY$60,$GT$4:$HC$4)))</f>
        <v>0</v>
      </c>
      <c r="GZ102" s="199" t="n">
        <f aca="false">IF((SUMIF($GT$3:$HC$3,GZ$60,$GT$4:$HC$4))=0,0,((SUMIF($GT$3:$HC$3,GZ$60,$GT151:$HC151))/SUMIF($GT$3:$HC$3,GZ$60,$GT$4:$HC$4)))</f>
        <v>0</v>
      </c>
      <c r="HA102" s="199" t="n">
        <f aca="false">IF((SUMIF($GT$3:$HC$3,HA$60,$GT$4:$HC$4))=0,0,((SUMIF($GT$3:$HC$3,HA$60,$GT151:$HC151))/SUMIF($GT$3:$HC$3,HA$60,$GT$4:$HC$4)))</f>
        <v>0</v>
      </c>
      <c r="HB102" s="199" t="n">
        <f aca="false">IF((SUMIF($GT$3:$HC$3,HB$60,$GT$4:$HC$4))=0,0,((SUMIF($GT$3:$HC$3,HB$60,$GT151:$HC151))/SUMIF($GT$3:$HC$3,HB$60,$GT$4:$HC$4)))</f>
        <v>0</v>
      </c>
      <c r="HC102" s="200" t="n">
        <f aca="false">IF((SUMIF($GT$3:$HC$3,HC$60,$GT$4:$HC$4))=0,0,((SUMIF($GT$3:$HC$3,HC$60,$GT151:$HC151))/SUMIF($GT$3:$HC$3,HC$60,$GT$4:$HC$4)))</f>
        <v>0</v>
      </c>
      <c r="HD102" s="194" t="str">
        <f aca="false">GS102</f>
        <v>Alumno41</v>
      </c>
      <c r="HE102" s="198" t="n">
        <f aca="false">IF((SUMIF($HE$3:$HN$3,HE$60,$HE$4:$HN$4))=0,0,((SUMIF($HE$3:$HN$3,HE$60,$HE151:$HN151))/SUMIF($HE$3:$HN$3,HE$60,$HE$4:$HN$4)))</f>
        <v>0</v>
      </c>
      <c r="HF102" s="199" t="n">
        <f aca="false">IF((SUMIF($HE$3:$HN$3,HF$60,$HE$4:$HN$4))=0,0,((SUMIF($HE$3:$HN$3,HF$60,$HE151:$HN151))/SUMIF($HE$3:$HN$3,HF$60,$HE$4:$HN$4)))</f>
        <v>0</v>
      </c>
      <c r="HG102" s="199" t="n">
        <f aca="false">IF((SUMIF($HE$3:$HN$3,HG$60,$HE$4:$HN$4))=0,0,((SUMIF($HE$3:$HN$3,HG$60,$HE151:$HN151))/SUMIF($HE$3:$HN$3,HG$60,$HE$4:$HN$4)))</f>
        <v>0</v>
      </c>
      <c r="HH102" s="199" t="n">
        <f aca="false">IF((SUMIF($HE$3:$HN$3,HH$60,$HE$4:$HN$4))=0,0,((SUMIF($HE$3:$HN$3,HH$60,$HE151:$HN151))/SUMIF($HE$3:$HN$3,HH$60,$HE$4:$HN$4)))</f>
        <v>0</v>
      </c>
      <c r="HI102" s="199" t="n">
        <f aca="false">IF((SUMIF($HE$3:$HN$3,HI$60,$HE$4:$HN$4))=0,0,((SUMIF($HE$3:$HN$3,HI$60,$HE151:$HN151))/SUMIF($HE$3:$HN$3,HI$60,$HE$4:$HN$4)))</f>
        <v>0</v>
      </c>
      <c r="HJ102" s="199" t="n">
        <f aca="false">IF((SUMIF($HE$3:$HN$3,HJ$60,$HE$4:$HN$4))=0,0,((SUMIF($HE$3:$HN$3,HJ$60,$HE151:$HN151))/SUMIF($HE$3:$HN$3,HJ$60,$HE$4:$HN$4)))</f>
        <v>0</v>
      </c>
      <c r="HK102" s="199" t="n">
        <f aca="false">IF((SUMIF($HE$3:$HN$3,HK$60,$HE$4:$HN$4))=0,0,((SUMIF($HE$3:$HN$3,HK$60,$HE151:$HN151))/SUMIF($HE$3:$HN$3,HK$60,$HE$4:$HN$4)))</f>
        <v>0</v>
      </c>
      <c r="HL102" s="199" t="n">
        <f aca="false">IF((SUMIF($HE$3:$HN$3,HL$60,$HE$4:$HN$4))=0,0,((SUMIF($HE$3:$HN$3,HL$60,$HE151:$HN151))/SUMIF($HE$3:$HN$3,HL$60,$HE$4:$HN$4)))</f>
        <v>0</v>
      </c>
      <c r="HM102" s="199" t="n">
        <f aca="false">IF((SUMIF($HE$3:$HN$3,HM$60,$HE$4:$HN$4))=0,0,((SUMIF($HE$3:$HN$3,HM$60,$HE151:$HN151))/SUMIF($HE$3:$HN$3,HM$60,$HE$4:$HN$4)))</f>
        <v>0</v>
      </c>
      <c r="HN102" s="200" t="n">
        <f aca="false">IF((SUMIF($HE$3:$HN$3,HN$60,$HE$4:$HN$4))=0,0,((SUMIF($HE$3:$HN$3,HN$60,$HE151:$HN151))/SUMIF($HE$3:$HN$3,HN$60,$HE$4:$HN$4)))</f>
        <v>0</v>
      </c>
      <c r="HO102" s="194" t="str">
        <f aca="false">HD102</f>
        <v>Alumno41</v>
      </c>
      <c r="HP102" s="198" t="n">
        <f aca="false">IF((SUMIF($HP$3:$HY$3,HP$60,$HP$4:$HY$4))=0,0,((SUMIF($HP$3:$HY$3,HP$60,$HP151:$HY151))/SUMIF($HP$3:$HY$3,HP$60,$HP$4:$HY$4)))</f>
        <v>0</v>
      </c>
      <c r="HQ102" s="199" t="n">
        <f aca="false">IF((SUMIF($HP$3:$HY$3,HQ$60,$HP$4:$HY$4))=0,0,((SUMIF($HP$3:$HY$3,HQ$60,$HP151:$HY151))/SUMIF($HP$3:$HY$3,HQ$60,$HP$4:$HY$4)))</f>
        <v>0</v>
      </c>
      <c r="HR102" s="199" t="n">
        <f aca="false">IF((SUMIF($HP$3:$HY$3,HR$60,$HP$4:$HY$4))=0,0,((SUMIF($HP$3:$HY$3,HR$60,$HP151:$HY151))/SUMIF($HP$3:$HY$3,HR$60,$HP$4:$HY$4)))</f>
        <v>0</v>
      </c>
      <c r="HS102" s="199" t="n">
        <f aca="false">IF((SUMIF($HP$3:$HY$3,HS$60,$HP$4:$HY$4))=0,0,((SUMIF($HP$3:$HY$3,HS$60,$HP151:$HY151))/SUMIF($HP$3:$HY$3,HS$60,$HP$4:$HY$4)))</f>
        <v>0</v>
      </c>
      <c r="HT102" s="199" t="n">
        <f aca="false">IF((SUMIF($HP$3:$HY$3,HT$60,$HP$4:$HY$4))=0,0,((SUMIF($HP$3:$HY$3,HT$60,$HP151:$HY151))/SUMIF($HP$3:$HY$3,HT$60,$HP$4:$HY$4)))</f>
        <v>0</v>
      </c>
      <c r="HU102" s="199" t="n">
        <f aca="false">IF((SUMIF($HP$3:$HY$3,HU$60,$HP$4:$HY$4))=0,0,((SUMIF($HP$3:$HY$3,HU$60,$HP151:$HY151))/SUMIF($HP$3:$HY$3,HU$60,$HP$4:$HY$4)))</f>
        <v>0</v>
      </c>
      <c r="HV102" s="199" t="n">
        <f aca="false">IF((SUMIF($HP$3:$HY$3,HV$60,$HP$4:$HY$4))=0,0,((SUMIF($HP$3:$HY$3,HV$60,$HP151:$HY151))/SUMIF($HP$3:$HY$3,HV$60,$HP$4:$HY$4)))</f>
        <v>0</v>
      </c>
      <c r="HW102" s="199" t="n">
        <f aca="false">IF((SUMIF($HP$3:$HY$3,HW$60,$HP$4:$HY$4))=0,0,((SUMIF($HP$3:$HY$3,HW$60,$HP151:$HY151))/SUMIF($HP$3:$HY$3,HW$60,$HP$4:$HY$4)))</f>
        <v>0</v>
      </c>
      <c r="HX102" s="199" t="n">
        <f aca="false">IF((SUMIF($HP$3:$HY$3,HX$60,$HP$4:$HY$4))=0,0,((SUMIF($HP$3:$HY$3,HX$60,$HP151:$HY151))/SUMIF($HP$3:$HY$3,HX$60,$HP$4:$HY$4)))</f>
        <v>0</v>
      </c>
      <c r="HY102" s="200" t="n">
        <f aca="false">IF((SUMIF($HP$3:$HY$3,HY$60,$HP$4:$HY$4))=0,0,((SUMIF($HP$3:$HY$3,HY$60,$HP151:$HY151))/SUMIF($HP$3:$HY$3,HY$60,$HP$4:$HY$4)))</f>
        <v>0</v>
      </c>
      <c r="HZ102" s="194" t="str">
        <f aca="false">HO102</f>
        <v>Alumno41</v>
      </c>
      <c r="IA102" s="198" t="n">
        <f aca="false">IF((SUMIF($IA$3:$IJ$3,IA$60,$IA$4:$IJ$4))=0,0,((SUMIF($IA$3:$IJ$3,IA$60,$IA151:$IJ151))/SUMIF($IA$3:$IJ$3,IA$60,$IA$4:$IJ$4)))</f>
        <v>0</v>
      </c>
      <c r="IB102" s="199" t="n">
        <f aca="false">IF((SUMIF($IA$3:$IJ$3,IB$60,$IA$4:$IJ$4))=0,0,((SUMIF($IA$3:$IJ$3,IB$60,$IA151:$IJ151))/SUMIF($IA$3:$IJ$3,IB$60,$IA$4:$IJ$4)))</f>
        <v>0</v>
      </c>
      <c r="IC102" s="199" t="n">
        <f aca="false">IF((SUMIF($IA$3:$IJ$3,IC$60,$IA$4:$IJ$4))=0,0,((SUMIF($IA$3:$IJ$3,IC$60,$IA151:$IJ151))/SUMIF($IA$3:$IJ$3,IC$60,$IA$4:$IJ$4)))</f>
        <v>0</v>
      </c>
      <c r="ID102" s="199" t="n">
        <f aca="false">IF((SUMIF($IA$3:$IJ$3,ID$60,$IA$4:$IJ$4))=0,0,((SUMIF($IA$3:$IJ$3,ID$60,$IA151:$IJ151))/SUMIF($IA$3:$IJ$3,ID$60,$IA$4:$IJ$4)))</f>
        <v>0</v>
      </c>
      <c r="IE102" s="199" t="n">
        <f aca="false">IF((SUMIF($IA$3:$IJ$3,IE$60,$IA$4:$IJ$4))=0,0,((SUMIF($IA$3:$IJ$3,IE$60,$IA151:$IJ151))/SUMIF($IA$3:$IJ$3,IE$60,$IA$4:$IJ$4)))</f>
        <v>0</v>
      </c>
      <c r="IF102" s="199" t="n">
        <f aca="false">IF((SUMIF($IA$3:$IJ$3,IF$60,$IA$4:$IJ$4))=0,0,((SUMIF($IA$3:$IJ$3,IF$60,$IA151:$IJ151))/SUMIF($IA$3:$IJ$3,IF$60,$IA$4:$IJ$4)))</f>
        <v>0</v>
      </c>
      <c r="IG102" s="199" t="n">
        <f aca="false">IF((SUMIF($IA$3:$IJ$3,IG$60,$IA$4:$IJ$4))=0,0,((SUMIF($IA$3:$IJ$3,IG$60,$IA151:$IJ151))/SUMIF($IA$3:$IJ$3,IG$60,$IA$4:$IJ$4)))</f>
        <v>0</v>
      </c>
      <c r="IH102" s="199" t="n">
        <f aca="false">IF((SUMIF($IA$3:$IJ$3,IH$60,$IA$4:$IJ$4))=0,0,((SUMIF($IA$3:$IJ$3,IH$60,$IA151:$IJ151))/SUMIF($IA$3:$IJ$3,IH$60,$IA$4:$IJ$4)))</f>
        <v>0</v>
      </c>
      <c r="II102" s="199" t="n">
        <f aca="false">IF((SUMIF($IA$3:$IJ$3,II$60,$IA$4:$IJ$4))=0,0,((SUMIF($IA$3:$IJ$3,II$60,$IA151:$IJ151))/SUMIF($IA$3:$IJ$3,II$60,$IA$4:$IJ$4)))</f>
        <v>0</v>
      </c>
      <c r="IJ102" s="200" t="n">
        <f aca="false">IF((SUMIF($IA$3:$IJ$3,IJ$60,$IA$4:$IJ$4))=0,0,((SUMIF($IA$3:$IJ$3,IJ$60,$IA151:$IJ151))/SUMIF($IA$3:$IJ$3,IJ$60,$IA$4:$IJ$4)))</f>
        <v>0</v>
      </c>
      <c r="IK102" s="194" t="str">
        <f aca="false">HZ102</f>
        <v>Alumno41</v>
      </c>
      <c r="IL102" s="198" t="n">
        <f aca="false">IF((SUMIF($IL$3:$IU$3,IL$60,$IL$4:$IU$4))=0,0,((SUMIF($IL$3:$IU$3,IL$60,$IL151:$IU151))/SUMIF($IL$3:$IU$3,IL$60,$IL$4:$IU$4)))</f>
        <v>0</v>
      </c>
      <c r="IM102" s="199" t="n">
        <f aca="false">IF((SUMIF($IL$3:$IU$3,IM$60,$IL$4:$IU$4))=0,0,((SUMIF($IL$3:$IU$3,IM$60,$IL151:$IU151))/SUMIF($IL$3:$IU$3,IM$60,$IL$4:$IU$4)))</f>
        <v>0</v>
      </c>
      <c r="IN102" s="199" t="n">
        <f aca="false">IF((SUMIF($IL$3:$IU$3,IN$60,$IL$4:$IU$4))=0,0,((SUMIF($IL$3:$IU$3,IN$60,$IL151:$IU151))/SUMIF($IL$3:$IU$3,IN$60,$IL$4:$IU$4)))</f>
        <v>0</v>
      </c>
      <c r="IO102" s="199" t="n">
        <f aca="false">IF((SUMIF($IL$3:$IU$3,IO$60,$IL$4:$IU$4))=0,0,((SUMIF($IL$3:$IU$3,IO$60,$IL151:$IU151))/SUMIF($IL$3:$IU$3,IO$60,$IL$4:$IU$4)))</f>
        <v>0</v>
      </c>
      <c r="IP102" s="199" t="n">
        <f aca="false">IF((SUMIF($IL$3:$IU$3,IP$60,$IL$4:$IU$4))=0,0,((SUMIF($IL$3:$IU$3,IP$60,$IL151:$IU151))/SUMIF($IL$3:$IU$3,IP$60,$IL$4:$IU$4)))</f>
        <v>0</v>
      </c>
      <c r="IQ102" s="199" t="n">
        <f aca="false">IF((SUMIF($IL$3:$IU$3,IQ$60,$IL$4:$IU$4))=0,0,((SUMIF($IL$3:$IU$3,IQ$60,$IL151:$IU151))/SUMIF($IL$3:$IU$3,IQ$60,$IL$4:$IU$4)))</f>
        <v>0</v>
      </c>
      <c r="IR102" s="199" t="n">
        <f aca="false">IF((SUMIF($IL$3:$IU$3,IR$60,$IL$4:$IU$4))=0,0,((SUMIF($IL$3:$IU$3,IR$60,$IL151:$IU151))/SUMIF($IL$3:$IU$3,IR$60,$IL$4:$IU$4)))</f>
        <v>0</v>
      </c>
      <c r="IS102" s="199" t="n">
        <f aca="false">IF((SUMIF($IL$3:$IU$3,IS$60,$IL$4:$IU$4))=0,0,((SUMIF($IL$3:$IU$3,IS$60,$IL151:$IU151))/SUMIF($IL$3:$IU$3,IS$60,$IL$4:$IU$4)))</f>
        <v>0</v>
      </c>
      <c r="IT102" s="199" t="n">
        <f aca="false">IF((SUMIF($IL$3:$IU$3,IT$60,$IL$4:$IU$4))=0,0,((SUMIF($IL$3:$IU$3,IT$60,$IL151:$IU151))/SUMIF($IL$3:$IU$3,IT$60,$IL$4:$IU$4)))</f>
        <v>0</v>
      </c>
      <c r="IU102" s="200" t="n">
        <f aca="false">IF((SUMIF($IL$3:$IU$3,IU$60,$IL$4:$IU$4))=0,0,((SUMIF($IL$3:$IU$3,IU$60,$IL151:$IU151))/SUMIF($IL$3:$IU$3,IU$60,$IL$4:$IU$4)))</f>
        <v>0</v>
      </c>
      <c r="IV102" s="194" t="str">
        <f aca="false">IK102</f>
        <v>Alumno41</v>
      </c>
      <c r="IW102" s="198" t="n">
        <f aca="false">IF((SUMIF($IW$3:$JF$3,IW$60,$IW$4:$JF$4))=0,0,((SUMIF($IW$3:$JF$3,IW$60,$IW151:$JF151))/SUMIF($IW$3:$JF$3,IW$60,$IW$4:$JF$4)))</f>
        <v>0</v>
      </c>
      <c r="IX102" s="199" t="n">
        <f aca="false">IF((SUMIF($IW$3:$JF$3,IX$60,$IW$4:$JF$4))=0,0,((SUMIF($IW$3:$JF$3,IX$60,$IW151:$JF151))/SUMIF($IW$3:$JF$3,IX$60,$IW$4:$JF$4)))</f>
        <v>0</v>
      </c>
      <c r="IY102" s="199" t="n">
        <f aca="false">IF((SUMIF($IW$3:$JF$3,IY$60,$IW$4:$JF$4))=0,0,((SUMIF($IW$3:$JF$3,IY$60,$IW151:$JF151))/SUMIF($IW$3:$JF$3,IY$60,$IW$4:$JF$4)))</f>
        <v>0</v>
      </c>
      <c r="IZ102" s="199" t="n">
        <f aca="false">IF((SUMIF($IW$3:$JF$3,IZ$60,$IW$4:$JF$4))=0,0,((SUMIF($IW$3:$JF$3,IZ$60,$IW151:$JF151))/SUMIF($IW$3:$JF$3,IZ$60,$IW$4:$JF$4)))</f>
        <v>0</v>
      </c>
      <c r="JA102" s="199" t="n">
        <f aca="false">IF((SUMIF($IW$3:$JF$3,JA$60,$IW$4:$JF$4))=0,0,((SUMIF($IW$3:$JF$3,JA$60,$IW151:$JF151))/SUMIF($IW$3:$JF$3,JA$60,$IW$4:$JF$4)))</f>
        <v>0</v>
      </c>
      <c r="JB102" s="199" t="n">
        <f aca="false">IF((SUMIF($IW$3:$JF$3,JB$60,$IW$4:$JF$4))=0,0,((SUMIF($IW$3:$JF$3,JB$60,$IW151:$JF151))/SUMIF($IW$3:$JF$3,JB$60,$IW$4:$JF$4)))</f>
        <v>0</v>
      </c>
      <c r="JC102" s="199" t="n">
        <f aca="false">IF((SUMIF($IW$3:$JF$3,JC$60,$IW$4:$JF$4))=0,0,((SUMIF($IW$3:$JF$3,JC$60,$IW151:$JF151))/SUMIF($IW$3:$JF$3,JC$60,$IW$4:$JF$4)))</f>
        <v>0</v>
      </c>
      <c r="JD102" s="199" t="n">
        <f aca="false">IF((SUMIF($IW$3:$JF$3,JD$60,$IW$4:$JF$4))=0,0,((SUMIF($IW$3:$JF$3,JD$60,$IW151:$JF151))/SUMIF($IW$3:$JF$3,JD$60,$IW$4:$JF$4)))</f>
        <v>0</v>
      </c>
      <c r="JE102" s="199" t="n">
        <f aca="false">IF((SUMIF($IW$3:$JF$3,JE$60,$IW$4:$JF$4))=0,0,((SUMIF($IW$3:$JF$3,JE$60,$IW151:$JF151))/SUMIF($IW$3:$JF$3,JE$60,$IW$4:$JF$4)))</f>
        <v>0</v>
      </c>
      <c r="JF102" s="200" t="n">
        <f aca="false">IF((SUMIF($IW$3:$JF$3,JF$60,$IW$4:$JF$4))=0,0,((SUMIF($IW$3:$JF$3,JF$60,$IW151:$JF151))/SUMIF($IW$3:$JF$3,JF$60,$IW$4:$JF$4)))</f>
        <v>0</v>
      </c>
      <c r="JG102" s="194" t="str">
        <f aca="false">IV102</f>
        <v>Alumno41</v>
      </c>
      <c r="JH102" s="198" t="n">
        <f aca="false">IF((SUMIF($JH$3:$JQ$3,JH$60,$JH$4:$JQ$4))=0,0,((SUMIF($JH$3:$JQ$3,JH$60,$JH151:$JQ151))/SUMIF($JH$3:$JQ$3,JH$60,$JH$4:$JQ$4)))</f>
        <v>0</v>
      </c>
      <c r="JI102" s="199" t="n">
        <f aca="false">IF((SUMIF($JH$3:$JQ$3,JI$60,$JH$4:$JQ$4))=0,0,((SUMIF($JH$3:$JQ$3,JI$60,$JH151:$JQ151))/SUMIF($JH$3:$JQ$3,JI$60,$JH$4:$JQ$4)))</f>
        <v>0</v>
      </c>
      <c r="JJ102" s="199" t="n">
        <f aca="false">IF((SUMIF($JH$3:$JQ$3,JJ$60,$JH$4:$JQ$4))=0,0,((SUMIF($JH$3:$JQ$3,JJ$60,$JH151:$JQ151))/SUMIF($JH$3:$JQ$3,JJ$60,$JH$4:$JQ$4)))</f>
        <v>0</v>
      </c>
      <c r="JK102" s="199" t="n">
        <f aca="false">IF((SUMIF($JH$3:$JQ$3,JK$60,$JH$4:$JQ$4))=0,0,((SUMIF($JH$3:$JQ$3,JK$60,$JH151:$JQ151))/SUMIF($JH$3:$JQ$3,JK$60,$JH$4:$JQ$4)))</f>
        <v>0</v>
      </c>
      <c r="JL102" s="199" t="n">
        <f aca="false">IF((SUMIF($JH$3:$JQ$3,JL$60,$JH$4:$JQ$4))=0,0,((SUMIF($JH$3:$JQ$3,JL$60,$JH151:$JQ151))/SUMIF($JH$3:$JQ$3,JL$60,$JH$4:$JQ$4)))</f>
        <v>0</v>
      </c>
      <c r="JM102" s="199" t="n">
        <f aca="false">IF((SUMIF($JH$3:$JQ$3,JM$60,$JH$4:$JQ$4))=0,0,((SUMIF($JH$3:$JQ$3,JM$60,$JH151:$JQ151))/SUMIF($JH$3:$JQ$3,JM$60,$JH$4:$JQ$4)))</f>
        <v>0</v>
      </c>
      <c r="JN102" s="199" t="n">
        <f aca="false">IF((SUMIF($JH$3:$JQ$3,JN$60,$JH$4:$JQ$4))=0,0,((SUMIF($JH$3:$JQ$3,JN$60,$JH151:$JQ151))/SUMIF($JH$3:$JQ$3,JN$60,$JH$4:$JQ$4)))</f>
        <v>0</v>
      </c>
      <c r="JO102" s="199" t="n">
        <f aca="false">IF((SUMIF($JH$3:$JQ$3,JO$60,$JH$4:$JQ$4))=0,0,((SUMIF($JH$3:$JQ$3,JO$60,$JH151:$JQ151))/SUMIF($JH$3:$JQ$3,JO$60,$JH$4:$JQ$4)))</f>
        <v>0</v>
      </c>
      <c r="JP102" s="199" t="n">
        <f aca="false">IF((SUMIF($JH$3:$JQ$3,JP$60,$JH$4:$JQ$4))=0,0,((SUMIF($JH$3:$JQ$3,JP$60,$JH151:$JQ151))/SUMIF($JH$3:$JQ$3,JP$60,$JH$4:$JQ$4)))</f>
        <v>0</v>
      </c>
      <c r="JQ102" s="200" t="n">
        <f aca="false">IF((SUMIF($JH$3:$JQ$3,JQ$60,$JH$4:$JQ$4))=0,0,((SUMIF($JH$3:$JQ$3,JQ$60,$JH151:$JQ151))/SUMIF($JH$3:$JQ$3,JQ$60,$JH$4:$JQ$4)))</f>
        <v>0</v>
      </c>
      <c r="JR102" s="194" t="str">
        <f aca="false">JG102</f>
        <v>Alumno41</v>
      </c>
      <c r="JS102" s="198" t="n">
        <f aca="false">IF((SUMIF($JS$3:$KB$3,JS$60,$JS$4:$KB$4))=0,0,((SUMIF($JS$3:$KB$3,JS$60,$JS151:$KB151))/SUMIF($JS$3:$KB$3,JS$60,$JS$4:$KB$4)))</f>
        <v>0</v>
      </c>
      <c r="JT102" s="199" t="n">
        <f aca="false">IF((SUMIF($JS$3:$KB$3,JT$60,$JS$4:$KB$4))=0,0,((SUMIF($JS$3:$KB$3,JT$60,$JS151:$KB151))/SUMIF($JS$3:$KB$3,JT$60,$JS$4:$KB$4)))</f>
        <v>0</v>
      </c>
      <c r="JU102" s="199" t="n">
        <f aca="false">IF((SUMIF($JS$3:$KB$3,JU$60,$JS$4:$KB$4))=0,0,((SUMIF($JS$3:$KB$3,JU$60,$JS151:$KB151))/SUMIF($JS$3:$KB$3,JU$60,$JS$4:$KB$4)))</f>
        <v>0</v>
      </c>
      <c r="JV102" s="199" t="n">
        <f aca="false">IF((SUMIF($JS$3:$KB$3,JV$60,$JS$4:$KB$4))=0,0,((SUMIF($JS$3:$KB$3,JV$60,$JS151:$KB151))/SUMIF($JS$3:$KB$3,JV$60,$JS$4:$KB$4)))</f>
        <v>0</v>
      </c>
      <c r="JW102" s="199" t="n">
        <f aca="false">IF((SUMIF($JS$3:$KB$3,JW$60,$JS$4:$KB$4))=0,0,((SUMIF($JS$3:$KB$3,JW$60,$JS151:$KB151))/SUMIF($JS$3:$KB$3,JW$60,$JS$4:$KB$4)))</f>
        <v>0</v>
      </c>
      <c r="JX102" s="199" t="n">
        <f aca="false">IF((SUMIF($JS$3:$KB$3,JX$60,$JS$4:$KB$4))=0,0,((SUMIF($JS$3:$KB$3,JX$60,$JS151:$KB151))/SUMIF($JS$3:$KB$3,JX$60,$JS$4:$KB$4)))</f>
        <v>0</v>
      </c>
      <c r="JY102" s="199" t="n">
        <f aca="false">IF((SUMIF($JS$3:$KB$3,JY$60,$JS$4:$KB$4))=0,0,((SUMIF($JS$3:$KB$3,JY$60,$JS151:$KB151))/SUMIF($JS$3:$KB$3,JY$60,$JS$4:$KB$4)))</f>
        <v>0</v>
      </c>
      <c r="JZ102" s="199" t="n">
        <f aca="false">IF((SUMIF($JS$3:$KB$3,JZ$60,$JS$4:$KB$4))=0,0,((SUMIF($JS$3:$KB$3,JZ$60,$JS151:$KB151))/SUMIF($JS$3:$KB$3,JZ$60,$JS$4:$KB$4)))</f>
        <v>0</v>
      </c>
      <c r="KA102" s="199" t="n">
        <f aca="false">IF((SUMIF($JS$3:$KB$3,KA$60,$JS$4:$KB$4))=0,0,((SUMIF($JS$3:$KB$3,KA$60,$JS151:$KB151))/SUMIF($JS$3:$KB$3,KA$60,$JS$4:$KB$4)))</f>
        <v>0</v>
      </c>
      <c r="KB102" s="200" t="n">
        <f aca="false">IF((SUMIF($JS$3:$KB$3,KB$60,$JS$4:$KB$4))=0,0,((SUMIF($JS$3:$KB$3,KB$60,$JS151:$KB151))/SUMIF($JS$3:$KB$3,KB$60,$JS$4:$KB$4)))</f>
        <v>0</v>
      </c>
      <c r="KC102" s="194" t="str">
        <f aca="false">JR102</f>
        <v>Alumno41</v>
      </c>
      <c r="KD102" s="198" t="n">
        <f aca="false">IF((SUMIF($KD$3:$KM$3,KD$60,$KD$4:$KM$4))=0,0,((SUMIF($KD$3:$KM$3,KD$60,$KD151:$KM151))/SUMIF($KD$3:$KM$3,KD$60,$KD$4:$KM$4)))</f>
        <v>0</v>
      </c>
      <c r="KE102" s="199" t="n">
        <f aca="false">IF((SUMIF($KD$3:$KM$3,KE$60,$KD$4:$KM$4))=0,0,((SUMIF($KD$3:$KM$3,KE$60,$KD151:$KM151))/SUMIF($KD$3:$KM$3,KE$60,$KD$4:$KM$4)))</f>
        <v>0</v>
      </c>
      <c r="KF102" s="199" t="n">
        <f aca="false">IF((SUMIF($KD$3:$KM$3,KF$60,$KD$4:$KM$4))=0,0,((SUMIF($KD$3:$KM$3,KF$60,$KD151:$KM151))/SUMIF($KD$3:$KM$3,KF$60,$KD$4:$KM$4)))</f>
        <v>0</v>
      </c>
      <c r="KG102" s="199" t="n">
        <f aca="false">IF((SUMIF($KD$3:$KM$3,KG$60,$KD$4:$KM$4))=0,0,((SUMIF($KD$3:$KM$3,KG$60,$KD151:$KM151))/SUMIF($KD$3:$KM$3,KG$60,$KD$4:$KM$4)))</f>
        <v>0</v>
      </c>
      <c r="KH102" s="199" t="n">
        <f aca="false">IF((SUMIF($KD$3:$KM$3,KH$60,$KD$4:$KM$4))=0,0,((SUMIF($KD$3:$KM$3,KH$60,$KD151:$KM151))/SUMIF($KD$3:$KM$3,KH$60,$KD$4:$KM$4)))</f>
        <v>0</v>
      </c>
      <c r="KI102" s="199" t="n">
        <f aca="false">IF((SUMIF($KD$3:$KM$3,KI$60,$KD$4:$KM$4))=0,0,((SUMIF($KD$3:$KM$3,KI$60,$KD151:$KM151))/SUMIF($KD$3:$KM$3,KI$60,$KD$4:$KM$4)))</f>
        <v>0</v>
      </c>
      <c r="KJ102" s="199" t="n">
        <f aca="false">IF((SUMIF($KD$3:$KM$3,KJ$60,$KD$4:$KM$4))=0,0,((SUMIF($KD$3:$KM$3,KJ$60,$KD151:$KM151))/SUMIF($KD$3:$KM$3,KJ$60,$KD$4:$KM$4)))</f>
        <v>0</v>
      </c>
      <c r="KK102" s="199" t="n">
        <f aca="false">IF((SUMIF($KD$3:$KM$3,KK$60,$KD$4:$KM$4))=0,0,((SUMIF($KD$3:$KM$3,KK$60,$KD151:$KM151))/SUMIF($KD$3:$KM$3,KK$60,$KD$4:$KM$4)))</f>
        <v>0</v>
      </c>
      <c r="KL102" s="199" t="n">
        <f aca="false">IF((SUMIF($KD$3:$KM$3,KL$60,$KD$4:$KM$4))=0,0,((SUMIF($KD$3:$KM$3,KL$60,$KD151:$KM151))/SUMIF($KD$3:$KM$3,KL$60,$KD$4:$KM$4)))</f>
        <v>0</v>
      </c>
      <c r="KM102" s="200" t="n">
        <f aca="false">IF((SUMIF($KD$3:$KM$3,KM$60,$KD$4:$KM$4))=0,0,((SUMIF($KD$3:$KM$3,KM$60,$KD151:$KM151))/SUMIF($KD$3:$KM$3,KM$60,$KD$4:$KM$4)))</f>
        <v>0</v>
      </c>
      <c r="KN102" s="194" t="str">
        <f aca="false">KC102</f>
        <v>Alumno41</v>
      </c>
      <c r="KO102" s="198" t="n">
        <f aca="false">IF((SUMIF($KO$3:$KX$3,KO$60,$KO$4:$KX$4))=0,0,((SUMIF($KO$3:$KX$3,KO$60,$KO151:$KX151))/SUMIF($KO$3:$KX$3,KO$60,$KO$4:$KX$4)))</f>
        <v>0</v>
      </c>
      <c r="KP102" s="199" t="n">
        <f aca="false">IF((SUMIF($KO$3:$KX$3,KP$60,$KO$4:$KX$4))=0,0,((SUMIF($KO$3:$KX$3,KP$60,$KO151:$KX151))/SUMIF($KO$3:$KX$3,KP$60,$KO$4:$KX$4)))</f>
        <v>0</v>
      </c>
      <c r="KQ102" s="199" t="n">
        <f aca="false">IF((SUMIF($KO$3:$KX$3,KQ$60,$KO$4:$KX$4))=0,0,((SUMIF($KO$3:$KX$3,KQ$60,$KO151:$KX151))/SUMIF($KO$3:$KX$3,KQ$60,$KO$4:$KX$4)))</f>
        <v>0</v>
      </c>
      <c r="KR102" s="199" t="n">
        <f aca="false">IF((SUMIF($KO$3:$KX$3,KR$60,$KO$4:$KX$4))=0,0,((SUMIF($KO$3:$KX$3,KR$60,$KO151:$KX151))/SUMIF($KO$3:$KX$3,KR$60,$KO$4:$KX$4)))</f>
        <v>0</v>
      </c>
      <c r="KS102" s="199" t="n">
        <f aca="false">IF((SUMIF($KO$3:$KX$3,KS$60,$KO$4:$KX$4))=0,0,((SUMIF($KO$3:$KX$3,KS$60,$KO151:$KX151))/SUMIF($KO$3:$KX$3,KS$60,$KO$4:$KX$4)))</f>
        <v>0</v>
      </c>
      <c r="KT102" s="199" t="n">
        <f aca="false">IF((SUMIF($KO$3:$KX$3,KT$60,$KO$4:$KX$4))=0,0,((SUMIF($KO$3:$KX$3,KT$60,$KO151:$KX151))/SUMIF($KO$3:$KX$3,KT$60,$KO$4:$KX$4)))</f>
        <v>0</v>
      </c>
      <c r="KU102" s="199" t="n">
        <f aca="false">IF((SUMIF($KO$3:$KX$3,KU$60,$KO$4:$KX$4))=0,0,((SUMIF($KO$3:$KX$3,KU$60,$KO151:$KX151))/SUMIF($KO$3:$KX$3,KU$60,$KO$4:$KX$4)))</f>
        <v>0</v>
      </c>
      <c r="KV102" s="199" t="n">
        <f aca="false">IF((SUMIF($KO$3:$KX$3,KV$60,$KO$4:$KX$4))=0,0,((SUMIF($KO$3:$KX$3,KV$60,$KO151:$KX151))/SUMIF($KO$3:$KX$3,KV$60,$KO$4:$KX$4)))</f>
        <v>0</v>
      </c>
      <c r="KW102" s="199" t="n">
        <f aca="false">IF((SUMIF($KO$3:$KX$3,KW$60,$KO$4:$KX$4))=0,0,((SUMIF($KO$3:$KX$3,KW$60,$KO151:$KX151))/SUMIF($KO$3:$KX$3,KW$60,$KO$4:$KX$4)))</f>
        <v>0</v>
      </c>
      <c r="KX102" s="200" t="n">
        <f aca="false">IF((SUMIF($KO$3:$KX$3,KX$60,$KO$4:$KX$4))=0,0,((SUMIF($KO$3:$KX$3,KX$60,$KO151:$KX151))/SUMIF($KO$3:$KX$3,KX$60,$KO$4:$KX$4)))</f>
        <v>0</v>
      </c>
      <c r="KY102" s="194" t="str">
        <f aca="false">KN102</f>
        <v>Alumno41</v>
      </c>
      <c r="KZ102" s="198" t="n">
        <f aca="false">IF((SUMIF($KZ$3:$LI$3,KZ$60,$KZ$4:$LI$4))=0,0,((SUMIF($KZ$3:$LI$3,KZ$60,$KZ151:$LI151))/SUMIF($KZ$3:$LI$3,KZ$60,$KZ$4:$LI$4)))</f>
        <v>0</v>
      </c>
      <c r="LA102" s="199" t="n">
        <f aca="false">IF((SUMIF($KZ$3:$LI$3,LA$60,$KZ$4:$LI$4))=0,0,((SUMIF($KZ$3:$LI$3,LA$60,$KZ151:$LI151))/SUMIF($KZ$3:$LI$3,LA$60,$KZ$4:$LI$4)))</f>
        <v>0</v>
      </c>
      <c r="LB102" s="199" t="n">
        <f aca="false">IF((SUMIF($KZ$3:$LI$3,LB$60,$KZ$4:$LI$4))=0,0,((SUMIF($KZ$3:$LI$3,LB$60,$KZ151:$LI151))/SUMIF($KZ$3:$LI$3,LB$60,$KZ$4:$LI$4)))</f>
        <v>0</v>
      </c>
      <c r="LC102" s="199" t="n">
        <f aca="false">IF((SUMIF($KZ$3:$LI$3,LC$60,$KZ$4:$LI$4))=0,0,((SUMIF($KZ$3:$LI$3,LC$60,$KZ151:$LI151))/SUMIF($KZ$3:$LI$3,LC$60,$KZ$4:$LI$4)))</f>
        <v>0</v>
      </c>
      <c r="LD102" s="199" t="n">
        <f aca="false">IF((SUMIF($KZ$3:$LI$3,LD$60,$KZ$4:$LI$4))=0,0,((SUMIF($KZ$3:$LI$3,LD$60,$KZ151:$LI151))/SUMIF($KZ$3:$LI$3,LD$60,$KZ$4:$LI$4)))</f>
        <v>0</v>
      </c>
      <c r="LE102" s="199" t="n">
        <f aca="false">IF((SUMIF($KZ$3:$LI$3,LE$60,$KZ$4:$LI$4))=0,0,((SUMIF($KZ$3:$LI$3,LE$60,$KZ151:$LI151))/SUMIF($KZ$3:$LI$3,LE$60,$KZ$4:$LI$4)))</f>
        <v>0</v>
      </c>
      <c r="LF102" s="199" t="n">
        <f aca="false">IF((SUMIF($KZ$3:$LI$3,LF$60,$KZ$4:$LI$4))=0,0,((SUMIF($KZ$3:$LI$3,LF$60,$KZ151:$LI151))/SUMIF($KZ$3:$LI$3,LF$60,$KZ$4:$LI$4)))</f>
        <v>0</v>
      </c>
      <c r="LG102" s="199" t="n">
        <f aca="false">IF((SUMIF($KZ$3:$LI$3,LG$60,$KZ$4:$LI$4))=0,0,((SUMIF($KZ$3:$LI$3,LG$60,$KZ151:$LI151))/SUMIF($KZ$3:$LI$3,LG$60,$KZ$4:$LI$4)))</f>
        <v>0</v>
      </c>
      <c r="LH102" s="199" t="n">
        <f aca="false">IF((SUMIF($KZ$3:$LI$3,LH$60,$KZ$4:$LI$4))=0,0,((SUMIF($KZ$3:$LI$3,LH$60,$KZ151:$LI151))/SUMIF($KZ$3:$LI$3,LH$60,$KZ$4:$LI$4)))</f>
        <v>0</v>
      </c>
      <c r="LI102" s="200" t="n">
        <f aca="false">IF((SUMIF($KZ$3:$LI$3,LI$60,$KZ$4:$LI$4))=0,0,((SUMIF($KZ$3:$LI$3,LI$60,$KZ151:$LI151))/SUMIF($KZ$3:$LI$3,LI$60,$KZ$4:$LI$4)))</f>
        <v>0</v>
      </c>
      <c r="LJ102" s="194" t="str">
        <f aca="false">KY102</f>
        <v>Alumno41</v>
      </c>
      <c r="LK102" s="198" t="n">
        <f aca="false">IF((SUMIF($LK$3:$LT$3,LK$60,$LK$4:$LT$4))=0,0,((SUMIF($LK$3:$LT$3,LK$60,$LK151:$LT151))/SUMIF($LK$3:$LT$3,LK$60,$LK$4:$LT$4)))</f>
        <v>0</v>
      </c>
      <c r="LL102" s="199" t="n">
        <f aca="false">IF((SUMIF($LK$3:$LT$3,LL$60,$LK$4:$LT$4))=0,0,((SUMIF($LK$3:$LT$3,LL$60,$LK151:$LT151))/SUMIF($LK$3:$LT$3,LL$60,$LK$4:$LT$4)))</f>
        <v>0</v>
      </c>
      <c r="LM102" s="199" t="n">
        <f aca="false">IF((SUMIF($LK$3:$LT$3,LM$60,$LK$4:$LT$4))=0,0,((SUMIF($LK$3:$LT$3,LM$60,$LK151:$LT151))/SUMIF($LK$3:$LT$3,LM$60,$LK$4:$LT$4)))</f>
        <v>0</v>
      </c>
      <c r="LN102" s="199" t="n">
        <f aca="false">IF((SUMIF($LK$3:$LT$3,LN$60,$LK$4:$LT$4))=0,0,((SUMIF($LK$3:$LT$3,LN$60,$LK151:$LT151))/SUMIF($LK$3:$LT$3,LN$60,$LK$4:$LT$4)))</f>
        <v>0</v>
      </c>
      <c r="LO102" s="199" t="n">
        <f aca="false">IF((SUMIF($LK$3:$LT$3,LO$60,$LK$4:$LT$4))=0,0,((SUMIF($LK$3:$LT$3,LO$60,$LK151:$LT151))/SUMIF($LK$3:$LT$3,LO$60,$LK$4:$LT$4)))</f>
        <v>0</v>
      </c>
      <c r="LP102" s="199" t="n">
        <f aca="false">IF((SUMIF($LK$3:$LT$3,LP$60,$LK$4:$LT$4))=0,0,((SUMIF($LK$3:$LT$3,LP$60,$LK151:$LT151))/SUMIF($LK$3:$LT$3,LP$60,$LK$4:$LT$4)))</f>
        <v>0</v>
      </c>
      <c r="LQ102" s="199" t="n">
        <f aca="false">IF((SUMIF($LK$3:$LT$3,LQ$60,$LK$4:$LT$4))=0,0,((SUMIF($LK$3:$LT$3,LQ$60,$LK151:$LT151))/SUMIF($LK$3:$LT$3,LQ$60,$LK$4:$LT$4)))</f>
        <v>0</v>
      </c>
      <c r="LR102" s="199" t="n">
        <f aca="false">IF((SUMIF($LK$3:$LT$3,LR$60,$LK$4:$LT$4))=0,0,((SUMIF($LK$3:$LT$3,LR$60,$LK151:$LT151))/SUMIF($LK$3:$LT$3,LR$60,$LK$4:$LT$4)))</f>
        <v>0</v>
      </c>
      <c r="LS102" s="199" t="n">
        <f aca="false">IF((SUMIF($LK$3:$LT$3,LS$60,$LK$4:$LT$4))=0,0,((SUMIF($LK$3:$LT$3,LS$60,$LK151:$LT151))/SUMIF($LK$3:$LT$3,LS$60,$LK$4:$LT$4)))</f>
        <v>0</v>
      </c>
      <c r="LT102" s="200" t="n">
        <f aca="false">IF((SUMIF($LK$3:$LT$3,LT$60,$LK$4:$LT$4))=0,0,((SUMIF($LK$3:$LT$3,LT$60,$LK151:$LT151))/SUMIF($LK$3:$LT$3,LT$60,$LK$4:$LT$4)))</f>
        <v>0</v>
      </c>
    </row>
    <row r="103" customFormat="false" ht="15" hidden="true" customHeight="false" outlineLevel="0" collapsed="false">
      <c r="C103" s="194" t="str">
        <f aca="false">B47</f>
        <v>Alumno42</v>
      </c>
      <c r="D103" s="198" t="n">
        <f aca="false">IF((SUMIF($D$3:$M$3,D$60,$D$4:$M$4))=0,0,((SUMIF($D$3:$M$3,D$60,$D152:$M152))/SUMIF($D$3:$M$3,D$60,$D$4:$M$4)))</f>
        <v>0</v>
      </c>
      <c r="E103" s="199" t="n">
        <f aca="false">IF((SUMIF($D$3:$M$3,E$60,$D$4:$M$4))=0,0,((SUMIF($D$3:$M$3,E$60,$D152:$M152))/SUMIF($D$3:$M$3,E$60,$D$4:$M$4)))</f>
        <v>0</v>
      </c>
      <c r="F103" s="199" t="n">
        <f aca="false">IF((SUMIF($D$3:$M$3,F$60,$D$4:$M$4))=0,0,((SUMIF($D$3:$M$3,F$60,$D152:$M152))/SUMIF($D$3:$M$3,F$60,$D$4:$M$4)))</f>
        <v>0</v>
      </c>
      <c r="G103" s="199" t="n">
        <f aca="false">IF((SUMIF($D$3:$M$3,G$60,$D$4:$M$4))=0,0,((SUMIF($D$3:$M$3,G$60,$D152:$M152))/SUMIF($D$3:$M$3,G$60,$D$4:$M$4)))</f>
        <v>0</v>
      </c>
      <c r="H103" s="199" t="n">
        <f aca="false">IF((SUMIF($D$3:$M$3,H$60,$D$4:$M$4))=0,0,((SUMIF($D$3:$M$3,H$60,$D152:$M152))/SUMIF($D$3:$M$3,H$60,$D$4:$M$4)))</f>
        <v>0</v>
      </c>
      <c r="I103" s="199" t="n">
        <f aca="false">IF((SUMIF($D$3:$M$3,I$60,$D$4:$M$4))=0,0,((SUMIF($D$3:$M$3,I$60,$D152:$M152))/SUMIF($D$3:$M$3,I$60,$D$4:$M$4)))</f>
        <v>0</v>
      </c>
      <c r="J103" s="199" t="n">
        <f aca="false">IF((SUMIF($D$3:$M$3,J$60,$D$4:$M$4))=0,0,((SUMIF($D$3:$M$3,J$60,$D152:$M152))/SUMIF($D$3:$M$3,J$60,$D$4:$M$4)))</f>
        <v>0</v>
      </c>
      <c r="K103" s="199" t="n">
        <f aca="false">IF((SUMIF($D$3:$M$3,K$60,$D$4:$M$4))=0,0,((SUMIF($D$3:$M$3,K$60,$D152:$M152))/SUMIF($D$3:$M$3,K$60,$D$4:$M$4)))</f>
        <v>0</v>
      </c>
      <c r="L103" s="199" t="n">
        <f aca="false">IF((SUMIF($D$3:$M$3,L$60,$D$4:$M$4))=0,0,((SUMIF($D$3:$M$3,L$60,$D152:$M152))/SUMIF($D$3:$M$3,L$60,$D$4:$M$4)))</f>
        <v>0</v>
      </c>
      <c r="M103" s="200" t="n">
        <f aca="false">IF((SUMIF($D$3:$M$3,M$60,$D$4:$M$4))=0,0,((SUMIF($D$3:$M$3,M$60,$D152:$M152))/SUMIF($D$3:$M$3,M$60,$D$4:$M$4)))</f>
        <v>0</v>
      </c>
      <c r="N103" s="194" t="str">
        <f aca="false">C103</f>
        <v>Alumno42</v>
      </c>
      <c r="O103" s="198" t="n">
        <f aca="false">IF((SUMIF($O$3:$X$3,O$60,$O$4:$X$4))=0,0,((SUMIF($O$3:$X$3,O$60,$O152:$X152))/SUMIF($O$3:$X$3,O$60,$O$4:$X$4)))</f>
        <v>0</v>
      </c>
      <c r="P103" s="199" t="n">
        <f aca="false">IF((SUMIF($O$3:$X$3,P$60,$O$4:$X$4))=0,0,((SUMIF($O$3:$X$3,P$60,$O152:$X152))/SUMIF($O$3:$X$3,P$60,$O$4:$X$4)))</f>
        <v>0</v>
      </c>
      <c r="Q103" s="199" t="n">
        <f aca="false">IF((SUMIF($O$3:$X$3,Q$60,$O$4:$X$4))=0,0,((SUMIF($O$3:$X$3,Q$60,$O152:$X152))/SUMIF($O$3:$X$3,Q$60,$O$4:$X$4)))</f>
        <v>0</v>
      </c>
      <c r="R103" s="199" t="n">
        <f aca="false">IF((SUMIF($O$3:$X$3,R$60,$O$4:$X$4))=0,0,((SUMIF($O$3:$X$3,R$60,$O152:$X152))/SUMIF($O$3:$X$3,R$60,$O$4:$X$4)))</f>
        <v>0</v>
      </c>
      <c r="S103" s="199" t="n">
        <f aca="false">IF((SUMIF($O$3:$X$3,S$60,$O$4:$X$4))=0,0,((SUMIF($O$3:$X$3,S$60,$O152:$X152))/SUMIF($O$3:$X$3,S$60,$O$4:$X$4)))</f>
        <v>0</v>
      </c>
      <c r="T103" s="199" t="n">
        <f aca="false">IF((SUMIF($O$3:$X$3,T$60,$O$4:$X$4))=0,0,((SUMIF($O$3:$X$3,T$60,$O152:$X152))/SUMIF($O$3:$X$3,T$60,$O$4:$X$4)))</f>
        <v>0</v>
      </c>
      <c r="U103" s="199" t="n">
        <f aca="false">IF((SUMIF($O$3:$X$3,U$60,$O$4:$X$4))=0,0,((SUMIF($O$3:$X$3,U$60,$O152:$X152))/SUMIF($O$3:$X$3,U$60,$O$4:$X$4)))</f>
        <v>0</v>
      </c>
      <c r="V103" s="199" t="n">
        <f aca="false">IF((SUMIF($O$3:$X$3,V$60,$O$4:$X$4))=0,0,((SUMIF($O$3:$X$3,V$60,$O152:$X152))/SUMIF($O$3:$X$3,V$60,$O$4:$X$4)))</f>
        <v>0</v>
      </c>
      <c r="W103" s="199" t="n">
        <f aca="false">IF((SUMIF($O$3:$X$3,W$60,$O$4:$X$4))=0,0,((SUMIF($O$3:$X$3,W$60,$O152:$X152))/SUMIF($O$3:$X$3,W$60,$O$4:$X$4)))</f>
        <v>0</v>
      </c>
      <c r="X103" s="200" t="n">
        <f aca="false">IF((SUMIF($O$3:$X$3,X$60,$O$4:$X$4))=0,0,((SUMIF($O$3:$X$3,X$60,$O152:$X152))/SUMIF($O$3:$X$3,X$60,$O$4:$X$4)))</f>
        <v>0</v>
      </c>
      <c r="Y103" s="194" t="str">
        <f aca="false">N103</f>
        <v>Alumno42</v>
      </c>
      <c r="Z103" s="198" t="n">
        <f aca="false">IF((SUMIF($Z$3:$AI$3,Z$60,$Z$4:$AI$4))=0,0,((SUMIF($Z$3:$AI$3,Z$60,$Z152:$AI152))/SUMIF($Z$3:$AI$3,Z$60,$Z$4:$AI$4)))</f>
        <v>0</v>
      </c>
      <c r="AA103" s="199" t="n">
        <f aca="false">IF((SUMIF($Z$3:$AI$3,AA$60,$Z$4:$AI$4))=0,0,((SUMIF($Z$3:$AI$3,AA$60,$Z152:$AI152))/SUMIF($Z$3:$AI$3,AA$60,$Z$4:$AI$4)))</f>
        <v>0</v>
      </c>
      <c r="AB103" s="199" t="n">
        <f aca="false">IF((SUMIF($Z$3:$AI$3,AB$60,$Z$4:$AI$4))=0,0,((SUMIF($Z$3:$AI$3,AB$60,$Z152:$AI152))/SUMIF($Z$3:$AI$3,AB$60,$Z$4:$AI$4)))</f>
        <v>0</v>
      </c>
      <c r="AC103" s="199" t="n">
        <f aca="false">IF((SUMIF($Z$3:$AI$3,AC$60,$Z$4:$AI$4))=0,0,((SUMIF($Z$3:$AI$3,AC$60,$Z152:$AI152))/SUMIF($Z$3:$AI$3,AC$60,$Z$4:$AI$4)))</f>
        <v>0</v>
      </c>
      <c r="AD103" s="199" t="n">
        <f aca="false">IF((SUMIF($Z$3:$AI$3,AD$60,$Z$4:$AI$4))=0,0,((SUMIF($Z$3:$AI$3,AD$60,$Z152:$AI152))/SUMIF($Z$3:$AI$3,AD$60,$Z$4:$AI$4)))</f>
        <v>0</v>
      </c>
      <c r="AE103" s="199" t="n">
        <f aca="false">IF((SUMIF($Z$3:$AI$3,AE$60,$Z$4:$AI$4))=0,0,((SUMIF($Z$3:$AI$3,AE$60,$Z152:$AI152))/SUMIF($Z$3:$AI$3,AE$60,$Z$4:$AI$4)))</f>
        <v>0</v>
      </c>
      <c r="AF103" s="199" t="n">
        <f aca="false">IF((SUMIF($Z$3:$AI$3,AF$60,$Z$4:$AI$4))=0,0,((SUMIF($Z$3:$AI$3,AF$60,$Z152:$AI152))/SUMIF($Z$3:$AI$3,AF$60,$Z$4:$AI$4)))</f>
        <v>0</v>
      </c>
      <c r="AG103" s="199" t="n">
        <f aca="false">IF((SUMIF($Z$3:$AI$3,AG$60,$Z$4:$AI$4))=0,0,((SUMIF($Z$3:$AI$3,AG$60,$Z152:$AI152))/SUMIF($Z$3:$AI$3,AG$60,$Z$4:$AI$4)))</f>
        <v>0</v>
      </c>
      <c r="AH103" s="199" t="n">
        <f aca="false">IF((SUMIF($Z$3:$AI$3,AH$60,$Z$4:$AI$4))=0,0,((SUMIF($Z$3:$AI$3,AH$60,$Z152:$AI152))/SUMIF($Z$3:$AI$3,AH$60,$Z$4:$AI$4)))</f>
        <v>0</v>
      </c>
      <c r="AI103" s="200" t="n">
        <f aca="false">IF((SUMIF($Z$3:$AI$3,AI$60,$Z$4:$AI$4))=0,0,((SUMIF($Z$3:$AI$3,AI$60,$Z152:$AI152))/SUMIF($Z$3:$AI$3,AI$60,$Z$4:$AI$4)))</f>
        <v>0</v>
      </c>
      <c r="AJ103" s="194" t="str">
        <f aca="false">Y103</f>
        <v>Alumno42</v>
      </c>
      <c r="AK103" s="198" t="n">
        <f aca="false">IF((SUMIF($AK$3:$AT$3,AK$60,$AK$4:$AT$4))=0,0,((SUMIF($AK$3:$AT$3,AK$60,$AK152:$AT152))/SUMIF($AK$3:$AT$3,AK$60,$AK$4:$AT$4)))</f>
        <v>0</v>
      </c>
      <c r="AL103" s="199" t="n">
        <f aca="false">IF((SUMIF($AK$3:$AT$3,AL$60,$AK$4:$AT$4))=0,0,((SUMIF($AK$3:$AT$3,AL$60,$AK152:$AT152))/SUMIF($AK$3:$AT$3,AL$60,$AK$4:$AT$4)))</f>
        <v>0</v>
      </c>
      <c r="AM103" s="199" t="n">
        <f aca="false">IF((SUMIF($AK$3:$AT$3,AM$60,$AK$4:$AT$4))=0,0,((SUMIF($AK$3:$AT$3,AM$60,$AK152:$AT152))/SUMIF($AK$3:$AT$3,AM$60,$AK$4:$AT$4)))</f>
        <v>0</v>
      </c>
      <c r="AN103" s="199" t="n">
        <f aca="false">IF((SUMIF($AK$3:$AT$3,AN$60,$AK$4:$AT$4))=0,0,((SUMIF($AK$3:$AT$3,AN$60,$AK152:$AT152))/SUMIF($AK$3:$AT$3,AN$60,$AK$4:$AT$4)))</f>
        <v>0</v>
      </c>
      <c r="AO103" s="199" t="n">
        <f aca="false">IF((SUMIF($AK$3:$AT$3,AO$60,$AK$4:$AT$4))=0,0,((SUMIF($AK$3:$AT$3,AO$60,$AK152:$AT152))/SUMIF($AK$3:$AT$3,AO$60,$AK$4:$AT$4)))</f>
        <v>0</v>
      </c>
      <c r="AP103" s="199" t="n">
        <f aca="false">IF((SUMIF($AK$3:$AT$3,AP$60,$AK$4:$AT$4))=0,0,((SUMIF($AK$3:$AT$3,AP$60,$AK152:$AT152))/SUMIF($AK$3:$AT$3,AP$60,$AK$4:$AT$4)))</f>
        <v>0</v>
      </c>
      <c r="AQ103" s="199" t="n">
        <f aca="false">IF((SUMIF($AK$3:$AT$3,AQ$60,$AK$4:$AT$4))=0,0,((SUMIF($AK$3:$AT$3,AQ$60,$AK152:$AT152))/SUMIF($AK$3:$AT$3,AQ$60,$AK$4:$AT$4)))</f>
        <v>0</v>
      </c>
      <c r="AR103" s="199" t="n">
        <f aca="false">IF((SUMIF($AK$3:$AT$3,AR$60,$AK$4:$AT$4))=0,0,((SUMIF($AK$3:$AT$3,AR$60,$AK152:$AT152))/SUMIF($AK$3:$AT$3,AR$60,$AK$4:$AT$4)))</f>
        <v>0</v>
      </c>
      <c r="AS103" s="199" t="n">
        <f aca="false">IF((SUMIF($AK$3:$AT$3,AS$60,$AK$4:$AT$4))=0,0,((SUMIF($AK$3:$AT$3,AS$60,$AK152:$AT152))/SUMIF($AK$3:$AT$3,AS$60,$AK$4:$AT$4)))</f>
        <v>0</v>
      </c>
      <c r="AT103" s="200" t="n">
        <f aca="false">IF((SUMIF($AK$3:$AT$3,AT$60,$AK$4:$AT$4))=0,0,((SUMIF($AK$3:$AT$3,AT$60,$AK152:$AT152))/SUMIF($AK$3:$AT$3,AT$60,$AK$4:$AT$4)))</f>
        <v>0</v>
      </c>
      <c r="AU103" s="194" t="str">
        <f aca="false">AJ103</f>
        <v>Alumno42</v>
      </c>
      <c r="AV103" s="198" t="n">
        <f aca="false">IF((SUMIF($AV$3:$BE$3,AV$60,$AV$4:$BE$4))=0,0,((SUMIF($AV$3:$BE$3,AV$60,$AV152:$BE152))/SUMIF($AV$3:$BE$3,AV$60,$AV$4:$BE$4)))</f>
        <v>0</v>
      </c>
      <c r="AW103" s="199" t="n">
        <f aca="false">IF((SUMIF($AV$3:$BE$3,AW$60,$AV$4:$BE$4))=0,0,((SUMIF($AV$3:$BE$3,AW$60,$AV152:$BE152))/SUMIF($AV$3:$BE$3,AW$60,$AV$4:$BE$4)))</f>
        <v>0</v>
      </c>
      <c r="AX103" s="199" t="n">
        <f aca="false">IF((SUMIF($AV$3:$BE$3,AX$60,$AV$4:$BE$4))=0,0,((SUMIF($AV$3:$BE$3,AX$60,$AV152:$BE152))/SUMIF($AV$3:$BE$3,AX$60,$AV$4:$BE$4)))</f>
        <v>0</v>
      </c>
      <c r="AY103" s="199" t="n">
        <f aca="false">IF((SUMIF($AV$3:$BE$3,AY$60,$AV$4:$BE$4))=0,0,((SUMIF($AV$3:$BE$3,AY$60,$AV152:$BE152))/SUMIF($AV$3:$BE$3,AY$60,$AV$4:$BE$4)))</f>
        <v>0</v>
      </c>
      <c r="AZ103" s="199" t="n">
        <f aca="false">IF((SUMIF($AV$3:$BE$3,AZ$60,$AV$4:$BE$4))=0,0,((SUMIF($AV$3:$BE$3,AZ$60,$AV152:$BE152))/SUMIF($AV$3:$BE$3,AZ$60,$AV$4:$BE$4)))</f>
        <v>0</v>
      </c>
      <c r="BA103" s="199" t="n">
        <f aca="false">IF((SUMIF($AV$3:$BE$3,BA$60,$AV$4:$BE$4))=0,0,((SUMIF($AV$3:$BE$3,BA$60,$AV152:$BE152))/SUMIF($AV$3:$BE$3,BA$60,$AV$4:$BE$4)))</f>
        <v>0</v>
      </c>
      <c r="BB103" s="199" t="n">
        <f aca="false">IF((SUMIF($AV$3:$BE$3,BB$60,$AV$4:$BE$4))=0,0,((SUMIF($AV$3:$BE$3,BB$60,$AV152:$BE152))/SUMIF($AV$3:$BE$3,BB$60,$AV$4:$BE$4)))</f>
        <v>0</v>
      </c>
      <c r="BC103" s="199" t="n">
        <f aca="false">IF((SUMIF($AV$3:$BE$3,BC$60,$AV$4:$BE$4))=0,0,((SUMIF($AV$3:$BE$3,BC$60,$AV152:$BE152))/SUMIF($AV$3:$BE$3,BC$60,$AV$4:$BE$4)))</f>
        <v>0</v>
      </c>
      <c r="BD103" s="199" t="n">
        <f aca="false">IF((SUMIF($AV$3:$BE$3,BD$60,$AV$4:$BE$4))=0,0,((SUMIF($AV$3:$BE$3,BD$60,$AV152:$BE152))/SUMIF($AV$3:$BE$3,BD$60,$AV$4:$BE$4)))</f>
        <v>0</v>
      </c>
      <c r="BE103" s="200" t="n">
        <f aca="false">IF((SUMIF($AV$3:$BE$3,BE$60,$AV$4:$BE$4))=0,0,((SUMIF($AV$3:$BE$3,BE$60,$AV152:$BE152))/SUMIF($AV$3:$BE$3,BE$60,$AV$4:$BE$4)))</f>
        <v>0</v>
      </c>
      <c r="BF103" s="194" t="str">
        <f aca="false">AU103</f>
        <v>Alumno42</v>
      </c>
      <c r="BG103" s="198" t="n">
        <f aca="false">IF((SUMIF($BG$3:$BP$3,BG$60,$BG$4:$BP$4))=0,0,((SUMIF($BG$3:$BP$3,BG$60,$BG152:$BP152))/SUMIF($BG$3:$BP$3,BG$60,$BG$4:$BP$4)))</f>
        <v>0</v>
      </c>
      <c r="BH103" s="199" t="n">
        <f aca="false">IF((SUMIF($BG$3:$BP$3,BH$60,$BG$4:$BP$4))=0,0,((SUMIF($BG$3:$BP$3,BH$60,$BG152:$BP152))/SUMIF($BG$3:$BP$3,BH$60,$BG$4:$BP$4)))</f>
        <v>0</v>
      </c>
      <c r="BI103" s="199" t="n">
        <f aca="false">IF((SUMIF($BG$3:$BP$3,BI$60,$BG$4:$BP$4))=0,0,((SUMIF($BG$3:$BP$3,BI$60,$BG152:$BP152))/SUMIF($BG$3:$BP$3,BI$60,$BG$4:$BP$4)))</f>
        <v>0</v>
      </c>
      <c r="BJ103" s="199" t="n">
        <f aca="false">IF((SUMIF($BG$3:$BP$3,BJ$60,$BG$4:$BP$4))=0,0,((SUMIF($BG$3:$BP$3,BJ$60,$BG152:$BP152))/SUMIF($BG$3:$BP$3,BJ$60,$BG$4:$BP$4)))</f>
        <v>0</v>
      </c>
      <c r="BK103" s="199" t="n">
        <f aca="false">IF((SUMIF($BG$3:$BP$3,BK$60,$BG$4:$BP$4))=0,0,((SUMIF($BG$3:$BP$3,BK$60,$BG152:$BP152))/SUMIF($BG$3:$BP$3,BK$60,$BG$4:$BP$4)))</f>
        <v>0</v>
      </c>
      <c r="BL103" s="199" t="n">
        <f aca="false">IF((SUMIF($BG$3:$BP$3,BL$60,$BG$4:$BP$4))=0,0,((SUMIF($BG$3:$BP$3,BL$60,$BG152:$BP152))/SUMIF($BG$3:$BP$3,BL$60,$BG$4:$BP$4)))</f>
        <v>0</v>
      </c>
      <c r="BM103" s="199" t="n">
        <f aca="false">IF((SUMIF($BG$3:$BP$3,BM$60,$BG$4:$BP$4))=0,0,((SUMIF($BG$3:$BP$3,BM$60,$BG152:$BP152))/SUMIF($BG$3:$BP$3,BM$60,$BG$4:$BP$4)))</f>
        <v>0</v>
      </c>
      <c r="BN103" s="199" t="n">
        <f aca="false">IF((SUMIF($BG$3:$BP$3,BN$60,$BG$4:$BP$4))=0,0,((SUMIF($BG$3:$BP$3,BN$60,$BG152:$BP152))/SUMIF($BG$3:$BP$3,BN$60,$BG$4:$BP$4)))</f>
        <v>0</v>
      </c>
      <c r="BO103" s="199" t="n">
        <f aca="false">IF((SUMIF($BG$3:$BP$3,BO$60,$BG$4:$BP$4))=0,0,((SUMIF($BG$3:$BP$3,BO$60,$BG152:$BP152))/SUMIF($BG$3:$BP$3,BO$60,$BG$4:$BP$4)))</f>
        <v>0</v>
      </c>
      <c r="BP103" s="200" t="n">
        <f aca="false">IF((SUMIF($BG$3:$BP$3,BP$60,$BG$4:$BP$4))=0,0,((SUMIF($BG$3:$BP$3,BP$60,$BG152:$BP152))/SUMIF($BG$3:$BP$3,BP$60,$BG$4:$BP$4)))</f>
        <v>0</v>
      </c>
      <c r="BQ103" s="194" t="str">
        <f aca="false">BF103</f>
        <v>Alumno42</v>
      </c>
      <c r="BR103" s="198" t="n">
        <f aca="false">IF((SUMIF($BR$3:$CA$3,BR$60,$BR$4:$CA$4))=0,0,((SUMIF($BR$3:$CA$3,BR$60,$BR152:$CA152))/SUMIF($BR$3:$CA$3,BR$60,$BR$4:$CA$4)))</f>
        <v>0</v>
      </c>
      <c r="BS103" s="199" t="n">
        <f aca="false">IF((SUMIF($BR$3:$CA$3,BS$60,$BR$4:$CA$4))=0,0,((SUMIF($BR$3:$CA$3,BS$60,$BR152:$CA152))/SUMIF($BR$3:$CA$3,BS$60,$BR$4:$CA$4)))</f>
        <v>0</v>
      </c>
      <c r="BT103" s="199" t="n">
        <f aca="false">IF((SUMIF($BR$3:$CA$3,BT$60,$BR$4:$CA$4))=0,0,((SUMIF($BR$3:$CA$3,BT$60,$BR152:$CA152))/SUMIF($BR$3:$CA$3,BT$60,$BR$4:$CA$4)))</f>
        <v>0</v>
      </c>
      <c r="BU103" s="199" t="n">
        <f aca="false">IF((SUMIF($BR$3:$CA$3,BU$60,$BR$4:$CA$4))=0,0,((SUMIF($BR$3:$CA$3,BU$60,$BR152:$CA152))/SUMIF($BR$3:$CA$3,BU$60,$BR$4:$CA$4)))</f>
        <v>0</v>
      </c>
      <c r="BV103" s="199" t="n">
        <f aca="false">IF((SUMIF($BR$3:$CA$3,BV$60,$BR$4:$CA$4))=0,0,((SUMIF($BR$3:$CA$3,BV$60,$BR152:$CA152))/SUMIF($BR$3:$CA$3,BV$60,$BR$4:$CA$4)))</f>
        <v>0</v>
      </c>
      <c r="BW103" s="199" t="n">
        <f aca="false">IF((SUMIF($BR$3:$CA$3,BW$60,$BR$4:$CA$4))=0,0,((SUMIF($BR$3:$CA$3,BW$60,$BR152:$CA152))/SUMIF($BR$3:$CA$3,BW$60,$BR$4:$CA$4)))</f>
        <v>0</v>
      </c>
      <c r="BX103" s="199" t="n">
        <f aca="false">IF((SUMIF($BR$3:$CA$3,BX$60,$BR$4:$CA$4))=0,0,((SUMIF($BR$3:$CA$3,BX$60,$BR152:$CA152))/SUMIF($BR$3:$CA$3,BX$60,$BR$4:$CA$4)))</f>
        <v>0</v>
      </c>
      <c r="BY103" s="199" t="n">
        <f aca="false">IF((SUMIF($BR$3:$CA$3,BY$60,$BR$4:$CA$4))=0,0,((SUMIF($BR$3:$CA$3,BY$60,$BR152:$CA152))/SUMIF($BR$3:$CA$3,BY$60,$BR$4:$CA$4)))</f>
        <v>0</v>
      </c>
      <c r="BZ103" s="199" t="n">
        <f aca="false">IF((SUMIF($BR$3:$CA$3,BZ$60,$BR$4:$CA$4))=0,0,((SUMIF($BR$3:$CA$3,BZ$60,$BR152:$CA152))/SUMIF($BR$3:$CA$3,BZ$60,$BR$4:$CA$4)))</f>
        <v>0</v>
      </c>
      <c r="CA103" s="200" t="n">
        <f aca="false">IF((SUMIF($BR$3:$CA$3,CA$60,$BR$4:$CA$4))=0,0,((SUMIF($BR$3:$CA$3,CA$60,$BR152:$CA152))/SUMIF($BR$3:$CA$3,CA$60,$BR$4:$CA$4)))</f>
        <v>0</v>
      </c>
      <c r="CB103" s="194" t="str">
        <f aca="false">BQ103</f>
        <v>Alumno42</v>
      </c>
      <c r="CC103" s="198" t="n">
        <f aca="false">IF((SUMIF($CC$3:$CL$3,CC$60,$CC$4:$CL$4))=0,0,((SUMIF($CC$3:$CL$3,CC$60,$CC152:$CL152))/SUMIF($CC$3:$CL$3,CC$60,$CC$4:$CL$4)))</f>
        <v>0</v>
      </c>
      <c r="CD103" s="199" t="n">
        <f aca="false">IF((SUMIF($CC$3:$CL$3,CD$60,$CC$4:$CL$4))=0,0,((SUMIF($CC$3:$CL$3,CD$60,$CC152:$CL152))/SUMIF($CC$3:$CL$3,CD$60,$CC$4:$CL$4)))</f>
        <v>0</v>
      </c>
      <c r="CE103" s="199" t="n">
        <f aca="false">IF((SUMIF($CC$3:$CL$3,CE$60,$CC$4:$CL$4))=0,0,((SUMIF($CC$3:$CL$3,CE$60,$CC152:$CL152))/SUMIF($CC$3:$CL$3,CE$60,$CC$4:$CL$4)))</f>
        <v>0</v>
      </c>
      <c r="CF103" s="199" t="n">
        <f aca="false">IF((SUMIF($CC$3:$CL$3,CF$60,$CC$4:$CL$4))=0,0,((SUMIF($CC$3:$CL$3,CF$60,$CC152:$CL152))/SUMIF($CC$3:$CL$3,CF$60,$CC$4:$CL$4)))</f>
        <v>0</v>
      </c>
      <c r="CG103" s="199" t="n">
        <f aca="false">IF((SUMIF($CC$3:$CL$3,CG$60,$CC$4:$CL$4))=0,0,((SUMIF($CC$3:$CL$3,CG$60,$CC152:$CL152))/SUMIF($CC$3:$CL$3,CG$60,$CC$4:$CL$4)))</f>
        <v>0</v>
      </c>
      <c r="CH103" s="199" t="n">
        <f aca="false">IF((SUMIF($CC$3:$CL$3,CH$60,$CC$4:$CL$4))=0,0,((SUMIF($CC$3:$CL$3,CH$60,$CC152:$CL152))/SUMIF($CC$3:$CL$3,CH$60,$CC$4:$CL$4)))</f>
        <v>0</v>
      </c>
      <c r="CI103" s="199" t="n">
        <f aca="false">IF((SUMIF($CC$3:$CL$3,CI$60,$CC$4:$CL$4))=0,0,((SUMIF($CC$3:$CL$3,CI$60,$CC152:$CL152))/SUMIF($CC$3:$CL$3,CI$60,$CC$4:$CL$4)))</f>
        <v>0</v>
      </c>
      <c r="CJ103" s="199" t="n">
        <f aca="false">IF((SUMIF($CC$3:$CL$3,CJ$60,$CC$4:$CL$4))=0,0,((SUMIF($CC$3:$CL$3,CJ$60,$CC152:$CL152))/SUMIF($CC$3:$CL$3,CJ$60,$CC$4:$CL$4)))</f>
        <v>0</v>
      </c>
      <c r="CK103" s="199" t="n">
        <f aca="false">IF((SUMIF($CC$3:$CL$3,CK$60,$CC$4:$CL$4))=0,0,((SUMIF($CC$3:$CL$3,CK$60,$CC152:$CL152))/SUMIF($CC$3:$CL$3,CK$60,$CC$4:$CL$4)))</f>
        <v>0</v>
      </c>
      <c r="CL103" s="200" t="n">
        <f aca="false">IF((SUMIF($CC$3:$CL$3,CL$60,$CC$4:$CL$4))=0,0,((SUMIF($CC$3:$CL$3,CL$60,$CC152:$CL152))/SUMIF($CC$3:$CL$3,CL$60,$CC$4:$CL$4)))</f>
        <v>0</v>
      </c>
      <c r="CM103" s="194" t="str">
        <f aca="false">CB103</f>
        <v>Alumno42</v>
      </c>
      <c r="CN103" s="198" t="n">
        <f aca="false">IF((SUMIF($CN$3:$CW$3,CN$60,$CN$4:$CW$4))=0,0,((SUMIF($CN$3:$CW$3,CN$60,$CN152:$CW152))/SUMIF($CN$3:$CW$3,CN$60,$CN$4:$CW$4)))</f>
        <v>0</v>
      </c>
      <c r="CO103" s="199" t="n">
        <f aca="false">IF((SUMIF($CN$3:$CW$3,CO$60,$CN$4:$CW$4))=0,0,((SUMIF($CN$3:$CW$3,CO$60,$CN152:$CW152))/SUMIF($CN$3:$CW$3,CO$60,$CN$4:$CW$4)))</f>
        <v>0</v>
      </c>
      <c r="CP103" s="199" t="n">
        <f aca="false">IF((SUMIF($CN$3:$CW$3,CP$60,$CN$4:$CW$4))=0,0,((SUMIF($CN$3:$CW$3,CP$60,$CN152:$CW152))/SUMIF($CN$3:$CW$3,CP$60,$CN$4:$CW$4)))</f>
        <v>0</v>
      </c>
      <c r="CQ103" s="199" t="n">
        <f aca="false">IF((SUMIF($CN$3:$CW$3,CQ$60,$CN$4:$CW$4))=0,0,((SUMIF($CN$3:$CW$3,CQ$60,$CN152:$CW152))/SUMIF($CN$3:$CW$3,CQ$60,$CN$4:$CW$4)))</f>
        <v>0</v>
      </c>
      <c r="CR103" s="199" t="n">
        <f aca="false">IF((SUMIF($CN$3:$CW$3,CR$60,$CN$4:$CW$4))=0,0,((SUMIF($CN$3:$CW$3,CR$60,$CN152:$CW152))/SUMIF($CN$3:$CW$3,CR$60,$CN$4:$CW$4)))</f>
        <v>0</v>
      </c>
      <c r="CS103" s="199" t="n">
        <f aca="false">IF((SUMIF($CN$3:$CW$3,CS$60,$CN$4:$CW$4))=0,0,((SUMIF($CN$3:$CW$3,CS$60,$CN152:$CW152))/SUMIF($CN$3:$CW$3,CS$60,$CN$4:$CW$4)))</f>
        <v>0</v>
      </c>
      <c r="CT103" s="199" t="n">
        <f aca="false">IF((SUMIF($CN$3:$CW$3,CT$60,$CN$4:$CW$4))=0,0,((SUMIF($CN$3:$CW$3,CT$60,$CN152:$CW152))/SUMIF($CN$3:$CW$3,CT$60,$CN$4:$CW$4)))</f>
        <v>0</v>
      </c>
      <c r="CU103" s="199" t="n">
        <f aca="false">IF((SUMIF($CN$3:$CW$3,CU$60,$CN$4:$CW$4))=0,0,((SUMIF($CN$3:$CW$3,CU$60,$CN152:$CW152))/SUMIF($CN$3:$CW$3,CU$60,$CN$4:$CW$4)))</f>
        <v>0</v>
      </c>
      <c r="CV103" s="199" t="n">
        <f aca="false">IF((SUMIF($CN$3:$CW$3,CV$60,$CN$4:$CW$4))=0,0,((SUMIF($CN$3:$CW$3,CV$60,$CN152:$CW152))/SUMIF($CN$3:$CW$3,CV$60,$CN$4:$CW$4)))</f>
        <v>0</v>
      </c>
      <c r="CW103" s="200" t="n">
        <f aca="false">IF((SUMIF($CN$3:$CW$3,CW$60,$CN$4:$CW$4))=0,0,((SUMIF($CN$3:$CW$3,CW$60,$CN152:$CW152))/SUMIF($CN$3:$CW$3,CW$60,$CN$4:$CW$4)))</f>
        <v>0</v>
      </c>
      <c r="CX103" s="194" t="str">
        <f aca="false">CM103</f>
        <v>Alumno42</v>
      </c>
      <c r="CY103" s="198" t="n">
        <f aca="false">IF((SUMIF($CY$3:$DH$3,CY$60,$CY$4:$DH$4))=0,0,((SUMIF($CY$3:$DH$3,CY$60,$CY152:$DH152))/SUMIF($CY$3:$DH$3,CY$60,$CY$4:$DH$4)))</f>
        <v>0</v>
      </c>
      <c r="CZ103" s="199" t="n">
        <f aca="false">IF((SUMIF($CY$3:$DH$3,CZ$60,$CY$4:$DH$4))=0,0,((SUMIF($CY$3:$DH$3,CZ$60,$CY152:$DH152))/SUMIF($CY$3:$DH$3,CZ$60,$CY$4:$DH$4)))</f>
        <v>0</v>
      </c>
      <c r="DA103" s="199" t="n">
        <f aca="false">IF((SUMIF($CY$3:$DH$3,DA$60,$CY$4:$DH$4))=0,0,((SUMIF($CY$3:$DH$3,DA$60,$CY152:$DH152))/SUMIF($CY$3:$DH$3,DA$60,$CY$4:$DH$4)))</f>
        <v>0</v>
      </c>
      <c r="DB103" s="199" t="n">
        <f aca="false">IF((SUMIF($CY$3:$DH$3,DB$60,$CY$4:$DH$4))=0,0,((SUMIF($CY$3:$DH$3,DB$60,$CY152:$DH152))/SUMIF($CY$3:$DH$3,DB$60,$CY$4:$DH$4)))</f>
        <v>0</v>
      </c>
      <c r="DC103" s="199" t="n">
        <f aca="false">IF((SUMIF($CY$3:$DH$3,DC$60,$CY$4:$DH$4))=0,0,((SUMIF($CY$3:$DH$3,DC$60,$CY152:$DH152))/SUMIF($CY$3:$DH$3,DC$60,$CY$4:$DH$4)))</f>
        <v>0</v>
      </c>
      <c r="DD103" s="199" t="n">
        <f aca="false">IF((SUMIF($CY$3:$DH$3,DD$60,$CY$4:$DH$4))=0,0,((SUMIF($CY$3:$DH$3,DD$60,$CY152:$DH152))/SUMIF($CY$3:$DH$3,DD$60,$CY$4:$DH$4)))</f>
        <v>0</v>
      </c>
      <c r="DE103" s="199" t="n">
        <f aca="false">IF((SUMIF($CY$3:$DH$3,DE$60,$CY$4:$DH$4))=0,0,((SUMIF($CY$3:$DH$3,DE$60,$CY152:$DH152))/SUMIF($CY$3:$DH$3,DE$60,$CY$4:$DH$4)))</f>
        <v>0</v>
      </c>
      <c r="DF103" s="199" t="n">
        <f aca="false">IF((SUMIF($CY$3:$DH$3,DF$60,$CY$4:$DH$4))=0,0,((SUMIF($CY$3:$DH$3,DF$60,$CY152:$DH152))/SUMIF($CY$3:$DH$3,DF$60,$CY$4:$DH$4)))</f>
        <v>0</v>
      </c>
      <c r="DG103" s="199" t="n">
        <f aca="false">IF((SUMIF($CY$3:$DH$3,DG$60,$CY$4:$DH$4))=0,0,((SUMIF($CY$3:$DH$3,DG$60,$CY152:$DH152))/SUMIF($CY$3:$DH$3,DG$60,$CY$4:$DH$4)))</f>
        <v>0</v>
      </c>
      <c r="DH103" s="200" t="n">
        <f aca="false">IF((SUMIF($CY$3:$DH$3,DH$60,$CY$4:$DH$4))=0,0,((SUMIF($CY$3:$DH$3,DH$60,$CY152:$DH152))/SUMIF($CY$3:$DH$3,DH$60,$CY$4:$DH$4)))</f>
        <v>0</v>
      </c>
      <c r="DI103" s="194" t="str">
        <f aca="false">CX103</f>
        <v>Alumno42</v>
      </c>
      <c r="DJ103" s="198" t="n">
        <f aca="false">IF((SUMIF($DJ$3:$DS$3,DJ$60,$DJ$4:$DS$4))=0,0,((SUMIF($DJ$3:$DS$3,DJ$60,$DJ152:$DS152))/SUMIF($DJ$3:$DS$3,DJ$60,$DJ$4:$DS$4)))</f>
        <v>0</v>
      </c>
      <c r="DK103" s="199" t="n">
        <f aca="false">IF((SUMIF($DJ$3:$DS$3,DK$60,$DJ$4:$DS$4))=0,0,((SUMIF($DJ$3:$DS$3,DK$60,$DJ152:$DS152))/SUMIF($DJ$3:$DS$3,DK$60,$DJ$4:$DS$4)))</f>
        <v>0</v>
      </c>
      <c r="DL103" s="199" t="n">
        <f aca="false">IF((SUMIF($DJ$3:$DS$3,DL$60,$DJ$4:$DS$4))=0,0,((SUMIF($DJ$3:$DS$3,DL$60,$DJ152:$DS152))/SUMIF($DJ$3:$DS$3,DL$60,$DJ$4:$DS$4)))</f>
        <v>0</v>
      </c>
      <c r="DM103" s="199" t="n">
        <f aca="false">IF((SUMIF($DJ$3:$DS$3,DM$60,$DJ$4:$DS$4))=0,0,((SUMIF($DJ$3:$DS$3,DM$60,$DJ152:$DS152))/SUMIF($DJ$3:$DS$3,DM$60,$DJ$4:$DS$4)))</f>
        <v>0</v>
      </c>
      <c r="DN103" s="199" t="n">
        <f aca="false">IF((SUMIF($DJ$3:$DS$3,DN$60,$DJ$4:$DS$4))=0,0,((SUMIF($DJ$3:$DS$3,DN$60,$DJ152:$DS152))/SUMIF($DJ$3:$DS$3,DN$60,$DJ$4:$DS$4)))</f>
        <v>0</v>
      </c>
      <c r="DO103" s="199" t="n">
        <f aca="false">IF((SUMIF($DJ$3:$DS$3,DO$60,$DJ$4:$DS$4))=0,0,((SUMIF($DJ$3:$DS$3,DO$60,$DJ152:$DS152))/SUMIF($DJ$3:$DS$3,DO$60,$DJ$4:$DS$4)))</f>
        <v>0</v>
      </c>
      <c r="DP103" s="199" t="n">
        <f aca="false">IF((SUMIF($DJ$3:$DS$3,DP$60,$DJ$4:$DS$4))=0,0,((SUMIF($DJ$3:$DS$3,DP$60,$DJ152:$DS152))/SUMIF($DJ$3:$DS$3,DP$60,$DJ$4:$DS$4)))</f>
        <v>0</v>
      </c>
      <c r="DQ103" s="199" t="n">
        <f aca="false">IF((SUMIF($DJ$3:$DS$3,DQ$60,$DJ$4:$DS$4))=0,0,((SUMIF($DJ$3:$DS$3,DQ$60,$DJ152:$DS152))/SUMIF($DJ$3:$DS$3,DQ$60,$DJ$4:$DS$4)))</f>
        <v>0</v>
      </c>
      <c r="DR103" s="199" t="n">
        <f aca="false">IF((SUMIF($DJ$3:$DS$3,DR$60,$DJ$4:$DS$4))=0,0,((SUMIF($DJ$3:$DS$3,DR$60,$DJ152:$DS152))/SUMIF($DJ$3:$DS$3,DR$60,$DJ$4:$DS$4)))</f>
        <v>0</v>
      </c>
      <c r="DS103" s="200" t="n">
        <f aca="false">IF((SUMIF($DJ$3:$DS$3,DS$60,$DJ$4:$DS$4))=0,0,((SUMIF($DJ$3:$DS$3,DS$60,$DJ152:$DS152))/SUMIF($DJ$3:$DS$3,DS$60,$DJ$4:$DS$4)))</f>
        <v>0</v>
      </c>
      <c r="DT103" s="194" t="str">
        <f aca="false">DI103</f>
        <v>Alumno42</v>
      </c>
      <c r="DU103" s="198" t="n">
        <f aca="false">IF((SUMIF($DU$3:$ED$3,DU$60,$DU$4:$ED$4))=0,0,((SUMIF($DU$3:$ED$3,DU$60,$DU152:$ED152))/SUMIF($DU$3:$ED$3,DU$60,$DU$4:$ED$4)))</f>
        <v>0</v>
      </c>
      <c r="DV103" s="199" t="n">
        <f aca="false">IF((SUMIF($DU$3:$ED$3,DV$60,$DU$4:$ED$4))=0,0,((SUMIF($DU$3:$ED$3,DV$60,$DU152:$ED152))/SUMIF($DU$3:$ED$3,DV$60,$DU$4:$ED$4)))</f>
        <v>0</v>
      </c>
      <c r="DW103" s="199" t="n">
        <f aca="false">IF((SUMIF($DU$3:$ED$3,DW$60,$DU$4:$ED$4))=0,0,((SUMIF($DU$3:$ED$3,DW$60,$DU152:$ED152))/SUMIF($DU$3:$ED$3,DW$60,$DU$4:$ED$4)))</f>
        <v>0</v>
      </c>
      <c r="DX103" s="199" t="n">
        <f aca="false">IF((SUMIF($DU$3:$ED$3,DX$60,$DU$4:$ED$4))=0,0,((SUMIF($DU$3:$ED$3,DX$60,$DU152:$ED152))/SUMIF($DU$3:$ED$3,DX$60,$DU$4:$ED$4)))</f>
        <v>0</v>
      </c>
      <c r="DY103" s="199" t="n">
        <f aca="false">IF((SUMIF($DU$3:$ED$3,DY$60,$DU$4:$ED$4))=0,0,((SUMIF($DU$3:$ED$3,DY$60,$DU152:$ED152))/SUMIF($DU$3:$ED$3,DY$60,$DU$4:$ED$4)))</f>
        <v>0</v>
      </c>
      <c r="DZ103" s="199" t="n">
        <f aca="false">IF((SUMIF($DU$3:$ED$3,DZ$60,$DU$4:$ED$4))=0,0,((SUMIF($DU$3:$ED$3,DZ$60,$DU152:$ED152))/SUMIF($DU$3:$ED$3,DZ$60,$DU$4:$ED$4)))</f>
        <v>0</v>
      </c>
      <c r="EA103" s="199" t="n">
        <f aca="false">IF((SUMIF($DU$3:$ED$3,EA$60,$DU$4:$ED$4))=0,0,((SUMIF($DU$3:$ED$3,EA$60,$DU152:$ED152))/SUMIF($DU$3:$ED$3,EA$60,$DU$4:$ED$4)))</f>
        <v>0</v>
      </c>
      <c r="EB103" s="199" t="n">
        <f aca="false">IF((SUMIF($DU$3:$ED$3,EB$60,$DU$4:$ED$4))=0,0,((SUMIF($DU$3:$ED$3,EB$60,$DU152:$ED152))/SUMIF($DU$3:$ED$3,EB$60,$DU$4:$ED$4)))</f>
        <v>0</v>
      </c>
      <c r="EC103" s="199" t="n">
        <f aca="false">IF((SUMIF($DU$3:$ED$3,EC$60,$DU$4:$ED$4))=0,0,((SUMIF($DU$3:$ED$3,EC$60,$DU152:$ED152))/SUMIF($DU$3:$ED$3,EC$60,$DU$4:$ED$4)))</f>
        <v>0</v>
      </c>
      <c r="ED103" s="200" t="n">
        <f aca="false">IF((SUMIF($DU$3:$ED$3,ED$60,$DU$4:$ED$4))=0,0,((SUMIF($DU$3:$ED$3,ED$60,$DU152:$ED152))/SUMIF($DU$3:$ED$3,ED$60,$DU$4:$ED$4)))</f>
        <v>0</v>
      </c>
      <c r="EE103" s="194" t="str">
        <f aca="false">DT103</f>
        <v>Alumno42</v>
      </c>
      <c r="EF103" s="198" t="n">
        <f aca="false">IF((SUMIF($EF$3:$EO$3,EF$60,$EF$4:$EO$4))=0,0,((SUMIF($EF$3:$EO$3,EF$60,$EF152:$EO152))/SUMIF($EF$3:$EO$3,EF$60,$EF$4:$EO$4)))</f>
        <v>0</v>
      </c>
      <c r="EG103" s="199" t="n">
        <f aca="false">IF((SUMIF($EF$3:$EO$3,EG$60,$EF$4:$EO$4))=0,0,((SUMIF($EF$3:$EO$3,EG$60,$EF152:$EO152))/SUMIF($EF$3:$EO$3,EG$60,$EF$4:$EO$4)))</f>
        <v>0</v>
      </c>
      <c r="EH103" s="199" t="n">
        <f aca="false">IF((SUMIF($EF$3:$EO$3,EH$60,$EF$4:$EO$4))=0,0,((SUMIF($EF$3:$EO$3,EH$60,$EF152:$EO152))/SUMIF($EF$3:$EO$3,EH$60,$EF$4:$EO$4)))</f>
        <v>0</v>
      </c>
      <c r="EI103" s="199" t="n">
        <f aca="false">IF((SUMIF($EF$3:$EO$3,EI$60,$EF$4:$EO$4))=0,0,((SUMIF($EF$3:$EO$3,EI$60,$EF152:$EO152))/SUMIF($EF$3:$EO$3,EI$60,$EF$4:$EO$4)))</f>
        <v>0</v>
      </c>
      <c r="EJ103" s="199" t="n">
        <f aca="false">IF((SUMIF($EF$3:$EO$3,EJ$60,$EF$4:$EO$4))=0,0,((SUMIF($EF$3:$EO$3,EJ$60,$EF152:$EO152))/SUMIF($EF$3:$EO$3,EJ$60,$EF$4:$EO$4)))</f>
        <v>0</v>
      </c>
      <c r="EK103" s="199" t="n">
        <f aca="false">IF((SUMIF($EF$3:$EO$3,EK$60,$EF$4:$EO$4))=0,0,((SUMIF($EF$3:$EO$3,EK$60,$EF152:$EO152))/SUMIF($EF$3:$EO$3,EK$60,$EF$4:$EO$4)))</f>
        <v>0</v>
      </c>
      <c r="EL103" s="199" t="n">
        <f aca="false">IF((SUMIF($EF$3:$EO$3,EL$60,$EF$4:$EO$4))=0,0,((SUMIF($EF$3:$EO$3,EL$60,$EF152:$EO152))/SUMIF($EF$3:$EO$3,EL$60,$EF$4:$EO$4)))</f>
        <v>0</v>
      </c>
      <c r="EM103" s="199" t="n">
        <f aca="false">IF((SUMIF($EF$3:$EO$3,EM$60,$EF$4:$EO$4))=0,0,((SUMIF($EF$3:$EO$3,EM$60,$EF152:$EO152))/SUMIF($EF$3:$EO$3,EM$60,$EF$4:$EO$4)))</f>
        <v>0</v>
      </c>
      <c r="EN103" s="199" t="n">
        <f aca="false">IF((SUMIF($EF$3:$EO$3,EN$60,$EF$4:$EO$4))=0,0,((SUMIF($EF$3:$EO$3,EN$60,$EF152:$EO152))/SUMIF($EF$3:$EO$3,EN$60,$EF$4:$EO$4)))</f>
        <v>0</v>
      </c>
      <c r="EO103" s="200" t="n">
        <f aca="false">IF((SUMIF($EF$3:$EO$3,EO$60,$EF$4:$EO$4))=0,0,((SUMIF($EF$3:$EO$3,EO$60,$EF152:$EO152))/SUMIF($EF$3:$EO$3,EO$60,$EF$4:$EO$4)))</f>
        <v>0</v>
      </c>
      <c r="EP103" s="194" t="str">
        <f aca="false">EE103</f>
        <v>Alumno42</v>
      </c>
      <c r="EQ103" s="198" t="n">
        <f aca="false">IF((SUMIF($EQ$3:$EZ$3,EQ$60,$EQ$4:$EZ$4))=0,0,((SUMIF($EQ$3:$EZ$3,EQ$60,$EQ152:$EZ152))/SUMIF($EQ$3:$EZ$3,EQ$60,$EQ$4:$EZ$4)))</f>
        <v>0</v>
      </c>
      <c r="ER103" s="199" t="n">
        <f aca="false">IF((SUMIF($EQ$3:$EZ$3,ER$60,$EQ$4:$EZ$4))=0,0,((SUMIF($EQ$3:$EZ$3,ER$60,$EQ152:$EZ152))/SUMIF($EQ$3:$EZ$3,ER$60,$EQ$4:$EZ$4)))</f>
        <v>0</v>
      </c>
      <c r="ES103" s="199" t="n">
        <f aca="false">IF((SUMIF($EQ$3:$EZ$3,ES$60,$EQ$4:$EZ$4))=0,0,((SUMIF($EQ$3:$EZ$3,ES$60,$EQ152:$EZ152))/SUMIF($EQ$3:$EZ$3,ES$60,$EQ$4:$EZ$4)))</f>
        <v>0</v>
      </c>
      <c r="ET103" s="199" t="n">
        <f aca="false">IF((SUMIF($EQ$3:$EZ$3,ET$60,$EQ$4:$EZ$4))=0,0,((SUMIF($EQ$3:$EZ$3,ET$60,$EQ152:$EZ152))/SUMIF($EQ$3:$EZ$3,ET$60,$EQ$4:$EZ$4)))</f>
        <v>0</v>
      </c>
      <c r="EU103" s="199" t="n">
        <f aca="false">IF((SUMIF($EQ$3:$EZ$3,EU$60,$EQ$4:$EZ$4))=0,0,((SUMIF($EQ$3:$EZ$3,EU$60,$EQ152:$EZ152))/SUMIF($EQ$3:$EZ$3,EU$60,$EQ$4:$EZ$4)))</f>
        <v>0</v>
      </c>
      <c r="EV103" s="199" t="n">
        <f aca="false">IF((SUMIF($EQ$3:$EZ$3,EV$60,$EQ$4:$EZ$4))=0,0,((SUMIF($EQ$3:$EZ$3,EV$60,$EQ152:$EZ152))/SUMIF($EQ$3:$EZ$3,EV$60,$EQ$4:$EZ$4)))</f>
        <v>0</v>
      </c>
      <c r="EW103" s="199" t="n">
        <f aca="false">IF((SUMIF($EQ$3:$EZ$3,EW$60,$EQ$4:$EZ$4))=0,0,((SUMIF($EQ$3:$EZ$3,EW$60,$EQ152:$EZ152))/SUMIF($EQ$3:$EZ$3,EW$60,$EQ$4:$EZ$4)))</f>
        <v>0</v>
      </c>
      <c r="EX103" s="199" t="n">
        <f aca="false">IF((SUMIF($EQ$3:$EZ$3,EX$60,$EQ$4:$EZ$4))=0,0,((SUMIF($EQ$3:$EZ$3,EX$60,$EQ152:$EZ152))/SUMIF($EQ$3:$EZ$3,EX$60,$EQ$4:$EZ$4)))</f>
        <v>0</v>
      </c>
      <c r="EY103" s="199" t="n">
        <f aca="false">IF((SUMIF($EQ$3:$EZ$3,EY$60,$EQ$4:$EZ$4))=0,0,((SUMIF($EQ$3:$EZ$3,EY$60,$EQ152:$EZ152))/SUMIF($EQ$3:$EZ$3,EY$60,$EQ$4:$EZ$4)))</f>
        <v>0</v>
      </c>
      <c r="EZ103" s="200" t="n">
        <f aca="false">IF((SUMIF($EQ$3:$EZ$3,EZ$60,$EQ$4:$EZ$4))=0,0,((SUMIF($EQ$3:$EZ$3,EZ$60,$EQ152:$EZ152))/SUMIF($EQ$3:$EZ$3,EZ$60,$EQ$4:$EZ$4)))</f>
        <v>0</v>
      </c>
      <c r="FA103" s="194" t="str">
        <f aca="false">EP103</f>
        <v>Alumno42</v>
      </c>
      <c r="FB103" s="198" t="n">
        <f aca="false">IF((SUMIF($FB$3:$FK$3,FB$60,$FB$4:$FK$4))=0,0,((SUMIF($FB$3:$FK$3,FB$60,$FB152:$FK152))/SUMIF($FB$3:$FK$3,FB$60,$FB$4:$FK$4)))</f>
        <v>0</v>
      </c>
      <c r="FC103" s="199" t="n">
        <f aca="false">IF((SUMIF($FB$3:$FK$3,FC$60,$FB$4:$FK$4))=0,0,((SUMIF($FB$3:$FK$3,FC$60,$FB152:$FK152))/SUMIF($FB$3:$FK$3,FC$60,$FB$4:$FK$4)))</f>
        <v>0</v>
      </c>
      <c r="FD103" s="199" t="n">
        <f aca="false">IF((SUMIF($FB$3:$FK$3,FD$60,$FB$4:$FK$4))=0,0,((SUMIF($FB$3:$FK$3,FD$60,$FB152:$FK152))/SUMIF($FB$3:$FK$3,FD$60,$FB$4:$FK$4)))</f>
        <v>0</v>
      </c>
      <c r="FE103" s="199" t="n">
        <f aca="false">IF((SUMIF($FB$3:$FK$3,FE$60,$FB$4:$FK$4))=0,0,((SUMIF($FB$3:$FK$3,FE$60,$FB152:$FK152))/SUMIF($FB$3:$FK$3,FE$60,$FB$4:$FK$4)))</f>
        <v>0</v>
      </c>
      <c r="FF103" s="199" t="n">
        <f aca="false">IF((SUMIF($FB$3:$FK$3,FF$60,$FB$4:$FK$4))=0,0,((SUMIF($FB$3:$FK$3,FF$60,$FB152:$FK152))/SUMIF($FB$3:$FK$3,FF$60,$FB$4:$FK$4)))</f>
        <v>0</v>
      </c>
      <c r="FG103" s="199" t="n">
        <f aca="false">IF((SUMIF($FB$3:$FK$3,FG$60,$FB$4:$FK$4))=0,0,((SUMIF($FB$3:$FK$3,FG$60,$FB152:$FK152))/SUMIF($FB$3:$FK$3,FG$60,$FB$4:$FK$4)))</f>
        <v>0</v>
      </c>
      <c r="FH103" s="199" t="n">
        <f aca="false">IF((SUMIF($FB$3:$FK$3,FH$60,$FB$4:$FK$4))=0,0,((SUMIF($FB$3:$FK$3,FH$60,$FB152:$FK152))/SUMIF($FB$3:$FK$3,FH$60,$FB$4:$FK$4)))</f>
        <v>0</v>
      </c>
      <c r="FI103" s="199" t="n">
        <f aca="false">IF((SUMIF($FB$3:$FK$3,FI$60,$FB$4:$FK$4))=0,0,((SUMIF($FB$3:$FK$3,FI$60,$FB152:$FK152))/SUMIF($FB$3:$FK$3,FI$60,$FB$4:$FK$4)))</f>
        <v>0</v>
      </c>
      <c r="FJ103" s="199" t="n">
        <f aca="false">IF((SUMIF($FB$3:$FK$3,FJ$60,$FB$4:$FK$4))=0,0,((SUMIF($FB$3:$FK$3,FJ$60,$FB152:$FK152))/SUMIF($FB$3:$FK$3,FJ$60,$FB$4:$FK$4)))</f>
        <v>0</v>
      </c>
      <c r="FK103" s="200" t="n">
        <f aca="false">IF((SUMIF($FB$3:$FK$3,FK$60,$FB$4:$FK$4))=0,0,((SUMIF($FB$3:$FK$3,FK$60,$FB152:$FK152))/SUMIF($FB$3:$FK$3,FK$60,$FB$4:$FK$4)))</f>
        <v>0</v>
      </c>
      <c r="FL103" s="194" t="str">
        <f aca="false">FA103</f>
        <v>Alumno42</v>
      </c>
      <c r="FM103" s="198" t="n">
        <f aca="false">IF((SUMIF($FM$3:$FV$3,FM$60,$FM$4:$FV$4))=0,0,((SUMIF($FM$3:$FV$3,FM$60,$FM152:$FV152))/SUMIF($FM$3:$FV$3,FM$60,$FM$4:$FV$4)))</f>
        <v>0</v>
      </c>
      <c r="FN103" s="199" t="n">
        <f aca="false">IF((SUMIF($FM$3:$FV$3,FN$60,$FM$4:$FV$4))=0,0,((SUMIF($FM$3:$FV$3,FN$60,$FM152:$FV152))/SUMIF($FM$3:$FV$3,FN$60,$FM$4:$FV$4)))</f>
        <v>0</v>
      </c>
      <c r="FO103" s="199" t="n">
        <f aca="false">IF((SUMIF($FM$3:$FV$3,FO$60,$FM$4:$FV$4))=0,0,((SUMIF($FM$3:$FV$3,FO$60,$FM152:$FV152))/SUMIF($FM$3:$FV$3,FO$60,$FM$4:$FV$4)))</f>
        <v>0</v>
      </c>
      <c r="FP103" s="199" t="n">
        <f aca="false">IF((SUMIF($FM$3:$FV$3,FP$60,$FM$4:$FV$4))=0,0,((SUMIF($FM$3:$FV$3,FP$60,$FM152:$FV152))/SUMIF($FM$3:$FV$3,FP$60,$FM$4:$FV$4)))</f>
        <v>0</v>
      </c>
      <c r="FQ103" s="199" t="n">
        <f aca="false">IF((SUMIF($FM$3:$FV$3,FQ$60,$FM$4:$FV$4))=0,0,((SUMIF($FM$3:$FV$3,FQ$60,$FM152:$FV152))/SUMIF($FM$3:$FV$3,FQ$60,$FM$4:$FV$4)))</f>
        <v>0</v>
      </c>
      <c r="FR103" s="199" t="n">
        <f aca="false">IF((SUMIF($FM$3:$FV$3,FR$60,$FM$4:$FV$4))=0,0,((SUMIF($FM$3:$FV$3,FR$60,$FM152:$FV152))/SUMIF($FM$3:$FV$3,FR$60,$FM$4:$FV$4)))</f>
        <v>0</v>
      </c>
      <c r="FS103" s="199" t="n">
        <f aca="false">IF((SUMIF($FM$3:$FV$3,FS$60,$FM$4:$FV$4))=0,0,((SUMIF($FM$3:$FV$3,FS$60,$FM152:$FV152))/SUMIF($FM$3:$FV$3,FS$60,$FM$4:$FV$4)))</f>
        <v>0</v>
      </c>
      <c r="FT103" s="199" t="n">
        <f aca="false">IF((SUMIF($FM$3:$FV$3,FT$60,$FM$4:$FV$4))=0,0,((SUMIF($FM$3:$FV$3,FT$60,$FM152:$FV152))/SUMIF($FM$3:$FV$3,FT$60,$FM$4:$FV$4)))</f>
        <v>0</v>
      </c>
      <c r="FU103" s="199" t="n">
        <f aca="false">IF((SUMIF($FM$3:$FV$3,FU$60,$FM$4:$FV$4))=0,0,((SUMIF($FM$3:$FV$3,FU$60,$FM152:$FV152))/SUMIF($FM$3:$FV$3,FU$60,$FM$4:$FV$4)))</f>
        <v>0</v>
      </c>
      <c r="FV103" s="200" t="n">
        <f aca="false">IF((SUMIF($FM$3:$FV$3,FV$60,$FM$4:$FV$4))=0,0,((SUMIF($FM$3:$FV$3,FV$60,$FM152:$FV152))/SUMIF($FM$3:$FV$3,FV$60,$FM$4:$FV$4)))</f>
        <v>0</v>
      </c>
      <c r="FW103" s="194" t="str">
        <f aca="false">FL103</f>
        <v>Alumno42</v>
      </c>
      <c r="FX103" s="198" t="n">
        <f aca="false">IF((SUMIF($FX$3:$GG$3,FX$60,$FX$4:$GG$4))=0,0,((SUMIF($FX$3:$GG$3,FX$60,$FX152:$GG152))/SUMIF($FX$3:$GG$3,FX$60,$FX$4:$GG$4)))</f>
        <v>0</v>
      </c>
      <c r="FY103" s="199" t="n">
        <f aca="false">IF((SUMIF($FX$3:$GG$3,FY$60,$FX$4:$GG$4))=0,0,((SUMIF($FX$3:$GG$3,FY$60,$FX152:$GG152))/SUMIF($FX$3:$GG$3,FY$60,$FX$4:$GG$4)))</f>
        <v>0</v>
      </c>
      <c r="FZ103" s="199" t="n">
        <f aca="false">IF((SUMIF($FX$3:$GG$3,FZ$60,$FX$4:$GG$4))=0,0,((SUMIF($FX$3:$GG$3,FZ$60,$FX152:$GG152))/SUMIF($FX$3:$GG$3,FZ$60,$FX$4:$GG$4)))</f>
        <v>0</v>
      </c>
      <c r="GA103" s="199" t="n">
        <f aca="false">IF((SUMIF($FX$3:$GG$3,GA$60,$FX$4:$GG$4))=0,0,((SUMIF($FX$3:$GG$3,GA$60,$FX152:$GG152))/SUMIF($FX$3:$GG$3,GA$60,$FX$4:$GG$4)))</f>
        <v>0</v>
      </c>
      <c r="GB103" s="199" t="n">
        <f aca="false">IF((SUMIF($FX$3:$GG$3,GB$60,$FX$4:$GG$4))=0,0,((SUMIF($FX$3:$GG$3,GB$60,$FX152:$GG152))/SUMIF($FX$3:$GG$3,GB$60,$FX$4:$GG$4)))</f>
        <v>0</v>
      </c>
      <c r="GC103" s="199" t="n">
        <f aca="false">IF((SUMIF($FX$3:$GG$3,GC$60,$FX$4:$GG$4))=0,0,((SUMIF($FX$3:$GG$3,GC$60,$FX152:$GG152))/SUMIF($FX$3:$GG$3,GC$60,$FX$4:$GG$4)))</f>
        <v>0</v>
      </c>
      <c r="GD103" s="199" t="n">
        <f aca="false">IF((SUMIF($FX$3:$GG$3,GD$60,$FX$4:$GG$4))=0,0,((SUMIF($FX$3:$GG$3,GD$60,$FX152:$GG152))/SUMIF($FX$3:$GG$3,GD$60,$FX$4:$GG$4)))</f>
        <v>0</v>
      </c>
      <c r="GE103" s="199" t="n">
        <f aca="false">IF((SUMIF($FX$3:$GG$3,GE$60,$FX$4:$GG$4))=0,0,((SUMIF($FX$3:$GG$3,GE$60,$FX152:$GG152))/SUMIF($FX$3:$GG$3,GE$60,$FX$4:$GG$4)))</f>
        <v>0</v>
      </c>
      <c r="GF103" s="199" t="n">
        <f aca="false">IF((SUMIF($FX$3:$GG$3,GF$60,$FX$4:$GG$4))=0,0,((SUMIF($FX$3:$GG$3,GF$60,$FX152:$GG152))/SUMIF($FX$3:$GG$3,GF$60,$FX$4:$GG$4)))</f>
        <v>0</v>
      </c>
      <c r="GG103" s="200" t="n">
        <f aca="false">IF((SUMIF($FX$3:$GG$3,GG$60,$FX$4:$GG$4))=0,0,((SUMIF($FX$3:$GG$3,GG$60,$FX152:$GG152))/SUMIF($FX$3:$GG$3,GG$60,$FX$4:$GG$4)))</f>
        <v>0</v>
      </c>
      <c r="GH103" s="194" t="str">
        <f aca="false">FW103</f>
        <v>Alumno42</v>
      </c>
      <c r="GI103" s="198" t="n">
        <f aca="false">IF((SUMIF($GI$3:$GR$3,GI$60,$GI$4:$GR$4))=0,0,((SUMIF($GI$3:$GR$3,GI$60,$GI152:$GR152))/SUMIF($GI$3:$GR$3,GI$60,$GI$4:$GR$4)))</f>
        <v>0</v>
      </c>
      <c r="GJ103" s="199" t="n">
        <f aca="false">IF((SUMIF($GI$3:$GR$3,GJ$60,$GI$4:$GR$4))=0,0,((SUMIF($GI$3:$GR$3,GJ$60,$GI152:$GR152))/SUMIF($GI$3:$GR$3,GJ$60,$GI$4:$GR$4)))</f>
        <v>0</v>
      </c>
      <c r="GK103" s="199" t="n">
        <f aca="false">IF((SUMIF($GI$3:$GR$3,GK$60,$GI$4:$GR$4))=0,0,((SUMIF($GI$3:$GR$3,GK$60,$GI152:$GR152))/SUMIF($GI$3:$GR$3,GK$60,$GI$4:$GR$4)))</f>
        <v>0</v>
      </c>
      <c r="GL103" s="199" t="n">
        <f aca="false">IF((SUMIF($GI$3:$GR$3,GL$60,$GI$4:$GR$4))=0,0,((SUMIF($GI$3:$GR$3,GL$60,$GI152:$GR152))/SUMIF($GI$3:$GR$3,GL$60,$GI$4:$GR$4)))</f>
        <v>0</v>
      </c>
      <c r="GM103" s="199" t="n">
        <f aca="false">IF((SUMIF($GI$3:$GR$3,GM$60,$GI$4:$GR$4))=0,0,((SUMIF($GI$3:$GR$3,GM$60,$GI152:$GR152))/SUMIF($GI$3:$GR$3,GM$60,$GI$4:$GR$4)))</f>
        <v>0</v>
      </c>
      <c r="GN103" s="199" t="n">
        <f aca="false">IF((SUMIF($GI$3:$GR$3,GN$60,$GI$4:$GR$4))=0,0,((SUMIF($GI$3:$GR$3,GN$60,$GI152:$GR152))/SUMIF($GI$3:$GR$3,GN$60,$GI$4:$GR$4)))</f>
        <v>0</v>
      </c>
      <c r="GO103" s="199" t="n">
        <f aca="false">IF((SUMIF($GI$3:$GR$3,GO$60,$GI$4:$GR$4))=0,0,((SUMIF($GI$3:$GR$3,GO$60,$GI152:$GR152))/SUMIF($GI$3:$GR$3,GO$60,$GI$4:$GR$4)))</f>
        <v>0</v>
      </c>
      <c r="GP103" s="199" t="n">
        <f aca="false">IF((SUMIF($GI$3:$GR$3,GP$60,$GI$4:$GR$4))=0,0,((SUMIF($GI$3:$GR$3,GP$60,$GI152:$GR152))/SUMIF($GI$3:$GR$3,GP$60,$GI$4:$GR$4)))</f>
        <v>0</v>
      </c>
      <c r="GQ103" s="199" t="n">
        <f aca="false">IF((SUMIF($GI$3:$GR$3,GQ$60,$GI$4:$GR$4))=0,0,((SUMIF($GI$3:$GR$3,GQ$60,$GI152:$GR152))/SUMIF($GI$3:$GR$3,GQ$60,$GI$4:$GR$4)))</f>
        <v>0</v>
      </c>
      <c r="GR103" s="200" t="n">
        <f aca="false">IF((SUMIF($GI$3:$GR$3,GR$60,$GI$4:$GR$4))=0,0,((SUMIF($GI$3:$GR$3,GR$60,$GI152:$GR152))/SUMIF($GI$3:$GR$3,GR$60,$GI$4:$GR$4)))</f>
        <v>0</v>
      </c>
      <c r="GS103" s="194" t="str">
        <f aca="false">GH103</f>
        <v>Alumno42</v>
      </c>
      <c r="GT103" s="198" t="n">
        <f aca="false">IF((SUMIF($GT$3:$HC$3,GT$60,$GT$4:$HC$4))=0,0,((SUMIF($GT$3:$HC$3,GT$60,$GT152:$HC152))/SUMIF($GT$3:$HC$3,GT$60,$GT$4:$HC$4)))</f>
        <v>0</v>
      </c>
      <c r="GU103" s="199" t="n">
        <f aca="false">IF((SUMIF($GT$3:$HC$3,GU$60,$GT$4:$HC$4))=0,0,((SUMIF($GT$3:$HC$3,GU$60,$GT152:$HC152))/SUMIF($GT$3:$HC$3,GU$60,$GT$4:$HC$4)))</f>
        <v>0</v>
      </c>
      <c r="GV103" s="199" t="n">
        <f aca="false">IF((SUMIF($GT$3:$HC$3,GV$60,$GT$4:$HC$4))=0,0,((SUMIF($GT$3:$HC$3,GV$60,$GT152:$HC152))/SUMIF($GT$3:$HC$3,GV$60,$GT$4:$HC$4)))</f>
        <v>0</v>
      </c>
      <c r="GW103" s="199" t="n">
        <f aca="false">IF((SUMIF($GT$3:$HC$3,GW$60,$GT$4:$HC$4))=0,0,((SUMIF($GT$3:$HC$3,GW$60,$GT152:$HC152))/SUMIF($GT$3:$HC$3,GW$60,$GT$4:$HC$4)))</f>
        <v>0</v>
      </c>
      <c r="GX103" s="199" t="n">
        <f aca="false">IF((SUMIF($GT$3:$HC$3,GX$60,$GT$4:$HC$4))=0,0,((SUMIF($GT$3:$HC$3,GX$60,$GT152:$HC152))/SUMIF($GT$3:$HC$3,GX$60,$GT$4:$HC$4)))</f>
        <v>0</v>
      </c>
      <c r="GY103" s="199" t="n">
        <f aca="false">IF((SUMIF($GT$3:$HC$3,GY$60,$GT$4:$HC$4))=0,0,((SUMIF($GT$3:$HC$3,GY$60,$GT152:$HC152))/SUMIF($GT$3:$HC$3,GY$60,$GT$4:$HC$4)))</f>
        <v>0</v>
      </c>
      <c r="GZ103" s="199" t="n">
        <f aca="false">IF((SUMIF($GT$3:$HC$3,GZ$60,$GT$4:$HC$4))=0,0,((SUMIF($GT$3:$HC$3,GZ$60,$GT152:$HC152))/SUMIF($GT$3:$HC$3,GZ$60,$GT$4:$HC$4)))</f>
        <v>0</v>
      </c>
      <c r="HA103" s="199" t="n">
        <f aca="false">IF((SUMIF($GT$3:$HC$3,HA$60,$GT$4:$HC$4))=0,0,((SUMIF($GT$3:$HC$3,HA$60,$GT152:$HC152))/SUMIF($GT$3:$HC$3,HA$60,$GT$4:$HC$4)))</f>
        <v>0</v>
      </c>
      <c r="HB103" s="199" t="n">
        <f aca="false">IF((SUMIF($GT$3:$HC$3,HB$60,$GT$4:$HC$4))=0,0,((SUMIF($GT$3:$HC$3,HB$60,$GT152:$HC152))/SUMIF($GT$3:$HC$3,HB$60,$GT$4:$HC$4)))</f>
        <v>0</v>
      </c>
      <c r="HC103" s="200" t="n">
        <f aca="false">IF((SUMIF($GT$3:$HC$3,HC$60,$GT$4:$HC$4))=0,0,((SUMIF($GT$3:$HC$3,HC$60,$GT152:$HC152))/SUMIF($GT$3:$HC$3,HC$60,$GT$4:$HC$4)))</f>
        <v>0</v>
      </c>
      <c r="HD103" s="194" t="str">
        <f aca="false">GS103</f>
        <v>Alumno42</v>
      </c>
      <c r="HE103" s="198" t="n">
        <f aca="false">IF((SUMIF($HE$3:$HN$3,HE$60,$HE$4:$HN$4))=0,0,((SUMIF($HE$3:$HN$3,HE$60,$HE152:$HN152))/SUMIF($HE$3:$HN$3,HE$60,$HE$4:$HN$4)))</f>
        <v>0</v>
      </c>
      <c r="HF103" s="199" t="n">
        <f aca="false">IF((SUMIF($HE$3:$HN$3,HF$60,$HE$4:$HN$4))=0,0,((SUMIF($HE$3:$HN$3,HF$60,$HE152:$HN152))/SUMIF($HE$3:$HN$3,HF$60,$HE$4:$HN$4)))</f>
        <v>0</v>
      </c>
      <c r="HG103" s="199" t="n">
        <f aca="false">IF((SUMIF($HE$3:$HN$3,HG$60,$HE$4:$HN$4))=0,0,((SUMIF($HE$3:$HN$3,HG$60,$HE152:$HN152))/SUMIF($HE$3:$HN$3,HG$60,$HE$4:$HN$4)))</f>
        <v>0</v>
      </c>
      <c r="HH103" s="199" t="n">
        <f aca="false">IF((SUMIF($HE$3:$HN$3,HH$60,$HE$4:$HN$4))=0,0,((SUMIF($HE$3:$HN$3,HH$60,$HE152:$HN152))/SUMIF($HE$3:$HN$3,HH$60,$HE$4:$HN$4)))</f>
        <v>0</v>
      </c>
      <c r="HI103" s="199" t="n">
        <f aca="false">IF((SUMIF($HE$3:$HN$3,HI$60,$HE$4:$HN$4))=0,0,((SUMIF($HE$3:$HN$3,HI$60,$HE152:$HN152))/SUMIF($HE$3:$HN$3,HI$60,$HE$4:$HN$4)))</f>
        <v>0</v>
      </c>
      <c r="HJ103" s="199" t="n">
        <f aca="false">IF((SUMIF($HE$3:$HN$3,HJ$60,$HE$4:$HN$4))=0,0,((SUMIF($HE$3:$HN$3,HJ$60,$HE152:$HN152))/SUMIF($HE$3:$HN$3,HJ$60,$HE$4:$HN$4)))</f>
        <v>0</v>
      </c>
      <c r="HK103" s="199" t="n">
        <f aca="false">IF((SUMIF($HE$3:$HN$3,HK$60,$HE$4:$HN$4))=0,0,((SUMIF($HE$3:$HN$3,HK$60,$HE152:$HN152))/SUMIF($HE$3:$HN$3,HK$60,$HE$4:$HN$4)))</f>
        <v>0</v>
      </c>
      <c r="HL103" s="199" t="n">
        <f aca="false">IF((SUMIF($HE$3:$HN$3,HL$60,$HE$4:$HN$4))=0,0,((SUMIF($HE$3:$HN$3,HL$60,$HE152:$HN152))/SUMIF($HE$3:$HN$3,HL$60,$HE$4:$HN$4)))</f>
        <v>0</v>
      </c>
      <c r="HM103" s="199" t="n">
        <f aca="false">IF((SUMIF($HE$3:$HN$3,HM$60,$HE$4:$HN$4))=0,0,((SUMIF($HE$3:$HN$3,HM$60,$HE152:$HN152))/SUMIF($HE$3:$HN$3,HM$60,$HE$4:$HN$4)))</f>
        <v>0</v>
      </c>
      <c r="HN103" s="200" t="n">
        <f aca="false">IF((SUMIF($HE$3:$HN$3,HN$60,$HE$4:$HN$4))=0,0,((SUMIF($HE$3:$HN$3,HN$60,$HE152:$HN152))/SUMIF($HE$3:$HN$3,HN$60,$HE$4:$HN$4)))</f>
        <v>0</v>
      </c>
      <c r="HO103" s="194" t="str">
        <f aca="false">HD103</f>
        <v>Alumno42</v>
      </c>
      <c r="HP103" s="198" t="n">
        <f aca="false">IF((SUMIF($HP$3:$HY$3,HP$60,$HP$4:$HY$4))=0,0,((SUMIF($HP$3:$HY$3,HP$60,$HP152:$HY152))/SUMIF($HP$3:$HY$3,HP$60,$HP$4:$HY$4)))</f>
        <v>0</v>
      </c>
      <c r="HQ103" s="199" t="n">
        <f aca="false">IF((SUMIF($HP$3:$HY$3,HQ$60,$HP$4:$HY$4))=0,0,((SUMIF($HP$3:$HY$3,HQ$60,$HP152:$HY152))/SUMIF($HP$3:$HY$3,HQ$60,$HP$4:$HY$4)))</f>
        <v>0</v>
      </c>
      <c r="HR103" s="199" t="n">
        <f aca="false">IF((SUMIF($HP$3:$HY$3,HR$60,$HP$4:$HY$4))=0,0,((SUMIF($HP$3:$HY$3,HR$60,$HP152:$HY152))/SUMIF($HP$3:$HY$3,HR$60,$HP$4:$HY$4)))</f>
        <v>0</v>
      </c>
      <c r="HS103" s="199" t="n">
        <f aca="false">IF((SUMIF($HP$3:$HY$3,HS$60,$HP$4:$HY$4))=0,0,((SUMIF($HP$3:$HY$3,HS$60,$HP152:$HY152))/SUMIF($HP$3:$HY$3,HS$60,$HP$4:$HY$4)))</f>
        <v>0</v>
      </c>
      <c r="HT103" s="199" t="n">
        <f aca="false">IF((SUMIF($HP$3:$HY$3,HT$60,$HP$4:$HY$4))=0,0,((SUMIF($HP$3:$HY$3,HT$60,$HP152:$HY152))/SUMIF($HP$3:$HY$3,HT$60,$HP$4:$HY$4)))</f>
        <v>0</v>
      </c>
      <c r="HU103" s="199" t="n">
        <f aca="false">IF((SUMIF($HP$3:$HY$3,HU$60,$HP$4:$HY$4))=0,0,((SUMIF($HP$3:$HY$3,HU$60,$HP152:$HY152))/SUMIF($HP$3:$HY$3,HU$60,$HP$4:$HY$4)))</f>
        <v>0</v>
      </c>
      <c r="HV103" s="199" t="n">
        <f aca="false">IF((SUMIF($HP$3:$HY$3,HV$60,$HP$4:$HY$4))=0,0,((SUMIF($HP$3:$HY$3,HV$60,$HP152:$HY152))/SUMIF($HP$3:$HY$3,HV$60,$HP$4:$HY$4)))</f>
        <v>0</v>
      </c>
      <c r="HW103" s="199" t="n">
        <f aca="false">IF((SUMIF($HP$3:$HY$3,HW$60,$HP$4:$HY$4))=0,0,((SUMIF($HP$3:$HY$3,HW$60,$HP152:$HY152))/SUMIF($HP$3:$HY$3,HW$60,$HP$4:$HY$4)))</f>
        <v>0</v>
      </c>
      <c r="HX103" s="199" t="n">
        <f aca="false">IF((SUMIF($HP$3:$HY$3,HX$60,$HP$4:$HY$4))=0,0,((SUMIF($HP$3:$HY$3,HX$60,$HP152:$HY152))/SUMIF($HP$3:$HY$3,HX$60,$HP$4:$HY$4)))</f>
        <v>0</v>
      </c>
      <c r="HY103" s="200" t="n">
        <f aca="false">IF((SUMIF($HP$3:$HY$3,HY$60,$HP$4:$HY$4))=0,0,((SUMIF($HP$3:$HY$3,HY$60,$HP152:$HY152))/SUMIF($HP$3:$HY$3,HY$60,$HP$4:$HY$4)))</f>
        <v>0</v>
      </c>
      <c r="HZ103" s="194" t="str">
        <f aca="false">HO103</f>
        <v>Alumno42</v>
      </c>
      <c r="IA103" s="198" t="n">
        <f aca="false">IF((SUMIF($IA$3:$IJ$3,IA$60,$IA$4:$IJ$4))=0,0,((SUMIF($IA$3:$IJ$3,IA$60,$IA152:$IJ152))/SUMIF($IA$3:$IJ$3,IA$60,$IA$4:$IJ$4)))</f>
        <v>0</v>
      </c>
      <c r="IB103" s="199" t="n">
        <f aca="false">IF((SUMIF($IA$3:$IJ$3,IB$60,$IA$4:$IJ$4))=0,0,((SUMIF($IA$3:$IJ$3,IB$60,$IA152:$IJ152))/SUMIF($IA$3:$IJ$3,IB$60,$IA$4:$IJ$4)))</f>
        <v>0</v>
      </c>
      <c r="IC103" s="199" t="n">
        <f aca="false">IF((SUMIF($IA$3:$IJ$3,IC$60,$IA$4:$IJ$4))=0,0,((SUMIF($IA$3:$IJ$3,IC$60,$IA152:$IJ152))/SUMIF($IA$3:$IJ$3,IC$60,$IA$4:$IJ$4)))</f>
        <v>0</v>
      </c>
      <c r="ID103" s="199" t="n">
        <f aca="false">IF((SUMIF($IA$3:$IJ$3,ID$60,$IA$4:$IJ$4))=0,0,((SUMIF($IA$3:$IJ$3,ID$60,$IA152:$IJ152))/SUMIF($IA$3:$IJ$3,ID$60,$IA$4:$IJ$4)))</f>
        <v>0</v>
      </c>
      <c r="IE103" s="199" t="n">
        <f aca="false">IF((SUMIF($IA$3:$IJ$3,IE$60,$IA$4:$IJ$4))=0,0,((SUMIF($IA$3:$IJ$3,IE$60,$IA152:$IJ152))/SUMIF($IA$3:$IJ$3,IE$60,$IA$4:$IJ$4)))</f>
        <v>0</v>
      </c>
      <c r="IF103" s="199" t="n">
        <f aca="false">IF((SUMIF($IA$3:$IJ$3,IF$60,$IA$4:$IJ$4))=0,0,((SUMIF($IA$3:$IJ$3,IF$60,$IA152:$IJ152))/SUMIF($IA$3:$IJ$3,IF$60,$IA$4:$IJ$4)))</f>
        <v>0</v>
      </c>
      <c r="IG103" s="199" t="n">
        <f aca="false">IF((SUMIF($IA$3:$IJ$3,IG$60,$IA$4:$IJ$4))=0,0,((SUMIF($IA$3:$IJ$3,IG$60,$IA152:$IJ152))/SUMIF($IA$3:$IJ$3,IG$60,$IA$4:$IJ$4)))</f>
        <v>0</v>
      </c>
      <c r="IH103" s="199" t="n">
        <f aca="false">IF((SUMIF($IA$3:$IJ$3,IH$60,$IA$4:$IJ$4))=0,0,((SUMIF($IA$3:$IJ$3,IH$60,$IA152:$IJ152))/SUMIF($IA$3:$IJ$3,IH$60,$IA$4:$IJ$4)))</f>
        <v>0</v>
      </c>
      <c r="II103" s="199" t="n">
        <f aca="false">IF((SUMIF($IA$3:$IJ$3,II$60,$IA$4:$IJ$4))=0,0,((SUMIF($IA$3:$IJ$3,II$60,$IA152:$IJ152))/SUMIF($IA$3:$IJ$3,II$60,$IA$4:$IJ$4)))</f>
        <v>0</v>
      </c>
      <c r="IJ103" s="200" t="n">
        <f aca="false">IF((SUMIF($IA$3:$IJ$3,IJ$60,$IA$4:$IJ$4))=0,0,((SUMIF($IA$3:$IJ$3,IJ$60,$IA152:$IJ152))/SUMIF($IA$3:$IJ$3,IJ$60,$IA$4:$IJ$4)))</f>
        <v>0</v>
      </c>
      <c r="IK103" s="194" t="str">
        <f aca="false">HZ103</f>
        <v>Alumno42</v>
      </c>
      <c r="IL103" s="198" t="n">
        <f aca="false">IF((SUMIF($IL$3:$IU$3,IL$60,$IL$4:$IU$4))=0,0,((SUMIF($IL$3:$IU$3,IL$60,$IL152:$IU152))/SUMIF($IL$3:$IU$3,IL$60,$IL$4:$IU$4)))</f>
        <v>0</v>
      </c>
      <c r="IM103" s="199" t="n">
        <f aca="false">IF((SUMIF($IL$3:$IU$3,IM$60,$IL$4:$IU$4))=0,0,((SUMIF($IL$3:$IU$3,IM$60,$IL152:$IU152))/SUMIF($IL$3:$IU$3,IM$60,$IL$4:$IU$4)))</f>
        <v>0</v>
      </c>
      <c r="IN103" s="199" t="n">
        <f aca="false">IF((SUMIF($IL$3:$IU$3,IN$60,$IL$4:$IU$4))=0,0,((SUMIF($IL$3:$IU$3,IN$60,$IL152:$IU152))/SUMIF($IL$3:$IU$3,IN$60,$IL$4:$IU$4)))</f>
        <v>0</v>
      </c>
      <c r="IO103" s="199" t="n">
        <f aca="false">IF((SUMIF($IL$3:$IU$3,IO$60,$IL$4:$IU$4))=0,0,((SUMIF($IL$3:$IU$3,IO$60,$IL152:$IU152))/SUMIF($IL$3:$IU$3,IO$60,$IL$4:$IU$4)))</f>
        <v>0</v>
      </c>
      <c r="IP103" s="199" t="n">
        <f aca="false">IF((SUMIF($IL$3:$IU$3,IP$60,$IL$4:$IU$4))=0,0,((SUMIF($IL$3:$IU$3,IP$60,$IL152:$IU152))/SUMIF($IL$3:$IU$3,IP$60,$IL$4:$IU$4)))</f>
        <v>0</v>
      </c>
      <c r="IQ103" s="199" t="n">
        <f aca="false">IF((SUMIF($IL$3:$IU$3,IQ$60,$IL$4:$IU$4))=0,0,((SUMIF($IL$3:$IU$3,IQ$60,$IL152:$IU152))/SUMIF($IL$3:$IU$3,IQ$60,$IL$4:$IU$4)))</f>
        <v>0</v>
      </c>
      <c r="IR103" s="199" t="n">
        <f aca="false">IF((SUMIF($IL$3:$IU$3,IR$60,$IL$4:$IU$4))=0,0,((SUMIF($IL$3:$IU$3,IR$60,$IL152:$IU152))/SUMIF($IL$3:$IU$3,IR$60,$IL$4:$IU$4)))</f>
        <v>0</v>
      </c>
      <c r="IS103" s="199" t="n">
        <f aca="false">IF((SUMIF($IL$3:$IU$3,IS$60,$IL$4:$IU$4))=0,0,((SUMIF($IL$3:$IU$3,IS$60,$IL152:$IU152))/SUMIF($IL$3:$IU$3,IS$60,$IL$4:$IU$4)))</f>
        <v>0</v>
      </c>
      <c r="IT103" s="199" t="n">
        <f aca="false">IF((SUMIF($IL$3:$IU$3,IT$60,$IL$4:$IU$4))=0,0,((SUMIF($IL$3:$IU$3,IT$60,$IL152:$IU152))/SUMIF($IL$3:$IU$3,IT$60,$IL$4:$IU$4)))</f>
        <v>0</v>
      </c>
      <c r="IU103" s="200" t="n">
        <f aca="false">IF((SUMIF($IL$3:$IU$3,IU$60,$IL$4:$IU$4))=0,0,((SUMIF($IL$3:$IU$3,IU$60,$IL152:$IU152))/SUMIF($IL$3:$IU$3,IU$60,$IL$4:$IU$4)))</f>
        <v>0</v>
      </c>
      <c r="IV103" s="194" t="str">
        <f aca="false">IK103</f>
        <v>Alumno42</v>
      </c>
      <c r="IW103" s="198" t="n">
        <f aca="false">IF((SUMIF($IW$3:$JF$3,IW$60,$IW$4:$JF$4))=0,0,((SUMIF($IW$3:$JF$3,IW$60,$IW152:$JF152))/SUMIF($IW$3:$JF$3,IW$60,$IW$4:$JF$4)))</f>
        <v>0</v>
      </c>
      <c r="IX103" s="199" t="n">
        <f aca="false">IF((SUMIF($IW$3:$JF$3,IX$60,$IW$4:$JF$4))=0,0,((SUMIF($IW$3:$JF$3,IX$60,$IW152:$JF152))/SUMIF($IW$3:$JF$3,IX$60,$IW$4:$JF$4)))</f>
        <v>0</v>
      </c>
      <c r="IY103" s="199" t="n">
        <f aca="false">IF((SUMIF($IW$3:$JF$3,IY$60,$IW$4:$JF$4))=0,0,((SUMIF($IW$3:$JF$3,IY$60,$IW152:$JF152))/SUMIF($IW$3:$JF$3,IY$60,$IW$4:$JF$4)))</f>
        <v>0</v>
      </c>
      <c r="IZ103" s="199" t="n">
        <f aca="false">IF((SUMIF($IW$3:$JF$3,IZ$60,$IW$4:$JF$4))=0,0,((SUMIF($IW$3:$JF$3,IZ$60,$IW152:$JF152))/SUMIF($IW$3:$JF$3,IZ$60,$IW$4:$JF$4)))</f>
        <v>0</v>
      </c>
      <c r="JA103" s="199" t="n">
        <f aca="false">IF((SUMIF($IW$3:$JF$3,JA$60,$IW$4:$JF$4))=0,0,((SUMIF($IW$3:$JF$3,JA$60,$IW152:$JF152))/SUMIF($IW$3:$JF$3,JA$60,$IW$4:$JF$4)))</f>
        <v>0</v>
      </c>
      <c r="JB103" s="199" t="n">
        <f aca="false">IF((SUMIF($IW$3:$JF$3,JB$60,$IW$4:$JF$4))=0,0,((SUMIF($IW$3:$JF$3,JB$60,$IW152:$JF152))/SUMIF($IW$3:$JF$3,JB$60,$IW$4:$JF$4)))</f>
        <v>0</v>
      </c>
      <c r="JC103" s="199" t="n">
        <f aca="false">IF((SUMIF($IW$3:$JF$3,JC$60,$IW$4:$JF$4))=0,0,((SUMIF($IW$3:$JF$3,JC$60,$IW152:$JF152))/SUMIF($IW$3:$JF$3,JC$60,$IW$4:$JF$4)))</f>
        <v>0</v>
      </c>
      <c r="JD103" s="199" t="n">
        <f aca="false">IF((SUMIF($IW$3:$JF$3,JD$60,$IW$4:$JF$4))=0,0,((SUMIF($IW$3:$JF$3,JD$60,$IW152:$JF152))/SUMIF($IW$3:$JF$3,JD$60,$IW$4:$JF$4)))</f>
        <v>0</v>
      </c>
      <c r="JE103" s="199" t="n">
        <f aca="false">IF((SUMIF($IW$3:$JF$3,JE$60,$IW$4:$JF$4))=0,0,((SUMIF($IW$3:$JF$3,JE$60,$IW152:$JF152))/SUMIF($IW$3:$JF$3,JE$60,$IW$4:$JF$4)))</f>
        <v>0</v>
      </c>
      <c r="JF103" s="200" t="n">
        <f aca="false">IF((SUMIF($IW$3:$JF$3,JF$60,$IW$4:$JF$4))=0,0,((SUMIF($IW$3:$JF$3,JF$60,$IW152:$JF152))/SUMIF($IW$3:$JF$3,JF$60,$IW$4:$JF$4)))</f>
        <v>0</v>
      </c>
      <c r="JG103" s="194" t="str">
        <f aca="false">IV103</f>
        <v>Alumno42</v>
      </c>
      <c r="JH103" s="198" t="n">
        <f aca="false">IF((SUMIF($JH$3:$JQ$3,JH$60,$JH$4:$JQ$4))=0,0,((SUMIF($JH$3:$JQ$3,JH$60,$JH152:$JQ152))/SUMIF($JH$3:$JQ$3,JH$60,$JH$4:$JQ$4)))</f>
        <v>0</v>
      </c>
      <c r="JI103" s="199" t="n">
        <f aca="false">IF((SUMIF($JH$3:$JQ$3,JI$60,$JH$4:$JQ$4))=0,0,((SUMIF($JH$3:$JQ$3,JI$60,$JH152:$JQ152))/SUMIF($JH$3:$JQ$3,JI$60,$JH$4:$JQ$4)))</f>
        <v>0</v>
      </c>
      <c r="JJ103" s="199" t="n">
        <f aca="false">IF((SUMIF($JH$3:$JQ$3,JJ$60,$JH$4:$JQ$4))=0,0,((SUMIF($JH$3:$JQ$3,JJ$60,$JH152:$JQ152))/SUMIF($JH$3:$JQ$3,JJ$60,$JH$4:$JQ$4)))</f>
        <v>0</v>
      </c>
      <c r="JK103" s="199" t="n">
        <f aca="false">IF((SUMIF($JH$3:$JQ$3,JK$60,$JH$4:$JQ$4))=0,0,((SUMIF($JH$3:$JQ$3,JK$60,$JH152:$JQ152))/SUMIF($JH$3:$JQ$3,JK$60,$JH$4:$JQ$4)))</f>
        <v>0</v>
      </c>
      <c r="JL103" s="199" t="n">
        <f aca="false">IF((SUMIF($JH$3:$JQ$3,JL$60,$JH$4:$JQ$4))=0,0,((SUMIF($JH$3:$JQ$3,JL$60,$JH152:$JQ152))/SUMIF($JH$3:$JQ$3,JL$60,$JH$4:$JQ$4)))</f>
        <v>0</v>
      </c>
      <c r="JM103" s="199" t="n">
        <f aca="false">IF((SUMIF($JH$3:$JQ$3,JM$60,$JH$4:$JQ$4))=0,0,((SUMIF($JH$3:$JQ$3,JM$60,$JH152:$JQ152))/SUMIF($JH$3:$JQ$3,JM$60,$JH$4:$JQ$4)))</f>
        <v>0</v>
      </c>
      <c r="JN103" s="199" t="n">
        <f aca="false">IF((SUMIF($JH$3:$JQ$3,JN$60,$JH$4:$JQ$4))=0,0,((SUMIF($JH$3:$JQ$3,JN$60,$JH152:$JQ152))/SUMIF($JH$3:$JQ$3,JN$60,$JH$4:$JQ$4)))</f>
        <v>0</v>
      </c>
      <c r="JO103" s="199" t="n">
        <f aca="false">IF((SUMIF($JH$3:$JQ$3,JO$60,$JH$4:$JQ$4))=0,0,((SUMIF($JH$3:$JQ$3,JO$60,$JH152:$JQ152))/SUMIF($JH$3:$JQ$3,JO$60,$JH$4:$JQ$4)))</f>
        <v>0</v>
      </c>
      <c r="JP103" s="199" t="n">
        <f aca="false">IF((SUMIF($JH$3:$JQ$3,JP$60,$JH$4:$JQ$4))=0,0,((SUMIF($JH$3:$JQ$3,JP$60,$JH152:$JQ152))/SUMIF($JH$3:$JQ$3,JP$60,$JH$4:$JQ$4)))</f>
        <v>0</v>
      </c>
      <c r="JQ103" s="200" t="n">
        <f aca="false">IF((SUMIF($JH$3:$JQ$3,JQ$60,$JH$4:$JQ$4))=0,0,((SUMIF($JH$3:$JQ$3,JQ$60,$JH152:$JQ152))/SUMIF($JH$3:$JQ$3,JQ$60,$JH$4:$JQ$4)))</f>
        <v>0</v>
      </c>
      <c r="JR103" s="194" t="str">
        <f aca="false">JG103</f>
        <v>Alumno42</v>
      </c>
      <c r="JS103" s="198" t="n">
        <f aca="false">IF((SUMIF($JS$3:$KB$3,JS$60,$JS$4:$KB$4))=0,0,((SUMIF($JS$3:$KB$3,JS$60,$JS152:$KB152))/SUMIF($JS$3:$KB$3,JS$60,$JS$4:$KB$4)))</f>
        <v>0</v>
      </c>
      <c r="JT103" s="199" t="n">
        <f aca="false">IF((SUMIF($JS$3:$KB$3,JT$60,$JS$4:$KB$4))=0,0,((SUMIF($JS$3:$KB$3,JT$60,$JS152:$KB152))/SUMIF($JS$3:$KB$3,JT$60,$JS$4:$KB$4)))</f>
        <v>0</v>
      </c>
      <c r="JU103" s="199" t="n">
        <f aca="false">IF((SUMIF($JS$3:$KB$3,JU$60,$JS$4:$KB$4))=0,0,((SUMIF($JS$3:$KB$3,JU$60,$JS152:$KB152))/SUMIF($JS$3:$KB$3,JU$60,$JS$4:$KB$4)))</f>
        <v>0</v>
      </c>
      <c r="JV103" s="199" t="n">
        <f aca="false">IF((SUMIF($JS$3:$KB$3,JV$60,$JS$4:$KB$4))=0,0,((SUMIF($JS$3:$KB$3,JV$60,$JS152:$KB152))/SUMIF($JS$3:$KB$3,JV$60,$JS$4:$KB$4)))</f>
        <v>0</v>
      </c>
      <c r="JW103" s="199" t="n">
        <f aca="false">IF((SUMIF($JS$3:$KB$3,JW$60,$JS$4:$KB$4))=0,0,((SUMIF($JS$3:$KB$3,JW$60,$JS152:$KB152))/SUMIF($JS$3:$KB$3,JW$60,$JS$4:$KB$4)))</f>
        <v>0</v>
      </c>
      <c r="JX103" s="199" t="n">
        <f aca="false">IF((SUMIF($JS$3:$KB$3,JX$60,$JS$4:$KB$4))=0,0,((SUMIF($JS$3:$KB$3,JX$60,$JS152:$KB152))/SUMIF($JS$3:$KB$3,JX$60,$JS$4:$KB$4)))</f>
        <v>0</v>
      </c>
      <c r="JY103" s="199" t="n">
        <f aca="false">IF((SUMIF($JS$3:$KB$3,JY$60,$JS$4:$KB$4))=0,0,((SUMIF($JS$3:$KB$3,JY$60,$JS152:$KB152))/SUMIF($JS$3:$KB$3,JY$60,$JS$4:$KB$4)))</f>
        <v>0</v>
      </c>
      <c r="JZ103" s="199" t="n">
        <f aca="false">IF((SUMIF($JS$3:$KB$3,JZ$60,$JS$4:$KB$4))=0,0,((SUMIF($JS$3:$KB$3,JZ$60,$JS152:$KB152))/SUMIF($JS$3:$KB$3,JZ$60,$JS$4:$KB$4)))</f>
        <v>0</v>
      </c>
      <c r="KA103" s="199" t="n">
        <f aca="false">IF((SUMIF($JS$3:$KB$3,KA$60,$JS$4:$KB$4))=0,0,((SUMIF($JS$3:$KB$3,KA$60,$JS152:$KB152))/SUMIF($JS$3:$KB$3,KA$60,$JS$4:$KB$4)))</f>
        <v>0</v>
      </c>
      <c r="KB103" s="200" t="n">
        <f aca="false">IF((SUMIF($JS$3:$KB$3,KB$60,$JS$4:$KB$4))=0,0,((SUMIF($JS$3:$KB$3,KB$60,$JS152:$KB152))/SUMIF($JS$3:$KB$3,KB$60,$JS$4:$KB$4)))</f>
        <v>0</v>
      </c>
      <c r="KC103" s="194" t="str">
        <f aca="false">JR103</f>
        <v>Alumno42</v>
      </c>
      <c r="KD103" s="198" t="n">
        <f aca="false">IF((SUMIF($KD$3:$KM$3,KD$60,$KD$4:$KM$4))=0,0,((SUMIF($KD$3:$KM$3,KD$60,$KD152:$KM152))/SUMIF($KD$3:$KM$3,KD$60,$KD$4:$KM$4)))</f>
        <v>0</v>
      </c>
      <c r="KE103" s="199" t="n">
        <f aca="false">IF((SUMIF($KD$3:$KM$3,KE$60,$KD$4:$KM$4))=0,0,((SUMIF($KD$3:$KM$3,KE$60,$KD152:$KM152))/SUMIF($KD$3:$KM$3,KE$60,$KD$4:$KM$4)))</f>
        <v>0</v>
      </c>
      <c r="KF103" s="199" t="n">
        <f aca="false">IF((SUMIF($KD$3:$KM$3,KF$60,$KD$4:$KM$4))=0,0,((SUMIF($KD$3:$KM$3,KF$60,$KD152:$KM152))/SUMIF($KD$3:$KM$3,KF$60,$KD$4:$KM$4)))</f>
        <v>0</v>
      </c>
      <c r="KG103" s="199" t="n">
        <f aca="false">IF((SUMIF($KD$3:$KM$3,KG$60,$KD$4:$KM$4))=0,0,((SUMIF($KD$3:$KM$3,KG$60,$KD152:$KM152))/SUMIF($KD$3:$KM$3,KG$60,$KD$4:$KM$4)))</f>
        <v>0</v>
      </c>
      <c r="KH103" s="199" t="n">
        <f aca="false">IF((SUMIF($KD$3:$KM$3,KH$60,$KD$4:$KM$4))=0,0,((SUMIF($KD$3:$KM$3,KH$60,$KD152:$KM152))/SUMIF($KD$3:$KM$3,KH$60,$KD$4:$KM$4)))</f>
        <v>0</v>
      </c>
      <c r="KI103" s="199" t="n">
        <f aca="false">IF((SUMIF($KD$3:$KM$3,KI$60,$KD$4:$KM$4))=0,0,((SUMIF($KD$3:$KM$3,KI$60,$KD152:$KM152))/SUMIF($KD$3:$KM$3,KI$60,$KD$4:$KM$4)))</f>
        <v>0</v>
      </c>
      <c r="KJ103" s="199" t="n">
        <f aca="false">IF((SUMIF($KD$3:$KM$3,KJ$60,$KD$4:$KM$4))=0,0,((SUMIF($KD$3:$KM$3,KJ$60,$KD152:$KM152))/SUMIF($KD$3:$KM$3,KJ$60,$KD$4:$KM$4)))</f>
        <v>0</v>
      </c>
      <c r="KK103" s="199" t="n">
        <f aca="false">IF((SUMIF($KD$3:$KM$3,KK$60,$KD$4:$KM$4))=0,0,((SUMIF($KD$3:$KM$3,KK$60,$KD152:$KM152))/SUMIF($KD$3:$KM$3,KK$60,$KD$4:$KM$4)))</f>
        <v>0</v>
      </c>
      <c r="KL103" s="199" t="n">
        <f aca="false">IF((SUMIF($KD$3:$KM$3,KL$60,$KD$4:$KM$4))=0,0,((SUMIF($KD$3:$KM$3,KL$60,$KD152:$KM152))/SUMIF($KD$3:$KM$3,KL$60,$KD$4:$KM$4)))</f>
        <v>0</v>
      </c>
      <c r="KM103" s="200" t="n">
        <f aca="false">IF((SUMIF($KD$3:$KM$3,KM$60,$KD$4:$KM$4))=0,0,((SUMIF($KD$3:$KM$3,KM$60,$KD152:$KM152))/SUMIF($KD$3:$KM$3,KM$60,$KD$4:$KM$4)))</f>
        <v>0</v>
      </c>
      <c r="KN103" s="194" t="str">
        <f aca="false">KC103</f>
        <v>Alumno42</v>
      </c>
      <c r="KO103" s="198" t="n">
        <f aca="false">IF((SUMIF($KO$3:$KX$3,KO$60,$KO$4:$KX$4))=0,0,((SUMIF($KO$3:$KX$3,KO$60,$KO152:$KX152))/SUMIF($KO$3:$KX$3,KO$60,$KO$4:$KX$4)))</f>
        <v>0</v>
      </c>
      <c r="KP103" s="199" t="n">
        <f aca="false">IF((SUMIF($KO$3:$KX$3,KP$60,$KO$4:$KX$4))=0,0,((SUMIF($KO$3:$KX$3,KP$60,$KO152:$KX152))/SUMIF($KO$3:$KX$3,KP$60,$KO$4:$KX$4)))</f>
        <v>0</v>
      </c>
      <c r="KQ103" s="199" t="n">
        <f aca="false">IF((SUMIF($KO$3:$KX$3,KQ$60,$KO$4:$KX$4))=0,0,((SUMIF($KO$3:$KX$3,KQ$60,$KO152:$KX152))/SUMIF($KO$3:$KX$3,KQ$60,$KO$4:$KX$4)))</f>
        <v>0</v>
      </c>
      <c r="KR103" s="199" t="n">
        <f aca="false">IF((SUMIF($KO$3:$KX$3,KR$60,$KO$4:$KX$4))=0,0,((SUMIF($KO$3:$KX$3,KR$60,$KO152:$KX152))/SUMIF($KO$3:$KX$3,KR$60,$KO$4:$KX$4)))</f>
        <v>0</v>
      </c>
      <c r="KS103" s="199" t="n">
        <f aca="false">IF((SUMIF($KO$3:$KX$3,KS$60,$KO$4:$KX$4))=0,0,((SUMIF($KO$3:$KX$3,KS$60,$KO152:$KX152))/SUMIF($KO$3:$KX$3,KS$60,$KO$4:$KX$4)))</f>
        <v>0</v>
      </c>
      <c r="KT103" s="199" t="n">
        <f aca="false">IF((SUMIF($KO$3:$KX$3,KT$60,$KO$4:$KX$4))=0,0,((SUMIF($KO$3:$KX$3,KT$60,$KO152:$KX152))/SUMIF($KO$3:$KX$3,KT$60,$KO$4:$KX$4)))</f>
        <v>0</v>
      </c>
      <c r="KU103" s="199" t="n">
        <f aca="false">IF((SUMIF($KO$3:$KX$3,KU$60,$KO$4:$KX$4))=0,0,((SUMIF($KO$3:$KX$3,KU$60,$KO152:$KX152))/SUMIF($KO$3:$KX$3,KU$60,$KO$4:$KX$4)))</f>
        <v>0</v>
      </c>
      <c r="KV103" s="199" t="n">
        <f aca="false">IF((SUMIF($KO$3:$KX$3,KV$60,$KO$4:$KX$4))=0,0,((SUMIF($KO$3:$KX$3,KV$60,$KO152:$KX152))/SUMIF($KO$3:$KX$3,KV$60,$KO$4:$KX$4)))</f>
        <v>0</v>
      </c>
      <c r="KW103" s="199" t="n">
        <f aca="false">IF((SUMIF($KO$3:$KX$3,KW$60,$KO$4:$KX$4))=0,0,((SUMIF($KO$3:$KX$3,KW$60,$KO152:$KX152))/SUMIF($KO$3:$KX$3,KW$60,$KO$4:$KX$4)))</f>
        <v>0</v>
      </c>
      <c r="KX103" s="200" t="n">
        <f aca="false">IF((SUMIF($KO$3:$KX$3,KX$60,$KO$4:$KX$4))=0,0,((SUMIF($KO$3:$KX$3,KX$60,$KO152:$KX152))/SUMIF($KO$3:$KX$3,KX$60,$KO$4:$KX$4)))</f>
        <v>0</v>
      </c>
      <c r="KY103" s="194" t="str">
        <f aca="false">KN103</f>
        <v>Alumno42</v>
      </c>
      <c r="KZ103" s="198" t="n">
        <f aca="false">IF((SUMIF($KZ$3:$LI$3,KZ$60,$KZ$4:$LI$4))=0,0,((SUMIF($KZ$3:$LI$3,KZ$60,$KZ152:$LI152))/SUMIF($KZ$3:$LI$3,KZ$60,$KZ$4:$LI$4)))</f>
        <v>0</v>
      </c>
      <c r="LA103" s="199" t="n">
        <f aca="false">IF((SUMIF($KZ$3:$LI$3,LA$60,$KZ$4:$LI$4))=0,0,((SUMIF($KZ$3:$LI$3,LA$60,$KZ152:$LI152))/SUMIF($KZ$3:$LI$3,LA$60,$KZ$4:$LI$4)))</f>
        <v>0</v>
      </c>
      <c r="LB103" s="199" t="n">
        <f aca="false">IF((SUMIF($KZ$3:$LI$3,LB$60,$KZ$4:$LI$4))=0,0,((SUMIF($KZ$3:$LI$3,LB$60,$KZ152:$LI152))/SUMIF($KZ$3:$LI$3,LB$60,$KZ$4:$LI$4)))</f>
        <v>0</v>
      </c>
      <c r="LC103" s="199" t="n">
        <f aca="false">IF((SUMIF($KZ$3:$LI$3,LC$60,$KZ$4:$LI$4))=0,0,((SUMIF($KZ$3:$LI$3,LC$60,$KZ152:$LI152))/SUMIF($KZ$3:$LI$3,LC$60,$KZ$4:$LI$4)))</f>
        <v>0</v>
      </c>
      <c r="LD103" s="199" t="n">
        <f aca="false">IF((SUMIF($KZ$3:$LI$3,LD$60,$KZ$4:$LI$4))=0,0,((SUMIF($KZ$3:$LI$3,LD$60,$KZ152:$LI152))/SUMIF($KZ$3:$LI$3,LD$60,$KZ$4:$LI$4)))</f>
        <v>0</v>
      </c>
      <c r="LE103" s="199" t="n">
        <f aca="false">IF((SUMIF($KZ$3:$LI$3,LE$60,$KZ$4:$LI$4))=0,0,((SUMIF($KZ$3:$LI$3,LE$60,$KZ152:$LI152))/SUMIF($KZ$3:$LI$3,LE$60,$KZ$4:$LI$4)))</f>
        <v>0</v>
      </c>
      <c r="LF103" s="199" t="n">
        <f aca="false">IF((SUMIF($KZ$3:$LI$3,LF$60,$KZ$4:$LI$4))=0,0,((SUMIF($KZ$3:$LI$3,LF$60,$KZ152:$LI152))/SUMIF($KZ$3:$LI$3,LF$60,$KZ$4:$LI$4)))</f>
        <v>0</v>
      </c>
      <c r="LG103" s="199" t="n">
        <f aca="false">IF((SUMIF($KZ$3:$LI$3,LG$60,$KZ$4:$LI$4))=0,0,((SUMIF($KZ$3:$LI$3,LG$60,$KZ152:$LI152))/SUMIF($KZ$3:$LI$3,LG$60,$KZ$4:$LI$4)))</f>
        <v>0</v>
      </c>
      <c r="LH103" s="199" t="n">
        <f aca="false">IF((SUMIF($KZ$3:$LI$3,LH$60,$KZ$4:$LI$4))=0,0,((SUMIF($KZ$3:$LI$3,LH$60,$KZ152:$LI152))/SUMIF($KZ$3:$LI$3,LH$60,$KZ$4:$LI$4)))</f>
        <v>0</v>
      </c>
      <c r="LI103" s="200" t="n">
        <f aca="false">IF((SUMIF($KZ$3:$LI$3,LI$60,$KZ$4:$LI$4))=0,0,((SUMIF($KZ$3:$LI$3,LI$60,$KZ152:$LI152))/SUMIF($KZ$3:$LI$3,LI$60,$KZ$4:$LI$4)))</f>
        <v>0</v>
      </c>
      <c r="LJ103" s="194" t="str">
        <f aca="false">KY103</f>
        <v>Alumno42</v>
      </c>
      <c r="LK103" s="198" t="n">
        <f aca="false">IF((SUMIF($LK$3:$LT$3,LK$60,$LK$4:$LT$4))=0,0,((SUMIF($LK$3:$LT$3,LK$60,$LK152:$LT152))/SUMIF($LK$3:$LT$3,LK$60,$LK$4:$LT$4)))</f>
        <v>0</v>
      </c>
      <c r="LL103" s="199" t="n">
        <f aca="false">IF((SUMIF($LK$3:$LT$3,LL$60,$LK$4:$LT$4))=0,0,((SUMIF($LK$3:$LT$3,LL$60,$LK152:$LT152))/SUMIF($LK$3:$LT$3,LL$60,$LK$4:$LT$4)))</f>
        <v>0</v>
      </c>
      <c r="LM103" s="199" t="n">
        <f aca="false">IF((SUMIF($LK$3:$LT$3,LM$60,$LK$4:$LT$4))=0,0,((SUMIF($LK$3:$LT$3,LM$60,$LK152:$LT152))/SUMIF($LK$3:$LT$3,LM$60,$LK$4:$LT$4)))</f>
        <v>0</v>
      </c>
      <c r="LN103" s="199" t="n">
        <f aca="false">IF((SUMIF($LK$3:$LT$3,LN$60,$LK$4:$LT$4))=0,0,((SUMIF($LK$3:$LT$3,LN$60,$LK152:$LT152))/SUMIF($LK$3:$LT$3,LN$60,$LK$4:$LT$4)))</f>
        <v>0</v>
      </c>
      <c r="LO103" s="199" t="n">
        <f aca="false">IF((SUMIF($LK$3:$LT$3,LO$60,$LK$4:$LT$4))=0,0,((SUMIF($LK$3:$LT$3,LO$60,$LK152:$LT152))/SUMIF($LK$3:$LT$3,LO$60,$LK$4:$LT$4)))</f>
        <v>0</v>
      </c>
      <c r="LP103" s="199" t="n">
        <f aca="false">IF((SUMIF($LK$3:$LT$3,LP$60,$LK$4:$LT$4))=0,0,((SUMIF($LK$3:$LT$3,LP$60,$LK152:$LT152))/SUMIF($LK$3:$LT$3,LP$60,$LK$4:$LT$4)))</f>
        <v>0</v>
      </c>
      <c r="LQ103" s="199" t="n">
        <f aca="false">IF((SUMIF($LK$3:$LT$3,LQ$60,$LK$4:$LT$4))=0,0,((SUMIF($LK$3:$LT$3,LQ$60,$LK152:$LT152))/SUMIF($LK$3:$LT$3,LQ$60,$LK$4:$LT$4)))</f>
        <v>0</v>
      </c>
      <c r="LR103" s="199" t="n">
        <f aca="false">IF((SUMIF($LK$3:$LT$3,LR$60,$LK$4:$LT$4))=0,0,((SUMIF($LK$3:$LT$3,LR$60,$LK152:$LT152))/SUMIF($LK$3:$LT$3,LR$60,$LK$4:$LT$4)))</f>
        <v>0</v>
      </c>
      <c r="LS103" s="199" t="n">
        <f aca="false">IF((SUMIF($LK$3:$LT$3,LS$60,$LK$4:$LT$4))=0,0,((SUMIF($LK$3:$LT$3,LS$60,$LK152:$LT152))/SUMIF($LK$3:$LT$3,LS$60,$LK$4:$LT$4)))</f>
        <v>0</v>
      </c>
      <c r="LT103" s="200" t="n">
        <f aca="false">IF((SUMIF($LK$3:$LT$3,LT$60,$LK$4:$LT$4))=0,0,((SUMIF($LK$3:$LT$3,LT$60,$LK152:$LT152))/SUMIF($LK$3:$LT$3,LT$60,$LK$4:$LT$4)))</f>
        <v>0</v>
      </c>
    </row>
    <row r="104" customFormat="false" ht="15" hidden="true" customHeight="false" outlineLevel="0" collapsed="false">
      <c r="C104" s="194" t="str">
        <f aca="false">B48</f>
        <v>Alumno43</v>
      </c>
      <c r="D104" s="198" t="n">
        <f aca="false">IF((SUMIF($D$3:$M$3,D$60,$D$4:$M$4))=0,0,((SUMIF($D$3:$M$3,D$60,$D153:$M153))/SUMIF($D$3:$M$3,D$60,$D$4:$M$4)))</f>
        <v>0</v>
      </c>
      <c r="E104" s="199" t="n">
        <f aca="false">IF((SUMIF($D$3:$M$3,E$60,$D$4:$M$4))=0,0,((SUMIF($D$3:$M$3,E$60,$D153:$M153))/SUMIF($D$3:$M$3,E$60,$D$4:$M$4)))</f>
        <v>0</v>
      </c>
      <c r="F104" s="199" t="n">
        <f aca="false">IF((SUMIF($D$3:$M$3,F$60,$D$4:$M$4))=0,0,((SUMIF($D$3:$M$3,F$60,$D153:$M153))/SUMIF($D$3:$M$3,F$60,$D$4:$M$4)))</f>
        <v>0</v>
      </c>
      <c r="G104" s="199" t="n">
        <f aca="false">IF((SUMIF($D$3:$M$3,G$60,$D$4:$M$4))=0,0,((SUMIF($D$3:$M$3,G$60,$D153:$M153))/SUMIF($D$3:$M$3,G$60,$D$4:$M$4)))</f>
        <v>0</v>
      </c>
      <c r="H104" s="199" t="n">
        <f aca="false">IF((SUMIF($D$3:$M$3,H$60,$D$4:$M$4))=0,0,((SUMIF($D$3:$M$3,H$60,$D153:$M153))/SUMIF($D$3:$M$3,H$60,$D$4:$M$4)))</f>
        <v>0</v>
      </c>
      <c r="I104" s="199" t="n">
        <f aca="false">IF((SUMIF($D$3:$M$3,I$60,$D$4:$M$4))=0,0,((SUMIF($D$3:$M$3,I$60,$D153:$M153))/SUMIF($D$3:$M$3,I$60,$D$4:$M$4)))</f>
        <v>0</v>
      </c>
      <c r="J104" s="199" t="n">
        <f aca="false">IF((SUMIF($D$3:$M$3,J$60,$D$4:$M$4))=0,0,((SUMIF($D$3:$M$3,J$60,$D153:$M153))/SUMIF($D$3:$M$3,J$60,$D$4:$M$4)))</f>
        <v>0</v>
      </c>
      <c r="K104" s="199" t="n">
        <f aca="false">IF((SUMIF($D$3:$M$3,K$60,$D$4:$M$4))=0,0,((SUMIF($D$3:$M$3,K$60,$D153:$M153))/SUMIF($D$3:$M$3,K$60,$D$4:$M$4)))</f>
        <v>0</v>
      </c>
      <c r="L104" s="199" t="n">
        <f aca="false">IF((SUMIF($D$3:$M$3,L$60,$D$4:$M$4))=0,0,((SUMIF($D$3:$M$3,L$60,$D153:$M153))/SUMIF($D$3:$M$3,L$60,$D$4:$M$4)))</f>
        <v>0</v>
      </c>
      <c r="M104" s="200" t="n">
        <f aca="false">IF((SUMIF($D$3:$M$3,M$60,$D$4:$M$4))=0,0,((SUMIF($D$3:$M$3,M$60,$D153:$M153))/SUMIF($D$3:$M$3,M$60,$D$4:$M$4)))</f>
        <v>0</v>
      </c>
      <c r="N104" s="194" t="str">
        <f aca="false">C104</f>
        <v>Alumno43</v>
      </c>
      <c r="O104" s="198" t="n">
        <f aca="false">IF((SUMIF($O$3:$X$3,O$60,$O$4:$X$4))=0,0,((SUMIF($O$3:$X$3,O$60,$O153:$X153))/SUMIF($O$3:$X$3,O$60,$O$4:$X$4)))</f>
        <v>0</v>
      </c>
      <c r="P104" s="199" t="n">
        <f aca="false">IF((SUMIF($O$3:$X$3,P$60,$O$4:$X$4))=0,0,((SUMIF($O$3:$X$3,P$60,$O153:$X153))/SUMIF($O$3:$X$3,P$60,$O$4:$X$4)))</f>
        <v>0</v>
      </c>
      <c r="Q104" s="199" t="n">
        <f aca="false">IF((SUMIF($O$3:$X$3,Q$60,$O$4:$X$4))=0,0,((SUMIF($O$3:$X$3,Q$60,$O153:$X153))/SUMIF($O$3:$X$3,Q$60,$O$4:$X$4)))</f>
        <v>0</v>
      </c>
      <c r="R104" s="199" t="n">
        <f aca="false">IF((SUMIF($O$3:$X$3,R$60,$O$4:$X$4))=0,0,((SUMIF($O$3:$X$3,R$60,$O153:$X153))/SUMIF($O$3:$X$3,R$60,$O$4:$X$4)))</f>
        <v>0</v>
      </c>
      <c r="S104" s="199" t="n">
        <f aca="false">IF((SUMIF($O$3:$X$3,S$60,$O$4:$X$4))=0,0,((SUMIF($O$3:$X$3,S$60,$O153:$X153))/SUMIF($O$3:$X$3,S$60,$O$4:$X$4)))</f>
        <v>0</v>
      </c>
      <c r="T104" s="199" t="n">
        <f aca="false">IF((SUMIF($O$3:$X$3,T$60,$O$4:$X$4))=0,0,((SUMIF($O$3:$X$3,T$60,$O153:$X153))/SUMIF($O$3:$X$3,T$60,$O$4:$X$4)))</f>
        <v>0</v>
      </c>
      <c r="U104" s="199" t="n">
        <f aca="false">IF((SUMIF($O$3:$X$3,U$60,$O$4:$X$4))=0,0,((SUMIF($O$3:$X$3,U$60,$O153:$X153))/SUMIF($O$3:$X$3,U$60,$O$4:$X$4)))</f>
        <v>0</v>
      </c>
      <c r="V104" s="199" t="n">
        <f aca="false">IF((SUMIF($O$3:$X$3,V$60,$O$4:$X$4))=0,0,((SUMIF($O$3:$X$3,V$60,$O153:$X153))/SUMIF($O$3:$X$3,V$60,$O$4:$X$4)))</f>
        <v>0</v>
      </c>
      <c r="W104" s="199" t="n">
        <f aca="false">IF((SUMIF($O$3:$X$3,W$60,$O$4:$X$4))=0,0,((SUMIF($O$3:$X$3,W$60,$O153:$X153))/SUMIF($O$3:$X$3,W$60,$O$4:$X$4)))</f>
        <v>0</v>
      </c>
      <c r="X104" s="200" t="n">
        <f aca="false">IF((SUMIF($O$3:$X$3,X$60,$O$4:$X$4))=0,0,((SUMIF($O$3:$X$3,X$60,$O153:$X153))/SUMIF($O$3:$X$3,X$60,$O$4:$X$4)))</f>
        <v>0</v>
      </c>
      <c r="Y104" s="194" t="str">
        <f aca="false">N104</f>
        <v>Alumno43</v>
      </c>
      <c r="Z104" s="198" t="n">
        <f aca="false">IF((SUMIF($Z$3:$AI$3,Z$60,$Z$4:$AI$4))=0,0,((SUMIF($Z$3:$AI$3,Z$60,$Z153:$AI153))/SUMIF($Z$3:$AI$3,Z$60,$Z$4:$AI$4)))</f>
        <v>0</v>
      </c>
      <c r="AA104" s="199" t="n">
        <f aca="false">IF((SUMIF($Z$3:$AI$3,AA$60,$Z$4:$AI$4))=0,0,((SUMIF($Z$3:$AI$3,AA$60,$Z153:$AI153))/SUMIF($Z$3:$AI$3,AA$60,$Z$4:$AI$4)))</f>
        <v>0</v>
      </c>
      <c r="AB104" s="199" t="n">
        <f aca="false">IF((SUMIF($Z$3:$AI$3,AB$60,$Z$4:$AI$4))=0,0,((SUMIF($Z$3:$AI$3,AB$60,$Z153:$AI153))/SUMIF($Z$3:$AI$3,AB$60,$Z$4:$AI$4)))</f>
        <v>0</v>
      </c>
      <c r="AC104" s="199" t="n">
        <f aca="false">IF((SUMIF($Z$3:$AI$3,AC$60,$Z$4:$AI$4))=0,0,((SUMIF($Z$3:$AI$3,AC$60,$Z153:$AI153))/SUMIF($Z$3:$AI$3,AC$60,$Z$4:$AI$4)))</f>
        <v>0</v>
      </c>
      <c r="AD104" s="199" t="n">
        <f aca="false">IF((SUMIF($Z$3:$AI$3,AD$60,$Z$4:$AI$4))=0,0,((SUMIF($Z$3:$AI$3,AD$60,$Z153:$AI153))/SUMIF($Z$3:$AI$3,AD$60,$Z$4:$AI$4)))</f>
        <v>0</v>
      </c>
      <c r="AE104" s="199" t="n">
        <f aca="false">IF((SUMIF($Z$3:$AI$3,AE$60,$Z$4:$AI$4))=0,0,((SUMIF($Z$3:$AI$3,AE$60,$Z153:$AI153))/SUMIF($Z$3:$AI$3,AE$60,$Z$4:$AI$4)))</f>
        <v>0</v>
      </c>
      <c r="AF104" s="199" t="n">
        <f aca="false">IF((SUMIF($Z$3:$AI$3,AF$60,$Z$4:$AI$4))=0,0,((SUMIF($Z$3:$AI$3,AF$60,$Z153:$AI153))/SUMIF($Z$3:$AI$3,AF$60,$Z$4:$AI$4)))</f>
        <v>0</v>
      </c>
      <c r="AG104" s="199" t="n">
        <f aca="false">IF((SUMIF($Z$3:$AI$3,AG$60,$Z$4:$AI$4))=0,0,((SUMIF($Z$3:$AI$3,AG$60,$Z153:$AI153))/SUMIF($Z$3:$AI$3,AG$60,$Z$4:$AI$4)))</f>
        <v>0</v>
      </c>
      <c r="AH104" s="199" t="n">
        <f aca="false">IF((SUMIF($Z$3:$AI$3,AH$60,$Z$4:$AI$4))=0,0,((SUMIF($Z$3:$AI$3,AH$60,$Z153:$AI153))/SUMIF($Z$3:$AI$3,AH$60,$Z$4:$AI$4)))</f>
        <v>0</v>
      </c>
      <c r="AI104" s="200" t="n">
        <f aca="false">IF((SUMIF($Z$3:$AI$3,AI$60,$Z$4:$AI$4))=0,0,((SUMIF($Z$3:$AI$3,AI$60,$Z153:$AI153))/SUMIF($Z$3:$AI$3,AI$60,$Z$4:$AI$4)))</f>
        <v>0</v>
      </c>
      <c r="AJ104" s="194" t="str">
        <f aca="false">Y104</f>
        <v>Alumno43</v>
      </c>
      <c r="AK104" s="198" t="n">
        <f aca="false">IF((SUMIF($AK$3:$AT$3,AK$60,$AK$4:$AT$4))=0,0,((SUMIF($AK$3:$AT$3,AK$60,$AK153:$AT153))/SUMIF($AK$3:$AT$3,AK$60,$AK$4:$AT$4)))</f>
        <v>0</v>
      </c>
      <c r="AL104" s="199" t="n">
        <f aca="false">IF((SUMIF($AK$3:$AT$3,AL$60,$AK$4:$AT$4))=0,0,((SUMIF($AK$3:$AT$3,AL$60,$AK153:$AT153))/SUMIF($AK$3:$AT$3,AL$60,$AK$4:$AT$4)))</f>
        <v>0</v>
      </c>
      <c r="AM104" s="199" t="n">
        <f aca="false">IF((SUMIF($AK$3:$AT$3,AM$60,$AK$4:$AT$4))=0,0,((SUMIF($AK$3:$AT$3,AM$60,$AK153:$AT153))/SUMIF($AK$3:$AT$3,AM$60,$AK$4:$AT$4)))</f>
        <v>0</v>
      </c>
      <c r="AN104" s="199" t="n">
        <f aca="false">IF((SUMIF($AK$3:$AT$3,AN$60,$AK$4:$AT$4))=0,0,((SUMIF($AK$3:$AT$3,AN$60,$AK153:$AT153))/SUMIF($AK$3:$AT$3,AN$60,$AK$4:$AT$4)))</f>
        <v>0</v>
      </c>
      <c r="AO104" s="199" t="n">
        <f aca="false">IF((SUMIF($AK$3:$AT$3,AO$60,$AK$4:$AT$4))=0,0,((SUMIF($AK$3:$AT$3,AO$60,$AK153:$AT153))/SUMIF($AK$3:$AT$3,AO$60,$AK$4:$AT$4)))</f>
        <v>0</v>
      </c>
      <c r="AP104" s="199" t="n">
        <f aca="false">IF((SUMIF($AK$3:$AT$3,AP$60,$AK$4:$AT$4))=0,0,((SUMIF($AK$3:$AT$3,AP$60,$AK153:$AT153))/SUMIF($AK$3:$AT$3,AP$60,$AK$4:$AT$4)))</f>
        <v>0</v>
      </c>
      <c r="AQ104" s="199" t="n">
        <f aca="false">IF((SUMIF($AK$3:$AT$3,AQ$60,$AK$4:$AT$4))=0,0,((SUMIF($AK$3:$AT$3,AQ$60,$AK153:$AT153))/SUMIF($AK$3:$AT$3,AQ$60,$AK$4:$AT$4)))</f>
        <v>0</v>
      </c>
      <c r="AR104" s="199" t="n">
        <f aca="false">IF((SUMIF($AK$3:$AT$3,AR$60,$AK$4:$AT$4))=0,0,((SUMIF($AK$3:$AT$3,AR$60,$AK153:$AT153))/SUMIF($AK$3:$AT$3,AR$60,$AK$4:$AT$4)))</f>
        <v>0</v>
      </c>
      <c r="AS104" s="199" t="n">
        <f aca="false">IF((SUMIF($AK$3:$AT$3,AS$60,$AK$4:$AT$4))=0,0,((SUMIF($AK$3:$AT$3,AS$60,$AK153:$AT153))/SUMIF($AK$3:$AT$3,AS$60,$AK$4:$AT$4)))</f>
        <v>0</v>
      </c>
      <c r="AT104" s="200" t="n">
        <f aca="false">IF((SUMIF($AK$3:$AT$3,AT$60,$AK$4:$AT$4))=0,0,((SUMIF($AK$3:$AT$3,AT$60,$AK153:$AT153))/SUMIF($AK$3:$AT$3,AT$60,$AK$4:$AT$4)))</f>
        <v>0</v>
      </c>
      <c r="AU104" s="194" t="str">
        <f aca="false">AJ104</f>
        <v>Alumno43</v>
      </c>
      <c r="AV104" s="198" t="n">
        <f aca="false">IF((SUMIF($AV$3:$BE$3,AV$60,$AV$4:$BE$4))=0,0,((SUMIF($AV$3:$BE$3,AV$60,$AV153:$BE153))/SUMIF($AV$3:$BE$3,AV$60,$AV$4:$BE$4)))</f>
        <v>0</v>
      </c>
      <c r="AW104" s="199" t="n">
        <f aca="false">IF((SUMIF($AV$3:$BE$3,AW$60,$AV$4:$BE$4))=0,0,((SUMIF($AV$3:$BE$3,AW$60,$AV153:$BE153))/SUMIF($AV$3:$BE$3,AW$60,$AV$4:$BE$4)))</f>
        <v>0</v>
      </c>
      <c r="AX104" s="199" t="n">
        <f aca="false">IF((SUMIF($AV$3:$BE$3,AX$60,$AV$4:$BE$4))=0,0,((SUMIF($AV$3:$BE$3,AX$60,$AV153:$BE153))/SUMIF($AV$3:$BE$3,AX$60,$AV$4:$BE$4)))</f>
        <v>0</v>
      </c>
      <c r="AY104" s="199" t="n">
        <f aca="false">IF((SUMIF($AV$3:$BE$3,AY$60,$AV$4:$BE$4))=0,0,((SUMIF($AV$3:$BE$3,AY$60,$AV153:$BE153))/SUMIF($AV$3:$BE$3,AY$60,$AV$4:$BE$4)))</f>
        <v>0</v>
      </c>
      <c r="AZ104" s="199" t="n">
        <f aca="false">IF((SUMIF($AV$3:$BE$3,AZ$60,$AV$4:$BE$4))=0,0,((SUMIF($AV$3:$BE$3,AZ$60,$AV153:$BE153))/SUMIF($AV$3:$BE$3,AZ$60,$AV$4:$BE$4)))</f>
        <v>0</v>
      </c>
      <c r="BA104" s="199" t="n">
        <f aca="false">IF((SUMIF($AV$3:$BE$3,BA$60,$AV$4:$BE$4))=0,0,((SUMIF($AV$3:$BE$3,BA$60,$AV153:$BE153))/SUMIF($AV$3:$BE$3,BA$60,$AV$4:$BE$4)))</f>
        <v>0</v>
      </c>
      <c r="BB104" s="199" t="n">
        <f aca="false">IF((SUMIF($AV$3:$BE$3,BB$60,$AV$4:$BE$4))=0,0,((SUMIF($AV$3:$BE$3,BB$60,$AV153:$BE153))/SUMIF($AV$3:$BE$3,BB$60,$AV$4:$BE$4)))</f>
        <v>0</v>
      </c>
      <c r="BC104" s="199" t="n">
        <f aca="false">IF((SUMIF($AV$3:$BE$3,BC$60,$AV$4:$BE$4))=0,0,((SUMIF($AV$3:$BE$3,BC$60,$AV153:$BE153))/SUMIF($AV$3:$BE$3,BC$60,$AV$4:$BE$4)))</f>
        <v>0</v>
      </c>
      <c r="BD104" s="199" t="n">
        <f aca="false">IF((SUMIF($AV$3:$BE$3,BD$60,$AV$4:$BE$4))=0,0,((SUMIF($AV$3:$BE$3,BD$60,$AV153:$BE153))/SUMIF($AV$3:$BE$3,BD$60,$AV$4:$BE$4)))</f>
        <v>0</v>
      </c>
      <c r="BE104" s="200" t="n">
        <f aca="false">IF((SUMIF($AV$3:$BE$3,BE$60,$AV$4:$BE$4))=0,0,((SUMIF($AV$3:$BE$3,BE$60,$AV153:$BE153))/SUMIF($AV$3:$BE$3,BE$60,$AV$4:$BE$4)))</f>
        <v>0</v>
      </c>
      <c r="BF104" s="194" t="str">
        <f aca="false">AU104</f>
        <v>Alumno43</v>
      </c>
      <c r="BG104" s="198" t="n">
        <f aca="false">IF((SUMIF($BG$3:$BP$3,BG$60,$BG$4:$BP$4))=0,0,((SUMIF($BG$3:$BP$3,BG$60,$BG153:$BP153))/SUMIF($BG$3:$BP$3,BG$60,$BG$4:$BP$4)))</f>
        <v>0</v>
      </c>
      <c r="BH104" s="199" t="n">
        <f aca="false">IF((SUMIF($BG$3:$BP$3,BH$60,$BG$4:$BP$4))=0,0,((SUMIF($BG$3:$BP$3,BH$60,$BG153:$BP153))/SUMIF($BG$3:$BP$3,BH$60,$BG$4:$BP$4)))</f>
        <v>0</v>
      </c>
      <c r="BI104" s="199" t="n">
        <f aca="false">IF((SUMIF($BG$3:$BP$3,BI$60,$BG$4:$BP$4))=0,0,((SUMIF($BG$3:$BP$3,BI$60,$BG153:$BP153))/SUMIF($BG$3:$BP$3,BI$60,$BG$4:$BP$4)))</f>
        <v>0</v>
      </c>
      <c r="BJ104" s="199" t="n">
        <f aca="false">IF((SUMIF($BG$3:$BP$3,BJ$60,$BG$4:$BP$4))=0,0,((SUMIF($BG$3:$BP$3,BJ$60,$BG153:$BP153))/SUMIF($BG$3:$BP$3,BJ$60,$BG$4:$BP$4)))</f>
        <v>0</v>
      </c>
      <c r="BK104" s="199" t="n">
        <f aca="false">IF((SUMIF($BG$3:$BP$3,BK$60,$BG$4:$BP$4))=0,0,((SUMIF($BG$3:$BP$3,BK$60,$BG153:$BP153))/SUMIF($BG$3:$BP$3,BK$60,$BG$4:$BP$4)))</f>
        <v>0</v>
      </c>
      <c r="BL104" s="199" t="n">
        <f aca="false">IF((SUMIF($BG$3:$BP$3,BL$60,$BG$4:$BP$4))=0,0,((SUMIF($BG$3:$BP$3,BL$60,$BG153:$BP153))/SUMIF($BG$3:$BP$3,BL$60,$BG$4:$BP$4)))</f>
        <v>0</v>
      </c>
      <c r="BM104" s="199" t="n">
        <f aca="false">IF((SUMIF($BG$3:$BP$3,BM$60,$BG$4:$BP$4))=0,0,((SUMIF($BG$3:$BP$3,BM$60,$BG153:$BP153))/SUMIF($BG$3:$BP$3,BM$60,$BG$4:$BP$4)))</f>
        <v>0</v>
      </c>
      <c r="BN104" s="199" t="n">
        <f aca="false">IF((SUMIF($BG$3:$BP$3,BN$60,$BG$4:$BP$4))=0,0,((SUMIF($BG$3:$BP$3,BN$60,$BG153:$BP153))/SUMIF($BG$3:$BP$3,BN$60,$BG$4:$BP$4)))</f>
        <v>0</v>
      </c>
      <c r="BO104" s="199" t="n">
        <f aca="false">IF((SUMIF($BG$3:$BP$3,BO$60,$BG$4:$BP$4))=0,0,((SUMIF($BG$3:$BP$3,BO$60,$BG153:$BP153))/SUMIF($BG$3:$BP$3,BO$60,$BG$4:$BP$4)))</f>
        <v>0</v>
      </c>
      <c r="BP104" s="200" t="n">
        <f aca="false">IF((SUMIF($BG$3:$BP$3,BP$60,$BG$4:$BP$4))=0,0,((SUMIF($BG$3:$BP$3,BP$60,$BG153:$BP153))/SUMIF($BG$3:$BP$3,BP$60,$BG$4:$BP$4)))</f>
        <v>0</v>
      </c>
      <c r="BQ104" s="194" t="str">
        <f aca="false">BF104</f>
        <v>Alumno43</v>
      </c>
      <c r="BR104" s="198" t="n">
        <f aca="false">IF((SUMIF($BR$3:$CA$3,BR$60,$BR$4:$CA$4))=0,0,((SUMIF($BR$3:$CA$3,BR$60,$BR153:$CA153))/SUMIF($BR$3:$CA$3,BR$60,$BR$4:$CA$4)))</f>
        <v>0</v>
      </c>
      <c r="BS104" s="199" t="n">
        <f aca="false">IF((SUMIF($BR$3:$CA$3,BS$60,$BR$4:$CA$4))=0,0,((SUMIF($BR$3:$CA$3,BS$60,$BR153:$CA153))/SUMIF($BR$3:$CA$3,BS$60,$BR$4:$CA$4)))</f>
        <v>0</v>
      </c>
      <c r="BT104" s="199" t="n">
        <f aca="false">IF((SUMIF($BR$3:$CA$3,BT$60,$BR$4:$CA$4))=0,0,((SUMIF($BR$3:$CA$3,BT$60,$BR153:$CA153))/SUMIF($BR$3:$CA$3,BT$60,$BR$4:$CA$4)))</f>
        <v>0</v>
      </c>
      <c r="BU104" s="199" t="n">
        <f aca="false">IF((SUMIF($BR$3:$CA$3,BU$60,$BR$4:$CA$4))=0,0,((SUMIF($BR$3:$CA$3,BU$60,$BR153:$CA153))/SUMIF($BR$3:$CA$3,BU$60,$BR$4:$CA$4)))</f>
        <v>0</v>
      </c>
      <c r="BV104" s="199" t="n">
        <f aca="false">IF((SUMIF($BR$3:$CA$3,BV$60,$BR$4:$CA$4))=0,0,((SUMIF($BR$3:$CA$3,BV$60,$BR153:$CA153))/SUMIF($BR$3:$CA$3,BV$60,$BR$4:$CA$4)))</f>
        <v>0</v>
      </c>
      <c r="BW104" s="199" t="n">
        <f aca="false">IF((SUMIF($BR$3:$CA$3,BW$60,$BR$4:$CA$4))=0,0,((SUMIF($BR$3:$CA$3,BW$60,$BR153:$CA153))/SUMIF($BR$3:$CA$3,BW$60,$BR$4:$CA$4)))</f>
        <v>0</v>
      </c>
      <c r="BX104" s="199" t="n">
        <f aca="false">IF((SUMIF($BR$3:$CA$3,BX$60,$BR$4:$CA$4))=0,0,((SUMIF($BR$3:$CA$3,BX$60,$BR153:$CA153))/SUMIF($BR$3:$CA$3,BX$60,$BR$4:$CA$4)))</f>
        <v>0</v>
      </c>
      <c r="BY104" s="199" t="n">
        <f aca="false">IF((SUMIF($BR$3:$CA$3,BY$60,$BR$4:$CA$4))=0,0,((SUMIF($BR$3:$CA$3,BY$60,$BR153:$CA153))/SUMIF($BR$3:$CA$3,BY$60,$BR$4:$CA$4)))</f>
        <v>0</v>
      </c>
      <c r="BZ104" s="199" t="n">
        <f aca="false">IF((SUMIF($BR$3:$CA$3,BZ$60,$BR$4:$CA$4))=0,0,((SUMIF($BR$3:$CA$3,BZ$60,$BR153:$CA153))/SUMIF($BR$3:$CA$3,BZ$60,$BR$4:$CA$4)))</f>
        <v>0</v>
      </c>
      <c r="CA104" s="200" t="n">
        <f aca="false">IF((SUMIF($BR$3:$CA$3,CA$60,$BR$4:$CA$4))=0,0,((SUMIF($BR$3:$CA$3,CA$60,$BR153:$CA153))/SUMIF($BR$3:$CA$3,CA$60,$BR$4:$CA$4)))</f>
        <v>0</v>
      </c>
      <c r="CB104" s="194" t="str">
        <f aca="false">BQ104</f>
        <v>Alumno43</v>
      </c>
      <c r="CC104" s="198" t="n">
        <f aca="false">IF((SUMIF($CC$3:$CL$3,CC$60,$CC$4:$CL$4))=0,0,((SUMIF($CC$3:$CL$3,CC$60,$CC153:$CL153))/SUMIF($CC$3:$CL$3,CC$60,$CC$4:$CL$4)))</f>
        <v>0</v>
      </c>
      <c r="CD104" s="199" t="n">
        <f aca="false">IF((SUMIF($CC$3:$CL$3,CD$60,$CC$4:$CL$4))=0,0,((SUMIF($CC$3:$CL$3,CD$60,$CC153:$CL153))/SUMIF($CC$3:$CL$3,CD$60,$CC$4:$CL$4)))</f>
        <v>0</v>
      </c>
      <c r="CE104" s="199" t="n">
        <f aca="false">IF((SUMIF($CC$3:$CL$3,CE$60,$CC$4:$CL$4))=0,0,((SUMIF($CC$3:$CL$3,CE$60,$CC153:$CL153))/SUMIF($CC$3:$CL$3,CE$60,$CC$4:$CL$4)))</f>
        <v>0</v>
      </c>
      <c r="CF104" s="199" t="n">
        <f aca="false">IF((SUMIF($CC$3:$CL$3,CF$60,$CC$4:$CL$4))=0,0,((SUMIF($CC$3:$CL$3,CF$60,$CC153:$CL153))/SUMIF($CC$3:$CL$3,CF$60,$CC$4:$CL$4)))</f>
        <v>0</v>
      </c>
      <c r="CG104" s="199" t="n">
        <f aca="false">IF((SUMIF($CC$3:$CL$3,CG$60,$CC$4:$CL$4))=0,0,((SUMIF($CC$3:$CL$3,CG$60,$CC153:$CL153))/SUMIF($CC$3:$CL$3,CG$60,$CC$4:$CL$4)))</f>
        <v>0</v>
      </c>
      <c r="CH104" s="199" t="n">
        <f aca="false">IF((SUMIF($CC$3:$CL$3,CH$60,$CC$4:$CL$4))=0,0,((SUMIF($CC$3:$CL$3,CH$60,$CC153:$CL153))/SUMIF($CC$3:$CL$3,CH$60,$CC$4:$CL$4)))</f>
        <v>0</v>
      </c>
      <c r="CI104" s="199" t="n">
        <f aca="false">IF((SUMIF($CC$3:$CL$3,CI$60,$CC$4:$CL$4))=0,0,((SUMIF($CC$3:$CL$3,CI$60,$CC153:$CL153))/SUMIF($CC$3:$CL$3,CI$60,$CC$4:$CL$4)))</f>
        <v>0</v>
      </c>
      <c r="CJ104" s="199" t="n">
        <f aca="false">IF((SUMIF($CC$3:$CL$3,CJ$60,$CC$4:$CL$4))=0,0,((SUMIF($CC$3:$CL$3,CJ$60,$CC153:$CL153))/SUMIF($CC$3:$CL$3,CJ$60,$CC$4:$CL$4)))</f>
        <v>0</v>
      </c>
      <c r="CK104" s="199" t="n">
        <f aca="false">IF((SUMIF($CC$3:$CL$3,CK$60,$CC$4:$CL$4))=0,0,((SUMIF($CC$3:$CL$3,CK$60,$CC153:$CL153))/SUMIF($CC$3:$CL$3,CK$60,$CC$4:$CL$4)))</f>
        <v>0</v>
      </c>
      <c r="CL104" s="200" t="n">
        <f aca="false">IF((SUMIF($CC$3:$CL$3,CL$60,$CC$4:$CL$4))=0,0,((SUMIF($CC$3:$CL$3,CL$60,$CC153:$CL153))/SUMIF($CC$3:$CL$3,CL$60,$CC$4:$CL$4)))</f>
        <v>0</v>
      </c>
      <c r="CM104" s="194" t="str">
        <f aca="false">CB104</f>
        <v>Alumno43</v>
      </c>
      <c r="CN104" s="198" t="n">
        <f aca="false">IF((SUMIF($CN$3:$CW$3,CN$60,$CN$4:$CW$4))=0,0,((SUMIF($CN$3:$CW$3,CN$60,$CN153:$CW153))/SUMIF($CN$3:$CW$3,CN$60,$CN$4:$CW$4)))</f>
        <v>0</v>
      </c>
      <c r="CO104" s="199" t="n">
        <f aca="false">IF((SUMIF($CN$3:$CW$3,CO$60,$CN$4:$CW$4))=0,0,((SUMIF($CN$3:$CW$3,CO$60,$CN153:$CW153))/SUMIF($CN$3:$CW$3,CO$60,$CN$4:$CW$4)))</f>
        <v>0</v>
      </c>
      <c r="CP104" s="199" t="n">
        <f aca="false">IF((SUMIF($CN$3:$CW$3,CP$60,$CN$4:$CW$4))=0,0,((SUMIF($CN$3:$CW$3,CP$60,$CN153:$CW153))/SUMIF($CN$3:$CW$3,CP$60,$CN$4:$CW$4)))</f>
        <v>0</v>
      </c>
      <c r="CQ104" s="199" t="n">
        <f aca="false">IF((SUMIF($CN$3:$CW$3,CQ$60,$CN$4:$CW$4))=0,0,((SUMIF($CN$3:$CW$3,CQ$60,$CN153:$CW153))/SUMIF($CN$3:$CW$3,CQ$60,$CN$4:$CW$4)))</f>
        <v>0</v>
      </c>
      <c r="CR104" s="199" t="n">
        <f aca="false">IF((SUMIF($CN$3:$CW$3,CR$60,$CN$4:$CW$4))=0,0,((SUMIF($CN$3:$CW$3,CR$60,$CN153:$CW153))/SUMIF($CN$3:$CW$3,CR$60,$CN$4:$CW$4)))</f>
        <v>0</v>
      </c>
      <c r="CS104" s="199" t="n">
        <f aca="false">IF((SUMIF($CN$3:$CW$3,CS$60,$CN$4:$CW$4))=0,0,((SUMIF($CN$3:$CW$3,CS$60,$CN153:$CW153))/SUMIF($CN$3:$CW$3,CS$60,$CN$4:$CW$4)))</f>
        <v>0</v>
      </c>
      <c r="CT104" s="199" t="n">
        <f aca="false">IF((SUMIF($CN$3:$CW$3,CT$60,$CN$4:$CW$4))=0,0,((SUMIF($CN$3:$CW$3,CT$60,$CN153:$CW153))/SUMIF($CN$3:$CW$3,CT$60,$CN$4:$CW$4)))</f>
        <v>0</v>
      </c>
      <c r="CU104" s="199" t="n">
        <f aca="false">IF((SUMIF($CN$3:$CW$3,CU$60,$CN$4:$CW$4))=0,0,((SUMIF($CN$3:$CW$3,CU$60,$CN153:$CW153))/SUMIF($CN$3:$CW$3,CU$60,$CN$4:$CW$4)))</f>
        <v>0</v>
      </c>
      <c r="CV104" s="199" t="n">
        <f aca="false">IF((SUMIF($CN$3:$CW$3,CV$60,$CN$4:$CW$4))=0,0,((SUMIF($CN$3:$CW$3,CV$60,$CN153:$CW153))/SUMIF($CN$3:$CW$3,CV$60,$CN$4:$CW$4)))</f>
        <v>0</v>
      </c>
      <c r="CW104" s="200" t="n">
        <f aca="false">IF((SUMIF($CN$3:$CW$3,CW$60,$CN$4:$CW$4))=0,0,((SUMIF($CN$3:$CW$3,CW$60,$CN153:$CW153))/SUMIF($CN$3:$CW$3,CW$60,$CN$4:$CW$4)))</f>
        <v>0</v>
      </c>
      <c r="CX104" s="194" t="str">
        <f aca="false">CM104</f>
        <v>Alumno43</v>
      </c>
      <c r="CY104" s="198" t="n">
        <f aca="false">IF((SUMIF($CY$3:$DH$3,CY$60,$CY$4:$DH$4))=0,0,((SUMIF($CY$3:$DH$3,CY$60,$CY153:$DH153))/SUMIF($CY$3:$DH$3,CY$60,$CY$4:$DH$4)))</f>
        <v>0</v>
      </c>
      <c r="CZ104" s="199" t="n">
        <f aca="false">IF((SUMIF($CY$3:$DH$3,CZ$60,$CY$4:$DH$4))=0,0,((SUMIF($CY$3:$DH$3,CZ$60,$CY153:$DH153))/SUMIF($CY$3:$DH$3,CZ$60,$CY$4:$DH$4)))</f>
        <v>0</v>
      </c>
      <c r="DA104" s="199" t="n">
        <f aca="false">IF((SUMIF($CY$3:$DH$3,DA$60,$CY$4:$DH$4))=0,0,((SUMIF($CY$3:$DH$3,DA$60,$CY153:$DH153))/SUMIF($CY$3:$DH$3,DA$60,$CY$4:$DH$4)))</f>
        <v>0</v>
      </c>
      <c r="DB104" s="199" t="n">
        <f aca="false">IF((SUMIF($CY$3:$DH$3,DB$60,$CY$4:$DH$4))=0,0,((SUMIF($CY$3:$DH$3,DB$60,$CY153:$DH153))/SUMIF($CY$3:$DH$3,DB$60,$CY$4:$DH$4)))</f>
        <v>0</v>
      </c>
      <c r="DC104" s="199" t="n">
        <f aca="false">IF((SUMIF($CY$3:$DH$3,DC$60,$CY$4:$DH$4))=0,0,((SUMIF($CY$3:$DH$3,DC$60,$CY153:$DH153))/SUMIF($CY$3:$DH$3,DC$60,$CY$4:$DH$4)))</f>
        <v>0</v>
      </c>
      <c r="DD104" s="199" t="n">
        <f aca="false">IF((SUMIF($CY$3:$DH$3,DD$60,$CY$4:$DH$4))=0,0,((SUMIF($CY$3:$DH$3,DD$60,$CY153:$DH153))/SUMIF($CY$3:$DH$3,DD$60,$CY$4:$DH$4)))</f>
        <v>0</v>
      </c>
      <c r="DE104" s="199" t="n">
        <f aca="false">IF((SUMIF($CY$3:$DH$3,DE$60,$CY$4:$DH$4))=0,0,((SUMIF($CY$3:$DH$3,DE$60,$CY153:$DH153))/SUMIF($CY$3:$DH$3,DE$60,$CY$4:$DH$4)))</f>
        <v>0</v>
      </c>
      <c r="DF104" s="199" t="n">
        <f aca="false">IF((SUMIF($CY$3:$DH$3,DF$60,$CY$4:$DH$4))=0,0,((SUMIF($CY$3:$DH$3,DF$60,$CY153:$DH153))/SUMIF($CY$3:$DH$3,DF$60,$CY$4:$DH$4)))</f>
        <v>0</v>
      </c>
      <c r="DG104" s="199" t="n">
        <f aca="false">IF((SUMIF($CY$3:$DH$3,DG$60,$CY$4:$DH$4))=0,0,((SUMIF($CY$3:$DH$3,DG$60,$CY153:$DH153))/SUMIF($CY$3:$DH$3,DG$60,$CY$4:$DH$4)))</f>
        <v>0</v>
      </c>
      <c r="DH104" s="200" t="n">
        <f aca="false">IF((SUMIF($CY$3:$DH$3,DH$60,$CY$4:$DH$4))=0,0,((SUMIF($CY$3:$DH$3,DH$60,$CY153:$DH153))/SUMIF($CY$3:$DH$3,DH$60,$CY$4:$DH$4)))</f>
        <v>0</v>
      </c>
      <c r="DI104" s="194" t="str">
        <f aca="false">CX104</f>
        <v>Alumno43</v>
      </c>
      <c r="DJ104" s="198" t="n">
        <f aca="false">IF((SUMIF($DJ$3:$DS$3,DJ$60,$DJ$4:$DS$4))=0,0,((SUMIF($DJ$3:$DS$3,DJ$60,$DJ153:$DS153))/SUMIF($DJ$3:$DS$3,DJ$60,$DJ$4:$DS$4)))</f>
        <v>0</v>
      </c>
      <c r="DK104" s="199" t="n">
        <f aca="false">IF((SUMIF($DJ$3:$DS$3,DK$60,$DJ$4:$DS$4))=0,0,((SUMIF($DJ$3:$DS$3,DK$60,$DJ153:$DS153))/SUMIF($DJ$3:$DS$3,DK$60,$DJ$4:$DS$4)))</f>
        <v>0</v>
      </c>
      <c r="DL104" s="199" t="n">
        <f aca="false">IF((SUMIF($DJ$3:$DS$3,DL$60,$DJ$4:$DS$4))=0,0,((SUMIF($DJ$3:$DS$3,DL$60,$DJ153:$DS153))/SUMIF($DJ$3:$DS$3,DL$60,$DJ$4:$DS$4)))</f>
        <v>0</v>
      </c>
      <c r="DM104" s="199" t="n">
        <f aca="false">IF((SUMIF($DJ$3:$DS$3,DM$60,$DJ$4:$DS$4))=0,0,((SUMIF($DJ$3:$DS$3,DM$60,$DJ153:$DS153))/SUMIF($DJ$3:$DS$3,DM$60,$DJ$4:$DS$4)))</f>
        <v>0</v>
      </c>
      <c r="DN104" s="199" t="n">
        <f aca="false">IF((SUMIF($DJ$3:$DS$3,DN$60,$DJ$4:$DS$4))=0,0,((SUMIF($DJ$3:$DS$3,DN$60,$DJ153:$DS153))/SUMIF($DJ$3:$DS$3,DN$60,$DJ$4:$DS$4)))</f>
        <v>0</v>
      </c>
      <c r="DO104" s="199" t="n">
        <f aca="false">IF((SUMIF($DJ$3:$DS$3,DO$60,$DJ$4:$DS$4))=0,0,((SUMIF($DJ$3:$DS$3,DO$60,$DJ153:$DS153))/SUMIF($DJ$3:$DS$3,DO$60,$DJ$4:$DS$4)))</f>
        <v>0</v>
      </c>
      <c r="DP104" s="199" t="n">
        <f aca="false">IF((SUMIF($DJ$3:$DS$3,DP$60,$DJ$4:$DS$4))=0,0,((SUMIF($DJ$3:$DS$3,DP$60,$DJ153:$DS153))/SUMIF($DJ$3:$DS$3,DP$60,$DJ$4:$DS$4)))</f>
        <v>0</v>
      </c>
      <c r="DQ104" s="199" t="n">
        <f aca="false">IF((SUMIF($DJ$3:$DS$3,DQ$60,$DJ$4:$DS$4))=0,0,((SUMIF($DJ$3:$DS$3,DQ$60,$DJ153:$DS153))/SUMIF($DJ$3:$DS$3,DQ$60,$DJ$4:$DS$4)))</f>
        <v>0</v>
      </c>
      <c r="DR104" s="199" t="n">
        <f aca="false">IF((SUMIF($DJ$3:$DS$3,DR$60,$DJ$4:$DS$4))=0,0,((SUMIF($DJ$3:$DS$3,DR$60,$DJ153:$DS153))/SUMIF($DJ$3:$DS$3,DR$60,$DJ$4:$DS$4)))</f>
        <v>0</v>
      </c>
      <c r="DS104" s="200" t="n">
        <f aca="false">IF((SUMIF($DJ$3:$DS$3,DS$60,$DJ$4:$DS$4))=0,0,((SUMIF($DJ$3:$DS$3,DS$60,$DJ153:$DS153))/SUMIF($DJ$3:$DS$3,DS$60,$DJ$4:$DS$4)))</f>
        <v>0</v>
      </c>
      <c r="DT104" s="194" t="str">
        <f aca="false">DI104</f>
        <v>Alumno43</v>
      </c>
      <c r="DU104" s="198" t="n">
        <f aca="false">IF((SUMIF($DU$3:$ED$3,DU$60,$DU$4:$ED$4))=0,0,((SUMIF($DU$3:$ED$3,DU$60,$DU153:$ED153))/SUMIF($DU$3:$ED$3,DU$60,$DU$4:$ED$4)))</f>
        <v>0</v>
      </c>
      <c r="DV104" s="199" t="n">
        <f aca="false">IF((SUMIF($DU$3:$ED$3,DV$60,$DU$4:$ED$4))=0,0,((SUMIF($DU$3:$ED$3,DV$60,$DU153:$ED153))/SUMIF($DU$3:$ED$3,DV$60,$DU$4:$ED$4)))</f>
        <v>0</v>
      </c>
      <c r="DW104" s="199" t="n">
        <f aca="false">IF((SUMIF($DU$3:$ED$3,DW$60,$DU$4:$ED$4))=0,0,((SUMIF($DU$3:$ED$3,DW$60,$DU153:$ED153))/SUMIF($DU$3:$ED$3,DW$60,$DU$4:$ED$4)))</f>
        <v>0</v>
      </c>
      <c r="DX104" s="199" t="n">
        <f aca="false">IF((SUMIF($DU$3:$ED$3,DX$60,$DU$4:$ED$4))=0,0,((SUMIF($DU$3:$ED$3,DX$60,$DU153:$ED153))/SUMIF($DU$3:$ED$3,DX$60,$DU$4:$ED$4)))</f>
        <v>0</v>
      </c>
      <c r="DY104" s="199" t="n">
        <f aca="false">IF((SUMIF($DU$3:$ED$3,DY$60,$DU$4:$ED$4))=0,0,((SUMIF($DU$3:$ED$3,DY$60,$DU153:$ED153))/SUMIF($DU$3:$ED$3,DY$60,$DU$4:$ED$4)))</f>
        <v>0</v>
      </c>
      <c r="DZ104" s="199" t="n">
        <f aca="false">IF((SUMIF($DU$3:$ED$3,DZ$60,$DU$4:$ED$4))=0,0,((SUMIF($DU$3:$ED$3,DZ$60,$DU153:$ED153))/SUMIF($DU$3:$ED$3,DZ$60,$DU$4:$ED$4)))</f>
        <v>0</v>
      </c>
      <c r="EA104" s="199" t="n">
        <f aca="false">IF((SUMIF($DU$3:$ED$3,EA$60,$DU$4:$ED$4))=0,0,((SUMIF($DU$3:$ED$3,EA$60,$DU153:$ED153))/SUMIF($DU$3:$ED$3,EA$60,$DU$4:$ED$4)))</f>
        <v>0</v>
      </c>
      <c r="EB104" s="199" t="n">
        <f aca="false">IF((SUMIF($DU$3:$ED$3,EB$60,$DU$4:$ED$4))=0,0,((SUMIF($DU$3:$ED$3,EB$60,$DU153:$ED153))/SUMIF($DU$3:$ED$3,EB$60,$DU$4:$ED$4)))</f>
        <v>0</v>
      </c>
      <c r="EC104" s="199" t="n">
        <f aca="false">IF((SUMIF($DU$3:$ED$3,EC$60,$DU$4:$ED$4))=0,0,((SUMIF($DU$3:$ED$3,EC$60,$DU153:$ED153))/SUMIF($DU$3:$ED$3,EC$60,$DU$4:$ED$4)))</f>
        <v>0</v>
      </c>
      <c r="ED104" s="200" t="n">
        <f aca="false">IF((SUMIF($DU$3:$ED$3,ED$60,$DU$4:$ED$4))=0,0,((SUMIF($DU$3:$ED$3,ED$60,$DU153:$ED153))/SUMIF($DU$3:$ED$3,ED$60,$DU$4:$ED$4)))</f>
        <v>0</v>
      </c>
      <c r="EE104" s="194" t="str">
        <f aca="false">DT104</f>
        <v>Alumno43</v>
      </c>
      <c r="EF104" s="198" t="n">
        <f aca="false">IF((SUMIF($EF$3:$EO$3,EF$60,$EF$4:$EO$4))=0,0,((SUMIF($EF$3:$EO$3,EF$60,$EF153:$EO153))/SUMIF($EF$3:$EO$3,EF$60,$EF$4:$EO$4)))</f>
        <v>0</v>
      </c>
      <c r="EG104" s="199" t="n">
        <f aca="false">IF((SUMIF($EF$3:$EO$3,EG$60,$EF$4:$EO$4))=0,0,((SUMIF($EF$3:$EO$3,EG$60,$EF153:$EO153))/SUMIF($EF$3:$EO$3,EG$60,$EF$4:$EO$4)))</f>
        <v>0</v>
      </c>
      <c r="EH104" s="199" t="n">
        <f aca="false">IF((SUMIF($EF$3:$EO$3,EH$60,$EF$4:$EO$4))=0,0,((SUMIF($EF$3:$EO$3,EH$60,$EF153:$EO153))/SUMIF($EF$3:$EO$3,EH$60,$EF$4:$EO$4)))</f>
        <v>0</v>
      </c>
      <c r="EI104" s="199" t="n">
        <f aca="false">IF((SUMIF($EF$3:$EO$3,EI$60,$EF$4:$EO$4))=0,0,((SUMIF($EF$3:$EO$3,EI$60,$EF153:$EO153))/SUMIF($EF$3:$EO$3,EI$60,$EF$4:$EO$4)))</f>
        <v>0</v>
      </c>
      <c r="EJ104" s="199" t="n">
        <f aca="false">IF((SUMIF($EF$3:$EO$3,EJ$60,$EF$4:$EO$4))=0,0,((SUMIF($EF$3:$EO$3,EJ$60,$EF153:$EO153))/SUMIF($EF$3:$EO$3,EJ$60,$EF$4:$EO$4)))</f>
        <v>0</v>
      </c>
      <c r="EK104" s="199" t="n">
        <f aca="false">IF((SUMIF($EF$3:$EO$3,EK$60,$EF$4:$EO$4))=0,0,((SUMIF($EF$3:$EO$3,EK$60,$EF153:$EO153))/SUMIF($EF$3:$EO$3,EK$60,$EF$4:$EO$4)))</f>
        <v>0</v>
      </c>
      <c r="EL104" s="199" t="n">
        <f aca="false">IF((SUMIF($EF$3:$EO$3,EL$60,$EF$4:$EO$4))=0,0,((SUMIF($EF$3:$EO$3,EL$60,$EF153:$EO153))/SUMIF($EF$3:$EO$3,EL$60,$EF$4:$EO$4)))</f>
        <v>0</v>
      </c>
      <c r="EM104" s="199" t="n">
        <f aca="false">IF((SUMIF($EF$3:$EO$3,EM$60,$EF$4:$EO$4))=0,0,((SUMIF($EF$3:$EO$3,EM$60,$EF153:$EO153))/SUMIF($EF$3:$EO$3,EM$60,$EF$4:$EO$4)))</f>
        <v>0</v>
      </c>
      <c r="EN104" s="199" t="n">
        <f aca="false">IF((SUMIF($EF$3:$EO$3,EN$60,$EF$4:$EO$4))=0,0,((SUMIF($EF$3:$EO$3,EN$60,$EF153:$EO153))/SUMIF($EF$3:$EO$3,EN$60,$EF$4:$EO$4)))</f>
        <v>0</v>
      </c>
      <c r="EO104" s="200" t="n">
        <f aca="false">IF((SUMIF($EF$3:$EO$3,EO$60,$EF$4:$EO$4))=0,0,((SUMIF($EF$3:$EO$3,EO$60,$EF153:$EO153))/SUMIF($EF$3:$EO$3,EO$60,$EF$4:$EO$4)))</f>
        <v>0</v>
      </c>
      <c r="EP104" s="194" t="str">
        <f aca="false">EE104</f>
        <v>Alumno43</v>
      </c>
      <c r="EQ104" s="198" t="n">
        <f aca="false">IF((SUMIF($EQ$3:$EZ$3,EQ$60,$EQ$4:$EZ$4))=0,0,((SUMIF($EQ$3:$EZ$3,EQ$60,$EQ153:$EZ153))/SUMIF($EQ$3:$EZ$3,EQ$60,$EQ$4:$EZ$4)))</f>
        <v>0</v>
      </c>
      <c r="ER104" s="199" t="n">
        <f aca="false">IF((SUMIF($EQ$3:$EZ$3,ER$60,$EQ$4:$EZ$4))=0,0,((SUMIF($EQ$3:$EZ$3,ER$60,$EQ153:$EZ153))/SUMIF($EQ$3:$EZ$3,ER$60,$EQ$4:$EZ$4)))</f>
        <v>0</v>
      </c>
      <c r="ES104" s="199" t="n">
        <f aca="false">IF((SUMIF($EQ$3:$EZ$3,ES$60,$EQ$4:$EZ$4))=0,0,((SUMIF($EQ$3:$EZ$3,ES$60,$EQ153:$EZ153))/SUMIF($EQ$3:$EZ$3,ES$60,$EQ$4:$EZ$4)))</f>
        <v>0</v>
      </c>
      <c r="ET104" s="199" t="n">
        <f aca="false">IF((SUMIF($EQ$3:$EZ$3,ET$60,$EQ$4:$EZ$4))=0,0,((SUMIF($EQ$3:$EZ$3,ET$60,$EQ153:$EZ153))/SUMIF($EQ$3:$EZ$3,ET$60,$EQ$4:$EZ$4)))</f>
        <v>0</v>
      </c>
      <c r="EU104" s="199" t="n">
        <f aca="false">IF((SUMIF($EQ$3:$EZ$3,EU$60,$EQ$4:$EZ$4))=0,0,((SUMIF($EQ$3:$EZ$3,EU$60,$EQ153:$EZ153))/SUMIF($EQ$3:$EZ$3,EU$60,$EQ$4:$EZ$4)))</f>
        <v>0</v>
      </c>
      <c r="EV104" s="199" t="n">
        <f aca="false">IF((SUMIF($EQ$3:$EZ$3,EV$60,$EQ$4:$EZ$4))=0,0,((SUMIF($EQ$3:$EZ$3,EV$60,$EQ153:$EZ153))/SUMIF($EQ$3:$EZ$3,EV$60,$EQ$4:$EZ$4)))</f>
        <v>0</v>
      </c>
      <c r="EW104" s="199" t="n">
        <f aca="false">IF((SUMIF($EQ$3:$EZ$3,EW$60,$EQ$4:$EZ$4))=0,0,((SUMIF($EQ$3:$EZ$3,EW$60,$EQ153:$EZ153))/SUMIF($EQ$3:$EZ$3,EW$60,$EQ$4:$EZ$4)))</f>
        <v>0</v>
      </c>
      <c r="EX104" s="199" t="n">
        <f aca="false">IF((SUMIF($EQ$3:$EZ$3,EX$60,$EQ$4:$EZ$4))=0,0,((SUMIF($EQ$3:$EZ$3,EX$60,$EQ153:$EZ153))/SUMIF($EQ$3:$EZ$3,EX$60,$EQ$4:$EZ$4)))</f>
        <v>0</v>
      </c>
      <c r="EY104" s="199" t="n">
        <f aca="false">IF((SUMIF($EQ$3:$EZ$3,EY$60,$EQ$4:$EZ$4))=0,0,((SUMIF($EQ$3:$EZ$3,EY$60,$EQ153:$EZ153))/SUMIF($EQ$3:$EZ$3,EY$60,$EQ$4:$EZ$4)))</f>
        <v>0</v>
      </c>
      <c r="EZ104" s="200" t="n">
        <f aca="false">IF((SUMIF($EQ$3:$EZ$3,EZ$60,$EQ$4:$EZ$4))=0,0,((SUMIF($EQ$3:$EZ$3,EZ$60,$EQ153:$EZ153))/SUMIF($EQ$3:$EZ$3,EZ$60,$EQ$4:$EZ$4)))</f>
        <v>0</v>
      </c>
      <c r="FA104" s="194" t="str">
        <f aca="false">EP104</f>
        <v>Alumno43</v>
      </c>
      <c r="FB104" s="198" t="n">
        <f aca="false">IF((SUMIF($FB$3:$FK$3,FB$60,$FB$4:$FK$4))=0,0,((SUMIF($FB$3:$FK$3,FB$60,$FB153:$FK153))/SUMIF($FB$3:$FK$3,FB$60,$FB$4:$FK$4)))</f>
        <v>0</v>
      </c>
      <c r="FC104" s="199" t="n">
        <f aca="false">IF((SUMIF($FB$3:$FK$3,FC$60,$FB$4:$FK$4))=0,0,((SUMIF($FB$3:$FK$3,FC$60,$FB153:$FK153))/SUMIF($FB$3:$FK$3,FC$60,$FB$4:$FK$4)))</f>
        <v>0</v>
      </c>
      <c r="FD104" s="199" t="n">
        <f aca="false">IF((SUMIF($FB$3:$FK$3,FD$60,$FB$4:$FK$4))=0,0,((SUMIF($FB$3:$FK$3,FD$60,$FB153:$FK153))/SUMIF($FB$3:$FK$3,FD$60,$FB$4:$FK$4)))</f>
        <v>0</v>
      </c>
      <c r="FE104" s="199" t="n">
        <f aca="false">IF((SUMIF($FB$3:$FK$3,FE$60,$FB$4:$FK$4))=0,0,((SUMIF($FB$3:$FK$3,FE$60,$FB153:$FK153))/SUMIF($FB$3:$FK$3,FE$60,$FB$4:$FK$4)))</f>
        <v>0</v>
      </c>
      <c r="FF104" s="199" t="n">
        <f aca="false">IF((SUMIF($FB$3:$FK$3,FF$60,$FB$4:$FK$4))=0,0,((SUMIF($FB$3:$FK$3,FF$60,$FB153:$FK153))/SUMIF($FB$3:$FK$3,FF$60,$FB$4:$FK$4)))</f>
        <v>0</v>
      </c>
      <c r="FG104" s="199" t="n">
        <f aca="false">IF((SUMIF($FB$3:$FK$3,FG$60,$FB$4:$FK$4))=0,0,((SUMIF($FB$3:$FK$3,FG$60,$FB153:$FK153))/SUMIF($FB$3:$FK$3,FG$60,$FB$4:$FK$4)))</f>
        <v>0</v>
      </c>
      <c r="FH104" s="199" t="n">
        <f aca="false">IF((SUMIF($FB$3:$FK$3,FH$60,$FB$4:$FK$4))=0,0,((SUMIF($FB$3:$FK$3,FH$60,$FB153:$FK153))/SUMIF($FB$3:$FK$3,FH$60,$FB$4:$FK$4)))</f>
        <v>0</v>
      </c>
      <c r="FI104" s="199" t="n">
        <f aca="false">IF((SUMIF($FB$3:$FK$3,FI$60,$FB$4:$FK$4))=0,0,((SUMIF($FB$3:$FK$3,FI$60,$FB153:$FK153))/SUMIF($FB$3:$FK$3,FI$60,$FB$4:$FK$4)))</f>
        <v>0</v>
      </c>
      <c r="FJ104" s="199" t="n">
        <f aca="false">IF((SUMIF($FB$3:$FK$3,FJ$60,$FB$4:$FK$4))=0,0,((SUMIF($FB$3:$FK$3,FJ$60,$FB153:$FK153))/SUMIF($FB$3:$FK$3,FJ$60,$FB$4:$FK$4)))</f>
        <v>0</v>
      </c>
      <c r="FK104" s="200" t="n">
        <f aca="false">IF((SUMIF($FB$3:$FK$3,FK$60,$FB$4:$FK$4))=0,0,((SUMIF($FB$3:$FK$3,FK$60,$FB153:$FK153))/SUMIF($FB$3:$FK$3,FK$60,$FB$4:$FK$4)))</f>
        <v>0</v>
      </c>
      <c r="FL104" s="194" t="str">
        <f aca="false">FA104</f>
        <v>Alumno43</v>
      </c>
      <c r="FM104" s="198" t="n">
        <f aca="false">IF((SUMIF($FM$3:$FV$3,FM$60,$FM$4:$FV$4))=0,0,((SUMIF($FM$3:$FV$3,FM$60,$FM153:$FV153))/SUMIF($FM$3:$FV$3,FM$60,$FM$4:$FV$4)))</f>
        <v>0</v>
      </c>
      <c r="FN104" s="199" t="n">
        <f aca="false">IF((SUMIF($FM$3:$FV$3,FN$60,$FM$4:$FV$4))=0,0,((SUMIF($FM$3:$FV$3,FN$60,$FM153:$FV153))/SUMIF($FM$3:$FV$3,FN$60,$FM$4:$FV$4)))</f>
        <v>0</v>
      </c>
      <c r="FO104" s="199" t="n">
        <f aca="false">IF((SUMIF($FM$3:$FV$3,FO$60,$FM$4:$FV$4))=0,0,((SUMIF($FM$3:$FV$3,FO$60,$FM153:$FV153))/SUMIF($FM$3:$FV$3,FO$60,$FM$4:$FV$4)))</f>
        <v>0</v>
      </c>
      <c r="FP104" s="199" t="n">
        <f aca="false">IF((SUMIF($FM$3:$FV$3,FP$60,$FM$4:$FV$4))=0,0,((SUMIF($FM$3:$FV$3,FP$60,$FM153:$FV153))/SUMIF($FM$3:$FV$3,FP$60,$FM$4:$FV$4)))</f>
        <v>0</v>
      </c>
      <c r="FQ104" s="199" t="n">
        <f aca="false">IF((SUMIF($FM$3:$FV$3,FQ$60,$FM$4:$FV$4))=0,0,((SUMIF($FM$3:$FV$3,FQ$60,$FM153:$FV153))/SUMIF($FM$3:$FV$3,FQ$60,$FM$4:$FV$4)))</f>
        <v>0</v>
      </c>
      <c r="FR104" s="199" t="n">
        <f aca="false">IF((SUMIF($FM$3:$FV$3,FR$60,$FM$4:$FV$4))=0,0,((SUMIF($FM$3:$FV$3,FR$60,$FM153:$FV153))/SUMIF($FM$3:$FV$3,FR$60,$FM$4:$FV$4)))</f>
        <v>0</v>
      </c>
      <c r="FS104" s="199" t="n">
        <f aca="false">IF((SUMIF($FM$3:$FV$3,FS$60,$FM$4:$FV$4))=0,0,((SUMIF($FM$3:$FV$3,FS$60,$FM153:$FV153))/SUMIF($FM$3:$FV$3,FS$60,$FM$4:$FV$4)))</f>
        <v>0</v>
      </c>
      <c r="FT104" s="199" t="n">
        <f aca="false">IF((SUMIF($FM$3:$FV$3,FT$60,$FM$4:$FV$4))=0,0,((SUMIF($FM$3:$FV$3,FT$60,$FM153:$FV153))/SUMIF($FM$3:$FV$3,FT$60,$FM$4:$FV$4)))</f>
        <v>0</v>
      </c>
      <c r="FU104" s="199" t="n">
        <f aca="false">IF((SUMIF($FM$3:$FV$3,FU$60,$FM$4:$FV$4))=0,0,((SUMIF($FM$3:$FV$3,FU$60,$FM153:$FV153))/SUMIF($FM$3:$FV$3,FU$60,$FM$4:$FV$4)))</f>
        <v>0</v>
      </c>
      <c r="FV104" s="200" t="n">
        <f aca="false">IF((SUMIF($FM$3:$FV$3,FV$60,$FM$4:$FV$4))=0,0,((SUMIF($FM$3:$FV$3,FV$60,$FM153:$FV153))/SUMIF($FM$3:$FV$3,FV$60,$FM$4:$FV$4)))</f>
        <v>0</v>
      </c>
      <c r="FW104" s="194" t="str">
        <f aca="false">FL104</f>
        <v>Alumno43</v>
      </c>
      <c r="FX104" s="198" t="n">
        <f aca="false">IF((SUMIF($FX$3:$GG$3,FX$60,$FX$4:$GG$4))=0,0,((SUMIF($FX$3:$GG$3,FX$60,$FX153:$GG153))/SUMIF($FX$3:$GG$3,FX$60,$FX$4:$GG$4)))</f>
        <v>0</v>
      </c>
      <c r="FY104" s="199" t="n">
        <f aca="false">IF((SUMIF($FX$3:$GG$3,FY$60,$FX$4:$GG$4))=0,0,((SUMIF($FX$3:$GG$3,FY$60,$FX153:$GG153))/SUMIF($FX$3:$GG$3,FY$60,$FX$4:$GG$4)))</f>
        <v>0</v>
      </c>
      <c r="FZ104" s="199" t="n">
        <f aca="false">IF((SUMIF($FX$3:$GG$3,FZ$60,$FX$4:$GG$4))=0,0,((SUMIF($FX$3:$GG$3,FZ$60,$FX153:$GG153))/SUMIF($FX$3:$GG$3,FZ$60,$FX$4:$GG$4)))</f>
        <v>0</v>
      </c>
      <c r="GA104" s="199" t="n">
        <f aca="false">IF((SUMIF($FX$3:$GG$3,GA$60,$FX$4:$GG$4))=0,0,((SUMIF($FX$3:$GG$3,GA$60,$FX153:$GG153))/SUMIF($FX$3:$GG$3,GA$60,$FX$4:$GG$4)))</f>
        <v>0</v>
      </c>
      <c r="GB104" s="199" t="n">
        <f aca="false">IF((SUMIF($FX$3:$GG$3,GB$60,$FX$4:$GG$4))=0,0,((SUMIF($FX$3:$GG$3,GB$60,$FX153:$GG153))/SUMIF($FX$3:$GG$3,GB$60,$FX$4:$GG$4)))</f>
        <v>0</v>
      </c>
      <c r="GC104" s="199" t="n">
        <f aca="false">IF((SUMIF($FX$3:$GG$3,GC$60,$FX$4:$GG$4))=0,0,((SUMIF($FX$3:$GG$3,GC$60,$FX153:$GG153))/SUMIF($FX$3:$GG$3,GC$60,$FX$4:$GG$4)))</f>
        <v>0</v>
      </c>
      <c r="GD104" s="199" t="n">
        <f aca="false">IF((SUMIF($FX$3:$GG$3,GD$60,$FX$4:$GG$4))=0,0,((SUMIF($FX$3:$GG$3,GD$60,$FX153:$GG153))/SUMIF($FX$3:$GG$3,GD$60,$FX$4:$GG$4)))</f>
        <v>0</v>
      </c>
      <c r="GE104" s="199" t="n">
        <f aca="false">IF((SUMIF($FX$3:$GG$3,GE$60,$FX$4:$GG$4))=0,0,((SUMIF($FX$3:$GG$3,GE$60,$FX153:$GG153))/SUMIF($FX$3:$GG$3,GE$60,$FX$4:$GG$4)))</f>
        <v>0</v>
      </c>
      <c r="GF104" s="199" t="n">
        <f aca="false">IF((SUMIF($FX$3:$GG$3,GF$60,$FX$4:$GG$4))=0,0,((SUMIF($FX$3:$GG$3,GF$60,$FX153:$GG153))/SUMIF($FX$3:$GG$3,GF$60,$FX$4:$GG$4)))</f>
        <v>0</v>
      </c>
      <c r="GG104" s="200" t="n">
        <f aca="false">IF((SUMIF($FX$3:$GG$3,GG$60,$FX$4:$GG$4))=0,0,((SUMIF($FX$3:$GG$3,GG$60,$FX153:$GG153))/SUMIF($FX$3:$GG$3,GG$60,$FX$4:$GG$4)))</f>
        <v>0</v>
      </c>
      <c r="GH104" s="194" t="str">
        <f aca="false">FW104</f>
        <v>Alumno43</v>
      </c>
      <c r="GI104" s="198" t="n">
        <f aca="false">IF((SUMIF($GI$3:$GR$3,GI$60,$GI$4:$GR$4))=0,0,((SUMIF($GI$3:$GR$3,GI$60,$GI153:$GR153))/SUMIF($GI$3:$GR$3,GI$60,$GI$4:$GR$4)))</f>
        <v>0</v>
      </c>
      <c r="GJ104" s="199" t="n">
        <f aca="false">IF((SUMIF($GI$3:$GR$3,GJ$60,$GI$4:$GR$4))=0,0,((SUMIF($GI$3:$GR$3,GJ$60,$GI153:$GR153))/SUMIF($GI$3:$GR$3,GJ$60,$GI$4:$GR$4)))</f>
        <v>0</v>
      </c>
      <c r="GK104" s="199" t="n">
        <f aca="false">IF((SUMIF($GI$3:$GR$3,GK$60,$GI$4:$GR$4))=0,0,((SUMIF($GI$3:$GR$3,GK$60,$GI153:$GR153))/SUMIF($GI$3:$GR$3,GK$60,$GI$4:$GR$4)))</f>
        <v>0</v>
      </c>
      <c r="GL104" s="199" t="n">
        <f aca="false">IF((SUMIF($GI$3:$GR$3,GL$60,$GI$4:$GR$4))=0,0,((SUMIF($GI$3:$GR$3,GL$60,$GI153:$GR153))/SUMIF($GI$3:$GR$3,GL$60,$GI$4:$GR$4)))</f>
        <v>0</v>
      </c>
      <c r="GM104" s="199" t="n">
        <f aca="false">IF((SUMIF($GI$3:$GR$3,GM$60,$GI$4:$GR$4))=0,0,((SUMIF($GI$3:$GR$3,GM$60,$GI153:$GR153))/SUMIF($GI$3:$GR$3,GM$60,$GI$4:$GR$4)))</f>
        <v>0</v>
      </c>
      <c r="GN104" s="199" t="n">
        <f aca="false">IF((SUMIF($GI$3:$GR$3,GN$60,$GI$4:$GR$4))=0,0,((SUMIF($GI$3:$GR$3,GN$60,$GI153:$GR153))/SUMIF($GI$3:$GR$3,GN$60,$GI$4:$GR$4)))</f>
        <v>0</v>
      </c>
      <c r="GO104" s="199" t="n">
        <f aca="false">IF((SUMIF($GI$3:$GR$3,GO$60,$GI$4:$GR$4))=0,0,((SUMIF($GI$3:$GR$3,GO$60,$GI153:$GR153))/SUMIF($GI$3:$GR$3,GO$60,$GI$4:$GR$4)))</f>
        <v>0</v>
      </c>
      <c r="GP104" s="199" t="n">
        <f aca="false">IF((SUMIF($GI$3:$GR$3,GP$60,$GI$4:$GR$4))=0,0,((SUMIF($GI$3:$GR$3,GP$60,$GI153:$GR153))/SUMIF($GI$3:$GR$3,GP$60,$GI$4:$GR$4)))</f>
        <v>0</v>
      </c>
      <c r="GQ104" s="199" t="n">
        <f aca="false">IF((SUMIF($GI$3:$GR$3,GQ$60,$GI$4:$GR$4))=0,0,((SUMIF($GI$3:$GR$3,GQ$60,$GI153:$GR153))/SUMIF($GI$3:$GR$3,GQ$60,$GI$4:$GR$4)))</f>
        <v>0</v>
      </c>
      <c r="GR104" s="200" t="n">
        <f aca="false">IF((SUMIF($GI$3:$GR$3,GR$60,$GI$4:$GR$4))=0,0,((SUMIF($GI$3:$GR$3,GR$60,$GI153:$GR153))/SUMIF($GI$3:$GR$3,GR$60,$GI$4:$GR$4)))</f>
        <v>0</v>
      </c>
      <c r="GS104" s="194" t="str">
        <f aca="false">GH104</f>
        <v>Alumno43</v>
      </c>
      <c r="GT104" s="198" t="n">
        <f aca="false">IF((SUMIF($GT$3:$HC$3,GT$60,$GT$4:$HC$4))=0,0,((SUMIF($GT$3:$HC$3,GT$60,$GT153:$HC153))/SUMIF($GT$3:$HC$3,GT$60,$GT$4:$HC$4)))</f>
        <v>0</v>
      </c>
      <c r="GU104" s="199" t="n">
        <f aca="false">IF((SUMIF($GT$3:$HC$3,GU$60,$GT$4:$HC$4))=0,0,((SUMIF($GT$3:$HC$3,GU$60,$GT153:$HC153))/SUMIF($GT$3:$HC$3,GU$60,$GT$4:$HC$4)))</f>
        <v>0</v>
      </c>
      <c r="GV104" s="199" t="n">
        <f aca="false">IF((SUMIF($GT$3:$HC$3,GV$60,$GT$4:$HC$4))=0,0,((SUMIF($GT$3:$HC$3,GV$60,$GT153:$HC153))/SUMIF($GT$3:$HC$3,GV$60,$GT$4:$HC$4)))</f>
        <v>0</v>
      </c>
      <c r="GW104" s="199" t="n">
        <f aca="false">IF((SUMIF($GT$3:$HC$3,GW$60,$GT$4:$HC$4))=0,0,((SUMIF($GT$3:$HC$3,GW$60,$GT153:$HC153))/SUMIF($GT$3:$HC$3,GW$60,$GT$4:$HC$4)))</f>
        <v>0</v>
      </c>
      <c r="GX104" s="199" t="n">
        <f aca="false">IF((SUMIF($GT$3:$HC$3,GX$60,$GT$4:$HC$4))=0,0,((SUMIF($GT$3:$HC$3,GX$60,$GT153:$HC153))/SUMIF($GT$3:$HC$3,GX$60,$GT$4:$HC$4)))</f>
        <v>0</v>
      </c>
      <c r="GY104" s="199" t="n">
        <f aca="false">IF((SUMIF($GT$3:$HC$3,GY$60,$GT$4:$HC$4))=0,0,((SUMIF($GT$3:$HC$3,GY$60,$GT153:$HC153))/SUMIF($GT$3:$HC$3,GY$60,$GT$4:$HC$4)))</f>
        <v>0</v>
      </c>
      <c r="GZ104" s="199" t="n">
        <f aca="false">IF((SUMIF($GT$3:$HC$3,GZ$60,$GT$4:$HC$4))=0,0,((SUMIF($GT$3:$HC$3,GZ$60,$GT153:$HC153))/SUMIF($GT$3:$HC$3,GZ$60,$GT$4:$HC$4)))</f>
        <v>0</v>
      </c>
      <c r="HA104" s="199" t="n">
        <f aca="false">IF((SUMIF($GT$3:$HC$3,HA$60,$GT$4:$HC$4))=0,0,((SUMIF($GT$3:$HC$3,HA$60,$GT153:$HC153))/SUMIF($GT$3:$HC$3,HA$60,$GT$4:$HC$4)))</f>
        <v>0</v>
      </c>
      <c r="HB104" s="199" t="n">
        <f aca="false">IF((SUMIF($GT$3:$HC$3,HB$60,$GT$4:$HC$4))=0,0,((SUMIF($GT$3:$HC$3,HB$60,$GT153:$HC153))/SUMIF($GT$3:$HC$3,HB$60,$GT$4:$HC$4)))</f>
        <v>0</v>
      </c>
      <c r="HC104" s="200" t="n">
        <f aca="false">IF((SUMIF($GT$3:$HC$3,HC$60,$GT$4:$HC$4))=0,0,((SUMIF($GT$3:$HC$3,HC$60,$GT153:$HC153))/SUMIF($GT$3:$HC$3,HC$60,$GT$4:$HC$4)))</f>
        <v>0</v>
      </c>
      <c r="HD104" s="194" t="str">
        <f aca="false">GS104</f>
        <v>Alumno43</v>
      </c>
      <c r="HE104" s="198" t="n">
        <f aca="false">IF((SUMIF($HE$3:$HN$3,HE$60,$HE$4:$HN$4))=0,0,((SUMIF($HE$3:$HN$3,HE$60,$HE153:$HN153))/SUMIF($HE$3:$HN$3,HE$60,$HE$4:$HN$4)))</f>
        <v>0</v>
      </c>
      <c r="HF104" s="199" t="n">
        <f aca="false">IF((SUMIF($HE$3:$HN$3,HF$60,$HE$4:$HN$4))=0,0,((SUMIF($HE$3:$HN$3,HF$60,$HE153:$HN153))/SUMIF($HE$3:$HN$3,HF$60,$HE$4:$HN$4)))</f>
        <v>0</v>
      </c>
      <c r="HG104" s="199" t="n">
        <f aca="false">IF((SUMIF($HE$3:$HN$3,HG$60,$HE$4:$HN$4))=0,0,((SUMIF($HE$3:$HN$3,HG$60,$HE153:$HN153))/SUMIF($HE$3:$HN$3,HG$60,$HE$4:$HN$4)))</f>
        <v>0</v>
      </c>
      <c r="HH104" s="199" t="n">
        <f aca="false">IF((SUMIF($HE$3:$HN$3,HH$60,$HE$4:$HN$4))=0,0,((SUMIF($HE$3:$HN$3,HH$60,$HE153:$HN153))/SUMIF($HE$3:$HN$3,HH$60,$HE$4:$HN$4)))</f>
        <v>0</v>
      </c>
      <c r="HI104" s="199" t="n">
        <f aca="false">IF((SUMIF($HE$3:$HN$3,HI$60,$HE$4:$HN$4))=0,0,((SUMIF($HE$3:$HN$3,HI$60,$HE153:$HN153))/SUMIF($HE$3:$HN$3,HI$60,$HE$4:$HN$4)))</f>
        <v>0</v>
      </c>
      <c r="HJ104" s="199" t="n">
        <f aca="false">IF((SUMIF($HE$3:$HN$3,HJ$60,$HE$4:$HN$4))=0,0,((SUMIF($HE$3:$HN$3,HJ$60,$HE153:$HN153))/SUMIF($HE$3:$HN$3,HJ$60,$HE$4:$HN$4)))</f>
        <v>0</v>
      </c>
      <c r="HK104" s="199" t="n">
        <f aca="false">IF((SUMIF($HE$3:$HN$3,HK$60,$HE$4:$HN$4))=0,0,((SUMIF($HE$3:$HN$3,HK$60,$HE153:$HN153))/SUMIF($HE$3:$HN$3,HK$60,$HE$4:$HN$4)))</f>
        <v>0</v>
      </c>
      <c r="HL104" s="199" t="n">
        <f aca="false">IF((SUMIF($HE$3:$HN$3,HL$60,$HE$4:$HN$4))=0,0,((SUMIF($HE$3:$HN$3,HL$60,$HE153:$HN153))/SUMIF($HE$3:$HN$3,HL$60,$HE$4:$HN$4)))</f>
        <v>0</v>
      </c>
      <c r="HM104" s="199" t="n">
        <f aca="false">IF((SUMIF($HE$3:$HN$3,HM$60,$HE$4:$HN$4))=0,0,((SUMIF($HE$3:$HN$3,HM$60,$HE153:$HN153))/SUMIF($HE$3:$HN$3,HM$60,$HE$4:$HN$4)))</f>
        <v>0</v>
      </c>
      <c r="HN104" s="200" t="n">
        <f aca="false">IF((SUMIF($HE$3:$HN$3,HN$60,$HE$4:$HN$4))=0,0,((SUMIF($HE$3:$HN$3,HN$60,$HE153:$HN153))/SUMIF($HE$3:$HN$3,HN$60,$HE$4:$HN$4)))</f>
        <v>0</v>
      </c>
      <c r="HO104" s="194" t="str">
        <f aca="false">HD104</f>
        <v>Alumno43</v>
      </c>
      <c r="HP104" s="198" t="n">
        <f aca="false">IF((SUMIF($HP$3:$HY$3,HP$60,$HP$4:$HY$4))=0,0,((SUMIF($HP$3:$HY$3,HP$60,$HP153:$HY153))/SUMIF($HP$3:$HY$3,HP$60,$HP$4:$HY$4)))</f>
        <v>0</v>
      </c>
      <c r="HQ104" s="199" t="n">
        <f aca="false">IF((SUMIF($HP$3:$HY$3,HQ$60,$HP$4:$HY$4))=0,0,((SUMIF($HP$3:$HY$3,HQ$60,$HP153:$HY153))/SUMIF($HP$3:$HY$3,HQ$60,$HP$4:$HY$4)))</f>
        <v>0</v>
      </c>
      <c r="HR104" s="199" t="n">
        <f aca="false">IF((SUMIF($HP$3:$HY$3,HR$60,$HP$4:$HY$4))=0,0,((SUMIF($HP$3:$HY$3,HR$60,$HP153:$HY153))/SUMIF($HP$3:$HY$3,HR$60,$HP$4:$HY$4)))</f>
        <v>0</v>
      </c>
      <c r="HS104" s="199" t="n">
        <f aca="false">IF((SUMIF($HP$3:$HY$3,HS$60,$HP$4:$HY$4))=0,0,((SUMIF($HP$3:$HY$3,HS$60,$HP153:$HY153))/SUMIF($HP$3:$HY$3,HS$60,$HP$4:$HY$4)))</f>
        <v>0</v>
      </c>
      <c r="HT104" s="199" t="n">
        <f aca="false">IF((SUMIF($HP$3:$HY$3,HT$60,$HP$4:$HY$4))=0,0,((SUMIF($HP$3:$HY$3,HT$60,$HP153:$HY153))/SUMIF($HP$3:$HY$3,HT$60,$HP$4:$HY$4)))</f>
        <v>0</v>
      </c>
      <c r="HU104" s="199" t="n">
        <f aca="false">IF((SUMIF($HP$3:$HY$3,HU$60,$HP$4:$HY$4))=0,0,((SUMIF($HP$3:$HY$3,HU$60,$HP153:$HY153))/SUMIF($HP$3:$HY$3,HU$60,$HP$4:$HY$4)))</f>
        <v>0</v>
      </c>
      <c r="HV104" s="199" t="n">
        <f aca="false">IF((SUMIF($HP$3:$HY$3,HV$60,$HP$4:$HY$4))=0,0,((SUMIF($HP$3:$HY$3,HV$60,$HP153:$HY153))/SUMIF($HP$3:$HY$3,HV$60,$HP$4:$HY$4)))</f>
        <v>0</v>
      </c>
      <c r="HW104" s="199" t="n">
        <f aca="false">IF((SUMIF($HP$3:$HY$3,HW$60,$HP$4:$HY$4))=0,0,((SUMIF($HP$3:$HY$3,HW$60,$HP153:$HY153))/SUMIF($HP$3:$HY$3,HW$60,$HP$4:$HY$4)))</f>
        <v>0</v>
      </c>
      <c r="HX104" s="199" t="n">
        <f aca="false">IF((SUMIF($HP$3:$HY$3,HX$60,$HP$4:$HY$4))=0,0,((SUMIF($HP$3:$HY$3,HX$60,$HP153:$HY153))/SUMIF($HP$3:$HY$3,HX$60,$HP$4:$HY$4)))</f>
        <v>0</v>
      </c>
      <c r="HY104" s="200" t="n">
        <f aca="false">IF((SUMIF($HP$3:$HY$3,HY$60,$HP$4:$HY$4))=0,0,((SUMIF($HP$3:$HY$3,HY$60,$HP153:$HY153))/SUMIF($HP$3:$HY$3,HY$60,$HP$4:$HY$4)))</f>
        <v>0</v>
      </c>
      <c r="HZ104" s="194" t="str">
        <f aca="false">HO104</f>
        <v>Alumno43</v>
      </c>
      <c r="IA104" s="198" t="n">
        <f aca="false">IF((SUMIF($IA$3:$IJ$3,IA$60,$IA$4:$IJ$4))=0,0,((SUMIF($IA$3:$IJ$3,IA$60,$IA153:$IJ153))/SUMIF($IA$3:$IJ$3,IA$60,$IA$4:$IJ$4)))</f>
        <v>0</v>
      </c>
      <c r="IB104" s="199" t="n">
        <f aca="false">IF((SUMIF($IA$3:$IJ$3,IB$60,$IA$4:$IJ$4))=0,0,((SUMIF($IA$3:$IJ$3,IB$60,$IA153:$IJ153))/SUMIF($IA$3:$IJ$3,IB$60,$IA$4:$IJ$4)))</f>
        <v>0</v>
      </c>
      <c r="IC104" s="199" t="n">
        <f aca="false">IF((SUMIF($IA$3:$IJ$3,IC$60,$IA$4:$IJ$4))=0,0,((SUMIF($IA$3:$IJ$3,IC$60,$IA153:$IJ153))/SUMIF($IA$3:$IJ$3,IC$60,$IA$4:$IJ$4)))</f>
        <v>0</v>
      </c>
      <c r="ID104" s="199" t="n">
        <f aca="false">IF((SUMIF($IA$3:$IJ$3,ID$60,$IA$4:$IJ$4))=0,0,((SUMIF($IA$3:$IJ$3,ID$60,$IA153:$IJ153))/SUMIF($IA$3:$IJ$3,ID$60,$IA$4:$IJ$4)))</f>
        <v>0</v>
      </c>
      <c r="IE104" s="199" t="n">
        <f aca="false">IF((SUMIF($IA$3:$IJ$3,IE$60,$IA$4:$IJ$4))=0,0,((SUMIF($IA$3:$IJ$3,IE$60,$IA153:$IJ153))/SUMIF($IA$3:$IJ$3,IE$60,$IA$4:$IJ$4)))</f>
        <v>0</v>
      </c>
      <c r="IF104" s="199" t="n">
        <f aca="false">IF((SUMIF($IA$3:$IJ$3,IF$60,$IA$4:$IJ$4))=0,0,((SUMIF($IA$3:$IJ$3,IF$60,$IA153:$IJ153))/SUMIF($IA$3:$IJ$3,IF$60,$IA$4:$IJ$4)))</f>
        <v>0</v>
      </c>
      <c r="IG104" s="199" t="n">
        <f aca="false">IF((SUMIF($IA$3:$IJ$3,IG$60,$IA$4:$IJ$4))=0,0,((SUMIF($IA$3:$IJ$3,IG$60,$IA153:$IJ153))/SUMIF($IA$3:$IJ$3,IG$60,$IA$4:$IJ$4)))</f>
        <v>0</v>
      </c>
      <c r="IH104" s="199" t="n">
        <f aca="false">IF((SUMIF($IA$3:$IJ$3,IH$60,$IA$4:$IJ$4))=0,0,((SUMIF($IA$3:$IJ$3,IH$60,$IA153:$IJ153))/SUMIF($IA$3:$IJ$3,IH$60,$IA$4:$IJ$4)))</f>
        <v>0</v>
      </c>
      <c r="II104" s="199" t="n">
        <f aca="false">IF((SUMIF($IA$3:$IJ$3,II$60,$IA$4:$IJ$4))=0,0,((SUMIF($IA$3:$IJ$3,II$60,$IA153:$IJ153))/SUMIF($IA$3:$IJ$3,II$60,$IA$4:$IJ$4)))</f>
        <v>0</v>
      </c>
      <c r="IJ104" s="200" t="n">
        <f aca="false">IF((SUMIF($IA$3:$IJ$3,IJ$60,$IA$4:$IJ$4))=0,0,((SUMIF($IA$3:$IJ$3,IJ$60,$IA153:$IJ153))/SUMIF($IA$3:$IJ$3,IJ$60,$IA$4:$IJ$4)))</f>
        <v>0</v>
      </c>
      <c r="IK104" s="194" t="str">
        <f aca="false">HZ104</f>
        <v>Alumno43</v>
      </c>
      <c r="IL104" s="198" t="n">
        <f aca="false">IF((SUMIF($IL$3:$IU$3,IL$60,$IL$4:$IU$4))=0,0,((SUMIF($IL$3:$IU$3,IL$60,$IL153:$IU153))/SUMIF($IL$3:$IU$3,IL$60,$IL$4:$IU$4)))</f>
        <v>0</v>
      </c>
      <c r="IM104" s="199" t="n">
        <f aca="false">IF((SUMIF($IL$3:$IU$3,IM$60,$IL$4:$IU$4))=0,0,((SUMIF($IL$3:$IU$3,IM$60,$IL153:$IU153))/SUMIF($IL$3:$IU$3,IM$60,$IL$4:$IU$4)))</f>
        <v>0</v>
      </c>
      <c r="IN104" s="199" t="n">
        <f aca="false">IF((SUMIF($IL$3:$IU$3,IN$60,$IL$4:$IU$4))=0,0,((SUMIF($IL$3:$IU$3,IN$60,$IL153:$IU153))/SUMIF($IL$3:$IU$3,IN$60,$IL$4:$IU$4)))</f>
        <v>0</v>
      </c>
      <c r="IO104" s="199" t="n">
        <f aca="false">IF((SUMIF($IL$3:$IU$3,IO$60,$IL$4:$IU$4))=0,0,((SUMIF($IL$3:$IU$3,IO$60,$IL153:$IU153))/SUMIF($IL$3:$IU$3,IO$60,$IL$4:$IU$4)))</f>
        <v>0</v>
      </c>
      <c r="IP104" s="199" t="n">
        <f aca="false">IF((SUMIF($IL$3:$IU$3,IP$60,$IL$4:$IU$4))=0,0,((SUMIF($IL$3:$IU$3,IP$60,$IL153:$IU153))/SUMIF($IL$3:$IU$3,IP$60,$IL$4:$IU$4)))</f>
        <v>0</v>
      </c>
      <c r="IQ104" s="199" t="n">
        <f aca="false">IF((SUMIF($IL$3:$IU$3,IQ$60,$IL$4:$IU$4))=0,0,((SUMIF($IL$3:$IU$3,IQ$60,$IL153:$IU153))/SUMIF($IL$3:$IU$3,IQ$60,$IL$4:$IU$4)))</f>
        <v>0</v>
      </c>
      <c r="IR104" s="199" t="n">
        <f aca="false">IF((SUMIF($IL$3:$IU$3,IR$60,$IL$4:$IU$4))=0,0,((SUMIF($IL$3:$IU$3,IR$60,$IL153:$IU153))/SUMIF($IL$3:$IU$3,IR$60,$IL$4:$IU$4)))</f>
        <v>0</v>
      </c>
      <c r="IS104" s="199" t="n">
        <f aca="false">IF((SUMIF($IL$3:$IU$3,IS$60,$IL$4:$IU$4))=0,0,((SUMIF($IL$3:$IU$3,IS$60,$IL153:$IU153))/SUMIF($IL$3:$IU$3,IS$60,$IL$4:$IU$4)))</f>
        <v>0</v>
      </c>
      <c r="IT104" s="199" t="n">
        <f aca="false">IF((SUMIF($IL$3:$IU$3,IT$60,$IL$4:$IU$4))=0,0,((SUMIF($IL$3:$IU$3,IT$60,$IL153:$IU153))/SUMIF($IL$3:$IU$3,IT$60,$IL$4:$IU$4)))</f>
        <v>0</v>
      </c>
      <c r="IU104" s="200" t="n">
        <f aca="false">IF((SUMIF($IL$3:$IU$3,IU$60,$IL$4:$IU$4))=0,0,((SUMIF($IL$3:$IU$3,IU$60,$IL153:$IU153))/SUMIF($IL$3:$IU$3,IU$60,$IL$4:$IU$4)))</f>
        <v>0</v>
      </c>
      <c r="IV104" s="194" t="str">
        <f aca="false">IK104</f>
        <v>Alumno43</v>
      </c>
      <c r="IW104" s="198" t="n">
        <f aca="false">IF((SUMIF($IW$3:$JF$3,IW$60,$IW$4:$JF$4))=0,0,((SUMIF($IW$3:$JF$3,IW$60,$IW153:$JF153))/SUMIF($IW$3:$JF$3,IW$60,$IW$4:$JF$4)))</f>
        <v>0</v>
      </c>
      <c r="IX104" s="199" t="n">
        <f aca="false">IF((SUMIF($IW$3:$JF$3,IX$60,$IW$4:$JF$4))=0,0,((SUMIF($IW$3:$JF$3,IX$60,$IW153:$JF153))/SUMIF($IW$3:$JF$3,IX$60,$IW$4:$JF$4)))</f>
        <v>0</v>
      </c>
      <c r="IY104" s="199" t="n">
        <f aca="false">IF((SUMIF($IW$3:$JF$3,IY$60,$IW$4:$JF$4))=0,0,((SUMIF($IW$3:$JF$3,IY$60,$IW153:$JF153))/SUMIF($IW$3:$JF$3,IY$60,$IW$4:$JF$4)))</f>
        <v>0</v>
      </c>
      <c r="IZ104" s="199" t="n">
        <f aca="false">IF((SUMIF($IW$3:$JF$3,IZ$60,$IW$4:$JF$4))=0,0,((SUMIF($IW$3:$JF$3,IZ$60,$IW153:$JF153))/SUMIF($IW$3:$JF$3,IZ$60,$IW$4:$JF$4)))</f>
        <v>0</v>
      </c>
      <c r="JA104" s="199" t="n">
        <f aca="false">IF((SUMIF($IW$3:$JF$3,JA$60,$IW$4:$JF$4))=0,0,((SUMIF($IW$3:$JF$3,JA$60,$IW153:$JF153))/SUMIF($IW$3:$JF$3,JA$60,$IW$4:$JF$4)))</f>
        <v>0</v>
      </c>
      <c r="JB104" s="199" t="n">
        <f aca="false">IF((SUMIF($IW$3:$JF$3,JB$60,$IW$4:$JF$4))=0,0,((SUMIF($IW$3:$JF$3,JB$60,$IW153:$JF153))/SUMIF($IW$3:$JF$3,JB$60,$IW$4:$JF$4)))</f>
        <v>0</v>
      </c>
      <c r="JC104" s="199" t="n">
        <f aca="false">IF((SUMIF($IW$3:$JF$3,JC$60,$IW$4:$JF$4))=0,0,((SUMIF($IW$3:$JF$3,JC$60,$IW153:$JF153))/SUMIF($IW$3:$JF$3,JC$60,$IW$4:$JF$4)))</f>
        <v>0</v>
      </c>
      <c r="JD104" s="199" t="n">
        <f aca="false">IF((SUMIF($IW$3:$JF$3,JD$60,$IW$4:$JF$4))=0,0,((SUMIF($IW$3:$JF$3,JD$60,$IW153:$JF153))/SUMIF($IW$3:$JF$3,JD$60,$IW$4:$JF$4)))</f>
        <v>0</v>
      </c>
      <c r="JE104" s="199" t="n">
        <f aca="false">IF((SUMIF($IW$3:$JF$3,JE$60,$IW$4:$JF$4))=0,0,((SUMIF($IW$3:$JF$3,JE$60,$IW153:$JF153))/SUMIF($IW$3:$JF$3,JE$60,$IW$4:$JF$4)))</f>
        <v>0</v>
      </c>
      <c r="JF104" s="200" t="n">
        <f aca="false">IF((SUMIF($IW$3:$JF$3,JF$60,$IW$4:$JF$4))=0,0,((SUMIF($IW$3:$JF$3,JF$60,$IW153:$JF153))/SUMIF($IW$3:$JF$3,JF$60,$IW$4:$JF$4)))</f>
        <v>0</v>
      </c>
      <c r="JG104" s="194" t="str">
        <f aca="false">IV104</f>
        <v>Alumno43</v>
      </c>
      <c r="JH104" s="198" t="n">
        <f aca="false">IF((SUMIF($JH$3:$JQ$3,JH$60,$JH$4:$JQ$4))=0,0,((SUMIF($JH$3:$JQ$3,JH$60,$JH153:$JQ153))/SUMIF($JH$3:$JQ$3,JH$60,$JH$4:$JQ$4)))</f>
        <v>0</v>
      </c>
      <c r="JI104" s="199" t="n">
        <f aca="false">IF((SUMIF($JH$3:$JQ$3,JI$60,$JH$4:$JQ$4))=0,0,((SUMIF($JH$3:$JQ$3,JI$60,$JH153:$JQ153))/SUMIF($JH$3:$JQ$3,JI$60,$JH$4:$JQ$4)))</f>
        <v>0</v>
      </c>
      <c r="JJ104" s="199" t="n">
        <f aca="false">IF((SUMIF($JH$3:$JQ$3,JJ$60,$JH$4:$JQ$4))=0,0,((SUMIF($JH$3:$JQ$3,JJ$60,$JH153:$JQ153))/SUMIF($JH$3:$JQ$3,JJ$60,$JH$4:$JQ$4)))</f>
        <v>0</v>
      </c>
      <c r="JK104" s="199" t="n">
        <f aca="false">IF((SUMIF($JH$3:$JQ$3,JK$60,$JH$4:$JQ$4))=0,0,((SUMIF($JH$3:$JQ$3,JK$60,$JH153:$JQ153))/SUMIF($JH$3:$JQ$3,JK$60,$JH$4:$JQ$4)))</f>
        <v>0</v>
      </c>
      <c r="JL104" s="199" t="n">
        <f aca="false">IF((SUMIF($JH$3:$JQ$3,JL$60,$JH$4:$JQ$4))=0,0,((SUMIF($JH$3:$JQ$3,JL$60,$JH153:$JQ153))/SUMIF($JH$3:$JQ$3,JL$60,$JH$4:$JQ$4)))</f>
        <v>0</v>
      </c>
      <c r="JM104" s="199" t="n">
        <f aca="false">IF((SUMIF($JH$3:$JQ$3,JM$60,$JH$4:$JQ$4))=0,0,((SUMIF($JH$3:$JQ$3,JM$60,$JH153:$JQ153))/SUMIF($JH$3:$JQ$3,JM$60,$JH$4:$JQ$4)))</f>
        <v>0</v>
      </c>
      <c r="JN104" s="199" t="n">
        <f aca="false">IF((SUMIF($JH$3:$JQ$3,JN$60,$JH$4:$JQ$4))=0,0,((SUMIF($JH$3:$JQ$3,JN$60,$JH153:$JQ153))/SUMIF($JH$3:$JQ$3,JN$60,$JH$4:$JQ$4)))</f>
        <v>0</v>
      </c>
      <c r="JO104" s="199" t="n">
        <f aca="false">IF((SUMIF($JH$3:$JQ$3,JO$60,$JH$4:$JQ$4))=0,0,((SUMIF($JH$3:$JQ$3,JO$60,$JH153:$JQ153))/SUMIF($JH$3:$JQ$3,JO$60,$JH$4:$JQ$4)))</f>
        <v>0</v>
      </c>
      <c r="JP104" s="199" t="n">
        <f aca="false">IF((SUMIF($JH$3:$JQ$3,JP$60,$JH$4:$JQ$4))=0,0,((SUMIF($JH$3:$JQ$3,JP$60,$JH153:$JQ153))/SUMIF($JH$3:$JQ$3,JP$60,$JH$4:$JQ$4)))</f>
        <v>0</v>
      </c>
      <c r="JQ104" s="200" t="n">
        <f aca="false">IF((SUMIF($JH$3:$JQ$3,JQ$60,$JH$4:$JQ$4))=0,0,((SUMIF($JH$3:$JQ$3,JQ$60,$JH153:$JQ153))/SUMIF($JH$3:$JQ$3,JQ$60,$JH$4:$JQ$4)))</f>
        <v>0</v>
      </c>
      <c r="JR104" s="194" t="str">
        <f aca="false">JG104</f>
        <v>Alumno43</v>
      </c>
      <c r="JS104" s="198" t="n">
        <f aca="false">IF((SUMIF($JS$3:$KB$3,JS$60,$JS$4:$KB$4))=0,0,((SUMIF($JS$3:$KB$3,JS$60,$JS153:$KB153))/SUMIF($JS$3:$KB$3,JS$60,$JS$4:$KB$4)))</f>
        <v>0</v>
      </c>
      <c r="JT104" s="199" t="n">
        <f aca="false">IF((SUMIF($JS$3:$KB$3,JT$60,$JS$4:$KB$4))=0,0,((SUMIF($JS$3:$KB$3,JT$60,$JS153:$KB153))/SUMIF($JS$3:$KB$3,JT$60,$JS$4:$KB$4)))</f>
        <v>0</v>
      </c>
      <c r="JU104" s="199" t="n">
        <f aca="false">IF((SUMIF($JS$3:$KB$3,JU$60,$JS$4:$KB$4))=0,0,((SUMIF($JS$3:$KB$3,JU$60,$JS153:$KB153))/SUMIF($JS$3:$KB$3,JU$60,$JS$4:$KB$4)))</f>
        <v>0</v>
      </c>
      <c r="JV104" s="199" t="n">
        <f aca="false">IF((SUMIF($JS$3:$KB$3,JV$60,$JS$4:$KB$4))=0,0,((SUMIF($JS$3:$KB$3,JV$60,$JS153:$KB153))/SUMIF($JS$3:$KB$3,JV$60,$JS$4:$KB$4)))</f>
        <v>0</v>
      </c>
      <c r="JW104" s="199" t="n">
        <f aca="false">IF((SUMIF($JS$3:$KB$3,JW$60,$JS$4:$KB$4))=0,0,((SUMIF($JS$3:$KB$3,JW$60,$JS153:$KB153))/SUMIF($JS$3:$KB$3,JW$60,$JS$4:$KB$4)))</f>
        <v>0</v>
      </c>
      <c r="JX104" s="199" t="n">
        <f aca="false">IF((SUMIF($JS$3:$KB$3,JX$60,$JS$4:$KB$4))=0,0,((SUMIF($JS$3:$KB$3,JX$60,$JS153:$KB153))/SUMIF($JS$3:$KB$3,JX$60,$JS$4:$KB$4)))</f>
        <v>0</v>
      </c>
      <c r="JY104" s="199" t="n">
        <f aca="false">IF((SUMIF($JS$3:$KB$3,JY$60,$JS$4:$KB$4))=0,0,((SUMIF($JS$3:$KB$3,JY$60,$JS153:$KB153))/SUMIF($JS$3:$KB$3,JY$60,$JS$4:$KB$4)))</f>
        <v>0</v>
      </c>
      <c r="JZ104" s="199" t="n">
        <f aca="false">IF((SUMIF($JS$3:$KB$3,JZ$60,$JS$4:$KB$4))=0,0,((SUMIF($JS$3:$KB$3,JZ$60,$JS153:$KB153))/SUMIF($JS$3:$KB$3,JZ$60,$JS$4:$KB$4)))</f>
        <v>0</v>
      </c>
      <c r="KA104" s="199" t="n">
        <f aca="false">IF((SUMIF($JS$3:$KB$3,KA$60,$JS$4:$KB$4))=0,0,((SUMIF($JS$3:$KB$3,KA$60,$JS153:$KB153))/SUMIF($JS$3:$KB$3,KA$60,$JS$4:$KB$4)))</f>
        <v>0</v>
      </c>
      <c r="KB104" s="200" t="n">
        <f aca="false">IF((SUMIF($JS$3:$KB$3,KB$60,$JS$4:$KB$4))=0,0,((SUMIF($JS$3:$KB$3,KB$60,$JS153:$KB153))/SUMIF($JS$3:$KB$3,KB$60,$JS$4:$KB$4)))</f>
        <v>0</v>
      </c>
      <c r="KC104" s="194" t="str">
        <f aca="false">JR104</f>
        <v>Alumno43</v>
      </c>
      <c r="KD104" s="198" t="n">
        <f aca="false">IF((SUMIF($KD$3:$KM$3,KD$60,$KD$4:$KM$4))=0,0,((SUMIF($KD$3:$KM$3,KD$60,$KD153:$KM153))/SUMIF($KD$3:$KM$3,KD$60,$KD$4:$KM$4)))</f>
        <v>0</v>
      </c>
      <c r="KE104" s="199" t="n">
        <f aca="false">IF((SUMIF($KD$3:$KM$3,KE$60,$KD$4:$KM$4))=0,0,((SUMIF($KD$3:$KM$3,KE$60,$KD153:$KM153))/SUMIF($KD$3:$KM$3,KE$60,$KD$4:$KM$4)))</f>
        <v>0</v>
      </c>
      <c r="KF104" s="199" t="n">
        <f aca="false">IF((SUMIF($KD$3:$KM$3,KF$60,$KD$4:$KM$4))=0,0,((SUMIF($KD$3:$KM$3,KF$60,$KD153:$KM153))/SUMIF($KD$3:$KM$3,KF$60,$KD$4:$KM$4)))</f>
        <v>0</v>
      </c>
      <c r="KG104" s="199" t="n">
        <f aca="false">IF((SUMIF($KD$3:$KM$3,KG$60,$KD$4:$KM$4))=0,0,((SUMIF($KD$3:$KM$3,KG$60,$KD153:$KM153))/SUMIF($KD$3:$KM$3,KG$60,$KD$4:$KM$4)))</f>
        <v>0</v>
      </c>
      <c r="KH104" s="199" t="n">
        <f aca="false">IF((SUMIF($KD$3:$KM$3,KH$60,$KD$4:$KM$4))=0,0,((SUMIF($KD$3:$KM$3,KH$60,$KD153:$KM153))/SUMIF($KD$3:$KM$3,KH$60,$KD$4:$KM$4)))</f>
        <v>0</v>
      </c>
      <c r="KI104" s="199" t="n">
        <f aca="false">IF((SUMIF($KD$3:$KM$3,KI$60,$KD$4:$KM$4))=0,0,((SUMIF($KD$3:$KM$3,KI$60,$KD153:$KM153))/SUMIF($KD$3:$KM$3,KI$60,$KD$4:$KM$4)))</f>
        <v>0</v>
      </c>
      <c r="KJ104" s="199" t="n">
        <f aca="false">IF((SUMIF($KD$3:$KM$3,KJ$60,$KD$4:$KM$4))=0,0,((SUMIF($KD$3:$KM$3,KJ$60,$KD153:$KM153))/SUMIF($KD$3:$KM$3,KJ$60,$KD$4:$KM$4)))</f>
        <v>0</v>
      </c>
      <c r="KK104" s="199" t="n">
        <f aca="false">IF((SUMIF($KD$3:$KM$3,KK$60,$KD$4:$KM$4))=0,0,((SUMIF($KD$3:$KM$3,KK$60,$KD153:$KM153))/SUMIF($KD$3:$KM$3,KK$60,$KD$4:$KM$4)))</f>
        <v>0</v>
      </c>
      <c r="KL104" s="199" t="n">
        <f aca="false">IF((SUMIF($KD$3:$KM$3,KL$60,$KD$4:$KM$4))=0,0,((SUMIF($KD$3:$KM$3,KL$60,$KD153:$KM153))/SUMIF($KD$3:$KM$3,KL$60,$KD$4:$KM$4)))</f>
        <v>0</v>
      </c>
      <c r="KM104" s="200" t="n">
        <f aca="false">IF((SUMIF($KD$3:$KM$3,KM$60,$KD$4:$KM$4))=0,0,((SUMIF($KD$3:$KM$3,KM$60,$KD153:$KM153))/SUMIF($KD$3:$KM$3,KM$60,$KD$4:$KM$4)))</f>
        <v>0</v>
      </c>
      <c r="KN104" s="194" t="str">
        <f aca="false">KC104</f>
        <v>Alumno43</v>
      </c>
      <c r="KO104" s="198" t="n">
        <f aca="false">IF((SUMIF($KO$3:$KX$3,KO$60,$KO$4:$KX$4))=0,0,((SUMIF($KO$3:$KX$3,KO$60,$KO153:$KX153))/SUMIF($KO$3:$KX$3,KO$60,$KO$4:$KX$4)))</f>
        <v>0</v>
      </c>
      <c r="KP104" s="199" t="n">
        <f aca="false">IF((SUMIF($KO$3:$KX$3,KP$60,$KO$4:$KX$4))=0,0,((SUMIF($KO$3:$KX$3,KP$60,$KO153:$KX153))/SUMIF($KO$3:$KX$3,KP$60,$KO$4:$KX$4)))</f>
        <v>0</v>
      </c>
      <c r="KQ104" s="199" t="n">
        <f aca="false">IF((SUMIF($KO$3:$KX$3,KQ$60,$KO$4:$KX$4))=0,0,((SUMIF($KO$3:$KX$3,KQ$60,$KO153:$KX153))/SUMIF($KO$3:$KX$3,KQ$60,$KO$4:$KX$4)))</f>
        <v>0</v>
      </c>
      <c r="KR104" s="199" t="n">
        <f aca="false">IF((SUMIF($KO$3:$KX$3,KR$60,$KO$4:$KX$4))=0,0,((SUMIF($KO$3:$KX$3,KR$60,$KO153:$KX153))/SUMIF($KO$3:$KX$3,KR$60,$KO$4:$KX$4)))</f>
        <v>0</v>
      </c>
      <c r="KS104" s="199" t="n">
        <f aca="false">IF((SUMIF($KO$3:$KX$3,KS$60,$KO$4:$KX$4))=0,0,((SUMIF($KO$3:$KX$3,KS$60,$KO153:$KX153))/SUMIF($KO$3:$KX$3,KS$60,$KO$4:$KX$4)))</f>
        <v>0</v>
      </c>
      <c r="KT104" s="199" t="n">
        <f aca="false">IF((SUMIF($KO$3:$KX$3,KT$60,$KO$4:$KX$4))=0,0,((SUMIF($KO$3:$KX$3,KT$60,$KO153:$KX153))/SUMIF($KO$3:$KX$3,KT$60,$KO$4:$KX$4)))</f>
        <v>0</v>
      </c>
      <c r="KU104" s="199" t="n">
        <f aca="false">IF((SUMIF($KO$3:$KX$3,KU$60,$KO$4:$KX$4))=0,0,((SUMIF($KO$3:$KX$3,KU$60,$KO153:$KX153))/SUMIF($KO$3:$KX$3,KU$60,$KO$4:$KX$4)))</f>
        <v>0</v>
      </c>
      <c r="KV104" s="199" t="n">
        <f aca="false">IF((SUMIF($KO$3:$KX$3,KV$60,$KO$4:$KX$4))=0,0,((SUMIF($KO$3:$KX$3,KV$60,$KO153:$KX153))/SUMIF($KO$3:$KX$3,KV$60,$KO$4:$KX$4)))</f>
        <v>0</v>
      </c>
      <c r="KW104" s="199" t="n">
        <f aca="false">IF((SUMIF($KO$3:$KX$3,KW$60,$KO$4:$KX$4))=0,0,((SUMIF($KO$3:$KX$3,KW$60,$KO153:$KX153))/SUMIF($KO$3:$KX$3,KW$60,$KO$4:$KX$4)))</f>
        <v>0</v>
      </c>
      <c r="KX104" s="200" t="n">
        <f aca="false">IF((SUMIF($KO$3:$KX$3,KX$60,$KO$4:$KX$4))=0,0,((SUMIF($KO$3:$KX$3,KX$60,$KO153:$KX153))/SUMIF($KO$3:$KX$3,KX$60,$KO$4:$KX$4)))</f>
        <v>0</v>
      </c>
      <c r="KY104" s="194" t="str">
        <f aca="false">KN104</f>
        <v>Alumno43</v>
      </c>
      <c r="KZ104" s="198" t="n">
        <f aca="false">IF((SUMIF($KZ$3:$LI$3,KZ$60,$KZ$4:$LI$4))=0,0,((SUMIF($KZ$3:$LI$3,KZ$60,$KZ153:$LI153))/SUMIF($KZ$3:$LI$3,KZ$60,$KZ$4:$LI$4)))</f>
        <v>0</v>
      </c>
      <c r="LA104" s="199" t="n">
        <f aca="false">IF((SUMIF($KZ$3:$LI$3,LA$60,$KZ$4:$LI$4))=0,0,((SUMIF($KZ$3:$LI$3,LA$60,$KZ153:$LI153))/SUMIF($KZ$3:$LI$3,LA$60,$KZ$4:$LI$4)))</f>
        <v>0</v>
      </c>
      <c r="LB104" s="199" t="n">
        <f aca="false">IF((SUMIF($KZ$3:$LI$3,LB$60,$KZ$4:$LI$4))=0,0,((SUMIF($KZ$3:$LI$3,LB$60,$KZ153:$LI153))/SUMIF($KZ$3:$LI$3,LB$60,$KZ$4:$LI$4)))</f>
        <v>0</v>
      </c>
      <c r="LC104" s="199" t="n">
        <f aca="false">IF((SUMIF($KZ$3:$LI$3,LC$60,$KZ$4:$LI$4))=0,0,((SUMIF($KZ$3:$LI$3,LC$60,$KZ153:$LI153))/SUMIF($KZ$3:$LI$3,LC$60,$KZ$4:$LI$4)))</f>
        <v>0</v>
      </c>
      <c r="LD104" s="199" t="n">
        <f aca="false">IF((SUMIF($KZ$3:$LI$3,LD$60,$KZ$4:$LI$4))=0,0,((SUMIF($KZ$3:$LI$3,LD$60,$KZ153:$LI153))/SUMIF($KZ$3:$LI$3,LD$60,$KZ$4:$LI$4)))</f>
        <v>0</v>
      </c>
      <c r="LE104" s="199" t="n">
        <f aca="false">IF((SUMIF($KZ$3:$LI$3,LE$60,$KZ$4:$LI$4))=0,0,((SUMIF($KZ$3:$LI$3,LE$60,$KZ153:$LI153))/SUMIF($KZ$3:$LI$3,LE$60,$KZ$4:$LI$4)))</f>
        <v>0</v>
      </c>
      <c r="LF104" s="199" t="n">
        <f aca="false">IF((SUMIF($KZ$3:$LI$3,LF$60,$KZ$4:$LI$4))=0,0,((SUMIF($KZ$3:$LI$3,LF$60,$KZ153:$LI153))/SUMIF($KZ$3:$LI$3,LF$60,$KZ$4:$LI$4)))</f>
        <v>0</v>
      </c>
      <c r="LG104" s="199" t="n">
        <f aca="false">IF((SUMIF($KZ$3:$LI$3,LG$60,$KZ$4:$LI$4))=0,0,((SUMIF($KZ$3:$LI$3,LG$60,$KZ153:$LI153))/SUMIF($KZ$3:$LI$3,LG$60,$KZ$4:$LI$4)))</f>
        <v>0</v>
      </c>
      <c r="LH104" s="199" t="n">
        <f aca="false">IF((SUMIF($KZ$3:$LI$3,LH$60,$KZ$4:$LI$4))=0,0,((SUMIF($KZ$3:$LI$3,LH$60,$KZ153:$LI153))/SUMIF($KZ$3:$LI$3,LH$60,$KZ$4:$LI$4)))</f>
        <v>0</v>
      </c>
      <c r="LI104" s="200" t="n">
        <f aca="false">IF((SUMIF($KZ$3:$LI$3,LI$60,$KZ$4:$LI$4))=0,0,((SUMIF($KZ$3:$LI$3,LI$60,$KZ153:$LI153))/SUMIF($KZ$3:$LI$3,LI$60,$KZ$4:$LI$4)))</f>
        <v>0</v>
      </c>
      <c r="LJ104" s="194" t="str">
        <f aca="false">KY104</f>
        <v>Alumno43</v>
      </c>
      <c r="LK104" s="198" t="n">
        <f aca="false">IF((SUMIF($LK$3:$LT$3,LK$60,$LK$4:$LT$4))=0,0,((SUMIF($LK$3:$LT$3,LK$60,$LK153:$LT153))/SUMIF($LK$3:$LT$3,LK$60,$LK$4:$LT$4)))</f>
        <v>0</v>
      </c>
      <c r="LL104" s="199" t="n">
        <f aca="false">IF((SUMIF($LK$3:$LT$3,LL$60,$LK$4:$LT$4))=0,0,((SUMIF($LK$3:$LT$3,LL$60,$LK153:$LT153))/SUMIF($LK$3:$LT$3,LL$60,$LK$4:$LT$4)))</f>
        <v>0</v>
      </c>
      <c r="LM104" s="199" t="n">
        <f aca="false">IF((SUMIF($LK$3:$LT$3,LM$60,$LK$4:$LT$4))=0,0,((SUMIF($LK$3:$LT$3,LM$60,$LK153:$LT153))/SUMIF($LK$3:$LT$3,LM$60,$LK$4:$LT$4)))</f>
        <v>0</v>
      </c>
      <c r="LN104" s="199" t="n">
        <f aca="false">IF((SUMIF($LK$3:$LT$3,LN$60,$LK$4:$LT$4))=0,0,((SUMIF($LK$3:$LT$3,LN$60,$LK153:$LT153))/SUMIF($LK$3:$LT$3,LN$60,$LK$4:$LT$4)))</f>
        <v>0</v>
      </c>
      <c r="LO104" s="199" t="n">
        <f aca="false">IF((SUMIF($LK$3:$LT$3,LO$60,$LK$4:$LT$4))=0,0,((SUMIF($LK$3:$LT$3,LO$60,$LK153:$LT153))/SUMIF($LK$3:$LT$3,LO$60,$LK$4:$LT$4)))</f>
        <v>0</v>
      </c>
      <c r="LP104" s="199" t="n">
        <f aca="false">IF((SUMIF($LK$3:$LT$3,LP$60,$LK$4:$LT$4))=0,0,((SUMIF($LK$3:$LT$3,LP$60,$LK153:$LT153))/SUMIF($LK$3:$LT$3,LP$60,$LK$4:$LT$4)))</f>
        <v>0</v>
      </c>
      <c r="LQ104" s="199" t="n">
        <f aca="false">IF((SUMIF($LK$3:$LT$3,LQ$60,$LK$4:$LT$4))=0,0,((SUMIF($LK$3:$LT$3,LQ$60,$LK153:$LT153))/SUMIF($LK$3:$LT$3,LQ$60,$LK$4:$LT$4)))</f>
        <v>0</v>
      </c>
      <c r="LR104" s="199" t="n">
        <f aca="false">IF((SUMIF($LK$3:$LT$3,LR$60,$LK$4:$LT$4))=0,0,((SUMIF($LK$3:$LT$3,LR$60,$LK153:$LT153))/SUMIF($LK$3:$LT$3,LR$60,$LK$4:$LT$4)))</f>
        <v>0</v>
      </c>
      <c r="LS104" s="199" t="n">
        <f aca="false">IF((SUMIF($LK$3:$LT$3,LS$60,$LK$4:$LT$4))=0,0,((SUMIF($LK$3:$LT$3,LS$60,$LK153:$LT153))/SUMIF($LK$3:$LT$3,LS$60,$LK$4:$LT$4)))</f>
        <v>0</v>
      </c>
      <c r="LT104" s="200" t="n">
        <f aca="false">IF((SUMIF($LK$3:$LT$3,LT$60,$LK$4:$LT$4))=0,0,((SUMIF($LK$3:$LT$3,LT$60,$LK153:$LT153))/SUMIF($LK$3:$LT$3,LT$60,$LK$4:$LT$4)))</f>
        <v>0</v>
      </c>
    </row>
    <row r="105" customFormat="false" ht="15" hidden="true" customHeight="false" outlineLevel="0" collapsed="false">
      <c r="C105" s="194" t="str">
        <f aca="false">B49</f>
        <v>Alumno44</v>
      </c>
      <c r="D105" s="198" t="n">
        <f aca="false">IF((SUMIF($D$3:$M$3,D$60,$D$4:$M$4))=0,0,((SUMIF($D$3:$M$3,D$60,$D154:$M154))/SUMIF($D$3:$M$3,D$60,$D$4:$M$4)))</f>
        <v>0</v>
      </c>
      <c r="E105" s="199" t="n">
        <f aca="false">IF((SUMIF($D$3:$M$3,E$60,$D$4:$M$4))=0,0,((SUMIF($D$3:$M$3,E$60,$D154:$M154))/SUMIF($D$3:$M$3,E$60,$D$4:$M$4)))</f>
        <v>0</v>
      </c>
      <c r="F105" s="199" t="n">
        <f aca="false">IF((SUMIF($D$3:$M$3,F$60,$D$4:$M$4))=0,0,((SUMIF($D$3:$M$3,F$60,$D154:$M154))/SUMIF($D$3:$M$3,F$60,$D$4:$M$4)))</f>
        <v>0</v>
      </c>
      <c r="G105" s="199" t="n">
        <f aca="false">IF((SUMIF($D$3:$M$3,G$60,$D$4:$M$4))=0,0,((SUMIF($D$3:$M$3,G$60,$D154:$M154))/SUMIF($D$3:$M$3,G$60,$D$4:$M$4)))</f>
        <v>0</v>
      </c>
      <c r="H105" s="199" t="n">
        <f aca="false">IF((SUMIF($D$3:$M$3,H$60,$D$4:$M$4))=0,0,((SUMIF($D$3:$M$3,H$60,$D154:$M154))/SUMIF($D$3:$M$3,H$60,$D$4:$M$4)))</f>
        <v>0</v>
      </c>
      <c r="I105" s="199" t="n">
        <f aca="false">IF((SUMIF($D$3:$M$3,I$60,$D$4:$M$4))=0,0,((SUMIF($D$3:$M$3,I$60,$D154:$M154))/SUMIF($D$3:$M$3,I$60,$D$4:$M$4)))</f>
        <v>0</v>
      </c>
      <c r="J105" s="199" t="n">
        <f aca="false">IF((SUMIF($D$3:$M$3,J$60,$D$4:$M$4))=0,0,((SUMIF($D$3:$M$3,J$60,$D154:$M154))/SUMIF($D$3:$M$3,J$60,$D$4:$M$4)))</f>
        <v>0</v>
      </c>
      <c r="K105" s="199" t="n">
        <f aca="false">IF((SUMIF($D$3:$M$3,K$60,$D$4:$M$4))=0,0,((SUMIF($D$3:$M$3,K$60,$D154:$M154))/SUMIF($D$3:$M$3,K$60,$D$4:$M$4)))</f>
        <v>0</v>
      </c>
      <c r="L105" s="199" t="n">
        <f aca="false">IF((SUMIF($D$3:$M$3,L$60,$D$4:$M$4))=0,0,((SUMIF($D$3:$M$3,L$60,$D154:$M154))/SUMIF($D$3:$M$3,L$60,$D$4:$M$4)))</f>
        <v>0</v>
      </c>
      <c r="M105" s="200" t="n">
        <f aca="false">IF((SUMIF($D$3:$M$3,M$60,$D$4:$M$4))=0,0,((SUMIF($D$3:$M$3,M$60,$D154:$M154))/SUMIF($D$3:$M$3,M$60,$D$4:$M$4)))</f>
        <v>0</v>
      </c>
      <c r="N105" s="194" t="str">
        <f aca="false">C105</f>
        <v>Alumno44</v>
      </c>
      <c r="O105" s="198" t="n">
        <f aca="false">IF((SUMIF($O$3:$X$3,O$60,$O$4:$X$4))=0,0,((SUMIF($O$3:$X$3,O$60,$O154:$X154))/SUMIF($O$3:$X$3,O$60,$O$4:$X$4)))</f>
        <v>0</v>
      </c>
      <c r="P105" s="199" t="n">
        <f aca="false">IF((SUMIF($O$3:$X$3,P$60,$O$4:$X$4))=0,0,((SUMIF($O$3:$X$3,P$60,$O154:$X154))/SUMIF($O$3:$X$3,P$60,$O$4:$X$4)))</f>
        <v>0</v>
      </c>
      <c r="Q105" s="199" t="n">
        <f aca="false">IF((SUMIF($O$3:$X$3,Q$60,$O$4:$X$4))=0,0,((SUMIF($O$3:$X$3,Q$60,$O154:$X154))/SUMIF($O$3:$X$3,Q$60,$O$4:$X$4)))</f>
        <v>0</v>
      </c>
      <c r="R105" s="199" t="n">
        <f aca="false">IF((SUMIF($O$3:$X$3,R$60,$O$4:$X$4))=0,0,((SUMIF($O$3:$X$3,R$60,$O154:$X154))/SUMIF($O$3:$X$3,R$60,$O$4:$X$4)))</f>
        <v>0</v>
      </c>
      <c r="S105" s="199" t="n">
        <f aca="false">IF((SUMIF($O$3:$X$3,S$60,$O$4:$X$4))=0,0,((SUMIF($O$3:$X$3,S$60,$O154:$X154))/SUMIF($O$3:$X$3,S$60,$O$4:$X$4)))</f>
        <v>0</v>
      </c>
      <c r="T105" s="199" t="n">
        <f aca="false">IF((SUMIF($O$3:$X$3,T$60,$O$4:$X$4))=0,0,((SUMIF($O$3:$X$3,T$60,$O154:$X154))/SUMIF($O$3:$X$3,T$60,$O$4:$X$4)))</f>
        <v>0</v>
      </c>
      <c r="U105" s="199" t="n">
        <f aca="false">IF((SUMIF($O$3:$X$3,U$60,$O$4:$X$4))=0,0,((SUMIF($O$3:$X$3,U$60,$O154:$X154))/SUMIF($O$3:$X$3,U$60,$O$4:$X$4)))</f>
        <v>0</v>
      </c>
      <c r="V105" s="199" t="n">
        <f aca="false">IF((SUMIF($O$3:$X$3,V$60,$O$4:$X$4))=0,0,((SUMIF($O$3:$X$3,V$60,$O154:$X154))/SUMIF($O$3:$X$3,V$60,$O$4:$X$4)))</f>
        <v>0</v>
      </c>
      <c r="W105" s="199" t="n">
        <f aca="false">IF((SUMIF($O$3:$X$3,W$60,$O$4:$X$4))=0,0,((SUMIF($O$3:$X$3,W$60,$O154:$X154))/SUMIF($O$3:$X$3,W$60,$O$4:$X$4)))</f>
        <v>0</v>
      </c>
      <c r="X105" s="200" t="n">
        <f aca="false">IF((SUMIF($O$3:$X$3,X$60,$O$4:$X$4))=0,0,((SUMIF($O$3:$X$3,X$60,$O154:$X154))/SUMIF($O$3:$X$3,X$60,$O$4:$X$4)))</f>
        <v>0</v>
      </c>
      <c r="Y105" s="194" t="str">
        <f aca="false">N105</f>
        <v>Alumno44</v>
      </c>
      <c r="Z105" s="198" t="n">
        <f aca="false">IF((SUMIF($Z$3:$AI$3,Z$60,$Z$4:$AI$4))=0,0,((SUMIF($Z$3:$AI$3,Z$60,$Z154:$AI154))/SUMIF($Z$3:$AI$3,Z$60,$Z$4:$AI$4)))</f>
        <v>0</v>
      </c>
      <c r="AA105" s="199" t="n">
        <f aca="false">IF((SUMIF($Z$3:$AI$3,AA$60,$Z$4:$AI$4))=0,0,((SUMIF($Z$3:$AI$3,AA$60,$Z154:$AI154))/SUMIF($Z$3:$AI$3,AA$60,$Z$4:$AI$4)))</f>
        <v>0</v>
      </c>
      <c r="AB105" s="199" t="n">
        <f aca="false">IF((SUMIF($Z$3:$AI$3,AB$60,$Z$4:$AI$4))=0,0,((SUMIF($Z$3:$AI$3,AB$60,$Z154:$AI154))/SUMIF($Z$3:$AI$3,AB$60,$Z$4:$AI$4)))</f>
        <v>0</v>
      </c>
      <c r="AC105" s="199" t="n">
        <f aca="false">IF((SUMIF($Z$3:$AI$3,AC$60,$Z$4:$AI$4))=0,0,((SUMIF($Z$3:$AI$3,AC$60,$Z154:$AI154))/SUMIF($Z$3:$AI$3,AC$60,$Z$4:$AI$4)))</f>
        <v>0</v>
      </c>
      <c r="AD105" s="199" t="n">
        <f aca="false">IF((SUMIF($Z$3:$AI$3,AD$60,$Z$4:$AI$4))=0,0,((SUMIF($Z$3:$AI$3,AD$60,$Z154:$AI154))/SUMIF($Z$3:$AI$3,AD$60,$Z$4:$AI$4)))</f>
        <v>0</v>
      </c>
      <c r="AE105" s="199" t="n">
        <f aca="false">IF((SUMIF($Z$3:$AI$3,AE$60,$Z$4:$AI$4))=0,0,((SUMIF($Z$3:$AI$3,AE$60,$Z154:$AI154))/SUMIF($Z$3:$AI$3,AE$60,$Z$4:$AI$4)))</f>
        <v>0</v>
      </c>
      <c r="AF105" s="199" t="n">
        <f aca="false">IF((SUMIF($Z$3:$AI$3,AF$60,$Z$4:$AI$4))=0,0,((SUMIF($Z$3:$AI$3,AF$60,$Z154:$AI154))/SUMIF($Z$3:$AI$3,AF$60,$Z$4:$AI$4)))</f>
        <v>0</v>
      </c>
      <c r="AG105" s="199" t="n">
        <f aca="false">IF((SUMIF($Z$3:$AI$3,AG$60,$Z$4:$AI$4))=0,0,((SUMIF($Z$3:$AI$3,AG$60,$Z154:$AI154))/SUMIF($Z$3:$AI$3,AG$60,$Z$4:$AI$4)))</f>
        <v>0</v>
      </c>
      <c r="AH105" s="199" t="n">
        <f aca="false">IF((SUMIF($Z$3:$AI$3,AH$60,$Z$4:$AI$4))=0,0,((SUMIF($Z$3:$AI$3,AH$60,$Z154:$AI154))/SUMIF($Z$3:$AI$3,AH$60,$Z$4:$AI$4)))</f>
        <v>0</v>
      </c>
      <c r="AI105" s="200" t="n">
        <f aca="false">IF((SUMIF($Z$3:$AI$3,AI$60,$Z$4:$AI$4))=0,0,((SUMIF($Z$3:$AI$3,AI$60,$Z154:$AI154))/SUMIF($Z$3:$AI$3,AI$60,$Z$4:$AI$4)))</f>
        <v>0</v>
      </c>
      <c r="AJ105" s="194" t="str">
        <f aca="false">Y105</f>
        <v>Alumno44</v>
      </c>
      <c r="AK105" s="198" t="n">
        <f aca="false">IF((SUMIF($AK$3:$AT$3,AK$60,$AK$4:$AT$4))=0,0,((SUMIF($AK$3:$AT$3,AK$60,$AK154:$AT154))/SUMIF($AK$3:$AT$3,AK$60,$AK$4:$AT$4)))</f>
        <v>0</v>
      </c>
      <c r="AL105" s="199" t="n">
        <f aca="false">IF((SUMIF($AK$3:$AT$3,AL$60,$AK$4:$AT$4))=0,0,((SUMIF($AK$3:$AT$3,AL$60,$AK154:$AT154))/SUMIF($AK$3:$AT$3,AL$60,$AK$4:$AT$4)))</f>
        <v>0</v>
      </c>
      <c r="AM105" s="199" t="n">
        <f aca="false">IF((SUMIF($AK$3:$AT$3,AM$60,$AK$4:$AT$4))=0,0,((SUMIF($AK$3:$AT$3,AM$60,$AK154:$AT154))/SUMIF($AK$3:$AT$3,AM$60,$AK$4:$AT$4)))</f>
        <v>0</v>
      </c>
      <c r="AN105" s="199" t="n">
        <f aca="false">IF((SUMIF($AK$3:$AT$3,AN$60,$AK$4:$AT$4))=0,0,((SUMIF($AK$3:$AT$3,AN$60,$AK154:$AT154))/SUMIF($AK$3:$AT$3,AN$60,$AK$4:$AT$4)))</f>
        <v>0</v>
      </c>
      <c r="AO105" s="199" t="n">
        <f aca="false">IF((SUMIF($AK$3:$AT$3,AO$60,$AK$4:$AT$4))=0,0,((SUMIF($AK$3:$AT$3,AO$60,$AK154:$AT154))/SUMIF($AK$3:$AT$3,AO$60,$AK$4:$AT$4)))</f>
        <v>0</v>
      </c>
      <c r="AP105" s="199" t="n">
        <f aca="false">IF((SUMIF($AK$3:$AT$3,AP$60,$AK$4:$AT$4))=0,0,((SUMIF($AK$3:$AT$3,AP$60,$AK154:$AT154))/SUMIF($AK$3:$AT$3,AP$60,$AK$4:$AT$4)))</f>
        <v>0</v>
      </c>
      <c r="AQ105" s="199" t="n">
        <f aca="false">IF((SUMIF($AK$3:$AT$3,AQ$60,$AK$4:$AT$4))=0,0,((SUMIF($AK$3:$AT$3,AQ$60,$AK154:$AT154))/SUMIF($AK$3:$AT$3,AQ$60,$AK$4:$AT$4)))</f>
        <v>0</v>
      </c>
      <c r="AR105" s="199" t="n">
        <f aca="false">IF((SUMIF($AK$3:$AT$3,AR$60,$AK$4:$AT$4))=0,0,((SUMIF($AK$3:$AT$3,AR$60,$AK154:$AT154))/SUMIF($AK$3:$AT$3,AR$60,$AK$4:$AT$4)))</f>
        <v>0</v>
      </c>
      <c r="AS105" s="199" t="n">
        <f aca="false">IF((SUMIF($AK$3:$AT$3,AS$60,$AK$4:$AT$4))=0,0,((SUMIF($AK$3:$AT$3,AS$60,$AK154:$AT154))/SUMIF($AK$3:$AT$3,AS$60,$AK$4:$AT$4)))</f>
        <v>0</v>
      </c>
      <c r="AT105" s="200" t="n">
        <f aca="false">IF((SUMIF($AK$3:$AT$3,AT$60,$AK$4:$AT$4))=0,0,((SUMIF($AK$3:$AT$3,AT$60,$AK154:$AT154))/SUMIF($AK$3:$AT$3,AT$60,$AK$4:$AT$4)))</f>
        <v>0</v>
      </c>
      <c r="AU105" s="194" t="str">
        <f aca="false">AJ105</f>
        <v>Alumno44</v>
      </c>
      <c r="AV105" s="198" t="n">
        <f aca="false">IF((SUMIF($AV$3:$BE$3,AV$60,$AV$4:$BE$4))=0,0,((SUMIF($AV$3:$BE$3,AV$60,$AV154:$BE154))/SUMIF($AV$3:$BE$3,AV$60,$AV$4:$BE$4)))</f>
        <v>0</v>
      </c>
      <c r="AW105" s="199" t="n">
        <f aca="false">IF((SUMIF($AV$3:$BE$3,AW$60,$AV$4:$BE$4))=0,0,((SUMIF($AV$3:$BE$3,AW$60,$AV154:$BE154))/SUMIF($AV$3:$BE$3,AW$60,$AV$4:$BE$4)))</f>
        <v>0</v>
      </c>
      <c r="AX105" s="199" t="n">
        <f aca="false">IF((SUMIF($AV$3:$BE$3,AX$60,$AV$4:$BE$4))=0,0,((SUMIF($AV$3:$BE$3,AX$60,$AV154:$BE154))/SUMIF($AV$3:$BE$3,AX$60,$AV$4:$BE$4)))</f>
        <v>0</v>
      </c>
      <c r="AY105" s="199" t="n">
        <f aca="false">IF((SUMIF($AV$3:$BE$3,AY$60,$AV$4:$BE$4))=0,0,((SUMIF($AV$3:$BE$3,AY$60,$AV154:$BE154))/SUMIF($AV$3:$BE$3,AY$60,$AV$4:$BE$4)))</f>
        <v>0</v>
      </c>
      <c r="AZ105" s="199" t="n">
        <f aca="false">IF((SUMIF($AV$3:$BE$3,AZ$60,$AV$4:$BE$4))=0,0,((SUMIF($AV$3:$BE$3,AZ$60,$AV154:$BE154))/SUMIF($AV$3:$BE$3,AZ$60,$AV$4:$BE$4)))</f>
        <v>0</v>
      </c>
      <c r="BA105" s="199" t="n">
        <f aca="false">IF((SUMIF($AV$3:$BE$3,BA$60,$AV$4:$BE$4))=0,0,((SUMIF($AV$3:$BE$3,BA$60,$AV154:$BE154))/SUMIF($AV$3:$BE$3,BA$60,$AV$4:$BE$4)))</f>
        <v>0</v>
      </c>
      <c r="BB105" s="199" t="n">
        <f aca="false">IF((SUMIF($AV$3:$BE$3,BB$60,$AV$4:$BE$4))=0,0,((SUMIF($AV$3:$BE$3,BB$60,$AV154:$BE154))/SUMIF($AV$3:$BE$3,BB$60,$AV$4:$BE$4)))</f>
        <v>0</v>
      </c>
      <c r="BC105" s="199" t="n">
        <f aca="false">IF((SUMIF($AV$3:$BE$3,BC$60,$AV$4:$BE$4))=0,0,((SUMIF($AV$3:$BE$3,BC$60,$AV154:$BE154))/SUMIF($AV$3:$BE$3,BC$60,$AV$4:$BE$4)))</f>
        <v>0</v>
      </c>
      <c r="BD105" s="199" t="n">
        <f aca="false">IF((SUMIF($AV$3:$BE$3,BD$60,$AV$4:$BE$4))=0,0,((SUMIF($AV$3:$BE$3,BD$60,$AV154:$BE154))/SUMIF($AV$3:$BE$3,BD$60,$AV$4:$BE$4)))</f>
        <v>0</v>
      </c>
      <c r="BE105" s="200" t="n">
        <f aca="false">IF((SUMIF($AV$3:$BE$3,BE$60,$AV$4:$BE$4))=0,0,((SUMIF($AV$3:$BE$3,BE$60,$AV154:$BE154))/SUMIF($AV$3:$BE$3,BE$60,$AV$4:$BE$4)))</f>
        <v>0</v>
      </c>
      <c r="BF105" s="194" t="str">
        <f aca="false">AU105</f>
        <v>Alumno44</v>
      </c>
      <c r="BG105" s="198" t="n">
        <f aca="false">IF((SUMIF($BG$3:$BP$3,BG$60,$BG$4:$BP$4))=0,0,((SUMIF($BG$3:$BP$3,BG$60,$BG154:$BP154))/SUMIF($BG$3:$BP$3,BG$60,$BG$4:$BP$4)))</f>
        <v>0</v>
      </c>
      <c r="BH105" s="199" t="n">
        <f aca="false">IF((SUMIF($BG$3:$BP$3,BH$60,$BG$4:$BP$4))=0,0,((SUMIF($BG$3:$BP$3,BH$60,$BG154:$BP154))/SUMIF($BG$3:$BP$3,BH$60,$BG$4:$BP$4)))</f>
        <v>0</v>
      </c>
      <c r="BI105" s="199" t="n">
        <f aca="false">IF((SUMIF($BG$3:$BP$3,BI$60,$BG$4:$BP$4))=0,0,((SUMIF($BG$3:$BP$3,BI$60,$BG154:$BP154))/SUMIF($BG$3:$BP$3,BI$60,$BG$4:$BP$4)))</f>
        <v>0</v>
      </c>
      <c r="BJ105" s="199" t="n">
        <f aca="false">IF((SUMIF($BG$3:$BP$3,BJ$60,$BG$4:$BP$4))=0,0,((SUMIF($BG$3:$BP$3,BJ$60,$BG154:$BP154))/SUMIF($BG$3:$BP$3,BJ$60,$BG$4:$BP$4)))</f>
        <v>0</v>
      </c>
      <c r="BK105" s="199" t="n">
        <f aca="false">IF((SUMIF($BG$3:$BP$3,BK$60,$BG$4:$BP$4))=0,0,((SUMIF($BG$3:$BP$3,BK$60,$BG154:$BP154))/SUMIF($BG$3:$BP$3,BK$60,$BG$4:$BP$4)))</f>
        <v>0</v>
      </c>
      <c r="BL105" s="199" t="n">
        <f aca="false">IF((SUMIF($BG$3:$BP$3,BL$60,$BG$4:$BP$4))=0,0,((SUMIF($BG$3:$BP$3,BL$60,$BG154:$BP154))/SUMIF($BG$3:$BP$3,BL$60,$BG$4:$BP$4)))</f>
        <v>0</v>
      </c>
      <c r="BM105" s="199" t="n">
        <f aca="false">IF((SUMIF($BG$3:$BP$3,BM$60,$BG$4:$BP$4))=0,0,((SUMIF($BG$3:$BP$3,BM$60,$BG154:$BP154))/SUMIF($BG$3:$BP$3,BM$60,$BG$4:$BP$4)))</f>
        <v>0</v>
      </c>
      <c r="BN105" s="199" t="n">
        <f aca="false">IF((SUMIF($BG$3:$BP$3,BN$60,$BG$4:$BP$4))=0,0,((SUMIF($BG$3:$BP$3,BN$60,$BG154:$BP154))/SUMIF($BG$3:$BP$3,BN$60,$BG$4:$BP$4)))</f>
        <v>0</v>
      </c>
      <c r="BO105" s="199" t="n">
        <f aca="false">IF((SUMIF($BG$3:$BP$3,BO$60,$BG$4:$BP$4))=0,0,((SUMIF($BG$3:$BP$3,BO$60,$BG154:$BP154))/SUMIF($BG$3:$BP$3,BO$60,$BG$4:$BP$4)))</f>
        <v>0</v>
      </c>
      <c r="BP105" s="200" t="n">
        <f aca="false">IF((SUMIF($BG$3:$BP$3,BP$60,$BG$4:$BP$4))=0,0,((SUMIF($BG$3:$BP$3,BP$60,$BG154:$BP154))/SUMIF($BG$3:$BP$3,BP$60,$BG$4:$BP$4)))</f>
        <v>0</v>
      </c>
      <c r="BQ105" s="194" t="str">
        <f aca="false">BF105</f>
        <v>Alumno44</v>
      </c>
      <c r="BR105" s="198" t="n">
        <f aca="false">IF((SUMIF($BR$3:$CA$3,BR$60,$BR$4:$CA$4))=0,0,((SUMIF($BR$3:$CA$3,BR$60,$BR154:$CA154))/SUMIF($BR$3:$CA$3,BR$60,$BR$4:$CA$4)))</f>
        <v>0</v>
      </c>
      <c r="BS105" s="199" t="n">
        <f aca="false">IF((SUMIF($BR$3:$CA$3,BS$60,$BR$4:$CA$4))=0,0,((SUMIF($BR$3:$CA$3,BS$60,$BR154:$CA154))/SUMIF($BR$3:$CA$3,BS$60,$BR$4:$CA$4)))</f>
        <v>0</v>
      </c>
      <c r="BT105" s="199" t="n">
        <f aca="false">IF((SUMIF($BR$3:$CA$3,BT$60,$BR$4:$CA$4))=0,0,((SUMIF($BR$3:$CA$3,BT$60,$BR154:$CA154))/SUMIF($BR$3:$CA$3,BT$60,$BR$4:$CA$4)))</f>
        <v>0</v>
      </c>
      <c r="BU105" s="199" t="n">
        <f aca="false">IF((SUMIF($BR$3:$CA$3,BU$60,$BR$4:$CA$4))=0,0,((SUMIF($BR$3:$CA$3,BU$60,$BR154:$CA154))/SUMIF($BR$3:$CA$3,BU$60,$BR$4:$CA$4)))</f>
        <v>0</v>
      </c>
      <c r="BV105" s="199" t="n">
        <f aca="false">IF((SUMIF($BR$3:$CA$3,BV$60,$BR$4:$CA$4))=0,0,((SUMIF($BR$3:$CA$3,BV$60,$BR154:$CA154))/SUMIF($BR$3:$CA$3,BV$60,$BR$4:$CA$4)))</f>
        <v>0</v>
      </c>
      <c r="BW105" s="199" t="n">
        <f aca="false">IF((SUMIF($BR$3:$CA$3,BW$60,$BR$4:$CA$4))=0,0,((SUMIF($BR$3:$CA$3,BW$60,$BR154:$CA154))/SUMIF($BR$3:$CA$3,BW$60,$BR$4:$CA$4)))</f>
        <v>0</v>
      </c>
      <c r="BX105" s="199" t="n">
        <f aca="false">IF((SUMIF($BR$3:$CA$3,BX$60,$BR$4:$CA$4))=0,0,((SUMIF($BR$3:$CA$3,BX$60,$BR154:$CA154))/SUMIF($BR$3:$CA$3,BX$60,$BR$4:$CA$4)))</f>
        <v>0</v>
      </c>
      <c r="BY105" s="199" t="n">
        <f aca="false">IF((SUMIF($BR$3:$CA$3,BY$60,$BR$4:$CA$4))=0,0,((SUMIF($BR$3:$CA$3,BY$60,$BR154:$CA154))/SUMIF($BR$3:$CA$3,BY$60,$BR$4:$CA$4)))</f>
        <v>0</v>
      </c>
      <c r="BZ105" s="199" t="n">
        <f aca="false">IF((SUMIF($BR$3:$CA$3,BZ$60,$BR$4:$CA$4))=0,0,((SUMIF($BR$3:$CA$3,BZ$60,$BR154:$CA154))/SUMIF($BR$3:$CA$3,BZ$60,$BR$4:$CA$4)))</f>
        <v>0</v>
      </c>
      <c r="CA105" s="200" t="n">
        <f aca="false">IF((SUMIF($BR$3:$CA$3,CA$60,$BR$4:$CA$4))=0,0,((SUMIF($BR$3:$CA$3,CA$60,$BR154:$CA154))/SUMIF($BR$3:$CA$3,CA$60,$BR$4:$CA$4)))</f>
        <v>0</v>
      </c>
      <c r="CB105" s="194" t="str">
        <f aca="false">BQ105</f>
        <v>Alumno44</v>
      </c>
      <c r="CC105" s="198" t="n">
        <f aca="false">IF((SUMIF($CC$3:$CL$3,CC$60,$CC$4:$CL$4))=0,0,((SUMIF($CC$3:$CL$3,CC$60,$CC154:$CL154))/SUMIF($CC$3:$CL$3,CC$60,$CC$4:$CL$4)))</f>
        <v>0</v>
      </c>
      <c r="CD105" s="199" t="n">
        <f aca="false">IF((SUMIF($CC$3:$CL$3,CD$60,$CC$4:$CL$4))=0,0,((SUMIF($CC$3:$CL$3,CD$60,$CC154:$CL154))/SUMIF($CC$3:$CL$3,CD$60,$CC$4:$CL$4)))</f>
        <v>0</v>
      </c>
      <c r="CE105" s="199" t="n">
        <f aca="false">IF((SUMIF($CC$3:$CL$3,CE$60,$CC$4:$CL$4))=0,0,((SUMIF($CC$3:$CL$3,CE$60,$CC154:$CL154))/SUMIF($CC$3:$CL$3,CE$60,$CC$4:$CL$4)))</f>
        <v>0</v>
      </c>
      <c r="CF105" s="199" t="n">
        <f aca="false">IF((SUMIF($CC$3:$CL$3,CF$60,$CC$4:$CL$4))=0,0,((SUMIF($CC$3:$CL$3,CF$60,$CC154:$CL154))/SUMIF($CC$3:$CL$3,CF$60,$CC$4:$CL$4)))</f>
        <v>0</v>
      </c>
      <c r="CG105" s="199" t="n">
        <f aca="false">IF((SUMIF($CC$3:$CL$3,CG$60,$CC$4:$CL$4))=0,0,((SUMIF($CC$3:$CL$3,CG$60,$CC154:$CL154))/SUMIF($CC$3:$CL$3,CG$60,$CC$4:$CL$4)))</f>
        <v>0</v>
      </c>
      <c r="CH105" s="199" t="n">
        <f aca="false">IF((SUMIF($CC$3:$CL$3,CH$60,$CC$4:$CL$4))=0,0,((SUMIF($CC$3:$CL$3,CH$60,$CC154:$CL154))/SUMIF($CC$3:$CL$3,CH$60,$CC$4:$CL$4)))</f>
        <v>0</v>
      </c>
      <c r="CI105" s="199" t="n">
        <f aca="false">IF((SUMIF($CC$3:$CL$3,CI$60,$CC$4:$CL$4))=0,0,((SUMIF($CC$3:$CL$3,CI$60,$CC154:$CL154))/SUMIF($CC$3:$CL$3,CI$60,$CC$4:$CL$4)))</f>
        <v>0</v>
      </c>
      <c r="CJ105" s="199" t="n">
        <f aca="false">IF((SUMIF($CC$3:$CL$3,CJ$60,$CC$4:$CL$4))=0,0,((SUMIF($CC$3:$CL$3,CJ$60,$CC154:$CL154))/SUMIF($CC$3:$CL$3,CJ$60,$CC$4:$CL$4)))</f>
        <v>0</v>
      </c>
      <c r="CK105" s="199" t="n">
        <f aca="false">IF((SUMIF($CC$3:$CL$3,CK$60,$CC$4:$CL$4))=0,0,((SUMIF($CC$3:$CL$3,CK$60,$CC154:$CL154))/SUMIF($CC$3:$CL$3,CK$60,$CC$4:$CL$4)))</f>
        <v>0</v>
      </c>
      <c r="CL105" s="200" t="n">
        <f aca="false">IF((SUMIF($CC$3:$CL$3,CL$60,$CC$4:$CL$4))=0,0,((SUMIF($CC$3:$CL$3,CL$60,$CC154:$CL154))/SUMIF($CC$3:$CL$3,CL$60,$CC$4:$CL$4)))</f>
        <v>0</v>
      </c>
      <c r="CM105" s="194" t="str">
        <f aca="false">CB105</f>
        <v>Alumno44</v>
      </c>
      <c r="CN105" s="198" t="n">
        <f aca="false">IF((SUMIF($CN$3:$CW$3,CN$60,$CN$4:$CW$4))=0,0,((SUMIF($CN$3:$CW$3,CN$60,$CN154:$CW154))/SUMIF($CN$3:$CW$3,CN$60,$CN$4:$CW$4)))</f>
        <v>0</v>
      </c>
      <c r="CO105" s="199" t="n">
        <f aca="false">IF((SUMIF($CN$3:$CW$3,CO$60,$CN$4:$CW$4))=0,0,((SUMIF($CN$3:$CW$3,CO$60,$CN154:$CW154))/SUMIF($CN$3:$CW$3,CO$60,$CN$4:$CW$4)))</f>
        <v>0</v>
      </c>
      <c r="CP105" s="199" t="n">
        <f aca="false">IF((SUMIF($CN$3:$CW$3,CP$60,$CN$4:$CW$4))=0,0,((SUMIF($CN$3:$CW$3,CP$60,$CN154:$CW154))/SUMIF($CN$3:$CW$3,CP$60,$CN$4:$CW$4)))</f>
        <v>0</v>
      </c>
      <c r="CQ105" s="199" t="n">
        <f aca="false">IF((SUMIF($CN$3:$CW$3,CQ$60,$CN$4:$CW$4))=0,0,((SUMIF($CN$3:$CW$3,CQ$60,$CN154:$CW154))/SUMIF($CN$3:$CW$3,CQ$60,$CN$4:$CW$4)))</f>
        <v>0</v>
      </c>
      <c r="CR105" s="199" t="n">
        <f aca="false">IF((SUMIF($CN$3:$CW$3,CR$60,$CN$4:$CW$4))=0,0,((SUMIF($CN$3:$CW$3,CR$60,$CN154:$CW154))/SUMIF($CN$3:$CW$3,CR$60,$CN$4:$CW$4)))</f>
        <v>0</v>
      </c>
      <c r="CS105" s="199" t="n">
        <f aca="false">IF((SUMIF($CN$3:$CW$3,CS$60,$CN$4:$CW$4))=0,0,((SUMIF($CN$3:$CW$3,CS$60,$CN154:$CW154))/SUMIF($CN$3:$CW$3,CS$60,$CN$4:$CW$4)))</f>
        <v>0</v>
      </c>
      <c r="CT105" s="199" t="n">
        <f aca="false">IF((SUMIF($CN$3:$CW$3,CT$60,$CN$4:$CW$4))=0,0,((SUMIF($CN$3:$CW$3,CT$60,$CN154:$CW154))/SUMIF($CN$3:$CW$3,CT$60,$CN$4:$CW$4)))</f>
        <v>0</v>
      </c>
      <c r="CU105" s="199" t="n">
        <f aca="false">IF((SUMIF($CN$3:$CW$3,CU$60,$CN$4:$CW$4))=0,0,((SUMIF($CN$3:$CW$3,CU$60,$CN154:$CW154))/SUMIF($CN$3:$CW$3,CU$60,$CN$4:$CW$4)))</f>
        <v>0</v>
      </c>
      <c r="CV105" s="199" t="n">
        <f aca="false">IF((SUMIF($CN$3:$CW$3,CV$60,$CN$4:$CW$4))=0,0,((SUMIF($CN$3:$CW$3,CV$60,$CN154:$CW154))/SUMIF($CN$3:$CW$3,CV$60,$CN$4:$CW$4)))</f>
        <v>0</v>
      </c>
      <c r="CW105" s="200" t="n">
        <f aca="false">IF((SUMIF($CN$3:$CW$3,CW$60,$CN$4:$CW$4))=0,0,((SUMIF($CN$3:$CW$3,CW$60,$CN154:$CW154))/SUMIF($CN$3:$CW$3,CW$60,$CN$4:$CW$4)))</f>
        <v>0</v>
      </c>
      <c r="CX105" s="194" t="str">
        <f aca="false">CM105</f>
        <v>Alumno44</v>
      </c>
      <c r="CY105" s="198" t="n">
        <f aca="false">IF((SUMIF($CY$3:$DH$3,CY$60,$CY$4:$DH$4))=0,0,((SUMIF($CY$3:$DH$3,CY$60,$CY154:$DH154))/SUMIF($CY$3:$DH$3,CY$60,$CY$4:$DH$4)))</f>
        <v>0</v>
      </c>
      <c r="CZ105" s="199" t="n">
        <f aca="false">IF((SUMIF($CY$3:$DH$3,CZ$60,$CY$4:$DH$4))=0,0,((SUMIF($CY$3:$DH$3,CZ$60,$CY154:$DH154))/SUMIF($CY$3:$DH$3,CZ$60,$CY$4:$DH$4)))</f>
        <v>0</v>
      </c>
      <c r="DA105" s="199" t="n">
        <f aca="false">IF((SUMIF($CY$3:$DH$3,DA$60,$CY$4:$DH$4))=0,0,((SUMIF($CY$3:$DH$3,DA$60,$CY154:$DH154))/SUMIF($CY$3:$DH$3,DA$60,$CY$4:$DH$4)))</f>
        <v>0</v>
      </c>
      <c r="DB105" s="199" t="n">
        <f aca="false">IF((SUMIF($CY$3:$DH$3,DB$60,$CY$4:$DH$4))=0,0,((SUMIF($CY$3:$DH$3,DB$60,$CY154:$DH154))/SUMIF($CY$3:$DH$3,DB$60,$CY$4:$DH$4)))</f>
        <v>0</v>
      </c>
      <c r="DC105" s="199" t="n">
        <f aca="false">IF((SUMIF($CY$3:$DH$3,DC$60,$CY$4:$DH$4))=0,0,((SUMIF($CY$3:$DH$3,DC$60,$CY154:$DH154))/SUMIF($CY$3:$DH$3,DC$60,$CY$4:$DH$4)))</f>
        <v>0</v>
      </c>
      <c r="DD105" s="199" t="n">
        <f aca="false">IF((SUMIF($CY$3:$DH$3,DD$60,$CY$4:$DH$4))=0,0,((SUMIF($CY$3:$DH$3,DD$60,$CY154:$DH154))/SUMIF($CY$3:$DH$3,DD$60,$CY$4:$DH$4)))</f>
        <v>0</v>
      </c>
      <c r="DE105" s="199" t="n">
        <f aca="false">IF((SUMIF($CY$3:$DH$3,DE$60,$CY$4:$DH$4))=0,0,((SUMIF($CY$3:$DH$3,DE$60,$CY154:$DH154))/SUMIF($CY$3:$DH$3,DE$60,$CY$4:$DH$4)))</f>
        <v>0</v>
      </c>
      <c r="DF105" s="199" t="n">
        <f aca="false">IF((SUMIF($CY$3:$DH$3,DF$60,$CY$4:$DH$4))=0,0,((SUMIF($CY$3:$DH$3,DF$60,$CY154:$DH154))/SUMIF($CY$3:$DH$3,DF$60,$CY$4:$DH$4)))</f>
        <v>0</v>
      </c>
      <c r="DG105" s="199" t="n">
        <f aca="false">IF((SUMIF($CY$3:$DH$3,DG$60,$CY$4:$DH$4))=0,0,((SUMIF($CY$3:$DH$3,DG$60,$CY154:$DH154))/SUMIF($CY$3:$DH$3,DG$60,$CY$4:$DH$4)))</f>
        <v>0</v>
      </c>
      <c r="DH105" s="200" t="n">
        <f aca="false">IF((SUMIF($CY$3:$DH$3,DH$60,$CY$4:$DH$4))=0,0,((SUMIF($CY$3:$DH$3,DH$60,$CY154:$DH154))/SUMIF($CY$3:$DH$3,DH$60,$CY$4:$DH$4)))</f>
        <v>0</v>
      </c>
      <c r="DI105" s="194" t="str">
        <f aca="false">CX105</f>
        <v>Alumno44</v>
      </c>
      <c r="DJ105" s="198" t="n">
        <f aca="false">IF((SUMIF($DJ$3:$DS$3,DJ$60,$DJ$4:$DS$4))=0,0,((SUMIF($DJ$3:$DS$3,DJ$60,$DJ154:$DS154))/SUMIF($DJ$3:$DS$3,DJ$60,$DJ$4:$DS$4)))</f>
        <v>0</v>
      </c>
      <c r="DK105" s="199" t="n">
        <f aca="false">IF((SUMIF($DJ$3:$DS$3,DK$60,$DJ$4:$DS$4))=0,0,((SUMIF($DJ$3:$DS$3,DK$60,$DJ154:$DS154))/SUMIF($DJ$3:$DS$3,DK$60,$DJ$4:$DS$4)))</f>
        <v>0</v>
      </c>
      <c r="DL105" s="199" t="n">
        <f aca="false">IF((SUMIF($DJ$3:$DS$3,DL$60,$DJ$4:$DS$4))=0,0,((SUMIF($DJ$3:$DS$3,DL$60,$DJ154:$DS154))/SUMIF($DJ$3:$DS$3,DL$60,$DJ$4:$DS$4)))</f>
        <v>0</v>
      </c>
      <c r="DM105" s="199" t="n">
        <f aca="false">IF((SUMIF($DJ$3:$DS$3,DM$60,$DJ$4:$DS$4))=0,0,((SUMIF($DJ$3:$DS$3,DM$60,$DJ154:$DS154))/SUMIF($DJ$3:$DS$3,DM$60,$DJ$4:$DS$4)))</f>
        <v>0</v>
      </c>
      <c r="DN105" s="199" t="n">
        <f aca="false">IF((SUMIF($DJ$3:$DS$3,DN$60,$DJ$4:$DS$4))=0,0,((SUMIF($DJ$3:$DS$3,DN$60,$DJ154:$DS154))/SUMIF($DJ$3:$DS$3,DN$60,$DJ$4:$DS$4)))</f>
        <v>0</v>
      </c>
      <c r="DO105" s="199" t="n">
        <f aca="false">IF((SUMIF($DJ$3:$DS$3,DO$60,$DJ$4:$DS$4))=0,0,((SUMIF($DJ$3:$DS$3,DO$60,$DJ154:$DS154))/SUMIF($DJ$3:$DS$3,DO$60,$DJ$4:$DS$4)))</f>
        <v>0</v>
      </c>
      <c r="DP105" s="199" t="n">
        <f aca="false">IF((SUMIF($DJ$3:$DS$3,DP$60,$DJ$4:$DS$4))=0,0,((SUMIF($DJ$3:$DS$3,DP$60,$DJ154:$DS154))/SUMIF($DJ$3:$DS$3,DP$60,$DJ$4:$DS$4)))</f>
        <v>0</v>
      </c>
      <c r="DQ105" s="199" t="n">
        <f aca="false">IF((SUMIF($DJ$3:$DS$3,DQ$60,$DJ$4:$DS$4))=0,0,((SUMIF($DJ$3:$DS$3,DQ$60,$DJ154:$DS154))/SUMIF($DJ$3:$DS$3,DQ$60,$DJ$4:$DS$4)))</f>
        <v>0</v>
      </c>
      <c r="DR105" s="199" t="n">
        <f aca="false">IF((SUMIF($DJ$3:$DS$3,DR$60,$DJ$4:$DS$4))=0,0,((SUMIF($DJ$3:$DS$3,DR$60,$DJ154:$DS154))/SUMIF($DJ$3:$DS$3,DR$60,$DJ$4:$DS$4)))</f>
        <v>0</v>
      </c>
      <c r="DS105" s="200" t="n">
        <f aca="false">IF((SUMIF($DJ$3:$DS$3,DS$60,$DJ$4:$DS$4))=0,0,((SUMIF($DJ$3:$DS$3,DS$60,$DJ154:$DS154))/SUMIF($DJ$3:$DS$3,DS$60,$DJ$4:$DS$4)))</f>
        <v>0</v>
      </c>
      <c r="DT105" s="194" t="str">
        <f aca="false">DI105</f>
        <v>Alumno44</v>
      </c>
      <c r="DU105" s="198" t="n">
        <f aca="false">IF((SUMIF($DU$3:$ED$3,DU$60,$DU$4:$ED$4))=0,0,((SUMIF($DU$3:$ED$3,DU$60,$DU154:$ED154))/SUMIF($DU$3:$ED$3,DU$60,$DU$4:$ED$4)))</f>
        <v>0</v>
      </c>
      <c r="DV105" s="199" t="n">
        <f aca="false">IF((SUMIF($DU$3:$ED$3,DV$60,$DU$4:$ED$4))=0,0,((SUMIF($DU$3:$ED$3,DV$60,$DU154:$ED154))/SUMIF($DU$3:$ED$3,DV$60,$DU$4:$ED$4)))</f>
        <v>0</v>
      </c>
      <c r="DW105" s="199" t="n">
        <f aca="false">IF((SUMIF($DU$3:$ED$3,DW$60,$DU$4:$ED$4))=0,0,((SUMIF($DU$3:$ED$3,DW$60,$DU154:$ED154))/SUMIF($DU$3:$ED$3,DW$60,$DU$4:$ED$4)))</f>
        <v>0</v>
      </c>
      <c r="DX105" s="199" t="n">
        <f aca="false">IF((SUMIF($DU$3:$ED$3,DX$60,$DU$4:$ED$4))=0,0,((SUMIF($DU$3:$ED$3,DX$60,$DU154:$ED154))/SUMIF($DU$3:$ED$3,DX$60,$DU$4:$ED$4)))</f>
        <v>0</v>
      </c>
      <c r="DY105" s="199" t="n">
        <f aca="false">IF((SUMIF($DU$3:$ED$3,DY$60,$DU$4:$ED$4))=0,0,((SUMIF($DU$3:$ED$3,DY$60,$DU154:$ED154))/SUMIF($DU$3:$ED$3,DY$60,$DU$4:$ED$4)))</f>
        <v>0</v>
      </c>
      <c r="DZ105" s="199" t="n">
        <f aca="false">IF((SUMIF($DU$3:$ED$3,DZ$60,$DU$4:$ED$4))=0,0,((SUMIF($DU$3:$ED$3,DZ$60,$DU154:$ED154))/SUMIF($DU$3:$ED$3,DZ$60,$DU$4:$ED$4)))</f>
        <v>0</v>
      </c>
      <c r="EA105" s="199" t="n">
        <f aca="false">IF((SUMIF($DU$3:$ED$3,EA$60,$DU$4:$ED$4))=0,0,((SUMIF($DU$3:$ED$3,EA$60,$DU154:$ED154))/SUMIF($DU$3:$ED$3,EA$60,$DU$4:$ED$4)))</f>
        <v>0</v>
      </c>
      <c r="EB105" s="199" t="n">
        <f aca="false">IF((SUMIF($DU$3:$ED$3,EB$60,$DU$4:$ED$4))=0,0,((SUMIF($DU$3:$ED$3,EB$60,$DU154:$ED154))/SUMIF($DU$3:$ED$3,EB$60,$DU$4:$ED$4)))</f>
        <v>0</v>
      </c>
      <c r="EC105" s="199" t="n">
        <f aca="false">IF((SUMIF($DU$3:$ED$3,EC$60,$DU$4:$ED$4))=0,0,((SUMIF($DU$3:$ED$3,EC$60,$DU154:$ED154))/SUMIF($DU$3:$ED$3,EC$60,$DU$4:$ED$4)))</f>
        <v>0</v>
      </c>
      <c r="ED105" s="200" t="n">
        <f aca="false">IF((SUMIF($DU$3:$ED$3,ED$60,$DU$4:$ED$4))=0,0,((SUMIF($DU$3:$ED$3,ED$60,$DU154:$ED154))/SUMIF($DU$3:$ED$3,ED$60,$DU$4:$ED$4)))</f>
        <v>0</v>
      </c>
      <c r="EE105" s="194" t="str">
        <f aca="false">DT105</f>
        <v>Alumno44</v>
      </c>
      <c r="EF105" s="198" t="n">
        <f aca="false">IF((SUMIF($EF$3:$EO$3,EF$60,$EF$4:$EO$4))=0,0,((SUMIF($EF$3:$EO$3,EF$60,$EF154:$EO154))/SUMIF($EF$3:$EO$3,EF$60,$EF$4:$EO$4)))</f>
        <v>0</v>
      </c>
      <c r="EG105" s="199" t="n">
        <f aca="false">IF((SUMIF($EF$3:$EO$3,EG$60,$EF$4:$EO$4))=0,0,((SUMIF($EF$3:$EO$3,EG$60,$EF154:$EO154))/SUMIF($EF$3:$EO$3,EG$60,$EF$4:$EO$4)))</f>
        <v>0</v>
      </c>
      <c r="EH105" s="199" t="n">
        <f aca="false">IF((SUMIF($EF$3:$EO$3,EH$60,$EF$4:$EO$4))=0,0,((SUMIF($EF$3:$EO$3,EH$60,$EF154:$EO154))/SUMIF($EF$3:$EO$3,EH$60,$EF$4:$EO$4)))</f>
        <v>0</v>
      </c>
      <c r="EI105" s="199" t="n">
        <f aca="false">IF((SUMIF($EF$3:$EO$3,EI$60,$EF$4:$EO$4))=0,0,((SUMIF($EF$3:$EO$3,EI$60,$EF154:$EO154))/SUMIF($EF$3:$EO$3,EI$60,$EF$4:$EO$4)))</f>
        <v>0</v>
      </c>
      <c r="EJ105" s="199" t="n">
        <f aca="false">IF((SUMIF($EF$3:$EO$3,EJ$60,$EF$4:$EO$4))=0,0,((SUMIF($EF$3:$EO$3,EJ$60,$EF154:$EO154))/SUMIF($EF$3:$EO$3,EJ$60,$EF$4:$EO$4)))</f>
        <v>0</v>
      </c>
      <c r="EK105" s="199" t="n">
        <f aca="false">IF((SUMIF($EF$3:$EO$3,EK$60,$EF$4:$EO$4))=0,0,((SUMIF($EF$3:$EO$3,EK$60,$EF154:$EO154))/SUMIF($EF$3:$EO$3,EK$60,$EF$4:$EO$4)))</f>
        <v>0</v>
      </c>
      <c r="EL105" s="199" t="n">
        <f aca="false">IF((SUMIF($EF$3:$EO$3,EL$60,$EF$4:$EO$4))=0,0,((SUMIF($EF$3:$EO$3,EL$60,$EF154:$EO154))/SUMIF($EF$3:$EO$3,EL$60,$EF$4:$EO$4)))</f>
        <v>0</v>
      </c>
      <c r="EM105" s="199" t="n">
        <f aca="false">IF((SUMIF($EF$3:$EO$3,EM$60,$EF$4:$EO$4))=0,0,((SUMIF($EF$3:$EO$3,EM$60,$EF154:$EO154))/SUMIF($EF$3:$EO$3,EM$60,$EF$4:$EO$4)))</f>
        <v>0</v>
      </c>
      <c r="EN105" s="199" t="n">
        <f aca="false">IF((SUMIF($EF$3:$EO$3,EN$60,$EF$4:$EO$4))=0,0,((SUMIF($EF$3:$EO$3,EN$60,$EF154:$EO154))/SUMIF($EF$3:$EO$3,EN$60,$EF$4:$EO$4)))</f>
        <v>0</v>
      </c>
      <c r="EO105" s="200" t="n">
        <f aca="false">IF((SUMIF($EF$3:$EO$3,EO$60,$EF$4:$EO$4))=0,0,((SUMIF($EF$3:$EO$3,EO$60,$EF154:$EO154))/SUMIF($EF$3:$EO$3,EO$60,$EF$4:$EO$4)))</f>
        <v>0</v>
      </c>
      <c r="EP105" s="194" t="str">
        <f aca="false">EE105</f>
        <v>Alumno44</v>
      </c>
      <c r="EQ105" s="198" t="n">
        <f aca="false">IF((SUMIF($EQ$3:$EZ$3,EQ$60,$EQ$4:$EZ$4))=0,0,((SUMIF($EQ$3:$EZ$3,EQ$60,$EQ154:$EZ154))/SUMIF($EQ$3:$EZ$3,EQ$60,$EQ$4:$EZ$4)))</f>
        <v>0</v>
      </c>
      <c r="ER105" s="199" t="n">
        <f aca="false">IF((SUMIF($EQ$3:$EZ$3,ER$60,$EQ$4:$EZ$4))=0,0,((SUMIF($EQ$3:$EZ$3,ER$60,$EQ154:$EZ154))/SUMIF($EQ$3:$EZ$3,ER$60,$EQ$4:$EZ$4)))</f>
        <v>0</v>
      </c>
      <c r="ES105" s="199" t="n">
        <f aca="false">IF((SUMIF($EQ$3:$EZ$3,ES$60,$EQ$4:$EZ$4))=0,0,((SUMIF($EQ$3:$EZ$3,ES$60,$EQ154:$EZ154))/SUMIF($EQ$3:$EZ$3,ES$60,$EQ$4:$EZ$4)))</f>
        <v>0</v>
      </c>
      <c r="ET105" s="199" t="n">
        <f aca="false">IF((SUMIF($EQ$3:$EZ$3,ET$60,$EQ$4:$EZ$4))=0,0,((SUMIF($EQ$3:$EZ$3,ET$60,$EQ154:$EZ154))/SUMIF($EQ$3:$EZ$3,ET$60,$EQ$4:$EZ$4)))</f>
        <v>0</v>
      </c>
      <c r="EU105" s="199" t="n">
        <f aca="false">IF((SUMIF($EQ$3:$EZ$3,EU$60,$EQ$4:$EZ$4))=0,0,((SUMIF($EQ$3:$EZ$3,EU$60,$EQ154:$EZ154))/SUMIF($EQ$3:$EZ$3,EU$60,$EQ$4:$EZ$4)))</f>
        <v>0</v>
      </c>
      <c r="EV105" s="199" t="n">
        <f aca="false">IF((SUMIF($EQ$3:$EZ$3,EV$60,$EQ$4:$EZ$4))=0,0,((SUMIF($EQ$3:$EZ$3,EV$60,$EQ154:$EZ154))/SUMIF($EQ$3:$EZ$3,EV$60,$EQ$4:$EZ$4)))</f>
        <v>0</v>
      </c>
      <c r="EW105" s="199" t="n">
        <f aca="false">IF((SUMIF($EQ$3:$EZ$3,EW$60,$EQ$4:$EZ$4))=0,0,((SUMIF($EQ$3:$EZ$3,EW$60,$EQ154:$EZ154))/SUMIF($EQ$3:$EZ$3,EW$60,$EQ$4:$EZ$4)))</f>
        <v>0</v>
      </c>
      <c r="EX105" s="199" t="n">
        <f aca="false">IF((SUMIF($EQ$3:$EZ$3,EX$60,$EQ$4:$EZ$4))=0,0,((SUMIF($EQ$3:$EZ$3,EX$60,$EQ154:$EZ154))/SUMIF($EQ$3:$EZ$3,EX$60,$EQ$4:$EZ$4)))</f>
        <v>0</v>
      </c>
      <c r="EY105" s="199" t="n">
        <f aca="false">IF((SUMIF($EQ$3:$EZ$3,EY$60,$EQ$4:$EZ$4))=0,0,((SUMIF($EQ$3:$EZ$3,EY$60,$EQ154:$EZ154))/SUMIF($EQ$3:$EZ$3,EY$60,$EQ$4:$EZ$4)))</f>
        <v>0</v>
      </c>
      <c r="EZ105" s="200" t="n">
        <f aca="false">IF((SUMIF($EQ$3:$EZ$3,EZ$60,$EQ$4:$EZ$4))=0,0,((SUMIF($EQ$3:$EZ$3,EZ$60,$EQ154:$EZ154))/SUMIF($EQ$3:$EZ$3,EZ$60,$EQ$4:$EZ$4)))</f>
        <v>0</v>
      </c>
      <c r="FA105" s="194" t="str">
        <f aca="false">EP105</f>
        <v>Alumno44</v>
      </c>
      <c r="FB105" s="198" t="n">
        <f aca="false">IF((SUMIF($FB$3:$FK$3,FB$60,$FB$4:$FK$4))=0,0,((SUMIF($FB$3:$FK$3,FB$60,$FB154:$FK154))/SUMIF($FB$3:$FK$3,FB$60,$FB$4:$FK$4)))</f>
        <v>0</v>
      </c>
      <c r="FC105" s="199" t="n">
        <f aca="false">IF((SUMIF($FB$3:$FK$3,FC$60,$FB$4:$FK$4))=0,0,((SUMIF($FB$3:$FK$3,FC$60,$FB154:$FK154))/SUMIF($FB$3:$FK$3,FC$60,$FB$4:$FK$4)))</f>
        <v>0</v>
      </c>
      <c r="FD105" s="199" t="n">
        <f aca="false">IF((SUMIF($FB$3:$FK$3,FD$60,$FB$4:$FK$4))=0,0,((SUMIF($FB$3:$FK$3,FD$60,$FB154:$FK154))/SUMIF($FB$3:$FK$3,FD$60,$FB$4:$FK$4)))</f>
        <v>0</v>
      </c>
      <c r="FE105" s="199" t="n">
        <f aca="false">IF((SUMIF($FB$3:$FK$3,FE$60,$FB$4:$FK$4))=0,0,((SUMIF($FB$3:$FK$3,FE$60,$FB154:$FK154))/SUMIF($FB$3:$FK$3,FE$60,$FB$4:$FK$4)))</f>
        <v>0</v>
      </c>
      <c r="FF105" s="199" t="n">
        <f aca="false">IF((SUMIF($FB$3:$FK$3,FF$60,$FB$4:$FK$4))=0,0,((SUMIF($FB$3:$FK$3,FF$60,$FB154:$FK154))/SUMIF($FB$3:$FK$3,FF$60,$FB$4:$FK$4)))</f>
        <v>0</v>
      </c>
      <c r="FG105" s="199" t="n">
        <f aca="false">IF((SUMIF($FB$3:$FK$3,FG$60,$FB$4:$FK$4))=0,0,((SUMIF($FB$3:$FK$3,FG$60,$FB154:$FK154))/SUMIF($FB$3:$FK$3,FG$60,$FB$4:$FK$4)))</f>
        <v>0</v>
      </c>
      <c r="FH105" s="199" t="n">
        <f aca="false">IF((SUMIF($FB$3:$FK$3,FH$60,$FB$4:$FK$4))=0,0,((SUMIF($FB$3:$FK$3,FH$60,$FB154:$FK154))/SUMIF($FB$3:$FK$3,FH$60,$FB$4:$FK$4)))</f>
        <v>0</v>
      </c>
      <c r="FI105" s="199" t="n">
        <f aca="false">IF((SUMIF($FB$3:$FK$3,FI$60,$FB$4:$FK$4))=0,0,((SUMIF($FB$3:$FK$3,FI$60,$FB154:$FK154))/SUMIF($FB$3:$FK$3,FI$60,$FB$4:$FK$4)))</f>
        <v>0</v>
      </c>
      <c r="FJ105" s="199" t="n">
        <f aca="false">IF((SUMIF($FB$3:$FK$3,FJ$60,$FB$4:$FK$4))=0,0,((SUMIF($FB$3:$FK$3,FJ$60,$FB154:$FK154))/SUMIF($FB$3:$FK$3,FJ$60,$FB$4:$FK$4)))</f>
        <v>0</v>
      </c>
      <c r="FK105" s="200" t="n">
        <f aca="false">IF((SUMIF($FB$3:$FK$3,FK$60,$FB$4:$FK$4))=0,0,((SUMIF($FB$3:$FK$3,FK$60,$FB154:$FK154))/SUMIF($FB$3:$FK$3,FK$60,$FB$4:$FK$4)))</f>
        <v>0</v>
      </c>
      <c r="FL105" s="194" t="str">
        <f aca="false">FA105</f>
        <v>Alumno44</v>
      </c>
      <c r="FM105" s="198" t="n">
        <f aca="false">IF((SUMIF($FM$3:$FV$3,FM$60,$FM$4:$FV$4))=0,0,((SUMIF($FM$3:$FV$3,FM$60,$FM154:$FV154))/SUMIF($FM$3:$FV$3,FM$60,$FM$4:$FV$4)))</f>
        <v>0</v>
      </c>
      <c r="FN105" s="199" t="n">
        <f aca="false">IF((SUMIF($FM$3:$FV$3,FN$60,$FM$4:$FV$4))=0,0,((SUMIF($FM$3:$FV$3,FN$60,$FM154:$FV154))/SUMIF($FM$3:$FV$3,FN$60,$FM$4:$FV$4)))</f>
        <v>0</v>
      </c>
      <c r="FO105" s="199" t="n">
        <f aca="false">IF((SUMIF($FM$3:$FV$3,FO$60,$FM$4:$FV$4))=0,0,((SUMIF($FM$3:$FV$3,FO$60,$FM154:$FV154))/SUMIF($FM$3:$FV$3,FO$60,$FM$4:$FV$4)))</f>
        <v>0</v>
      </c>
      <c r="FP105" s="199" t="n">
        <f aca="false">IF((SUMIF($FM$3:$FV$3,FP$60,$FM$4:$FV$4))=0,0,((SUMIF($FM$3:$FV$3,FP$60,$FM154:$FV154))/SUMIF($FM$3:$FV$3,FP$60,$FM$4:$FV$4)))</f>
        <v>0</v>
      </c>
      <c r="FQ105" s="199" t="n">
        <f aca="false">IF((SUMIF($FM$3:$FV$3,FQ$60,$FM$4:$FV$4))=0,0,((SUMIF($FM$3:$FV$3,FQ$60,$FM154:$FV154))/SUMIF($FM$3:$FV$3,FQ$60,$FM$4:$FV$4)))</f>
        <v>0</v>
      </c>
      <c r="FR105" s="199" t="n">
        <f aca="false">IF((SUMIF($FM$3:$FV$3,FR$60,$FM$4:$FV$4))=0,0,((SUMIF($FM$3:$FV$3,FR$60,$FM154:$FV154))/SUMIF($FM$3:$FV$3,FR$60,$FM$4:$FV$4)))</f>
        <v>0</v>
      </c>
      <c r="FS105" s="199" t="n">
        <f aca="false">IF((SUMIF($FM$3:$FV$3,FS$60,$FM$4:$FV$4))=0,0,((SUMIF($FM$3:$FV$3,FS$60,$FM154:$FV154))/SUMIF($FM$3:$FV$3,FS$60,$FM$4:$FV$4)))</f>
        <v>0</v>
      </c>
      <c r="FT105" s="199" t="n">
        <f aca="false">IF((SUMIF($FM$3:$FV$3,FT$60,$FM$4:$FV$4))=0,0,((SUMIF($FM$3:$FV$3,FT$60,$FM154:$FV154))/SUMIF($FM$3:$FV$3,FT$60,$FM$4:$FV$4)))</f>
        <v>0</v>
      </c>
      <c r="FU105" s="199" t="n">
        <f aca="false">IF((SUMIF($FM$3:$FV$3,FU$60,$FM$4:$FV$4))=0,0,((SUMIF($FM$3:$FV$3,FU$60,$FM154:$FV154))/SUMIF($FM$3:$FV$3,FU$60,$FM$4:$FV$4)))</f>
        <v>0</v>
      </c>
      <c r="FV105" s="200" t="n">
        <f aca="false">IF((SUMIF($FM$3:$FV$3,FV$60,$FM$4:$FV$4))=0,0,((SUMIF($FM$3:$FV$3,FV$60,$FM154:$FV154))/SUMIF($FM$3:$FV$3,FV$60,$FM$4:$FV$4)))</f>
        <v>0</v>
      </c>
      <c r="FW105" s="194" t="str">
        <f aca="false">FL105</f>
        <v>Alumno44</v>
      </c>
      <c r="FX105" s="198" t="n">
        <f aca="false">IF((SUMIF($FX$3:$GG$3,FX$60,$FX$4:$GG$4))=0,0,((SUMIF($FX$3:$GG$3,FX$60,$FX154:$GG154))/SUMIF($FX$3:$GG$3,FX$60,$FX$4:$GG$4)))</f>
        <v>0</v>
      </c>
      <c r="FY105" s="199" t="n">
        <f aca="false">IF((SUMIF($FX$3:$GG$3,FY$60,$FX$4:$GG$4))=0,0,((SUMIF($FX$3:$GG$3,FY$60,$FX154:$GG154))/SUMIF($FX$3:$GG$3,FY$60,$FX$4:$GG$4)))</f>
        <v>0</v>
      </c>
      <c r="FZ105" s="199" t="n">
        <f aca="false">IF((SUMIF($FX$3:$GG$3,FZ$60,$FX$4:$GG$4))=0,0,((SUMIF($FX$3:$GG$3,FZ$60,$FX154:$GG154))/SUMIF($FX$3:$GG$3,FZ$60,$FX$4:$GG$4)))</f>
        <v>0</v>
      </c>
      <c r="GA105" s="199" t="n">
        <f aca="false">IF((SUMIF($FX$3:$GG$3,GA$60,$FX$4:$GG$4))=0,0,((SUMIF($FX$3:$GG$3,GA$60,$FX154:$GG154))/SUMIF($FX$3:$GG$3,GA$60,$FX$4:$GG$4)))</f>
        <v>0</v>
      </c>
      <c r="GB105" s="199" t="n">
        <f aca="false">IF((SUMIF($FX$3:$GG$3,GB$60,$FX$4:$GG$4))=0,0,((SUMIF($FX$3:$GG$3,GB$60,$FX154:$GG154))/SUMIF($FX$3:$GG$3,GB$60,$FX$4:$GG$4)))</f>
        <v>0</v>
      </c>
      <c r="GC105" s="199" t="n">
        <f aca="false">IF((SUMIF($FX$3:$GG$3,GC$60,$FX$4:$GG$4))=0,0,((SUMIF($FX$3:$GG$3,GC$60,$FX154:$GG154))/SUMIF($FX$3:$GG$3,GC$60,$FX$4:$GG$4)))</f>
        <v>0</v>
      </c>
      <c r="GD105" s="199" t="n">
        <f aca="false">IF((SUMIF($FX$3:$GG$3,GD$60,$FX$4:$GG$4))=0,0,((SUMIF($FX$3:$GG$3,GD$60,$FX154:$GG154))/SUMIF($FX$3:$GG$3,GD$60,$FX$4:$GG$4)))</f>
        <v>0</v>
      </c>
      <c r="GE105" s="199" t="n">
        <f aca="false">IF((SUMIF($FX$3:$GG$3,GE$60,$FX$4:$GG$4))=0,0,((SUMIF($FX$3:$GG$3,GE$60,$FX154:$GG154))/SUMIF($FX$3:$GG$3,GE$60,$FX$4:$GG$4)))</f>
        <v>0</v>
      </c>
      <c r="GF105" s="199" t="n">
        <f aca="false">IF((SUMIF($FX$3:$GG$3,GF$60,$FX$4:$GG$4))=0,0,((SUMIF($FX$3:$GG$3,GF$60,$FX154:$GG154))/SUMIF($FX$3:$GG$3,GF$60,$FX$4:$GG$4)))</f>
        <v>0</v>
      </c>
      <c r="GG105" s="200" t="n">
        <f aca="false">IF((SUMIF($FX$3:$GG$3,GG$60,$FX$4:$GG$4))=0,0,((SUMIF($FX$3:$GG$3,GG$60,$FX154:$GG154))/SUMIF($FX$3:$GG$3,GG$60,$FX$4:$GG$4)))</f>
        <v>0</v>
      </c>
      <c r="GH105" s="194" t="str">
        <f aca="false">FW105</f>
        <v>Alumno44</v>
      </c>
      <c r="GI105" s="198" t="n">
        <f aca="false">IF((SUMIF($GI$3:$GR$3,GI$60,$GI$4:$GR$4))=0,0,((SUMIF($GI$3:$GR$3,GI$60,$GI154:$GR154))/SUMIF($GI$3:$GR$3,GI$60,$GI$4:$GR$4)))</f>
        <v>0</v>
      </c>
      <c r="GJ105" s="199" t="n">
        <f aca="false">IF((SUMIF($GI$3:$GR$3,GJ$60,$GI$4:$GR$4))=0,0,((SUMIF($GI$3:$GR$3,GJ$60,$GI154:$GR154))/SUMIF($GI$3:$GR$3,GJ$60,$GI$4:$GR$4)))</f>
        <v>0</v>
      </c>
      <c r="GK105" s="199" t="n">
        <f aca="false">IF((SUMIF($GI$3:$GR$3,GK$60,$GI$4:$GR$4))=0,0,((SUMIF($GI$3:$GR$3,GK$60,$GI154:$GR154))/SUMIF($GI$3:$GR$3,GK$60,$GI$4:$GR$4)))</f>
        <v>0</v>
      </c>
      <c r="GL105" s="199" t="n">
        <f aca="false">IF((SUMIF($GI$3:$GR$3,GL$60,$GI$4:$GR$4))=0,0,((SUMIF($GI$3:$GR$3,GL$60,$GI154:$GR154))/SUMIF($GI$3:$GR$3,GL$60,$GI$4:$GR$4)))</f>
        <v>0</v>
      </c>
      <c r="GM105" s="199" t="n">
        <f aca="false">IF((SUMIF($GI$3:$GR$3,GM$60,$GI$4:$GR$4))=0,0,((SUMIF($GI$3:$GR$3,GM$60,$GI154:$GR154))/SUMIF($GI$3:$GR$3,GM$60,$GI$4:$GR$4)))</f>
        <v>0</v>
      </c>
      <c r="GN105" s="199" t="n">
        <f aca="false">IF((SUMIF($GI$3:$GR$3,GN$60,$GI$4:$GR$4))=0,0,((SUMIF($GI$3:$GR$3,GN$60,$GI154:$GR154))/SUMIF($GI$3:$GR$3,GN$60,$GI$4:$GR$4)))</f>
        <v>0</v>
      </c>
      <c r="GO105" s="199" t="n">
        <f aca="false">IF((SUMIF($GI$3:$GR$3,GO$60,$GI$4:$GR$4))=0,0,((SUMIF($GI$3:$GR$3,GO$60,$GI154:$GR154))/SUMIF($GI$3:$GR$3,GO$60,$GI$4:$GR$4)))</f>
        <v>0</v>
      </c>
      <c r="GP105" s="199" t="n">
        <f aca="false">IF((SUMIF($GI$3:$GR$3,GP$60,$GI$4:$GR$4))=0,0,((SUMIF($GI$3:$GR$3,GP$60,$GI154:$GR154))/SUMIF($GI$3:$GR$3,GP$60,$GI$4:$GR$4)))</f>
        <v>0</v>
      </c>
      <c r="GQ105" s="199" t="n">
        <f aca="false">IF((SUMIF($GI$3:$GR$3,GQ$60,$GI$4:$GR$4))=0,0,((SUMIF($GI$3:$GR$3,GQ$60,$GI154:$GR154))/SUMIF($GI$3:$GR$3,GQ$60,$GI$4:$GR$4)))</f>
        <v>0</v>
      </c>
      <c r="GR105" s="200" t="n">
        <f aca="false">IF((SUMIF($GI$3:$GR$3,GR$60,$GI$4:$GR$4))=0,0,((SUMIF($GI$3:$GR$3,GR$60,$GI154:$GR154))/SUMIF($GI$3:$GR$3,GR$60,$GI$4:$GR$4)))</f>
        <v>0</v>
      </c>
      <c r="GS105" s="194" t="str">
        <f aca="false">GH105</f>
        <v>Alumno44</v>
      </c>
      <c r="GT105" s="198" t="n">
        <f aca="false">IF((SUMIF($GT$3:$HC$3,GT$60,$GT$4:$HC$4))=0,0,((SUMIF($GT$3:$HC$3,GT$60,$GT154:$HC154))/SUMIF($GT$3:$HC$3,GT$60,$GT$4:$HC$4)))</f>
        <v>0</v>
      </c>
      <c r="GU105" s="199" t="n">
        <f aca="false">IF((SUMIF($GT$3:$HC$3,GU$60,$GT$4:$HC$4))=0,0,((SUMIF($GT$3:$HC$3,GU$60,$GT154:$HC154))/SUMIF($GT$3:$HC$3,GU$60,$GT$4:$HC$4)))</f>
        <v>0</v>
      </c>
      <c r="GV105" s="199" t="n">
        <f aca="false">IF((SUMIF($GT$3:$HC$3,GV$60,$GT$4:$HC$4))=0,0,((SUMIF($GT$3:$HC$3,GV$60,$GT154:$HC154))/SUMIF($GT$3:$HC$3,GV$60,$GT$4:$HC$4)))</f>
        <v>0</v>
      </c>
      <c r="GW105" s="199" t="n">
        <f aca="false">IF((SUMIF($GT$3:$HC$3,GW$60,$GT$4:$HC$4))=0,0,((SUMIF($GT$3:$HC$3,GW$60,$GT154:$HC154))/SUMIF($GT$3:$HC$3,GW$60,$GT$4:$HC$4)))</f>
        <v>0</v>
      </c>
      <c r="GX105" s="199" t="n">
        <f aca="false">IF((SUMIF($GT$3:$HC$3,GX$60,$GT$4:$HC$4))=0,0,((SUMIF($GT$3:$HC$3,GX$60,$GT154:$HC154))/SUMIF($GT$3:$HC$3,GX$60,$GT$4:$HC$4)))</f>
        <v>0</v>
      </c>
      <c r="GY105" s="199" t="n">
        <f aca="false">IF((SUMIF($GT$3:$HC$3,GY$60,$GT$4:$HC$4))=0,0,((SUMIF($GT$3:$HC$3,GY$60,$GT154:$HC154))/SUMIF($GT$3:$HC$3,GY$60,$GT$4:$HC$4)))</f>
        <v>0</v>
      </c>
      <c r="GZ105" s="199" t="n">
        <f aca="false">IF((SUMIF($GT$3:$HC$3,GZ$60,$GT$4:$HC$4))=0,0,((SUMIF($GT$3:$HC$3,GZ$60,$GT154:$HC154))/SUMIF($GT$3:$HC$3,GZ$60,$GT$4:$HC$4)))</f>
        <v>0</v>
      </c>
      <c r="HA105" s="199" t="n">
        <f aca="false">IF((SUMIF($GT$3:$HC$3,HA$60,$GT$4:$HC$4))=0,0,((SUMIF($GT$3:$HC$3,HA$60,$GT154:$HC154))/SUMIF($GT$3:$HC$3,HA$60,$GT$4:$HC$4)))</f>
        <v>0</v>
      </c>
      <c r="HB105" s="199" t="n">
        <f aca="false">IF((SUMIF($GT$3:$HC$3,HB$60,$GT$4:$HC$4))=0,0,((SUMIF($GT$3:$HC$3,HB$60,$GT154:$HC154))/SUMIF($GT$3:$HC$3,HB$60,$GT$4:$HC$4)))</f>
        <v>0</v>
      </c>
      <c r="HC105" s="200" t="n">
        <f aca="false">IF((SUMIF($GT$3:$HC$3,HC$60,$GT$4:$HC$4))=0,0,((SUMIF($GT$3:$HC$3,HC$60,$GT154:$HC154))/SUMIF($GT$3:$HC$3,HC$60,$GT$4:$HC$4)))</f>
        <v>0</v>
      </c>
      <c r="HD105" s="194" t="str">
        <f aca="false">GS105</f>
        <v>Alumno44</v>
      </c>
      <c r="HE105" s="198" t="n">
        <f aca="false">IF((SUMIF($HE$3:$HN$3,HE$60,$HE$4:$HN$4))=0,0,((SUMIF($HE$3:$HN$3,HE$60,$HE154:$HN154))/SUMIF($HE$3:$HN$3,HE$60,$HE$4:$HN$4)))</f>
        <v>0</v>
      </c>
      <c r="HF105" s="199" t="n">
        <f aca="false">IF((SUMIF($HE$3:$HN$3,HF$60,$HE$4:$HN$4))=0,0,((SUMIF($HE$3:$HN$3,HF$60,$HE154:$HN154))/SUMIF($HE$3:$HN$3,HF$60,$HE$4:$HN$4)))</f>
        <v>0</v>
      </c>
      <c r="HG105" s="199" t="n">
        <f aca="false">IF((SUMIF($HE$3:$HN$3,HG$60,$HE$4:$HN$4))=0,0,((SUMIF($HE$3:$HN$3,HG$60,$HE154:$HN154))/SUMIF($HE$3:$HN$3,HG$60,$HE$4:$HN$4)))</f>
        <v>0</v>
      </c>
      <c r="HH105" s="199" t="n">
        <f aca="false">IF((SUMIF($HE$3:$HN$3,HH$60,$HE$4:$HN$4))=0,0,((SUMIF($HE$3:$HN$3,HH$60,$HE154:$HN154))/SUMIF($HE$3:$HN$3,HH$60,$HE$4:$HN$4)))</f>
        <v>0</v>
      </c>
      <c r="HI105" s="199" t="n">
        <f aca="false">IF((SUMIF($HE$3:$HN$3,HI$60,$HE$4:$HN$4))=0,0,((SUMIF($HE$3:$HN$3,HI$60,$HE154:$HN154))/SUMIF($HE$3:$HN$3,HI$60,$HE$4:$HN$4)))</f>
        <v>0</v>
      </c>
      <c r="HJ105" s="199" t="n">
        <f aca="false">IF((SUMIF($HE$3:$HN$3,HJ$60,$HE$4:$HN$4))=0,0,((SUMIF($HE$3:$HN$3,HJ$60,$HE154:$HN154))/SUMIF($HE$3:$HN$3,HJ$60,$HE$4:$HN$4)))</f>
        <v>0</v>
      </c>
      <c r="HK105" s="199" t="n">
        <f aca="false">IF((SUMIF($HE$3:$HN$3,HK$60,$HE$4:$HN$4))=0,0,((SUMIF($HE$3:$HN$3,HK$60,$HE154:$HN154))/SUMIF($HE$3:$HN$3,HK$60,$HE$4:$HN$4)))</f>
        <v>0</v>
      </c>
      <c r="HL105" s="199" t="n">
        <f aca="false">IF((SUMIF($HE$3:$HN$3,HL$60,$HE$4:$HN$4))=0,0,((SUMIF($HE$3:$HN$3,HL$60,$HE154:$HN154))/SUMIF($HE$3:$HN$3,HL$60,$HE$4:$HN$4)))</f>
        <v>0</v>
      </c>
      <c r="HM105" s="199" t="n">
        <f aca="false">IF((SUMIF($HE$3:$HN$3,HM$60,$HE$4:$HN$4))=0,0,((SUMIF($HE$3:$HN$3,HM$60,$HE154:$HN154))/SUMIF($HE$3:$HN$3,HM$60,$HE$4:$HN$4)))</f>
        <v>0</v>
      </c>
      <c r="HN105" s="200" t="n">
        <f aca="false">IF((SUMIF($HE$3:$HN$3,HN$60,$HE$4:$HN$4))=0,0,((SUMIF($HE$3:$HN$3,HN$60,$HE154:$HN154))/SUMIF($HE$3:$HN$3,HN$60,$HE$4:$HN$4)))</f>
        <v>0</v>
      </c>
      <c r="HO105" s="194" t="str">
        <f aca="false">HD105</f>
        <v>Alumno44</v>
      </c>
      <c r="HP105" s="198" t="n">
        <f aca="false">IF((SUMIF($HP$3:$HY$3,HP$60,$HP$4:$HY$4))=0,0,((SUMIF($HP$3:$HY$3,HP$60,$HP154:$HY154))/SUMIF($HP$3:$HY$3,HP$60,$HP$4:$HY$4)))</f>
        <v>0</v>
      </c>
      <c r="HQ105" s="199" t="n">
        <f aca="false">IF((SUMIF($HP$3:$HY$3,HQ$60,$HP$4:$HY$4))=0,0,((SUMIF($HP$3:$HY$3,HQ$60,$HP154:$HY154))/SUMIF($HP$3:$HY$3,HQ$60,$HP$4:$HY$4)))</f>
        <v>0</v>
      </c>
      <c r="HR105" s="199" t="n">
        <f aca="false">IF((SUMIF($HP$3:$HY$3,HR$60,$HP$4:$HY$4))=0,0,((SUMIF($HP$3:$HY$3,HR$60,$HP154:$HY154))/SUMIF($HP$3:$HY$3,HR$60,$HP$4:$HY$4)))</f>
        <v>0</v>
      </c>
      <c r="HS105" s="199" t="n">
        <f aca="false">IF((SUMIF($HP$3:$HY$3,HS$60,$HP$4:$HY$4))=0,0,((SUMIF($HP$3:$HY$3,HS$60,$HP154:$HY154))/SUMIF($HP$3:$HY$3,HS$60,$HP$4:$HY$4)))</f>
        <v>0</v>
      </c>
      <c r="HT105" s="199" t="n">
        <f aca="false">IF((SUMIF($HP$3:$HY$3,HT$60,$HP$4:$HY$4))=0,0,((SUMIF($HP$3:$HY$3,HT$60,$HP154:$HY154))/SUMIF($HP$3:$HY$3,HT$60,$HP$4:$HY$4)))</f>
        <v>0</v>
      </c>
      <c r="HU105" s="199" t="n">
        <f aca="false">IF((SUMIF($HP$3:$HY$3,HU$60,$HP$4:$HY$4))=0,0,((SUMIF($HP$3:$HY$3,HU$60,$HP154:$HY154))/SUMIF($HP$3:$HY$3,HU$60,$HP$4:$HY$4)))</f>
        <v>0</v>
      </c>
      <c r="HV105" s="199" t="n">
        <f aca="false">IF((SUMIF($HP$3:$HY$3,HV$60,$HP$4:$HY$4))=0,0,((SUMIF($HP$3:$HY$3,HV$60,$HP154:$HY154))/SUMIF($HP$3:$HY$3,HV$60,$HP$4:$HY$4)))</f>
        <v>0</v>
      </c>
      <c r="HW105" s="199" t="n">
        <f aca="false">IF((SUMIF($HP$3:$HY$3,HW$60,$HP$4:$HY$4))=0,0,((SUMIF($HP$3:$HY$3,HW$60,$HP154:$HY154))/SUMIF($HP$3:$HY$3,HW$60,$HP$4:$HY$4)))</f>
        <v>0</v>
      </c>
      <c r="HX105" s="199" t="n">
        <f aca="false">IF((SUMIF($HP$3:$HY$3,HX$60,$HP$4:$HY$4))=0,0,((SUMIF($HP$3:$HY$3,HX$60,$HP154:$HY154))/SUMIF($HP$3:$HY$3,HX$60,$HP$4:$HY$4)))</f>
        <v>0</v>
      </c>
      <c r="HY105" s="200" t="n">
        <f aca="false">IF((SUMIF($HP$3:$HY$3,HY$60,$HP$4:$HY$4))=0,0,((SUMIF($HP$3:$HY$3,HY$60,$HP154:$HY154))/SUMIF($HP$3:$HY$3,HY$60,$HP$4:$HY$4)))</f>
        <v>0</v>
      </c>
      <c r="HZ105" s="194" t="str">
        <f aca="false">HO105</f>
        <v>Alumno44</v>
      </c>
      <c r="IA105" s="198" t="n">
        <f aca="false">IF((SUMIF($IA$3:$IJ$3,IA$60,$IA$4:$IJ$4))=0,0,((SUMIF($IA$3:$IJ$3,IA$60,$IA154:$IJ154))/SUMIF($IA$3:$IJ$3,IA$60,$IA$4:$IJ$4)))</f>
        <v>0</v>
      </c>
      <c r="IB105" s="199" t="n">
        <f aca="false">IF((SUMIF($IA$3:$IJ$3,IB$60,$IA$4:$IJ$4))=0,0,((SUMIF($IA$3:$IJ$3,IB$60,$IA154:$IJ154))/SUMIF($IA$3:$IJ$3,IB$60,$IA$4:$IJ$4)))</f>
        <v>0</v>
      </c>
      <c r="IC105" s="199" t="n">
        <f aca="false">IF((SUMIF($IA$3:$IJ$3,IC$60,$IA$4:$IJ$4))=0,0,((SUMIF($IA$3:$IJ$3,IC$60,$IA154:$IJ154))/SUMIF($IA$3:$IJ$3,IC$60,$IA$4:$IJ$4)))</f>
        <v>0</v>
      </c>
      <c r="ID105" s="199" t="n">
        <f aca="false">IF((SUMIF($IA$3:$IJ$3,ID$60,$IA$4:$IJ$4))=0,0,((SUMIF($IA$3:$IJ$3,ID$60,$IA154:$IJ154))/SUMIF($IA$3:$IJ$3,ID$60,$IA$4:$IJ$4)))</f>
        <v>0</v>
      </c>
      <c r="IE105" s="199" t="n">
        <f aca="false">IF((SUMIF($IA$3:$IJ$3,IE$60,$IA$4:$IJ$4))=0,0,((SUMIF($IA$3:$IJ$3,IE$60,$IA154:$IJ154))/SUMIF($IA$3:$IJ$3,IE$60,$IA$4:$IJ$4)))</f>
        <v>0</v>
      </c>
      <c r="IF105" s="199" t="n">
        <f aca="false">IF((SUMIF($IA$3:$IJ$3,IF$60,$IA$4:$IJ$4))=0,0,((SUMIF($IA$3:$IJ$3,IF$60,$IA154:$IJ154))/SUMIF($IA$3:$IJ$3,IF$60,$IA$4:$IJ$4)))</f>
        <v>0</v>
      </c>
      <c r="IG105" s="199" t="n">
        <f aca="false">IF((SUMIF($IA$3:$IJ$3,IG$60,$IA$4:$IJ$4))=0,0,((SUMIF($IA$3:$IJ$3,IG$60,$IA154:$IJ154))/SUMIF($IA$3:$IJ$3,IG$60,$IA$4:$IJ$4)))</f>
        <v>0</v>
      </c>
      <c r="IH105" s="199" t="n">
        <f aca="false">IF((SUMIF($IA$3:$IJ$3,IH$60,$IA$4:$IJ$4))=0,0,((SUMIF($IA$3:$IJ$3,IH$60,$IA154:$IJ154))/SUMIF($IA$3:$IJ$3,IH$60,$IA$4:$IJ$4)))</f>
        <v>0</v>
      </c>
      <c r="II105" s="199" t="n">
        <f aca="false">IF((SUMIF($IA$3:$IJ$3,II$60,$IA$4:$IJ$4))=0,0,((SUMIF($IA$3:$IJ$3,II$60,$IA154:$IJ154))/SUMIF($IA$3:$IJ$3,II$60,$IA$4:$IJ$4)))</f>
        <v>0</v>
      </c>
      <c r="IJ105" s="200" t="n">
        <f aca="false">IF((SUMIF($IA$3:$IJ$3,IJ$60,$IA$4:$IJ$4))=0,0,((SUMIF($IA$3:$IJ$3,IJ$60,$IA154:$IJ154))/SUMIF($IA$3:$IJ$3,IJ$60,$IA$4:$IJ$4)))</f>
        <v>0</v>
      </c>
      <c r="IK105" s="194" t="str">
        <f aca="false">HZ105</f>
        <v>Alumno44</v>
      </c>
      <c r="IL105" s="198" t="n">
        <f aca="false">IF((SUMIF($IL$3:$IU$3,IL$60,$IL$4:$IU$4))=0,0,((SUMIF($IL$3:$IU$3,IL$60,$IL154:$IU154))/SUMIF($IL$3:$IU$3,IL$60,$IL$4:$IU$4)))</f>
        <v>0</v>
      </c>
      <c r="IM105" s="199" t="n">
        <f aca="false">IF((SUMIF($IL$3:$IU$3,IM$60,$IL$4:$IU$4))=0,0,((SUMIF($IL$3:$IU$3,IM$60,$IL154:$IU154))/SUMIF($IL$3:$IU$3,IM$60,$IL$4:$IU$4)))</f>
        <v>0</v>
      </c>
      <c r="IN105" s="199" t="n">
        <f aca="false">IF((SUMIF($IL$3:$IU$3,IN$60,$IL$4:$IU$4))=0,0,((SUMIF($IL$3:$IU$3,IN$60,$IL154:$IU154))/SUMIF($IL$3:$IU$3,IN$60,$IL$4:$IU$4)))</f>
        <v>0</v>
      </c>
      <c r="IO105" s="199" t="n">
        <f aca="false">IF((SUMIF($IL$3:$IU$3,IO$60,$IL$4:$IU$4))=0,0,((SUMIF($IL$3:$IU$3,IO$60,$IL154:$IU154))/SUMIF($IL$3:$IU$3,IO$60,$IL$4:$IU$4)))</f>
        <v>0</v>
      </c>
      <c r="IP105" s="199" t="n">
        <f aca="false">IF((SUMIF($IL$3:$IU$3,IP$60,$IL$4:$IU$4))=0,0,((SUMIF($IL$3:$IU$3,IP$60,$IL154:$IU154))/SUMIF($IL$3:$IU$3,IP$60,$IL$4:$IU$4)))</f>
        <v>0</v>
      </c>
      <c r="IQ105" s="199" t="n">
        <f aca="false">IF((SUMIF($IL$3:$IU$3,IQ$60,$IL$4:$IU$4))=0,0,((SUMIF($IL$3:$IU$3,IQ$60,$IL154:$IU154))/SUMIF($IL$3:$IU$3,IQ$60,$IL$4:$IU$4)))</f>
        <v>0</v>
      </c>
      <c r="IR105" s="199" t="n">
        <f aca="false">IF((SUMIF($IL$3:$IU$3,IR$60,$IL$4:$IU$4))=0,0,((SUMIF($IL$3:$IU$3,IR$60,$IL154:$IU154))/SUMIF($IL$3:$IU$3,IR$60,$IL$4:$IU$4)))</f>
        <v>0</v>
      </c>
      <c r="IS105" s="199" t="n">
        <f aca="false">IF((SUMIF($IL$3:$IU$3,IS$60,$IL$4:$IU$4))=0,0,((SUMIF($IL$3:$IU$3,IS$60,$IL154:$IU154))/SUMIF($IL$3:$IU$3,IS$60,$IL$4:$IU$4)))</f>
        <v>0</v>
      </c>
      <c r="IT105" s="199" t="n">
        <f aca="false">IF((SUMIF($IL$3:$IU$3,IT$60,$IL$4:$IU$4))=0,0,((SUMIF($IL$3:$IU$3,IT$60,$IL154:$IU154))/SUMIF($IL$3:$IU$3,IT$60,$IL$4:$IU$4)))</f>
        <v>0</v>
      </c>
      <c r="IU105" s="200" t="n">
        <f aca="false">IF((SUMIF($IL$3:$IU$3,IU$60,$IL$4:$IU$4))=0,0,((SUMIF($IL$3:$IU$3,IU$60,$IL154:$IU154))/SUMIF($IL$3:$IU$3,IU$60,$IL$4:$IU$4)))</f>
        <v>0</v>
      </c>
      <c r="IV105" s="194" t="str">
        <f aca="false">IK105</f>
        <v>Alumno44</v>
      </c>
      <c r="IW105" s="198" t="n">
        <f aca="false">IF((SUMIF($IW$3:$JF$3,IW$60,$IW$4:$JF$4))=0,0,((SUMIF($IW$3:$JF$3,IW$60,$IW154:$JF154))/SUMIF($IW$3:$JF$3,IW$60,$IW$4:$JF$4)))</f>
        <v>0</v>
      </c>
      <c r="IX105" s="199" t="n">
        <f aca="false">IF((SUMIF($IW$3:$JF$3,IX$60,$IW$4:$JF$4))=0,0,((SUMIF($IW$3:$JF$3,IX$60,$IW154:$JF154))/SUMIF($IW$3:$JF$3,IX$60,$IW$4:$JF$4)))</f>
        <v>0</v>
      </c>
      <c r="IY105" s="199" t="n">
        <f aca="false">IF((SUMIF($IW$3:$JF$3,IY$60,$IW$4:$JF$4))=0,0,((SUMIF($IW$3:$JF$3,IY$60,$IW154:$JF154))/SUMIF($IW$3:$JF$3,IY$60,$IW$4:$JF$4)))</f>
        <v>0</v>
      </c>
      <c r="IZ105" s="199" t="n">
        <f aca="false">IF((SUMIF($IW$3:$JF$3,IZ$60,$IW$4:$JF$4))=0,0,((SUMIF($IW$3:$JF$3,IZ$60,$IW154:$JF154))/SUMIF($IW$3:$JF$3,IZ$60,$IW$4:$JF$4)))</f>
        <v>0</v>
      </c>
      <c r="JA105" s="199" t="n">
        <f aca="false">IF((SUMIF($IW$3:$JF$3,JA$60,$IW$4:$JF$4))=0,0,((SUMIF($IW$3:$JF$3,JA$60,$IW154:$JF154))/SUMIF($IW$3:$JF$3,JA$60,$IW$4:$JF$4)))</f>
        <v>0</v>
      </c>
      <c r="JB105" s="199" t="n">
        <f aca="false">IF((SUMIF($IW$3:$JF$3,JB$60,$IW$4:$JF$4))=0,0,((SUMIF($IW$3:$JF$3,JB$60,$IW154:$JF154))/SUMIF($IW$3:$JF$3,JB$60,$IW$4:$JF$4)))</f>
        <v>0</v>
      </c>
      <c r="JC105" s="199" t="n">
        <f aca="false">IF((SUMIF($IW$3:$JF$3,JC$60,$IW$4:$JF$4))=0,0,((SUMIF($IW$3:$JF$3,JC$60,$IW154:$JF154))/SUMIF($IW$3:$JF$3,JC$60,$IW$4:$JF$4)))</f>
        <v>0</v>
      </c>
      <c r="JD105" s="199" t="n">
        <f aca="false">IF((SUMIF($IW$3:$JF$3,JD$60,$IW$4:$JF$4))=0,0,((SUMIF($IW$3:$JF$3,JD$60,$IW154:$JF154))/SUMIF($IW$3:$JF$3,JD$60,$IW$4:$JF$4)))</f>
        <v>0</v>
      </c>
      <c r="JE105" s="199" t="n">
        <f aca="false">IF((SUMIF($IW$3:$JF$3,JE$60,$IW$4:$JF$4))=0,0,((SUMIF($IW$3:$JF$3,JE$60,$IW154:$JF154))/SUMIF($IW$3:$JF$3,JE$60,$IW$4:$JF$4)))</f>
        <v>0</v>
      </c>
      <c r="JF105" s="200" t="n">
        <f aca="false">IF((SUMIF($IW$3:$JF$3,JF$60,$IW$4:$JF$4))=0,0,((SUMIF($IW$3:$JF$3,JF$60,$IW154:$JF154))/SUMIF($IW$3:$JF$3,JF$60,$IW$4:$JF$4)))</f>
        <v>0</v>
      </c>
      <c r="JG105" s="194" t="str">
        <f aca="false">IV105</f>
        <v>Alumno44</v>
      </c>
      <c r="JH105" s="198" t="n">
        <f aca="false">IF((SUMIF($JH$3:$JQ$3,JH$60,$JH$4:$JQ$4))=0,0,((SUMIF($JH$3:$JQ$3,JH$60,$JH154:$JQ154))/SUMIF($JH$3:$JQ$3,JH$60,$JH$4:$JQ$4)))</f>
        <v>0</v>
      </c>
      <c r="JI105" s="199" t="n">
        <f aca="false">IF((SUMIF($JH$3:$JQ$3,JI$60,$JH$4:$JQ$4))=0,0,((SUMIF($JH$3:$JQ$3,JI$60,$JH154:$JQ154))/SUMIF($JH$3:$JQ$3,JI$60,$JH$4:$JQ$4)))</f>
        <v>0</v>
      </c>
      <c r="JJ105" s="199" t="n">
        <f aca="false">IF((SUMIF($JH$3:$JQ$3,JJ$60,$JH$4:$JQ$4))=0,0,((SUMIF($JH$3:$JQ$3,JJ$60,$JH154:$JQ154))/SUMIF($JH$3:$JQ$3,JJ$60,$JH$4:$JQ$4)))</f>
        <v>0</v>
      </c>
      <c r="JK105" s="199" t="n">
        <f aca="false">IF((SUMIF($JH$3:$JQ$3,JK$60,$JH$4:$JQ$4))=0,0,((SUMIF($JH$3:$JQ$3,JK$60,$JH154:$JQ154))/SUMIF($JH$3:$JQ$3,JK$60,$JH$4:$JQ$4)))</f>
        <v>0</v>
      </c>
      <c r="JL105" s="199" t="n">
        <f aca="false">IF((SUMIF($JH$3:$JQ$3,JL$60,$JH$4:$JQ$4))=0,0,((SUMIF($JH$3:$JQ$3,JL$60,$JH154:$JQ154))/SUMIF($JH$3:$JQ$3,JL$60,$JH$4:$JQ$4)))</f>
        <v>0</v>
      </c>
      <c r="JM105" s="199" t="n">
        <f aca="false">IF((SUMIF($JH$3:$JQ$3,JM$60,$JH$4:$JQ$4))=0,0,((SUMIF($JH$3:$JQ$3,JM$60,$JH154:$JQ154))/SUMIF($JH$3:$JQ$3,JM$60,$JH$4:$JQ$4)))</f>
        <v>0</v>
      </c>
      <c r="JN105" s="199" t="n">
        <f aca="false">IF((SUMIF($JH$3:$JQ$3,JN$60,$JH$4:$JQ$4))=0,0,((SUMIF($JH$3:$JQ$3,JN$60,$JH154:$JQ154))/SUMIF($JH$3:$JQ$3,JN$60,$JH$4:$JQ$4)))</f>
        <v>0</v>
      </c>
      <c r="JO105" s="199" t="n">
        <f aca="false">IF((SUMIF($JH$3:$JQ$3,JO$60,$JH$4:$JQ$4))=0,0,((SUMIF($JH$3:$JQ$3,JO$60,$JH154:$JQ154))/SUMIF($JH$3:$JQ$3,JO$60,$JH$4:$JQ$4)))</f>
        <v>0</v>
      </c>
      <c r="JP105" s="199" t="n">
        <f aca="false">IF((SUMIF($JH$3:$JQ$3,JP$60,$JH$4:$JQ$4))=0,0,((SUMIF($JH$3:$JQ$3,JP$60,$JH154:$JQ154))/SUMIF($JH$3:$JQ$3,JP$60,$JH$4:$JQ$4)))</f>
        <v>0</v>
      </c>
      <c r="JQ105" s="200" t="n">
        <f aca="false">IF((SUMIF($JH$3:$JQ$3,JQ$60,$JH$4:$JQ$4))=0,0,((SUMIF($JH$3:$JQ$3,JQ$60,$JH154:$JQ154))/SUMIF($JH$3:$JQ$3,JQ$60,$JH$4:$JQ$4)))</f>
        <v>0</v>
      </c>
      <c r="JR105" s="194" t="str">
        <f aca="false">JG105</f>
        <v>Alumno44</v>
      </c>
      <c r="JS105" s="198" t="n">
        <f aca="false">IF((SUMIF($JS$3:$KB$3,JS$60,$JS$4:$KB$4))=0,0,((SUMIF($JS$3:$KB$3,JS$60,$JS154:$KB154))/SUMIF($JS$3:$KB$3,JS$60,$JS$4:$KB$4)))</f>
        <v>0</v>
      </c>
      <c r="JT105" s="199" t="n">
        <f aca="false">IF((SUMIF($JS$3:$KB$3,JT$60,$JS$4:$KB$4))=0,0,((SUMIF($JS$3:$KB$3,JT$60,$JS154:$KB154))/SUMIF($JS$3:$KB$3,JT$60,$JS$4:$KB$4)))</f>
        <v>0</v>
      </c>
      <c r="JU105" s="199" t="n">
        <f aca="false">IF((SUMIF($JS$3:$KB$3,JU$60,$JS$4:$KB$4))=0,0,((SUMIF($JS$3:$KB$3,JU$60,$JS154:$KB154))/SUMIF($JS$3:$KB$3,JU$60,$JS$4:$KB$4)))</f>
        <v>0</v>
      </c>
      <c r="JV105" s="199" t="n">
        <f aca="false">IF((SUMIF($JS$3:$KB$3,JV$60,$JS$4:$KB$4))=0,0,((SUMIF($JS$3:$KB$3,JV$60,$JS154:$KB154))/SUMIF($JS$3:$KB$3,JV$60,$JS$4:$KB$4)))</f>
        <v>0</v>
      </c>
      <c r="JW105" s="199" t="n">
        <f aca="false">IF((SUMIF($JS$3:$KB$3,JW$60,$JS$4:$KB$4))=0,0,((SUMIF($JS$3:$KB$3,JW$60,$JS154:$KB154))/SUMIF($JS$3:$KB$3,JW$60,$JS$4:$KB$4)))</f>
        <v>0</v>
      </c>
      <c r="JX105" s="199" t="n">
        <f aca="false">IF((SUMIF($JS$3:$KB$3,JX$60,$JS$4:$KB$4))=0,0,((SUMIF($JS$3:$KB$3,JX$60,$JS154:$KB154))/SUMIF($JS$3:$KB$3,JX$60,$JS$4:$KB$4)))</f>
        <v>0</v>
      </c>
      <c r="JY105" s="199" t="n">
        <f aca="false">IF((SUMIF($JS$3:$KB$3,JY$60,$JS$4:$KB$4))=0,0,((SUMIF($JS$3:$KB$3,JY$60,$JS154:$KB154))/SUMIF($JS$3:$KB$3,JY$60,$JS$4:$KB$4)))</f>
        <v>0</v>
      </c>
      <c r="JZ105" s="199" t="n">
        <f aca="false">IF((SUMIF($JS$3:$KB$3,JZ$60,$JS$4:$KB$4))=0,0,((SUMIF($JS$3:$KB$3,JZ$60,$JS154:$KB154))/SUMIF($JS$3:$KB$3,JZ$60,$JS$4:$KB$4)))</f>
        <v>0</v>
      </c>
      <c r="KA105" s="199" t="n">
        <f aca="false">IF((SUMIF($JS$3:$KB$3,KA$60,$JS$4:$KB$4))=0,0,((SUMIF($JS$3:$KB$3,KA$60,$JS154:$KB154))/SUMIF($JS$3:$KB$3,KA$60,$JS$4:$KB$4)))</f>
        <v>0</v>
      </c>
      <c r="KB105" s="200" t="n">
        <f aca="false">IF((SUMIF($JS$3:$KB$3,KB$60,$JS$4:$KB$4))=0,0,((SUMIF($JS$3:$KB$3,KB$60,$JS154:$KB154))/SUMIF($JS$3:$KB$3,KB$60,$JS$4:$KB$4)))</f>
        <v>0</v>
      </c>
      <c r="KC105" s="194" t="str">
        <f aca="false">JR105</f>
        <v>Alumno44</v>
      </c>
      <c r="KD105" s="198" t="n">
        <f aca="false">IF((SUMIF($KD$3:$KM$3,KD$60,$KD$4:$KM$4))=0,0,((SUMIF($KD$3:$KM$3,KD$60,$KD154:$KM154))/SUMIF($KD$3:$KM$3,KD$60,$KD$4:$KM$4)))</f>
        <v>0</v>
      </c>
      <c r="KE105" s="199" t="n">
        <f aca="false">IF((SUMIF($KD$3:$KM$3,KE$60,$KD$4:$KM$4))=0,0,((SUMIF($KD$3:$KM$3,KE$60,$KD154:$KM154))/SUMIF($KD$3:$KM$3,KE$60,$KD$4:$KM$4)))</f>
        <v>0</v>
      </c>
      <c r="KF105" s="199" t="n">
        <f aca="false">IF((SUMIF($KD$3:$KM$3,KF$60,$KD$4:$KM$4))=0,0,((SUMIF($KD$3:$KM$3,KF$60,$KD154:$KM154))/SUMIF($KD$3:$KM$3,KF$60,$KD$4:$KM$4)))</f>
        <v>0</v>
      </c>
      <c r="KG105" s="199" t="n">
        <f aca="false">IF((SUMIF($KD$3:$KM$3,KG$60,$KD$4:$KM$4))=0,0,((SUMIF($KD$3:$KM$3,KG$60,$KD154:$KM154))/SUMIF($KD$3:$KM$3,KG$60,$KD$4:$KM$4)))</f>
        <v>0</v>
      </c>
      <c r="KH105" s="199" t="n">
        <f aca="false">IF((SUMIF($KD$3:$KM$3,KH$60,$KD$4:$KM$4))=0,0,((SUMIF($KD$3:$KM$3,KH$60,$KD154:$KM154))/SUMIF($KD$3:$KM$3,KH$60,$KD$4:$KM$4)))</f>
        <v>0</v>
      </c>
      <c r="KI105" s="199" t="n">
        <f aca="false">IF((SUMIF($KD$3:$KM$3,KI$60,$KD$4:$KM$4))=0,0,((SUMIF($KD$3:$KM$3,KI$60,$KD154:$KM154))/SUMIF($KD$3:$KM$3,KI$60,$KD$4:$KM$4)))</f>
        <v>0</v>
      </c>
      <c r="KJ105" s="199" t="n">
        <f aca="false">IF((SUMIF($KD$3:$KM$3,KJ$60,$KD$4:$KM$4))=0,0,((SUMIF($KD$3:$KM$3,KJ$60,$KD154:$KM154))/SUMIF($KD$3:$KM$3,KJ$60,$KD$4:$KM$4)))</f>
        <v>0</v>
      </c>
      <c r="KK105" s="199" t="n">
        <f aca="false">IF((SUMIF($KD$3:$KM$3,KK$60,$KD$4:$KM$4))=0,0,((SUMIF($KD$3:$KM$3,KK$60,$KD154:$KM154))/SUMIF($KD$3:$KM$3,KK$60,$KD$4:$KM$4)))</f>
        <v>0</v>
      </c>
      <c r="KL105" s="199" t="n">
        <f aca="false">IF((SUMIF($KD$3:$KM$3,KL$60,$KD$4:$KM$4))=0,0,((SUMIF($KD$3:$KM$3,KL$60,$KD154:$KM154))/SUMIF($KD$3:$KM$3,KL$60,$KD$4:$KM$4)))</f>
        <v>0</v>
      </c>
      <c r="KM105" s="200" t="n">
        <f aca="false">IF((SUMIF($KD$3:$KM$3,KM$60,$KD$4:$KM$4))=0,0,((SUMIF($KD$3:$KM$3,KM$60,$KD154:$KM154))/SUMIF($KD$3:$KM$3,KM$60,$KD$4:$KM$4)))</f>
        <v>0</v>
      </c>
      <c r="KN105" s="194" t="str">
        <f aca="false">KC105</f>
        <v>Alumno44</v>
      </c>
      <c r="KO105" s="198" t="n">
        <f aca="false">IF((SUMIF($KO$3:$KX$3,KO$60,$KO$4:$KX$4))=0,0,((SUMIF($KO$3:$KX$3,KO$60,$KO154:$KX154))/SUMIF($KO$3:$KX$3,KO$60,$KO$4:$KX$4)))</f>
        <v>0</v>
      </c>
      <c r="KP105" s="199" t="n">
        <f aca="false">IF((SUMIF($KO$3:$KX$3,KP$60,$KO$4:$KX$4))=0,0,((SUMIF($KO$3:$KX$3,KP$60,$KO154:$KX154))/SUMIF($KO$3:$KX$3,KP$60,$KO$4:$KX$4)))</f>
        <v>0</v>
      </c>
      <c r="KQ105" s="199" t="n">
        <f aca="false">IF((SUMIF($KO$3:$KX$3,KQ$60,$KO$4:$KX$4))=0,0,((SUMIF($KO$3:$KX$3,KQ$60,$KO154:$KX154))/SUMIF($KO$3:$KX$3,KQ$60,$KO$4:$KX$4)))</f>
        <v>0</v>
      </c>
      <c r="KR105" s="199" t="n">
        <f aca="false">IF((SUMIF($KO$3:$KX$3,KR$60,$KO$4:$KX$4))=0,0,((SUMIF($KO$3:$KX$3,KR$60,$KO154:$KX154))/SUMIF($KO$3:$KX$3,KR$60,$KO$4:$KX$4)))</f>
        <v>0</v>
      </c>
      <c r="KS105" s="199" t="n">
        <f aca="false">IF((SUMIF($KO$3:$KX$3,KS$60,$KO$4:$KX$4))=0,0,((SUMIF($KO$3:$KX$3,KS$60,$KO154:$KX154))/SUMIF($KO$3:$KX$3,KS$60,$KO$4:$KX$4)))</f>
        <v>0</v>
      </c>
      <c r="KT105" s="199" t="n">
        <f aca="false">IF((SUMIF($KO$3:$KX$3,KT$60,$KO$4:$KX$4))=0,0,((SUMIF($KO$3:$KX$3,KT$60,$KO154:$KX154))/SUMIF($KO$3:$KX$3,KT$60,$KO$4:$KX$4)))</f>
        <v>0</v>
      </c>
      <c r="KU105" s="199" t="n">
        <f aca="false">IF((SUMIF($KO$3:$KX$3,KU$60,$KO$4:$KX$4))=0,0,((SUMIF($KO$3:$KX$3,KU$60,$KO154:$KX154))/SUMIF($KO$3:$KX$3,KU$60,$KO$4:$KX$4)))</f>
        <v>0</v>
      </c>
      <c r="KV105" s="199" t="n">
        <f aca="false">IF((SUMIF($KO$3:$KX$3,KV$60,$KO$4:$KX$4))=0,0,((SUMIF($KO$3:$KX$3,KV$60,$KO154:$KX154))/SUMIF($KO$3:$KX$3,KV$60,$KO$4:$KX$4)))</f>
        <v>0</v>
      </c>
      <c r="KW105" s="199" t="n">
        <f aca="false">IF((SUMIF($KO$3:$KX$3,KW$60,$KO$4:$KX$4))=0,0,((SUMIF($KO$3:$KX$3,KW$60,$KO154:$KX154))/SUMIF($KO$3:$KX$3,KW$60,$KO$4:$KX$4)))</f>
        <v>0</v>
      </c>
      <c r="KX105" s="200" t="n">
        <f aca="false">IF((SUMIF($KO$3:$KX$3,KX$60,$KO$4:$KX$4))=0,0,((SUMIF($KO$3:$KX$3,KX$60,$KO154:$KX154))/SUMIF($KO$3:$KX$3,KX$60,$KO$4:$KX$4)))</f>
        <v>0</v>
      </c>
      <c r="KY105" s="194" t="str">
        <f aca="false">KN105</f>
        <v>Alumno44</v>
      </c>
      <c r="KZ105" s="198" t="n">
        <f aca="false">IF((SUMIF($KZ$3:$LI$3,KZ$60,$KZ$4:$LI$4))=0,0,((SUMIF($KZ$3:$LI$3,KZ$60,$KZ154:$LI154))/SUMIF($KZ$3:$LI$3,KZ$60,$KZ$4:$LI$4)))</f>
        <v>0</v>
      </c>
      <c r="LA105" s="199" t="n">
        <f aca="false">IF((SUMIF($KZ$3:$LI$3,LA$60,$KZ$4:$LI$4))=0,0,((SUMIF($KZ$3:$LI$3,LA$60,$KZ154:$LI154))/SUMIF($KZ$3:$LI$3,LA$60,$KZ$4:$LI$4)))</f>
        <v>0</v>
      </c>
      <c r="LB105" s="199" t="n">
        <f aca="false">IF((SUMIF($KZ$3:$LI$3,LB$60,$KZ$4:$LI$4))=0,0,((SUMIF($KZ$3:$LI$3,LB$60,$KZ154:$LI154))/SUMIF($KZ$3:$LI$3,LB$60,$KZ$4:$LI$4)))</f>
        <v>0</v>
      </c>
      <c r="LC105" s="199" t="n">
        <f aca="false">IF((SUMIF($KZ$3:$LI$3,LC$60,$KZ$4:$LI$4))=0,0,((SUMIF($KZ$3:$LI$3,LC$60,$KZ154:$LI154))/SUMIF($KZ$3:$LI$3,LC$60,$KZ$4:$LI$4)))</f>
        <v>0</v>
      </c>
      <c r="LD105" s="199" t="n">
        <f aca="false">IF((SUMIF($KZ$3:$LI$3,LD$60,$KZ$4:$LI$4))=0,0,((SUMIF($KZ$3:$LI$3,LD$60,$KZ154:$LI154))/SUMIF($KZ$3:$LI$3,LD$60,$KZ$4:$LI$4)))</f>
        <v>0</v>
      </c>
      <c r="LE105" s="199" t="n">
        <f aca="false">IF((SUMIF($KZ$3:$LI$3,LE$60,$KZ$4:$LI$4))=0,0,((SUMIF($KZ$3:$LI$3,LE$60,$KZ154:$LI154))/SUMIF($KZ$3:$LI$3,LE$60,$KZ$4:$LI$4)))</f>
        <v>0</v>
      </c>
      <c r="LF105" s="199" t="n">
        <f aca="false">IF((SUMIF($KZ$3:$LI$3,LF$60,$KZ$4:$LI$4))=0,0,((SUMIF($KZ$3:$LI$3,LF$60,$KZ154:$LI154))/SUMIF($KZ$3:$LI$3,LF$60,$KZ$4:$LI$4)))</f>
        <v>0</v>
      </c>
      <c r="LG105" s="199" t="n">
        <f aca="false">IF((SUMIF($KZ$3:$LI$3,LG$60,$KZ$4:$LI$4))=0,0,((SUMIF($KZ$3:$LI$3,LG$60,$KZ154:$LI154))/SUMIF($KZ$3:$LI$3,LG$60,$KZ$4:$LI$4)))</f>
        <v>0</v>
      </c>
      <c r="LH105" s="199" t="n">
        <f aca="false">IF((SUMIF($KZ$3:$LI$3,LH$60,$KZ$4:$LI$4))=0,0,((SUMIF($KZ$3:$LI$3,LH$60,$KZ154:$LI154))/SUMIF($KZ$3:$LI$3,LH$60,$KZ$4:$LI$4)))</f>
        <v>0</v>
      </c>
      <c r="LI105" s="200" t="n">
        <f aca="false">IF((SUMIF($KZ$3:$LI$3,LI$60,$KZ$4:$LI$4))=0,0,((SUMIF($KZ$3:$LI$3,LI$60,$KZ154:$LI154))/SUMIF($KZ$3:$LI$3,LI$60,$KZ$4:$LI$4)))</f>
        <v>0</v>
      </c>
      <c r="LJ105" s="194" t="str">
        <f aca="false">KY105</f>
        <v>Alumno44</v>
      </c>
      <c r="LK105" s="198" t="n">
        <f aca="false">IF((SUMIF($LK$3:$LT$3,LK$60,$LK$4:$LT$4))=0,0,((SUMIF($LK$3:$LT$3,LK$60,$LK154:$LT154))/SUMIF($LK$3:$LT$3,LK$60,$LK$4:$LT$4)))</f>
        <v>0</v>
      </c>
      <c r="LL105" s="199" t="n">
        <f aca="false">IF((SUMIF($LK$3:$LT$3,LL$60,$LK$4:$LT$4))=0,0,((SUMIF($LK$3:$LT$3,LL$60,$LK154:$LT154))/SUMIF($LK$3:$LT$3,LL$60,$LK$4:$LT$4)))</f>
        <v>0</v>
      </c>
      <c r="LM105" s="199" t="n">
        <f aca="false">IF((SUMIF($LK$3:$LT$3,LM$60,$LK$4:$LT$4))=0,0,((SUMIF($LK$3:$LT$3,LM$60,$LK154:$LT154))/SUMIF($LK$3:$LT$3,LM$60,$LK$4:$LT$4)))</f>
        <v>0</v>
      </c>
      <c r="LN105" s="199" t="n">
        <f aca="false">IF((SUMIF($LK$3:$LT$3,LN$60,$LK$4:$LT$4))=0,0,((SUMIF($LK$3:$LT$3,LN$60,$LK154:$LT154))/SUMIF($LK$3:$LT$3,LN$60,$LK$4:$LT$4)))</f>
        <v>0</v>
      </c>
      <c r="LO105" s="199" t="n">
        <f aca="false">IF((SUMIF($LK$3:$LT$3,LO$60,$LK$4:$LT$4))=0,0,((SUMIF($LK$3:$LT$3,LO$60,$LK154:$LT154))/SUMIF($LK$3:$LT$3,LO$60,$LK$4:$LT$4)))</f>
        <v>0</v>
      </c>
      <c r="LP105" s="199" t="n">
        <f aca="false">IF((SUMIF($LK$3:$LT$3,LP$60,$LK$4:$LT$4))=0,0,((SUMIF($LK$3:$LT$3,LP$60,$LK154:$LT154))/SUMIF($LK$3:$LT$3,LP$60,$LK$4:$LT$4)))</f>
        <v>0</v>
      </c>
      <c r="LQ105" s="199" t="n">
        <f aca="false">IF((SUMIF($LK$3:$LT$3,LQ$60,$LK$4:$LT$4))=0,0,((SUMIF($LK$3:$LT$3,LQ$60,$LK154:$LT154))/SUMIF($LK$3:$LT$3,LQ$60,$LK$4:$LT$4)))</f>
        <v>0</v>
      </c>
      <c r="LR105" s="199" t="n">
        <f aca="false">IF((SUMIF($LK$3:$LT$3,LR$60,$LK$4:$LT$4))=0,0,((SUMIF($LK$3:$LT$3,LR$60,$LK154:$LT154))/SUMIF($LK$3:$LT$3,LR$60,$LK$4:$LT$4)))</f>
        <v>0</v>
      </c>
      <c r="LS105" s="199" t="n">
        <f aca="false">IF((SUMIF($LK$3:$LT$3,LS$60,$LK$4:$LT$4))=0,0,((SUMIF($LK$3:$LT$3,LS$60,$LK154:$LT154))/SUMIF($LK$3:$LT$3,LS$60,$LK$4:$LT$4)))</f>
        <v>0</v>
      </c>
      <c r="LT105" s="200" t="n">
        <f aca="false">IF((SUMIF($LK$3:$LT$3,LT$60,$LK$4:$LT$4))=0,0,((SUMIF($LK$3:$LT$3,LT$60,$LK154:$LT154))/SUMIF($LK$3:$LT$3,LT$60,$LK$4:$LT$4)))</f>
        <v>0</v>
      </c>
    </row>
    <row r="106" customFormat="false" ht="15.75" hidden="true" customHeight="false" outlineLevel="0" collapsed="false">
      <c r="C106" s="201" t="str">
        <f aca="false">B50</f>
        <v>Alumno45</v>
      </c>
      <c r="D106" s="202" t="n">
        <f aca="false">IF((SUMIF($D$3:$M$3,D$60,$D$4:$M$4))=0,0,((SUMIF($D$3:$M$3,D$60,$D155:$M155))/SUMIF($D$3:$M$3,D$60,$D$4:$M$4)))</f>
        <v>0</v>
      </c>
      <c r="E106" s="203" t="n">
        <f aca="false">IF((SUMIF($D$3:$M$3,E$60,$D$4:$M$4))=0,0,((SUMIF($D$3:$M$3,E$60,$D155:$M155))/SUMIF($D$3:$M$3,E$60,$D$4:$M$4)))</f>
        <v>0</v>
      </c>
      <c r="F106" s="203" t="n">
        <f aca="false">IF((SUMIF($D$3:$M$3,F$60,$D$4:$M$4))=0,0,((SUMIF($D$3:$M$3,F$60,$D155:$M155))/SUMIF($D$3:$M$3,F$60,$D$4:$M$4)))</f>
        <v>0</v>
      </c>
      <c r="G106" s="203" t="n">
        <f aca="false">IF((SUMIF($D$3:$M$3,G$60,$D$4:$M$4))=0,0,((SUMIF($D$3:$M$3,G$60,$D155:$M155))/SUMIF($D$3:$M$3,G$60,$D$4:$M$4)))</f>
        <v>0</v>
      </c>
      <c r="H106" s="203" t="n">
        <f aca="false">IF((SUMIF($D$3:$M$3,H$60,$D$4:$M$4))=0,0,((SUMIF($D$3:$M$3,H$60,$D155:$M155))/SUMIF($D$3:$M$3,H$60,$D$4:$M$4)))</f>
        <v>0</v>
      </c>
      <c r="I106" s="203" t="n">
        <f aca="false">IF((SUMIF($D$3:$M$3,I$60,$D$4:$M$4))=0,0,((SUMIF($D$3:$M$3,I$60,$D155:$M155))/SUMIF($D$3:$M$3,I$60,$D$4:$M$4)))</f>
        <v>0</v>
      </c>
      <c r="J106" s="203" t="n">
        <f aca="false">IF((SUMIF($D$3:$M$3,J$60,$D$4:$M$4))=0,0,((SUMIF($D$3:$M$3,J$60,$D155:$M155))/SUMIF($D$3:$M$3,J$60,$D$4:$M$4)))</f>
        <v>0</v>
      </c>
      <c r="K106" s="203" t="n">
        <f aca="false">IF((SUMIF($D$3:$M$3,K$60,$D$4:$M$4))=0,0,((SUMIF($D$3:$M$3,K$60,$D155:$M155))/SUMIF($D$3:$M$3,K$60,$D$4:$M$4)))</f>
        <v>0</v>
      </c>
      <c r="L106" s="203" t="n">
        <f aca="false">IF((SUMIF($D$3:$M$3,L$60,$D$4:$M$4))=0,0,((SUMIF($D$3:$M$3,L$60,$D155:$M155))/SUMIF($D$3:$M$3,L$60,$D$4:$M$4)))</f>
        <v>0</v>
      </c>
      <c r="M106" s="204" t="n">
        <f aca="false">IF((SUMIF($D$3:$M$3,M$60,$D$4:$M$4))=0,0,((SUMIF($D$3:$M$3,M$60,$D155:$M155))/SUMIF($D$3:$M$3,M$60,$D$4:$M$4)))</f>
        <v>0</v>
      </c>
      <c r="N106" s="201" t="str">
        <f aca="false">C106</f>
        <v>Alumno45</v>
      </c>
      <c r="O106" s="202" t="n">
        <f aca="false">IF((SUMIF($O$3:$X$3,O$60,$O$4:$X$4))=0,0,((SUMIF($O$3:$X$3,O$60,$O155:$X155))/SUMIF($O$3:$X$3,O$60,$O$4:$X$4)))</f>
        <v>0</v>
      </c>
      <c r="P106" s="203" t="n">
        <f aca="false">IF((SUMIF($O$3:$X$3,P$60,$O$4:$X$4))=0,0,((SUMIF($O$3:$X$3,P$60,$O155:$X155))/SUMIF($O$3:$X$3,P$60,$O$4:$X$4)))</f>
        <v>0</v>
      </c>
      <c r="Q106" s="203" t="n">
        <f aca="false">IF((SUMIF($O$3:$X$3,Q$60,$O$4:$X$4))=0,0,((SUMIF($O$3:$X$3,Q$60,$O155:$X155))/SUMIF($O$3:$X$3,Q$60,$O$4:$X$4)))</f>
        <v>0</v>
      </c>
      <c r="R106" s="203" t="n">
        <f aca="false">IF((SUMIF($O$3:$X$3,R$60,$O$4:$X$4))=0,0,((SUMIF($O$3:$X$3,R$60,$O155:$X155))/SUMIF($O$3:$X$3,R$60,$O$4:$X$4)))</f>
        <v>0</v>
      </c>
      <c r="S106" s="203" t="n">
        <f aca="false">IF((SUMIF($O$3:$X$3,S$60,$O$4:$X$4))=0,0,((SUMIF($O$3:$X$3,S$60,$O155:$X155))/SUMIF($O$3:$X$3,S$60,$O$4:$X$4)))</f>
        <v>0</v>
      </c>
      <c r="T106" s="203" t="n">
        <f aca="false">IF((SUMIF($O$3:$X$3,T$60,$O$4:$X$4))=0,0,((SUMIF($O$3:$X$3,T$60,$O155:$X155))/SUMIF($O$3:$X$3,T$60,$O$4:$X$4)))</f>
        <v>0</v>
      </c>
      <c r="U106" s="203" t="n">
        <f aca="false">IF((SUMIF($O$3:$X$3,U$60,$O$4:$X$4))=0,0,((SUMIF($O$3:$X$3,U$60,$O155:$X155))/SUMIF($O$3:$X$3,U$60,$O$4:$X$4)))</f>
        <v>0</v>
      </c>
      <c r="V106" s="203" t="n">
        <f aca="false">IF((SUMIF($O$3:$X$3,V$60,$O$4:$X$4))=0,0,((SUMIF($O$3:$X$3,V$60,$O155:$X155))/SUMIF($O$3:$X$3,V$60,$O$4:$X$4)))</f>
        <v>0</v>
      </c>
      <c r="W106" s="203" t="n">
        <f aca="false">IF((SUMIF($O$3:$X$3,W$60,$O$4:$X$4))=0,0,((SUMIF($O$3:$X$3,W$60,$O155:$X155))/SUMIF($O$3:$X$3,W$60,$O$4:$X$4)))</f>
        <v>0</v>
      </c>
      <c r="X106" s="204" t="n">
        <f aca="false">IF((SUMIF($O$3:$X$3,X$60,$O$4:$X$4))=0,0,((SUMIF($O$3:$X$3,X$60,$O155:$X155))/SUMIF($O$3:$X$3,X$60,$O$4:$X$4)))</f>
        <v>0</v>
      </c>
      <c r="Y106" s="201" t="str">
        <f aca="false">N106</f>
        <v>Alumno45</v>
      </c>
      <c r="Z106" s="202" t="n">
        <f aca="false">IF((SUMIF($Z$3:$AI$3,Z$60,$Z$4:$AI$4))=0,0,((SUMIF($Z$3:$AI$3,Z$60,$Z155:$AI155))/SUMIF($Z$3:$AI$3,Z$60,$Z$4:$AI$4)))</f>
        <v>0</v>
      </c>
      <c r="AA106" s="203" t="n">
        <f aca="false">IF((SUMIF($Z$3:$AI$3,AA$60,$Z$4:$AI$4))=0,0,((SUMIF($Z$3:$AI$3,AA$60,$Z155:$AI155))/SUMIF($Z$3:$AI$3,AA$60,$Z$4:$AI$4)))</f>
        <v>0</v>
      </c>
      <c r="AB106" s="203" t="n">
        <f aca="false">IF((SUMIF($Z$3:$AI$3,AB$60,$Z$4:$AI$4))=0,0,((SUMIF($Z$3:$AI$3,AB$60,$Z155:$AI155))/SUMIF($Z$3:$AI$3,AB$60,$Z$4:$AI$4)))</f>
        <v>0</v>
      </c>
      <c r="AC106" s="203" t="n">
        <f aca="false">IF((SUMIF($Z$3:$AI$3,AC$60,$Z$4:$AI$4))=0,0,((SUMIF($Z$3:$AI$3,AC$60,$Z155:$AI155))/SUMIF($Z$3:$AI$3,AC$60,$Z$4:$AI$4)))</f>
        <v>0</v>
      </c>
      <c r="AD106" s="203" t="n">
        <f aca="false">IF((SUMIF($Z$3:$AI$3,AD$60,$Z$4:$AI$4))=0,0,((SUMIF($Z$3:$AI$3,AD$60,$Z155:$AI155))/SUMIF($Z$3:$AI$3,AD$60,$Z$4:$AI$4)))</f>
        <v>0</v>
      </c>
      <c r="AE106" s="203" t="n">
        <f aca="false">IF((SUMIF($Z$3:$AI$3,AE$60,$Z$4:$AI$4))=0,0,((SUMIF($Z$3:$AI$3,AE$60,$Z155:$AI155))/SUMIF($Z$3:$AI$3,AE$60,$Z$4:$AI$4)))</f>
        <v>0</v>
      </c>
      <c r="AF106" s="203" t="n">
        <f aca="false">IF((SUMIF($Z$3:$AI$3,AF$60,$Z$4:$AI$4))=0,0,((SUMIF($Z$3:$AI$3,AF$60,$Z155:$AI155))/SUMIF($Z$3:$AI$3,AF$60,$Z$4:$AI$4)))</f>
        <v>0</v>
      </c>
      <c r="AG106" s="203" t="n">
        <f aca="false">IF((SUMIF($Z$3:$AI$3,AG$60,$Z$4:$AI$4))=0,0,((SUMIF($Z$3:$AI$3,AG$60,$Z155:$AI155))/SUMIF($Z$3:$AI$3,AG$60,$Z$4:$AI$4)))</f>
        <v>0</v>
      </c>
      <c r="AH106" s="203" t="n">
        <f aca="false">IF((SUMIF($Z$3:$AI$3,AH$60,$Z$4:$AI$4))=0,0,((SUMIF($Z$3:$AI$3,AH$60,$Z155:$AI155))/SUMIF($Z$3:$AI$3,AH$60,$Z$4:$AI$4)))</f>
        <v>0</v>
      </c>
      <c r="AI106" s="204" t="n">
        <f aca="false">IF((SUMIF($Z$3:$AI$3,AI$60,$Z$4:$AI$4))=0,0,((SUMIF($Z$3:$AI$3,AI$60,$Z155:$AI155))/SUMIF($Z$3:$AI$3,AI$60,$Z$4:$AI$4)))</f>
        <v>0</v>
      </c>
      <c r="AJ106" s="201" t="str">
        <f aca="false">Y106</f>
        <v>Alumno45</v>
      </c>
      <c r="AK106" s="202" t="n">
        <f aca="false">IF((SUMIF($AK$3:$AT$3,AK$60,$AK$4:$AT$4))=0,0,((SUMIF($AK$3:$AT$3,AK$60,$AK155:$AT155))/SUMIF($AK$3:$AT$3,AK$60,$AK$4:$AT$4)))</f>
        <v>0</v>
      </c>
      <c r="AL106" s="203" t="n">
        <f aca="false">IF((SUMIF($AK$3:$AT$3,AL$60,$AK$4:$AT$4))=0,0,((SUMIF($AK$3:$AT$3,AL$60,$AK155:$AT155))/SUMIF($AK$3:$AT$3,AL$60,$AK$4:$AT$4)))</f>
        <v>0</v>
      </c>
      <c r="AM106" s="203" t="n">
        <f aca="false">IF((SUMIF($AK$3:$AT$3,AM$60,$AK$4:$AT$4))=0,0,((SUMIF($AK$3:$AT$3,AM$60,$AK155:$AT155))/SUMIF($AK$3:$AT$3,AM$60,$AK$4:$AT$4)))</f>
        <v>0</v>
      </c>
      <c r="AN106" s="203" t="n">
        <f aca="false">IF((SUMIF($AK$3:$AT$3,AN$60,$AK$4:$AT$4))=0,0,((SUMIF($AK$3:$AT$3,AN$60,$AK155:$AT155))/SUMIF($AK$3:$AT$3,AN$60,$AK$4:$AT$4)))</f>
        <v>0</v>
      </c>
      <c r="AO106" s="203" t="n">
        <f aca="false">IF((SUMIF($AK$3:$AT$3,AO$60,$AK$4:$AT$4))=0,0,((SUMIF($AK$3:$AT$3,AO$60,$AK155:$AT155))/SUMIF($AK$3:$AT$3,AO$60,$AK$4:$AT$4)))</f>
        <v>0</v>
      </c>
      <c r="AP106" s="203" t="n">
        <f aca="false">IF((SUMIF($AK$3:$AT$3,AP$60,$AK$4:$AT$4))=0,0,((SUMIF($AK$3:$AT$3,AP$60,$AK155:$AT155))/SUMIF($AK$3:$AT$3,AP$60,$AK$4:$AT$4)))</f>
        <v>0</v>
      </c>
      <c r="AQ106" s="203" t="n">
        <f aca="false">IF((SUMIF($AK$3:$AT$3,AQ$60,$AK$4:$AT$4))=0,0,((SUMIF($AK$3:$AT$3,AQ$60,$AK155:$AT155))/SUMIF($AK$3:$AT$3,AQ$60,$AK$4:$AT$4)))</f>
        <v>0</v>
      </c>
      <c r="AR106" s="203" t="n">
        <f aca="false">IF((SUMIF($AK$3:$AT$3,AR$60,$AK$4:$AT$4))=0,0,((SUMIF($AK$3:$AT$3,AR$60,$AK155:$AT155))/SUMIF($AK$3:$AT$3,AR$60,$AK$4:$AT$4)))</f>
        <v>0</v>
      </c>
      <c r="AS106" s="203" t="n">
        <f aca="false">IF((SUMIF($AK$3:$AT$3,AS$60,$AK$4:$AT$4))=0,0,((SUMIF($AK$3:$AT$3,AS$60,$AK155:$AT155))/SUMIF($AK$3:$AT$3,AS$60,$AK$4:$AT$4)))</f>
        <v>0</v>
      </c>
      <c r="AT106" s="204" t="n">
        <f aca="false">IF((SUMIF($AK$3:$AT$3,AT$60,$AK$4:$AT$4))=0,0,((SUMIF($AK$3:$AT$3,AT$60,$AK155:$AT155))/SUMIF($AK$3:$AT$3,AT$60,$AK$4:$AT$4)))</f>
        <v>0</v>
      </c>
      <c r="AU106" s="201" t="str">
        <f aca="false">AJ106</f>
        <v>Alumno45</v>
      </c>
      <c r="AV106" s="202" t="n">
        <f aca="false">IF((SUMIF($AV$3:$BE$3,AV$60,$AV$4:$BE$4))=0,0,((SUMIF($AV$3:$BE$3,AV$60,$AV155:$BE155))/SUMIF($AV$3:$BE$3,AV$60,$AV$4:$BE$4)))</f>
        <v>0</v>
      </c>
      <c r="AW106" s="203" t="n">
        <f aca="false">IF((SUMIF($AV$3:$BE$3,AW$60,$AV$4:$BE$4))=0,0,((SUMIF($AV$3:$BE$3,AW$60,$AV155:$BE155))/SUMIF($AV$3:$BE$3,AW$60,$AV$4:$BE$4)))</f>
        <v>0</v>
      </c>
      <c r="AX106" s="203" t="n">
        <f aca="false">IF((SUMIF($AV$3:$BE$3,AX$60,$AV$4:$BE$4))=0,0,((SUMIF($AV$3:$BE$3,AX$60,$AV155:$BE155))/SUMIF($AV$3:$BE$3,AX$60,$AV$4:$BE$4)))</f>
        <v>0</v>
      </c>
      <c r="AY106" s="203" t="n">
        <f aca="false">IF((SUMIF($AV$3:$BE$3,AY$60,$AV$4:$BE$4))=0,0,((SUMIF($AV$3:$BE$3,AY$60,$AV155:$BE155))/SUMIF($AV$3:$BE$3,AY$60,$AV$4:$BE$4)))</f>
        <v>0</v>
      </c>
      <c r="AZ106" s="203" t="n">
        <f aca="false">IF((SUMIF($AV$3:$BE$3,AZ$60,$AV$4:$BE$4))=0,0,((SUMIF($AV$3:$BE$3,AZ$60,$AV155:$BE155))/SUMIF($AV$3:$BE$3,AZ$60,$AV$4:$BE$4)))</f>
        <v>0</v>
      </c>
      <c r="BA106" s="203" t="n">
        <f aca="false">IF((SUMIF($AV$3:$BE$3,BA$60,$AV$4:$BE$4))=0,0,((SUMIF($AV$3:$BE$3,BA$60,$AV155:$BE155))/SUMIF($AV$3:$BE$3,BA$60,$AV$4:$BE$4)))</f>
        <v>0</v>
      </c>
      <c r="BB106" s="203" t="n">
        <f aca="false">IF((SUMIF($AV$3:$BE$3,BB$60,$AV$4:$BE$4))=0,0,((SUMIF($AV$3:$BE$3,BB$60,$AV155:$BE155))/SUMIF($AV$3:$BE$3,BB$60,$AV$4:$BE$4)))</f>
        <v>0</v>
      </c>
      <c r="BC106" s="203" t="n">
        <f aca="false">IF((SUMIF($AV$3:$BE$3,BC$60,$AV$4:$BE$4))=0,0,((SUMIF($AV$3:$BE$3,BC$60,$AV155:$BE155))/SUMIF($AV$3:$BE$3,BC$60,$AV$4:$BE$4)))</f>
        <v>0</v>
      </c>
      <c r="BD106" s="203" t="n">
        <f aca="false">IF((SUMIF($AV$3:$BE$3,BD$60,$AV$4:$BE$4))=0,0,((SUMIF($AV$3:$BE$3,BD$60,$AV155:$BE155))/SUMIF($AV$3:$BE$3,BD$60,$AV$4:$BE$4)))</f>
        <v>0</v>
      </c>
      <c r="BE106" s="204" t="n">
        <f aca="false">IF((SUMIF($AV$3:$BE$3,BE$60,$AV$4:$BE$4))=0,0,((SUMIF($AV$3:$BE$3,BE$60,$AV155:$BE155))/SUMIF($AV$3:$BE$3,BE$60,$AV$4:$BE$4)))</f>
        <v>0</v>
      </c>
      <c r="BF106" s="201" t="str">
        <f aca="false">AU106</f>
        <v>Alumno45</v>
      </c>
      <c r="BG106" s="202" t="n">
        <f aca="false">IF((SUMIF($BG$3:$BP$3,BG$60,$BG$4:$BP$4))=0,0,((SUMIF($BG$3:$BP$3,BG$60,$BG155:$BP155))/SUMIF($BG$3:$BP$3,BG$60,$BG$4:$BP$4)))</f>
        <v>0</v>
      </c>
      <c r="BH106" s="203" t="n">
        <f aca="false">IF((SUMIF($BG$3:$BP$3,BH$60,$BG$4:$BP$4))=0,0,((SUMIF($BG$3:$BP$3,BH$60,$BG155:$BP155))/SUMIF($BG$3:$BP$3,BH$60,$BG$4:$BP$4)))</f>
        <v>0</v>
      </c>
      <c r="BI106" s="203" t="n">
        <f aca="false">IF((SUMIF($BG$3:$BP$3,BI$60,$BG$4:$BP$4))=0,0,((SUMIF($BG$3:$BP$3,BI$60,$BG155:$BP155))/SUMIF($BG$3:$BP$3,BI$60,$BG$4:$BP$4)))</f>
        <v>0</v>
      </c>
      <c r="BJ106" s="203" t="n">
        <f aca="false">IF((SUMIF($BG$3:$BP$3,BJ$60,$BG$4:$BP$4))=0,0,((SUMIF($BG$3:$BP$3,BJ$60,$BG155:$BP155))/SUMIF($BG$3:$BP$3,BJ$60,$BG$4:$BP$4)))</f>
        <v>0</v>
      </c>
      <c r="BK106" s="203" t="n">
        <f aca="false">IF((SUMIF($BG$3:$BP$3,BK$60,$BG$4:$BP$4))=0,0,((SUMIF($BG$3:$BP$3,BK$60,$BG155:$BP155))/SUMIF($BG$3:$BP$3,BK$60,$BG$4:$BP$4)))</f>
        <v>0</v>
      </c>
      <c r="BL106" s="203" t="n">
        <f aca="false">IF((SUMIF($BG$3:$BP$3,BL$60,$BG$4:$BP$4))=0,0,((SUMIF($BG$3:$BP$3,BL$60,$BG155:$BP155))/SUMIF($BG$3:$BP$3,BL$60,$BG$4:$BP$4)))</f>
        <v>0</v>
      </c>
      <c r="BM106" s="203" t="n">
        <f aca="false">IF((SUMIF($BG$3:$BP$3,BM$60,$BG$4:$BP$4))=0,0,((SUMIF($BG$3:$BP$3,BM$60,$BG155:$BP155))/SUMIF($BG$3:$BP$3,BM$60,$BG$4:$BP$4)))</f>
        <v>0</v>
      </c>
      <c r="BN106" s="203" t="n">
        <f aca="false">IF((SUMIF($BG$3:$BP$3,BN$60,$BG$4:$BP$4))=0,0,((SUMIF($BG$3:$BP$3,BN$60,$BG155:$BP155))/SUMIF($BG$3:$BP$3,BN$60,$BG$4:$BP$4)))</f>
        <v>0</v>
      </c>
      <c r="BO106" s="203" t="n">
        <f aca="false">IF((SUMIF($BG$3:$BP$3,BO$60,$BG$4:$BP$4))=0,0,((SUMIF($BG$3:$BP$3,BO$60,$BG155:$BP155))/SUMIF($BG$3:$BP$3,BO$60,$BG$4:$BP$4)))</f>
        <v>0</v>
      </c>
      <c r="BP106" s="204" t="n">
        <f aca="false">IF((SUMIF($BG$3:$BP$3,BP$60,$BG$4:$BP$4))=0,0,((SUMIF($BG$3:$BP$3,BP$60,$BG155:$BP155))/SUMIF($BG$3:$BP$3,BP$60,$BG$4:$BP$4)))</f>
        <v>0</v>
      </c>
      <c r="BQ106" s="201" t="str">
        <f aca="false">BF106</f>
        <v>Alumno45</v>
      </c>
      <c r="BR106" s="202" t="n">
        <f aca="false">IF((SUMIF($BR$3:$CA$3,BR$60,$BR$4:$CA$4))=0,0,((SUMIF($BR$3:$CA$3,BR$60,$BR155:$CA155))/SUMIF($BR$3:$CA$3,BR$60,$BR$4:$CA$4)))</f>
        <v>0</v>
      </c>
      <c r="BS106" s="203" t="n">
        <f aca="false">IF((SUMIF($BR$3:$CA$3,BS$60,$BR$4:$CA$4))=0,0,((SUMIF($BR$3:$CA$3,BS$60,$BR155:$CA155))/SUMIF($BR$3:$CA$3,BS$60,$BR$4:$CA$4)))</f>
        <v>0</v>
      </c>
      <c r="BT106" s="203" t="n">
        <f aca="false">IF((SUMIF($BR$3:$CA$3,BT$60,$BR$4:$CA$4))=0,0,((SUMIF($BR$3:$CA$3,BT$60,$BR155:$CA155))/SUMIF($BR$3:$CA$3,BT$60,$BR$4:$CA$4)))</f>
        <v>0</v>
      </c>
      <c r="BU106" s="203" t="n">
        <f aca="false">IF((SUMIF($BR$3:$CA$3,BU$60,$BR$4:$CA$4))=0,0,((SUMIF($BR$3:$CA$3,BU$60,$BR155:$CA155))/SUMIF($BR$3:$CA$3,BU$60,$BR$4:$CA$4)))</f>
        <v>0</v>
      </c>
      <c r="BV106" s="203" t="n">
        <f aca="false">IF((SUMIF($BR$3:$CA$3,BV$60,$BR$4:$CA$4))=0,0,((SUMIF($BR$3:$CA$3,BV$60,$BR155:$CA155))/SUMIF($BR$3:$CA$3,BV$60,$BR$4:$CA$4)))</f>
        <v>0</v>
      </c>
      <c r="BW106" s="203" t="n">
        <f aca="false">IF((SUMIF($BR$3:$CA$3,BW$60,$BR$4:$CA$4))=0,0,((SUMIF($BR$3:$CA$3,BW$60,$BR155:$CA155))/SUMIF($BR$3:$CA$3,BW$60,$BR$4:$CA$4)))</f>
        <v>0</v>
      </c>
      <c r="BX106" s="203" t="n">
        <f aca="false">IF((SUMIF($BR$3:$CA$3,BX$60,$BR$4:$CA$4))=0,0,((SUMIF($BR$3:$CA$3,BX$60,$BR155:$CA155))/SUMIF($BR$3:$CA$3,BX$60,$BR$4:$CA$4)))</f>
        <v>0</v>
      </c>
      <c r="BY106" s="203" t="n">
        <f aca="false">IF((SUMIF($BR$3:$CA$3,BY$60,$BR$4:$CA$4))=0,0,((SUMIF($BR$3:$CA$3,BY$60,$BR155:$CA155))/SUMIF($BR$3:$CA$3,BY$60,$BR$4:$CA$4)))</f>
        <v>0</v>
      </c>
      <c r="BZ106" s="203" t="n">
        <f aca="false">IF((SUMIF($BR$3:$CA$3,BZ$60,$BR$4:$CA$4))=0,0,((SUMIF($BR$3:$CA$3,BZ$60,$BR155:$CA155))/SUMIF($BR$3:$CA$3,BZ$60,$BR$4:$CA$4)))</f>
        <v>0</v>
      </c>
      <c r="CA106" s="204" t="n">
        <f aca="false">IF((SUMIF($BR$3:$CA$3,CA$60,$BR$4:$CA$4))=0,0,((SUMIF($BR$3:$CA$3,CA$60,$BR155:$CA155))/SUMIF($BR$3:$CA$3,CA$60,$BR$4:$CA$4)))</f>
        <v>0</v>
      </c>
      <c r="CB106" s="201" t="str">
        <f aca="false">BQ106</f>
        <v>Alumno45</v>
      </c>
      <c r="CC106" s="202" t="n">
        <f aca="false">IF((SUMIF($CC$3:$CL$3,CC$60,$CC$4:$CL$4))=0,0,((SUMIF($CC$3:$CL$3,CC$60,$CC155:$CL155))/SUMIF($CC$3:$CL$3,CC$60,$CC$4:$CL$4)))</f>
        <v>0</v>
      </c>
      <c r="CD106" s="203" t="n">
        <f aca="false">IF((SUMIF($CC$3:$CL$3,CD$60,$CC$4:$CL$4))=0,0,((SUMIF($CC$3:$CL$3,CD$60,$CC155:$CL155))/SUMIF($CC$3:$CL$3,CD$60,$CC$4:$CL$4)))</f>
        <v>0</v>
      </c>
      <c r="CE106" s="203" t="n">
        <f aca="false">IF((SUMIF($CC$3:$CL$3,CE$60,$CC$4:$CL$4))=0,0,((SUMIF($CC$3:$CL$3,CE$60,$CC155:$CL155))/SUMIF($CC$3:$CL$3,CE$60,$CC$4:$CL$4)))</f>
        <v>0</v>
      </c>
      <c r="CF106" s="203" t="n">
        <f aca="false">IF((SUMIF($CC$3:$CL$3,CF$60,$CC$4:$CL$4))=0,0,((SUMIF($CC$3:$CL$3,CF$60,$CC155:$CL155))/SUMIF($CC$3:$CL$3,CF$60,$CC$4:$CL$4)))</f>
        <v>0</v>
      </c>
      <c r="CG106" s="203" t="n">
        <f aca="false">IF((SUMIF($CC$3:$CL$3,CG$60,$CC$4:$CL$4))=0,0,((SUMIF($CC$3:$CL$3,CG$60,$CC155:$CL155))/SUMIF($CC$3:$CL$3,CG$60,$CC$4:$CL$4)))</f>
        <v>0</v>
      </c>
      <c r="CH106" s="203" t="n">
        <f aca="false">IF((SUMIF($CC$3:$CL$3,CH$60,$CC$4:$CL$4))=0,0,((SUMIF($CC$3:$CL$3,CH$60,$CC155:$CL155))/SUMIF($CC$3:$CL$3,CH$60,$CC$4:$CL$4)))</f>
        <v>0</v>
      </c>
      <c r="CI106" s="203" t="n">
        <f aca="false">IF((SUMIF($CC$3:$CL$3,CI$60,$CC$4:$CL$4))=0,0,((SUMIF($CC$3:$CL$3,CI$60,$CC155:$CL155))/SUMIF($CC$3:$CL$3,CI$60,$CC$4:$CL$4)))</f>
        <v>0</v>
      </c>
      <c r="CJ106" s="203" t="n">
        <f aca="false">IF((SUMIF($CC$3:$CL$3,CJ$60,$CC$4:$CL$4))=0,0,((SUMIF($CC$3:$CL$3,CJ$60,$CC155:$CL155))/SUMIF($CC$3:$CL$3,CJ$60,$CC$4:$CL$4)))</f>
        <v>0</v>
      </c>
      <c r="CK106" s="203" t="n">
        <f aca="false">IF((SUMIF($CC$3:$CL$3,CK$60,$CC$4:$CL$4))=0,0,((SUMIF($CC$3:$CL$3,CK$60,$CC155:$CL155))/SUMIF($CC$3:$CL$3,CK$60,$CC$4:$CL$4)))</f>
        <v>0</v>
      </c>
      <c r="CL106" s="204" t="n">
        <f aca="false">IF((SUMIF($CC$3:$CL$3,CL$60,$CC$4:$CL$4))=0,0,((SUMIF($CC$3:$CL$3,CL$60,$CC155:$CL155))/SUMIF($CC$3:$CL$3,CL$60,$CC$4:$CL$4)))</f>
        <v>0</v>
      </c>
      <c r="CM106" s="201" t="str">
        <f aca="false">CB106</f>
        <v>Alumno45</v>
      </c>
      <c r="CN106" s="202" t="n">
        <f aca="false">IF((SUMIF($CN$3:$CW$3,CN$60,$CN$4:$CW$4))=0,0,((SUMIF($CN$3:$CW$3,CN$60,$CN155:$CW155))/SUMIF($CN$3:$CW$3,CN$60,$CN$4:$CW$4)))</f>
        <v>0</v>
      </c>
      <c r="CO106" s="203" t="n">
        <f aca="false">IF((SUMIF($CN$3:$CW$3,CO$60,$CN$4:$CW$4))=0,0,((SUMIF($CN$3:$CW$3,CO$60,$CN155:$CW155))/SUMIF($CN$3:$CW$3,CO$60,$CN$4:$CW$4)))</f>
        <v>0</v>
      </c>
      <c r="CP106" s="203" t="n">
        <f aca="false">IF((SUMIF($CN$3:$CW$3,CP$60,$CN$4:$CW$4))=0,0,((SUMIF($CN$3:$CW$3,CP$60,$CN155:$CW155))/SUMIF($CN$3:$CW$3,CP$60,$CN$4:$CW$4)))</f>
        <v>0</v>
      </c>
      <c r="CQ106" s="203" t="n">
        <f aca="false">IF((SUMIF($CN$3:$CW$3,CQ$60,$CN$4:$CW$4))=0,0,((SUMIF($CN$3:$CW$3,CQ$60,$CN155:$CW155))/SUMIF($CN$3:$CW$3,CQ$60,$CN$4:$CW$4)))</f>
        <v>0</v>
      </c>
      <c r="CR106" s="203" t="n">
        <f aca="false">IF((SUMIF($CN$3:$CW$3,CR$60,$CN$4:$CW$4))=0,0,((SUMIF($CN$3:$CW$3,CR$60,$CN155:$CW155))/SUMIF($CN$3:$CW$3,CR$60,$CN$4:$CW$4)))</f>
        <v>0</v>
      </c>
      <c r="CS106" s="203" t="n">
        <f aca="false">IF((SUMIF($CN$3:$CW$3,CS$60,$CN$4:$CW$4))=0,0,((SUMIF($CN$3:$CW$3,CS$60,$CN155:$CW155))/SUMIF($CN$3:$CW$3,CS$60,$CN$4:$CW$4)))</f>
        <v>0</v>
      </c>
      <c r="CT106" s="203" t="n">
        <f aca="false">IF((SUMIF($CN$3:$CW$3,CT$60,$CN$4:$CW$4))=0,0,((SUMIF($CN$3:$CW$3,CT$60,$CN155:$CW155))/SUMIF($CN$3:$CW$3,CT$60,$CN$4:$CW$4)))</f>
        <v>0</v>
      </c>
      <c r="CU106" s="203" t="n">
        <f aca="false">IF((SUMIF($CN$3:$CW$3,CU$60,$CN$4:$CW$4))=0,0,((SUMIF($CN$3:$CW$3,CU$60,$CN155:$CW155))/SUMIF($CN$3:$CW$3,CU$60,$CN$4:$CW$4)))</f>
        <v>0</v>
      </c>
      <c r="CV106" s="203" t="n">
        <f aca="false">IF((SUMIF($CN$3:$CW$3,CV$60,$CN$4:$CW$4))=0,0,((SUMIF($CN$3:$CW$3,CV$60,$CN155:$CW155))/SUMIF($CN$3:$CW$3,CV$60,$CN$4:$CW$4)))</f>
        <v>0</v>
      </c>
      <c r="CW106" s="204" t="n">
        <f aca="false">IF((SUMIF($CN$3:$CW$3,CW$60,$CN$4:$CW$4))=0,0,((SUMIF($CN$3:$CW$3,CW$60,$CN155:$CW155))/SUMIF($CN$3:$CW$3,CW$60,$CN$4:$CW$4)))</f>
        <v>0</v>
      </c>
      <c r="CX106" s="201" t="str">
        <f aca="false">CM106</f>
        <v>Alumno45</v>
      </c>
      <c r="CY106" s="202" t="n">
        <f aca="false">IF((SUMIF($CY$3:$DH$3,CY$60,$CY$4:$DH$4))=0,0,((SUMIF($CY$3:$DH$3,CY$60,$CY155:$DH155))/SUMIF($CY$3:$DH$3,CY$60,$CY$4:$DH$4)))</f>
        <v>0</v>
      </c>
      <c r="CZ106" s="203" t="n">
        <f aca="false">IF((SUMIF($CY$3:$DH$3,CZ$60,$CY$4:$DH$4))=0,0,((SUMIF($CY$3:$DH$3,CZ$60,$CY155:$DH155))/SUMIF($CY$3:$DH$3,CZ$60,$CY$4:$DH$4)))</f>
        <v>0</v>
      </c>
      <c r="DA106" s="203" t="n">
        <f aca="false">IF((SUMIF($CY$3:$DH$3,DA$60,$CY$4:$DH$4))=0,0,((SUMIF($CY$3:$DH$3,DA$60,$CY155:$DH155))/SUMIF($CY$3:$DH$3,DA$60,$CY$4:$DH$4)))</f>
        <v>0</v>
      </c>
      <c r="DB106" s="203" t="n">
        <f aca="false">IF((SUMIF($CY$3:$DH$3,DB$60,$CY$4:$DH$4))=0,0,((SUMIF($CY$3:$DH$3,DB$60,$CY155:$DH155))/SUMIF($CY$3:$DH$3,DB$60,$CY$4:$DH$4)))</f>
        <v>0</v>
      </c>
      <c r="DC106" s="203" t="n">
        <f aca="false">IF((SUMIF($CY$3:$DH$3,DC$60,$CY$4:$DH$4))=0,0,((SUMIF($CY$3:$DH$3,DC$60,$CY155:$DH155))/SUMIF($CY$3:$DH$3,DC$60,$CY$4:$DH$4)))</f>
        <v>0</v>
      </c>
      <c r="DD106" s="203" t="n">
        <f aca="false">IF((SUMIF($CY$3:$DH$3,DD$60,$CY$4:$DH$4))=0,0,((SUMIF($CY$3:$DH$3,DD$60,$CY155:$DH155))/SUMIF($CY$3:$DH$3,DD$60,$CY$4:$DH$4)))</f>
        <v>0</v>
      </c>
      <c r="DE106" s="203" t="n">
        <f aca="false">IF((SUMIF($CY$3:$DH$3,DE$60,$CY$4:$DH$4))=0,0,((SUMIF($CY$3:$DH$3,DE$60,$CY155:$DH155))/SUMIF($CY$3:$DH$3,DE$60,$CY$4:$DH$4)))</f>
        <v>0</v>
      </c>
      <c r="DF106" s="203" t="n">
        <f aca="false">IF((SUMIF($CY$3:$DH$3,DF$60,$CY$4:$DH$4))=0,0,((SUMIF($CY$3:$DH$3,DF$60,$CY155:$DH155))/SUMIF($CY$3:$DH$3,DF$60,$CY$4:$DH$4)))</f>
        <v>0</v>
      </c>
      <c r="DG106" s="203" t="n">
        <f aca="false">IF((SUMIF($CY$3:$DH$3,DG$60,$CY$4:$DH$4))=0,0,((SUMIF($CY$3:$DH$3,DG$60,$CY155:$DH155))/SUMIF($CY$3:$DH$3,DG$60,$CY$4:$DH$4)))</f>
        <v>0</v>
      </c>
      <c r="DH106" s="204" t="n">
        <f aca="false">IF((SUMIF($CY$3:$DH$3,DH$60,$CY$4:$DH$4))=0,0,((SUMIF($CY$3:$DH$3,DH$60,$CY155:$DH155))/SUMIF($CY$3:$DH$3,DH$60,$CY$4:$DH$4)))</f>
        <v>0</v>
      </c>
      <c r="DI106" s="201" t="str">
        <f aca="false">CX106</f>
        <v>Alumno45</v>
      </c>
      <c r="DJ106" s="202" t="n">
        <f aca="false">IF((SUMIF($DJ$3:$DS$3,DJ$60,$DJ$4:$DS$4))=0,0,((SUMIF($DJ$3:$DS$3,DJ$60,$DJ155:$DS155))/SUMIF($DJ$3:$DS$3,DJ$60,$DJ$4:$DS$4)))</f>
        <v>0</v>
      </c>
      <c r="DK106" s="203" t="n">
        <f aca="false">IF((SUMIF($DJ$3:$DS$3,DK$60,$DJ$4:$DS$4))=0,0,((SUMIF($DJ$3:$DS$3,DK$60,$DJ155:$DS155))/SUMIF($DJ$3:$DS$3,DK$60,$DJ$4:$DS$4)))</f>
        <v>0</v>
      </c>
      <c r="DL106" s="203" t="n">
        <f aca="false">IF((SUMIF($DJ$3:$DS$3,DL$60,$DJ$4:$DS$4))=0,0,((SUMIF($DJ$3:$DS$3,DL$60,$DJ155:$DS155))/SUMIF($DJ$3:$DS$3,DL$60,$DJ$4:$DS$4)))</f>
        <v>0</v>
      </c>
      <c r="DM106" s="203" t="n">
        <f aca="false">IF((SUMIF($DJ$3:$DS$3,DM$60,$DJ$4:$DS$4))=0,0,((SUMIF($DJ$3:$DS$3,DM$60,$DJ155:$DS155))/SUMIF($DJ$3:$DS$3,DM$60,$DJ$4:$DS$4)))</f>
        <v>0</v>
      </c>
      <c r="DN106" s="203" t="n">
        <f aca="false">IF((SUMIF($DJ$3:$DS$3,DN$60,$DJ$4:$DS$4))=0,0,((SUMIF($DJ$3:$DS$3,DN$60,$DJ155:$DS155))/SUMIF($DJ$3:$DS$3,DN$60,$DJ$4:$DS$4)))</f>
        <v>0</v>
      </c>
      <c r="DO106" s="203" t="n">
        <f aca="false">IF((SUMIF($DJ$3:$DS$3,DO$60,$DJ$4:$DS$4))=0,0,((SUMIF($DJ$3:$DS$3,DO$60,$DJ155:$DS155))/SUMIF($DJ$3:$DS$3,DO$60,$DJ$4:$DS$4)))</f>
        <v>0</v>
      </c>
      <c r="DP106" s="203" t="n">
        <f aca="false">IF((SUMIF($DJ$3:$DS$3,DP$60,$DJ$4:$DS$4))=0,0,((SUMIF($DJ$3:$DS$3,DP$60,$DJ155:$DS155))/SUMIF($DJ$3:$DS$3,DP$60,$DJ$4:$DS$4)))</f>
        <v>0</v>
      </c>
      <c r="DQ106" s="203" t="n">
        <f aca="false">IF((SUMIF($DJ$3:$DS$3,DQ$60,$DJ$4:$DS$4))=0,0,((SUMIF($DJ$3:$DS$3,DQ$60,$DJ155:$DS155))/SUMIF($DJ$3:$DS$3,DQ$60,$DJ$4:$DS$4)))</f>
        <v>0</v>
      </c>
      <c r="DR106" s="203" t="n">
        <f aca="false">IF((SUMIF($DJ$3:$DS$3,DR$60,$DJ$4:$DS$4))=0,0,((SUMIF($DJ$3:$DS$3,DR$60,$DJ155:$DS155))/SUMIF($DJ$3:$DS$3,DR$60,$DJ$4:$DS$4)))</f>
        <v>0</v>
      </c>
      <c r="DS106" s="204" t="n">
        <f aca="false">IF((SUMIF($DJ$3:$DS$3,DS$60,$DJ$4:$DS$4))=0,0,((SUMIF($DJ$3:$DS$3,DS$60,$DJ155:$DS155))/SUMIF($DJ$3:$DS$3,DS$60,$DJ$4:$DS$4)))</f>
        <v>0</v>
      </c>
      <c r="DT106" s="201" t="str">
        <f aca="false">DI106</f>
        <v>Alumno45</v>
      </c>
      <c r="DU106" s="202" t="n">
        <f aca="false">IF((SUMIF($DU$3:$ED$3,DU$60,$DU$4:$ED$4))=0,0,((SUMIF($DU$3:$ED$3,DU$60,$DU155:$ED155))/SUMIF($DU$3:$ED$3,DU$60,$DU$4:$ED$4)))</f>
        <v>0</v>
      </c>
      <c r="DV106" s="203" t="n">
        <f aca="false">IF((SUMIF($DU$3:$ED$3,DV$60,$DU$4:$ED$4))=0,0,((SUMIF($DU$3:$ED$3,DV$60,$DU155:$ED155))/SUMIF($DU$3:$ED$3,DV$60,$DU$4:$ED$4)))</f>
        <v>0</v>
      </c>
      <c r="DW106" s="203" t="n">
        <f aca="false">IF((SUMIF($DU$3:$ED$3,DW$60,$DU$4:$ED$4))=0,0,((SUMIF($DU$3:$ED$3,DW$60,$DU155:$ED155))/SUMIF($DU$3:$ED$3,DW$60,$DU$4:$ED$4)))</f>
        <v>0</v>
      </c>
      <c r="DX106" s="203" t="n">
        <f aca="false">IF((SUMIF($DU$3:$ED$3,DX$60,$DU$4:$ED$4))=0,0,((SUMIF($DU$3:$ED$3,DX$60,$DU155:$ED155))/SUMIF($DU$3:$ED$3,DX$60,$DU$4:$ED$4)))</f>
        <v>0</v>
      </c>
      <c r="DY106" s="203" t="n">
        <f aca="false">IF((SUMIF($DU$3:$ED$3,DY$60,$DU$4:$ED$4))=0,0,((SUMIF($DU$3:$ED$3,DY$60,$DU155:$ED155))/SUMIF($DU$3:$ED$3,DY$60,$DU$4:$ED$4)))</f>
        <v>0</v>
      </c>
      <c r="DZ106" s="203" t="n">
        <f aca="false">IF((SUMIF($DU$3:$ED$3,DZ$60,$DU$4:$ED$4))=0,0,((SUMIF($DU$3:$ED$3,DZ$60,$DU155:$ED155))/SUMIF($DU$3:$ED$3,DZ$60,$DU$4:$ED$4)))</f>
        <v>0</v>
      </c>
      <c r="EA106" s="203" t="n">
        <f aca="false">IF((SUMIF($DU$3:$ED$3,EA$60,$DU$4:$ED$4))=0,0,((SUMIF($DU$3:$ED$3,EA$60,$DU155:$ED155))/SUMIF($DU$3:$ED$3,EA$60,$DU$4:$ED$4)))</f>
        <v>0</v>
      </c>
      <c r="EB106" s="203" t="n">
        <f aca="false">IF((SUMIF($DU$3:$ED$3,EB$60,$DU$4:$ED$4))=0,0,((SUMIF($DU$3:$ED$3,EB$60,$DU155:$ED155))/SUMIF($DU$3:$ED$3,EB$60,$DU$4:$ED$4)))</f>
        <v>0</v>
      </c>
      <c r="EC106" s="203" t="n">
        <f aca="false">IF((SUMIF($DU$3:$ED$3,EC$60,$DU$4:$ED$4))=0,0,((SUMIF($DU$3:$ED$3,EC$60,$DU155:$ED155))/SUMIF($DU$3:$ED$3,EC$60,$DU$4:$ED$4)))</f>
        <v>0</v>
      </c>
      <c r="ED106" s="204" t="n">
        <f aca="false">IF((SUMIF($DU$3:$ED$3,ED$60,$DU$4:$ED$4))=0,0,((SUMIF($DU$3:$ED$3,ED$60,$DU155:$ED155))/SUMIF($DU$3:$ED$3,ED$60,$DU$4:$ED$4)))</f>
        <v>0</v>
      </c>
      <c r="EE106" s="201" t="str">
        <f aca="false">DT106</f>
        <v>Alumno45</v>
      </c>
      <c r="EF106" s="202" t="n">
        <f aca="false">IF((SUMIF($EF$3:$EO$3,EF$60,$EF$4:$EO$4))=0,0,((SUMIF($EF$3:$EO$3,EF$60,$EF155:$EO155))/SUMIF($EF$3:$EO$3,EF$60,$EF$4:$EO$4)))</f>
        <v>0</v>
      </c>
      <c r="EG106" s="203" t="n">
        <f aca="false">IF((SUMIF($EF$3:$EO$3,EG$60,$EF$4:$EO$4))=0,0,((SUMIF($EF$3:$EO$3,EG$60,$EF155:$EO155))/SUMIF($EF$3:$EO$3,EG$60,$EF$4:$EO$4)))</f>
        <v>0</v>
      </c>
      <c r="EH106" s="203" t="n">
        <f aca="false">IF((SUMIF($EF$3:$EO$3,EH$60,$EF$4:$EO$4))=0,0,((SUMIF($EF$3:$EO$3,EH$60,$EF155:$EO155))/SUMIF($EF$3:$EO$3,EH$60,$EF$4:$EO$4)))</f>
        <v>0</v>
      </c>
      <c r="EI106" s="203" t="n">
        <f aca="false">IF((SUMIF($EF$3:$EO$3,EI$60,$EF$4:$EO$4))=0,0,((SUMIF($EF$3:$EO$3,EI$60,$EF155:$EO155))/SUMIF($EF$3:$EO$3,EI$60,$EF$4:$EO$4)))</f>
        <v>0</v>
      </c>
      <c r="EJ106" s="203" t="n">
        <f aca="false">IF((SUMIF($EF$3:$EO$3,EJ$60,$EF$4:$EO$4))=0,0,((SUMIF($EF$3:$EO$3,EJ$60,$EF155:$EO155))/SUMIF($EF$3:$EO$3,EJ$60,$EF$4:$EO$4)))</f>
        <v>0</v>
      </c>
      <c r="EK106" s="203" t="n">
        <f aca="false">IF((SUMIF($EF$3:$EO$3,EK$60,$EF$4:$EO$4))=0,0,((SUMIF($EF$3:$EO$3,EK$60,$EF155:$EO155))/SUMIF($EF$3:$EO$3,EK$60,$EF$4:$EO$4)))</f>
        <v>0</v>
      </c>
      <c r="EL106" s="203" t="n">
        <f aca="false">IF((SUMIF($EF$3:$EO$3,EL$60,$EF$4:$EO$4))=0,0,((SUMIF($EF$3:$EO$3,EL$60,$EF155:$EO155))/SUMIF($EF$3:$EO$3,EL$60,$EF$4:$EO$4)))</f>
        <v>0</v>
      </c>
      <c r="EM106" s="203" t="n">
        <f aca="false">IF((SUMIF($EF$3:$EO$3,EM$60,$EF$4:$EO$4))=0,0,((SUMIF($EF$3:$EO$3,EM$60,$EF155:$EO155))/SUMIF($EF$3:$EO$3,EM$60,$EF$4:$EO$4)))</f>
        <v>0</v>
      </c>
      <c r="EN106" s="203" t="n">
        <f aca="false">IF((SUMIF($EF$3:$EO$3,EN$60,$EF$4:$EO$4))=0,0,((SUMIF($EF$3:$EO$3,EN$60,$EF155:$EO155))/SUMIF($EF$3:$EO$3,EN$60,$EF$4:$EO$4)))</f>
        <v>0</v>
      </c>
      <c r="EO106" s="204" t="n">
        <f aca="false">IF((SUMIF($EF$3:$EO$3,EO$60,$EF$4:$EO$4))=0,0,((SUMIF($EF$3:$EO$3,EO$60,$EF155:$EO155))/SUMIF($EF$3:$EO$3,EO$60,$EF$4:$EO$4)))</f>
        <v>0</v>
      </c>
      <c r="EP106" s="201" t="str">
        <f aca="false">EE106</f>
        <v>Alumno45</v>
      </c>
      <c r="EQ106" s="202" t="n">
        <f aca="false">IF((SUMIF($EQ$3:$EZ$3,EQ$60,$EQ$4:$EZ$4))=0,0,((SUMIF($EQ$3:$EZ$3,EQ$60,$EQ155:$EZ155))/SUMIF($EQ$3:$EZ$3,EQ$60,$EQ$4:$EZ$4)))</f>
        <v>0</v>
      </c>
      <c r="ER106" s="203" t="n">
        <f aca="false">IF((SUMIF($EQ$3:$EZ$3,ER$60,$EQ$4:$EZ$4))=0,0,((SUMIF($EQ$3:$EZ$3,ER$60,$EQ155:$EZ155))/SUMIF($EQ$3:$EZ$3,ER$60,$EQ$4:$EZ$4)))</f>
        <v>0</v>
      </c>
      <c r="ES106" s="203" t="n">
        <f aca="false">IF((SUMIF($EQ$3:$EZ$3,ES$60,$EQ$4:$EZ$4))=0,0,((SUMIF($EQ$3:$EZ$3,ES$60,$EQ155:$EZ155))/SUMIF($EQ$3:$EZ$3,ES$60,$EQ$4:$EZ$4)))</f>
        <v>0</v>
      </c>
      <c r="ET106" s="203" t="n">
        <f aca="false">IF((SUMIF($EQ$3:$EZ$3,ET$60,$EQ$4:$EZ$4))=0,0,((SUMIF($EQ$3:$EZ$3,ET$60,$EQ155:$EZ155))/SUMIF($EQ$3:$EZ$3,ET$60,$EQ$4:$EZ$4)))</f>
        <v>0</v>
      </c>
      <c r="EU106" s="203" t="n">
        <f aca="false">IF((SUMIF($EQ$3:$EZ$3,EU$60,$EQ$4:$EZ$4))=0,0,((SUMIF($EQ$3:$EZ$3,EU$60,$EQ155:$EZ155))/SUMIF($EQ$3:$EZ$3,EU$60,$EQ$4:$EZ$4)))</f>
        <v>0</v>
      </c>
      <c r="EV106" s="203" t="n">
        <f aca="false">IF((SUMIF($EQ$3:$EZ$3,EV$60,$EQ$4:$EZ$4))=0,0,((SUMIF($EQ$3:$EZ$3,EV$60,$EQ155:$EZ155))/SUMIF($EQ$3:$EZ$3,EV$60,$EQ$4:$EZ$4)))</f>
        <v>0</v>
      </c>
      <c r="EW106" s="203" t="n">
        <f aca="false">IF((SUMIF($EQ$3:$EZ$3,EW$60,$EQ$4:$EZ$4))=0,0,((SUMIF($EQ$3:$EZ$3,EW$60,$EQ155:$EZ155))/SUMIF($EQ$3:$EZ$3,EW$60,$EQ$4:$EZ$4)))</f>
        <v>0</v>
      </c>
      <c r="EX106" s="203" t="n">
        <f aca="false">IF((SUMIF($EQ$3:$EZ$3,EX$60,$EQ$4:$EZ$4))=0,0,((SUMIF($EQ$3:$EZ$3,EX$60,$EQ155:$EZ155))/SUMIF($EQ$3:$EZ$3,EX$60,$EQ$4:$EZ$4)))</f>
        <v>0</v>
      </c>
      <c r="EY106" s="203" t="n">
        <f aca="false">IF((SUMIF($EQ$3:$EZ$3,EY$60,$EQ$4:$EZ$4))=0,0,((SUMIF($EQ$3:$EZ$3,EY$60,$EQ155:$EZ155))/SUMIF($EQ$3:$EZ$3,EY$60,$EQ$4:$EZ$4)))</f>
        <v>0</v>
      </c>
      <c r="EZ106" s="204" t="n">
        <f aca="false">IF((SUMIF($EQ$3:$EZ$3,EZ$60,$EQ$4:$EZ$4))=0,0,((SUMIF($EQ$3:$EZ$3,EZ$60,$EQ155:$EZ155))/SUMIF($EQ$3:$EZ$3,EZ$60,$EQ$4:$EZ$4)))</f>
        <v>0</v>
      </c>
      <c r="FA106" s="201" t="str">
        <f aca="false">EP106</f>
        <v>Alumno45</v>
      </c>
      <c r="FB106" s="202" t="n">
        <f aca="false">IF((SUMIF($FB$3:$FK$3,FB$60,$FB$4:$FK$4))=0,0,((SUMIF($FB$3:$FK$3,FB$60,$FB155:$FK155))/SUMIF($FB$3:$FK$3,FB$60,$FB$4:$FK$4)))</f>
        <v>0</v>
      </c>
      <c r="FC106" s="203" t="n">
        <f aca="false">IF((SUMIF($FB$3:$FK$3,FC$60,$FB$4:$FK$4))=0,0,((SUMIF($FB$3:$FK$3,FC$60,$FB155:$FK155))/SUMIF($FB$3:$FK$3,FC$60,$FB$4:$FK$4)))</f>
        <v>0</v>
      </c>
      <c r="FD106" s="203" t="n">
        <f aca="false">IF((SUMIF($FB$3:$FK$3,FD$60,$FB$4:$FK$4))=0,0,((SUMIF($FB$3:$FK$3,FD$60,$FB155:$FK155))/SUMIF($FB$3:$FK$3,FD$60,$FB$4:$FK$4)))</f>
        <v>0</v>
      </c>
      <c r="FE106" s="203" t="n">
        <f aca="false">IF((SUMIF($FB$3:$FK$3,FE$60,$FB$4:$FK$4))=0,0,((SUMIF($FB$3:$FK$3,FE$60,$FB155:$FK155))/SUMIF($FB$3:$FK$3,FE$60,$FB$4:$FK$4)))</f>
        <v>0</v>
      </c>
      <c r="FF106" s="203" t="n">
        <f aca="false">IF((SUMIF($FB$3:$FK$3,FF$60,$FB$4:$FK$4))=0,0,((SUMIF($FB$3:$FK$3,FF$60,$FB155:$FK155))/SUMIF($FB$3:$FK$3,FF$60,$FB$4:$FK$4)))</f>
        <v>0</v>
      </c>
      <c r="FG106" s="203" t="n">
        <f aca="false">IF((SUMIF($FB$3:$FK$3,FG$60,$FB$4:$FK$4))=0,0,((SUMIF($FB$3:$FK$3,FG$60,$FB155:$FK155))/SUMIF($FB$3:$FK$3,FG$60,$FB$4:$FK$4)))</f>
        <v>0</v>
      </c>
      <c r="FH106" s="203" t="n">
        <f aca="false">IF((SUMIF($FB$3:$FK$3,FH$60,$FB$4:$FK$4))=0,0,((SUMIF($FB$3:$FK$3,FH$60,$FB155:$FK155))/SUMIF($FB$3:$FK$3,FH$60,$FB$4:$FK$4)))</f>
        <v>0</v>
      </c>
      <c r="FI106" s="203" t="n">
        <f aca="false">IF((SUMIF($FB$3:$FK$3,FI$60,$FB$4:$FK$4))=0,0,((SUMIF($FB$3:$FK$3,FI$60,$FB155:$FK155))/SUMIF($FB$3:$FK$3,FI$60,$FB$4:$FK$4)))</f>
        <v>0</v>
      </c>
      <c r="FJ106" s="203" t="n">
        <f aca="false">IF((SUMIF($FB$3:$FK$3,FJ$60,$FB$4:$FK$4))=0,0,((SUMIF($FB$3:$FK$3,FJ$60,$FB155:$FK155))/SUMIF($FB$3:$FK$3,FJ$60,$FB$4:$FK$4)))</f>
        <v>0</v>
      </c>
      <c r="FK106" s="204" t="n">
        <f aca="false">IF((SUMIF($FB$3:$FK$3,FK$60,$FB$4:$FK$4))=0,0,((SUMIF($FB$3:$FK$3,FK$60,$FB155:$FK155))/SUMIF($FB$3:$FK$3,FK$60,$FB$4:$FK$4)))</f>
        <v>0</v>
      </c>
      <c r="FL106" s="201" t="str">
        <f aca="false">FA106</f>
        <v>Alumno45</v>
      </c>
      <c r="FM106" s="202" t="n">
        <f aca="false">IF((SUMIF($FM$3:$FV$3,FM$60,$FM$4:$FV$4))=0,0,((SUMIF($FM$3:$FV$3,FM$60,$FM155:$FV155))/SUMIF($FM$3:$FV$3,FM$60,$FM$4:$FV$4)))</f>
        <v>0</v>
      </c>
      <c r="FN106" s="203" t="n">
        <f aca="false">IF((SUMIF($FM$3:$FV$3,FN$60,$FM$4:$FV$4))=0,0,((SUMIF($FM$3:$FV$3,FN$60,$FM155:$FV155))/SUMIF($FM$3:$FV$3,FN$60,$FM$4:$FV$4)))</f>
        <v>0</v>
      </c>
      <c r="FO106" s="203" t="n">
        <f aca="false">IF((SUMIF($FM$3:$FV$3,FO$60,$FM$4:$FV$4))=0,0,((SUMIF($FM$3:$FV$3,FO$60,$FM155:$FV155))/SUMIF($FM$3:$FV$3,FO$60,$FM$4:$FV$4)))</f>
        <v>0</v>
      </c>
      <c r="FP106" s="203" t="n">
        <f aca="false">IF((SUMIF($FM$3:$FV$3,FP$60,$FM$4:$FV$4))=0,0,((SUMIF($FM$3:$FV$3,FP$60,$FM155:$FV155))/SUMIF($FM$3:$FV$3,FP$60,$FM$4:$FV$4)))</f>
        <v>0</v>
      </c>
      <c r="FQ106" s="203" t="n">
        <f aca="false">IF((SUMIF($FM$3:$FV$3,FQ$60,$FM$4:$FV$4))=0,0,((SUMIF($FM$3:$FV$3,FQ$60,$FM155:$FV155))/SUMIF($FM$3:$FV$3,FQ$60,$FM$4:$FV$4)))</f>
        <v>0</v>
      </c>
      <c r="FR106" s="203" t="n">
        <f aca="false">IF((SUMIF($FM$3:$FV$3,FR$60,$FM$4:$FV$4))=0,0,((SUMIF($FM$3:$FV$3,FR$60,$FM155:$FV155))/SUMIF($FM$3:$FV$3,FR$60,$FM$4:$FV$4)))</f>
        <v>0</v>
      </c>
      <c r="FS106" s="203" t="n">
        <f aca="false">IF((SUMIF($FM$3:$FV$3,FS$60,$FM$4:$FV$4))=0,0,((SUMIF($FM$3:$FV$3,FS$60,$FM155:$FV155))/SUMIF($FM$3:$FV$3,FS$60,$FM$4:$FV$4)))</f>
        <v>0</v>
      </c>
      <c r="FT106" s="203" t="n">
        <f aca="false">IF((SUMIF($FM$3:$FV$3,FT$60,$FM$4:$FV$4))=0,0,((SUMIF($FM$3:$FV$3,FT$60,$FM155:$FV155))/SUMIF($FM$3:$FV$3,FT$60,$FM$4:$FV$4)))</f>
        <v>0</v>
      </c>
      <c r="FU106" s="203" t="n">
        <f aca="false">IF((SUMIF($FM$3:$FV$3,FU$60,$FM$4:$FV$4))=0,0,((SUMIF($FM$3:$FV$3,FU$60,$FM155:$FV155))/SUMIF($FM$3:$FV$3,FU$60,$FM$4:$FV$4)))</f>
        <v>0</v>
      </c>
      <c r="FV106" s="204" t="n">
        <f aca="false">IF((SUMIF($FM$3:$FV$3,FV$60,$FM$4:$FV$4))=0,0,((SUMIF($FM$3:$FV$3,FV$60,$FM155:$FV155))/SUMIF($FM$3:$FV$3,FV$60,$FM$4:$FV$4)))</f>
        <v>0</v>
      </c>
      <c r="FW106" s="201" t="str">
        <f aca="false">FL106</f>
        <v>Alumno45</v>
      </c>
      <c r="FX106" s="202" t="n">
        <f aca="false">IF((SUMIF($FX$3:$GG$3,FX$60,$FX$4:$GG$4))=0,0,((SUMIF($FX$3:$GG$3,FX$60,$FX155:$GG155))/SUMIF($FX$3:$GG$3,FX$60,$FX$4:$GG$4)))</f>
        <v>0</v>
      </c>
      <c r="FY106" s="203" t="n">
        <f aca="false">IF((SUMIF($FX$3:$GG$3,FY$60,$FX$4:$GG$4))=0,0,((SUMIF($FX$3:$GG$3,FY$60,$FX155:$GG155))/SUMIF($FX$3:$GG$3,FY$60,$FX$4:$GG$4)))</f>
        <v>0</v>
      </c>
      <c r="FZ106" s="203" t="n">
        <f aca="false">IF((SUMIF($FX$3:$GG$3,FZ$60,$FX$4:$GG$4))=0,0,((SUMIF($FX$3:$GG$3,FZ$60,$FX155:$GG155))/SUMIF($FX$3:$GG$3,FZ$60,$FX$4:$GG$4)))</f>
        <v>0</v>
      </c>
      <c r="GA106" s="203" t="n">
        <f aca="false">IF((SUMIF($FX$3:$GG$3,GA$60,$FX$4:$GG$4))=0,0,((SUMIF($FX$3:$GG$3,GA$60,$FX155:$GG155))/SUMIF($FX$3:$GG$3,GA$60,$FX$4:$GG$4)))</f>
        <v>0</v>
      </c>
      <c r="GB106" s="203" t="n">
        <f aca="false">IF((SUMIF($FX$3:$GG$3,GB$60,$FX$4:$GG$4))=0,0,((SUMIF($FX$3:$GG$3,GB$60,$FX155:$GG155))/SUMIF($FX$3:$GG$3,GB$60,$FX$4:$GG$4)))</f>
        <v>0</v>
      </c>
      <c r="GC106" s="203" t="n">
        <f aca="false">IF((SUMIF($FX$3:$GG$3,GC$60,$FX$4:$GG$4))=0,0,((SUMIF($FX$3:$GG$3,GC$60,$FX155:$GG155))/SUMIF($FX$3:$GG$3,GC$60,$FX$4:$GG$4)))</f>
        <v>0</v>
      </c>
      <c r="GD106" s="203" t="n">
        <f aca="false">IF((SUMIF($FX$3:$GG$3,GD$60,$FX$4:$GG$4))=0,0,((SUMIF($FX$3:$GG$3,GD$60,$FX155:$GG155))/SUMIF($FX$3:$GG$3,GD$60,$FX$4:$GG$4)))</f>
        <v>0</v>
      </c>
      <c r="GE106" s="203" t="n">
        <f aca="false">IF((SUMIF($FX$3:$GG$3,GE$60,$FX$4:$GG$4))=0,0,((SUMIF($FX$3:$GG$3,GE$60,$FX155:$GG155))/SUMIF($FX$3:$GG$3,GE$60,$FX$4:$GG$4)))</f>
        <v>0</v>
      </c>
      <c r="GF106" s="203" t="n">
        <f aca="false">IF((SUMIF($FX$3:$GG$3,GF$60,$FX$4:$GG$4))=0,0,((SUMIF($FX$3:$GG$3,GF$60,$FX155:$GG155))/SUMIF($FX$3:$GG$3,GF$60,$FX$4:$GG$4)))</f>
        <v>0</v>
      </c>
      <c r="GG106" s="204" t="n">
        <f aca="false">IF((SUMIF($FX$3:$GG$3,GG$60,$FX$4:$GG$4))=0,0,((SUMIF($FX$3:$GG$3,GG$60,$FX155:$GG155))/SUMIF($FX$3:$GG$3,GG$60,$FX$4:$GG$4)))</f>
        <v>0</v>
      </c>
      <c r="GH106" s="201" t="str">
        <f aca="false">FW106</f>
        <v>Alumno45</v>
      </c>
      <c r="GI106" s="202" t="n">
        <f aca="false">IF((SUMIF($GI$3:$GR$3,GI$60,$GI$4:$GR$4))=0,0,((SUMIF($GI$3:$GR$3,GI$60,$GI155:$GR155))/SUMIF($GI$3:$GR$3,GI$60,$GI$4:$GR$4)))</f>
        <v>0</v>
      </c>
      <c r="GJ106" s="203" t="n">
        <f aca="false">IF((SUMIF($GI$3:$GR$3,GJ$60,$GI$4:$GR$4))=0,0,((SUMIF($GI$3:$GR$3,GJ$60,$GI155:$GR155))/SUMIF($GI$3:$GR$3,GJ$60,$GI$4:$GR$4)))</f>
        <v>0</v>
      </c>
      <c r="GK106" s="203" t="n">
        <f aca="false">IF((SUMIF($GI$3:$GR$3,GK$60,$GI$4:$GR$4))=0,0,((SUMIF($GI$3:$GR$3,GK$60,$GI155:$GR155))/SUMIF($GI$3:$GR$3,GK$60,$GI$4:$GR$4)))</f>
        <v>0</v>
      </c>
      <c r="GL106" s="203" t="n">
        <f aca="false">IF((SUMIF($GI$3:$GR$3,GL$60,$GI$4:$GR$4))=0,0,((SUMIF($GI$3:$GR$3,GL$60,$GI155:$GR155))/SUMIF($GI$3:$GR$3,GL$60,$GI$4:$GR$4)))</f>
        <v>0</v>
      </c>
      <c r="GM106" s="203" t="n">
        <f aca="false">IF((SUMIF($GI$3:$GR$3,GM$60,$GI$4:$GR$4))=0,0,((SUMIF($GI$3:$GR$3,GM$60,$GI155:$GR155))/SUMIF($GI$3:$GR$3,GM$60,$GI$4:$GR$4)))</f>
        <v>0</v>
      </c>
      <c r="GN106" s="203" t="n">
        <f aca="false">IF((SUMIF($GI$3:$GR$3,GN$60,$GI$4:$GR$4))=0,0,((SUMIF($GI$3:$GR$3,GN$60,$GI155:$GR155))/SUMIF($GI$3:$GR$3,GN$60,$GI$4:$GR$4)))</f>
        <v>0</v>
      </c>
      <c r="GO106" s="203" t="n">
        <f aca="false">IF((SUMIF($GI$3:$GR$3,GO$60,$GI$4:$GR$4))=0,0,((SUMIF($GI$3:$GR$3,GO$60,$GI155:$GR155))/SUMIF($GI$3:$GR$3,GO$60,$GI$4:$GR$4)))</f>
        <v>0</v>
      </c>
      <c r="GP106" s="203" t="n">
        <f aca="false">IF((SUMIF($GI$3:$GR$3,GP$60,$GI$4:$GR$4))=0,0,((SUMIF($GI$3:$GR$3,GP$60,$GI155:$GR155))/SUMIF($GI$3:$GR$3,GP$60,$GI$4:$GR$4)))</f>
        <v>0</v>
      </c>
      <c r="GQ106" s="203" t="n">
        <f aca="false">IF((SUMIF($GI$3:$GR$3,GQ$60,$GI$4:$GR$4))=0,0,((SUMIF($GI$3:$GR$3,GQ$60,$GI155:$GR155))/SUMIF($GI$3:$GR$3,GQ$60,$GI$4:$GR$4)))</f>
        <v>0</v>
      </c>
      <c r="GR106" s="204" t="n">
        <f aca="false">IF((SUMIF($GI$3:$GR$3,GR$60,$GI$4:$GR$4))=0,0,((SUMIF($GI$3:$GR$3,GR$60,$GI155:$GR155))/SUMIF($GI$3:$GR$3,GR$60,$GI$4:$GR$4)))</f>
        <v>0</v>
      </c>
      <c r="GS106" s="201" t="str">
        <f aca="false">GH106</f>
        <v>Alumno45</v>
      </c>
      <c r="GT106" s="202" t="n">
        <f aca="false">IF((SUMIF($GT$3:$HC$3,GT$60,$GT$4:$HC$4))=0,0,((SUMIF($GT$3:$HC$3,GT$60,$GT155:$HC155))/SUMIF($GT$3:$HC$3,GT$60,$GT$4:$HC$4)))</f>
        <v>0</v>
      </c>
      <c r="GU106" s="203" t="n">
        <f aca="false">IF((SUMIF($GT$3:$HC$3,GU$60,$GT$4:$HC$4))=0,0,((SUMIF($GT$3:$HC$3,GU$60,$GT155:$HC155))/SUMIF($GT$3:$HC$3,GU$60,$GT$4:$HC$4)))</f>
        <v>0</v>
      </c>
      <c r="GV106" s="203" t="n">
        <f aca="false">IF((SUMIF($GT$3:$HC$3,GV$60,$GT$4:$HC$4))=0,0,((SUMIF($GT$3:$HC$3,GV$60,$GT155:$HC155))/SUMIF($GT$3:$HC$3,GV$60,$GT$4:$HC$4)))</f>
        <v>0</v>
      </c>
      <c r="GW106" s="203" t="n">
        <f aca="false">IF((SUMIF($GT$3:$HC$3,GW$60,$GT$4:$HC$4))=0,0,((SUMIF($GT$3:$HC$3,GW$60,$GT155:$HC155))/SUMIF($GT$3:$HC$3,GW$60,$GT$4:$HC$4)))</f>
        <v>0</v>
      </c>
      <c r="GX106" s="203" t="n">
        <f aca="false">IF((SUMIF($GT$3:$HC$3,GX$60,$GT$4:$HC$4))=0,0,((SUMIF($GT$3:$HC$3,GX$60,$GT155:$HC155))/SUMIF($GT$3:$HC$3,GX$60,$GT$4:$HC$4)))</f>
        <v>0</v>
      </c>
      <c r="GY106" s="203" t="n">
        <f aca="false">IF((SUMIF($GT$3:$HC$3,GY$60,$GT$4:$HC$4))=0,0,((SUMIF($GT$3:$HC$3,GY$60,$GT155:$HC155))/SUMIF($GT$3:$HC$3,GY$60,$GT$4:$HC$4)))</f>
        <v>0</v>
      </c>
      <c r="GZ106" s="203" t="n">
        <f aca="false">IF((SUMIF($GT$3:$HC$3,GZ$60,$GT$4:$HC$4))=0,0,((SUMIF($GT$3:$HC$3,GZ$60,$GT155:$HC155))/SUMIF($GT$3:$HC$3,GZ$60,$GT$4:$HC$4)))</f>
        <v>0</v>
      </c>
      <c r="HA106" s="203" t="n">
        <f aca="false">IF((SUMIF($GT$3:$HC$3,HA$60,$GT$4:$HC$4))=0,0,((SUMIF($GT$3:$HC$3,HA$60,$GT155:$HC155))/SUMIF($GT$3:$HC$3,HA$60,$GT$4:$HC$4)))</f>
        <v>0</v>
      </c>
      <c r="HB106" s="203" t="n">
        <f aca="false">IF((SUMIF($GT$3:$HC$3,HB$60,$GT$4:$HC$4))=0,0,((SUMIF($GT$3:$HC$3,HB$60,$GT155:$HC155))/SUMIF($GT$3:$HC$3,HB$60,$GT$4:$HC$4)))</f>
        <v>0</v>
      </c>
      <c r="HC106" s="204" t="n">
        <f aca="false">IF((SUMIF($GT$3:$HC$3,HC$60,$GT$4:$HC$4))=0,0,((SUMIF($GT$3:$HC$3,HC$60,$GT155:$HC155))/SUMIF($GT$3:$HC$3,HC$60,$GT$4:$HC$4)))</f>
        <v>0</v>
      </c>
      <c r="HD106" s="201" t="str">
        <f aca="false">GS106</f>
        <v>Alumno45</v>
      </c>
      <c r="HE106" s="202" t="n">
        <f aca="false">IF((SUMIF($HE$3:$HN$3,HE$60,$HE$4:$HN$4))=0,0,((SUMIF($HE$3:$HN$3,HE$60,$HE155:$HN155))/SUMIF($HE$3:$HN$3,HE$60,$HE$4:$HN$4)))</f>
        <v>0</v>
      </c>
      <c r="HF106" s="203" t="n">
        <f aca="false">IF((SUMIF($HE$3:$HN$3,HF$60,$HE$4:$HN$4))=0,0,((SUMIF($HE$3:$HN$3,HF$60,$HE155:$HN155))/SUMIF($HE$3:$HN$3,HF$60,$HE$4:$HN$4)))</f>
        <v>0</v>
      </c>
      <c r="HG106" s="203" t="n">
        <f aca="false">IF((SUMIF($HE$3:$HN$3,HG$60,$HE$4:$HN$4))=0,0,((SUMIF($HE$3:$HN$3,HG$60,$HE155:$HN155))/SUMIF($HE$3:$HN$3,HG$60,$HE$4:$HN$4)))</f>
        <v>0</v>
      </c>
      <c r="HH106" s="203" t="n">
        <f aca="false">IF((SUMIF($HE$3:$HN$3,HH$60,$HE$4:$HN$4))=0,0,((SUMIF($HE$3:$HN$3,HH$60,$HE155:$HN155))/SUMIF($HE$3:$HN$3,HH$60,$HE$4:$HN$4)))</f>
        <v>0</v>
      </c>
      <c r="HI106" s="203" t="n">
        <f aca="false">IF((SUMIF($HE$3:$HN$3,HI$60,$HE$4:$HN$4))=0,0,((SUMIF($HE$3:$HN$3,HI$60,$HE155:$HN155))/SUMIF($HE$3:$HN$3,HI$60,$HE$4:$HN$4)))</f>
        <v>0</v>
      </c>
      <c r="HJ106" s="203" t="n">
        <f aca="false">IF((SUMIF($HE$3:$HN$3,HJ$60,$HE$4:$HN$4))=0,0,((SUMIF($HE$3:$HN$3,HJ$60,$HE155:$HN155))/SUMIF($HE$3:$HN$3,HJ$60,$HE$4:$HN$4)))</f>
        <v>0</v>
      </c>
      <c r="HK106" s="203" t="n">
        <f aca="false">IF((SUMIF($HE$3:$HN$3,HK$60,$HE$4:$HN$4))=0,0,((SUMIF($HE$3:$HN$3,HK$60,$HE155:$HN155))/SUMIF($HE$3:$HN$3,HK$60,$HE$4:$HN$4)))</f>
        <v>0</v>
      </c>
      <c r="HL106" s="203" t="n">
        <f aca="false">IF((SUMIF($HE$3:$HN$3,HL$60,$HE$4:$HN$4))=0,0,((SUMIF($HE$3:$HN$3,HL$60,$HE155:$HN155))/SUMIF($HE$3:$HN$3,HL$60,$HE$4:$HN$4)))</f>
        <v>0</v>
      </c>
      <c r="HM106" s="203" t="n">
        <f aca="false">IF((SUMIF($HE$3:$HN$3,HM$60,$HE$4:$HN$4))=0,0,((SUMIF($HE$3:$HN$3,HM$60,$HE155:$HN155))/SUMIF($HE$3:$HN$3,HM$60,$HE$4:$HN$4)))</f>
        <v>0</v>
      </c>
      <c r="HN106" s="204" t="n">
        <f aca="false">IF((SUMIF($HE$3:$HN$3,HN$60,$HE$4:$HN$4))=0,0,((SUMIF($HE$3:$HN$3,HN$60,$HE155:$HN155))/SUMIF($HE$3:$HN$3,HN$60,$HE$4:$HN$4)))</f>
        <v>0</v>
      </c>
      <c r="HO106" s="201" t="str">
        <f aca="false">HD106</f>
        <v>Alumno45</v>
      </c>
      <c r="HP106" s="202" t="n">
        <f aca="false">IF((SUMIF($HP$3:$HY$3,HP$60,$HP$4:$HY$4))=0,0,((SUMIF($HP$3:$HY$3,HP$60,$HP155:$HY155))/SUMIF($HP$3:$HY$3,HP$60,$HP$4:$HY$4)))</f>
        <v>0</v>
      </c>
      <c r="HQ106" s="203" t="n">
        <f aca="false">IF((SUMIF($HP$3:$HY$3,HQ$60,$HP$4:$HY$4))=0,0,((SUMIF($HP$3:$HY$3,HQ$60,$HP155:$HY155))/SUMIF($HP$3:$HY$3,HQ$60,$HP$4:$HY$4)))</f>
        <v>0</v>
      </c>
      <c r="HR106" s="203" t="n">
        <f aca="false">IF((SUMIF($HP$3:$HY$3,HR$60,$HP$4:$HY$4))=0,0,((SUMIF($HP$3:$HY$3,HR$60,$HP155:$HY155))/SUMIF($HP$3:$HY$3,HR$60,$HP$4:$HY$4)))</f>
        <v>0</v>
      </c>
      <c r="HS106" s="203" t="n">
        <f aca="false">IF((SUMIF($HP$3:$HY$3,HS$60,$HP$4:$HY$4))=0,0,((SUMIF($HP$3:$HY$3,HS$60,$HP155:$HY155))/SUMIF($HP$3:$HY$3,HS$60,$HP$4:$HY$4)))</f>
        <v>0</v>
      </c>
      <c r="HT106" s="203" t="n">
        <f aca="false">IF((SUMIF($HP$3:$HY$3,HT$60,$HP$4:$HY$4))=0,0,((SUMIF($HP$3:$HY$3,HT$60,$HP155:$HY155))/SUMIF($HP$3:$HY$3,HT$60,$HP$4:$HY$4)))</f>
        <v>0</v>
      </c>
      <c r="HU106" s="203" t="n">
        <f aca="false">IF((SUMIF($HP$3:$HY$3,HU$60,$HP$4:$HY$4))=0,0,((SUMIF($HP$3:$HY$3,HU$60,$HP155:$HY155))/SUMIF($HP$3:$HY$3,HU$60,$HP$4:$HY$4)))</f>
        <v>0</v>
      </c>
      <c r="HV106" s="203" t="n">
        <f aca="false">IF((SUMIF($HP$3:$HY$3,HV$60,$HP$4:$HY$4))=0,0,((SUMIF($HP$3:$HY$3,HV$60,$HP155:$HY155))/SUMIF($HP$3:$HY$3,HV$60,$HP$4:$HY$4)))</f>
        <v>0</v>
      </c>
      <c r="HW106" s="203" t="n">
        <f aca="false">IF((SUMIF($HP$3:$HY$3,HW$60,$HP$4:$HY$4))=0,0,((SUMIF($HP$3:$HY$3,HW$60,$HP155:$HY155))/SUMIF($HP$3:$HY$3,HW$60,$HP$4:$HY$4)))</f>
        <v>0</v>
      </c>
      <c r="HX106" s="203" t="n">
        <f aca="false">IF((SUMIF($HP$3:$HY$3,HX$60,$HP$4:$HY$4))=0,0,((SUMIF($HP$3:$HY$3,HX$60,$HP155:$HY155))/SUMIF($HP$3:$HY$3,HX$60,$HP$4:$HY$4)))</f>
        <v>0</v>
      </c>
      <c r="HY106" s="204" t="n">
        <f aca="false">IF((SUMIF($HP$3:$HY$3,HY$60,$HP$4:$HY$4))=0,0,((SUMIF($HP$3:$HY$3,HY$60,$HP155:$HY155))/SUMIF($HP$3:$HY$3,HY$60,$HP$4:$HY$4)))</f>
        <v>0</v>
      </c>
      <c r="HZ106" s="201" t="str">
        <f aca="false">HO106</f>
        <v>Alumno45</v>
      </c>
      <c r="IA106" s="202" t="n">
        <f aca="false">IF((SUMIF($IA$3:$IJ$3,IA$60,$IA$4:$IJ$4))=0,0,((SUMIF($IA$3:$IJ$3,IA$60,$IA155:$IJ155))/SUMIF($IA$3:$IJ$3,IA$60,$IA$4:$IJ$4)))</f>
        <v>0</v>
      </c>
      <c r="IB106" s="203" t="n">
        <f aca="false">IF((SUMIF($IA$3:$IJ$3,IB$60,$IA$4:$IJ$4))=0,0,((SUMIF($IA$3:$IJ$3,IB$60,$IA155:$IJ155))/SUMIF($IA$3:$IJ$3,IB$60,$IA$4:$IJ$4)))</f>
        <v>0</v>
      </c>
      <c r="IC106" s="203" t="n">
        <f aca="false">IF((SUMIF($IA$3:$IJ$3,IC$60,$IA$4:$IJ$4))=0,0,((SUMIF($IA$3:$IJ$3,IC$60,$IA155:$IJ155))/SUMIF($IA$3:$IJ$3,IC$60,$IA$4:$IJ$4)))</f>
        <v>0</v>
      </c>
      <c r="ID106" s="203" t="n">
        <f aca="false">IF((SUMIF($IA$3:$IJ$3,ID$60,$IA$4:$IJ$4))=0,0,((SUMIF($IA$3:$IJ$3,ID$60,$IA155:$IJ155))/SUMIF($IA$3:$IJ$3,ID$60,$IA$4:$IJ$4)))</f>
        <v>0</v>
      </c>
      <c r="IE106" s="203" t="n">
        <f aca="false">IF((SUMIF($IA$3:$IJ$3,IE$60,$IA$4:$IJ$4))=0,0,((SUMIF($IA$3:$IJ$3,IE$60,$IA155:$IJ155))/SUMIF($IA$3:$IJ$3,IE$60,$IA$4:$IJ$4)))</f>
        <v>0</v>
      </c>
      <c r="IF106" s="203" t="n">
        <f aca="false">IF((SUMIF($IA$3:$IJ$3,IF$60,$IA$4:$IJ$4))=0,0,((SUMIF($IA$3:$IJ$3,IF$60,$IA155:$IJ155))/SUMIF($IA$3:$IJ$3,IF$60,$IA$4:$IJ$4)))</f>
        <v>0</v>
      </c>
      <c r="IG106" s="203" t="n">
        <f aca="false">IF((SUMIF($IA$3:$IJ$3,IG$60,$IA$4:$IJ$4))=0,0,((SUMIF($IA$3:$IJ$3,IG$60,$IA155:$IJ155))/SUMIF($IA$3:$IJ$3,IG$60,$IA$4:$IJ$4)))</f>
        <v>0</v>
      </c>
      <c r="IH106" s="203" t="n">
        <f aca="false">IF((SUMIF($IA$3:$IJ$3,IH$60,$IA$4:$IJ$4))=0,0,((SUMIF($IA$3:$IJ$3,IH$60,$IA155:$IJ155))/SUMIF($IA$3:$IJ$3,IH$60,$IA$4:$IJ$4)))</f>
        <v>0</v>
      </c>
      <c r="II106" s="203" t="n">
        <f aca="false">IF((SUMIF($IA$3:$IJ$3,II$60,$IA$4:$IJ$4))=0,0,((SUMIF($IA$3:$IJ$3,II$60,$IA155:$IJ155))/SUMIF($IA$3:$IJ$3,II$60,$IA$4:$IJ$4)))</f>
        <v>0</v>
      </c>
      <c r="IJ106" s="204" t="n">
        <f aca="false">IF((SUMIF($IA$3:$IJ$3,IJ$60,$IA$4:$IJ$4))=0,0,((SUMIF($IA$3:$IJ$3,IJ$60,$IA155:$IJ155))/SUMIF($IA$3:$IJ$3,IJ$60,$IA$4:$IJ$4)))</f>
        <v>0</v>
      </c>
      <c r="IK106" s="201" t="str">
        <f aca="false">HZ106</f>
        <v>Alumno45</v>
      </c>
      <c r="IL106" s="202" t="n">
        <f aca="false">IF((SUMIF($IL$3:$IU$3,IL$60,$IL$4:$IU$4))=0,0,((SUMIF($IL$3:$IU$3,IL$60,$IL155:$IU155))/SUMIF($IL$3:$IU$3,IL$60,$IL$4:$IU$4)))</f>
        <v>0</v>
      </c>
      <c r="IM106" s="203" t="n">
        <f aca="false">IF((SUMIF($IL$3:$IU$3,IM$60,$IL$4:$IU$4))=0,0,((SUMIF($IL$3:$IU$3,IM$60,$IL155:$IU155))/SUMIF($IL$3:$IU$3,IM$60,$IL$4:$IU$4)))</f>
        <v>0</v>
      </c>
      <c r="IN106" s="203" t="n">
        <f aca="false">IF((SUMIF($IL$3:$IU$3,IN$60,$IL$4:$IU$4))=0,0,((SUMIF($IL$3:$IU$3,IN$60,$IL155:$IU155))/SUMIF($IL$3:$IU$3,IN$60,$IL$4:$IU$4)))</f>
        <v>0</v>
      </c>
      <c r="IO106" s="203" t="n">
        <f aca="false">IF((SUMIF($IL$3:$IU$3,IO$60,$IL$4:$IU$4))=0,0,((SUMIF($IL$3:$IU$3,IO$60,$IL155:$IU155))/SUMIF($IL$3:$IU$3,IO$60,$IL$4:$IU$4)))</f>
        <v>0</v>
      </c>
      <c r="IP106" s="203" t="n">
        <f aca="false">IF((SUMIF($IL$3:$IU$3,IP$60,$IL$4:$IU$4))=0,0,((SUMIF($IL$3:$IU$3,IP$60,$IL155:$IU155))/SUMIF($IL$3:$IU$3,IP$60,$IL$4:$IU$4)))</f>
        <v>0</v>
      </c>
      <c r="IQ106" s="203" t="n">
        <f aca="false">IF((SUMIF($IL$3:$IU$3,IQ$60,$IL$4:$IU$4))=0,0,((SUMIF($IL$3:$IU$3,IQ$60,$IL155:$IU155))/SUMIF($IL$3:$IU$3,IQ$60,$IL$4:$IU$4)))</f>
        <v>0</v>
      </c>
      <c r="IR106" s="203" t="n">
        <f aca="false">IF((SUMIF($IL$3:$IU$3,IR$60,$IL$4:$IU$4))=0,0,((SUMIF($IL$3:$IU$3,IR$60,$IL155:$IU155))/SUMIF($IL$3:$IU$3,IR$60,$IL$4:$IU$4)))</f>
        <v>0</v>
      </c>
      <c r="IS106" s="203" t="n">
        <f aca="false">IF((SUMIF($IL$3:$IU$3,IS$60,$IL$4:$IU$4))=0,0,((SUMIF($IL$3:$IU$3,IS$60,$IL155:$IU155))/SUMIF($IL$3:$IU$3,IS$60,$IL$4:$IU$4)))</f>
        <v>0</v>
      </c>
      <c r="IT106" s="203" t="n">
        <f aca="false">IF((SUMIF($IL$3:$IU$3,IT$60,$IL$4:$IU$4))=0,0,((SUMIF($IL$3:$IU$3,IT$60,$IL155:$IU155))/SUMIF($IL$3:$IU$3,IT$60,$IL$4:$IU$4)))</f>
        <v>0</v>
      </c>
      <c r="IU106" s="204" t="n">
        <f aca="false">IF((SUMIF($IL$3:$IU$3,IU$60,$IL$4:$IU$4))=0,0,((SUMIF($IL$3:$IU$3,IU$60,$IL155:$IU155))/SUMIF($IL$3:$IU$3,IU$60,$IL$4:$IU$4)))</f>
        <v>0</v>
      </c>
      <c r="IV106" s="201" t="str">
        <f aca="false">IK106</f>
        <v>Alumno45</v>
      </c>
      <c r="IW106" s="202" t="n">
        <f aca="false">IF((SUMIF($IW$3:$JF$3,IW$60,$IW$4:$JF$4))=0,0,((SUMIF($IW$3:$JF$3,IW$60,$IW155:$JF155))/SUMIF($IW$3:$JF$3,IW$60,$IW$4:$JF$4)))</f>
        <v>0</v>
      </c>
      <c r="IX106" s="203" t="n">
        <f aca="false">IF((SUMIF($IW$3:$JF$3,IX$60,$IW$4:$JF$4))=0,0,((SUMIF($IW$3:$JF$3,IX$60,$IW155:$JF155))/SUMIF($IW$3:$JF$3,IX$60,$IW$4:$JF$4)))</f>
        <v>0</v>
      </c>
      <c r="IY106" s="203" t="n">
        <f aca="false">IF((SUMIF($IW$3:$JF$3,IY$60,$IW$4:$JF$4))=0,0,((SUMIF($IW$3:$JF$3,IY$60,$IW155:$JF155))/SUMIF($IW$3:$JF$3,IY$60,$IW$4:$JF$4)))</f>
        <v>0</v>
      </c>
      <c r="IZ106" s="203" t="n">
        <f aca="false">IF((SUMIF($IW$3:$JF$3,IZ$60,$IW$4:$JF$4))=0,0,((SUMIF($IW$3:$JF$3,IZ$60,$IW155:$JF155))/SUMIF($IW$3:$JF$3,IZ$60,$IW$4:$JF$4)))</f>
        <v>0</v>
      </c>
      <c r="JA106" s="203" t="n">
        <f aca="false">IF((SUMIF($IW$3:$JF$3,JA$60,$IW$4:$JF$4))=0,0,((SUMIF($IW$3:$JF$3,JA$60,$IW155:$JF155))/SUMIF($IW$3:$JF$3,JA$60,$IW$4:$JF$4)))</f>
        <v>0</v>
      </c>
      <c r="JB106" s="203" t="n">
        <f aca="false">IF((SUMIF($IW$3:$JF$3,JB$60,$IW$4:$JF$4))=0,0,((SUMIF($IW$3:$JF$3,JB$60,$IW155:$JF155))/SUMIF($IW$3:$JF$3,JB$60,$IW$4:$JF$4)))</f>
        <v>0</v>
      </c>
      <c r="JC106" s="203" t="n">
        <f aca="false">IF((SUMIF($IW$3:$JF$3,JC$60,$IW$4:$JF$4))=0,0,((SUMIF($IW$3:$JF$3,JC$60,$IW155:$JF155))/SUMIF($IW$3:$JF$3,JC$60,$IW$4:$JF$4)))</f>
        <v>0</v>
      </c>
      <c r="JD106" s="203" t="n">
        <f aca="false">IF((SUMIF($IW$3:$JF$3,JD$60,$IW$4:$JF$4))=0,0,((SUMIF($IW$3:$JF$3,JD$60,$IW155:$JF155))/SUMIF($IW$3:$JF$3,JD$60,$IW$4:$JF$4)))</f>
        <v>0</v>
      </c>
      <c r="JE106" s="203" t="n">
        <f aca="false">IF((SUMIF($IW$3:$JF$3,JE$60,$IW$4:$JF$4))=0,0,((SUMIF($IW$3:$JF$3,JE$60,$IW155:$JF155))/SUMIF($IW$3:$JF$3,JE$60,$IW$4:$JF$4)))</f>
        <v>0</v>
      </c>
      <c r="JF106" s="204" t="n">
        <f aca="false">IF((SUMIF($IW$3:$JF$3,JF$60,$IW$4:$JF$4))=0,0,((SUMIF($IW$3:$JF$3,JF$60,$IW155:$JF155))/SUMIF($IW$3:$JF$3,JF$60,$IW$4:$JF$4)))</f>
        <v>0</v>
      </c>
      <c r="JG106" s="201" t="str">
        <f aca="false">IV106</f>
        <v>Alumno45</v>
      </c>
      <c r="JH106" s="202" t="n">
        <f aca="false">IF((SUMIF($JH$3:$JQ$3,JH$60,$JH$4:$JQ$4))=0,0,((SUMIF($JH$3:$JQ$3,JH$60,$JH155:$JQ155))/SUMIF($JH$3:$JQ$3,JH$60,$JH$4:$JQ$4)))</f>
        <v>0</v>
      </c>
      <c r="JI106" s="203" t="n">
        <f aca="false">IF((SUMIF($JH$3:$JQ$3,JI$60,$JH$4:$JQ$4))=0,0,((SUMIF($JH$3:$JQ$3,JI$60,$JH155:$JQ155))/SUMIF($JH$3:$JQ$3,JI$60,$JH$4:$JQ$4)))</f>
        <v>0</v>
      </c>
      <c r="JJ106" s="203" t="n">
        <f aca="false">IF((SUMIF($JH$3:$JQ$3,JJ$60,$JH$4:$JQ$4))=0,0,((SUMIF($JH$3:$JQ$3,JJ$60,$JH155:$JQ155))/SUMIF($JH$3:$JQ$3,JJ$60,$JH$4:$JQ$4)))</f>
        <v>0</v>
      </c>
      <c r="JK106" s="203" t="n">
        <f aca="false">IF((SUMIF($JH$3:$JQ$3,JK$60,$JH$4:$JQ$4))=0,0,((SUMIF($JH$3:$JQ$3,JK$60,$JH155:$JQ155))/SUMIF($JH$3:$JQ$3,JK$60,$JH$4:$JQ$4)))</f>
        <v>0</v>
      </c>
      <c r="JL106" s="203" t="n">
        <f aca="false">IF((SUMIF($JH$3:$JQ$3,JL$60,$JH$4:$JQ$4))=0,0,((SUMIF($JH$3:$JQ$3,JL$60,$JH155:$JQ155))/SUMIF($JH$3:$JQ$3,JL$60,$JH$4:$JQ$4)))</f>
        <v>0</v>
      </c>
      <c r="JM106" s="203" t="n">
        <f aca="false">IF((SUMIF($JH$3:$JQ$3,JM$60,$JH$4:$JQ$4))=0,0,((SUMIF($JH$3:$JQ$3,JM$60,$JH155:$JQ155))/SUMIF($JH$3:$JQ$3,JM$60,$JH$4:$JQ$4)))</f>
        <v>0</v>
      </c>
      <c r="JN106" s="203" t="n">
        <f aca="false">IF((SUMIF($JH$3:$JQ$3,JN$60,$JH$4:$JQ$4))=0,0,((SUMIF($JH$3:$JQ$3,JN$60,$JH155:$JQ155))/SUMIF($JH$3:$JQ$3,JN$60,$JH$4:$JQ$4)))</f>
        <v>0</v>
      </c>
      <c r="JO106" s="203" t="n">
        <f aca="false">IF((SUMIF($JH$3:$JQ$3,JO$60,$JH$4:$JQ$4))=0,0,((SUMIF($JH$3:$JQ$3,JO$60,$JH155:$JQ155))/SUMIF($JH$3:$JQ$3,JO$60,$JH$4:$JQ$4)))</f>
        <v>0</v>
      </c>
      <c r="JP106" s="203" t="n">
        <f aca="false">IF((SUMIF($JH$3:$JQ$3,JP$60,$JH$4:$JQ$4))=0,0,((SUMIF($JH$3:$JQ$3,JP$60,$JH155:$JQ155))/SUMIF($JH$3:$JQ$3,JP$60,$JH$4:$JQ$4)))</f>
        <v>0</v>
      </c>
      <c r="JQ106" s="204" t="n">
        <f aca="false">IF((SUMIF($JH$3:$JQ$3,JQ$60,$JH$4:$JQ$4))=0,0,((SUMIF($JH$3:$JQ$3,JQ$60,$JH155:$JQ155))/SUMIF($JH$3:$JQ$3,JQ$60,$JH$4:$JQ$4)))</f>
        <v>0</v>
      </c>
      <c r="JR106" s="201" t="str">
        <f aca="false">JG106</f>
        <v>Alumno45</v>
      </c>
      <c r="JS106" s="202" t="n">
        <f aca="false">IF((SUMIF($JS$3:$KB$3,JS$60,$JS$4:$KB$4))=0,0,((SUMIF($JS$3:$KB$3,JS$60,$JS155:$KB155))/SUMIF($JS$3:$KB$3,JS$60,$JS$4:$KB$4)))</f>
        <v>0</v>
      </c>
      <c r="JT106" s="203" t="n">
        <f aca="false">IF((SUMIF($JS$3:$KB$3,JT$60,$JS$4:$KB$4))=0,0,((SUMIF($JS$3:$KB$3,JT$60,$JS155:$KB155))/SUMIF($JS$3:$KB$3,JT$60,$JS$4:$KB$4)))</f>
        <v>0</v>
      </c>
      <c r="JU106" s="203" t="n">
        <f aca="false">IF((SUMIF($JS$3:$KB$3,JU$60,$JS$4:$KB$4))=0,0,((SUMIF($JS$3:$KB$3,JU$60,$JS155:$KB155))/SUMIF($JS$3:$KB$3,JU$60,$JS$4:$KB$4)))</f>
        <v>0</v>
      </c>
      <c r="JV106" s="203" t="n">
        <f aca="false">IF((SUMIF($JS$3:$KB$3,JV$60,$JS$4:$KB$4))=0,0,((SUMIF($JS$3:$KB$3,JV$60,$JS155:$KB155))/SUMIF($JS$3:$KB$3,JV$60,$JS$4:$KB$4)))</f>
        <v>0</v>
      </c>
      <c r="JW106" s="203" t="n">
        <f aca="false">IF((SUMIF($JS$3:$KB$3,JW$60,$JS$4:$KB$4))=0,0,((SUMIF($JS$3:$KB$3,JW$60,$JS155:$KB155))/SUMIF($JS$3:$KB$3,JW$60,$JS$4:$KB$4)))</f>
        <v>0</v>
      </c>
      <c r="JX106" s="203" t="n">
        <f aca="false">IF((SUMIF($JS$3:$KB$3,JX$60,$JS$4:$KB$4))=0,0,((SUMIF($JS$3:$KB$3,JX$60,$JS155:$KB155))/SUMIF($JS$3:$KB$3,JX$60,$JS$4:$KB$4)))</f>
        <v>0</v>
      </c>
      <c r="JY106" s="203" t="n">
        <f aca="false">IF((SUMIF($JS$3:$KB$3,JY$60,$JS$4:$KB$4))=0,0,((SUMIF($JS$3:$KB$3,JY$60,$JS155:$KB155))/SUMIF($JS$3:$KB$3,JY$60,$JS$4:$KB$4)))</f>
        <v>0</v>
      </c>
      <c r="JZ106" s="203" t="n">
        <f aca="false">IF((SUMIF($JS$3:$KB$3,JZ$60,$JS$4:$KB$4))=0,0,((SUMIF($JS$3:$KB$3,JZ$60,$JS155:$KB155))/SUMIF($JS$3:$KB$3,JZ$60,$JS$4:$KB$4)))</f>
        <v>0</v>
      </c>
      <c r="KA106" s="203" t="n">
        <f aca="false">IF((SUMIF($JS$3:$KB$3,KA$60,$JS$4:$KB$4))=0,0,((SUMIF($JS$3:$KB$3,KA$60,$JS155:$KB155))/SUMIF($JS$3:$KB$3,KA$60,$JS$4:$KB$4)))</f>
        <v>0</v>
      </c>
      <c r="KB106" s="204" t="n">
        <f aca="false">IF((SUMIF($JS$3:$KB$3,KB$60,$JS$4:$KB$4))=0,0,((SUMIF($JS$3:$KB$3,KB$60,$JS155:$KB155))/SUMIF($JS$3:$KB$3,KB$60,$JS$4:$KB$4)))</f>
        <v>0</v>
      </c>
      <c r="KC106" s="201" t="str">
        <f aca="false">JR106</f>
        <v>Alumno45</v>
      </c>
      <c r="KD106" s="202" t="n">
        <f aca="false">IF((SUMIF($KD$3:$KM$3,KD$60,$KD$4:$KM$4))=0,0,((SUMIF($KD$3:$KM$3,KD$60,$KD155:$KM155))/SUMIF($KD$3:$KM$3,KD$60,$KD$4:$KM$4)))</f>
        <v>0</v>
      </c>
      <c r="KE106" s="203" t="n">
        <f aca="false">IF((SUMIF($KD$3:$KM$3,KE$60,$KD$4:$KM$4))=0,0,((SUMIF($KD$3:$KM$3,KE$60,$KD155:$KM155))/SUMIF($KD$3:$KM$3,KE$60,$KD$4:$KM$4)))</f>
        <v>0</v>
      </c>
      <c r="KF106" s="203" t="n">
        <f aca="false">IF((SUMIF($KD$3:$KM$3,KF$60,$KD$4:$KM$4))=0,0,((SUMIF($KD$3:$KM$3,KF$60,$KD155:$KM155))/SUMIF($KD$3:$KM$3,KF$60,$KD$4:$KM$4)))</f>
        <v>0</v>
      </c>
      <c r="KG106" s="203" t="n">
        <f aca="false">IF((SUMIF($KD$3:$KM$3,KG$60,$KD$4:$KM$4))=0,0,((SUMIF($KD$3:$KM$3,KG$60,$KD155:$KM155))/SUMIF($KD$3:$KM$3,KG$60,$KD$4:$KM$4)))</f>
        <v>0</v>
      </c>
      <c r="KH106" s="203" t="n">
        <f aca="false">IF((SUMIF($KD$3:$KM$3,KH$60,$KD$4:$KM$4))=0,0,((SUMIF($KD$3:$KM$3,KH$60,$KD155:$KM155))/SUMIF($KD$3:$KM$3,KH$60,$KD$4:$KM$4)))</f>
        <v>0</v>
      </c>
      <c r="KI106" s="203" t="n">
        <f aca="false">IF((SUMIF($KD$3:$KM$3,KI$60,$KD$4:$KM$4))=0,0,((SUMIF($KD$3:$KM$3,KI$60,$KD155:$KM155))/SUMIF($KD$3:$KM$3,KI$60,$KD$4:$KM$4)))</f>
        <v>0</v>
      </c>
      <c r="KJ106" s="203" t="n">
        <f aca="false">IF((SUMIF($KD$3:$KM$3,KJ$60,$KD$4:$KM$4))=0,0,((SUMIF($KD$3:$KM$3,KJ$60,$KD155:$KM155))/SUMIF($KD$3:$KM$3,KJ$60,$KD$4:$KM$4)))</f>
        <v>0</v>
      </c>
      <c r="KK106" s="203" t="n">
        <f aca="false">IF((SUMIF($KD$3:$KM$3,KK$60,$KD$4:$KM$4))=0,0,((SUMIF($KD$3:$KM$3,KK$60,$KD155:$KM155))/SUMIF($KD$3:$KM$3,KK$60,$KD$4:$KM$4)))</f>
        <v>0</v>
      </c>
      <c r="KL106" s="203" t="n">
        <f aca="false">IF((SUMIF($KD$3:$KM$3,KL$60,$KD$4:$KM$4))=0,0,((SUMIF($KD$3:$KM$3,KL$60,$KD155:$KM155))/SUMIF($KD$3:$KM$3,KL$60,$KD$4:$KM$4)))</f>
        <v>0</v>
      </c>
      <c r="KM106" s="204" t="n">
        <f aca="false">IF((SUMIF($KD$3:$KM$3,KM$60,$KD$4:$KM$4))=0,0,((SUMIF($KD$3:$KM$3,KM$60,$KD155:$KM155))/SUMIF($KD$3:$KM$3,KM$60,$KD$4:$KM$4)))</f>
        <v>0</v>
      </c>
      <c r="KN106" s="201" t="str">
        <f aca="false">KC106</f>
        <v>Alumno45</v>
      </c>
      <c r="KO106" s="202" t="n">
        <f aca="false">IF((SUMIF($KO$3:$KX$3,KO$60,$KO$4:$KX$4))=0,0,((SUMIF($KO$3:$KX$3,KO$60,$KO155:$KX155))/SUMIF($KO$3:$KX$3,KO$60,$KO$4:$KX$4)))</f>
        <v>0</v>
      </c>
      <c r="KP106" s="203" t="n">
        <f aca="false">IF((SUMIF($KO$3:$KX$3,KP$60,$KO$4:$KX$4))=0,0,((SUMIF($KO$3:$KX$3,KP$60,$KO155:$KX155))/SUMIF($KO$3:$KX$3,KP$60,$KO$4:$KX$4)))</f>
        <v>0</v>
      </c>
      <c r="KQ106" s="203" t="n">
        <f aca="false">IF((SUMIF($KO$3:$KX$3,KQ$60,$KO$4:$KX$4))=0,0,((SUMIF($KO$3:$KX$3,KQ$60,$KO155:$KX155))/SUMIF($KO$3:$KX$3,KQ$60,$KO$4:$KX$4)))</f>
        <v>0</v>
      </c>
      <c r="KR106" s="203" t="n">
        <f aca="false">IF((SUMIF($KO$3:$KX$3,KR$60,$KO$4:$KX$4))=0,0,((SUMIF($KO$3:$KX$3,KR$60,$KO155:$KX155))/SUMIF($KO$3:$KX$3,KR$60,$KO$4:$KX$4)))</f>
        <v>0</v>
      </c>
      <c r="KS106" s="203" t="n">
        <f aca="false">IF((SUMIF($KO$3:$KX$3,KS$60,$KO$4:$KX$4))=0,0,((SUMIF($KO$3:$KX$3,KS$60,$KO155:$KX155))/SUMIF($KO$3:$KX$3,KS$60,$KO$4:$KX$4)))</f>
        <v>0</v>
      </c>
      <c r="KT106" s="203" t="n">
        <f aca="false">IF((SUMIF($KO$3:$KX$3,KT$60,$KO$4:$KX$4))=0,0,((SUMIF($KO$3:$KX$3,KT$60,$KO155:$KX155))/SUMIF($KO$3:$KX$3,KT$60,$KO$4:$KX$4)))</f>
        <v>0</v>
      </c>
      <c r="KU106" s="203" t="n">
        <f aca="false">IF((SUMIF($KO$3:$KX$3,KU$60,$KO$4:$KX$4))=0,0,((SUMIF($KO$3:$KX$3,KU$60,$KO155:$KX155))/SUMIF($KO$3:$KX$3,KU$60,$KO$4:$KX$4)))</f>
        <v>0</v>
      </c>
      <c r="KV106" s="203" t="n">
        <f aca="false">IF((SUMIF($KO$3:$KX$3,KV$60,$KO$4:$KX$4))=0,0,((SUMIF($KO$3:$KX$3,KV$60,$KO155:$KX155))/SUMIF($KO$3:$KX$3,KV$60,$KO$4:$KX$4)))</f>
        <v>0</v>
      </c>
      <c r="KW106" s="203" t="n">
        <f aca="false">IF((SUMIF($KO$3:$KX$3,KW$60,$KO$4:$KX$4))=0,0,((SUMIF($KO$3:$KX$3,KW$60,$KO155:$KX155))/SUMIF($KO$3:$KX$3,KW$60,$KO$4:$KX$4)))</f>
        <v>0</v>
      </c>
      <c r="KX106" s="204" t="n">
        <f aca="false">IF((SUMIF($KO$3:$KX$3,KX$60,$KO$4:$KX$4))=0,0,((SUMIF($KO$3:$KX$3,KX$60,$KO155:$KX155))/SUMIF($KO$3:$KX$3,KX$60,$KO$4:$KX$4)))</f>
        <v>0</v>
      </c>
      <c r="KY106" s="201" t="str">
        <f aca="false">KN106</f>
        <v>Alumno45</v>
      </c>
      <c r="KZ106" s="202" t="n">
        <f aca="false">IF((SUMIF($KZ$3:$LI$3,KZ$60,$KZ$4:$LI$4))=0,0,((SUMIF($KZ$3:$LI$3,KZ$60,$KZ155:$LI155))/SUMIF($KZ$3:$LI$3,KZ$60,$KZ$4:$LI$4)))</f>
        <v>0</v>
      </c>
      <c r="LA106" s="203" t="n">
        <f aca="false">IF((SUMIF($KZ$3:$LI$3,LA$60,$KZ$4:$LI$4))=0,0,((SUMIF($KZ$3:$LI$3,LA$60,$KZ155:$LI155))/SUMIF($KZ$3:$LI$3,LA$60,$KZ$4:$LI$4)))</f>
        <v>0</v>
      </c>
      <c r="LB106" s="203" t="n">
        <f aca="false">IF((SUMIF($KZ$3:$LI$3,LB$60,$KZ$4:$LI$4))=0,0,((SUMIF($KZ$3:$LI$3,LB$60,$KZ155:$LI155))/SUMIF($KZ$3:$LI$3,LB$60,$KZ$4:$LI$4)))</f>
        <v>0</v>
      </c>
      <c r="LC106" s="203" t="n">
        <f aca="false">IF((SUMIF($KZ$3:$LI$3,LC$60,$KZ$4:$LI$4))=0,0,((SUMIF($KZ$3:$LI$3,LC$60,$KZ155:$LI155))/SUMIF($KZ$3:$LI$3,LC$60,$KZ$4:$LI$4)))</f>
        <v>0</v>
      </c>
      <c r="LD106" s="203" t="n">
        <f aca="false">IF((SUMIF($KZ$3:$LI$3,LD$60,$KZ$4:$LI$4))=0,0,((SUMIF($KZ$3:$LI$3,LD$60,$KZ155:$LI155))/SUMIF($KZ$3:$LI$3,LD$60,$KZ$4:$LI$4)))</f>
        <v>0</v>
      </c>
      <c r="LE106" s="203" t="n">
        <f aca="false">IF((SUMIF($KZ$3:$LI$3,LE$60,$KZ$4:$LI$4))=0,0,((SUMIF($KZ$3:$LI$3,LE$60,$KZ155:$LI155))/SUMIF($KZ$3:$LI$3,LE$60,$KZ$4:$LI$4)))</f>
        <v>0</v>
      </c>
      <c r="LF106" s="203" t="n">
        <f aca="false">IF((SUMIF($KZ$3:$LI$3,LF$60,$KZ$4:$LI$4))=0,0,((SUMIF($KZ$3:$LI$3,LF$60,$KZ155:$LI155))/SUMIF($KZ$3:$LI$3,LF$60,$KZ$4:$LI$4)))</f>
        <v>0</v>
      </c>
      <c r="LG106" s="203" t="n">
        <f aca="false">IF((SUMIF($KZ$3:$LI$3,LG$60,$KZ$4:$LI$4))=0,0,((SUMIF($KZ$3:$LI$3,LG$60,$KZ155:$LI155))/SUMIF($KZ$3:$LI$3,LG$60,$KZ$4:$LI$4)))</f>
        <v>0</v>
      </c>
      <c r="LH106" s="203" t="n">
        <f aca="false">IF((SUMIF($KZ$3:$LI$3,LH$60,$KZ$4:$LI$4))=0,0,((SUMIF($KZ$3:$LI$3,LH$60,$KZ155:$LI155))/SUMIF($KZ$3:$LI$3,LH$60,$KZ$4:$LI$4)))</f>
        <v>0</v>
      </c>
      <c r="LI106" s="204" t="n">
        <f aca="false">IF((SUMIF($KZ$3:$LI$3,LI$60,$KZ$4:$LI$4))=0,0,((SUMIF($KZ$3:$LI$3,LI$60,$KZ155:$LI155))/SUMIF($KZ$3:$LI$3,LI$60,$KZ$4:$LI$4)))</f>
        <v>0</v>
      </c>
      <c r="LJ106" s="201" t="str">
        <f aca="false">KY106</f>
        <v>Alumno45</v>
      </c>
      <c r="LK106" s="202" t="n">
        <f aca="false">IF((SUMIF($LK$3:$LT$3,LK$60,$LK$4:$LT$4))=0,0,((SUMIF($LK$3:$LT$3,LK$60,$LK155:$LT155))/SUMIF($LK$3:$LT$3,LK$60,$LK$4:$LT$4)))</f>
        <v>0</v>
      </c>
      <c r="LL106" s="203" t="n">
        <f aca="false">IF((SUMIF($LK$3:$LT$3,LL$60,$LK$4:$LT$4))=0,0,((SUMIF($LK$3:$LT$3,LL$60,$LK155:$LT155))/SUMIF($LK$3:$LT$3,LL$60,$LK$4:$LT$4)))</f>
        <v>0</v>
      </c>
      <c r="LM106" s="203" t="n">
        <f aca="false">IF((SUMIF($LK$3:$LT$3,LM$60,$LK$4:$LT$4))=0,0,((SUMIF($LK$3:$LT$3,LM$60,$LK155:$LT155))/SUMIF($LK$3:$LT$3,LM$60,$LK$4:$LT$4)))</f>
        <v>0</v>
      </c>
      <c r="LN106" s="203" t="n">
        <f aca="false">IF((SUMIF($LK$3:$LT$3,LN$60,$LK$4:$LT$4))=0,0,((SUMIF($LK$3:$LT$3,LN$60,$LK155:$LT155))/SUMIF($LK$3:$LT$3,LN$60,$LK$4:$LT$4)))</f>
        <v>0</v>
      </c>
      <c r="LO106" s="203" t="n">
        <f aca="false">IF((SUMIF($LK$3:$LT$3,LO$60,$LK$4:$LT$4))=0,0,((SUMIF($LK$3:$LT$3,LO$60,$LK155:$LT155))/SUMIF($LK$3:$LT$3,LO$60,$LK$4:$LT$4)))</f>
        <v>0</v>
      </c>
      <c r="LP106" s="203" t="n">
        <f aca="false">IF((SUMIF($LK$3:$LT$3,LP$60,$LK$4:$LT$4))=0,0,((SUMIF($LK$3:$LT$3,LP$60,$LK155:$LT155))/SUMIF($LK$3:$LT$3,LP$60,$LK$4:$LT$4)))</f>
        <v>0</v>
      </c>
      <c r="LQ106" s="203" t="n">
        <f aca="false">IF((SUMIF($LK$3:$LT$3,LQ$60,$LK$4:$LT$4))=0,0,((SUMIF($LK$3:$LT$3,LQ$60,$LK155:$LT155))/SUMIF($LK$3:$LT$3,LQ$60,$LK$4:$LT$4)))</f>
        <v>0</v>
      </c>
      <c r="LR106" s="203" t="n">
        <f aca="false">IF((SUMIF($LK$3:$LT$3,LR$60,$LK$4:$LT$4))=0,0,((SUMIF($LK$3:$LT$3,LR$60,$LK155:$LT155))/SUMIF($LK$3:$LT$3,LR$60,$LK$4:$LT$4)))</f>
        <v>0</v>
      </c>
      <c r="LS106" s="203" t="n">
        <f aca="false">IF((SUMIF($LK$3:$LT$3,LS$60,$LK$4:$LT$4))=0,0,((SUMIF($LK$3:$LT$3,LS$60,$LK155:$LT155))/SUMIF($LK$3:$LT$3,LS$60,$LK$4:$LT$4)))</f>
        <v>0</v>
      </c>
      <c r="LT106" s="204" t="n">
        <f aca="false">IF((SUMIF($LK$3:$LT$3,LT$60,$LK$4:$LT$4))=0,0,((SUMIF($LK$3:$LT$3,LT$60,$LK155:$LT155))/SUMIF($LK$3:$LT$3,LT$60,$LK$4:$LT$4)))</f>
        <v>0</v>
      </c>
    </row>
    <row r="107" customFormat="false" ht="15" hidden="true" customHeight="false" outlineLevel="0" collapsed="false"/>
    <row r="108" customFormat="false" ht="15" hidden="true" customHeight="false" outlineLevel="0" collapsed="false"/>
    <row r="109" customFormat="false" ht="15.75" hidden="true" customHeight="false" outlineLevel="0" collapsed="false"/>
    <row r="110" customFormat="false" ht="55.5" hidden="true" customHeight="false" outlineLevel="0" collapsed="false">
      <c r="C110" s="187" t="s">
        <v>160</v>
      </c>
      <c r="D110" s="188" t="s">
        <v>147</v>
      </c>
      <c r="E110" s="136" t="s">
        <v>148</v>
      </c>
      <c r="F110" s="136" t="s">
        <v>149</v>
      </c>
      <c r="G110" s="136" t="s">
        <v>150</v>
      </c>
      <c r="H110" s="136" t="s">
        <v>151</v>
      </c>
      <c r="I110" s="136" t="s">
        <v>152</v>
      </c>
      <c r="J110" s="136" t="s">
        <v>153</v>
      </c>
      <c r="K110" s="136" t="s">
        <v>154</v>
      </c>
      <c r="L110" s="136" t="s">
        <v>155</v>
      </c>
      <c r="M110" s="189" t="s">
        <v>156</v>
      </c>
      <c r="N110" s="187" t="s">
        <v>160</v>
      </c>
      <c r="O110" s="188" t="s">
        <v>147</v>
      </c>
      <c r="P110" s="136" t="s">
        <v>148</v>
      </c>
      <c r="Q110" s="136" t="s">
        <v>149</v>
      </c>
      <c r="R110" s="136" t="s">
        <v>150</v>
      </c>
      <c r="S110" s="136" t="s">
        <v>151</v>
      </c>
      <c r="T110" s="136" t="s">
        <v>152</v>
      </c>
      <c r="U110" s="136" t="s">
        <v>153</v>
      </c>
      <c r="V110" s="136" t="s">
        <v>154</v>
      </c>
      <c r="W110" s="136" t="s">
        <v>155</v>
      </c>
      <c r="X110" s="189" t="s">
        <v>156</v>
      </c>
      <c r="Y110" s="187" t="s">
        <v>160</v>
      </c>
      <c r="Z110" s="188" t="s">
        <v>147</v>
      </c>
      <c r="AA110" s="136" t="s">
        <v>148</v>
      </c>
      <c r="AB110" s="136" t="s">
        <v>149</v>
      </c>
      <c r="AC110" s="136" t="s">
        <v>150</v>
      </c>
      <c r="AD110" s="136" t="s">
        <v>151</v>
      </c>
      <c r="AE110" s="136" t="s">
        <v>152</v>
      </c>
      <c r="AF110" s="136" t="s">
        <v>153</v>
      </c>
      <c r="AG110" s="136" t="s">
        <v>154</v>
      </c>
      <c r="AH110" s="136" t="s">
        <v>155</v>
      </c>
      <c r="AI110" s="189" t="s">
        <v>156</v>
      </c>
      <c r="AJ110" s="187" t="s">
        <v>160</v>
      </c>
      <c r="AK110" s="188" t="s">
        <v>147</v>
      </c>
      <c r="AL110" s="136" t="s">
        <v>148</v>
      </c>
      <c r="AM110" s="136" t="s">
        <v>149</v>
      </c>
      <c r="AN110" s="136" t="s">
        <v>150</v>
      </c>
      <c r="AO110" s="136" t="s">
        <v>151</v>
      </c>
      <c r="AP110" s="136" t="s">
        <v>152</v>
      </c>
      <c r="AQ110" s="136" t="s">
        <v>153</v>
      </c>
      <c r="AR110" s="136" t="s">
        <v>154</v>
      </c>
      <c r="AS110" s="136" t="s">
        <v>155</v>
      </c>
      <c r="AT110" s="189" t="s">
        <v>156</v>
      </c>
      <c r="AU110" s="187" t="s">
        <v>160</v>
      </c>
      <c r="AV110" s="188" t="s">
        <v>147</v>
      </c>
      <c r="AW110" s="136" t="s">
        <v>148</v>
      </c>
      <c r="AX110" s="136" t="s">
        <v>149</v>
      </c>
      <c r="AY110" s="136" t="s">
        <v>150</v>
      </c>
      <c r="AZ110" s="136" t="s">
        <v>151</v>
      </c>
      <c r="BA110" s="136" t="s">
        <v>152</v>
      </c>
      <c r="BB110" s="136" t="s">
        <v>153</v>
      </c>
      <c r="BC110" s="136" t="s">
        <v>154</v>
      </c>
      <c r="BD110" s="136" t="s">
        <v>155</v>
      </c>
      <c r="BE110" s="189" t="s">
        <v>156</v>
      </c>
      <c r="BF110" s="187" t="s">
        <v>160</v>
      </c>
      <c r="BG110" s="188" t="s">
        <v>147</v>
      </c>
      <c r="BH110" s="136" t="s">
        <v>148</v>
      </c>
      <c r="BI110" s="136" t="s">
        <v>149</v>
      </c>
      <c r="BJ110" s="136" t="s">
        <v>150</v>
      </c>
      <c r="BK110" s="136" t="s">
        <v>151</v>
      </c>
      <c r="BL110" s="136" t="s">
        <v>152</v>
      </c>
      <c r="BM110" s="136" t="s">
        <v>153</v>
      </c>
      <c r="BN110" s="136" t="s">
        <v>154</v>
      </c>
      <c r="BO110" s="136" t="s">
        <v>155</v>
      </c>
      <c r="BP110" s="189" t="s">
        <v>156</v>
      </c>
      <c r="BQ110" s="187" t="s">
        <v>160</v>
      </c>
      <c r="BR110" s="188" t="s">
        <v>147</v>
      </c>
      <c r="BS110" s="136" t="s">
        <v>148</v>
      </c>
      <c r="BT110" s="136" t="s">
        <v>149</v>
      </c>
      <c r="BU110" s="136" t="s">
        <v>150</v>
      </c>
      <c r="BV110" s="136" t="s">
        <v>151</v>
      </c>
      <c r="BW110" s="136" t="s">
        <v>152</v>
      </c>
      <c r="BX110" s="136" t="s">
        <v>153</v>
      </c>
      <c r="BY110" s="136" t="s">
        <v>154</v>
      </c>
      <c r="BZ110" s="136" t="s">
        <v>155</v>
      </c>
      <c r="CA110" s="189" t="s">
        <v>156</v>
      </c>
      <c r="CB110" s="187" t="s">
        <v>160</v>
      </c>
      <c r="CC110" s="188" t="s">
        <v>147</v>
      </c>
      <c r="CD110" s="136" t="s">
        <v>148</v>
      </c>
      <c r="CE110" s="136" t="s">
        <v>149</v>
      </c>
      <c r="CF110" s="136" t="s">
        <v>150</v>
      </c>
      <c r="CG110" s="136" t="s">
        <v>151</v>
      </c>
      <c r="CH110" s="136" t="s">
        <v>152</v>
      </c>
      <c r="CI110" s="136" t="s">
        <v>153</v>
      </c>
      <c r="CJ110" s="136" t="s">
        <v>154</v>
      </c>
      <c r="CK110" s="136" t="s">
        <v>155</v>
      </c>
      <c r="CL110" s="189" t="s">
        <v>156</v>
      </c>
      <c r="CM110" s="187" t="s">
        <v>160</v>
      </c>
      <c r="CN110" s="188" t="s">
        <v>147</v>
      </c>
      <c r="CO110" s="136" t="s">
        <v>148</v>
      </c>
      <c r="CP110" s="136" t="s">
        <v>149</v>
      </c>
      <c r="CQ110" s="136" t="s">
        <v>150</v>
      </c>
      <c r="CR110" s="136" t="s">
        <v>151</v>
      </c>
      <c r="CS110" s="136" t="s">
        <v>152</v>
      </c>
      <c r="CT110" s="136" t="s">
        <v>153</v>
      </c>
      <c r="CU110" s="136" t="s">
        <v>154</v>
      </c>
      <c r="CV110" s="136" t="s">
        <v>155</v>
      </c>
      <c r="CW110" s="189" t="s">
        <v>156</v>
      </c>
      <c r="CX110" s="187" t="s">
        <v>160</v>
      </c>
      <c r="CY110" s="188" t="s">
        <v>147</v>
      </c>
      <c r="CZ110" s="136" t="s">
        <v>148</v>
      </c>
      <c r="DA110" s="136" t="s">
        <v>149</v>
      </c>
      <c r="DB110" s="136" t="s">
        <v>150</v>
      </c>
      <c r="DC110" s="136" t="s">
        <v>151</v>
      </c>
      <c r="DD110" s="136" t="s">
        <v>152</v>
      </c>
      <c r="DE110" s="136" t="s">
        <v>153</v>
      </c>
      <c r="DF110" s="136" t="s">
        <v>154</v>
      </c>
      <c r="DG110" s="136" t="s">
        <v>155</v>
      </c>
      <c r="DH110" s="189" t="s">
        <v>156</v>
      </c>
      <c r="DI110" s="187" t="s">
        <v>160</v>
      </c>
      <c r="DJ110" s="188" t="s">
        <v>147</v>
      </c>
      <c r="DK110" s="136" t="s">
        <v>148</v>
      </c>
      <c r="DL110" s="136" t="s">
        <v>149</v>
      </c>
      <c r="DM110" s="136" t="s">
        <v>150</v>
      </c>
      <c r="DN110" s="136" t="s">
        <v>151</v>
      </c>
      <c r="DO110" s="136" t="s">
        <v>152</v>
      </c>
      <c r="DP110" s="136" t="s">
        <v>153</v>
      </c>
      <c r="DQ110" s="136" t="s">
        <v>154</v>
      </c>
      <c r="DR110" s="136" t="s">
        <v>155</v>
      </c>
      <c r="DS110" s="189" t="s">
        <v>156</v>
      </c>
      <c r="DT110" s="187" t="s">
        <v>160</v>
      </c>
      <c r="DU110" s="188" t="s">
        <v>147</v>
      </c>
      <c r="DV110" s="136" t="s">
        <v>148</v>
      </c>
      <c r="DW110" s="136" t="s">
        <v>149</v>
      </c>
      <c r="DX110" s="136" t="s">
        <v>150</v>
      </c>
      <c r="DY110" s="136" t="s">
        <v>151</v>
      </c>
      <c r="DZ110" s="136" t="s">
        <v>152</v>
      </c>
      <c r="EA110" s="136" t="s">
        <v>153</v>
      </c>
      <c r="EB110" s="136" t="s">
        <v>154</v>
      </c>
      <c r="EC110" s="136" t="s">
        <v>155</v>
      </c>
      <c r="ED110" s="189" t="s">
        <v>156</v>
      </c>
      <c r="EE110" s="187" t="s">
        <v>160</v>
      </c>
      <c r="EF110" s="188" t="s">
        <v>147</v>
      </c>
      <c r="EG110" s="136" t="s">
        <v>148</v>
      </c>
      <c r="EH110" s="136" t="s">
        <v>149</v>
      </c>
      <c r="EI110" s="136" t="s">
        <v>150</v>
      </c>
      <c r="EJ110" s="136" t="s">
        <v>151</v>
      </c>
      <c r="EK110" s="136" t="s">
        <v>152</v>
      </c>
      <c r="EL110" s="136" t="s">
        <v>153</v>
      </c>
      <c r="EM110" s="136" t="s">
        <v>154</v>
      </c>
      <c r="EN110" s="136" t="s">
        <v>155</v>
      </c>
      <c r="EO110" s="189" t="s">
        <v>156</v>
      </c>
      <c r="EP110" s="187" t="s">
        <v>160</v>
      </c>
      <c r="EQ110" s="188" t="s">
        <v>147</v>
      </c>
      <c r="ER110" s="136" t="s">
        <v>148</v>
      </c>
      <c r="ES110" s="136" t="s">
        <v>149</v>
      </c>
      <c r="ET110" s="136" t="s">
        <v>150</v>
      </c>
      <c r="EU110" s="136" t="s">
        <v>151</v>
      </c>
      <c r="EV110" s="136" t="s">
        <v>152</v>
      </c>
      <c r="EW110" s="136" t="s">
        <v>153</v>
      </c>
      <c r="EX110" s="136" t="s">
        <v>154</v>
      </c>
      <c r="EY110" s="136" t="s">
        <v>155</v>
      </c>
      <c r="EZ110" s="189" t="s">
        <v>156</v>
      </c>
      <c r="FA110" s="187" t="s">
        <v>160</v>
      </c>
      <c r="FB110" s="188" t="s">
        <v>147</v>
      </c>
      <c r="FC110" s="136" t="s">
        <v>148</v>
      </c>
      <c r="FD110" s="136" t="s">
        <v>149</v>
      </c>
      <c r="FE110" s="136" t="s">
        <v>150</v>
      </c>
      <c r="FF110" s="136" t="s">
        <v>151</v>
      </c>
      <c r="FG110" s="136" t="s">
        <v>152</v>
      </c>
      <c r="FH110" s="136" t="s">
        <v>153</v>
      </c>
      <c r="FI110" s="136" t="s">
        <v>154</v>
      </c>
      <c r="FJ110" s="136" t="s">
        <v>155</v>
      </c>
      <c r="FK110" s="189" t="s">
        <v>156</v>
      </c>
      <c r="FL110" s="187" t="s">
        <v>160</v>
      </c>
      <c r="FM110" s="188" t="s">
        <v>147</v>
      </c>
      <c r="FN110" s="136" t="s">
        <v>148</v>
      </c>
      <c r="FO110" s="136" t="s">
        <v>149</v>
      </c>
      <c r="FP110" s="136" t="s">
        <v>150</v>
      </c>
      <c r="FQ110" s="136" t="s">
        <v>151</v>
      </c>
      <c r="FR110" s="136" t="s">
        <v>152</v>
      </c>
      <c r="FS110" s="136" t="s">
        <v>153</v>
      </c>
      <c r="FT110" s="136" t="s">
        <v>154</v>
      </c>
      <c r="FU110" s="136" t="s">
        <v>155</v>
      </c>
      <c r="FV110" s="189" t="s">
        <v>156</v>
      </c>
      <c r="FW110" s="187" t="s">
        <v>160</v>
      </c>
      <c r="FX110" s="188" t="s">
        <v>147</v>
      </c>
      <c r="FY110" s="136" t="s">
        <v>148</v>
      </c>
      <c r="FZ110" s="136" t="s">
        <v>149</v>
      </c>
      <c r="GA110" s="136" t="s">
        <v>150</v>
      </c>
      <c r="GB110" s="136" t="s">
        <v>151</v>
      </c>
      <c r="GC110" s="136" t="s">
        <v>152</v>
      </c>
      <c r="GD110" s="136" t="s">
        <v>153</v>
      </c>
      <c r="GE110" s="136" t="s">
        <v>154</v>
      </c>
      <c r="GF110" s="136" t="s">
        <v>155</v>
      </c>
      <c r="GG110" s="189" t="s">
        <v>156</v>
      </c>
      <c r="GH110" s="187" t="s">
        <v>160</v>
      </c>
      <c r="GI110" s="188" t="s">
        <v>147</v>
      </c>
      <c r="GJ110" s="136" t="s">
        <v>148</v>
      </c>
      <c r="GK110" s="136" t="s">
        <v>149</v>
      </c>
      <c r="GL110" s="136" t="s">
        <v>150</v>
      </c>
      <c r="GM110" s="136" t="s">
        <v>151</v>
      </c>
      <c r="GN110" s="136" t="s">
        <v>152</v>
      </c>
      <c r="GO110" s="136" t="s">
        <v>153</v>
      </c>
      <c r="GP110" s="136" t="s">
        <v>154</v>
      </c>
      <c r="GQ110" s="136" t="s">
        <v>155</v>
      </c>
      <c r="GR110" s="189" t="s">
        <v>156</v>
      </c>
      <c r="GS110" s="187" t="s">
        <v>160</v>
      </c>
      <c r="GT110" s="188" t="s">
        <v>147</v>
      </c>
      <c r="GU110" s="136" t="s">
        <v>148</v>
      </c>
      <c r="GV110" s="136" t="s">
        <v>149</v>
      </c>
      <c r="GW110" s="136" t="s">
        <v>150</v>
      </c>
      <c r="GX110" s="136" t="s">
        <v>151</v>
      </c>
      <c r="GY110" s="136" t="s">
        <v>152</v>
      </c>
      <c r="GZ110" s="136" t="s">
        <v>153</v>
      </c>
      <c r="HA110" s="136" t="s">
        <v>154</v>
      </c>
      <c r="HB110" s="136" t="s">
        <v>155</v>
      </c>
      <c r="HC110" s="189" t="s">
        <v>156</v>
      </c>
      <c r="HD110" s="187" t="s">
        <v>160</v>
      </c>
      <c r="HE110" s="188" t="s">
        <v>147</v>
      </c>
      <c r="HF110" s="136" t="s">
        <v>148</v>
      </c>
      <c r="HG110" s="136" t="s">
        <v>149</v>
      </c>
      <c r="HH110" s="136" t="s">
        <v>150</v>
      </c>
      <c r="HI110" s="136" t="s">
        <v>151</v>
      </c>
      <c r="HJ110" s="136" t="s">
        <v>152</v>
      </c>
      <c r="HK110" s="136" t="s">
        <v>153</v>
      </c>
      <c r="HL110" s="136" t="s">
        <v>154</v>
      </c>
      <c r="HM110" s="136" t="s">
        <v>155</v>
      </c>
      <c r="HN110" s="189" t="s">
        <v>156</v>
      </c>
      <c r="HO110" s="187" t="s">
        <v>160</v>
      </c>
      <c r="HP110" s="188" t="s">
        <v>147</v>
      </c>
      <c r="HQ110" s="136" t="s">
        <v>148</v>
      </c>
      <c r="HR110" s="136" t="s">
        <v>149</v>
      </c>
      <c r="HS110" s="136" t="s">
        <v>150</v>
      </c>
      <c r="HT110" s="136" t="s">
        <v>151</v>
      </c>
      <c r="HU110" s="136" t="s">
        <v>152</v>
      </c>
      <c r="HV110" s="136" t="s">
        <v>153</v>
      </c>
      <c r="HW110" s="136" t="s">
        <v>154</v>
      </c>
      <c r="HX110" s="136" t="s">
        <v>155</v>
      </c>
      <c r="HY110" s="189" t="s">
        <v>156</v>
      </c>
      <c r="HZ110" s="187" t="s">
        <v>160</v>
      </c>
      <c r="IA110" s="188" t="s">
        <v>147</v>
      </c>
      <c r="IB110" s="136" t="s">
        <v>148</v>
      </c>
      <c r="IC110" s="136" t="s">
        <v>149</v>
      </c>
      <c r="ID110" s="136" t="s">
        <v>150</v>
      </c>
      <c r="IE110" s="136" t="s">
        <v>151</v>
      </c>
      <c r="IF110" s="136" t="s">
        <v>152</v>
      </c>
      <c r="IG110" s="136" t="s">
        <v>153</v>
      </c>
      <c r="IH110" s="136" t="s">
        <v>154</v>
      </c>
      <c r="II110" s="136" t="s">
        <v>155</v>
      </c>
      <c r="IJ110" s="189" t="s">
        <v>156</v>
      </c>
      <c r="IK110" s="187" t="s">
        <v>160</v>
      </c>
      <c r="IL110" s="188" t="s">
        <v>147</v>
      </c>
      <c r="IM110" s="136" t="s">
        <v>148</v>
      </c>
      <c r="IN110" s="136" t="s">
        <v>149</v>
      </c>
      <c r="IO110" s="136" t="s">
        <v>150</v>
      </c>
      <c r="IP110" s="136" t="s">
        <v>151</v>
      </c>
      <c r="IQ110" s="136" t="s">
        <v>152</v>
      </c>
      <c r="IR110" s="136" t="s">
        <v>153</v>
      </c>
      <c r="IS110" s="136" t="s">
        <v>154</v>
      </c>
      <c r="IT110" s="136" t="s">
        <v>155</v>
      </c>
      <c r="IU110" s="189" t="s">
        <v>156</v>
      </c>
      <c r="IV110" s="187" t="s">
        <v>160</v>
      </c>
      <c r="IW110" s="188" t="s">
        <v>147</v>
      </c>
      <c r="IX110" s="136" t="s">
        <v>148</v>
      </c>
      <c r="IY110" s="136" t="s">
        <v>149</v>
      </c>
      <c r="IZ110" s="136" t="s">
        <v>150</v>
      </c>
      <c r="JA110" s="136" t="s">
        <v>151</v>
      </c>
      <c r="JB110" s="136" t="s">
        <v>152</v>
      </c>
      <c r="JC110" s="136" t="s">
        <v>153</v>
      </c>
      <c r="JD110" s="136" t="s">
        <v>154</v>
      </c>
      <c r="JE110" s="136" t="s">
        <v>155</v>
      </c>
      <c r="JF110" s="189" t="s">
        <v>156</v>
      </c>
      <c r="JG110" s="187" t="s">
        <v>160</v>
      </c>
      <c r="JH110" s="188" t="s">
        <v>147</v>
      </c>
      <c r="JI110" s="136" t="s">
        <v>148</v>
      </c>
      <c r="JJ110" s="136" t="s">
        <v>149</v>
      </c>
      <c r="JK110" s="136" t="s">
        <v>150</v>
      </c>
      <c r="JL110" s="136" t="s">
        <v>151</v>
      </c>
      <c r="JM110" s="136" t="s">
        <v>152</v>
      </c>
      <c r="JN110" s="136" t="s">
        <v>153</v>
      </c>
      <c r="JO110" s="136" t="s">
        <v>154</v>
      </c>
      <c r="JP110" s="136" t="s">
        <v>155</v>
      </c>
      <c r="JQ110" s="189" t="s">
        <v>156</v>
      </c>
      <c r="JR110" s="187" t="s">
        <v>160</v>
      </c>
      <c r="JS110" s="188" t="s">
        <v>147</v>
      </c>
      <c r="JT110" s="136" t="s">
        <v>148</v>
      </c>
      <c r="JU110" s="136" t="s">
        <v>149</v>
      </c>
      <c r="JV110" s="136" t="s">
        <v>150</v>
      </c>
      <c r="JW110" s="136" t="s">
        <v>151</v>
      </c>
      <c r="JX110" s="136" t="s">
        <v>152</v>
      </c>
      <c r="JY110" s="136" t="s">
        <v>153</v>
      </c>
      <c r="JZ110" s="136" t="s">
        <v>154</v>
      </c>
      <c r="KA110" s="136" t="s">
        <v>155</v>
      </c>
      <c r="KB110" s="189" t="s">
        <v>156</v>
      </c>
      <c r="KC110" s="187" t="s">
        <v>160</v>
      </c>
      <c r="KD110" s="188" t="s">
        <v>147</v>
      </c>
      <c r="KE110" s="136" t="s">
        <v>148</v>
      </c>
      <c r="KF110" s="136" t="s">
        <v>149</v>
      </c>
      <c r="KG110" s="136" t="s">
        <v>150</v>
      </c>
      <c r="KH110" s="136" t="s">
        <v>151</v>
      </c>
      <c r="KI110" s="136" t="s">
        <v>152</v>
      </c>
      <c r="KJ110" s="136" t="s">
        <v>153</v>
      </c>
      <c r="KK110" s="136" t="s">
        <v>154</v>
      </c>
      <c r="KL110" s="136" t="s">
        <v>155</v>
      </c>
      <c r="KM110" s="189" t="s">
        <v>156</v>
      </c>
      <c r="KN110" s="187" t="s">
        <v>160</v>
      </c>
      <c r="KO110" s="188" t="s">
        <v>147</v>
      </c>
      <c r="KP110" s="136" t="s">
        <v>148</v>
      </c>
      <c r="KQ110" s="136" t="s">
        <v>149</v>
      </c>
      <c r="KR110" s="136" t="s">
        <v>150</v>
      </c>
      <c r="KS110" s="136" t="s">
        <v>151</v>
      </c>
      <c r="KT110" s="136" t="s">
        <v>152</v>
      </c>
      <c r="KU110" s="136" t="s">
        <v>153</v>
      </c>
      <c r="KV110" s="136" t="s">
        <v>154</v>
      </c>
      <c r="KW110" s="136" t="s">
        <v>155</v>
      </c>
      <c r="KX110" s="189" t="s">
        <v>156</v>
      </c>
      <c r="KY110" s="187" t="s">
        <v>160</v>
      </c>
      <c r="KZ110" s="188" t="s">
        <v>147</v>
      </c>
      <c r="LA110" s="136" t="s">
        <v>148</v>
      </c>
      <c r="LB110" s="136" t="s">
        <v>149</v>
      </c>
      <c r="LC110" s="136" t="s">
        <v>150</v>
      </c>
      <c r="LD110" s="136" t="s">
        <v>151</v>
      </c>
      <c r="LE110" s="136" t="s">
        <v>152</v>
      </c>
      <c r="LF110" s="136" t="s">
        <v>153</v>
      </c>
      <c r="LG110" s="136" t="s">
        <v>154</v>
      </c>
      <c r="LH110" s="136" t="s">
        <v>155</v>
      </c>
      <c r="LI110" s="189" t="s">
        <v>156</v>
      </c>
      <c r="LJ110" s="187" t="s">
        <v>160</v>
      </c>
      <c r="LK110" s="188" t="s">
        <v>147</v>
      </c>
      <c r="LL110" s="136" t="s">
        <v>148</v>
      </c>
      <c r="LM110" s="136" t="s">
        <v>149</v>
      </c>
      <c r="LN110" s="136" t="s">
        <v>150</v>
      </c>
      <c r="LO110" s="136" t="s">
        <v>151</v>
      </c>
      <c r="LP110" s="136" t="s">
        <v>152</v>
      </c>
      <c r="LQ110" s="136" t="s">
        <v>153</v>
      </c>
      <c r="LR110" s="136" t="s">
        <v>154</v>
      </c>
      <c r="LS110" s="136" t="s">
        <v>155</v>
      </c>
      <c r="LT110" s="189" t="s">
        <v>156</v>
      </c>
    </row>
    <row r="111" customFormat="false" ht="15" hidden="true" customHeight="false" outlineLevel="0" collapsed="false">
      <c r="C111" s="190" t="str">
        <f aca="false">C62</f>
        <v>Alumno1</v>
      </c>
      <c r="D111" s="191" t="n">
        <f aca="false">D$4*D6</f>
        <v>1.2</v>
      </c>
      <c r="E111" s="192" t="n">
        <f aca="false">E$4*E6</f>
        <v>0.75</v>
      </c>
      <c r="F111" s="192" t="n">
        <f aca="false">F$4*F6</f>
        <v>1.4</v>
      </c>
      <c r="G111" s="192" t="n">
        <f aca="false">G$4*G6</f>
        <v>0.4</v>
      </c>
      <c r="H111" s="192" t="n">
        <f aca="false">H$4*H6</f>
        <v>1.35</v>
      </c>
      <c r="I111" s="192" t="n">
        <f aca="false">I$4*I6</f>
        <v>1.2</v>
      </c>
      <c r="J111" s="192" t="n">
        <f aca="false">J$4*J6</f>
        <v>0.6</v>
      </c>
      <c r="K111" s="192" t="n">
        <f aca="false">K$4*K6</f>
        <v>0</v>
      </c>
      <c r="L111" s="192" t="n">
        <f aca="false">L$4*L6</f>
        <v>0</v>
      </c>
      <c r="M111" s="193" t="n">
        <f aca="false">M$4*M6</f>
        <v>0</v>
      </c>
      <c r="N111" s="190" t="str">
        <f aca="false">C111</f>
        <v>Alumno1</v>
      </c>
      <c r="O111" s="191" t="n">
        <f aca="false">O$4*O6</f>
        <v>1.2</v>
      </c>
      <c r="P111" s="192" t="n">
        <f aca="false">P$4*P6</f>
        <v>1.4</v>
      </c>
      <c r="Q111" s="192" t="n">
        <f aca="false">Q$4*Q6</f>
        <v>1.6</v>
      </c>
      <c r="R111" s="192" t="n">
        <f aca="false">R$4*R6</f>
        <v>1.8</v>
      </c>
      <c r="S111" s="192" t="n">
        <f aca="false">S$4*S6</f>
        <v>1</v>
      </c>
      <c r="T111" s="192" t="n">
        <f aca="false">T$4*T6</f>
        <v>0</v>
      </c>
      <c r="U111" s="192" t="n">
        <f aca="false">U$4*U6</f>
        <v>0</v>
      </c>
      <c r="V111" s="192" t="n">
        <f aca="false">V$4*V6</f>
        <v>0</v>
      </c>
      <c r="W111" s="192" t="n">
        <f aca="false">W$4*W6</f>
        <v>0</v>
      </c>
      <c r="X111" s="193" t="n">
        <f aca="false">X$4*X6</f>
        <v>0</v>
      </c>
      <c r="Y111" s="190" t="str">
        <f aca="false">N111</f>
        <v>Alumno1</v>
      </c>
      <c r="Z111" s="191" t="n">
        <f aca="false">Z$4*Z6</f>
        <v>1.2</v>
      </c>
      <c r="AA111" s="192" t="n">
        <f aca="false">AA$4*AA6</f>
        <v>1.4</v>
      </c>
      <c r="AB111" s="192" t="n">
        <f aca="false">AB$4*AB6</f>
        <v>1.6</v>
      </c>
      <c r="AC111" s="192" t="n">
        <f aca="false">AC$4*AC6</f>
        <v>1.8</v>
      </c>
      <c r="AD111" s="192" t="n">
        <f aca="false">AD$4*AD6</f>
        <v>1</v>
      </c>
      <c r="AE111" s="192" t="n">
        <f aca="false">AE$4*AE6</f>
        <v>0</v>
      </c>
      <c r="AF111" s="192" t="n">
        <f aca="false">AF$4*AF6</f>
        <v>0</v>
      </c>
      <c r="AG111" s="192" t="n">
        <f aca="false">AG$4*AG6</f>
        <v>0</v>
      </c>
      <c r="AH111" s="192" t="n">
        <f aca="false">AH$4*AH6</f>
        <v>0</v>
      </c>
      <c r="AI111" s="193" t="n">
        <f aca="false">AI$4*AI6</f>
        <v>0</v>
      </c>
      <c r="AJ111" s="190" t="str">
        <f aca="false">Y111</f>
        <v>Alumno1</v>
      </c>
      <c r="AK111" s="191" t="n">
        <f aca="false">AK$4*AK6</f>
        <v>1.2</v>
      </c>
      <c r="AL111" s="192" t="n">
        <f aca="false">AL$4*AL6</f>
        <v>1.4</v>
      </c>
      <c r="AM111" s="192" t="n">
        <f aca="false">AM$4*AM6</f>
        <v>1.6</v>
      </c>
      <c r="AN111" s="192" t="n">
        <f aca="false">AN$4*AN6</f>
        <v>1.8</v>
      </c>
      <c r="AO111" s="192" t="n">
        <f aca="false">AO$4*AO6</f>
        <v>1</v>
      </c>
      <c r="AP111" s="192" t="n">
        <f aca="false">AP$4*AP6</f>
        <v>0</v>
      </c>
      <c r="AQ111" s="192" t="n">
        <f aca="false">AQ$4*AQ6</f>
        <v>0</v>
      </c>
      <c r="AR111" s="192" t="n">
        <f aca="false">AR$4*AR6</f>
        <v>0</v>
      </c>
      <c r="AS111" s="192" t="n">
        <f aca="false">AS$4*AS6</f>
        <v>0</v>
      </c>
      <c r="AT111" s="193" t="n">
        <f aca="false">AT$4*AT6</f>
        <v>0</v>
      </c>
      <c r="AU111" s="190" t="str">
        <f aca="false">AJ111</f>
        <v>Alumno1</v>
      </c>
      <c r="AV111" s="191" t="n">
        <f aca="false">AV$4*AV6</f>
        <v>0.8</v>
      </c>
      <c r="AW111" s="192" t="n">
        <f aca="false">AW$4*AW6</f>
        <v>1</v>
      </c>
      <c r="AX111" s="192" t="n">
        <f aca="false">AX$4*AX6</f>
        <v>1.4</v>
      </c>
      <c r="AY111" s="192" t="n">
        <f aca="false">AY$4*AY6</f>
        <v>1.2</v>
      </c>
      <c r="AZ111" s="192" t="n">
        <f aca="false">AZ$4*AZ6</f>
        <v>1.8</v>
      </c>
      <c r="BA111" s="192" t="n">
        <f aca="false">BA$4*BA6</f>
        <v>0</v>
      </c>
      <c r="BB111" s="192" t="n">
        <f aca="false">BB$4*BB6</f>
        <v>0</v>
      </c>
      <c r="BC111" s="192" t="n">
        <f aca="false">BC$4*BC6</f>
        <v>0</v>
      </c>
      <c r="BD111" s="192" t="n">
        <f aca="false">BD$4*BD6</f>
        <v>0</v>
      </c>
      <c r="BE111" s="193" t="n">
        <f aca="false">BE$4*BE6</f>
        <v>0</v>
      </c>
      <c r="BF111" s="190" t="str">
        <f aca="false">AU111</f>
        <v>Alumno1</v>
      </c>
      <c r="BG111" s="191" t="n">
        <f aca="false">BG$4*BG6</f>
        <v>0.8</v>
      </c>
      <c r="BH111" s="192" t="n">
        <f aca="false">BH$4*BH6</f>
        <v>1</v>
      </c>
      <c r="BI111" s="192" t="n">
        <f aca="false">BI$4*BI6</f>
        <v>1.4</v>
      </c>
      <c r="BJ111" s="192" t="n">
        <f aca="false">BJ$4*BJ6</f>
        <v>0.8</v>
      </c>
      <c r="BK111" s="192" t="n">
        <f aca="false">BK$4*BK6</f>
        <v>2.7</v>
      </c>
      <c r="BL111" s="192" t="n">
        <f aca="false">BL$4*BL6</f>
        <v>0</v>
      </c>
      <c r="BM111" s="192" t="n">
        <f aca="false">BM$4*BM6</f>
        <v>0</v>
      </c>
      <c r="BN111" s="192" t="n">
        <f aca="false">BN$4*BN6</f>
        <v>0</v>
      </c>
      <c r="BO111" s="192" t="n">
        <f aca="false">BO$4*BO6</f>
        <v>0</v>
      </c>
      <c r="BP111" s="193" t="n">
        <f aca="false">BP$4*BP6</f>
        <v>0</v>
      </c>
      <c r="BQ111" s="190" t="str">
        <f aca="false">BF111</f>
        <v>Alumno1</v>
      </c>
      <c r="BR111" s="191" t="n">
        <f aca="false">BR$4*BR6</f>
        <v>0.8</v>
      </c>
      <c r="BS111" s="192" t="n">
        <f aca="false">BS$4*BS6</f>
        <v>0.3</v>
      </c>
      <c r="BT111" s="192" t="n">
        <f aca="false">BT$4*BT6</f>
        <v>1</v>
      </c>
      <c r="BU111" s="192" t="n">
        <f aca="false">BU$4*BU6</f>
        <v>1.2</v>
      </c>
      <c r="BV111" s="192" t="n">
        <f aca="false">BV$4*BV6</f>
        <v>1.2</v>
      </c>
      <c r="BW111" s="192" t="n">
        <f aca="false">BW$4*BW6</f>
        <v>0</v>
      </c>
      <c r="BX111" s="192" t="n">
        <f aca="false">BX$4*BX6</f>
        <v>0</v>
      </c>
      <c r="BY111" s="192" t="n">
        <f aca="false">BY$4*BY6</f>
        <v>0</v>
      </c>
      <c r="BZ111" s="192" t="n">
        <f aca="false">BZ$4*BZ6</f>
        <v>0</v>
      </c>
      <c r="CA111" s="193" t="n">
        <f aca="false">CA$4*CA6</f>
        <v>0</v>
      </c>
      <c r="CB111" s="190" t="str">
        <f aca="false">BQ111</f>
        <v>Alumno1</v>
      </c>
      <c r="CC111" s="191" t="n">
        <f aca="false">CC$4*CC6</f>
        <v>0</v>
      </c>
      <c r="CD111" s="192" t="n">
        <f aca="false">CD$4*CD6</f>
        <v>0</v>
      </c>
      <c r="CE111" s="192" t="n">
        <f aca="false">CE$4*CE6</f>
        <v>0</v>
      </c>
      <c r="CF111" s="192" t="n">
        <f aca="false">CF$4*CF6</f>
        <v>0</v>
      </c>
      <c r="CG111" s="192" t="n">
        <f aca="false">CG$4*CG6</f>
        <v>0</v>
      </c>
      <c r="CH111" s="192" t="n">
        <f aca="false">CH$4*CH6</f>
        <v>0</v>
      </c>
      <c r="CI111" s="192" t="n">
        <f aca="false">CI$4*CI6</f>
        <v>0</v>
      </c>
      <c r="CJ111" s="192" t="n">
        <f aca="false">CJ$4*CJ6</f>
        <v>0</v>
      </c>
      <c r="CK111" s="192" t="n">
        <f aca="false">CK$4*CK6</f>
        <v>0</v>
      </c>
      <c r="CL111" s="193" t="n">
        <f aca="false">CL$4*CL6</f>
        <v>0</v>
      </c>
      <c r="CM111" s="190" t="str">
        <f aca="false">CB111</f>
        <v>Alumno1</v>
      </c>
      <c r="CN111" s="191" t="n">
        <f aca="false">CN$4*CN6</f>
        <v>0</v>
      </c>
      <c r="CO111" s="192" t="n">
        <f aca="false">CO$4*CO6</f>
        <v>0</v>
      </c>
      <c r="CP111" s="192" t="n">
        <f aca="false">CP$4*CP6</f>
        <v>0</v>
      </c>
      <c r="CQ111" s="192" t="n">
        <f aca="false">CQ$4*CQ6</f>
        <v>0</v>
      </c>
      <c r="CR111" s="192" t="n">
        <f aca="false">CR$4*CR6</f>
        <v>0</v>
      </c>
      <c r="CS111" s="192" t="n">
        <f aca="false">CS$4*CS6</f>
        <v>0</v>
      </c>
      <c r="CT111" s="192" t="n">
        <f aca="false">CT$4*CT6</f>
        <v>0</v>
      </c>
      <c r="CU111" s="192" t="n">
        <f aca="false">CU$4*CU6</f>
        <v>0</v>
      </c>
      <c r="CV111" s="192" t="n">
        <f aca="false">CV$4*CV6</f>
        <v>0</v>
      </c>
      <c r="CW111" s="193" t="n">
        <f aca="false">CW$4*CW6</f>
        <v>0</v>
      </c>
      <c r="CX111" s="190" t="str">
        <f aca="false">CM111</f>
        <v>Alumno1</v>
      </c>
      <c r="CY111" s="191" t="n">
        <f aca="false">CY$4*CY6</f>
        <v>0</v>
      </c>
      <c r="CZ111" s="192" t="n">
        <f aca="false">CZ$4*CZ6</f>
        <v>0</v>
      </c>
      <c r="DA111" s="192" t="n">
        <f aca="false">DA$4*DA6</f>
        <v>0</v>
      </c>
      <c r="DB111" s="192" t="n">
        <f aca="false">DB$4*DB6</f>
        <v>0</v>
      </c>
      <c r="DC111" s="192" t="n">
        <f aca="false">DC$4*DC6</f>
        <v>0</v>
      </c>
      <c r="DD111" s="192" t="n">
        <f aca="false">DD$4*DD6</f>
        <v>0</v>
      </c>
      <c r="DE111" s="192" t="n">
        <f aca="false">DE$4*DE6</f>
        <v>0</v>
      </c>
      <c r="DF111" s="192" t="n">
        <f aca="false">DF$4*DF6</f>
        <v>0</v>
      </c>
      <c r="DG111" s="192" t="n">
        <f aca="false">DG$4*DG6</f>
        <v>0</v>
      </c>
      <c r="DH111" s="193" t="n">
        <f aca="false">DH$4*DH6</f>
        <v>0</v>
      </c>
      <c r="DI111" s="190" t="str">
        <f aca="false">CX111</f>
        <v>Alumno1</v>
      </c>
      <c r="DJ111" s="191" t="n">
        <f aca="false">DJ$4*DJ6</f>
        <v>0</v>
      </c>
      <c r="DK111" s="192" t="n">
        <f aca="false">DK$4*DK6</f>
        <v>0</v>
      </c>
      <c r="DL111" s="192" t="n">
        <f aca="false">DL$4*DL6</f>
        <v>0</v>
      </c>
      <c r="DM111" s="192" t="n">
        <f aca="false">DM$4*DM6</f>
        <v>0</v>
      </c>
      <c r="DN111" s="192" t="n">
        <f aca="false">DN$4*DN6</f>
        <v>0</v>
      </c>
      <c r="DO111" s="192" t="n">
        <f aca="false">DO$4*DO6</f>
        <v>0</v>
      </c>
      <c r="DP111" s="192" t="n">
        <f aca="false">DP$4*DP6</f>
        <v>0</v>
      </c>
      <c r="DQ111" s="192" t="n">
        <f aca="false">DQ$4*DQ6</f>
        <v>0</v>
      </c>
      <c r="DR111" s="192" t="n">
        <f aca="false">DR$4*DR6</f>
        <v>0</v>
      </c>
      <c r="DS111" s="193" t="n">
        <f aca="false">DS$4*DS6</f>
        <v>0</v>
      </c>
      <c r="DT111" s="190" t="str">
        <f aca="false">DI111</f>
        <v>Alumno1</v>
      </c>
      <c r="DU111" s="191" t="n">
        <f aca="false">DU$4*DU6</f>
        <v>0</v>
      </c>
      <c r="DV111" s="192" t="n">
        <f aca="false">DV$4*DV6</f>
        <v>0</v>
      </c>
      <c r="DW111" s="192" t="n">
        <f aca="false">DW$4*DW6</f>
        <v>0</v>
      </c>
      <c r="DX111" s="192" t="n">
        <f aca="false">DX$4*DX6</f>
        <v>0</v>
      </c>
      <c r="DY111" s="192" t="n">
        <f aca="false">DY$4*DY6</f>
        <v>0</v>
      </c>
      <c r="DZ111" s="192" t="n">
        <f aca="false">DZ$4*DZ6</f>
        <v>0</v>
      </c>
      <c r="EA111" s="192" t="n">
        <f aca="false">EA$4*EA6</f>
        <v>0</v>
      </c>
      <c r="EB111" s="192" t="n">
        <f aca="false">EB$4*EB6</f>
        <v>0</v>
      </c>
      <c r="EC111" s="192" t="n">
        <f aca="false">EC$4*EC6</f>
        <v>0</v>
      </c>
      <c r="ED111" s="193" t="n">
        <f aca="false">ED$4*ED6</f>
        <v>0</v>
      </c>
      <c r="EE111" s="190" t="str">
        <f aca="false">DT111</f>
        <v>Alumno1</v>
      </c>
      <c r="EF111" s="191" t="n">
        <f aca="false">EF$4*EF6</f>
        <v>0</v>
      </c>
      <c r="EG111" s="192" t="n">
        <f aca="false">EG$4*EG6</f>
        <v>0</v>
      </c>
      <c r="EH111" s="192" t="n">
        <f aca="false">EH$4*EH6</f>
        <v>0</v>
      </c>
      <c r="EI111" s="192" t="n">
        <f aca="false">EI$4*EI6</f>
        <v>0</v>
      </c>
      <c r="EJ111" s="192" t="n">
        <f aca="false">EJ$4*EJ6</f>
        <v>0</v>
      </c>
      <c r="EK111" s="192" t="n">
        <f aca="false">EK$4*EK6</f>
        <v>0</v>
      </c>
      <c r="EL111" s="192" t="n">
        <f aca="false">EL$4*EL6</f>
        <v>0</v>
      </c>
      <c r="EM111" s="192" t="n">
        <f aca="false">EM$4*EM6</f>
        <v>0</v>
      </c>
      <c r="EN111" s="192" t="n">
        <f aca="false">EN$4*EN6</f>
        <v>0</v>
      </c>
      <c r="EO111" s="193" t="n">
        <f aca="false">EO$4*EO6</f>
        <v>0</v>
      </c>
      <c r="EP111" s="190" t="str">
        <f aca="false">EE111</f>
        <v>Alumno1</v>
      </c>
      <c r="EQ111" s="191" t="n">
        <f aca="false">EQ$4*EQ6</f>
        <v>0</v>
      </c>
      <c r="ER111" s="192" t="n">
        <f aca="false">ER$4*ER6</f>
        <v>0</v>
      </c>
      <c r="ES111" s="192" t="n">
        <f aca="false">ES$4*ES6</f>
        <v>0</v>
      </c>
      <c r="ET111" s="192" t="n">
        <f aca="false">ET$4*ET6</f>
        <v>0</v>
      </c>
      <c r="EU111" s="192" t="n">
        <f aca="false">EU$4*EU6</f>
        <v>0</v>
      </c>
      <c r="EV111" s="192" t="n">
        <f aca="false">EV$4*EV6</f>
        <v>0</v>
      </c>
      <c r="EW111" s="192" t="n">
        <f aca="false">EW$4*EW6</f>
        <v>0</v>
      </c>
      <c r="EX111" s="192" t="n">
        <f aca="false">EX$4*EX6</f>
        <v>0</v>
      </c>
      <c r="EY111" s="192" t="n">
        <f aca="false">EY$4*EY6</f>
        <v>0</v>
      </c>
      <c r="EZ111" s="193" t="n">
        <f aca="false">EZ$4*EZ6</f>
        <v>0</v>
      </c>
      <c r="FA111" s="190" t="str">
        <f aca="false">EP111</f>
        <v>Alumno1</v>
      </c>
      <c r="FB111" s="191" t="n">
        <f aca="false">FB$4*FB6</f>
        <v>0</v>
      </c>
      <c r="FC111" s="192" t="n">
        <f aca="false">FC$4*FC6</f>
        <v>0</v>
      </c>
      <c r="FD111" s="192" t="n">
        <f aca="false">FD$4*FD6</f>
        <v>0</v>
      </c>
      <c r="FE111" s="192" t="n">
        <f aca="false">FE$4*FE6</f>
        <v>0</v>
      </c>
      <c r="FF111" s="192" t="n">
        <f aca="false">FF$4*FF6</f>
        <v>0</v>
      </c>
      <c r="FG111" s="192" t="n">
        <f aca="false">FG$4*FG6</f>
        <v>0</v>
      </c>
      <c r="FH111" s="192" t="n">
        <f aca="false">FH$4*FH6</f>
        <v>0</v>
      </c>
      <c r="FI111" s="192" t="n">
        <f aca="false">FI$4*FI6</f>
        <v>0</v>
      </c>
      <c r="FJ111" s="192" t="n">
        <f aca="false">FJ$4*FJ6</f>
        <v>0</v>
      </c>
      <c r="FK111" s="193" t="n">
        <f aca="false">FK$4*FK6</f>
        <v>0</v>
      </c>
      <c r="FL111" s="190" t="str">
        <f aca="false">FA111</f>
        <v>Alumno1</v>
      </c>
      <c r="FM111" s="191" t="n">
        <f aca="false">FM$4*FM6</f>
        <v>0</v>
      </c>
      <c r="FN111" s="192" t="n">
        <f aca="false">FN$4*FN6</f>
        <v>0</v>
      </c>
      <c r="FO111" s="192" t="n">
        <f aca="false">FO$4*FO6</f>
        <v>0</v>
      </c>
      <c r="FP111" s="192" t="n">
        <f aca="false">FP$4*FP6</f>
        <v>0</v>
      </c>
      <c r="FQ111" s="192" t="n">
        <f aca="false">FQ$4*FQ6</f>
        <v>0</v>
      </c>
      <c r="FR111" s="192" t="n">
        <f aca="false">FR$4*FR6</f>
        <v>0</v>
      </c>
      <c r="FS111" s="192" t="n">
        <f aca="false">FS$4*FS6</f>
        <v>0</v>
      </c>
      <c r="FT111" s="192" t="n">
        <f aca="false">FT$4*FT6</f>
        <v>0</v>
      </c>
      <c r="FU111" s="192" t="n">
        <f aca="false">FU$4*FU6</f>
        <v>0</v>
      </c>
      <c r="FV111" s="193" t="n">
        <f aca="false">FV$4*FV6</f>
        <v>0</v>
      </c>
      <c r="FW111" s="190" t="str">
        <f aca="false">FL111</f>
        <v>Alumno1</v>
      </c>
      <c r="FX111" s="191" t="n">
        <f aca="false">FX$4*FX6</f>
        <v>0</v>
      </c>
      <c r="FY111" s="192" t="n">
        <f aca="false">FY$4*FY6</f>
        <v>0</v>
      </c>
      <c r="FZ111" s="192" t="n">
        <f aca="false">FZ$4*FZ6</f>
        <v>0</v>
      </c>
      <c r="GA111" s="192" t="n">
        <f aca="false">GA$4*GA6</f>
        <v>0</v>
      </c>
      <c r="GB111" s="192" t="n">
        <f aca="false">GB$4*GB6</f>
        <v>0</v>
      </c>
      <c r="GC111" s="192" t="n">
        <f aca="false">GC$4*GC6</f>
        <v>0</v>
      </c>
      <c r="GD111" s="192" t="n">
        <f aca="false">GD$4*GD6</f>
        <v>0</v>
      </c>
      <c r="GE111" s="192" t="n">
        <f aca="false">GE$4*GE6</f>
        <v>0</v>
      </c>
      <c r="GF111" s="192" t="n">
        <f aca="false">GF$4*GF6</f>
        <v>0</v>
      </c>
      <c r="GG111" s="193" t="n">
        <f aca="false">GG$4*GG6</f>
        <v>0</v>
      </c>
      <c r="GH111" s="190" t="str">
        <f aca="false">FW111</f>
        <v>Alumno1</v>
      </c>
      <c r="GI111" s="191" t="n">
        <f aca="false">GI$4*GI6</f>
        <v>0</v>
      </c>
      <c r="GJ111" s="192" t="n">
        <f aca="false">GJ$4*GJ6</f>
        <v>0</v>
      </c>
      <c r="GK111" s="192" t="n">
        <f aca="false">GK$4*GK6</f>
        <v>0</v>
      </c>
      <c r="GL111" s="192" t="n">
        <f aca="false">GL$4*GL6</f>
        <v>0</v>
      </c>
      <c r="GM111" s="192" t="n">
        <f aca="false">GM$4*GM6</f>
        <v>0</v>
      </c>
      <c r="GN111" s="192" t="n">
        <f aca="false">GN$4*GN6</f>
        <v>0</v>
      </c>
      <c r="GO111" s="192" t="n">
        <f aca="false">GO$4*GO6</f>
        <v>0</v>
      </c>
      <c r="GP111" s="192" t="n">
        <f aca="false">GP$4*GP6</f>
        <v>0</v>
      </c>
      <c r="GQ111" s="192" t="n">
        <f aca="false">GQ$4*GQ6</f>
        <v>0</v>
      </c>
      <c r="GR111" s="193" t="n">
        <f aca="false">GR$4*GR6</f>
        <v>0</v>
      </c>
      <c r="GS111" s="190" t="str">
        <f aca="false">GH111</f>
        <v>Alumno1</v>
      </c>
      <c r="GT111" s="191" t="n">
        <f aca="false">GT$4*GT6</f>
        <v>0</v>
      </c>
      <c r="GU111" s="192" t="n">
        <f aca="false">GU$4*GU6</f>
        <v>0</v>
      </c>
      <c r="GV111" s="192" t="n">
        <f aca="false">GV$4*GV6</f>
        <v>0</v>
      </c>
      <c r="GW111" s="192" t="n">
        <f aca="false">GW$4*GW6</f>
        <v>0</v>
      </c>
      <c r="GX111" s="192" t="n">
        <f aca="false">GX$4*GX6</f>
        <v>0</v>
      </c>
      <c r="GY111" s="192" t="n">
        <f aca="false">GY$4*GY6</f>
        <v>0</v>
      </c>
      <c r="GZ111" s="192" t="n">
        <f aca="false">GZ$4*GZ6</f>
        <v>0</v>
      </c>
      <c r="HA111" s="192" t="n">
        <f aca="false">HA$4*HA6</f>
        <v>0</v>
      </c>
      <c r="HB111" s="192" t="n">
        <f aca="false">HB$4*HB6</f>
        <v>0</v>
      </c>
      <c r="HC111" s="193" t="n">
        <f aca="false">HC$4*HC6</f>
        <v>0</v>
      </c>
      <c r="HD111" s="190" t="str">
        <f aca="false">GS111</f>
        <v>Alumno1</v>
      </c>
      <c r="HE111" s="191" t="n">
        <f aca="false">HE$4*HE6</f>
        <v>0</v>
      </c>
      <c r="HF111" s="192" t="n">
        <f aca="false">HF$4*HF6</f>
        <v>0</v>
      </c>
      <c r="HG111" s="192" t="n">
        <f aca="false">HG$4*HG6</f>
        <v>0</v>
      </c>
      <c r="HH111" s="192" t="n">
        <f aca="false">HH$4*HH6</f>
        <v>0</v>
      </c>
      <c r="HI111" s="192" t="n">
        <f aca="false">HI$4*HI6</f>
        <v>0</v>
      </c>
      <c r="HJ111" s="192" t="n">
        <f aca="false">HJ$4*HJ6</f>
        <v>0</v>
      </c>
      <c r="HK111" s="192" t="n">
        <f aca="false">HK$4*HK6</f>
        <v>0</v>
      </c>
      <c r="HL111" s="192" t="n">
        <f aca="false">HL$4*HL6</f>
        <v>0</v>
      </c>
      <c r="HM111" s="192" t="n">
        <f aca="false">HM$4*HM6</f>
        <v>0</v>
      </c>
      <c r="HN111" s="193" t="n">
        <f aca="false">HN$4*HN6</f>
        <v>0</v>
      </c>
      <c r="HO111" s="190" t="str">
        <f aca="false">HD111</f>
        <v>Alumno1</v>
      </c>
      <c r="HP111" s="191" t="n">
        <f aca="false">HP$4*HP6</f>
        <v>0</v>
      </c>
      <c r="HQ111" s="192" t="n">
        <f aca="false">HQ$4*HQ6</f>
        <v>0</v>
      </c>
      <c r="HR111" s="192" t="n">
        <f aca="false">HR$4*HR6</f>
        <v>0</v>
      </c>
      <c r="HS111" s="192" t="n">
        <f aca="false">HS$4*HS6</f>
        <v>0</v>
      </c>
      <c r="HT111" s="192" t="n">
        <f aca="false">HT$4*HT6</f>
        <v>0</v>
      </c>
      <c r="HU111" s="192" t="n">
        <f aca="false">HU$4*HU6</f>
        <v>0</v>
      </c>
      <c r="HV111" s="192" t="n">
        <f aca="false">HV$4*HV6</f>
        <v>0</v>
      </c>
      <c r="HW111" s="192" t="n">
        <f aca="false">HW$4*HW6</f>
        <v>0</v>
      </c>
      <c r="HX111" s="192" t="n">
        <f aca="false">HX$4*HX6</f>
        <v>0</v>
      </c>
      <c r="HY111" s="193" t="n">
        <f aca="false">HY$4*HY6</f>
        <v>0</v>
      </c>
      <c r="HZ111" s="190" t="str">
        <f aca="false">HO111</f>
        <v>Alumno1</v>
      </c>
      <c r="IA111" s="191" t="n">
        <f aca="false">IA$4*IA6</f>
        <v>0</v>
      </c>
      <c r="IB111" s="192" t="n">
        <f aca="false">IB$4*IB6</f>
        <v>0</v>
      </c>
      <c r="IC111" s="192" t="n">
        <f aca="false">IC$4*IC6</f>
        <v>0</v>
      </c>
      <c r="ID111" s="192" t="n">
        <f aca="false">ID$4*ID6</f>
        <v>0</v>
      </c>
      <c r="IE111" s="192" t="n">
        <f aca="false">IE$4*IE6</f>
        <v>0</v>
      </c>
      <c r="IF111" s="192" t="n">
        <f aca="false">IF$4*IF6</f>
        <v>0</v>
      </c>
      <c r="IG111" s="192" t="n">
        <f aca="false">IG$4*IG6</f>
        <v>0</v>
      </c>
      <c r="IH111" s="192" t="n">
        <f aca="false">IH$4*IH6</f>
        <v>0</v>
      </c>
      <c r="II111" s="192" t="n">
        <f aca="false">II$4*II6</f>
        <v>0</v>
      </c>
      <c r="IJ111" s="193" t="n">
        <f aca="false">IJ$4*IJ6</f>
        <v>0</v>
      </c>
      <c r="IK111" s="190" t="str">
        <f aca="false">HZ111</f>
        <v>Alumno1</v>
      </c>
      <c r="IL111" s="191" t="n">
        <f aca="false">IL$4*IL6</f>
        <v>0</v>
      </c>
      <c r="IM111" s="192" t="n">
        <f aca="false">IM$4*IM6</f>
        <v>0</v>
      </c>
      <c r="IN111" s="192" t="n">
        <f aca="false">IN$4*IN6</f>
        <v>0</v>
      </c>
      <c r="IO111" s="192" t="n">
        <f aca="false">IO$4*IO6</f>
        <v>0</v>
      </c>
      <c r="IP111" s="192" t="n">
        <f aca="false">IP$4*IP6</f>
        <v>0</v>
      </c>
      <c r="IQ111" s="192" t="n">
        <f aca="false">IQ$4*IQ6</f>
        <v>0</v>
      </c>
      <c r="IR111" s="192" t="n">
        <f aca="false">IR$4*IR6</f>
        <v>0</v>
      </c>
      <c r="IS111" s="192" t="n">
        <f aca="false">IS$4*IS6</f>
        <v>0</v>
      </c>
      <c r="IT111" s="192" t="n">
        <f aca="false">IT$4*IT6</f>
        <v>0</v>
      </c>
      <c r="IU111" s="193" t="n">
        <f aca="false">IU$4*IU6</f>
        <v>0</v>
      </c>
      <c r="IV111" s="190" t="str">
        <f aca="false">IK111</f>
        <v>Alumno1</v>
      </c>
      <c r="IW111" s="191" t="n">
        <f aca="false">IW$4*IW6</f>
        <v>0</v>
      </c>
      <c r="IX111" s="192" t="n">
        <f aca="false">IX$4*IX6</f>
        <v>0</v>
      </c>
      <c r="IY111" s="192" t="n">
        <f aca="false">IY$4*IY6</f>
        <v>0</v>
      </c>
      <c r="IZ111" s="192" t="n">
        <f aca="false">IZ$4*IZ6</f>
        <v>0</v>
      </c>
      <c r="JA111" s="192" t="n">
        <f aca="false">JA$4*JA6</f>
        <v>0</v>
      </c>
      <c r="JB111" s="192" t="n">
        <f aca="false">JB$4*JB6</f>
        <v>0</v>
      </c>
      <c r="JC111" s="192" t="n">
        <f aca="false">JC$4*JC6</f>
        <v>0</v>
      </c>
      <c r="JD111" s="192" t="n">
        <f aca="false">JD$4*JD6</f>
        <v>0</v>
      </c>
      <c r="JE111" s="192" t="n">
        <f aca="false">JE$4*JE6</f>
        <v>0</v>
      </c>
      <c r="JF111" s="193" t="n">
        <f aca="false">JF$4*JF6</f>
        <v>0</v>
      </c>
      <c r="JG111" s="190" t="str">
        <f aca="false">IV111</f>
        <v>Alumno1</v>
      </c>
      <c r="JH111" s="191" t="n">
        <f aca="false">JH$4*JH6</f>
        <v>0</v>
      </c>
      <c r="JI111" s="192" t="n">
        <f aca="false">JI$4*JI6</f>
        <v>0</v>
      </c>
      <c r="JJ111" s="192" t="n">
        <f aca="false">JJ$4*JJ6</f>
        <v>0</v>
      </c>
      <c r="JK111" s="192" t="n">
        <f aca="false">JK$4*JK6</f>
        <v>0</v>
      </c>
      <c r="JL111" s="192" t="n">
        <f aca="false">JL$4*JL6</f>
        <v>0</v>
      </c>
      <c r="JM111" s="192" t="n">
        <f aca="false">JM$4*JM6</f>
        <v>0</v>
      </c>
      <c r="JN111" s="192" t="n">
        <f aca="false">JN$4*JN6</f>
        <v>0</v>
      </c>
      <c r="JO111" s="192" t="n">
        <f aca="false">JO$4*JO6</f>
        <v>0</v>
      </c>
      <c r="JP111" s="192" t="n">
        <f aca="false">JP$4*JP6</f>
        <v>0</v>
      </c>
      <c r="JQ111" s="193" t="n">
        <f aca="false">JQ$4*JQ6</f>
        <v>0</v>
      </c>
      <c r="JR111" s="190" t="str">
        <f aca="false">JG111</f>
        <v>Alumno1</v>
      </c>
      <c r="JS111" s="191" t="n">
        <f aca="false">JS$4*JS6</f>
        <v>0</v>
      </c>
      <c r="JT111" s="192" t="n">
        <f aca="false">JT$4*JT6</f>
        <v>0</v>
      </c>
      <c r="JU111" s="192" t="n">
        <f aca="false">JU$4*JU6</f>
        <v>0</v>
      </c>
      <c r="JV111" s="192" t="n">
        <f aca="false">JV$4*JV6</f>
        <v>0</v>
      </c>
      <c r="JW111" s="192" t="n">
        <f aca="false">JW$4*JW6</f>
        <v>0</v>
      </c>
      <c r="JX111" s="192" t="n">
        <f aca="false">JX$4*JX6</f>
        <v>0</v>
      </c>
      <c r="JY111" s="192" t="n">
        <f aca="false">JY$4*JY6</f>
        <v>0</v>
      </c>
      <c r="JZ111" s="192" t="n">
        <f aca="false">JZ$4*JZ6</f>
        <v>0</v>
      </c>
      <c r="KA111" s="192" t="n">
        <f aca="false">KA$4*KA6</f>
        <v>0</v>
      </c>
      <c r="KB111" s="193" t="n">
        <f aca="false">KB$4*KB6</f>
        <v>0</v>
      </c>
      <c r="KC111" s="190" t="str">
        <f aca="false">JR111</f>
        <v>Alumno1</v>
      </c>
      <c r="KD111" s="191" t="n">
        <f aca="false">KD$4*KD6</f>
        <v>0</v>
      </c>
      <c r="KE111" s="192" t="n">
        <f aca="false">KE$4*KE6</f>
        <v>0</v>
      </c>
      <c r="KF111" s="192" t="n">
        <f aca="false">KF$4*KF6</f>
        <v>0</v>
      </c>
      <c r="KG111" s="192" t="n">
        <f aca="false">KG$4*KG6</f>
        <v>0</v>
      </c>
      <c r="KH111" s="192" t="n">
        <f aca="false">KH$4*KH6</f>
        <v>0</v>
      </c>
      <c r="KI111" s="192" t="n">
        <f aca="false">KI$4*KI6</f>
        <v>0</v>
      </c>
      <c r="KJ111" s="192" t="n">
        <f aca="false">KJ$4*KJ6</f>
        <v>0</v>
      </c>
      <c r="KK111" s="192" t="n">
        <f aca="false">KK$4*KK6</f>
        <v>0</v>
      </c>
      <c r="KL111" s="192" t="n">
        <f aca="false">KL$4*KL6</f>
        <v>0</v>
      </c>
      <c r="KM111" s="193" t="n">
        <f aca="false">KM$4*KM6</f>
        <v>0</v>
      </c>
      <c r="KN111" s="190" t="str">
        <f aca="false">KC111</f>
        <v>Alumno1</v>
      </c>
      <c r="KO111" s="191" t="n">
        <f aca="false">KO$4*KO6</f>
        <v>0</v>
      </c>
      <c r="KP111" s="192" t="n">
        <f aca="false">KP$4*KP6</f>
        <v>0</v>
      </c>
      <c r="KQ111" s="192" t="n">
        <f aca="false">KQ$4*KQ6</f>
        <v>0</v>
      </c>
      <c r="KR111" s="192" t="n">
        <f aca="false">KR$4*KR6</f>
        <v>0</v>
      </c>
      <c r="KS111" s="192" t="n">
        <f aca="false">KS$4*KS6</f>
        <v>0</v>
      </c>
      <c r="KT111" s="192" t="n">
        <f aca="false">KT$4*KT6</f>
        <v>0</v>
      </c>
      <c r="KU111" s="192" t="n">
        <f aca="false">KU$4*KU6</f>
        <v>0</v>
      </c>
      <c r="KV111" s="192" t="n">
        <f aca="false">KV$4*KV6</f>
        <v>0</v>
      </c>
      <c r="KW111" s="192" t="n">
        <f aca="false">KW$4*KW6</f>
        <v>0</v>
      </c>
      <c r="KX111" s="193" t="n">
        <f aca="false">KX$4*KX6</f>
        <v>0</v>
      </c>
      <c r="KY111" s="190" t="str">
        <f aca="false">KN111</f>
        <v>Alumno1</v>
      </c>
      <c r="KZ111" s="191" t="n">
        <f aca="false">KZ$4*KZ6</f>
        <v>0</v>
      </c>
      <c r="LA111" s="192" t="n">
        <f aca="false">LA$4*LA6</f>
        <v>0</v>
      </c>
      <c r="LB111" s="192" t="n">
        <f aca="false">LB$4*LB6</f>
        <v>0</v>
      </c>
      <c r="LC111" s="192" t="n">
        <f aca="false">LC$4*LC6</f>
        <v>0</v>
      </c>
      <c r="LD111" s="192" t="n">
        <f aca="false">LD$4*LD6</f>
        <v>0</v>
      </c>
      <c r="LE111" s="192" t="n">
        <f aca="false">LE$4*LE6</f>
        <v>0</v>
      </c>
      <c r="LF111" s="192" t="n">
        <f aca="false">LF$4*LF6</f>
        <v>0</v>
      </c>
      <c r="LG111" s="192" t="n">
        <f aca="false">LG$4*LG6</f>
        <v>0</v>
      </c>
      <c r="LH111" s="192" t="n">
        <f aca="false">LH$4*LH6</f>
        <v>0</v>
      </c>
      <c r="LI111" s="193" t="n">
        <f aca="false">LI$4*LI6</f>
        <v>0</v>
      </c>
      <c r="LJ111" s="190" t="str">
        <f aca="false">KY111</f>
        <v>Alumno1</v>
      </c>
      <c r="LK111" s="191" t="n">
        <f aca="false">LK$4*LK6</f>
        <v>0</v>
      </c>
      <c r="LL111" s="192" t="n">
        <f aca="false">LL$4*LL6</f>
        <v>0</v>
      </c>
      <c r="LM111" s="192" t="n">
        <f aca="false">LM$4*LM6</f>
        <v>0</v>
      </c>
      <c r="LN111" s="192" t="n">
        <f aca="false">LN$4*LN6</f>
        <v>0</v>
      </c>
      <c r="LO111" s="192" t="n">
        <f aca="false">LO$4*LO6</f>
        <v>0</v>
      </c>
      <c r="LP111" s="192" t="n">
        <f aca="false">LP$4*LP6</f>
        <v>0</v>
      </c>
      <c r="LQ111" s="192" t="n">
        <f aca="false">LQ$4*LQ6</f>
        <v>0</v>
      </c>
      <c r="LR111" s="192" t="n">
        <f aca="false">LR$4*LR6</f>
        <v>0</v>
      </c>
      <c r="LS111" s="192" t="n">
        <f aca="false">LS$4*LS6</f>
        <v>0</v>
      </c>
      <c r="LT111" s="193" t="n">
        <f aca="false">LT$4*LT6</f>
        <v>0</v>
      </c>
    </row>
    <row r="112" customFormat="false" ht="15" hidden="true" customHeight="false" outlineLevel="0" collapsed="false">
      <c r="C112" s="194" t="str">
        <f aca="false">C63</f>
        <v>Alumno2</v>
      </c>
      <c r="D112" s="195" t="n">
        <f aca="false">D$4*D7</f>
        <v>0.75</v>
      </c>
      <c r="E112" s="196" t="n">
        <f aca="false">E$4*E7</f>
        <v>0.75</v>
      </c>
      <c r="F112" s="196" t="n">
        <f aca="false">F$4*F7</f>
        <v>1</v>
      </c>
      <c r="G112" s="196" t="n">
        <f aca="false">G$4*G7</f>
        <v>0.5</v>
      </c>
      <c r="H112" s="196" t="n">
        <f aca="false">H$4*H7</f>
        <v>0.75</v>
      </c>
      <c r="I112" s="196" t="n">
        <f aca="false">I$4*I7</f>
        <v>0.75</v>
      </c>
      <c r="J112" s="196" t="n">
        <f aca="false">J$4*J7</f>
        <v>0.5</v>
      </c>
      <c r="K112" s="196" t="n">
        <f aca="false">K$4*K7</f>
        <v>0</v>
      </c>
      <c r="L112" s="196" t="n">
        <f aca="false">L$4*L7</f>
        <v>0</v>
      </c>
      <c r="M112" s="197" t="n">
        <f aca="false">M$4*M7</f>
        <v>0</v>
      </c>
      <c r="N112" s="194" t="str">
        <f aca="false">C112</f>
        <v>Alumno2</v>
      </c>
      <c r="O112" s="195" t="n">
        <f aca="false">O$4*O7</f>
        <v>1</v>
      </c>
      <c r="P112" s="196" t="n">
        <f aca="false">P$4*P7</f>
        <v>1</v>
      </c>
      <c r="Q112" s="196" t="n">
        <f aca="false">Q$4*Q7</f>
        <v>1</v>
      </c>
      <c r="R112" s="196" t="n">
        <f aca="false">R$4*R7</f>
        <v>1</v>
      </c>
      <c r="S112" s="196" t="n">
        <f aca="false">S$4*S7</f>
        <v>1</v>
      </c>
      <c r="T112" s="196" t="n">
        <f aca="false">T$4*T7</f>
        <v>0</v>
      </c>
      <c r="U112" s="196" t="n">
        <f aca="false">U$4*U7</f>
        <v>0</v>
      </c>
      <c r="V112" s="196" t="n">
        <f aca="false">V$4*V7</f>
        <v>0</v>
      </c>
      <c r="W112" s="196" t="n">
        <f aca="false">W$4*W7</f>
        <v>0</v>
      </c>
      <c r="X112" s="197" t="n">
        <f aca="false">X$4*X7</f>
        <v>0</v>
      </c>
      <c r="Y112" s="194" t="str">
        <f aca="false">N112</f>
        <v>Alumno2</v>
      </c>
      <c r="Z112" s="195" t="n">
        <f aca="false">Z$4*Z7</f>
        <v>1</v>
      </c>
      <c r="AA112" s="196" t="n">
        <f aca="false">AA$4*AA7</f>
        <v>1</v>
      </c>
      <c r="AB112" s="196" t="n">
        <f aca="false">AB$4*AB7</f>
        <v>1</v>
      </c>
      <c r="AC112" s="196" t="n">
        <f aca="false">AC$4*AC7</f>
        <v>1</v>
      </c>
      <c r="AD112" s="196" t="n">
        <f aca="false">AD$4*AD7</f>
        <v>1</v>
      </c>
      <c r="AE112" s="196" t="n">
        <f aca="false">AE$4*AE7</f>
        <v>0</v>
      </c>
      <c r="AF112" s="196" t="n">
        <f aca="false">AF$4*AF7</f>
        <v>0</v>
      </c>
      <c r="AG112" s="196" t="n">
        <f aca="false">AG$4*AG7</f>
        <v>0</v>
      </c>
      <c r="AH112" s="196" t="n">
        <f aca="false">AH$4*AH7</f>
        <v>0</v>
      </c>
      <c r="AI112" s="197" t="n">
        <f aca="false">AI$4*AI7</f>
        <v>0</v>
      </c>
      <c r="AJ112" s="194" t="str">
        <f aca="false">Y112</f>
        <v>Alumno2</v>
      </c>
      <c r="AK112" s="195" t="n">
        <f aca="false">AK$4*AK7</f>
        <v>1</v>
      </c>
      <c r="AL112" s="196" t="n">
        <f aca="false">AL$4*AL7</f>
        <v>1</v>
      </c>
      <c r="AM112" s="196" t="n">
        <f aca="false">AM$4*AM7</f>
        <v>1</v>
      </c>
      <c r="AN112" s="196" t="n">
        <f aca="false">AN$4*AN7</f>
        <v>1</v>
      </c>
      <c r="AO112" s="196" t="n">
        <f aca="false">AO$4*AO7</f>
        <v>1</v>
      </c>
      <c r="AP112" s="196" t="n">
        <f aca="false">AP$4*AP7</f>
        <v>0</v>
      </c>
      <c r="AQ112" s="196" t="n">
        <f aca="false">AQ$4*AQ7</f>
        <v>0</v>
      </c>
      <c r="AR112" s="196" t="n">
        <f aca="false">AR$4*AR7</f>
        <v>0</v>
      </c>
      <c r="AS112" s="196" t="n">
        <f aca="false">AS$4*AS7</f>
        <v>0</v>
      </c>
      <c r="AT112" s="197" t="n">
        <f aca="false">AT$4*AT7</f>
        <v>0</v>
      </c>
      <c r="AU112" s="194" t="str">
        <f aca="false">AJ112</f>
        <v>Alumno2</v>
      </c>
      <c r="AV112" s="195" t="n">
        <f aca="false">AV$4*AV7</f>
        <v>0.5</v>
      </c>
      <c r="AW112" s="196" t="n">
        <f aca="false">AW$4*AW7</f>
        <v>1</v>
      </c>
      <c r="AX112" s="196" t="n">
        <f aca="false">AX$4*AX7</f>
        <v>1</v>
      </c>
      <c r="AY112" s="196" t="n">
        <f aca="false">AY$4*AY7</f>
        <v>1.5</v>
      </c>
      <c r="AZ112" s="196" t="n">
        <f aca="false">AZ$4*AZ7</f>
        <v>1</v>
      </c>
      <c r="BA112" s="196" t="n">
        <f aca="false">BA$4*BA7</f>
        <v>0</v>
      </c>
      <c r="BB112" s="196" t="n">
        <f aca="false">BB$4*BB7</f>
        <v>0</v>
      </c>
      <c r="BC112" s="196" t="n">
        <f aca="false">BC$4*BC7</f>
        <v>0</v>
      </c>
      <c r="BD112" s="196" t="n">
        <f aca="false">BD$4*BD7</f>
        <v>0</v>
      </c>
      <c r="BE112" s="197" t="n">
        <f aca="false">BE$4*BE7</f>
        <v>0</v>
      </c>
      <c r="BF112" s="194" t="str">
        <f aca="false">AU112</f>
        <v>Alumno2</v>
      </c>
      <c r="BG112" s="195" t="n">
        <f aca="false">BG$4*BG7</f>
        <v>0.5</v>
      </c>
      <c r="BH112" s="196" t="n">
        <f aca="false">BH$4*BH7</f>
        <v>1</v>
      </c>
      <c r="BI112" s="196" t="n">
        <f aca="false">BI$4*BI7</f>
        <v>1</v>
      </c>
      <c r="BJ112" s="196" t="n">
        <f aca="false">BJ$4*BJ7</f>
        <v>1</v>
      </c>
      <c r="BK112" s="196" t="n">
        <f aca="false">BK$4*BK7</f>
        <v>1.5</v>
      </c>
      <c r="BL112" s="196" t="n">
        <f aca="false">BL$4*BL7</f>
        <v>0</v>
      </c>
      <c r="BM112" s="196" t="n">
        <f aca="false">BM$4*BM7</f>
        <v>0</v>
      </c>
      <c r="BN112" s="196" t="n">
        <f aca="false">BN$4*BN7</f>
        <v>0</v>
      </c>
      <c r="BO112" s="196" t="n">
        <f aca="false">BO$4*BO7</f>
        <v>0</v>
      </c>
      <c r="BP112" s="197" t="n">
        <f aca="false">BP$4*BP7</f>
        <v>0</v>
      </c>
      <c r="BQ112" s="194" t="str">
        <f aca="false">BF112</f>
        <v>Alumno2</v>
      </c>
      <c r="BR112" s="195" t="n">
        <f aca="false">BR$4*BR7</f>
        <v>0.6</v>
      </c>
      <c r="BS112" s="196" t="n">
        <f aca="false">BS$4*BS7</f>
        <v>0.3</v>
      </c>
      <c r="BT112" s="196" t="n">
        <f aca="false">BT$4*BT7</f>
        <v>0.4</v>
      </c>
      <c r="BU112" s="196" t="n">
        <f aca="false">BU$4*BU7</f>
        <v>0.8</v>
      </c>
      <c r="BV112" s="196" t="n">
        <f aca="false">BV$4*BV7</f>
        <v>1.5</v>
      </c>
      <c r="BW112" s="196" t="n">
        <f aca="false">BW$4*BW7</f>
        <v>0</v>
      </c>
      <c r="BX112" s="196" t="n">
        <f aca="false">BX$4*BX7</f>
        <v>0</v>
      </c>
      <c r="BY112" s="196" t="n">
        <f aca="false">BY$4*BY7</f>
        <v>0</v>
      </c>
      <c r="BZ112" s="196" t="n">
        <f aca="false">BZ$4*BZ7</f>
        <v>0</v>
      </c>
      <c r="CA112" s="197" t="n">
        <f aca="false">CA$4*CA7</f>
        <v>0</v>
      </c>
      <c r="CB112" s="194" t="str">
        <f aca="false">BQ112</f>
        <v>Alumno2</v>
      </c>
      <c r="CC112" s="195" t="n">
        <f aca="false">CC$4*CC7</f>
        <v>0</v>
      </c>
      <c r="CD112" s="196" t="n">
        <f aca="false">CD$4*CD7</f>
        <v>0</v>
      </c>
      <c r="CE112" s="196" t="n">
        <f aca="false">CE$4*CE7</f>
        <v>0</v>
      </c>
      <c r="CF112" s="196" t="n">
        <f aca="false">CF$4*CF7</f>
        <v>0</v>
      </c>
      <c r="CG112" s="196" t="n">
        <f aca="false">CG$4*CG7</f>
        <v>0</v>
      </c>
      <c r="CH112" s="196" t="n">
        <f aca="false">CH$4*CH7</f>
        <v>0</v>
      </c>
      <c r="CI112" s="196" t="n">
        <f aca="false">CI$4*CI7</f>
        <v>0</v>
      </c>
      <c r="CJ112" s="196" t="n">
        <f aca="false">CJ$4*CJ7</f>
        <v>0</v>
      </c>
      <c r="CK112" s="196" t="n">
        <f aca="false">CK$4*CK7</f>
        <v>0</v>
      </c>
      <c r="CL112" s="197" t="n">
        <f aca="false">CL$4*CL7</f>
        <v>0</v>
      </c>
      <c r="CM112" s="194" t="str">
        <f aca="false">CB112</f>
        <v>Alumno2</v>
      </c>
      <c r="CN112" s="195" t="n">
        <f aca="false">CN$4*CN7</f>
        <v>0</v>
      </c>
      <c r="CO112" s="196" t="n">
        <f aca="false">CO$4*CO7</f>
        <v>0</v>
      </c>
      <c r="CP112" s="196" t="n">
        <f aca="false">CP$4*CP7</f>
        <v>0</v>
      </c>
      <c r="CQ112" s="196" t="n">
        <f aca="false">CQ$4*CQ7</f>
        <v>0</v>
      </c>
      <c r="CR112" s="196" t="n">
        <f aca="false">CR$4*CR7</f>
        <v>0</v>
      </c>
      <c r="CS112" s="196" t="n">
        <f aca="false">CS$4*CS7</f>
        <v>0</v>
      </c>
      <c r="CT112" s="196" t="n">
        <f aca="false">CT$4*CT7</f>
        <v>0</v>
      </c>
      <c r="CU112" s="196" t="n">
        <f aca="false">CU$4*CU7</f>
        <v>0</v>
      </c>
      <c r="CV112" s="196" t="n">
        <f aca="false">CV$4*CV7</f>
        <v>0</v>
      </c>
      <c r="CW112" s="197" t="n">
        <f aca="false">CW$4*CW7</f>
        <v>0</v>
      </c>
      <c r="CX112" s="194" t="str">
        <f aca="false">CM112</f>
        <v>Alumno2</v>
      </c>
      <c r="CY112" s="195" t="n">
        <f aca="false">CY$4*CY7</f>
        <v>0</v>
      </c>
      <c r="CZ112" s="196" t="n">
        <f aca="false">CZ$4*CZ7</f>
        <v>0</v>
      </c>
      <c r="DA112" s="196" t="n">
        <f aca="false">DA$4*DA7</f>
        <v>0</v>
      </c>
      <c r="DB112" s="196" t="n">
        <f aca="false">DB$4*DB7</f>
        <v>0</v>
      </c>
      <c r="DC112" s="196" t="n">
        <f aca="false">DC$4*DC7</f>
        <v>0</v>
      </c>
      <c r="DD112" s="196" t="n">
        <f aca="false">DD$4*DD7</f>
        <v>0</v>
      </c>
      <c r="DE112" s="196" t="n">
        <f aca="false">DE$4*DE7</f>
        <v>0</v>
      </c>
      <c r="DF112" s="196" t="n">
        <f aca="false">DF$4*DF7</f>
        <v>0</v>
      </c>
      <c r="DG112" s="196" t="n">
        <f aca="false">DG$4*DG7</f>
        <v>0</v>
      </c>
      <c r="DH112" s="197" t="n">
        <f aca="false">DH$4*DH7</f>
        <v>0</v>
      </c>
      <c r="DI112" s="194" t="str">
        <f aca="false">CX112</f>
        <v>Alumno2</v>
      </c>
      <c r="DJ112" s="195" t="n">
        <f aca="false">DJ$4*DJ7</f>
        <v>0</v>
      </c>
      <c r="DK112" s="196" t="n">
        <f aca="false">DK$4*DK7</f>
        <v>0</v>
      </c>
      <c r="DL112" s="196" t="n">
        <f aca="false">DL$4*DL7</f>
        <v>0</v>
      </c>
      <c r="DM112" s="196" t="n">
        <f aca="false">DM$4*DM7</f>
        <v>0</v>
      </c>
      <c r="DN112" s="196" t="n">
        <f aca="false">DN$4*DN7</f>
        <v>0</v>
      </c>
      <c r="DO112" s="196" t="n">
        <f aca="false">DO$4*DO7</f>
        <v>0</v>
      </c>
      <c r="DP112" s="196" t="n">
        <f aca="false">DP$4*DP7</f>
        <v>0</v>
      </c>
      <c r="DQ112" s="196" t="n">
        <f aca="false">DQ$4*DQ7</f>
        <v>0</v>
      </c>
      <c r="DR112" s="196" t="n">
        <f aca="false">DR$4*DR7</f>
        <v>0</v>
      </c>
      <c r="DS112" s="197" t="n">
        <f aca="false">DS$4*DS7</f>
        <v>0</v>
      </c>
      <c r="DT112" s="194" t="str">
        <f aca="false">DI112</f>
        <v>Alumno2</v>
      </c>
      <c r="DU112" s="195" t="n">
        <f aca="false">DU$4*DU7</f>
        <v>0</v>
      </c>
      <c r="DV112" s="196" t="n">
        <f aca="false">DV$4*DV7</f>
        <v>0</v>
      </c>
      <c r="DW112" s="196" t="n">
        <f aca="false">DW$4*DW7</f>
        <v>0</v>
      </c>
      <c r="DX112" s="196" t="n">
        <f aca="false">DX$4*DX7</f>
        <v>0</v>
      </c>
      <c r="DY112" s="196" t="n">
        <f aca="false">DY$4*DY7</f>
        <v>0</v>
      </c>
      <c r="DZ112" s="196" t="n">
        <f aca="false">DZ$4*DZ7</f>
        <v>0</v>
      </c>
      <c r="EA112" s="196" t="n">
        <f aca="false">EA$4*EA7</f>
        <v>0</v>
      </c>
      <c r="EB112" s="196" t="n">
        <f aca="false">EB$4*EB7</f>
        <v>0</v>
      </c>
      <c r="EC112" s="196" t="n">
        <f aca="false">EC$4*EC7</f>
        <v>0</v>
      </c>
      <c r="ED112" s="197" t="n">
        <f aca="false">ED$4*ED7</f>
        <v>0</v>
      </c>
      <c r="EE112" s="194" t="str">
        <f aca="false">DT112</f>
        <v>Alumno2</v>
      </c>
      <c r="EF112" s="195" t="n">
        <f aca="false">EF$4*EF7</f>
        <v>0</v>
      </c>
      <c r="EG112" s="196" t="n">
        <f aca="false">EG$4*EG7</f>
        <v>0</v>
      </c>
      <c r="EH112" s="196" t="n">
        <f aca="false">EH$4*EH7</f>
        <v>0</v>
      </c>
      <c r="EI112" s="196" t="n">
        <f aca="false">EI$4*EI7</f>
        <v>0</v>
      </c>
      <c r="EJ112" s="196" t="n">
        <f aca="false">EJ$4*EJ7</f>
        <v>0</v>
      </c>
      <c r="EK112" s="196" t="n">
        <f aca="false">EK$4*EK7</f>
        <v>0</v>
      </c>
      <c r="EL112" s="196" t="n">
        <f aca="false">EL$4*EL7</f>
        <v>0</v>
      </c>
      <c r="EM112" s="196" t="n">
        <f aca="false">EM$4*EM7</f>
        <v>0</v>
      </c>
      <c r="EN112" s="196" t="n">
        <f aca="false">EN$4*EN7</f>
        <v>0</v>
      </c>
      <c r="EO112" s="197" t="n">
        <f aca="false">EO$4*EO7</f>
        <v>0</v>
      </c>
      <c r="EP112" s="194" t="str">
        <f aca="false">EE112</f>
        <v>Alumno2</v>
      </c>
      <c r="EQ112" s="195" t="n">
        <f aca="false">EQ$4*EQ7</f>
        <v>0</v>
      </c>
      <c r="ER112" s="196" t="n">
        <f aca="false">ER$4*ER7</f>
        <v>0</v>
      </c>
      <c r="ES112" s="196" t="n">
        <f aca="false">ES$4*ES7</f>
        <v>0</v>
      </c>
      <c r="ET112" s="196" t="n">
        <f aca="false">ET$4*ET7</f>
        <v>0</v>
      </c>
      <c r="EU112" s="196" t="n">
        <f aca="false">EU$4*EU7</f>
        <v>0</v>
      </c>
      <c r="EV112" s="196" t="n">
        <f aca="false">EV$4*EV7</f>
        <v>0</v>
      </c>
      <c r="EW112" s="196" t="n">
        <f aca="false">EW$4*EW7</f>
        <v>0</v>
      </c>
      <c r="EX112" s="196" t="n">
        <f aca="false">EX$4*EX7</f>
        <v>0</v>
      </c>
      <c r="EY112" s="196" t="n">
        <f aca="false">EY$4*EY7</f>
        <v>0</v>
      </c>
      <c r="EZ112" s="197" t="n">
        <f aca="false">EZ$4*EZ7</f>
        <v>0</v>
      </c>
      <c r="FA112" s="194" t="str">
        <f aca="false">EP112</f>
        <v>Alumno2</v>
      </c>
      <c r="FB112" s="195" t="n">
        <f aca="false">FB$4*FB7</f>
        <v>0</v>
      </c>
      <c r="FC112" s="196" t="n">
        <f aca="false">FC$4*FC7</f>
        <v>0</v>
      </c>
      <c r="FD112" s="196" t="n">
        <f aca="false">FD$4*FD7</f>
        <v>0</v>
      </c>
      <c r="FE112" s="196" t="n">
        <f aca="false">FE$4*FE7</f>
        <v>0</v>
      </c>
      <c r="FF112" s="196" t="n">
        <f aca="false">FF$4*FF7</f>
        <v>0</v>
      </c>
      <c r="FG112" s="196" t="n">
        <f aca="false">FG$4*FG7</f>
        <v>0</v>
      </c>
      <c r="FH112" s="196" t="n">
        <f aca="false">FH$4*FH7</f>
        <v>0</v>
      </c>
      <c r="FI112" s="196" t="n">
        <f aca="false">FI$4*FI7</f>
        <v>0</v>
      </c>
      <c r="FJ112" s="196" t="n">
        <f aca="false">FJ$4*FJ7</f>
        <v>0</v>
      </c>
      <c r="FK112" s="197" t="n">
        <f aca="false">FK$4*FK7</f>
        <v>0</v>
      </c>
      <c r="FL112" s="194" t="str">
        <f aca="false">FA112</f>
        <v>Alumno2</v>
      </c>
      <c r="FM112" s="195" t="n">
        <f aca="false">FM$4*FM7</f>
        <v>0</v>
      </c>
      <c r="FN112" s="196" t="n">
        <f aca="false">FN$4*FN7</f>
        <v>0</v>
      </c>
      <c r="FO112" s="196" t="n">
        <f aca="false">FO$4*FO7</f>
        <v>0</v>
      </c>
      <c r="FP112" s="196" t="n">
        <f aca="false">FP$4*FP7</f>
        <v>0</v>
      </c>
      <c r="FQ112" s="196" t="n">
        <f aca="false">FQ$4*FQ7</f>
        <v>0</v>
      </c>
      <c r="FR112" s="196" t="n">
        <f aca="false">FR$4*FR7</f>
        <v>0</v>
      </c>
      <c r="FS112" s="196" t="n">
        <f aca="false">FS$4*FS7</f>
        <v>0</v>
      </c>
      <c r="FT112" s="196" t="n">
        <f aca="false">FT$4*FT7</f>
        <v>0</v>
      </c>
      <c r="FU112" s="196" t="n">
        <f aca="false">FU$4*FU7</f>
        <v>0</v>
      </c>
      <c r="FV112" s="197" t="n">
        <f aca="false">FV$4*FV7</f>
        <v>0</v>
      </c>
      <c r="FW112" s="194" t="str">
        <f aca="false">FL112</f>
        <v>Alumno2</v>
      </c>
      <c r="FX112" s="195" t="n">
        <f aca="false">FX$4*FX7</f>
        <v>0</v>
      </c>
      <c r="FY112" s="196" t="n">
        <f aca="false">FY$4*FY7</f>
        <v>0</v>
      </c>
      <c r="FZ112" s="196" t="n">
        <f aca="false">FZ$4*FZ7</f>
        <v>0</v>
      </c>
      <c r="GA112" s="196" t="n">
        <f aca="false">GA$4*GA7</f>
        <v>0</v>
      </c>
      <c r="GB112" s="196" t="n">
        <f aca="false">GB$4*GB7</f>
        <v>0</v>
      </c>
      <c r="GC112" s="196" t="n">
        <f aca="false">GC$4*GC7</f>
        <v>0</v>
      </c>
      <c r="GD112" s="196" t="n">
        <f aca="false">GD$4*GD7</f>
        <v>0</v>
      </c>
      <c r="GE112" s="196" t="n">
        <f aca="false">GE$4*GE7</f>
        <v>0</v>
      </c>
      <c r="GF112" s="196" t="n">
        <f aca="false">GF$4*GF7</f>
        <v>0</v>
      </c>
      <c r="GG112" s="197" t="n">
        <f aca="false">GG$4*GG7</f>
        <v>0</v>
      </c>
      <c r="GH112" s="194" t="str">
        <f aca="false">FW112</f>
        <v>Alumno2</v>
      </c>
      <c r="GI112" s="195" t="n">
        <f aca="false">GI$4*GI7</f>
        <v>0</v>
      </c>
      <c r="GJ112" s="196" t="n">
        <f aca="false">GJ$4*GJ7</f>
        <v>0</v>
      </c>
      <c r="GK112" s="196" t="n">
        <f aca="false">GK$4*GK7</f>
        <v>0</v>
      </c>
      <c r="GL112" s="196" t="n">
        <f aca="false">GL$4*GL7</f>
        <v>0</v>
      </c>
      <c r="GM112" s="196" t="n">
        <f aca="false">GM$4*GM7</f>
        <v>0</v>
      </c>
      <c r="GN112" s="196" t="n">
        <f aca="false">GN$4*GN7</f>
        <v>0</v>
      </c>
      <c r="GO112" s="196" t="n">
        <f aca="false">GO$4*GO7</f>
        <v>0</v>
      </c>
      <c r="GP112" s="196" t="n">
        <f aca="false">GP$4*GP7</f>
        <v>0</v>
      </c>
      <c r="GQ112" s="196" t="n">
        <f aca="false">GQ$4*GQ7</f>
        <v>0</v>
      </c>
      <c r="GR112" s="197" t="n">
        <f aca="false">GR$4*GR7</f>
        <v>0</v>
      </c>
      <c r="GS112" s="194" t="str">
        <f aca="false">GH112</f>
        <v>Alumno2</v>
      </c>
      <c r="GT112" s="195" t="n">
        <f aca="false">GT$4*GT7</f>
        <v>0</v>
      </c>
      <c r="GU112" s="196" t="n">
        <f aca="false">GU$4*GU7</f>
        <v>0</v>
      </c>
      <c r="GV112" s="196" t="n">
        <f aca="false">GV$4*GV7</f>
        <v>0</v>
      </c>
      <c r="GW112" s="196" t="n">
        <f aca="false">GW$4*GW7</f>
        <v>0</v>
      </c>
      <c r="GX112" s="196" t="n">
        <f aca="false">GX$4*GX7</f>
        <v>0</v>
      </c>
      <c r="GY112" s="196" t="n">
        <f aca="false">GY$4*GY7</f>
        <v>0</v>
      </c>
      <c r="GZ112" s="196" t="n">
        <f aca="false">GZ$4*GZ7</f>
        <v>0</v>
      </c>
      <c r="HA112" s="196" t="n">
        <f aca="false">HA$4*HA7</f>
        <v>0</v>
      </c>
      <c r="HB112" s="196" t="n">
        <f aca="false">HB$4*HB7</f>
        <v>0</v>
      </c>
      <c r="HC112" s="197" t="n">
        <f aca="false">HC$4*HC7</f>
        <v>0</v>
      </c>
      <c r="HD112" s="194" t="str">
        <f aca="false">GS112</f>
        <v>Alumno2</v>
      </c>
      <c r="HE112" s="195" t="n">
        <f aca="false">HE$4*HE7</f>
        <v>0</v>
      </c>
      <c r="HF112" s="196" t="n">
        <f aca="false">HF$4*HF7</f>
        <v>0</v>
      </c>
      <c r="HG112" s="196" t="n">
        <f aca="false">HG$4*HG7</f>
        <v>0</v>
      </c>
      <c r="HH112" s="196" t="n">
        <f aca="false">HH$4*HH7</f>
        <v>0</v>
      </c>
      <c r="HI112" s="196" t="n">
        <f aca="false">HI$4*HI7</f>
        <v>0</v>
      </c>
      <c r="HJ112" s="196" t="n">
        <f aca="false">HJ$4*HJ7</f>
        <v>0</v>
      </c>
      <c r="HK112" s="196" t="n">
        <f aca="false">HK$4*HK7</f>
        <v>0</v>
      </c>
      <c r="HL112" s="196" t="n">
        <f aca="false">HL$4*HL7</f>
        <v>0</v>
      </c>
      <c r="HM112" s="196" t="n">
        <f aca="false">HM$4*HM7</f>
        <v>0</v>
      </c>
      <c r="HN112" s="197" t="n">
        <f aca="false">HN$4*HN7</f>
        <v>0</v>
      </c>
      <c r="HO112" s="194" t="str">
        <f aca="false">HD112</f>
        <v>Alumno2</v>
      </c>
      <c r="HP112" s="195" t="n">
        <f aca="false">HP$4*HP7</f>
        <v>0</v>
      </c>
      <c r="HQ112" s="196" t="n">
        <f aca="false">HQ$4*HQ7</f>
        <v>0</v>
      </c>
      <c r="HR112" s="196" t="n">
        <f aca="false">HR$4*HR7</f>
        <v>0</v>
      </c>
      <c r="HS112" s="196" t="n">
        <f aca="false">HS$4*HS7</f>
        <v>0</v>
      </c>
      <c r="HT112" s="196" t="n">
        <f aca="false">HT$4*HT7</f>
        <v>0</v>
      </c>
      <c r="HU112" s="196" t="n">
        <f aca="false">HU$4*HU7</f>
        <v>0</v>
      </c>
      <c r="HV112" s="196" t="n">
        <f aca="false">HV$4*HV7</f>
        <v>0</v>
      </c>
      <c r="HW112" s="196" t="n">
        <f aca="false">HW$4*HW7</f>
        <v>0</v>
      </c>
      <c r="HX112" s="196" t="n">
        <f aca="false">HX$4*HX7</f>
        <v>0</v>
      </c>
      <c r="HY112" s="197" t="n">
        <f aca="false">HY$4*HY7</f>
        <v>0</v>
      </c>
      <c r="HZ112" s="194" t="str">
        <f aca="false">HO112</f>
        <v>Alumno2</v>
      </c>
      <c r="IA112" s="195" t="n">
        <f aca="false">IA$4*IA7</f>
        <v>0</v>
      </c>
      <c r="IB112" s="196" t="n">
        <f aca="false">IB$4*IB7</f>
        <v>0</v>
      </c>
      <c r="IC112" s="196" t="n">
        <f aca="false">IC$4*IC7</f>
        <v>0</v>
      </c>
      <c r="ID112" s="196" t="n">
        <f aca="false">ID$4*ID7</f>
        <v>0</v>
      </c>
      <c r="IE112" s="196" t="n">
        <f aca="false">IE$4*IE7</f>
        <v>0</v>
      </c>
      <c r="IF112" s="196" t="n">
        <f aca="false">IF$4*IF7</f>
        <v>0</v>
      </c>
      <c r="IG112" s="196" t="n">
        <f aca="false">IG$4*IG7</f>
        <v>0</v>
      </c>
      <c r="IH112" s="196" t="n">
        <f aca="false">IH$4*IH7</f>
        <v>0</v>
      </c>
      <c r="II112" s="196" t="n">
        <f aca="false">II$4*II7</f>
        <v>0</v>
      </c>
      <c r="IJ112" s="197" t="n">
        <f aca="false">IJ$4*IJ7</f>
        <v>0</v>
      </c>
      <c r="IK112" s="194" t="str">
        <f aca="false">HZ112</f>
        <v>Alumno2</v>
      </c>
      <c r="IL112" s="195" t="n">
        <f aca="false">IL$4*IL7</f>
        <v>0</v>
      </c>
      <c r="IM112" s="196" t="n">
        <f aca="false">IM$4*IM7</f>
        <v>0</v>
      </c>
      <c r="IN112" s="196" t="n">
        <f aca="false">IN$4*IN7</f>
        <v>0</v>
      </c>
      <c r="IO112" s="196" t="n">
        <f aca="false">IO$4*IO7</f>
        <v>0</v>
      </c>
      <c r="IP112" s="196" t="n">
        <f aca="false">IP$4*IP7</f>
        <v>0</v>
      </c>
      <c r="IQ112" s="196" t="n">
        <f aca="false">IQ$4*IQ7</f>
        <v>0</v>
      </c>
      <c r="IR112" s="196" t="n">
        <f aca="false">IR$4*IR7</f>
        <v>0</v>
      </c>
      <c r="IS112" s="196" t="n">
        <f aca="false">IS$4*IS7</f>
        <v>0</v>
      </c>
      <c r="IT112" s="196" t="n">
        <f aca="false">IT$4*IT7</f>
        <v>0</v>
      </c>
      <c r="IU112" s="197" t="n">
        <f aca="false">IU$4*IU7</f>
        <v>0</v>
      </c>
      <c r="IV112" s="194" t="str">
        <f aca="false">IK112</f>
        <v>Alumno2</v>
      </c>
      <c r="IW112" s="195" t="n">
        <f aca="false">IW$4*IW7</f>
        <v>0</v>
      </c>
      <c r="IX112" s="196" t="n">
        <f aca="false">IX$4*IX7</f>
        <v>0</v>
      </c>
      <c r="IY112" s="196" t="n">
        <f aca="false">IY$4*IY7</f>
        <v>0</v>
      </c>
      <c r="IZ112" s="196" t="n">
        <f aca="false">IZ$4*IZ7</f>
        <v>0</v>
      </c>
      <c r="JA112" s="196" t="n">
        <f aca="false">JA$4*JA7</f>
        <v>0</v>
      </c>
      <c r="JB112" s="196" t="n">
        <f aca="false">JB$4*JB7</f>
        <v>0</v>
      </c>
      <c r="JC112" s="196" t="n">
        <f aca="false">JC$4*JC7</f>
        <v>0</v>
      </c>
      <c r="JD112" s="196" t="n">
        <f aca="false">JD$4*JD7</f>
        <v>0</v>
      </c>
      <c r="JE112" s="196" t="n">
        <f aca="false">JE$4*JE7</f>
        <v>0</v>
      </c>
      <c r="JF112" s="197" t="n">
        <f aca="false">JF$4*JF7</f>
        <v>0</v>
      </c>
      <c r="JG112" s="194" t="str">
        <f aca="false">IV112</f>
        <v>Alumno2</v>
      </c>
      <c r="JH112" s="195" t="n">
        <f aca="false">JH$4*JH7</f>
        <v>0</v>
      </c>
      <c r="JI112" s="196" t="n">
        <f aca="false">JI$4*JI7</f>
        <v>0</v>
      </c>
      <c r="JJ112" s="196" t="n">
        <f aca="false">JJ$4*JJ7</f>
        <v>0</v>
      </c>
      <c r="JK112" s="196" t="n">
        <f aca="false">JK$4*JK7</f>
        <v>0</v>
      </c>
      <c r="JL112" s="196" t="n">
        <f aca="false">JL$4*JL7</f>
        <v>0</v>
      </c>
      <c r="JM112" s="196" t="n">
        <f aca="false">JM$4*JM7</f>
        <v>0</v>
      </c>
      <c r="JN112" s="196" t="n">
        <f aca="false">JN$4*JN7</f>
        <v>0</v>
      </c>
      <c r="JO112" s="196" t="n">
        <f aca="false">JO$4*JO7</f>
        <v>0</v>
      </c>
      <c r="JP112" s="196" t="n">
        <f aca="false">JP$4*JP7</f>
        <v>0</v>
      </c>
      <c r="JQ112" s="197" t="n">
        <f aca="false">JQ$4*JQ7</f>
        <v>0</v>
      </c>
      <c r="JR112" s="194" t="str">
        <f aca="false">JG112</f>
        <v>Alumno2</v>
      </c>
      <c r="JS112" s="195" t="n">
        <f aca="false">JS$4*JS7</f>
        <v>0</v>
      </c>
      <c r="JT112" s="196" t="n">
        <f aca="false">JT$4*JT7</f>
        <v>0</v>
      </c>
      <c r="JU112" s="196" t="n">
        <f aca="false">JU$4*JU7</f>
        <v>0</v>
      </c>
      <c r="JV112" s="196" t="n">
        <f aca="false">JV$4*JV7</f>
        <v>0</v>
      </c>
      <c r="JW112" s="196" t="n">
        <f aca="false">JW$4*JW7</f>
        <v>0</v>
      </c>
      <c r="JX112" s="196" t="n">
        <f aca="false">JX$4*JX7</f>
        <v>0</v>
      </c>
      <c r="JY112" s="196" t="n">
        <f aca="false">JY$4*JY7</f>
        <v>0</v>
      </c>
      <c r="JZ112" s="196" t="n">
        <f aca="false">JZ$4*JZ7</f>
        <v>0</v>
      </c>
      <c r="KA112" s="196" t="n">
        <f aca="false">KA$4*KA7</f>
        <v>0</v>
      </c>
      <c r="KB112" s="197" t="n">
        <f aca="false">KB$4*KB7</f>
        <v>0</v>
      </c>
      <c r="KC112" s="194" t="str">
        <f aca="false">JR112</f>
        <v>Alumno2</v>
      </c>
      <c r="KD112" s="195" t="n">
        <f aca="false">KD$4*KD7</f>
        <v>0</v>
      </c>
      <c r="KE112" s="196" t="n">
        <f aca="false">KE$4*KE7</f>
        <v>0</v>
      </c>
      <c r="KF112" s="196" t="n">
        <f aca="false">KF$4*KF7</f>
        <v>0</v>
      </c>
      <c r="KG112" s="196" t="n">
        <f aca="false">KG$4*KG7</f>
        <v>0</v>
      </c>
      <c r="KH112" s="196" t="n">
        <f aca="false">KH$4*KH7</f>
        <v>0</v>
      </c>
      <c r="KI112" s="196" t="n">
        <f aca="false">KI$4*KI7</f>
        <v>0</v>
      </c>
      <c r="KJ112" s="196" t="n">
        <f aca="false">KJ$4*KJ7</f>
        <v>0</v>
      </c>
      <c r="KK112" s="196" t="n">
        <f aca="false">KK$4*KK7</f>
        <v>0</v>
      </c>
      <c r="KL112" s="196" t="n">
        <f aca="false">KL$4*KL7</f>
        <v>0</v>
      </c>
      <c r="KM112" s="197" t="n">
        <f aca="false">KM$4*KM7</f>
        <v>0</v>
      </c>
      <c r="KN112" s="194" t="str">
        <f aca="false">KC112</f>
        <v>Alumno2</v>
      </c>
      <c r="KO112" s="195" t="n">
        <f aca="false">KO$4*KO7</f>
        <v>0</v>
      </c>
      <c r="KP112" s="196" t="n">
        <f aca="false">KP$4*KP7</f>
        <v>0</v>
      </c>
      <c r="KQ112" s="196" t="n">
        <f aca="false">KQ$4*KQ7</f>
        <v>0</v>
      </c>
      <c r="KR112" s="196" t="n">
        <f aca="false">KR$4*KR7</f>
        <v>0</v>
      </c>
      <c r="KS112" s="196" t="n">
        <f aca="false">KS$4*KS7</f>
        <v>0</v>
      </c>
      <c r="KT112" s="196" t="n">
        <f aca="false">KT$4*KT7</f>
        <v>0</v>
      </c>
      <c r="KU112" s="196" t="n">
        <f aca="false">KU$4*KU7</f>
        <v>0</v>
      </c>
      <c r="KV112" s="196" t="n">
        <f aca="false">KV$4*KV7</f>
        <v>0</v>
      </c>
      <c r="KW112" s="196" t="n">
        <f aca="false">KW$4*KW7</f>
        <v>0</v>
      </c>
      <c r="KX112" s="197" t="n">
        <f aca="false">KX$4*KX7</f>
        <v>0</v>
      </c>
      <c r="KY112" s="194" t="str">
        <f aca="false">KN112</f>
        <v>Alumno2</v>
      </c>
      <c r="KZ112" s="195" t="n">
        <f aca="false">KZ$4*KZ7</f>
        <v>0</v>
      </c>
      <c r="LA112" s="196" t="n">
        <f aca="false">LA$4*LA7</f>
        <v>0</v>
      </c>
      <c r="LB112" s="196" t="n">
        <f aca="false">LB$4*LB7</f>
        <v>0</v>
      </c>
      <c r="LC112" s="196" t="n">
        <f aca="false">LC$4*LC7</f>
        <v>0</v>
      </c>
      <c r="LD112" s="196" t="n">
        <f aca="false">LD$4*LD7</f>
        <v>0</v>
      </c>
      <c r="LE112" s="196" t="n">
        <f aca="false">LE$4*LE7</f>
        <v>0</v>
      </c>
      <c r="LF112" s="196" t="n">
        <f aca="false">LF$4*LF7</f>
        <v>0</v>
      </c>
      <c r="LG112" s="196" t="n">
        <f aca="false">LG$4*LG7</f>
        <v>0</v>
      </c>
      <c r="LH112" s="196" t="n">
        <f aca="false">LH$4*LH7</f>
        <v>0</v>
      </c>
      <c r="LI112" s="197" t="n">
        <f aca="false">LI$4*LI7</f>
        <v>0</v>
      </c>
      <c r="LJ112" s="194" t="str">
        <f aca="false">KY112</f>
        <v>Alumno2</v>
      </c>
      <c r="LK112" s="195" t="n">
        <f aca="false">LK$4*LK7</f>
        <v>0</v>
      </c>
      <c r="LL112" s="196" t="n">
        <f aca="false">LL$4*LL7</f>
        <v>0</v>
      </c>
      <c r="LM112" s="196" t="n">
        <f aca="false">LM$4*LM7</f>
        <v>0</v>
      </c>
      <c r="LN112" s="196" t="n">
        <f aca="false">LN$4*LN7</f>
        <v>0</v>
      </c>
      <c r="LO112" s="196" t="n">
        <f aca="false">LO$4*LO7</f>
        <v>0</v>
      </c>
      <c r="LP112" s="196" t="n">
        <f aca="false">LP$4*LP7</f>
        <v>0</v>
      </c>
      <c r="LQ112" s="196" t="n">
        <f aca="false">LQ$4*LQ7</f>
        <v>0</v>
      </c>
      <c r="LR112" s="196" t="n">
        <f aca="false">LR$4*LR7</f>
        <v>0</v>
      </c>
      <c r="LS112" s="196" t="n">
        <f aca="false">LS$4*LS7</f>
        <v>0</v>
      </c>
      <c r="LT112" s="197" t="n">
        <f aca="false">LT$4*LT7</f>
        <v>0</v>
      </c>
    </row>
    <row r="113" customFormat="false" ht="15" hidden="true" customHeight="false" outlineLevel="0" collapsed="false">
      <c r="C113" s="194" t="str">
        <f aca="false">C64</f>
        <v>Alumno3</v>
      </c>
      <c r="D113" s="195" t="n">
        <f aca="false">D$4*D8</f>
        <v>0.9</v>
      </c>
      <c r="E113" s="196" t="n">
        <f aca="false">E$4*E8</f>
        <v>1.05</v>
      </c>
      <c r="F113" s="196" t="n">
        <f aca="false">F$4*F8</f>
        <v>0.8</v>
      </c>
      <c r="G113" s="196" t="n">
        <f aca="false">G$4*G8</f>
        <v>0.4</v>
      </c>
      <c r="H113" s="196" t="n">
        <f aca="false">H$4*H8</f>
        <v>0.75</v>
      </c>
      <c r="I113" s="196" t="n">
        <f aca="false">I$4*I8</f>
        <v>0.9</v>
      </c>
      <c r="J113" s="196" t="n">
        <f aca="false">J$4*J8</f>
        <v>0.5</v>
      </c>
      <c r="K113" s="196" t="n">
        <f aca="false">K$4*K8</f>
        <v>0</v>
      </c>
      <c r="L113" s="196" t="n">
        <f aca="false">L$4*L8</f>
        <v>0</v>
      </c>
      <c r="M113" s="197" t="n">
        <f aca="false">M$4*M8</f>
        <v>0</v>
      </c>
      <c r="N113" s="194" t="str">
        <f aca="false">C113</f>
        <v>Alumno3</v>
      </c>
      <c r="O113" s="195" t="n">
        <f aca="false">O$4*O8</f>
        <v>1</v>
      </c>
      <c r="P113" s="196" t="n">
        <f aca="false">P$4*P8</f>
        <v>1.2</v>
      </c>
      <c r="Q113" s="196" t="n">
        <f aca="false">Q$4*Q8</f>
        <v>0.6</v>
      </c>
      <c r="R113" s="196" t="n">
        <f aca="false">R$4*R8</f>
        <v>0.8</v>
      </c>
      <c r="S113" s="196" t="n">
        <f aca="false">S$4*S8</f>
        <v>1</v>
      </c>
      <c r="T113" s="196" t="n">
        <f aca="false">T$4*T8</f>
        <v>0</v>
      </c>
      <c r="U113" s="196" t="n">
        <f aca="false">U$4*U8</f>
        <v>0</v>
      </c>
      <c r="V113" s="196" t="n">
        <f aca="false">V$4*V8</f>
        <v>0</v>
      </c>
      <c r="W113" s="196" t="n">
        <f aca="false">W$4*W8</f>
        <v>0</v>
      </c>
      <c r="X113" s="197" t="n">
        <f aca="false">X$4*X8</f>
        <v>0</v>
      </c>
      <c r="Y113" s="194" t="str">
        <f aca="false">N113</f>
        <v>Alumno3</v>
      </c>
      <c r="Z113" s="195" t="n">
        <f aca="false">Z$4*Z8</f>
        <v>1</v>
      </c>
      <c r="AA113" s="196" t="n">
        <f aca="false">AA$4*AA8</f>
        <v>1.2</v>
      </c>
      <c r="AB113" s="196" t="n">
        <f aca="false">AB$4*AB8</f>
        <v>0.6</v>
      </c>
      <c r="AC113" s="196" t="n">
        <f aca="false">AC$4*AC8</f>
        <v>0.8</v>
      </c>
      <c r="AD113" s="196" t="n">
        <f aca="false">AD$4*AD8</f>
        <v>1</v>
      </c>
      <c r="AE113" s="196" t="n">
        <f aca="false">AE$4*AE8</f>
        <v>0</v>
      </c>
      <c r="AF113" s="196" t="n">
        <f aca="false">AF$4*AF8</f>
        <v>0</v>
      </c>
      <c r="AG113" s="196" t="n">
        <f aca="false">AG$4*AG8</f>
        <v>0</v>
      </c>
      <c r="AH113" s="196" t="n">
        <f aca="false">AH$4*AH8</f>
        <v>0</v>
      </c>
      <c r="AI113" s="197" t="n">
        <f aca="false">AI$4*AI8</f>
        <v>0</v>
      </c>
      <c r="AJ113" s="194" t="str">
        <f aca="false">Y113</f>
        <v>Alumno3</v>
      </c>
      <c r="AK113" s="195" t="n">
        <f aca="false">AK$4*AK8</f>
        <v>1</v>
      </c>
      <c r="AL113" s="196" t="n">
        <f aca="false">AL$4*AL8</f>
        <v>1.2</v>
      </c>
      <c r="AM113" s="196" t="n">
        <f aca="false">AM$4*AM8</f>
        <v>0.6</v>
      </c>
      <c r="AN113" s="196" t="n">
        <f aca="false">AN$4*AN8</f>
        <v>0.8</v>
      </c>
      <c r="AO113" s="196" t="n">
        <f aca="false">AO$4*AO8</f>
        <v>1</v>
      </c>
      <c r="AP113" s="196" t="n">
        <f aca="false">AP$4*AP8</f>
        <v>0</v>
      </c>
      <c r="AQ113" s="196" t="n">
        <f aca="false">AQ$4*AQ8</f>
        <v>0</v>
      </c>
      <c r="AR113" s="196" t="n">
        <f aca="false">AR$4*AR8</f>
        <v>0</v>
      </c>
      <c r="AS113" s="196" t="n">
        <f aca="false">AS$4*AS8</f>
        <v>0</v>
      </c>
      <c r="AT113" s="197" t="n">
        <f aca="false">AT$4*AT8</f>
        <v>0</v>
      </c>
      <c r="AU113" s="194" t="str">
        <f aca="false">AJ113</f>
        <v>Alumno3</v>
      </c>
      <c r="AV113" s="195" t="n">
        <f aca="false">AV$4*AV8</f>
        <v>0.6</v>
      </c>
      <c r="AW113" s="196" t="n">
        <f aca="false">AW$4*AW8</f>
        <v>1.4</v>
      </c>
      <c r="AX113" s="196" t="n">
        <f aca="false">AX$4*AX8</f>
        <v>0.8</v>
      </c>
      <c r="AY113" s="196" t="n">
        <f aca="false">AY$4*AY8</f>
        <v>1.2</v>
      </c>
      <c r="AZ113" s="196" t="n">
        <f aca="false">AZ$4*AZ8</f>
        <v>1</v>
      </c>
      <c r="BA113" s="196" t="n">
        <f aca="false">BA$4*BA8</f>
        <v>0</v>
      </c>
      <c r="BB113" s="196" t="n">
        <f aca="false">BB$4*BB8</f>
        <v>0</v>
      </c>
      <c r="BC113" s="196" t="n">
        <f aca="false">BC$4*BC8</f>
        <v>0</v>
      </c>
      <c r="BD113" s="196" t="n">
        <f aca="false">BD$4*BD8</f>
        <v>0</v>
      </c>
      <c r="BE113" s="197" t="n">
        <f aca="false">BE$4*BE8</f>
        <v>0</v>
      </c>
      <c r="BF113" s="194" t="str">
        <f aca="false">AU113</f>
        <v>Alumno3</v>
      </c>
      <c r="BG113" s="195" t="n">
        <f aca="false">BG$4*BG8</f>
        <v>0.6</v>
      </c>
      <c r="BH113" s="196" t="n">
        <f aca="false">BH$4*BH8</f>
        <v>1.4</v>
      </c>
      <c r="BI113" s="196" t="n">
        <f aca="false">BI$4*BI8</f>
        <v>0.8</v>
      </c>
      <c r="BJ113" s="196" t="n">
        <f aca="false">BJ$4*BJ8</f>
        <v>0.8</v>
      </c>
      <c r="BK113" s="196" t="n">
        <f aca="false">BK$4*BK8</f>
        <v>1.5</v>
      </c>
      <c r="BL113" s="196" t="n">
        <f aca="false">BL$4*BL8</f>
        <v>0</v>
      </c>
      <c r="BM113" s="196" t="n">
        <f aca="false">BM$4*BM8</f>
        <v>0</v>
      </c>
      <c r="BN113" s="196" t="n">
        <f aca="false">BN$4*BN8</f>
        <v>0</v>
      </c>
      <c r="BO113" s="196" t="n">
        <f aca="false">BO$4*BO8</f>
        <v>0</v>
      </c>
      <c r="BP113" s="197" t="n">
        <f aca="false">BP$4*BP8</f>
        <v>0</v>
      </c>
      <c r="BQ113" s="194" t="str">
        <f aca="false">BF113</f>
        <v>Alumno3</v>
      </c>
      <c r="BR113" s="195" t="n">
        <f aca="false">BR$4*BR8</f>
        <v>1.8</v>
      </c>
      <c r="BS113" s="196" t="n">
        <f aca="false">BS$4*BS8</f>
        <v>1</v>
      </c>
      <c r="BT113" s="196" t="n">
        <f aca="false">BT$4*BT8</f>
        <v>2</v>
      </c>
      <c r="BU113" s="196" t="n">
        <f aca="false">BU$4*BU8</f>
        <v>2</v>
      </c>
      <c r="BV113" s="196" t="n">
        <f aca="false">BV$4*BV8</f>
        <v>2.7</v>
      </c>
      <c r="BW113" s="196" t="n">
        <f aca="false">BW$4*BW8</f>
        <v>0</v>
      </c>
      <c r="BX113" s="196" t="n">
        <f aca="false">BX$4*BX8</f>
        <v>0</v>
      </c>
      <c r="BY113" s="196" t="n">
        <f aca="false">BY$4*BY8</f>
        <v>0</v>
      </c>
      <c r="BZ113" s="196" t="n">
        <f aca="false">BZ$4*BZ8</f>
        <v>0</v>
      </c>
      <c r="CA113" s="197" t="n">
        <f aca="false">CA$4*CA8</f>
        <v>0</v>
      </c>
      <c r="CB113" s="194" t="str">
        <f aca="false">BQ113</f>
        <v>Alumno3</v>
      </c>
      <c r="CC113" s="195" t="n">
        <f aca="false">CC$4*CC8</f>
        <v>0</v>
      </c>
      <c r="CD113" s="196" t="n">
        <f aca="false">CD$4*CD8</f>
        <v>0</v>
      </c>
      <c r="CE113" s="196" t="n">
        <f aca="false">CE$4*CE8</f>
        <v>0</v>
      </c>
      <c r="CF113" s="196" t="n">
        <f aca="false">CF$4*CF8</f>
        <v>0</v>
      </c>
      <c r="CG113" s="196" t="n">
        <f aca="false">CG$4*CG8</f>
        <v>0</v>
      </c>
      <c r="CH113" s="196" t="n">
        <f aca="false">CH$4*CH8</f>
        <v>0</v>
      </c>
      <c r="CI113" s="196" t="n">
        <f aca="false">CI$4*CI8</f>
        <v>0</v>
      </c>
      <c r="CJ113" s="196" t="n">
        <f aca="false">CJ$4*CJ8</f>
        <v>0</v>
      </c>
      <c r="CK113" s="196" t="n">
        <f aca="false">CK$4*CK8</f>
        <v>0</v>
      </c>
      <c r="CL113" s="197" t="n">
        <f aca="false">CL$4*CL8</f>
        <v>0</v>
      </c>
      <c r="CM113" s="194" t="str">
        <f aca="false">CB113</f>
        <v>Alumno3</v>
      </c>
      <c r="CN113" s="195" t="n">
        <f aca="false">CN$4*CN8</f>
        <v>0</v>
      </c>
      <c r="CO113" s="196" t="n">
        <f aca="false">CO$4*CO8</f>
        <v>0</v>
      </c>
      <c r="CP113" s="196" t="n">
        <f aca="false">CP$4*CP8</f>
        <v>0</v>
      </c>
      <c r="CQ113" s="196" t="n">
        <f aca="false">CQ$4*CQ8</f>
        <v>0</v>
      </c>
      <c r="CR113" s="196" t="n">
        <f aca="false">CR$4*CR8</f>
        <v>0</v>
      </c>
      <c r="CS113" s="196" t="n">
        <f aca="false">CS$4*CS8</f>
        <v>0</v>
      </c>
      <c r="CT113" s="196" t="n">
        <f aca="false">CT$4*CT8</f>
        <v>0</v>
      </c>
      <c r="CU113" s="196" t="n">
        <f aca="false">CU$4*CU8</f>
        <v>0</v>
      </c>
      <c r="CV113" s="196" t="n">
        <f aca="false">CV$4*CV8</f>
        <v>0</v>
      </c>
      <c r="CW113" s="197" t="n">
        <f aca="false">CW$4*CW8</f>
        <v>0</v>
      </c>
      <c r="CX113" s="194" t="str">
        <f aca="false">CM113</f>
        <v>Alumno3</v>
      </c>
      <c r="CY113" s="195" t="n">
        <f aca="false">CY$4*CY8</f>
        <v>0</v>
      </c>
      <c r="CZ113" s="196" t="n">
        <f aca="false">CZ$4*CZ8</f>
        <v>0</v>
      </c>
      <c r="DA113" s="196" t="n">
        <f aca="false">DA$4*DA8</f>
        <v>0</v>
      </c>
      <c r="DB113" s="196" t="n">
        <f aca="false">DB$4*DB8</f>
        <v>0</v>
      </c>
      <c r="DC113" s="196" t="n">
        <f aca="false">DC$4*DC8</f>
        <v>0</v>
      </c>
      <c r="DD113" s="196" t="n">
        <f aca="false">DD$4*DD8</f>
        <v>0</v>
      </c>
      <c r="DE113" s="196" t="n">
        <f aca="false">DE$4*DE8</f>
        <v>0</v>
      </c>
      <c r="DF113" s="196" t="n">
        <f aca="false">DF$4*DF8</f>
        <v>0</v>
      </c>
      <c r="DG113" s="196" t="n">
        <f aca="false">DG$4*DG8</f>
        <v>0</v>
      </c>
      <c r="DH113" s="197" t="n">
        <f aca="false">DH$4*DH8</f>
        <v>0</v>
      </c>
      <c r="DI113" s="194" t="str">
        <f aca="false">CX113</f>
        <v>Alumno3</v>
      </c>
      <c r="DJ113" s="195" t="n">
        <f aca="false">DJ$4*DJ8</f>
        <v>0</v>
      </c>
      <c r="DK113" s="196" t="n">
        <f aca="false">DK$4*DK8</f>
        <v>0</v>
      </c>
      <c r="DL113" s="196" t="n">
        <f aca="false">DL$4*DL8</f>
        <v>0</v>
      </c>
      <c r="DM113" s="196" t="n">
        <f aca="false">DM$4*DM8</f>
        <v>0</v>
      </c>
      <c r="DN113" s="196" t="n">
        <f aca="false">DN$4*DN8</f>
        <v>0</v>
      </c>
      <c r="DO113" s="196" t="n">
        <f aca="false">DO$4*DO8</f>
        <v>0</v>
      </c>
      <c r="DP113" s="196" t="n">
        <f aca="false">DP$4*DP8</f>
        <v>0</v>
      </c>
      <c r="DQ113" s="196" t="n">
        <f aca="false">DQ$4*DQ8</f>
        <v>0</v>
      </c>
      <c r="DR113" s="196" t="n">
        <f aca="false">DR$4*DR8</f>
        <v>0</v>
      </c>
      <c r="DS113" s="197" t="n">
        <f aca="false">DS$4*DS8</f>
        <v>0</v>
      </c>
      <c r="DT113" s="194" t="str">
        <f aca="false">DI113</f>
        <v>Alumno3</v>
      </c>
      <c r="DU113" s="195" t="n">
        <f aca="false">DU$4*DU8</f>
        <v>0</v>
      </c>
      <c r="DV113" s="196" t="n">
        <f aca="false">DV$4*DV8</f>
        <v>0</v>
      </c>
      <c r="DW113" s="196" t="n">
        <f aca="false">DW$4*DW8</f>
        <v>0</v>
      </c>
      <c r="DX113" s="196" t="n">
        <f aca="false">DX$4*DX8</f>
        <v>0</v>
      </c>
      <c r="DY113" s="196" t="n">
        <f aca="false">DY$4*DY8</f>
        <v>0</v>
      </c>
      <c r="DZ113" s="196" t="n">
        <f aca="false">DZ$4*DZ8</f>
        <v>0</v>
      </c>
      <c r="EA113" s="196" t="n">
        <f aca="false">EA$4*EA8</f>
        <v>0</v>
      </c>
      <c r="EB113" s="196" t="n">
        <f aca="false">EB$4*EB8</f>
        <v>0</v>
      </c>
      <c r="EC113" s="196" t="n">
        <f aca="false">EC$4*EC8</f>
        <v>0</v>
      </c>
      <c r="ED113" s="197" t="n">
        <f aca="false">ED$4*ED8</f>
        <v>0</v>
      </c>
      <c r="EE113" s="194" t="str">
        <f aca="false">DT113</f>
        <v>Alumno3</v>
      </c>
      <c r="EF113" s="195" t="n">
        <f aca="false">EF$4*EF8</f>
        <v>0</v>
      </c>
      <c r="EG113" s="196" t="n">
        <f aca="false">EG$4*EG8</f>
        <v>0</v>
      </c>
      <c r="EH113" s="196" t="n">
        <f aca="false">EH$4*EH8</f>
        <v>0</v>
      </c>
      <c r="EI113" s="196" t="n">
        <f aca="false">EI$4*EI8</f>
        <v>0</v>
      </c>
      <c r="EJ113" s="196" t="n">
        <f aca="false">EJ$4*EJ8</f>
        <v>0</v>
      </c>
      <c r="EK113" s="196" t="n">
        <f aca="false">EK$4*EK8</f>
        <v>0</v>
      </c>
      <c r="EL113" s="196" t="n">
        <f aca="false">EL$4*EL8</f>
        <v>0</v>
      </c>
      <c r="EM113" s="196" t="n">
        <f aca="false">EM$4*EM8</f>
        <v>0</v>
      </c>
      <c r="EN113" s="196" t="n">
        <f aca="false">EN$4*EN8</f>
        <v>0</v>
      </c>
      <c r="EO113" s="197" t="n">
        <f aca="false">EO$4*EO8</f>
        <v>0</v>
      </c>
      <c r="EP113" s="194" t="str">
        <f aca="false">EE113</f>
        <v>Alumno3</v>
      </c>
      <c r="EQ113" s="195" t="n">
        <f aca="false">EQ$4*EQ8</f>
        <v>0</v>
      </c>
      <c r="ER113" s="196" t="n">
        <f aca="false">ER$4*ER8</f>
        <v>0</v>
      </c>
      <c r="ES113" s="196" t="n">
        <f aca="false">ES$4*ES8</f>
        <v>0</v>
      </c>
      <c r="ET113" s="196" t="n">
        <f aca="false">ET$4*ET8</f>
        <v>0</v>
      </c>
      <c r="EU113" s="196" t="n">
        <f aca="false">EU$4*EU8</f>
        <v>0</v>
      </c>
      <c r="EV113" s="196" t="n">
        <f aca="false">EV$4*EV8</f>
        <v>0</v>
      </c>
      <c r="EW113" s="196" t="n">
        <f aca="false">EW$4*EW8</f>
        <v>0</v>
      </c>
      <c r="EX113" s="196" t="n">
        <f aca="false">EX$4*EX8</f>
        <v>0</v>
      </c>
      <c r="EY113" s="196" t="n">
        <f aca="false">EY$4*EY8</f>
        <v>0</v>
      </c>
      <c r="EZ113" s="197" t="n">
        <f aca="false">EZ$4*EZ8</f>
        <v>0</v>
      </c>
      <c r="FA113" s="194" t="str">
        <f aca="false">EP113</f>
        <v>Alumno3</v>
      </c>
      <c r="FB113" s="195" t="n">
        <f aca="false">FB$4*FB8</f>
        <v>0</v>
      </c>
      <c r="FC113" s="196" t="n">
        <f aca="false">FC$4*FC8</f>
        <v>0</v>
      </c>
      <c r="FD113" s="196" t="n">
        <f aca="false">FD$4*FD8</f>
        <v>0</v>
      </c>
      <c r="FE113" s="196" t="n">
        <f aca="false">FE$4*FE8</f>
        <v>0</v>
      </c>
      <c r="FF113" s="196" t="n">
        <f aca="false">FF$4*FF8</f>
        <v>0</v>
      </c>
      <c r="FG113" s="196" t="n">
        <f aca="false">FG$4*FG8</f>
        <v>0</v>
      </c>
      <c r="FH113" s="196" t="n">
        <f aca="false">FH$4*FH8</f>
        <v>0</v>
      </c>
      <c r="FI113" s="196" t="n">
        <f aca="false">FI$4*FI8</f>
        <v>0</v>
      </c>
      <c r="FJ113" s="196" t="n">
        <f aca="false">FJ$4*FJ8</f>
        <v>0</v>
      </c>
      <c r="FK113" s="197" t="n">
        <f aca="false">FK$4*FK8</f>
        <v>0</v>
      </c>
      <c r="FL113" s="194" t="str">
        <f aca="false">FA113</f>
        <v>Alumno3</v>
      </c>
      <c r="FM113" s="195" t="n">
        <f aca="false">FM$4*FM8</f>
        <v>0</v>
      </c>
      <c r="FN113" s="196" t="n">
        <f aca="false">FN$4*FN8</f>
        <v>0</v>
      </c>
      <c r="FO113" s="196" t="n">
        <f aca="false">FO$4*FO8</f>
        <v>0</v>
      </c>
      <c r="FP113" s="196" t="n">
        <f aca="false">FP$4*FP8</f>
        <v>0</v>
      </c>
      <c r="FQ113" s="196" t="n">
        <f aca="false">FQ$4*FQ8</f>
        <v>0</v>
      </c>
      <c r="FR113" s="196" t="n">
        <f aca="false">FR$4*FR8</f>
        <v>0</v>
      </c>
      <c r="FS113" s="196" t="n">
        <f aca="false">FS$4*FS8</f>
        <v>0</v>
      </c>
      <c r="FT113" s="196" t="n">
        <f aca="false">FT$4*FT8</f>
        <v>0</v>
      </c>
      <c r="FU113" s="196" t="n">
        <f aca="false">FU$4*FU8</f>
        <v>0</v>
      </c>
      <c r="FV113" s="197" t="n">
        <f aca="false">FV$4*FV8</f>
        <v>0</v>
      </c>
      <c r="FW113" s="194" t="str">
        <f aca="false">FL113</f>
        <v>Alumno3</v>
      </c>
      <c r="FX113" s="195" t="n">
        <f aca="false">FX$4*FX8</f>
        <v>0</v>
      </c>
      <c r="FY113" s="196" t="n">
        <f aca="false">FY$4*FY8</f>
        <v>0</v>
      </c>
      <c r="FZ113" s="196" t="n">
        <f aca="false">FZ$4*FZ8</f>
        <v>0</v>
      </c>
      <c r="GA113" s="196" t="n">
        <f aca="false">GA$4*GA8</f>
        <v>0</v>
      </c>
      <c r="GB113" s="196" t="n">
        <f aca="false">GB$4*GB8</f>
        <v>0</v>
      </c>
      <c r="GC113" s="196" t="n">
        <f aca="false">GC$4*GC8</f>
        <v>0</v>
      </c>
      <c r="GD113" s="196" t="n">
        <f aca="false">GD$4*GD8</f>
        <v>0</v>
      </c>
      <c r="GE113" s="196" t="n">
        <f aca="false">GE$4*GE8</f>
        <v>0</v>
      </c>
      <c r="GF113" s="196" t="n">
        <f aca="false">GF$4*GF8</f>
        <v>0</v>
      </c>
      <c r="GG113" s="197" t="n">
        <f aca="false">GG$4*GG8</f>
        <v>0</v>
      </c>
      <c r="GH113" s="194" t="str">
        <f aca="false">FW113</f>
        <v>Alumno3</v>
      </c>
      <c r="GI113" s="195" t="n">
        <f aca="false">GI$4*GI8</f>
        <v>0</v>
      </c>
      <c r="GJ113" s="196" t="n">
        <f aca="false">GJ$4*GJ8</f>
        <v>0</v>
      </c>
      <c r="GK113" s="196" t="n">
        <f aca="false">GK$4*GK8</f>
        <v>0</v>
      </c>
      <c r="GL113" s="196" t="n">
        <f aca="false">GL$4*GL8</f>
        <v>0</v>
      </c>
      <c r="GM113" s="196" t="n">
        <f aca="false">GM$4*GM8</f>
        <v>0</v>
      </c>
      <c r="GN113" s="196" t="n">
        <f aca="false">GN$4*GN8</f>
        <v>0</v>
      </c>
      <c r="GO113" s="196" t="n">
        <f aca="false">GO$4*GO8</f>
        <v>0</v>
      </c>
      <c r="GP113" s="196" t="n">
        <f aca="false">GP$4*GP8</f>
        <v>0</v>
      </c>
      <c r="GQ113" s="196" t="n">
        <f aca="false">GQ$4*GQ8</f>
        <v>0</v>
      </c>
      <c r="GR113" s="197" t="n">
        <f aca="false">GR$4*GR8</f>
        <v>0</v>
      </c>
      <c r="GS113" s="194" t="str">
        <f aca="false">GH113</f>
        <v>Alumno3</v>
      </c>
      <c r="GT113" s="195" t="n">
        <f aca="false">GT$4*GT8</f>
        <v>0</v>
      </c>
      <c r="GU113" s="196" t="n">
        <f aca="false">GU$4*GU8</f>
        <v>0</v>
      </c>
      <c r="GV113" s="196" t="n">
        <f aca="false">GV$4*GV8</f>
        <v>0</v>
      </c>
      <c r="GW113" s="196" t="n">
        <f aca="false">GW$4*GW8</f>
        <v>0</v>
      </c>
      <c r="GX113" s="196" t="n">
        <f aca="false">GX$4*GX8</f>
        <v>0</v>
      </c>
      <c r="GY113" s="196" t="n">
        <f aca="false">GY$4*GY8</f>
        <v>0</v>
      </c>
      <c r="GZ113" s="196" t="n">
        <f aca="false">GZ$4*GZ8</f>
        <v>0</v>
      </c>
      <c r="HA113" s="196" t="n">
        <f aca="false">HA$4*HA8</f>
        <v>0</v>
      </c>
      <c r="HB113" s="196" t="n">
        <f aca="false">HB$4*HB8</f>
        <v>0</v>
      </c>
      <c r="HC113" s="197" t="n">
        <f aca="false">HC$4*HC8</f>
        <v>0</v>
      </c>
      <c r="HD113" s="194" t="str">
        <f aca="false">GS113</f>
        <v>Alumno3</v>
      </c>
      <c r="HE113" s="195" t="n">
        <f aca="false">HE$4*HE8</f>
        <v>0</v>
      </c>
      <c r="HF113" s="196" t="n">
        <f aca="false">HF$4*HF8</f>
        <v>0</v>
      </c>
      <c r="HG113" s="196" t="n">
        <f aca="false">HG$4*HG8</f>
        <v>0</v>
      </c>
      <c r="HH113" s="196" t="n">
        <f aca="false">HH$4*HH8</f>
        <v>0</v>
      </c>
      <c r="HI113" s="196" t="n">
        <f aca="false">HI$4*HI8</f>
        <v>0</v>
      </c>
      <c r="HJ113" s="196" t="n">
        <f aca="false">HJ$4*HJ8</f>
        <v>0</v>
      </c>
      <c r="HK113" s="196" t="n">
        <f aca="false">HK$4*HK8</f>
        <v>0</v>
      </c>
      <c r="HL113" s="196" t="n">
        <f aca="false">HL$4*HL8</f>
        <v>0</v>
      </c>
      <c r="HM113" s="196" t="n">
        <f aca="false">HM$4*HM8</f>
        <v>0</v>
      </c>
      <c r="HN113" s="197" t="n">
        <f aca="false">HN$4*HN8</f>
        <v>0</v>
      </c>
      <c r="HO113" s="194" t="str">
        <f aca="false">HD113</f>
        <v>Alumno3</v>
      </c>
      <c r="HP113" s="195" t="n">
        <f aca="false">HP$4*HP8</f>
        <v>0</v>
      </c>
      <c r="HQ113" s="196" t="n">
        <f aca="false">HQ$4*HQ8</f>
        <v>0</v>
      </c>
      <c r="HR113" s="196" t="n">
        <f aca="false">HR$4*HR8</f>
        <v>0</v>
      </c>
      <c r="HS113" s="196" t="n">
        <f aca="false">HS$4*HS8</f>
        <v>0</v>
      </c>
      <c r="HT113" s="196" t="n">
        <f aca="false">HT$4*HT8</f>
        <v>0</v>
      </c>
      <c r="HU113" s="196" t="n">
        <f aca="false">HU$4*HU8</f>
        <v>0</v>
      </c>
      <c r="HV113" s="196" t="n">
        <f aca="false">HV$4*HV8</f>
        <v>0</v>
      </c>
      <c r="HW113" s="196" t="n">
        <f aca="false">HW$4*HW8</f>
        <v>0</v>
      </c>
      <c r="HX113" s="196" t="n">
        <f aca="false">HX$4*HX8</f>
        <v>0</v>
      </c>
      <c r="HY113" s="197" t="n">
        <f aca="false">HY$4*HY8</f>
        <v>0</v>
      </c>
      <c r="HZ113" s="194" t="str">
        <f aca="false">HO113</f>
        <v>Alumno3</v>
      </c>
      <c r="IA113" s="195" t="n">
        <f aca="false">IA$4*IA8</f>
        <v>0</v>
      </c>
      <c r="IB113" s="196" t="n">
        <f aca="false">IB$4*IB8</f>
        <v>0</v>
      </c>
      <c r="IC113" s="196" t="n">
        <f aca="false">IC$4*IC8</f>
        <v>0</v>
      </c>
      <c r="ID113" s="196" t="n">
        <f aca="false">ID$4*ID8</f>
        <v>0</v>
      </c>
      <c r="IE113" s="196" t="n">
        <f aca="false">IE$4*IE8</f>
        <v>0</v>
      </c>
      <c r="IF113" s="196" t="n">
        <f aca="false">IF$4*IF8</f>
        <v>0</v>
      </c>
      <c r="IG113" s="196" t="n">
        <f aca="false">IG$4*IG8</f>
        <v>0</v>
      </c>
      <c r="IH113" s="196" t="n">
        <f aca="false">IH$4*IH8</f>
        <v>0</v>
      </c>
      <c r="II113" s="196" t="n">
        <f aca="false">II$4*II8</f>
        <v>0</v>
      </c>
      <c r="IJ113" s="197" t="n">
        <f aca="false">IJ$4*IJ8</f>
        <v>0</v>
      </c>
      <c r="IK113" s="194" t="str">
        <f aca="false">HZ113</f>
        <v>Alumno3</v>
      </c>
      <c r="IL113" s="195" t="n">
        <f aca="false">IL$4*IL8</f>
        <v>0</v>
      </c>
      <c r="IM113" s="196" t="n">
        <f aca="false">IM$4*IM8</f>
        <v>0</v>
      </c>
      <c r="IN113" s="196" t="n">
        <f aca="false">IN$4*IN8</f>
        <v>0</v>
      </c>
      <c r="IO113" s="196" t="n">
        <f aca="false">IO$4*IO8</f>
        <v>0</v>
      </c>
      <c r="IP113" s="196" t="n">
        <f aca="false">IP$4*IP8</f>
        <v>0</v>
      </c>
      <c r="IQ113" s="196" t="n">
        <f aca="false">IQ$4*IQ8</f>
        <v>0</v>
      </c>
      <c r="IR113" s="196" t="n">
        <f aca="false">IR$4*IR8</f>
        <v>0</v>
      </c>
      <c r="IS113" s="196" t="n">
        <f aca="false">IS$4*IS8</f>
        <v>0</v>
      </c>
      <c r="IT113" s="196" t="n">
        <f aca="false">IT$4*IT8</f>
        <v>0</v>
      </c>
      <c r="IU113" s="197" t="n">
        <f aca="false">IU$4*IU8</f>
        <v>0</v>
      </c>
      <c r="IV113" s="194" t="str">
        <f aca="false">IK113</f>
        <v>Alumno3</v>
      </c>
      <c r="IW113" s="195" t="n">
        <f aca="false">IW$4*IW8</f>
        <v>0</v>
      </c>
      <c r="IX113" s="196" t="n">
        <f aca="false">IX$4*IX8</f>
        <v>0</v>
      </c>
      <c r="IY113" s="196" t="n">
        <f aca="false">IY$4*IY8</f>
        <v>0</v>
      </c>
      <c r="IZ113" s="196" t="n">
        <f aca="false">IZ$4*IZ8</f>
        <v>0</v>
      </c>
      <c r="JA113" s="196" t="n">
        <f aca="false">JA$4*JA8</f>
        <v>0</v>
      </c>
      <c r="JB113" s="196" t="n">
        <f aca="false">JB$4*JB8</f>
        <v>0</v>
      </c>
      <c r="JC113" s="196" t="n">
        <f aca="false">JC$4*JC8</f>
        <v>0</v>
      </c>
      <c r="JD113" s="196" t="n">
        <f aca="false">JD$4*JD8</f>
        <v>0</v>
      </c>
      <c r="JE113" s="196" t="n">
        <f aca="false">JE$4*JE8</f>
        <v>0</v>
      </c>
      <c r="JF113" s="197" t="n">
        <f aca="false">JF$4*JF8</f>
        <v>0</v>
      </c>
      <c r="JG113" s="194" t="str">
        <f aca="false">IV113</f>
        <v>Alumno3</v>
      </c>
      <c r="JH113" s="195" t="n">
        <f aca="false">JH$4*JH8</f>
        <v>0</v>
      </c>
      <c r="JI113" s="196" t="n">
        <f aca="false">JI$4*JI8</f>
        <v>0</v>
      </c>
      <c r="JJ113" s="196" t="n">
        <f aca="false">JJ$4*JJ8</f>
        <v>0</v>
      </c>
      <c r="JK113" s="196" t="n">
        <f aca="false">JK$4*JK8</f>
        <v>0</v>
      </c>
      <c r="JL113" s="196" t="n">
        <f aca="false">JL$4*JL8</f>
        <v>0</v>
      </c>
      <c r="JM113" s="196" t="n">
        <f aca="false">JM$4*JM8</f>
        <v>0</v>
      </c>
      <c r="JN113" s="196" t="n">
        <f aca="false">JN$4*JN8</f>
        <v>0</v>
      </c>
      <c r="JO113" s="196" t="n">
        <f aca="false">JO$4*JO8</f>
        <v>0</v>
      </c>
      <c r="JP113" s="196" t="n">
        <f aca="false">JP$4*JP8</f>
        <v>0</v>
      </c>
      <c r="JQ113" s="197" t="n">
        <f aca="false">JQ$4*JQ8</f>
        <v>0</v>
      </c>
      <c r="JR113" s="194" t="str">
        <f aca="false">JG113</f>
        <v>Alumno3</v>
      </c>
      <c r="JS113" s="195" t="n">
        <f aca="false">JS$4*JS8</f>
        <v>0</v>
      </c>
      <c r="JT113" s="196" t="n">
        <f aca="false">JT$4*JT8</f>
        <v>0</v>
      </c>
      <c r="JU113" s="196" t="n">
        <f aca="false">JU$4*JU8</f>
        <v>0</v>
      </c>
      <c r="JV113" s="196" t="n">
        <f aca="false">JV$4*JV8</f>
        <v>0</v>
      </c>
      <c r="JW113" s="196" t="n">
        <f aca="false">JW$4*JW8</f>
        <v>0</v>
      </c>
      <c r="JX113" s="196" t="n">
        <f aca="false">JX$4*JX8</f>
        <v>0</v>
      </c>
      <c r="JY113" s="196" t="n">
        <f aca="false">JY$4*JY8</f>
        <v>0</v>
      </c>
      <c r="JZ113" s="196" t="n">
        <f aca="false">JZ$4*JZ8</f>
        <v>0</v>
      </c>
      <c r="KA113" s="196" t="n">
        <f aca="false">KA$4*KA8</f>
        <v>0</v>
      </c>
      <c r="KB113" s="197" t="n">
        <f aca="false">KB$4*KB8</f>
        <v>0</v>
      </c>
      <c r="KC113" s="194" t="str">
        <f aca="false">JR113</f>
        <v>Alumno3</v>
      </c>
      <c r="KD113" s="195" t="n">
        <f aca="false">KD$4*KD8</f>
        <v>0</v>
      </c>
      <c r="KE113" s="196" t="n">
        <f aca="false">KE$4*KE8</f>
        <v>0</v>
      </c>
      <c r="KF113" s="196" t="n">
        <f aca="false">KF$4*KF8</f>
        <v>0</v>
      </c>
      <c r="KG113" s="196" t="n">
        <f aca="false">KG$4*KG8</f>
        <v>0</v>
      </c>
      <c r="KH113" s="196" t="n">
        <f aca="false">KH$4*KH8</f>
        <v>0</v>
      </c>
      <c r="KI113" s="196" t="n">
        <f aca="false">KI$4*KI8</f>
        <v>0</v>
      </c>
      <c r="KJ113" s="196" t="n">
        <f aca="false">KJ$4*KJ8</f>
        <v>0</v>
      </c>
      <c r="KK113" s="196" t="n">
        <f aca="false">KK$4*KK8</f>
        <v>0</v>
      </c>
      <c r="KL113" s="196" t="n">
        <f aca="false">KL$4*KL8</f>
        <v>0</v>
      </c>
      <c r="KM113" s="197" t="n">
        <f aca="false">KM$4*KM8</f>
        <v>0</v>
      </c>
      <c r="KN113" s="194" t="str">
        <f aca="false">KC113</f>
        <v>Alumno3</v>
      </c>
      <c r="KO113" s="195" t="n">
        <f aca="false">KO$4*KO8</f>
        <v>0</v>
      </c>
      <c r="KP113" s="196" t="n">
        <f aca="false">KP$4*KP8</f>
        <v>0</v>
      </c>
      <c r="KQ113" s="196" t="n">
        <f aca="false">KQ$4*KQ8</f>
        <v>0</v>
      </c>
      <c r="KR113" s="196" t="n">
        <f aca="false">KR$4*KR8</f>
        <v>0</v>
      </c>
      <c r="KS113" s="196" t="n">
        <f aca="false">KS$4*KS8</f>
        <v>0</v>
      </c>
      <c r="KT113" s="196" t="n">
        <f aca="false">KT$4*KT8</f>
        <v>0</v>
      </c>
      <c r="KU113" s="196" t="n">
        <f aca="false">KU$4*KU8</f>
        <v>0</v>
      </c>
      <c r="KV113" s="196" t="n">
        <f aca="false">KV$4*KV8</f>
        <v>0</v>
      </c>
      <c r="KW113" s="196" t="n">
        <f aca="false">KW$4*KW8</f>
        <v>0</v>
      </c>
      <c r="KX113" s="197" t="n">
        <f aca="false">KX$4*KX8</f>
        <v>0</v>
      </c>
      <c r="KY113" s="194" t="str">
        <f aca="false">KN113</f>
        <v>Alumno3</v>
      </c>
      <c r="KZ113" s="195" t="n">
        <f aca="false">KZ$4*KZ8</f>
        <v>0</v>
      </c>
      <c r="LA113" s="196" t="n">
        <f aca="false">LA$4*LA8</f>
        <v>0</v>
      </c>
      <c r="LB113" s="196" t="n">
        <f aca="false">LB$4*LB8</f>
        <v>0</v>
      </c>
      <c r="LC113" s="196" t="n">
        <f aca="false">LC$4*LC8</f>
        <v>0</v>
      </c>
      <c r="LD113" s="196" t="n">
        <f aca="false">LD$4*LD8</f>
        <v>0</v>
      </c>
      <c r="LE113" s="196" t="n">
        <f aca="false">LE$4*LE8</f>
        <v>0</v>
      </c>
      <c r="LF113" s="196" t="n">
        <f aca="false">LF$4*LF8</f>
        <v>0</v>
      </c>
      <c r="LG113" s="196" t="n">
        <f aca="false">LG$4*LG8</f>
        <v>0</v>
      </c>
      <c r="LH113" s="196" t="n">
        <f aca="false">LH$4*LH8</f>
        <v>0</v>
      </c>
      <c r="LI113" s="197" t="n">
        <f aca="false">LI$4*LI8</f>
        <v>0</v>
      </c>
      <c r="LJ113" s="194" t="str">
        <f aca="false">KY113</f>
        <v>Alumno3</v>
      </c>
      <c r="LK113" s="195" t="n">
        <f aca="false">LK$4*LK8</f>
        <v>0</v>
      </c>
      <c r="LL113" s="196" t="n">
        <f aca="false">LL$4*LL8</f>
        <v>0</v>
      </c>
      <c r="LM113" s="196" t="n">
        <f aca="false">LM$4*LM8</f>
        <v>0</v>
      </c>
      <c r="LN113" s="196" t="n">
        <f aca="false">LN$4*LN8</f>
        <v>0</v>
      </c>
      <c r="LO113" s="196" t="n">
        <f aca="false">LO$4*LO8</f>
        <v>0</v>
      </c>
      <c r="LP113" s="196" t="n">
        <f aca="false">LP$4*LP8</f>
        <v>0</v>
      </c>
      <c r="LQ113" s="196" t="n">
        <f aca="false">LQ$4*LQ8</f>
        <v>0</v>
      </c>
      <c r="LR113" s="196" t="n">
        <f aca="false">LR$4*LR8</f>
        <v>0</v>
      </c>
      <c r="LS113" s="196" t="n">
        <f aca="false">LS$4*LS8</f>
        <v>0</v>
      </c>
      <c r="LT113" s="197" t="n">
        <f aca="false">LT$4*LT8</f>
        <v>0</v>
      </c>
    </row>
    <row r="114" customFormat="false" ht="15" hidden="true" customHeight="false" outlineLevel="0" collapsed="false">
      <c r="C114" s="194" t="str">
        <f aca="false">C65</f>
        <v>Alumno4</v>
      </c>
      <c r="D114" s="195" t="n">
        <f aca="false">D$4*D9</f>
        <v>0.6</v>
      </c>
      <c r="E114" s="196" t="n">
        <f aca="false">E$4*E9</f>
        <v>0.45</v>
      </c>
      <c r="F114" s="196" t="n">
        <f aca="false">F$4*F9</f>
        <v>1</v>
      </c>
      <c r="G114" s="196" t="n">
        <f aca="false">G$4*G9</f>
        <v>0.6</v>
      </c>
      <c r="H114" s="196" t="n">
        <f aca="false">H$4*H9</f>
        <v>0.6</v>
      </c>
      <c r="I114" s="196" t="n">
        <f aca="false">I$4*I9</f>
        <v>0.45</v>
      </c>
      <c r="J114" s="196" t="n">
        <f aca="false">J$4*J9</f>
        <v>0.4</v>
      </c>
      <c r="K114" s="196" t="n">
        <f aca="false">K$4*K9</f>
        <v>0</v>
      </c>
      <c r="L114" s="196" t="n">
        <f aca="false">L$4*L9</f>
        <v>0</v>
      </c>
      <c r="M114" s="197" t="n">
        <f aca="false">M$4*M9</f>
        <v>0</v>
      </c>
      <c r="N114" s="194" t="str">
        <f aca="false">C114</f>
        <v>Alumno4</v>
      </c>
      <c r="O114" s="195" t="n">
        <f aca="false">O$4*O9</f>
        <v>1</v>
      </c>
      <c r="P114" s="196" t="n">
        <f aca="false">P$4*P9</f>
        <v>1</v>
      </c>
      <c r="Q114" s="196" t="n">
        <f aca="false">Q$4*Q9</f>
        <v>1</v>
      </c>
      <c r="R114" s="196" t="n">
        <f aca="false">R$4*R9</f>
        <v>1</v>
      </c>
      <c r="S114" s="196" t="n">
        <f aca="false">S$4*S9</f>
        <v>1</v>
      </c>
      <c r="T114" s="196" t="n">
        <f aca="false">T$4*T9</f>
        <v>0</v>
      </c>
      <c r="U114" s="196" t="n">
        <f aca="false">U$4*U9</f>
        <v>0</v>
      </c>
      <c r="V114" s="196" t="n">
        <f aca="false">V$4*V9</f>
        <v>0</v>
      </c>
      <c r="W114" s="196" t="n">
        <f aca="false">W$4*W9</f>
        <v>0</v>
      </c>
      <c r="X114" s="197" t="n">
        <f aca="false">X$4*X9</f>
        <v>0</v>
      </c>
      <c r="Y114" s="194" t="str">
        <f aca="false">N114</f>
        <v>Alumno4</v>
      </c>
      <c r="Z114" s="195" t="n">
        <f aca="false">Z$4*Z9</f>
        <v>1</v>
      </c>
      <c r="AA114" s="196" t="n">
        <f aca="false">AA$4*AA9</f>
        <v>1</v>
      </c>
      <c r="AB114" s="196" t="n">
        <f aca="false">AB$4*AB9</f>
        <v>1</v>
      </c>
      <c r="AC114" s="196" t="n">
        <f aca="false">AC$4*AC9</f>
        <v>1</v>
      </c>
      <c r="AD114" s="196" t="n">
        <f aca="false">AD$4*AD9</f>
        <v>1</v>
      </c>
      <c r="AE114" s="196" t="n">
        <f aca="false">AE$4*AE9</f>
        <v>0</v>
      </c>
      <c r="AF114" s="196" t="n">
        <f aca="false">AF$4*AF9</f>
        <v>0</v>
      </c>
      <c r="AG114" s="196" t="n">
        <f aca="false">AG$4*AG9</f>
        <v>0</v>
      </c>
      <c r="AH114" s="196" t="n">
        <f aca="false">AH$4*AH9</f>
        <v>0</v>
      </c>
      <c r="AI114" s="197" t="n">
        <f aca="false">AI$4*AI9</f>
        <v>0</v>
      </c>
      <c r="AJ114" s="194" t="str">
        <f aca="false">Y114</f>
        <v>Alumno4</v>
      </c>
      <c r="AK114" s="195" t="n">
        <f aca="false">AK$4*AK9</f>
        <v>1</v>
      </c>
      <c r="AL114" s="196" t="n">
        <f aca="false">AL$4*AL9</f>
        <v>1</v>
      </c>
      <c r="AM114" s="196" t="n">
        <f aca="false">AM$4*AM9</f>
        <v>1</v>
      </c>
      <c r="AN114" s="196" t="n">
        <f aca="false">AN$4*AN9</f>
        <v>1</v>
      </c>
      <c r="AO114" s="196" t="n">
        <f aca="false">AO$4*AO9</f>
        <v>1</v>
      </c>
      <c r="AP114" s="196" t="n">
        <f aca="false">AP$4*AP9</f>
        <v>0</v>
      </c>
      <c r="AQ114" s="196" t="n">
        <f aca="false">AQ$4*AQ9</f>
        <v>0</v>
      </c>
      <c r="AR114" s="196" t="n">
        <f aca="false">AR$4*AR9</f>
        <v>0</v>
      </c>
      <c r="AS114" s="196" t="n">
        <f aca="false">AS$4*AS9</f>
        <v>0</v>
      </c>
      <c r="AT114" s="197" t="n">
        <f aca="false">AT$4*AT9</f>
        <v>0</v>
      </c>
      <c r="AU114" s="194" t="str">
        <f aca="false">AJ114</f>
        <v>Alumno4</v>
      </c>
      <c r="AV114" s="195" t="n">
        <f aca="false">AV$4*AV9</f>
        <v>0.4</v>
      </c>
      <c r="AW114" s="196" t="n">
        <f aca="false">AW$4*AW9</f>
        <v>0.6</v>
      </c>
      <c r="AX114" s="196" t="n">
        <f aca="false">AX$4*AX9</f>
        <v>1</v>
      </c>
      <c r="AY114" s="196" t="n">
        <f aca="false">AY$4*AY9</f>
        <v>1.8</v>
      </c>
      <c r="AZ114" s="196" t="n">
        <f aca="false">AZ$4*AZ9</f>
        <v>0.8</v>
      </c>
      <c r="BA114" s="196" t="n">
        <f aca="false">BA$4*BA9</f>
        <v>0</v>
      </c>
      <c r="BB114" s="196" t="n">
        <f aca="false">BB$4*BB9</f>
        <v>0</v>
      </c>
      <c r="BC114" s="196" t="n">
        <f aca="false">BC$4*BC9</f>
        <v>0</v>
      </c>
      <c r="BD114" s="196" t="n">
        <f aca="false">BD$4*BD9</f>
        <v>0</v>
      </c>
      <c r="BE114" s="197" t="n">
        <f aca="false">BE$4*BE9</f>
        <v>0</v>
      </c>
      <c r="BF114" s="194" t="str">
        <f aca="false">AU114</f>
        <v>Alumno4</v>
      </c>
      <c r="BG114" s="195" t="n">
        <f aca="false">BG$4*BG9</f>
        <v>0.4</v>
      </c>
      <c r="BH114" s="196" t="n">
        <f aca="false">BH$4*BH9</f>
        <v>0.6</v>
      </c>
      <c r="BI114" s="196" t="n">
        <f aca="false">BI$4*BI9</f>
        <v>1</v>
      </c>
      <c r="BJ114" s="196" t="n">
        <f aca="false">BJ$4*BJ9</f>
        <v>1.2</v>
      </c>
      <c r="BK114" s="196" t="n">
        <f aca="false">BK$4*BK9</f>
        <v>1.2</v>
      </c>
      <c r="BL114" s="196" t="n">
        <f aca="false">BL$4*BL9</f>
        <v>0</v>
      </c>
      <c r="BM114" s="196" t="n">
        <f aca="false">BM$4*BM9</f>
        <v>0</v>
      </c>
      <c r="BN114" s="196" t="n">
        <f aca="false">BN$4*BN9</f>
        <v>0</v>
      </c>
      <c r="BO114" s="196" t="n">
        <f aca="false">BO$4*BO9</f>
        <v>0</v>
      </c>
      <c r="BP114" s="197" t="n">
        <f aca="false">BP$4*BP9</f>
        <v>0</v>
      </c>
      <c r="BQ114" s="194" t="str">
        <f aca="false">BF114</f>
        <v>Alumno4</v>
      </c>
      <c r="BR114" s="195" t="n">
        <f aca="false">BR$4*BR9</f>
        <v>1.8</v>
      </c>
      <c r="BS114" s="196" t="n">
        <f aca="false">BS$4*BS9</f>
        <v>0.9</v>
      </c>
      <c r="BT114" s="196" t="n">
        <f aca="false">BT$4*BT9</f>
        <v>1.8</v>
      </c>
      <c r="BU114" s="196" t="n">
        <f aca="false">BU$4*BU9</f>
        <v>1.8</v>
      </c>
      <c r="BV114" s="196" t="n">
        <f aca="false">BV$4*BV9</f>
        <v>2.7</v>
      </c>
      <c r="BW114" s="196" t="n">
        <f aca="false">BW$4*BW9</f>
        <v>0</v>
      </c>
      <c r="BX114" s="196" t="n">
        <f aca="false">BX$4*BX9</f>
        <v>0</v>
      </c>
      <c r="BY114" s="196" t="n">
        <f aca="false">BY$4*BY9</f>
        <v>0</v>
      </c>
      <c r="BZ114" s="196" t="n">
        <f aca="false">BZ$4*BZ9</f>
        <v>0</v>
      </c>
      <c r="CA114" s="197" t="n">
        <f aca="false">CA$4*CA9</f>
        <v>0</v>
      </c>
      <c r="CB114" s="194" t="str">
        <f aca="false">BQ114</f>
        <v>Alumno4</v>
      </c>
      <c r="CC114" s="195" t="n">
        <f aca="false">CC$4*CC9</f>
        <v>0</v>
      </c>
      <c r="CD114" s="196" t="n">
        <f aca="false">CD$4*CD9</f>
        <v>0</v>
      </c>
      <c r="CE114" s="196" t="n">
        <f aca="false">CE$4*CE9</f>
        <v>0</v>
      </c>
      <c r="CF114" s="196" t="n">
        <f aca="false">CF$4*CF9</f>
        <v>0</v>
      </c>
      <c r="CG114" s="196" t="n">
        <f aca="false">CG$4*CG9</f>
        <v>0</v>
      </c>
      <c r="CH114" s="196" t="n">
        <f aca="false">CH$4*CH9</f>
        <v>0</v>
      </c>
      <c r="CI114" s="196" t="n">
        <f aca="false">CI$4*CI9</f>
        <v>0</v>
      </c>
      <c r="CJ114" s="196" t="n">
        <f aca="false">CJ$4*CJ9</f>
        <v>0</v>
      </c>
      <c r="CK114" s="196" t="n">
        <f aca="false">CK$4*CK9</f>
        <v>0</v>
      </c>
      <c r="CL114" s="197" t="n">
        <f aca="false">CL$4*CL9</f>
        <v>0</v>
      </c>
      <c r="CM114" s="194" t="str">
        <f aca="false">CB114</f>
        <v>Alumno4</v>
      </c>
      <c r="CN114" s="195" t="n">
        <f aca="false">CN$4*CN9</f>
        <v>0</v>
      </c>
      <c r="CO114" s="196" t="n">
        <f aca="false">CO$4*CO9</f>
        <v>0</v>
      </c>
      <c r="CP114" s="196" t="n">
        <f aca="false">CP$4*CP9</f>
        <v>0</v>
      </c>
      <c r="CQ114" s="196" t="n">
        <f aca="false">CQ$4*CQ9</f>
        <v>0</v>
      </c>
      <c r="CR114" s="196" t="n">
        <f aca="false">CR$4*CR9</f>
        <v>0</v>
      </c>
      <c r="CS114" s="196" t="n">
        <f aca="false">CS$4*CS9</f>
        <v>0</v>
      </c>
      <c r="CT114" s="196" t="n">
        <f aca="false">CT$4*CT9</f>
        <v>0</v>
      </c>
      <c r="CU114" s="196" t="n">
        <f aca="false">CU$4*CU9</f>
        <v>0</v>
      </c>
      <c r="CV114" s="196" t="n">
        <f aca="false">CV$4*CV9</f>
        <v>0</v>
      </c>
      <c r="CW114" s="197" t="n">
        <f aca="false">CW$4*CW9</f>
        <v>0</v>
      </c>
      <c r="CX114" s="194" t="str">
        <f aca="false">CM114</f>
        <v>Alumno4</v>
      </c>
      <c r="CY114" s="195" t="n">
        <f aca="false">CY$4*CY9</f>
        <v>0</v>
      </c>
      <c r="CZ114" s="196" t="n">
        <f aca="false">CZ$4*CZ9</f>
        <v>0</v>
      </c>
      <c r="DA114" s="196" t="n">
        <f aca="false">DA$4*DA9</f>
        <v>0</v>
      </c>
      <c r="DB114" s="196" t="n">
        <f aca="false">DB$4*DB9</f>
        <v>0</v>
      </c>
      <c r="DC114" s="196" t="n">
        <f aca="false">DC$4*DC9</f>
        <v>0</v>
      </c>
      <c r="DD114" s="196" t="n">
        <f aca="false">DD$4*DD9</f>
        <v>0</v>
      </c>
      <c r="DE114" s="196" t="n">
        <f aca="false">DE$4*DE9</f>
        <v>0</v>
      </c>
      <c r="DF114" s="196" t="n">
        <f aca="false">DF$4*DF9</f>
        <v>0</v>
      </c>
      <c r="DG114" s="196" t="n">
        <f aca="false">DG$4*DG9</f>
        <v>0</v>
      </c>
      <c r="DH114" s="197" t="n">
        <f aca="false">DH$4*DH9</f>
        <v>0</v>
      </c>
      <c r="DI114" s="194" t="str">
        <f aca="false">CX114</f>
        <v>Alumno4</v>
      </c>
      <c r="DJ114" s="195" t="n">
        <f aca="false">DJ$4*DJ9</f>
        <v>0</v>
      </c>
      <c r="DK114" s="196" t="n">
        <f aca="false">DK$4*DK9</f>
        <v>0</v>
      </c>
      <c r="DL114" s="196" t="n">
        <f aca="false">DL$4*DL9</f>
        <v>0</v>
      </c>
      <c r="DM114" s="196" t="n">
        <f aca="false">DM$4*DM9</f>
        <v>0</v>
      </c>
      <c r="DN114" s="196" t="n">
        <f aca="false">DN$4*DN9</f>
        <v>0</v>
      </c>
      <c r="DO114" s="196" t="n">
        <f aca="false">DO$4*DO9</f>
        <v>0</v>
      </c>
      <c r="DP114" s="196" t="n">
        <f aca="false">DP$4*DP9</f>
        <v>0</v>
      </c>
      <c r="DQ114" s="196" t="n">
        <f aca="false">DQ$4*DQ9</f>
        <v>0</v>
      </c>
      <c r="DR114" s="196" t="n">
        <f aca="false">DR$4*DR9</f>
        <v>0</v>
      </c>
      <c r="DS114" s="197" t="n">
        <f aca="false">DS$4*DS9</f>
        <v>0</v>
      </c>
      <c r="DT114" s="194" t="str">
        <f aca="false">DI114</f>
        <v>Alumno4</v>
      </c>
      <c r="DU114" s="195" t="n">
        <f aca="false">DU$4*DU9</f>
        <v>0</v>
      </c>
      <c r="DV114" s="196" t="n">
        <f aca="false">DV$4*DV9</f>
        <v>0</v>
      </c>
      <c r="DW114" s="196" t="n">
        <f aca="false">DW$4*DW9</f>
        <v>0</v>
      </c>
      <c r="DX114" s="196" t="n">
        <f aca="false">DX$4*DX9</f>
        <v>0</v>
      </c>
      <c r="DY114" s="196" t="n">
        <f aca="false">DY$4*DY9</f>
        <v>0</v>
      </c>
      <c r="DZ114" s="196" t="n">
        <f aca="false">DZ$4*DZ9</f>
        <v>0</v>
      </c>
      <c r="EA114" s="196" t="n">
        <f aca="false">EA$4*EA9</f>
        <v>0</v>
      </c>
      <c r="EB114" s="196" t="n">
        <f aca="false">EB$4*EB9</f>
        <v>0</v>
      </c>
      <c r="EC114" s="196" t="n">
        <f aca="false">EC$4*EC9</f>
        <v>0</v>
      </c>
      <c r="ED114" s="197" t="n">
        <f aca="false">ED$4*ED9</f>
        <v>0</v>
      </c>
      <c r="EE114" s="194" t="str">
        <f aca="false">DT114</f>
        <v>Alumno4</v>
      </c>
      <c r="EF114" s="195" t="n">
        <f aca="false">EF$4*EF9</f>
        <v>0</v>
      </c>
      <c r="EG114" s="196" t="n">
        <f aca="false">EG$4*EG9</f>
        <v>0</v>
      </c>
      <c r="EH114" s="196" t="n">
        <f aca="false">EH$4*EH9</f>
        <v>0</v>
      </c>
      <c r="EI114" s="196" t="n">
        <f aca="false">EI$4*EI9</f>
        <v>0</v>
      </c>
      <c r="EJ114" s="196" t="n">
        <f aca="false">EJ$4*EJ9</f>
        <v>0</v>
      </c>
      <c r="EK114" s="196" t="n">
        <f aca="false">EK$4*EK9</f>
        <v>0</v>
      </c>
      <c r="EL114" s="196" t="n">
        <f aca="false">EL$4*EL9</f>
        <v>0</v>
      </c>
      <c r="EM114" s="196" t="n">
        <f aca="false">EM$4*EM9</f>
        <v>0</v>
      </c>
      <c r="EN114" s="196" t="n">
        <f aca="false">EN$4*EN9</f>
        <v>0</v>
      </c>
      <c r="EO114" s="197" t="n">
        <f aca="false">EO$4*EO9</f>
        <v>0</v>
      </c>
      <c r="EP114" s="194" t="str">
        <f aca="false">EE114</f>
        <v>Alumno4</v>
      </c>
      <c r="EQ114" s="195" t="n">
        <f aca="false">EQ$4*EQ9</f>
        <v>0</v>
      </c>
      <c r="ER114" s="196" t="n">
        <f aca="false">ER$4*ER9</f>
        <v>0</v>
      </c>
      <c r="ES114" s="196" t="n">
        <f aca="false">ES$4*ES9</f>
        <v>0</v>
      </c>
      <c r="ET114" s="196" t="n">
        <f aca="false">ET$4*ET9</f>
        <v>0</v>
      </c>
      <c r="EU114" s="196" t="n">
        <f aca="false">EU$4*EU9</f>
        <v>0</v>
      </c>
      <c r="EV114" s="196" t="n">
        <f aca="false">EV$4*EV9</f>
        <v>0</v>
      </c>
      <c r="EW114" s="196" t="n">
        <f aca="false">EW$4*EW9</f>
        <v>0</v>
      </c>
      <c r="EX114" s="196" t="n">
        <f aca="false">EX$4*EX9</f>
        <v>0</v>
      </c>
      <c r="EY114" s="196" t="n">
        <f aca="false">EY$4*EY9</f>
        <v>0</v>
      </c>
      <c r="EZ114" s="197" t="n">
        <f aca="false">EZ$4*EZ9</f>
        <v>0</v>
      </c>
      <c r="FA114" s="194" t="str">
        <f aca="false">EP114</f>
        <v>Alumno4</v>
      </c>
      <c r="FB114" s="195" t="n">
        <f aca="false">FB$4*FB9</f>
        <v>0</v>
      </c>
      <c r="FC114" s="196" t="n">
        <f aca="false">FC$4*FC9</f>
        <v>0</v>
      </c>
      <c r="FD114" s="196" t="n">
        <f aca="false">FD$4*FD9</f>
        <v>0</v>
      </c>
      <c r="FE114" s="196" t="n">
        <f aca="false">FE$4*FE9</f>
        <v>0</v>
      </c>
      <c r="FF114" s="196" t="n">
        <f aca="false">FF$4*FF9</f>
        <v>0</v>
      </c>
      <c r="FG114" s="196" t="n">
        <f aca="false">FG$4*FG9</f>
        <v>0</v>
      </c>
      <c r="FH114" s="196" t="n">
        <f aca="false">FH$4*FH9</f>
        <v>0</v>
      </c>
      <c r="FI114" s="196" t="n">
        <f aca="false">FI$4*FI9</f>
        <v>0</v>
      </c>
      <c r="FJ114" s="196" t="n">
        <f aca="false">FJ$4*FJ9</f>
        <v>0</v>
      </c>
      <c r="FK114" s="197" t="n">
        <f aca="false">FK$4*FK9</f>
        <v>0</v>
      </c>
      <c r="FL114" s="194" t="str">
        <f aca="false">FA114</f>
        <v>Alumno4</v>
      </c>
      <c r="FM114" s="195" t="n">
        <f aca="false">FM$4*FM9</f>
        <v>0</v>
      </c>
      <c r="FN114" s="196" t="n">
        <f aca="false">FN$4*FN9</f>
        <v>0</v>
      </c>
      <c r="FO114" s="196" t="n">
        <f aca="false">FO$4*FO9</f>
        <v>0</v>
      </c>
      <c r="FP114" s="196" t="n">
        <f aca="false">FP$4*FP9</f>
        <v>0</v>
      </c>
      <c r="FQ114" s="196" t="n">
        <f aca="false">FQ$4*FQ9</f>
        <v>0</v>
      </c>
      <c r="FR114" s="196" t="n">
        <f aca="false">FR$4*FR9</f>
        <v>0</v>
      </c>
      <c r="FS114" s="196" t="n">
        <f aca="false">FS$4*FS9</f>
        <v>0</v>
      </c>
      <c r="FT114" s="196" t="n">
        <f aca="false">FT$4*FT9</f>
        <v>0</v>
      </c>
      <c r="FU114" s="196" t="n">
        <f aca="false">FU$4*FU9</f>
        <v>0</v>
      </c>
      <c r="FV114" s="197" t="n">
        <f aca="false">FV$4*FV9</f>
        <v>0</v>
      </c>
      <c r="FW114" s="194" t="str">
        <f aca="false">FL114</f>
        <v>Alumno4</v>
      </c>
      <c r="FX114" s="195" t="n">
        <f aca="false">FX$4*FX9</f>
        <v>0</v>
      </c>
      <c r="FY114" s="196" t="n">
        <f aca="false">FY$4*FY9</f>
        <v>0</v>
      </c>
      <c r="FZ114" s="196" t="n">
        <f aca="false">FZ$4*FZ9</f>
        <v>0</v>
      </c>
      <c r="GA114" s="196" t="n">
        <f aca="false">GA$4*GA9</f>
        <v>0</v>
      </c>
      <c r="GB114" s="196" t="n">
        <f aca="false">GB$4*GB9</f>
        <v>0</v>
      </c>
      <c r="GC114" s="196" t="n">
        <f aca="false">GC$4*GC9</f>
        <v>0</v>
      </c>
      <c r="GD114" s="196" t="n">
        <f aca="false">GD$4*GD9</f>
        <v>0</v>
      </c>
      <c r="GE114" s="196" t="n">
        <f aca="false">GE$4*GE9</f>
        <v>0</v>
      </c>
      <c r="GF114" s="196" t="n">
        <f aca="false">GF$4*GF9</f>
        <v>0</v>
      </c>
      <c r="GG114" s="197" t="n">
        <f aca="false">GG$4*GG9</f>
        <v>0</v>
      </c>
      <c r="GH114" s="194" t="str">
        <f aca="false">FW114</f>
        <v>Alumno4</v>
      </c>
      <c r="GI114" s="195" t="n">
        <f aca="false">GI$4*GI9</f>
        <v>0</v>
      </c>
      <c r="GJ114" s="196" t="n">
        <f aca="false">GJ$4*GJ9</f>
        <v>0</v>
      </c>
      <c r="GK114" s="196" t="n">
        <f aca="false">GK$4*GK9</f>
        <v>0</v>
      </c>
      <c r="GL114" s="196" t="n">
        <f aca="false">GL$4*GL9</f>
        <v>0</v>
      </c>
      <c r="GM114" s="196" t="n">
        <f aca="false">GM$4*GM9</f>
        <v>0</v>
      </c>
      <c r="GN114" s="196" t="n">
        <f aca="false">GN$4*GN9</f>
        <v>0</v>
      </c>
      <c r="GO114" s="196" t="n">
        <f aca="false">GO$4*GO9</f>
        <v>0</v>
      </c>
      <c r="GP114" s="196" t="n">
        <f aca="false">GP$4*GP9</f>
        <v>0</v>
      </c>
      <c r="GQ114" s="196" t="n">
        <f aca="false">GQ$4*GQ9</f>
        <v>0</v>
      </c>
      <c r="GR114" s="197" t="n">
        <f aca="false">GR$4*GR9</f>
        <v>0</v>
      </c>
      <c r="GS114" s="194" t="str">
        <f aca="false">GH114</f>
        <v>Alumno4</v>
      </c>
      <c r="GT114" s="195" t="n">
        <f aca="false">GT$4*GT9</f>
        <v>0</v>
      </c>
      <c r="GU114" s="196" t="n">
        <f aca="false">GU$4*GU9</f>
        <v>0</v>
      </c>
      <c r="GV114" s="196" t="n">
        <f aca="false">GV$4*GV9</f>
        <v>0</v>
      </c>
      <c r="GW114" s="196" t="n">
        <f aca="false">GW$4*GW9</f>
        <v>0</v>
      </c>
      <c r="GX114" s="196" t="n">
        <f aca="false">GX$4*GX9</f>
        <v>0</v>
      </c>
      <c r="GY114" s="196" t="n">
        <f aca="false">GY$4*GY9</f>
        <v>0</v>
      </c>
      <c r="GZ114" s="196" t="n">
        <f aca="false">GZ$4*GZ9</f>
        <v>0</v>
      </c>
      <c r="HA114" s="196" t="n">
        <f aca="false">HA$4*HA9</f>
        <v>0</v>
      </c>
      <c r="HB114" s="196" t="n">
        <f aca="false">HB$4*HB9</f>
        <v>0</v>
      </c>
      <c r="HC114" s="197" t="n">
        <f aca="false">HC$4*HC9</f>
        <v>0</v>
      </c>
      <c r="HD114" s="194" t="str">
        <f aca="false">GS114</f>
        <v>Alumno4</v>
      </c>
      <c r="HE114" s="195" t="n">
        <f aca="false">HE$4*HE9</f>
        <v>0</v>
      </c>
      <c r="HF114" s="196" t="n">
        <f aca="false">HF$4*HF9</f>
        <v>0</v>
      </c>
      <c r="HG114" s="196" t="n">
        <f aca="false">HG$4*HG9</f>
        <v>0</v>
      </c>
      <c r="HH114" s="196" t="n">
        <f aca="false">HH$4*HH9</f>
        <v>0</v>
      </c>
      <c r="HI114" s="196" t="n">
        <f aca="false">HI$4*HI9</f>
        <v>0</v>
      </c>
      <c r="HJ114" s="196" t="n">
        <f aca="false">HJ$4*HJ9</f>
        <v>0</v>
      </c>
      <c r="HK114" s="196" t="n">
        <f aca="false">HK$4*HK9</f>
        <v>0</v>
      </c>
      <c r="HL114" s="196" t="n">
        <f aca="false">HL$4*HL9</f>
        <v>0</v>
      </c>
      <c r="HM114" s="196" t="n">
        <f aca="false">HM$4*HM9</f>
        <v>0</v>
      </c>
      <c r="HN114" s="197" t="n">
        <f aca="false">HN$4*HN9</f>
        <v>0</v>
      </c>
      <c r="HO114" s="194" t="str">
        <f aca="false">HD114</f>
        <v>Alumno4</v>
      </c>
      <c r="HP114" s="195" t="n">
        <f aca="false">HP$4*HP9</f>
        <v>0</v>
      </c>
      <c r="HQ114" s="196" t="n">
        <f aca="false">HQ$4*HQ9</f>
        <v>0</v>
      </c>
      <c r="HR114" s="196" t="n">
        <f aca="false">HR$4*HR9</f>
        <v>0</v>
      </c>
      <c r="HS114" s="196" t="n">
        <f aca="false">HS$4*HS9</f>
        <v>0</v>
      </c>
      <c r="HT114" s="196" t="n">
        <f aca="false">HT$4*HT9</f>
        <v>0</v>
      </c>
      <c r="HU114" s="196" t="n">
        <f aca="false">HU$4*HU9</f>
        <v>0</v>
      </c>
      <c r="HV114" s="196" t="n">
        <f aca="false">HV$4*HV9</f>
        <v>0</v>
      </c>
      <c r="HW114" s="196" t="n">
        <f aca="false">HW$4*HW9</f>
        <v>0</v>
      </c>
      <c r="HX114" s="196" t="n">
        <f aca="false">HX$4*HX9</f>
        <v>0</v>
      </c>
      <c r="HY114" s="197" t="n">
        <f aca="false">HY$4*HY9</f>
        <v>0</v>
      </c>
      <c r="HZ114" s="194" t="str">
        <f aca="false">HO114</f>
        <v>Alumno4</v>
      </c>
      <c r="IA114" s="195" t="n">
        <f aca="false">IA$4*IA9</f>
        <v>0</v>
      </c>
      <c r="IB114" s="196" t="n">
        <f aca="false">IB$4*IB9</f>
        <v>0</v>
      </c>
      <c r="IC114" s="196" t="n">
        <f aca="false">IC$4*IC9</f>
        <v>0</v>
      </c>
      <c r="ID114" s="196" t="n">
        <f aca="false">ID$4*ID9</f>
        <v>0</v>
      </c>
      <c r="IE114" s="196" t="n">
        <f aca="false">IE$4*IE9</f>
        <v>0</v>
      </c>
      <c r="IF114" s="196" t="n">
        <f aca="false">IF$4*IF9</f>
        <v>0</v>
      </c>
      <c r="IG114" s="196" t="n">
        <f aca="false">IG$4*IG9</f>
        <v>0</v>
      </c>
      <c r="IH114" s="196" t="n">
        <f aca="false">IH$4*IH9</f>
        <v>0</v>
      </c>
      <c r="II114" s="196" t="n">
        <f aca="false">II$4*II9</f>
        <v>0</v>
      </c>
      <c r="IJ114" s="197" t="n">
        <f aca="false">IJ$4*IJ9</f>
        <v>0</v>
      </c>
      <c r="IK114" s="194" t="str">
        <f aca="false">HZ114</f>
        <v>Alumno4</v>
      </c>
      <c r="IL114" s="195" t="n">
        <f aca="false">IL$4*IL9</f>
        <v>0</v>
      </c>
      <c r="IM114" s="196" t="n">
        <f aca="false">IM$4*IM9</f>
        <v>0</v>
      </c>
      <c r="IN114" s="196" t="n">
        <f aca="false">IN$4*IN9</f>
        <v>0</v>
      </c>
      <c r="IO114" s="196" t="n">
        <f aca="false">IO$4*IO9</f>
        <v>0</v>
      </c>
      <c r="IP114" s="196" t="n">
        <f aca="false">IP$4*IP9</f>
        <v>0</v>
      </c>
      <c r="IQ114" s="196" t="n">
        <f aca="false">IQ$4*IQ9</f>
        <v>0</v>
      </c>
      <c r="IR114" s="196" t="n">
        <f aca="false">IR$4*IR9</f>
        <v>0</v>
      </c>
      <c r="IS114" s="196" t="n">
        <f aca="false">IS$4*IS9</f>
        <v>0</v>
      </c>
      <c r="IT114" s="196" t="n">
        <f aca="false">IT$4*IT9</f>
        <v>0</v>
      </c>
      <c r="IU114" s="197" t="n">
        <f aca="false">IU$4*IU9</f>
        <v>0</v>
      </c>
      <c r="IV114" s="194" t="str">
        <f aca="false">IK114</f>
        <v>Alumno4</v>
      </c>
      <c r="IW114" s="195" t="n">
        <f aca="false">IW$4*IW9</f>
        <v>0</v>
      </c>
      <c r="IX114" s="196" t="n">
        <f aca="false">IX$4*IX9</f>
        <v>0</v>
      </c>
      <c r="IY114" s="196" t="n">
        <f aca="false">IY$4*IY9</f>
        <v>0</v>
      </c>
      <c r="IZ114" s="196" t="n">
        <f aca="false">IZ$4*IZ9</f>
        <v>0</v>
      </c>
      <c r="JA114" s="196" t="n">
        <f aca="false">JA$4*JA9</f>
        <v>0</v>
      </c>
      <c r="JB114" s="196" t="n">
        <f aca="false">JB$4*JB9</f>
        <v>0</v>
      </c>
      <c r="JC114" s="196" t="n">
        <f aca="false">JC$4*JC9</f>
        <v>0</v>
      </c>
      <c r="JD114" s="196" t="n">
        <f aca="false">JD$4*JD9</f>
        <v>0</v>
      </c>
      <c r="JE114" s="196" t="n">
        <f aca="false">JE$4*JE9</f>
        <v>0</v>
      </c>
      <c r="JF114" s="197" t="n">
        <f aca="false">JF$4*JF9</f>
        <v>0</v>
      </c>
      <c r="JG114" s="194" t="str">
        <f aca="false">IV114</f>
        <v>Alumno4</v>
      </c>
      <c r="JH114" s="195" t="n">
        <f aca="false">JH$4*JH9</f>
        <v>0</v>
      </c>
      <c r="JI114" s="196" t="n">
        <f aca="false">JI$4*JI9</f>
        <v>0</v>
      </c>
      <c r="JJ114" s="196" t="n">
        <f aca="false">JJ$4*JJ9</f>
        <v>0</v>
      </c>
      <c r="JK114" s="196" t="n">
        <f aca="false">JK$4*JK9</f>
        <v>0</v>
      </c>
      <c r="JL114" s="196" t="n">
        <f aca="false">JL$4*JL9</f>
        <v>0</v>
      </c>
      <c r="JM114" s="196" t="n">
        <f aca="false">JM$4*JM9</f>
        <v>0</v>
      </c>
      <c r="JN114" s="196" t="n">
        <f aca="false">JN$4*JN9</f>
        <v>0</v>
      </c>
      <c r="JO114" s="196" t="n">
        <f aca="false">JO$4*JO9</f>
        <v>0</v>
      </c>
      <c r="JP114" s="196" t="n">
        <f aca="false">JP$4*JP9</f>
        <v>0</v>
      </c>
      <c r="JQ114" s="197" t="n">
        <f aca="false">JQ$4*JQ9</f>
        <v>0</v>
      </c>
      <c r="JR114" s="194" t="str">
        <f aca="false">JG114</f>
        <v>Alumno4</v>
      </c>
      <c r="JS114" s="195" t="n">
        <f aca="false">JS$4*JS9</f>
        <v>0</v>
      </c>
      <c r="JT114" s="196" t="n">
        <f aca="false">JT$4*JT9</f>
        <v>0</v>
      </c>
      <c r="JU114" s="196" t="n">
        <f aca="false">JU$4*JU9</f>
        <v>0</v>
      </c>
      <c r="JV114" s="196" t="n">
        <f aca="false">JV$4*JV9</f>
        <v>0</v>
      </c>
      <c r="JW114" s="196" t="n">
        <f aca="false">JW$4*JW9</f>
        <v>0</v>
      </c>
      <c r="JX114" s="196" t="n">
        <f aca="false">JX$4*JX9</f>
        <v>0</v>
      </c>
      <c r="JY114" s="196" t="n">
        <f aca="false">JY$4*JY9</f>
        <v>0</v>
      </c>
      <c r="JZ114" s="196" t="n">
        <f aca="false">JZ$4*JZ9</f>
        <v>0</v>
      </c>
      <c r="KA114" s="196" t="n">
        <f aca="false">KA$4*KA9</f>
        <v>0</v>
      </c>
      <c r="KB114" s="197" t="n">
        <f aca="false">KB$4*KB9</f>
        <v>0</v>
      </c>
      <c r="KC114" s="194" t="str">
        <f aca="false">JR114</f>
        <v>Alumno4</v>
      </c>
      <c r="KD114" s="195" t="n">
        <f aca="false">KD$4*KD9</f>
        <v>0</v>
      </c>
      <c r="KE114" s="196" t="n">
        <f aca="false">KE$4*KE9</f>
        <v>0</v>
      </c>
      <c r="KF114" s="196" t="n">
        <f aca="false">KF$4*KF9</f>
        <v>0</v>
      </c>
      <c r="KG114" s="196" t="n">
        <f aca="false">KG$4*KG9</f>
        <v>0</v>
      </c>
      <c r="KH114" s="196" t="n">
        <f aca="false">KH$4*KH9</f>
        <v>0</v>
      </c>
      <c r="KI114" s="196" t="n">
        <f aca="false">KI$4*KI9</f>
        <v>0</v>
      </c>
      <c r="KJ114" s="196" t="n">
        <f aca="false">KJ$4*KJ9</f>
        <v>0</v>
      </c>
      <c r="KK114" s="196" t="n">
        <f aca="false">KK$4*KK9</f>
        <v>0</v>
      </c>
      <c r="KL114" s="196" t="n">
        <f aca="false">KL$4*KL9</f>
        <v>0</v>
      </c>
      <c r="KM114" s="197" t="n">
        <f aca="false">KM$4*KM9</f>
        <v>0</v>
      </c>
      <c r="KN114" s="194" t="str">
        <f aca="false">KC114</f>
        <v>Alumno4</v>
      </c>
      <c r="KO114" s="195" t="n">
        <f aca="false">KO$4*KO9</f>
        <v>0</v>
      </c>
      <c r="KP114" s="196" t="n">
        <f aca="false">KP$4*KP9</f>
        <v>0</v>
      </c>
      <c r="KQ114" s="196" t="n">
        <f aca="false">KQ$4*KQ9</f>
        <v>0</v>
      </c>
      <c r="KR114" s="196" t="n">
        <f aca="false">KR$4*KR9</f>
        <v>0</v>
      </c>
      <c r="KS114" s="196" t="n">
        <f aca="false">KS$4*KS9</f>
        <v>0</v>
      </c>
      <c r="KT114" s="196" t="n">
        <f aca="false">KT$4*KT9</f>
        <v>0</v>
      </c>
      <c r="KU114" s="196" t="n">
        <f aca="false">KU$4*KU9</f>
        <v>0</v>
      </c>
      <c r="KV114" s="196" t="n">
        <f aca="false">KV$4*KV9</f>
        <v>0</v>
      </c>
      <c r="KW114" s="196" t="n">
        <f aca="false">KW$4*KW9</f>
        <v>0</v>
      </c>
      <c r="KX114" s="197" t="n">
        <f aca="false">KX$4*KX9</f>
        <v>0</v>
      </c>
      <c r="KY114" s="194" t="str">
        <f aca="false">KN114</f>
        <v>Alumno4</v>
      </c>
      <c r="KZ114" s="195" t="n">
        <f aca="false">KZ$4*KZ9</f>
        <v>0</v>
      </c>
      <c r="LA114" s="196" t="n">
        <f aca="false">LA$4*LA9</f>
        <v>0</v>
      </c>
      <c r="LB114" s="196" t="n">
        <f aca="false">LB$4*LB9</f>
        <v>0</v>
      </c>
      <c r="LC114" s="196" t="n">
        <f aca="false">LC$4*LC9</f>
        <v>0</v>
      </c>
      <c r="LD114" s="196" t="n">
        <f aca="false">LD$4*LD9</f>
        <v>0</v>
      </c>
      <c r="LE114" s="196" t="n">
        <f aca="false">LE$4*LE9</f>
        <v>0</v>
      </c>
      <c r="LF114" s="196" t="n">
        <f aca="false">LF$4*LF9</f>
        <v>0</v>
      </c>
      <c r="LG114" s="196" t="n">
        <f aca="false">LG$4*LG9</f>
        <v>0</v>
      </c>
      <c r="LH114" s="196" t="n">
        <f aca="false">LH$4*LH9</f>
        <v>0</v>
      </c>
      <c r="LI114" s="197" t="n">
        <f aca="false">LI$4*LI9</f>
        <v>0</v>
      </c>
      <c r="LJ114" s="194" t="str">
        <f aca="false">KY114</f>
        <v>Alumno4</v>
      </c>
      <c r="LK114" s="195" t="n">
        <f aca="false">LK$4*LK9</f>
        <v>0</v>
      </c>
      <c r="LL114" s="196" t="n">
        <f aca="false">LL$4*LL9</f>
        <v>0</v>
      </c>
      <c r="LM114" s="196" t="n">
        <f aca="false">LM$4*LM9</f>
        <v>0</v>
      </c>
      <c r="LN114" s="196" t="n">
        <f aca="false">LN$4*LN9</f>
        <v>0</v>
      </c>
      <c r="LO114" s="196" t="n">
        <f aca="false">LO$4*LO9</f>
        <v>0</v>
      </c>
      <c r="LP114" s="196" t="n">
        <f aca="false">LP$4*LP9</f>
        <v>0</v>
      </c>
      <c r="LQ114" s="196" t="n">
        <f aca="false">LQ$4*LQ9</f>
        <v>0</v>
      </c>
      <c r="LR114" s="196" t="n">
        <f aca="false">LR$4*LR9</f>
        <v>0</v>
      </c>
      <c r="LS114" s="196" t="n">
        <f aca="false">LS$4*LS9</f>
        <v>0</v>
      </c>
      <c r="LT114" s="197" t="n">
        <f aca="false">LT$4*LT9</f>
        <v>0</v>
      </c>
    </row>
    <row r="115" customFormat="false" ht="15" hidden="true" customHeight="false" outlineLevel="0" collapsed="false">
      <c r="C115" s="194" t="str">
        <f aca="false">C66</f>
        <v>Alumno5</v>
      </c>
      <c r="D115" s="195" t="n">
        <f aca="false">D$4*D10</f>
        <v>0.45</v>
      </c>
      <c r="E115" s="196" t="n">
        <f aca="false">E$4*E10</f>
        <v>0.45</v>
      </c>
      <c r="F115" s="196" t="n">
        <f aca="false">F$4*F10</f>
        <v>0.4</v>
      </c>
      <c r="G115" s="196" t="n">
        <f aca="false">G$4*G10</f>
        <v>0.4</v>
      </c>
      <c r="H115" s="196" t="n">
        <f aca="false">H$4*H10</f>
        <v>0.75</v>
      </c>
      <c r="I115" s="196" t="n">
        <f aca="false">I$4*I10</f>
        <v>0.6</v>
      </c>
      <c r="J115" s="196" t="n">
        <f aca="false">J$4*J10</f>
        <v>0.3</v>
      </c>
      <c r="K115" s="196" t="n">
        <f aca="false">K$4*K10</f>
        <v>0</v>
      </c>
      <c r="L115" s="196" t="n">
        <f aca="false">L$4*L10</f>
        <v>0</v>
      </c>
      <c r="M115" s="197" t="n">
        <f aca="false">M$4*M10</f>
        <v>0</v>
      </c>
      <c r="N115" s="194" t="str">
        <f aca="false">C115</f>
        <v>Alumno5</v>
      </c>
      <c r="O115" s="195" t="n">
        <f aca="false">O$4*O10</f>
        <v>1.8</v>
      </c>
      <c r="P115" s="196" t="n">
        <f aca="false">P$4*P10</f>
        <v>1.8</v>
      </c>
      <c r="Q115" s="196" t="n">
        <f aca="false">Q$4*Q10</f>
        <v>1.8</v>
      </c>
      <c r="R115" s="196" t="n">
        <f aca="false">R$4*R10</f>
        <v>1.8</v>
      </c>
      <c r="S115" s="196" t="n">
        <f aca="false">S$4*S10</f>
        <v>1.8</v>
      </c>
      <c r="T115" s="196" t="n">
        <f aca="false">T$4*T10</f>
        <v>0</v>
      </c>
      <c r="U115" s="196" t="n">
        <f aca="false">U$4*U10</f>
        <v>0</v>
      </c>
      <c r="V115" s="196" t="n">
        <f aca="false">V$4*V10</f>
        <v>0</v>
      </c>
      <c r="W115" s="196" t="n">
        <f aca="false">W$4*W10</f>
        <v>0</v>
      </c>
      <c r="X115" s="197" t="n">
        <f aca="false">X$4*X10</f>
        <v>0</v>
      </c>
      <c r="Y115" s="194" t="str">
        <f aca="false">N115</f>
        <v>Alumno5</v>
      </c>
      <c r="Z115" s="195" t="n">
        <f aca="false">Z$4*Z10</f>
        <v>1.8</v>
      </c>
      <c r="AA115" s="196" t="n">
        <f aca="false">AA$4*AA10</f>
        <v>1.8</v>
      </c>
      <c r="AB115" s="196" t="n">
        <f aca="false">AB$4*AB10</f>
        <v>1.8</v>
      </c>
      <c r="AC115" s="196" t="n">
        <f aca="false">AC$4*AC10</f>
        <v>1.8</v>
      </c>
      <c r="AD115" s="196" t="n">
        <f aca="false">AD$4*AD10</f>
        <v>1.8</v>
      </c>
      <c r="AE115" s="196" t="n">
        <f aca="false">AE$4*AE10</f>
        <v>0</v>
      </c>
      <c r="AF115" s="196" t="n">
        <f aca="false">AF$4*AF10</f>
        <v>0</v>
      </c>
      <c r="AG115" s="196" t="n">
        <f aca="false">AG$4*AG10</f>
        <v>0</v>
      </c>
      <c r="AH115" s="196" t="n">
        <f aca="false">AH$4*AH10</f>
        <v>0</v>
      </c>
      <c r="AI115" s="197" t="n">
        <f aca="false">AI$4*AI10</f>
        <v>0</v>
      </c>
      <c r="AJ115" s="194" t="str">
        <f aca="false">Y115</f>
        <v>Alumno5</v>
      </c>
      <c r="AK115" s="195" t="n">
        <f aca="false">AK$4*AK10</f>
        <v>1.8</v>
      </c>
      <c r="AL115" s="196" t="n">
        <f aca="false">AL$4*AL10</f>
        <v>1.8</v>
      </c>
      <c r="AM115" s="196" t="n">
        <f aca="false">AM$4*AM10</f>
        <v>1.8</v>
      </c>
      <c r="AN115" s="196" t="n">
        <f aca="false">AN$4*AN10</f>
        <v>1.8</v>
      </c>
      <c r="AO115" s="196" t="n">
        <f aca="false">AO$4*AO10</f>
        <v>1.8</v>
      </c>
      <c r="AP115" s="196" t="n">
        <f aca="false">AP$4*AP10</f>
        <v>0</v>
      </c>
      <c r="AQ115" s="196" t="n">
        <f aca="false">AQ$4*AQ10</f>
        <v>0</v>
      </c>
      <c r="AR115" s="196" t="n">
        <f aca="false">AR$4*AR10</f>
        <v>0</v>
      </c>
      <c r="AS115" s="196" t="n">
        <f aca="false">AS$4*AS10</f>
        <v>0</v>
      </c>
      <c r="AT115" s="197" t="n">
        <f aca="false">AT$4*AT10</f>
        <v>0</v>
      </c>
      <c r="AU115" s="194" t="str">
        <f aca="false">AJ115</f>
        <v>Alumno5</v>
      </c>
      <c r="AV115" s="195" t="n">
        <f aca="false">AV$4*AV10</f>
        <v>0.3</v>
      </c>
      <c r="AW115" s="196" t="n">
        <f aca="false">AW$4*AW10</f>
        <v>0.6</v>
      </c>
      <c r="AX115" s="196" t="n">
        <f aca="false">AX$4*AX10</f>
        <v>0.4</v>
      </c>
      <c r="AY115" s="196" t="n">
        <f aca="false">AY$4*AY10</f>
        <v>1.2</v>
      </c>
      <c r="AZ115" s="196" t="n">
        <f aca="false">AZ$4*AZ10</f>
        <v>1</v>
      </c>
      <c r="BA115" s="196" t="n">
        <f aca="false">BA$4*BA10</f>
        <v>0</v>
      </c>
      <c r="BB115" s="196" t="n">
        <f aca="false">BB$4*BB10</f>
        <v>0</v>
      </c>
      <c r="BC115" s="196" t="n">
        <f aca="false">BC$4*BC10</f>
        <v>0</v>
      </c>
      <c r="BD115" s="196" t="n">
        <f aca="false">BD$4*BD10</f>
        <v>0</v>
      </c>
      <c r="BE115" s="197" t="n">
        <f aca="false">BE$4*BE10</f>
        <v>0</v>
      </c>
      <c r="BF115" s="194" t="str">
        <f aca="false">AU115</f>
        <v>Alumno5</v>
      </c>
      <c r="BG115" s="195" t="n">
        <f aca="false">BG$4*BG10</f>
        <v>0.3</v>
      </c>
      <c r="BH115" s="196" t="n">
        <f aca="false">BH$4*BH10</f>
        <v>0.6</v>
      </c>
      <c r="BI115" s="196" t="n">
        <f aca="false">BI$4*BI10</f>
        <v>0.4</v>
      </c>
      <c r="BJ115" s="196" t="n">
        <f aca="false">BJ$4*BJ10</f>
        <v>0.8</v>
      </c>
      <c r="BK115" s="196" t="n">
        <f aca="false">BK$4*BK10</f>
        <v>1.5</v>
      </c>
      <c r="BL115" s="196" t="n">
        <f aca="false">BL$4*BL10</f>
        <v>0</v>
      </c>
      <c r="BM115" s="196" t="n">
        <f aca="false">BM$4*BM10</f>
        <v>0</v>
      </c>
      <c r="BN115" s="196" t="n">
        <f aca="false">BN$4*BN10</f>
        <v>0</v>
      </c>
      <c r="BO115" s="196" t="n">
        <f aca="false">BO$4*BO10</f>
        <v>0</v>
      </c>
      <c r="BP115" s="197" t="n">
        <f aca="false">BP$4*BP10</f>
        <v>0</v>
      </c>
      <c r="BQ115" s="194" t="str">
        <f aca="false">BF115</f>
        <v>Alumno5</v>
      </c>
      <c r="BR115" s="195" t="n">
        <f aca="false">BR$4*BR10</f>
        <v>2</v>
      </c>
      <c r="BS115" s="196" t="n">
        <f aca="false">BS$4*BS10</f>
        <v>0.9</v>
      </c>
      <c r="BT115" s="196" t="n">
        <f aca="false">BT$4*BT10</f>
        <v>2</v>
      </c>
      <c r="BU115" s="196" t="n">
        <f aca="false">BU$4*BU10</f>
        <v>1.8</v>
      </c>
      <c r="BV115" s="196" t="n">
        <f aca="false">BV$4*BV10</f>
        <v>3</v>
      </c>
      <c r="BW115" s="196" t="n">
        <f aca="false">BW$4*BW10</f>
        <v>0</v>
      </c>
      <c r="BX115" s="196" t="n">
        <f aca="false">BX$4*BX10</f>
        <v>0</v>
      </c>
      <c r="BY115" s="196" t="n">
        <f aca="false">BY$4*BY10</f>
        <v>0</v>
      </c>
      <c r="BZ115" s="196" t="n">
        <f aca="false">BZ$4*BZ10</f>
        <v>0</v>
      </c>
      <c r="CA115" s="197" t="n">
        <f aca="false">CA$4*CA10</f>
        <v>0</v>
      </c>
      <c r="CB115" s="194" t="str">
        <f aca="false">BQ115</f>
        <v>Alumno5</v>
      </c>
      <c r="CC115" s="195" t="n">
        <f aca="false">CC$4*CC10</f>
        <v>0</v>
      </c>
      <c r="CD115" s="196" t="n">
        <f aca="false">CD$4*CD10</f>
        <v>0</v>
      </c>
      <c r="CE115" s="196" t="n">
        <f aca="false">CE$4*CE10</f>
        <v>0</v>
      </c>
      <c r="CF115" s="196" t="n">
        <f aca="false">CF$4*CF10</f>
        <v>0</v>
      </c>
      <c r="CG115" s="196" t="n">
        <f aca="false">CG$4*CG10</f>
        <v>0</v>
      </c>
      <c r="CH115" s="196" t="n">
        <f aca="false">CH$4*CH10</f>
        <v>0</v>
      </c>
      <c r="CI115" s="196" t="n">
        <f aca="false">CI$4*CI10</f>
        <v>0</v>
      </c>
      <c r="CJ115" s="196" t="n">
        <f aca="false">CJ$4*CJ10</f>
        <v>0</v>
      </c>
      <c r="CK115" s="196" t="n">
        <f aca="false">CK$4*CK10</f>
        <v>0</v>
      </c>
      <c r="CL115" s="197" t="n">
        <f aca="false">CL$4*CL10</f>
        <v>0</v>
      </c>
      <c r="CM115" s="194" t="str">
        <f aca="false">CB115</f>
        <v>Alumno5</v>
      </c>
      <c r="CN115" s="195" t="n">
        <f aca="false">CN$4*CN10</f>
        <v>0</v>
      </c>
      <c r="CO115" s="196" t="n">
        <f aca="false">CO$4*CO10</f>
        <v>0</v>
      </c>
      <c r="CP115" s="196" t="n">
        <f aca="false">CP$4*CP10</f>
        <v>0</v>
      </c>
      <c r="CQ115" s="196" t="n">
        <f aca="false">CQ$4*CQ10</f>
        <v>0</v>
      </c>
      <c r="CR115" s="196" t="n">
        <f aca="false">CR$4*CR10</f>
        <v>0</v>
      </c>
      <c r="CS115" s="196" t="n">
        <f aca="false">CS$4*CS10</f>
        <v>0</v>
      </c>
      <c r="CT115" s="196" t="n">
        <f aca="false">CT$4*CT10</f>
        <v>0</v>
      </c>
      <c r="CU115" s="196" t="n">
        <f aca="false">CU$4*CU10</f>
        <v>0</v>
      </c>
      <c r="CV115" s="196" t="n">
        <f aca="false">CV$4*CV10</f>
        <v>0</v>
      </c>
      <c r="CW115" s="197" t="n">
        <f aca="false">CW$4*CW10</f>
        <v>0</v>
      </c>
      <c r="CX115" s="194" t="str">
        <f aca="false">CM115</f>
        <v>Alumno5</v>
      </c>
      <c r="CY115" s="195" t="n">
        <f aca="false">CY$4*CY10</f>
        <v>0</v>
      </c>
      <c r="CZ115" s="196" t="n">
        <f aca="false">CZ$4*CZ10</f>
        <v>0</v>
      </c>
      <c r="DA115" s="196" t="n">
        <f aca="false">DA$4*DA10</f>
        <v>0</v>
      </c>
      <c r="DB115" s="196" t="n">
        <f aca="false">DB$4*DB10</f>
        <v>0</v>
      </c>
      <c r="DC115" s="196" t="n">
        <f aca="false">DC$4*DC10</f>
        <v>0</v>
      </c>
      <c r="DD115" s="196" t="n">
        <f aca="false">DD$4*DD10</f>
        <v>0</v>
      </c>
      <c r="DE115" s="196" t="n">
        <f aca="false">DE$4*DE10</f>
        <v>0</v>
      </c>
      <c r="DF115" s="196" t="n">
        <f aca="false">DF$4*DF10</f>
        <v>0</v>
      </c>
      <c r="DG115" s="196" t="n">
        <f aca="false">DG$4*DG10</f>
        <v>0</v>
      </c>
      <c r="DH115" s="197" t="n">
        <f aca="false">DH$4*DH10</f>
        <v>0</v>
      </c>
      <c r="DI115" s="194" t="str">
        <f aca="false">CX115</f>
        <v>Alumno5</v>
      </c>
      <c r="DJ115" s="195" t="n">
        <f aca="false">DJ$4*DJ10</f>
        <v>0</v>
      </c>
      <c r="DK115" s="196" t="n">
        <f aca="false">DK$4*DK10</f>
        <v>0</v>
      </c>
      <c r="DL115" s="196" t="n">
        <f aca="false">DL$4*DL10</f>
        <v>0</v>
      </c>
      <c r="DM115" s="196" t="n">
        <f aca="false">DM$4*DM10</f>
        <v>0</v>
      </c>
      <c r="DN115" s="196" t="n">
        <f aca="false">DN$4*DN10</f>
        <v>0</v>
      </c>
      <c r="DO115" s="196" t="n">
        <f aca="false">DO$4*DO10</f>
        <v>0</v>
      </c>
      <c r="DP115" s="196" t="n">
        <f aca="false">DP$4*DP10</f>
        <v>0</v>
      </c>
      <c r="DQ115" s="196" t="n">
        <f aca="false">DQ$4*DQ10</f>
        <v>0</v>
      </c>
      <c r="DR115" s="196" t="n">
        <f aca="false">DR$4*DR10</f>
        <v>0</v>
      </c>
      <c r="DS115" s="197" t="n">
        <f aca="false">DS$4*DS10</f>
        <v>0</v>
      </c>
      <c r="DT115" s="194" t="str">
        <f aca="false">DI115</f>
        <v>Alumno5</v>
      </c>
      <c r="DU115" s="195" t="n">
        <f aca="false">DU$4*DU10</f>
        <v>0</v>
      </c>
      <c r="DV115" s="196" t="n">
        <f aca="false">DV$4*DV10</f>
        <v>0</v>
      </c>
      <c r="DW115" s="196" t="n">
        <f aca="false">DW$4*DW10</f>
        <v>0</v>
      </c>
      <c r="DX115" s="196" t="n">
        <f aca="false">DX$4*DX10</f>
        <v>0</v>
      </c>
      <c r="DY115" s="196" t="n">
        <f aca="false">DY$4*DY10</f>
        <v>0</v>
      </c>
      <c r="DZ115" s="196" t="n">
        <f aca="false">DZ$4*DZ10</f>
        <v>0</v>
      </c>
      <c r="EA115" s="196" t="n">
        <f aca="false">EA$4*EA10</f>
        <v>0</v>
      </c>
      <c r="EB115" s="196" t="n">
        <f aca="false">EB$4*EB10</f>
        <v>0</v>
      </c>
      <c r="EC115" s="196" t="n">
        <f aca="false">EC$4*EC10</f>
        <v>0</v>
      </c>
      <c r="ED115" s="197" t="n">
        <f aca="false">ED$4*ED10</f>
        <v>0</v>
      </c>
      <c r="EE115" s="194" t="str">
        <f aca="false">DT115</f>
        <v>Alumno5</v>
      </c>
      <c r="EF115" s="195" t="n">
        <f aca="false">EF$4*EF10</f>
        <v>0</v>
      </c>
      <c r="EG115" s="196" t="n">
        <f aca="false">EG$4*EG10</f>
        <v>0</v>
      </c>
      <c r="EH115" s="196" t="n">
        <f aca="false">EH$4*EH10</f>
        <v>0</v>
      </c>
      <c r="EI115" s="196" t="n">
        <f aca="false">EI$4*EI10</f>
        <v>0</v>
      </c>
      <c r="EJ115" s="196" t="n">
        <f aca="false">EJ$4*EJ10</f>
        <v>0</v>
      </c>
      <c r="EK115" s="196" t="n">
        <f aca="false">EK$4*EK10</f>
        <v>0</v>
      </c>
      <c r="EL115" s="196" t="n">
        <f aca="false">EL$4*EL10</f>
        <v>0</v>
      </c>
      <c r="EM115" s="196" t="n">
        <f aca="false">EM$4*EM10</f>
        <v>0</v>
      </c>
      <c r="EN115" s="196" t="n">
        <f aca="false">EN$4*EN10</f>
        <v>0</v>
      </c>
      <c r="EO115" s="197" t="n">
        <f aca="false">EO$4*EO10</f>
        <v>0</v>
      </c>
      <c r="EP115" s="194" t="str">
        <f aca="false">EE115</f>
        <v>Alumno5</v>
      </c>
      <c r="EQ115" s="195" t="n">
        <f aca="false">EQ$4*EQ10</f>
        <v>0</v>
      </c>
      <c r="ER115" s="196" t="n">
        <f aca="false">ER$4*ER10</f>
        <v>0</v>
      </c>
      <c r="ES115" s="196" t="n">
        <f aca="false">ES$4*ES10</f>
        <v>0</v>
      </c>
      <c r="ET115" s="196" t="n">
        <f aca="false">ET$4*ET10</f>
        <v>0</v>
      </c>
      <c r="EU115" s="196" t="n">
        <f aca="false">EU$4*EU10</f>
        <v>0</v>
      </c>
      <c r="EV115" s="196" t="n">
        <f aca="false">EV$4*EV10</f>
        <v>0</v>
      </c>
      <c r="EW115" s="196" t="n">
        <f aca="false">EW$4*EW10</f>
        <v>0</v>
      </c>
      <c r="EX115" s="196" t="n">
        <f aca="false">EX$4*EX10</f>
        <v>0</v>
      </c>
      <c r="EY115" s="196" t="n">
        <f aca="false">EY$4*EY10</f>
        <v>0</v>
      </c>
      <c r="EZ115" s="197" t="n">
        <f aca="false">EZ$4*EZ10</f>
        <v>0</v>
      </c>
      <c r="FA115" s="194" t="str">
        <f aca="false">EP115</f>
        <v>Alumno5</v>
      </c>
      <c r="FB115" s="195" t="n">
        <f aca="false">FB$4*FB10</f>
        <v>0</v>
      </c>
      <c r="FC115" s="196" t="n">
        <f aca="false">FC$4*FC10</f>
        <v>0</v>
      </c>
      <c r="FD115" s="196" t="n">
        <f aca="false">FD$4*FD10</f>
        <v>0</v>
      </c>
      <c r="FE115" s="196" t="n">
        <f aca="false">FE$4*FE10</f>
        <v>0</v>
      </c>
      <c r="FF115" s="196" t="n">
        <f aca="false">FF$4*FF10</f>
        <v>0</v>
      </c>
      <c r="FG115" s="196" t="n">
        <f aca="false">FG$4*FG10</f>
        <v>0</v>
      </c>
      <c r="FH115" s="196" t="n">
        <f aca="false">FH$4*FH10</f>
        <v>0</v>
      </c>
      <c r="FI115" s="196" t="n">
        <f aca="false">FI$4*FI10</f>
        <v>0</v>
      </c>
      <c r="FJ115" s="196" t="n">
        <f aca="false">FJ$4*FJ10</f>
        <v>0</v>
      </c>
      <c r="FK115" s="197" t="n">
        <f aca="false">FK$4*FK10</f>
        <v>0</v>
      </c>
      <c r="FL115" s="194" t="str">
        <f aca="false">FA115</f>
        <v>Alumno5</v>
      </c>
      <c r="FM115" s="195" t="n">
        <f aca="false">FM$4*FM10</f>
        <v>0</v>
      </c>
      <c r="FN115" s="196" t="n">
        <f aca="false">FN$4*FN10</f>
        <v>0</v>
      </c>
      <c r="FO115" s="196" t="n">
        <f aca="false">FO$4*FO10</f>
        <v>0</v>
      </c>
      <c r="FP115" s="196" t="n">
        <f aca="false">FP$4*FP10</f>
        <v>0</v>
      </c>
      <c r="FQ115" s="196" t="n">
        <f aca="false">FQ$4*FQ10</f>
        <v>0</v>
      </c>
      <c r="FR115" s="196" t="n">
        <f aca="false">FR$4*FR10</f>
        <v>0</v>
      </c>
      <c r="FS115" s="196" t="n">
        <f aca="false">FS$4*FS10</f>
        <v>0</v>
      </c>
      <c r="FT115" s="196" t="n">
        <f aca="false">FT$4*FT10</f>
        <v>0</v>
      </c>
      <c r="FU115" s="196" t="n">
        <f aca="false">FU$4*FU10</f>
        <v>0</v>
      </c>
      <c r="FV115" s="197" t="n">
        <f aca="false">FV$4*FV10</f>
        <v>0</v>
      </c>
      <c r="FW115" s="194" t="str">
        <f aca="false">FL115</f>
        <v>Alumno5</v>
      </c>
      <c r="FX115" s="195" t="n">
        <f aca="false">FX$4*FX10</f>
        <v>0</v>
      </c>
      <c r="FY115" s="196" t="n">
        <f aca="false">FY$4*FY10</f>
        <v>0</v>
      </c>
      <c r="FZ115" s="196" t="n">
        <f aca="false">FZ$4*FZ10</f>
        <v>0</v>
      </c>
      <c r="GA115" s="196" t="n">
        <f aca="false">GA$4*GA10</f>
        <v>0</v>
      </c>
      <c r="GB115" s="196" t="n">
        <f aca="false">GB$4*GB10</f>
        <v>0</v>
      </c>
      <c r="GC115" s="196" t="n">
        <f aca="false">GC$4*GC10</f>
        <v>0</v>
      </c>
      <c r="GD115" s="196" t="n">
        <f aca="false">GD$4*GD10</f>
        <v>0</v>
      </c>
      <c r="GE115" s="196" t="n">
        <f aca="false">GE$4*GE10</f>
        <v>0</v>
      </c>
      <c r="GF115" s="196" t="n">
        <f aca="false">GF$4*GF10</f>
        <v>0</v>
      </c>
      <c r="GG115" s="197" t="n">
        <f aca="false">GG$4*GG10</f>
        <v>0</v>
      </c>
      <c r="GH115" s="194" t="str">
        <f aca="false">FW115</f>
        <v>Alumno5</v>
      </c>
      <c r="GI115" s="195" t="n">
        <f aca="false">GI$4*GI10</f>
        <v>0</v>
      </c>
      <c r="GJ115" s="196" t="n">
        <f aca="false">GJ$4*GJ10</f>
        <v>0</v>
      </c>
      <c r="GK115" s="196" t="n">
        <f aca="false">GK$4*GK10</f>
        <v>0</v>
      </c>
      <c r="GL115" s="196" t="n">
        <f aca="false">GL$4*GL10</f>
        <v>0</v>
      </c>
      <c r="GM115" s="196" t="n">
        <f aca="false">GM$4*GM10</f>
        <v>0</v>
      </c>
      <c r="GN115" s="196" t="n">
        <f aca="false">GN$4*GN10</f>
        <v>0</v>
      </c>
      <c r="GO115" s="196" t="n">
        <f aca="false">GO$4*GO10</f>
        <v>0</v>
      </c>
      <c r="GP115" s="196" t="n">
        <f aca="false">GP$4*GP10</f>
        <v>0</v>
      </c>
      <c r="GQ115" s="196" t="n">
        <f aca="false">GQ$4*GQ10</f>
        <v>0</v>
      </c>
      <c r="GR115" s="197" t="n">
        <f aca="false">GR$4*GR10</f>
        <v>0</v>
      </c>
      <c r="GS115" s="194" t="str">
        <f aca="false">GH115</f>
        <v>Alumno5</v>
      </c>
      <c r="GT115" s="195" t="n">
        <f aca="false">GT$4*GT10</f>
        <v>0</v>
      </c>
      <c r="GU115" s="196" t="n">
        <f aca="false">GU$4*GU10</f>
        <v>0</v>
      </c>
      <c r="GV115" s="196" t="n">
        <f aca="false">GV$4*GV10</f>
        <v>0</v>
      </c>
      <c r="GW115" s="196" t="n">
        <f aca="false">GW$4*GW10</f>
        <v>0</v>
      </c>
      <c r="GX115" s="196" t="n">
        <f aca="false">GX$4*GX10</f>
        <v>0</v>
      </c>
      <c r="GY115" s="196" t="n">
        <f aca="false">GY$4*GY10</f>
        <v>0</v>
      </c>
      <c r="GZ115" s="196" t="n">
        <f aca="false">GZ$4*GZ10</f>
        <v>0</v>
      </c>
      <c r="HA115" s="196" t="n">
        <f aca="false">HA$4*HA10</f>
        <v>0</v>
      </c>
      <c r="HB115" s="196" t="n">
        <f aca="false">HB$4*HB10</f>
        <v>0</v>
      </c>
      <c r="HC115" s="197" t="n">
        <f aca="false">HC$4*HC10</f>
        <v>0</v>
      </c>
      <c r="HD115" s="194" t="str">
        <f aca="false">GS115</f>
        <v>Alumno5</v>
      </c>
      <c r="HE115" s="195" t="n">
        <f aca="false">HE$4*HE10</f>
        <v>0</v>
      </c>
      <c r="HF115" s="196" t="n">
        <f aca="false">HF$4*HF10</f>
        <v>0</v>
      </c>
      <c r="HG115" s="196" t="n">
        <f aca="false">HG$4*HG10</f>
        <v>0</v>
      </c>
      <c r="HH115" s="196" t="n">
        <f aca="false">HH$4*HH10</f>
        <v>0</v>
      </c>
      <c r="HI115" s="196" t="n">
        <f aca="false">HI$4*HI10</f>
        <v>0</v>
      </c>
      <c r="HJ115" s="196" t="n">
        <f aca="false">HJ$4*HJ10</f>
        <v>0</v>
      </c>
      <c r="HK115" s="196" t="n">
        <f aca="false">HK$4*HK10</f>
        <v>0</v>
      </c>
      <c r="HL115" s="196" t="n">
        <f aca="false">HL$4*HL10</f>
        <v>0</v>
      </c>
      <c r="HM115" s="196" t="n">
        <f aca="false">HM$4*HM10</f>
        <v>0</v>
      </c>
      <c r="HN115" s="197" t="n">
        <f aca="false">HN$4*HN10</f>
        <v>0</v>
      </c>
      <c r="HO115" s="194" t="str">
        <f aca="false">HD115</f>
        <v>Alumno5</v>
      </c>
      <c r="HP115" s="195" t="n">
        <f aca="false">HP$4*HP10</f>
        <v>0</v>
      </c>
      <c r="HQ115" s="196" t="n">
        <f aca="false">HQ$4*HQ10</f>
        <v>0</v>
      </c>
      <c r="HR115" s="196" t="n">
        <f aca="false">HR$4*HR10</f>
        <v>0</v>
      </c>
      <c r="HS115" s="196" t="n">
        <f aca="false">HS$4*HS10</f>
        <v>0</v>
      </c>
      <c r="HT115" s="196" t="n">
        <f aca="false">HT$4*HT10</f>
        <v>0</v>
      </c>
      <c r="HU115" s="196" t="n">
        <f aca="false">HU$4*HU10</f>
        <v>0</v>
      </c>
      <c r="HV115" s="196" t="n">
        <f aca="false">HV$4*HV10</f>
        <v>0</v>
      </c>
      <c r="HW115" s="196" t="n">
        <f aca="false">HW$4*HW10</f>
        <v>0</v>
      </c>
      <c r="HX115" s="196" t="n">
        <f aca="false">HX$4*HX10</f>
        <v>0</v>
      </c>
      <c r="HY115" s="197" t="n">
        <f aca="false">HY$4*HY10</f>
        <v>0</v>
      </c>
      <c r="HZ115" s="194" t="str">
        <f aca="false">HO115</f>
        <v>Alumno5</v>
      </c>
      <c r="IA115" s="195" t="n">
        <f aca="false">IA$4*IA10</f>
        <v>0</v>
      </c>
      <c r="IB115" s="196" t="n">
        <f aca="false">IB$4*IB10</f>
        <v>0</v>
      </c>
      <c r="IC115" s="196" t="n">
        <f aca="false">IC$4*IC10</f>
        <v>0</v>
      </c>
      <c r="ID115" s="196" t="n">
        <f aca="false">ID$4*ID10</f>
        <v>0</v>
      </c>
      <c r="IE115" s="196" t="n">
        <f aca="false">IE$4*IE10</f>
        <v>0</v>
      </c>
      <c r="IF115" s="196" t="n">
        <f aca="false">IF$4*IF10</f>
        <v>0</v>
      </c>
      <c r="IG115" s="196" t="n">
        <f aca="false">IG$4*IG10</f>
        <v>0</v>
      </c>
      <c r="IH115" s="196" t="n">
        <f aca="false">IH$4*IH10</f>
        <v>0</v>
      </c>
      <c r="II115" s="196" t="n">
        <f aca="false">II$4*II10</f>
        <v>0</v>
      </c>
      <c r="IJ115" s="197" t="n">
        <f aca="false">IJ$4*IJ10</f>
        <v>0</v>
      </c>
      <c r="IK115" s="194" t="str">
        <f aca="false">HZ115</f>
        <v>Alumno5</v>
      </c>
      <c r="IL115" s="195" t="n">
        <f aca="false">IL$4*IL10</f>
        <v>0</v>
      </c>
      <c r="IM115" s="196" t="n">
        <f aca="false">IM$4*IM10</f>
        <v>0</v>
      </c>
      <c r="IN115" s="196" t="n">
        <f aca="false">IN$4*IN10</f>
        <v>0</v>
      </c>
      <c r="IO115" s="196" t="n">
        <f aca="false">IO$4*IO10</f>
        <v>0</v>
      </c>
      <c r="IP115" s="196" t="n">
        <f aca="false">IP$4*IP10</f>
        <v>0</v>
      </c>
      <c r="IQ115" s="196" t="n">
        <f aca="false">IQ$4*IQ10</f>
        <v>0</v>
      </c>
      <c r="IR115" s="196" t="n">
        <f aca="false">IR$4*IR10</f>
        <v>0</v>
      </c>
      <c r="IS115" s="196" t="n">
        <f aca="false">IS$4*IS10</f>
        <v>0</v>
      </c>
      <c r="IT115" s="196" t="n">
        <f aca="false">IT$4*IT10</f>
        <v>0</v>
      </c>
      <c r="IU115" s="197" t="n">
        <f aca="false">IU$4*IU10</f>
        <v>0</v>
      </c>
      <c r="IV115" s="194" t="str">
        <f aca="false">IK115</f>
        <v>Alumno5</v>
      </c>
      <c r="IW115" s="195" t="n">
        <f aca="false">IW$4*IW10</f>
        <v>0</v>
      </c>
      <c r="IX115" s="196" t="n">
        <f aca="false">IX$4*IX10</f>
        <v>0</v>
      </c>
      <c r="IY115" s="196" t="n">
        <f aca="false">IY$4*IY10</f>
        <v>0</v>
      </c>
      <c r="IZ115" s="196" t="n">
        <f aca="false">IZ$4*IZ10</f>
        <v>0</v>
      </c>
      <c r="JA115" s="196" t="n">
        <f aca="false">JA$4*JA10</f>
        <v>0</v>
      </c>
      <c r="JB115" s="196" t="n">
        <f aca="false">JB$4*JB10</f>
        <v>0</v>
      </c>
      <c r="JC115" s="196" t="n">
        <f aca="false">JC$4*JC10</f>
        <v>0</v>
      </c>
      <c r="JD115" s="196" t="n">
        <f aca="false">JD$4*JD10</f>
        <v>0</v>
      </c>
      <c r="JE115" s="196" t="n">
        <f aca="false">JE$4*JE10</f>
        <v>0</v>
      </c>
      <c r="JF115" s="197" t="n">
        <f aca="false">JF$4*JF10</f>
        <v>0</v>
      </c>
      <c r="JG115" s="194" t="str">
        <f aca="false">IV115</f>
        <v>Alumno5</v>
      </c>
      <c r="JH115" s="195" t="n">
        <f aca="false">JH$4*JH10</f>
        <v>0</v>
      </c>
      <c r="JI115" s="196" t="n">
        <f aca="false">JI$4*JI10</f>
        <v>0</v>
      </c>
      <c r="JJ115" s="196" t="n">
        <f aca="false">JJ$4*JJ10</f>
        <v>0</v>
      </c>
      <c r="JK115" s="196" t="n">
        <f aca="false">JK$4*JK10</f>
        <v>0</v>
      </c>
      <c r="JL115" s="196" t="n">
        <f aca="false">JL$4*JL10</f>
        <v>0</v>
      </c>
      <c r="JM115" s="196" t="n">
        <f aca="false">JM$4*JM10</f>
        <v>0</v>
      </c>
      <c r="JN115" s="196" t="n">
        <f aca="false">JN$4*JN10</f>
        <v>0</v>
      </c>
      <c r="JO115" s="196" t="n">
        <f aca="false">JO$4*JO10</f>
        <v>0</v>
      </c>
      <c r="JP115" s="196" t="n">
        <f aca="false">JP$4*JP10</f>
        <v>0</v>
      </c>
      <c r="JQ115" s="197" t="n">
        <f aca="false">JQ$4*JQ10</f>
        <v>0</v>
      </c>
      <c r="JR115" s="194" t="str">
        <f aca="false">JG115</f>
        <v>Alumno5</v>
      </c>
      <c r="JS115" s="195" t="n">
        <f aca="false">JS$4*JS10</f>
        <v>0</v>
      </c>
      <c r="JT115" s="196" t="n">
        <f aca="false">JT$4*JT10</f>
        <v>0</v>
      </c>
      <c r="JU115" s="196" t="n">
        <f aca="false">JU$4*JU10</f>
        <v>0</v>
      </c>
      <c r="JV115" s="196" t="n">
        <f aca="false">JV$4*JV10</f>
        <v>0</v>
      </c>
      <c r="JW115" s="196" t="n">
        <f aca="false">JW$4*JW10</f>
        <v>0</v>
      </c>
      <c r="JX115" s="196" t="n">
        <f aca="false">JX$4*JX10</f>
        <v>0</v>
      </c>
      <c r="JY115" s="196" t="n">
        <f aca="false">JY$4*JY10</f>
        <v>0</v>
      </c>
      <c r="JZ115" s="196" t="n">
        <f aca="false">JZ$4*JZ10</f>
        <v>0</v>
      </c>
      <c r="KA115" s="196" t="n">
        <f aca="false">KA$4*KA10</f>
        <v>0</v>
      </c>
      <c r="KB115" s="197" t="n">
        <f aca="false">KB$4*KB10</f>
        <v>0</v>
      </c>
      <c r="KC115" s="194" t="str">
        <f aca="false">JR115</f>
        <v>Alumno5</v>
      </c>
      <c r="KD115" s="195" t="n">
        <f aca="false">KD$4*KD10</f>
        <v>0</v>
      </c>
      <c r="KE115" s="196" t="n">
        <f aca="false">KE$4*KE10</f>
        <v>0</v>
      </c>
      <c r="KF115" s="196" t="n">
        <f aca="false">KF$4*KF10</f>
        <v>0</v>
      </c>
      <c r="KG115" s="196" t="n">
        <f aca="false">KG$4*KG10</f>
        <v>0</v>
      </c>
      <c r="KH115" s="196" t="n">
        <f aca="false">KH$4*KH10</f>
        <v>0</v>
      </c>
      <c r="KI115" s="196" t="n">
        <f aca="false">KI$4*KI10</f>
        <v>0</v>
      </c>
      <c r="KJ115" s="196" t="n">
        <f aca="false">KJ$4*KJ10</f>
        <v>0</v>
      </c>
      <c r="KK115" s="196" t="n">
        <f aca="false">KK$4*KK10</f>
        <v>0</v>
      </c>
      <c r="KL115" s="196" t="n">
        <f aca="false">KL$4*KL10</f>
        <v>0</v>
      </c>
      <c r="KM115" s="197" t="n">
        <f aca="false">KM$4*KM10</f>
        <v>0</v>
      </c>
      <c r="KN115" s="194" t="str">
        <f aca="false">KC115</f>
        <v>Alumno5</v>
      </c>
      <c r="KO115" s="195" t="n">
        <f aca="false">KO$4*KO10</f>
        <v>0</v>
      </c>
      <c r="KP115" s="196" t="n">
        <f aca="false">KP$4*KP10</f>
        <v>0</v>
      </c>
      <c r="KQ115" s="196" t="n">
        <f aca="false">KQ$4*KQ10</f>
        <v>0</v>
      </c>
      <c r="KR115" s="196" t="n">
        <f aca="false">KR$4*KR10</f>
        <v>0</v>
      </c>
      <c r="KS115" s="196" t="n">
        <f aca="false">KS$4*KS10</f>
        <v>0</v>
      </c>
      <c r="KT115" s="196" t="n">
        <f aca="false">KT$4*KT10</f>
        <v>0</v>
      </c>
      <c r="KU115" s="196" t="n">
        <f aca="false">KU$4*KU10</f>
        <v>0</v>
      </c>
      <c r="KV115" s="196" t="n">
        <f aca="false">KV$4*KV10</f>
        <v>0</v>
      </c>
      <c r="KW115" s="196" t="n">
        <f aca="false">KW$4*KW10</f>
        <v>0</v>
      </c>
      <c r="KX115" s="197" t="n">
        <f aca="false">KX$4*KX10</f>
        <v>0</v>
      </c>
      <c r="KY115" s="194" t="str">
        <f aca="false">KN115</f>
        <v>Alumno5</v>
      </c>
      <c r="KZ115" s="195" t="n">
        <f aca="false">KZ$4*KZ10</f>
        <v>0</v>
      </c>
      <c r="LA115" s="196" t="n">
        <f aca="false">LA$4*LA10</f>
        <v>0</v>
      </c>
      <c r="LB115" s="196" t="n">
        <f aca="false">LB$4*LB10</f>
        <v>0</v>
      </c>
      <c r="LC115" s="196" t="n">
        <f aca="false">LC$4*LC10</f>
        <v>0</v>
      </c>
      <c r="LD115" s="196" t="n">
        <f aca="false">LD$4*LD10</f>
        <v>0</v>
      </c>
      <c r="LE115" s="196" t="n">
        <f aca="false">LE$4*LE10</f>
        <v>0</v>
      </c>
      <c r="LF115" s="196" t="n">
        <f aca="false">LF$4*LF10</f>
        <v>0</v>
      </c>
      <c r="LG115" s="196" t="n">
        <f aca="false">LG$4*LG10</f>
        <v>0</v>
      </c>
      <c r="LH115" s="196" t="n">
        <f aca="false">LH$4*LH10</f>
        <v>0</v>
      </c>
      <c r="LI115" s="197" t="n">
        <f aca="false">LI$4*LI10</f>
        <v>0</v>
      </c>
      <c r="LJ115" s="194" t="str">
        <f aca="false">KY115</f>
        <v>Alumno5</v>
      </c>
      <c r="LK115" s="195" t="n">
        <f aca="false">LK$4*LK10</f>
        <v>0</v>
      </c>
      <c r="LL115" s="196" t="n">
        <f aca="false">LL$4*LL10</f>
        <v>0</v>
      </c>
      <c r="LM115" s="196" t="n">
        <f aca="false">LM$4*LM10</f>
        <v>0</v>
      </c>
      <c r="LN115" s="196" t="n">
        <f aca="false">LN$4*LN10</f>
        <v>0</v>
      </c>
      <c r="LO115" s="196" t="n">
        <f aca="false">LO$4*LO10</f>
        <v>0</v>
      </c>
      <c r="LP115" s="196" t="n">
        <f aca="false">LP$4*LP10</f>
        <v>0</v>
      </c>
      <c r="LQ115" s="196" t="n">
        <f aca="false">LQ$4*LQ10</f>
        <v>0</v>
      </c>
      <c r="LR115" s="196" t="n">
        <f aca="false">LR$4*LR10</f>
        <v>0</v>
      </c>
      <c r="LS115" s="196" t="n">
        <f aca="false">LS$4*LS10</f>
        <v>0</v>
      </c>
      <c r="LT115" s="197" t="n">
        <f aca="false">LT$4*LT10</f>
        <v>0</v>
      </c>
    </row>
    <row r="116" customFormat="false" ht="15" hidden="true" customHeight="false" outlineLevel="0" collapsed="false">
      <c r="C116" s="194" t="str">
        <f aca="false">C67</f>
        <v>Alumno6</v>
      </c>
      <c r="D116" s="195" t="n">
        <f aca="false">D$4*D11</f>
        <v>1.35</v>
      </c>
      <c r="E116" s="196" t="n">
        <f aca="false">E$4*E11</f>
        <v>1.5</v>
      </c>
      <c r="F116" s="196" t="n">
        <f aca="false">F$4*F11</f>
        <v>2</v>
      </c>
      <c r="G116" s="196" t="n">
        <f aca="false">G$4*G11</f>
        <v>1</v>
      </c>
      <c r="H116" s="196" t="n">
        <f aca="false">H$4*H11</f>
        <v>1.35</v>
      </c>
      <c r="I116" s="196" t="n">
        <f aca="false">I$4*I11</f>
        <v>1.35</v>
      </c>
      <c r="J116" s="196" t="n">
        <f aca="false">J$4*J11</f>
        <v>1</v>
      </c>
      <c r="K116" s="196" t="n">
        <f aca="false">K$4*K11</f>
        <v>0</v>
      </c>
      <c r="L116" s="196" t="n">
        <f aca="false">L$4*L11</f>
        <v>0</v>
      </c>
      <c r="M116" s="197" t="n">
        <f aca="false">M$4*M11</f>
        <v>0</v>
      </c>
      <c r="N116" s="194" t="str">
        <f aca="false">C116</f>
        <v>Alumno6</v>
      </c>
      <c r="O116" s="195" t="n">
        <f aca="false">O$4*O11</f>
        <v>2</v>
      </c>
      <c r="P116" s="196" t="n">
        <f aca="false">P$4*P11</f>
        <v>1.8</v>
      </c>
      <c r="Q116" s="196" t="n">
        <f aca="false">Q$4*Q11</f>
        <v>2</v>
      </c>
      <c r="R116" s="196" t="n">
        <f aca="false">R$4*R11</f>
        <v>1.8</v>
      </c>
      <c r="S116" s="196" t="n">
        <f aca="false">S$4*S11</f>
        <v>2</v>
      </c>
      <c r="T116" s="196" t="n">
        <f aca="false">T$4*T11</f>
        <v>0</v>
      </c>
      <c r="U116" s="196" t="n">
        <f aca="false">U$4*U11</f>
        <v>0</v>
      </c>
      <c r="V116" s="196" t="n">
        <f aca="false">V$4*V11</f>
        <v>0</v>
      </c>
      <c r="W116" s="196" t="n">
        <f aca="false">W$4*W11</f>
        <v>0</v>
      </c>
      <c r="X116" s="197" t="n">
        <f aca="false">X$4*X11</f>
        <v>0</v>
      </c>
      <c r="Y116" s="194" t="str">
        <f aca="false">N116</f>
        <v>Alumno6</v>
      </c>
      <c r="Z116" s="195" t="n">
        <f aca="false">Z$4*Z11</f>
        <v>2</v>
      </c>
      <c r="AA116" s="196" t="n">
        <f aca="false">AA$4*AA11</f>
        <v>1.8</v>
      </c>
      <c r="AB116" s="196" t="n">
        <f aca="false">AB$4*AB11</f>
        <v>2</v>
      </c>
      <c r="AC116" s="196" t="n">
        <f aca="false">AC$4*AC11</f>
        <v>1.8</v>
      </c>
      <c r="AD116" s="196" t="n">
        <f aca="false">AD$4*AD11</f>
        <v>2</v>
      </c>
      <c r="AE116" s="196" t="n">
        <f aca="false">AE$4*AE11</f>
        <v>0</v>
      </c>
      <c r="AF116" s="196" t="n">
        <f aca="false">AF$4*AF11</f>
        <v>0</v>
      </c>
      <c r="AG116" s="196" t="n">
        <f aca="false">AG$4*AG11</f>
        <v>0</v>
      </c>
      <c r="AH116" s="196" t="n">
        <f aca="false">AH$4*AH11</f>
        <v>0</v>
      </c>
      <c r="AI116" s="197" t="n">
        <f aca="false">AI$4*AI11</f>
        <v>0</v>
      </c>
      <c r="AJ116" s="194" t="str">
        <f aca="false">Y116</f>
        <v>Alumno6</v>
      </c>
      <c r="AK116" s="195" t="n">
        <f aca="false">AK$4*AK11</f>
        <v>2</v>
      </c>
      <c r="AL116" s="196" t="n">
        <f aca="false">AL$4*AL11</f>
        <v>1.8</v>
      </c>
      <c r="AM116" s="196" t="n">
        <f aca="false">AM$4*AM11</f>
        <v>2</v>
      </c>
      <c r="AN116" s="196" t="n">
        <f aca="false">AN$4*AN11</f>
        <v>1.8</v>
      </c>
      <c r="AO116" s="196" t="n">
        <f aca="false">AO$4*AO11</f>
        <v>2</v>
      </c>
      <c r="AP116" s="196" t="n">
        <f aca="false">AP$4*AP11</f>
        <v>0</v>
      </c>
      <c r="AQ116" s="196" t="n">
        <f aca="false">AQ$4*AQ11</f>
        <v>0</v>
      </c>
      <c r="AR116" s="196" t="n">
        <f aca="false">AR$4*AR11</f>
        <v>0</v>
      </c>
      <c r="AS116" s="196" t="n">
        <f aca="false">AS$4*AS11</f>
        <v>0</v>
      </c>
      <c r="AT116" s="197" t="n">
        <f aca="false">AT$4*AT11</f>
        <v>0</v>
      </c>
      <c r="AU116" s="194" t="str">
        <f aca="false">AJ116</f>
        <v>Alumno6</v>
      </c>
      <c r="AV116" s="195" t="n">
        <f aca="false">AV$4*AV11</f>
        <v>0.9</v>
      </c>
      <c r="AW116" s="196" t="n">
        <f aca="false">AW$4*AW11</f>
        <v>2</v>
      </c>
      <c r="AX116" s="196" t="n">
        <f aca="false">AX$4*AX11</f>
        <v>2</v>
      </c>
      <c r="AY116" s="196" t="n">
        <f aca="false">AY$4*AY11</f>
        <v>3</v>
      </c>
      <c r="AZ116" s="196" t="n">
        <f aca="false">AZ$4*AZ11</f>
        <v>1.8</v>
      </c>
      <c r="BA116" s="196" t="n">
        <f aca="false">BA$4*BA11</f>
        <v>0</v>
      </c>
      <c r="BB116" s="196" t="n">
        <f aca="false">BB$4*BB11</f>
        <v>0</v>
      </c>
      <c r="BC116" s="196" t="n">
        <f aca="false">BC$4*BC11</f>
        <v>0</v>
      </c>
      <c r="BD116" s="196" t="n">
        <f aca="false">BD$4*BD11</f>
        <v>0</v>
      </c>
      <c r="BE116" s="197" t="n">
        <f aca="false">BE$4*BE11</f>
        <v>0</v>
      </c>
      <c r="BF116" s="194" t="str">
        <f aca="false">AU116</f>
        <v>Alumno6</v>
      </c>
      <c r="BG116" s="195" t="n">
        <f aca="false">BG$4*BG11</f>
        <v>0.9</v>
      </c>
      <c r="BH116" s="196" t="n">
        <f aca="false">BH$4*BH11</f>
        <v>2</v>
      </c>
      <c r="BI116" s="196" t="n">
        <f aca="false">BI$4*BI11</f>
        <v>2</v>
      </c>
      <c r="BJ116" s="196" t="n">
        <f aca="false">BJ$4*BJ11</f>
        <v>2</v>
      </c>
      <c r="BK116" s="196" t="n">
        <f aca="false">BK$4*BK11</f>
        <v>2.7</v>
      </c>
      <c r="BL116" s="196" t="n">
        <f aca="false">BL$4*BL11</f>
        <v>0</v>
      </c>
      <c r="BM116" s="196" t="n">
        <f aca="false">BM$4*BM11</f>
        <v>0</v>
      </c>
      <c r="BN116" s="196" t="n">
        <f aca="false">BN$4*BN11</f>
        <v>0</v>
      </c>
      <c r="BO116" s="196" t="n">
        <f aca="false">BO$4*BO11</f>
        <v>0</v>
      </c>
      <c r="BP116" s="197" t="n">
        <f aca="false">BP$4*BP11</f>
        <v>0</v>
      </c>
      <c r="BQ116" s="194" t="str">
        <f aca="false">BF116</f>
        <v>Alumno6</v>
      </c>
      <c r="BR116" s="195" t="n">
        <f aca="false">BR$4*BR11</f>
        <v>1.2</v>
      </c>
      <c r="BS116" s="196" t="n">
        <f aca="false">BS$4*BS11</f>
        <v>0.7</v>
      </c>
      <c r="BT116" s="196" t="n">
        <f aca="false">BT$4*BT11</f>
        <v>1.6</v>
      </c>
      <c r="BU116" s="196" t="n">
        <f aca="false">BU$4*BU11</f>
        <v>1.8</v>
      </c>
      <c r="BV116" s="196" t="n">
        <f aca="false">BV$4*BV11</f>
        <v>1.5</v>
      </c>
      <c r="BW116" s="196" t="n">
        <f aca="false">BW$4*BW11</f>
        <v>0</v>
      </c>
      <c r="BX116" s="196" t="n">
        <f aca="false">BX$4*BX11</f>
        <v>0</v>
      </c>
      <c r="BY116" s="196" t="n">
        <f aca="false">BY$4*BY11</f>
        <v>0</v>
      </c>
      <c r="BZ116" s="196" t="n">
        <f aca="false">BZ$4*BZ11</f>
        <v>0</v>
      </c>
      <c r="CA116" s="197" t="n">
        <f aca="false">CA$4*CA11</f>
        <v>0</v>
      </c>
      <c r="CB116" s="194" t="str">
        <f aca="false">BQ116</f>
        <v>Alumno6</v>
      </c>
      <c r="CC116" s="195" t="n">
        <f aca="false">CC$4*CC11</f>
        <v>0</v>
      </c>
      <c r="CD116" s="196" t="n">
        <f aca="false">CD$4*CD11</f>
        <v>0</v>
      </c>
      <c r="CE116" s="196" t="n">
        <f aca="false">CE$4*CE11</f>
        <v>0</v>
      </c>
      <c r="CF116" s="196" t="n">
        <f aca="false">CF$4*CF11</f>
        <v>0</v>
      </c>
      <c r="CG116" s="196" t="n">
        <f aca="false">CG$4*CG11</f>
        <v>0</v>
      </c>
      <c r="CH116" s="196" t="n">
        <f aca="false">CH$4*CH11</f>
        <v>0</v>
      </c>
      <c r="CI116" s="196" t="n">
        <f aca="false">CI$4*CI11</f>
        <v>0</v>
      </c>
      <c r="CJ116" s="196" t="n">
        <f aca="false">CJ$4*CJ11</f>
        <v>0</v>
      </c>
      <c r="CK116" s="196" t="n">
        <f aca="false">CK$4*CK11</f>
        <v>0</v>
      </c>
      <c r="CL116" s="197" t="n">
        <f aca="false">CL$4*CL11</f>
        <v>0</v>
      </c>
      <c r="CM116" s="194" t="str">
        <f aca="false">CB116</f>
        <v>Alumno6</v>
      </c>
      <c r="CN116" s="195" t="n">
        <f aca="false">CN$4*CN11</f>
        <v>0</v>
      </c>
      <c r="CO116" s="196" t="n">
        <f aca="false">CO$4*CO11</f>
        <v>0</v>
      </c>
      <c r="CP116" s="196" t="n">
        <f aca="false">CP$4*CP11</f>
        <v>0</v>
      </c>
      <c r="CQ116" s="196" t="n">
        <f aca="false">CQ$4*CQ11</f>
        <v>0</v>
      </c>
      <c r="CR116" s="196" t="n">
        <f aca="false">CR$4*CR11</f>
        <v>0</v>
      </c>
      <c r="CS116" s="196" t="n">
        <f aca="false">CS$4*CS11</f>
        <v>0</v>
      </c>
      <c r="CT116" s="196" t="n">
        <f aca="false">CT$4*CT11</f>
        <v>0</v>
      </c>
      <c r="CU116" s="196" t="n">
        <f aca="false">CU$4*CU11</f>
        <v>0</v>
      </c>
      <c r="CV116" s="196" t="n">
        <f aca="false">CV$4*CV11</f>
        <v>0</v>
      </c>
      <c r="CW116" s="197" t="n">
        <f aca="false">CW$4*CW11</f>
        <v>0</v>
      </c>
      <c r="CX116" s="194" t="str">
        <f aca="false">CM116</f>
        <v>Alumno6</v>
      </c>
      <c r="CY116" s="195" t="n">
        <f aca="false">CY$4*CY11</f>
        <v>0</v>
      </c>
      <c r="CZ116" s="196" t="n">
        <f aca="false">CZ$4*CZ11</f>
        <v>0</v>
      </c>
      <c r="DA116" s="196" t="n">
        <f aca="false">DA$4*DA11</f>
        <v>0</v>
      </c>
      <c r="DB116" s="196" t="n">
        <f aca="false">DB$4*DB11</f>
        <v>0</v>
      </c>
      <c r="DC116" s="196" t="n">
        <f aca="false">DC$4*DC11</f>
        <v>0</v>
      </c>
      <c r="DD116" s="196" t="n">
        <f aca="false">DD$4*DD11</f>
        <v>0</v>
      </c>
      <c r="DE116" s="196" t="n">
        <f aca="false">DE$4*DE11</f>
        <v>0</v>
      </c>
      <c r="DF116" s="196" t="n">
        <f aca="false">DF$4*DF11</f>
        <v>0</v>
      </c>
      <c r="DG116" s="196" t="n">
        <f aca="false">DG$4*DG11</f>
        <v>0</v>
      </c>
      <c r="DH116" s="197" t="n">
        <f aca="false">DH$4*DH11</f>
        <v>0</v>
      </c>
      <c r="DI116" s="194" t="str">
        <f aca="false">CX116</f>
        <v>Alumno6</v>
      </c>
      <c r="DJ116" s="195" t="n">
        <f aca="false">DJ$4*DJ11</f>
        <v>0</v>
      </c>
      <c r="DK116" s="196" t="n">
        <f aca="false">DK$4*DK11</f>
        <v>0</v>
      </c>
      <c r="DL116" s="196" t="n">
        <f aca="false">DL$4*DL11</f>
        <v>0</v>
      </c>
      <c r="DM116" s="196" t="n">
        <f aca="false">DM$4*DM11</f>
        <v>0</v>
      </c>
      <c r="DN116" s="196" t="n">
        <f aca="false">DN$4*DN11</f>
        <v>0</v>
      </c>
      <c r="DO116" s="196" t="n">
        <f aca="false">DO$4*DO11</f>
        <v>0</v>
      </c>
      <c r="DP116" s="196" t="n">
        <f aca="false">DP$4*DP11</f>
        <v>0</v>
      </c>
      <c r="DQ116" s="196" t="n">
        <f aca="false">DQ$4*DQ11</f>
        <v>0</v>
      </c>
      <c r="DR116" s="196" t="n">
        <f aca="false">DR$4*DR11</f>
        <v>0</v>
      </c>
      <c r="DS116" s="197" t="n">
        <f aca="false">DS$4*DS11</f>
        <v>0</v>
      </c>
      <c r="DT116" s="194" t="str">
        <f aca="false">DI116</f>
        <v>Alumno6</v>
      </c>
      <c r="DU116" s="195" t="n">
        <f aca="false">DU$4*DU11</f>
        <v>0</v>
      </c>
      <c r="DV116" s="196" t="n">
        <f aca="false">DV$4*DV11</f>
        <v>0</v>
      </c>
      <c r="DW116" s="196" t="n">
        <f aca="false">DW$4*DW11</f>
        <v>0</v>
      </c>
      <c r="DX116" s="196" t="n">
        <f aca="false">DX$4*DX11</f>
        <v>0</v>
      </c>
      <c r="DY116" s="196" t="n">
        <f aca="false">DY$4*DY11</f>
        <v>0</v>
      </c>
      <c r="DZ116" s="196" t="n">
        <f aca="false">DZ$4*DZ11</f>
        <v>0</v>
      </c>
      <c r="EA116" s="196" t="n">
        <f aca="false">EA$4*EA11</f>
        <v>0</v>
      </c>
      <c r="EB116" s="196" t="n">
        <f aca="false">EB$4*EB11</f>
        <v>0</v>
      </c>
      <c r="EC116" s="196" t="n">
        <f aca="false">EC$4*EC11</f>
        <v>0</v>
      </c>
      <c r="ED116" s="197" t="n">
        <f aca="false">ED$4*ED11</f>
        <v>0</v>
      </c>
      <c r="EE116" s="194" t="str">
        <f aca="false">DT116</f>
        <v>Alumno6</v>
      </c>
      <c r="EF116" s="195" t="n">
        <f aca="false">EF$4*EF11</f>
        <v>0</v>
      </c>
      <c r="EG116" s="196" t="n">
        <f aca="false">EG$4*EG11</f>
        <v>0</v>
      </c>
      <c r="EH116" s="196" t="n">
        <f aca="false">EH$4*EH11</f>
        <v>0</v>
      </c>
      <c r="EI116" s="196" t="n">
        <f aca="false">EI$4*EI11</f>
        <v>0</v>
      </c>
      <c r="EJ116" s="196" t="n">
        <f aca="false">EJ$4*EJ11</f>
        <v>0</v>
      </c>
      <c r="EK116" s="196" t="n">
        <f aca="false">EK$4*EK11</f>
        <v>0</v>
      </c>
      <c r="EL116" s="196" t="n">
        <f aca="false">EL$4*EL11</f>
        <v>0</v>
      </c>
      <c r="EM116" s="196" t="n">
        <f aca="false">EM$4*EM11</f>
        <v>0</v>
      </c>
      <c r="EN116" s="196" t="n">
        <f aca="false">EN$4*EN11</f>
        <v>0</v>
      </c>
      <c r="EO116" s="197" t="n">
        <f aca="false">EO$4*EO11</f>
        <v>0</v>
      </c>
      <c r="EP116" s="194" t="str">
        <f aca="false">EE116</f>
        <v>Alumno6</v>
      </c>
      <c r="EQ116" s="195" t="n">
        <f aca="false">EQ$4*EQ11</f>
        <v>0</v>
      </c>
      <c r="ER116" s="196" t="n">
        <f aca="false">ER$4*ER11</f>
        <v>0</v>
      </c>
      <c r="ES116" s="196" t="n">
        <f aca="false">ES$4*ES11</f>
        <v>0</v>
      </c>
      <c r="ET116" s="196" t="n">
        <f aca="false">ET$4*ET11</f>
        <v>0</v>
      </c>
      <c r="EU116" s="196" t="n">
        <f aca="false">EU$4*EU11</f>
        <v>0</v>
      </c>
      <c r="EV116" s="196" t="n">
        <f aca="false">EV$4*EV11</f>
        <v>0</v>
      </c>
      <c r="EW116" s="196" t="n">
        <f aca="false">EW$4*EW11</f>
        <v>0</v>
      </c>
      <c r="EX116" s="196" t="n">
        <f aca="false">EX$4*EX11</f>
        <v>0</v>
      </c>
      <c r="EY116" s="196" t="n">
        <f aca="false">EY$4*EY11</f>
        <v>0</v>
      </c>
      <c r="EZ116" s="197" t="n">
        <f aca="false">EZ$4*EZ11</f>
        <v>0</v>
      </c>
      <c r="FA116" s="194" t="str">
        <f aca="false">EP116</f>
        <v>Alumno6</v>
      </c>
      <c r="FB116" s="195" t="n">
        <f aca="false">FB$4*FB11</f>
        <v>0</v>
      </c>
      <c r="FC116" s="196" t="n">
        <f aca="false">FC$4*FC11</f>
        <v>0</v>
      </c>
      <c r="FD116" s="196" t="n">
        <f aca="false">FD$4*FD11</f>
        <v>0</v>
      </c>
      <c r="FE116" s="196" t="n">
        <f aca="false">FE$4*FE11</f>
        <v>0</v>
      </c>
      <c r="FF116" s="196" t="n">
        <f aca="false">FF$4*FF11</f>
        <v>0</v>
      </c>
      <c r="FG116" s="196" t="n">
        <f aca="false">FG$4*FG11</f>
        <v>0</v>
      </c>
      <c r="FH116" s="196" t="n">
        <f aca="false">FH$4*FH11</f>
        <v>0</v>
      </c>
      <c r="FI116" s="196" t="n">
        <f aca="false">FI$4*FI11</f>
        <v>0</v>
      </c>
      <c r="FJ116" s="196" t="n">
        <f aca="false">FJ$4*FJ11</f>
        <v>0</v>
      </c>
      <c r="FK116" s="197" t="n">
        <f aca="false">FK$4*FK11</f>
        <v>0</v>
      </c>
      <c r="FL116" s="194" t="str">
        <f aca="false">FA116</f>
        <v>Alumno6</v>
      </c>
      <c r="FM116" s="195" t="n">
        <f aca="false">FM$4*FM11</f>
        <v>0</v>
      </c>
      <c r="FN116" s="196" t="n">
        <f aca="false">FN$4*FN11</f>
        <v>0</v>
      </c>
      <c r="FO116" s="196" t="n">
        <f aca="false">FO$4*FO11</f>
        <v>0</v>
      </c>
      <c r="FP116" s="196" t="n">
        <f aca="false">FP$4*FP11</f>
        <v>0</v>
      </c>
      <c r="FQ116" s="196" t="n">
        <f aca="false">FQ$4*FQ11</f>
        <v>0</v>
      </c>
      <c r="FR116" s="196" t="n">
        <f aca="false">FR$4*FR11</f>
        <v>0</v>
      </c>
      <c r="FS116" s="196" t="n">
        <f aca="false">FS$4*FS11</f>
        <v>0</v>
      </c>
      <c r="FT116" s="196" t="n">
        <f aca="false">FT$4*FT11</f>
        <v>0</v>
      </c>
      <c r="FU116" s="196" t="n">
        <f aca="false">FU$4*FU11</f>
        <v>0</v>
      </c>
      <c r="FV116" s="197" t="n">
        <f aca="false">FV$4*FV11</f>
        <v>0</v>
      </c>
      <c r="FW116" s="194" t="str">
        <f aca="false">FL116</f>
        <v>Alumno6</v>
      </c>
      <c r="FX116" s="195" t="n">
        <f aca="false">FX$4*FX11</f>
        <v>0</v>
      </c>
      <c r="FY116" s="196" t="n">
        <f aca="false">FY$4*FY11</f>
        <v>0</v>
      </c>
      <c r="FZ116" s="196" t="n">
        <f aca="false">FZ$4*FZ11</f>
        <v>0</v>
      </c>
      <c r="GA116" s="196" t="n">
        <f aca="false">GA$4*GA11</f>
        <v>0</v>
      </c>
      <c r="GB116" s="196" t="n">
        <f aca="false">GB$4*GB11</f>
        <v>0</v>
      </c>
      <c r="GC116" s="196" t="n">
        <f aca="false">GC$4*GC11</f>
        <v>0</v>
      </c>
      <c r="GD116" s="196" t="n">
        <f aca="false">GD$4*GD11</f>
        <v>0</v>
      </c>
      <c r="GE116" s="196" t="n">
        <f aca="false">GE$4*GE11</f>
        <v>0</v>
      </c>
      <c r="GF116" s="196" t="n">
        <f aca="false">GF$4*GF11</f>
        <v>0</v>
      </c>
      <c r="GG116" s="197" t="n">
        <f aca="false">GG$4*GG11</f>
        <v>0</v>
      </c>
      <c r="GH116" s="194" t="str">
        <f aca="false">FW116</f>
        <v>Alumno6</v>
      </c>
      <c r="GI116" s="195" t="n">
        <f aca="false">GI$4*GI11</f>
        <v>0</v>
      </c>
      <c r="GJ116" s="196" t="n">
        <f aca="false">GJ$4*GJ11</f>
        <v>0</v>
      </c>
      <c r="GK116" s="196" t="n">
        <f aca="false">GK$4*GK11</f>
        <v>0</v>
      </c>
      <c r="GL116" s="196" t="n">
        <f aca="false">GL$4*GL11</f>
        <v>0</v>
      </c>
      <c r="GM116" s="196" t="n">
        <f aca="false">GM$4*GM11</f>
        <v>0</v>
      </c>
      <c r="GN116" s="196" t="n">
        <f aca="false">GN$4*GN11</f>
        <v>0</v>
      </c>
      <c r="GO116" s="196" t="n">
        <f aca="false">GO$4*GO11</f>
        <v>0</v>
      </c>
      <c r="GP116" s="196" t="n">
        <f aca="false">GP$4*GP11</f>
        <v>0</v>
      </c>
      <c r="GQ116" s="196" t="n">
        <f aca="false">GQ$4*GQ11</f>
        <v>0</v>
      </c>
      <c r="GR116" s="197" t="n">
        <f aca="false">GR$4*GR11</f>
        <v>0</v>
      </c>
      <c r="GS116" s="194" t="str">
        <f aca="false">GH116</f>
        <v>Alumno6</v>
      </c>
      <c r="GT116" s="195" t="n">
        <f aca="false">GT$4*GT11</f>
        <v>0</v>
      </c>
      <c r="GU116" s="196" t="n">
        <f aca="false">GU$4*GU11</f>
        <v>0</v>
      </c>
      <c r="GV116" s="196" t="n">
        <f aca="false">GV$4*GV11</f>
        <v>0</v>
      </c>
      <c r="GW116" s="196" t="n">
        <f aca="false">GW$4*GW11</f>
        <v>0</v>
      </c>
      <c r="GX116" s="196" t="n">
        <f aca="false">GX$4*GX11</f>
        <v>0</v>
      </c>
      <c r="GY116" s="196" t="n">
        <f aca="false">GY$4*GY11</f>
        <v>0</v>
      </c>
      <c r="GZ116" s="196" t="n">
        <f aca="false">GZ$4*GZ11</f>
        <v>0</v>
      </c>
      <c r="HA116" s="196" t="n">
        <f aca="false">HA$4*HA11</f>
        <v>0</v>
      </c>
      <c r="HB116" s="196" t="n">
        <f aca="false">HB$4*HB11</f>
        <v>0</v>
      </c>
      <c r="HC116" s="197" t="n">
        <f aca="false">HC$4*HC11</f>
        <v>0</v>
      </c>
      <c r="HD116" s="194" t="str">
        <f aca="false">GS116</f>
        <v>Alumno6</v>
      </c>
      <c r="HE116" s="195" t="n">
        <f aca="false">HE$4*HE11</f>
        <v>0</v>
      </c>
      <c r="HF116" s="196" t="n">
        <f aca="false">HF$4*HF11</f>
        <v>0</v>
      </c>
      <c r="HG116" s="196" t="n">
        <f aca="false">HG$4*HG11</f>
        <v>0</v>
      </c>
      <c r="HH116" s="196" t="n">
        <f aca="false">HH$4*HH11</f>
        <v>0</v>
      </c>
      <c r="HI116" s="196" t="n">
        <f aca="false">HI$4*HI11</f>
        <v>0</v>
      </c>
      <c r="HJ116" s="196" t="n">
        <f aca="false">HJ$4*HJ11</f>
        <v>0</v>
      </c>
      <c r="HK116" s="196" t="n">
        <f aca="false">HK$4*HK11</f>
        <v>0</v>
      </c>
      <c r="HL116" s="196" t="n">
        <f aca="false">HL$4*HL11</f>
        <v>0</v>
      </c>
      <c r="HM116" s="196" t="n">
        <f aca="false">HM$4*HM11</f>
        <v>0</v>
      </c>
      <c r="HN116" s="197" t="n">
        <f aca="false">HN$4*HN11</f>
        <v>0</v>
      </c>
      <c r="HO116" s="194" t="str">
        <f aca="false">HD116</f>
        <v>Alumno6</v>
      </c>
      <c r="HP116" s="195" t="n">
        <f aca="false">HP$4*HP11</f>
        <v>0</v>
      </c>
      <c r="HQ116" s="196" t="n">
        <f aca="false">HQ$4*HQ11</f>
        <v>0</v>
      </c>
      <c r="HR116" s="196" t="n">
        <f aca="false">HR$4*HR11</f>
        <v>0</v>
      </c>
      <c r="HS116" s="196" t="n">
        <f aca="false">HS$4*HS11</f>
        <v>0</v>
      </c>
      <c r="HT116" s="196" t="n">
        <f aca="false">HT$4*HT11</f>
        <v>0</v>
      </c>
      <c r="HU116" s="196" t="n">
        <f aca="false">HU$4*HU11</f>
        <v>0</v>
      </c>
      <c r="HV116" s="196" t="n">
        <f aca="false">HV$4*HV11</f>
        <v>0</v>
      </c>
      <c r="HW116" s="196" t="n">
        <f aca="false">HW$4*HW11</f>
        <v>0</v>
      </c>
      <c r="HX116" s="196" t="n">
        <f aca="false">HX$4*HX11</f>
        <v>0</v>
      </c>
      <c r="HY116" s="197" t="n">
        <f aca="false">HY$4*HY11</f>
        <v>0</v>
      </c>
      <c r="HZ116" s="194" t="str">
        <f aca="false">HO116</f>
        <v>Alumno6</v>
      </c>
      <c r="IA116" s="195" t="n">
        <f aca="false">IA$4*IA11</f>
        <v>0</v>
      </c>
      <c r="IB116" s="196" t="n">
        <f aca="false">IB$4*IB11</f>
        <v>0</v>
      </c>
      <c r="IC116" s="196" t="n">
        <f aca="false">IC$4*IC11</f>
        <v>0</v>
      </c>
      <c r="ID116" s="196" t="n">
        <f aca="false">ID$4*ID11</f>
        <v>0</v>
      </c>
      <c r="IE116" s="196" t="n">
        <f aca="false">IE$4*IE11</f>
        <v>0</v>
      </c>
      <c r="IF116" s="196" t="n">
        <f aca="false">IF$4*IF11</f>
        <v>0</v>
      </c>
      <c r="IG116" s="196" t="n">
        <f aca="false">IG$4*IG11</f>
        <v>0</v>
      </c>
      <c r="IH116" s="196" t="n">
        <f aca="false">IH$4*IH11</f>
        <v>0</v>
      </c>
      <c r="II116" s="196" t="n">
        <f aca="false">II$4*II11</f>
        <v>0</v>
      </c>
      <c r="IJ116" s="197" t="n">
        <f aca="false">IJ$4*IJ11</f>
        <v>0</v>
      </c>
      <c r="IK116" s="194" t="str">
        <f aca="false">HZ116</f>
        <v>Alumno6</v>
      </c>
      <c r="IL116" s="195" t="n">
        <f aca="false">IL$4*IL11</f>
        <v>0</v>
      </c>
      <c r="IM116" s="196" t="n">
        <f aca="false">IM$4*IM11</f>
        <v>0</v>
      </c>
      <c r="IN116" s="196" t="n">
        <f aca="false">IN$4*IN11</f>
        <v>0</v>
      </c>
      <c r="IO116" s="196" t="n">
        <f aca="false">IO$4*IO11</f>
        <v>0</v>
      </c>
      <c r="IP116" s="196" t="n">
        <f aca="false">IP$4*IP11</f>
        <v>0</v>
      </c>
      <c r="IQ116" s="196" t="n">
        <f aca="false">IQ$4*IQ11</f>
        <v>0</v>
      </c>
      <c r="IR116" s="196" t="n">
        <f aca="false">IR$4*IR11</f>
        <v>0</v>
      </c>
      <c r="IS116" s="196" t="n">
        <f aca="false">IS$4*IS11</f>
        <v>0</v>
      </c>
      <c r="IT116" s="196" t="n">
        <f aca="false">IT$4*IT11</f>
        <v>0</v>
      </c>
      <c r="IU116" s="197" t="n">
        <f aca="false">IU$4*IU11</f>
        <v>0</v>
      </c>
      <c r="IV116" s="194" t="str">
        <f aca="false">IK116</f>
        <v>Alumno6</v>
      </c>
      <c r="IW116" s="195" t="n">
        <f aca="false">IW$4*IW11</f>
        <v>0</v>
      </c>
      <c r="IX116" s="196" t="n">
        <f aca="false">IX$4*IX11</f>
        <v>0</v>
      </c>
      <c r="IY116" s="196" t="n">
        <f aca="false">IY$4*IY11</f>
        <v>0</v>
      </c>
      <c r="IZ116" s="196" t="n">
        <f aca="false">IZ$4*IZ11</f>
        <v>0</v>
      </c>
      <c r="JA116" s="196" t="n">
        <f aca="false">JA$4*JA11</f>
        <v>0</v>
      </c>
      <c r="JB116" s="196" t="n">
        <f aca="false">JB$4*JB11</f>
        <v>0</v>
      </c>
      <c r="JC116" s="196" t="n">
        <f aca="false">JC$4*JC11</f>
        <v>0</v>
      </c>
      <c r="JD116" s="196" t="n">
        <f aca="false">JD$4*JD11</f>
        <v>0</v>
      </c>
      <c r="JE116" s="196" t="n">
        <f aca="false">JE$4*JE11</f>
        <v>0</v>
      </c>
      <c r="JF116" s="197" t="n">
        <f aca="false">JF$4*JF11</f>
        <v>0</v>
      </c>
      <c r="JG116" s="194" t="str">
        <f aca="false">IV116</f>
        <v>Alumno6</v>
      </c>
      <c r="JH116" s="195" t="n">
        <f aca="false">JH$4*JH11</f>
        <v>0</v>
      </c>
      <c r="JI116" s="196" t="n">
        <f aca="false">JI$4*JI11</f>
        <v>0</v>
      </c>
      <c r="JJ116" s="196" t="n">
        <f aca="false">JJ$4*JJ11</f>
        <v>0</v>
      </c>
      <c r="JK116" s="196" t="n">
        <f aca="false">JK$4*JK11</f>
        <v>0</v>
      </c>
      <c r="JL116" s="196" t="n">
        <f aca="false">JL$4*JL11</f>
        <v>0</v>
      </c>
      <c r="JM116" s="196" t="n">
        <f aca="false">JM$4*JM11</f>
        <v>0</v>
      </c>
      <c r="JN116" s="196" t="n">
        <f aca="false">JN$4*JN11</f>
        <v>0</v>
      </c>
      <c r="JO116" s="196" t="n">
        <f aca="false">JO$4*JO11</f>
        <v>0</v>
      </c>
      <c r="JP116" s="196" t="n">
        <f aca="false">JP$4*JP11</f>
        <v>0</v>
      </c>
      <c r="JQ116" s="197" t="n">
        <f aca="false">JQ$4*JQ11</f>
        <v>0</v>
      </c>
      <c r="JR116" s="194" t="str">
        <f aca="false">JG116</f>
        <v>Alumno6</v>
      </c>
      <c r="JS116" s="195" t="n">
        <f aca="false">JS$4*JS11</f>
        <v>0</v>
      </c>
      <c r="JT116" s="196" t="n">
        <f aca="false">JT$4*JT11</f>
        <v>0</v>
      </c>
      <c r="JU116" s="196" t="n">
        <f aca="false">JU$4*JU11</f>
        <v>0</v>
      </c>
      <c r="JV116" s="196" t="n">
        <f aca="false">JV$4*JV11</f>
        <v>0</v>
      </c>
      <c r="JW116" s="196" t="n">
        <f aca="false">JW$4*JW11</f>
        <v>0</v>
      </c>
      <c r="JX116" s="196" t="n">
        <f aca="false">JX$4*JX11</f>
        <v>0</v>
      </c>
      <c r="JY116" s="196" t="n">
        <f aca="false">JY$4*JY11</f>
        <v>0</v>
      </c>
      <c r="JZ116" s="196" t="n">
        <f aca="false">JZ$4*JZ11</f>
        <v>0</v>
      </c>
      <c r="KA116" s="196" t="n">
        <f aca="false">KA$4*KA11</f>
        <v>0</v>
      </c>
      <c r="KB116" s="197" t="n">
        <f aca="false">KB$4*KB11</f>
        <v>0</v>
      </c>
      <c r="KC116" s="194" t="str">
        <f aca="false">JR116</f>
        <v>Alumno6</v>
      </c>
      <c r="KD116" s="195" t="n">
        <f aca="false">KD$4*KD11</f>
        <v>0</v>
      </c>
      <c r="KE116" s="196" t="n">
        <f aca="false">KE$4*KE11</f>
        <v>0</v>
      </c>
      <c r="KF116" s="196" t="n">
        <f aca="false">KF$4*KF11</f>
        <v>0</v>
      </c>
      <c r="KG116" s="196" t="n">
        <f aca="false">KG$4*KG11</f>
        <v>0</v>
      </c>
      <c r="KH116" s="196" t="n">
        <f aca="false">KH$4*KH11</f>
        <v>0</v>
      </c>
      <c r="KI116" s="196" t="n">
        <f aca="false">KI$4*KI11</f>
        <v>0</v>
      </c>
      <c r="KJ116" s="196" t="n">
        <f aca="false">KJ$4*KJ11</f>
        <v>0</v>
      </c>
      <c r="KK116" s="196" t="n">
        <f aca="false">KK$4*KK11</f>
        <v>0</v>
      </c>
      <c r="KL116" s="196" t="n">
        <f aca="false">KL$4*KL11</f>
        <v>0</v>
      </c>
      <c r="KM116" s="197" t="n">
        <f aca="false">KM$4*KM11</f>
        <v>0</v>
      </c>
      <c r="KN116" s="194" t="str">
        <f aca="false">KC116</f>
        <v>Alumno6</v>
      </c>
      <c r="KO116" s="195" t="n">
        <f aca="false">KO$4*KO11</f>
        <v>0</v>
      </c>
      <c r="KP116" s="196" t="n">
        <f aca="false">KP$4*KP11</f>
        <v>0</v>
      </c>
      <c r="KQ116" s="196" t="n">
        <f aca="false">KQ$4*KQ11</f>
        <v>0</v>
      </c>
      <c r="KR116" s="196" t="n">
        <f aca="false">KR$4*KR11</f>
        <v>0</v>
      </c>
      <c r="KS116" s="196" t="n">
        <f aca="false">KS$4*KS11</f>
        <v>0</v>
      </c>
      <c r="KT116" s="196" t="n">
        <f aca="false">KT$4*KT11</f>
        <v>0</v>
      </c>
      <c r="KU116" s="196" t="n">
        <f aca="false">KU$4*KU11</f>
        <v>0</v>
      </c>
      <c r="KV116" s="196" t="n">
        <f aca="false">KV$4*KV11</f>
        <v>0</v>
      </c>
      <c r="KW116" s="196" t="n">
        <f aca="false">KW$4*KW11</f>
        <v>0</v>
      </c>
      <c r="KX116" s="197" t="n">
        <f aca="false">KX$4*KX11</f>
        <v>0</v>
      </c>
      <c r="KY116" s="194" t="str">
        <f aca="false">KN116</f>
        <v>Alumno6</v>
      </c>
      <c r="KZ116" s="195" t="n">
        <f aca="false">KZ$4*KZ11</f>
        <v>0</v>
      </c>
      <c r="LA116" s="196" t="n">
        <f aca="false">LA$4*LA11</f>
        <v>0</v>
      </c>
      <c r="LB116" s="196" t="n">
        <f aca="false">LB$4*LB11</f>
        <v>0</v>
      </c>
      <c r="LC116" s="196" t="n">
        <f aca="false">LC$4*LC11</f>
        <v>0</v>
      </c>
      <c r="LD116" s="196" t="n">
        <f aca="false">LD$4*LD11</f>
        <v>0</v>
      </c>
      <c r="LE116" s="196" t="n">
        <f aca="false">LE$4*LE11</f>
        <v>0</v>
      </c>
      <c r="LF116" s="196" t="n">
        <f aca="false">LF$4*LF11</f>
        <v>0</v>
      </c>
      <c r="LG116" s="196" t="n">
        <f aca="false">LG$4*LG11</f>
        <v>0</v>
      </c>
      <c r="LH116" s="196" t="n">
        <f aca="false">LH$4*LH11</f>
        <v>0</v>
      </c>
      <c r="LI116" s="197" t="n">
        <f aca="false">LI$4*LI11</f>
        <v>0</v>
      </c>
      <c r="LJ116" s="194" t="str">
        <f aca="false">KY116</f>
        <v>Alumno6</v>
      </c>
      <c r="LK116" s="195" t="n">
        <f aca="false">LK$4*LK11</f>
        <v>0</v>
      </c>
      <c r="LL116" s="196" t="n">
        <f aca="false">LL$4*LL11</f>
        <v>0</v>
      </c>
      <c r="LM116" s="196" t="n">
        <f aca="false">LM$4*LM11</f>
        <v>0</v>
      </c>
      <c r="LN116" s="196" t="n">
        <f aca="false">LN$4*LN11</f>
        <v>0</v>
      </c>
      <c r="LO116" s="196" t="n">
        <f aca="false">LO$4*LO11</f>
        <v>0</v>
      </c>
      <c r="LP116" s="196" t="n">
        <f aca="false">LP$4*LP11</f>
        <v>0</v>
      </c>
      <c r="LQ116" s="196" t="n">
        <f aca="false">LQ$4*LQ11</f>
        <v>0</v>
      </c>
      <c r="LR116" s="196" t="n">
        <f aca="false">LR$4*LR11</f>
        <v>0</v>
      </c>
      <c r="LS116" s="196" t="n">
        <f aca="false">LS$4*LS11</f>
        <v>0</v>
      </c>
      <c r="LT116" s="197" t="n">
        <f aca="false">LT$4*LT11</f>
        <v>0</v>
      </c>
    </row>
    <row r="117" customFormat="false" ht="15" hidden="true" customHeight="false" outlineLevel="0" collapsed="false">
      <c r="C117" s="194" t="str">
        <f aca="false">C68</f>
        <v>Alumno7</v>
      </c>
      <c r="D117" s="195" t="n">
        <f aca="false">D$4*D12</f>
        <v>1.35</v>
      </c>
      <c r="E117" s="196" t="n">
        <f aca="false">E$4*E12</f>
        <v>1.35</v>
      </c>
      <c r="F117" s="196" t="n">
        <f aca="false">F$4*F12</f>
        <v>1.8</v>
      </c>
      <c r="G117" s="196" t="n">
        <f aca="false">G$4*G12</f>
        <v>0.9</v>
      </c>
      <c r="H117" s="196" t="n">
        <f aca="false">H$4*H12</f>
        <v>1.35</v>
      </c>
      <c r="I117" s="196" t="n">
        <f aca="false">I$4*I12</f>
        <v>1.2</v>
      </c>
      <c r="J117" s="196" t="n">
        <f aca="false">J$4*J12</f>
        <v>0.9</v>
      </c>
      <c r="K117" s="196" t="n">
        <f aca="false">K$4*K12</f>
        <v>0</v>
      </c>
      <c r="L117" s="196" t="n">
        <f aca="false">L$4*L12</f>
        <v>0</v>
      </c>
      <c r="M117" s="197" t="n">
        <f aca="false">M$4*M12</f>
        <v>0</v>
      </c>
      <c r="N117" s="194" t="str">
        <f aca="false">C117</f>
        <v>Alumno7</v>
      </c>
      <c r="O117" s="195" t="n">
        <f aca="false">O$4*O12</f>
        <v>1.8</v>
      </c>
      <c r="P117" s="196" t="n">
        <f aca="false">P$4*P12</f>
        <v>1.8</v>
      </c>
      <c r="Q117" s="196" t="n">
        <f aca="false">Q$4*Q12</f>
        <v>1.8</v>
      </c>
      <c r="R117" s="196" t="n">
        <f aca="false">R$4*R12</f>
        <v>1.8</v>
      </c>
      <c r="S117" s="196" t="n">
        <f aca="false">S$4*S12</f>
        <v>1.8</v>
      </c>
      <c r="T117" s="196" t="n">
        <f aca="false">T$4*T12</f>
        <v>0</v>
      </c>
      <c r="U117" s="196" t="n">
        <f aca="false">U$4*U12</f>
        <v>0</v>
      </c>
      <c r="V117" s="196" t="n">
        <f aca="false">V$4*V12</f>
        <v>0</v>
      </c>
      <c r="W117" s="196" t="n">
        <f aca="false">W$4*W12</f>
        <v>0</v>
      </c>
      <c r="X117" s="197" t="n">
        <f aca="false">X$4*X12</f>
        <v>0</v>
      </c>
      <c r="Y117" s="194" t="str">
        <f aca="false">N117</f>
        <v>Alumno7</v>
      </c>
      <c r="Z117" s="195" t="n">
        <f aca="false">Z$4*Z12</f>
        <v>1.8</v>
      </c>
      <c r="AA117" s="196" t="n">
        <f aca="false">AA$4*AA12</f>
        <v>1.8</v>
      </c>
      <c r="AB117" s="196" t="n">
        <f aca="false">AB$4*AB12</f>
        <v>1.8</v>
      </c>
      <c r="AC117" s="196" t="n">
        <f aca="false">AC$4*AC12</f>
        <v>1.8</v>
      </c>
      <c r="AD117" s="196" t="n">
        <f aca="false">AD$4*AD12</f>
        <v>1.8</v>
      </c>
      <c r="AE117" s="196" t="n">
        <f aca="false">AE$4*AE12</f>
        <v>0</v>
      </c>
      <c r="AF117" s="196" t="n">
        <f aca="false">AF$4*AF12</f>
        <v>0</v>
      </c>
      <c r="AG117" s="196" t="n">
        <f aca="false">AG$4*AG12</f>
        <v>0</v>
      </c>
      <c r="AH117" s="196" t="n">
        <f aca="false">AH$4*AH12</f>
        <v>0</v>
      </c>
      <c r="AI117" s="197" t="n">
        <f aca="false">AI$4*AI12</f>
        <v>0</v>
      </c>
      <c r="AJ117" s="194" t="str">
        <f aca="false">Y117</f>
        <v>Alumno7</v>
      </c>
      <c r="AK117" s="195" t="n">
        <f aca="false">AK$4*AK12</f>
        <v>1.8</v>
      </c>
      <c r="AL117" s="196" t="n">
        <f aca="false">AL$4*AL12</f>
        <v>1.8</v>
      </c>
      <c r="AM117" s="196" t="n">
        <f aca="false">AM$4*AM12</f>
        <v>1.8</v>
      </c>
      <c r="AN117" s="196" t="n">
        <f aca="false">AN$4*AN12</f>
        <v>1.8</v>
      </c>
      <c r="AO117" s="196" t="n">
        <f aca="false">AO$4*AO12</f>
        <v>1.8</v>
      </c>
      <c r="AP117" s="196" t="n">
        <f aca="false">AP$4*AP12</f>
        <v>0</v>
      </c>
      <c r="AQ117" s="196" t="n">
        <f aca="false">AQ$4*AQ12</f>
        <v>0</v>
      </c>
      <c r="AR117" s="196" t="n">
        <f aca="false">AR$4*AR12</f>
        <v>0</v>
      </c>
      <c r="AS117" s="196" t="n">
        <f aca="false">AS$4*AS12</f>
        <v>0</v>
      </c>
      <c r="AT117" s="197" t="n">
        <f aca="false">AT$4*AT12</f>
        <v>0</v>
      </c>
      <c r="AU117" s="194" t="str">
        <f aca="false">AJ117</f>
        <v>Alumno7</v>
      </c>
      <c r="AV117" s="195" t="n">
        <f aca="false">AV$4*AV12</f>
        <v>0.9</v>
      </c>
      <c r="AW117" s="196" t="n">
        <f aca="false">AW$4*AW12</f>
        <v>1.8</v>
      </c>
      <c r="AX117" s="196" t="n">
        <f aca="false">AX$4*AX12</f>
        <v>1.8</v>
      </c>
      <c r="AY117" s="196" t="n">
        <f aca="false">AY$4*AY12</f>
        <v>2.7</v>
      </c>
      <c r="AZ117" s="196" t="n">
        <f aca="false">AZ$4*AZ12</f>
        <v>1.8</v>
      </c>
      <c r="BA117" s="196" t="n">
        <f aca="false">BA$4*BA12</f>
        <v>0</v>
      </c>
      <c r="BB117" s="196" t="n">
        <f aca="false">BB$4*BB12</f>
        <v>0</v>
      </c>
      <c r="BC117" s="196" t="n">
        <f aca="false">BC$4*BC12</f>
        <v>0</v>
      </c>
      <c r="BD117" s="196" t="n">
        <f aca="false">BD$4*BD12</f>
        <v>0</v>
      </c>
      <c r="BE117" s="197" t="n">
        <f aca="false">BE$4*BE12</f>
        <v>0</v>
      </c>
      <c r="BF117" s="194" t="str">
        <f aca="false">AU117</f>
        <v>Alumno7</v>
      </c>
      <c r="BG117" s="195" t="n">
        <f aca="false">BG$4*BG12</f>
        <v>0.9</v>
      </c>
      <c r="BH117" s="196" t="n">
        <f aca="false">BH$4*BH12</f>
        <v>1.8</v>
      </c>
      <c r="BI117" s="196" t="n">
        <f aca="false">BI$4*BI12</f>
        <v>1.8</v>
      </c>
      <c r="BJ117" s="196" t="n">
        <f aca="false">BJ$4*BJ12</f>
        <v>1.8</v>
      </c>
      <c r="BK117" s="196" t="n">
        <f aca="false">BK$4*BK12</f>
        <v>2.7</v>
      </c>
      <c r="BL117" s="196" t="n">
        <f aca="false">BL$4*BL12</f>
        <v>0</v>
      </c>
      <c r="BM117" s="196" t="n">
        <f aca="false">BM$4*BM12</f>
        <v>0</v>
      </c>
      <c r="BN117" s="196" t="n">
        <f aca="false">BN$4*BN12</f>
        <v>0</v>
      </c>
      <c r="BO117" s="196" t="n">
        <f aca="false">BO$4*BO12</f>
        <v>0</v>
      </c>
      <c r="BP117" s="197" t="n">
        <f aca="false">BP$4*BP12</f>
        <v>0</v>
      </c>
      <c r="BQ117" s="194" t="str">
        <f aca="false">BF117</f>
        <v>Alumno7</v>
      </c>
      <c r="BR117" s="195" t="n">
        <f aca="false">BR$4*BR12</f>
        <v>1</v>
      </c>
      <c r="BS117" s="196" t="n">
        <f aca="false">BS$4*BS12</f>
        <v>0.6</v>
      </c>
      <c r="BT117" s="196" t="n">
        <f aca="false">BT$4*BT12</f>
        <v>0.6</v>
      </c>
      <c r="BU117" s="196" t="n">
        <f aca="false">BU$4*BU12</f>
        <v>0.8</v>
      </c>
      <c r="BV117" s="196" t="n">
        <f aca="false">BV$4*BV12</f>
        <v>1.5</v>
      </c>
      <c r="BW117" s="196" t="n">
        <f aca="false">BW$4*BW12</f>
        <v>0</v>
      </c>
      <c r="BX117" s="196" t="n">
        <f aca="false">BX$4*BX12</f>
        <v>0</v>
      </c>
      <c r="BY117" s="196" t="n">
        <f aca="false">BY$4*BY12</f>
        <v>0</v>
      </c>
      <c r="BZ117" s="196" t="n">
        <f aca="false">BZ$4*BZ12</f>
        <v>0</v>
      </c>
      <c r="CA117" s="197" t="n">
        <f aca="false">CA$4*CA12</f>
        <v>0</v>
      </c>
      <c r="CB117" s="194" t="str">
        <f aca="false">BQ117</f>
        <v>Alumno7</v>
      </c>
      <c r="CC117" s="195" t="n">
        <f aca="false">CC$4*CC12</f>
        <v>0</v>
      </c>
      <c r="CD117" s="196" t="n">
        <f aca="false">CD$4*CD12</f>
        <v>0</v>
      </c>
      <c r="CE117" s="196" t="n">
        <f aca="false">CE$4*CE12</f>
        <v>0</v>
      </c>
      <c r="CF117" s="196" t="n">
        <f aca="false">CF$4*CF12</f>
        <v>0</v>
      </c>
      <c r="CG117" s="196" t="n">
        <f aca="false">CG$4*CG12</f>
        <v>0</v>
      </c>
      <c r="CH117" s="196" t="n">
        <f aca="false">CH$4*CH12</f>
        <v>0</v>
      </c>
      <c r="CI117" s="196" t="n">
        <f aca="false">CI$4*CI12</f>
        <v>0</v>
      </c>
      <c r="CJ117" s="196" t="n">
        <f aca="false">CJ$4*CJ12</f>
        <v>0</v>
      </c>
      <c r="CK117" s="196" t="n">
        <f aca="false">CK$4*CK12</f>
        <v>0</v>
      </c>
      <c r="CL117" s="197" t="n">
        <f aca="false">CL$4*CL12</f>
        <v>0</v>
      </c>
      <c r="CM117" s="194" t="str">
        <f aca="false">CB117</f>
        <v>Alumno7</v>
      </c>
      <c r="CN117" s="195" t="n">
        <f aca="false">CN$4*CN12</f>
        <v>0</v>
      </c>
      <c r="CO117" s="196" t="n">
        <f aca="false">CO$4*CO12</f>
        <v>0</v>
      </c>
      <c r="CP117" s="196" t="n">
        <f aca="false">CP$4*CP12</f>
        <v>0</v>
      </c>
      <c r="CQ117" s="196" t="n">
        <f aca="false">CQ$4*CQ12</f>
        <v>0</v>
      </c>
      <c r="CR117" s="196" t="n">
        <f aca="false">CR$4*CR12</f>
        <v>0</v>
      </c>
      <c r="CS117" s="196" t="n">
        <f aca="false">CS$4*CS12</f>
        <v>0</v>
      </c>
      <c r="CT117" s="196" t="n">
        <f aca="false">CT$4*CT12</f>
        <v>0</v>
      </c>
      <c r="CU117" s="196" t="n">
        <f aca="false">CU$4*CU12</f>
        <v>0</v>
      </c>
      <c r="CV117" s="196" t="n">
        <f aca="false">CV$4*CV12</f>
        <v>0</v>
      </c>
      <c r="CW117" s="197" t="n">
        <f aca="false">CW$4*CW12</f>
        <v>0</v>
      </c>
      <c r="CX117" s="194" t="str">
        <f aca="false">CM117</f>
        <v>Alumno7</v>
      </c>
      <c r="CY117" s="195" t="n">
        <f aca="false">CY$4*CY12</f>
        <v>0</v>
      </c>
      <c r="CZ117" s="196" t="n">
        <f aca="false">CZ$4*CZ12</f>
        <v>0</v>
      </c>
      <c r="DA117" s="196" t="n">
        <f aca="false">DA$4*DA12</f>
        <v>0</v>
      </c>
      <c r="DB117" s="196" t="n">
        <f aca="false">DB$4*DB12</f>
        <v>0</v>
      </c>
      <c r="DC117" s="196" t="n">
        <f aca="false">DC$4*DC12</f>
        <v>0</v>
      </c>
      <c r="DD117" s="196" t="n">
        <f aca="false">DD$4*DD12</f>
        <v>0</v>
      </c>
      <c r="DE117" s="196" t="n">
        <f aca="false">DE$4*DE12</f>
        <v>0</v>
      </c>
      <c r="DF117" s="196" t="n">
        <f aca="false">DF$4*DF12</f>
        <v>0</v>
      </c>
      <c r="DG117" s="196" t="n">
        <f aca="false">DG$4*DG12</f>
        <v>0</v>
      </c>
      <c r="DH117" s="197" t="n">
        <f aca="false">DH$4*DH12</f>
        <v>0</v>
      </c>
      <c r="DI117" s="194" t="str">
        <f aca="false">CX117</f>
        <v>Alumno7</v>
      </c>
      <c r="DJ117" s="195" t="n">
        <f aca="false">DJ$4*DJ12</f>
        <v>0</v>
      </c>
      <c r="DK117" s="196" t="n">
        <f aca="false">DK$4*DK12</f>
        <v>0</v>
      </c>
      <c r="DL117" s="196" t="n">
        <f aca="false">DL$4*DL12</f>
        <v>0</v>
      </c>
      <c r="DM117" s="196" t="n">
        <f aca="false">DM$4*DM12</f>
        <v>0</v>
      </c>
      <c r="DN117" s="196" t="n">
        <f aca="false">DN$4*DN12</f>
        <v>0</v>
      </c>
      <c r="DO117" s="196" t="n">
        <f aca="false">DO$4*DO12</f>
        <v>0</v>
      </c>
      <c r="DP117" s="196" t="n">
        <f aca="false">DP$4*DP12</f>
        <v>0</v>
      </c>
      <c r="DQ117" s="196" t="n">
        <f aca="false">DQ$4*DQ12</f>
        <v>0</v>
      </c>
      <c r="DR117" s="196" t="n">
        <f aca="false">DR$4*DR12</f>
        <v>0</v>
      </c>
      <c r="DS117" s="197" t="n">
        <f aca="false">DS$4*DS12</f>
        <v>0</v>
      </c>
      <c r="DT117" s="194" t="str">
        <f aca="false">DI117</f>
        <v>Alumno7</v>
      </c>
      <c r="DU117" s="195" t="n">
        <f aca="false">DU$4*DU12</f>
        <v>0</v>
      </c>
      <c r="DV117" s="196" t="n">
        <f aca="false">DV$4*DV12</f>
        <v>0</v>
      </c>
      <c r="DW117" s="196" t="n">
        <f aca="false">DW$4*DW12</f>
        <v>0</v>
      </c>
      <c r="DX117" s="196" t="n">
        <f aca="false">DX$4*DX12</f>
        <v>0</v>
      </c>
      <c r="DY117" s="196" t="n">
        <f aca="false">DY$4*DY12</f>
        <v>0</v>
      </c>
      <c r="DZ117" s="196" t="n">
        <f aca="false">DZ$4*DZ12</f>
        <v>0</v>
      </c>
      <c r="EA117" s="196" t="n">
        <f aca="false">EA$4*EA12</f>
        <v>0</v>
      </c>
      <c r="EB117" s="196" t="n">
        <f aca="false">EB$4*EB12</f>
        <v>0</v>
      </c>
      <c r="EC117" s="196" t="n">
        <f aca="false">EC$4*EC12</f>
        <v>0</v>
      </c>
      <c r="ED117" s="197" t="n">
        <f aca="false">ED$4*ED12</f>
        <v>0</v>
      </c>
      <c r="EE117" s="194" t="str">
        <f aca="false">DT117</f>
        <v>Alumno7</v>
      </c>
      <c r="EF117" s="195" t="n">
        <f aca="false">EF$4*EF12</f>
        <v>0</v>
      </c>
      <c r="EG117" s="196" t="n">
        <f aca="false">EG$4*EG12</f>
        <v>0</v>
      </c>
      <c r="EH117" s="196" t="n">
        <f aca="false">EH$4*EH12</f>
        <v>0</v>
      </c>
      <c r="EI117" s="196" t="n">
        <f aca="false">EI$4*EI12</f>
        <v>0</v>
      </c>
      <c r="EJ117" s="196" t="n">
        <f aca="false">EJ$4*EJ12</f>
        <v>0</v>
      </c>
      <c r="EK117" s="196" t="n">
        <f aca="false">EK$4*EK12</f>
        <v>0</v>
      </c>
      <c r="EL117" s="196" t="n">
        <f aca="false">EL$4*EL12</f>
        <v>0</v>
      </c>
      <c r="EM117" s="196" t="n">
        <f aca="false">EM$4*EM12</f>
        <v>0</v>
      </c>
      <c r="EN117" s="196" t="n">
        <f aca="false">EN$4*EN12</f>
        <v>0</v>
      </c>
      <c r="EO117" s="197" t="n">
        <f aca="false">EO$4*EO12</f>
        <v>0</v>
      </c>
      <c r="EP117" s="194" t="str">
        <f aca="false">EE117</f>
        <v>Alumno7</v>
      </c>
      <c r="EQ117" s="195" t="n">
        <f aca="false">EQ$4*EQ12</f>
        <v>0</v>
      </c>
      <c r="ER117" s="196" t="n">
        <f aca="false">ER$4*ER12</f>
        <v>0</v>
      </c>
      <c r="ES117" s="196" t="n">
        <f aca="false">ES$4*ES12</f>
        <v>0</v>
      </c>
      <c r="ET117" s="196" t="n">
        <f aca="false">ET$4*ET12</f>
        <v>0</v>
      </c>
      <c r="EU117" s="196" t="n">
        <f aca="false">EU$4*EU12</f>
        <v>0</v>
      </c>
      <c r="EV117" s="196" t="n">
        <f aca="false">EV$4*EV12</f>
        <v>0</v>
      </c>
      <c r="EW117" s="196" t="n">
        <f aca="false">EW$4*EW12</f>
        <v>0</v>
      </c>
      <c r="EX117" s="196" t="n">
        <f aca="false">EX$4*EX12</f>
        <v>0</v>
      </c>
      <c r="EY117" s="196" t="n">
        <f aca="false">EY$4*EY12</f>
        <v>0</v>
      </c>
      <c r="EZ117" s="197" t="n">
        <f aca="false">EZ$4*EZ12</f>
        <v>0</v>
      </c>
      <c r="FA117" s="194" t="str">
        <f aca="false">EP117</f>
        <v>Alumno7</v>
      </c>
      <c r="FB117" s="195" t="n">
        <f aca="false">FB$4*FB12</f>
        <v>0</v>
      </c>
      <c r="FC117" s="196" t="n">
        <f aca="false">FC$4*FC12</f>
        <v>0</v>
      </c>
      <c r="FD117" s="196" t="n">
        <f aca="false">FD$4*FD12</f>
        <v>0</v>
      </c>
      <c r="FE117" s="196" t="n">
        <f aca="false">FE$4*FE12</f>
        <v>0</v>
      </c>
      <c r="FF117" s="196" t="n">
        <f aca="false">FF$4*FF12</f>
        <v>0</v>
      </c>
      <c r="FG117" s="196" t="n">
        <f aca="false">FG$4*FG12</f>
        <v>0</v>
      </c>
      <c r="FH117" s="196" t="n">
        <f aca="false">FH$4*FH12</f>
        <v>0</v>
      </c>
      <c r="FI117" s="196" t="n">
        <f aca="false">FI$4*FI12</f>
        <v>0</v>
      </c>
      <c r="FJ117" s="196" t="n">
        <f aca="false">FJ$4*FJ12</f>
        <v>0</v>
      </c>
      <c r="FK117" s="197" t="n">
        <f aca="false">FK$4*FK12</f>
        <v>0</v>
      </c>
      <c r="FL117" s="194" t="str">
        <f aca="false">FA117</f>
        <v>Alumno7</v>
      </c>
      <c r="FM117" s="195" t="n">
        <f aca="false">FM$4*FM12</f>
        <v>0</v>
      </c>
      <c r="FN117" s="196" t="n">
        <f aca="false">FN$4*FN12</f>
        <v>0</v>
      </c>
      <c r="FO117" s="196" t="n">
        <f aca="false">FO$4*FO12</f>
        <v>0</v>
      </c>
      <c r="FP117" s="196" t="n">
        <f aca="false">FP$4*FP12</f>
        <v>0</v>
      </c>
      <c r="FQ117" s="196" t="n">
        <f aca="false">FQ$4*FQ12</f>
        <v>0</v>
      </c>
      <c r="FR117" s="196" t="n">
        <f aca="false">FR$4*FR12</f>
        <v>0</v>
      </c>
      <c r="FS117" s="196" t="n">
        <f aca="false">FS$4*FS12</f>
        <v>0</v>
      </c>
      <c r="FT117" s="196" t="n">
        <f aca="false">FT$4*FT12</f>
        <v>0</v>
      </c>
      <c r="FU117" s="196" t="n">
        <f aca="false">FU$4*FU12</f>
        <v>0</v>
      </c>
      <c r="FV117" s="197" t="n">
        <f aca="false">FV$4*FV12</f>
        <v>0</v>
      </c>
      <c r="FW117" s="194" t="str">
        <f aca="false">FL117</f>
        <v>Alumno7</v>
      </c>
      <c r="FX117" s="195" t="n">
        <f aca="false">FX$4*FX12</f>
        <v>0</v>
      </c>
      <c r="FY117" s="196" t="n">
        <f aca="false">FY$4*FY12</f>
        <v>0</v>
      </c>
      <c r="FZ117" s="196" t="n">
        <f aca="false">FZ$4*FZ12</f>
        <v>0</v>
      </c>
      <c r="GA117" s="196" t="n">
        <f aca="false">GA$4*GA12</f>
        <v>0</v>
      </c>
      <c r="GB117" s="196" t="n">
        <f aca="false">GB$4*GB12</f>
        <v>0</v>
      </c>
      <c r="GC117" s="196" t="n">
        <f aca="false">GC$4*GC12</f>
        <v>0</v>
      </c>
      <c r="GD117" s="196" t="n">
        <f aca="false">GD$4*GD12</f>
        <v>0</v>
      </c>
      <c r="GE117" s="196" t="n">
        <f aca="false">GE$4*GE12</f>
        <v>0</v>
      </c>
      <c r="GF117" s="196" t="n">
        <f aca="false">GF$4*GF12</f>
        <v>0</v>
      </c>
      <c r="GG117" s="197" t="n">
        <f aca="false">GG$4*GG12</f>
        <v>0</v>
      </c>
      <c r="GH117" s="194" t="str">
        <f aca="false">FW117</f>
        <v>Alumno7</v>
      </c>
      <c r="GI117" s="195" t="n">
        <f aca="false">GI$4*GI12</f>
        <v>0</v>
      </c>
      <c r="GJ117" s="196" t="n">
        <f aca="false">GJ$4*GJ12</f>
        <v>0</v>
      </c>
      <c r="GK117" s="196" t="n">
        <f aca="false">GK$4*GK12</f>
        <v>0</v>
      </c>
      <c r="GL117" s="196" t="n">
        <f aca="false">GL$4*GL12</f>
        <v>0</v>
      </c>
      <c r="GM117" s="196" t="n">
        <f aca="false">GM$4*GM12</f>
        <v>0</v>
      </c>
      <c r="GN117" s="196" t="n">
        <f aca="false">GN$4*GN12</f>
        <v>0</v>
      </c>
      <c r="GO117" s="196" t="n">
        <f aca="false">GO$4*GO12</f>
        <v>0</v>
      </c>
      <c r="GP117" s="196" t="n">
        <f aca="false">GP$4*GP12</f>
        <v>0</v>
      </c>
      <c r="GQ117" s="196" t="n">
        <f aca="false">GQ$4*GQ12</f>
        <v>0</v>
      </c>
      <c r="GR117" s="197" t="n">
        <f aca="false">GR$4*GR12</f>
        <v>0</v>
      </c>
      <c r="GS117" s="194" t="str">
        <f aca="false">GH117</f>
        <v>Alumno7</v>
      </c>
      <c r="GT117" s="195" t="n">
        <f aca="false">GT$4*GT12</f>
        <v>0</v>
      </c>
      <c r="GU117" s="196" t="n">
        <f aca="false">GU$4*GU12</f>
        <v>0</v>
      </c>
      <c r="GV117" s="196" t="n">
        <f aca="false">GV$4*GV12</f>
        <v>0</v>
      </c>
      <c r="GW117" s="196" t="n">
        <f aca="false">GW$4*GW12</f>
        <v>0</v>
      </c>
      <c r="GX117" s="196" t="n">
        <f aca="false">GX$4*GX12</f>
        <v>0</v>
      </c>
      <c r="GY117" s="196" t="n">
        <f aca="false">GY$4*GY12</f>
        <v>0</v>
      </c>
      <c r="GZ117" s="196" t="n">
        <f aca="false">GZ$4*GZ12</f>
        <v>0</v>
      </c>
      <c r="HA117" s="196" t="n">
        <f aca="false">HA$4*HA12</f>
        <v>0</v>
      </c>
      <c r="HB117" s="196" t="n">
        <f aca="false">HB$4*HB12</f>
        <v>0</v>
      </c>
      <c r="HC117" s="197" t="n">
        <f aca="false">HC$4*HC12</f>
        <v>0</v>
      </c>
      <c r="HD117" s="194" t="str">
        <f aca="false">GS117</f>
        <v>Alumno7</v>
      </c>
      <c r="HE117" s="195" t="n">
        <f aca="false">HE$4*HE12</f>
        <v>0</v>
      </c>
      <c r="HF117" s="196" t="n">
        <f aca="false">HF$4*HF12</f>
        <v>0</v>
      </c>
      <c r="HG117" s="196" t="n">
        <f aca="false">HG$4*HG12</f>
        <v>0</v>
      </c>
      <c r="HH117" s="196" t="n">
        <f aca="false">HH$4*HH12</f>
        <v>0</v>
      </c>
      <c r="HI117" s="196" t="n">
        <f aca="false">HI$4*HI12</f>
        <v>0</v>
      </c>
      <c r="HJ117" s="196" t="n">
        <f aca="false">HJ$4*HJ12</f>
        <v>0</v>
      </c>
      <c r="HK117" s="196" t="n">
        <f aca="false">HK$4*HK12</f>
        <v>0</v>
      </c>
      <c r="HL117" s="196" t="n">
        <f aca="false">HL$4*HL12</f>
        <v>0</v>
      </c>
      <c r="HM117" s="196" t="n">
        <f aca="false">HM$4*HM12</f>
        <v>0</v>
      </c>
      <c r="HN117" s="197" t="n">
        <f aca="false">HN$4*HN12</f>
        <v>0</v>
      </c>
      <c r="HO117" s="194" t="str">
        <f aca="false">HD117</f>
        <v>Alumno7</v>
      </c>
      <c r="HP117" s="195" t="n">
        <f aca="false">HP$4*HP12</f>
        <v>0</v>
      </c>
      <c r="HQ117" s="196" t="n">
        <f aca="false">HQ$4*HQ12</f>
        <v>0</v>
      </c>
      <c r="HR117" s="196" t="n">
        <f aca="false">HR$4*HR12</f>
        <v>0</v>
      </c>
      <c r="HS117" s="196" t="n">
        <f aca="false">HS$4*HS12</f>
        <v>0</v>
      </c>
      <c r="HT117" s="196" t="n">
        <f aca="false">HT$4*HT12</f>
        <v>0</v>
      </c>
      <c r="HU117" s="196" t="n">
        <f aca="false">HU$4*HU12</f>
        <v>0</v>
      </c>
      <c r="HV117" s="196" t="n">
        <f aca="false">HV$4*HV12</f>
        <v>0</v>
      </c>
      <c r="HW117" s="196" t="n">
        <f aca="false">HW$4*HW12</f>
        <v>0</v>
      </c>
      <c r="HX117" s="196" t="n">
        <f aca="false">HX$4*HX12</f>
        <v>0</v>
      </c>
      <c r="HY117" s="197" t="n">
        <f aca="false">HY$4*HY12</f>
        <v>0</v>
      </c>
      <c r="HZ117" s="194" t="str">
        <f aca="false">HO117</f>
        <v>Alumno7</v>
      </c>
      <c r="IA117" s="195" t="n">
        <f aca="false">IA$4*IA12</f>
        <v>0</v>
      </c>
      <c r="IB117" s="196" t="n">
        <f aca="false">IB$4*IB12</f>
        <v>0</v>
      </c>
      <c r="IC117" s="196" t="n">
        <f aca="false">IC$4*IC12</f>
        <v>0</v>
      </c>
      <c r="ID117" s="196" t="n">
        <f aca="false">ID$4*ID12</f>
        <v>0</v>
      </c>
      <c r="IE117" s="196" t="n">
        <f aca="false">IE$4*IE12</f>
        <v>0</v>
      </c>
      <c r="IF117" s="196" t="n">
        <f aca="false">IF$4*IF12</f>
        <v>0</v>
      </c>
      <c r="IG117" s="196" t="n">
        <f aca="false">IG$4*IG12</f>
        <v>0</v>
      </c>
      <c r="IH117" s="196" t="n">
        <f aca="false">IH$4*IH12</f>
        <v>0</v>
      </c>
      <c r="II117" s="196" t="n">
        <f aca="false">II$4*II12</f>
        <v>0</v>
      </c>
      <c r="IJ117" s="197" t="n">
        <f aca="false">IJ$4*IJ12</f>
        <v>0</v>
      </c>
      <c r="IK117" s="194" t="str">
        <f aca="false">HZ117</f>
        <v>Alumno7</v>
      </c>
      <c r="IL117" s="195" t="n">
        <f aca="false">IL$4*IL12</f>
        <v>0</v>
      </c>
      <c r="IM117" s="196" t="n">
        <f aca="false">IM$4*IM12</f>
        <v>0</v>
      </c>
      <c r="IN117" s="196" t="n">
        <f aca="false">IN$4*IN12</f>
        <v>0</v>
      </c>
      <c r="IO117" s="196" t="n">
        <f aca="false">IO$4*IO12</f>
        <v>0</v>
      </c>
      <c r="IP117" s="196" t="n">
        <f aca="false">IP$4*IP12</f>
        <v>0</v>
      </c>
      <c r="IQ117" s="196" t="n">
        <f aca="false">IQ$4*IQ12</f>
        <v>0</v>
      </c>
      <c r="IR117" s="196" t="n">
        <f aca="false">IR$4*IR12</f>
        <v>0</v>
      </c>
      <c r="IS117" s="196" t="n">
        <f aca="false">IS$4*IS12</f>
        <v>0</v>
      </c>
      <c r="IT117" s="196" t="n">
        <f aca="false">IT$4*IT12</f>
        <v>0</v>
      </c>
      <c r="IU117" s="197" t="n">
        <f aca="false">IU$4*IU12</f>
        <v>0</v>
      </c>
      <c r="IV117" s="194" t="str">
        <f aca="false">IK117</f>
        <v>Alumno7</v>
      </c>
      <c r="IW117" s="195" t="n">
        <f aca="false">IW$4*IW12</f>
        <v>0</v>
      </c>
      <c r="IX117" s="196" t="n">
        <f aca="false">IX$4*IX12</f>
        <v>0</v>
      </c>
      <c r="IY117" s="196" t="n">
        <f aca="false">IY$4*IY12</f>
        <v>0</v>
      </c>
      <c r="IZ117" s="196" t="n">
        <f aca="false">IZ$4*IZ12</f>
        <v>0</v>
      </c>
      <c r="JA117" s="196" t="n">
        <f aca="false">JA$4*JA12</f>
        <v>0</v>
      </c>
      <c r="JB117" s="196" t="n">
        <f aca="false">JB$4*JB12</f>
        <v>0</v>
      </c>
      <c r="JC117" s="196" t="n">
        <f aca="false">JC$4*JC12</f>
        <v>0</v>
      </c>
      <c r="JD117" s="196" t="n">
        <f aca="false">JD$4*JD12</f>
        <v>0</v>
      </c>
      <c r="JE117" s="196" t="n">
        <f aca="false">JE$4*JE12</f>
        <v>0</v>
      </c>
      <c r="JF117" s="197" t="n">
        <f aca="false">JF$4*JF12</f>
        <v>0</v>
      </c>
      <c r="JG117" s="194" t="str">
        <f aca="false">IV117</f>
        <v>Alumno7</v>
      </c>
      <c r="JH117" s="195" t="n">
        <f aca="false">JH$4*JH12</f>
        <v>0</v>
      </c>
      <c r="JI117" s="196" t="n">
        <f aca="false">JI$4*JI12</f>
        <v>0</v>
      </c>
      <c r="JJ117" s="196" t="n">
        <f aca="false">JJ$4*JJ12</f>
        <v>0</v>
      </c>
      <c r="JK117" s="196" t="n">
        <f aca="false">JK$4*JK12</f>
        <v>0</v>
      </c>
      <c r="JL117" s="196" t="n">
        <f aca="false">JL$4*JL12</f>
        <v>0</v>
      </c>
      <c r="JM117" s="196" t="n">
        <f aca="false">JM$4*JM12</f>
        <v>0</v>
      </c>
      <c r="JN117" s="196" t="n">
        <f aca="false">JN$4*JN12</f>
        <v>0</v>
      </c>
      <c r="JO117" s="196" t="n">
        <f aca="false">JO$4*JO12</f>
        <v>0</v>
      </c>
      <c r="JP117" s="196" t="n">
        <f aca="false">JP$4*JP12</f>
        <v>0</v>
      </c>
      <c r="JQ117" s="197" t="n">
        <f aca="false">JQ$4*JQ12</f>
        <v>0</v>
      </c>
      <c r="JR117" s="194" t="str">
        <f aca="false">JG117</f>
        <v>Alumno7</v>
      </c>
      <c r="JS117" s="195" t="n">
        <f aca="false">JS$4*JS12</f>
        <v>0</v>
      </c>
      <c r="JT117" s="196" t="n">
        <f aca="false">JT$4*JT12</f>
        <v>0</v>
      </c>
      <c r="JU117" s="196" t="n">
        <f aca="false">JU$4*JU12</f>
        <v>0</v>
      </c>
      <c r="JV117" s="196" t="n">
        <f aca="false">JV$4*JV12</f>
        <v>0</v>
      </c>
      <c r="JW117" s="196" t="n">
        <f aca="false">JW$4*JW12</f>
        <v>0</v>
      </c>
      <c r="JX117" s="196" t="n">
        <f aca="false">JX$4*JX12</f>
        <v>0</v>
      </c>
      <c r="JY117" s="196" t="n">
        <f aca="false">JY$4*JY12</f>
        <v>0</v>
      </c>
      <c r="JZ117" s="196" t="n">
        <f aca="false">JZ$4*JZ12</f>
        <v>0</v>
      </c>
      <c r="KA117" s="196" t="n">
        <f aca="false">KA$4*KA12</f>
        <v>0</v>
      </c>
      <c r="KB117" s="197" t="n">
        <f aca="false">KB$4*KB12</f>
        <v>0</v>
      </c>
      <c r="KC117" s="194" t="str">
        <f aca="false">JR117</f>
        <v>Alumno7</v>
      </c>
      <c r="KD117" s="195" t="n">
        <f aca="false">KD$4*KD12</f>
        <v>0</v>
      </c>
      <c r="KE117" s="196" t="n">
        <f aca="false">KE$4*KE12</f>
        <v>0</v>
      </c>
      <c r="KF117" s="196" t="n">
        <f aca="false">KF$4*KF12</f>
        <v>0</v>
      </c>
      <c r="KG117" s="196" t="n">
        <f aca="false">KG$4*KG12</f>
        <v>0</v>
      </c>
      <c r="KH117" s="196" t="n">
        <f aca="false">KH$4*KH12</f>
        <v>0</v>
      </c>
      <c r="KI117" s="196" t="n">
        <f aca="false">KI$4*KI12</f>
        <v>0</v>
      </c>
      <c r="KJ117" s="196" t="n">
        <f aca="false">KJ$4*KJ12</f>
        <v>0</v>
      </c>
      <c r="KK117" s="196" t="n">
        <f aca="false">KK$4*KK12</f>
        <v>0</v>
      </c>
      <c r="KL117" s="196" t="n">
        <f aca="false">KL$4*KL12</f>
        <v>0</v>
      </c>
      <c r="KM117" s="197" t="n">
        <f aca="false">KM$4*KM12</f>
        <v>0</v>
      </c>
      <c r="KN117" s="194" t="str">
        <f aca="false">KC117</f>
        <v>Alumno7</v>
      </c>
      <c r="KO117" s="195" t="n">
        <f aca="false">KO$4*KO12</f>
        <v>0</v>
      </c>
      <c r="KP117" s="196" t="n">
        <f aca="false">KP$4*KP12</f>
        <v>0</v>
      </c>
      <c r="KQ117" s="196" t="n">
        <f aca="false">KQ$4*KQ12</f>
        <v>0</v>
      </c>
      <c r="KR117" s="196" t="n">
        <f aca="false">KR$4*KR12</f>
        <v>0</v>
      </c>
      <c r="KS117" s="196" t="n">
        <f aca="false">KS$4*KS12</f>
        <v>0</v>
      </c>
      <c r="KT117" s="196" t="n">
        <f aca="false">KT$4*KT12</f>
        <v>0</v>
      </c>
      <c r="KU117" s="196" t="n">
        <f aca="false">KU$4*KU12</f>
        <v>0</v>
      </c>
      <c r="KV117" s="196" t="n">
        <f aca="false">KV$4*KV12</f>
        <v>0</v>
      </c>
      <c r="KW117" s="196" t="n">
        <f aca="false">KW$4*KW12</f>
        <v>0</v>
      </c>
      <c r="KX117" s="197" t="n">
        <f aca="false">KX$4*KX12</f>
        <v>0</v>
      </c>
      <c r="KY117" s="194" t="str">
        <f aca="false">KN117</f>
        <v>Alumno7</v>
      </c>
      <c r="KZ117" s="195" t="n">
        <f aca="false">KZ$4*KZ12</f>
        <v>0</v>
      </c>
      <c r="LA117" s="196" t="n">
        <f aca="false">LA$4*LA12</f>
        <v>0</v>
      </c>
      <c r="LB117" s="196" t="n">
        <f aca="false">LB$4*LB12</f>
        <v>0</v>
      </c>
      <c r="LC117" s="196" t="n">
        <f aca="false">LC$4*LC12</f>
        <v>0</v>
      </c>
      <c r="LD117" s="196" t="n">
        <f aca="false">LD$4*LD12</f>
        <v>0</v>
      </c>
      <c r="LE117" s="196" t="n">
        <f aca="false">LE$4*LE12</f>
        <v>0</v>
      </c>
      <c r="LF117" s="196" t="n">
        <f aca="false">LF$4*LF12</f>
        <v>0</v>
      </c>
      <c r="LG117" s="196" t="n">
        <f aca="false">LG$4*LG12</f>
        <v>0</v>
      </c>
      <c r="LH117" s="196" t="n">
        <f aca="false">LH$4*LH12</f>
        <v>0</v>
      </c>
      <c r="LI117" s="197" t="n">
        <f aca="false">LI$4*LI12</f>
        <v>0</v>
      </c>
      <c r="LJ117" s="194" t="str">
        <f aca="false">KY117</f>
        <v>Alumno7</v>
      </c>
      <c r="LK117" s="195" t="n">
        <f aca="false">LK$4*LK12</f>
        <v>0</v>
      </c>
      <c r="LL117" s="196" t="n">
        <f aca="false">LL$4*LL12</f>
        <v>0</v>
      </c>
      <c r="LM117" s="196" t="n">
        <f aca="false">LM$4*LM12</f>
        <v>0</v>
      </c>
      <c r="LN117" s="196" t="n">
        <f aca="false">LN$4*LN12</f>
        <v>0</v>
      </c>
      <c r="LO117" s="196" t="n">
        <f aca="false">LO$4*LO12</f>
        <v>0</v>
      </c>
      <c r="LP117" s="196" t="n">
        <f aca="false">LP$4*LP12</f>
        <v>0</v>
      </c>
      <c r="LQ117" s="196" t="n">
        <f aca="false">LQ$4*LQ12</f>
        <v>0</v>
      </c>
      <c r="LR117" s="196" t="n">
        <f aca="false">LR$4*LR12</f>
        <v>0</v>
      </c>
      <c r="LS117" s="196" t="n">
        <f aca="false">LS$4*LS12</f>
        <v>0</v>
      </c>
      <c r="LT117" s="197" t="n">
        <f aca="false">LT$4*LT12</f>
        <v>0</v>
      </c>
    </row>
    <row r="118" customFormat="false" ht="15" hidden="true" customHeight="false" outlineLevel="0" collapsed="false">
      <c r="C118" s="194" t="str">
        <f aca="false">C69</f>
        <v>Alumno8</v>
      </c>
      <c r="D118" s="195" t="n">
        <f aca="false">D$4*D13</f>
        <v>1.5</v>
      </c>
      <c r="E118" s="196" t="n">
        <f aca="false">E$4*E13</f>
        <v>1.35</v>
      </c>
      <c r="F118" s="196" t="n">
        <f aca="false">F$4*F13</f>
        <v>2</v>
      </c>
      <c r="G118" s="196" t="n">
        <f aca="false">G$4*G13</f>
        <v>0.9</v>
      </c>
      <c r="H118" s="196" t="n">
        <f aca="false">H$4*H13</f>
        <v>1.5</v>
      </c>
      <c r="I118" s="196" t="n">
        <f aca="false">I$4*I13</f>
        <v>1.5</v>
      </c>
      <c r="J118" s="196" t="n">
        <f aca="false">J$4*J13</f>
        <v>0.9</v>
      </c>
      <c r="K118" s="196" t="n">
        <f aca="false">K$4*K13</f>
        <v>0</v>
      </c>
      <c r="L118" s="196" t="n">
        <f aca="false">L$4*L13</f>
        <v>0</v>
      </c>
      <c r="M118" s="197" t="n">
        <f aca="false">M$4*M13</f>
        <v>0</v>
      </c>
      <c r="N118" s="194" t="str">
        <f aca="false">C118</f>
        <v>Alumno8</v>
      </c>
      <c r="O118" s="195" t="n">
        <f aca="false">O$4*O13</f>
        <v>1</v>
      </c>
      <c r="P118" s="196" t="n">
        <f aca="false">P$4*P13</f>
        <v>1</v>
      </c>
      <c r="Q118" s="196" t="n">
        <f aca="false">Q$4*Q13</f>
        <v>1</v>
      </c>
      <c r="R118" s="196" t="n">
        <f aca="false">R$4*R13</f>
        <v>1</v>
      </c>
      <c r="S118" s="196" t="n">
        <f aca="false">S$4*S13</f>
        <v>1</v>
      </c>
      <c r="T118" s="196" t="n">
        <f aca="false">T$4*T13</f>
        <v>0</v>
      </c>
      <c r="U118" s="196" t="n">
        <f aca="false">U$4*U13</f>
        <v>0</v>
      </c>
      <c r="V118" s="196" t="n">
        <f aca="false">V$4*V13</f>
        <v>0</v>
      </c>
      <c r="W118" s="196" t="n">
        <f aca="false">W$4*W13</f>
        <v>0</v>
      </c>
      <c r="X118" s="197" t="n">
        <f aca="false">X$4*X13</f>
        <v>0</v>
      </c>
      <c r="Y118" s="194" t="str">
        <f aca="false">N118</f>
        <v>Alumno8</v>
      </c>
      <c r="Z118" s="195" t="n">
        <f aca="false">Z$4*Z13</f>
        <v>1</v>
      </c>
      <c r="AA118" s="196" t="n">
        <f aca="false">AA$4*AA13</f>
        <v>1</v>
      </c>
      <c r="AB118" s="196" t="n">
        <f aca="false">AB$4*AB13</f>
        <v>1</v>
      </c>
      <c r="AC118" s="196" t="n">
        <f aca="false">AC$4*AC13</f>
        <v>1</v>
      </c>
      <c r="AD118" s="196" t="n">
        <f aca="false">AD$4*AD13</f>
        <v>1</v>
      </c>
      <c r="AE118" s="196" t="n">
        <f aca="false">AE$4*AE13</f>
        <v>0</v>
      </c>
      <c r="AF118" s="196" t="n">
        <f aca="false">AF$4*AF13</f>
        <v>0</v>
      </c>
      <c r="AG118" s="196" t="n">
        <f aca="false">AG$4*AG13</f>
        <v>0</v>
      </c>
      <c r="AH118" s="196" t="n">
        <f aca="false">AH$4*AH13</f>
        <v>0</v>
      </c>
      <c r="AI118" s="197" t="n">
        <f aca="false">AI$4*AI13</f>
        <v>0</v>
      </c>
      <c r="AJ118" s="194" t="str">
        <f aca="false">Y118</f>
        <v>Alumno8</v>
      </c>
      <c r="AK118" s="195" t="n">
        <f aca="false">AK$4*AK13</f>
        <v>1</v>
      </c>
      <c r="AL118" s="196" t="n">
        <f aca="false">AL$4*AL13</f>
        <v>1</v>
      </c>
      <c r="AM118" s="196" t="n">
        <f aca="false">AM$4*AM13</f>
        <v>1</v>
      </c>
      <c r="AN118" s="196" t="n">
        <f aca="false">AN$4*AN13</f>
        <v>1</v>
      </c>
      <c r="AO118" s="196" t="n">
        <f aca="false">AO$4*AO13</f>
        <v>1</v>
      </c>
      <c r="AP118" s="196" t="n">
        <f aca="false">AP$4*AP13</f>
        <v>0</v>
      </c>
      <c r="AQ118" s="196" t="n">
        <f aca="false">AQ$4*AQ13</f>
        <v>0</v>
      </c>
      <c r="AR118" s="196" t="n">
        <f aca="false">AR$4*AR13</f>
        <v>0</v>
      </c>
      <c r="AS118" s="196" t="n">
        <f aca="false">AS$4*AS13</f>
        <v>0</v>
      </c>
      <c r="AT118" s="197" t="n">
        <f aca="false">AT$4*AT13</f>
        <v>0</v>
      </c>
      <c r="AU118" s="194" t="str">
        <f aca="false">AJ118</f>
        <v>Alumno8</v>
      </c>
      <c r="AV118" s="195" t="n">
        <f aca="false">AV$4*AV13</f>
        <v>1</v>
      </c>
      <c r="AW118" s="196" t="n">
        <f aca="false">AW$4*AW13</f>
        <v>1.8</v>
      </c>
      <c r="AX118" s="196" t="n">
        <f aca="false">AX$4*AX13</f>
        <v>2</v>
      </c>
      <c r="AY118" s="196" t="n">
        <f aca="false">AY$4*AY13</f>
        <v>2.7</v>
      </c>
      <c r="AZ118" s="196" t="n">
        <f aca="false">AZ$4*AZ13</f>
        <v>2</v>
      </c>
      <c r="BA118" s="196" t="n">
        <f aca="false">BA$4*BA13</f>
        <v>0</v>
      </c>
      <c r="BB118" s="196" t="n">
        <f aca="false">BB$4*BB13</f>
        <v>0</v>
      </c>
      <c r="BC118" s="196" t="n">
        <f aca="false">BC$4*BC13</f>
        <v>0</v>
      </c>
      <c r="BD118" s="196" t="n">
        <f aca="false">BD$4*BD13</f>
        <v>0</v>
      </c>
      <c r="BE118" s="197" t="n">
        <f aca="false">BE$4*BE13</f>
        <v>0</v>
      </c>
      <c r="BF118" s="194" t="str">
        <f aca="false">AU118</f>
        <v>Alumno8</v>
      </c>
      <c r="BG118" s="195" t="n">
        <f aca="false">BG$4*BG13</f>
        <v>1</v>
      </c>
      <c r="BH118" s="196" t="n">
        <f aca="false">BH$4*BH13</f>
        <v>1.8</v>
      </c>
      <c r="BI118" s="196" t="n">
        <f aca="false">BI$4*BI13</f>
        <v>2</v>
      </c>
      <c r="BJ118" s="196" t="n">
        <f aca="false">BJ$4*BJ13</f>
        <v>1.8</v>
      </c>
      <c r="BK118" s="196" t="n">
        <f aca="false">BK$4*BK13</f>
        <v>3</v>
      </c>
      <c r="BL118" s="196" t="n">
        <f aca="false">BL$4*BL13</f>
        <v>0</v>
      </c>
      <c r="BM118" s="196" t="n">
        <f aca="false">BM$4*BM13</f>
        <v>0</v>
      </c>
      <c r="BN118" s="196" t="n">
        <f aca="false">BN$4*BN13</f>
        <v>0</v>
      </c>
      <c r="BO118" s="196" t="n">
        <f aca="false">BO$4*BO13</f>
        <v>0</v>
      </c>
      <c r="BP118" s="197" t="n">
        <f aca="false">BP$4*BP13</f>
        <v>0</v>
      </c>
      <c r="BQ118" s="194" t="str">
        <f aca="false">BF118</f>
        <v>Alumno8</v>
      </c>
      <c r="BR118" s="195" t="n">
        <f aca="false">BR$4*BR13</f>
        <v>1.2</v>
      </c>
      <c r="BS118" s="196" t="n">
        <f aca="false">BS$4*BS13</f>
        <v>0.7</v>
      </c>
      <c r="BT118" s="196" t="n">
        <f aca="false">BT$4*BT13</f>
        <v>1.6</v>
      </c>
      <c r="BU118" s="196" t="n">
        <f aca="false">BU$4*BU13</f>
        <v>1.8</v>
      </c>
      <c r="BV118" s="196" t="n">
        <f aca="false">BV$4*BV13</f>
        <v>1.5</v>
      </c>
      <c r="BW118" s="196" t="n">
        <f aca="false">BW$4*BW13</f>
        <v>0</v>
      </c>
      <c r="BX118" s="196" t="n">
        <f aca="false">BX$4*BX13</f>
        <v>0</v>
      </c>
      <c r="BY118" s="196" t="n">
        <f aca="false">BY$4*BY13</f>
        <v>0</v>
      </c>
      <c r="BZ118" s="196" t="n">
        <f aca="false">BZ$4*BZ13</f>
        <v>0</v>
      </c>
      <c r="CA118" s="197" t="n">
        <f aca="false">CA$4*CA13</f>
        <v>0</v>
      </c>
      <c r="CB118" s="194" t="str">
        <f aca="false">BQ118</f>
        <v>Alumno8</v>
      </c>
      <c r="CC118" s="195" t="n">
        <f aca="false">CC$4*CC13</f>
        <v>0</v>
      </c>
      <c r="CD118" s="196" t="n">
        <f aca="false">CD$4*CD13</f>
        <v>0</v>
      </c>
      <c r="CE118" s="196" t="n">
        <f aca="false">CE$4*CE13</f>
        <v>0</v>
      </c>
      <c r="CF118" s="196" t="n">
        <f aca="false">CF$4*CF13</f>
        <v>0</v>
      </c>
      <c r="CG118" s="196" t="n">
        <f aca="false">CG$4*CG13</f>
        <v>0</v>
      </c>
      <c r="CH118" s="196" t="n">
        <f aca="false">CH$4*CH13</f>
        <v>0</v>
      </c>
      <c r="CI118" s="196" t="n">
        <f aca="false">CI$4*CI13</f>
        <v>0</v>
      </c>
      <c r="CJ118" s="196" t="n">
        <f aca="false">CJ$4*CJ13</f>
        <v>0</v>
      </c>
      <c r="CK118" s="196" t="n">
        <f aca="false">CK$4*CK13</f>
        <v>0</v>
      </c>
      <c r="CL118" s="197" t="n">
        <f aca="false">CL$4*CL13</f>
        <v>0</v>
      </c>
      <c r="CM118" s="194" t="str">
        <f aca="false">CB118</f>
        <v>Alumno8</v>
      </c>
      <c r="CN118" s="195" t="n">
        <f aca="false">CN$4*CN13</f>
        <v>0</v>
      </c>
      <c r="CO118" s="196" t="n">
        <f aca="false">CO$4*CO13</f>
        <v>0</v>
      </c>
      <c r="CP118" s="196" t="n">
        <f aca="false">CP$4*CP13</f>
        <v>0</v>
      </c>
      <c r="CQ118" s="196" t="n">
        <f aca="false">CQ$4*CQ13</f>
        <v>0</v>
      </c>
      <c r="CR118" s="196" t="n">
        <f aca="false">CR$4*CR13</f>
        <v>0</v>
      </c>
      <c r="CS118" s="196" t="n">
        <f aca="false">CS$4*CS13</f>
        <v>0</v>
      </c>
      <c r="CT118" s="196" t="n">
        <f aca="false">CT$4*CT13</f>
        <v>0</v>
      </c>
      <c r="CU118" s="196" t="n">
        <f aca="false">CU$4*CU13</f>
        <v>0</v>
      </c>
      <c r="CV118" s="196" t="n">
        <f aca="false">CV$4*CV13</f>
        <v>0</v>
      </c>
      <c r="CW118" s="197" t="n">
        <f aca="false">CW$4*CW13</f>
        <v>0</v>
      </c>
      <c r="CX118" s="194" t="str">
        <f aca="false">CM118</f>
        <v>Alumno8</v>
      </c>
      <c r="CY118" s="195" t="n">
        <f aca="false">CY$4*CY13</f>
        <v>0</v>
      </c>
      <c r="CZ118" s="196" t="n">
        <f aca="false">CZ$4*CZ13</f>
        <v>0</v>
      </c>
      <c r="DA118" s="196" t="n">
        <f aca="false">DA$4*DA13</f>
        <v>0</v>
      </c>
      <c r="DB118" s="196" t="n">
        <f aca="false">DB$4*DB13</f>
        <v>0</v>
      </c>
      <c r="DC118" s="196" t="n">
        <f aca="false">DC$4*DC13</f>
        <v>0</v>
      </c>
      <c r="DD118" s="196" t="n">
        <f aca="false">DD$4*DD13</f>
        <v>0</v>
      </c>
      <c r="DE118" s="196" t="n">
        <f aca="false">DE$4*DE13</f>
        <v>0</v>
      </c>
      <c r="DF118" s="196" t="n">
        <f aca="false">DF$4*DF13</f>
        <v>0</v>
      </c>
      <c r="DG118" s="196" t="n">
        <f aca="false">DG$4*DG13</f>
        <v>0</v>
      </c>
      <c r="DH118" s="197" t="n">
        <f aca="false">DH$4*DH13</f>
        <v>0</v>
      </c>
      <c r="DI118" s="194" t="str">
        <f aca="false">CX118</f>
        <v>Alumno8</v>
      </c>
      <c r="DJ118" s="195" t="n">
        <f aca="false">DJ$4*DJ13</f>
        <v>0</v>
      </c>
      <c r="DK118" s="196" t="n">
        <f aca="false">DK$4*DK13</f>
        <v>0</v>
      </c>
      <c r="DL118" s="196" t="n">
        <f aca="false">DL$4*DL13</f>
        <v>0</v>
      </c>
      <c r="DM118" s="196" t="n">
        <f aca="false">DM$4*DM13</f>
        <v>0</v>
      </c>
      <c r="DN118" s="196" t="n">
        <f aca="false">DN$4*DN13</f>
        <v>0</v>
      </c>
      <c r="DO118" s="196" t="n">
        <f aca="false">DO$4*DO13</f>
        <v>0</v>
      </c>
      <c r="DP118" s="196" t="n">
        <f aca="false">DP$4*DP13</f>
        <v>0</v>
      </c>
      <c r="DQ118" s="196" t="n">
        <f aca="false">DQ$4*DQ13</f>
        <v>0</v>
      </c>
      <c r="DR118" s="196" t="n">
        <f aca="false">DR$4*DR13</f>
        <v>0</v>
      </c>
      <c r="DS118" s="197" t="n">
        <f aca="false">DS$4*DS13</f>
        <v>0</v>
      </c>
      <c r="DT118" s="194" t="str">
        <f aca="false">DI118</f>
        <v>Alumno8</v>
      </c>
      <c r="DU118" s="195" t="n">
        <f aca="false">DU$4*DU13</f>
        <v>0</v>
      </c>
      <c r="DV118" s="196" t="n">
        <f aca="false">DV$4*DV13</f>
        <v>0</v>
      </c>
      <c r="DW118" s="196" t="n">
        <f aca="false">DW$4*DW13</f>
        <v>0</v>
      </c>
      <c r="DX118" s="196" t="n">
        <f aca="false">DX$4*DX13</f>
        <v>0</v>
      </c>
      <c r="DY118" s="196" t="n">
        <f aca="false">DY$4*DY13</f>
        <v>0</v>
      </c>
      <c r="DZ118" s="196" t="n">
        <f aca="false">DZ$4*DZ13</f>
        <v>0</v>
      </c>
      <c r="EA118" s="196" t="n">
        <f aca="false">EA$4*EA13</f>
        <v>0</v>
      </c>
      <c r="EB118" s="196" t="n">
        <f aca="false">EB$4*EB13</f>
        <v>0</v>
      </c>
      <c r="EC118" s="196" t="n">
        <f aca="false">EC$4*EC13</f>
        <v>0</v>
      </c>
      <c r="ED118" s="197" t="n">
        <f aca="false">ED$4*ED13</f>
        <v>0</v>
      </c>
      <c r="EE118" s="194" t="str">
        <f aca="false">DT118</f>
        <v>Alumno8</v>
      </c>
      <c r="EF118" s="195" t="n">
        <f aca="false">EF$4*EF13</f>
        <v>0</v>
      </c>
      <c r="EG118" s="196" t="n">
        <f aca="false">EG$4*EG13</f>
        <v>0</v>
      </c>
      <c r="EH118" s="196" t="n">
        <f aca="false">EH$4*EH13</f>
        <v>0</v>
      </c>
      <c r="EI118" s="196" t="n">
        <f aca="false">EI$4*EI13</f>
        <v>0</v>
      </c>
      <c r="EJ118" s="196" t="n">
        <f aca="false">EJ$4*EJ13</f>
        <v>0</v>
      </c>
      <c r="EK118" s="196" t="n">
        <f aca="false">EK$4*EK13</f>
        <v>0</v>
      </c>
      <c r="EL118" s="196" t="n">
        <f aca="false">EL$4*EL13</f>
        <v>0</v>
      </c>
      <c r="EM118" s="196" t="n">
        <f aca="false">EM$4*EM13</f>
        <v>0</v>
      </c>
      <c r="EN118" s="196" t="n">
        <f aca="false">EN$4*EN13</f>
        <v>0</v>
      </c>
      <c r="EO118" s="197" t="n">
        <f aca="false">EO$4*EO13</f>
        <v>0</v>
      </c>
      <c r="EP118" s="194" t="str">
        <f aca="false">EE118</f>
        <v>Alumno8</v>
      </c>
      <c r="EQ118" s="195" t="n">
        <f aca="false">EQ$4*EQ13</f>
        <v>0</v>
      </c>
      <c r="ER118" s="196" t="n">
        <f aca="false">ER$4*ER13</f>
        <v>0</v>
      </c>
      <c r="ES118" s="196" t="n">
        <f aca="false">ES$4*ES13</f>
        <v>0</v>
      </c>
      <c r="ET118" s="196" t="n">
        <f aca="false">ET$4*ET13</f>
        <v>0</v>
      </c>
      <c r="EU118" s="196" t="n">
        <f aca="false">EU$4*EU13</f>
        <v>0</v>
      </c>
      <c r="EV118" s="196" t="n">
        <f aca="false">EV$4*EV13</f>
        <v>0</v>
      </c>
      <c r="EW118" s="196" t="n">
        <f aca="false">EW$4*EW13</f>
        <v>0</v>
      </c>
      <c r="EX118" s="196" t="n">
        <f aca="false">EX$4*EX13</f>
        <v>0</v>
      </c>
      <c r="EY118" s="196" t="n">
        <f aca="false">EY$4*EY13</f>
        <v>0</v>
      </c>
      <c r="EZ118" s="197" t="n">
        <f aca="false">EZ$4*EZ13</f>
        <v>0</v>
      </c>
      <c r="FA118" s="194" t="str">
        <f aca="false">EP118</f>
        <v>Alumno8</v>
      </c>
      <c r="FB118" s="195" t="n">
        <f aca="false">FB$4*FB13</f>
        <v>0</v>
      </c>
      <c r="FC118" s="196" t="n">
        <f aca="false">FC$4*FC13</f>
        <v>0</v>
      </c>
      <c r="FD118" s="196" t="n">
        <f aca="false">FD$4*FD13</f>
        <v>0</v>
      </c>
      <c r="FE118" s="196" t="n">
        <f aca="false">FE$4*FE13</f>
        <v>0</v>
      </c>
      <c r="FF118" s="196" t="n">
        <f aca="false">FF$4*FF13</f>
        <v>0</v>
      </c>
      <c r="FG118" s="196" t="n">
        <f aca="false">FG$4*FG13</f>
        <v>0</v>
      </c>
      <c r="FH118" s="196" t="n">
        <f aca="false">FH$4*FH13</f>
        <v>0</v>
      </c>
      <c r="FI118" s="196" t="n">
        <f aca="false">FI$4*FI13</f>
        <v>0</v>
      </c>
      <c r="FJ118" s="196" t="n">
        <f aca="false">FJ$4*FJ13</f>
        <v>0</v>
      </c>
      <c r="FK118" s="197" t="n">
        <f aca="false">FK$4*FK13</f>
        <v>0</v>
      </c>
      <c r="FL118" s="194" t="str">
        <f aca="false">FA118</f>
        <v>Alumno8</v>
      </c>
      <c r="FM118" s="195" t="n">
        <f aca="false">FM$4*FM13</f>
        <v>0</v>
      </c>
      <c r="FN118" s="196" t="n">
        <f aca="false">FN$4*FN13</f>
        <v>0</v>
      </c>
      <c r="FO118" s="196" t="n">
        <f aca="false">FO$4*FO13</f>
        <v>0</v>
      </c>
      <c r="FP118" s="196" t="n">
        <f aca="false">FP$4*FP13</f>
        <v>0</v>
      </c>
      <c r="FQ118" s="196" t="n">
        <f aca="false">FQ$4*FQ13</f>
        <v>0</v>
      </c>
      <c r="FR118" s="196" t="n">
        <f aca="false">FR$4*FR13</f>
        <v>0</v>
      </c>
      <c r="FS118" s="196" t="n">
        <f aca="false">FS$4*FS13</f>
        <v>0</v>
      </c>
      <c r="FT118" s="196" t="n">
        <f aca="false">FT$4*FT13</f>
        <v>0</v>
      </c>
      <c r="FU118" s="196" t="n">
        <f aca="false">FU$4*FU13</f>
        <v>0</v>
      </c>
      <c r="FV118" s="197" t="n">
        <f aca="false">FV$4*FV13</f>
        <v>0</v>
      </c>
      <c r="FW118" s="194" t="str">
        <f aca="false">FL118</f>
        <v>Alumno8</v>
      </c>
      <c r="FX118" s="195" t="n">
        <f aca="false">FX$4*FX13</f>
        <v>0</v>
      </c>
      <c r="FY118" s="196" t="n">
        <f aca="false">FY$4*FY13</f>
        <v>0</v>
      </c>
      <c r="FZ118" s="196" t="n">
        <f aca="false">FZ$4*FZ13</f>
        <v>0</v>
      </c>
      <c r="GA118" s="196" t="n">
        <f aca="false">GA$4*GA13</f>
        <v>0</v>
      </c>
      <c r="GB118" s="196" t="n">
        <f aca="false">GB$4*GB13</f>
        <v>0</v>
      </c>
      <c r="GC118" s="196" t="n">
        <f aca="false">GC$4*GC13</f>
        <v>0</v>
      </c>
      <c r="GD118" s="196" t="n">
        <f aca="false">GD$4*GD13</f>
        <v>0</v>
      </c>
      <c r="GE118" s="196" t="n">
        <f aca="false">GE$4*GE13</f>
        <v>0</v>
      </c>
      <c r="GF118" s="196" t="n">
        <f aca="false">GF$4*GF13</f>
        <v>0</v>
      </c>
      <c r="GG118" s="197" t="n">
        <f aca="false">GG$4*GG13</f>
        <v>0</v>
      </c>
      <c r="GH118" s="194" t="str">
        <f aca="false">FW118</f>
        <v>Alumno8</v>
      </c>
      <c r="GI118" s="195" t="n">
        <f aca="false">GI$4*GI13</f>
        <v>0</v>
      </c>
      <c r="GJ118" s="196" t="n">
        <f aca="false">GJ$4*GJ13</f>
        <v>0</v>
      </c>
      <c r="GK118" s="196" t="n">
        <f aca="false">GK$4*GK13</f>
        <v>0</v>
      </c>
      <c r="GL118" s="196" t="n">
        <f aca="false">GL$4*GL13</f>
        <v>0</v>
      </c>
      <c r="GM118" s="196" t="n">
        <f aca="false">GM$4*GM13</f>
        <v>0</v>
      </c>
      <c r="GN118" s="196" t="n">
        <f aca="false">GN$4*GN13</f>
        <v>0</v>
      </c>
      <c r="GO118" s="196" t="n">
        <f aca="false">GO$4*GO13</f>
        <v>0</v>
      </c>
      <c r="GP118" s="196" t="n">
        <f aca="false">GP$4*GP13</f>
        <v>0</v>
      </c>
      <c r="GQ118" s="196" t="n">
        <f aca="false">GQ$4*GQ13</f>
        <v>0</v>
      </c>
      <c r="GR118" s="197" t="n">
        <f aca="false">GR$4*GR13</f>
        <v>0</v>
      </c>
      <c r="GS118" s="194" t="str">
        <f aca="false">GH118</f>
        <v>Alumno8</v>
      </c>
      <c r="GT118" s="195" t="n">
        <f aca="false">GT$4*GT13</f>
        <v>0</v>
      </c>
      <c r="GU118" s="196" t="n">
        <f aca="false">GU$4*GU13</f>
        <v>0</v>
      </c>
      <c r="GV118" s="196" t="n">
        <f aca="false">GV$4*GV13</f>
        <v>0</v>
      </c>
      <c r="GW118" s="196" t="n">
        <f aca="false">GW$4*GW13</f>
        <v>0</v>
      </c>
      <c r="GX118" s="196" t="n">
        <f aca="false">GX$4*GX13</f>
        <v>0</v>
      </c>
      <c r="GY118" s="196" t="n">
        <f aca="false">GY$4*GY13</f>
        <v>0</v>
      </c>
      <c r="GZ118" s="196" t="n">
        <f aca="false">GZ$4*GZ13</f>
        <v>0</v>
      </c>
      <c r="HA118" s="196" t="n">
        <f aca="false">HA$4*HA13</f>
        <v>0</v>
      </c>
      <c r="HB118" s="196" t="n">
        <f aca="false">HB$4*HB13</f>
        <v>0</v>
      </c>
      <c r="HC118" s="197" t="n">
        <f aca="false">HC$4*HC13</f>
        <v>0</v>
      </c>
      <c r="HD118" s="194" t="str">
        <f aca="false">GS118</f>
        <v>Alumno8</v>
      </c>
      <c r="HE118" s="195" t="n">
        <f aca="false">HE$4*HE13</f>
        <v>0</v>
      </c>
      <c r="HF118" s="196" t="n">
        <f aca="false">HF$4*HF13</f>
        <v>0</v>
      </c>
      <c r="HG118" s="196" t="n">
        <f aca="false">HG$4*HG13</f>
        <v>0</v>
      </c>
      <c r="HH118" s="196" t="n">
        <f aca="false">HH$4*HH13</f>
        <v>0</v>
      </c>
      <c r="HI118" s="196" t="n">
        <f aca="false">HI$4*HI13</f>
        <v>0</v>
      </c>
      <c r="HJ118" s="196" t="n">
        <f aca="false">HJ$4*HJ13</f>
        <v>0</v>
      </c>
      <c r="HK118" s="196" t="n">
        <f aca="false">HK$4*HK13</f>
        <v>0</v>
      </c>
      <c r="HL118" s="196" t="n">
        <f aca="false">HL$4*HL13</f>
        <v>0</v>
      </c>
      <c r="HM118" s="196" t="n">
        <f aca="false">HM$4*HM13</f>
        <v>0</v>
      </c>
      <c r="HN118" s="197" t="n">
        <f aca="false">HN$4*HN13</f>
        <v>0</v>
      </c>
      <c r="HO118" s="194" t="str">
        <f aca="false">HD118</f>
        <v>Alumno8</v>
      </c>
      <c r="HP118" s="195" t="n">
        <f aca="false">HP$4*HP13</f>
        <v>0</v>
      </c>
      <c r="HQ118" s="196" t="n">
        <f aca="false">HQ$4*HQ13</f>
        <v>0</v>
      </c>
      <c r="HR118" s="196" t="n">
        <f aca="false">HR$4*HR13</f>
        <v>0</v>
      </c>
      <c r="HS118" s="196" t="n">
        <f aca="false">HS$4*HS13</f>
        <v>0</v>
      </c>
      <c r="HT118" s="196" t="n">
        <f aca="false">HT$4*HT13</f>
        <v>0</v>
      </c>
      <c r="HU118" s="196" t="n">
        <f aca="false">HU$4*HU13</f>
        <v>0</v>
      </c>
      <c r="HV118" s="196" t="n">
        <f aca="false">HV$4*HV13</f>
        <v>0</v>
      </c>
      <c r="HW118" s="196" t="n">
        <f aca="false">HW$4*HW13</f>
        <v>0</v>
      </c>
      <c r="HX118" s="196" t="n">
        <f aca="false">HX$4*HX13</f>
        <v>0</v>
      </c>
      <c r="HY118" s="197" t="n">
        <f aca="false">HY$4*HY13</f>
        <v>0</v>
      </c>
      <c r="HZ118" s="194" t="str">
        <f aca="false">HO118</f>
        <v>Alumno8</v>
      </c>
      <c r="IA118" s="195" t="n">
        <f aca="false">IA$4*IA13</f>
        <v>0</v>
      </c>
      <c r="IB118" s="196" t="n">
        <f aca="false">IB$4*IB13</f>
        <v>0</v>
      </c>
      <c r="IC118" s="196" t="n">
        <f aca="false">IC$4*IC13</f>
        <v>0</v>
      </c>
      <c r="ID118" s="196" t="n">
        <f aca="false">ID$4*ID13</f>
        <v>0</v>
      </c>
      <c r="IE118" s="196" t="n">
        <f aca="false">IE$4*IE13</f>
        <v>0</v>
      </c>
      <c r="IF118" s="196" t="n">
        <f aca="false">IF$4*IF13</f>
        <v>0</v>
      </c>
      <c r="IG118" s="196" t="n">
        <f aca="false">IG$4*IG13</f>
        <v>0</v>
      </c>
      <c r="IH118" s="196" t="n">
        <f aca="false">IH$4*IH13</f>
        <v>0</v>
      </c>
      <c r="II118" s="196" t="n">
        <f aca="false">II$4*II13</f>
        <v>0</v>
      </c>
      <c r="IJ118" s="197" t="n">
        <f aca="false">IJ$4*IJ13</f>
        <v>0</v>
      </c>
      <c r="IK118" s="194" t="str">
        <f aca="false">HZ118</f>
        <v>Alumno8</v>
      </c>
      <c r="IL118" s="195" t="n">
        <f aca="false">IL$4*IL13</f>
        <v>0</v>
      </c>
      <c r="IM118" s="196" t="n">
        <f aca="false">IM$4*IM13</f>
        <v>0</v>
      </c>
      <c r="IN118" s="196" t="n">
        <f aca="false">IN$4*IN13</f>
        <v>0</v>
      </c>
      <c r="IO118" s="196" t="n">
        <f aca="false">IO$4*IO13</f>
        <v>0</v>
      </c>
      <c r="IP118" s="196" t="n">
        <f aca="false">IP$4*IP13</f>
        <v>0</v>
      </c>
      <c r="IQ118" s="196" t="n">
        <f aca="false">IQ$4*IQ13</f>
        <v>0</v>
      </c>
      <c r="IR118" s="196" t="n">
        <f aca="false">IR$4*IR13</f>
        <v>0</v>
      </c>
      <c r="IS118" s="196" t="n">
        <f aca="false">IS$4*IS13</f>
        <v>0</v>
      </c>
      <c r="IT118" s="196" t="n">
        <f aca="false">IT$4*IT13</f>
        <v>0</v>
      </c>
      <c r="IU118" s="197" t="n">
        <f aca="false">IU$4*IU13</f>
        <v>0</v>
      </c>
      <c r="IV118" s="194" t="str">
        <f aca="false">IK118</f>
        <v>Alumno8</v>
      </c>
      <c r="IW118" s="195" t="n">
        <f aca="false">IW$4*IW13</f>
        <v>0</v>
      </c>
      <c r="IX118" s="196" t="n">
        <f aca="false">IX$4*IX13</f>
        <v>0</v>
      </c>
      <c r="IY118" s="196" t="n">
        <f aca="false">IY$4*IY13</f>
        <v>0</v>
      </c>
      <c r="IZ118" s="196" t="n">
        <f aca="false">IZ$4*IZ13</f>
        <v>0</v>
      </c>
      <c r="JA118" s="196" t="n">
        <f aca="false">JA$4*JA13</f>
        <v>0</v>
      </c>
      <c r="JB118" s="196" t="n">
        <f aca="false">JB$4*JB13</f>
        <v>0</v>
      </c>
      <c r="JC118" s="196" t="n">
        <f aca="false">JC$4*JC13</f>
        <v>0</v>
      </c>
      <c r="JD118" s="196" t="n">
        <f aca="false">JD$4*JD13</f>
        <v>0</v>
      </c>
      <c r="JE118" s="196" t="n">
        <f aca="false">JE$4*JE13</f>
        <v>0</v>
      </c>
      <c r="JF118" s="197" t="n">
        <f aca="false">JF$4*JF13</f>
        <v>0</v>
      </c>
      <c r="JG118" s="194" t="str">
        <f aca="false">IV118</f>
        <v>Alumno8</v>
      </c>
      <c r="JH118" s="195" t="n">
        <f aca="false">JH$4*JH13</f>
        <v>0</v>
      </c>
      <c r="JI118" s="196" t="n">
        <f aca="false">JI$4*JI13</f>
        <v>0</v>
      </c>
      <c r="JJ118" s="196" t="n">
        <f aca="false">JJ$4*JJ13</f>
        <v>0</v>
      </c>
      <c r="JK118" s="196" t="n">
        <f aca="false">JK$4*JK13</f>
        <v>0</v>
      </c>
      <c r="JL118" s="196" t="n">
        <f aca="false">JL$4*JL13</f>
        <v>0</v>
      </c>
      <c r="JM118" s="196" t="n">
        <f aca="false">JM$4*JM13</f>
        <v>0</v>
      </c>
      <c r="JN118" s="196" t="n">
        <f aca="false">JN$4*JN13</f>
        <v>0</v>
      </c>
      <c r="JO118" s="196" t="n">
        <f aca="false">JO$4*JO13</f>
        <v>0</v>
      </c>
      <c r="JP118" s="196" t="n">
        <f aca="false">JP$4*JP13</f>
        <v>0</v>
      </c>
      <c r="JQ118" s="197" t="n">
        <f aca="false">JQ$4*JQ13</f>
        <v>0</v>
      </c>
      <c r="JR118" s="194" t="str">
        <f aca="false">JG118</f>
        <v>Alumno8</v>
      </c>
      <c r="JS118" s="195" t="n">
        <f aca="false">JS$4*JS13</f>
        <v>0</v>
      </c>
      <c r="JT118" s="196" t="n">
        <f aca="false">JT$4*JT13</f>
        <v>0</v>
      </c>
      <c r="JU118" s="196" t="n">
        <f aca="false">JU$4*JU13</f>
        <v>0</v>
      </c>
      <c r="JV118" s="196" t="n">
        <f aca="false">JV$4*JV13</f>
        <v>0</v>
      </c>
      <c r="JW118" s="196" t="n">
        <f aca="false">JW$4*JW13</f>
        <v>0</v>
      </c>
      <c r="JX118" s="196" t="n">
        <f aca="false">JX$4*JX13</f>
        <v>0</v>
      </c>
      <c r="JY118" s="196" t="n">
        <f aca="false">JY$4*JY13</f>
        <v>0</v>
      </c>
      <c r="JZ118" s="196" t="n">
        <f aca="false">JZ$4*JZ13</f>
        <v>0</v>
      </c>
      <c r="KA118" s="196" t="n">
        <f aca="false">KA$4*KA13</f>
        <v>0</v>
      </c>
      <c r="KB118" s="197" t="n">
        <f aca="false">KB$4*KB13</f>
        <v>0</v>
      </c>
      <c r="KC118" s="194" t="str">
        <f aca="false">JR118</f>
        <v>Alumno8</v>
      </c>
      <c r="KD118" s="195" t="n">
        <f aca="false">KD$4*KD13</f>
        <v>0</v>
      </c>
      <c r="KE118" s="196" t="n">
        <f aca="false">KE$4*KE13</f>
        <v>0</v>
      </c>
      <c r="KF118" s="196" t="n">
        <f aca="false">KF$4*KF13</f>
        <v>0</v>
      </c>
      <c r="KG118" s="196" t="n">
        <f aca="false">KG$4*KG13</f>
        <v>0</v>
      </c>
      <c r="KH118" s="196" t="n">
        <f aca="false">KH$4*KH13</f>
        <v>0</v>
      </c>
      <c r="KI118" s="196" t="n">
        <f aca="false">KI$4*KI13</f>
        <v>0</v>
      </c>
      <c r="KJ118" s="196" t="n">
        <f aca="false">KJ$4*KJ13</f>
        <v>0</v>
      </c>
      <c r="KK118" s="196" t="n">
        <f aca="false">KK$4*KK13</f>
        <v>0</v>
      </c>
      <c r="KL118" s="196" t="n">
        <f aca="false">KL$4*KL13</f>
        <v>0</v>
      </c>
      <c r="KM118" s="197" t="n">
        <f aca="false">KM$4*KM13</f>
        <v>0</v>
      </c>
      <c r="KN118" s="194" t="str">
        <f aca="false">KC118</f>
        <v>Alumno8</v>
      </c>
      <c r="KO118" s="195" t="n">
        <f aca="false">KO$4*KO13</f>
        <v>0</v>
      </c>
      <c r="KP118" s="196" t="n">
        <f aca="false">KP$4*KP13</f>
        <v>0</v>
      </c>
      <c r="KQ118" s="196" t="n">
        <f aca="false">KQ$4*KQ13</f>
        <v>0</v>
      </c>
      <c r="KR118" s="196" t="n">
        <f aca="false">KR$4*KR13</f>
        <v>0</v>
      </c>
      <c r="KS118" s="196" t="n">
        <f aca="false">KS$4*KS13</f>
        <v>0</v>
      </c>
      <c r="KT118" s="196" t="n">
        <f aca="false">KT$4*KT13</f>
        <v>0</v>
      </c>
      <c r="KU118" s="196" t="n">
        <f aca="false">KU$4*KU13</f>
        <v>0</v>
      </c>
      <c r="KV118" s="196" t="n">
        <f aca="false">KV$4*KV13</f>
        <v>0</v>
      </c>
      <c r="KW118" s="196" t="n">
        <f aca="false">KW$4*KW13</f>
        <v>0</v>
      </c>
      <c r="KX118" s="197" t="n">
        <f aca="false">KX$4*KX13</f>
        <v>0</v>
      </c>
      <c r="KY118" s="194" t="str">
        <f aca="false">KN118</f>
        <v>Alumno8</v>
      </c>
      <c r="KZ118" s="195" t="n">
        <f aca="false">KZ$4*KZ13</f>
        <v>0</v>
      </c>
      <c r="LA118" s="196" t="n">
        <f aca="false">LA$4*LA13</f>
        <v>0</v>
      </c>
      <c r="LB118" s="196" t="n">
        <f aca="false">LB$4*LB13</f>
        <v>0</v>
      </c>
      <c r="LC118" s="196" t="n">
        <f aca="false">LC$4*LC13</f>
        <v>0</v>
      </c>
      <c r="LD118" s="196" t="n">
        <f aca="false">LD$4*LD13</f>
        <v>0</v>
      </c>
      <c r="LE118" s="196" t="n">
        <f aca="false">LE$4*LE13</f>
        <v>0</v>
      </c>
      <c r="LF118" s="196" t="n">
        <f aca="false">LF$4*LF13</f>
        <v>0</v>
      </c>
      <c r="LG118" s="196" t="n">
        <f aca="false">LG$4*LG13</f>
        <v>0</v>
      </c>
      <c r="LH118" s="196" t="n">
        <f aca="false">LH$4*LH13</f>
        <v>0</v>
      </c>
      <c r="LI118" s="197" t="n">
        <f aca="false">LI$4*LI13</f>
        <v>0</v>
      </c>
      <c r="LJ118" s="194" t="str">
        <f aca="false">KY118</f>
        <v>Alumno8</v>
      </c>
      <c r="LK118" s="195" t="n">
        <f aca="false">LK$4*LK13</f>
        <v>0</v>
      </c>
      <c r="LL118" s="196" t="n">
        <f aca="false">LL$4*LL13</f>
        <v>0</v>
      </c>
      <c r="LM118" s="196" t="n">
        <f aca="false">LM$4*LM13</f>
        <v>0</v>
      </c>
      <c r="LN118" s="196" t="n">
        <f aca="false">LN$4*LN13</f>
        <v>0</v>
      </c>
      <c r="LO118" s="196" t="n">
        <f aca="false">LO$4*LO13</f>
        <v>0</v>
      </c>
      <c r="LP118" s="196" t="n">
        <f aca="false">LP$4*LP13</f>
        <v>0</v>
      </c>
      <c r="LQ118" s="196" t="n">
        <f aca="false">LQ$4*LQ13</f>
        <v>0</v>
      </c>
      <c r="LR118" s="196" t="n">
        <f aca="false">LR$4*LR13</f>
        <v>0</v>
      </c>
      <c r="LS118" s="196" t="n">
        <f aca="false">LS$4*LS13</f>
        <v>0</v>
      </c>
      <c r="LT118" s="197" t="n">
        <f aca="false">LT$4*LT13</f>
        <v>0</v>
      </c>
    </row>
    <row r="119" customFormat="false" ht="15" hidden="true" customHeight="false" outlineLevel="0" collapsed="false">
      <c r="C119" s="194" t="str">
        <f aca="false">C70</f>
        <v>Alumno9</v>
      </c>
      <c r="D119" s="195" t="n">
        <f aca="false">D$4*D14</f>
        <v>0.9</v>
      </c>
      <c r="E119" s="196" t="n">
        <f aca="false">E$4*E14</f>
        <v>1.05</v>
      </c>
      <c r="F119" s="196" t="n">
        <f aca="false">F$4*F14</f>
        <v>1.6</v>
      </c>
      <c r="G119" s="196" t="n">
        <f aca="false">G$4*G14</f>
        <v>0.9</v>
      </c>
      <c r="H119" s="196" t="n">
        <f aca="false">H$4*H14</f>
        <v>0.75</v>
      </c>
      <c r="I119" s="196" t="n">
        <f aca="false">I$4*I14</f>
        <v>0.6</v>
      </c>
      <c r="J119" s="196" t="n">
        <f aca="false">J$4*J14</f>
        <v>0.6</v>
      </c>
      <c r="K119" s="196" t="n">
        <f aca="false">K$4*K14</f>
        <v>0</v>
      </c>
      <c r="L119" s="196" t="n">
        <f aca="false">L$4*L14</f>
        <v>0</v>
      </c>
      <c r="M119" s="197" t="n">
        <f aca="false">M$4*M14</f>
        <v>0</v>
      </c>
      <c r="N119" s="194" t="str">
        <f aca="false">C119</f>
        <v>Alumno9</v>
      </c>
      <c r="O119" s="195" t="n">
        <f aca="false">O$4*O14</f>
        <v>1</v>
      </c>
      <c r="P119" s="196" t="n">
        <f aca="false">P$4*P14</f>
        <v>1.2</v>
      </c>
      <c r="Q119" s="196" t="n">
        <f aca="false">Q$4*Q14</f>
        <v>0.6</v>
      </c>
      <c r="R119" s="196" t="n">
        <f aca="false">R$4*R14</f>
        <v>0.8</v>
      </c>
      <c r="S119" s="196" t="n">
        <f aca="false">S$4*S14</f>
        <v>1</v>
      </c>
      <c r="T119" s="196" t="n">
        <f aca="false">T$4*T14</f>
        <v>0</v>
      </c>
      <c r="U119" s="196" t="n">
        <f aca="false">U$4*U14</f>
        <v>0</v>
      </c>
      <c r="V119" s="196" t="n">
        <f aca="false">V$4*V14</f>
        <v>0</v>
      </c>
      <c r="W119" s="196" t="n">
        <f aca="false">W$4*W14</f>
        <v>0</v>
      </c>
      <c r="X119" s="197" t="n">
        <f aca="false">X$4*X14</f>
        <v>0</v>
      </c>
      <c r="Y119" s="194" t="str">
        <f aca="false">N119</f>
        <v>Alumno9</v>
      </c>
      <c r="Z119" s="195" t="n">
        <f aca="false">Z$4*Z14</f>
        <v>1</v>
      </c>
      <c r="AA119" s="196" t="n">
        <f aca="false">AA$4*AA14</f>
        <v>1.2</v>
      </c>
      <c r="AB119" s="196" t="n">
        <f aca="false">AB$4*AB14</f>
        <v>0.6</v>
      </c>
      <c r="AC119" s="196" t="n">
        <f aca="false">AC$4*AC14</f>
        <v>0.8</v>
      </c>
      <c r="AD119" s="196" t="n">
        <f aca="false">AD$4*AD14</f>
        <v>1</v>
      </c>
      <c r="AE119" s="196" t="n">
        <f aca="false">AE$4*AE14</f>
        <v>0</v>
      </c>
      <c r="AF119" s="196" t="n">
        <f aca="false">AF$4*AF14</f>
        <v>0</v>
      </c>
      <c r="AG119" s="196" t="n">
        <f aca="false">AG$4*AG14</f>
        <v>0</v>
      </c>
      <c r="AH119" s="196" t="n">
        <f aca="false">AH$4*AH14</f>
        <v>0</v>
      </c>
      <c r="AI119" s="197" t="n">
        <f aca="false">AI$4*AI14</f>
        <v>0</v>
      </c>
      <c r="AJ119" s="194" t="str">
        <f aca="false">Y119</f>
        <v>Alumno9</v>
      </c>
      <c r="AK119" s="195" t="n">
        <f aca="false">AK$4*AK14</f>
        <v>1</v>
      </c>
      <c r="AL119" s="196" t="n">
        <f aca="false">AL$4*AL14</f>
        <v>1.2</v>
      </c>
      <c r="AM119" s="196" t="n">
        <f aca="false">AM$4*AM14</f>
        <v>0.6</v>
      </c>
      <c r="AN119" s="196" t="n">
        <f aca="false">AN$4*AN14</f>
        <v>0.8</v>
      </c>
      <c r="AO119" s="196" t="n">
        <f aca="false">AO$4*AO14</f>
        <v>1</v>
      </c>
      <c r="AP119" s="196" t="n">
        <f aca="false">AP$4*AP14</f>
        <v>0</v>
      </c>
      <c r="AQ119" s="196" t="n">
        <f aca="false">AQ$4*AQ14</f>
        <v>0</v>
      </c>
      <c r="AR119" s="196" t="n">
        <f aca="false">AR$4*AR14</f>
        <v>0</v>
      </c>
      <c r="AS119" s="196" t="n">
        <f aca="false">AS$4*AS14</f>
        <v>0</v>
      </c>
      <c r="AT119" s="197" t="n">
        <f aca="false">AT$4*AT14</f>
        <v>0</v>
      </c>
      <c r="AU119" s="194" t="str">
        <f aca="false">AJ119</f>
        <v>Alumno9</v>
      </c>
      <c r="AV119" s="195" t="n">
        <f aca="false">AV$4*AV14</f>
        <v>0.6</v>
      </c>
      <c r="AW119" s="196" t="n">
        <f aca="false">AW$4*AW14</f>
        <v>1.4</v>
      </c>
      <c r="AX119" s="196" t="n">
        <f aca="false">AX$4*AX14</f>
        <v>1.6</v>
      </c>
      <c r="AY119" s="196" t="n">
        <f aca="false">AY$4*AY14</f>
        <v>2.7</v>
      </c>
      <c r="AZ119" s="196" t="n">
        <f aca="false">AZ$4*AZ14</f>
        <v>1</v>
      </c>
      <c r="BA119" s="196" t="n">
        <f aca="false">BA$4*BA14</f>
        <v>0</v>
      </c>
      <c r="BB119" s="196" t="n">
        <f aca="false">BB$4*BB14</f>
        <v>0</v>
      </c>
      <c r="BC119" s="196" t="n">
        <f aca="false">BC$4*BC14</f>
        <v>0</v>
      </c>
      <c r="BD119" s="196" t="n">
        <f aca="false">BD$4*BD14</f>
        <v>0</v>
      </c>
      <c r="BE119" s="197" t="n">
        <f aca="false">BE$4*BE14</f>
        <v>0</v>
      </c>
      <c r="BF119" s="194" t="str">
        <f aca="false">AU119</f>
        <v>Alumno9</v>
      </c>
      <c r="BG119" s="195" t="n">
        <f aca="false">BG$4*BG14</f>
        <v>0.6</v>
      </c>
      <c r="BH119" s="196" t="n">
        <f aca="false">BH$4*BH14</f>
        <v>1.4</v>
      </c>
      <c r="BI119" s="196" t="n">
        <f aca="false">BI$4*BI14</f>
        <v>1.6</v>
      </c>
      <c r="BJ119" s="196" t="n">
        <f aca="false">BJ$4*BJ14</f>
        <v>1.8</v>
      </c>
      <c r="BK119" s="196" t="n">
        <f aca="false">BK$4*BK14</f>
        <v>1.5</v>
      </c>
      <c r="BL119" s="196" t="n">
        <f aca="false">BL$4*BL14</f>
        <v>0</v>
      </c>
      <c r="BM119" s="196" t="n">
        <f aca="false">BM$4*BM14</f>
        <v>0</v>
      </c>
      <c r="BN119" s="196" t="n">
        <f aca="false">BN$4*BN14</f>
        <v>0</v>
      </c>
      <c r="BO119" s="196" t="n">
        <f aca="false">BO$4*BO14</f>
        <v>0</v>
      </c>
      <c r="BP119" s="197" t="n">
        <f aca="false">BP$4*BP14</f>
        <v>0</v>
      </c>
      <c r="BQ119" s="194" t="str">
        <f aca="false">BF119</f>
        <v>Alumno9</v>
      </c>
      <c r="BR119" s="195" t="n">
        <f aca="false">BR$4*BR14</f>
        <v>1</v>
      </c>
      <c r="BS119" s="196" t="n">
        <f aca="false">BS$4*BS14</f>
        <v>0.5</v>
      </c>
      <c r="BT119" s="196" t="n">
        <f aca="false">BT$4*BT14</f>
        <v>1</v>
      </c>
      <c r="BU119" s="196" t="n">
        <f aca="false">BU$4*BU14</f>
        <v>1</v>
      </c>
      <c r="BV119" s="196" t="n">
        <f aca="false">BV$4*BV14</f>
        <v>1.5</v>
      </c>
      <c r="BW119" s="196" t="n">
        <f aca="false">BW$4*BW14</f>
        <v>0</v>
      </c>
      <c r="BX119" s="196" t="n">
        <f aca="false">BX$4*BX14</f>
        <v>0</v>
      </c>
      <c r="BY119" s="196" t="n">
        <f aca="false">BY$4*BY14</f>
        <v>0</v>
      </c>
      <c r="BZ119" s="196" t="n">
        <f aca="false">BZ$4*BZ14</f>
        <v>0</v>
      </c>
      <c r="CA119" s="197" t="n">
        <f aca="false">CA$4*CA14</f>
        <v>0</v>
      </c>
      <c r="CB119" s="194" t="str">
        <f aca="false">BQ119</f>
        <v>Alumno9</v>
      </c>
      <c r="CC119" s="195" t="n">
        <f aca="false">CC$4*CC14</f>
        <v>0</v>
      </c>
      <c r="CD119" s="196" t="n">
        <f aca="false">CD$4*CD14</f>
        <v>0</v>
      </c>
      <c r="CE119" s="196" t="n">
        <f aca="false">CE$4*CE14</f>
        <v>0</v>
      </c>
      <c r="CF119" s="196" t="n">
        <f aca="false">CF$4*CF14</f>
        <v>0</v>
      </c>
      <c r="CG119" s="196" t="n">
        <f aca="false">CG$4*CG14</f>
        <v>0</v>
      </c>
      <c r="CH119" s="196" t="n">
        <f aca="false">CH$4*CH14</f>
        <v>0</v>
      </c>
      <c r="CI119" s="196" t="n">
        <f aca="false">CI$4*CI14</f>
        <v>0</v>
      </c>
      <c r="CJ119" s="196" t="n">
        <f aca="false">CJ$4*CJ14</f>
        <v>0</v>
      </c>
      <c r="CK119" s="196" t="n">
        <f aca="false">CK$4*CK14</f>
        <v>0</v>
      </c>
      <c r="CL119" s="197" t="n">
        <f aca="false">CL$4*CL14</f>
        <v>0</v>
      </c>
      <c r="CM119" s="194" t="str">
        <f aca="false">CB119</f>
        <v>Alumno9</v>
      </c>
      <c r="CN119" s="195" t="n">
        <f aca="false">CN$4*CN14</f>
        <v>0</v>
      </c>
      <c r="CO119" s="196" t="n">
        <f aca="false">CO$4*CO14</f>
        <v>0</v>
      </c>
      <c r="CP119" s="196" t="n">
        <f aca="false">CP$4*CP14</f>
        <v>0</v>
      </c>
      <c r="CQ119" s="196" t="n">
        <f aca="false">CQ$4*CQ14</f>
        <v>0</v>
      </c>
      <c r="CR119" s="196" t="n">
        <f aca="false">CR$4*CR14</f>
        <v>0</v>
      </c>
      <c r="CS119" s="196" t="n">
        <f aca="false">CS$4*CS14</f>
        <v>0</v>
      </c>
      <c r="CT119" s="196" t="n">
        <f aca="false">CT$4*CT14</f>
        <v>0</v>
      </c>
      <c r="CU119" s="196" t="n">
        <f aca="false">CU$4*CU14</f>
        <v>0</v>
      </c>
      <c r="CV119" s="196" t="n">
        <f aca="false">CV$4*CV14</f>
        <v>0</v>
      </c>
      <c r="CW119" s="197" t="n">
        <f aca="false">CW$4*CW14</f>
        <v>0</v>
      </c>
      <c r="CX119" s="194" t="str">
        <f aca="false">CM119</f>
        <v>Alumno9</v>
      </c>
      <c r="CY119" s="195" t="n">
        <f aca="false">CY$4*CY14</f>
        <v>0</v>
      </c>
      <c r="CZ119" s="196" t="n">
        <f aca="false">CZ$4*CZ14</f>
        <v>0</v>
      </c>
      <c r="DA119" s="196" t="n">
        <f aca="false">DA$4*DA14</f>
        <v>0</v>
      </c>
      <c r="DB119" s="196" t="n">
        <f aca="false">DB$4*DB14</f>
        <v>0</v>
      </c>
      <c r="DC119" s="196" t="n">
        <f aca="false">DC$4*DC14</f>
        <v>0</v>
      </c>
      <c r="DD119" s="196" t="n">
        <f aca="false">DD$4*DD14</f>
        <v>0</v>
      </c>
      <c r="DE119" s="196" t="n">
        <f aca="false">DE$4*DE14</f>
        <v>0</v>
      </c>
      <c r="DF119" s="196" t="n">
        <f aca="false">DF$4*DF14</f>
        <v>0</v>
      </c>
      <c r="DG119" s="196" t="n">
        <f aca="false">DG$4*DG14</f>
        <v>0</v>
      </c>
      <c r="DH119" s="197" t="n">
        <f aca="false">DH$4*DH14</f>
        <v>0</v>
      </c>
      <c r="DI119" s="194" t="str">
        <f aca="false">CX119</f>
        <v>Alumno9</v>
      </c>
      <c r="DJ119" s="195" t="n">
        <f aca="false">DJ$4*DJ14</f>
        <v>0</v>
      </c>
      <c r="DK119" s="196" t="n">
        <f aca="false">DK$4*DK14</f>
        <v>0</v>
      </c>
      <c r="DL119" s="196" t="n">
        <f aca="false">DL$4*DL14</f>
        <v>0</v>
      </c>
      <c r="DM119" s="196" t="n">
        <f aca="false">DM$4*DM14</f>
        <v>0</v>
      </c>
      <c r="DN119" s="196" t="n">
        <f aca="false">DN$4*DN14</f>
        <v>0</v>
      </c>
      <c r="DO119" s="196" t="n">
        <f aca="false">DO$4*DO14</f>
        <v>0</v>
      </c>
      <c r="DP119" s="196" t="n">
        <f aca="false">DP$4*DP14</f>
        <v>0</v>
      </c>
      <c r="DQ119" s="196" t="n">
        <f aca="false">DQ$4*DQ14</f>
        <v>0</v>
      </c>
      <c r="DR119" s="196" t="n">
        <f aca="false">DR$4*DR14</f>
        <v>0</v>
      </c>
      <c r="DS119" s="197" t="n">
        <f aca="false">DS$4*DS14</f>
        <v>0</v>
      </c>
      <c r="DT119" s="194" t="str">
        <f aca="false">DI119</f>
        <v>Alumno9</v>
      </c>
      <c r="DU119" s="195" t="n">
        <f aca="false">DU$4*DU14</f>
        <v>0</v>
      </c>
      <c r="DV119" s="196" t="n">
        <f aca="false">DV$4*DV14</f>
        <v>0</v>
      </c>
      <c r="DW119" s="196" t="n">
        <f aca="false">DW$4*DW14</f>
        <v>0</v>
      </c>
      <c r="DX119" s="196" t="n">
        <f aca="false">DX$4*DX14</f>
        <v>0</v>
      </c>
      <c r="DY119" s="196" t="n">
        <f aca="false">DY$4*DY14</f>
        <v>0</v>
      </c>
      <c r="DZ119" s="196" t="n">
        <f aca="false">DZ$4*DZ14</f>
        <v>0</v>
      </c>
      <c r="EA119" s="196" t="n">
        <f aca="false">EA$4*EA14</f>
        <v>0</v>
      </c>
      <c r="EB119" s="196" t="n">
        <f aca="false">EB$4*EB14</f>
        <v>0</v>
      </c>
      <c r="EC119" s="196" t="n">
        <f aca="false">EC$4*EC14</f>
        <v>0</v>
      </c>
      <c r="ED119" s="197" t="n">
        <f aca="false">ED$4*ED14</f>
        <v>0</v>
      </c>
      <c r="EE119" s="194" t="str">
        <f aca="false">DT119</f>
        <v>Alumno9</v>
      </c>
      <c r="EF119" s="195" t="n">
        <f aca="false">EF$4*EF14</f>
        <v>0</v>
      </c>
      <c r="EG119" s="196" t="n">
        <f aca="false">EG$4*EG14</f>
        <v>0</v>
      </c>
      <c r="EH119" s="196" t="n">
        <f aca="false">EH$4*EH14</f>
        <v>0</v>
      </c>
      <c r="EI119" s="196" t="n">
        <f aca="false">EI$4*EI14</f>
        <v>0</v>
      </c>
      <c r="EJ119" s="196" t="n">
        <f aca="false">EJ$4*EJ14</f>
        <v>0</v>
      </c>
      <c r="EK119" s="196" t="n">
        <f aca="false">EK$4*EK14</f>
        <v>0</v>
      </c>
      <c r="EL119" s="196" t="n">
        <f aca="false">EL$4*EL14</f>
        <v>0</v>
      </c>
      <c r="EM119" s="196" t="n">
        <f aca="false">EM$4*EM14</f>
        <v>0</v>
      </c>
      <c r="EN119" s="196" t="n">
        <f aca="false">EN$4*EN14</f>
        <v>0</v>
      </c>
      <c r="EO119" s="197" t="n">
        <f aca="false">EO$4*EO14</f>
        <v>0</v>
      </c>
      <c r="EP119" s="194" t="str">
        <f aca="false">EE119</f>
        <v>Alumno9</v>
      </c>
      <c r="EQ119" s="195" t="n">
        <f aca="false">EQ$4*EQ14</f>
        <v>0</v>
      </c>
      <c r="ER119" s="196" t="n">
        <f aca="false">ER$4*ER14</f>
        <v>0</v>
      </c>
      <c r="ES119" s="196" t="n">
        <f aca="false">ES$4*ES14</f>
        <v>0</v>
      </c>
      <c r="ET119" s="196" t="n">
        <f aca="false">ET$4*ET14</f>
        <v>0</v>
      </c>
      <c r="EU119" s="196" t="n">
        <f aca="false">EU$4*EU14</f>
        <v>0</v>
      </c>
      <c r="EV119" s="196" t="n">
        <f aca="false">EV$4*EV14</f>
        <v>0</v>
      </c>
      <c r="EW119" s="196" t="n">
        <f aca="false">EW$4*EW14</f>
        <v>0</v>
      </c>
      <c r="EX119" s="196" t="n">
        <f aca="false">EX$4*EX14</f>
        <v>0</v>
      </c>
      <c r="EY119" s="196" t="n">
        <f aca="false">EY$4*EY14</f>
        <v>0</v>
      </c>
      <c r="EZ119" s="197" t="n">
        <f aca="false">EZ$4*EZ14</f>
        <v>0</v>
      </c>
      <c r="FA119" s="194" t="str">
        <f aca="false">EP119</f>
        <v>Alumno9</v>
      </c>
      <c r="FB119" s="195" t="n">
        <f aca="false">FB$4*FB14</f>
        <v>0</v>
      </c>
      <c r="FC119" s="196" t="n">
        <f aca="false">FC$4*FC14</f>
        <v>0</v>
      </c>
      <c r="FD119" s="196" t="n">
        <f aca="false">FD$4*FD14</f>
        <v>0</v>
      </c>
      <c r="FE119" s="196" t="n">
        <f aca="false">FE$4*FE14</f>
        <v>0</v>
      </c>
      <c r="FF119" s="196" t="n">
        <f aca="false">FF$4*FF14</f>
        <v>0</v>
      </c>
      <c r="FG119" s="196" t="n">
        <f aca="false">FG$4*FG14</f>
        <v>0</v>
      </c>
      <c r="FH119" s="196" t="n">
        <f aca="false">FH$4*FH14</f>
        <v>0</v>
      </c>
      <c r="FI119" s="196" t="n">
        <f aca="false">FI$4*FI14</f>
        <v>0</v>
      </c>
      <c r="FJ119" s="196" t="n">
        <f aca="false">FJ$4*FJ14</f>
        <v>0</v>
      </c>
      <c r="FK119" s="197" t="n">
        <f aca="false">FK$4*FK14</f>
        <v>0</v>
      </c>
      <c r="FL119" s="194" t="str">
        <f aca="false">FA119</f>
        <v>Alumno9</v>
      </c>
      <c r="FM119" s="195" t="n">
        <f aca="false">FM$4*FM14</f>
        <v>0</v>
      </c>
      <c r="FN119" s="196" t="n">
        <f aca="false">FN$4*FN14</f>
        <v>0</v>
      </c>
      <c r="FO119" s="196" t="n">
        <f aca="false">FO$4*FO14</f>
        <v>0</v>
      </c>
      <c r="FP119" s="196" t="n">
        <f aca="false">FP$4*FP14</f>
        <v>0</v>
      </c>
      <c r="FQ119" s="196" t="n">
        <f aca="false">FQ$4*FQ14</f>
        <v>0</v>
      </c>
      <c r="FR119" s="196" t="n">
        <f aca="false">FR$4*FR14</f>
        <v>0</v>
      </c>
      <c r="FS119" s="196" t="n">
        <f aca="false">FS$4*FS14</f>
        <v>0</v>
      </c>
      <c r="FT119" s="196" t="n">
        <f aca="false">FT$4*FT14</f>
        <v>0</v>
      </c>
      <c r="FU119" s="196" t="n">
        <f aca="false">FU$4*FU14</f>
        <v>0</v>
      </c>
      <c r="FV119" s="197" t="n">
        <f aca="false">FV$4*FV14</f>
        <v>0</v>
      </c>
      <c r="FW119" s="194" t="str">
        <f aca="false">FL119</f>
        <v>Alumno9</v>
      </c>
      <c r="FX119" s="195" t="n">
        <f aca="false">FX$4*FX14</f>
        <v>0</v>
      </c>
      <c r="FY119" s="196" t="n">
        <f aca="false">FY$4*FY14</f>
        <v>0</v>
      </c>
      <c r="FZ119" s="196" t="n">
        <f aca="false">FZ$4*FZ14</f>
        <v>0</v>
      </c>
      <c r="GA119" s="196" t="n">
        <f aca="false">GA$4*GA14</f>
        <v>0</v>
      </c>
      <c r="GB119" s="196" t="n">
        <f aca="false">GB$4*GB14</f>
        <v>0</v>
      </c>
      <c r="GC119" s="196" t="n">
        <f aca="false">GC$4*GC14</f>
        <v>0</v>
      </c>
      <c r="GD119" s="196" t="n">
        <f aca="false">GD$4*GD14</f>
        <v>0</v>
      </c>
      <c r="GE119" s="196" t="n">
        <f aca="false">GE$4*GE14</f>
        <v>0</v>
      </c>
      <c r="GF119" s="196" t="n">
        <f aca="false">GF$4*GF14</f>
        <v>0</v>
      </c>
      <c r="GG119" s="197" t="n">
        <f aca="false">GG$4*GG14</f>
        <v>0</v>
      </c>
      <c r="GH119" s="194" t="str">
        <f aca="false">FW119</f>
        <v>Alumno9</v>
      </c>
      <c r="GI119" s="195" t="n">
        <f aca="false">GI$4*GI14</f>
        <v>0</v>
      </c>
      <c r="GJ119" s="196" t="n">
        <f aca="false">GJ$4*GJ14</f>
        <v>0</v>
      </c>
      <c r="GK119" s="196" t="n">
        <f aca="false">GK$4*GK14</f>
        <v>0</v>
      </c>
      <c r="GL119" s="196" t="n">
        <f aca="false">GL$4*GL14</f>
        <v>0</v>
      </c>
      <c r="GM119" s="196" t="n">
        <f aca="false">GM$4*GM14</f>
        <v>0</v>
      </c>
      <c r="GN119" s="196" t="n">
        <f aca="false">GN$4*GN14</f>
        <v>0</v>
      </c>
      <c r="GO119" s="196" t="n">
        <f aca="false">GO$4*GO14</f>
        <v>0</v>
      </c>
      <c r="GP119" s="196" t="n">
        <f aca="false">GP$4*GP14</f>
        <v>0</v>
      </c>
      <c r="GQ119" s="196" t="n">
        <f aca="false">GQ$4*GQ14</f>
        <v>0</v>
      </c>
      <c r="GR119" s="197" t="n">
        <f aca="false">GR$4*GR14</f>
        <v>0</v>
      </c>
      <c r="GS119" s="194" t="str">
        <f aca="false">GH119</f>
        <v>Alumno9</v>
      </c>
      <c r="GT119" s="195" t="n">
        <f aca="false">GT$4*GT14</f>
        <v>0</v>
      </c>
      <c r="GU119" s="196" t="n">
        <f aca="false">GU$4*GU14</f>
        <v>0</v>
      </c>
      <c r="GV119" s="196" t="n">
        <f aca="false">GV$4*GV14</f>
        <v>0</v>
      </c>
      <c r="GW119" s="196" t="n">
        <f aca="false">GW$4*GW14</f>
        <v>0</v>
      </c>
      <c r="GX119" s="196" t="n">
        <f aca="false">GX$4*GX14</f>
        <v>0</v>
      </c>
      <c r="GY119" s="196" t="n">
        <f aca="false">GY$4*GY14</f>
        <v>0</v>
      </c>
      <c r="GZ119" s="196" t="n">
        <f aca="false">GZ$4*GZ14</f>
        <v>0</v>
      </c>
      <c r="HA119" s="196" t="n">
        <f aca="false">HA$4*HA14</f>
        <v>0</v>
      </c>
      <c r="HB119" s="196" t="n">
        <f aca="false">HB$4*HB14</f>
        <v>0</v>
      </c>
      <c r="HC119" s="197" t="n">
        <f aca="false">HC$4*HC14</f>
        <v>0</v>
      </c>
      <c r="HD119" s="194" t="str">
        <f aca="false">GS119</f>
        <v>Alumno9</v>
      </c>
      <c r="HE119" s="195" t="n">
        <f aca="false">HE$4*HE14</f>
        <v>0</v>
      </c>
      <c r="HF119" s="196" t="n">
        <f aca="false">HF$4*HF14</f>
        <v>0</v>
      </c>
      <c r="HG119" s="196" t="n">
        <f aca="false">HG$4*HG14</f>
        <v>0</v>
      </c>
      <c r="HH119" s="196" t="n">
        <f aca="false">HH$4*HH14</f>
        <v>0</v>
      </c>
      <c r="HI119" s="196" t="n">
        <f aca="false">HI$4*HI14</f>
        <v>0</v>
      </c>
      <c r="HJ119" s="196" t="n">
        <f aca="false">HJ$4*HJ14</f>
        <v>0</v>
      </c>
      <c r="HK119" s="196" t="n">
        <f aca="false">HK$4*HK14</f>
        <v>0</v>
      </c>
      <c r="HL119" s="196" t="n">
        <f aca="false">HL$4*HL14</f>
        <v>0</v>
      </c>
      <c r="HM119" s="196" t="n">
        <f aca="false">HM$4*HM14</f>
        <v>0</v>
      </c>
      <c r="HN119" s="197" t="n">
        <f aca="false">HN$4*HN14</f>
        <v>0</v>
      </c>
      <c r="HO119" s="194" t="str">
        <f aca="false">HD119</f>
        <v>Alumno9</v>
      </c>
      <c r="HP119" s="195" t="n">
        <f aca="false">HP$4*HP14</f>
        <v>0</v>
      </c>
      <c r="HQ119" s="196" t="n">
        <f aca="false">HQ$4*HQ14</f>
        <v>0</v>
      </c>
      <c r="HR119" s="196" t="n">
        <f aca="false">HR$4*HR14</f>
        <v>0</v>
      </c>
      <c r="HS119" s="196" t="n">
        <f aca="false">HS$4*HS14</f>
        <v>0</v>
      </c>
      <c r="HT119" s="196" t="n">
        <f aca="false">HT$4*HT14</f>
        <v>0</v>
      </c>
      <c r="HU119" s="196" t="n">
        <f aca="false">HU$4*HU14</f>
        <v>0</v>
      </c>
      <c r="HV119" s="196" t="n">
        <f aca="false">HV$4*HV14</f>
        <v>0</v>
      </c>
      <c r="HW119" s="196" t="n">
        <f aca="false">HW$4*HW14</f>
        <v>0</v>
      </c>
      <c r="HX119" s="196" t="n">
        <f aca="false">HX$4*HX14</f>
        <v>0</v>
      </c>
      <c r="HY119" s="197" t="n">
        <f aca="false">HY$4*HY14</f>
        <v>0</v>
      </c>
      <c r="HZ119" s="194" t="str">
        <f aca="false">HO119</f>
        <v>Alumno9</v>
      </c>
      <c r="IA119" s="195" t="n">
        <f aca="false">IA$4*IA14</f>
        <v>0</v>
      </c>
      <c r="IB119" s="196" t="n">
        <f aca="false">IB$4*IB14</f>
        <v>0</v>
      </c>
      <c r="IC119" s="196" t="n">
        <f aca="false">IC$4*IC14</f>
        <v>0</v>
      </c>
      <c r="ID119" s="196" t="n">
        <f aca="false">ID$4*ID14</f>
        <v>0</v>
      </c>
      <c r="IE119" s="196" t="n">
        <f aca="false">IE$4*IE14</f>
        <v>0</v>
      </c>
      <c r="IF119" s="196" t="n">
        <f aca="false">IF$4*IF14</f>
        <v>0</v>
      </c>
      <c r="IG119" s="196" t="n">
        <f aca="false">IG$4*IG14</f>
        <v>0</v>
      </c>
      <c r="IH119" s="196" t="n">
        <f aca="false">IH$4*IH14</f>
        <v>0</v>
      </c>
      <c r="II119" s="196" t="n">
        <f aca="false">II$4*II14</f>
        <v>0</v>
      </c>
      <c r="IJ119" s="197" t="n">
        <f aca="false">IJ$4*IJ14</f>
        <v>0</v>
      </c>
      <c r="IK119" s="194" t="str">
        <f aca="false">HZ119</f>
        <v>Alumno9</v>
      </c>
      <c r="IL119" s="195" t="n">
        <f aca="false">IL$4*IL14</f>
        <v>0</v>
      </c>
      <c r="IM119" s="196" t="n">
        <f aca="false">IM$4*IM14</f>
        <v>0</v>
      </c>
      <c r="IN119" s="196" t="n">
        <f aca="false">IN$4*IN14</f>
        <v>0</v>
      </c>
      <c r="IO119" s="196" t="n">
        <f aca="false">IO$4*IO14</f>
        <v>0</v>
      </c>
      <c r="IP119" s="196" t="n">
        <f aca="false">IP$4*IP14</f>
        <v>0</v>
      </c>
      <c r="IQ119" s="196" t="n">
        <f aca="false">IQ$4*IQ14</f>
        <v>0</v>
      </c>
      <c r="IR119" s="196" t="n">
        <f aca="false">IR$4*IR14</f>
        <v>0</v>
      </c>
      <c r="IS119" s="196" t="n">
        <f aca="false">IS$4*IS14</f>
        <v>0</v>
      </c>
      <c r="IT119" s="196" t="n">
        <f aca="false">IT$4*IT14</f>
        <v>0</v>
      </c>
      <c r="IU119" s="197" t="n">
        <f aca="false">IU$4*IU14</f>
        <v>0</v>
      </c>
      <c r="IV119" s="194" t="str">
        <f aca="false">IK119</f>
        <v>Alumno9</v>
      </c>
      <c r="IW119" s="195" t="n">
        <f aca="false">IW$4*IW14</f>
        <v>0</v>
      </c>
      <c r="IX119" s="196" t="n">
        <f aca="false">IX$4*IX14</f>
        <v>0</v>
      </c>
      <c r="IY119" s="196" t="n">
        <f aca="false">IY$4*IY14</f>
        <v>0</v>
      </c>
      <c r="IZ119" s="196" t="n">
        <f aca="false">IZ$4*IZ14</f>
        <v>0</v>
      </c>
      <c r="JA119" s="196" t="n">
        <f aca="false">JA$4*JA14</f>
        <v>0</v>
      </c>
      <c r="JB119" s="196" t="n">
        <f aca="false">JB$4*JB14</f>
        <v>0</v>
      </c>
      <c r="JC119" s="196" t="n">
        <f aca="false">JC$4*JC14</f>
        <v>0</v>
      </c>
      <c r="JD119" s="196" t="n">
        <f aca="false">JD$4*JD14</f>
        <v>0</v>
      </c>
      <c r="JE119" s="196" t="n">
        <f aca="false">JE$4*JE14</f>
        <v>0</v>
      </c>
      <c r="JF119" s="197" t="n">
        <f aca="false">JF$4*JF14</f>
        <v>0</v>
      </c>
      <c r="JG119" s="194" t="str">
        <f aca="false">IV119</f>
        <v>Alumno9</v>
      </c>
      <c r="JH119" s="195" t="n">
        <f aca="false">JH$4*JH14</f>
        <v>0</v>
      </c>
      <c r="JI119" s="196" t="n">
        <f aca="false">JI$4*JI14</f>
        <v>0</v>
      </c>
      <c r="JJ119" s="196" t="n">
        <f aca="false">JJ$4*JJ14</f>
        <v>0</v>
      </c>
      <c r="JK119" s="196" t="n">
        <f aca="false">JK$4*JK14</f>
        <v>0</v>
      </c>
      <c r="JL119" s="196" t="n">
        <f aca="false">JL$4*JL14</f>
        <v>0</v>
      </c>
      <c r="JM119" s="196" t="n">
        <f aca="false">JM$4*JM14</f>
        <v>0</v>
      </c>
      <c r="JN119" s="196" t="n">
        <f aca="false">JN$4*JN14</f>
        <v>0</v>
      </c>
      <c r="JO119" s="196" t="n">
        <f aca="false">JO$4*JO14</f>
        <v>0</v>
      </c>
      <c r="JP119" s="196" t="n">
        <f aca="false">JP$4*JP14</f>
        <v>0</v>
      </c>
      <c r="JQ119" s="197" t="n">
        <f aca="false">JQ$4*JQ14</f>
        <v>0</v>
      </c>
      <c r="JR119" s="194" t="str">
        <f aca="false">JG119</f>
        <v>Alumno9</v>
      </c>
      <c r="JS119" s="195" t="n">
        <f aca="false">JS$4*JS14</f>
        <v>0</v>
      </c>
      <c r="JT119" s="196" t="n">
        <f aca="false">JT$4*JT14</f>
        <v>0</v>
      </c>
      <c r="JU119" s="196" t="n">
        <f aca="false">JU$4*JU14</f>
        <v>0</v>
      </c>
      <c r="JV119" s="196" t="n">
        <f aca="false">JV$4*JV14</f>
        <v>0</v>
      </c>
      <c r="JW119" s="196" t="n">
        <f aca="false">JW$4*JW14</f>
        <v>0</v>
      </c>
      <c r="JX119" s="196" t="n">
        <f aca="false">JX$4*JX14</f>
        <v>0</v>
      </c>
      <c r="JY119" s="196" t="n">
        <f aca="false">JY$4*JY14</f>
        <v>0</v>
      </c>
      <c r="JZ119" s="196" t="n">
        <f aca="false">JZ$4*JZ14</f>
        <v>0</v>
      </c>
      <c r="KA119" s="196" t="n">
        <f aca="false">KA$4*KA14</f>
        <v>0</v>
      </c>
      <c r="KB119" s="197" t="n">
        <f aca="false">KB$4*KB14</f>
        <v>0</v>
      </c>
      <c r="KC119" s="194" t="str">
        <f aca="false">JR119</f>
        <v>Alumno9</v>
      </c>
      <c r="KD119" s="195" t="n">
        <f aca="false">KD$4*KD14</f>
        <v>0</v>
      </c>
      <c r="KE119" s="196" t="n">
        <f aca="false">KE$4*KE14</f>
        <v>0</v>
      </c>
      <c r="KF119" s="196" t="n">
        <f aca="false">KF$4*KF14</f>
        <v>0</v>
      </c>
      <c r="KG119" s="196" t="n">
        <f aca="false">KG$4*KG14</f>
        <v>0</v>
      </c>
      <c r="KH119" s="196" t="n">
        <f aca="false">KH$4*KH14</f>
        <v>0</v>
      </c>
      <c r="KI119" s="196" t="n">
        <f aca="false">KI$4*KI14</f>
        <v>0</v>
      </c>
      <c r="KJ119" s="196" t="n">
        <f aca="false">KJ$4*KJ14</f>
        <v>0</v>
      </c>
      <c r="KK119" s="196" t="n">
        <f aca="false">KK$4*KK14</f>
        <v>0</v>
      </c>
      <c r="KL119" s="196" t="n">
        <f aca="false">KL$4*KL14</f>
        <v>0</v>
      </c>
      <c r="KM119" s="197" t="n">
        <f aca="false">KM$4*KM14</f>
        <v>0</v>
      </c>
      <c r="KN119" s="194" t="str">
        <f aca="false">KC119</f>
        <v>Alumno9</v>
      </c>
      <c r="KO119" s="195" t="n">
        <f aca="false">KO$4*KO14</f>
        <v>0</v>
      </c>
      <c r="KP119" s="196" t="n">
        <f aca="false">KP$4*KP14</f>
        <v>0</v>
      </c>
      <c r="KQ119" s="196" t="n">
        <f aca="false">KQ$4*KQ14</f>
        <v>0</v>
      </c>
      <c r="KR119" s="196" t="n">
        <f aca="false">KR$4*KR14</f>
        <v>0</v>
      </c>
      <c r="KS119" s="196" t="n">
        <f aca="false">KS$4*KS14</f>
        <v>0</v>
      </c>
      <c r="KT119" s="196" t="n">
        <f aca="false">KT$4*KT14</f>
        <v>0</v>
      </c>
      <c r="KU119" s="196" t="n">
        <f aca="false">KU$4*KU14</f>
        <v>0</v>
      </c>
      <c r="KV119" s="196" t="n">
        <f aca="false">KV$4*KV14</f>
        <v>0</v>
      </c>
      <c r="KW119" s="196" t="n">
        <f aca="false">KW$4*KW14</f>
        <v>0</v>
      </c>
      <c r="KX119" s="197" t="n">
        <f aca="false">KX$4*KX14</f>
        <v>0</v>
      </c>
      <c r="KY119" s="194" t="str">
        <f aca="false">KN119</f>
        <v>Alumno9</v>
      </c>
      <c r="KZ119" s="195" t="n">
        <f aca="false">KZ$4*KZ14</f>
        <v>0</v>
      </c>
      <c r="LA119" s="196" t="n">
        <f aca="false">LA$4*LA14</f>
        <v>0</v>
      </c>
      <c r="LB119" s="196" t="n">
        <f aca="false">LB$4*LB14</f>
        <v>0</v>
      </c>
      <c r="LC119" s="196" t="n">
        <f aca="false">LC$4*LC14</f>
        <v>0</v>
      </c>
      <c r="LD119" s="196" t="n">
        <f aca="false">LD$4*LD14</f>
        <v>0</v>
      </c>
      <c r="LE119" s="196" t="n">
        <f aca="false">LE$4*LE14</f>
        <v>0</v>
      </c>
      <c r="LF119" s="196" t="n">
        <f aca="false">LF$4*LF14</f>
        <v>0</v>
      </c>
      <c r="LG119" s="196" t="n">
        <f aca="false">LG$4*LG14</f>
        <v>0</v>
      </c>
      <c r="LH119" s="196" t="n">
        <f aca="false">LH$4*LH14</f>
        <v>0</v>
      </c>
      <c r="LI119" s="197" t="n">
        <f aca="false">LI$4*LI14</f>
        <v>0</v>
      </c>
      <c r="LJ119" s="194" t="str">
        <f aca="false">KY119</f>
        <v>Alumno9</v>
      </c>
      <c r="LK119" s="195" t="n">
        <f aca="false">LK$4*LK14</f>
        <v>0</v>
      </c>
      <c r="LL119" s="196" t="n">
        <f aca="false">LL$4*LL14</f>
        <v>0</v>
      </c>
      <c r="LM119" s="196" t="n">
        <f aca="false">LM$4*LM14</f>
        <v>0</v>
      </c>
      <c r="LN119" s="196" t="n">
        <f aca="false">LN$4*LN14</f>
        <v>0</v>
      </c>
      <c r="LO119" s="196" t="n">
        <f aca="false">LO$4*LO14</f>
        <v>0</v>
      </c>
      <c r="LP119" s="196" t="n">
        <f aca="false">LP$4*LP14</f>
        <v>0</v>
      </c>
      <c r="LQ119" s="196" t="n">
        <f aca="false">LQ$4*LQ14</f>
        <v>0</v>
      </c>
      <c r="LR119" s="196" t="n">
        <f aca="false">LR$4*LR14</f>
        <v>0</v>
      </c>
      <c r="LS119" s="196" t="n">
        <f aca="false">LS$4*LS14</f>
        <v>0</v>
      </c>
      <c r="LT119" s="197" t="n">
        <f aca="false">LT$4*LT14</f>
        <v>0</v>
      </c>
    </row>
    <row r="120" customFormat="false" ht="15" hidden="true" customHeight="false" outlineLevel="0" collapsed="false">
      <c r="C120" s="194" t="str">
        <f aca="false">C71</f>
        <v>Alumno10</v>
      </c>
      <c r="D120" s="195" t="n">
        <f aca="false">D$4*D15</f>
        <v>0.75</v>
      </c>
      <c r="E120" s="196" t="n">
        <f aca="false">E$4*E15</f>
        <v>0.9</v>
      </c>
      <c r="F120" s="196" t="n">
        <f aca="false">F$4*F15</f>
        <v>0.6</v>
      </c>
      <c r="G120" s="196" t="n">
        <f aca="false">G$4*G15</f>
        <v>0.4</v>
      </c>
      <c r="H120" s="196" t="n">
        <f aca="false">H$4*H15</f>
        <v>0.75</v>
      </c>
      <c r="I120" s="196" t="n">
        <f aca="false">I$4*I15</f>
        <v>0.9</v>
      </c>
      <c r="J120" s="196" t="n">
        <f aca="false">J$4*J15</f>
        <v>0.7</v>
      </c>
      <c r="K120" s="196" t="n">
        <f aca="false">K$4*K15</f>
        <v>0</v>
      </c>
      <c r="L120" s="196" t="n">
        <f aca="false">L$4*L15</f>
        <v>0</v>
      </c>
      <c r="M120" s="197" t="n">
        <f aca="false">M$4*M15</f>
        <v>0</v>
      </c>
      <c r="N120" s="194" t="str">
        <f aca="false">C120</f>
        <v>Alumno10</v>
      </c>
      <c r="O120" s="195" t="n">
        <f aca="false">O$4*O15</f>
        <v>1</v>
      </c>
      <c r="P120" s="196" t="n">
        <f aca="false">P$4*P15</f>
        <v>1</v>
      </c>
      <c r="Q120" s="196" t="n">
        <f aca="false">Q$4*Q15</f>
        <v>1</v>
      </c>
      <c r="R120" s="196" t="n">
        <f aca="false">R$4*R15</f>
        <v>1</v>
      </c>
      <c r="S120" s="196" t="n">
        <f aca="false">S$4*S15</f>
        <v>1</v>
      </c>
      <c r="T120" s="196" t="n">
        <f aca="false">T$4*T15</f>
        <v>0</v>
      </c>
      <c r="U120" s="196" t="n">
        <f aca="false">U$4*U15</f>
        <v>0</v>
      </c>
      <c r="V120" s="196" t="n">
        <f aca="false">V$4*V15</f>
        <v>0</v>
      </c>
      <c r="W120" s="196" t="n">
        <f aca="false">W$4*W15</f>
        <v>0</v>
      </c>
      <c r="X120" s="197" t="n">
        <f aca="false">X$4*X15</f>
        <v>0</v>
      </c>
      <c r="Y120" s="194" t="str">
        <f aca="false">N120</f>
        <v>Alumno10</v>
      </c>
      <c r="Z120" s="195" t="n">
        <f aca="false">Z$4*Z15</f>
        <v>1</v>
      </c>
      <c r="AA120" s="196" t="n">
        <f aca="false">AA$4*AA15</f>
        <v>1</v>
      </c>
      <c r="AB120" s="196" t="n">
        <f aca="false">AB$4*AB15</f>
        <v>1</v>
      </c>
      <c r="AC120" s="196" t="n">
        <f aca="false">AC$4*AC15</f>
        <v>1</v>
      </c>
      <c r="AD120" s="196" t="n">
        <f aca="false">AD$4*AD15</f>
        <v>1</v>
      </c>
      <c r="AE120" s="196" t="n">
        <f aca="false">AE$4*AE15</f>
        <v>0</v>
      </c>
      <c r="AF120" s="196" t="n">
        <f aca="false">AF$4*AF15</f>
        <v>0</v>
      </c>
      <c r="AG120" s="196" t="n">
        <f aca="false">AG$4*AG15</f>
        <v>0</v>
      </c>
      <c r="AH120" s="196" t="n">
        <f aca="false">AH$4*AH15</f>
        <v>0</v>
      </c>
      <c r="AI120" s="197" t="n">
        <f aca="false">AI$4*AI15</f>
        <v>0</v>
      </c>
      <c r="AJ120" s="194" t="str">
        <f aca="false">Y120</f>
        <v>Alumno10</v>
      </c>
      <c r="AK120" s="195" t="n">
        <f aca="false">AK$4*AK15</f>
        <v>1</v>
      </c>
      <c r="AL120" s="196" t="n">
        <f aca="false">AL$4*AL15</f>
        <v>1</v>
      </c>
      <c r="AM120" s="196" t="n">
        <f aca="false">AM$4*AM15</f>
        <v>1</v>
      </c>
      <c r="AN120" s="196" t="n">
        <f aca="false">AN$4*AN15</f>
        <v>1</v>
      </c>
      <c r="AO120" s="196" t="n">
        <f aca="false">AO$4*AO15</f>
        <v>1</v>
      </c>
      <c r="AP120" s="196" t="n">
        <f aca="false">AP$4*AP15</f>
        <v>0</v>
      </c>
      <c r="AQ120" s="196" t="n">
        <f aca="false">AQ$4*AQ15</f>
        <v>0</v>
      </c>
      <c r="AR120" s="196" t="n">
        <f aca="false">AR$4*AR15</f>
        <v>0</v>
      </c>
      <c r="AS120" s="196" t="n">
        <f aca="false">AS$4*AS15</f>
        <v>0</v>
      </c>
      <c r="AT120" s="197" t="n">
        <f aca="false">AT$4*AT15</f>
        <v>0</v>
      </c>
      <c r="AU120" s="194" t="str">
        <f aca="false">AJ120</f>
        <v>Alumno10</v>
      </c>
      <c r="AV120" s="195" t="n">
        <f aca="false">AV$4*AV15</f>
        <v>0.5</v>
      </c>
      <c r="AW120" s="196" t="n">
        <f aca="false">AW$4*AW15</f>
        <v>1.2</v>
      </c>
      <c r="AX120" s="196" t="n">
        <f aca="false">AX$4*AX15</f>
        <v>0.6</v>
      </c>
      <c r="AY120" s="196" t="n">
        <f aca="false">AY$4*AY15</f>
        <v>1.2</v>
      </c>
      <c r="AZ120" s="196" t="n">
        <f aca="false">AZ$4*AZ15</f>
        <v>1</v>
      </c>
      <c r="BA120" s="196" t="n">
        <f aca="false">BA$4*BA15</f>
        <v>0</v>
      </c>
      <c r="BB120" s="196" t="n">
        <f aca="false">BB$4*BB15</f>
        <v>0</v>
      </c>
      <c r="BC120" s="196" t="n">
        <f aca="false">BC$4*BC15</f>
        <v>0</v>
      </c>
      <c r="BD120" s="196" t="n">
        <f aca="false">BD$4*BD15</f>
        <v>0</v>
      </c>
      <c r="BE120" s="197" t="n">
        <f aca="false">BE$4*BE15</f>
        <v>0</v>
      </c>
      <c r="BF120" s="194" t="str">
        <f aca="false">AU120</f>
        <v>Alumno10</v>
      </c>
      <c r="BG120" s="195" t="n">
        <f aca="false">BG$4*BG15</f>
        <v>0.5</v>
      </c>
      <c r="BH120" s="196" t="n">
        <f aca="false">BH$4*BH15</f>
        <v>1.2</v>
      </c>
      <c r="BI120" s="196" t="n">
        <f aca="false">BI$4*BI15</f>
        <v>0.6</v>
      </c>
      <c r="BJ120" s="196" t="n">
        <f aca="false">BJ$4*BJ15</f>
        <v>0.8</v>
      </c>
      <c r="BK120" s="196" t="n">
        <f aca="false">BK$4*BK15</f>
        <v>1.5</v>
      </c>
      <c r="BL120" s="196" t="n">
        <f aca="false">BL$4*BL15</f>
        <v>0</v>
      </c>
      <c r="BM120" s="196" t="n">
        <f aca="false">BM$4*BM15</f>
        <v>0</v>
      </c>
      <c r="BN120" s="196" t="n">
        <f aca="false">BN$4*BN15</f>
        <v>0</v>
      </c>
      <c r="BO120" s="196" t="n">
        <f aca="false">BO$4*BO15</f>
        <v>0</v>
      </c>
      <c r="BP120" s="197" t="n">
        <f aca="false">BP$4*BP15</f>
        <v>0</v>
      </c>
      <c r="BQ120" s="194" t="str">
        <f aca="false">BF120</f>
        <v>Alumno10</v>
      </c>
      <c r="BR120" s="195" t="n">
        <f aca="false">BR$4*BR15</f>
        <v>1</v>
      </c>
      <c r="BS120" s="196" t="n">
        <f aca="false">BS$4*BS15</f>
        <v>0.6</v>
      </c>
      <c r="BT120" s="196" t="n">
        <f aca="false">BT$4*BT15</f>
        <v>0.6</v>
      </c>
      <c r="BU120" s="196" t="n">
        <f aca="false">BU$4*BU15</f>
        <v>0.8</v>
      </c>
      <c r="BV120" s="196" t="n">
        <f aca="false">BV$4*BV15</f>
        <v>1.5</v>
      </c>
      <c r="BW120" s="196" t="n">
        <f aca="false">BW$4*BW15</f>
        <v>0</v>
      </c>
      <c r="BX120" s="196" t="n">
        <f aca="false">BX$4*BX15</f>
        <v>0</v>
      </c>
      <c r="BY120" s="196" t="n">
        <f aca="false">BY$4*BY15</f>
        <v>0</v>
      </c>
      <c r="BZ120" s="196" t="n">
        <f aca="false">BZ$4*BZ15</f>
        <v>0</v>
      </c>
      <c r="CA120" s="197" t="n">
        <f aca="false">CA$4*CA15</f>
        <v>0</v>
      </c>
      <c r="CB120" s="194" t="str">
        <f aca="false">BQ120</f>
        <v>Alumno10</v>
      </c>
      <c r="CC120" s="195" t="n">
        <f aca="false">CC$4*CC15</f>
        <v>0</v>
      </c>
      <c r="CD120" s="196" t="n">
        <f aca="false">CD$4*CD15</f>
        <v>0</v>
      </c>
      <c r="CE120" s="196" t="n">
        <f aca="false">CE$4*CE15</f>
        <v>0</v>
      </c>
      <c r="CF120" s="196" t="n">
        <f aca="false">CF$4*CF15</f>
        <v>0</v>
      </c>
      <c r="CG120" s="196" t="n">
        <f aca="false">CG$4*CG15</f>
        <v>0</v>
      </c>
      <c r="CH120" s="196" t="n">
        <f aca="false">CH$4*CH15</f>
        <v>0</v>
      </c>
      <c r="CI120" s="196" t="n">
        <f aca="false">CI$4*CI15</f>
        <v>0</v>
      </c>
      <c r="CJ120" s="196" t="n">
        <f aca="false">CJ$4*CJ15</f>
        <v>0</v>
      </c>
      <c r="CK120" s="196" t="n">
        <f aca="false">CK$4*CK15</f>
        <v>0</v>
      </c>
      <c r="CL120" s="197" t="n">
        <f aca="false">CL$4*CL15</f>
        <v>0</v>
      </c>
      <c r="CM120" s="194" t="str">
        <f aca="false">CB120</f>
        <v>Alumno10</v>
      </c>
      <c r="CN120" s="195" t="n">
        <f aca="false">CN$4*CN15</f>
        <v>0</v>
      </c>
      <c r="CO120" s="196" t="n">
        <f aca="false">CO$4*CO15</f>
        <v>0</v>
      </c>
      <c r="CP120" s="196" t="n">
        <f aca="false">CP$4*CP15</f>
        <v>0</v>
      </c>
      <c r="CQ120" s="196" t="n">
        <f aca="false">CQ$4*CQ15</f>
        <v>0</v>
      </c>
      <c r="CR120" s="196" t="n">
        <f aca="false">CR$4*CR15</f>
        <v>0</v>
      </c>
      <c r="CS120" s="196" t="n">
        <f aca="false">CS$4*CS15</f>
        <v>0</v>
      </c>
      <c r="CT120" s="196" t="n">
        <f aca="false">CT$4*CT15</f>
        <v>0</v>
      </c>
      <c r="CU120" s="196" t="n">
        <f aca="false">CU$4*CU15</f>
        <v>0</v>
      </c>
      <c r="CV120" s="196" t="n">
        <f aca="false">CV$4*CV15</f>
        <v>0</v>
      </c>
      <c r="CW120" s="197" t="n">
        <f aca="false">CW$4*CW15</f>
        <v>0</v>
      </c>
      <c r="CX120" s="194" t="str">
        <f aca="false">CM120</f>
        <v>Alumno10</v>
      </c>
      <c r="CY120" s="195" t="n">
        <f aca="false">CY$4*CY15</f>
        <v>0</v>
      </c>
      <c r="CZ120" s="196" t="n">
        <f aca="false">CZ$4*CZ15</f>
        <v>0</v>
      </c>
      <c r="DA120" s="196" t="n">
        <f aca="false">DA$4*DA15</f>
        <v>0</v>
      </c>
      <c r="DB120" s="196" t="n">
        <f aca="false">DB$4*DB15</f>
        <v>0</v>
      </c>
      <c r="DC120" s="196" t="n">
        <f aca="false">DC$4*DC15</f>
        <v>0</v>
      </c>
      <c r="DD120" s="196" t="n">
        <f aca="false">DD$4*DD15</f>
        <v>0</v>
      </c>
      <c r="DE120" s="196" t="n">
        <f aca="false">DE$4*DE15</f>
        <v>0</v>
      </c>
      <c r="DF120" s="196" t="n">
        <f aca="false">DF$4*DF15</f>
        <v>0</v>
      </c>
      <c r="DG120" s="196" t="n">
        <f aca="false">DG$4*DG15</f>
        <v>0</v>
      </c>
      <c r="DH120" s="197" t="n">
        <f aca="false">DH$4*DH15</f>
        <v>0</v>
      </c>
      <c r="DI120" s="194" t="str">
        <f aca="false">CX120</f>
        <v>Alumno10</v>
      </c>
      <c r="DJ120" s="195" t="n">
        <f aca="false">DJ$4*DJ15</f>
        <v>0</v>
      </c>
      <c r="DK120" s="196" t="n">
        <f aca="false">DK$4*DK15</f>
        <v>0</v>
      </c>
      <c r="DL120" s="196" t="n">
        <f aca="false">DL$4*DL15</f>
        <v>0</v>
      </c>
      <c r="DM120" s="196" t="n">
        <f aca="false">DM$4*DM15</f>
        <v>0</v>
      </c>
      <c r="DN120" s="196" t="n">
        <f aca="false">DN$4*DN15</f>
        <v>0</v>
      </c>
      <c r="DO120" s="196" t="n">
        <f aca="false">DO$4*DO15</f>
        <v>0</v>
      </c>
      <c r="DP120" s="196" t="n">
        <f aca="false">DP$4*DP15</f>
        <v>0</v>
      </c>
      <c r="DQ120" s="196" t="n">
        <f aca="false">DQ$4*DQ15</f>
        <v>0</v>
      </c>
      <c r="DR120" s="196" t="n">
        <f aca="false">DR$4*DR15</f>
        <v>0</v>
      </c>
      <c r="DS120" s="197" t="n">
        <f aca="false">DS$4*DS15</f>
        <v>0</v>
      </c>
      <c r="DT120" s="194" t="str">
        <f aca="false">DI120</f>
        <v>Alumno10</v>
      </c>
      <c r="DU120" s="195" t="n">
        <f aca="false">DU$4*DU15</f>
        <v>0</v>
      </c>
      <c r="DV120" s="196" t="n">
        <f aca="false">DV$4*DV15</f>
        <v>0</v>
      </c>
      <c r="DW120" s="196" t="n">
        <f aca="false">DW$4*DW15</f>
        <v>0</v>
      </c>
      <c r="DX120" s="196" t="n">
        <f aca="false">DX$4*DX15</f>
        <v>0</v>
      </c>
      <c r="DY120" s="196" t="n">
        <f aca="false">DY$4*DY15</f>
        <v>0</v>
      </c>
      <c r="DZ120" s="196" t="n">
        <f aca="false">DZ$4*DZ15</f>
        <v>0</v>
      </c>
      <c r="EA120" s="196" t="n">
        <f aca="false">EA$4*EA15</f>
        <v>0</v>
      </c>
      <c r="EB120" s="196" t="n">
        <f aca="false">EB$4*EB15</f>
        <v>0</v>
      </c>
      <c r="EC120" s="196" t="n">
        <f aca="false">EC$4*EC15</f>
        <v>0</v>
      </c>
      <c r="ED120" s="197" t="n">
        <f aca="false">ED$4*ED15</f>
        <v>0</v>
      </c>
      <c r="EE120" s="194" t="str">
        <f aca="false">DT120</f>
        <v>Alumno10</v>
      </c>
      <c r="EF120" s="195" t="n">
        <f aca="false">EF$4*EF15</f>
        <v>0</v>
      </c>
      <c r="EG120" s="196" t="n">
        <f aca="false">EG$4*EG15</f>
        <v>0</v>
      </c>
      <c r="EH120" s="196" t="n">
        <f aca="false">EH$4*EH15</f>
        <v>0</v>
      </c>
      <c r="EI120" s="196" t="n">
        <f aca="false">EI$4*EI15</f>
        <v>0</v>
      </c>
      <c r="EJ120" s="196" t="n">
        <f aca="false">EJ$4*EJ15</f>
        <v>0</v>
      </c>
      <c r="EK120" s="196" t="n">
        <f aca="false">EK$4*EK15</f>
        <v>0</v>
      </c>
      <c r="EL120" s="196" t="n">
        <f aca="false">EL$4*EL15</f>
        <v>0</v>
      </c>
      <c r="EM120" s="196" t="n">
        <f aca="false">EM$4*EM15</f>
        <v>0</v>
      </c>
      <c r="EN120" s="196" t="n">
        <f aca="false">EN$4*EN15</f>
        <v>0</v>
      </c>
      <c r="EO120" s="197" t="n">
        <f aca="false">EO$4*EO15</f>
        <v>0</v>
      </c>
      <c r="EP120" s="194" t="str">
        <f aca="false">EE120</f>
        <v>Alumno10</v>
      </c>
      <c r="EQ120" s="195" t="n">
        <f aca="false">EQ$4*EQ15</f>
        <v>0</v>
      </c>
      <c r="ER120" s="196" t="n">
        <f aca="false">ER$4*ER15</f>
        <v>0</v>
      </c>
      <c r="ES120" s="196" t="n">
        <f aca="false">ES$4*ES15</f>
        <v>0</v>
      </c>
      <c r="ET120" s="196" t="n">
        <f aca="false">ET$4*ET15</f>
        <v>0</v>
      </c>
      <c r="EU120" s="196" t="n">
        <f aca="false">EU$4*EU15</f>
        <v>0</v>
      </c>
      <c r="EV120" s="196" t="n">
        <f aca="false">EV$4*EV15</f>
        <v>0</v>
      </c>
      <c r="EW120" s="196" t="n">
        <f aca="false">EW$4*EW15</f>
        <v>0</v>
      </c>
      <c r="EX120" s="196" t="n">
        <f aca="false">EX$4*EX15</f>
        <v>0</v>
      </c>
      <c r="EY120" s="196" t="n">
        <f aca="false">EY$4*EY15</f>
        <v>0</v>
      </c>
      <c r="EZ120" s="197" t="n">
        <f aca="false">EZ$4*EZ15</f>
        <v>0</v>
      </c>
      <c r="FA120" s="194" t="str">
        <f aca="false">EP120</f>
        <v>Alumno10</v>
      </c>
      <c r="FB120" s="195" t="n">
        <f aca="false">FB$4*FB15</f>
        <v>0</v>
      </c>
      <c r="FC120" s="196" t="n">
        <f aca="false">FC$4*FC15</f>
        <v>0</v>
      </c>
      <c r="FD120" s="196" t="n">
        <f aca="false">FD$4*FD15</f>
        <v>0</v>
      </c>
      <c r="FE120" s="196" t="n">
        <f aca="false">FE$4*FE15</f>
        <v>0</v>
      </c>
      <c r="FF120" s="196" t="n">
        <f aca="false">FF$4*FF15</f>
        <v>0</v>
      </c>
      <c r="FG120" s="196" t="n">
        <f aca="false">FG$4*FG15</f>
        <v>0</v>
      </c>
      <c r="FH120" s="196" t="n">
        <f aca="false">FH$4*FH15</f>
        <v>0</v>
      </c>
      <c r="FI120" s="196" t="n">
        <f aca="false">FI$4*FI15</f>
        <v>0</v>
      </c>
      <c r="FJ120" s="196" t="n">
        <f aca="false">FJ$4*FJ15</f>
        <v>0</v>
      </c>
      <c r="FK120" s="197" t="n">
        <f aca="false">FK$4*FK15</f>
        <v>0</v>
      </c>
      <c r="FL120" s="194" t="str">
        <f aca="false">FA120</f>
        <v>Alumno10</v>
      </c>
      <c r="FM120" s="195" t="n">
        <f aca="false">FM$4*FM15</f>
        <v>0</v>
      </c>
      <c r="FN120" s="196" t="n">
        <f aca="false">FN$4*FN15</f>
        <v>0</v>
      </c>
      <c r="FO120" s="196" t="n">
        <f aca="false">FO$4*FO15</f>
        <v>0</v>
      </c>
      <c r="FP120" s="196" t="n">
        <f aca="false">FP$4*FP15</f>
        <v>0</v>
      </c>
      <c r="FQ120" s="196" t="n">
        <f aca="false">FQ$4*FQ15</f>
        <v>0</v>
      </c>
      <c r="FR120" s="196" t="n">
        <f aca="false">FR$4*FR15</f>
        <v>0</v>
      </c>
      <c r="FS120" s="196" t="n">
        <f aca="false">FS$4*FS15</f>
        <v>0</v>
      </c>
      <c r="FT120" s="196" t="n">
        <f aca="false">FT$4*FT15</f>
        <v>0</v>
      </c>
      <c r="FU120" s="196" t="n">
        <f aca="false">FU$4*FU15</f>
        <v>0</v>
      </c>
      <c r="FV120" s="197" t="n">
        <f aca="false">FV$4*FV15</f>
        <v>0</v>
      </c>
      <c r="FW120" s="194" t="str">
        <f aca="false">FL120</f>
        <v>Alumno10</v>
      </c>
      <c r="FX120" s="195" t="n">
        <f aca="false">FX$4*FX15</f>
        <v>0</v>
      </c>
      <c r="FY120" s="196" t="n">
        <f aca="false">FY$4*FY15</f>
        <v>0</v>
      </c>
      <c r="FZ120" s="196" t="n">
        <f aca="false">FZ$4*FZ15</f>
        <v>0</v>
      </c>
      <c r="GA120" s="196" t="n">
        <f aca="false">GA$4*GA15</f>
        <v>0</v>
      </c>
      <c r="GB120" s="196" t="n">
        <f aca="false">GB$4*GB15</f>
        <v>0</v>
      </c>
      <c r="GC120" s="196" t="n">
        <f aca="false">GC$4*GC15</f>
        <v>0</v>
      </c>
      <c r="GD120" s="196" t="n">
        <f aca="false">GD$4*GD15</f>
        <v>0</v>
      </c>
      <c r="GE120" s="196" t="n">
        <f aca="false">GE$4*GE15</f>
        <v>0</v>
      </c>
      <c r="GF120" s="196" t="n">
        <f aca="false">GF$4*GF15</f>
        <v>0</v>
      </c>
      <c r="GG120" s="197" t="n">
        <f aca="false">GG$4*GG15</f>
        <v>0</v>
      </c>
      <c r="GH120" s="194" t="str">
        <f aca="false">FW120</f>
        <v>Alumno10</v>
      </c>
      <c r="GI120" s="195" t="n">
        <f aca="false">GI$4*GI15</f>
        <v>0</v>
      </c>
      <c r="GJ120" s="196" t="n">
        <f aca="false">GJ$4*GJ15</f>
        <v>0</v>
      </c>
      <c r="GK120" s="196" t="n">
        <f aca="false">GK$4*GK15</f>
        <v>0</v>
      </c>
      <c r="GL120" s="196" t="n">
        <f aca="false">GL$4*GL15</f>
        <v>0</v>
      </c>
      <c r="GM120" s="196" t="n">
        <f aca="false">GM$4*GM15</f>
        <v>0</v>
      </c>
      <c r="GN120" s="196" t="n">
        <f aca="false">GN$4*GN15</f>
        <v>0</v>
      </c>
      <c r="GO120" s="196" t="n">
        <f aca="false">GO$4*GO15</f>
        <v>0</v>
      </c>
      <c r="GP120" s="196" t="n">
        <f aca="false">GP$4*GP15</f>
        <v>0</v>
      </c>
      <c r="GQ120" s="196" t="n">
        <f aca="false">GQ$4*GQ15</f>
        <v>0</v>
      </c>
      <c r="GR120" s="197" t="n">
        <f aca="false">GR$4*GR15</f>
        <v>0</v>
      </c>
      <c r="GS120" s="194" t="str">
        <f aca="false">GH120</f>
        <v>Alumno10</v>
      </c>
      <c r="GT120" s="195" t="n">
        <f aca="false">GT$4*GT15</f>
        <v>0</v>
      </c>
      <c r="GU120" s="196" t="n">
        <f aca="false">GU$4*GU15</f>
        <v>0</v>
      </c>
      <c r="GV120" s="196" t="n">
        <f aca="false">GV$4*GV15</f>
        <v>0</v>
      </c>
      <c r="GW120" s="196" t="n">
        <f aca="false">GW$4*GW15</f>
        <v>0</v>
      </c>
      <c r="GX120" s="196" t="n">
        <f aca="false">GX$4*GX15</f>
        <v>0</v>
      </c>
      <c r="GY120" s="196" t="n">
        <f aca="false">GY$4*GY15</f>
        <v>0</v>
      </c>
      <c r="GZ120" s="196" t="n">
        <f aca="false">GZ$4*GZ15</f>
        <v>0</v>
      </c>
      <c r="HA120" s="196" t="n">
        <f aca="false">HA$4*HA15</f>
        <v>0</v>
      </c>
      <c r="HB120" s="196" t="n">
        <f aca="false">HB$4*HB15</f>
        <v>0</v>
      </c>
      <c r="HC120" s="197" t="n">
        <f aca="false">HC$4*HC15</f>
        <v>0</v>
      </c>
      <c r="HD120" s="194" t="str">
        <f aca="false">GS120</f>
        <v>Alumno10</v>
      </c>
      <c r="HE120" s="195" t="n">
        <f aca="false">HE$4*HE15</f>
        <v>0</v>
      </c>
      <c r="HF120" s="196" t="n">
        <f aca="false">HF$4*HF15</f>
        <v>0</v>
      </c>
      <c r="HG120" s="196" t="n">
        <f aca="false">HG$4*HG15</f>
        <v>0</v>
      </c>
      <c r="HH120" s="196" t="n">
        <f aca="false">HH$4*HH15</f>
        <v>0</v>
      </c>
      <c r="HI120" s="196" t="n">
        <f aca="false">HI$4*HI15</f>
        <v>0</v>
      </c>
      <c r="HJ120" s="196" t="n">
        <f aca="false">HJ$4*HJ15</f>
        <v>0</v>
      </c>
      <c r="HK120" s="196" t="n">
        <f aca="false">HK$4*HK15</f>
        <v>0</v>
      </c>
      <c r="HL120" s="196" t="n">
        <f aca="false">HL$4*HL15</f>
        <v>0</v>
      </c>
      <c r="HM120" s="196" t="n">
        <f aca="false">HM$4*HM15</f>
        <v>0</v>
      </c>
      <c r="HN120" s="197" t="n">
        <f aca="false">HN$4*HN15</f>
        <v>0</v>
      </c>
      <c r="HO120" s="194" t="str">
        <f aca="false">HD120</f>
        <v>Alumno10</v>
      </c>
      <c r="HP120" s="195" t="n">
        <f aca="false">HP$4*HP15</f>
        <v>0</v>
      </c>
      <c r="HQ120" s="196" t="n">
        <f aca="false">HQ$4*HQ15</f>
        <v>0</v>
      </c>
      <c r="HR120" s="196" t="n">
        <f aca="false">HR$4*HR15</f>
        <v>0</v>
      </c>
      <c r="HS120" s="196" t="n">
        <f aca="false">HS$4*HS15</f>
        <v>0</v>
      </c>
      <c r="HT120" s="196" t="n">
        <f aca="false">HT$4*HT15</f>
        <v>0</v>
      </c>
      <c r="HU120" s="196" t="n">
        <f aca="false">HU$4*HU15</f>
        <v>0</v>
      </c>
      <c r="HV120" s="196" t="n">
        <f aca="false">HV$4*HV15</f>
        <v>0</v>
      </c>
      <c r="HW120" s="196" t="n">
        <f aca="false">HW$4*HW15</f>
        <v>0</v>
      </c>
      <c r="HX120" s="196" t="n">
        <f aca="false">HX$4*HX15</f>
        <v>0</v>
      </c>
      <c r="HY120" s="197" t="n">
        <f aca="false">HY$4*HY15</f>
        <v>0</v>
      </c>
      <c r="HZ120" s="194" t="str">
        <f aca="false">HO120</f>
        <v>Alumno10</v>
      </c>
      <c r="IA120" s="195" t="n">
        <f aca="false">IA$4*IA15</f>
        <v>0</v>
      </c>
      <c r="IB120" s="196" t="n">
        <f aca="false">IB$4*IB15</f>
        <v>0</v>
      </c>
      <c r="IC120" s="196" t="n">
        <f aca="false">IC$4*IC15</f>
        <v>0</v>
      </c>
      <c r="ID120" s="196" t="n">
        <f aca="false">ID$4*ID15</f>
        <v>0</v>
      </c>
      <c r="IE120" s="196" t="n">
        <f aca="false">IE$4*IE15</f>
        <v>0</v>
      </c>
      <c r="IF120" s="196" t="n">
        <f aca="false">IF$4*IF15</f>
        <v>0</v>
      </c>
      <c r="IG120" s="196" t="n">
        <f aca="false">IG$4*IG15</f>
        <v>0</v>
      </c>
      <c r="IH120" s="196" t="n">
        <f aca="false">IH$4*IH15</f>
        <v>0</v>
      </c>
      <c r="II120" s="196" t="n">
        <f aca="false">II$4*II15</f>
        <v>0</v>
      </c>
      <c r="IJ120" s="197" t="n">
        <f aca="false">IJ$4*IJ15</f>
        <v>0</v>
      </c>
      <c r="IK120" s="194" t="str">
        <f aca="false">HZ120</f>
        <v>Alumno10</v>
      </c>
      <c r="IL120" s="195" t="n">
        <f aca="false">IL$4*IL15</f>
        <v>0</v>
      </c>
      <c r="IM120" s="196" t="n">
        <f aca="false">IM$4*IM15</f>
        <v>0</v>
      </c>
      <c r="IN120" s="196" t="n">
        <f aca="false">IN$4*IN15</f>
        <v>0</v>
      </c>
      <c r="IO120" s="196" t="n">
        <f aca="false">IO$4*IO15</f>
        <v>0</v>
      </c>
      <c r="IP120" s="196" t="n">
        <f aca="false">IP$4*IP15</f>
        <v>0</v>
      </c>
      <c r="IQ120" s="196" t="n">
        <f aca="false">IQ$4*IQ15</f>
        <v>0</v>
      </c>
      <c r="IR120" s="196" t="n">
        <f aca="false">IR$4*IR15</f>
        <v>0</v>
      </c>
      <c r="IS120" s="196" t="n">
        <f aca="false">IS$4*IS15</f>
        <v>0</v>
      </c>
      <c r="IT120" s="196" t="n">
        <f aca="false">IT$4*IT15</f>
        <v>0</v>
      </c>
      <c r="IU120" s="197" t="n">
        <f aca="false">IU$4*IU15</f>
        <v>0</v>
      </c>
      <c r="IV120" s="194" t="str">
        <f aca="false">IK120</f>
        <v>Alumno10</v>
      </c>
      <c r="IW120" s="195" t="n">
        <f aca="false">IW$4*IW15</f>
        <v>0</v>
      </c>
      <c r="IX120" s="196" t="n">
        <f aca="false">IX$4*IX15</f>
        <v>0</v>
      </c>
      <c r="IY120" s="196" t="n">
        <f aca="false">IY$4*IY15</f>
        <v>0</v>
      </c>
      <c r="IZ120" s="196" t="n">
        <f aca="false">IZ$4*IZ15</f>
        <v>0</v>
      </c>
      <c r="JA120" s="196" t="n">
        <f aca="false">JA$4*JA15</f>
        <v>0</v>
      </c>
      <c r="JB120" s="196" t="n">
        <f aca="false">JB$4*JB15</f>
        <v>0</v>
      </c>
      <c r="JC120" s="196" t="n">
        <f aca="false">JC$4*JC15</f>
        <v>0</v>
      </c>
      <c r="JD120" s="196" t="n">
        <f aca="false">JD$4*JD15</f>
        <v>0</v>
      </c>
      <c r="JE120" s="196" t="n">
        <f aca="false">JE$4*JE15</f>
        <v>0</v>
      </c>
      <c r="JF120" s="197" t="n">
        <f aca="false">JF$4*JF15</f>
        <v>0</v>
      </c>
      <c r="JG120" s="194" t="str">
        <f aca="false">IV120</f>
        <v>Alumno10</v>
      </c>
      <c r="JH120" s="195" t="n">
        <f aca="false">JH$4*JH15</f>
        <v>0</v>
      </c>
      <c r="JI120" s="196" t="n">
        <f aca="false">JI$4*JI15</f>
        <v>0</v>
      </c>
      <c r="JJ120" s="196" t="n">
        <f aca="false">JJ$4*JJ15</f>
        <v>0</v>
      </c>
      <c r="JK120" s="196" t="n">
        <f aca="false">JK$4*JK15</f>
        <v>0</v>
      </c>
      <c r="JL120" s="196" t="n">
        <f aca="false">JL$4*JL15</f>
        <v>0</v>
      </c>
      <c r="JM120" s="196" t="n">
        <f aca="false">JM$4*JM15</f>
        <v>0</v>
      </c>
      <c r="JN120" s="196" t="n">
        <f aca="false">JN$4*JN15</f>
        <v>0</v>
      </c>
      <c r="JO120" s="196" t="n">
        <f aca="false">JO$4*JO15</f>
        <v>0</v>
      </c>
      <c r="JP120" s="196" t="n">
        <f aca="false">JP$4*JP15</f>
        <v>0</v>
      </c>
      <c r="JQ120" s="197" t="n">
        <f aca="false">JQ$4*JQ15</f>
        <v>0</v>
      </c>
      <c r="JR120" s="194" t="str">
        <f aca="false">JG120</f>
        <v>Alumno10</v>
      </c>
      <c r="JS120" s="195" t="n">
        <f aca="false">JS$4*JS15</f>
        <v>0</v>
      </c>
      <c r="JT120" s="196" t="n">
        <f aca="false">JT$4*JT15</f>
        <v>0</v>
      </c>
      <c r="JU120" s="196" t="n">
        <f aca="false">JU$4*JU15</f>
        <v>0</v>
      </c>
      <c r="JV120" s="196" t="n">
        <f aca="false">JV$4*JV15</f>
        <v>0</v>
      </c>
      <c r="JW120" s="196" t="n">
        <f aca="false">JW$4*JW15</f>
        <v>0</v>
      </c>
      <c r="JX120" s="196" t="n">
        <f aca="false">JX$4*JX15</f>
        <v>0</v>
      </c>
      <c r="JY120" s="196" t="n">
        <f aca="false">JY$4*JY15</f>
        <v>0</v>
      </c>
      <c r="JZ120" s="196" t="n">
        <f aca="false">JZ$4*JZ15</f>
        <v>0</v>
      </c>
      <c r="KA120" s="196" t="n">
        <f aca="false">KA$4*KA15</f>
        <v>0</v>
      </c>
      <c r="KB120" s="197" t="n">
        <f aca="false">KB$4*KB15</f>
        <v>0</v>
      </c>
      <c r="KC120" s="194" t="str">
        <f aca="false">JR120</f>
        <v>Alumno10</v>
      </c>
      <c r="KD120" s="195" t="n">
        <f aca="false">KD$4*KD15</f>
        <v>0</v>
      </c>
      <c r="KE120" s="196" t="n">
        <f aca="false">KE$4*KE15</f>
        <v>0</v>
      </c>
      <c r="KF120" s="196" t="n">
        <f aca="false">KF$4*KF15</f>
        <v>0</v>
      </c>
      <c r="KG120" s="196" t="n">
        <f aca="false">KG$4*KG15</f>
        <v>0</v>
      </c>
      <c r="KH120" s="196" t="n">
        <f aca="false">KH$4*KH15</f>
        <v>0</v>
      </c>
      <c r="KI120" s="196" t="n">
        <f aca="false">KI$4*KI15</f>
        <v>0</v>
      </c>
      <c r="KJ120" s="196" t="n">
        <f aca="false">KJ$4*KJ15</f>
        <v>0</v>
      </c>
      <c r="KK120" s="196" t="n">
        <f aca="false">KK$4*KK15</f>
        <v>0</v>
      </c>
      <c r="KL120" s="196" t="n">
        <f aca="false">KL$4*KL15</f>
        <v>0</v>
      </c>
      <c r="KM120" s="197" t="n">
        <f aca="false">KM$4*KM15</f>
        <v>0</v>
      </c>
      <c r="KN120" s="194" t="str">
        <f aca="false">KC120</f>
        <v>Alumno10</v>
      </c>
      <c r="KO120" s="195" t="n">
        <f aca="false">KO$4*KO15</f>
        <v>0</v>
      </c>
      <c r="KP120" s="196" t="n">
        <f aca="false">KP$4*KP15</f>
        <v>0</v>
      </c>
      <c r="KQ120" s="196" t="n">
        <f aca="false">KQ$4*KQ15</f>
        <v>0</v>
      </c>
      <c r="KR120" s="196" t="n">
        <f aca="false">KR$4*KR15</f>
        <v>0</v>
      </c>
      <c r="KS120" s="196" t="n">
        <f aca="false">KS$4*KS15</f>
        <v>0</v>
      </c>
      <c r="KT120" s="196" t="n">
        <f aca="false">KT$4*KT15</f>
        <v>0</v>
      </c>
      <c r="KU120" s="196" t="n">
        <f aca="false">KU$4*KU15</f>
        <v>0</v>
      </c>
      <c r="KV120" s="196" t="n">
        <f aca="false">KV$4*KV15</f>
        <v>0</v>
      </c>
      <c r="KW120" s="196" t="n">
        <f aca="false">KW$4*KW15</f>
        <v>0</v>
      </c>
      <c r="KX120" s="197" t="n">
        <f aca="false">KX$4*KX15</f>
        <v>0</v>
      </c>
      <c r="KY120" s="194" t="str">
        <f aca="false">KN120</f>
        <v>Alumno10</v>
      </c>
      <c r="KZ120" s="195" t="n">
        <f aca="false">KZ$4*KZ15</f>
        <v>0</v>
      </c>
      <c r="LA120" s="196" t="n">
        <f aca="false">LA$4*LA15</f>
        <v>0</v>
      </c>
      <c r="LB120" s="196" t="n">
        <f aca="false">LB$4*LB15</f>
        <v>0</v>
      </c>
      <c r="LC120" s="196" t="n">
        <f aca="false">LC$4*LC15</f>
        <v>0</v>
      </c>
      <c r="LD120" s="196" t="n">
        <f aca="false">LD$4*LD15</f>
        <v>0</v>
      </c>
      <c r="LE120" s="196" t="n">
        <f aca="false">LE$4*LE15</f>
        <v>0</v>
      </c>
      <c r="LF120" s="196" t="n">
        <f aca="false">LF$4*LF15</f>
        <v>0</v>
      </c>
      <c r="LG120" s="196" t="n">
        <f aca="false">LG$4*LG15</f>
        <v>0</v>
      </c>
      <c r="LH120" s="196" t="n">
        <f aca="false">LH$4*LH15</f>
        <v>0</v>
      </c>
      <c r="LI120" s="197" t="n">
        <f aca="false">LI$4*LI15</f>
        <v>0</v>
      </c>
      <c r="LJ120" s="194" t="str">
        <f aca="false">KY120</f>
        <v>Alumno10</v>
      </c>
      <c r="LK120" s="195" t="n">
        <f aca="false">LK$4*LK15</f>
        <v>0</v>
      </c>
      <c r="LL120" s="196" t="n">
        <f aca="false">LL$4*LL15</f>
        <v>0</v>
      </c>
      <c r="LM120" s="196" t="n">
        <f aca="false">LM$4*LM15</f>
        <v>0</v>
      </c>
      <c r="LN120" s="196" t="n">
        <f aca="false">LN$4*LN15</f>
        <v>0</v>
      </c>
      <c r="LO120" s="196" t="n">
        <f aca="false">LO$4*LO15</f>
        <v>0</v>
      </c>
      <c r="LP120" s="196" t="n">
        <f aca="false">LP$4*LP15</f>
        <v>0</v>
      </c>
      <c r="LQ120" s="196" t="n">
        <f aca="false">LQ$4*LQ15</f>
        <v>0</v>
      </c>
      <c r="LR120" s="196" t="n">
        <f aca="false">LR$4*LR15</f>
        <v>0</v>
      </c>
      <c r="LS120" s="196" t="n">
        <f aca="false">LS$4*LS15</f>
        <v>0</v>
      </c>
      <c r="LT120" s="197" t="n">
        <f aca="false">LT$4*LT15</f>
        <v>0</v>
      </c>
    </row>
    <row r="121" customFormat="false" ht="15" hidden="true" customHeight="false" outlineLevel="0" collapsed="false">
      <c r="C121" s="194" t="str">
        <f aca="false">C72</f>
        <v>Alumno11</v>
      </c>
      <c r="D121" s="195" t="n">
        <f aca="false">D$4*D16</f>
        <v>1.2</v>
      </c>
      <c r="E121" s="196" t="n">
        <f aca="false">E$4*E16</f>
        <v>0.75</v>
      </c>
      <c r="F121" s="196" t="n">
        <f aca="false">F$4*F16</f>
        <v>1.4</v>
      </c>
      <c r="G121" s="196" t="n">
        <f aca="false">G$4*G16</f>
        <v>0.4</v>
      </c>
      <c r="H121" s="196" t="n">
        <f aca="false">H$4*H16</f>
        <v>1.35</v>
      </c>
      <c r="I121" s="196" t="n">
        <f aca="false">I$4*I16</f>
        <v>1.2</v>
      </c>
      <c r="J121" s="196" t="n">
        <f aca="false">J$4*J16</f>
        <v>0.6</v>
      </c>
      <c r="K121" s="196" t="n">
        <f aca="false">K$4*K16</f>
        <v>0</v>
      </c>
      <c r="L121" s="196" t="n">
        <f aca="false">L$4*L16</f>
        <v>0</v>
      </c>
      <c r="M121" s="197" t="n">
        <f aca="false">M$4*M16</f>
        <v>0</v>
      </c>
      <c r="N121" s="194" t="str">
        <f aca="false">C121</f>
        <v>Alumno11</v>
      </c>
      <c r="O121" s="195" t="n">
        <f aca="false">O$4*O16</f>
        <v>1.6</v>
      </c>
      <c r="P121" s="196" t="n">
        <f aca="false">P$4*P16</f>
        <v>1</v>
      </c>
      <c r="Q121" s="196" t="n">
        <f aca="false">Q$4*Q16</f>
        <v>1.4</v>
      </c>
      <c r="R121" s="196" t="n">
        <f aca="false">R$4*R16</f>
        <v>0.8</v>
      </c>
      <c r="S121" s="196" t="n">
        <f aca="false">S$4*S16</f>
        <v>1.8</v>
      </c>
      <c r="T121" s="196" t="n">
        <f aca="false">T$4*T16</f>
        <v>0</v>
      </c>
      <c r="U121" s="196" t="n">
        <f aca="false">U$4*U16</f>
        <v>0</v>
      </c>
      <c r="V121" s="196" t="n">
        <f aca="false">V$4*V16</f>
        <v>0</v>
      </c>
      <c r="W121" s="196" t="n">
        <f aca="false">W$4*W16</f>
        <v>0</v>
      </c>
      <c r="X121" s="197" t="n">
        <f aca="false">X$4*X16</f>
        <v>0</v>
      </c>
      <c r="Y121" s="194" t="str">
        <f aca="false">N121</f>
        <v>Alumno11</v>
      </c>
      <c r="Z121" s="195" t="n">
        <f aca="false">Z$4*Z16</f>
        <v>1.8</v>
      </c>
      <c r="AA121" s="196" t="n">
        <f aca="false">AA$4*AA16</f>
        <v>1.8</v>
      </c>
      <c r="AB121" s="196" t="n">
        <f aca="false">AB$4*AB16</f>
        <v>1.8</v>
      </c>
      <c r="AC121" s="196" t="n">
        <f aca="false">AC$4*AC16</f>
        <v>1.8</v>
      </c>
      <c r="AD121" s="196" t="n">
        <f aca="false">AD$4*AD16</f>
        <v>1.8</v>
      </c>
      <c r="AE121" s="196" t="n">
        <f aca="false">AE$4*AE16</f>
        <v>0</v>
      </c>
      <c r="AF121" s="196" t="n">
        <f aca="false">AF$4*AF16</f>
        <v>0</v>
      </c>
      <c r="AG121" s="196" t="n">
        <f aca="false">AG$4*AG16</f>
        <v>0</v>
      </c>
      <c r="AH121" s="196" t="n">
        <f aca="false">AH$4*AH16</f>
        <v>0</v>
      </c>
      <c r="AI121" s="197" t="n">
        <f aca="false">AI$4*AI16</f>
        <v>0</v>
      </c>
      <c r="AJ121" s="194" t="str">
        <f aca="false">Y121</f>
        <v>Alumno11</v>
      </c>
      <c r="AK121" s="195" t="n">
        <f aca="false">AK$4*AK16</f>
        <v>1.8</v>
      </c>
      <c r="AL121" s="196" t="n">
        <f aca="false">AL$4*AL16</f>
        <v>1.8</v>
      </c>
      <c r="AM121" s="196" t="n">
        <f aca="false">AM$4*AM16</f>
        <v>1.8</v>
      </c>
      <c r="AN121" s="196" t="n">
        <f aca="false">AN$4*AN16</f>
        <v>1.8</v>
      </c>
      <c r="AO121" s="196" t="n">
        <f aca="false">AO$4*AO16</f>
        <v>1.8</v>
      </c>
      <c r="AP121" s="196" t="n">
        <f aca="false">AP$4*AP16</f>
        <v>0</v>
      </c>
      <c r="AQ121" s="196" t="n">
        <f aca="false">AQ$4*AQ16</f>
        <v>0</v>
      </c>
      <c r="AR121" s="196" t="n">
        <f aca="false">AR$4*AR16</f>
        <v>0</v>
      </c>
      <c r="AS121" s="196" t="n">
        <f aca="false">AS$4*AS16</f>
        <v>0</v>
      </c>
      <c r="AT121" s="197" t="n">
        <f aca="false">AT$4*AT16</f>
        <v>0</v>
      </c>
      <c r="AU121" s="194" t="str">
        <f aca="false">AJ121</f>
        <v>Alumno11</v>
      </c>
      <c r="AV121" s="195" t="n">
        <f aca="false">AV$4*AV16</f>
        <v>0.8</v>
      </c>
      <c r="AW121" s="196" t="n">
        <f aca="false">AW$4*AW16</f>
        <v>1</v>
      </c>
      <c r="AX121" s="196" t="n">
        <f aca="false">AX$4*AX16</f>
        <v>1.4</v>
      </c>
      <c r="AY121" s="196" t="n">
        <f aca="false">AY$4*AY16</f>
        <v>1.2</v>
      </c>
      <c r="AZ121" s="196" t="n">
        <f aca="false">AZ$4*AZ16</f>
        <v>1.8</v>
      </c>
      <c r="BA121" s="196" t="n">
        <f aca="false">BA$4*BA16</f>
        <v>0</v>
      </c>
      <c r="BB121" s="196" t="n">
        <f aca="false">BB$4*BB16</f>
        <v>0</v>
      </c>
      <c r="BC121" s="196" t="n">
        <f aca="false">BC$4*BC16</f>
        <v>0</v>
      </c>
      <c r="BD121" s="196" t="n">
        <f aca="false">BD$4*BD16</f>
        <v>0</v>
      </c>
      <c r="BE121" s="197" t="n">
        <f aca="false">BE$4*BE16</f>
        <v>0</v>
      </c>
      <c r="BF121" s="194" t="str">
        <f aca="false">AU121</f>
        <v>Alumno11</v>
      </c>
      <c r="BG121" s="195" t="n">
        <f aca="false">BG$4*BG16</f>
        <v>0.8</v>
      </c>
      <c r="BH121" s="196" t="n">
        <f aca="false">BH$4*BH16</f>
        <v>1</v>
      </c>
      <c r="BI121" s="196" t="n">
        <f aca="false">BI$4*BI16</f>
        <v>1.4</v>
      </c>
      <c r="BJ121" s="196" t="n">
        <f aca="false">BJ$4*BJ16</f>
        <v>0.8</v>
      </c>
      <c r="BK121" s="196" t="n">
        <f aca="false">BK$4*BK16</f>
        <v>2.7</v>
      </c>
      <c r="BL121" s="196" t="n">
        <f aca="false">BL$4*BL16</f>
        <v>0</v>
      </c>
      <c r="BM121" s="196" t="n">
        <f aca="false">BM$4*BM16</f>
        <v>0</v>
      </c>
      <c r="BN121" s="196" t="n">
        <f aca="false">BN$4*BN16</f>
        <v>0</v>
      </c>
      <c r="BO121" s="196" t="n">
        <f aca="false">BO$4*BO16</f>
        <v>0</v>
      </c>
      <c r="BP121" s="197" t="n">
        <f aca="false">BP$4*BP16</f>
        <v>0</v>
      </c>
      <c r="BQ121" s="194" t="str">
        <f aca="false">BF121</f>
        <v>Alumno11</v>
      </c>
      <c r="BR121" s="195" t="n">
        <f aca="false">BR$4*BR16</f>
        <v>1</v>
      </c>
      <c r="BS121" s="196" t="n">
        <f aca="false">BS$4*BS16</f>
        <v>0.5</v>
      </c>
      <c r="BT121" s="196" t="n">
        <f aca="false">BT$4*BT16</f>
        <v>1</v>
      </c>
      <c r="BU121" s="196" t="n">
        <f aca="false">BU$4*BU16</f>
        <v>1</v>
      </c>
      <c r="BV121" s="196" t="n">
        <f aca="false">BV$4*BV16</f>
        <v>1.5</v>
      </c>
      <c r="BW121" s="196" t="n">
        <f aca="false">BW$4*BW16</f>
        <v>0</v>
      </c>
      <c r="BX121" s="196" t="n">
        <f aca="false">BX$4*BX16</f>
        <v>0</v>
      </c>
      <c r="BY121" s="196" t="n">
        <f aca="false">BY$4*BY16</f>
        <v>0</v>
      </c>
      <c r="BZ121" s="196" t="n">
        <f aca="false">BZ$4*BZ16</f>
        <v>0</v>
      </c>
      <c r="CA121" s="197" t="n">
        <f aca="false">CA$4*CA16</f>
        <v>0</v>
      </c>
      <c r="CB121" s="194" t="str">
        <f aca="false">BQ121</f>
        <v>Alumno11</v>
      </c>
      <c r="CC121" s="195" t="n">
        <f aca="false">CC$4*CC16</f>
        <v>0</v>
      </c>
      <c r="CD121" s="196" t="n">
        <f aca="false">CD$4*CD16</f>
        <v>0</v>
      </c>
      <c r="CE121" s="196" t="n">
        <f aca="false">CE$4*CE16</f>
        <v>0</v>
      </c>
      <c r="CF121" s="196" t="n">
        <f aca="false">CF$4*CF16</f>
        <v>0</v>
      </c>
      <c r="CG121" s="196" t="n">
        <f aca="false">CG$4*CG16</f>
        <v>0</v>
      </c>
      <c r="CH121" s="196" t="n">
        <f aca="false">CH$4*CH16</f>
        <v>0</v>
      </c>
      <c r="CI121" s="196" t="n">
        <f aca="false">CI$4*CI16</f>
        <v>0</v>
      </c>
      <c r="CJ121" s="196" t="n">
        <f aca="false">CJ$4*CJ16</f>
        <v>0</v>
      </c>
      <c r="CK121" s="196" t="n">
        <f aca="false">CK$4*CK16</f>
        <v>0</v>
      </c>
      <c r="CL121" s="197" t="n">
        <f aca="false">CL$4*CL16</f>
        <v>0</v>
      </c>
      <c r="CM121" s="194" t="str">
        <f aca="false">CB121</f>
        <v>Alumno11</v>
      </c>
      <c r="CN121" s="195" t="n">
        <f aca="false">CN$4*CN16</f>
        <v>0</v>
      </c>
      <c r="CO121" s="196" t="n">
        <f aca="false">CO$4*CO16</f>
        <v>0</v>
      </c>
      <c r="CP121" s="196" t="n">
        <f aca="false">CP$4*CP16</f>
        <v>0</v>
      </c>
      <c r="CQ121" s="196" t="n">
        <f aca="false">CQ$4*CQ16</f>
        <v>0</v>
      </c>
      <c r="CR121" s="196" t="n">
        <f aca="false">CR$4*CR16</f>
        <v>0</v>
      </c>
      <c r="CS121" s="196" t="n">
        <f aca="false">CS$4*CS16</f>
        <v>0</v>
      </c>
      <c r="CT121" s="196" t="n">
        <f aca="false">CT$4*CT16</f>
        <v>0</v>
      </c>
      <c r="CU121" s="196" t="n">
        <f aca="false">CU$4*CU16</f>
        <v>0</v>
      </c>
      <c r="CV121" s="196" t="n">
        <f aca="false">CV$4*CV16</f>
        <v>0</v>
      </c>
      <c r="CW121" s="197" t="n">
        <f aca="false">CW$4*CW16</f>
        <v>0</v>
      </c>
      <c r="CX121" s="194" t="str">
        <f aca="false">CM121</f>
        <v>Alumno11</v>
      </c>
      <c r="CY121" s="195" t="n">
        <f aca="false">CY$4*CY16</f>
        <v>0</v>
      </c>
      <c r="CZ121" s="196" t="n">
        <f aca="false">CZ$4*CZ16</f>
        <v>0</v>
      </c>
      <c r="DA121" s="196" t="n">
        <f aca="false">DA$4*DA16</f>
        <v>0</v>
      </c>
      <c r="DB121" s="196" t="n">
        <f aca="false">DB$4*DB16</f>
        <v>0</v>
      </c>
      <c r="DC121" s="196" t="n">
        <f aca="false">DC$4*DC16</f>
        <v>0</v>
      </c>
      <c r="DD121" s="196" t="n">
        <f aca="false">DD$4*DD16</f>
        <v>0</v>
      </c>
      <c r="DE121" s="196" t="n">
        <f aca="false">DE$4*DE16</f>
        <v>0</v>
      </c>
      <c r="DF121" s="196" t="n">
        <f aca="false">DF$4*DF16</f>
        <v>0</v>
      </c>
      <c r="DG121" s="196" t="n">
        <f aca="false">DG$4*DG16</f>
        <v>0</v>
      </c>
      <c r="DH121" s="197" t="n">
        <f aca="false">DH$4*DH16</f>
        <v>0</v>
      </c>
      <c r="DI121" s="194" t="str">
        <f aca="false">CX121</f>
        <v>Alumno11</v>
      </c>
      <c r="DJ121" s="195" t="n">
        <f aca="false">DJ$4*DJ16</f>
        <v>0</v>
      </c>
      <c r="DK121" s="196" t="n">
        <f aca="false">DK$4*DK16</f>
        <v>0</v>
      </c>
      <c r="DL121" s="196" t="n">
        <f aca="false">DL$4*DL16</f>
        <v>0</v>
      </c>
      <c r="DM121" s="196" t="n">
        <f aca="false">DM$4*DM16</f>
        <v>0</v>
      </c>
      <c r="DN121" s="196" t="n">
        <f aca="false">DN$4*DN16</f>
        <v>0</v>
      </c>
      <c r="DO121" s="196" t="n">
        <f aca="false">DO$4*DO16</f>
        <v>0</v>
      </c>
      <c r="DP121" s="196" t="n">
        <f aca="false">DP$4*DP16</f>
        <v>0</v>
      </c>
      <c r="DQ121" s="196" t="n">
        <f aca="false">DQ$4*DQ16</f>
        <v>0</v>
      </c>
      <c r="DR121" s="196" t="n">
        <f aca="false">DR$4*DR16</f>
        <v>0</v>
      </c>
      <c r="DS121" s="197" t="n">
        <f aca="false">DS$4*DS16</f>
        <v>0</v>
      </c>
      <c r="DT121" s="194" t="str">
        <f aca="false">DI121</f>
        <v>Alumno11</v>
      </c>
      <c r="DU121" s="195" t="n">
        <f aca="false">DU$4*DU16</f>
        <v>0</v>
      </c>
      <c r="DV121" s="196" t="n">
        <f aca="false">DV$4*DV16</f>
        <v>0</v>
      </c>
      <c r="DW121" s="196" t="n">
        <f aca="false">DW$4*DW16</f>
        <v>0</v>
      </c>
      <c r="DX121" s="196" t="n">
        <f aca="false">DX$4*DX16</f>
        <v>0</v>
      </c>
      <c r="DY121" s="196" t="n">
        <f aca="false">DY$4*DY16</f>
        <v>0</v>
      </c>
      <c r="DZ121" s="196" t="n">
        <f aca="false">DZ$4*DZ16</f>
        <v>0</v>
      </c>
      <c r="EA121" s="196" t="n">
        <f aca="false">EA$4*EA16</f>
        <v>0</v>
      </c>
      <c r="EB121" s="196" t="n">
        <f aca="false">EB$4*EB16</f>
        <v>0</v>
      </c>
      <c r="EC121" s="196" t="n">
        <f aca="false">EC$4*EC16</f>
        <v>0</v>
      </c>
      <c r="ED121" s="197" t="n">
        <f aca="false">ED$4*ED16</f>
        <v>0</v>
      </c>
      <c r="EE121" s="194" t="str">
        <f aca="false">DT121</f>
        <v>Alumno11</v>
      </c>
      <c r="EF121" s="195" t="n">
        <f aca="false">EF$4*EF16</f>
        <v>0</v>
      </c>
      <c r="EG121" s="196" t="n">
        <f aca="false">EG$4*EG16</f>
        <v>0</v>
      </c>
      <c r="EH121" s="196" t="n">
        <f aca="false">EH$4*EH16</f>
        <v>0</v>
      </c>
      <c r="EI121" s="196" t="n">
        <f aca="false">EI$4*EI16</f>
        <v>0</v>
      </c>
      <c r="EJ121" s="196" t="n">
        <f aca="false">EJ$4*EJ16</f>
        <v>0</v>
      </c>
      <c r="EK121" s="196" t="n">
        <f aca="false">EK$4*EK16</f>
        <v>0</v>
      </c>
      <c r="EL121" s="196" t="n">
        <f aca="false">EL$4*EL16</f>
        <v>0</v>
      </c>
      <c r="EM121" s="196" t="n">
        <f aca="false">EM$4*EM16</f>
        <v>0</v>
      </c>
      <c r="EN121" s="196" t="n">
        <f aca="false">EN$4*EN16</f>
        <v>0</v>
      </c>
      <c r="EO121" s="197" t="n">
        <f aca="false">EO$4*EO16</f>
        <v>0</v>
      </c>
      <c r="EP121" s="194" t="str">
        <f aca="false">EE121</f>
        <v>Alumno11</v>
      </c>
      <c r="EQ121" s="195" t="n">
        <f aca="false">EQ$4*EQ16</f>
        <v>0</v>
      </c>
      <c r="ER121" s="196" t="n">
        <f aca="false">ER$4*ER16</f>
        <v>0</v>
      </c>
      <c r="ES121" s="196" t="n">
        <f aca="false">ES$4*ES16</f>
        <v>0</v>
      </c>
      <c r="ET121" s="196" t="n">
        <f aca="false">ET$4*ET16</f>
        <v>0</v>
      </c>
      <c r="EU121" s="196" t="n">
        <f aca="false">EU$4*EU16</f>
        <v>0</v>
      </c>
      <c r="EV121" s="196" t="n">
        <f aca="false">EV$4*EV16</f>
        <v>0</v>
      </c>
      <c r="EW121" s="196" t="n">
        <f aca="false">EW$4*EW16</f>
        <v>0</v>
      </c>
      <c r="EX121" s="196" t="n">
        <f aca="false">EX$4*EX16</f>
        <v>0</v>
      </c>
      <c r="EY121" s="196" t="n">
        <f aca="false">EY$4*EY16</f>
        <v>0</v>
      </c>
      <c r="EZ121" s="197" t="n">
        <f aca="false">EZ$4*EZ16</f>
        <v>0</v>
      </c>
      <c r="FA121" s="194" t="str">
        <f aca="false">EP121</f>
        <v>Alumno11</v>
      </c>
      <c r="FB121" s="195" t="n">
        <f aca="false">FB$4*FB16</f>
        <v>0</v>
      </c>
      <c r="FC121" s="196" t="n">
        <f aca="false">FC$4*FC16</f>
        <v>0</v>
      </c>
      <c r="FD121" s="196" t="n">
        <f aca="false">FD$4*FD16</f>
        <v>0</v>
      </c>
      <c r="FE121" s="196" t="n">
        <f aca="false">FE$4*FE16</f>
        <v>0</v>
      </c>
      <c r="FF121" s="196" t="n">
        <f aca="false">FF$4*FF16</f>
        <v>0</v>
      </c>
      <c r="FG121" s="196" t="n">
        <f aca="false">FG$4*FG16</f>
        <v>0</v>
      </c>
      <c r="FH121" s="196" t="n">
        <f aca="false">FH$4*FH16</f>
        <v>0</v>
      </c>
      <c r="FI121" s="196" t="n">
        <f aca="false">FI$4*FI16</f>
        <v>0</v>
      </c>
      <c r="FJ121" s="196" t="n">
        <f aca="false">FJ$4*FJ16</f>
        <v>0</v>
      </c>
      <c r="FK121" s="197" t="n">
        <f aca="false">FK$4*FK16</f>
        <v>0</v>
      </c>
      <c r="FL121" s="194" t="str">
        <f aca="false">FA121</f>
        <v>Alumno11</v>
      </c>
      <c r="FM121" s="195" t="n">
        <f aca="false">FM$4*FM16</f>
        <v>0</v>
      </c>
      <c r="FN121" s="196" t="n">
        <f aca="false">FN$4*FN16</f>
        <v>0</v>
      </c>
      <c r="FO121" s="196" t="n">
        <f aca="false">FO$4*FO16</f>
        <v>0</v>
      </c>
      <c r="FP121" s="196" t="n">
        <f aca="false">FP$4*FP16</f>
        <v>0</v>
      </c>
      <c r="FQ121" s="196" t="n">
        <f aca="false">FQ$4*FQ16</f>
        <v>0</v>
      </c>
      <c r="FR121" s="196" t="n">
        <f aca="false">FR$4*FR16</f>
        <v>0</v>
      </c>
      <c r="FS121" s="196" t="n">
        <f aca="false">FS$4*FS16</f>
        <v>0</v>
      </c>
      <c r="FT121" s="196" t="n">
        <f aca="false">FT$4*FT16</f>
        <v>0</v>
      </c>
      <c r="FU121" s="196" t="n">
        <f aca="false">FU$4*FU16</f>
        <v>0</v>
      </c>
      <c r="FV121" s="197" t="n">
        <f aca="false">FV$4*FV16</f>
        <v>0</v>
      </c>
      <c r="FW121" s="194" t="str">
        <f aca="false">FL121</f>
        <v>Alumno11</v>
      </c>
      <c r="FX121" s="195" t="n">
        <f aca="false">FX$4*FX16</f>
        <v>0</v>
      </c>
      <c r="FY121" s="196" t="n">
        <f aca="false">FY$4*FY16</f>
        <v>0</v>
      </c>
      <c r="FZ121" s="196" t="n">
        <f aca="false">FZ$4*FZ16</f>
        <v>0</v>
      </c>
      <c r="GA121" s="196" t="n">
        <f aca="false">GA$4*GA16</f>
        <v>0</v>
      </c>
      <c r="GB121" s="196" t="n">
        <f aca="false">GB$4*GB16</f>
        <v>0</v>
      </c>
      <c r="GC121" s="196" t="n">
        <f aca="false">GC$4*GC16</f>
        <v>0</v>
      </c>
      <c r="GD121" s="196" t="n">
        <f aca="false">GD$4*GD16</f>
        <v>0</v>
      </c>
      <c r="GE121" s="196" t="n">
        <f aca="false">GE$4*GE16</f>
        <v>0</v>
      </c>
      <c r="GF121" s="196" t="n">
        <f aca="false">GF$4*GF16</f>
        <v>0</v>
      </c>
      <c r="GG121" s="197" t="n">
        <f aca="false">GG$4*GG16</f>
        <v>0</v>
      </c>
      <c r="GH121" s="194" t="str">
        <f aca="false">FW121</f>
        <v>Alumno11</v>
      </c>
      <c r="GI121" s="195" t="n">
        <f aca="false">GI$4*GI16</f>
        <v>0</v>
      </c>
      <c r="GJ121" s="196" t="n">
        <f aca="false">GJ$4*GJ16</f>
        <v>0</v>
      </c>
      <c r="GK121" s="196" t="n">
        <f aca="false">GK$4*GK16</f>
        <v>0</v>
      </c>
      <c r="GL121" s="196" t="n">
        <f aca="false">GL$4*GL16</f>
        <v>0</v>
      </c>
      <c r="GM121" s="196" t="n">
        <f aca="false">GM$4*GM16</f>
        <v>0</v>
      </c>
      <c r="GN121" s="196" t="n">
        <f aca="false">GN$4*GN16</f>
        <v>0</v>
      </c>
      <c r="GO121" s="196" t="n">
        <f aca="false">GO$4*GO16</f>
        <v>0</v>
      </c>
      <c r="GP121" s="196" t="n">
        <f aca="false">GP$4*GP16</f>
        <v>0</v>
      </c>
      <c r="GQ121" s="196" t="n">
        <f aca="false">GQ$4*GQ16</f>
        <v>0</v>
      </c>
      <c r="GR121" s="197" t="n">
        <f aca="false">GR$4*GR16</f>
        <v>0</v>
      </c>
      <c r="GS121" s="194" t="str">
        <f aca="false">GH121</f>
        <v>Alumno11</v>
      </c>
      <c r="GT121" s="195" t="n">
        <f aca="false">GT$4*GT16</f>
        <v>0</v>
      </c>
      <c r="GU121" s="196" t="n">
        <f aca="false">GU$4*GU16</f>
        <v>0</v>
      </c>
      <c r="GV121" s="196" t="n">
        <f aca="false">GV$4*GV16</f>
        <v>0</v>
      </c>
      <c r="GW121" s="196" t="n">
        <f aca="false">GW$4*GW16</f>
        <v>0</v>
      </c>
      <c r="GX121" s="196" t="n">
        <f aca="false">GX$4*GX16</f>
        <v>0</v>
      </c>
      <c r="GY121" s="196" t="n">
        <f aca="false">GY$4*GY16</f>
        <v>0</v>
      </c>
      <c r="GZ121" s="196" t="n">
        <f aca="false">GZ$4*GZ16</f>
        <v>0</v>
      </c>
      <c r="HA121" s="196" t="n">
        <f aca="false">HA$4*HA16</f>
        <v>0</v>
      </c>
      <c r="HB121" s="196" t="n">
        <f aca="false">HB$4*HB16</f>
        <v>0</v>
      </c>
      <c r="HC121" s="197" t="n">
        <f aca="false">HC$4*HC16</f>
        <v>0</v>
      </c>
      <c r="HD121" s="194" t="str">
        <f aca="false">GS121</f>
        <v>Alumno11</v>
      </c>
      <c r="HE121" s="195" t="n">
        <f aca="false">HE$4*HE16</f>
        <v>0</v>
      </c>
      <c r="HF121" s="196" t="n">
        <f aca="false">HF$4*HF16</f>
        <v>0</v>
      </c>
      <c r="HG121" s="196" t="n">
        <f aca="false">HG$4*HG16</f>
        <v>0</v>
      </c>
      <c r="HH121" s="196" t="n">
        <f aca="false">HH$4*HH16</f>
        <v>0</v>
      </c>
      <c r="HI121" s="196" t="n">
        <f aca="false">HI$4*HI16</f>
        <v>0</v>
      </c>
      <c r="HJ121" s="196" t="n">
        <f aca="false">HJ$4*HJ16</f>
        <v>0</v>
      </c>
      <c r="HK121" s="196" t="n">
        <f aca="false">HK$4*HK16</f>
        <v>0</v>
      </c>
      <c r="HL121" s="196" t="n">
        <f aca="false">HL$4*HL16</f>
        <v>0</v>
      </c>
      <c r="HM121" s="196" t="n">
        <f aca="false">HM$4*HM16</f>
        <v>0</v>
      </c>
      <c r="HN121" s="197" t="n">
        <f aca="false">HN$4*HN16</f>
        <v>0</v>
      </c>
      <c r="HO121" s="194" t="str">
        <f aca="false">HD121</f>
        <v>Alumno11</v>
      </c>
      <c r="HP121" s="195" t="n">
        <f aca="false">HP$4*HP16</f>
        <v>0</v>
      </c>
      <c r="HQ121" s="196" t="n">
        <f aca="false">HQ$4*HQ16</f>
        <v>0</v>
      </c>
      <c r="HR121" s="196" t="n">
        <f aca="false">HR$4*HR16</f>
        <v>0</v>
      </c>
      <c r="HS121" s="196" t="n">
        <f aca="false">HS$4*HS16</f>
        <v>0</v>
      </c>
      <c r="HT121" s="196" t="n">
        <f aca="false">HT$4*HT16</f>
        <v>0</v>
      </c>
      <c r="HU121" s="196" t="n">
        <f aca="false">HU$4*HU16</f>
        <v>0</v>
      </c>
      <c r="HV121" s="196" t="n">
        <f aca="false">HV$4*HV16</f>
        <v>0</v>
      </c>
      <c r="HW121" s="196" t="n">
        <f aca="false">HW$4*HW16</f>
        <v>0</v>
      </c>
      <c r="HX121" s="196" t="n">
        <f aca="false">HX$4*HX16</f>
        <v>0</v>
      </c>
      <c r="HY121" s="197" t="n">
        <f aca="false">HY$4*HY16</f>
        <v>0</v>
      </c>
      <c r="HZ121" s="194" t="str">
        <f aca="false">HO121</f>
        <v>Alumno11</v>
      </c>
      <c r="IA121" s="195" t="n">
        <f aca="false">IA$4*IA16</f>
        <v>0</v>
      </c>
      <c r="IB121" s="196" t="n">
        <f aca="false">IB$4*IB16</f>
        <v>0</v>
      </c>
      <c r="IC121" s="196" t="n">
        <f aca="false">IC$4*IC16</f>
        <v>0</v>
      </c>
      <c r="ID121" s="196" t="n">
        <f aca="false">ID$4*ID16</f>
        <v>0</v>
      </c>
      <c r="IE121" s="196" t="n">
        <f aca="false">IE$4*IE16</f>
        <v>0</v>
      </c>
      <c r="IF121" s="196" t="n">
        <f aca="false">IF$4*IF16</f>
        <v>0</v>
      </c>
      <c r="IG121" s="196" t="n">
        <f aca="false">IG$4*IG16</f>
        <v>0</v>
      </c>
      <c r="IH121" s="196" t="n">
        <f aca="false">IH$4*IH16</f>
        <v>0</v>
      </c>
      <c r="II121" s="196" t="n">
        <f aca="false">II$4*II16</f>
        <v>0</v>
      </c>
      <c r="IJ121" s="197" t="n">
        <f aca="false">IJ$4*IJ16</f>
        <v>0</v>
      </c>
      <c r="IK121" s="194" t="str">
        <f aca="false">HZ121</f>
        <v>Alumno11</v>
      </c>
      <c r="IL121" s="195" t="n">
        <f aca="false">IL$4*IL16</f>
        <v>0</v>
      </c>
      <c r="IM121" s="196" t="n">
        <f aca="false">IM$4*IM16</f>
        <v>0</v>
      </c>
      <c r="IN121" s="196" t="n">
        <f aca="false">IN$4*IN16</f>
        <v>0</v>
      </c>
      <c r="IO121" s="196" t="n">
        <f aca="false">IO$4*IO16</f>
        <v>0</v>
      </c>
      <c r="IP121" s="196" t="n">
        <f aca="false">IP$4*IP16</f>
        <v>0</v>
      </c>
      <c r="IQ121" s="196" t="n">
        <f aca="false">IQ$4*IQ16</f>
        <v>0</v>
      </c>
      <c r="IR121" s="196" t="n">
        <f aca="false">IR$4*IR16</f>
        <v>0</v>
      </c>
      <c r="IS121" s="196" t="n">
        <f aca="false">IS$4*IS16</f>
        <v>0</v>
      </c>
      <c r="IT121" s="196" t="n">
        <f aca="false">IT$4*IT16</f>
        <v>0</v>
      </c>
      <c r="IU121" s="197" t="n">
        <f aca="false">IU$4*IU16</f>
        <v>0</v>
      </c>
      <c r="IV121" s="194" t="str">
        <f aca="false">IK121</f>
        <v>Alumno11</v>
      </c>
      <c r="IW121" s="195" t="n">
        <f aca="false">IW$4*IW16</f>
        <v>0</v>
      </c>
      <c r="IX121" s="196" t="n">
        <f aca="false">IX$4*IX16</f>
        <v>0</v>
      </c>
      <c r="IY121" s="196" t="n">
        <f aca="false">IY$4*IY16</f>
        <v>0</v>
      </c>
      <c r="IZ121" s="196" t="n">
        <f aca="false">IZ$4*IZ16</f>
        <v>0</v>
      </c>
      <c r="JA121" s="196" t="n">
        <f aca="false">JA$4*JA16</f>
        <v>0</v>
      </c>
      <c r="JB121" s="196" t="n">
        <f aca="false">JB$4*JB16</f>
        <v>0</v>
      </c>
      <c r="JC121" s="196" t="n">
        <f aca="false">JC$4*JC16</f>
        <v>0</v>
      </c>
      <c r="JD121" s="196" t="n">
        <f aca="false">JD$4*JD16</f>
        <v>0</v>
      </c>
      <c r="JE121" s="196" t="n">
        <f aca="false">JE$4*JE16</f>
        <v>0</v>
      </c>
      <c r="JF121" s="197" t="n">
        <f aca="false">JF$4*JF16</f>
        <v>0</v>
      </c>
      <c r="JG121" s="194" t="str">
        <f aca="false">IV121</f>
        <v>Alumno11</v>
      </c>
      <c r="JH121" s="195" t="n">
        <f aca="false">JH$4*JH16</f>
        <v>0</v>
      </c>
      <c r="JI121" s="196" t="n">
        <f aca="false">JI$4*JI16</f>
        <v>0</v>
      </c>
      <c r="JJ121" s="196" t="n">
        <f aca="false">JJ$4*JJ16</f>
        <v>0</v>
      </c>
      <c r="JK121" s="196" t="n">
        <f aca="false">JK$4*JK16</f>
        <v>0</v>
      </c>
      <c r="JL121" s="196" t="n">
        <f aca="false">JL$4*JL16</f>
        <v>0</v>
      </c>
      <c r="JM121" s="196" t="n">
        <f aca="false">JM$4*JM16</f>
        <v>0</v>
      </c>
      <c r="JN121" s="196" t="n">
        <f aca="false">JN$4*JN16</f>
        <v>0</v>
      </c>
      <c r="JO121" s="196" t="n">
        <f aca="false">JO$4*JO16</f>
        <v>0</v>
      </c>
      <c r="JP121" s="196" t="n">
        <f aca="false">JP$4*JP16</f>
        <v>0</v>
      </c>
      <c r="JQ121" s="197" t="n">
        <f aca="false">JQ$4*JQ16</f>
        <v>0</v>
      </c>
      <c r="JR121" s="194" t="str">
        <f aca="false">JG121</f>
        <v>Alumno11</v>
      </c>
      <c r="JS121" s="195" t="n">
        <f aca="false">JS$4*JS16</f>
        <v>0</v>
      </c>
      <c r="JT121" s="196" t="n">
        <f aca="false">JT$4*JT16</f>
        <v>0</v>
      </c>
      <c r="JU121" s="196" t="n">
        <f aca="false">JU$4*JU16</f>
        <v>0</v>
      </c>
      <c r="JV121" s="196" t="n">
        <f aca="false">JV$4*JV16</f>
        <v>0</v>
      </c>
      <c r="JW121" s="196" t="n">
        <f aca="false">JW$4*JW16</f>
        <v>0</v>
      </c>
      <c r="JX121" s="196" t="n">
        <f aca="false">JX$4*JX16</f>
        <v>0</v>
      </c>
      <c r="JY121" s="196" t="n">
        <f aca="false">JY$4*JY16</f>
        <v>0</v>
      </c>
      <c r="JZ121" s="196" t="n">
        <f aca="false">JZ$4*JZ16</f>
        <v>0</v>
      </c>
      <c r="KA121" s="196" t="n">
        <f aca="false">KA$4*KA16</f>
        <v>0</v>
      </c>
      <c r="KB121" s="197" t="n">
        <f aca="false">KB$4*KB16</f>
        <v>0</v>
      </c>
      <c r="KC121" s="194" t="str">
        <f aca="false">JR121</f>
        <v>Alumno11</v>
      </c>
      <c r="KD121" s="195" t="n">
        <f aca="false">KD$4*KD16</f>
        <v>0</v>
      </c>
      <c r="KE121" s="196" t="n">
        <f aca="false">KE$4*KE16</f>
        <v>0</v>
      </c>
      <c r="KF121" s="196" t="n">
        <f aca="false">KF$4*KF16</f>
        <v>0</v>
      </c>
      <c r="KG121" s="196" t="n">
        <f aca="false">KG$4*KG16</f>
        <v>0</v>
      </c>
      <c r="KH121" s="196" t="n">
        <f aca="false">KH$4*KH16</f>
        <v>0</v>
      </c>
      <c r="KI121" s="196" t="n">
        <f aca="false">KI$4*KI16</f>
        <v>0</v>
      </c>
      <c r="KJ121" s="196" t="n">
        <f aca="false">KJ$4*KJ16</f>
        <v>0</v>
      </c>
      <c r="KK121" s="196" t="n">
        <f aca="false">KK$4*KK16</f>
        <v>0</v>
      </c>
      <c r="KL121" s="196" t="n">
        <f aca="false">KL$4*KL16</f>
        <v>0</v>
      </c>
      <c r="KM121" s="197" t="n">
        <f aca="false">KM$4*KM16</f>
        <v>0</v>
      </c>
      <c r="KN121" s="194" t="str">
        <f aca="false">KC121</f>
        <v>Alumno11</v>
      </c>
      <c r="KO121" s="195" t="n">
        <f aca="false">KO$4*KO16</f>
        <v>0</v>
      </c>
      <c r="KP121" s="196" t="n">
        <f aca="false">KP$4*KP16</f>
        <v>0</v>
      </c>
      <c r="KQ121" s="196" t="n">
        <f aca="false">KQ$4*KQ16</f>
        <v>0</v>
      </c>
      <c r="KR121" s="196" t="n">
        <f aca="false">KR$4*KR16</f>
        <v>0</v>
      </c>
      <c r="KS121" s="196" t="n">
        <f aca="false">KS$4*KS16</f>
        <v>0</v>
      </c>
      <c r="KT121" s="196" t="n">
        <f aca="false">KT$4*KT16</f>
        <v>0</v>
      </c>
      <c r="KU121" s="196" t="n">
        <f aca="false">KU$4*KU16</f>
        <v>0</v>
      </c>
      <c r="KV121" s="196" t="n">
        <f aca="false">KV$4*KV16</f>
        <v>0</v>
      </c>
      <c r="KW121" s="196" t="n">
        <f aca="false">KW$4*KW16</f>
        <v>0</v>
      </c>
      <c r="KX121" s="197" t="n">
        <f aca="false">KX$4*KX16</f>
        <v>0</v>
      </c>
      <c r="KY121" s="194" t="str">
        <f aca="false">KN121</f>
        <v>Alumno11</v>
      </c>
      <c r="KZ121" s="195" t="n">
        <f aca="false">KZ$4*KZ16</f>
        <v>0</v>
      </c>
      <c r="LA121" s="196" t="n">
        <f aca="false">LA$4*LA16</f>
        <v>0</v>
      </c>
      <c r="LB121" s="196" t="n">
        <f aca="false">LB$4*LB16</f>
        <v>0</v>
      </c>
      <c r="LC121" s="196" t="n">
        <f aca="false">LC$4*LC16</f>
        <v>0</v>
      </c>
      <c r="LD121" s="196" t="n">
        <f aca="false">LD$4*LD16</f>
        <v>0</v>
      </c>
      <c r="LE121" s="196" t="n">
        <f aca="false">LE$4*LE16</f>
        <v>0</v>
      </c>
      <c r="LF121" s="196" t="n">
        <f aca="false">LF$4*LF16</f>
        <v>0</v>
      </c>
      <c r="LG121" s="196" t="n">
        <f aca="false">LG$4*LG16</f>
        <v>0</v>
      </c>
      <c r="LH121" s="196" t="n">
        <f aca="false">LH$4*LH16</f>
        <v>0</v>
      </c>
      <c r="LI121" s="197" t="n">
        <f aca="false">LI$4*LI16</f>
        <v>0</v>
      </c>
      <c r="LJ121" s="194" t="str">
        <f aca="false">KY121</f>
        <v>Alumno11</v>
      </c>
      <c r="LK121" s="195" t="n">
        <f aca="false">LK$4*LK16</f>
        <v>0</v>
      </c>
      <c r="LL121" s="196" t="n">
        <f aca="false">LL$4*LL16</f>
        <v>0</v>
      </c>
      <c r="LM121" s="196" t="n">
        <f aca="false">LM$4*LM16</f>
        <v>0</v>
      </c>
      <c r="LN121" s="196" t="n">
        <f aca="false">LN$4*LN16</f>
        <v>0</v>
      </c>
      <c r="LO121" s="196" t="n">
        <f aca="false">LO$4*LO16</f>
        <v>0</v>
      </c>
      <c r="LP121" s="196" t="n">
        <f aca="false">LP$4*LP16</f>
        <v>0</v>
      </c>
      <c r="LQ121" s="196" t="n">
        <f aca="false">LQ$4*LQ16</f>
        <v>0</v>
      </c>
      <c r="LR121" s="196" t="n">
        <f aca="false">LR$4*LR16</f>
        <v>0</v>
      </c>
      <c r="LS121" s="196" t="n">
        <f aca="false">LS$4*LS16</f>
        <v>0</v>
      </c>
      <c r="LT121" s="197" t="n">
        <f aca="false">LT$4*LT16</f>
        <v>0</v>
      </c>
    </row>
    <row r="122" customFormat="false" ht="15" hidden="true" customHeight="false" outlineLevel="0" collapsed="false">
      <c r="C122" s="194" t="str">
        <f aca="false">C73</f>
        <v>Alumno12</v>
      </c>
      <c r="D122" s="195" t="n">
        <f aca="false">D$4*D17</f>
        <v>0.75</v>
      </c>
      <c r="E122" s="196" t="n">
        <f aca="false">E$4*E17</f>
        <v>0.75</v>
      </c>
      <c r="F122" s="196" t="n">
        <f aca="false">F$4*F17</f>
        <v>1</v>
      </c>
      <c r="G122" s="196" t="n">
        <f aca="false">G$4*G17</f>
        <v>0.5</v>
      </c>
      <c r="H122" s="196" t="n">
        <f aca="false">H$4*H17</f>
        <v>0.75</v>
      </c>
      <c r="I122" s="196" t="n">
        <f aca="false">I$4*I17</f>
        <v>0.75</v>
      </c>
      <c r="J122" s="196" t="n">
        <f aca="false">J$4*J17</f>
        <v>0.5</v>
      </c>
      <c r="K122" s="196" t="n">
        <f aca="false">K$4*K17</f>
        <v>0</v>
      </c>
      <c r="L122" s="196" t="n">
        <f aca="false">L$4*L17</f>
        <v>0</v>
      </c>
      <c r="M122" s="197" t="n">
        <f aca="false">M$4*M17</f>
        <v>0</v>
      </c>
      <c r="N122" s="194" t="str">
        <f aca="false">C122</f>
        <v>Alumno12</v>
      </c>
      <c r="O122" s="195" t="n">
        <f aca="false">O$4*O17</f>
        <v>1</v>
      </c>
      <c r="P122" s="196" t="n">
        <f aca="false">P$4*P17</f>
        <v>1</v>
      </c>
      <c r="Q122" s="196" t="n">
        <f aca="false">Q$4*Q17</f>
        <v>1</v>
      </c>
      <c r="R122" s="196" t="n">
        <f aca="false">R$4*R17</f>
        <v>1</v>
      </c>
      <c r="S122" s="196" t="n">
        <f aca="false">S$4*S17</f>
        <v>1</v>
      </c>
      <c r="T122" s="196" t="n">
        <f aca="false">T$4*T17</f>
        <v>0</v>
      </c>
      <c r="U122" s="196" t="n">
        <f aca="false">U$4*U17</f>
        <v>0</v>
      </c>
      <c r="V122" s="196" t="n">
        <f aca="false">V$4*V17</f>
        <v>0</v>
      </c>
      <c r="W122" s="196" t="n">
        <f aca="false">W$4*W17</f>
        <v>0</v>
      </c>
      <c r="X122" s="197" t="n">
        <f aca="false">X$4*X17</f>
        <v>0</v>
      </c>
      <c r="Y122" s="194" t="str">
        <f aca="false">N122</f>
        <v>Alumno12</v>
      </c>
      <c r="Z122" s="195" t="n">
        <f aca="false">Z$4*Z17</f>
        <v>1</v>
      </c>
      <c r="AA122" s="196" t="n">
        <f aca="false">AA$4*AA17</f>
        <v>1</v>
      </c>
      <c r="AB122" s="196" t="n">
        <f aca="false">AB$4*AB17</f>
        <v>1</v>
      </c>
      <c r="AC122" s="196" t="n">
        <f aca="false">AC$4*AC17</f>
        <v>1</v>
      </c>
      <c r="AD122" s="196" t="n">
        <f aca="false">AD$4*AD17</f>
        <v>1</v>
      </c>
      <c r="AE122" s="196" t="n">
        <f aca="false">AE$4*AE17</f>
        <v>0</v>
      </c>
      <c r="AF122" s="196" t="n">
        <f aca="false">AF$4*AF17</f>
        <v>0</v>
      </c>
      <c r="AG122" s="196" t="n">
        <f aca="false">AG$4*AG17</f>
        <v>0</v>
      </c>
      <c r="AH122" s="196" t="n">
        <f aca="false">AH$4*AH17</f>
        <v>0</v>
      </c>
      <c r="AI122" s="197" t="n">
        <f aca="false">AI$4*AI17</f>
        <v>0</v>
      </c>
      <c r="AJ122" s="194" t="str">
        <f aca="false">Y122</f>
        <v>Alumno12</v>
      </c>
      <c r="AK122" s="195" t="n">
        <f aca="false">AK$4*AK17</f>
        <v>1</v>
      </c>
      <c r="AL122" s="196" t="n">
        <f aca="false">AL$4*AL17</f>
        <v>1</v>
      </c>
      <c r="AM122" s="196" t="n">
        <f aca="false">AM$4*AM17</f>
        <v>1</v>
      </c>
      <c r="AN122" s="196" t="n">
        <f aca="false">AN$4*AN17</f>
        <v>1</v>
      </c>
      <c r="AO122" s="196" t="n">
        <f aca="false">AO$4*AO17</f>
        <v>1</v>
      </c>
      <c r="AP122" s="196" t="n">
        <f aca="false">AP$4*AP17</f>
        <v>0</v>
      </c>
      <c r="AQ122" s="196" t="n">
        <f aca="false">AQ$4*AQ17</f>
        <v>0</v>
      </c>
      <c r="AR122" s="196" t="n">
        <f aca="false">AR$4*AR17</f>
        <v>0</v>
      </c>
      <c r="AS122" s="196" t="n">
        <f aca="false">AS$4*AS17</f>
        <v>0</v>
      </c>
      <c r="AT122" s="197" t="n">
        <f aca="false">AT$4*AT17</f>
        <v>0</v>
      </c>
      <c r="AU122" s="194" t="str">
        <f aca="false">AJ122</f>
        <v>Alumno12</v>
      </c>
      <c r="AV122" s="195" t="n">
        <f aca="false">AV$4*AV17</f>
        <v>0.5</v>
      </c>
      <c r="AW122" s="196" t="n">
        <f aca="false">AW$4*AW17</f>
        <v>1</v>
      </c>
      <c r="AX122" s="196" t="n">
        <f aca="false">AX$4*AX17</f>
        <v>1</v>
      </c>
      <c r="AY122" s="196" t="n">
        <f aca="false">AY$4*AY17</f>
        <v>1.5</v>
      </c>
      <c r="AZ122" s="196" t="n">
        <f aca="false">AZ$4*AZ17</f>
        <v>1</v>
      </c>
      <c r="BA122" s="196" t="n">
        <f aca="false">BA$4*BA17</f>
        <v>0</v>
      </c>
      <c r="BB122" s="196" t="n">
        <f aca="false">BB$4*BB17</f>
        <v>0</v>
      </c>
      <c r="BC122" s="196" t="n">
        <f aca="false">BC$4*BC17</f>
        <v>0</v>
      </c>
      <c r="BD122" s="196" t="n">
        <f aca="false">BD$4*BD17</f>
        <v>0</v>
      </c>
      <c r="BE122" s="197" t="n">
        <f aca="false">BE$4*BE17</f>
        <v>0</v>
      </c>
      <c r="BF122" s="194" t="str">
        <f aca="false">AU122</f>
        <v>Alumno12</v>
      </c>
      <c r="BG122" s="195" t="n">
        <f aca="false">BG$4*BG17</f>
        <v>0.5</v>
      </c>
      <c r="BH122" s="196" t="n">
        <f aca="false">BH$4*BH17</f>
        <v>1</v>
      </c>
      <c r="BI122" s="196" t="n">
        <f aca="false">BI$4*BI17</f>
        <v>1</v>
      </c>
      <c r="BJ122" s="196" t="n">
        <f aca="false">BJ$4*BJ17</f>
        <v>1</v>
      </c>
      <c r="BK122" s="196" t="n">
        <f aca="false">BK$4*BK17</f>
        <v>1.5</v>
      </c>
      <c r="BL122" s="196" t="n">
        <f aca="false">BL$4*BL17</f>
        <v>0</v>
      </c>
      <c r="BM122" s="196" t="n">
        <f aca="false">BM$4*BM17</f>
        <v>0</v>
      </c>
      <c r="BN122" s="196" t="n">
        <f aca="false">BN$4*BN17</f>
        <v>0</v>
      </c>
      <c r="BO122" s="196" t="n">
        <f aca="false">BO$4*BO17</f>
        <v>0</v>
      </c>
      <c r="BP122" s="197" t="n">
        <f aca="false">BP$4*BP17</f>
        <v>0</v>
      </c>
      <c r="BQ122" s="194" t="str">
        <f aca="false">BF122</f>
        <v>Alumno12</v>
      </c>
      <c r="BR122" s="195" t="n">
        <f aca="false">BR$4*BR17</f>
        <v>1.8</v>
      </c>
      <c r="BS122" s="196" t="n">
        <f aca="false">BS$4*BS17</f>
        <v>0.9</v>
      </c>
      <c r="BT122" s="196" t="n">
        <f aca="false">BT$4*BT17</f>
        <v>1.8</v>
      </c>
      <c r="BU122" s="196" t="n">
        <f aca="false">BU$4*BU17</f>
        <v>1.8</v>
      </c>
      <c r="BV122" s="196" t="n">
        <f aca="false">BV$4*BV17</f>
        <v>2.7</v>
      </c>
      <c r="BW122" s="196" t="n">
        <f aca="false">BW$4*BW17</f>
        <v>0</v>
      </c>
      <c r="BX122" s="196" t="n">
        <f aca="false">BX$4*BX17</f>
        <v>0</v>
      </c>
      <c r="BY122" s="196" t="n">
        <f aca="false">BY$4*BY17</f>
        <v>0</v>
      </c>
      <c r="BZ122" s="196" t="n">
        <f aca="false">BZ$4*BZ17</f>
        <v>0</v>
      </c>
      <c r="CA122" s="197" t="n">
        <f aca="false">CA$4*CA17</f>
        <v>0</v>
      </c>
      <c r="CB122" s="194" t="str">
        <f aca="false">BQ122</f>
        <v>Alumno12</v>
      </c>
      <c r="CC122" s="195" t="n">
        <f aca="false">CC$4*CC17</f>
        <v>0</v>
      </c>
      <c r="CD122" s="196" t="n">
        <f aca="false">CD$4*CD17</f>
        <v>0</v>
      </c>
      <c r="CE122" s="196" t="n">
        <f aca="false">CE$4*CE17</f>
        <v>0</v>
      </c>
      <c r="CF122" s="196" t="n">
        <f aca="false">CF$4*CF17</f>
        <v>0</v>
      </c>
      <c r="CG122" s="196" t="n">
        <f aca="false">CG$4*CG17</f>
        <v>0</v>
      </c>
      <c r="CH122" s="196" t="n">
        <f aca="false">CH$4*CH17</f>
        <v>0</v>
      </c>
      <c r="CI122" s="196" t="n">
        <f aca="false">CI$4*CI17</f>
        <v>0</v>
      </c>
      <c r="CJ122" s="196" t="n">
        <f aca="false">CJ$4*CJ17</f>
        <v>0</v>
      </c>
      <c r="CK122" s="196" t="n">
        <f aca="false">CK$4*CK17</f>
        <v>0</v>
      </c>
      <c r="CL122" s="197" t="n">
        <f aca="false">CL$4*CL17</f>
        <v>0</v>
      </c>
      <c r="CM122" s="194" t="str">
        <f aca="false">CB122</f>
        <v>Alumno12</v>
      </c>
      <c r="CN122" s="195" t="n">
        <f aca="false">CN$4*CN17</f>
        <v>0</v>
      </c>
      <c r="CO122" s="196" t="n">
        <f aca="false">CO$4*CO17</f>
        <v>0</v>
      </c>
      <c r="CP122" s="196" t="n">
        <f aca="false">CP$4*CP17</f>
        <v>0</v>
      </c>
      <c r="CQ122" s="196" t="n">
        <f aca="false">CQ$4*CQ17</f>
        <v>0</v>
      </c>
      <c r="CR122" s="196" t="n">
        <f aca="false">CR$4*CR17</f>
        <v>0</v>
      </c>
      <c r="CS122" s="196" t="n">
        <f aca="false">CS$4*CS17</f>
        <v>0</v>
      </c>
      <c r="CT122" s="196" t="n">
        <f aca="false">CT$4*CT17</f>
        <v>0</v>
      </c>
      <c r="CU122" s="196" t="n">
        <f aca="false">CU$4*CU17</f>
        <v>0</v>
      </c>
      <c r="CV122" s="196" t="n">
        <f aca="false">CV$4*CV17</f>
        <v>0</v>
      </c>
      <c r="CW122" s="197" t="n">
        <f aca="false">CW$4*CW17</f>
        <v>0</v>
      </c>
      <c r="CX122" s="194" t="str">
        <f aca="false">CM122</f>
        <v>Alumno12</v>
      </c>
      <c r="CY122" s="195" t="n">
        <f aca="false">CY$4*CY17</f>
        <v>0</v>
      </c>
      <c r="CZ122" s="196" t="n">
        <f aca="false">CZ$4*CZ17</f>
        <v>0</v>
      </c>
      <c r="DA122" s="196" t="n">
        <f aca="false">DA$4*DA17</f>
        <v>0</v>
      </c>
      <c r="DB122" s="196" t="n">
        <f aca="false">DB$4*DB17</f>
        <v>0</v>
      </c>
      <c r="DC122" s="196" t="n">
        <f aca="false">DC$4*DC17</f>
        <v>0</v>
      </c>
      <c r="DD122" s="196" t="n">
        <f aca="false">DD$4*DD17</f>
        <v>0</v>
      </c>
      <c r="DE122" s="196" t="n">
        <f aca="false">DE$4*DE17</f>
        <v>0</v>
      </c>
      <c r="DF122" s="196" t="n">
        <f aca="false">DF$4*DF17</f>
        <v>0</v>
      </c>
      <c r="DG122" s="196" t="n">
        <f aca="false">DG$4*DG17</f>
        <v>0</v>
      </c>
      <c r="DH122" s="197" t="n">
        <f aca="false">DH$4*DH17</f>
        <v>0</v>
      </c>
      <c r="DI122" s="194" t="str">
        <f aca="false">CX122</f>
        <v>Alumno12</v>
      </c>
      <c r="DJ122" s="195" t="n">
        <f aca="false">DJ$4*DJ17</f>
        <v>0</v>
      </c>
      <c r="DK122" s="196" t="n">
        <f aca="false">DK$4*DK17</f>
        <v>0</v>
      </c>
      <c r="DL122" s="196" t="n">
        <f aca="false">DL$4*DL17</f>
        <v>0</v>
      </c>
      <c r="DM122" s="196" t="n">
        <f aca="false">DM$4*DM17</f>
        <v>0</v>
      </c>
      <c r="DN122" s="196" t="n">
        <f aca="false">DN$4*DN17</f>
        <v>0</v>
      </c>
      <c r="DO122" s="196" t="n">
        <f aca="false">DO$4*DO17</f>
        <v>0</v>
      </c>
      <c r="DP122" s="196" t="n">
        <f aca="false">DP$4*DP17</f>
        <v>0</v>
      </c>
      <c r="DQ122" s="196" t="n">
        <f aca="false">DQ$4*DQ17</f>
        <v>0</v>
      </c>
      <c r="DR122" s="196" t="n">
        <f aca="false">DR$4*DR17</f>
        <v>0</v>
      </c>
      <c r="DS122" s="197" t="n">
        <f aca="false">DS$4*DS17</f>
        <v>0</v>
      </c>
      <c r="DT122" s="194" t="str">
        <f aca="false">DI122</f>
        <v>Alumno12</v>
      </c>
      <c r="DU122" s="195" t="n">
        <f aca="false">DU$4*DU17</f>
        <v>0</v>
      </c>
      <c r="DV122" s="196" t="n">
        <f aca="false">DV$4*DV17</f>
        <v>0</v>
      </c>
      <c r="DW122" s="196" t="n">
        <f aca="false">DW$4*DW17</f>
        <v>0</v>
      </c>
      <c r="DX122" s="196" t="n">
        <f aca="false">DX$4*DX17</f>
        <v>0</v>
      </c>
      <c r="DY122" s="196" t="n">
        <f aca="false">DY$4*DY17</f>
        <v>0</v>
      </c>
      <c r="DZ122" s="196" t="n">
        <f aca="false">DZ$4*DZ17</f>
        <v>0</v>
      </c>
      <c r="EA122" s="196" t="n">
        <f aca="false">EA$4*EA17</f>
        <v>0</v>
      </c>
      <c r="EB122" s="196" t="n">
        <f aca="false">EB$4*EB17</f>
        <v>0</v>
      </c>
      <c r="EC122" s="196" t="n">
        <f aca="false">EC$4*EC17</f>
        <v>0</v>
      </c>
      <c r="ED122" s="197" t="n">
        <f aca="false">ED$4*ED17</f>
        <v>0</v>
      </c>
      <c r="EE122" s="194" t="str">
        <f aca="false">DT122</f>
        <v>Alumno12</v>
      </c>
      <c r="EF122" s="195" t="n">
        <f aca="false">EF$4*EF17</f>
        <v>0</v>
      </c>
      <c r="EG122" s="196" t="n">
        <f aca="false">EG$4*EG17</f>
        <v>0</v>
      </c>
      <c r="EH122" s="196" t="n">
        <f aca="false">EH$4*EH17</f>
        <v>0</v>
      </c>
      <c r="EI122" s="196" t="n">
        <f aca="false">EI$4*EI17</f>
        <v>0</v>
      </c>
      <c r="EJ122" s="196" t="n">
        <f aca="false">EJ$4*EJ17</f>
        <v>0</v>
      </c>
      <c r="EK122" s="196" t="n">
        <f aca="false">EK$4*EK17</f>
        <v>0</v>
      </c>
      <c r="EL122" s="196" t="n">
        <f aca="false">EL$4*EL17</f>
        <v>0</v>
      </c>
      <c r="EM122" s="196" t="n">
        <f aca="false">EM$4*EM17</f>
        <v>0</v>
      </c>
      <c r="EN122" s="196" t="n">
        <f aca="false">EN$4*EN17</f>
        <v>0</v>
      </c>
      <c r="EO122" s="197" t="n">
        <f aca="false">EO$4*EO17</f>
        <v>0</v>
      </c>
      <c r="EP122" s="194" t="str">
        <f aca="false">EE122</f>
        <v>Alumno12</v>
      </c>
      <c r="EQ122" s="195" t="n">
        <f aca="false">EQ$4*EQ17</f>
        <v>0</v>
      </c>
      <c r="ER122" s="196" t="n">
        <f aca="false">ER$4*ER17</f>
        <v>0</v>
      </c>
      <c r="ES122" s="196" t="n">
        <f aca="false">ES$4*ES17</f>
        <v>0</v>
      </c>
      <c r="ET122" s="196" t="n">
        <f aca="false">ET$4*ET17</f>
        <v>0</v>
      </c>
      <c r="EU122" s="196" t="n">
        <f aca="false">EU$4*EU17</f>
        <v>0</v>
      </c>
      <c r="EV122" s="196" t="n">
        <f aca="false">EV$4*EV17</f>
        <v>0</v>
      </c>
      <c r="EW122" s="196" t="n">
        <f aca="false">EW$4*EW17</f>
        <v>0</v>
      </c>
      <c r="EX122" s="196" t="n">
        <f aca="false">EX$4*EX17</f>
        <v>0</v>
      </c>
      <c r="EY122" s="196" t="n">
        <f aca="false">EY$4*EY17</f>
        <v>0</v>
      </c>
      <c r="EZ122" s="197" t="n">
        <f aca="false">EZ$4*EZ17</f>
        <v>0</v>
      </c>
      <c r="FA122" s="194" t="str">
        <f aca="false">EP122</f>
        <v>Alumno12</v>
      </c>
      <c r="FB122" s="195" t="n">
        <f aca="false">FB$4*FB17</f>
        <v>0</v>
      </c>
      <c r="FC122" s="196" t="n">
        <f aca="false">FC$4*FC17</f>
        <v>0</v>
      </c>
      <c r="FD122" s="196" t="n">
        <f aca="false">FD$4*FD17</f>
        <v>0</v>
      </c>
      <c r="FE122" s="196" t="n">
        <f aca="false">FE$4*FE17</f>
        <v>0</v>
      </c>
      <c r="FF122" s="196" t="n">
        <f aca="false">FF$4*FF17</f>
        <v>0</v>
      </c>
      <c r="FG122" s="196" t="n">
        <f aca="false">FG$4*FG17</f>
        <v>0</v>
      </c>
      <c r="FH122" s="196" t="n">
        <f aca="false">FH$4*FH17</f>
        <v>0</v>
      </c>
      <c r="FI122" s="196" t="n">
        <f aca="false">FI$4*FI17</f>
        <v>0</v>
      </c>
      <c r="FJ122" s="196" t="n">
        <f aca="false">FJ$4*FJ17</f>
        <v>0</v>
      </c>
      <c r="FK122" s="197" t="n">
        <f aca="false">FK$4*FK17</f>
        <v>0</v>
      </c>
      <c r="FL122" s="194" t="str">
        <f aca="false">FA122</f>
        <v>Alumno12</v>
      </c>
      <c r="FM122" s="195" t="n">
        <f aca="false">FM$4*FM17</f>
        <v>0</v>
      </c>
      <c r="FN122" s="196" t="n">
        <f aca="false">FN$4*FN17</f>
        <v>0</v>
      </c>
      <c r="FO122" s="196" t="n">
        <f aca="false">FO$4*FO17</f>
        <v>0</v>
      </c>
      <c r="FP122" s="196" t="n">
        <f aca="false">FP$4*FP17</f>
        <v>0</v>
      </c>
      <c r="FQ122" s="196" t="n">
        <f aca="false">FQ$4*FQ17</f>
        <v>0</v>
      </c>
      <c r="FR122" s="196" t="n">
        <f aca="false">FR$4*FR17</f>
        <v>0</v>
      </c>
      <c r="FS122" s="196" t="n">
        <f aca="false">FS$4*FS17</f>
        <v>0</v>
      </c>
      <c r="FT122" s="196" t="n">
        <f aca="false">FT$4*FT17</f>
        <v>0</v>
      </c>
      <c r="FU122" s="196" t="n">
        <f aca="false">FU$4*FU17</f>
        <v>0</v>
      </c>
      <c r="FV122" s="197" t="n">
        <f aca="false">FV$4*FV17</f>
        <v>0</v>
      </c>
      <c r="FW122" s="194" t="str">
        <f aca="false">FL122</f>
        <v>Alumno12</v>
      </c>
      <c r="FX122" s="195" t="n">
        <f aca="false">FX$4*FX17</f>
        <v>0</v>
      </c>
      <c r="FY122" s="196" t="n">
        <f aca="false">FY$4*FY17</f>
        <v>0</v>
      </c>
      <c r="FZ122" s="196" t="n">
        <f aca="false">FZ$4*FZ17</f>
        <v>0</v>
      </c>
      <c r="GA122" s="196" t="n">
        <f aca="false">GA$4*GA17</f>
        <v>0</v>
      </c>
      <c r="GB122" s="196" t="n">
        <f aca="false">GB$4*GB17</f>
        <v>0</v>
      </c>
      <c r="GC122" s="196" t="n">
        <f aca="false">GC$4*GC17</f>
        <v>0</v>
      </c>
      <c r="GD122" s="196" t="n">
        <f aca="false">GD$4*GD17</f>
        <v>0</v>
      </c>
      <c r="GE122" s="196" t="n">
        <f aca="false">GE$4*GE17</f>
        <v>0</v>
      </c>
      <c r="GF122" s="196" t="n">
        <f aca="false">GF$4*GF17</f>
        <v>0</v>
      </c>
      <c r="GG122" s="197" t="n">
        <f aca="false">GG$4*GG17</f>
        <v>0</v>
      </c>
      <c r="GH122" s="194" t="str">
        <f aca="false">FW122</f>
        <v>Alumno12</v>
      </c>
      <c r="GI122" s="195" t="n">
        <f aca="false">GI$4*GI17</f>
        <v>0</v>
      </c>
      <c r="GJ122" s="196" t="n">
        <f aca="false">GJ$4*GJ17</f>
        <v>0</v>
      </c>
      <c r="GK122" s="196" t="n">
        <f aca="false">GK$4*GK17</f>
        <v>0</v>
      </c>
      <c r="GL122" s="196" t="n">
        <f aca="false">GL$4*GL17</f>
        <v>0</v>
      </c>
      <c r="GM122" s="196" t="n">
        <f aca="false">GM$4*GM17</f>
        <v>0</v>
      </c>
      <c r="GN122" s="196" t="n">
        <f aca="false">GN$4*GN17</f>
        <v>0</v>
      </c>
      <c r="GO122" s="196" t="n">
        <f aca="false">GO$4*GO17</f>
        <v>0</v>
      </c>
      <c r="GP122" s="196" t="n">
        <f aca="false">GP$4*GP17</f>
        <v>0</v>
      </c>
      <c r="GQ122" s="196" t="n">
        <f aca="false">GQ$4*GQ17</f>
        <v>0</v>
      </c>
      <c r="GR122" s="197" t="n">
        <f aca="false">GR$4*GR17</f>
        <v>0</v>
      </c>
      <c r="GS122" s="194" t="str">
        <f aca="false">GH122</f>
        <v>Alumno12</v>
      </c>
      <c r="GT122" s="195" t="n">
        <f aca="false">GT$4*GT17</f>
        <v>0</v>
      </c>
      <c r="GU122" s="196" t="n">
        <f aca="false">GU$4*GU17</f>
        <v>0</v>
      </c>
      <c r="GV122" s="196" t="n">
        <f aca="false">GV$4*GV17</f>
        <v>0</v>
      </c>
      <c r="GW122" s="196" t="n">
        <f aca="false">GW$4*GW17</f>
        <v>0</v>
      </c>
      <c r="GX122" s="196" t="n">
        <f aca="false">GX$4*GX17</f>
        <v>0</v>
      </c>
      <c r="GY122" s="196" t="n">
        <f aca="false">GY$4*GY17</f>
        <v>0</v>
      </c>
      <c r="GZ122" s="196" t="n">
        <f aca="false">GZ$4*GZ17</f>
        <v>0</v>
      </c>
      <c r="HA122" s="196" t="n">
        <f aca="false">HA$4*HA17</f>
        <v>0</v>
      </c>
      <c r="HB122" s="196" t="n">
        <f aca="false">HB$4*HB17</f>
        <v>0</v>
      </c>
      <c r="HC122" s="197" t="n">
        <f aca="false">HC$4*HC17</f>
        <v>0</v>
      </c>
      <c r="HD122" s="194" t="str">
        <f aca="false">GS122</f>
        <v>Alumno12</v>
      </c>
      <c r="HE122" s="195" t="n">
        <f aca="false">HE$4*HE17</f>
        <v>0</v>
      </c>
      <c r="HF122" s="196" t="n">
        <f aca="false">HF$4*HF17</f>
        <v>0</v>
      </c>
      <c r="HG122" s="196" t="n">
        <f aca="false">HG$4*HG17</f>
        <v>0</v>
      </c>
      <c r="HH122" s="196" t="n">
        <f aca="false">HH$4*HH17</f>
        <v>0</v>
      </c>
      <c r="HI122" s="196" t="n">
        <f aca="false">HI$4*HI17</f>
        <v>0</v>
      </c>
      <c r="HJ122" s="196" t="n">
        <f aca="false">HJ$4*HJ17</f>
        <v>0</v>
      </c>
      <c r="HK122" s="196" t="n">
        <f aca="false">HK$4*HK17</f>
        <v>0</v>
      </c>
      <c r="HL122" s="196" t="n">
        <f aca="false">HL$4*HL17</f>
        <v>0</v>
      </c>
      <c r="HM122" s="196" t="n">
        <f aca="false">HM$4*HM17</f>
        <v>0</v>
      </c>
      <c r="HN122" s="197" t="n">
        <f aca="false">HN$4*HN17</f>
        <v>0</v>
      </c>
      <c r="HO122" s="194" t="str">
        <f aca="false">HD122</f>
        <v>Alumno12</v>
      </c>
      <c r="HP122" s="195" t="n">
        <f aca="false">HP$4*HP17</f>
        <v>0</v>
      </c>
      <c r="HQ122" s="196" t="n">
        <f aca="false">HQ$4*HQ17</f>
        <v>0</v>
      </c>
      <c r="HR122" s="196" t="n">
        <f aca="false">HR$4*HR17</f>
        <v>0</v>
      </c>
      <c r="HS122" s="196" t="n">
        <f aca="false">HS$4*HS17</f>
        <v>0</v>
      </c>
      <c r="HT122" s="196" t="n">
        <f aca="false">HT$4*HT17</f>
        <v>0</v>
      </c>
      <c r="HU122" s="196" t="n">
        <f aca="false">HU$4*HU17</f>
        <v>0</v>
      </c>
      <c r="HV122" s="196" t="n">
        <f aca="false">HV$4*HV17</f>
        <v>0</v>
      </c>
      <c r="HW122" s="196" t="n">
        <f aca="false">HW$4*HW17</f>
        <v>0</v>
      </c>
      <c r="HX122" s="196" t="n">
        <f aca="false">HX$4*HX17</f>
        <v>0</v>
      </c>
      <c r="HY122" s="197" t="n">
        <f aca="false">HY$4*HY17</f>
        <v>0</v>
      </c>
      <c r="HZ122" s="194" t="str">
        <f aca="false">HO122</f>
        <v>Alumno12</v>
      </c>
      <c r="IA122" s="195" t="n">
        <f aca="false">IA$4*IA17</f>
        <v>0</v>
      </c>
      <c r="IB122" s="196" t="n">
        <f aca="false">IB$4*IB17</f>
        <v>0</v>
      </c>
      <c r="IC122" s="196" t="n">
        <f aca="false">IC$4*IC17</f>
        <v>0</v>
      </c>
      <c r="ID122" s="196" t="n">
        <f aca="false">ID$4*ID17</f>
        <v>0</v>
      </c>
      <c r="IE122" s="196" t="n">
        <f aca="false">IE$4*IE17</f>
        <v>0</v>
      </c>
      <c r="IF122" s="196" t="n">
        <f aca="false">IF$4*IF17</f>
        <v>0</v>
      </c>
      <c r="IG122" s="196" t="n">
        <f aca="false">IG$4*IG17</f>
        <v>0</v>
      </c>
      <c r="IH122" s="196" t="n">
        <f aca="false">IH$4*IH17</f>
        <v>0</v>
      </c>
      <c r="II122" s="196" t="n">
        <f aca="false">II$4*II17</f>
        <v>0</v>
      </c>
      <c r="IJ122" s="197" t="n">
        <f aca="false">IJ$4*IJ17</f>
        <v>0</v>
      </c>
      <c r="IK122" s="194" t="str">
        <f aca="false">HZ122</f>
        <v>Alumno12</v>
      </c>
      <c r="IL122" s="195" t="n">
        <f aca="false">IL$4*IL17</f>
        <v>0</v>
      </c>
      <c r="IM122" s="196" t="n">
        <f aca="false">IM$4*IM17</f>
        <v>0</v>
      </c>
      <c r="IN122" s="196" t="n">
        <f aca="false">IN$4*IN17</f>
        <v>0</v>
      </c>
      <c r="IO122" s="196" t="n">
        <f aca="false">IO$4*IO17</f>
        <v>0</v>
      </c>
      <c r="IP122" s="196" t="n">
        <f aca="false">IP$4*IP17</f>
        <v>0</v>
      </c>
      <c r="IQ122" s="196" t="n">
        <f aca="false">IQ$4*IQ17</f>
        <v>0</v>
      </c>
      <c r="IR122" s="196" t="n">
        <f aca="false">IR$4*IR17</f>
        <v>0</v>
      </c>
      <c r="IS122" s="196" t="n">
        <f aca="false">IS$4*IS17</f>
        <v>0</v>
      </c>
      <c r="IT122" s="196" t="n">
        <f aca="false">IT$4*IT17</f>
        <v>0</v>
      </c>
      <c r="IU122" s="197" t="n">
        <f aca="false">IU$4*IU17</f>
        <v>0</v>
      </c>
      <c r="IV122" s="194" t="str">
        <f aca="false">IK122</f>
        <v>Alumno12</v>
      </c>
      <c r="IW122" s="195" t="n">
        <f aca="false">IW$4*IW17</f>
        <v>0</v>
      </c>
      <c r="IX122" s="196" t="n">
        <f aca="false">IX$4*IX17</f>
        <v>0</v>
      </c>
      <c r="IY122" s="196" t="n">
        <f aca="false">IY$4*IY17</f>
        <v>0</v>
      </c>
      <c r="IZ122" s="196" t="n">
        <f aca="false">IZ$4*IZ17</f>
        <v>0</v>
      </c>
      <c r="JA122" s="196" t="n">
        <f aca="false">JA$4*JA17</f>
        <v>0</v>
      </c>
      <c r="JB122" s="196" t="n">
        <f aca="false">JB$4*JB17</f>
        <v>0</v>
      </c>
      <c r="JC122" s="196" t="n">
        <f aca="false">JC$4*JC17</f>
        <v>0</v>
      </c>
      <c r="JD122" s="196" t="n">
        <f aca="false">JD$4*JD17</f>
        <v>0</v>
      </c>
      <c r="JE122" s="196" t="n">
        <f aca="false">JE$4*JE17</f>
        <v>0</v>
      </c>
      <c r="JF122" s="197" t="n">
        <f aca="false">JF$4*JF17</f>
        <v>0</v>
      </c>
      <c r="JG122" s="194" t="str">
        <f aca="false">IV122</f>
        <v>Alumno12</v>
      </c>
      <c r="JH122" s="195" t="n">
        <f aca="false">JH$4*JH17</f>
        <v>0</v>
      </c>
      <c r="JI122" s="196" t="n">
        <f aca="false">JI$4*JI17</f>
        <v>0</v>
      </c>
      <c r="JJ122" s="196" t="n">
        <f aca="false">JJ$4*JJ17</f>
        <v>0</v>
      </c>
      <c r="JK122" s="196" t="n">
        <f aca="false">JK$4*JK17</f>
        <v>0</v>
      </c>
      <c r="JL122" s="196" t="n">
        <f aca="false">JL$4*JL17</f>
        <v>0</v>
      </c>
      <c r="JM122" s="196" t="n">
        <f aca="false">JM$4*JM17</f>
        <v>0</v>
      </c>
      <c r="JN122" s="196" t="n">
        <f aca="false">JN$4*JN17</f>
        <v>0</v>
      </c>
      <c r="JO122" s="196" t="n">
        <f aca="false">JO$4*JO17</f>
        <v>0</v>
      </c>
      <c r="JP122" s="196" t="n">
        <f aca="false">JP$4*JP17</f>
        <v>0</v>
      </c>
      <c r="JQ122" s="197" t="n">
        <f aca="false">JQ$4*JQ17</f>
        <v>0</v>
      </c>
      <c r="JR122" s="194" t="str">
        <f aca="false">JG122</f>
        <v>Alumno12</v>
      </c>
      <c r="JS122" s="195" t="n">
        <f aca="false">JS$4*JS17</f>
        <v>0</v>
      </c>
      <c r="JT122" s="196" t="n">
        <f aca="false">JT$4*JT17</f>
        <v>0</v>
      </c>
      <c r="JU122" s="196" t="n">
        <f aca="false">JU$4*JU17</f>
        <v>0</v>
      </c>
      <c r="JV122" s="196" t="n">
        <f aca="false">JV$4*JV17</f>
        <v>0</v>
      </c>
      <c r="JW122" s="196" t="n">
        <f aca="false">JW$4*JW17</f>
        <v>0</v>
      </c>
      <c r="JX122" s="196" t="n">
        <f aca="false">JX$4*JX17</f>
        <v>0</v>
      </c>
      <c r="JY122" s="196" t="n">
        <f aca="false">JY$4*JY17</f>
        <v>0</v>
      </c>
      <c r="JZ122" s="196" t="n">
        <f aca="false">JZ$4*JZ17</f>
        <v>0</v>
      </c>
      <c r="KA122" s="196" t="n">
        <f aca="false">KA$4*KA17</f>
        <v>0</v>
      </c>
      <c r="KB122" s="197" t="n">
        <f aca="false">KB$4*KB17</f>
        <v>0</v>
      </c>
      <c r="KC122" s="194" t="str">
        <f aca="false">JR122</f>
        <v>Alumno12</v>
      </c>
      <c r="KD122" s="195" t="n">
        <f aca="false">KD$4*KD17</f>
        <v>0</v>
      </c>
      <c r="KE122" s="196" t="n">
        <f aca="false">KE$4*KE17</f>
        <v>0</v>
      </c>
      <c r="KF122" s="196" t="n">
        <f aca="false">KF$4*KF17</f>
        <v>0</v>
      </c>
      <c r="KG122" s="196" t="n">
        <f aca="false">KG$4*KG17</f>
        <v>0</v>
      </c>
      <c r="KH122" s="196" t="n">
        <f aca="false">KH$4*KH17</f>
        <v>0</v>
      </c>
      <c r="KI122" s="196" t="n">
        <f aca="false">KI$4*KI17</f>
        <v>0</v>
      </c>
      <c r="KJ122" s="196" t="n">
        <f aca="false">KJ$4*KJ17</f>
        <v>0</v>
      </c>
      <c r="KK122" s="196" t="n">
        <f aca="false">KK$4*KK17</f>
        <v>0</v>
      </c>
      <c r="KL122" s="196" t="n">
        <f aca="false">KL$4*KL17</f>
        <v>0</v>
      </c>
      <c r="KM122" s="197" t="n">
        <f aca="false">KM$4*KM17</f>
        <v>0</v>
      </c>
      <c r="KN122" s="194" t="str">
        <f aca="false">KC122</f>
        <v>Alumno12</v>
      </c>
      <c r="KO122" s="195" t="n">
        <f aca="false">KO$4*KO17</f>
        <v>0</v>
      </c>
      <c r="KP122" s="196" t="n">
        <f aca="false">KP$4*KP17</f>
        <v>0</v>
      </c>
      <c r="KQ122" s="196" t="n">
        <f aca="false">KQ$4*KQ17</f>
        <v>0</v>
      </c>
      <c r="KR122" s="196" t="n">
        <f aca="false">KR$4*KR17</f>
        <v>0</v>
      </c>
      <c r="KS122" s="196" t="n">
        <f aca="false">KS$4*KS17</f>
        <v>0</v>
      </c>
      <c r="KT122" s="196" t="n">
        <f aca="false">KT$4*KT17</f>
        <v>0</v>
      </c>
      <c r="KU122" s="196" t="n">
        <f aca="false">KU$4*KU17</f>
        <v>0</v>
      </c>
      <c r="KV122" s="196" t="n">
        <f aca="false">KV$4*KV17</f>
        <v>0</v>
      </c>
      <c r="KW122" s="196" t="n">
        <f aca="false">KW$4*KW17</f>
        <v>0</v>
      </c>
      <c r="KX122" s="197" t="n">
        <f aca="false">KX$4*KX17</f>
        <v>0</v>
      </c>
      <c r="KY122" s="194" t="str">
        <f aca="false">KN122</f>
        <v>Alumno12</v>
      </c>
      <c r="KZ122" s="195" t="n">
        <f aca="false">KZ$4*KZ17</f>
        <v>0</v>
      </c>
      <c r="LA122" s="196" t="n">
        <f aca="false">LA$4*LA17</f>
        <v>0</v>
      </c>
      <c r="LB122" s="196" t="n">
        <f aca="false">LB$4*LB17</f>
        <v>0</v>
      </c>
      <c r="LC122" s="196" t="n">
        <f aca="false">LC$4*LC17</f>
        <v>0</v>
      </c>
      <c r="LD122" s="196" t="n">
        <f aca="false">LD$4*LD17</f>
        <v>0</v>
      </c>
      <c r="LE122" s="196" t="n">
        <f aca="false">LE$4*LE17</f>
        <v>0</v>
      </c>
      <c r="LF122" s="196" t="n">
        <f aca="false">LF$4*LF17</f>
        <v>0</v>
      </c>
      <c r="LG122" s="196" t="n">
        <f aca="false">LG$4*LG17</f>
        <v>0</v>
      </c>
      <c r="LH122" s="196" t="n">
        <f aca="false">LH$4*LH17</f>
        <v>0</v>
      </c>
      <c r="LI122" s="197" t="n">
        <f aca="false">LI$4*LI17</f>
        <v>0</v>
      </c>
      <c r="LJ122" s="194" t="str">
        <f aca="false">KY122</f>
        <v>Alumno12</v>
      </c>
      <c r="LK122" s="195" t="n">
        <f aca="false">LK$4*LK17</f>
        <v>0</v>
      </c>
      <c r="LL122" s="196" t="n">
        <f aca="false">LL$4*LL17</f>
        <v>0</v>
      </c>
      <c r="LM122" s="196" t="n">
        <f aca="false">LM$4*LM17</f>
        <v>0</v>
      </c>
      <c r="LN122" s="196" t="n">
        <f aca="false">LN$4*LN17</f>
        <v>0</v>
      </c>
      <c r="LO122" s="196" t="n">
        <f aca="false">LO$4*LO17</f>
        <v>0</v>
      </c>
      <c r="LP122" s="196" t="n">
        <f aca="false">LP$4*LP17</f>
        <v>0</v>
      </c>
      <c r="LQ122" s="196" t="n">
        <f aca="false">LQ$4*LQ17</f>
        <v>0</v>
      </c>
      <c r="LR122" s="196" t="n">
        <f aca="false">LR$4*LR17</f>
        <v>0</v>
      </c>
      <c r="LS122" s="196" t="n">
        <f aca="false">LS$4*LS17</f>
        <v>0</v>
      </c>
      <c r="LT122" s="197" t="n">
        <f aca="false">LT$4*LT17</f>
        <v>0</v>
      </c>
    </row>
    <row r="123" customFormat="false" ht="15" hidden="true" customHeight="false" outlineLevel="0" collapsed="false">
      <c r="C123" s="194" t="str">
        <f aca="false">C74</f>
        <v>Alumno13</v>
      </c>
      <c r="D123" s="195" t="n">
        <f aca="false">D$4*D18</f>
        <v>0.9</v>
      </c>
      <c r="E123" s="196" t="n">
        <f aca="false">E$4*E18</f>
        <v>1.05</v>
      </c>
      <c r="F123" s="196" t="n">
        <f aca="false">F$4*F18</f>
        <v>0.8</v>
      </c>
      <c r="G123" s="196" t="n">
        <f aca="false">G$4*G18</f>
        <v>0.4</v>
      </c>
      <c r="H123" s="196" t="n">
        <f aca="false">H$4*H18</f>
        <v>0.75</v>
      </c>
      <c r="I123" s="196" t="n">
        <f aca="false">I$4*I18</f>
        <v>0.9</v>
      </c>
      <c r="J123" s="196" t="n">
        <f aca="false">J$4*J18</f>
        <v>0.5</v>
      </c>
      <c r="K123" s="196" t="n">
        <f aca="false">K$4*K18</f>
        <v>0</v>
      </c>
      <c r="L123" s="196" t="n">
        <f aca="false">L$4*L18</f>
        <v>0</v>
      </c>
      <c r="M123" s="197" t="n">
        <f aca="false">M$4*M18</f>
        <v>0</v>
      </c>
      <c r="N123" s="194" t="str">
        <f aca="false">C123</f>
        <v>Alumno13</v>
      </c>
      <c r="O123" s="195" t="n">
        <f aca="false">O$4*O18</f>
        <v>1.2</v>
      </c>
      <c r="P123" s="196" t="n">
        <f aca="false">P$4*P18</f>
        <v>1.4</v>
      </c>
      <c r="Q123" s="196" t="n">
        <f aca="false">Q$4*Q18</f>
        <v>0.8</v>
      </c>
      <c r="R123" s="196" t="n">
        <f aca="false">R$4*R18</f>
        <v>0.8</v>
      </c>
      <c r="S123" s="196" t="n">
        <f aca="false">S$4*S18</f>
        <v>1</v>
      </c>
      <c r="T123" s="196" t="n">
        <f aca="false">T$4*T18</f>
        <v>0</v>
      </c>
      <c r="U123" s="196" t="n">
        <f aca="false">U$4*U18</f>
        <v>0</v>
      </c>
      <c r="V123" s="196" t="n">
        <f aca="false">V$4*V18</f>
        <v>0</v>
      </c>
      <c r="W123" s="196" t="n">
        <f aca="false">W$4*W18</f>
        <v>0</v>
      </c>
      <c r="X123" s="197" t="n">
        <f aca="false">X$4*X18</f>
        <v>0</v>
      </c>
      <c r="Y123" s="194" t="str">
        <f aca="false">N123</f>
        <v>Alumno13</v>
      </c>
      <c r="Z123" s="195" t="n">
        <f aca="false">Z$4*Z18</f>
        <v>1</v>
      </c>
      <c r="AA123" s="196" t="n">
        <f aca="false">AA$4*AA18</f>
        <v>1.2</v>
      </c>
      <c r="AB123" s="196" t="n">
        <f aca="false">AB$4*AB18</f>
        <v>0.6</v>
      </c>
      <c r="AC123" s="196" t="n">
        <f aca="false">AC$4*AC18</f>
        <v>0.8</v>
      </c>
      <c r="AD123" s="196" t="n">
        <f aca="false">AD$4*AD18</f>
        <v>1</v>
      </c>
      <c r="AE123" s="196" t="n">
        <f aca="false">AE$4*AE18</f>
        <v>0</v>
      </c>
      <c r="AF123" s="196" t="n">
        <f aca="false">AF$4*AF18</f>
        <v>0</v>
      </c>
      <c r="AG123" s="196" t="n">
        <f aca="false">AG$4*AG18</f>
        <v>0</v>
      </c>
      <c r="AH123" s="196" t="n">
        <f aca="false">AH$4*AH18</f>
        <v>0</v>
      </c>
      <c r="AI123" s="197" t="n">
        <f aca="false">AI$4*AI18</f>
        <v>0</v>
      </c>
      <c r="AJ123" s="194" t="str">
        <f aca="false">Y123</f>
        <v>Alumno13</v>
      </c>
      <c r="AK123" s="195" t="n">
        <f aca="false">AK$4*AK18</f>
        <v>1</v>
      </c>
      <c r="AL123" s="196" t="n">
        <f aca="false">AL$4*AL18</f>
        <v>1.2</v>
      </c>
      <c r="AM123" s="196" t="n">
        <f aca="false">AM$4*AM18</f>
        <v>0.6</v>
      </c>
      <c r="AN123" s="196" t="n">
        <f aca="false">AN$4*AN18</f>
        <v>0.8</v>
      </c>
      <c r="AO123" s="196" t="n">
        <f aca="false">AO$4*AO18</f>
        <v>1</v>
      </c>
      <c r="AP123" s="196" t="n">
        <f aca="false">AP$4*AP18</f>
        <v>0</v>
      </c>
      <c r="AQ123" s="196" t="n">
        <f aca="false">AQ$4*AQ18</f>
        <v>0</v>
      </c>
      <c r="AR123" s="196" t="n">
        <f aca="false">AR$4*AR18</f>
        <v>0</v>
      </c>
      <c r="AS123" s="196" t="n">
        <f aca="false">AS$4*AS18</f>
        <v>0</v>
      </c>
      <c r="AT123" s="197" t="n">
        <f aca="false">AT$4*AT18</f>
        <v>0</v>
      </c>
      <c r="AU123" s="194" t="str">
        <f aca="false">AJ123</f>
        <v>Alumno13</v>
      </c>
      <c r="AV123" s="195" t="n">
        <f aca="false">AV$4*AV18</f>
        <v>0.6</v>
      </c>
      <c r="AW123" s="196" t="n">
        <f aca="false">AW$4*AW18</f>
        <v>1.4</v>
      </c>
      <c r="AX123" s="196" t="n">
        <f aca="false">AX$4*AX18</f>
        <v>0.8</v>
      </c>
      <c r="AY123" s="196" t="n">
        <f aca="false">AY$4*AY18</f>
        <v>1.2</v>
      </c>
      <c r="AZ123" s="196" t="n">
        <f aca="false">AZ$4*AZ18</f>
        <v>1</v>
      </c>
      <c r="BA123" s="196" t="n">
        <f aca="false">BA$4*BA18</f>
        <v>0</v>
      </c>
      <c r="BB123" s="196" t="n">
        <f aca="false">BB$4*BB18</f>
        <v>0</v>
      </c>
      <c r="BC123" s="196" t="n">
        <f aca="false">BC$4*BC18</f>
        <v>0</v>
      </c>
      <c r="BD123" s="196" t="n">
        <f aca="false">BD$4*BD18</f>
        <v>0</v>
      </c>
      <c r="BE123" s="197" t="n">
        <f aca="false">BE$4*BE18</f>
        <v>0</v>
      </c>
      <c r="BF123" s="194" t="str">
        <f aca="false">AU123</f>
        <v>Alumno13</v>
      </c>
      <c r="BG123" s="195" t="n">
        <f aca="false">BG$4*BG18</f>
        <v>0.6</v>
      </c>
      <c r="BH123" s="196" t="n">
        <f aca="false">BH$4*BH18</f>
        <v>1.4</v>
      </c>
      <c r="BI123" s="196" t="n">
        <f aca="false">BI$4*BI18</f>
        <v>0.8</v>
      </c>
      <c r="BJ123" s="196" t="n">
        <f aca="false">BJ$4*BJ18</f>
        <v>0.8</v>
      </c>
      <c r="BK123" s="196" t="n">
        <f aca="false">BK$4*BK18</f>
        <v>1.5</v>
      </c>
      <c r="BL123" s="196" t="n">
        <f aca="false">BL$4*BL18</f>
        <v>0</v>
      </c>
      <c r="BM123" s="196" t="n">
        <f aca="false">BM$4*BM18</f>
        <v>0</v>
      </c>
      <c r="BN123" s="196" t="n">
        <f aca="false">BN$4*BN18</f>
        <v>0</v>
      </c>
      <c r="BO123" s="196" t="n">
        <f aca="false">BO$4*BO18</f>
        <v>0</v>
      </c>
      <c r="BP123" s="197" t="n">
        <f aca="false">BP$4*BP18</f>
        <v>0</v>
      </c>
      <c r="BQ123" s="194" t="str">
        <f aca="false">BF123</f>
        <v>Alumno13</v>
      </c>
      <c r="BR123" s="195" t="n">
        <f aca="false">BR$4*BR18</f>
        <v>2</v>
      </c>
      <c r="BS123" s="196" t="n">
        <f aca="false">BS$4*BS18</f>
        <v>0.9</v>
      </c>
      <c r="BT123" s="196" t="n">
        <f aca="false">BT$4*BT18</f>
        <v>2</v>
      </c>
      <c r="BU123" s="196" t="n">
        <f aca="false">BU$4*BU18</f>
        <v>1.8</v>
      </c>
      <c r="BV123" s="196" t="n">
        <f aca="false">BV$4*BV18</f>
        <v>3</v>
      </c>
      <c r="BW123" s="196" t="n">
        <f aca="false">BW$4*BW18</f>
        <v>0</v>
      </c>
      <c r="BX123" s="196" t="n">
        <f aca="false">BX$4*BX18</f>
        <v>0</v>
      </c>
      <c r="BY123" s="196" t="n">
        <f aca="false">BY$4*BY18</f>
        <v>0</v>
      </c>
      <c r="BZ123" s="196" t="n">
        <f aca="false">BZ$4*BZ18</f>
        <v>0</v>
      </c>
      <c r="CA123" s="197" t="n">
        <f aca="false">CA$4*CA18</f>
        <v>0</v>
      </c>
      <c r="CB123" s="194" t="str">
        <f aca="false">BQ123</f>
        <v>Alumno13</v>
      </c>
      <c r="CC123" s="195" t="n">
        <f aca="false">CC$4*CC18</f>
        <v>0</v>
      </c>
      <c r="CD123" s="196" t="n">
        <f aca="false">CD$4*CD18</f>
        <v>0</v>
      </c>
      <c r="CE123" s="196" t="n">
        <f aca="false">CE$4*CE18</f>
        <v>0</v>
      </c>
      <c r="CF123" s="196" t="n">
        <f aca="false">CF$4*CF18</f>
        <v>0</v>
      </c>
      <c r="CG123" s="196" t="n">
        <f aca="false">CG$4*CG18</f>
        <v>0</v>
      </c>
      <c r="CH123" s="196" t="n">
        <f aca="false">CH$4*CH18</f>
        <v>0</v>
      </c>
      <c r="CI123" s="196" t="n">
        <f aca="false">CI$4*CI18</f>
        <v>0</v>
      </c>
      <c r="CJ123" s="196" t="n">
        <f aca="false">CJ$4*CJ18</f>
        <v>0</v>
      </c>
      <c r="CK123" s="196" t="n">
        <f aca="false">CK$4*CK18</f>
        <v>0</v>
      </c>
      <c r="CL123" s="197" t="n">
        <f aca="false">CL$4*CL18</f>
        <v>0</v>
      </c>
      <c r="CM123" s="194" t="str">
        <f aca="false">CB123</f>
        <v>Alumno13</v>
      </c>
      <c r="CN123" s="195" t="n">
        <f aca="false">CN$4*CN18</f>
        <v>0</v>
      </c>
      <c r="CO123" s="196" t="n">
        <f aca="false">CO$4*CO18</f>
        <v>0</v>
      </c>
      <c r="CP123" s="196" t="n">
        <f aca="false">CP$4*CP18</f>
        <v>0</v>
      </c>
      <c r="CQ123" s="196" t="n">
        <f aca="false">CQ$4*CQ18</f>
        <v>0</v>
      </c>
      <c r="CR123" s="196" t="n">
        <f aca="false">CR$4*CR18</f>
        <v>0</v>
      </c>
      <c r="CS123" s="196" t="n">
        <f aca="false">CS$4*CS18</f>
        <v>0</v>
      </c>
      <c r="CT123" s="196" t="n">
        <f aca="false">CT$4*CT18</f>
        <v>0</v>
      </c>
      <c r="CU123" s="196" t="n">
        <f aca="false">CU$4*CU18</f>
        <v>0</v>
      </c>
      <c r="CV123" s="196" t="n">
        <f aca="false">CV$4*CV18</f>
        <v>0</v>
      </c>
      <c r="CW123" s="197" t="n">
        <f aca="false">CW$4*CW18</f>
        <v>0</v>
      </c>
      <c r="CX123" s="194" t="str">
        <f aca="false">CM123</f>
        <v>Alumno13</v>
      </c>
      <c r="CY123" s="195" t="n">
        <f aca="false">CY$4*CY18</f>
        <v>0</v>
      </c>
      <c r="CZ123" s="196" t="n">
        <f aca="false">CZ$4*CZ18</f>
        <v>0</v>
      </c>
      <c r="DA123" s="196" t="n">
        <f aca="false">DA$4*DA18</f>
        <v>0</v>
      </c>
      <c r="DB123" s="196" t="n">
        <f aca="false">DB$4*DB18</f>
        <v>0</v>
      </c>
      <c r="DC123" s="196" t="n">
        <f aca="false">DC$4*DC18</f>
        <v>0</v>
      </c>
      <c r="DD123" s="196" t="n">
        <f aca="false">DD$4*DD18</f>
        <v>0</v>
      </c>
      <c r="DE123" s="196" t="n">
        <f aca="false">DE$4*DE18</f>
        <v>0</v>
      </c>
      <c r="DF123" s="196" t="n">
        <f aca="false">DF$4*DF18</f>
        <v>0</v>
      </c>
      <c r="DG123" s="196" t="n">
        <f aca="false">DG$4*DG18</f>
        <v>0</v>
      </c>
      <c r="DH123" s="197" t="n">
        <f aca="false">DH$4*DH18</f>
        <v>0</v>
      </c>
      <c r="DI123" s="194" t="str">
        <f aca="false">CX123</f>
        <v>Alumno13</v>
      </c>
      <c r="DJ123" s="195" t="n">
        <f aca="false">DJ$4*DJ18</f>
        <v>0</v>
      </c>
      <c r="DK123" s="196" t="n">
        <f aca="false">DK$4*DK18</f>
        <v>0</v>
      </c>
      <c r="DL123" s="196" t="n">
        <f aca="false">DL$4*DL18</f>
        <v>0</v>
      </c>
      <c r="DM123" s="196" t="n">
        <f aca="false">DM$4*DM18</f>
        <v>0</v>
      </c>
      <c r="DN123" s="196" t="n">
        <f aca="false">DN$4*DN18</f>
        <v>0</v>
      </c>
      <c r="DO123" s="196" t="n">
        <f aca="false">DO$4*DO18</f>
        <v>0</v>
      </c>
      <c r="DP123" s="196" t="n">
        <f aca="false">DP$4*DP18</f>
        <v>0</v>
      </c>
      <c r="DQ123" s="196" t="n">
        <f aca="false">DQ$4*DQ18</f>
        <v>0</v>
      </c>
      <c r="DR123" s="196" t="n">
        <f aca="false">DR$4*DR18</f>
        <v>0</v>
      </c>
      <c r="DS123" s="197" t="n">
        <f aca="false">DS$4*DS18</f>
        <v>0</v>
      </c>
      <c r="DT123" s="194" t="str">
        <f aca="false">DI123</f>
        <v>Alumno13</v>
      </c>
      <c r="DU123" s="195" t="n">
        <f aca="false">DU$4*DU18</f>
        <v>0</v>
      </c>
      <c r="DV123" s="196" t="n">
        <f aca="false">DV$4*DV18</f>
        <v>0</v>
      </c>
      <c r="DW123" s="196" t="n">
        <f aca="false">DW$4*DW18</f>
        <v>0</v>
      </c>
      <c r="DX123" s="196" t="n">
        <f aca="false">DX$4*DX18</f>
        <v>0</v>
      </c>
      <c r="DY123" s="196" t="n">
        <f aca="false">DY$4*DY18</f>
        <v>0</v>
      </c>
      <c r="DZ123" s="196" t="n">
        <f aca="false">DZ$4*DZ18</f>
        <v>0</v>
      </c>
      <c r="EA123" s="196" t="n">
        <f aca="false">EA$4*EA18</f>
        <v>0</v>
      </c>
      <c r="EB123" s="196" t="n">
        <f aca="false">EB$4*EB18</f>
        <v>0</v>
      </c>
      <c r="EC123" s="196" t="n">
        <f aca="false">EC$4*EC18</f>
        <v>0</v>
      </c>
      <c r="ED123" s="197" t="n">
        <f aca="false">ED$4*ED18</f>
        <v>0</v>
      </c>
      <c r="EE123" s="194" t="str">
        <f aca="false">DT123</f>
        <v>Alumno13</v>
      </c>
      <c r="EF123" s="195" t="n">
        <f aca="false">EF$4*EF18</f>
        <v>0</v>
      </c>
      <c r="EG123" s="196" t="n">
        <f aca="false">EG$4*EG18</f>
        <v>0</v>
      </c>
      <c r="EH123" s="196" t="n">
        <f aca="false">EH$4*EH18</f>
        <v>0</v>
      </c>
      <c r="EI123" s="196" t="n">
        <f aca="false">EI$4*EI18</f>
        <v>0</v>
      </c>
      <c r="EJ123" s="196" t="n">
        <f aca="false">EJ$4*EJ18</f>
        <v>0</v>
      </c>
      <c r="EK123" s="196" t="n">
        <f aca="false">EK$4*EK18</f>
        <v>0</v>
      </c>
      <c r="EL123" s="196" t="n">
        <f aca="false">EL$4*EL18</f>
        <v>0</v>
      </c>
      <c r="EM123" s="196" t="n">
        <f aca="false">EM$4*EM18</f>
        <v>0</v>
      </c>
      <c r="EN123" s="196" t="n">
        <f aca="false">EN$4*EN18</f>
        <v>0</v>
      </c>
      <c r="EO123" s="197" t="n">
        <f aca="false">EO$4*EO18</f>
        <v>0</v>
      </c>
      <c r="EP123" s="194" t="str">
        <f aca="false">EE123</f>
        <v>Alumno13</v>
      </c>
      <c r="EQ123" s="195" t="n">
        <f aca="false">EQ$4*EQ18</f>
        <v>0</v>
      </c>
      <c r="ER123" s="196" t="n">
        <f aca="false">ER$4*ER18</f>
        <v>0</v>
      </c>
      <c r="ES123" s="196" t="n">
        <f aca="false">ES$4*ES18</f>
        <v>0</v>
      </c>
      <c r="ET123" s="196" t="n">
        <f aca="false">ET$4*ET18</f>
        <v>0</v>
      </c>
      <c r="EU123" s="196" t="n">
        <f aca="false">EU$4*EU18</f>
        <v>0</v>
      </c>
      <c r="EV123" s="196" t="n">
        <f aca="false">EV$4*EV18</f>
        <v>0</v>
      </c>
      <c r="EW123" s="196" t="n">
        <f aca="false">EW$4*EW18</f>
        <v>0</v>
      </c>
      <c r="EX123" s="196" t="n">
        <f aca="false">EX$4*EX18</f>
        <v>0</v>
      </c>
      <c r="EY123" s="196" t="n">
        <f aca="false">EY$4*EY18</f>
        <v>0</v>
      </c>
      <c r="EZ123" s="197" t="n">
        <f aca="false">EZ$4*EZ18</f>
        <v>0</v>
      </c>
      <c r="FA123" s="194" t="str">
        <f aca="false">EP123</f>
        <v>Alumno13</v>
      </c>
      <c r="FB123" s="195" t="n">
        <f aca="false">FB$4*FB18</f>
        <v>0</v>
      </c>
      <c r="FC123" s="196" t="n">
        <f aca="false">FC$4*FC18</f>
        <v>0</v>
      </c>
      <c r="FD123" s="196" t="n">
        <f aca="false">FD$4*FD18</f>
        <v>0</v>
      </c>
      <c r="FE123" s="196" t="n">
        <f aca="false">FE$4*FE18</f>
        <v>0</v>
      </c>
      <c r="FF123" s="196" t="n">
        <f aca="false">FF$4*FF18</f>
        <v>0</v>
      </c>
      <c r="FG123" s="196" t="n">
        <f aca="false">FG$4*FG18</f>
        <v>0</v>
      </c>
      <c r="FH123" s="196" t="n">
        <f aca="false">FH$4*FH18</f>
        <v>0</v>
      </c>
      <c r="FI123" s="196" t="n">
        <f aca="false">FI$4*FI18</f>
        <v>0</v>
      </c>
      <c r="FJ123" s="196" t="n">
        <f aca="false">FJ$4*FJ18</f>
        <v>0</v>
      </c>
      <c r="FK123" s="197" t="n">
        <f aca="false">FK$4*FK18</f>
        <v>0</v>
      </c>
      <c r="FL123" s="194" t="str">
        <f aca="false">FA123</f>
        <v>Alumno13</v>
      </c>
      <c r="FM123" s="195" t="n">
        <f aca="false">FM$4*FM18</f>
        <v>0</v>
      </c>
      <c r="FN123" s="196" t="n">
        <f aca="false">FN$4*FN18</f>
        <v>0</v>
      </c>
      <c r="FO123" s="196" t="n">
        <f aca="false">FO$4*FO18</f>
        <v>0</v>
      </c>
      <c r="FP123" s="196" t="n">
        <f aca="false">FP$4*FP18</f>
        <v>0</v>
      </c>
      <c r="FQ123" s="196" t="n">
        <f aca="false">FQ$4*FQ18</f>
        <v>0</v>
      </c>
      <c r="FR123" s="196" t="n">
        <f aca="false">FR$4*FR18</f>
        <v>0</v>
      </c>
      <c r="FS123" s="196" t="n">
        <f aca="false">FS$4*FS18</f>
        <v>0</v>
      </c>
      <c r="FT123" s="196" t="n">
        <f aca="false">FT$4*FT18</f>
        <v>0</v>
      </c>
      <c r="FU123" s="196" t="n">
        <f aca="false">FU$4*FU18</f>
        <v>0</v>
      </c>
      <c r="FV123" s="197" t="n">
        <f aca="false">FV$4*FV18</f>
        <v>0</v>
      </c>
      <c r="FW123" s="194" t="str">
        <f aca="false">FL123</f>
        <v>Alumno13</v>
      </c>
      <c r="FX123" s="195" t="n">
        <f aca="false">FX$4*FX18</f>
        <v>0</v>
      </c>
      <c r="FY123" s="196" t="n">
        <f aca="false">FY$4*FY18</f>
        <v>0</v>
      </c>
      <c r="FZ123" s="196" t="n">
        <f aca="false">FZ$4*FZ18</f>
        <v>0</v>
      </c>
      <c r="GA123" s="196" t="n">
        <f aca="false">GA$4*GA18</f>
        <v>0</v>
      </c>
      <c r="GB123" s="196" t="n">
        <f aca="false">GB$4*GB18</f>
        <v>0</v>
      </c>
      <c r="GC123" s="196" t="n">
        <f aca="false">GC$4*GC18</f>
        <v>0</v>
      </c>
      <c r="GD123" s="196" t="n">
        <f aca="false">GD$4*GD18</f>
        <v>0</v>
      </c>
      <c r="GE123" s="196" t="n">
        <f aca="false">GE$4*GE18</f>
        <v>0</v>
      </c>
      <c r="GF123" s="196" t="n">
        <f aca="false">GF$4*GF18</f>
        <v>0</v>
      </c>
      <c r="GG123" s="197" t="n">
        <f aca="false">GG$4*GG18</f>
        <v>0</v>
      </c>
      <c r="GH123" s="194" t="str">
        <f aca="false">FW123</f>
        <v>Alumno13</v>
      </c>
      <c r="GI123" s="195" t="n">
        <f aca="false">GI$4*GI18</f>
        <v>0</v>
      </c>
      <c r="GJ123" s="196" t="n">
        <f aca="false">GJ$4*GJ18</f>
        <v>0</v>
      </c>
      <c r="GK123" s="196" t="n">
        <f aca="false">GK$4*GK18</f>
        <v>0</v>
      </c>
      <c r="GL123" s="196" t="n">
        <f aca="false">GL$4*GL18</f>
        <v>0</v>
      </c>
      <c r="GM123" s="196" t="n">
        <f aca="false">GM$4*GM18</f>
        <v>0</v>
      </c>
      <c r="GN123" s="196" t="n">
        <f aca="false">GN$4*GN18</f>
        <v>0</v>
      </c>
      <c r="GO123" s="196" t="n">
        <f aca="false">GO$4*GO18</f>
        <v>0</v>
      </c>
      <c r="GP123" s="196" t="n">
        <f aca="false">GP$4*GP18</f>
        <v>0</v>
      </c>
      <c r="GQ123" s="196" t="n">
        <f aca="false">GQ$4*GQ18</f>
        <v>0</v>
      </c>
      <c r="GR123" s="197" t="n">
        <f aca="false">GR$4*GR18</f>
        <v>0</v>
      </c>
      <c r="GS123" s="194" t="str">
        <f aca="false">GH123</f>
        <v>Alumno13</v>
      </c>
      <c r="GT123" s="195" t="n">
        <f aca="false">GT$4*GT18</f>
        <v>0</v>
      </c>
      <c r="GU123" s="196" t="n">
        <f aca="false">GU$4*GU18</f>
        <v>0</v>
      </c>
      <c r="GV123" s="196" t="n">
        <f aca="false">GV$4*GV18</f>
        <v>0</v>
      </c>
      <c r="GW123" s="196" t="n">
        <f aca="false">GW$4*GW18</f>
        <v>0</v>
      </c>
      <c r="GX123" s="196" t="n">
        <f aca="false">GX$4*GX18</f>
        <v>0</v>
      </c>
      <c r="GY123" s="196" t="n">
        <f aca="false">GY$4*GY18</f>
        <v>0</v>
      </c>
      <c r="GZ123" s="196" t="n">
        <f aca="false">GZ$4*GZ18</f>
        <v>0</v>
      </c>
      <c r="HA123" s="196" t="n">
        <f aca="false">HA$4*HA18</f>
        <v>0</v>
      </c>
      <c r="HB123" s="196" t="n">
        <f aca="false">HB$4*HB18</f>
        <v>0</v>
      </c>
      <c r="HC123" s="197" t="n">
        <f aca="false">HC$4*HC18</f>
        <v>0</v>
      </c>
      <c r="HD123" s="194" t="str">
        <f aca="false">GS123</f>
        <v>Alumno13</v>
      </c>
      <c r="HE123" s="195" t="n">
        <f aca="false">HE$4*HE18</f>
        <v>0</v>
      </c>
      <c r="HF123" s="196" t="n">
        <f aca="false">HF$4*HF18</f>
        <v>0</v>
      </c>
      <c r="HG123" s="196" t="n">
        <f aca="false">HG$4*HG18</f>
        <v>0</v>
      </c>
      <c r="HH123" s="196" t="n">
        <f aca="false">HH$4*HH18</f>
        <v>0</v>
      </c>
      <c r="HI123" s="196" t="n">
        <f aca="false">HI$4*HI18</f>
        <v>0</v>
      </c>
      <c r="HJ123" s="196" t="n">
        <f aca="false">HJ$4*HJ18</f>
        <v>0</v>
      </c>
      <c r="HK123" s="196" t="n">
        <f aca="false">HK$4*HK18</f>
        <v>0</v>
      </c>
      <c r="HL123" s="196" t="n">
        <f aca="false">HL$4*HL18</f>
        <v>0</v>
      </c>
      <c r="HM123" s="196" t="n">
        <f aca="false">HM$4*HM18</f>
        <v>0</v>
      </c>
      <c r="HN123" s="197" t="n">
        <f aca="false">HN$4*HN18</f>
        <v>0</v>
      </c>
      <c r="HO123" s="194" t="str">
        <f aca="false">HD123</f>
        <v>Alumno13</v>
      </c>
      <c r="HP123" s="195" t="n">
        <f aca="false">HP$4*HP18</f>
        <v>0</v>
      </c>
      <c r="HQ123" s="196" t="n">
        <f aca="false">HQ$4*HQ18</f>
        <v>0</v>
      </c>
      <c r="HR123" s="196" t="n">
        <f aca="false">HR$4*HR18</f>
        <v>0</v>
      </c>
      <c r="HS123" s="196" t="n">
        <f aca="false">HS$4*HS18</f>
        <v>0</v>
      </c>
      <c r="HT123" s="196" t="n">
        <f aca="false">HT$4*HT18</f>
        <v>0</v>
      </c>
      <c r="HU123" s="196" t="n">
        <f aca="false">HU$4*HU18</f>
        <v>0</v>
      </c>
      <c r="HV123" s="196" t="n">
        <f aca="false">HV$4*HV18</f>
        <v>0</v>
      </c>
      <c r="HW123" s="196" t="n">
        <f aca="false">HW$4*HW18</f>
        <v>0</v>
      </c>
      <c r="HX123" s="196" t="n">
        <f aca="false">HX$4*HX18</f>
        <v>0</v>
      </c>
      <c r="HY123" s="197" t="n">
        <f aca="false">HY$4*HY18</f>
        <v>0</v>
      </c>
      <c r="HZ123" s="194" t="str">
        <f aca="false">HO123</f>
        <v>Alumno13</v>
      </c>
      <c r="IA123" s="195" t="n">
        <f aca="false">IA$4*IA18</f>
        <v>0</v>
      </c>
      <c r="IB123" s="196" t="n">
        <f aca="false">IB$4*IB18</f>
        <v>0</v>
      </c>
      <c r="IC123" s="196" t="n">
        <f aca="false">IC$4*IC18</f>
        <v>0</v>
      </c>
      <c r="ID123" s="196" t="n">
        <f aca="false">ID$4*ID18</f>
        <v>0</v>
      </c>
      <c r="IE123" s="196" t="n">
        <f aca="false">IE$4*IE18</f>
        <v>0</v>
      </c>
      <c r="IF123" s="196" t="n">
        <f aca="false">IF$4*IF18</f>
        <v>0</v>
      </c>
      <c r="IG123" s="196" t="n">
        <f aca="false">IG$4*IG18</f>
        <v>0</v>
      </c>
      <c r="IH123" s="196" t="n">
        <f aca="false">IH$4*IH18</f>
        <v>0</v>
      </c>
      <c r="II123" s="196" t="n">
        <f aca="false">II$4*II18</f>
        <v>0</v>
      </c>
      <c r="IJ123" s="197" t="n">
        <f aca="false">IJ$4*IJ18</f>
        <v>0</v>
      </c>
      <c r="IK123" s="194" t="str">
        <f aca="false">HZ123</f>
        <v>Alumno13</v>
      </c>
      <c r="IL123" s="195" t="n">
        <f aca="false">IL$4*IL18</f>
        <v>0</v>
      </c>
      <c r="IM123" s="196" t="n">
        <f aca="false">IM$4*IM18</f>
        <v>0</v>
      </c>
      <c r="IN123" s="196" t="n">
        <f aca="false">IN$4*IN18</f>
        <v>0</v>
      </c>
      <c r="IO123" s="196" t="n">
        <f aca="false">IO$4*IO18</f>
        <v>0</v>
      </c>
      <c r="IP123" s="196" t="n">
        <f aca="false">IP$4*IP18</f>
        <v>0</v>
      </c>
      <c r="IQ123" s="196" t="n">
        <f aca="false">IQ$4*IQ18</f>
        <v>0</v>
      </c>
      <c r="IR123" s="196" t="n">
        <f aca="false">IR$4*IR18</f>
        <v>0</v>
      </c>
      <c r="IS123" s="196" t="n">
        <f aca="false">IS$4*IS18</f>
        <v>0</v>
      </c>
      <c r="IT123" s="196" t="n">
        <f aca="false">IT$4*IT18</f>
        <v>0</v>
      </c>
      <c r="IU123" s="197" t="n">
        <f aca="false">IU$4*IU18</f>
        <v>0</v>
      </c>
      <c r="IV123" s="194" t="str">
        <f aca="false">IK123</f>
        <v>Alumno13</v>
      </c>
      <c r="IW123" s="195" t="n">
        <f aca="false">IW$4*IW18</f>
        <v>0</v>
      </c>
      <c r="IX123" s="196" t="n">
        <f aca="false">IX$4*IX18</f>
        <v>0</v>
      </c>
      <c r="IY123" s="196" t="n">
        <f aca="false">IY$4*IY18</f>
        <v>0</v>
      </c>
      <c r="IZ123" s="196" t="n">
        <f aca="false">IZ$4*IZ18</f>
        <v>0</v>
      </c>
      <c r="JA123" s="196" t="n">
        <f aca="false">JA$4*JA18</f>
        <v>0</v>
      </c>
      <c r="JB123" s="196" t="n">
        <f aca="false">JB$4*JB18</f>
        <v>0</v>
      </c>
      <c r="JC123" s="196" t="n">
        <f aca="false">JC$4*JC18</f>
        <v>0</v>
      </c>
      <c r="JD123" s="196" t="n">
        <f aca="false">JD$4*JD18</f>
        <v>0</v>
      </c>
      <c r="JE123" s="196" t="n">
        <f aca="false">JE$4*JE18</f>
        <v>0</v>
      </c>
      <c r="JF123" s="197" t="n">
        <f aca="false">JF$4*JF18</f>
        <v>0</v>
      </c>
      <c r="JG123" s="194" t="str">
        <f aca="false">IV123</f>
        <v>Alumno13</v>
      </c>
      <c r="JH123" s="195" t="n">
        <f aca="false">JH$4*JH18</f>
        <v>0</v>
      </c>
      <c r="JI123" s="196" t="n">
        <f aca="false">JI$4*JI18</f>
        <v>0</v>
      </c>
      <c r="JJ123" s="196" t="n">
        <f aca="false">JJ$4*JJ18</f>
        <v>0</v>
      </c>
      <c r="JK123" s="196" t="n">
        <f aca="false">JK$4*JK18</f>
        <v>0</v>
      </c>
      <c r="JL123" s="196" t="n">
        <f aca="false">JL$4*JL18</f>
        <v>0</v>
      </c>
      <c r="JM123" s="196" t="n">
        <f aca="false">JM$4*JM18</f>
        <v>0</v>
      </c>
      <c r="JN123" s="196" t="n">
        <f aca="false">JN$4*JN18</f>
        <v>0</v>
      </c>
      <c r="JO123" s="196" t="n">
        <f aca="false">JO$4*JO18</f>
        <v>0</v>
      </c>
      <c r="JP123" s="196" t="n">
        <f aca="false">JP$4*JP18</f>
        <v>0</v>
      </c>
      <c r="JQ123" s="197" t="n">
        <f aca="false">JQ$4*JQ18</f>
        <v>0</v>
      </c>
      <c r="JR123" s="194" t="str">
        <f aca="false">JG123</f>
        <v>Alumno13</v>
      </c>
      <c r="JS123" s="195" t="n">
        <f aca="false">JS$4*JS18</f>
        <v>0</v>
      </c>
      <c r="JT123" s="196" t="n">
        <f aca="false">JT$4*JT18</f>
        <v>0</v>
      </c>
      <c r="JU123" s="196" t="n">
        <f aca="false">JU$4*JU18</f>
        <v>0</v>
      </c>
      <c r="JV123" s="196" t="n">
        <f aca="false">JV$4*JV18</f>
        <v>0</v>
      </c>
      <c r="JW123" s="196" t="n">
        <f aca="false">JW$4*JW18</f>
        <v>0</v>
      </c>
      <c r="JX123" s="196" t="n">
        <f aca="false">JX$4*JX18</f>
        <v>0</v>
      </c>
      <c r="JY123" s="196" t="n">
        <f aca="false">JY$4*JY18</f>
        <v>0</v>
      </c>
      <c r="JZ123" s="196" t="n">
        <f aca="false">JZ$4*JZ18</f>
        <v>0</v>
      </c>
      <c r="KA123" s="196" t="n">
        <f aca="false">KA$4*KA18</f>
        <v>0</v>
      </c>
      <c r="KB123" s="197" t="n">
        <f aca="false">KB$4*KB18</f>
        <v>0</v>
      </c>
      <c r="KC123" s="194" t="str">
        <f aca="false">JR123</f>
        <v>Alumno13</v>
      </c>
      <c r="KD123" s="195" t="n">
        <f aca="false">KD$4*KD18</f>
        <v>0</v>
      </c>
      <c r="KE123" s="196" t="n">
        <f aca="false">KE$4*KE18</f>
        <v>0</v>
      </c>
      <c r="KF123" s="196" t="n">
        <f aca="false">KF$4*KF18</f>
        <v>0</v>
      </c>
      <c r="KG123" s="196" t="n">
        <f aca="false">KG$4*KG18</f>
        <v>0</v>
      </c>
      <c r="KH123" s="196" t="n">
        <f aca="false">KH$4*KH18</f>
        <v>0</v>
      </c>
      <c r="KI123" s="196" t="n">
        <f aca="false">KI$4*KI18</f>
        <v>0</v>
      </c>
      <c r="KJ123" s="196" t="n">
        <f aca="false">KJ$4*KJ18</f>
        <v>0</v>
      </c>
      <c r="KK123" s="196" t="n">
        <f aca="false">KK$4*KK18</f>
        <v>0</v>
      </c>
      <c r="KL123" s="196" t="n">
        <f aca="false">KL$4*KL18</f>
        <v>0</v>
      </c>
      <c r="KM123" s="197" t="n">
        <f aca="false">KM$4*KM18</f>
        <v>0</v>
      </c>
      <c r="KN123" s="194" t="str">
        <f aca="false">KC123</f>
        <v>Alumno13</v>
      </c>
      <c r="KO123" s="195" t="n">
        <f aca="false">KO$4*KO18</f>
        <v>0</v>
      </c>
      <c r="KP123" s="196" t="n">
        <f aca="false">KP$4*KP18</f>
        <v>0</v>
      </c>
      <c r="KQ123" s="196" t="n">
        <f aca="false">KQ$4*KQ18</f>
        <v>0</v>
      </c>
      <c r="KR123" s="196" t="n">
        <f aca="false">KR$4*KR18</f>
        <v>0</v>
      </c>
      <c r="KS123" s="196" t="n">
        <f aca="false">KS$4*KS18</f>
        <v>0</v>
      </c>
      <c r="KT123" s="196" t="n">
        <f aca="false">KT$4*KT18</f>
        <v>0</v>
      </c>
      <c r="KU123" s="196" t="n">
        <f aca="false">KU$4*KU18</f>
        <v>0</v>
      </c>
      <c r="KV123" s="196" t="n">
        <f aca="false">KV$4*KV18</f>
        <v>0</v>
      </c>
      <c r="KW123" s="196" t="n">
        <f aca="false">KW$4*KW18</f>
        <v>0</v>
      </c>
      <c r="KX123" s="197" t="n">
        <f aca="false">KX$4*KX18</f>
        <v>0</v>
      </c>
      <c r="KY123" s="194" t="str">
        <f aca="false">KN123</f>
        <v>Alumno13</v>
      </c>
      <c r="KZ123" s="195" t="n">
        <f aca="false">KZ$4*KZ18</f>
        <v>0</v>
      </c>
      <c r="LA123" s="196" t="n">
        <f aca="false">LA$4*LA18</f>
        <v>0</v>
      </c>
      <c r="LB123" s="196" t="n">
        <f aca="false">LB$4*LB18</f>
        <v>0</v>
      </c>
      <c r="LC123" s="196" t="n">
        <f aca="false">LC$4*LC18</f>
        <v>0</v>
      </c>
      <c r="LD123" s="196" t="n">
        <f aca="false">LD$4*LD18</f>
        <v>0</v>
      </c>
      <c r="LE123" s="196" t="n">
        <f aca="false">LE$4*LE18</f>
        <v>0</v>
      </c>
      <c r="LF123" s="196" t="n">
        <f aca="false">LF$4*LF18</f>
        <v>0</v>
      </c>
      <c r="LG123" s="196" t="n">
        <f aca="false">LG$4*LG18</f>
        <v>0</v>
      </c>
      <c r="LH123" s="196" t="n">
        <f aca="false">LH$4*LH18</f>
        <v>0</v>
      </c>
      <c r="LI123" s="197" t="n">
        <f aca="false">LI$4*LI18</f>
        <v>0</v>
      </c>
      <c r="LJ123" s="194" t="str">
        <f aca="false">KY123</f>
        <v>Alumno13</v>
      </c>
      <c r="LK123" s="195" t="n">
        <f aca="false">LK$4*LK18</f>
        <v>0</v>
      </c>
      <c r="LL123" s="196" t="n">
        <f aca="false">LL$4*LL18</f>
        <v>0</v>
      </c>
      <c r="LM123" s="196" t="n">
        <f aca="false">LM$4*LM18</f>
        <v>0</v>
      </c>
      <c r="LN123" s="196" t="n">
        <f aca="false">LN$4*LN18</f>
        <v>0</v>
      </c>
      <c r="LO123" s="196" t="n">
        <f aca="false">LO$4*LO18</f>
        <v>0</v>
      </c>
      <c r="LP123" s="196" t="n">
        <f aca="false">LP$4*LP18</f>
        <v>0</v>
      </c>
      <c r="LQ123" s="196" t="n">
        <f aca="false">LQ$4*LQ18</f>
        <v>0</v>
      </c>
      <c r="LR123" s="196" t="n">
        <f aca="false">LR$4*LR18</f>
        <v>0</v>
      </c>
      <c r="LS123" s="196" t="n">
        <f aca="false">LS$4*LS18</f>
        <v>0</v>
      </c>
      <c r="LT123" s="197" t="n">
        <f aca="false">LT$4*LT18</f>
        <v>0</v>
      </c>
    </row>
    <row r="124" customFormat="false" ht="15" hidden="true" customHeight="false" outlineLevel="0" collapsed="false">
      <c r="C124" s="194" t="str">
        <f aca="false">C75</f>
        <v>Alumno14</v>
      </c>
      <c r="D124" s="195" t="n">
        <f aca="false">D$4*D19</f>
        <v>0.6</v>
      </c>
      <c r="E124" s="196" t="n">
        <f aca="false">E$4*E19</f>
        <v>0.45</v>
      </c>
      <c r="F124" s="196" t="n">
        <f aca="false">F$4*F19</f>
        <v>1</v>
      </c>
      <c r="G124" s="196" t="n">
        <f aca="false">G$4*G19</f>
        <v>0.6</v>
      </c>
      <c r="H124" s="196" t="n">
        <f aca="false">H$4*H19</f>
        <v>0.6</v>
      </c>
      <c r="I124" s="196" t="n">
        <f aca="false">I$4*I19</f>
        <v>0.45</v>
      </c>
      <c r="J124" s="196" t="n">
        <f aca="false">J$4*J19</f>
        <v>0.4</v>
      </c>
      <c r="K124" s="196" t="n">
        <f aca="false">K$4*K19</f>
        <v>0</v>
      </c>
      <c r="L124" s="196" t="n">
        <f aca="false">L$4*L19</f>
        <v>0</v>
      </c>
      <c r="M124" s="197" t="n">
        <f aca="false">M$4*M19</f>
        <v>0</v>
      </c>
      <c r="N124" s="194" t="str">
        <f aca="false">C124</f>
        <v>Alumno14</v>
      </c>
      <c r="O124" s="195" t="n">
        <f aca="false">O$4*O19</f>
        <v>0.8</v>
      </c>
      <c r="P124" s="196" t="n">
        <f aca="false">P$4*P19</f>
        <v>0.6</v>
      </c>
      <c r="Q124" s="196" t="n">
        <f aca="false">Q$4*Q19</f>
        <v>1</v>
      </c>
      <c r="R124" s="196" t="n">
        <f aca="false">R$4*R19</f>
        <v>1.2</v>
      </c>
      <c r="S124" s="196" t="n">
        <f aca="false">S$4*S19</f>
        <v>0.8</v>
      </c>
      <c r="T124" s="196" t="n">
        <f aca="false">T$4*T19</f>
        <v>0</v>
      </c>
      <c r="U124" s="196" t="n">
        <f aca="false">U$4*U19</f>
        <v>0</v>
      </c>
      <c r="V124" s="196" t="n">
        <f aca="false">V$4*V19</f>
        <v>0</v>
      </c>
      <c r="W124" s="196" t="n">
        <f aca="false">W$4*W19</f>
        <v>0</v>
      </c>
      <c r="X124" s="197" t="n">
        <f aca="false">X$4*X19</f>
        <v>0</v>
      </c>
      <c r="Y124" s="194" t="str">
        <f aca="false">N124</f>
        <v>Alumno14</v>
      </c>
      <c r="Z124" s="195" t="n">
        <f aca="false">Z$4*Z19</f>
        <v>1</v>
      </c>
      <c r="AA124" s="196" t="n">
        <f aca="false">AA$4*AA19</f>
        <v>1</v>
      </c>
      <c r="AB124" s="196" t="n">
        <f aca="false">AB$4*AB19</f>
        <v>1</v>
      </c>
      <c r="AC124" s="196" t="n">
        <f aca="false">AC$4*AC19</f>
        <v>1</v>
      </c>
      <c r="AD124" s="196" t="n">
        <f aca="false">AD$4*AD19</f>
        <v>1</v>
      </c>
      <c r="AE124" s="196" t="n">
        <f aca="false">AE$4*AE19</f>
        <v>0</v>
      </c>
      <c r="AF124" s="196" t="n">
        <f aca="false">AF$4*AF19</f>
        <v>0</v>
      </c>
      <c r="AG124" s="196" t="n">
        <f aca="false">AG$4*AG19</f>
        <v>0</v>
      </c>
      <c r="AH124" s="196" t="n">
        <f aca="false">AH$4*AH19</f>
        <v>0</v>
      </c>
      <c r="AI124" s="197" t="n">
        <f aca="false">AI$4*AI19</f>
        <v>0</v>
      </c>
      <c r="AJ124" s="194" t="str">
        <f aca="false">Y124</f>
        <v>Alumno14</v>
      </c>
      <c r="AK124" s="195" t="n">
        <f aca="false">AK$4*AK19</f>
        <v>1</v>
      </c>
      <c r="AL124" s="196" t="n">
        <f aca="false">AL$4*AL19</f>
        <v>1</v>
      </c>
      <c r="AM124" s="196" t="n">
        <f aca="false">AM$4*AM19</f>
        <v>1</v>
      </c>
      <c r="AN124" s="196" t="n">
        <f aca="false">AN$4*AN19</f>
        <v>1</v>
      </c>
      <c r="AO124" s="196" t="n">
        <f aca="false">AO$4*AO19</f>
        <v>1</v>
      </c>
      <c r="AP124" s="196" t="n">
        <f aca="false">AP$4*AP19</f>
        <v>0</v>
      </c>
      <c r="AQ124" s="196" t="n">
        <f aca="false">AQ$4*AQ19</f>
        <v>0</v>
      </c>
      <c r="AR124" s="196" t="n">
        <f aca="false">AR$4*AR19</f>
        <v>0</v>
      </c>
      <c r="AS124" s="196" t="n">
        <f aca="false">AS$4*AS19</f>
        <v>0</v>
      </c>
      <c r="AT124" s="197" t="n">
        <f aca="false">AT$4*AT19</f>
        <v>0</v>
      </c>
      <c r="AU124" s="194" t="str">
        <f aca="false">AJ124</f>
        <v>Alumno14</v>
      </c>
      <c r="AV124" s="195" t="n">
        <f aca="false">AV$4*AV19</f>
        <v>0.4</v>
      </c>
      <c r="AW124" s="196" t="n">
        <f aca="false">AW$4*AW19</f>
        <v>0.6</v>
      </c>
      <c r="AX124" s="196" t="n">
        <f aca="false">AX$4*AX19</f>
        <v>1</v>
      </c>
      <c r="AY124" s="196" t="n">
        <f aca="false">AY$4*AY19</f>
        <v>1.8</v>
      </c>
      <c r="AZ124" s="196" t="n">
        <f aca="false">AZ$4*AZ19</f>
        <v>0.8</v>
      </c>
      <c r="BA124" s="196" t="n">
        <f aca="false">BA$4*BA19</f>
        <v>0</v>
      </c>
      <c r="BB124" s="196" t="n">
        <f aca="false">BB$4*BB19</f>
        <v>0</v>
      </c>
      <c r="BC124" s="196" t="n">
        <f aca="false">BC$4*BC19</f>
        <v>0</v>
      </c>
      <c r="BD124" s="196" t="n">
        <f aca="false">BD$4*BD19</f>
        <v>0</v>
      </c>
      <c r="BE124" s="197" t="n">
        <f aca="false">BE$4*BE19</f>
        <v>0</v>
      </c>
      <c r="BF124" s="194" t="str">
        <f aca="false">AU124</f>
        <v>Alumno14</v>
      </c>
      <c r="BG124" s="195" t="n">
        <f aca="false">BG$4*BG19</f>
        <v>0.4</v>
      </c>
      <c r="BH124" s="196" t="n">
        <f aca="false">BH$4*BH19</f>
        <v>0.6</v>
      </c>
      <c r="BI124" s="196" t="n">
        <f aca="false">BI$4*BI19</f>
        <v>1</v>
      </c>
      <c r="BJ124" s="196" t="n">
        <f aca="false">BJ$4*BJ19</f>
        <v>1.2</v>
      </c>
      <c r="BK124" s="196" t="n">
        <f aca="false">BK$4*BK19</f>
        <v>1.2</v>
      </c>
      <c r="BL124" s="196" t="n">
        <f aca="false">BL$4*BL19</f>
        <v>0</v>
      </c>
      <c r="BM124" s="196" t="n">
        <f aca="false">BM$4*BM19</f>
        <v>0</v>
      </c>
      <c r="BN124" s="196" t="n">
        <f aca="false">BN$4*BN19</f>
        <v>0</v>
      </c>
      <c r="BO124" s="196" t="n">
        <f aca="false">BO$4*BO19</f>
        <v>0</v>
      </c>
      <c r="BP124" s="197" t="n">
        <f aca="false">BP$4*BP19</f>
        <v>0</v>
      </c>
      <c r="BQ124" s="194" t="str">
        <f aca="false">BF124</f>
        <v>Alumno14</v>
      </c>
      <c r="BR124" s="195" t="n">
        <f aca="false">BR$4*BR19</f>
        <v>1.8</v>
      </c>
      <c r="BS124" s="196" t="n">
        <f aca="false">BS$4*BS19</f>
        <v>0.9</v>
      </c>
      <c r="BT124" s="196" t="n">
        <f aca="false">BT$4*BT19</f>
        <v>1.8</v>
      </c>
      <c r="BU124" s="196" t="n">
        <f aca="false">BU$4*BU19</f>
        <v>1.8</v>
      </c>
      <c r="BV124" s="196" t="n">
        <f aca="false">BV$4*BV19</f>
        <v>2.7</v>
      </c>
      <c r="BW124" s="196" t="n">
        <f aca="false">BW$4*BW19</f>
        <v>0</v>
      </c>
      <c r="BX124" s="196" t="n">
        <f aca="false">BX$4*BX19</f>
        <v>0</v>
      </c>
      <c r="BY124" s="196" t="n">
        <f aca="false">BY$4*BY19</f>
        <v>0</v>
      </c>
      <c r="BZ124" s="196" t="n">
        <f aca="false">BZ$4*BZ19</f>
        <v>0</v>
      </c>
      <c r="CA124" s="197" t="n">
        <f aca="false">CA$4*CA19</f>
        <v>0</v>
      </c>
      <c r="CB124" s="194" t="str">
        <f aca="false">BQ124</f>
        <v>Alumno14</v>
      </c>
      <c r="CC124" s="195" t="n">
        <f aca="false">CC$4*CC19</f>
        <v>0</v>
      </c>
      <c r="CD124" s="196" t="n">
        <f aca="false">CD$4*CD19</f>
        <v>0</v>
      </c>
      <c r="CE124" s="196" t="n">
        <f aca="false">CE$4*CE19</f>
        <v>0</v>
      </c>
      <c r="CF124" s="196" t="n">
        <f aca="false">CF$4*CF19</f>
        <v>0</v>
      </c>
      <c r="CG124" s="196" t="n">
        <f aca="false">CG$4*CG19</f>
        <v>0</v>
      </c>
      <c r="CH124" s="196" t="n">
        <f aca="false">CH$4*CH19</f>
        <v>0</v>
      </c>
      <c r="CI124" s="196" t="n">
        <f aca="false">CI$4*CI19</f>
        <v>0</v>
      </c>
      <c r="CJ124" s="196" t="n">
        <f aca="false">CJ$4*CJ19</f>
        <v>0</v>
      </c>
      <c r="CK124" s="196" t="n">
        <f aca="false">CK$4*CK19</f>
        <v>0</v>
      </c>
      <c r="CL124" s="197" t="n">
        <f aca="false">CL$4*CL19</f>
        <v>0</v>
      </c>
      <c r="CM124" s="194" t="str">
        <f aca="false">CB124</f>
        <v>Alumno14</v>
      </c>
      <c r="CN124" s="195" t="n">
        <f aca="false">CN$4*CN19</f>
        <v>0</v>
      </c>
      <c r="CO124" s="196" t="n">
        <f aca="false">CO$4*CO19</f>
        <v>0</v>
      </c>
      <c r="CP124" s="196" t="n">
        <f aca="false">CP$4*CP19</f>
        <v>0</v>
      </c>
      <c r="CQ124" s="196" t="n">
        <f aca="false">CQ$4*CQ19</f>
        <v>0</v>
      </c>
      <c r="CR124" s="196" t="n">
        <f aca="false">CR$4*CR19</f>
        <v>0</v>
      </c>
      <c r="CS124" s="196" t="n">
        <f aca="false">CS$4*CS19</f>
        <v>0</v>
      </c>
      <c r="CT124" s="196" t="n">
        <f aca="false">CT$4*CT19</f>
        <v>0</v>
      </c>
      <c r="CU124" s="196" t="n">
        <f aca="false">CU$4*CU19</f>
        <v>0</v>
      </c>
      <c r="CV124" s="196" t="n">
        <f aca="false">CV$4*CV19</f>
        <v>0</v>
      </c>
      <c r="CW124" s="197" t="n">
        <f aca="false">CW$4*CW19</f>
        <v>0</v>
      </c>
      <c r="CX124" s="194" t="str">
        <f aca="false">CM124</f>
        <v>Alumno14</v>
      </c>
      <c r="CY124" s="195" t="n">
        <f aca="false">CY$4*CY19</f>
        <v>0</v>
      </c>
      <c r="CZ124" s="196" t="n">
        <f aca="false">CZ$4*CZ19</f>
        <v>0</v>
      </c>
      <c r="DA124" s="196" t="n">
        <f aca="false">DA$4*DA19</f>
        <v>0</v>
      </c>
      <c r="DB124" s="196" t="n">
        <f aca="false">DB$4*DB19</f>
        <v>0</v>
      </c>
      <c r="DC124" s="196" t="n">
        <f aca="false">DC$4*DC19</f>
        <v>0</v>
      </c>
      <c r="DD124" s="196" t="n">
        <f aca="false">DD$4*DD19</f>
        <v>0</v>
      </c>
      <c r="DE124" s="196" t="n">
        <f aca="false">DE$4*DE19</f>
        <v>0</v>
      </c>
      <c r="DF124" s="196" t="n">
        <f aca="false">DF$4*DF19</f>
        <v>0</v>
      </c>
      <c r="DG124" s="196" t="n">
        <f aca="false">DG$4*DG19</f>
        <v>0</v>
      </c>
      <c r="DH124" s="197" t="n">
        <f aca="false">DH$4*DH19</f>
        <v>0</v>
      </c>
      <c r="DI124" s="194" t="str">
        <f aca="false">CX124</f>
        <v>Alumno14</v>
      </c>
      <c r="DJ124" s="195" t="n">
        <f aca="false">DJ$4*DJ19</f>
        <v>0</v>
      </c>
      <c r="DK124" s="196" t="n">
        <f aca="false">DK$4*DK19</f>
        <v>0</v>
      </c>
      <c r="DL124" s="196" t="n">
        <f aca="false">DL$4*DL19</f>
        <v>0</v>
      </c>
      <c r="DM124" s="196" t="n">
        <f aca="false">DM$4*DM19</f>
        <v>0</v>
      </c>
      <c r="DN124" s="196" t="n">
        <f aca="false">DN$4*DN19</f>
        <v>0</v>
      </c>
      <c r="DO124" s="196" t="n">
        <f aca="false">DO$4*DO19</f>
        <v>0</v>
      </c>
      <c r="DP124" s="196" t="n">
        <f aca="false">DP$4*DP19</f>
        <v>0</v>
      </c>
      <c r="DQ124" s="196" t="n">
        <f aca="false">DQ$4*DQ19</f>
        <v>0</v>
      </c>
      <c r="DR124" s="196" t="n">
        <f aca="false">DR$4*DR19</f>
        <v>0</v>
      </c>
      <c r="DS124" s="197" t="n">
        <f aca="false">DS$4*DS19</f>
        <v>0</v>
      </c>
      <c r="DT124" s="194" t="str">
        <f aca="false">DI124</f>
        <v>Alumno14</v>
      </c>
      <c r="DU124" s="195" t="n">
        <f aca="false">DU$4*DU19</f>
        <v>0</v>
      </c>
      <c r="DV124" s="196" t="n">
        <f aca="false">DV$4*DV19</f>
        <v>0</v>
      </c>
      <c r="DW124" s="196" t="n">
        <f aca="false">DW$4*DW19</f>
        <v>0</v>
      </c>
      <c r="DX124" s="196" t="n">
        <f aca="false">DX$4*DX19</f>
        <v>0</v>
      </c>
      <c r="DY124" s="196" t="n">
        <f aca="false">DY$4*DY19</f>
        <v>0</v>
      </c>
      <c r="DZ124" s="196" t="n">
        <f aca="false">DZ$4*DZ19</f>
        <v>0</v>
      </c>
      <c r="EA124" s="196" t="n">
        <f aca="false">EA$4*EA19</f>
        <v>0</v>
      </c>
      <c r="EB124" s="196" t="n">
        <f aca="false">EB$4*EB19</f>
        <v>0</v>
      </c>
      <c r="EC124" s="196" t="n">
        <f aca="false">EC$4*EC19</f>
        <v>0</v>
      </c>
      <c r="ED124" s="197" t="n">
        <f aca="false">ED$4*ED19</f>
        <v>0</v>
      </c>
      <c r="EE124" s="194" t="str">
        <f aca="false">DT124</f>
        <v>Alumno14</v>
      </c>
      <c r="EF124" s="195" t="n">
        <f aca="false">EF$4*EF19</f>
        <v>0</v>
      </c>
      <c r="EG124" s="196" t="n">
        <f aca="false">EG$4*EG19</f>
        <v>0</v>
      </c>
      <c r="EH124" s="196" t="n">
        <f aca="false">EH$4*EH19</f>
        <v>0</v>
      </c>
      <c r="EI124" s="196" t="n">
        <f aca="false">EI$4*EI19</f>
        <v>0</v>
      </c>
      <c r="EJ124" s="196" t="n">
        <f aca="false">EJ$4*EJ19</f>
        <v>0</v>
      </c>
      <c r="EK124" s="196" t="n">
        <f aca="false">EK$4*EK19</f>
        <v>0</v>
      </c>
      <c r="EL124" s="196" t="n">
        <f aca="false">EL$4*EL19</f>
        <v>0</v>
      </c>
      <c r="EM124" s="196" t="n">
        <f aca="false">EM$4*EM19</f>
        <v>0</v>
      </c>
      <c r="EN124" s="196" t="n">
        <f aca="false">EN$4*EN19</f>
        <v>0</v>
      </c>
      <c r="EO124" s="197" t="n">
        <f aca="false">EO$4*EO19</f>
        <v>0</v>
      </c>
      <c r="EP124" s="194" t="str">
        <f aca="false">EE124</f>
        <v>Alumno14</v>
      </c>
      <c r="EQ124" s="195" t="n">
        <f aca="false">EQ$4*EQ19</f>
        <v>0</v>
      </c>
      <c r="ER124" s="196" t="n">
        <f aca="false">ER$4*ER19</f>
        <v>0</v>
      </c>
      <c r="ES124" s="196" t="n">
        <f aca="false">ES$4*ES19</f>
        <v>0</v>
      </c>
      <c r="ET124" s="196" t="n">
        <f aca="false">ET$4*ET19</f>
        <v>0</v>
      </c>
      <c r="EU124" s="196" t="n">
        <f aca="false">EU$4*EU19</f>
        <v>0</v>
      </c>
      <c r="EV124" s="196" t="n">
        <f aca="false">EV$4*EV19</f>
        <v>0</v>
      </c>
      <c r="EW124" s="196" t="n">
        <f aca="false">EW$4*EW19</f>
        <v>0</v>
      </c>
      <c r="EX124" s="196" t="n">
        <f aca="false">EX$4*EX19</f>
        <v>0</v>
      </c>
      <c r="EY124" s="196" t="n">
        <f aca="false">EY$4*EY19</f>
        <v>0</v>
      </c>
      <c r="EZ124" s="197" t="n">
        <f aca="false">EZ$4*EZ19</f>
        <v>0</v>
      </c>
      <c r="FA124" s="194" t="str">
        <f aca="false">EP124</f>
        <v>Alumno14</v>
      </c>
      <c r="FB124" s="195" t="n">
        <f aca="false">FB$4*FB19</f>
        <v>0</v>
      </c>
      <c r="FC124" s="196" t="n">
        <f aca="false">FC$4*FC19</f>
        <v>0</v>
      </c>
      <c r="FD124" s="196" t="n">
        <f aca="false">FD$4*FD19</f>
        <v>0</v>
      </c>
      <c r="FE124" s="196" t="n">
        <f aca="false">FE$4*FE19</f>
        <v>0</v>
      </c>
      <c r="FF124" s="196" t="n">
        <f aca="false">FF$4*FF19</f>
        <v>0</v>
      </c>
      <c r="FG124" s="196" t="n">
        <f aca="false">FG$4*FG19</f>
        <v>0</v>
      </c>
      <c r="FH124" s="196" t="n">
        <f aca="false">FH$4*FH19</f>
        <v>0</v>
      </c>
      <c r="FI124" s="196" t="n">
        <f aca="false">FI$4*FI19</f>
        <v>0</v>
      </c>
      <c r="FJ124" s="196" t="n">
        <f aca="false">FJ$4*FJ19</f>
        <v>0</v>
      </c>
      <c r="FK124" s="197" t="n">
        <f aca="false">FK$4*FK19</f>
        <v>0</v>
      </c>
      <c r="FL124" s="194" t="str">
        <f aca="false">FA124</f>
        <v>Alumno14</v>
      </c>
      <c r="FM124" s="195" t="n">
        <f aca="false">FM$4*FM19</f>
        <v>0</v>
      </c>
      <c r="FN124" s="196" t="n">
        <f aca="false">FN$4*FN19</f>
        <v>0</v>
      </c>
      <c r="FO124" s="196" t="n">
        <f aca="false">FO$4*FO19</f>
        <v>0</v>
      </c>
      <c r="FP124" s="196" t="n">
        <f aca="false">FP$4*FP19</f>
        <v>0</v>
      </c>
      <c r="FQ124" s="196" t="n">
        <f aca="false">FQ$4*FQ19</f>
        <v>0</v>
      </c>
      <c r="FR124" s="196" t="n">
        <f aca="false">FR$4*FR19</f>
        <v>0</v>
      </c>
      <c r="FS124" s="196" t="n">
        <f aca="false">FS$4*FS19</f>
        <v>0</v>
      </c>
      <c r="FT124" s="196" t="n">
        <f aca="false">FT$4*FT19</f>
        <v>0</v>
      </c>
      <c r="FU124" s="196" t="n">
        <f aca="false">FU$4*FU19</f>
        <v>0</v>
      </c>
      <c r="FV124" s="197" t="n">
        <f aca="false">FV$4*FV19</f>
        <v>0</v>
      </c>
      <c r="FW124" s="194" t="str">
        <f aca="false">FL124</f>
        <v>Alumno14</v>
      </c>
      <c r="FX124" s="195" t="n">
        <f aca="false">FX$4*FX19</f>
        <v>0</v>
      </c>
      <c r="FY124" s="196" t="n">
        <f aca="false">FY$4*FY19</f>
        <v>0</v>
      </c>
      <c r="FZ124" s="196" t="n">
        <f aca="false">FZ$4*FZ19</f>
        <v>0</v>
      </c>
      <c r="GA124" s="196" t="n">
        <f aca="false">GA$4*GA19</f>
        <v>0</v>
      </c>
      <c r="GB124" s="196" t="n">
        <f aca="false">GB$4*GB19</f>
        <v>0</v>
      </c>
      <c r="GC124" s="196" t="n">
        <f aca="false">GC$4*GC19</f>
        <v>0</v>
      </c>
      <c r="GD124" s="196" t="n">
        <f aca="false">GD$4*GD19</f>
        <v>0</v>
      </c>
      <c r="GE124" s="196" t="n">
        <f aca="false">GE$4*GE19</f>
        <v>0</v>
      </c>
      <c r="GF124" s="196" t="n">
        <f aca="false">GF$4*GF19</f>
        <v>0</v>
      </c>
      <c r="GG124" s="197" t="n">
        <f aca="false">GG$4*GG19</f>
        <v>0</v>
      </c>
      <c r="GH124" s="194" t="str">
        <f aca="false">FW124</f>
        <v>Alumno14</v>
      </c>
      <c r="GI124" s="195" t="n">
        <f aca="false">GI$4*GI19</f>
        <v>0</v>
      </c>
      <c r="GJ124" s="196" t="n">
        <f aca="false">GJ$4*GJ19</f>
        <v>0</v>
      </c>
      <c r="GK124" s="196" t="n">
        <f aca="false">GK$4*GK19</f>
        <v>0</v>
      </c>
      <c r="GL124" s="196" t="n">
        <f aca="false">GL$4*GL19</f>
        <v>0</v>
      </c>
      <c r="GM124" s="196" t="n">
        <f aca="false">GM$4*GM19</f>
        <v>0</v>
      </c>
      <c r="GN124" s="196" t="n">
        <f aca="false">GN$4*GN19</f>
        <v>0</v>
      </c>
      <c r="GO124" s="196" t="n">
        <f aca="false">GO$4*GO19</f>
        <v>0</v>
      </c>
      <c r="GP124" s="196" t="n">
        <f aca="false">GP$4*GP19</f>
        <v>0</v>
      </c>
      <c r="GQ124" s="196" t="n">
        <f aca="false">GQ$4*GQ19</f>
        <v>0</v>
      </c>
      <c r="GR124" s="197" t="n">
        <f aca="false">GR$4*GR19</f>
        <v>0</v>
      </c>
      <c r="GS124" s="194" t="str">
        <f aca="false">GH124</f>
        <v>Alumno14</v>
      </c>
      <c r="GT124" s="195" t="n">
        <f aca="false">GT$4*GT19</f>
        <v>0</v>
      </c>
      <c r="GU124" s="196" t="n">
        <f aca="false">GU$4*GU19</f>
        <v>0</v>
      </c>
      <c r="GV124" s="196" t="n">
        <f aca="false">GV$4*GV19</f>
        <v>0</v>
      </c>
      <c r="GW124" s="196" t="n">
        <f aca="false">GW$4*GW19</f>
        <v>0</v>
      </c>
      <c r="GX124" s="196" t="n">
        <f aca="false">GX$4*GX19</f>
        <v>0</v>
      </c>
      <c r="GY124" s="196" t="n">
        <f aca="false">GY$4*GY19</f>
        <v>0</v>
      </c>
      <c r="GZ124" s="196" t="n">
        <f aca="false">GZ$4*GZ19</f>
        <v>0</v>
      </c>
      <c r="HA124" s="196" t="n">
        <f aca="false">HA$4*HA19</f>
        <v>0</v>
      </c>
      <c r="HB124" s="196" t="n">
        <f aca="false">HB$4*HB19</f>
        <v>0</v>
      </c>
      <c r="HC124" s="197" t="n">
        <f aca="false">HC$4*HC19</f>
        <v>0</v>
      </c>
      <c r="HD124" s="194" t="str">
        <f aca="false">GS124</f>
        <v>Alumno14</v>
      </c>
      <c r="HE124" s="195" t="n">
        <f aca="false">HE$4*HE19</f>
        <v>0</v>
      </c>
      <c r="HF124" s="196" t="n">
        <f aca="false">HF$4*HF19</f>
        <v>0</v>
      </c>
      <c r="HG124" s="196" t="n">
        <f aca="false">HG$4*HG19</f>
        <v>0</v>
      </c>
      <c r="HH124" s="196" t="n">
        <f aca="false">HH$4*HH19</f>
        <v>0</v>
      </c>
      <c r="HI124" s="196" t="n">
        <f aca="false">HI$4*HI19</f>
        <v>0</v>
      </c>
      <c r="HJ124" s="196" t="n">
        <f aca="false">HJ$4*HJ19</f>
        <v>0</v>
      </c>
      <c r="HK124" s="196" t="n">
        <f aca="false">HK$4*HK19</f>
        <v>0</v>
      </c>
      <c r="HL124" s="196" t="n">
        <f aca="false">HL$4*HL19</f>
        <v>0</v>
      </c>
      <c r="HM124" s="196" t="n">
        <f aca="false">HM$4*HM19</f>
        <v>0</v>
      </c>
      <c r="HN124" s="197" t="n">
        <f aca="false">HN$4*HN19</f>
        <v>0</v>
      </c>
      <c r="HO124" s="194" t="str">
        <f aca="false">HD124</f>
        <v>Alumno14</v>
      </c>
      <c r="HP124" s="195" t="n">
        <f aca="false">HP$4*HP19</f>
        <v>0</v>
      </c>
      <c r="HQ124" s="196" t="n">
        <f aca="false">HQ$4*HQ19</f>
        <v>0</v>
      </c>
      <c r="HR124" s="196" t="n">
        <f aca="false">HR$4*HR19</f>
        <v>0</v>
      </c>
      <c r="HS124" s="196" t="n">
        <f aca="false">HS$4*HS19</f>
        <v>0</v>
      </c>
      <c r="HT124" s="196" t="n">
        <f aca="false">HT$4*HT19</f>
        <v>0</v>
      </c>
      <c r="HU124" s="196" t="n">
        <f aca="false">HU$4*HU19</f>
        <v>0</v>
      </c>
      <c r="HV124" s="196" t="n">
        <f aca="false">HV$4*HV19</f>
        <v>0</v>
      </c>
      <c r="HW124" s="196" t="n">
        <f aca="false">HW$4*HW19</f>
        <v>0</v>
      </c>
      <c r="HX124" s="196" t="n">
        <f aca="false">HX$4*HX19</f>
        <v>0</v>
      </c>
      <c r="HY124" s="197" t="n">
        <f aca="false">HY$4*HY19</f>
        <v>0</v>
      </c>
      <c r="HZ124" s="194" t="str">
        <f aca="false">HO124</f>
        <v>Alumno14</v>
      </c>
      <c r="IA124" s="195" t="n">
        <f aca="false">IA$4*IA19</f>
        <v>0</v>
      </c>
      <c r="IB124" s="196" t="n">
        <f aca="false">IB$4*IB19</f>
        <v>0</v>
      </c>
      <c r="IC124" s="196" t="n">
        <f aca="false">IC$4*IC19</f>
        <v>0</v>
      </c>
      <c r="ID124" s="196" t="n">
        <f aca="false">ID$4*ID19</f>
        <v>0</v>
      </c>
      <c r="IE124" s="196" t="n">
        <f aca="false">IE$4*IE19</f>
        <v>0</v>
      </c>
      <c r="IF124" s="196" t="n">
        <f aca="false">IF$4*IF19</f>
        <v>0</v>
      </c>
      <c r="IG124" s="196" t="n">
        <f aca="false">IG$4*IG19</f>
        <v>0</v>
      </c>
      <c r="IH124" s="196" t="n">
        <f aca="false">IH$4*IH19</f>
        <v>0</v>
      </c>
      <c r="II124" s="196" t="n">
        <f aca="false">II$4*II19</f>
        <v>0</v>
      </c>
      <c r="IJ124" s="197" t="n">
        <f aca="false">IJ$4*IJ19</f>
        <v>0</v>
      </c>
      <c r="IK124" s="194" t="str">
        <f aca="false">HZ124</f>
        <v>Alumno14</v>
      </c>
      <c r="IL124" s="195" t="n">
        <f aca="false">IL$4*IL19</f>
        <v>0</v>
      </c>
      <c r="IM124" s="196" t="n">
        <f aca="false">IM$4*IM19</f>
        <v>0</v>
      </c>
      <c r="IN124" s="196" t="n">
        <f aca="false">IN$4*IN19</f>
        <v>0</v>
      </c>
      <c r="IO124" s="196" t="n">
        <f aca="false">IO$4*IO19</f>
        <v>0</v>
      </c>
      <c r="IP124" s="196" t="n">
        <f aca="false">IP$4*IP19</f>
        <v>0</v>
      </c>
      <c r="IQ124" s="196" t="n">
        <f aca="false">IQ$4*IQ19</f>
        <v>0</v>
      </c>
      <c r="IR124" s="196" t="n">
        <f aca="false">IR$4*IR19</f>
        <v>0</v>
      </c>
      <c r="IS124" s="196" t="n">
        <f aca="false">IS$4*IS19</f>
        <v>0</v>
      </c>
      <c r="IT124" s="196" t="n">
        <f aca="false">IT$4*IT19</f>
        <v>0</v>
      </c>
      <c r="IU124" s="197" t="n">
        <f aca="false">IU$4*IU19</f>
        <v>0</v>
      </c>
      <c r="IV124" s="194" t="str">
        <f aca="false">IK124</f>
        <v>Alumno14</v>
      </c>
      <c r="IW124" s="195" t="n">
        <f aca="false">IW$4*IW19</f>
        <v>0</v>
      </c>
      <c r="IX124" s="196" t="n">
        <f aca="false">IX$4*IX19</f>
        <v>0</v>
      </c>
      <c r="IY124" s="196" t="n">
        <f aca="false">IY$4*IY19</f>
        <v>0</v>
      </c>
      <c r="IZ124" s="196" t="n">
        <f aca="false">IZ$4*IZ19</f>
        <v>0</v>
      </c>
      <c r="JA124" s="196" t="n">
        <f aca="false">JA$4*JA19</f>
        <v>0</v>
      </c>
      <c r="JB124" s="196" t="n">
        <f aca="false">JB$4*JB19</f>
        <v>0</v>
      </c>
      <c r="JC124" s="196" t="n">
        <f aca="false">JC$4*JC19</f>
        <v>0</v>
      </c>
      <c r="JD124" s="196" t="n">
        <f aca="false">JD$4*JD19</f>
        <v>0</v>
      </c>
      <c r="JE124" s="196" t="n">
        <f aca="false">JE$4*JE19</f>
        <v>0</v>
      </c>
      <c r="JF124" s="197" t="n">
        <f aca="false">JF$4*JF19</f>
        <v>0</v>
      </c>
      <c r="JG124" s="194" t="str">
        <f aca="false">IV124</f>
        <v>Alumno14</v>
      </c>
      <c r="JH124" s="195" t="n">
        <f aca="false">JH$4*JH19</f>
        <v>0</v>
      </c>
      <c r="JI124" s="196" t="n">
        <f aca="false">JI$4*JI19</f>
        <v>0</v>
      </c>
      <c r="JJ124" s="196" t="n">
        <f aca="false">JJ$4*JJ19</f>
        <v>0</v>
      </c>
      <c r="JK124" s="196" t="n">
        <f aca="false">JK$4*JK19</f>
        <v>0</v>
      </c>
      <c r="JL124" s="196" t="n">
        <f aca="false">JL$4*JL19</f>
        <v>0</v>
      </c>
      <c r="JM124" s="196" t="n">
        <f aca="false">JM$4*JM19</f>
        <v>0</v>
      </c>
      <c r="JN124" s="196" t="n">
        <f aca="false">JN$4*JN19</f>
        <v>0</v>
      </c>
      <c r="JO124" s="196" t="n">
        <f aca="false">JO$4*JO19</f>
        <v>0</v>
      </c>
      <c r="JP124" s="196" t="n">
        <f aca="false">JP$4*JP19</f>
        <v>0</v>
      </c>
      <c r="JQ124" s="197" t="n">
        <f aca="false">JQ$4*JQ19</f>
        <v>0</v>
      </c>
      <c r="JR124" s="194" t="str">
        <f aca="false">JG124</f>
        <v>Alumno14</v>
      </c>
      <c r="JS124" s="195" t="n">
        <f aca="false">JS$4*JS19</f>
        <v>0</v>
      </c>
      <c r="JT124" s="196" t="n">
        <f aca="false">JT$4*JT19</f>
        <v>0</v>
      </c>
      <c r="JU124" s="196" t="n">
        <f aca="false">JU$4*JU19</f>
        <v>0</v>
      </c>
      <c r="JV124" s="196" t="n">
        <f aca="false">JV$4*JV19</f>
        <v>0</v>
      </c>
      <c r="JW124" s="196" t="n">
        <f aca="false">JW$4*JW19</f>
        <v>0</v>
      </c>
      <c r="JX124" s="196" t="n">
        <f aca="false">JX$4*JX19</f>
        <v>0</v>
      </c>
      <c r="JY124" s="196" t="n">
        <f aca="false">JY$4*JY19</f>
        <v>0</v>
      </c>
      <c r="JZ124" s="196" t="n">
        <f aca="false">JZ$4*JZ19</f>
        <v>0</v>
      </c>
      <c r="KA124" s="196" t="n">
        <f aca="false">KA$4*KA19</f>
        <v>0</v>
      </c>
      <c r="KB124" s="197" t="n">
        <f aca="false">KB$4*KB19</f>
        <v>0</v>
      </c>
      <c r="KC124" s="194" t="str">
        <f aca="false">JR124</f>
        <v>Alumno14</v>
      </c>
      <c r="KD124" s="195" t="n">
        <f aca="false">KD$4*KD19</f>
        <v>0</v>
      </c>
      <c r="KE124" s="196" t="n">
        <f aca="false">KE$4*KE19</f>
        <v>0</v>
      </c>
      <c r="KF124" s="196" t="n">
        <f aca="false">KF$4*KF19</f>
        <v>0</v>
      </c>
      <c r="KG124" s="196" t="n">
        <f aca="false">KG$4*KG19</f>
        <v>0</v>
      </c>
      <c r="KH124" s="196" t="n">
        <f aca="false">KH$4*KH19</f>
        <v>0</v>
      </c>
      <c r="KI124" s="196" t="n">
        <f aca="false">KI$4*KI19</f>
        <v>0</v>
      </c>
      <c r="KJ124" s="196" t="n">
        <f aca="false">KJ$4*KJ19</f>
        <v>0</v>
      </c>
      <c r="KK124" s="196" t="n">
        <f aca="false">KK$4*KK19</f>
        <v>0</v>
      </c>
      <c r="KL124" s="196" t="n">
        <f aca="false">KL$4*KL19</f>
        <v>0</v>
      </c>
      <c r="KM124" s="197" t="n">
        <f aca="false">KM$4*KM19</f>
        <v>0</v>
      </c>
      <c r="KN124" s="194" t="str">
        <f aca="false">KC124</f>
        <v>Alumno14</v>
      </c>
      <c r="KO124" s="195" t="n">
        <f aca="false">KO$4*KO19</f>
        <v>0</v>
      </c>
      <c r="KP124" s="196" t="n">
        <f aca="false">KP$4*KP19</f>
        <v>0</v>
      </c>
      <c r="KQ124" s="196" t="n">
        <f aca="false">KQ$4*KQ19</f>
        <v>0</v>
      </c>
      <c r="KR124" s="196" t="n">
        <f aca="false">KR$4*KR19</f>
        <v>0</v>
      </c>
      <c r="KS124" s="196" t="n">
        <f aca="false">KS$4*KS19</f>
        <v>0</v>
      </c>
      <c r="KT124" s="196" t="n">
        <f aca="false">KT$4*KT19</f>
        <v>0</v>
      </c>
      <c r="KU124" s="196" t="n">
        <f aca="false">KU$4*KU19</f>
        <v>0</v>
      </c>
      <c r="KV124" s="196" t="n">
        <f aca="false">KV$4*KV19</f>
        <v>0</v>
      </c>
      <c r="KW124" s="196" t="n">
        <f aca="false">KW$4*KW19</f>
        <v>0</v>
      </c>
      <c r="KX124" s="197" t="n">
        <f aca="false">KX$4*KX19</f>
        <v>0</v>
      </c>
      <c r="KY124" s="194" t="str">
        <f aca="false">KN124</f>
        <v>Alumno14</v>
      </c>
      <c r="KZ124" s="195" t="n">
        <f aca="false">KZ$4*KZ19</f>
        <v>0</v>
      </c>
      <c r="LA124" s="196" t="n">
        <f aca="false">LA$4*LA19</f>
        <v>0</v>
      </c>
      <c r="LB124" s="196" t="n">
        <f aca="false">LB$4*LB19</f>
        <v>0</v>
      </c>
      <c r="LC124" s="196" t="n">
        <f aca="false">LC$4*LC19</f>
        <v>0</v>
      </c>
      <c r="LD124" s="196" t="n">
        <f aca="false">LD$4*LD19</f>
        <v>0</v>
      </c>
      <c r="LE124" s="196" t="n">
        <f aca="false">LE$4*LE19</f>
        <v>0</v>
      </c>
      <c r="LF124" s="196" t="n">
        <f aca="false">LF$4*LF19</f>
        <v>0</v>
      </c>
      <c r="LG124" s="196" t="n">
        <f aca="false">LG$4*LG19</f>
        <v>0</v>
      </c>
      <c r="LH124" s="196" t="n">
        <f aca="false">LH$4*LH19</f>
        <v>0</v>
      </c>
      <c r="LI124" s="197" t="n">
        <f aca="false">LI$4*LI19</f>
        <v>0</v>
      </c>
      <c r="LJ124" s="194" t="str">
        <f aca="false">KY124</f>
        <v>Alumno14</v>
      </c>
      <c r="LK124" s="195" t="n">
        <f aca="false">LK$4*LK19</f>
        <v>0</v>
      </c>
      <c r="LL124" s="196" t="n">
        <f aca="false">LL$4*LL19</f>
        <v>0</v>
      </c>
      <c r="LM124" s="196" t="n">
        <f aca="false">LM$4*LM19</f>
        <v>0</v>
      </c>
      <c r="LN124" s="196" t="n">
        <f aca="false">LN$4*LN19</f>
        <v>0</v>
      </c>
      <c r="LO124" s="196" t="n">
        <f aca="false">LO$4*LO19</f>
        <v>0</v>
      </c>
      <c r="LP124" s="196" t="n">
        <f aca="false">LP$4*LP19</f>
        <v>0</v>
      </c>
      <c r="LQ124" s="196" t="n">
        <f aca="false">LQ$4*LQ19</f>
        <v>0</v>
      </c>
      <c r="LR124" s="196" t="n">
        <f aca="false">LR$4*LR19</f>
        <v>0</v>
      </c>
      <c r="LS124" s="196" t="n">
        <f aca="false">LS$4*LS19</f>
        <v>0</v>
      </c>
      <c r="LT124" s="197" t="n">
        <f aca="false">LT$4*LT19</f>
        <v>0</v>
      </c>
    </row>
    <row r="125" customFormat="false" ht="15" hidden="true" customHeight="false" outlineLevel="0" collapsed="false">
      <c r="C125" s="194" t="str">
        <f aca="false">C76</f>
        <v>Alumno15</v>
      </c>
      <c r="D125" s="195" t="n">
        <f aca="false">D$4*D20</f>
        <v>0.45</v>
      </c>
      <c r="E125" s="196" t="n">
        <f aca="false">E$4*E20</f>
        <v>0.45</v>
      </c>
      <c r="F125" s="196" t="n">
        <f aca="false">F$4*F20</f>
        <v>0.4</v>
      </c>
      <c r="G125" s="196" t="n">
        <f aca="false">G$4*G20</f>
        <v>0.4</v>
      </c>
      <c r="H125" s="196" t="n">
        <f aca="false">H$4*H20</f>
        <v>0.75</v>
      </c>
      <c r="I125" s="196" t="n">
        <f aca="false">I$4*I20</f>
        <v>0.6</v>
      </c>
      <c r="J125" s="196" t="n">
        <f aca="false">J$4*J20</f>
        <v>0.3</v>
      </c>
      <c r="K125" s="196" t="n">
        <f aca="false">K$4*K20</f>
        <v>0</v>
      </c>
      <c r="L125" s="196" t="n">
        <f aca="false">L$4*L20</f>
        <v>0</v>
      </c>
      <c r="M125" s="197" t="n">
        <f aca="false">M$4*M20</f>
        <v>0</v>
      </c>
      <c r="N125" s="194" t="str">
        <f aca="false">C125</f>
        <v>Alumno15</v>
      </c>
      <c r="O125" s="195" t="n">
        <f aca="false">O$4*O20</f>
        <v>0.6</v>
      </c>
      <c r="P125" s="196" t="n">
        <f aca="false">P$4*P20</f>
        <v>0.6</v>
      </c>
      <c r="Q125" s="196" t="n">
        <f aca="false">Q$4*Q20</f>
        <v>0.4</v>
      </c>
      <c r="R125" s="196" t="n">
        <f aca="false">R$4*R20</f>
        <v>0.8</v>
      </c>
      <c r="S125" s="196" t="n">
        <f aca="false">S$4*S20</f>
        <v>1</v>
      </c>
      <c r="T125" s="196" t="n">
        <f aca="false">T$4*T20</f>
        <v>0</v>
      </c>
      <c r="U125" s="196" t="n">
        <f aca="false">U$4*U20</f>
        <v>0</v>
      </c>
      <c r="V125" s="196" t="n">
        <f aca="false">V$4*V20</f>
        <v>0</v>
      </c>
      <c r="W125" s="196" t="n">
        <f aca="false">W$4*W20</f>
        <v>0</v>
      </c>
      <c r="X125" s="197" t="n">
        <f aca="false">X$4*X20</f>
        <v>0</v>
      </c>
      <c r="Y125" s="194" t="str">
        <f aca="false">N125</f>
        <v>Alumno15</v>
      </c>
      <c r="Z125" s="195" t="n">
        <f aca="false">Z$4*Z20</f>
        <v>1.6</v>
      </c>
      <c r="AA125" s="196" t="n">
        <f aca="false">AA$4*AA20</f>
        <v>1</v>
      </c>
      <c r="AB125" s="196" t="n">
        <f aca="false">AB$4*AB20</f>
        <v>1.4</v>
      </c>
      <c r="AC125" s="196" t="n">
        <f aca="false">AC$4*AC20</f>
        <v>0.8</v>
      </c>
      <c r="AD125" s="196" t="n">
        <f aca="false">AD$4*AD20</f>
        <v>1.8</v>
      </c>
      <c r="AE125" s="196" t="n">
        <f aca="false">AE$4*AE20</f>
        <v>0</v>
      </c>
      <c r="AF125" s="196" t="n">
        <f aca="false">AF$4*AF20</f>
        <v>0</v>
      </c>
      <c r="AG125" s="196" t="n">
        <f aca="false">AG$4*AG20</f>
        <v>0</v>
      </c>
      <c r="AH125" s="196" t="n">
        <f aca="false">AH$4*AH20</f>
        <v>0</v>
      </c>
      <c r="AI125" s="197" t="n">
        <f aca="false">AI$4*AI20</f>
        <v>0</v>
      </c>
      <c r="AJ125" s="194" t="str">
        <f aca="false">Y125</f>
        <v>Alumno15</v>
      </c>
      <c r="AK125" s="195" t="n">
        <f aca="false">AK$4*AK20</f>
        <v>1.6</v>
      </c>
      <c r="AL125" s="196" t="n">
        <f aca="false">AL$4*AL20</f>
        <v>1</v>
      </c>
      <c r="AM125" s="196" t="n">
        <f aca="false">AM$4*AM20</f>
        <v>1.4</v>
      </c>
      <c r="AN125" s="196" t="n">
        <f aca="false">AN$4*AN20</f>
        <v>0.8</v>
      </c>
      <c r="AO125" s="196" t="n">
        <f aca="false">AO$4*AO20</f>
        <v>1.8</v>
      </c>
      <c r="AP125" s="196" t="n">
        <f aca="false">AP$4*AP20</f>
        <v>0</v>
      </c>
      <c r="AQ125" s="196" t="n">
        <f aca="false">AQ$4*AQ20</f>
        <v>0</v>
      </c>
      <c r="AR125" s="196" t="n">
        <f aca="false">AR$4*AR20</f>
        <v>0</v>
      </c>
      <c r="AS125" s="196" t="n">
        <f aca="false">AS$4*AS20</f>
        <v>0</v>
      </c>
      <c r="AT125" s="197" t="n">
        <f aca="false">AT$4*AT20</f>
        <v>0</v>
      </c>
      <c r="AU125" s="194" t="str">
        <f aca="false">AJ125</f>
        <v>Alumno15</v>
      </c>
      <c r="AV125" s="195" t="n">
        <f aca="false">AV$4*AV20</f>
        <v>0.3</v>
      </c>
      <c r="AW125" s="196" t="n">
        <f aca="false">AW$4*AW20</f>
        <v>0.6</v>
      </c>
      <c r="AX125" s="196" t="n">
        <f aca="false">AX$4*AX20</f>
        <v>0.4</v>
      </c>
      <c r="AY125" s="196" t="n">
        <f aca="false">AY$4*AY20</f>
        <v>1.2</v>
      </c>
      <c r="AZ125" s="196" t="n">
        <f aca="false">AZ$4*AZ20</f>
        <v>1</v>
      </c>
      <c r="BA125" s="196" t="n">
        <f aca="false">BA$4*BA20</f>
        <v>0</v>
      </c>
      <c r="BB125" s="196" t="n">
        <f aca="false">BB$4*BB20</f>
        <v>0</v>
      </c>
      <c r="BC125" s="196" t="n">
        <f aca="false">BC$4*BC20</f>
        <v>0</v>
      </c>
      <c r="BD125" s="196" t="n">
        <f aca="false">BD$4*BD20</f>
        <v>0</v>
      </c>
      <c r="BE125" s="197" t="n">
        <f aca="false">BE$4*BE20</f>
        <v>0</v>
      </c>
      <c r="BF125" s="194" t="str">
        <f aca="false">AU125</f>
        <v>Alumno15</v>
      </c>
      <c r="BG125" s="195" t="n">
        <f aca="false">BG$4*BG20</f>
        <v>0.3</v>
      </c>
      <c r="BH125" s="196" t="n">
        <f aca="false">BH$4*BH20</f>
        <v>0.6</v>
      </c>
      <c r="BI125" s="196" t="n">
        <f aca="false">BI$4*BI20</f>
        <v>0.4</v>
      </c>
      <c r="BJ125" s="196" t="n">
        <f aca="false">BJ$4*BJ20</f>
        <v>0.8</v>
      </c>
      <c r="BK125" s="196" t="n">
        <f aca="false">BK$4*BK20</f>
        <v>1.5</v>
      </c>
      <c r="BL125" s="196" t="n">
        <f aca="false">BL$4*BL20</f>
        <v>0</v>
      </c>
      <c r="BM125" s="196" t="n">
        <f aca="false">BM$4*BM20</f>
        <v>0</v>
      </c>
      <c r="BN125" s="196" t="n">
        <f aca="false">BN$4*BN20</f>
        <v>0</v>
      </c>
      <c r="BO125" s="196" t="n">
        <f aca="false">BO$4*BO20</f>
        <v>0</v>
      </c>
      <c r="BP125" s="197" t="n">
        <f aca="false">BP$4*BP20</f>
        <v>0</v>
      </c>
      <c r="BQ125" s="194" t="str">
        <f aca="false">BF125</f>
        <v>Alumno15</v>
      </c>
      <c r="BR125" s="195" t="n">
        <f aca="false">BR$4*BR20</f>
        <v>1</v>
      </c>
      <c r="BS125" s="196" t="n">
        <f aca="false">BS$4*BS20</f>
        <v>0.5</v>
      </c>
      <c r="BT125" s="196" t="n">
        <f aca="false">BT$4*BT20</f>
        <v>1</v>
      </c>
      <c r="BU125" s="196" t="n">
        <f aca="false">BU$4*BU20</f>
        <v>1</v>
      </c>
      <c r="BV125" s="196" t="n">
        <f aca="false">BV$4*BV20</f>
        <v>1.5</v>
      </c>
      <c r="BW125" s="196" t="n">
        <f aca="false">BW$4*BW20</f>
        <v>0</v>
      </c>
      <c r="BX125" s="196" t="n">
        <f aca="false">BX$4*BX20</f>
        <v>0</v>
      </c>
      <c r="BY125" s="196" t="n">
        <f aca="false">BY$4*BY20</f>
        <v>0</v>
      </c>
      <c r="BZ125" s="196" t="n">
        <f aca="false">BZ$4*BZ20</f>
        <v>0</v>
      </c>
      <c r="CA125" s="197" t="n">
        <f aca="false">CA$4*CA20</f>
        <v>0</v>
      </c>
      <c r="CB125" s="194" t="str">
        <f aca="false">BQ125</f>
        <v>Alumno15</v>
      </c>
      <c r="CC125" s="195" t="n">
        <f aca="false">CC$4*CC20</f>
        <v>0</v>
      </c>
      <c r="CD125" s="196" t="n">
        <f aca="false">CD$4*CD20</f>
        <v>0</v>
      </c>
      <c r="CE125" s="196" t="n">
        <f aca="false">CE$4*CE20</f>
        <v>0</v>
      </c>
      <c r="CF125" s="196" t="n">
        <f aca="false">CF$4*CF20</f>
        <v>0</v>
      </c>
      <c r="CG125" s="196" t="n">
        <f aca="false">CG$4*CG20</f>
        <v>0</v>
      </c>
      <c r="CH125" s="196" t="n">
        <f aca="false">CH$4*CH20</f>
        <v>0</v>
      </c>
      <c r="CI125" s="196" t="n">
        <f aca="false">CI$4*CI20</f>
        <v>0</v>
      </c>
      <c r="CJ125" s="196" t="n">
        <f aca="false">CJ$4*CJ20</f>
        <v>0</v>
      </c>
      <c r="CK125" s="196" t="n">
        <f aca="false">CK$4*CK20</f>
        <v>0</v>
      </c>
      <c r="CL125" s="197" t="n">
        <f aca="false">CL$4*CL20</f>
        <v>0</v>
      </c>
      <c r="CM125" s="194" t="str">
        <f aca="false">CB125</f>
        <v>Alumno15</v>
      </c>
      <c r="CN125" s="195" t="n">
        <f aca="false">CN$4*CN20</f>
        <v>0</v>
      </c>
      <c r="CO125" s="196" t="n">
        <f aca="false">CO$4*CO20</f>
        <v>0</v>
      </c>
      <c r="CP125" s="196" t="n">
        <f aca="false">CP$4*CP20</f>
        <v>0</v>
      </c>
      <c r="CQ125" s="196" t="n">
        <f aca="false">CQ$4*CQ20</f>
        <v>0</v>
      </c>
      <c r="CR125" s="196" t="n">
        <f aca="false">CR$4*CR20</f>
        <v>0</v>
      </c>
      <c r="CS125" s="196" t="n">
        <f aca="false">CS$4*CS20</f>
        <v>0</v>
      </c>
      <c r="CT125" s="196" t="n">
        <f aca="false">CT$4*CT20</f>
        <v>0</v>
      </c>
      <c r="CU125" s="196" t="n">
        <f aca="false">CU$4*CU20</f>
        <v>0</v>
      </c>
      <c r="CV125" s="196" t="n">
        <f aca="false">CV$4*CV20</f>
        <v>0</v>
      </c>
      <c r="CW125" s="197" t="n">
        <f aca="false">CW$4*CW20</f>
        <v>0</v>
      </c>
      <c r="CX125" s="194" t="str">
        <f aca="false">CM125</f>
        <v>Alumno15</v>
      </c>
      <c r="CY125" s="195" t="n">
        <f aca="false">CY$4*CY20</f>
        <v>0</v>
      </c>
      <c r="CZ125" s="196" t="n">
        <f aca="false">CZ$4*CZ20</f>
        <v>0</v>
      </c>
      <c r="DA125" s="196" t="n">
        <f aca="false">DA$4*DA20</f>
        <v>0</v>
      </c>
      <c r="DB125" s="196" t="n">
        <f aca="false">DB$4*DB20</f>
        <v>0</v>
      </c>
      <c r="DC125" s="196" t="n">
        <f aca="false">DC$4*DC20</f>
        <v>0</v>
      </c>
      <c r="DD125" s="196" t="n">
        <f aca="false">DD$4*DD20</f>
        <v>0</v>
      </c>
      <c r="DE125" s="196" t="n">
        <f aca="false">DE$4*DE20</f>
        <v>0</v>
      </c>
      <c r="DF125" s="196" t="n">
        <f aca="false">DF$4*DF20</f>
        <v>0</v>
      </c>
      <c r="DG125" s="196" t="n">
        <f aca="false">DG$4*DG20</f>
        <v>0</v>
      </c>
      <c r="DH125" s="197" t="n">
        <f aca="false">DH$4*DH20</f>
        <v>0</v>
      </c>
      <c r="DI125" s="194" t="str">
        <f aca="false">CX125</f>
        <v>Alumno15</v>
      </c>
      <c r="DJ125" s="195" t="n">
        <f aca="false">DJ$4*DJ20</f>
        <v>0</v>
      </c>
      <c r="DK125" s="196" t="n">
        <f aca="false">DK$4*DK20</f>
        <v>0</v>
      </c>
      <c r="DL125" s="196" t="n">
        <f aca="false">DL$4*DL20</f>
        <v>0</v>
      </c>
      <c r="DM125" s="196" t="n">
        <f aca="false">DM$4*DM20</f>
        <v>0</v>
      </c>
      <c r="DN125" s="196" t="n">
        <f aca="false">DN$4*DN20</f>
        <v>0</v>
      </c>
      <c r="DO125" s="196" t="n">
        <f aca="false">DO$4*DO20</f>
        <v>0</v>
      </c>
      <c r="DP125" s="196" t="n">
        <f aca="false">DP$4*DP20</f>
        <v>0</v>
      </c>
      <c r="DQ125" s="196" t="n">
        <f aca="false">DQ$4*DQ20</f>
        <v>0</v>
      </c>
      <c r="DR125" s="196" t="n">
        <f aca="false">DR$4*DR20</f>
        <v>0</v>
      </c>
      <c r="DS125" s="197" t="n">
        <f aca="false">DS$4*DS20</f>
        <v>0</v>
      </c>
      <c r="DT125" s="194" t="str">
        <f aca="false">DI125</f>
        <v>Alumno15</v>
      </c>
      <c r="DU125" s="195" t="n">
        <f aca="false">DU$4*DU20</f>
        <v>0</v>
      </c>
      <c r="DV125" s="196" t="n">
        <f aca="false">DV$4*DV20</f>
        <v>0</v>
      </c>
      <c r="DW125" s="196" t="n">
        <f aca="false">DW$4*DW20</f>
        <v>0</v>
      </c>
      <c r="DX125" s="196" t="n">
        <f aca="false">DX$4*DX20</f>
        <v>0</v>
      </c>
      <c r="DY125" s="196" t="n">
        <f aca="false">DY$4*DY20</f>
        <v>0</v>
      </c>
      <c r="DZ125" s="196" t="n">
        <f aca="false">DZ$4*DZ20</f>
        <v>0</v>
      </c>
      <c r="EA125" s="196" t="n">
        <f aca="false">EA$4*EA20</f>
        <v>0</v>
      </c>
      <c r="EB125" s="196" t="n">
        <f aca="false">EB$4*EB20</f>
        <v>0</v>
      </c>
      <c r="EC125" s="196" t="n">
        <f aca="false">EC$4*EC20</f>
        <v>0</v>
      </c>
      <c r="ED125" s="197" t="n">
        <f aca="false">ED$4*ED20</f>
        <v>0</v>
      </c>
      <c r="EE125" s="194" t="str">
        <f aca="false">DT125</f>
        <v>Alumno15</v>
      </c>
      <c r="EF125" s="195" t="n">
        <f aca="false">EF$4*EF20</f>
        <v>0</v>
      </c>
      <c r="EG125" s="196" t="n">
        <f aca="false">EG$4*EG20</f>
        <v>0</v>
      </c>
      <c r="EH125" s="196" t="n">
        <f aca="false">EH$4*EH20</f>
        <v>0</v>
      </c>
      <c r="EI125" s="196" t="n">
        <f aca="false">EI$4*EI20</f>
        <v>0</v>
      </c>
      <c r="EJ125" s="196" t="n">
        <f aca="false">EJ$4*EJ20</f>
        <v>0</v>
      </c>
      <c r="EK125" s="196" t="n">
        <f aca="false">EK$4*EK20</f>
        <v>0</v>
      </c>
      <c r="EL125" s="196" t="n">
        <f aca="false">EL$4*EL20</f>
        <v>0</v>
      </c>
      <c r="EM125" s="196" t="n">
        <f aca="false">EM$4*EM20</f>
        <v>0</v>
      </c>
      <c r="EN125" s="196" t="n">
        <f aca="false">EN$4*EN20</f>
        <v>0</v>
      </c>
      <c r="EO125" s="197" t="n">
        <f aca="false">EO$4*EO20</f>
        <v>0</v>
      </c>
      <c r="EP125" s="194" t="str">
        <f aca="false">EE125</f>
        <v>Alumno15</v>
      </c>
      <c r="EQ125" s="195" t="n">
        <f aca="false">EQ$4*EQ20</f>
        <v>0</v>
      </c>
      <c r="ER125" s="196" t="n">
        <f aca="false">ER$4*ER20</f>
        <v>0</v>
      </c>
      <c r="ES125" s="196" t="n">
        <f aca="false">ES$4*ES20</f>
        <v>0</v>
      </c>
      <c r="ET125" s="196" t="n">
        <f aca="false">ET$4*ET20</f>
        <v>0</v>
      </c>
      <c r="EU125" s="196" t="n">
        <f aca="false">EU$4*EU20</f>
        <v>0</v>
      </c>
      <c r="EV125" s="196" t="n">
        <f aca="false">EV$4*EV20</f>
        <v>0</v>
      </c>
      <c r="EW125" s="196" t="n">
        <f aca="false">EW$4*EW20</f>
        <v>0</v>
      </c>
      <c r="EX125" s="196" t="n">
        <f aca="false">EX$4*EX20</f>
        <v>0</v>
      </c>
      <c r="EY125" s="196" t="n">
        <f aca="false">EY$4*EY20</f>
        <v>0</v>
      </c>
      <c r="EZ125" s="197" t="n">
        <f aca="false">EZ$4*EZ20</f>
        <v>0</v>
      </c>
      <c r="FA125" s="194" t="str">
        <f aca="false">EP125</f>
        <v>Alumno15</v>
      </c>
      <c r="FB125" s="195" t="n">
        <f aca="false">FB$4*FB20</f>
        <v>0</v>
      </c>
      <c r="FC125" s="196" t="n">
        <f aca="false">FC$4*FC20</f>
        <v>0</v>
      </c>
      <c r="FD125" s="196" t="n">
        <f aca="false">FD$4*FD20</f>
        <v>0</v>
      </c>
      <c r="FE125" s="196" t="n">
        <f aca="false">FE$4*FE20</f>
        <v>0</v>
      </c>
      <c r="FF125" s="196" t="n">
        <f aca="false">FF$4*FF20</f>
        <v>0</v>
      </c>
      <c r="FG125" s="196" t="n">
        <f aca="false">FG$4*FG20</f>
        <v>0</v>
      </c>
      <c r="FH125" s="196" t="n">
        <f aca="false">FH$4*FH20</f>
        <v>0</v>
      </c>
      <c r="FI125" s="196" t="n">
        <f aca="false">FI$4*FI20</f>
        <v>0</v>
      </c>
      <c r="FJ125" s="196" t="n">
        <f aca="false">FJ$4*FJ20</f>
        <v>0</v>
      </c>
      <c r="FK125" s="197" t="n">
        <f aca="false">FK$4*FK20</f>
        <v>0</v>
      </c>
      <c r="FL125" s="194" t="str">
        <f aca="false">FA125</f>
        <v>Alumno15</v>
      </c>
      <c r="FM125" s="195" t="n">
        <f aca="false">FM$4*FM20</f>
        <v>0</v>
      </c>
      <c r="FN125" s="196" t="n">
        <f aca="false">FN$4*FN20</f>
        <v>0</v>
      </c>
      <c r="FO125" s="196" t="n">
        <f aca="false">FO$4*FO20</f>
        <v>0</v>
      </c>
      <c r="FP125" s="196" t="n">
        <f aca="false">FP$4*FP20</f>
        <v>0</v>
      </c>
      <c r="FQ125" s="196" t="n">
        <f aca="false">FQ$4*FQ20</f>
        <v>0</v>
      </c>
      <c r="FR125" s="196" t="n">
        <f aca="false">FR$4*FR20</f>
        <v>0</v>
      </c>
      <c r="FS125" s="196" t="n">
        <f aca="false">FS$4*FS20</f>
        <v>0</v>
      </c>
      <c r="FT125" s="196" t="n">
        <f aca="false">FT$4*FT20</f>
        <v>0</v>
      </c>
      <c r="FU125" s="196" t="n">
        <f aca="false">FU$4*FU20</f>
        <v>0</v>
      </c>
      <c r="FV125" s="197" t="n">
        <f aca="false">FV$4*FV20</f>
        <v>0</v>
      </c>
      <c r="FW125" s="194" t="str">
        <f aca="false">FL125</f>
        <v>Alumno15</v>
      </c>
      <c r="FX125" s="195" t="n">
        <f aca="false">FX$4*FX20</f>
        <v>0</v>
      </c>
      <c r="FY125" s="196" t="n">
        <f aca="false">FY$4*FY20</f>
        <v>0</v>
      </c>
      <c r="FZ125" s="196" t="n">
        <f aca="false">FZ$4*FZ20</f>
        <v>0</v>
      </c>
      <c r="GA125" s="196" t="n">
        <f aca="false">GA$4*GA20</f>
        <v>0</v>
      </c>
      <c r="GB125" s="196" t="n">
        <f aca="false">GB$4*GB20</f>
        <v>0</v>
      </c>
      <c r="GC125" s="196" t="n">
        <f aca="false">GC$4*GC20</f>
        <v>0</v>
      </c>
      <c r="GD125" s="196" t="n">
        <f aca="false">GD$4*GD20</f>
        <v>0</v>
      </c>
      <c r="GE125" s="196" t="n">
        <f aca="false">GE$4*GE20</f>
        <v>0</v>
      </c>
      <c r="GF125" s="196" t="n">
        <f aca="false">GF$4*GF20</f>
        <v>0</v>
      </c>
      <c r="GG125" s="197" t="n">
        <f aca="false">GG$4*GG20</f>
        <v>0</v>
      </c>
      <c r="GH125" s="194" t="str">
        <f aca="false">FW125</f>
        <v>Alumno15</v>
      </c>
      <c r="GI125" s="195" t="n">
        <f aca="false">GI$4*GI20</f>
        <v>0</v>
      </c>
      <c r="GJ125" s="196" t="n">
        <f aca="false">GJ$4*GJ20</f>
        <v>0</v>
      </c>
      <c r="GK125" s="196" t="n">
        <f aca="false">GK$4*GK20</f>
        <v>0</v>
      </c>
      <c r="GL125" s="196" t="n">
        <f aca="false">GL$4*GL20</f>
        <v>0</v>
      </c>
      <c r="GM125" s="196" t="n">
        <f aca="false">GM$4*GM20</f>
        <v>0</v>
      </c>
      <c r="GN125" s="196" t="n">
        <f aca="false">GN$4*GN20</f>
        <v>0</v>
      </c>
      <c r="GO125" s="196" t="n">
        <f aca="false">GO$4*GO20</f>
        <v>0</v>
      </c>
      <c r="GP125" s="196" t="n">
        <f aca="false">GP$4*GP20</f>
        <v>0</v>
      </c>
      <c r="GQ125" s="196" t="n">
        <f aca="false">GQ$4*GQ20</f>
        <v>0</v>
      </c>
      <c r="GR125" s="197" t="n">
        <f aca="false">GR$4*GR20</f>
        <v>0</v>
      </c>
      <c r="GS125" s="194" t="str">
        <f aca="false">GH125</f>
        <v>Alumno15</v>
      </c>
      <c r="GT125" s="195" t="n">
        <f aca="false">GT$4*GT20</f>
        <v>0</v>
      </c>
      <c r="GU125" s="196" t="n">
        <f aca="false">GU$4*GU20</f>
        <v>0</v>
      </c>
      <c r="GV125" s="196" t="n">
        <f aca="false">GV$4*GV20</f>
        <v>0</v>
      </c>
      <c r="GW125" s="196" t="n">
        <f aca="false">GW$4*GW20</f>
        <v>0</v>
      </c>
      <c r="GX125" s="196" t="n">
        <f aca="false">GX$4*GX20</f>
        <v>0</v>
      </c>
      <c r="GY125" s="196" t="n">
        <f aca="false">GY$4*GY20</f>
        <v>0</v>
      </c>
      <c r="GZ125" s="196" t="n">
        <f aca="false">GZ$4*GZ20</f>
        <v>0</v>
      </c>
      <c r="HA125" s="196" t="n">
        <f aca="false">HA$4*HA20</f>
        <v>0</v>
      </c>
      <c r="HB125" s="196" t="n">
        <f aca="false">HB$4*HB20</f>
        <v>0</v>
      </c>
      <c r="HC125" s="197" t="n">
        <f aca="false">HC$4*HC20</f>
        <v>0</v>
      </c>
      <c r="HD125" s="194" t="str">
        <f aca="false">GS125</f>
        <v>Alumno15</v>
      </c>
      <c r="HE125" s="195" t="n">
        <f aca="false">HE$4*HE20</f>
        <v>0</v>
      </c>
      <c r="HF125" s="196" t="n">
        <f aca="false">HF$4*HF20</f>
        <v>0</v>
      </c>
      <c r="HG125" s="196" t="n">
        <f aca="false">HG$4*HG20</f>
        <v>0</v>
      </c>
      <c r="HH125" s="196" t="n">
        <f aca="false">HH$4*HH20</f>
        <v>0</v>
      </c>
      <c r="HI125" s="196" t="n">
        <f aca="false">HI$4*HI20</f>
        <v>0</v>
      </c>
      <c r="HJ125" s="196" t="n">
        <f aca="false">HJ$4*HJ20</f>
        <v>0</v>
      </c>
      <c r="HK125" s="196" t="n">
        <f aca="false">HK$4*HK20</f>
        <v>0</v>
      </c>
      <c r="HL125" s="196" t="n">
        <f aca="false">HL$4*HL20</f>
        <v>0</v>
      </c>
      <c r="HM125" s="196" t="n">
        <f aca="false">HM$4*HM20</f>
        <v>0</v>
      </c>
      <c r="HN125" s="197" t="n">
        <f aca="false">HN$4*HN20</f>
        <v>0</v>
      </c>
      <c r="HO125" s="194" t="str">
        <f aca="false">HD125</f>
        <v>Alumno15</v>
      </c>
      <c r="HP125" s="195" t="n">
        <f aca="false">HP$4*HP20</f>
        <v>0</v>
      </c>
      <c r="HQ125" s="196" t="n">
        <f aca="false">HQ$4*HQ20</f>
        <v>0</v>
      </c>
      <c r="HR125" s="196" t="n">
        <f aca="false">HR$4*HR20</f>
        <v>0</v>
      </c>
      <c r="HS125" s="196" t="n">
        <f aca="false">HS$4*HS20</f>
        <v>0</v>
      </c>
      <c r="HT125" s="196" t="n">
        <f aca="false">HT$4*HT20</f>
        <v>0</v>
      </c>
      <c r="HU125" s="196" t="n">
        <f aca="false">HU$4*HU20</f>
        <v>0</v>
      </c>
      <c r="HV125" s="196" t="n">
        <f aca="false">HV$4*HV20</f>
        <v>0</v>
      </c>
      <c r="HW125" s="196" t="n">
        <f aca="false">HW$4*HW20</f>
        <v>0</v>
      </c>
      <c r="HX125" s="196" t="n">
        <f aca="false">HX$4*HX20</f>
        <v>0</v>
      </c>
      <c r="HY125" s="197" t="n">
        <f aca="false">HY$4*HY20</f>
        <v>0</v>
      </c>
      <c r="HZ125" s="194" t="str">
        <f aca="false">HO125</f>
        <v>Alumno15</v>
      </c>
      <c r="IA125" s="195" t="n">
        <f aca="false">IA$4*IA20</f>
        <v>0</v>
      </c>
      <c r="IB125" s="196" t="n">
        <f aca="false">IB$4*IB20</f>
        <v>0</v>
      </c>
      <c r="IC125" s="196" t="n">
        <f aca="false">IC$4*IC20</f>
        <v>0</v>
      </c>
      <c r="ID125" s="196" t="n">
        <f aca="false">ID$4*ID20</f>
        <v>0</v>
      </c>
      <c r="IE125" s="196" t="n">
        <f aca="false">IE$4*IE20</f>
        <v>0</v>
      </c>
      <c r="IF125" s="196" t="n">
        <f aca="false">IF$4*IF20</f>
        <v>0</v>
      </c>
      <c r="IG125" s="196" t="n">
        <f aca="false">IG$4*IG20</f>
        <v>0</v>
      </c>
      <c r="IH125" s="196" t="n">
        <f aca="false">IH$4*IH20</f>
        <v>0</v>
      </c>
      <c r="II125" s="196" t="n">
        <f aca="false">II$4*II20</f>
        <v>0</v>
      </c>
      <c r="IJ125" s="197" t="n">
        <f aca="false">IJ$4*IJ20</f>
        <v>0</v>
      </c>
      <c r="IK125" s="194" t="str">
        <f aca="false">HZ125</f>
        <v>Alumno15</v>
      </c>
      <c r="IL125" s="195" t="n">
        <f aca="false">IL$4*IL20</f>
        <v>0</v>
      </c>
      <c r="IM125" s="196" t="n">
        <f aca="false">IM$4*IM20</f>
        <v>0</v>
      </c>
      <c r="IN125" s="196" t="n">
        <f aca="false">IN$4*IN20</f>
        <v>0</v>
      </c>
      <c r="IO125" s="196" t="n">
        <f aca="false">IO$4*IO20</f>
        <v>0</v>
      </c>
      <c r="IP125" s="196" t="n">
        <f aca="false">IP$4*IP20</f>
        <v>0</v>
      </c>
      <c r="IQ125" s="196" t="n">
        <f aca="false">IQ$4*IQ20</f>
        <v>0</v>
      </c>
      <c r="IR125" s="196" t="n">
        <f aca="false">IR$4*IR20</f>
        <v>0</v>
      </c>
      <c r="IS125" s="196" t="n">
        <f aca="false">IS$4*IS20</f>
        <v>0</v>
      </c>
      <c r="IT125" s="196" t="n">
        <f aca="false">IT$4*IT20</f>
        <v>0</v>
      </c>
      <c r="IU125" s="197" t="n">
        <f aca="false">IU$4*IU20</f>
        <v>0</v>
      </c>
      <c r="IV125" s="194" t="str">
        <f aca="false">IK125</f>
        <v>Alumno15</v>
      </c>
      <c r="IW125" s="195" t="n">
        <f aca="false">IW$4*IW20</f>
        <v>0</v>
      </c>
      <c r="IX125" s="196" t="n">
        <f aca="false">IX$4*IX20</f>
        <v>0</v>
      </c>
      <c r="IY125" s="196" t="n">
        <f aca="false">IY$4*IY20</f>
        <v>0</v>
      </c>
      <c r="IZ125" s="196" t="n">
        <f aca="false">IZ$4*IZ20</f>
        <v>0</v>
      </c>
      <c r="JA125" s="196" t="n">
        <f aca="false">JA$4*JA20</f>
        <v>0</v>
      </c>
      <c r="JB125" s="196" t="n">
        <f aca="false">JB$4*JB20</f>
        <v>0</v>
      </c>
      <c r="JC125" s="196" t="n">
        <f aca="false">JC$4*JC20</f>
        <v>0</v>
      </c>
      <c r="JD125" s="196" t="n">
        <f aca="false">JD$4*JD20</f>
        <v>0</v>
      </c>
      <c r="JE125" s="196" t="n">
        <f aca="false">JE$4*JE20</f>
        <v>0</v>
      </c>
      <c r="JF125" s="197" t="n">
        <f aca="false">JF$4*JF20</f>
        <v>0</v>
      </c>
      <c r="JG125" s="194" t="str">
        <f aca="false">IV125</f>
        <v>Alumno15</v>
      </c>
      <c r="JH125" s="195" t="n">
        <f aca="false">JH$4*JH20</f>
        <v>0</v>
      </c>
      <c r="JI125" s="196" t="n">
        <f aca="false">JI$4*JI20</f>
        <v>0</v>
      </c>
      <c r="JJ125" s="196" t="n">
        <f aca="false">JJ$4*JJ20</f>
        <v>0</v>
      </c>
      <c r="JK125" s="196" t="n">
        <f aca="false">JK$4*JK20</f>
        <v>0</v>
      </c>
      <c r="JL125" s="196" t="n">
        <f aca="false">JL$4*JL20</f>
        <v>0</v>
      </c>
      <c r="JM125" s="196" t="n">
        <f aca="false">JM$4*JM20</f>
        <v>0</v>
      </c>
      <c r="JN125" s="196" t="n">
        <f aca="false">JN$4*JN20</f>
        <v>0</v>
      </c>
      <c r="JO125" s="196" t="n">
        <f aca="false">JO$4*JO20</f>
        <v>0</v>
      </c>
      <c r="JP125" s="196" t="n">
        <f aca="false">JP$4*JP20</f>
        <v>0</v>
      </c>
      <c r="JQ125" s="197" t="n">
        <f aca="false">JQ$4*JQ20</f>
        <v>0</v>
      </c>
      <c r="JR125" s="194" t="str">
        <f aca="false">JG125</f>
        <v>Alumno15</v>
      </c>
      <c r="JS125" s="195" t="n">
        <f aca="false">JS$4*JS20</f>
        <v>0</v>
      </c>
      <c r="JT125" s="196" t="n">
        <f aca="false">JT$4*JT20</f>
        <v>0</v>
      </c>
      <c r="JU125" s="196" t="n">
        <f aca="false">JU$4*JU20</f>
        <v>0</v>
      </c>
      <c r="JV125" s="196" t="n">
        <f aca="false">JV$4*JV20</f>
        <v>0</v>
      </c>
      <c r="JW125" s="196" t="n">
        <f aca="false">JW$4*JW20</f>
        <v>0</v>
      </c>
      <c r="JX125" s="196" t="n">
        <f aca="false">JX$4*JX20</f>
        <v>0</v>
      </c>
      <c r="JY125" s="196" t="n">
        <f aca="false">JY$4*JY20</f>
        <v>0</v>
      </c>
      <c r="JZ125" s="196" t="n">
        <f aca="false">JZ$4*JZ20</f>
        <v>0</v>
      </c>
      <c r="KA125" s="196" t="n">
        <f aca="false">KA$4*KA20</f>
        <v>0</v>
      </c>
      <c r="KB125" s="197" t="n">
        <f aca="false">KB$4*KB20</f>
        <v>0</v>
      </c>
      <c r="KC125" s="194" t="str">
        <f aca="false">JR125</f>
        <v>Alumno15</v>
      </c>
      <c r="KD125" s="195" t="n">
        <f aca="false">KD$4*KD20</f>
        <v>0</v>
      </c>
      <c r="KE125" s="196" t="n">
        <f aca="false">KE$4*KE20</f>
        <v>0</v>
      </c>
      <c r="KF125" s="196" t="n">
        <f aca="false">KF$4*KF20</f>
        <v>0</v>
      </c>
      <c r="KG125" s="196" t="n">
        <f aca="false">KG$4*KG20</f>
        <v>0</v>
      </c>
      <c r="KH125" s="196" t="n">
        <f aca="false">KH$4*KH20</f>
        <v>0</v>
      </c>
      <c r="KI125" s="196" t="n">
        <f aca="false">KI$4*KI20</f>
        <v>0</v>
      </c>
      <c r="KJ125" s="196" t="n">
        <f aca="false">KJ$4*KJ20</f>
        <v>0</v>
      </c>
      <c r="KK125" s="196" t="n">
        <f aca="false">KK$4*KK20</f>
        <v>0</v>
      </c>
      <c r="KL125" s="196" t="n">
        <f aca="false">KL$4*KL20</f>
        <v>0</v>
      </c>
      <c r="KM125" s="197" t="n">
        <f aca="false">KM$4*KM20</f>
        <v>0</v>
      </c>
      <c r="KN125" s="194" t="str">
        <f aca="false">KC125</f>
        <v>Alumno15</v>
      </c>
      <c r="KO125" s="195" t="n">
        <f aca="false">KO$4*KO20</f>
        <v>0</v>
      </c>
      <c r="KP125" s="196" t="n">
        <f aca="false">KP$4*KP20</f>
        <v>0</v>
      </c>
      <c r="KQ125" s="196" t="n">
        <f aca="false">KQ$4*KQ20</f>
        <v>0</v>
      </c>
      <c r="KR125" s="196" t="n">
        <f aca="false">KR$4*KR20</f>
        <v>0</v>
      </c>
      <c r="KS125" s="196" t="n">
        <f aca="false">KS$4*KS20</f>
        <v>0</v>
      </c>
      <c r="KT125" s="196" t="n">
        <f aca="false">KT$4*KT20</f>
        <v>0</v>
      </c>
      <c r="KU125" s="196" t="n">
        <f aca="false">KU$4*KU20</f>
        <v>0</v>
      </c>
      <c r="KV125" s="196" t="n">
        <f aca="false">KV$4*KV20</f>
        <v>0</v>
      </c>
      <c r="KW125" s="196" t="n">
        <f aca="false">KW$4*KW20</f>
        <v>0</v>
      </c>
      <c r="KX125" s="197" t="n">
        <f aca="false">KX$4*KX20</f>
        <v>0</v>
      </c>
      <c r="KY125" s="194" t="str">
        <f aca="false">KN125</f>
        <v>Alumno15</v>
      </c>
      <c r="KZ125" s="195" t="n">
        <f aca="false">KZ$4*KZ20</f>
        <v>0</v>
      </c>
      <c r="LA125" s="196" t="n">
        <f aca="false">LA$4*LA20</f>
        <v>0</v>
      </c>
      <c r="LB125" s="196" t="n">
        <f aca="false">LB$4*LB20</f>
        <v>0</v>
      </c>
      <c r="LC125" s="196" t="n">
        <f aca="false">LC$4*LC20</f>
        <v>0</v>
      </c>
      <c r="LD125" s="196" t="n">
        <f aca="false">LD$4*LD20</f>
        <v>0</v>
      </c>
      <c r="LE125" s="196" t="n">
        <f aca="false">LE$4*LE20</f>
        <v>0</v>
      </c>
      <c r="LF125" s="196" t="n">
        <f aca="false">LF$4*LF20</f>
        <v>0</v>
      </c>
      <c r="LG125" s="196" t="n">
        <f aca="false">LG$4*LG20</f>
        <v>0</v>
      </c>
      <c r="LH125" s="196" t="n">
        <f aca="false">LH$4*LH20</f>
        <v>0</v>
      </c>
      <c r="LI125" s="197" t="n">
        <f aca="false">LI$4*LI20</f>
        <v>0</v>
      </c>
      <c r="LJ125" s="194" t="str">
        <f aca="false">KY125</f>
        <v>Alumno15</v>
      </c>
      <c r="LK125" s="195" t="n">
        <f aca="false">LK$4*LK20</f>
        <v>0</v>
      </c>
      <c r="LL125" s="196" t="n">
        <f aca="false">LL$4*LL20</f>
        <v>0</v>
      </c>
      <c r="LM125" s="196" t="n">
        <f aca="false">LM$4*LM20</f>
        <v>0</v>
      </c>
      <c r="LN125" s="196" t="n">
        <f aca="false">LN$4*LN20</f>
        <v>0</v>
      </c>
      <c r="LO125" s="196" t="n">
        <f aca="false">LO$4*LO20</f>
        <v>0</v>
      </c>
      <c r="LP125" s="196" t="n">
        <f aca="false">LP$4*LP20</f>
        <v>0</v>
      </c>
      <c r="LQ125" s="196" t="n">
        <f aca="false">LQ$4*LQ20</f>
        <v>0</v>
      </c>
      <c r="LR125" s="196" t="n">
        <f aca="false">LR$4*LR20</f>
        <v>0</v>
      </c>
      <c r="LS125" s="196" t="n">
        <f aca="false">LS$4*LS20</f>
        <v>0</v>
      </c>
      <c r="LT125" s="197" t="n">
        <f aca="false">LT$4*LT20</f>
        <v>0</v>
      </c>
    </row>
    <row r="126" customFormat="false" ht="15" hidden="true" customHeight="false" outlineLevel="0" collapsed="false">
      <c r="C126" s="194" t="str">
        <f aca="false">C77</f>
        <v>Alumno16</v>
      </c>
      <c r="D126" s="195" t="n">
        <f aca="false">D$4*D21</f>
        <v>1.35</v>
      </c>
      <c r="E126" s="196" t="n">
        <f aca="false">E$4*E21</f>
        <v>1.5</v>
      </c>
      <c r="F126" s="196" t="n">
        <f aca="false">F$4*F21</f>
        <v>2</v>
      </c>
      <c r="G126" s="196" t="n">
        <f aca="false">G$4*G21</f>
        <v>1</v>
      </c>
      <c r="H126" s="196" t="n">
        <f aca="false">H$4*H21</f>
        <v>1.35</v>
      </c>
      <c r="I126" s="196" t="n">
        <f aca="false">I$4*I21</f>
        <v>1.35</v>
      </c>
      <c r="J126" s="196" t="n">
        <f aca="false">J$4*J21</f>
        <v>1</v>
      </c>
      <c r="K126" s="196" t="n">
        <f aca="false">K$4*K21</f>
        <v>0</v>
      </c>
      <c r="L126" s="196" t="n">
        <f aca="false">L$4*L21</f>
        <v>0</v>
      </c>
      <c r="M126" s="197" t="n">
        <f aca="false">M$4*M21</f>
        <v>0</v>
      </c>
      <c r="N126" s="194" t="str">
        <f aca="false">C126</f>
        <v>Alumno16</v>
      </c>
      <c r="O126" s="195" t="n">
        <f aca="false">O$4*O21</f>
        <v>1.8</v>
      </c>
      <c r="P126" s="196" t="n">
        <f aca="false">P$4*P21</f>
        <v>2</v>
      </c>
      <c r="Q126" s="196" t="n">
        <f aca="false">Q$4*Q21</f>
        <v>2</v>
      </c>
      <c r="R126" s="196" t="n">
        <f aca="false">R$4*R21</f>
        <v>2</v>
      </c>
      <c r="S126" s="196" t="n">
        <f aca="false">S$4*S21</f>
        <v>1.8</v>
      </c>
      <c r="T126" s="196" t="n">
        <f aca="false">T$4*T21</f>
        <v>0</v>
      </c>
      <c r="U126" s="196" t="n">
        <f aca="false">U$4*U21</f>
        <v>0</v>
      </c>
      <c r="V126" s="196" t="n">
        <f aca="false">V$4*V21</f>
        <v>0</v>
      </c>
      <c r="W126" s="196" t="n">
        <f aca="false">W$4*W21</f>
        <v>0</v>
      </c>
      <c r="X126" s="197" t="n">
        <f aca="false">X$4*X21</f>
        <v>0</v>
      </c>
      <c r="Y126" s="194" t="str">
        <f aca="false">N126</f>
        <v>Alumno16</v>
      </c>
      <c r="Z126" s="195" t="n">
        <f aca="false">Z$4*Z21</f>
        <v>1</v>
      </c>
      <c r="AA126" s="196" t="n">
        <f aca="false">AA$4*AA21</f>
        <v>1</v>
      </c>
      <c r="AB126" s="196" t="n">
        <f aca="false">AB$4*AB21</f>
        <v>1</v>
      </c>
      <c r="AC126" s="196" t="n">
        <f aca="false">AC$4*AC21</f>
        <v>1</v>
      </c>
      <c r="AD126" s="196" t="n">
        <f aca="false">AD$4*AD21</f>
        <v>1</v>
      </c>
      <c r="AE126" s="196" t="n">
        <f aca="false">AE$4*AE21</f>
        <v>0</v>
      </c>
      <c r="AF126" s="196" t="n">
        <f aca="false">AF$4*AF21</f>
        <v>0</v>
      </c>
      <c r="AG126" s="196" t="n">
        <f aca="false">AG$4*AG21</f>
        <v>0</v>
      </c>
      <c r="AH126" s="196" t="n">
        <f aca="false">AH$4*AH21</f>
        <v>0</v>
      </c>
      <c r="AI126" s="197" t="n">
        <f aca="false">AI$4*AI21</f>
        <v>0</v>
      </c>
      <c r="AJ126" s="194" t="str">
        <f aca="false">Y126</f>
        <v>Alumno16</v>
      </c>
      <c r="AK126" s="195" t="n">
        <f aca="false">AK$4*AK21</f>
        <v>1</v>
      </c>
      <c r="AL126" s="196" t="n">
        <f aca="false">AL$4*AL21</f>
        <v>1</v>
      </c>
      <c r="AM126" s="196" t="n">
        <f aca="false">AM$4*AM21</f>
        <v>1</v>
      </c>
      <c r="AN126" s="196" t="n">
        <f aca="false">AN$4*AN21</f>
        <v>1</v>
      </c>
      <c r="AO126" s="196" t="n">
        <f aca="false">AO$4*AO21</f>
        <v>1</v>
      </c>
      <c r="AP126" s="196" t="n">
        <f aca="false">AP$4*AP21</f>
        <v>0</v>
      </c>
      <c r="AQ126" s="196" t="n">
        <f aca="false">AQ$4*AQ21</f>
        <v>0</v>
      </c>
      <c r="AR126" s="196" t="n">
        <f aca="false">AR$4*AR21</f>
        <v>0</v>
      </c>
      <c r="AS126" s="196" t="n">
        <f aca="false">AS$4*AS21</f>
        <v>0</v>
      </c>
      <c r="AT126" s="197" t="n">
        <f aca="false">AT$4*AT21</f>
        <v>0</v>
      </c>
      <c r="AU126" s="194" t="str">
        <f aca="false">AJ126</f>
        <v>Alumno16</v>
      </c>
      <c r="AV126" s="195" t="n">
        <f aca="false">AV$4*AV21</f>
        <v>0.9</v>
      </c>
      <c r="AW126" s="196" t="n">
        <f aca="false">AW$4*AW21</f>
        <v>2</v>
      </c>
      <c r="AX126" s="196" t="n">
        <f aca="false">AX$4*AX21</f>
        <v>2</v>
      </c>
      <c r="AY126" s="196" t="n">
        <f aca="false">AY$4*AY21</f>
        <v>3</v>
      </c>
      <c r="AZ126" s="196" t="n">
        <f aca="false">AZ$4*AZ21</f>
        <v>1.8</v>
      </c>
      <c r="BA126" s="196" t="n">
        <f aca="false">BA$4*BA21</f>
        <v>0</v>
      </c>
      <c r="BB126" s="196" t="n">
        <f aca="false">BB$4*BB21</f>
        <v>0</v>
      </c>
      <c r="BC126" s="196" t="n">
        <f aca="false">BC$4*BC21</f>
        <v>0</v>
      </c>
      <c r="BD126" s="196" t="n">
        <f aca="false">BD$4*BD21</f>
        <v>0</v>
      </c>
      <c r="BE126" s="197" t="n">
        <f aca="false">BE$4*BE21</f>
        <v>0</v>
      </c>
      <c r="BF126" s="194" t="str">
        <f aca="false">AU126</f>
        <v>Alumno16</v>
      </c>
      <c r="BG126" s="195" t="n">
        <f aca="false">BG$4*BG21</f>
        <v>0.9</v>
      </c>
      <c r="BH126" s="196" t="n">
        <f aca="false">BH$4*BH21</f>
        <v>2</v>
      </c>
      <c r="BI126" s="196" t="n">
        <f aca="false">BI$4*BI21</f>
        <v>2</v>
      </c>
      <c r="BJ126" s="196" t="n">
        <f aca="false">BJ$4*BJ21</f>
        <v>2</v>
      </c>
      <c r="BK126" s="196" t="n">
        <f aca="false">BK$4*BK21</f>
        <v>2.7</v>
      </c>
      <c r="BL126" s="196" t="n">
        <f aca="false">BL$4*BL21</f>
        <v>0</v>
      </c>
      <c r="BM126" s="196" t="n">
        <f aca="false">BM$4*BM21</f>
        <v>0</v>
      </c>
      <c r="BN126" s="196" t="n">
        <f aca="false">BN$4*BN21</f>
        <v>0</v>
      </c>
      <c r="BO126" s="196" t="n">
        <f aca="false">BO$4*BO21</f>
        <v>0</v>
      </c>
      <c r="BP126" s="197" t="n">
        <f aca="false">BP$4*BP21</f>
        <v>0</v>
      </c>
      <c r="BQ126" s="194" t="str">
        <f aca="false">BF126</f>
        <v>Alumno16</v>
      </c>
      <c r="BR126" s="195" t="n">
        <f aca="false">BR$4*BR21</f>
        <v>1</v>
      </c>
      <c r="BS126" s="196" t="n">
        <f aca="false">BS$4*BS21</f>
        <v>0.6</v>
      </c>
      <c r="BT126" s="196" t="n">
        <f aca="false">BT$4*BT21</f>
        <v>0.6</v>
      </c>
      <c r="BU126" s="196" t="n">
        <f aca="false">BU$4*BU21</f>
        <v>0.8</v>
      </c>
      <c r="BV126" s="196" t="n">
        <f aca="false">BV$4*BV21</f>
        <v>1.5</v>
      </c>
      <c r="BW126" s="196" t="n">
        <f aca="false">BW$4*BW21</f>
        <v>0</v>
      </c>
      <c r="BX126" s="196" t="n">
        <f aca="false">BX$4*BX21</f>
        <v>0</v>
      </c>
      <c r="BY126" s="196" t="n">
        <f aca="false">BY$4*BY21</f>
        <v>0</v>
      </c>
      <c r="BZ126" s="196" t="n">
        <f aca="false">BZ$4*BZ21</f>
        <v>0</v>
      </c>
      <c r="CA126" s="197" t="n">
        <f aca="false">CA$4*CA21</f>
        <v>0</v>
      </c>
      <c r="CB126" s="194" t="str">
        <f aca="false">BQ126</f>
        <v>Alumno16</v>
      </c>
      <c r="CC126" s="195" t="n">
        <f aca="false">CC$4*CC21</f>
        <v>0</v>
      </c>
      <c r="CD126" s="196" t="n">
        <f aca="false">CD$4*CD21</f>
        <v>0</v>
      </c>
      <c r="CE126" s="196" t="n">
        <f aca="false">CE$4*CE21</f>
        <v>0</v>
      </c>
      <c r="CF126" s="196" t="n">
        <f aca="false">CF$4*CF21</f>
        <v>0</v>
      </c>
      <c r="CG126" s="196" t="n">
        <f aca="false">CG$4*CG21</f>
        <v>0</v>
      </c>
      <c r="CH126" s="196" t="n">
        <f aca="false">CH$4*CH21</f>
        <v>0</v>
      </c>
      <c r="CI126" s="196" t="n">
        <f aca="false">CI$4*CI21</f>
        <v>0</v>
      </c>
      <c r="CJ126" s="196" t="n">
        <f aca="false">CJ$4*CJ21</f>
        <v>0</v>
      </c>
      <c r="CK126" s="196" t="n">
        <f aca="false">CK$4*CK21</f>
        <v>0</v>
      </c>
      <c r="CL126" s="197" t="n">
        <f aca="false">CL$4*CL21</f>
        <v>0</v>
      </c>
      <c r="CM126" s="194" t="str">
        <f aca="false">CB126</f>
        <v>Alumno16</v>
      </c>
      <c r="CN126" s="195" t="n">
        <f aca="false">CN$4*CN21</f>
        <v>0</v>
      </c>
      <c r="CO126" s="196" t="n">
        <f aca="false">CO$4*CO21</f>
        <v>0</v>
      </c>
      <c r="CP126" s="196" t="n">
        <f aca="false">CP$4*CP21</f>
        <v>0</v>
      </c>
      <c r="CQ126" s="196" t="n">
        <f aca="false">CQ$4*CQ21</f>
        <v>0</v>
      </c>
      <c r="CR126" s="196" t="n">
        <f aca="false">CR$4*CR21</f>
        <v>0</v>
      </c>
      <c r="CS126" s="196" t="n">
        <f aca="false">CS$4*CS21</f>
        <v>0</v>
      </c>
      <c r="CT126" s="196" t="n">
        <f aca="false">CT$4*CT21</f>
        <v>0</v>
      </c>
      <c r="CU126" s="196" t="n">
        <f aca="false">CU$4*CU21</f>
        <v>0</v>
      </c>
      <c r="CV126" s="196" t="n">
        <f aca="false">CV$4*CV21</f>
        <v>0</v>
      </c>
      <c r="CW126" s="197" t="n">
        <f aca="false">CW$4*CW21</f>
        <v>0</v>
      </c>
      <c r="CX126" s="194" t="str">
        <f aca="false">CM126</f>
        <v>Alumno16</v>
      </c>
      <c r="CY126" s="195" t="n">
        <f aca="false">CY$4*CY21</f>
        <v>0</v>
      </c>
      <c r="CZ126" s="196" t="n">
        <f aca="false">CZ$4*CZ21</f>
        <v>0</v>
      </c>
      <c r="DA126" s="196" t="n">
        <f aca="false">DA$4*DA21</f>
        <v>0</v>
      </c>
      <c r="DB126" s="196" t="n">
        <f aca="false">DB$4*DB21</f>
        <v>0</v>
      </c>
      <c r="DC126" s="196" t="n">
        <f aca="false">DC$4*DC21</f>
        <v>0</v>
      </c>
      <c r="DD126" s="196" t="n">
        <f aca="false">DD$4*DD21</f>
        <v>0</v>
      </c>
      <c r="DE126" s="196" t="n">
        <f aca="false">DE$4*DE21</f>
        <v>0</v>
      </c>
      <c r="DF126" s="196" t="n">
        <f aca="false">DF$4*DF21</f>
        <v>0</v>
      </c>
      <c r="DG126" s="196" t="n">
        <f aca="false">DG$4*DG21</f>
        <v>0</v>
      </c>
      <c r="DH126" s="197" t="n">
        <f aca="false">DH$4*DH21</f>
        <v>0</v>
      </c>
      <c r="DI126" s="194" t="str">
        <f aca="false">CX126</f>
        <v>Alumno16</v>
      </c>
      <c r="DJ126" s="195" t="n">
        <f aca="false">DJ$4*DJ21</f>
        <v>0</v>
      </c>
      <c r="DK126" s="196" t="n">
        <f aca="false">DK$4*DK21</f>
        <v>0</v>
      </c>
      <c r="DL126" s="196" t="n">
        <f aca="false">DL$4*DL21</f>
        <v>0</v>
      </c>
      <c r="DM126" s="196" t="n">
        <f aca="false">DM$4*DM21</f>
        <v>0</v>
      </c>
      <c r="DN126" s="196" t="n">
        <f aca="false">DN$4*DN21</f>
        <v>0</v>
      </c>
      <c r="DO126" s="196" t="n">
        <f aca="false">DO$4*DO21</f>
        <v>0</v>
      </c>
      <c r="DP126" s="196" t="n">
        <f aca="false">DP$4*DP21</f>
        <v>0</v>
      </c>
      <c r="DQ126" s="196" t="n">
        <f aca="false">DQ$4*DQ21</f>
        <v>0</v>
      </c>
      <c r="DR126" s="196" t="n">
        <f aca="false">DR$4*DR21</f>
        <v>0</v>
      </c>
      <c r="DS126" s="197" t="n">
        <f aca="false">DS$4*DS21</f>
        <v>0</v>
      </c>
      <c r="DT126" s="194" t="str">
        <f aca="false">DI126</f>
        <v>Alumno16</v>
      </c>
      <c r="DU126" s="195" t="n">
        <f aca="false">DU$4*DU21</f>
        <v>0</v>
      </c>
      <c r="DV126" s="196" t="n">
        <f aca="false">DV$4*DV21</f>
        <v>0</v>
      </c>
      <c r="DW126" s="196" t="n">
        <f aca="false">DW$4*DW21</f>
        <v>0</v>
      </c>
      <c r="DX126" s="196" t="n">
        <f aca="false">DX$4*DX21</f>
        <v>0</v>
      </c>
      <c r="DY126" s="196" t="n">
        <f aca="false">DY$4*DY21</f>
        <v>0</v>
      </c>
      <c r="DZ126" s="196" t="n">
        <f aca="false">DZ$4*DZ21</f>
        <v>0</v>
      </c>
      <c r="EA126" s="196" t="n">
        <f aca="false">EA$4*EA21</f>
        <v>0</v>
      </c>
      <c r="EB126" s="196" t="n">
        <f aca="false">EB$4*EB21</f>
        <v>0</v>
      </c>
      <c r="EC126" s="196" t="n">
        <f aca="false">EC$4*EC21</f>
        <v>0</v>
      </c>
      <c r="ED126" s="197" t="n">
        <f aca="false">ED$4*ED21</f>
        <v>0</v>
      </c>
      <c r="EE126" s="194" t="str">
        <f aca="false">DT126</f>
        <v>Alumno16</v>
      </c>
      <c r="EF126" s="195" t="n">
        <f aca="false">EF$4*EF21</f>
        <v>0</v>
      </c>
      <c r="EG126" s="196" t="n">
        <f aca="false">EG$4*EG21</f>
        <v>0</v>
      </c>
      <c r="EH126" s="196" t="n">
        <f aca="false">EH$4*EH21</f>
        <v>0</v>
      </c>
      <c r="EI126" s="196" t="n">
        <f aca="false">EI$4*EI21</f>
        <v>0</v>
      </c>
      <c r="EJ126" s="196" t="n">
        <f aca="false">EJ$4*EJ21</f>
        <v>0</v>
      </c>
      <c r="EK126" s="196" t="n">
        <f aca="false">EK$4*EK21</f>
        <v>0</v>
      </c>
      <c r="EL126" s="196" t="n">
        <f aca="false">EL$4*EL21</f>
        <v>0</v>
      </c>
      <c r="EM126" s="196" t="n">
        <f aca="false">EM$4*EM21</f>
        <v>0</v>
      </c>
      <c r="EN126" s="196" t="n">
        <f aca="false">EN$4*EN21</f>
        <v>0</v>
      </c>
      <c r="EO126" s="197" t="n">
        <f aca="false">EO$4*EO21</f>
        <v>0</v>
      </c>
      <c r="EP126" s="194" t="str">
        <f aca="false">EE126</f>
        <v>Alumno16</v>
      </c>
      <c r="EQ126" s="195" t="n">
        <f aca="false">EQ$4*EQ21</f>
        <v>0</v>
      </c>
      <c r="ER126" s="196" t="n">
        <f aca="false">ER$4*ER21</f>
        <v>0</v>
      </c>
      <c r="ES126" s="196" t="n">
        <f aca="false">ES$4*ES21</f>
        <v>0</v>
      </c>
      <c r="ET126" s="196" t="n">
        <f aca="false">ET$4*ET21</f>
        <v>0</v>
      </c>
      <c r="EU126" s="196" t="n">
        <f aca="false">EU$4*EU21</f>
        <v>0</v>
      </c>
      <c r="EV126" s="196" t="n">
        <f aca="false">EV$4*EV21</f>
        <v>0</v>
      </c>
      <c r="EW126" s="196" t="n">
        <f aca="false">EW$4*EW21</f>
        <v>0</v>
      </c>
      <c r="EX126" s="196" t="n">
        <f aca="false">EX$4*EX21</f>
        <v>0</v>
      </c>
      <c r="EY126" s="196" t="n">
        <f aca="false">EY$4*EY21</f>
        <v>0</v>
      </c>
      <c r="EZ126" s="197" t="n">
        <f aca="false">EZ$4*EZ21</f>
        <v>0</v>
      </c>
      <c r="FA126" s="194" t="str">
        <f aca="false">EP126</f>
        <v>Alumno16</v>
      </c>
      <c r="FB126" s="195" t="n">
        <f aca="false">FB$4*FB21</f>
        <v>0</v>
      </c>
      <c r="FC126" s="196" t="n">
        <f aca="false">FC$4*FC21</f>
        <v>0</v>
      </c>
      <c r="FD126" s="196" t="n">
        <f aca="false">FD$4*FD21</f>
        <v>0</v>
      </c>
      <c r="FE126" s="196" t="n">
        <f aca="false">FE$4*FE21</f>
        <v>0</v>
      </c>
      <c r="FF126" s="196" t="n">
        <f aca="false">FF$4*FF21</f>
        <v>0</v>
      </c>
      <c r="FG126" s="196" t="n">
        <f aca="false">FG$4*FG21</f>
        <v>0</v>
      </c>
      <c r="FH126" s="196" t="n">
        <f aca="false">FH$4*FH21</f>
        <v>0</v>
      </c>
      <c r="FI126" s="196" t="n">
        <f aca="false">FI$4*FI21</f>
        <v>0</v>
      </c>
      <c r="FJ126" s="196" t="n">
        <f aca="false">FJ$4*FJ21</f>
        <v>0</v>
      </c>
      <c r="FK126" s="197" t="n">
        <f aca="false">FK$4*FK21</f>
        <v>0</v>
      </c>
      <c r="FL126" s="194" t="str">
        <f aca="false">FA126</f>
        <v>Alumno16</v>
      </c>
      <c r="FM126" s="195" t="n">
        <f aca="false">FM$4*FM21</f>
        <v>0</v>
      </c>
      <c r="FN126" s="196" t="n">
        <f aca="false">FN$4*FN21</f>
        <v>0</v>
      </c>
      <c r="FO126" s="196" t="n">
        <f aca="false">FO$4*FO21</f>
        <v>0</v>
      </c>
      <c r="FP126" s="196" t="n">
        <f aca="false">FP$4*FP21</f>
        <v>0</v>
      </c>
      <c r="FQ126" s="196" t="n">
        <f aca="false">FQ$4*FQ21</f>
        <v>0</v>
      </c>
      <c r="FR126" s="196" t="n">
        <f aca="false">FR$4*FR21</f>
        <v>0</v>
      </c>
      <c r="FS126" s="196" t="n">
        <f aca="false">FS$4*FS21</f>
        <v>0</v>
      </c>
      <c r="FT126" s="196" t="n">
        <f aca="false">FT$4*FT21</f>
        <v>0</v>
      </c>
      <c r="FU126" s="196" t="n">
        <f aca="false">FU$4*FU21</f>
        <v>0</v>
      </c>
      <c r="FV126" s="197" t="n">
        <f aca="false">FV$4*FV21</f>
        <v>0</v>
      </c>
      <c r="FW126" s="194" t="str">
        <f aca="false">FL126</f>
        <v>Alumno16</v>
      </c>
      <c r="FX126" s="195" t="n">
        <f aca="false">FX$4*FX21</f>
        <v>0</v>
      </c>
      <c r="FY126" s="196" t="n">
        <f aca="false">FY$4*FY21</f>
        <v>0</v>
      </c>
      <c r="FZ126" s="196" t="n">
        <f aca="false">FZ$4*FZ21</f>
        <v>0</v>
      </c>
      <c r="GA126" s="196" t="n">
        <f aca="false">GA$4*GA21</f>
        <v>0</v>
      </c>
      <c r="GB126" s="196" t="n">
        <f aca="false">GB$4*GB21</f>
        <v>0</v>
      </c>
      <c r="GC126" s="196" t="n">
        <f aca="false">GC$4*GC21</f>
        <v>0</v>
      </c>
      <c r="GD126" s="196" t="n">
        <f aca="false">GD$4*GD21</f>
        <v>0</v>
      </c>
      <c r="GE126" s="196" t="n">
        <f aca="false">GE$4*GE21</f>
        <v>0</v>
      </c>
      <c r="GF126" s="196" t="n">
        <f aca="false">GF$4*GF21</f>
        <v>0</v>
      </c>
      <c r="GG126" s="197" t="n">
        <f aca="false">GG$4*GG21</f>
        <v>0</v>
      </c>
      <c r="GH126" s="194" t="str">
        <f aca="false">FW126</f>
        <v>Alumno16</v>
      </c>
      <c r="GI126" s="195" t="n">
        <f aca="false">GI$4*GI21</f>
        <v>0</v>
      </c>
      <c r="GJ126" s="196" t="n">
        <f aca="false">GJ$4*GJ21</f>
        <v>0</v>
      </c>
      <c r="GK126" s="196" t="n">
        <f aca="false">GK$4*GK21</f>
        <v>0</v>
      </c>
      <c r="GL126" s="196" t="n">
        <f aca="false">GL$4*GL21</f>
        <v>0</v>
      </c>
      <c r="GM126" s="196" t="n">
        <f aca="false">GM$4*GM21</f>
        <v>0</v>
      </c>
      <c r="GN126" s="196" t="n">
        <f aca="false">GN$4*GN21</f>
        <v>0</v>
      </c>
      <c r="GO126" s="196" t="n">
        <f aca="false">GO$4*GO21</f>
        <v>0</v>
      </c>
      <c r="GP126" s="196" t="n">
        <f aca="false">GP$4*GP21</f>
        <v>0</v>
      </c>
      <c r="GQ126" s="196" t="n">
        <f aca="false">GQ$4*GQ21</f>
        <v>0</v>
      </c>
      <c r="GR126" s="197" t="n">
        <f aca="false">GR$4*GR21</f>
        <v>0</v>
      </c>
      <c r="GS126" s="194" t="str">
        <f aca="false">GH126</f>
        <v>Alumno16</v>
      </c>
      <c r="GT126" s="195" t="n">
        <f aca="false">GT$4*GT21</f>
        <v>0</v>
      </c>
      <c r="GU126" s="196" t="n">
        <f aca="false">GU$4*GU21</f>
        <v>0</v>
      </c>
      <c r="GV126" s="196" t="n">
        <f aca="false">GV$4*GV21</f>
        <v>0</v>
      </c>
      <c r="GW126" s="196" t="n">
        <f aca="false">GW$4*GW21</f>
        <v>0</v>
      </c>
      <c r="GX126" s="196" t="n">
        <f aca="false">GX$4*GX21</f>
        <v>0</v>
      </c>
      <c r="GY126" s="196" t="n">
        <f aca="false">GY$4*GY21</f>
        <v>0</v>
      </c>
      <c r="GZ126" s="196" t="n">
        <f aca="false">GZ$4*GZ21</f>
        <v>0</v>
      </c>
      <c r="HA126" s="196" t="n">
        <f aca="false">HA$4*HA21</f>
        <v>0</v>
      </c>
      <c r="HB126" s="196" t="n">
        <f aca="false">HB$4*HB21</f>
        <v>0</v>
      </c>
      <c r="HC126" s="197" t="n">
        <f aca="false">HC$4*HC21</f>
        <v>0</v>
      </c>
      <c r="HD126" s="194" t="str">
        <f aca="false">GS126</f>
        <v>Alumno16</v>
      </c>
      <c r="HE126" s="195" t="n">
        <f aca="false">HE$4*HE21</f>
        <v>0</v>
      </c>
      <c r="HF126" s="196" t="n">
        <f aca="false">HF$4*HF21</f>
        <v>0</v>
      </c>
      <c r="HG126" s="196" t="n">
        <f aca="false">HG$4*HG21</f>
        <v>0</v>
      </c>
      <c r="HH126" s="196" t="n">
        <f aca="false">HH$4*HH21</f>
        <v>0</v>
      </c>
      <c r="HI126" s="196" t="n">
        <f aca="false">HI$4*HI21</f>
        <v>0</v>
      </c>
      <c r="HJ126" s="196" t="n">
        <f aca="false">HJ$4*HJ21</f>
        <v>0</v>
      </c>
      <c r="HK126" s="196" t="n">
        <f aca="false">HK$4*HK21</f>
        <v>0</v>
      </c>
      <c r="HL126" s="196" t="n">
        <f aca="false">HL$4*HL21</f>
        <v>0</v>
      </c>
      <c r="HM126" s="196" t="n">
        <f aca="false">HM$4*HM21</f>
        <v>0</v>
      </c>
      <c r="HN126" s="197" t="n">
        <f aca="false">HN$4*HN21</f>
        <v>0</v>
      </c>
      <c r="HO126" s="194" t="str">
        <f aca="false">HD126</f>
        <v>Alumno16</v>
      </c>
      <c r="HP126" s="195" t="n">
        <f aca="false">HP$4*HP21</f>
        <v>0</v>
      </c>
      <c r="HQ126" s="196" t="n">
        <f aca="false">HQ$4*HQ21</f>
        <v>0</v>
      </c>
      <c r="HR126" s="196" t="n">
        <f aca="false">HR$4*HR21</f>
        <v>0</v>
      </c>
      <c r="HS126" s="196" t="n">
        <f aca="false">HS$4*HS21</f>
        <v>0</v>
      </c>
      <c r="HT126" s="196" t="n">
        <f aca="false">HT$4*HT21</f>
        <v>0</v>
      </c>
      <c r="HU126" s="196" t="n">
        <f aca="false">HU$4*HU21</f>
        <v>0</v>
      </c>
      <c r="HV126" s="196" t="n">
        <f aca="false">HV$4*HV21</f>
        <v>0</v>
      </c>
      <c r="HW126" s="196" t="n">
        <f aca="false">HW$4*HW21</f>
        <v>0</v>
      </c>
      <c r="HX126" s="196" t="n">
        <f aca="false">HX$4*HX21</f>
        <v>0</v>
      </c>
      <c r="HY126" s="197" t="n">
        <f aca="false">HY$4*HY21</f>
        <v>0</v>
      </c>
      <c r="HZ126" s="194" t="str">
        <f aca="false">HO126</f>
        <v>Alumno16</v>
      </c>
      <c r="IA126" s="195" t="n">
        <f aca="false">IA$4*IA21</f>
        <v>0</v>
      </c>
      <c r="IB126" s="196" t="n">
        <f aca="false">IB$4*IB21</f>
        <v>0</v>
      </c>
      <c r="IC126" s="196" t="n">
        <f aca="false">IC$4*IC21</f>
        <v>0</v>
      </c>
      <c r="ID126" s="196" t="n">
        <f aca="false">ID$4*ID21</f>
        <v>0</v>
      </c>
      <c r="IE126" s="196" t="n">
        <f aca="false">IE$4*IE21</f>
        <v>0</v>
      </c>
      <c r="IF126" s="196" t="n">
        <f aca="false">IF$4*IF21</f>
        <v>0</v>
      </c>
      <c r="IG126" s="196" t="n">
        <f aca="false">IG$4*IG21</f>
        <v>0</v>
      </c>
      <c r="IH126" s="196" t="n">
        <f aca="false">IH$4*IH21</f>
        <v>0</v>
      </c>
      <c r="II126" s="196" t="n">
        <f aca="false">II$4*II21</f>
        <v>0</v>
      </c>
      <c r="IJ126" s="197" t="n">
        <f aca="false">IJ$4*IJ21</f>
        <v>0</v>
      </c>
      <c r="IK126" s="194" t="str">
        <f aca="false">HZ126</f>
        <v>Alumno16</v>
      </c>
      <c r="IL126" s="195" t="n">
        <f aca="false">IL$4*IL21</f>
        <v>0</v>
      </c>
      <c r="IM126" s="196" t="n">
        <f aca="false">IM$4*IM21</f>
        <v>0</v>
      </c>
      <c r="IN126" s="196" t="n">
        <f aca="false">IN$4*IN21</f>
        <v>0</v>
      </c>
      <c r="IO126" s="196" t="n">
        <f aca="false">IO$4*IO21</f>
        <v>0</v>
      </c>
      <c r="IP126" s="196" t="n">
        <f aca="false">IP$4*IP21</f>
        <v>0</v>
      </c>
      <c r="IQ126" s="196" t="n">
        <f aca="false">IQ$4*IQ21</f>
        <v>0</v>
      </c>
      <c r="IR126" s="196" t="n">
        <f aca="false">IR$4*IR21</f>
        <v>0</v>
      </c>
      <c r="IS126" s="196" t="n">
        <f aca="false">IS$4*IS21</f>
        <v>0</v>
      </c>
      <c r="IT126" s="196" t="n">
        <f aca="false">IT$4*IT21</f>
        <v>0</v>
      </c>
      <c r="IU126" s="197" t="n">
        <f aca="false">IU$4*IU21</f>
        <v>0</v>
      </c>
      <c r="IV126" s="194" t="str">
        <f aca="false">IK126</f>
        <v>Alumno16</v>
      </c>
      <c r="IW126" s="195" t="n">
        <f aca="false">IW$4*IW21</f>
        <v>0</v>
      </c>
      <c r="IX126" s="196" t="n">
        <f aca="false">IX$4*IX21</f>
        <v>0</v>
      </c>
      <c r="IY126" s="196" t="n">
        <f aca="false">IY$4*IY21</f>
        <v>0</v>
      </c>
      <c r="IZ126" s="196" t="n">
        <f aca="false">IZ$4*IZ21</f>
        <v>0</v>
      </c>
      <c r="JA126" s="196" t="n">
        <f aca="false">JA$4*JA21</f>
        <v>0</v>
      </c>
      <c r="JB126" s="196" t="n">
        <f aca="false">JB$4*JB21</f>
        <v>0</v>
      </c>
      <c r="JC126" s="196" t="n">
        <f aca="false">JC$4*JC21</f>
        <v>0</v>
      </c>
      <c r="JD126" s="196" t="n">
        <f aca="false">JD$4*JD21</f>
        <v>0</v>
      </c>
      <c r="JE126" s="196" t="n">
        <f aca="false">JE$4*JE21</f>
        <v>0</v>
      </c>
      <c r="JF126" s="197" t="n">
        <f aca="false">JF$4*JF21</f>
        <v>0</v>
      </c>
      <c r="JG126" s="194" t="str">
        <f aca="false">IV126</f>
        <v>Alumno16</v>
      </c>
      <c r="JH126" s="195" t="n">
        <f aca="false">JH$4*JH21</f>
        <v>0</v>
      </c>
      <c r="JI126" s="196" t="n">
        <f aca="false">JI$4*JI21</f>
        <v>0</v>
      </c>
      <c r="JJ126" s="196" t="n">
        <f aca="false">JJ$4*JJ21</f>
        <v>0</v>
      </c>
      <c r="JK126" s="196" t="n">
        <f aca="false">JK$4*JK21</f>
        <v>0</v>
      </c>
      <c r="JL126" s="196" t="n">
        <f aca="false">JL$4*JL21</f>
        <v>0</v>
      </c>
      <c r="JM126" s="196" t="n">
        <f aca="false">JM$4*JM21</f>
        <v>0</v>
      </c>
      <c r="JN126" s="196" t="n">
        <f aca="false">JN$4*JN21</f>
        <v>0</v>
      </c>
      <c r="JO126" s="196" t="n">
        <f aca="false">JO$4*JO21</f>
        <v>0</v>
      </c>
      <c r="JP126" s="196" t="n">
        <f aca="false">JP$4*JP21</f>
        <v>0</v>
      </c>
      <c r="JQ126" s="197" t="n">
        <f aca="false">JQ$4*JQ21</f>
        <v>0</v>
      </c>
      <c r="JR126" s="194" t="str">
        <f aca="false">JG126</f>
        <v>Alumno16</v>
      </c>
      <c r="JS126" s="195" t="n">
        <f aca="false">JS$4*JS21</f>
        <v>0</v>
      </c>
      <c r="JT126" s="196" t="n">
        <f aca="false">JT$4*JT21</f>
        <v>0</v>
      </c>
      <c r="JU126" s="196" t="n">
        <f aca="false">JU$4*JU21</f>
        <v>0</v>
      </c>
      <c r="JV126" s="196" t="n">
        <f aca="false">JV$4*JV21</f>
        <v>0</v>
      </c>
      <c r="JW126" s="196" t="n">
        <f aca="false">JW$4*JW21</f>
        <v>0</v>
      </c>
      <c r="JX126" s="196" t="n">
        <f aca="false">JX$4*JX21</f>
        <v>0</v>
      </c>
      <c r="JY126" s="196" t="n">
        <f aca="false">JY$4*JY21</f>
        <v>0</v>
      </c>
      <c r="JZ126" s="196" t="n">
        <f aca="false">JZ$4*JZ21</f>
        <v>0</v>
      </c>
      <c r="KA126" s="196" t="n">
        <f aca="false">KA$4*KA21</f>
        <v>0</v>
      </c>
      <c r="KB126" s="197" t="n">
        <f aca="false">KB$4*KB21</f>
        <v>0</v>
      </c>
      <c r="KC126" s="194" t="str">
        <f aca="false">JR126</f>
        <v>Alumno16</v>
      </c>
      <c r="KD126" s="195" t="n">
        <f aca="false">KD$4*KD21</f>
        <v>0</v>
      </c>
      <c r="KE126" s="196" t="n">
        <f aca="false">KE$4*KE21</f>
        <v>0</v>
      </c>
      <c r="KF126" s="196" t="n">
        <f aca="false">KF$4*KF21</f>
        <v>0</v>
      </c>
      <c r="KG126" s="196" t="n">
        <f aca="false">KG$4*KG21</f>
        <v>0</v>
      </c>
      <c r="KH126" s="196" t="n">
        <f aca="false">KH$4*KH21</f>
        <v>0</v>
      </c>
      <c r="KI126" s="196" t="n">
        <f aca="false">KI$4*KI21</f>
        <v>0</v>
      </c>
      <c r="KJ126" s="196" t="n">
        <f aca="false">KJ$4*KJ21</f>
        <v>0</v>
      </c>
      <c r="KK126" s="196" t="n">
        <f aca="false">KK$4*KK21</f>
        <v>0</v>
      </c>
      <c r="KL126" s="196" t="n">
        <f aca="false">KL$4*KL21</f>
        <v>0</v>
      </c>
      <c r="KM126" s="197" t="n">
        <f aca="false">KM$4*KM21</f>
        <v>0</v>
      </c>
      <c r="KN126" s="194" t="str">
        <f aca="false">KC126</f>
        <v>Alumno16</v>
      </c>
      <c r="KO126" s="195" t="n">
        <f aca="false">KO$4*KO21</f>
        <v>0</v>
      </c>
      <c r="KP126" s="196" t="n">
        <f aca="false">KP$4*KP21</f>
        <v>0</v>
      </c>
      <c r="KQ126" s="196" t="n">
        <f aca="false">KQ$4*KQ21</f>
        <v>0</v>
      </c>
      <c r="KR126" s="196" t="n">
        <f aca="false">KR$4*KR21</f>
        <v>0</v>
      </c>
      <c r="KS126" s="196" t="n">
        <f aca="false">KS$4*KS21</f>
        <v>0</v>
      </c>
      <c r="KT126" s="196" t="n">
        <f aca="false">KT$4*KT21</f>
        <v>0</v>
      </c>
      <c r="KU126" s="196" t="n">
        <f aca="false">KU$4*KU21</f>
        <v>0</v>
      </c>
      <c r="KV126" s="196" t="n">
        <f aca="false">KV$4*KV21</f>
        <v>0</v>
      </c>
      <c r="KW126" s="196" t="n">
        <f aca="false">KW$4*KW21</f>
        <v>0</v>
      </c>
      <c r="KX126" s="197" t="n">
        <f aca="false">KX$4*KX21</f>
        <v>0</v>
      </c>
      <c r="KY126" s="194" t="str">
        <f aca="false">KN126</f>
        <v>Alumno16</v>
      </c>
      <c r="KZ126" s="195" t="n">
        <f aca="false">KZ$4*KZ21</f>
        <v>0</v>
      </c>
      <c r="LA126" s="196" t="n">
        <f aca="false">LA$4*LA21</f>
        <v>0</v>
      </c>
      <c r="LB126" s="196" t="n">
        <f aca="false">LB$4*LB21</f>
        <v>0</v>
      </c>
      <c r="LC126" s="196" t="n">
        <f aca="false">LC$4*LC21</f>
        <v>0</v>
      </c>
      <c r="LD126" s="196" t="n">
        <f aca="false">LD$4*LD21</f>
        <v>0</v>
      </c>
      <c r="LE126" s="196" t="n">
        <f aca="false">LE$4*LE21</f>
        <v>0</v>
      </c>
      <c r="LF126" s="196" t="n">
        <f aca="false">LF$4*LF21</f>
        <v>0</v>
      </c>
      <c r="LG126" s="196" t="n">
        <f aca="false">LG$4*LG21</f>
        <v>0</v>
      </c>
      <c r="LH126" s="196" t="n">
        <f aca="false">LH$4*LH21</f>
        <v>0</v>
      </c>
      <c r="LI126" s="197" t="n">
        <f aca="false">LI$4*LI21</f>
        <v>0</v>
      </c>
      <c r="LJ126" s="194" t="str">
        <f aca="false">KY126</f>
        <v>Alumno16</v>
      </c>
      <c r="LK126" s="195" t="n">
        <f aca="false">LK$4*LK21</f>
        <v>0</v>
      </c>
      <c r="LL126" s="196" t="n">
        <f aca="false">LL$4*LL21</f>
        <v>0</v>
      </c>
      <c r="LM126" s="196" t="n">
        <f aca="false">LM$4*LM21</f>
        <v>0</v>
      </c>
      <c r="LN126" s="196" t="n">
        <f aca="false">LN$4*LN21</f>
        <v>0</v>
      </c>
      <c r="LO126" s="196" t="n">
        <f aca="false">LO$4*LO21</f>
        <v>0</v>
      </c>
      <c r="LP126" s="196" t="n">
        <f aca="false">LP$4*LP21</f>
        <v>0</v>
      </c>
      <c r="LQ126" s="196" t="n">
        <f aca="false">LQ$4*LQ21</f>
        <v>0</v>
      </c>
      <c r="LR126" s="196" t="n">
        <f aca="false">LR$4*LR21</f>
        <v>0</v>
      </c>
      <c r="LS126" s="196" t="n">
        <f aca="false">LS$4*LS21</f>
        <v>0</v>
      </c>
      <c r="LT126" s="197" t="n">
        <f aca="false">LT$4*LT21</f>
        <v>0</v>
      </c>
    </row>
    <row r="127" customFormat="false" ht="15" hidden="true" customHeight="false" outlineLevel="0" collapsed="false">
      <c r="C127" s="194" t="str">
        <f aca="false">C78</f>
        <v>Alumno17</v>
      </c>
      <c r="D127" s="195" t="n">
        <f aca="false">D$4*D22</f>
        <v>1.35</v>
      </c>
      <c r="E127" s="196" t="n">
        <f aca="false">E$4*E22</f>
        <v>1.35</v>
      </c>
      <c r="F127" s="196" t="n">
        <f aca="false">F$4*F22</f>
        <v>1.8</v>
      </c>
      <c r="G127" s="196" t="n">
        <f aca="false">G$4*G22</f>
        <v>0.9</v>
      </c>
      <c r="H127" s="196" t="n">
        <f aca="false">H$4*H22</f>
        <v>1.35</v>
      </c>
      <c r="I127" s="196" t="n">
        <f aca="false">I$4*I22</f>
        <v>1.2</v>
      </c>
      <c r="J127" s="196" t="n">
        <f aca="false">J$4*J22</f>
        <v>0.9</v>
      </c>
      <c r="K127" s="196" t="n">
        <f aca="false">K$4*K22</f>
        <v>0</v>
      </c>
      <c r="L127" s="196" t="n">
        <f aca="false">L$4*L22</f>
        <v>0</v>
      </c>
      <c r="M127" s="197" t="n">
        <f aca="false">M$4*M22</f>
        <v>0</v>
      </c>
      <c r="N127" s="194" t="str">
        <f aca="false">C127</f>
        <v>Alumno17</v>
      </c>
      <c r="O127" s="195" t="n">
        <f aca="false">O$4*O22</f>
        <v>1.8</v>
      </c>
      <c r="P127" s="196" t="n">
        <f aca="false">P$4*P22</f>
        <v>1.8</v>
      </c>
      <c r="Q127" s="196" t="n">
        <f aca="false">Q$4*Q22</f>
        <v>1.8</v>
      </c>
      <c r="R127" s="196" t="n">
        <f aca="false">R$4*R22</f>
        <v>1.8</v>
      </c>
      <c r="S127" s="196" t="n">
        <f aca="false">S$4*S22</f>
        <v>1.8</v>
      </c>
      <c r="T127" s="196" t="n">
        <f aca="false">T$4*T22</f>
        <v>0</v>
      </c>
      <c r="U127" s="196" t="n">
        <f aca="false">U$4*U22</f>
        <v>0</v>
      </c>
      <c r="V127" s="196" t="n">
        <f aca="false">V$4*V22</f>
        <v>0</v>
      </c>
      <c r="W127" s="196" t="n">
        <f aca="false">W$4*W22</f>
        <v>0</v>
      </c>
      <c r="X127" s="197" t="n">
        <f aca="false">X$4*X22</f>
        <v>0</v>
      </c>
      <c r="Y127" s="194" t="str">
        <f aca="false">N127</f>
        <v>Alumno17</v>
      </c>
      <c r="Z127" s="195" t="n">
        <f aca="false">Z$4*Z22</f>
        <v>1.2</v>
      </c>
      <c r="AA127" s="196" t="n">
        <f aca="false">AA$4*AA22</f>
        <v>1.4</v>
      </c>
      <c r="AB127" s="196" t="n">
        <f aca="false">AB$4*AB22</f>
        <v>0.8</v>
      </c>
      <c r="AC127" s="196" t="n">
        <f aca="false">AC$4*AC22</f>
        <v>0.8</v>
      </c>
      <c r="AD127" s="196" t="n">
        <f aca="false">AD$4*AD22</f>
        <v>1</v>
      </c>
      <c r="AE127" s="196" t="n">
        <f aca="false">AE$4*AE22</f>
        <v>0</v>
      </c>
      <c r="AF127" s="196" t="n">
        <f aca="false">AF$4*AF22</f>
        <v>0</v>
      </c>
      <c r="AG127" s="196" t="n">
        <f aca="false">AG$4*AG22</f>
        <v>0</v>
      </c>
      <c r="AH127" s="196" t="n">
        <f aca="false">AH$4*AH22</f>
        <v>0</v>
      </c>
      <c r="AI127" s="197" t="n">
        <f aca="false">AI$4*AI22</f>
        <v>0</v>
      </c>
      <c r="AJ127" s="194" t="str">
        <f aca="false">Y127</f>
        <v>Alumno17</v>
      </c>
      <c r="AK127" s="195" t="n">
        <f aca="false">AK$4*AK22</f>
        <v>1.2</v>
      </c>
      <c r="AL127" s="196" t="n">
        <f aca="false">AL$4*AL22</f>
        <v>1.4</v>
      </c>
      <c r="AM127" s="196" t="n">
        <f aca="false">AM$4*AM22</f>
        <v>0.8</v>
      </c>
      <c r="AN127" s="196" t="n">
        <f aca="false">AN$4*AN22</f>
        <v>0.8</v>
      </c>
      <c r="AO127" s="196" t="n">
        <f aca="false">AO$4*AO22</f>
        <v>1</v>
      </c>
      <c r="AP127" s="196" t="n">
        <f aca="false">AP$4*AP22</f>
        <v>0</v>
      </c>
      <c r="AQ127" s="196" t="n">
        <f aca="false">AQ$4*AQ22</f>
        <v>0</v>
      </c>
      <c r="AR127" s="196" t="n">
        <f aca="false">AR$4*AR22</f>
        <v>0</v>
      </c>
      <c r="AS127" s="196" t="n">
        <f aca="false">AS$4*AS22</f>
        <v>0</v>
      </c>
      <c r="AT127" s="197" t="n">
        <f aca="false">AT$4*AT22</f>
        <v>0</v>
      </c>
      <c r="AU127" s="194" t="str">
        <f aca="false">AJ127</f>
        <v>Alumno17</v>
      </c>
      <c r="AV127" s="195" t="n">
        <f aca="false">AV$4*AV22</f>
        <v>0.9</v>
      </c>
      <c r="AW127" s="196" t="n">
        <f aca="false">AW$4*AW22</f>
        <v>1.8</v>
      </c>
      <c r="AX127" s="196" t="n">
        <f aca="false">AX$4*AX22</f>
        <v>1.8</v>
      </c>
      <c r="AY127" s="196" t="n">
        <f aca="false">AY$4*AY22</f>
        <v>2.7</v>
      </c>
      <c r="AZ127" s="196" t="n">
        <f aca="false">AZ$4*AZ22</f>
        <v>1.8</v>
      </c>
      <c r="BA127" s="196" t="n">
        <f aca="false">BA$4*BA22</f>
        <v>0</v>
      </c>
      <c r="BB127" s="196" t="n">
        <f aca="false">BB$4*BB22</f>
        <v>0</v>
      </c>
      <c r="BC127" s="196" t="n">
        <f aca="false">BC$4*BC22</f>
        <v>0</v>
      </c>
      <c r="BD127" s="196" t="n">
        <f aca="false">BD$4*BD22</f>
        <v>0</v>
      </c>
      <c r="BE127" s="197" t="n">
        <f aca="false">BE$4*BE22</f>
        <v>0</v>
      </c>
      <c r="BF127" s="194" t="str">
        <f aca="false">AU127</f>
        <v>Alumno17</v>
      </c>
      <c r="BG127" s="195" t="n">
        <f aca="false">BG$4*BG22</f>
        <v>0.9</v>
      </c>
      <c r="BH127" s="196" t="n">
        <f aca="false">BH$4*BH22</f>
        <v>1.8</v>
      </c>
      <c r="BI127" s="196" t="n">
        <f aca="false">BI$4*BI22</f>
        <v>1.8</v>
      </c>
      <c r="BJ127" s="196" t="n">
        <f aca="false">BJ$4*BJ22</f>
        <v>1.8</v>
      </c>
      <c r="BK127" s="196" t="n">
        <f aca="false">BK$4*BK22</f>
        <v>2.7</v>
      </c>
      <c r="BL127" s="196" t="n">
        <f aca="false">BL$4*BL22</f>
        <v>0</v>
      </c>
      <c r="BM127" s="196" t="n">
        <f aca="false">BM$4*BM22</f>
        <v>0</v>
      </c>
      <c r="BN127" s="196" t="n">
        <f aca="false">BN$4*BN22</f>
        <v>0</v>
      </c>
      <c r="BO127" s="196" t="n">
        <f aca="false">BO$4*BO22</f>
        <v>0</v>
      </c>
      <c r="BP127" s="197" t="n">
        <f aca="false">BP$4*BP22</f>
        <v>0</v>
      </c>
      <c r="BQ127" s="194" t="str">
        <f aca="false">BF127</f>
        <v>Alumno17</v>
      </c>
      <c r="BR127" s="195" t="n">
        <f aca="false">BR$4*BR22</f>
        <v>1</v>
      </c>
      <c r="BS127" s="196" t="n">
        <f aca="false">BS$4*BS22</f>
        <v>0.5</v>
      </c>
      <c r="BT127" s="196" t="n">
        <f aca="false">BT$4*BT22</f>
        <v>1</v>
      </c>
      <c r="BU127" s="196" t="n">
        <f aca="false">BU$4*BU22</f>
        <v>1</v>
      </c>
      <c r="BV127" s="196" t="n">
        <f aca="false">BV$4*BV22</f>
        <v>1.5</v>
      </c>
      <c r="BW127" s="196" t="n">
        <f aca="false">BW$4*BW22</f>
        <v>0</v>
      </c>
      <c r="BX127" s="196" t="n">
        <f aca="false">BX$4*BX22</f>
        <v>0</v>
      </c>
      <c r="BY127" s="196" t="n">
        <f aca="false">BY$4*BY22</f>
        <v>0</v>
      </c>
      <c r="BZ127" s="196" t="n">
        <f aca="false">BZ$4*BZ22</f>
        <v>0</v>
      </c>
      <c r="CA127" s="197" t="n">
        <f aca="false">CA$4*CA22</f>
        <v>0</v>
      </c>
      <c r="CB127" s="194" t="str">
        <f aca="false">BQ127</f>
        <v>Alumno17</v>
      </c>
      <c r="CC127" s="195" t="n">
        <f aca="false">CC$4*CC22</f>
        <v>0</v>
      </c>
      <c r="CD127" s="196" t="n">
        <f aca="false">CD$4*CD22</f>
        <v>0</v>
      </c>
      <c r="CE127" s="196" t="n">
        <f aca="false">CE$4*CE22</f>
        <v>0</v>
      </c>
      <c r="CF127" s="196" t="n">
        <f aca="false">CF$4*CF22</f>
        <v>0</v>
      </c>
      <c r="CG127" s="196" t="n">
        <f aca="false">CG$4*CG22</f>
        <v>0</v>
      </c>
      <c r="CH127" s="196" t="n">
        <f aca="false">CH$4*CH22</f>
        <v>0</v>
      </c>
      <c r="CI127" s="196" t="n">
        <f aca="false">CI$4*CI22</f>
        <v>0</v>
      </c>
      <c r="CJ127" s="196" t="n">
        <f aca="false">CJ$4*CJ22</f>
        <v>0</v>
      </c>
      <c r="CK127" s="196" t="n">
        <f aca="false">CK$4*CK22</f>
        <v>0</v>
      </c>
      <c r="CL127" s="197" t="n">
        <f aca="false">CL$4*CL22</f>
        <v>0</v>
      </c>
      <c r="CM127" s="194" t="str">
        <f aca="false">CB127</f>
        <v>Alumno17</v>
      </c>
      <c r="CN127" s="195" t="n">
        <f aca="false">CN$4*CN22</f>
        <v>0</v>
      </c>
      <c r="CO127" s="196" t="n">
        <f aca="false">CO$4*CO22</f>
        <v>0</v>
      </c>
      <c r="CP127" s="196" t="n">
        <f aca="false">CP$4*CP22</f>
        <v>0</v>
      </c>
      <c r="CQ127" s="196" t="n">
        <f aca="false">CQ$4*CQ22</f>
        <v>0</v>
      </c>
      <c r="CR127" s="196" t="n">
        <f aca="false">CR$4*CR22</f>
        <v>0</v>
      </c>
      <c r="CS127" s="196" t="n">
        <f aca="false">CS$4*CS22</f>
        <v>0</v>
      </c>
      <c r="CT127" s="196" t="n">
        <f aca="false">CT$4*CT22</f>
        <v>0</v>
      </c>
      <c r="CU127" s="196" t="n">
        <f aca="false">CU$4*CU22</f>
        <v>0</v>
      </c>
      <c r="CV127" s="196" t="n">
        <f aca="false">CV$4*CV22</f>
        <v>0</v>
      </c>
      <c r="CW127" s="197" t="n">
        <f aca="false">CW$4*CW22</f>
        <v>0</v>
      </c>
      <c r="CX127" s="194" t="str">
        <f aca="false">CM127</f>
        <v>Alumno17</v>
      </c>
      <c r="CY127" s="195" t="n">
        <f aca="false">CY$4*CY22</f>
        <v>0</v>
      </c>
      <c r="CZ127" s="196" t="n">
        <f aca="false">CZ$4*CZ22</f>
        <v>0</v>
      </c>
      <c r="DA127" s="196" t="n">
        <f aca="false">DA$4*DA22</f>
        <v>0</v>
      </c>
      <c r="DB127" s="196" t="n">
        <f aca="false">DB$4*DB22</f>
        <v>0</v>
      </c>
      <c r="DC127" s="196" t="n">
        <f aca="false">DC$4*DC22</f>
        <v>0</v>
      </c>
      <c r="DD127" s="196" t="n">
        <f aca="false">DD$4*DD22</f>
        <v>0</v>
      </c>
      <c r="DE127" s="196" t="n">
        <f aca="false">DE$4*DE22</f>
        <v>0</v>
      </c>
      <c r="DF127" s="196" t="n">
        <f aca="false">DF$4*DF22</f>
        <v>0</v>
      </c>
      <c r="DG127" s="196" t="n">
        <f aca="false">DG$4*DG22</f>
        <v>0</v>
      </c>
      <c r="DH127" s="197" t="n">
        <f aca="false">DH$4*DH22</f>
        <v>0</v>
      </c>
      <c r="DI127" s="194" t="str">
        <f aca="false">CX127</f>
        <v>Alumno17</v>
      </c>
      <c r="DJ127" s="195" t="n">
        <f aca="false">DJ$4*DJ22</f>
        <v>0</v>
      </c>
      <c r="DK127" s="196" t="n">
        <f aca="false">DK$4*DK22</f>
        <v>0</v>
      </c>
      <c r="DL127" s="196" t="n">
        <f aca="false">DL$4*DL22</f>
        <v>0</v>
      </c>
      <c r="DM127" s="196" t="n">
        <f aca="false">DM$4*DM22</f>
        <v>0</v>
      </c>
      <c r="DN127" s="196" t="n">
        <f aca="false">DN$4*DN22</f>
        <v>0</v>
      </c>
      <c r="DO127" s="196" t="n">
        <f aca="false">DO$4*DO22</f>
        <v>0</v>
      </c>
      <c r="DP127" s="196" t="n">
        <f aca="false">DP$4*DP22</f>
        <v>0</v>
      </c>
      <c r="DQ127" s="196" t="n">
        <f aca="false">DQ$4*DQ22</f>
        <v>0</v>
      </c>
      <c r="DR127" s="196" t="n">
        <f aca="false">DR$4*DR22</f>
        <v>0</v>
      </c>
      <c r="DS127" s="197" t="n">
        <f aca="false">DS$4*DS22</f>
        <v>0</v>
      </c>
      <c r="DT127" s="194" t="str">
        <f aca="false">DI127</f>
        <v>Alumno17</v>
      </c>
      <c r="DU127" s="195" t="n">
        <f aca="false">DU$4*DU22</f>
        <v>0</v>
      </c>
      <c r="DV127" s="196" t="n">
        <f aca="false">DV$4*DV22</f>
        <v>0</v>
      </c>
      <c r="DW127" s="196" t="n">
        <f aca="false">DW$4*DW22</f>
        <v>0</v>
      </c>
      <c r="DX127" s="196" t="n">
        <f aca="false">DX$4*DX22</f>
        <v>0</v>
      </c>
      <c r="DY127" s="196" t="n">
        <f aca="false">DY$4*DY22</f>
        <v>0</v>
      </c>
      <c r="DZ127" s="196" t="n">
        <f aca="false">DZ$4*DZ22</f>
        <v>0</v>
      </c>
      <c r="EA127" s="196" t="n">
        <f aca="false">EA$4*EA22</f>
        <v>0</v>
      </c>
      <c r="EB127" s="196" t="n">
        <f aca="false">EB$4*EB22</f>
        <v>0</v>
      </c>
      <c r="EC127" s="196" t="n">
        <f aca="false">EC$4*EC22</f>
        <v>0</v>
      </c>
      <c r="ED127" s="197" t="n">
        <f aca="false">ED$4*ED22</f>
        <v>0</v>
      </c>
      <c r="EE127" s="194" t="str">
        <f aca="false">DT127</f>
        <v>Alumno17</v>
      </c>
      <c r="EF127" s="195" t="n">
        <f aca="false">EF$4*EF22</f>
        <v>0</v>
      </c>
      <c r="EG127" s="196" t="n">
        <f aca="false">EG$4*EG22</f>
        <v>0</v>
      </c>
      <c r="EH127" s="196" t="n">
        <f aca="false">EH$4*EH22</f>
        <v>0</v>
      </c>
      <c r="EI127" s="196" t="n">
        <f aca="false">EI$4*EI22</f>
        <v>0</v>
      </c>
      <c r="EJ127" s="196" t="n">
        <f aca="false">EJ$4*EJ22</f>
        <v>0</v>
      </c>
      <c r="EK127" s="196" t="n">
        <f aca="false">EK$4*EK22</f>
        <v>0</v>
      </c>
      <c r="EL127" s="196" t="n">
        <f aca="false">EL$4*EL22</f>
        <v>0</v>
      </c>
      <c r="EM127" s="196" t="n">
        <f aca="false">EM$4*EM22</f>
        <v>0</v>
      </c>
      <c r="EN127" s="196" t="n">
        <f aca="false">EN$4*EN22</f>
        <v>0</v>
      </c>
      <c r="EO127" s="197" t="n">
        <f aca="false">EO$4*EO22</f>
        <v>0</v>
      </c>
      <c r="EP127" s="194" t="str">
        <f aca="false">EE127</f>
        <v>Alumno17</v>
      </c>
      <c r="EQ127" s="195" t="n">
        <f aca="false">EQ$4*EQ22</f>
        <v>0</v>
      </c>
      <c r="ER127" s="196" t="n">
        <f aca="false">ER$4*ER22</f>
        <v>0</v>
      </c>
      <c r="ES127" s="196" t="n">
        <f aca="false">ES$4*ES22</f>
        <v>0</v>
      </c>
      <c r="ET127" s="196" t="n">
        <f aca="false">ET$4*ET22</f>
        <v>0</v>
      </c>
      <c r="EU127" s="196" t="n">
        <f aca="false">EU$4*EU22</f>
        <v>0</v>
      </c>
      <c r="EV127" s="196" t="n">
        <f aca="false">EV$4*EV22</f>
        <v>0</v>
      </c>
      <c r="EW127" s="196" t="n">
        <f aca="false">EW$4*EW22</f>
        <v>0</v>
      </c>
      <c r="EX127" s="196" t="n">
        <f aca="false">EX$4*EX22</f>
        <v>0</v>
      </c>
      <c r="EY127" s="196" t="n">
        <f aca="false">EY$4*EY22</f>
        <v>0</v>
      </c>
      <c r="EZ127" s="197" t="n">
        <f aca="false">EZ$4*EZ22</f>
        <v>0</v>
      </c>
      <c r="FA127" s="194" t="str">
        <f aca="false">EP127</f>
        <v>Alumno17</v>
      </c>
      <c r="FB127" s="195" t="n">
        <f aca="false">FB$4*FB22</f>
        <v>0</v>
      </c>
      <c r="FC127" s="196" t="n">
        <f aca="false">FC$4*FC22</f>
        <v>0</v>
      </c>
      <c r="FD127" s="196" t="n">
        <f aca="false">FD$4*FD22</f>
        <v>0</v>
      </c>
      <c r="FE127" s="196" t="n">
        <f aca="false">FE$4*FE22</f>
        <v>0</v>
      </c>
      <c r="FF127" s="196" t="n">
        <f aca="false">FF$4*FF22</f>
        <v>0</v>
      </c>
      <c r="FG127" s="196" t="n">
        <f aca="false">FG$4*FG22</f>
        <v>0</v>
      </c>
      <c r="FH127" s="196" t="n">
        <f aca="false">FH$4*FH22</f>
        <v>0</v>
      </c>
      <c r="FI127" s="196" t="n">
        <f aca="false">FI$4*FI22</f>
        <v>0</v>
      </c>
      <c r="FJ127" s="196" t="n">
        <f aca="false">FJ$4*FJ22</f>
        <v>0</v>
      </c>
      <c r="FK127" s="197" t="n">
        <f aca="false">FK$4*FK22</f>
        <v>0</v>
      </c>
      <c r="FL127" s="194" t="str">
        <f aca="false">FA127</f>
        <v>Alumno17</v>
      </c>
      <c r="FM127" s="195" t="n">
        <f aca="false">FM$4*FM22</f>
        <v>0</v>
      </c>
      <c r="FN127" s="196" t="n">
        <f aca="false">FN$4*FN22</f>
        <v>0</v>
      </c>
      <c r="FO127" s="196" t="n">
        <f aca="false">FO$4*FO22</f>
        <v>0</v>
      </c>
      <c r="FP127" s="196" t="n">
        <f aca="false">FP$4*FP22</f>
        <v>0</v>
      </c>
      <c r="FQ127" s="196" t="n">
        <f aca="false">FQ$4*FQ22</f>
        <v>0</v>
      </c>
      <c r="FR127" s="196" t="n">
        <f aca="false">FR$4*FR22</f>
        <v>0</v>
      </c>
      <c r="FS127" s="196" t="n">
        <f aca="false">FS$4*FS22</f>
        <v>0</v>
      </c>
      <c r="FT127" s="196" t="n">
        <f aca="false">FT$4*FT22</f>
        <v>0</v>
      </c>
      <c r="FU127" s="196" t="n">
        <f aca="false">FU$4*FU22</f>
        <v>0</v>
      </c>
      <c r="FV127" s="197" t="n">
        <f aca="false">FV$4*FV22</f>
        <v>0</v>
      </c>
      <c r="FW127" s="194" t="str">
        <f aca="false">FL127</f>
        <v>Alumno17</v>
      </c>
      <c r="FX127" s="195" t="n">
        <f aca="false">FX$4*FX22</f>
        <v>0</v>
      </c>
      <c r="FY127" s="196" t="n">
        <f aca="false">FY$4*FY22</f>
        <v>0</v>
      </c>
      <c r="FZ127" s="196" t="n">
        <f aca="false">FZ$4*FZ22</f>
        <v>0</v>
      </c>
      <c r="GA127" s="196" t="n">
        <f aca="false">GA$4*GA22</f>
        <v>0</v>
      </c>
      <c r="GB127" s="196" t="n">
        <f aca="false">GB$4*GB22</f>
        <v>0</v>
      </c>
      <c r="GC127" s="196" t="n">
        <f aca="false">GC$4*GC22</f>
        <v>0</v>
      </c>
      <c r="GD127" s="196" t="n">
        <f aca="false">GD$4*GD22</f>
        <v>0</v>
      </c>
      <c r="GE127" s="196" t="n">
        <f aca="false">GE$4*GE22</f>
        <v>0</v>
      </c>
      <c r="GF127" s="196" t="n">
        <f aca="false">GF$4*GF22</f>
        <v>0</v>
      </c>
      <c r="GG127" s="197" t="n">
        <f aca="false">GG$4*GG22</f>
        <v>0</v>
      </c>
      <c r="GH127" s="194" t="str">
        <f aca="false">FW127</f>
        <v>Alumno17</v>
      </c>
      <c r="GI127" s="195" t="n">
        <f aca="false">GI$4*GI22</f>
        <v>0</v>
      </c>
      <c r="GJ127" s="196" t="n">
        <f aca="false">GJ$4*GJ22</f>
        <v>0</v>
      </c>
      <c r="GK127" s="196" t="n">
        <f aca="false">GK$4*GK22</f>
        <v>0</v>
      </c>
      <c r="GL127" s="196" t="n">
        <f aca="false">GL$4*GL22</f>
        <v>0</v>
      </c>
      <c r="GM127" s="196" t="n">
        <f aca="false">GM$4*GM22</f>
        <v>0</v>
      </c>
      <c r="GN127" s="196" t="n">
        <f aca="false">GN$4*GN22</f>
        <v>0</v>
      </c>
      <c r="GO127" s="196" t="n">
        <f aca="false">GO$4*GO22</f>
        <v>0</v>
      </c>
      <c r="GP127" s="196" t="n">
        <f aca="false">GP$4*GP22</f>
        <v>0</v>
      </c>
      <c r="GQ127" s="196" t="n">
        <f aca="false">GQ$4*GQ22</f>
        <v>0</v>
      </c>
      <c r="GR127" s="197" t="n">
        <f aca="false">GR$4*GR22</f>
        <v>0</v>
      </c>
      <c r="GS127" s="194" t="str">
        <f aca="false">GH127</f>
        <v>Alumno17</v>
      </c>
      <c r="GT127" s="195" t="n">
        <f aca="false">GT$4*GT22</f>
        <v>0</v>
      </c>
      <c r="GU127" s="196" t="n">
        <f aca="false">GU$4*GU22</f>
        <v>0</v>
      </c>
      <c r="GV127" s="196" t="n">
        <f aca="false">GV$4*GV22</f>
        <v>0</v>
      </c>
      <c r="GW127" s="196" t="n">
        <f aca="false">GW$4*GW22</f>
        <v>0</v>
      </c>
      <c r="GX127" s="196" t="n">
        <f aca="false">GX$4*GX22</f>
        <v>0</v>
      </c>
      <c r="GY127" s="196" t="n">
        <f aca="false">GY$4*GY22</f>
        <v>0</v>
      </c>
      <c r="GZ127" s="196" t="n">
        <f aca="false">GZ$4*GZ22</f>
        <v>0</v>
      </c>
      <c r="HA127" s="196" t="n">
        <f aca="false">HA$4*HA22</f>
        <v>0</v>
      </c>
      <c r="HB127" s="196" t="n">
        <f aca="false">HB$4*HB22</f>
        <v>0</v>
      </c>
      <c r="HC127" s="197" t="n">
        <f aca="false">HC$4*HC22</f>
        <v>0</v>
      </c>
      <c r="HD127" s="194" t="str">
        <f aca="false">GS127</f>
        <v>Alumno17</v>
      </c>
      <c r="HE127" s="195" t="n">
        <f aca="false">HE$4*HE22</f>
        <v>0</v>
      </c>
      <c r="HF127" s="196" t="n">
        <f aca="false">HF$4*HF22</f>
        <v>0</v>
      </c>
      <c r="HG127" s="196" t="n">
        <f aca="false">HG$4*HG22</f>
        <v>0</v>
      </c>
      <c r="HH127" s="196" t="n">
        <f aca="false">HH$4*HH22</f>
        <v>0</v>
      </c>
      <c r="HI127" s="196" t="n">
        <f aca="false">HI$4*HI22</f>
        <v>0</v>
      </c>
      <c r="HJ127" s="196" t="n">
        <f aca="false">HJ$4*HJ22</f>
        <v>0</v>
      </c>
      <c r="HK127" s="196" t="n">
        <f aca="false">HK$4*HK22</f>
        <v>0</v>
      </c>
      <c r="HL127" s="196" t="n">
        <f aca="false">HL$4*HL22</f>
        <v>0</v>
      </c>
      <c r="HM127" s="196" t="n">
        <f aca="false">HM$4*HM22</f>
        <v>0</v>
      </c>
      <c r="HN127" s="197" t="n">
        <f aca="false">HN$4*HN22</f>
        <v>0</v>
      </c>
      <c r="HO127" s="194" t="str">
        <f aca="false">HD127</f>
        <v>Alumno17</v>
      </c>
      <c r="HP127" s="195" t="n">
        <f aca="false">HP$4*HP22</f>
        <v>0</v>
      </c>
      <c r="HQ127" s="196" t="n">
        <f aca="false">HQ$4*HQ22</f>
        <v>0</v>
      </c>
      <c r="HR127" s="196" t="n">
        <f aca="false">HR$4*HR22</f>
        <v>0</v>
      </c>
      <c r="HS127" s="196" t="n">
        <f aca="false">HS$4*HS22</f>
        <v>0</v>
      </c>
      <c r="HT127" s="196" t="n">
        <f aca="false">HT$4*HT22</f>
        <v>0</v>
      </c>
      <c r="HU127" s="196" t="n">
        <f aca="false">HU$4*HU22</f>
        <v>0</v>
      </c>
      <c r="HV127" s="196" t="n">
        <f aca="false">HV$4*HV22</f>
        <v>0</v>
      </c>
      <c r="HW127" s="196" t="n">
        <f aca="false">HW$4*HW22</f>
        <v>0</v>
      </c>
      <c r="HX127" s="196" t="n">
        <f aca="false">HX$4*HX22</f>
        <v>0</v>
      </c>
      <c r="HY127" s="197" t="n">
        <f aca="false">HY$4*HY22</f>
        <v>0</v>
      </c>
      <c r="HZ127" s="194" t="str">
        <f aca="false">HO127</f>
        <v>Alumno17</v>
      </c>
      <c r="IA127" s="195" t="n">
        <f aca="false">IA$4*IA22</f>
        <v>0</v>
      </c>
      <c r="IB127" s="196" t="n">
        <f aca="false">IB$4*IB22</f>
        <v>0</v>
      </c>
      <c r="IC127" s="196" t="n">
        <f aca="false">IC$4*IC22</f>
        <v>0</v>
      </c>
      <c r="ID127" s="196" t="n">
        <f aca="false">ID$4*ID22</f>
        <v>0</v>
      </c>
      <c r="IE127" s="196" t="n">
        <f aca="false">IE$4*IE22</f>
        <v>0</v>
      </c>
      <c r="IF127" s="196" t="n">
        <f aca="false">IF$4*IF22</f>
        <v>0</v>
      </c>
      <c r="IG127" s="196" t="n">
        <f aca="false">IG$4*IG22</f>
        <v>0</v>
      </c>
      <c r="IH127" s="196" t="n">
        <f aca="false">IH$4*IH22</f>
        <v>0</v>
      </c>
      <c r="II127" s="196" t="n">
        <f aca="false">II$4*II22</f>
        <v>0</v>
      </c>
      <c r="IJ127" s="197" t="n">
        <f aca="false">IJ$4*IJ22</f>
        <v>0</v>
      </c>
      <c r="IK127" s="194" t="str">
        <f aca="false">HZ127</f>
        <v>Alumno17</v>
      </c>
      <c r="IL127" s="195" t="n">
        <f aca="false">IL$4*IL22</f>
        <v>0</v>
      </c>
      <c r="IM127" s="196" t="n">
        <f aca="false">IM$4*IM22</f>
        <v>0</v>
      </c>
      <c r="IN127" s="196" t="n">
        <f aca="false">IN$4*IN22</f>
        <v>0</v>
      </c>
      <c r="IO127" s="196" t="n">
        <f aca="false">IO$4*IO22</f>
        <v>0</v>
      </c>
      <c r="IP127" s="196" t="n">
        <f aca="false">IP$4*IP22</f>
        <v>0</v>
      </c>
      <c r="IQ127" s="196" t="n">
        <f aca="false">IQ$4*IQ22</f>
        <v>0</v>
      </c>
      <c r="IR127" s="196" t="n">
        <f aca="false">IR$4*IR22</f>
        <v>0</v>
      </c>
      <c r="IS127" s="196" t="n">
        <f aca="false">IS$4*IS22</f>
        <v>0</v>
      </c>
      <c r="IT127" s="196" t="n">
        <f aca="false">IT$4*IT22</f>
        <v>0</v>
      </c>
      <c r="IU127" s="197" t="n">
        <f aca="false">IU$4*IU22</f>
        <v>0</v>
      </c>
      <c r="IV127" s="194" t="str">
        <f aca="false">IK127</f>
        <v>Alumno17</v>
      </c>
      <c r="IW127" s="195" t="n">
        <f aca="false">IW$4*IW22</f>
        <v>0</v>
      </c>
      <c r="IX127" s="196" t="n">
        <f aca="false">IX$4*IX22</f>
        <v>0</v>
      </c>
      <c r="IY127" s="196" t="n">
        <f aca="false">IY$4*IY22</f>
        <v>0</v>
      </c>
      <c r="IZ127" s="196" t="n">
        <f aca="false">IZ$4*IZ22</f>
        <v>0</v>
      </c>
      <c r="JA127" s="196" t="n">
        <f aca="false">JA$4*JA22</f>
        <v>0</v>
      </c>
      <c r="JB127" s="196" t="n">
        <f aca="false">JB$4*JB22</f>
        <v>0</v>
      </c>
      <c r="JC127" s="196" t="n">
        <f aca="false">JC$4*JC22</f>
        <v>0</v>
      </c>
      <c r="JD127" s="196" t="n">
        <f aca="false">JD$4*JD22</f>
        <v>0</v>
      </c>
      <c r="JE127" s="196" t="n">
        <f aca="false">JE$4*JE22</f>
        <v>0</v>
      </c>
      <c r="JF127" s="197" t="n">
        <f aca="false">JF$4*JF22</f>
        <v>0</v>
      </c>
      <c r="JG127" s="194" t="str">
        <f aca="false">IV127</f>
        <v>Alumno17</v>
      </c>
      <c r="JH127" s="195" t="n">
        <f aca="false">JH$4*JH22</f>
        <v>0</v>
      </c>
      <c r="JI127" s="196" t="n">
        <f aca="false">JI$4*JI22</f>
        <v>0</v>
      </c>
      <c r="JJ127" s="196" t="n">
        <f aca="false">JJ$4*JJ22</f>
        <v>0</v>
      </c>
      <c r="JK127" s="196" t="n">
        <f aca="false">JK$4*JK22</f>
        <v>0</v>
      </c>
      <c r="JL127" s="196" t="n">
        <f aca="false">JL$4*JL22</f>
        <v>0</v>
      </c>
      <c r="JM127" s="196" t="n">
        <f aca="false">JM$4*JM22</f>
        <v>0</v>
      </c>
      <c r="JN127" s="196" t="n">
        <f aca="false">JN$4*JN22</f>
        <v>0</v>
      </c>
      <c r="JO127" s="196" t="n">
        <f aca="false">JO$4*JO22</f>
        <v>0</v>
      </c>
      <c r="JP127" s="196" t="n">
        <f aca="false">JP$4*JP22</f>
        <v>0</v>
      </c>
      <c r="JQ127" s="197" t="n">
        <f aca="false">JQ$4*JQ22</f>
        <v>0</v>
      </c>
      <c r="JR127" s="194" t="str">
        <f aca="false">JG127</f>
        <v>Alumno17</v>
      </c>
      <c r="JS127" s="195" t="n">
        <f aca="false">JS$4*JS22</f>
        <v>0</v>
      </c>
      <c r="JT127" s="196" t="n">
        <f aca="false">JT$4*JT22</f>
        <v>0</v>
      </c>
      <c r="JU127" s="196" t="n">
        <f aca="false">JU$4*JU22</f>
        <v>0</v>
      </c>
      <c r="JV127" s="196" t="n">
        <f aca="false">JV$4*JV22</f>
        <v>0</v>
      </c>
      <c r="JW127" s="196" t="n">
        <f aca="false">JW$4*JW22</f>
        <v>0</v>
      </c>
      <c r="JX127" s="196" t="n">
        <f aca="false">JX$4*JX22</f>
        <v>0</v>
      </c>
      <c r="JY127" s="196" t="n">
        <f aca="false">JY$4*JY22</f>
        <v>0</v>
      </c>
      <c r="JZ127" s="196" t="n">
        <f aca="false">JZ$4*JZ22</f>
        <v>0</v>
      </c>
      <c r="KA127" s="196" t="n">
        <f aca="false">KA$4*KA22</f>
        <v>0</v>
      </c>
      <c r="KB127" s="197" t="n">
        <f aca="false">KB$4*KB22</f>
        <v>0</v>
      </c>
      <c r="KC127" s="194" t="str">
        <f aca="false">JR127</f>
        <v>Alumno17</v>
      </c>
      <c r="KD127" s="195" t="n">
        <f aca="false">KD$4*KD22</f>
        <v>0</v>
      </c>
      <c r="KE127" s="196" t="n">
        <f aca="false">KE$4*KE22</f>
        <v>0</v>
      </c>
      <c r="KF127" s="196" t="n">
        <f aca="false">KF$4*KF22</f>
        <v>0</v>
      </c>
      <c r="KG127" s="196" t="n">
        <f aca="false">KG$4*KG22</f>
        <v>0</v>
      </c>
      <c r="KH127" s="196" t="n">
        <f aca="false">KH$4*KH22</f>
        <v>0</v>
      </c>
      <c r="KI127" s="196" t="n">
        <f aca="false">KI$4*KI22</f>
        <v>0</v>
      </c>
      <c r="KJ127" s="196" t="n">
        <f aca="false">KJ$4*KJ22</f>
        <v>0</v>
      </c>
      <c r="KK127" s="196" t="n">
        <f aca="false">KK$4*KK22</f>
        <v>0</v>
      </c>
      <c r="KL127" s="196" t="n">
        <f aca="false">KL$4*KL22</f>
        <v>0</v>
      </c>
      <c r="KM127" s="197" t="n">
        <f aca="false">KM$4*KM22</f>
        <v>0</v>
      </c>
      <c r="KN127" s="194" t="str">
        <f aca="false">KC127</f>
        <v>Alumno17</v>
      </c>
      <c r="KO127" s="195" t="n">
        <f aca="false">KO$4*KO22</f>
        <v>0</v>
      </c>
      <c r="KP127" s="196" t="n">
        <f aca="false">KP$4*KP22</f>
        <v>0</v>
      </c>
      <c r="KQ127" s="196" t="n">
        <f aca="false">KQ$4*KQ22</f>
        <v>0</v>
      </c>
      <c r="KR127" s="196" t="n">
        <f aca="false">KR$4*KR22</f>
        <v>0</v>
      </c>
      <c r="KS127" s="196" t="n">
        <f aca="false">KS$4*KS22</f>
        <v>0</v>
      </c>
      <c r="KT127" s="196" t="n">
        <f aca="false">KT$4*KT22</f>
        <v>0</v>
      </c>
      <c r="KU127" s="196" t="n">
        <f aca="false">KU$4*KU22</f>
        <v>0</v>
      </c>
      <c r="KV127" s="196" t="n">
        <f aca="false">KV$4*KV22</f>
        <v>0</v>
      </c>
      <c r="KW127" s="196" t="n">
        <f aca="false">KW$4*KW22</f>
        <v>0</v>
      </c>
      <c r="KX127" s="197" t="n">
        <f aca="false">KX$4*KX22</f>
        <v>0</v>
      </c>
      <c r="KY127" s="194" t="str">
        <f aca="false">KN127</f>
        <v>Alumno17</v>
      </c>
      <c r="KZ127" s="195" t="n">
        <f aca="false">KZ$4*KZ22</f>
        <v>0</v>
      </c>
      <c r="LA127" s="196" t="n">
        <f aca="false">LA$4*LA22</f>
        <v>0</v>
      </c>
      <c r="LB127" s="196" t="n">
        <f aca="false">LB$4*LB22</f>
        <v>0</v>
      </c>
      <c r="LC127" s="196" t="n">
        <f aca="false">LC$4*LC22</f>
        <v>0</v>
      </c>
      <c r="LD127" s="196" t="n">
        <f aca="false">LD$4*LD22</f>
        <v>0</v>
      </c>
      <c r="LE127" s="196" t="n">
        <f aca="false">LE$4*LE22</f>
        <v>0</v>
      </c>
      <c r="LF127" s="196" t="n">
        <f aca="false">LF$4*LF22</f>
        <v>0</v>
      </c>
      <c r="LG127" s="196" t="n">
        <f aca="false">LG$4*LG22</f>
        <v>0</v>
      </c>
      <c r="LH127" s="196" t="n">
        <f aca="false">LH$4*LH22</f>
        <v>0</v>
      </c>
      <c r="LI127" s="197" t="n">
        <f aca="false">LI$4*LI22</f>
        <v>0</v>
      </c>
      <c r="LJ127" s="194" t="str">
        <f aca="false">KY127</f>
        <v>Alumno17</v>
      </c>
      <c r="LK127" s="195" t="n">
        <f aca="false">LK$4*LK22</f>
        <v>0</v>
      </c>
      <c r="LL127" s="196" t="n">
        <f aca="false">LL$4*LL22</f>
        <v>0</v>
      </c>
      <c r="LM127" s="196" t="n">
        <f aca="false">LM$4*LM22</f>
        <v>0</v>
      </c>
      <c r="LN127" s="196" t="n">
        <f aca="false">LN$4*LN22</f>
        <v>0</v>
      </c>
      <c r="LO127" s="196" t="n">
        <f aca="false">LO$4*LO22</f>
        <v>0</v>
      </c>
      <c r="LP127" s="196" t="n">
        <f aca="false">LP$4*LP22</f>
        <v>0</v>
      </c>
      <c r="LQ127" s="196" t="n">
        <f aca="false">LQ$4*LQ22</f>
        <v>0</v>
      </c>
      <c r="LR127" s="196" t="n">
        <f aca="false">LR$4*LR22</f>
        <v>0</v>
      </c>
      <c r="LS127" s="196" t="n">
        <f aca="false">LS$4*LS22</f>
        <v>0</v>
      </c>
      <c r="LT127" s="197" t="n">
        <f aca="false">LT$4*LT22</f>
        <v>0</v>
      </c>
    </row>
    <row r="128" customFormat="false" ht="15" hidden="true" customHeight="false" outlineLevel="0" collapsed="false">
      <c r="C128" s="194" t="str">
        <f aca="false">C79</f>
        <v>Alumno18</v>
      </c>
      <c r="D128" s="195" t="n">
        <f aca="false">D$4*D23</f>
        <v>1.5</v>
      </c>
      <c r="E128" s="196" t="n">
        <f aca="false">E$4*E23</f>
        <v>1.35</v>
      </c>
      <c r="F128" s="196" t="n">
        <f aca="false">F$4*F23</f>
        <v>2</v>
      </c>
      <c r="G128" s="196" t="n">
        <f aca="false">G$4*G23</f>
        <v>0.9</v>
      </c>
      <c r="H128" s="196" t="n">
        <f aca="false">H$4*H23</f>
        <v>1.5</v>
      </c>
      <c r="I128" s="196" t="n">
        <f aca="false">I$4*I23</f>
        <v>1.5</v>
      </c>
      <c r="J128" s="196" t="n">
        <f aca="false">J$4*J23</f>
        <v>0.9</v>
      </c>
      <c r="K128" s="196" t="n">
        <f aca="false">K$4*K23</f>
        <v>0</v>
      </c>
      <c r="L128" s="196" t="n">
        <f aca="false">L$4*L23</f>
        <v>0</v>
      </c>
      <c r="M128" s="197" t="n">
        <f aca="false">M$4*M23</f>
        <v>0</v>
      </c>
      <c r="N128" s="194" t="str">
        <f aca="false">C128</f>
        <v>Alumno18</v>
      </c>
      <c r="O128" s="195" t="n">
        <f aca="false">O$4*O23</f>
        <v>2</v>
      </c>
      <c r="P128" s="196" t="n">
        <f aca="false">P$4*P23</f>
        <v>1.8</v>
      </c>
      <c r="Q128" s="196" t="n">
        <f aca="false">Q$4*Q23</f>
        <v>2</v>
      </c>
      <c r="R128" s="196" t="n">
        <f aca="false">R$4*R23</f>
        <v>1.8</v>
      </c>
      <c r="S128" s="196" t="n">
        <f aca="false">S$4*S23</f>
        <v>2</v>
      </c>
      <c r="T128" s="196" t="n">
        <f aca="false">T$4*T23</f>
        <v>0</v>
      </c>
      <c r="U128" s="196" t="n">
        <f aca="false">U$4*U23</f>
        <v>0</v>
      </c>
      <c r="V128" s="196" t="n">
        <f aca="false">V$4*V23</f>
        <v>0</v>
      </c>
      <c r="W128" s="196" t="n">
        <f aca="false">W$4*W23</f>
        <v>0</v>
      </c>
      <c r="X128" s="197" t="n">
        <f aca="false">X$4*X23</f>
        <v>0</v>
      </c>
      <c r="Y128" s="194" t="str">
        <f aca="false">N128</f>
        <v>Alumno18</v>
      </c>
      <c r="Z128" s="195" t="n">
        <f aca="false">Z$4*Z23</f>
        <v>0.8</v>
      </c>
      <c r="AA128" s="196" t="n">
        <f aca="false">AA$4*AA23</f>
        <v>0.6</v>
      </c>
      <c r="AB128" s="196" t="n">
        <f aca="false">AB$4*AB23</f>
        <v>1</v>
      </c>
      <c r="AC128" s="196" t="n">
        <f aca="false">AC$4*AC23</f>
        <v>1.2</v>
      </c>
      <c r="AD128" s="196" t="n">
        <f aca="false">AD$4*AD23</f>
        <v>0.8</v>
      </c>
      <c r="AE128" s="196" t="n">
        <f aca="false">AE$4*AE23</f>
        <v>0</v>
      </c>
      <c r="AF128" s="196" t="n">
        <f aca="false">AF$4*AF23</f>
        <v>0</v>
      </c>
      <c r="AG128" s="196" t="n">
        <f aca="false">AG$4*AG23</f>
        <v>0</v>
      </c>
      <c r="AH128" s="196" t="n">
        <f aca="false">AH$4*AH23</f>
        <v>0</v>
      </c>
      <c r="AI128" s="197" t="n">
        <f aca="false">AI$4*AI23</f>
        <v>0</v>
      </c>
      <c r="AJ128" s="194" t="str">
        <f aca="false">Y128</f>
        <v>Alumno18</v>
      </c>
      <c r="AK128" s="195" t="n">
        <f aca="false">AK$4*AK23</f>
        <v>0.8</v>
      </c>
      <c r="AL128" s="196" t="n">
        <f aca="false">AL$4*AL23</f>
        <v>0.6</v>
      </c>
      <c r="AM128" s="196" t="n">
        <f aca="false">AM$4*AM23</f>
        <v>1</v>
      </c>
      <c r="AN128" s="196" t="n">
        <f aca="false">AN$4*AN23</f>
        <v>1.2</v>
      </c>
      <c r="AO128" s="196" t="n">
        <f aca="false">AO$4*AO23</f>
        <v>0.8</v>
      </c>
      <c r="AP128" s="196" t="n">
        <f aca="false">AP$4*AP23</f>
        <v>0</v>
      </c>
      <c r="AQ128" s="196" t="n">
        <f aca="false">AQ$4*AQ23</f>
        <v>0</v>
      </c>
      <c r="AR128" s="196" t="n">
        <f aca="false">AR$4*AR23</f>
        <v>0</v>
      </c>
      <c r="AS128" s="196" t="n">
        <f aca="false">AS$4*AS23</f>
        <v>0</v>
      </c>
      <c r="AT128" s="197" t="n">
        <f aca="false">AT$4*AT23</f>
        <v>0</v>
      </c>
      <c r="AU128" s="194" t="str">
        <f aca="false">AJ128</f>
        <v>Alumno18</v>
      </c>
      <c r="AV128" s="195" t="n">
        <f aca="false">AV$4*AV23</f>
        <v>1</v>
      </c>
      <c r="AW128" s="196" t="n">
        <f aca="false">AW$4*AW23</f>
        <v>1.8</v>
      </c>
      <c r="AX128" s="196" t="n">
        <f aca="false">AX$4*AX23</f>
        <v>2</v>
      </c>
      <c r="AY128" s="196" t="n">
        <f aca="false">AY$4*AY23</f>
        <v>2.7</v>
      </c>
      <c r="AZ128" s="196" t="n">
        <f aca="false">AZ$4*AZ23</f>
        <v>2</v>
      </c>
      <c r="BA128" s="196" t="n">
        <f aca="false">BA$4*BA23</f>
        <v>0</v>
      </c>
      <c r="BB128" s="196" t="n">
        <f aca="false">BB$4*BB23</f>
        <v>0</v>
      </c>
      <c r="BC128" s="196" t="n">
        <f aca="false">BC$4*BC23</f>
        <v>0</v>
      </c>
      <c r="BD128" s="196" t="n">
        <f aca="false">BD$4*BD23</f>
        <v>0</v>
      </c>
      <c r="BE128" s="197" t="n">
        <f aca="false">BE$4*BE23</f>
        <v>0</v>
      </c>
      <c r="BF128" s="194" t="str">
        <f aca="false">AU128</f>
        <v>Alumno18</v>
      </c>
      <c r="BG128" s="195" t="n">
        <f aca="false">BG$4*BG23</f>
        <v>1</v>
      </c>
      <c r="BH128" s="196" t="n">
        <f aca="false">BH$4*BH23</f>
        <v>1.8</v>
      </c>
      <c r="BI128" s="196" t="n">
        <f aca="false">BI$4*BI23</f>
        <v>2</v>
      </c>
      <c r="BJ128" s="196" t="n">
        <f aca="false">BJ$4*BJ23</f>
        <v>1.8</v>
      </c>
      <c r="BK128" s="196" t="n">
        <f aca="false">BK$4*BK23</f>
        <v>3</v>
      </c>
      <c r="BL128" s="196" t="n">
        <f aca="false">BL$4*BL23</f>
        <v>0</v>
      </c>
      <c r="BM128" s="196" t="n">
        <f aca="false">BM$4*BM23</f>
        <v>0</v>
      </c>
      <c r="BN128" s="196" t="n">
        <f aca="false">BN$4*BN23</f>
        <v>0</v>
      </c>
      <c r="BO128" s="196" t="n">
        <f aca="false">BO$4*BO23</f>
        <v>0</v>
      </c>
      <c r="BP128" s="197" t="n">
        <f aca="false">BP$4*BP23</f>
        <v>0</v>
      </c>
      <c r="BQ128" s="194" t="str">
        <f aca="false">BF128</f>
        <v>Alumno18</v>
      </c>
      <c r="BR128" s="195" t="n">
        <f aca="false">BR$4*BR23</f>
        <v>1.6</v>
      </c>
      <c r="BS128" s="196" t="n">
        <f aca="false">BS$4*BS23</f>
        <v>0.5</v>
      </c>
      <c r="BT128" s="196" t="n">
        <f aca="false">BT$4*BT23</f>
        <v>1.4</v>
      </c>
      <c r="BU128" s="196" t="n">
        <f aca="false">BU$4*BU23</f>
        <v>0.8</v>
      </c>
      <c r="BV128" s="196" t="n">
        <f aca="false">BV$4*BV23</f>
        <v>2.7</v>
      </c>
      <c r="BW128" s="196" t="n">
        <f aca="false">BW$4*BW23</f>
        <v>0</v>
      </c>
      <c r="BX128" s="196" t="n">
        <f aca="false">BX$4*BX23</f>
        <v>0</v>
      </c>
      <c r="BY128" s="196" t="n">
        <f aca="false">BY$4*BY23</f>
        <v>0</v>
      </c>
      <c r="BZ128" s="196" t="n">
        <f aca="false">BZ$4*BZ23</f>
        <v>0</v>
      </c>
      <c r="CA128" s="197" t="n">
        <f aca="false">CA$4*CA23</f>
        <v>0</v>
      </c>
      <c r="CB128" s="194" t="str">
        <f aca="false">BQ128</f>
        <v>Alumno18</v>
      </c>
      <c r="CC128" s="195" t="n">
        <f aca="false">CC$4*CC23</f>
        <v>0</v>
      </c>
      <c r="CD128" s="196" t="n">
        <f aca="false">CD$4*CD23</f>
        <v>0</v>
      </c>
      <c r="CE128" s="196" t="n">
        <f aca="false">CE$4*CE23</f>
        <v>0</v>
      </c>
      <c r="CF128" s="196" t="n">
        <f aca="false">CF$4*CF23</f>
        <v>0</v>
      </c>
      <c r="CG128" s="196" t="n">
        <f aca="false">CG$4*CG23</f>
        <v>0</v>
      </c>
      <c r="CH128" s="196" t="n">
        <f aca="false">CH$4*CH23</f>
        <v>0</v>
      </c>
      <c r="CI128" s="196" t="n">
        <f aca="false">CI$4*CI23</f>
        <v>0</v>
      </c>
      <c r="CJ128" s="196" t="n">
        <f aca="false">CJ$4*CJ23</f>
        <v>0</v>
      </c>
      <c r="CK128" s="196" t="n">
        <f aca="false">CK$4*CK23</f>
        <v>0</v>
      </c>
      <c r="CL128" s="197" t="n">
        <f aca="false">CL$4*CL23</f>
        <v>0</v>
      </c>
      <c r="CM128" s="194" t="str">
        <f aca="false">CB128</f>
        <v>Alumno18</v>
      </c>
      <c r="CN128" s="195" t="n">
        <f aca="false">CN$4*CN23</f>
        <v>0</v>
      </c>
      <c r="CO128" s="196" t="n">
        <f aca="false">CO$4*CO23</f>
        <v>0</v>
      </c>
      <c r="CP128" s="196" t="n">
        <f aca="false">CP$4*CP23</f>
        <v>0</v>
      </c>
      <c r="CQ128" s="196" t="n">
        <f aca="false">CQ$4*CQ23</f>
        <v>0</v>
      </c>
      <c r="CR128" s="196" t="n">
        <f aca="false">CR$4*CR23</f>
        <v>0</v>
      </c>
      <c r="CS128" s="196" t="n">
        <f aca="false">CS$4*CS23</f>
        <v>0</v>
      </c>
      <c r="CT128" s="196" t="n">
        <f aca="false">CT$4*CT23</f>
        <v>0</v>
      </c>
      <c r="CU128" s="196" t="n">
        <f aca="false">CU$4*CU23</f>
        <v>0</v>
      </c>
      <c r="CV128" s="196" t="n">
        <f aca="false">CV$4*CV23</f>
        <v>0</v>
      </c>
      <c r="CW128" s="197" t="n">
        <f aca="false">CW$4*CW23</f>
        <v>0</v>
      </c>
      <c r="CX128" s="194" t="str">
        <f aca="false">CM128</f>
        <v>Alumno18</v>
      </c>
      <c r="CY128" s="195" t="n">
        <f aca="false">CY$4*CY23</f>
        <v>0</v>
      </c>
      <c r="CZ128" s="196" t="n">
        <f aca="false">CZ$4*CZ23</f>
        <v>0</v>
      </c>
      <c r="DA128" s="196" t="n">
        <f aca="false">DA$4*DA23</f>
        <v>0</v>
      </c>
      <c r="DB128" s="196" t="n">
        <f aca="false">DB$4*DB23</f>
        <v>0</v>
      </c>
      <c r="DC128" s="196" t="n">
        <f aca="false">DC$4*DC23</f>
        <v>0</v>
      </c>
      <c r="DD128" s="196" t="n">
        <f aca="false">DD$4*DD23</f>
        <v>0</v>
      </c>
      <c r="DE128" s="196" t="n">
        <f aca="false">DE$4*DE23</f>
        <v>0</v>
      </c>
      <c r="DF128" s="196" t="n">
        <f aca="false">DF$4*DF23</f>
        <v>0</v>
      </c>
      <c r="DG128" s="196" t="n">
        <f aca="false">DG$4*DG23</f>
        <v>0</v>
      </c>
      <c r="DH128" s="197" t="n">
        <f aca="false">DH$4*DH23</f>
        <v>0</v>
      </c>
      <c r="DI128" s="194" t="str">
        <f aca="false">CX128</f>
        <v>Alumno18</v>
      </c>
      <c r="DJ128" s="195" t="n">
        <f aca="false">DJ$4*DJ23</f>
        <v>0</v>
      </c>
      <c r="DK128" s="196" t="n">
        <f aca="false">DK$4*DK23</f>
        <v>0</v>
      </c>
      <c r="DL128" s="196" t="n">
        <f aca="false">DL$4*DL23</f>
        <v>0</v>
      </c>
      <c r="DM128" s="196" t="n">
        <f aca="false">DM$4*DM23</f>
        <v>0</v>
      </c>
      <c r="DN128" s="196" t="n">
        <f aca="false">DN$4*DN23</f>
        <v>0</v>
      </c>
      <c r="DO128" s="196" t="n">
        <f aca="false">DO$4*DO23</f>
        <v>0</v>
      </c>
      <c r="DP128" s="196" t="n">
        <f aca="false">DP$4*DP23</f>
        <v>0</v>
      </c>
      <c r="DQ128" s="196" t="n">
        <f aca="false">DQ$4*DQ23</f>
        <v>0</v>
      </c>
      <c r="DR128" s="196" t="n">
        <f aca="false">DR$4*DR23</f>
        <v>0</v>
      </c>
      <c r="DS128" s="197" t="n">
        <f aca="false">DS$4*DS23</f>
        <v>0</v>
      </c>
      <c r="DT128" s="194" t="str">
        <f aca="false">DI128</f>
        <v>Alumno18</v>
      </c>
      <c r="DU128" s="195" t="n">
        <f aca="false">DU$4*DU23</f>
        <v>0</v>
      </c>
      <c r="DV128" s="196" t="n">
        <f aca="false">DV$4*DV23</f>
        <v>0</v>
      </c>
      <c r="DW128" s="196" t="n">
        <f aca="false">DW$4*DW23</f>
        <v>0</v>
      </c>
      <c r="DX128" s="196" t="n">
        <f aca="false">DX$4*DX23</f>
        <v>0</v>
      </c>
      <c r="DY128" s="196" t="n">
        <f aca="false">DY$4*DY23</f>
        <v>0</v>
      </c>
      <c r="DZ128" s="196" t="n">
        <f aca="false">DZ$4*DZ23</f>
        <v>0</v>
      </c>
      <c r="EA128" s="196" t="n">
        <f aca="false">EA$4*EA23</f>
        <v>0</v>
      </c>
      <c r="EB128" s="196" t="n">
        <f aca="false">EB$4*EB23</f>
        <v>0</v>
      </c>
      <c r="EC128" s="196" t="n">
        <f aca="false">EC$4*EC23</f>
        <v>0</v>
      </c>
      <c r="ED128" s="197" t="n">
        <f aca="false">ED$4*ED23</f>
        <v>0</v>
      </c>
      <c r="EE128" s="194" t="str">
        <f aca="false">DT128</f>
        <v>Alumno18</v>
      </c>
      <c r="EF128" s="195" t="n">
        <f aca="false">EF$4*EF23</f>
        <v>0</v>
      </c>
      <c r="EG128" s="196" t="n">
        <f aca="false">EG$4*EG23</f>
        <v>0</v>
      </c>
      <c r="EH128" s="196" t="n">
        <f aca="false">EH$4*EH23</f>
        <v>0</v>
      </c>
      <c r="EI128" s="196" t="n">
        <f aca="false">EI$4*EI23</f>
        <v>0</v>
      </c>
      <c r="EJ128" s="196" t="n">
        <f aca="false">EJ$4*EJ23</f>
        <v>0</v>
      </c>
      <c r="EK128" s="196" t="n">
        <f aca="false">EK$4*EK23</f>
        <v>0</v>
      </c>
      <c r="EL128" s="196" t="n">
        <f aca="false">EL$4*EL23</f>
        <v>0</v>
      </c>
      <c r="EM128" s="196" t="n">
        <f aca="false">EM$4*EM23</f>
        <v>0</v>
      </c>
      <c r="EN128" s="196" t="n">
        <f aca="false">EN$4*EN23</f>
        <v>0</v>
      </c>
      <c r="EO128" s="197" t="n">
        <f aca="false">EO$4*EO23</f>
        <v>0</v>
      </c>
      <c r="EP128" s="194" t="str">
        <f aca="false">EE128</f>
        <v>Alumno18</v>
      </c>
      <c r="EQ128" s="195" t="n">
        <f aca="false">EQ$4*EQ23</f>
        <v>0</v>
      </c>
      <c r="ER128" s="196" t="n">
        <f aca="false">ER$4*ER23</f>
        <v>0</v>
      </c>
      <c r="ES128" s="196" t="n">
        <f aca="false">ES$4*ES23</f>
        <v>0</v>
      </c>
      <c r="ET128" s="196" t="n">
        <f aca="false">ET$4*ET23</f>
        <v>0</v>
      </c>
      <c r="EU128" s="196" t="n">
        <f aca="false">EU$4*EU23</f>
        <v>0</v>
      </c>
      <c r="EV128" s="196" t="n">
        <f aca="false">EV$4*EV23</f>
        <v>0</v>
      </c>
      <c r="EW128" s="196" t="n">
        <f aca="false">EW$4*EW23</f>
        <v>0</v>
      </c>
      <c r="EX128" s="196" t="n">
        <f aca="false">EX$4*EX23</f>
        <v>0</v>
      </c>
      <c r="EY128" s="196" t="n">
        <f aca="false">EY$4*EY23</f>
        <v>0</v>
      </c>
      <c r="EZ128" s="197" t="n">
        <f aca="false">EZ$4*EZ23</f>
        <v>0</v>
      </c>
      <c r="FA128" s="194" t="str">
        <f aca="false">EP128</f>
        <v>Alumno18</v>
      </c>
      <c r="FB128" s="195" t="n">
        <f aca="false">FB$4*FB23</f>
        <v>0</v>
      </c>
      <c r="FC128" s="196" t="n">
        <f aca="false">FC$4*FC23</f>
        <v>0</v>
      </c>
      <c r="FD128" s="196" t="n">
        <f aca="false">FD$4*FD23</f>
        <v>0</v>
      </c>
      <c r="FE128" s="196" t="n">
        <f aca="false">FE$4*FE23</f>
        <v>0</v>
      </c>
      <c r="FF128" s="196" t="n">
        <f aca="false">FF$4*FF23</f>
        <v>0</v>
      </c>
      <c r="FG128" s="196" t="n">
        <f aca="false">FG$4*FG23</f>
        <v>0</v>
      </c>
      <c r="FH128" s="196" t="n">
        <f aca="false">FH$4*FH23</f>
        <v>0</v>
      </c>
      <c r="FI128" s="196" t="n">
        <f aca="false">FI$4*FI23</f>
        <v>0</v>
      </c>
      <c r="FJ128" s="196" t="n">
        <f aca="false">FJ$4*FJ23</f>
        <v>0</v>
      </c>
      <c r="FK128" s="197" t="n">
        <f aca="false">FK$4*FK23</f>
        <v>0</v>
      </c>
      <c r="FL128" s="194" t="str">
        <f aca="false">FA128</f>
        <v>Alumno18</v>
      </c>
      <c r="FM128" s="195" t="n">
        <f aca="false">FM$4*FM23</f>
        <v>0</v>
      </c>
      <c r="FN128" s="196" t="n">
        <f aca="false">FN$4*FN23</f>
        <v>0</v>
      </c>
      <c r="FO128" s="196" t="n">
        <f aca="false">FO$4*FO23</f>
        <v>0</v>
      </c>
      <c r="FP128" s="196" t="n">
        <f aca="false">FP$4*FP23</f>
        <v>0</v>
      </c>
      <c r="FQ128" s="196" t="n">
        <f aca="false">FQ$4*FQ23</f>
        <v>0</v>
      </c>
      <c r="FR128" s="196" t="n">
        <f aca="false">FR$4*FR23</f>
        <v>0</v>
      </c>
      <c r="FS128" s="196" t="n">
        <f aca="false">FS$4*FS23</f>
        <v>0</v>
      </c>
      <c r="FT128" s="196" t="n">
        <f aca="false">FT$4*FT23</f>
        <v>0</v>
      </c>
      <c r="FU128" s="196" t="n">
        <f aca="false">FU$4*FU23</f>
        <v>0</v>
      </c>
      <c r="FV128" s="197" t="n">
        <f aca="false">FV$4*FV23</f>
        <v>0</v>
      </c>
      <c r="FW128" s="194" t="str">
        <f aca="false">FL128</f>
        <v>Alumno18</v>
      </c>
      <c r="FX128" s="195" t="n">
        <f aca="false">FX$4*FX23</f>
        <v>0</v>
      </c>
      <c r="FY128" s="196" t="n">
        <f aca="false">FY$4*FY23</f>
        <v>0</v>
      </c>
      <c r="FZ128" s="196" t="n">
        <f aca="false">FZ$4*FZ23</f>
        <v>0</v>
      </c>
      <c r="GA128" s="196" t="n">
        <f aca="false">GA$4*GA23</f>
        <v>0</v>
      </c>
      <c r="GB128" s="196" t="n">
        <f aca="false">GB$4*GB23</f>
        <v>0</v>
      </c>
      <c r="GC128" s="196" t="n">
        <f aca="false">GC$4*GC23</f>
        <v>0</v>
      </c>
      <c r="GD128" s="196" t="n">
        <f aca="false">GD$4*GD23</f>
        <v>0</v>
      </c>
      <c r="GE128" s="196" t="n">
        <f aca="false">GE$4*GE23</f>
        <v>0</v>
      </c>
      <c r="GF128" s="196" t="n">
        <f aca="false">GF$4*GF23</f>
        <v>0</v>
      </c>
      <c r="GG128" s="197" t="n">
        <f aca="false">GG$4*GG23</f>
        <v>0</v>
      </c>
      <c r="GH128" s="194" t="str">
        <f aca="false">FW128</f>
        <v>Alumno18</v>
      </c>
      <c r="GI128" s="195" t="n">
        <f aca="false">GI$4*GI23</f>
        <v>0</v>
      </c>
      <c r="GJ128" s="196" t="n">
        <f aca="false">GJ$4*GJ23</f>
        <v>0</v>
      </c>
      <c r="GK128" s="196" t="n">
        <f aca="false">GK$4*GK23</f>
        <v>0</v>
      </c>
      <c r="GL128" s="196" t="n">
        <f aca="false">GL$4*GL23</f>
        <v>0</v>
      </c>
      <c r="GM128" s="196" t="n">
        <f aca="false">GM$4*GM23</f>
        <v>0</v>
      </c>
      <c r="GN128" s="196" t="n">
        <f aca="false">GN$4*GN23</f>
        <v>0</v>
      </c>
      <c r="GO128" s="196" t="n">
        <f aca="false">GO$4*GO23</f>
        <v>0</v>
      </c>
      <c r="GP128" s="196" t="n">
        <f aca="false">GP$4*GP23</f>
        <v>0</v>
      </c>
      <c r="GQ128" s="196" t="n">
        <f aca="false">GQ$4*GQ23</f>
        <v>0</v>
      </c>
      <c r="GR128" s="197" t="n">
        <f aca="false">GR$4*GR23</f>
        <v>0</v>
      </c>
      <c r="GS128" s="194" t="str">
        <f aca="false">GH128</f>
        <v>Alumno18</v>
      </c>
      <c r="GT128" s="195" t="n">
        <f aca="false">GT$4*GT23</f>
        <v>0</v>
      </c>
      <c r="GU128" s="196" t="n">
        <f aca="false">GU$4*GU23</f>
        <v>0</v>
      </c>
      <c r="GV128" s="196" t="n">
        <f aca="false">GV$4*GV23</f>
        <v>0</v>
      </c>
      <c r="GW128" s="196" t="n">
        <f aca="false">GW$4*GW23</f>
        <v>0</v>
      </c>
      <c r="GX128" s="196" t="n">
        <f aca="false">GX$4*GX23</f>
        <v>0</v>
      </c>
      <c r="GY128" s="196" t="n">
        <f aca="false">GY$4*GY23</f>
        <v>0</v>
      </c>
      <c r="GZ128" s="196" t="n">
        <f aca="false">GZ$4*GZ23</f>
        <v>0</v>
      </c>
      <c r="HA128" s="196" t="n">
        <f aca="false">HA$4*HA23</f>
        <v>0</v>
      </c>
      <c r="HB128" s="196" t="n">
        <f aca="false">HB$4*HB23</f>
        <v>0</v>
      </c>
      <c r="HC128" s="197" t="n">
        <f aca="false">HC$4*HC23</f>
        <v>0</v>
      </c>
      <c r="HD128" s="194" t="str">
        <f aca="false">GS128</f>
        <v>Alumno18</v>
      </c>
      <c r="HE128" s="195" t="n">
        <f aca="false">HE$4*HE23</f>
        <v>0</v>
      </c>
      <c r="HF128" s="196" t="n">
        <f aca="false">HF$4*HF23</f>
        <v>0</v>
      </c>
      <c r="HG128" s="196" t="n">
        <f aca="false">HG$4*HG23</f>
        <v>0</v>
      </c>
      <c r="HH128" s="196" t="n">
        <f aca="false">HH$4*HH23</f>
        <v>0</v>
      </c>
      <c r="HI128" s="196" t="n">
        <f aca="false">HI$4*HI23</f>
        <v>0</v>
      </c>
      <c r="HJ128" s="196" t="n">
        <f aca="false">HJ$4*HJ23</f>
        <v>0</v>
      </c>
      <c r="HK128" s="196" t="n">
        <f aca="false">HK$4*HK23</f>
        <v>0</v>
      </c>
      <c r="HL128" s="196" t="n">
        <f aca="false">HL$4*HL23</f>
        <v>0</v>
      </c>
      <c r="HM128" s="196" t="n">
        <f aca="false">HM$4*HM23</f>
        <v>0</v>
      </c>
      <c r="HN128" s="197" t="n">
        <f aca="false">HN$4*HN23</f>
        <v>0</v>
      </c>
      <c r="HO128" s="194" t="str">
        <f aca="false">HD128</f>
        <v>Alumno18</v>
      </c>
      <c r="HP128" s="195" t="n">
        <f aca="false">HP$4*HP23</f>
        <v>0</v>
      </c>
      <c r="HQ128" s="196" t="n">
        <f aca="false">HQ$4*HQ23</f>
        <v>0</v>
      </c>
      <c r="HR128" s="196" t="n">
        <f aca="false">HR$4*HR23</f>
        <v>0</v>
      </c>
      <c r="HS128" s="196" t="n">
        <f aca="false">HS$4*HS23</f>
        <v>0</v>
      </c>
      <c r="HT128" s="196" t="n">
        <f aca="false">HT$4*HT23</f>
        <v>0</v>
      </c>
      <c r="HU128" s="196" t="n">
        <f aca="false">HU$4*HU23</f>
        <v>0</v>
      </c>
      <c r="HV128" s="196" t="n">
        <f aca="false">HV$4*HV23</f>
        <v>0</v>
      </c>
      <c r="HW128" s="196" t="n">
        <f aca="false">HW$4*HW23</f>
        <v>0</v>
      </c>
      <c r="HX128" s="196" t="n">
        <f aca="false">HX$4*HX23</f>
        <v>0</v>
      </c>
      <c r="HY128" s="197" t="n">
        <f aca="false">HY$4*HY23</f>
        <v>0</v>
      </c>
      <c r="HZ128" s="194" t="str">
        <f aca="false">HO128</f>
        <v>Alumno18</v>
      </c>
      <c r="IA128" s="195" t="n">
        <f aca="false">IA$4*IA23</f>
        <v>0</v>
      </c>
      <c r="IB128" s="196" t="n">
        <f aca="false">IB$4*IB23</f>
        <v>0</v>
      </c>
      <c r="IC128" s="196" t="n">
        <f aca="false">IC$4*IC23</f>
        <v>0</v>
      </c>
      <c r="ID128" s="196" t="n">
        <f aca="false">ID$4*ID23</f>
        <v>0</v>
      </c>
      <c r="IE128" s="196" t="n">
        <f aca="false">IE$4*IE23</f>
        <v>0</v>
      </c>
      <c r="IF128" s="196" t="n">
        <f aca="false">IF$4*IF23</f>
        <v>0</v>
      </c>
      <c r="IG128" s="196" t="n">
        <f aca="false">IG$4*IG23</f>
        <v>0</v>
      </c>
      <c r="IH128" s="196" t="n">
        <f aca="false">IH$4*IH23</f>
        <v>0</v>
      </c>
      <c r="II128" s="196" t="n">
        <f aca="false">II$4*II23</f>
        <v>0</v>
      </c>
      <c r="IJ128" s="197" t="n">
        <f aca="false">IJ$4*IJ23</f>
        <v>0</v>
      </c>
      <c r="IK128" s="194" t="str">
        <f aca="false">HZ128</f>
        <v>Alumno18</v>
      </c>
      <c r="IL128" s="195" t="n">
        <f aca="false">IL$4*IL23</f>
        <v>0</v>
      </c>
      <c r="IM128" s="196" t="n">
        <f aca="false">IM$4*IM23</f>
        <v>0</v>
      </c>
      <c r="IN128" s="196" t="n">
        <f aca="false">IN$4*IN23</f>
        <v>0</v>
      </c>
      <c r="IO128" s="196" t="n">
        <f aca="false">IO$4*IO23</f>
        <v>0</v>
      </c>
      <c r="IP128" s="196" t="n">
        <f aca="false">IP$4*IP23</f>
        <v>0</v>
      </c>
      <c r="IQ128" s="196" t="n">
        <f aca="false">IQ$4*IQ23</f>
        <v>0</v>
      </c>
      <c r="IR128" s="196" t="n">
        <f aca="false">IR$4*IR23</f>
        <v>0</v>
      </c>
      <c r="IS128" s="196" t="n">
        <f aca="false">IS$4*IS23</f>
        <v>0</v>
      </c>
      <c r="IT128" s="196" t="n">
        <f aca="false">IT$4*IT23</f>
        <v>0</v>
      </c>
      <c r="IU128" s="197" t="n">
        <f aca="false">IU$4*IU23</f>
        <v>0</v>
      </c>
      <c r="IV128" s="194" t="str">
        <f aca="false">IK128</f>
        <v>Alumno18</v>
      </c>
      <c r="IW128" s="195" t="n">
        <f aca="false">IW$4*IW23</f>
        <v>0</v>
      </c>
      <c r="IX128" s="196" t="n">
        <f aca="false">IX$4*IX23</f>
        <v>0</v>
      </c>
      <c r="IY128" s="196" t="n">
        <f aca="false">IY$4*IY23</f>
        <v>0</v>
      </c>
      <c r="IZ128" s="196" t="n">
        <f aca="false">IZ$4*IZ23</f>
        <v>0</v>
      </c>
      <c r="JA128" s="196" t="n">
        <f aca="false">JA$4*JA23</f>
        <v>0</v>
      </c>
      <c r="JB128" s="196" t="n">
        <f aca="false">JB$4*JB23</f>
        <v>0</v>
      </c>
      <c r="JC128" s="196" t="n">
        <f aca="false">JC$4*JC23</f>
        <v>0</v>
      </c>
      <c r="JD128" s="196" t="n">
        <f aca="false">JD$4*JD23</f>
        <v>0</v>
      </c>
      <c r="JE128" s="196" t="n">
        <f aca="false">JE$4*JE23</f>
        <v>0</v>
      </c>
      <c r="JF128" s="197" t="n">
        <f aca="false">JF$4*JF23</f>
        <v>0</v>
      </c>
      <c r="JG128" s="194" t="str">
        <f aca="false">IV128</f>
        <v>Alumno18</v>
      </c>
      <c r="JH128" s="195" t="n">
        <f aca="false">JH$4*JH23</f>
        <v>0</v>
      </c>
      <c r="JI128" s="196" t="n">
        <f aca="false">JI$4*JI23</f>
        <v>0</v>
      </c>
      <c r="JJ128" s="196" t="n">
        <f aca="false">JJ$4*JJ23</f>
        <v>0</v>
      </c>
      <c r="JK128" s="196" t="n">
        <f aca="false">JK$4*JK23</f>
        <v>0</v>
      </c>
      <c r="JL128" s="196" t="n">
        <f aca="false">JL$4*JL23</f>
        <v>0</v>
      </c>
      <c r="JM128" s="196" t="n">
        <f aca="false">JM$4*JM23</f>
        <v>0</v>
      </c>
      <c r="JN128" s="196" t="n">
        <f aca="false">JN$4*JN23</f>
        <v>0</v>
      </c>
      <c r="JO128" s="196" t="n">
        <f aca="false">JO$4*JO23</f>
        <v>0</v>
      </c>
      <c r="JP128" s="196" t="n">
        <f aca="false">JP$4*JP23</f>
        <v>0</v>
      </c>
      <c r="JQ128" s="197" t="n">
        <f aca="false">JQ$4*JQ23</f>
        <v>0</v>
      </c>
      <c r="JR128" s="194" t="str">
        <f aca="false">JG128</f>
        <v>Alumno18</v>
      </c>
      <c r="JS128" s="195" t="n">
        <f aca="false">JS$4*JS23</f>
        <v>0</v>
      </c>
      <c r="JT128" s="196" t="n">
        <f aca="false">JT$4*JT23</f>
        <v>0</v>
      </c>
      <c r="JU128" s="196" t="n">
        <f aca="false">JU$4*JU23</f>
        <v>0</v>
      </c>
      <c r="JV128" s="196" t="n">
        <f aca="false">JV$4*JV23</f>
        <v>0</v>
      </c>
      <c r="JW128" s="196" t="n">
        <f aca="false">JW$4*JW23</f>
        <v>0</v>
      </c>
      <c r="JX128" s="196" t="n">
        <f aca="false">JX$4*JX23</f>
        <v>0</v>
      </c>
      <c r="JY128" s="196" t="n">
        <f aca="false">JY$4*JY23</f>
        <v>0</v>
      </c>
      <c r="JZ128" s="196" t="n">
        <f aca="false">JZ$4*JZ23</f>
        <v>0</v>
      </c>
      <c r="KA128" s="196" t="n">
        <f aca="false">KA$4*KA23</f>
        <v>0</v>
      </c>
      <c r="KB128" s="197" t="n">
        <f aca="false">KB$4*KB23</f>
        <v>0</v>
      </c>
      <c r="KC128" s="194" t="str">
        <f aca="false">JR128</f>
        <v>Alumno18</v>
      </c>
      <c r="KD128" s="195" t="n">
        <f aca="false">KD$4*KD23</f>
        <v>0</v>
      </c>
      <c r="KE128" s="196" t="n">
        <f aca="false">KE$4*KE23</f>
        <v>0</v>
      </c>
      <c r="KF128" s="196" t="n">
        <f aca="false">KF$4*KF23</f>
        <v>0</v>
      </c>
      <c r="KG128" s="196" t="n">
        <f aca="false">KG$4*KG23</f>
        <v>0</v>
      </c>
      <c r="KH128" s="196" t="n">
        <f aca="false">KH$4*KH23</f>
        <v>0</v>
      </c>
      <c r="KI128" s="196" t="n">
        <f aca="false">KI$4*KI23</f>
        <v>0</v>
      </c>
      <c r="KJ128" s="196" t="n">
        <f aca="false">KJ$4*KJ23</f>
        <v>0</v>
      </c>
      <c r="KK128" s="196" t="n">
        <f aca="false">KK$4*KK23</f>
        <v>0</v>
      </c>
      <c r="KL128" s="196" t="n">
        <f aca="false">KL$4*KL23</f>
        <v>0</v>
      </c>
      <c r="KM128" s="197" t="n">
        <f aca="false">KM$4*KM23</f>
        <v>0</v>
      </c>
      <c r="KN128" s="194" t="str">
        <f aca="false">KC128</f>
        <v>Alumno18</v>
      </c>
      <c r="KO128" s="195" t="n">
        <f aca="false">KO$4*KO23</f>
        <v>0</v>
      </c>
      <c r="KP128" s="196" t="n">
        <f aca="false">KP$4*KP23</f>
        <v>0</v>
      </c>
      <c r="KQ128" s="196" t="n">
        <f aca="false">KQ$4*KQ23</f>
        <v>0</v>
      </c>
      <c r="KR128" s="196" t="n">
        <f aca="false">KR$4*KR23</f>
        <v>0</v>
      </c>
      <c r="KS128" s="196" t="n">
        <f aca="false">KS$4*KS23</f>
        <v>0</v>
      </c>
      <c r="KT128" s="196" t="n">
        <f aca="false">KT$4*KT23</f>
        <v>0</v>
      </c>
      <c r="KU128" s="196" t="n">
        <f aca="false">KU$4*KU23</f>
        <v>0</v>
      </c>
      <c r="KV128" s="196" t="n">
        <f aca="false">KV$4*KV23</f>
        <v>0</v>
      </c>
      <c r="KW128" s="196" t="n">
        <f aca="false">KW$4*KW23</f>
        <v>0</v>
      </c>
      <c r="KX128" s="197" t="n">
        <f aca="false">KX$4*KX23</f>
        <v>0</v>
      </c>
      <c r="KY128" s="194" t="str">
        <f aca="false">KN128</f>
        <v>Alumno18</v>
      </c>
      <c r="KZ128" s="195" t="n">
        <f aca="false">KZ$4*KZ23</f>
        <v>0</v>
      </c>
      <c r="LA128" s="196" t="n">
        <f aca="false">LA$4*LA23</f>
        <v>0</v>
      </c>
      <c r="LB128" s="196" t="n">
        <f aca="false">LB$4*LB23</f>
        <v>0</v>
      </c>
      <c r="LC128" s="196" t="n">
        <f aca="false">LC$4*LC23</f>
        <v>0</v>
      </c>
      <c r="LD128" s="196" t="n">
        <f aca="false">LD$4*LD23</f>
        <v>0</v>
      </c>
      <c r="LE128" s="196" t="n">
        <f aca="false">LE$4*LE23</f>
        <v>0</v>
      </c>
      <c r="LF128" s="196" t="n">
        <f aca="false">LF$4*LF23</f>
        <v>0</v>
      </c>
      <c r="LG128" s="196" t="n">
        <f aca="false">LG$4*LG23</f>
        <v>0</v>
      </c>
      <c r="LH128" s="196" t="n">
        <f aca="false">LH$4*LH23</f>
        <v>0</v>
      </c>
      <c r="LI128" s="197" t="n">
        <f aca="false">LI$4*LI23</f>
        <v>0</v>
      </c>
      <c r="LJ128" s="194" t="str">
        <f aca="false">KY128</f>
        <v>Alumno18</v>
      </c>
      <c r="LK128" s="195" t="n">
        <f aca="false">LK$4*LK23</f>
        <v>0</v>
      </c>
      <c r="LL128" s="196" t="n">
        <f aca="false">LL$4*LL23</f>
        <v>0</v>
      </c>
      <c r="LM128" s="196" t="n">
        <f aca="false">LM$4*LM23</f>
        <v>0</v>
      </c>
      <c r="LN128" s="196" t="n">
        <f aca="false">LN$4*LN23</f>
        <v>0</v>
      </c>
      <c r="LO128" s="196" t="n">
        <f aca="false">LO$4*LO23</f>
        <v>0</v>
      </c>
      <c r="LP128" s="196" t="n">
        <f aca="false">LP$4*LP23</f>
        <v>0</v>
      </c>
      <c r="LQ128" s="196" t="n">
        <f aca="false">LQ$4*LQ23</f>
        <v>0</v>
      </c>
      <c r="LR128" s="196" t="n">
        <f aca="false">LR$4*LR23</f>
        <v>0</v>
      </c>
      <c r="LS128" s="196" t="n">
        <f aca="false">LS$4*LS23</f>
        <v>0</v>
      </c>
      <c r="LT128" s="197" t="n">
        <f aca="false">LT$4*LT23</f>
        <v>0</v>
      </c>
    </row>
    <row r="129" customFormat="false" ht="15" hidden="true" customHeight="false" outlineLevel="0" collapsed="false">
      <c r="C129" s="194" t="str">
        <f aca="false">C80</f>
        <v>Alumno19</v>
      </c>
      <c r="D129" s="195" t="n">
        <f aca="false">D$4*D24</f>
        <v>0.9</v>
      </c>
      <c r="E129" s="196" t="n">
        <f aca="false">E$4*E24</f>
        <v>1.05</v>
      </c>
      <c r="F129" s="196" t="n">
        <f aca="false">F$4*F24</f>
        <v>1.6</v>
      </c>
      <c r="G129" s="196" t="n">
        <f aca="false">G$4*G24</f>
        <v>0.9</v>
      </c>
      <c r="H129" s="196" t="n">
        <f aca="false">H$4*H24</f>
        <v>0.75</v>
      </c>
      <c r="I129" s="196" t="n">
        <f aca="false">I$4*I24</f>
        <v>0.6</v>
      </c>
      <c r="J129" s="196" t="n">
        <f aca="false">J$4*J24</f>
        <v>0.6</v>
      </c>
      <c r="K129" s="196" t="n">
        <f aca="false">K$4*K24</f>
        <v>0</v>
      </c>
      <c r="L129" s="196" t="n">
        <f aca="false">L$4*L24</f>
        <v>0</v>
      </c>
      <c r="M129" s="197" t="n">
        <f aca="false">M$4*M24</f>
        <v>0</v>
      </c>
      <c r="N129" s="194" t="str">
        <f aca="false">C129</f>
        <v>Alumno19</v>
      </c>
      <c r="O129" s="195" t="n">
        <f aca="false">O$4*O24</f>
        <v>1.2</v>
      </c>
      <c r="P129" s="196" t="n">
        <f aca="false">P$4*P24</f>
        <v>1.4</v>
      </c>
      <c r="Q129" s="196" t="n">
        <f aca="false">Q$4*Q24</f>
        <v>1.6</v>
      </c>
      <c r="R129" s="196" t="n">
        <f aca="false">R$4*R24</f>
        <v>1.8</v>
      </c>
      <c r="S129" s="196" t="n">
        <f aca="false">S$4*S24</f>
        <v>1</v>
      </c>
      <c r="T129" s="196" t="n">
        <f aca="false">T$4*T24</f>
        <v>0</v>
      </c>
      <c r="U129" s="196" t="n">
        <f aca="false">U$4*U24</f>
        <v>0</v>
      </c>
      <c r="V129" s="196" t="n">
        <f aca="false">V$4*V24</f>
        <v>0</v>
      </c>
      <c r="W129" s="196" t="n">
        <f aca="false">W$4*W24</f>
        <v>0</v>
      </c>
      <c r="X129" s="197" t="n">
        <f aca="false">X$4*X24</f>
        <v>0</v>
      </c>
      <c r="Y129" s="194" t="str">
        <f aca="false">N129</f>
        <v>Alumno19</v>
      </c>
      <c r="Z129" s="195" t="n">
        <f aca="false">Z$4*Z24</f>
        <v>0.6</v>
      </c>
      <c r="AA129" s="196" t="n">
        <f aca="false">AA$4*AA24</f>
        <v>0.6</v>
      </c>
      <c r="AB129" s="196" t="n">
        <f aca="false">AB$4*AB24</f>
        <v>0.4</v>
      </c>
      <c r="AC129" s="196" t="n">
        <f aca="false">AC$4*AC24</f>
        <v>0.8</v>
      </c>
      <c r="AD129" s="196" t="n">
        <f aca="false">AD$4*AD24</f>
        <v>1</v>
      </c>
      <c r="AE129" s="196" t="n">
        <f aca="false">AE$4*AE24</f>
        <v>0</v>
      </c>
      <c r="AF129" s="196" t="n">
        <f aca="false">AF$4*AF24</f>
        <v>0</v>
      </c>
      <c r="AG129" s="196" t="n">
        <f aca="false">AG$4*AG24</f>
        <v>0</v>
      </c>
      <c r="AH129" s="196" t="n">
        <f aca="false">AH$4*AH24</f>
        <v>0</v>
      </c>
      <c r="AI129" s="197" t="n">
        <f aca="false">AI$4*AI24</f>
        <v>0</v>
      </c>
      <c r="AJ129" s="194" t="str">
        <f aca="false">Y129</f>
        <v>Alumno19</v>
      </c>
      <c r="AK129" s="195" t="n">
        <f aca="false">AK$4*AK24</f>
        <v>0.6</v>
      </c>
      <c r="AL129" s="196" t="n">
        <f aca="false">AL$4*AL24</f>
        <v>0.6</v>
      </c>
      <c r="AM129" s="196" t="n">
        <f aca="false">AM$4*AM24</f>
        <v>0.4</v>
      </c>
      <c r="AN129" s="196" t="n">
        <f aca="false">AN$4*AN24</f>
        <v>0.8</v>
      </c>
      <c r="AO129" s="196" t="n">
        <f aca="false">AO$4*AO24</f>
        <v>1</v>
      </c>
      <c r="AP129" s="196" t="n">
        <f aca="false">AP$4*AP24</f>
        <v>0</v>
      </c>
      <c r="AQ129" s="196" t="n">
        <f aca="false">AQ$4*AQ24</f>
        <v>0</v>
      </c>
      <c r="AR129" s="196" t="n">
        <f aca="false">AR$4*AR24</f>
        <v>0</v>
      </c>
      <c r="AS129" s="196" t="n">
        <f aca="false">AS$4*AS24</f>
        <v>0</v>
      </c>
      <c r="AT129" s="197" t="n">
        <f aca="false">AT$4*AT24</f>
        <v>0</v>
      </c>
      <c r="AU129" s="194" t="str">
        <f aca="false">AJ129</f>
        <v>Alumno19</v>
      </c>
      <c r="AV129" s="195" t="n">
        <f aca="false">AV$4*AV24</f>
        <v>0.6</v>
      </c>
      <c r="AW129" s="196" t="n">
        <f aca="false">AW$4*AW24</f>
        <v>1.4</v>
      </c>
      <c r="AX129" s="196" t="n">
        <f aca="false">AX$4*AX24</f>
        <v>1.6</v>
      </c>
      <c r="AY129" s="196" t="n">
        <f aca="false">AY$4*AY24</f>
        <v>2.7</v>
      </c>
      <c r="AZ129" s="196" t="n">
        <f aca="false">AZ$4*AZ24</f>
        <v>1</v>
      </c>
      <c r="BA129" s="196" t="n">
        <f aca="false">BA$4*BA24</f>
        <v>0</v>
      </c>
      <c r="BB129" s="196" t="n">
        <f aca="false">BB$4*BB24</f>
        <v>0</v>
      </c>
      <c r="BC129" s="196" t="n">
        <f aca="false">BC$4*BC24</f>
        <v>0</v>
      </c>
      <c r="BD129" s="196" t="n">
        <f aca="false">BD$4*BD24</f>
        <v>0</v>
      </c>
      <c r="BE129" s="197" t="n">
        <f aca="false">BE$4*BE24</f>
        <v>0</v>
      </c>
      <c r="BF129" s="194" t="str">
        <f aca="false">AU129</f>
        <v>Alumno19</v>
      </c>
      <c r="BG129" s="195" t="n">
        <f aca="false">BG$4*BG24</f>
        <v>0.6</v>
      </c>
      <c r="BH129" s="196" t="n">
        <f aca="false">BH$4*BH24</f>
        <v>1.4</v>
      </c>
      <c r="BI129" s="196" t="n">
        <f aca="false">BI$4*BI24</f>
        <v>1.6</v>
      </c>
      <c r="BJ129" s="196" t="n">
        <f aca="false">BJ$4*BJ24</f>
        <v>1.8</v>
      </c>
      <c r="BK129" s="196" t="n">
        <f aca="false">BK$4*BK24</f>
        <v>1.5</v>
      </c>
      <c r="BL129" s="196" t="n">
        <f aca="false">BL$4*BL24</f>
        <v>0</v>
      </c>
      <c r="BM129" s="196" t="n">
        <f aca="false">BM$4*BM24</f>
        <v>0</v>
      </c>
      <c r="BN129" s="196" t="n">
        <f aca="false">BN$4*BN24</f>
        <v>0</v>
      </c>
      <c r="BO129" s="196" t="n">
        <f aca="false">BO$4*BO24</f>
        <v>0</v>
      </c>
      <c r="BP129" s="197" t="n">
        <f aca="false">BP$4*BP24</f>
        <v>0</v>
      </c>
      <c r="BQ129" s="194" t="str">
        <f aca="false">BF129</f>
        <v>Alumno19</v>
      </c>
      <c r="BR129" s="195" t="n">
        <f aca="false">BR$4*BR24</f>
        <v>1</v>
      </c>
      <c r="BS129" s="196" t="n">
        <f aca="false">BS$4*BS24</f>
        <v>0.5</v>
      </c>
      <c r="BT129" s="196" t="n">
        <f aca="false">BT$4*BT24</f>
        <v>1</v>
      </c>
      <c r="BU129" s="196" t="n">
        <f aca="false">BU$4*BU24</f>
        <v>1</v>
      </c>
      <c r="BV129" s="196" t="n">
        <f aca="false">BV$4*BV24</f>
        <v>1.5</v>
      </c>
      <c r="BW129" s="196" t="n">
        <f aca="false">BW$4*BW24</f>
        <v>0</v>
      </c>
      <c r="BX129" s="196" t="n">
        <f aca="false">BX$4*BX24</f>
        <v>0</v>
      </c>
      <c r="BY129" s="196" t="n">
        <f aca="false">BY$4*BY24</f>
        <v>0</v>
      </c>
      <c r="BZ129" s="196" t="n">
        <f aca="false">BZ$4*BZ24</f>
        <v>0</v>
      </c>
      <c r="CA129" s="197" t="n">
        <f aca="false">CA$4*CA24</f>
        <v>0</v>
      </c>
      <c r="CB129" s="194" t="str">
        <f aca="false">BQ129</f>
        <v>Alumno19</v>
      </c>
      <c r="CC129" s="195" t="n">
        <f aca="false">CC$4*CC24</f>
        <v>0</v>
      </c>
      <c r="CD129" s="196" t="n">
        <f aca="false">CD$4*CD24</f>
        <v>0</v>
      </c>
      <c r="CE129" s="196" t="n">
        <f aca="false">CE$4*CE24</f>
        <v>0</v>
      </c>
      <c r="CF129" s="196" t="n">
        <f aca="false">CF$4*CF24</f>
        <v>0</v>
      </c>
      <c r="CG129" s="196" t="n">
        <f aca="false">CG$4*CG24</f>
        <v>0</v>
      </c>
      <c r="CH129" s="196" t="n">
        <f aca="false">CH$4*CH24</f>
        <v>0</v>
      </c>
      <c r="CI129" s="196" t="n">
        <f aca="false">CI$4*CI24</f>
        <v>0</v>
      </c>
      <c r="CJ129" s="196" t="n">
        <f aca="false">CJ$4*CJ24</f>
        <v>0</v>
      </c>
      <c r="CK129" s="196" t="n">
        <f aca="false">CK$4*CK24</f>
        <v>0</v>
      </c>
      <c r="CL129" s="197" t="n">
        <f aca="false">CL$4*CL24</f>
        <v>0</v>
      </c>
      <c r="CM129" s="194" t="str">
        <f aca="false">CB129</f>
        <v>Alumno19</v>
      </c>
      <c r="CN129" s="195" t="n">
        <f aca="false">CN$4*CN24</f>
        <v>0</v>
      </c>
      <c r="CO129" s="196" t="n">
        <f aca="false">CO$4*CO24</f>
        <v>0</v>
      </c>
      <c r="CP129" s="196" t="n">
        <f aca="false">CP$4*CP24</f>
        <v>0</v>
      </c>
      <c r="CQ129" s="196" t="n">
        <f aca="false">CQ$4*CQ24</f>
        <v>0</v>
      </c>
      <c r="CR129" s="196" t="n">
        <f aca="false">CR$4*CR24</f>
        <v>0</v>
      </c>
      <c r="CS129" s="196" t="n">
        <f aca="false">CS$4*CS24</f>
        <v>0</v>
      </c>
      <c r="CT129" s="196" t="n">
        <f aca="false">CT$4*CT24</f>
        <v>0</v>
      </c>
      <c r="CU129" s="196" t="n">
        <f aca="false">CU$4*CU24</f>
        <v>0</v>
      </c>
      <c r="CV129" s="196" t="n">
        <f aca="false">CV$4*CV24</f>
        <v>0</v>
      </c>
      <c r="CW129" s="197" t="n">
        <f aca="false">CW$4*CW24</f>
        <v>0</v>
      </c>
      <c r="CX129" s="194" t="str">
        <f aca="false">CM129</f>
        <v>Alumno19</v>
      </c>
      <c r="CY129" s="195" t="n">
        <f aca="false">CY$4*CY24</f>
        <v>0</v>
      </c>
      <c r="CZ129" s="196" t="n">
        <f aca="false">CZ$4*CZ24</f>
        <v>0</v>
      </c>
      <c r="DA129" s="196" t="n">
        <f aca="false">DA$4*DA24</f>
        <v>0</v>
      </c>
      <c r="DB129" s="196" t="n">
        <f aca="false">DB$4*DB24</f>
        <v>0</v>
      </c>
      <c r="DC129" s="196" t="n">
        <f aca="false">DC$4*DC24</f>
        <v>0</v>
      </c>
      <c r="DD129" s="196" t="n">
        <f aca="false">DD$4*DD24</f>
        <v>0</v>
      </c>
      <c r="DE129" s="196" t="n">
        <f aca="false">DE$4*DE24</f>
        <v>0</v>
      </c>
      <c r="DF129" s="196" t="n">
        <f aca="false">DF$4*DF24</f>
        <v>0</v>
      </c>
      <c r="DG129" s="196" t="n">
        <f aca="false">DG$4*DG24</f>
        <v>0</v>
      </c>
      <c r="DH129" s="197" t="n">
        <f aca="false">DH$4*DH24</f>
        <v>0</v>
      </c>
      <c r="DI129" s="194" t="str">
        <f aca="false">CX129</f>
        <v>Alumno19</v>
      </c>
      <c r="DJ129" s="195" t="n">
        <f aca="false">DJ$4*DJ24</f>
        <v>0</v>
      </c>
      <c r="DK129" s="196" t="n">
        <f aca="false">DK$4*DK24</f>
        <v>0</v>
      </c>
      <c r="DL129" s="196" t="n">
        <f aca="false">DL$4*DL24</f>
        <v>0</v>
      </c>
      <c r="DM129" s="196" t="n">
        <f aca="false">DM$4*DM24</f>
        <v>0</v>
      </c>
      <c r="DN129" s="196" t="n">
        <f aca="false">DN$4*DN24</f>
        <v>0</v>
      </c>
      <c r="DO129" s="196" t="n">
        <f aca="false">DO$4*DO24</f>
        <v>0</v>
      </c>
      <c r="DP129" s="196" t="n">
        <f aca="false">DP$4*DP24</f>
        <v>0</v>
      </c>
      <c r="DQ129" s="196" t="n">
        <f aca="false">DQ$4*DQ24</f>
        <v>0</v>
      </c>
      <c r="DR129" s="196" t="n">
        <f aca="false">DR$4*DR24</f>
        <v>0</v>
      </c>
      <c r="DS129" s="197" t="n">
        <f aca="false">DS$4*DS24</f>
        <v>0</v>
      </c>
      <c r="DT129" s="194" t="str">
        <f aca="false">DI129</f>
        <v>Alumno19</v>
      </c>
      <c r="DU129" s="195" t="n">
        <f aca="false">DU$4*DU24</f>
        <v>0</v>
      </c>
      <c r="DV129" s="196" t="n">
        <f aca="false">DV$4*DV24</f>
        <v>0</v>
      </c>
      <c r="DW129" s="196" t="n">
        <f aca="false">DW$4*DW24</f>
        <v>0</v>
      </c>
      <c r="DX129" s="196" t="n">
        <f aca="false">DX$4*DX24</f>
        <v>0</v>
      </c>
      <c r="DY129" s="196" t="n">
        <f aca="false">DY$4*DY24</f>
        <v>0</v>
      </c>
      <c r="DZ129" s="196" t="n">
        <f aca="false">DZ$4*DZ24</f>
        <v>0</v>
      </c>
      <c r="EA129" s="196" t="n">
        <f aca="false">EA$4*EA24</f>
        <v>0</v>
      </c>
      <c r="EB129" s="196" t="n">
        <f aca="false">EB$4*EB24</f>
        <v>0</v>
      </c>
      <c r="EC129" s="196" t="n">
        <f aca="false">EC$4*EC24</f>
        <v>0</v>
      </c>
      <c r="ED129" s="197" t="n">
        <f aca="false">ED$4*ED24</f>
        <v>0</v>
      </c>
      <c r="EE129" s="194" t="str">
        <f aca="false">DT129</f>
        <v>Alumno19</v>
      </c>
      <c r="EF129" s="195" t="n">
        <f aca="false">EF$4*EF24</f>
        <v>0</v>
      </c>
      <c r="EG129" s="196" t="n">
        <f aca="false">EG$4*EG24</f>
        <v>0</v>
      </c>
      <c r="EH129" s="196" t="n">
        <f aca="false">EH$4*EH24</f>
        <v>0</v>
      </c>
      <c r="EI129" s="196" t="n">
        <f aca="false">EI$4*EI24</f>
        <v>0</v>
      </c>
      <c r="EJ129" s="196" t="n">
        <f aca="false">EJ$4*EJ24</f>
        <v>0</v>
      </c>
      <c r="EK129" s="196" t="n">
        <f aca="false">EK$4*EK24</f>
        <v>0</v>
      </c>
      <c r="EL129" s="196" t="n">
        <f aca="false">EL$4*EL24</f>
        <v>0</v>
      </c>
      <c r="EM129" s="196" t="n">
        <f aca="false">EM$4*EM24</f>
        <v>0</v>
      </c>
      <c r="EN129" s="196" t="n">
        <f aca="false">EN$4*EN24</f>
        <v>0</v>
      </c>
      <c r="EO129" s="197" t="n">
        <f aca="false">EO$4*EO24</f>
        <v>0</v>
      </c>
      <c r="EP129" s="194" t="str">
        <f aca="false">EE129</f>
        <v>Alumno19</v>
      </c>
      <c r="EQ129" s="195" t="n">
        <f aca="false">EQ$4*EQ24</f>
        <v>0</v>
      </c>
      <c r="ER129" s="196" t="n">
        <f aca="false">ER$4*ER24</f>
        <v>0</v>
      </c>
      <c r="ES129" s="196" t="n">
        <f aca="false">ES$4*ES24</f>
        <v>0</v>
      </c>
      <c r="ET129" s="196" t="n">
        <f aca="false">ET$4*ET24</f>
        <v>0</v>
      </c>
      <c r="EU129" s="196" t="n">
        <f aca="false">EU$4*EU24</f>
        <v>0</v>
      </c>
      <c r="EV129" s="196" t="n">
        <f aca="false">EV$4*EV24</f>
        <v>0</v>
      </c>
      <c r="EW129" s="196" t="n">
        <f aca="false">EW$4*EW24</f>
        <v>0</v>
      </c>
      <c r="EX129" s="196" t="n">
        <f aca="false">EX$4*EX24</f>
        <v>0</v>
      </c>
      <c r="EY129" s="196" t="n">
        <f aca="false">EY$4*EY24</f>
        <v>0</v>
      </c>
      <c r="EZ129" s="197" t="n">
        <f aca="false">EZ$4*EZ24</f>
        <v>0</v>
      </c>
      <c r="FA129" s="194" t="str">
        <f aca="false">EP129</f>
        <v>Alumno19</v>
      </c>
      <c r="FB129" s="195" t="n">
        <f aca="false">FB$4*FB24</f>
        <v>0</v>
      </c>
      <c r="FC129" s="196" t="n">
        <f aca="false">FC$4*FC24</f>
        <v>0</v>
      </c>
      <c r="FD129" s="196" t="n">
        <f aca="false">FD$4*FD24</f>
        <v>0</v>
      </c>
      <c r="FE129" s="196" t="n">
        <f aca="false">FE$4*FE24</f>
        <v>0</v>
      </c>
      <c r="FF129" s="196" t="n">
        <f aca="false">FF$4*FF24</f>
        <v>0</v>
      </c>
      <c r="FG129" s="196" t="n">
        <f aca="false">FG$4*FG24</f>
        <v>0</v>
      </c>
      <c r="FH129" s="196" t="n">
        <f aca="false">FH$4*FH24</f>
        <v>0</v>
      </c>
      <c r="FI129" s="196" t="n">
        <f aca="false">FI$4*FI24</f>
        <v>0</v>
      </c>
      <c r="FJ129" s="196" t="n">
        <f aca="false">FJ$4*FJ24</f>
        <v>0</v>
      </c>
      <c r="FK129" s="197" t="n">
        <f aca="false">FK$4*FK24</f>
        <v>0</v>
      </c>
      <c r="FL129" s="194" t="str">
        <f aca="false">FA129</f>
        <v>Alumno19</v>
      </c>
      <c r="FM129" s="195" t="n">
        <f aca="false">FM$4*FM24</f>
        <v>0</v>
      </c>
      <c r="FN129" s="196" t="n">
        <f aca="false">FN$4*FN24</f>
        <v>0</v>
      </c>
      <c r="FO129" s="196" t="n">
        <f aca="false">FO$4*FO24</f>
        <v>0</v>
      </c>
      <c r="FP129" s="196" t="n">
        <f aca="false">FP$4*FP24</f>
        <v>0</v>
      </c>
      <c r="FQ129" s="196" t="n">
        <f aca="false">FQ$4*FQ24</f>
        <v>0</v>
      </c>
      <c r="FR129" s="196" t="n">
        <f aca="false">FR$4*FR24</f>
        <v>0</v>
      </c>
      <c r="FS129" s="196" t="n">
        <f aca="false">FS$4*FS24</f>
        <v>0</v>
      </c>
      <c r="FT129" s="196" t="n">
        <f aca="false">FT$4*FT24</f>
        <v>0</v>
      </c>
      <c r="FU129" s="196" t="n">
        <f aca="false">FU$4*FU24</f>
        <v>0</v>
      </c>
      <c r="FV129" s="197" t="n">
        <f aca="false">FV$4*FV24</f>
        <v>0</v>
      </c>
      <c r="FW129" s="194" t="str">
        <f aca="false">FL129</f>
        <v>Alumno19</v>
      </c>
      <c r="FX129" s="195" t="n">
        <f aca="false">FX$4*FX24</f>
        <v>0</v>
      </c>
      <c r="FY129" s="196" t="n">
        <f aca="false">FY$4*FY24</f>
        <v>0</v>
      </c>
      <c r="FZ129" s="196" t="n">
        <f aca="false">FZ$4*FZ24</f>
        <v>0</v>
      </c>
      <c r="GA129" s="196" t="n">
        <f aca="false">GA$4*GA24</f>
        <v>0</v>
      </c>
      <c r="GB129" s="196" t="n">
        <f aca="false">GB$4*GB24</f>
        <v>0</v>
      </c>
      <c r="GC129" s="196" t="n">
        <f aca="false">GC$4*GC24</f>
        <v>0</v>
      </c>
      <c r="GD129" s="196" t="n">
        <f aca="false">GD$4*GD24</f>
        <v>0</v>
      </c>
      <c r="GE129" s="196" t="n">
        <f aca="false">GE$4*GE24</f>
        <v>0</v>
      </c>
      <c r="GF129" s="196" t="n">
        <f aca="false">GF$4*GF24</f>
        <v>0</v>
      </c>
      <c r="GG129" s="197" t="n">
        <f aca="false">GG$4*GG24</f>
        <v>0</v>
      </c>
      <c r="GH129" s="194" t="str">
        <f aca="false">FW129</f>
        <v>Alumno19</v>
      </c>
      <c r="GI129" s="195" t="n">
        <f aca="false">GI$4*GI24</f>
        <v>0</v>
      </c>
      <c r="GJ129" s="196" t="n">
        <f aca="false">GJ$4*GJ24</f>
        <v>0</v>
      </c>
      <c r="GK129" s="196" t="n">
        <f aca="false">GK$4*GK24</f>
        <v>0</v>
      </c>
      <c r="GL129" s="196" t="n">
        <f aca="false">GL$4*GL24</f>
        <v>0</v>
      </c>
      <c r="GM129" s="196" t="n">
        <f aca="false">GM$4*GM24</f>
        <v>0</v>
      </c>
      <c r="GN129" s="196" t="n">
        <f aca="false">GN$4*GN24</f>
        <v>0</v>
      </c>
      <c r="GO129" s="196" t="n">
        <f aca="false">GO$4*GO24</f>
        <v>0</v>
      </c>
      <c r="GP129" s="196" t="n">
        <f aca="false">GP$4*GP24</f>
        <v>0</v>
      </c>
      <c r="GQ129" s="196" t="n">
        <f aca="false">GQ$4*GQ24</f>
        <v>0</v>
      </c>
      <c r="GR129" s="197" t="n">
        <f aca="false">GR$4*GR24</f>
        <v>0</v>
      </c>
      <c r="GS129" s="194" t="str">
        <f aca="false">GH129</f>
        <v>Alumno19</v>
      </c>
      <c r="GT129" s="195" t="n">
        <f aca="false">GT$4*GT24</f>
        <v>0</v>
      </c>
      <c r="GU129" s="196" t="n">
        <f aca="false">GU$4*GU24</f>
        <v>0</v>
      </c>
      <c r="GV129" s="196" t="n">
        <f aca="false">GV$4*GV24</f>
        <v>0</v>
      </c>
      <c r="GW129" s="196" t="n">
        <f aca="false">GW$4*GW24</f>
        <v>0</v>
      </c>
      <c r="GX129" s="196" t="n">
        <f aca="false">GX$4*GX24</f>
        <v>0</v>
      </c>
      <c r="GY129" s="196" t="n">
        <f aca="false">GY$4*GY24</f>
        <v>0</v>
      </c>
      <c r="GZ129" s="196" t="n">
        <f aca="false">GZ$4*GZ24</f>
        <v>0</v>
      </c>
      <c r="HA129" s="196" t="n">
        <f aca="false">HA$4*HA24</f>
        <v>0</v>
      </c>
      <c r="HB129" s="196" t="n">
        <f aca="false">HB$4*HB24</f>
        <v>0</v>
      </c>
      <c r="HC129" s="197" t="n">
        <f aca="false">HC$4*HC24</f>
        <v>0</v>
      </c>
      <c r="HD129" s="194" t="str">
        <f aca="false">GS129</f>
        <v>Alumno19</v>
      </c>
      <c r="HE129" s="195" t="n">
        <f aca="false">HE$4*HE24</f>
        <v>0</v>
      </c>
      <c r="HF129" s="196" t="n">
        <f aca="false">HF$4*HF24</f>
        <v>0</v>
      </c>
      <c r="HG129" s="196" t="n">
        <f aca="false">HG$4*HG24</f>
        <v>0</v>
      </c>
      <c r="HH129" s="196" t="n">
        <f aca="false">HH$4*HH24</f>
        <v>0</v>
      </c>
      <c r="HI129" s="196" t="n">
        <f aca="false">HI$4*HI24</f>
        <v>0</v>
      </c>
      <c r="HJ129" s="196" t="n">
        <f aca="false">HJ$4*HJ24</f>
        <v>0</v>
      </c>
      <c r="HK129" s="196" t="n">
        <f aca="false">HK$4*HK24</f>
        <v>0</v>
      </c>
      <c r="HL129" s="196" t="n">
        <f aca="false">HL$4*HL24</f>
        <v>0</v>
      </c>
      <c r="HM129" s="196" t="n">
        <f aca="false">HM$4*HM24</f>
        <v>0</v>
      </c>
      <c r="HN129" s="197" t="n">
        <f aca="false">HN$4*HN24</f>
        <v>0</v>
      </c>
      <c r="HO129" s="194" t="str">
        <f aca="false">HD129</f>
        <v>Alumno19</v>
      </c>
      <c r="HP129" s="195" t="n">
        <f aca="false">HP$4*HP24</f>
        <v>0</v>
      </c>
      <c r="HQ129" s="196" t="n">
        <f aca="false">HQ$4*HQ24</f>
        <v>0</v>
      </c>
      <c r="HR129" s="196" t="n">
        <f aca="false">HR$4*HR24</f>
        <v>0</v>
      </c>
      <c r="HS129" s="196" t="n">
        <f aca="false">HS$4*HS24</f>
        <v>0</v>
      </c>
      <c r="HT129" s="196" t="n">
        <f aca="false">HT$4*HT24</f>
        <v>0</v>
      </c>
      <c r="HU129" s="196" t="n">
        <f aca="false">HU$4*HU24</f>
        <v>0</v>
      </c>
      <c r="HV129" s="196" t="n">
        <f aca="false">HV$4*HV24</f>
        <v>0</v>
      </c>
      <c r="HW129" s="196" t="n">
        <f aca="false">HW$4*HW24</f>
        <v>0</v>
      </c>
      <c r="HX129" s="196" t="n">
        <f aca="false">HX$4*HX24</f>
        <v>0</v>
      </c>
      <c r="HY129" s="197" t="n">
        <f aca="false">HY$4*HY24</f>
        <v>0</v>
      </c>
      <c r="HZ129" s="194" t="str">
        <f aca="false">HO129</f>
        <v>Alumno19</v>
      </c>
      <c r="IA129" s="195" t="n">
        <f aca="false">IA$4*IA24</f>
        <v>0</v>
      </c>
      <c r="IB129" s="196" t="n">
        <f aca="false">IB$4*IB24</f>
        <v>0</v>
      </c>
      <c r="IC129" s="196" t="n">
        <f aca="false">IC$4*IC24</f>
        <v>0</v>
      </c>
      <c r="ID129" s="196" t="n">
        <f aca="false">ID$4*ID24</f>
        <v>0</v>
      </c>
      <c r="IE129" s="196" t="n">
        <f aca="false">IE$4*IE24</f>
        <v>0</v>
      </c>
      <c r="IF129" s="196" t="n">
        <f aca="false">IF$4*IF24</f>
        <v>0</v>
      </c>
      <c r="IG129" s="196" t="n">
        <f aca="false">IG$4*IG24</f>
        <v>0</v>
      </c>
      <c r="IH129" s="196" t="n">
        <f aca="false">IH$4*IH24</f>
        <v>0</v>
      </c>
      <c r="II129" s="196" t="n">
        <f aca="false">II$4*II24</f>
        <v>0</v>
      </c>
      <c r="IJ129" s="197" t="n">
        <f aca="false">IJ$4*IJ24</f>
        <v>0</v>
      </c>
      <c r="IK129" s="194" t="str">
        <f aca="false">HZ129</f>
        <v>Alumno19</v>
      </c>
      <c r="IL129" s="195" t="n">
        <f aca="false">IL$4*IL24</f>
        <v>0</v>
      </c>
      <c r="IM129" s="196" t="n">
        <f aca="false">IM$4*IM24</f>
        <v>0</v>
      </c>
      <c r="IN129" s="196" t="n">
        <f aca="false">IN$4*IN24</f>
        <v>0</v>
      </c>
      <c r="IO129" s="196" t="n">
        <f aca="false">IO$4*IO24</f>
        <v>0</v>
      </c>
      <c r="IP129" s="196" t="n">
        <f aca="false">IP$4*IP24</f>
        <v>0</v>
      </c>
      <c r="IQ129" s="196" t="n">
        <f aca="false">IQ$4*IQ24</f>
        <v>0</v>
      </c>
      <c r="IR129" s="196" t="n">
        <f aca="false">IR$4*IR24</f>
        <v>0</v>
      </c>
      <c r="IS129" s="196" t="n">
        <f aca="false">IS$4*IS24</f>
        <v>0</v>
      </c>
      <c r="IT129" s="196" t="n">
        <f aca="false">IT$4*IT24</f>
        <v>0</v>
      </c>
      <c r="IU129" s="197" t="n">
        <f aca="false">IU$4*IU24</f>
        <v>0</v>
      </c>
      <c r="IV129" s="194" t="str">
        <f aca="false">IK129</f>
        <v>Alumno19</v>
      </c>
      <c r="IW129" s="195" t="n">
        <f aca="false">IW$4*IW24</f>
        <v>0</v>
      </c>
      <c r="IX129" s="196" t="n">
        <f aca="false">IX$4*IX24</f>
        <v>0</v>
      </c>
      <c r="IY129" s="196" t="n">
        <f aca="false">IY$4*IY24</f>
        <v>0</v>
      </c>
      <c r="IZ129" s="196" t="n">
        <f aca="false">IZ$4*IZ24</f>
        <v>0</v>
      </c>
      <c r="JA129" s="196" t="n">
        <f aca="false">JA$4*JA24</f>
        <v>0</v>
      </c>
      <c r="JB129" s="196" t="n">
        <f aca="false">JB$4*JB24</f>
        <v>0</v>
      </c>
      <c r="JC129" s="196" t="n">
        <f aca="false">JC$4*JC24</f>
        <v>0</v>
      </c>
      <c r="JD129" s="196" t="n">
        <f aca="false">JD$4*JD24</f>
        <v>0</v>
      </c>
      <c r="JE129" s="196" t="n">
        <f aca="false">JE$4*JE24</f>
        <v>0</v>
      </c>
      <c r="JF129" s="197" t="n">
        <f aca="false">JF$4*JF24</f>
        <v>0</v>
      </c>
      <c r="JG129" s="194" t="str">
        <f aca="false">IV129</f>
        <v>Alumno19</v>
      </c>
      <c r="JH129" s="195" t="n">
        <f aca="false">JH$4*JH24</f>
        <v>0</v>
      </c>
      <c r="JI129" s="196" t="n">
        <f aca="false">JI$4*JI24</f>
        <v>0</v>
      </c>
      <c r="JJ129" s="196" t="n">
        <f aca="false">JJ$4*JJ24</f>
        <v>0</v>
      </c>
      <c r="JK129" s="196" t="n">
        <f aca="false">JK$4*JK24</f>
        <v>0</v>
      </c>
      <c r="JL129" s="196" t="n">
        <f aca="false">JL$4*JL24</f>
        <v>0</v>
      </c>
      <c r="JM129" s="196" t="n">
        <f aca="false">JM$4*JM24</f>
        <v>0</v>
      </c>
      <c r="JN129" s="196" t="n">
        <f aca="false">JN$4*JN24</f>
        <v>0</v>
      </c>
      <c r="JO129" s="196" t="n">
        <f aca="false">JO$4*JO24</f>
        <v>0</v>
      </c>
      <c r="JP129" s="196" t="n">
        <f aca="false">JP$4*JP24</f>
        <v>0</v>
      </c>
      <c r="JQ129" s="197" t="n">
        <f aca="false">JQ$4*JQ24</f>
        <v>0</v>
      </c>
      <c r="JR129" s="194" t="str">
        <f aca="false">JG129</f>
        <v>Alumno19</v>
      </c>
      <c r="JS129" s="195" t="n">
        <f aca="false">JS$4*JS24</f>
        <v>0</v>
      </c>
      <c r="JT129" s="196" t="n">
        <f aca="false">JT$4*JT24</f>
        <v>0</v>
      </c>
      <c r="JU129" s="196" t="n">
        <f aca="false">JU$4*JU24</f>
        <v>0</v>
      </c>
      <c r="JV129" s="196" t="n">
        <f aca="false">JV$4*JV24</f>
        <v>0</v>
      </c>
      <c r="JW129" s="196" t="n">
        <f aca="false">JW$4*JW24</f>
        <v>0</v>
      </c>
      <c r="JX129" s="196" t="n">
        <f aca="false">JX$4*JX24</f>
        <v>0</v>
      </c>
      <c r="JY129" s="196" t="n">
        <f aca="false">JY$4*JY24</f>
        <v>0</v>
      </c>
      <c r="JZ129" s="196" t="n">
        <f aca="false">JZ$4*JZ24</f>
        <v>0</v>
      </c>
      <c r="KA129" s="196" t="n">
        <f aca="false">KA$4*KA24</f>
        <v>0</v>
      </c>
      <c r="KB129" s="197" t="n">
        <f aca="false">KB$4*KB24</f>
        <v>0</v>
      </c>
      <c r="KC129" s="194" t="str">
        <f aca="false">JR129</f>
        <v>Alumno19</v>
      </c>
      <c r="KD129" s="195" t="n">
        <f aca="false">KD$4*KD24</f>
        <v>0</v>
      </c>
      <c r="KE129" s="196" t="n">
        <f aca="false">KE$4*KE24</f>
        <v>0</v>
      </c>
      <c r="KF129" s="196" t="n">
        <f aca="false">KF$4*KF24</f>
        <v>0</v>
      </c>
      <c r="KG129" s="196" t="n">
        <f aca="false">KG$4*KG24</f>
        <v>0</v>
      </c>
      <c r="KH129" s="196" t="n">
        <f aca="false">KH$4*KH24</f>
        <v>0</v>
      </c>
      <c r="KI129" s="196" t="n">
        <f aca="false">KI$4*KI24</f>
        <v>0</v>
      </c>
      <c r="KJ129" s="196" t="n">
        <f aca="false">KJ$4*KJ24</f>
        <v>0</v>
      </c>
      <c r="KK129" s="196" t="n">
        <f aca="false">KK$4*KK24</f>
        <v>0</v>
      </c>
      <c r="KL129" s="196" t="n">
        <f aca="false">KL$4*KL24</f>
        <v>0</v>
      </c>
      <c r="KM129" s="197" t="n">
        <f aca="false">KM$4*KM24</f>
        <v>0</v>
      </c>
      <c r="KN129" s="194" t="str">
        <f aca="false">KC129</f>
        <v>Alumno19</v>
      </c>
      <c r="KO129" s="195" t="n">
        <f aca="false">KO$4*KO24</f>
        <v>0</v>
      </c>
      <c r="KP129" s="196" t="n">
        <f aca="false">KP$4*KP24</f>
        <v>0</v>
      </c>
      <c r="KQ129" s="196" t="n">
        <f aca="false">KQ$4*KQ24</f>
        <v>0</v>
      </c>
      <c r="KR129" s="196" t="n">
        <f aca="false">KR$4*KR24</f>
        <v>0</v>
      </c>
      <c r="KS129" s="196" t="n">
        <f aca="false">KS$4*KS24</f>
        <v>0</v>
      </c>
      <c r="KT129" s="196" t="n">
        <f aca="false">KT$4*KT24</f>
        <v>0</v>
      </c>
      <c r="KU129" s="196" t="n">
        <f aca="false">KU$4*KU24</f>
        <v>0</v>
      </c>
      <c r="KV129" s="196" t="n">
        <f aca="false">KV$4*KV24</f>
        <v>0</v>
      </c>
      <c r="KW129" s="196" t="n">
        <f aca="false">KW$4*KW24</f>
        <v>0</v>
      </c>
      <c r="KX129" s="197" t="n">
        <f aca="false">KX$4*KX24</f>
        <v>0</v>
      </c>
      <c r="KY129" s="194" t="str">
        <f aca="false">KN129</f>
        <v>Alumno19</v>
      </c>
      <c r="KZ129" s="195" t="n">
        <f aca="false">KZ$4*KZ24</f>
        <v>0</v>
      </c>
      <c r="LA129" s="196" t="n">
        <f aca="false">LA$4*LA24</f>
        <v>0</v>
      </c>
      <c r="LB129" s="196" t="n">
        <f aca="false">LB$4*LB24</f>
        <v>0</v>
      </c>
      <c r="LC129" s="196" t="n">
        <f aca="false">LC$4*LC24</f>
        <v>0</v>
      </c>
      <c r="LD129" s="196" t="n">
        <f aca="false">LD$4*LD24</f>
        <v>0</v>
      </c>
      <c r="LE129" s="196" t="n">
        <f aca="false">LE$4*LE24</f>
        <v>0</v>
      </c>
      <c r="LF129" s="196" t="n">
        <f aca="false">LF$4*LF24</f>
        <v>0</v>
      </c>
      <c r="LG129" s="196" t="n">
        <f aca="false">LG$4*LG24</f>
        <v>0</v>
      </c>
      <c r="LH129" s="196" t="n">
        <f aca="false">LH$4*LH24</f>
        <v>0</v>
      </c>
      <c r="LI129" s="197" t="n">
        <f aca="false">LI$4*LI24</f>
        <v>0</v>
      </c>
      <c r="LJ129" s="194" t="str">
        <f aca="false">KY129</f>
        <v>Alumno19</v>
      </c>
      <c r="LK129" s="195" t="n">
        <f aca="false">LK$4*LK24</f>
        <v>0</v>
      </c>
      <c r="LL129" s="196" t="n">
        <f aca="false">LL$4*LL24</f>
        <v>0</v>
      </c>
      <c r="LM129" s="196" t="n">
        <f aca="false">LM$4*LM24</f>
        <v>0</v>
      </c>
      <c r="LN129" s="196" t="n">
        <f aca="false">LN$4*LN24</f>
        <v>0</v>
      </c>
      <c r="LO129" s="196" t="n">
        <f aca="false">LO$4*LO24</f>
        <v>0</v>
      </c>
      <c r="LP129" s="196" t="n">
        <f aca="false">LP$4*LP24</f>
        <v>0</v>
      </c>
      <c r="LQ129" s="196" t="n">
        <f aca="false">LQ$4*LQ24</f>
        <v>0</v>
      </c>
      <c r="LR129" s="196" t="n">
        <f aca="false">LR$4*LR24</f>
        <v>0</v>
      </c>
      <c r="LS129" s="196" t="n">
        <f aca="false">LS$4*LS24</f>
        <v>0</v>
      </c>
      <c r="LT129" s="197" t="n">
        <f aca="false">LT$4*LT24</f>
        <v>0</v>
      </c>
    </row>
    <row r="130" customFormat="false" ht="15" hidden="true" customHeight="false" outlineLevel="0" collapsed="false">
      <c r="C130" s="194" t="str">
        <f aca="false">C81</f>
        <v>Alumno20</v>
      </c>
      <c r="D130" s="195" t="n">
        <f aca="false">D$4*D25</f>
        <v>0.75</v>
      </c>
      <c r="E130" s="196" t="n">
        <f aca="false">E$4*E25</f>
        <v>0.9</v>
      </c>
      <c r="F130" s="196" t="n">
        <f aca="false">F$4*F25</f>
        <v>0.6</v>
      </c>
      <c r="G130" s="196" t="n">
        <f aca="false">G$4*G25</f>
        <v>0.4</v>
      </c>
      <c r="H130" s="196" t="n">
        <f aca="false">H$4*H25</f>
        <v>0.75</v>
      </c>
      <c r="I130" s="196" t="n">
        <f aca="false">I$4*I25</f>
        <v>0.9</v>
      </c>
      <c r="J130" s="196" t="n">
        <f aca="false">J$4*J25</f>
        <v>0.7</v>
      </c>
      <c r="K130" s="196" t="n">
        <f aca="false">K$4*K25</f>
        <v>0</v>
      </c>
      <c r="L130" s="196" t="n">
        <f aca="false">L$4*L25</f>
        <v>0</v>
      </c>
      <c r="M130" s="197" t="n">
        <f aca="false">M$4*M25</f>
        <v>0</v>
      </c>
      <c r="N130" s="194" t="str">
        <f aca="false">C130</f>
        <v>Alumno20</v>
      </c>
      <c r="O130" s="195" t="n">
        <f aca="false">O$4*O25</f>
        <v>1</v>
      </c>
      <c r="P130" s="196" t="n">
        <f aca="false">P$4*P25</f>
        <v>1.2</v>
      </c>
      <c r="Q130" s="196" t="n">
        <f aca="false">Q$4*Q25</f>
        <v>0.6</v>
      </c>
      <c r="R130" s="196" t="n">
        <f aca="false">R$4*R25</f>
        <v>0.8</v>
      </c>
      <c r="S130" s="196" t="n">
        <f aca="false">S$4*S25</f>
        <v>1</v>
      </c>
      <c r="T130" s="196" t="n">
        <f aca="false">T$4*T25</f>
        <v>0</v>
      </c>
      <c r="U130" s="196" t="n">
        <f aca="false">U$4*U25</f>
        <v>0</v>
      </c>
      <c r="V130" s="196" t="n">
        <f aca="false">V$4*V25</f>
        <v>0</v>
      </c>
      <c r="W130" s="196" t="n">
        <f aca="false">W$4*W25</f>
        <v>0</v>
      </c>
      <c r="X130" s="197" t="n">
        <f aca="false">X$4*X25</f>
        <v>0</v>
      </c>
      <c r="Y130" s="194" t="str">
        <f aca="false">N130</f>
        <v>Alumno20</v>
      </c>
      <c r="Z130" s="195" t="n">
        <f aca="false">Z$4*Z25</f>
        <v>1.8</v>
      </c>
      <c r="AA130" s="196" t="n">
        <f aca="false">AA$4*AA25</f>
        <v>2</v>
      </c>
      <c r="AB130" s="196" t="n">
        <f aca="false">AB$4*AB25</f>
        <v>2</v>
      </c>
      <c r="AC130" s="196" t="n">
        <f aca="false">AC$4*AC25</f>
        <v>2</v>
      </c>
      <c r="AD130" s="196" t="n">
        <f aca="false">AD$4*AD25</f>
        <v>1.8</v>
      </c>
      <c r="AE130" s="196" t="n">
        <f aca="false">AE$4*AE25</f>
        <v>0</v>
      </c>
      <c r="AF130" s="196" t="n">
        <f aca="false">AF$4*AF25</f>
        <v>0</v>
      </c>
      <c r="AG130" s="196" t="n">
        <f aca="false">AG$4*AG25</f>
        <v>0</v>
      </c>
      <c r="AH130" s="196" t="n">
        <f aca="false">AH$4*AH25</f>
        <v>0</v>
      </c>
      <c r="AI130" s="197" t="n">
        <f aca="false">AI$4*AI25</f>
        <v>0</v>
      </c>
      <c r="AJ130" s="194" t="str">
        <f aca="false">Y130</f>
        <v>Alumno20</v>
      </c>
      <c r="AK130" s="195" t="n">
        <f aca="false">AK$4*AK25</f>
        <v>1.8</v>
      </c>
      <c r="AL130" s="196" t="n">
        <f aca="false">AL$4*AL25</f>
        <v>2</v>
      </c>
      <c r="AM130" s="196" t="n">
        <f aca="false">AM$4*AM25</f>
        <v>2</v>
      </c>
      <c r="AN130" s="196" t="n">
        <f aca="false">AN$4*AN25</f>
        <v>2</v>
      </c>
      <c r="AO130" s="196" t="n">
        <f aca="false">AO$4*AO25</f>
        <v>1.8</v>
      </c>
      <c r="AP130" s="196" t="n">
        <f aca="false">AP$4*AP25</f>
        <v>0</v>
      </c>
      <c r="AQ130" s="196" t="n">
        <f aca="false">AQ$4*AQ25</f>
        <v>0</v>
      </c>
      <c r="AR130" s="196" t="n">
        <f aca="false">AR$4*AR25</f>
        <v>0</v>
      </c>
      <c r="AS130" s="196" t="n">
        <f aca="false">AS$4*AS25</f>
        <v>0</v>
      </c>
      <c r="AT130" s="197" t="n">
        <f aca="false">AT$4*AT25</f>
        <v>0</v>
      </c>
      <c r="AU130" s="194" t="str">
        <f aca="false">AJ130</f>
        <v>Alumno20</v>
      </c>
      <c r="AV130" s="195" t="n">
        <f aca="false">AV$4*AV25</f>
        <v>0.5</v>
      </c>
      <c r="AW130" s="196" t="n">
        <f aca="false">AW$4*AW25</f>
        <v>1.2</v>
      </c>
      <c r="AX130" s="196" t="n">
        <f aca="false">AX$4*AX25</f>
        <v>0.6</v>
      </c>
      <c r="AY130" s="196" t="n">
        <f aca="false">AY$4*AY25</f>
        <v>1.2</v>
      </c>
      <c r="AZ130" s="196" t="n">
        <f aca="false">AZ$4*AZ25</f>
        <v>1</v>
      </c>
      <c r="BA130" s="196" t="n">
        <f aca="false">BA$4*BA25</f>
        <v>0</v>
      </c>
      <c r="BB130" s="196" t="n">
        <f aca="false">BB$4*BB25</f>
        <v>0</v>
      </c>
      <c r="BC130" s="196" t="n">
        <f aca="false">BC$4*BC25</f>
        <v>0</v>
      </c>
      <c r="BD130" s="196" t="n">
        <f aca="false">BD$4*BD25</f>
        <v>0</v>
      </c>
      <c r="BE130" s="197" t="n">
        <f aca="false">BE$4*BE25</f>
        <v>0</v>
      </c>
      <c r="BF130" s="194" t="str">
        <f aca="false">AU130</f>
        <v>Alumno20</v>
      </c>
      <c r="BG130" s="195" t="n">
        <f aca="false">BG$4*BG25</f>
        <v>0.5</v>
      </c>
      <c r="BH130" s="196" t="n">
        <f aca="false">BH$4*BH25</f>
        <v>1.2</v>
      </c>
      <c r="BI130" s="196" t="n">
        <f aca="false">BI$4*BI25</f>
        <v>0.6</v>
      </c>
      <c r="BJ130" s="196" t="n">
        <f aca="false">BJ$4*BJ25</f>
        <v>0.8</v>
      </c>
      <c r="BK130" s="196" t="n">
        <f aca="false">BK$4*BK25</f>
        <v>1.5</v>
      </c>
      <c r="BL130" s="196" t="n">
        <f aca="false">BL$4*BL25</f>
        <v>0</v>
      </c>
      <c r="BM130" s="196" t="n">
        <f aca="false">BM$4*BM25</f>
        <v>0</v>
      </c>
      <c r="BN130" s="196" t="n">
        <f aca="false">BN$4*BN25</f>
        <v>0</v>
      </c>
      <c r="BO130" s="196" t="n">
        <f aca="false">BO$4*BO25</f>
        <v>0</v>
      </c>
      <c r="BP130" s="197" t="n">
        <f aca="false">BP$4*BP25</f>
        <v>0</v>
      </c>
      <c r="BQ130" s="194" t="str">
        <f aca="false">BF130</f>
        <v>Alumno20</v>
      </c>
      <c r="BR130" s="195" t="n">
        <f aca="false">BR$4*BR25</f>
        <v>1.2</v>
      </c>
      <c r="BS130" s="196" t="n">
        <f aca="false">BS$4*BS25</f>
        <v>0.7</v>
      </c>
      <c r="BT130" s="196" t="n">
        <f aca="false">BT$4*BT25</f>
        <v>0.8</v>
      </c>
      <c r="BU130" s="196" t="n">
        <f aca="false">BU$4*BU25</f>
        <v>0.8</v>
      </c>
      <c r="BV130" s="196" t="n">
        <f aca="false">BV$4*BV25</f>
        <v>1.5</v>
      </c>
      <c r="BW130" s="196" t="n">
        <f aca="false">BW$4*BW25</f>
        <v>0</v>
      </c>
      <c r="BX130" s="196" t="n">
        <f aca="false">BX$4*BX25</f>
        <v>0</v>
      </c>
      <c r="BY130" s="196" t="n">
        <f aca="false">BY$4*BY25</f>
        <v>0</v>
      </c>
      <c r="BZ130" s="196" t="n">
        <f aca="false">BZ$4*BZ25</f>
        <v>0</v>
      </c>
      <c r="CA130" s="197" t="n">
        <f aca="false">CA$4*CA25</f>
        <v>0</v>
      </c>
      <c r="CB130" s="194" t="str">
        <f aca="false">BQ130</f>
        <v>Alumno20</v>
      </c>
      <c r="CC130" s="195" t="n">
        <f aca="false">CC$4*CC25</f>
        <v>0</v>
      </c>
      <c r="CD130" s="196" t="n">
        <f aca="false">CD$4*CD25</f>
        <v>0</v>
      </c>
      <c r="CE130" s="196" t="n">
        <f aca="false">CE$4*CE25</f>
        <v>0</v>
      </c>
      <c r="CF130" s="196" t="n">
        <f aca="false">CF$4*CF25</f>
        <v>0</v>
      </c>
      <c r="CG130" s="196" t="n">
        <f aca="false">CG$4*CG25</f>
        <v>0</v>
      </c>
      <c r="CH130" s="196" t="n">
        <f aca="false">CH$4*CH25</f>
        <v>0</v>
      </c>
      <c r="CI130" s="196" t="n">
        <f aca="false">CI$4*CI25</f>
        <v>0</v>
      </c>
      <c r="CJ130" s="196" t="n">
        <f aca="false">CJ$4*CJ25</f>
        <v>0</v>
      </c>
      <c r="CK130" s="196" t="n">
        <f aca="false">CK$4*CK25</f>
        <v>0</v>
      </c>
      <c r="CL130" s="197" t="n">
        <f aca="false">CL$4*CL25</f>
        <v>0</v>
      </c>
      <c r="CM130" s="194" t="str">
        <f aca="false">CB130</f>
        <v>Alumno20</v>
      </c>
      <c r="CN130" s="195" t="n">
        <f aca="false">CN$4*CN25</f>
        <v>0</v>
      </c>
      <c r="CO130" s="196" t="n">
        <f aca="false">CO$4*CO25</f>
        <v>0</v>
      </c>
      <c r="CP130" s="196" t="n">
        <f aca="false">CP$4*CP25</f>
        <v>0</v>
      </c>
      <c r="CQ130" s="196" t="n">
        <f aca="false">CQ$4*CQ25</f>
        <v>0</v>
      </c>
      <c r="CR130" s="196" t="n">
        <f aca="false">CR$4*CR25</f>
        <v>0</v>
      </c>
      <c r="CS130" s="196" t="n">
        <f aca="false">CS$4*CS25</f>
        <v>0</v>
      </c>
      <c r="CT130" s="196" t="n">
        <f aca="false">CT$4*CT25</f>
        <v>0</v>
      </c>
      <c r="CU130" s="196" t="n">
        <f aca="false">CU$4*CU25</f>
        <v>0</v>
      </c>
      <c r="CV130" s="196" t="n">
        <f aca="false">CV$4*CV25</f>
        <v>0</v>
      </c>
      <c r="CW130" s="197" t="n">
        <f aca="false">CW$4*CW25</f>
        <v>0</v>
      </c>
      <c r="CX130" s="194" t="str">
        <f aca="false">CM130</f>
        <v>Alumno20</v>
      </c>
      <c r="CY130" s="195" t="n">
        <f aca="false">CY$4*CY25</f>
        <v>0</v>
      </c>
      <c r="CZ130" s="196" t="n">
        <f aca="false">CZ$4*CZ25</f>
        <v>0</v>
      </c>
      <c r="DA130" s="196" t="n">
        <f aca="false">DA$4*DA25</f>
        <v>0</v>
      </c>
      <c r="DB130" s="196" t="n">
        <f aca="false">DB$4*DB25</f>
        <v>0</v>
      </c>
      <c r="DC130" s="196" t="n">
        <f aca="false">DC$4*DC25</f>
        <v>0</v>
      </c>
      <c r="DD130" s="196" t="n">
        <f aca="false">DD$4*DD25</f>
        <v>0</v>
      </c>
      <c r="DE130" s="196" t="n">
        <f aca="false">DE$4*DE25</f>
        <v>0</v>
      </c>
      <c r="DF130" s="196" t="n">
        <f aca="false">DF$4*DF25</f>
        <v>0</v>
      </c>
      <c r="DG130" s="196" t="n">
        <f aca="false">DG$4*DG25</f>
        <v>0</v>
      </c>
      <c r="DH130" s="197" t="n">
        <f aca="false">DH$4*DH25</f>
        <v>0</v>
      </c>
      <c r="DI130" s="194" t="str">
        <f aca="false">CX130</f>
        <v>Alumno20</v>
      </c>
      <c r="DJ130" s="195" t="n">
        <f aca="false">DJ$4*DJ25</f>
        <v>0</v>
      </c>
      <c r="DK130" s="196" t="n">
        <f aca="false">DK$4*DK25</f>
        <v>0</v>
      </c>
      <c r="DL130" s="196" t="n">
        <f aca="false">DL$4*DL25</f>
        <v>0</v>
      </c>
      <c r="DM130" s="196" t="n">
        <f aca="false">DM$4*DM25</f>
        <v>0</v>
      </c>
      <c r="DN130" s="196" t="n">
        <f aca="false">DN$4*DN25</f>
        <v>0</v>
      </c>
      <c r="DO130" s="196" t="n">
        <f aca="false">DO$4*DO25</f>
        <v>0</v>
      </c>
      <c r="DP130" s="196" t="n">
        <f aca="false">DP$4*DP25</f>
        <v>0</v>
      </c>
      <c r="DQ130" s="196" t="n">
        <f aca="false">DQ$4*DQ25</f>
        <v>0</v>
      </c>
      <c r="DR130" s="196" t="n">
        <f aca="false">DR$4*DR25</f>
        <v>0</v>
      </c>
      <c r="DS130" s="197" t="n">
        <f aca="false">DS$4*DS25</f>
        <v>0</v>
      </c>
      <c r="DT130" s="194" t="str">
        <f aca="false">DI130</f>
        <v>Alumno20</v>
      </c>
      <c r="DU130" s="195" t="n">
        <f aca="false">DU$4*DU25</f>
        <v>0</v>
      </c>
      <c r="DV130" s="196" t="n">
        <f aca="false">DV$4*DV25</f>
        <v>0</v>
      </c>
      <c r="DW130" s="196" t="n">
        <f aca="false">DW$4*DW25</f>
        <v>0</v>
      </c>
      <c r="DX130" s="196" t="n">
        <f aca="false">DX$4*DX25</f>
        <v>0</v>
      </c>
      <c r="DY130" s="196" t="n">
        <f aca="false">DY$4*DY25</f>
        <v>0</v>
      </c>
      <c r="DZ130" s="196" t="n">
        <f aca="false">DZ$4*DZ25</f>
        <v>0</v>
      </c>
      <c r="EA130" s="196" t="n">
        <f aca="false">EA$4*EA25</f>
        <v>0</v>
      </c>
      <c r="EB130" s="196" t="n">
        <f aca="false">EB$4*EB25</f>
        <v>0</v>
      </c>
      <c r="EC130" s="196" t="n">
        <f aca="false">EC$4*EC25</f>
        <v>0</v>
      </c>
      <c r="ED130" s="197" t="n">
        <f aca="false">ED$4*ED25</f>
        <v>0</v>
      </c>
      <c r="EE130" s="194" t="str">
        <f aca="false">DT130</f>
        <v>Alumno20</v>
      </c>
      <c r="EF130" s="195" t="n">
        <f aca="false">EF$4*EF25</f>
        <v>0</v>
      </c>
      <c r="EG130" s="196" t="n">
        <f aca="false">EG$4*EG25</f>
        <v>0</v>
      </c>
      <c r="EH130" s="196" t="n">
        <f aca="false">EH$4*EH25</f>
        <v>0</v>
      </c>
      <c r="EI130" s="196" t="n">
        <f aca="false">EI$4*EI25</f>
        <v>0</v>
      </c>
      <c r="EJ130" s="196" t="n">
        <f aca="false">EJ$4*EJ25</f>
        <v>0</v>
      </c>
      <c r="EK130" s="196" t="n">
        <f aca="false">EK$4*EK25</f>
        <v>0</v>
      </c>
      <c r="EL130" s="196" t="n">
        <f aca="false">EL$4*EL25</f>
        <v>0</v>
      </c>
      <c r="EM130" s="196" t="n">
        <f aca="false">EM$4*EM25</f>
        <v>0</v>
      </c>
      <c r="EN130" s="196" t="n">
        <f aca="false">EN$4*EN25</f>
        <v>0</v>
      </c>
      <c r="EO130" s="197" t="n">
        <f aca="false">EO$4*EO25</f>
        <v>0</v>
      </c>
      <c r="EP130" s="194" t="str">
        <f aca="false">EE130</f>
        <v>Alumno20</v>
      </c>
      <c r="EQ130" s="195" t="n">
        <f aca="false">EQ$4*EQ25</f>
        <v>0</v>
      </c>
      <c r="ER130" s="196" t="n">
        <f aca="false">ER$4*ER25</f>
        <v>0</v>
      </c>
      <c r="ES130" s="196" t="n">
        <f aca="false">ES$4*ES25</f>
        <v>0</v>
      </c>
      <c r="ET130" s="196" t="n">
        <f aca="false">ET$4*ET25</f>
        <v>0</v>
      </c>
      <c r="EU130" s="196" t="n">
        <f aca="false">EU$4*EU25</f>
        <v>0</v>
      </c>
      <c r="EV130" s="196" t="n">
        <f aca="false">EV$4*EV25</f>
        <v>0</v>
      </c>
      <c r="EW130" s="196" t="n">
        <f aca="false">EW$4*EW25</f>
        <v>0</v>
      </c>
      <c r="EX130" s="196" t="n">
        <f aca="false">EX$4*EX25</f>
        <v>0</v>
      </c>
      <c r="EY130" s="196" t="n">
        <f aca="false">EY$4*EY25</f>
        <v>0</v>
      </c>
      <c r="EZ130" s="197" t="n">
        <f aca="false">EZ$4*EZ25</f>
        <v>0</v>
      </c>
      <c r="FA130" s="194" t="str">
        <f aca="false">EP130</f>
        <v>Alumno20</v>
      </c>
      <c r="FB130" s="195" t="n">
        <f aca="false">FB$4*FB25</f>
        <v>0</v>
      </c>
      <c r="FC130" s="196" t="n">
        <f aca="false">FC$4*FC25</f>
        <v>0</v>
      </c>
      <c r="FD130" s="196" t="n">
        <f aca="false">FD$4*FD25</f>
        <v>0</v>
      </c>
      <c r="FE130" s="196" t="n">
        <f aca="false">FE$4*FE25</f>
        <v>0</v>
      </c>
      <c r="FF130" s="196" t="n">
        <f aca="false">FF$4*FF25</f>
        <v>0</v>
      </c>
      <c r="FG130" s="196" t="n">
        <f aca="false">FG$4*FG25</f>
        <v>0</v>
      </c>
      <c r="FH130" s="196" t="n">
        <f aca="false">FH$4*FH25</f>
        <v>0</v>
      </c>
      <c r="FI130" s="196" t="n">
        <f aca="false">FI$4*FI25</f>
        <v>0</v>
      </c>
      <c r="FJ130" s="196" t="n">
        <f aca="false">FJ$4*FJ25</f>
        <v>0</v>
      </c>
      <c r="FK130" s="197" t="n">
        <f aca="false">FK$4*FK25</f>
        <v>0</v>
      </c>
      <c r="FL130" s="194" t="str">
        <f aca="false">FA130</f>
        <v>Alumno20</v>
      </c>
      <c r="FM130" s="195" t="n">
        <f aca="false">FM$4*FM25</f>
        <v>0</v>
      </c>
      <c r="FN130" s="196" t="n">
        <f aca="false">FN$4*FN25</f>
        <v>0</v>
      </c>
      <c r="FO130" s="196" t="n">
        <f aca="false">FO$4*FO25</f>
        <v>0</v>
      </c>
      <c r="FP130" s="196" t="n">
        <f aca="false">FP$4*FP25</f>
        <v>0</v>
      </c>
      <c r="FQ130" s="196" t="n">
        <f aca="false">FQ$4*FQ25</f>
        <v>0</v>
      </c>
      <c r="FR130" s="196" t="n">
        <f aca="false">FR$4*FR25</f>
        <v>0</v>
      </c>
      <c r="FS130" s="196" t="n">
        <f aca="false">FS$4*FS25</f>
        <v>0</v>
      </c>
      <c r="FT130" s="196" t="n">
        <f aca="false">FT$4*FT25</f>
        <v>0</v>
      </c>
      <c r="FU130" s="196" t="n">
        <f aca="false">FU$4*FU25</f>
        <v>0</v>
      </c>
      <c r="FV130" s="197" t="n">
        <f aca="false">FV$4*FV25</f>
        <v>0</v>
      </c>
      <c r="FW130" s="194" t="str">
        <f aca="false">FL130</f>
        <v>Alumno20</v>
      </c>
      <c r="FX130" s="195" t="n">
        <f aca="false">FX$4*FX25</f>
        <v>0</v>
      </c>
      <c r="FY130" s="196" t="n">
        <f aca="false">FY$4*FY25</f>
        <v>0</v>
      </c>
      <c r="FZ130" s="196" t="n">
        <f aca="false">FZ$4*FZ25</f>
        <v>0</v>
      </c>
      <c r="GA130" s="196" t="n">
        <f aca="false">GA$4*GA25</f>
        <v>0</v>
      </c>
      <c r="GB130" s="196" t="n">
        <f aca="false">GB$4*GB25</f>
        <v>0</v>
      </c>
      <c r="GC130" s="196" t="n">
        <f aca="false">GC$4*GC25</f>
        <v>0</v>
      </c>
      <c r="GD130" s="196" t="n">
        <f aca="false">GD$4*GD25</f>
        <v>0</v>
      </c>
      <c r="GE130" s="196" t="n">
        <f aca="false">GE$4*GE25</f>
        <v>0</v>
      </c>
      <c r="GF130" s="196" t="n">
        <f aca="false">GF$4*GF25</f>
        <v>0</v>
      </c>
      <c r="GG130" s="197" t="n">
        <f aca="false">GG$4*GG25</f>
        <v>0</v>
      </c>
      <c r="GH130" s="194" t="str">
        <f aca="false">FW130</f>
        <v>Alumno20</v>
      </c>
      <c r="GI130" s="195" t="n">
        <f aca="false">GI$4*GI25</f>
        <v>0</v>
      </c>
      <c r="GJ130" s="196" t="n">
        <f aca="false">GJ$4*GJ25</f>
        <v>0</v>
      </c>
      <c r="GK130" s="196" t="n">
        <f aca="false">GK$4*GK25</f>
        <v>0</v>
      </c>
      <c r="GL130" s="196" t="n">
        <f aca="false">GL$4*GL25</f>
        <v>0</v>
      </c>
      <c r="GM130" s="196" t="n">
        <f aca="false">GM$4*GM25</f>
        <v>0</v>
      </c>
      <c r="GN130" s="196" t="n">
        <f aca="false">GN$4*GN25</f>
        <v>0</v>
      </c>
      <c r="GO130" s="196" t="n">
        <f aca="false">GO$4*GO25</f>
        <v>0</v>
      </c>
      <c r="GP130" s="196" t="n">
        <f aca="false">GP$4*GP25</f>
        <v>0</v>
      </c>
      <c r="GQ130" s="196" t="n">
        <f aca="false">GQ$4*GQ25</f>
        <v>0</v>
      </c>
      <c r="GR130" s="197" t="n">
        <f aca="false">GR$4*GR25</f>
        <v>0</v>
      </c>
      <c r="GS130" s="194" t="str">
        <f aca="false">GH130</f>
        <v>Alumno20</v>
      </c>
      <c r="GT130" s="195" t="n">
        <f aca="false">GT$4*GT25</f>
        <v>0</v>
      </c>
      <c r="GU130" s="196" t="n">
        <f aca="false">GU$4*GU25</f>
        <v>0</v>
      </c>
      <c r="GV130" s="196" t="n">
        <f aca="false">GV$4*GV25</f>
        <v>0</v>
      </c>
      <c r="GW130" s="196" t="n">
        <f aca="false">GW$4*GW25</f>
        <v>0</v>
      </c>
      <c r="GX130" s="196" t="n">
        <f aca="false">GX$4*GX25</f>
        <v>0</v>
      </c>
      <c r="GY130" s="196" t="n">
        <f aca="false">GY$4*GY25</f>
        <v>0</v>
      </c>
      <c r="GZ130" s="196" t="n">
        <f aca="false">GZ$4*GZ25</f>
        <v>0</v>
      </c>
      <c r="HA130" s="196" t="n">
        <f aca="false">HA$4*HA25</f>
        <v>0</v>
      </c>
      <c r="HB130" s="196" t="n">
        <f aca="false">HB$4*HB25</f>
        <v>0</v>
      </c>
      <c r="HC130" s="197" t="n">
        <f aca="false">HC$4*HC25</f>
        <v>0</v>
      </c>
      <c r="HD130" s="194" t="str">
        <f aca="false">GS130</f>
        <v>Alumno20</v>
      </c>
      <c r="HE130" s="195" t="n">
        <f aca="false">HE$4*HE25</f>
        <v>0</v>
      </c>
      <c r="HF130" s="196" t="n">
        <f aca="false">HF$4*HF25</f>
        <v>0</v>
      </c>
      <c r="HG130" s="196" t="n">
        <f aca="false">HG$4*HG25</f>
        <v>0</v>
      </c>
      <c r="HH130" s="196" t="n">
        <f aca="false">HH$4*HH25</f>
        <v>0</v>
      </c>
      <c r="HI130" s="196" t="n">
        <f aca="false">HI$4*HI25</f>
        <v>0</v>
      </c>
      <c r="HJ130" s="196" t="n">
        <f aca="false">HJ$4*HJ25</f>
        <v>0</v>
      </c>
      <c r="HK130" s="196" t="n">
        <f aca="false">HK$4*HK25</f>
        <v>0</v>
      </c>
      <c r="HL130" s="196" t="n">
        <f aca="false">HL$4*HL25</f>
        <v>0</v>
      </c>
      <c r="HM130" s="196" t="n">
        <f aca="false">HM$4*HM25</f>
        <v>0</v>
      </c>
      <c r="HN130" s="197" t="n">
        <f aca="false">HN$4*HN25</f>
        <v>0</v>
      </c>
      <c r="HO130" s="194" t="str">
        <f aca="false">HD130</f>
        <v>Alumno20</v>
      </c>
      <c r="HP130" s="195" t="n">
        <f aca="false">HP$4*HP25</f>
        <v>0</v>
      </c>
      <c r="HQ130" s="196" t="n">
        <f aca="false">HQ$4*HQ25</f>
        <v>0</v>
      </c>
      <c r="HR130" s="196" t="n">
        <f aca="false">HR$4*HR25</f>
        <v>0</v>
      </c>
      <c r="HS130" s="196" t="n">
        <f aca="false">HS$4*HS25</f>
        <v>0</v>
      </c>
      <c r="HT130" s="196" t="n">
        <f aca="false">HT$4*HT25</f>
        <v>0</v>
      </c>
      <c r="HU130" s="196" t="n">
        <f aca="false">HU$4*HU25</f>
        <v>0</v>
      </c>
      <c r="HV130" s="196" t="n">
        <f aca="false">HV$4*HV25</f>
        <v>0</v>
      </c>
      <c r="HW130" s="196" t="n">
        <f aca="false">HW$4*HW25</f>
        <v>0</v>
      </c>
      <c r="HX130" s="196" t="n">
        <f aca="false">HX$4*HX25</f>
        <v>0</v>
      </c>
      <c r="HY130" s="197" t="n">
        <f aca="false">HY$4*HY25</f>
        <v>0</v>
      </c>
      <c r="HZ130" s="194" t="str">
        <f aca="false">HO130</f>
        <v>Alumno20</v>
      </c>
      <c r="IA130" s="195" t="n">
        <f aca="false">IA$4*IA25</f>
        <v>0</v>
      </c>
      <c r="IB130" s="196" t="n">
        <f aca="false">IB$4*IB25</f>
        <v>0</v>
      </c>
      <c r="IC130" s="196" t="n">
        <f aca="false">IC$4*IC25</f>
        <v>0</v>
      </c>
      <c r="ID130" s="196" t="n">
        <f aca="false">ID$4*ID25</f>
        <v>0</v>
      </c>
      <c r="IE130" s="196" t="n">
        <f aca="false">IE$4*IE25</f>
        <v>0</v>
      </c>
      <c r="IF130" s="196" t="n">
        <f aca="false">IF$4*IF25</f>
        <v>0</v>
      </c>
      <c r="IG130" s="196" t="n">
        <f aca="false">IG$4*IG25</f>
        <v>0</v>
      </c>
      <c r="IH130" s="196" t="n">
        <f aca="false">IH$4*IH25</f>
        <v>0</v>
      </c>
      <c r="II130" s="196" t="n">
        <f aca="false">II$4*II25</f>
        <v>0</v>
      </c>
      <c r="IJ130" s="197" t="n">
        <f aca="false">IJ$4*IJ25</f>
        <v>0</v>
      </c>
      <c r="IK130" s="194" t="str">
        <f aca="false">HZ130</f>
        <v>Alumno20</v>
      </c>
      <c r="IL130" s="195" t="n">
        <f aca="false">IL$4*IL25</f>
        <v>0</v>
      </c>
      <c r="IM130" s="196" t="n">
        <f aca="false">IM$4*IM25</f>
        <v>0</v>
      </c>
      <c r="IN130" s="196" t="n">
        <f aca="false">IN$4*IN25</f>
        <v>0</v>
      </c>
      <c r="IO130" s="196" t="n">
        <f aca="false">IO$4*IO25</f>
        <v>0</v>
      </c>
      <c r="IP130" s="196" t="n">
        <f aca="false">IP$4*IP25</f>
        <v>0</v>
      </c>
      <c r="IQ130" s="196" t="n">
        <f aca="false">IQ$4*IQ25</f>
        <v>0</v>
      </c>
      <c r="IR130" s="196" t="n">
        <f aca="false">IR$4*IR25</f>
        <v>0</v>
      </c>
      <c r="IS130" s="196" t="n">
        <f aca="false">IS$4*IS25</f>
        <v>0</v>
      </c>
      <c r="IT130" s="196" t="n">
        <f aca="false">IT$4*IT25</f>
        <v>0</v>
      </c>
      <c r="IU130" s="197" t="n">
        <f aca="false">IU$4*IU25</f>
        <v>0</v>
      </c>
      <c r="IV130" s="194" t="str">
        <f aca="false">IK130</f>
        <v>Alumno20</v>
      </c>
      <c r="IW130" s="195" t="n">
        <f aca="false">IW$4*IW25</f>
        <v>0</v>
      </c>
      <c r="IX130" s="196" t="n">
        <f aca="false">IX$4*IX25</f>
        <v>0</v>
      </c>
      <c r="IY130" s="196" t="n">
        <f aca="false">IY$4*IY25</f>
        <v>0</v>
      </c>
      <c r="IZ130" s="196" t="n">
        <f aca="false">IZ$4*IZ25</f>
        <v>0</v>
      </c>
      <c r="JA130" s="196" t="n">
        <f aca="false">JA$4*JA25</f>
        <v>0</v>
      </c>
      <c r="JB130" s="196" t="n">
        <f aca="false">JB$4*JB25</f>
        <v>0</v>
      </c>
      <c r="JC130" s="196" t="n">
        <f aca="false">JC$4*JC25</f>
        <v>0</v>
      </c>
      <c r="JD130" s="196" t="n">
        <f aca="false">JD$4*JD25</f>
        <v>0</v>
      </c>
      <c r="JE130" s="196" t="n">
        <f aca="false">JE$4*JE25</f>
        <v>0</v>
      </c>
      <c r="JF130" s="197" t="n">
        <f aca="false">JF$4*JF25</f>
        <v>0</v>
      </c>
      <c r="JG130" s="194" t="str">
        <f aca="false">IV130</f>
        <v>Alumno20</v>
      </c>
      <c r="JH130" s="195" t="n">
        <f aca="false">JH$4*JH25</f>
        <v>0</v>
      </c>
      <c r="JI130" s="196" t="n">
        <f aca="false">JI$4*JI25</f>
        <v>0</v>
      </c>
      <c r="JJ130" s="196" t="n">
        <f aca="false">JJ$4*JJ25</f>
        <v>0</v>
      </c>
      <c r="JK130" s="196" t="n">
        <f aca="false">JK$4*JK25</f>
        <v>0</v>
      </c>
      <c r="JL130" s="196" t="n">
        <f aca="false">JL$4*JL25</f>
        <v>0</v>
      </c>
      <c r="JM130" s="196" t="n">
        <f aca="false">JM$4*JM25</f>
        <v>0</v>
      </c>
      <c r="JN130" s="196" t="n">
        <f aca="false">JN$4*JN25</f>
        <v>0</v>
      </c>
      <c r="JO130" s="196" t="n">
        <f aca="false">JO$4*JO25</f>
        <v>0</v>
      </c>
      <c r="JP130" s="196" t="n">
        <f aca="false">JP$4*JP25</f>
        <v>0</v>
      </c>
      <c r="JQ130" s="197" t="n">
        <f aca="false">JQ$4*JQ25</f>
        <v>0</v>
      </c>
      <c r="JR130" s="194" t="str">
        <f aca="false">JG130</f>
        <v>Alumno20</v>
      </c>
      <c r="JS130" s="195" t="n">
        <f aca="false">JS$4*JS25</f>
        <v>0</v>
      </c>
      <c r="JT130" s="196" t="n">
        <f aca="false">JT$4*JT25</f>
        <v>0</v>
      </c>
      <c r="JU130" s="196" t="n">
        <f aca="false">JU$4*JU25</f>
        <v>0</v>
      </c>
      <c r="JV130" s="196" t="n">
        <f aca="false">JV$4*JV25</f>
        <v>0</v>
      </c>
      <c r="JW130" s="196" t="n">
        <f aca="false">JW$4*JW25</f>
        <v>0</v>
      </c>
      <c r="JX130" s="196" t="n">
        <f aca="false">JX$4*JX25</f>
        <v>0</v>
      </c>
      <c r="JY130" s="196" t="n">
        <f aca="false">JY$4*JY25</f>
        <v>0</v>
      </c>
      <c r="JZ130" s="196" t="n">
        <f aca="false">JZ$4*JZ25</f>
        <v>0</v>
      </c>
      <c r="KA130" s="196" t="n">
        <f aca="false">KA$4*KA25</f>
        <v>0</v>
      </c>
      <c r="KB130" s="197" t="n">
        <f aca="false">KB$4*KB25</f>
        <v>0</v>
      </c>
      <c r="KC130" s="194" t="str">
        <f aca="false">JR130</f>
        <v>Alumno20</v>
      </c>
      <c r="KD130" s="195" t="n">
        <f aca="false">KD$4*KD25</f>
        <v>0</v>
      </c>
      <c r="KE130" s="196" t="n">
        <f aca="false">KE$4*KE25</f>
        <v>0</v>
      </c>
      <c r="KF130" s="196" t="n">
        <f aca="false">KF$4*KF25</f>
        <v>0</v>
      </c>
      <c r="KG130" s="196" t="n">
        <f aca="false">KG$4*KG25</f>
        <v>0</v>
      </c>
      <c r="KH130" s="196" t="n">
        <f aca="false">KH$4*KH25</f>
        <v>0</v>
      </c>
      <c r="KI130" s="196" t="n">
        <f aca="false">KI$4*KI25</f>
        <v>0</v>
      </c>
      <c r="KJ130" s="196" t="n">
        <f aca="false">KJ$4*KJ25</f>
        <v>0</v>
      </c>
      <c r="KK130" s="196" t="n">
        <f aca="false">KK$4*KK25</f>
        <v>0</v>
      </c>
      <c r="KL130" s="196" t="n">
        <f aca="false">KL$4*KL25</f>
        <v>0</v>
      </c>
      <c r="KM130" s="197" t="n">
        <f aca="false">KM$4*KM25</f>
        <v>0</v>
      </c>
      <c r="KN130" s="194" t="str">
        <f aca="false">KC130</f>
        <v>Alumno20</v>
      </c>
      <c r="KO130" s="195" t="n">
        <f aca="false">KO$4*KO25</f>
        <v>0</v>
      </c>
      <c r="KP130" s="196" t="n">
        <f aca="false">KP$4*KP25</f>
        <v>0</v>
      </c>
      <c r="KQ130" s="196" t="n">
        <f aca="false">KQ$4*KQ25</f>
        <v>0</v>
      </c>
      <c r="KR130" s="196" t="n">
        <f aca="false">KR$4*KR25</f>
        <v>0</v>
      </c>
      <c r="KS130" s="196" t="n">
        <f aca="false">KS$4*KS25</f>
        <v>0</v>
      </c>
      <c r="KT130" s="196" t="n">
        <f aca="false">KT$4*KT25</f>
        <v>0</v>
      </c>
      <c r="KU130" s="196" t="n">
        <f aca="false">KU$4*KU25</f>
        <v>0</v>
      </c>
      <c r="KV130" s="196" t="n">
        <f aca="false">KV$4*KV25</f>
        <v>0</v>
      </c>
      <c r="KW130" s="196" t="n">
        <f aca="false">KW$4*KW25</f>
        <v>0</v>
      </c>
      <c r="KX130" s="197" t="n">
        <f aca="false">KX$4*KX25</f>
        <v>0</v>
      </c>
      <c r="KY130" s="194" t="str">
        <f aca="false">KN130</f>
        <v>Alumno20</v>
      </c>
      <c r="KZ130" s="195" t="n">
        <f aca="false">KZ$4*KZ25</f>
        <v>0</v>
      </c>
      <c r="LA130" s="196" t="n">
        <f aca="false">LA$4*LA25</f>
        <v>0</v>
      </c>
      <c r="LB130" s="196" t="n">
        <f aca="false">LB$4*LB25</f>
        <v>0</v>
      </c>
      <c r="LC130" s="196" t="n">
        <f aca="false">LC$4*LC25</f>
        <v>0</v>
      </c>
      <c r="LD130" s="196" t="n">
        <f aca="false">LD$4*LD25</f>
        <v>0</v>
      </c>
      <c r="LE130" s="196" t="n">
        <f aca="false">LE$4*LE25</f>
        <v>0</v>
      </c>
      <c r="LF130" s="196" t="n">
        <f aca="false">LF$4*LF25</f>
        <v>0</v>
      </c>
      <c r="LG130" s="196" t="n">
        <f aca="false">LG$4*LG25</f>
        <v>0</v>
      </c>
      <c r="LH130" s="196" t="n">
        <f aca="false">LH$4*LH25</f>
        <v>0</v>
      </c>
      <c r="LI130" s="197" t="n">
        <f aca="false">LI$4*LI25</f>
        <v>0</v>
      </c>
      <c r="LJ130" s="194" t="str">
        <f aca="false">KY130</f>
        <v>Alumno20</v>
      </c>
      <c r="LK130" s="195" t="n">
        <f aca="false">LK$4*LK25</f>
        <v>0</v>
      </c>
      <c r="LL130" s="196" t="n">
        <f aca="false">LL$4*LL25</f>
        <v>0</v>
      </c>
      <c r="LM130" s="196" t="n">
        <f aca="false">LM$4*LM25</f>
        <v>0</v>
      </c>
      <c r="LN130" s="196" t="n">
        <f aca="false">LN$4*LN25</f>
        <v>0</v>
      </c>
      <c r="LO130" s="196" t="n">
        <f aca="false">LO$4*LO25</f>
        <v>0</v>
      </c>
      <c r="LP130" s="196" t="n">
        <f aca="false">LP$4*LP25</f>
        <v>0</v>
      </c>
      <c r="LQ130" s="196" t="n">
        <f aca="false">LQ$4*LQ25</f>
        <v>0</v>
      </c>
      <c r="LR130" s="196" t="n">
        <f aca="false">LR$4*LR25</f>
        <v>0</v>
      </c>
      <c r="LS130" s="196" t="n">
        <f aca="false">LS$4*LS25</f>
        <v>0</v>
      </c>
      <c r="LT130" s="197" t="n">
        <f aca="false">LT$4*LT25</f>
        <v>0</v>
      </c>
    </row>
    <row r="131" customFormat="false" ht="15" hidden="true" customHeight="false" outlineLevel="0" collapsed="false">
      <c r="C131" s="194" t="str">
        <f aca="false">C82</f>
        <v>Alumno21</v>
      </c>
      <c r="D131" s="195" t="n">
        <f aca="false">D$4*D26</f>
        <v>0.9</v>
      </c>
      <c r="E131" s="196" t="n">
        <f aca="false">E$4*E26</f>
        <v>1.05</v>
      </c>
      <c r="F131" s="196" t="n">
        <f aca="false">F$4*F26</f>
        <v>1.6</v>
      </c>
      <c r="G131" s="196" t="n">
        <f aca="false">G$4*G26</f>
        <v>0.9</v>
      </c>
      <c r="H131" s="196" t="n">
        <f aca="false">H$4*H26</f>
        <v>0.75</v>
      </c>
      <c r="I131" s="196" t="n">
        <f aca="false">I$4*I26</f>
        <v>0.6</v>
      </c>
      <c r="J131" s="196" t="n">
        <f aca="false">J$4*J26</f>
        <v>0.6</v>
      </c>
      <c r="K131" s="196" t="n">
        <f aca="false">K$4*K26</f>
        <v>0</v>
      </c>
      <c r="L131" s="196" t="n">
        <f aca="false">L$4*L26</f>
        <v>0</v>
      </c>
      <c r="M131" s="197" t="n">
        <f aca="false">M$4*M26</f>
        <v>0</v>
      </c>
      <c r="N131" s="194" t="str">
        <f aca="false">C131</f>
        <v>Alumno21</v>
      </c>
      <c r="O131" s="195" t="n">
        <f aca="false">O$4*O26</f>
        <v>1.2</v>
      </c>
      <c r="P131" s="196" t="n">
        <f aca="false">P$4*P26</f>
        <v>1.4</v>
      </c>
      <c r="Q131" s="196" t="n">
        <f aca="false">Q$4*Q26</f>
        <v>1.6</v>
      </c>
      <c r="R131" s="196" t="n">
        <f aca="false">R$4*R26</f>
        <v>1.8</v>
      </c>
      <c r="S131" s="196" t="n">
        <f aca="false">S$4*S26</f>
        <v>1</v>
      </c>
      <c r="T131" s="196" t="n">
        <f aca="false">T$4*T26</f>
        <v>0</v>
      </c>
      <c r="U131" s="196" t="n">
        <f aca="false">U$4*U26</f>
        <v>0</v>
      </c>
      <c r="V131" s="196" t="n">
        <f aca="false">V$4*V26</f>
        <v>0</v>
      </c>
      <c r="W131" s="196" t="n">
        <f aca="false">W$4*W26</f>
        <v>0</v>
      </c>
      <c r="X131" s="197" t="n">
        <f aca="false">X$4*X26</f>
        <v>0</v>
      </c>
      <c r="Y131" s="194" t="str">
        <f aca="false">N131</f>
        <v>Alumno21</v>
      </c>
      <c r="Z131" s="195" t="n">
        <f aca="false">Z$4*Z26</f>
        <v>2</v>
      </c>
      <c r="AA131" s="196" t="n">
        <f aca="false">AA$4*AA26</f>
        <v>1.8</v>
      </c>
      <c r="AB131" s="196" t="n">
        <f aca="false">AB$4*AB26</f>
        <v>2</v>
      </c>
      <c r="AC131" s="196" t="n">
        <f aca="false">AC$4*AC26</f>
        <v>1.8</v>
      </c>
      <c r="AD131" s="196" t="n">
        <f aca="false">AD$4*AD26</f>
        <v>2</v>
      </c>
      <c r="AE131" s="196" t="n">
        <f aca="false">AE$4*AE26</f>
        <v>0</v>
      </c>
      <c r="AF131" s="196" t="n">
        <f aca="false">AF$4*AF26</f>
        <v>0</v>
      </c>
      <c r="AG131" s="196" t="n">
        <f aca="false">AG$4*AG26</f>
        <v>0</v>
      </c>
      <c r="AH131" s="196" t="n">
        <f aca="false">AH$4*AH26</f>
        <v>0</v>
      </c>
      <c r="AI131" s="197" t="n">
        <f aca="false">AI$4*AI26</f>
        <v>0</v>
      </c>
      <c r="AJ131" s="194" t="str">
        <f aca="false">Y131</f>
        <v>Alumno21</v>
      </c>
      <c r="AK131" s="195" t="n">
        <f aca="false">AK$4*AK26</f>
        <v>2</v>
      </c>
      <c r="AL131" s="196" t="n">
        <f aca="false">AL$4*AL26</f>
        <v>1.8</v>
      </c>
      <c r="AM131" s="196" t="n">
        <f aca="false">AM$4*AM26</f>
        <v>2</v>
      </c>
      <c r="AN131" s="196" t="n">
        <f aca="false">AN$4*AN26</f>
        <v>1.8</v>
      </c>
      <c r="AO131" s="196" t="n">
        <f aca="false">AO$4*AO26</f>
        <v>2</v>
      </c>
      <c r="AP131" s="196" t="n">
        <f aca="false">AP$4*AP26</f>
        <v>0</v>
      </c>
      <c r="AQ131" s="196" t="n">
        <f aca="false">AQ$4*AQ26</f>
        <v>0</v>
      </c>
      <c r="AR131" s="196" t="n">
        <f aca="false">AR$4*AR26</f>
        <v>0</v>
      </c>
      <c r="AS131" s="196" t="n">
        <f aca="false">AS$4*AS26</f>
        <v>0</v>
      </c>
      <c r="AT131" s="197" t="n">
        <f aca="false">AT$4*AT26</f>
        <v>0</v>
      </c>
      <c r="AU131" s="194" t="str">
        <f aca="false">AJ131</f>
        <v>Alumno21</v>
      </c>
      <c r="AV131" s="195" t="n">
        <f aca="false">AV$4*AV26</f>
        <v>0.6</v>
      </c>
      <c r="AW131" s="196" t="n">
        <f aca="false">AW$4*AW26</f>
        <v>1.4</v>
      </c>
      <c r="AX131" s="196" t="n">
        <f aca="false">AX$4*AX26</f>
        <v>1.6</v>
      </c>
      <c r="AY131" s="196" t="n">
        <f aca="false">AY$4*AY26</f>
        <v>2.7</v>
      </c>
      <c r="AZ131" s="196" t="n">
        <f aca="false">AZ$4*AZ26</f>
        <v>1</v>
      </c>
      <c r="BA131" s="196" t="n">
        <f aca="false">BA$4*BA26</f>
        <v>0</v>
      </c>
      <c r="BB131" s="196" t="n">
        <f aca="false">BB$4*BB26</f>
        <v>0</v>
      </c>
      <c r="BC131" s="196" t="n">
        <f aca="false">BC$4*BC26</f>
        <v>0</v>
      </c>
      <c r="BD131" s="196" t="n">
        <f aca="false">BD$4*BD26</f>
        <v>0</v>
      </c>
      <c r="BE131" s="197" t="n">
        <f aca="false">BE$4*BE26</f>
        <v>0</v>
      </c>
      <c r="BF131" s="194" t="str">
        <f aca="false">AU131</f>
        <v>Alumno21</v>
      </c>
      <c r="BG131" s="195" t="n">
        <f aca="false">BG$4*BG26</f>
        <v>0.6</v>
      </c>
      <c r="BH131" s="196" t="n">
        <f aca="false">BH$4*BH26</f>
        <v>1.4</v>
      </c>
      <c r="BI131" s="196" t="n">
        <f aca="false">BI$4*BI26</f>
        <v>1.6</v>
      </c>
      <c r="BJ131" s="196" t="n">
        <f aca="false">BJ$4*BJ26</f>
        <v>1.8</v>
      </c>
      <c r="BK131" s="196" t="n">
        <f aca="false">BK$4*BK26</f>
        <v>1.5</v>
      </c>
      <c r="BL131" s="196" t="n">
        <f aca="false">BL$4*BL26</f>
        <v>0</v>
      </c>
      <c r="BM131" s="196" t="n">
        <f aca="false">BM$4*BM26</f>
        <v>0</v>
      </c>
      <c r="BN131" s="196" t="n">
        <f aca="false">BN$4*BN26</f>
        <v>0</v>
      </c>
      <c r="BO131" s="196" t="n">
        <f aca="false">BO$4*BO26</f>
        <v>0</v>
      </c>
      <c r="BP131" s="197" t="n">
        <f aca="false">BP$4*BP26</f>
        <v>0</v>
      </c>
      <c r="BQ131" s="194" t="str">
        <f aca="false">BF131</f>
        <v>Alumno21</v>
      </c>
      <c r="BR131" s="195" t="n">
        <f aca="false">BR$4*BR26</f>
        <v>0.8</v>
      </c>
      <c r="BS131" s="196" t="n">
        <f aca="false">BS$4*BS26</f>
        <v>0.3</v>
      </c>
      <c r="BT131" s="196" t="n">
        <f aca="false">BT$4*BT26</f>
        <v>1</v>
      </c>
      <c r="BU131" s="196" t="n">
        <f aca="false">BU$4*BU26</f>
        <v>1.2</v>
      </c>
      <c r="BV131" s="196" t="n">
        <f aca="false">BV$4*BV26</f>
        <v>1.2</v>
      </c>
      <c r="BW131" s="196" t="n">
        <f aca="false">BW$4*BW26</f>
        <v>0</v>
      </c>
      <c r="BX131" s="196" t="n">
        <f aca="false">BX$4*BX26</f>
        <v>0</v>
      </c>
      <c r="BY131" s="196" t="n">
        <f aca="false">BY$4*BY26</f>
        <v>0</v>
      </c>
      <c r="BZ131" s="196" t="n">
        <f aca="false">BZ$4*BZ26</f>
        <v>0</v>
      </c>
      <c r="CA131" s="197" t="n">
        <f aca="false">CA$4*CA26</f>
        <v>0</v>
      </c>
      <c r="CB131" s="194" t="str">
        <f aca="false">BQ131</f>
        <v>Alumno21</v>
      </c>
      <c r="CC131" s="195" t="n">
        <f aca="false">CC$4*CC26</f>
        <v>0</v>
      </c>
      <c r="CD131" s="196" t="n">
        <f aca="false">CD$4*CD26</f>
        <v>0</v>
      </c>
      <c r="CE131" s="196" t="n">
        <f aca="false">CE$4*CE26</f>
        <v>0</v>
      </c>
      <c r="CF131" s="196" t="n">
        <f aca="false">CF$4*CF26</f>
        <v>0</v>
      </c>
      <c r="CG131" s="196" t="n">
        <f aca="false">CG$4*CG26</f>
        <v>0</v>
      </c>
      <c r="CH131" s="196" t="n">
        <f aca="false">CH$4*CH26</f>
        <v>0</v>
      </c>
      <c r="CI131" s="196" t="n">
        <f aca="false">CI$4*CI26</f>
        <v>0</v>
      </c>
      <c r="CJ131" s="196" t="n">
        <f aca="false">CJ$4*CJ26</f>
        <v>0</v>
      </c>
      <c r="CK131" s="196" t="n">
        <f aca="false">CK$4*CK26</f>
        <v>0</v>
      </c>
      <c r="CL131" s="197" t="n">
        <f aca="false">CL$4*CL26</f>
        <v>0</v>
      </c>
      <c r="CM131" s="194" t="str">
        <f aca="false">CB131</f>
        <v>Alumno21</v>
      </c>
      <c r="CN131" s="195" t="n">
        <f aca="false">CN$4*CN26</f>
        <v>0</v>
      </c>
      <c r="CO131" s="196" t="n">
        <f aca="false">CO$4*CO26</f>
        <v>0</v>
      </c>
      <c r="CP131" s="196" t="n">
        <f aca="false">CP$4*CP26</f>
        <v>0</v>
      </c>
      <c r="CQ131" s="196" t="n">
        <f aca="false">CQ$4*CQ26</f>
        <v>0</v>
      </c>
      <c r="CR131" s="196" t="n">
        <f aca="false">CR$4*CR26</f>
        <v>0</v>
      </c>
      <c r="CS131" s="196" t="n">
        <f aca="false">CS$4*CS26</f>
        <v>0</v>
      </c>
      <c r="CT131" s="196" t="n">
        <f aca="false">CT$4*CT26</f>
        <v>0</v>
      </c>
      <c r="CU131" s="196" t="n">
        <f aca="false">CU$4*CU26</f>
        <v>0</v>
      </c>
      <c r="CV131" s="196" t="n">
        <f aca="false">CV$4*CV26</f>
        <v>0</v>
      </c>
      <c r="CW131" s="197" t="n">
        <f aca="false">CW$4*CW26</f>
        <v>0</v>
      </c>
      <c r="CX131" s="194" t="str">
        <f aca="false">CM131</f>
        <v>Alumno21</v>
      </c>
      <c r="CY131" s="195" t="n">
        <f aca="false">CY$4*CY26</f>
        <v>0</v>
      </c>
      <c r="CZ131" s="196" t="n">
        <f aca="false">CZ$4*CZ26</f>
        <v>0</v>
      </c>
      <c r="DA131" s="196" t="n">
        <f aca="false">DA$4*DA26</f>
        <v>0</v>
      </c>
      <c r="DB131" s="196" t="n">
        <f aca="false">DB$4*DB26</f>
        <v>0</v>
      </c>
      <c r="DC131" s="196" t="n">
        <f aca="false">DC$4*DC26</f>
        <v>0</v>
      </c>
      <c r="DD131" s="196" t="n">
        <f aca="false">DD$4*DD26</f>
        <v>0</v>
      </c>
      <c r="DE131" s="196" t="n">
        <f aca="false">DE$4*DE26</f>
        <v>0</v>
      </c>
      <c r="DF131" s="196" t="n">
        <f aca="false">DF$4*DF26</f>
        <v>0</v>
      </c>
      <c r="DG131" s="196" t="n">
        <f aca="false">DG$4*DG26</f>
        <v>0</v>
      </c>
      <c r="DH131" s="197" t="n">
        <f aca="false">DH$4*DH26</f>
        <v>0</v>
      </c>
      <c r="DI131" s="194" t="str">
        <f aca="false">CX131</f>
        <v>Alumno21</v>
      </c>
      <c r="DJ131" s="195" t="n">
        <f aca="false">DJ$4*DJ26</f>
        <v>0</v>
      </c>
      <c r="DK131" s="196" t="n">
        <f aca="false">DK$4*DK26</f>
        <v>0</v>
      </c>
      <c r="DL131" s="196" t="n">
        <f aca="false">DL$4*DL26</f>
        <v>0</v>
      </c>
      <c r="DM131" s="196" t="n">
        <f aca="false">DM$4*DM26</f>
        <v>0</v>
      </c>
      <c r="DN131" s="196" t="n">
        <f aca="false">DN$4*DN26</f>
        <v>0</v>
      </c>
      <c r="DO131" s="196" t="n">
        <f aca="false">DO$4*DO26</f>
        <v>0</v>
      </c>
      <c r="DP131" s="196" t="n">
        <f aca="false">DP$4*DP26</f>
        <v>0</v>
      </c>
      <c r="DQ131" s="196" t="n">
        <f aca="false">DQ$4*DQ26</f>
        <v>0</v>
      </c>
      <c r="DR131" s="196" t="n">
        <f aca="false">DR$4*DR26</f>
        <v>0</v>
      </c>
      <c r="DS131" s="197" t="n">
        <f aca="false">DS$4*DS26</f>
        <v>0</v>
      </c>
      <c r="DT131" s="194" t="str">
        <f aca="false">DI131</f>
        <v>Alumno21</v>
      </c>
      <c r="DU131" s="195" t="n">
        <f aca="false">DU$4*DU26</f>
        <v>0</v>
      </c>
      <c r="DV131" s="196" t="n">
        <f aca="false">DV$4*DV26</f>
        <v>0</v>
      </c>
      <c r="DW131" s="196" t="n">
        <f aca="false">DW$4*DW26</f>
        <v>0</v>
      </c>
      <c r="DX131" s="196" t="n">
        <f aca="false">DX$4*DX26</f>
        <v>0</v>
      </c>
      <c r="DY131" s="196" t="n">
        <f aca="false">DY$4*DY26</f>
        <v>0</v>
      </c>
      <c r="DZ131" s="196" t="n">
        <f aca="false">DZ$4*DZ26</f>
        <v>0</v>
      </c>
      <c r="EA131" s="196" t="n">
        <f aca="false">EA$4*EA26</f>
        <v>0</v>
      </c>
      <c r="EB131" s="196" t="n">
        <f aca="false">EB$4*EB26</f>
        <v>0</v>
      </c>
      <c r="EC131" s="196" t="n">
        <f aca="false">EC$4*EC26</f>
        <v>0</v>
      </c>
      <c r="ED131" s="197" t="n">
        <f aca="false">ED$4*ED26</f>
        <v>0</v>
      </c>
      <c r="EE131" s="194" t="str">
        <f aca="false">DT131</f>
        <v>Alumno21</v>
      </c>
      <c r="EF131" s="195" t="n">
        <f aca="false">EF$4*EF26</f>
        <v>0</v>
      </c>
      <c r="EG131" s="196" t="n">
        <f aca="false">EG$4*EG26</f>
        <v>0</v>
      </c>
      <c r="EH131" s="196" t="n">
        <f aca="false">EH$4*EH26</f>
        <v>0</v>
      </c>
      <c r="EI131" s="196" t="n">
        <f aca="false">EI$4*EI26</f>
        <v>0</v>
      </c>
      <c r="EJ131" s="196" t="n">
        <f aca="false">EJ$4*EJ26</f>
        <v>0</v>
      </c>
      <c r="EK131" s="196" t="n">
        <f aca="false">EK$4*EK26</f>
        <v>0</v>
      </c>
      <c r="EL131" s="196" t="n">
        <f aca="false">EL$4*EL26</f>
        <v>0</v>
      </c>
      <c r="EM131" s="196" t="n">
        <f aca="false">EM$4*EM26</f>
        <v>0</v>
      </c>
      <c r="EN131" s="196" t="n">
        <f aca="false">EN$4*EN26</f>
        <v>0</v>
      </c>
      <c r="EO131" s="197" t="n">
        <f aca="false">EO$4*EO26</f>
        <v>0</v>
      </c>
      <c r="EP131" s="194" t="str">
        <f aca="false">EE131</f>
        <v>Alumno21</v>
      </c>
      <c r="EQ131" s="195" t="n">
        <f aca="false">EQ$4*EQ26</f>
        <v>0</v>
      </c>
      <c r="ER131" s="196" t="n">
        <f aca="false">ER$4*ER26</f>
        <v>0</v>
      </c>
      <c r="ES131" s="196" t="n">
        <f aca="false">ES$4*ES26</f>
        <v>0</v>
      </c>
      <c r="ET131" s="196" t="n">
        <f aca="false">ET$4*ET26</f>
        <v>0</v>
      </c>
      <c r="EU131" s="196" t="n">
        <f aca="false">EU$4*EU26</f>
        <v>0</v>
      </c>
      <c r="EV131" s="196" t="n">
        <f aca="false">EV$4*EV26</f>
        <v>0</v>
      </c>
      <c r="EW131" s="196" t="n">
        <f aca="false">EW$4*EW26</f>
        <v>0</v>
      </c>
      <c r="EX131" s="196" t="n">
        <f aca="false">EX$4*EX26</f>
        <v>0</v>
      </c>
      <c r="EY131" s="196" t="n">
        <f aca="false">EY$4*EY26</f>
        <v>0</v>
      </c>
      <c r="EZ131" s="197" t="n">
        <f aca="false">EZ$4*EZ26</f>
        <v>0</v>
      </c>
      <c r="FA131" s="194" t="str">
        <f aca="false">EP131</f>
        <v>Alumno21</v>
      </c>
      <c r="FB131" s="195" t="n">
        <f aca="false">FB$4*FB26</f>
        <v>0</v>
      </c>
      <c r="FC131" s="196" t="n">
        <f aca="false">FC$4*FC26</f>
        <v>0</v>
      </c>
      <c r="FD131" s="196" t="n">
        <f aca="false">FD$4*FD26</f>
        <v>0</v>
      </c>
      <c r="FE131" s="196" t="n">
        <f aca="false">FE$4*FE26</f>
        <v>0</v>
      </c>
      <c r="FF131" s="196" t="n">
        <f aca="false">FF$4*FF26</f>
        <v>0</v>
      </c>
      <c r="FG131" s="196" t="n">
        <f aca="false">FG$4*FG26</f>
        <v>0</v>
      </c>
      <c r="FH131" s="196" t="n">
        <f aca="false">FH$4*FH26</f>
        <v>0</v>
      </c>
      <c r="FI131" s="196" t="n">
        <f aca="false">FI$4*FI26</f>
        <v>0</v>
      </c>
      <c r="FJ131" s="196" t="n">
        <f aca="false">FJ$4*FJ26</f>
        <v>0</v>
      </c>
      <c r="FK131" s="197" t="n">
        <f aca="false">FK$4*FK26</f>
        <v>0</v>
      </c>
      <c r="FL131" s="194" t="str">
        <f aca="false">FA131</f>
        <v>Alumno21</v>
      </c>
      <c r="FM131" s="195" t="n">
        <f aca="false">FM$4*FM26</f>
        <v>0</v>
      </c>
      <c r="FN131" s="196" t="n">
        <f aca="false">FN$4*FN26</f>
        <v>0</v>
      </c>
      <c r="FO131" s="196" t="n">
        <f aca="false">FO$4*FO26</f>
        <v>0</v>
      </c>
      <c r="FP131" s="196" t="n">
        <f aca="false">FP$4*FP26</f>
        <v>0</v>
      </c>
      <c r="FQ131" s="196" t="n">
        <f aca="false">FQ$4*FQ26</f>
        <v>0</v>
      </c>
      <c r="FR131" s="196" t="n">
        <f aca="false">FR$4*FR26</f>
        <v>0</v>
      </c>
      <c r="FS131" s="196" t="n">
        <f aca="false">FS$4*FS26</f>
        <v>0</v>
      </c>
      <c r="FT131" s="196" t="n">
        <f aca="false">FT$4*FT26</f>
        <v>0</v>
      </c>
      <c r="FU131" s="196" t="n">
        <f aca="false">FU$4*FU26</f>
        <v>0</v>
      </c>
      <c r="FV131" s="197" t="n">
        <f aca="false">FV$4*FV26</f>
        <v>0</v>
      </c>
      <c r="FW131" s="194" t="str">
        <f aca="false">FL131</f>
        <v>Alumno21</v>
      </c>
      <c r="FX131" s="195" t="n">
        <f aca="false">FX$4*FX26</f>
        <v>0</v>
      </c>
      <c r="FY131" s="196" t="n">
        <f aca="false">FY$4*FY26</f>
        <v>0</v>
      </c>
      <c r="FZ131" s="196" t="n">
        <f aca="false">FZ$4*FZ26</f>
        <v>0</v>
      </c>
      <c r="GA131" s="196" t="n">
        <f aca="false">GA$4*GA26</f>
        <v>0</v>
      </c>
      <c r="GB131" s="196" t="n">
        <f aca="false">GB$4*GB26</f>
        <v>0</v>
      </c>
      <c r="GC131" s="196" t="n">
        <f aca="false">GC$4*GC26</f>
        <v>0</v>
      </c>
      <c r="GD131" s="196" t="n">
        <f aca="false">GD$4*GD26</f>
        <v>0</v>
      </c>
      <c r="GE131" s="196" t="n">
        <f aca="false">GE$4*GE26</f>
        <v>0</v>
      </c>
      <c r="GF131" s="196" t="n">
        <f aca="false">GF$4*GF26</f>
        <v>0</v>
      </c>
      <c r="GG131" s="197" t="n">
        <f aca="false">GG$4*GG26</f>
        <v>0</v>
      </c>
      <c r="GH131" s="194" t="str">
        <f aca="false">FW131</f>
        <v>Alumno21</v>
      </c>
      <c r="GI131" s="195" t="n">
        <f aca="false">GI$4*GI26</f>
        <v>0</v>
      </c>
      <c r="GJ131" s="196" t="n">
        <f aca="false">GJ$4*GJ26</f>
        <v>0</v>
      </c>
      <c r="GK131" s="196" t="n">
        <f aca="false">GK$4*GK26</f>
        <v>0</v>
      </c>
      <c r="GL131" s="196" t="n">
        <f aca="false">GL$4*GL26</f>
        <v>0</v>
      </c>
      <c r="GM131" s="196" t="n">
        <f aca="false">GM$4*GM26</f>
        <v>0</v>
      </c>
      <c r="GN131" s="196" t="n">
        <f aca="false">GN$4*GN26</f>
        <v>0</v>
      </c>
      <c r="GO131" s="196" t="n">
        <f aca="false">GO$4*GO26</f>
        <v>0</v>
      </c>
      <c r="GP131" s="196" t="n">
        <f aca="false">GP$4*GP26</f>
        <v>0</v>
      </c>
      <c r="GQ131" s="196" t="n">
        <f aca="false">GQ$4*GQ26</f>
        <v>0</v>
      </c>
      <c r="GR131" s="197" t="n">
        <f aca="false">GR$4*GR26</f>
        <v>0</v>
      </c>
      <c r="GS131" s="194" t="str">
        <f aca="false">GH131</f>
        <v>Alumno21</v>
      </c>
      <c r="GT131" s="195" t="n">
        <f aca="false">GT$4*GT26</f>
        <v>0</v>
      </c>
      <c r="GU131" s="196" t="n">
        <f aca="false">GU$4*GU26</f>
        <v>0</v>
      </c>
      <c r="GV131" s="196" t="n">
        <f aca="false">GV$4*GV26</f>
        <v>0</v>
      </c>
      <c r="GW131" s="196" t="n">
        <f aca="false">GW$4*GW26</f>
        <v>0</v>
      </c>
      <c r="GX131" s="196" t="n">
        <f aca="false">GX$4*GX26</f>
        <v>0</v>
      </c>
      <c r="GY131" s="196" t="n">
        <f aca="false">GY$4*GY26</f>
        <v>0</v>
      </c>
      <c r="GZ131" s="196" t="n">
        <f aca="false">GZ$4*GZ26</f>
        <v>0</v>
      </c>
      <c r="HA131" s="196" t="n">
        <f aca="false">HA$4*HA26</f>
        <v>0</v>
      </c>
      <c r="HB131" s="196" t="n">
        <f aca="false">HB$4*HB26</f>
        <v>0</v>
      </c>
      <c r="HC131" s="197" t="n">
        <f aca="false">HC$4*HC26</f>
        <v>0</v>
      </c>
      <c r="HD131" s="194" t="str">
        <f aca="false">GS131</f>
        <v>Alumno21</v>
      </c>
      <c r="HE131" s="195" t="n">
        <f aca="false">HE$4*HE26</f>
        <v>0</v>
      </c>
      <c r="HF131" s="196" t="n">
        <f aca="false">HF$4*HF26</f>
        <v>0</v>
      </c>
      <c r="HG131" s="196" t="n">
        <f aca="false">HG$4*HG26</f>
        <v>0</v>
      </c>
      <c r="HH131" s="196" t="n">
        <f aca="false">HH$4*HH26</f>
        <v>0</v>
      </c>
      <c r="HI131" s="196" t="n">
        <f aca="false">HI$4*HI26</f>
        <v>0</v>
      </c>
      <c r="HJ131" s="196" t="n">
        <f aca="false">HJ$4*HJ26</f>
        <v>0</v>
      </c>
      <c r="HK131" s="196" t="n">
        <f aca="false">HK$4*HK26</f>
        <v>0</v>
      </c>
      <c r="HL131" s="196" t="n">
        <f aca="false">HL$4*HL26</f>
        <v>0</v>
      </c>
      <c r="HM131" s="196" t="n">
        <f aca="false">HM$4*HM26</f>
        <v>0</v>
      </c>
      <c r="HN131" s="197" t="n">
        <f aca="false">HN$4*HN26</f>
        <v>0</v>
      </c>
      <c r="HO131" s="194" t="str">
        <f aca="false">HD131</f>
        <v>Alumno21</v>
      </c>
      <c r="HP131" s="195" t="n">
        <f aca="false">HP$4*HP26</f>
        <v>0</v>
      </c>
      <c r="HQ131" s="196" t="n">
        <f aca="false">HQ$4*HQ26</f>
        <v>0</v>
      </c>
      <c r="HR131" s="196" t="n">
        <f aca="false">HR$4*HR26</f>
        <v>0</v>
      </c>
      <c r="HS131" s="196" t="n">
        <f aca="false">HS$4*HS26</f>
        <v>0</v>
      </c>
      <c r="HT131" s="196" t="n">
        <f aca="false">HT$4*HT26</f>
        <v>0</v>
      </c>
      <c r="HU131" s="196" t="n">
        <f aca="false">HU$4*HU26</f>
        <v>0</v>
      </c>
      <c r="HV131" s="196" t="n">
        <f aca="false">HV$4*HV26</f>
        <v>0</v>
      </c>
      <c r="HW131" s="196" t="n">
        <f aca="false">HW$4*HW26</f>
        <v>0</v>
      </c>
      <c r="HX131" s="196" t="n">
        <f aca="false">HX$4*HX26</f>
        <v>0</v>
      </c>
      <c r="HY131" s="197" t="n">
        <f aca="false">HY$4*HY26</f>
        <v>0</v>
      </c>
      <c r="HZ131" s="194" t="str">
        <f aca="false">HO131</f>
        <v>Alumno21</v>
      </c>
      <c r="IA131" s="195" t="n">
        <f aca="false">IA$4*IA26</f>
        <v>0</v>
      </c>
      <c r="IB131" s="196" t="n">
        <f aca="false">IB$4*IB26</f>
        <v>0</v>
      </c>
      <c r="IC131" s="196" t="n">
        <f aca="false">IC$4*IC26</f>
        <v>0</v>
      </c>
      <c r="ID131" s="196" t="n">
        <f aca="false">ID$4*ID26</f>
        <v>0</v>
      </c>
      <c r="IE131" s="196" t="n">
        <f aca="false">IE$4*IE26</f>
        <v>0</v>
      </c>
      <c r="IF131" s="196" t="n">
        <f aca="false">IF$4*IF26</f>
        <v>0</v>
      </c>
      <c r="IG131" s="196" t="n">
        <f aca="false">IG$4*IG26</f>
        <v>0</v>
      </c>
      <c r="IH131" s="196" t="n">
        <f aca="false">IH$4*IH26</f>
        <v>0</v>
      </c>
      <c r="II131" s="196" t="n">
        <f aca="false">II$4*II26</f>
        <v>0</v>
      </c>
      <c r="IJ131" s="197" t="n">
        <f aca="false">IJ$4*IJ26</f>
        <v>0</v>
      </c>
      <c r="IK131" s="194" t="str">
        <f aca="false">HZ131</f>
        <v>Alumno21</v>
      </c>
      <c r="IL131" s="195" t="n">
        <f aca="false">IL$4*IL26</f>
        <v>0</v>
      </c>
      <c r="IM131" s="196" t="n">
        <f aca="false">IM$4*IM26</f>
        <v>0</v>
      </c>
      <c r="IN131" s="196" t="n">
        <f aca="false">IN$4*IN26</f>
        <v>0</v>
      </c>
      <c r="IO131" s="196" t="n">
        <f aca="false">IO$4*IO26</f>
        <v>0</v>
      </c>
      <c r="IP131" s="196" t="n">
        <f aca="false">IP$4*IP26</f>
        <v>0</v>
      </c>
      <c r="IQ131" s="196" t="n">
        <f aca="false">IQ$4*IQ26</f>
        <v>0</v>
      </c>
      <c r="IR131" s="196" t="n">
        <f aca="false">IR$4*IR26</f>
        <v>0</v>
      </c>
      <c r="IS131" s="196" t="n">
        <f aca="false">IS$4*IS26</f>
        <v>0</v>
      </c>
      <c r="IT131" s="196" t="n">
        <f aca="false">IT$4*IT26</f>
        <v>0</v>
      </c>
      <c r="IU131" s="197" t="n">
        <f aca="false">IU$4*IU26</f>
        <v>0</v>
      </c>
      <c r="IV131" s="194" t="str">
        <f aca="false">IK131</f>
        <v>Alumno21</v>
      </c>
      <c r="IW131" s="195" t="n">
        <f aca="false">IW$4*IW26</f>
        <v>0</v>
      </c>
      <c r="IX131" s="196" t="n">
        <f aca="false">IX$4*IX26</f>
        <v>0</v>
      </c>
      <c r="IY131" s="196" t="n">
        <f aca="false">IY$4*IY26</f>
        <v>0</v>
      </c>
      <c r="IZ131" s="196" t="n">
        <f aca="false">IZ$4*IZ26</f>
        <v>0</v>
      </c>
      <c r="JA131" s="196" t="n">
        <f aca="false">JA$4*JA26</f>
        <v>0</v>
      </c>
      <c r="JB131" s="196" t="n">
        <f aca="false">JB$4*JB26</f>
        <v>0</v>
      </c>
      <c r="JC131" s="196" t="n">
        <f aca="false">JC$4*JC26</f>
        <v>0</v>
      </c>
      <c r="JD131" s="196" t="n">
        <f aca="false">JD$4*JD26</f>
        <v>0</v>
      </c>
      <c r="JE131" s="196" t="n">
        <f aca="false">JE$4*JE26</f>
        <v>0</v>
      </c>
      <c r="JF131" s="197" t="n">
        <f aca="false">JF$4*JF26</f>
        <v>0</v>
      </c>
      <c r="JG131" s="194" t="str">
        <f aca="false">IV131</f>
        <v>Alumno21</v>
      </c>
      <c r="JH131" s="195" t="n">
        <f aca="false">JH$4*JH26</f>
        <v>0</v>
      </c>
      <c r="JI131" s="196" t="n">
        <f aca="false">JI$4*JI26</f>
        <v>0</v>
      </c>
      <c r="JJ131" s="196" t="n">
        <f aca="false">JJ$4*JJ26</f>
        <v>0</v>
      </c>
      <c r="JK131" s="196" t="n">
        <f aca="false">JK$4*JK26</f>
        <v>0</v>
      </c>
      <c r="JL131" s="196" t="n">
        <f aca="false">JL$4*JL26</f>
        <v>0</v>
      </c>
      <c r="JM131" s="196" t="n">
        <f aca="false">JM$4*JM26</f>
        <v>0</v>
      </c>
      <c r="JN131" s="196" t="n">
        <f aca="false">JN$4*JN26</f>
        <v>0</v>
      </c>
      <c r="JO131" s="196" t="n">
        <f aca="false">JO$4*JO26</f>
        <v>0</v>
      </c>
      <c r="JP131" s="196" t="n">
        <f aca="false">JP$4*JP26</f>
        <v>0</v>
      </c>
      <c r="JQ131" s="197" t="n">
        <f aca="false">JQ$4*JQ26</f>
        <v>0</v>
      </c>
      <c r="JR131" s="194" t="str">
        <f aca="false">JG131</f>
        <v>Alumno21</v>
      </c>
      <c r="JS131" s="195" t="n">
        <f aca="false">JS$4*JS26</f>
        <v>0</v>
      </c>
      <c r="JT131" s="196" t="n">
        <f aca="false">JT$4*JT26</f>
        <v>0</v>
      </c>
      <c r="JU131" s="196" t="n">
        <f aca="false">JU$4*JU26</f>
        <v>0</v>
      </c>
      <c r="JV131" s="196" t="n">
        <f aca="false">JV$4*JV26</f>
        <v>0</v>
      </c>
      <c r="JW131" s="196" t="n">
        <f aca="false">JW$4*JW26</f>
        <v>0</v>
      </c>
      <c r="JX131" s="196" t="n">
        <f aca="false">JX$4*JX26</f>
        <v>0</v>
      </c>
      <c r="JY131" s="196" t="n">
        <f aca="false">JY$4*JY26</f>
        <v>0</v>
      </c>
      <c r="JZ131" s="196" t="n">
        <f aca="false">JZ$4*JZ26</f>
        <v>0</v>
      </c>
      <c r="KA131" s="196" t="n">
        <f aca="false">KA$4*KA26</f>
        <v>0</v>
      </c>
      <c r="KB131" s="197" t="n">
        <f aca="false">KB$4*KB26</f>
        <v>0</v>
      </c>
      <c r="KC131" s="194" t="str">
        <f aca="false">JR131</f>
        <v>Alumno21</v>
      </c>
      <c r="KD131" s="195" t="n">
        <f aca="false">KD$4*KD26</f>
        <v>0</v>
      </c>
      <c r="KE131" s="196" t="n">
        <f aca="false">KE$4*KE26</f>
        <v>0</v>
      </c>
      <c r="KF131" s="196" t="n">
        <f aca="false">KF$4*KF26</f>
        <v>0</v>
      </c>
      <c r="KG131" s="196" t="n">
        <f aca="false">KG$4*KG26</f>
        <v>0</v>
      </c>
      <c r="KH131" s="196" t="n">
        <f aca="false">KH$4*KH26</f>
        <v>0</v>
      </c>
      <c r="KI131" s="196" t="n">
        <f aca="false">KI$4*KI26</f>
        <v>0</v>
      </c>
      <c r="KJ131" s="196" t="n">
        <f aca="false">KJ$4*KJ26</f>
        <v>0</v>
      </c>
      <c r="KK131" s="196" t="n">
        <f aca="false">KK$4*KK26</f>
        <v>0</v>
      </c>
      <c r="KL131" s="196" t="n">
        <f aca="false">KL$4*KL26</f>
        <v>0</v>
      </c>
      <c r="KM131" s="197" t="n">
        <f aca="false">KM$4*KM26</f>
        <v>0</v>
      </c>
      <c r="KN131" s="194" t="str">
        <f aca="false">KC131</f>
        <v>Alumno21</v>
      </c>
      <c r="KO131" s="195" t="n">
        <f aca="false">KO$4*KO26</f>
        <v>0</v>
      </c>
      <c r="KP131" s="196" t="n">
        <f aca="false">KP$4*KP26</f>
        <v>0</v>
      </c>
      <c r="KQ131" s="196" t="n">
        <f aca="false">KQ$4*KQ26</f>
        <v>0</v>
      </c>
      <c r="KR131" s="196" t="n">
        <f aca="false">KR$4*KR26</f>
        <v>0</v>
      </c>
      <c r="KS131" s="196" t="n">
        <f aca="false">KS$4*KS26</f>
        <v>0</v>
      </c>
      <c r="KT131" s="196" t="n">
        <f aca="false">KT$4*KT26</f>
        <v>0</v>
      </c>
      <c r="KU131" s="196" t="n">
        <f aca="false">KU$4*KU26</f>
        <v>0</v>
      </c>
      <c r="KV131" s="196" t="n">
        <f aca="false">KV$4*KV26</f>
        <v>0</v>
      </c>
      <c r="KW131" s="196" t="n">
        <f aca="false">KW$4*KW26</f>
        <v>0</v>
      </c>
      <c r="KX131" s="197" t="n">
        <f aca="false">KX$4*KX26</f>
        <v>0</v>
      </c>
      <c r="KY131" s="194" t="str">
        <f aca="false">KN131</f>
        <v>Alumno21</v>
      </c>
      <c r="KZ131" s="195" t="n">
        <f aca="false">KZ$4*KZ26</f>
        <v>0</v>
      </c>
      <c r="LA131" s="196" t="n">
        <f aca="false">LA$4*LA26</f>
        <v>0</v>
      </c>
      <c r="LB131" s="196" t="n">
        <f aca="false">LB$4*LB26</f>
        <v>0</v>
      </c>
      <c r="LC131" s="196" t="n">
        <f aca="false">LC$4*LC26</f>
        <v>0</v>
      </c>
      <c r="LD131" s="196" t="n">
        <f aca="false">LD$4*LD26</f>
        <v>0</v>
      </c>
      <c r="LE131" s="196" t="n">
        <f aca="false">LE$4*LE26</f>
        <v>0</v>
      </c>
      <c r="LF131" s="196" t="n">
        <f aca="false">LF$4*LF26</f>
        <v>0</v>
      </c>
      <c r="LG131" s="196" t="n">
        <f aca="false">LG$4*LG26</f>
        <v>0</v>
      </c>
      <c r="LH131" s="196" t="n">
        <f aca="false">LH$4*LH26</f>
        <v>0</v>
      </c>
      <c r="LI131" s="197" t="n">
        <f aca="false">LI$4*LI26</f>
        <v>0</v>
      </c>
      <c r="LJ131" s="194" t="str">
        <f aca="false">KY131</f>
        <v>Alumno21</v>
      </c>
      <c r="LK131" s="195" t="n">
        <f aca="false">LK$4*LK26</f>
        <v>0</v>
      </c>
      <c r="LL131" s="196" t="n">
        <f aca="false">LL$4*LL26</f>
        <v>0</v>
      </c>
      <c r="LM131" s="196" t="n">
        <f aca="false">LM$4*LM26</f>
        <v>0</v>
      </c>
      <c r="LN131" s="196" t="n">
        <f aca="false">LN$4*LN26</f>
        <v>0</v>
      </c>
      <c r="LO131" s="196" t="n">
        <f aca="false">LO$4*LO26</f>
        <v>0</v>
      </c>
      <c r="LP131" s="196" t="n">
        <f aca="false">LP$4*LP26</f>
        <v>0</v>
      </c>
      <c r="LQ131" s="196" t="n">
        <f aca="false">LQ$4*LQ26</f>
        <v>0</v>
      </c>
      <c r="LR131" s="196" t="n">
        <f aca="false">LR$4*LR26</f>
        <v>0</v>
      </c>
      <c r="LS131" s="196" t="n">
        <f aca="false">LS$4*LS26</f>
        <v>0</v>
      </c>
      <c r="LT131" s="197" t="n">
        <f aca="false">LT$4*LT26</f>
        <v>0</v>
      </c>
    </row>
    <row r="132" customFormat="false" ht="15" hidden="true" customHeight="false" outlineLevel="0" collapsed="false">
      <c r="C132" s="194" t="str">
        <f aca="false">C83</f>
        <v>Alumno22</v>
      </c>
      <c r="D132" s="195" t="n">
        <f aca="false">D$4*D27</f>
        <v>0.75</v>
      </c>
      <c r="E132" s="196" t="n">
        <f aca="false">E$4*E27</f>
        <v>0.75</v>
      </c>
      <c r="F132" s="196" t="n">
        <f aca="false">F$4*F27</f>
        <v>1</v>
      </c>
      <c r="G132" s="196" t="n">
        <f aca="false">G$4*G27</f>
        <v>0.5</v>
      </c>
      <c r="H132" s="196" t="n">
        <f aca="false">H$4*H27</f>
        <v>0.75</v>
      </c>
      <c r="I132" s="196" t="n">
        <f aca="false">I$4*I27</f>
        <v>0.75</v>
      </c>
      <c r="J132" s="196" t="n">
        <f aca="false">J$4*J27</f>
        <v>0.5</v>
      </c>
      <c r="K132" s="196" t="n">
        <f aca="false">K$4*K27</f>
        <v>0</v>
      </c>
      <c r="L132" s="196" t="n">
        <f aca="false">L$4*L27</f>
        <v>0</v>
      </c>
      <c r="M132" s="197" t="n">
        <f aca="false">M$4*M27</f>
        <v>0</v>
      </c>
      <c r="N132" s="194" t="str">
        <f aca="false">C132</f>
        <v>Alumno22</v>
      </c>
      <c r="O132" s="195" t="n">
        <f aca="false">O$4*O27</f>
        <v>1</v>
      </c>
      <c r="P132" s="196" t="n">
        <f aca="false">P$4*P27</f>
        <v>1</v>
      </c>
      <c r="Q132" s="196" t="n">
        <f aca="false">Q$4*Q27</f>
        <v>1</v>
      </c>
      <c r="R132" s="196" t="n">
        <f aca="false">R$4*R27</f>
        <v>1</v>
      </c>
      <c r="S132" s="196" t="n">
        <f aca="false">S$4*S27</f>
        <v>1</v>
      </c>
      <c r="T132" s="196" t="n">
        <f aca="false">T$4*T27</f>
        <v>0</v>
      </c>
      <c r="U132" s="196" t="n">
        <f aca="false">U$4*U27</f>
        <v>0</v>
      </c>
      <c r="V132" s="196" t="n">
        <f aca="false">V$4*V27</f>
        <v>0</v>
      </c>
      <c r="W132" s="196" t="n">
        <f aca="false">W$4*W27</f>
        <v>0</v>
      </c>
      <c r="X132" s="197" t="n">
        <f aca="false">X$4*X27</f>
        <v>0</v>
      </c>
      <c r="Y132" s="194" t="str">
        <f aca="false">N132</f>
        <v>Alumno22</v>
      </c>
      <c r="Z132" s="195" t="n">
        <f aca="false">Z$4*Z27</f>
        <v>1.2</v>
      </c>
      <c r="AA132" s="196" t="n">
        <f aca="false">AA$4*AA27</f>
        <v>1.4</v>
      </c>
      <c r="AB132" s="196" t="n">
        <f aca="false">AB$4*AB27</f>
        <v>1.6</v>
      </c>
      <c r="AC132" s="196" t="n">
        <f aca="false">AC$4*AC27</f>
        <v>1.8</v>
      </c>
      <c r="AD132" s="196" t="n">
        <f aca="false">AD$4*AD27</f>
        <v>1</v>
      </c>
      <c r="AE132" s="196" t="n">
        <f aca="false">AE$4*AE27</f>
        <v>0</v>
      </c>
      <c r="AF132" s="196" t="n">
        <f aca="false">AF$4*AF27</f>
        <v>0</v>
      </c>
      <c r="AG132" s="196" t="n">
        <f aca="false">AG$4*AG27</f>
        <v>0</v>
      </c>
      <c r="AH132" s="196" t="n">
        <f aca="false">AH$4*AH27</f>
        <v>0</v>
      </c>
      <c r="AI132" s="197" t="n">
        <f aca="false">AI$4*AI27</f>
        <v>0</v>
      </c>
      <c r="AJ132" s="194" t="str">
        <f aca="false">Y132</f>
        <v>Alumno22</v>
      </c>
      <c r="AK132" s="195" t="n">
        <f aca="false">AK$4*AK27</f>
        <v>1.2</v>
      </c>
      <c r="AL132" s="196" t="n">
        <f aca="false">AL$4*AL27</f>
        <v>1.4</v>
      </c>
      <c r="AM132" s="196" t="n">
        <f aca="false">AM$4*AM27</f>
        <v>1.6</v>
      </c>
      <c r="AN132" s="196" t="n">
        <f aca="false">AN$4*AN27</f>
        <v>1.8</v>
      </c>
      <c r="AO132" s="196" t="n">
        <f aca="false">AO$4*AO27</f>
        <v>1</v>
      </c>
      <c r="AP132" s="196" t="n">
        <f aca="false">AP$4*AP27</f>
        <v>0</v>
      </c>
      <c r="AQ132" s="196" t="n">
        <f aca="false">AQ$4*AQ27</f>
        <v>0</v>
      </c>
      <c r="AR132" s="196" t="n">
        <f aca="false">AR$4*AR27</f>
        <v>0</v>
      </c>
      <c r="AS132" s="196" t="n">
        <f aca="false">AS$4*AS27</f>
        <v>0</v>
      </c>
      <c r="AT132" s="197" t="n">
        <f aca="false">AT$4*AT27</f>
        <v>0</v>
      </c>
      <c r="AU132" s="194" t="str">
        <f aca="false">AJ132</f>
        <v>Alumno22</v>
      </c>
      <c r="AV132" s="195" t="n">
        <f aca="false">AV$4*AV27</f>
        <v>0.5</v>
      </c>
      <c r="AW132" s="196" t="n">
        <f aca="false">AW$4*AW27</f>
        <v>1</v>
      </c>
      <c r="AX132" s="196" t="n">
        <f aca="false">AX$4*AX27</f>
        <v>1</v>
      </c>
      <c r="AY132" s="196" t="n">
        <f aca="false">AY$4*AY27</f>
        <v>1.5</v>
      </c>
      <c r="AZ132" s="196" t="n">
        <f aca="false">AZ$4*AZ27</f>
        <v>1</v>
      </c>
      <c r="BA132" s="196" t="n">
        <f aca="false">BA$4*BA27</f>
        <v>0</v>
      </c>
      <c r="BB132" s="196" t="n">
        <f aca="false">BB$4*BB27</f>
        <v>0</v>
      </c>
      <c r="BC132" s="196" t="n">
        <f aca="false">BC$4*BC27</f>
        <v>0</v>
      </c>
      <c r="BD132" s="196" t="n">
        <f aca="false">BD$4*BD27</f>
        <v>0</v>
      </c>
      <c r="BE132" s="197" t="n">
        <f aca="false">BE$4*BE27</f>
        <v>0</v>
      </c>
      <c r="BF132" s="194" t="str">
        <f aca="false">AU132</f>
        <v>Alumno22</v>
      </c>
      <c r="BG132" s="195" t="n">
        <f aca="false">BG$4*BG27</f>
        <v>0.5</v>
      </c>
      <c r="BH132" s="196" t="n">
        <f aca="false">BH$4*BH27</f>
        <v>1</v>
      </c>
      <c r="BI132" s="196" t="n">
        <f aca="false">BI$4*BI27</f>
        <v>1</v>
      </c>
      <c r="BJ132" s="196" t="n">
        <f aca="false">BJ$4*BJ27</f>
        <v>1</v>
      </c>
      <c r="BK132" s="196" t="n">
        <f aca="false">BK$4*BK27</f>
        <v>1.5</v>
      </c>
      <c r="BL132" s="196" t="n">
        <f aca="false">BL$4*BL27</f>
        <v>0</v>
      </c>
      <c r="BM132" s="196" t="n">
        <f aca="false">BM$4*BM27</f>
        <v>0</v>
      </c>
      <c r="BN132" s="196" t="n">
        <f aca="false">BN$4*BN27</f>
        <v>0</v>
      </c>
      <c r="BO132" s="196" t="n">
        <f aca="false">BO$4*BO27</f>
        <v>0</v>
      </c>
      <c r="BP132" s="197" t="n">
        <f aca="false">BP$4*BP27</f>
        <v>0</v>
      </c>
      <c r="BQ132" s="194" t="str">
        <f aca="false">BF132</f>
        <v>Alumno22</v>
      </c>
      <c r="BR132" s="195" t="n">
        <f aca="false">BR$4*BR27</f>
        <v>0.6</v>
      </c>
      <c r="BS132" s="196" t="n">
        <f aca="false">BS$4*BS27</f>
        <v>0.3</v>
      </c>
      <c r="BT132" s="196" t="n">
        <f aca="false">BT$4*BT27</f>
        <v>0.4</v>
      </c>
      <c r="BU132" s="196" t="n">
        <f aca="false">BU$4*BU27</f>
        <v>0.8</v>
      </c>
      <c r="BV132" s="196" t="n">
        <f aca="false">BV$4*BV27</f>
        <v>1.5</v>
      </c>
      <c r="BW132" s="196" t="n">
        <f aca="false">BW$4*BW27</f>
        <v>0</v>
      </c>
      <c r="BX132" s="196" t="n">
        <f aca="false">BX$4*BX27</f>
        <v>0</v>
      </c>
      <c r="BY132" s="196" t="n">
        <f aca="false">BY$4*BY27</f>
        <v>0</v>
      </c>
      <c r="BZ132" s="196" t="n">
        <f aca="false">BZ$4*BZ27</f>
        <v>0</v>
      </c>
      <c r="CA132" s="197" t="n">
        <f aca="false">CA$4*CA27</f>
        <v>0</v>
      </c>
      <c r="CB132" s="194" t="str">
        <f aca="false">BQ132</f>
        <v>Alumno22</v>
      </c>
      <c r="CC132" s="195" t="n">
        <f aca="false">CC$4*CC27</f>
        <v>0</v>
      </c>
      <c r="CD132" s="196" t="n">
        <f aca="false">CD$4*CD27</f>
        <v>0</v>
      </c>
      <c r="CE132" s="196" t="n">
        <f aca="false">CE$4*CE27</f>
        <v>0</v>
      </c>
      <c r="CF132" s="196" t="n">
        <f aca="false">CF$4*CF27</f>
        <v>0</v>
      </c>
      <c r="CG132" s="196" t="n">
        <f aca="false">CG$4*CG27</f>
        <v>0</v>
      </c>
      <c r="CH132" s="196" t="n">
        <f aca="false">CH$4*CH27</f>
        <v>0</v>
      </c>
      <c r="CI132" s="196" t="n">
        <f aca="false">CI$4*CI27</f>
        <v>0</v>
      </c>
      <c r="CJ132" s="196" t="n">
        <f aca="false">CJ$4*CJ27</f>
        <v>0</v>
      </c>
      <c r="CK132" s="196" t="n">
        <f aca="false">CK$4*CK27</f>
        <v>0</v>
      </c>
      <c r="CL132" s="197" t="n">
        <f aca="false">CL$4*CL27</f>
        <v>0</v>
      </c>
      <c r="CM132" s="194" t="str">
        <f aca="false">CB132</f>
        <v>Alumno22</v>
      </c>
      <c r="CN132" s="195" t="n">
        <f aca="false">CN$4*CN27</f>
        <v>0</v>
      </c>
      <c r="CO132" s="196" t="n">
        <f aca="false">CO$4*CO27</f>
        <v>0</v>
      </c>
      <c r="CP132" s="196" t="n">
        <f aca="false">CP$4*CP27</f>
        <v>0</v>
      </c>
      <c r="CQ132" s="196" t="n">
        <f aca="false">CQ$4*CQ27</f>
        <v>0</v>
      </c>
      <c r="CR132" s="196" t="n">
        <f aca="false">CR$4*CR27</f>
        <v>0</v>
      </c>
      <c r="CS132" s="196" t="n">
        <f aca="false">CS$4*CS27</f>
        <v>0</v>
      </c>
      <c r="CT132" s="196" t="n">
        <f aca="false">CT$4*CT27</f>
        <v>0</v>
      </c>
      <c r="CU132" s="196" t="n">
        <f aca="false">CU$4*CU27</f>
        <v>0</v>
      </c>
      <c r="CV132" s="196" t="n">
        <f aca="false">CV$4*CV27</f>
        <v>0</v>
      </c>
      <c r="CW132" s="197" t="n">
        <f aca="false">CW$4*CW27</f>
        <v>0</v>
      </c>
      <c r="CX132" s="194" t="str">
        <f aca="false">CM132</f>
        <v>Alumno22</v>
      </c>
      <c r="CY132" s="195" t="n">
        <f aca="false">CY$4*CY27</f>
        <v>0</v>
      </c>
      <c r="CZ132" s="196" t="n">
        <f aca="false">CZ$4*CZ27</f>
        <v>0</v>
      </c>
      <c r="DA132" s="196" t="n">
        <f aca="false">DA$4*DA27</f>
        <v>0</v>
      </c>
      <c r="DB132" s="196" t="n">
        <f aca="false">DB$4*DB27</f>
        <v>0</v>
      </c>
      <c r="DC132" s="196" t="n">
        <f aca="false">DC$4*DC27</f>
        <v>0</v>
      </c>
      <c r="DD132" s="196" t="n">
        <f aca="false">DD$4*DD27</f>
        <v>0</v>
      </c>
      <c r="DE132" s="196" t="n">
        <f aca="false">DE$4*DE27</f>
        <v>0</v>
      </c>
      <c r="DF132" s="196" t="n">
        <f aca="false">DF$4*DF27</f>
        <v>0</v>
      </c>
      <c r="DG132" s="196" t="n">
        <f aca="false">DG$4*DG27</f>
        <v>0</v>
      </c>
      <c r="DH132" s="197" t="n">
        <f aca="false">DH$4*DH27</f>
        <v>0</v>
      </c>
      <c r="DI132" s="194" t="str">
        <f aca="false">CX132</f>
        <v>Alumno22</v>
      </c>
      <c r="DJ132" s="195" t="n">
        <f aca="false">DJ$4*DJ27</f>
        <v>0</v>
      </c>
      <c r="DK132" s="196" t="n">
        <f aca="false">DK$4*DK27</f>
        <v>0</v>
      </c>
      <c r="DL132" s="196" t="n">
        <f aca="false">DL$4*DL27</f>
        <v>0</v>
      </c>
      <c r="DM132" s="196" t="n">
        <f aca="false">DM$4*DM27</f>
        <v>0</v>
      </c>
      <c r="DN132" s="196" t="n">
        <f aca="false">DN$4*DN27</f>
        <v>0</v>
      </c>
      <c r="DO132" s="196" t="n">
        <f aca="false">DO$4*DO27</f>
        <v>0</v>
      </c>
      <c r="DP132" s="196" t="n">
        <f aca="false">DP$4*DP27</f>
        <v>0</v>
      </c>
      <c r="DQ132" s="196" t="n">
        <f aca="false">DQ$4*DQ27</f>
        <v>0</v>
      </c>
      <c r="DR132" s="196" t="n">
        <f aca="false">DR$4*DR27</f>
        <v>0</v>
      </c>
      <c r="DS132" s="197" t="n">
        <f aca="false">DS$4*DS27</f>
        <v>0</v>
      </c>
      <c r="DT132" s="194" t="str">
        <f aca="false">DI132</f>
        <v>Alumno22</v>
      </c>
      <c r="DU132" s="195" t="n">
        <f aca="false">DU$4*DU27</f>
        <v>0</v>
      </c>
      <c r="DV132" s="196" t="n">
        <f aca="false">DV$4*DV27</f>
        <v>0</v>
      </c>
      <c r="DW132" s="196" t="n">
        <f aca="false">DW$4*DW27</f>
        <v>0</v>
      </c>
      <c r="DX132" s="196" t="n">
        <f aca="false">DX$4*DX27</f>
        <v>0</v>
      </c>
      <c r="DY132" s="196" t="n">
        <f aca="false">DY$4*DY27</f>
        <v>0</v>
      </c>
      <c r="DZ132" s="196" t="n">
        <f aca="false">DZ$4*DZ27</f>
        <v>0</v>
      </c>
      <c r="EA132" s="196" t="n">
        <f aca="false">EA$4*EA27</f>
        <v>0</v>
      </c>
      <c r="EB132" s="196" t="n">
        <f aca="false">EB$4*EB27</f>
        <v>0</v>
      </c>
      <c r="EC132" s="196" t="n">
        <f aca="false">EC$4*EC27</f>
        <v>0</v>
      </c>
      <c r="ED132" s="197" t="n">
        <f aca="false">ED$4*ED27</f>
        <v>0</v>
      </c>
      <c r="EE132" s="194" t="str">
        <f aca="false">DT132</f>
        <v>Alumno22</v>
      </c>
      <c r="EF132" s="195" t="n">
        <f aca="false">EF$4*EF27</f>
        <v>0</v>
      </c>
      <c r="EG132" s="196" t="n">
        <f aca="false">EG$4*EG27</f>
        <v>0</v>
      </c>
      <c r="EH132" s="196" t="n">
        <f aca="false">EH$4*EH27</f>
        <v>0</v>
      </c>
      <c r="EI132" s="196" t="n">
        <f aca="false">EI$4*EI27</f>
        <v>0</v>
      </c>
      <c r="EJ132" s="196" t="n">
        <f aca="false">EJ$4*EJ27</f>
        <v>0</v>
      </c>
      <c r="EK132" s="196" t="n">
        <f aca="false">EK$4*EK27</f>
        <v>0</v>
      </c>
      <c r="EL132" s="196" t="n">
        <f aca="false">EL$4*EL27</f>
        <v>0</v>
      </c>
      <c r="EM132" s="196" t="n">
        <f aca="false">EM$4*EM27</f>
        <v>0</v>
      </c>
      <c r="EN132" s="196" t="n">
        <f aca="false">EN$4*EN27</f>
        <v>0</v>
      </c>
      <c r="EO132" s="197" t="n">
        <f aca="false">EO$4*EO27</f>
        <v>0</v>
      </c>
      <c r="EP132" s="194" t="str">
        <f aca="false">EE132</f>
        <v>Alumno22</v>
      </c>
      <c r="EQ132" s="195" t="n">
        <f aca="false">EQ$4*EQ27</f>
        <v>0</v>
      </c>
      <c r="ER132" s="196" t="n">
        <f aca="false">ER$4*ER27</f>
        <v>0</v>
      </c>
      <c r="ES132" s="196" t="n">
        <f aca="false">ES$4*ES27</f>
        <v>0</v>
      </c>
      <c r="ET132" s="196" t="n">
        <f aca="false">ET$4*ET27</f>
        <v>0</v>
      </c>
      <c r="EU132" s="196" t="n">
        <f aca="false">EU$4*EU27</f>
        <v>0</v>
      </c>
      <c r="EV132" s="196" t="n">
        <f aca="false">EV$4*EV27</f>
        <v>0</v>
      </c>
      <c r="EW132" s="196" t="n">
        <f aca="false">EW$4*EW27</f>
        <v>0</v>
      </c>
      <c r="EX132" s="196" t="n">
        <f aca="false">EX$4*EX27</f>
        <v>0</v>
      </c>
      <c r="EY132" s="196" t="n">
        <f aca="false">EY$4*EY27</f>
        <v>0</v>
      </c>
      <c r="EZ132" s="197" t="n">
        <f aca="false">EZ$4*EZ27</f>
        <v>0</v>
      </c>
      <c r="FA132" s="194" t="str">
        <f aca="false">EP132</f>
        <v>Alumno22</v>
      </c>
      <c r="FB132" s="195" t="n">
        <f aca="false">FB$4*FB27</f>
        <v>0</v>
      </c>
      <c r="FC132" s="196" t="n">
        <f aca="false">FC$4*FC27</f>
        <v>0</v>
      </c>
      <c r="FD132" s="196" t="n">
        <f aca="false">FD$4*FD27</f>
        <v>0</v>
      </c>
      <c r="FE132" s="196" t="n">
        <f aca="false">FE$4*FE27</f>
        <v>0</v>
      </c>
      <c r="FF132" s="196" t="n">
        <f aca="false">FF$4*FF27</f>
        <v>0</v>
      </c>
      <c r="FG132" s="196" t="n">
        <f aca="false">FG$4*FG27</f>
        <v>0</v>
      </c>
      <c r="FH132" s="196" t="n">
        <f aca="false">FH$4*FH27</f>
        <v>0</v>
      </c>
      <c r="FI132" s="196" t="n">
        <f aca="false">FI$4*FI27</f>
        <v>0</v>
      </c>
      <c r="FJ132" s="196" t="n">
        <f aca="false">FJ$4*FJ27</f>
        <v>0</v>
      </c>
      <c r="FK132" s="197" t="n">
        <f aca="false">FK$4*FK27</f>
        <v>0</v>
      </c>
      <c r="FL132" s="194" t="str">
        <f aca="false">FA132</f>
        <v>Alumno22</v>
      </c>
      <c r="FM132" s="195" t="n">
        <f aca="false">FM$4*FM27</f>
        <v>0</v>
      </c>
      <c r="FN132" s="196" t="n">
        <f aca="false">FN$4*FN27</f>
        <v>0</v>
      </c>
      <c r="FO132" s="196" t="n">
        <f aca="false">FO$4*FO27</f>
        <v>0</v>
      </c>
      <c r="FP132" s="196" t="n">
        <f aca="false">FP$4*FP27</f>
        <v>0</v>
      </c>
      <c r="FQ132" s="196" t="n">
        <f aca="false">FQ$4*FQ27</f>
        <v>0</v>
      </c>
      <c r="FR132" s="196" t="n">
        <f aca="false">FR$4*FR27</f>
        <v>0</v>
      </c>
      <c r="FS132" s="196" t="n">
        <f aca="false">FS$4*FS27</f>
        <v>0</v>
      </c>
      <c r="FT132" s="196" t="n">
        <f aca="false">FT$4*FT27</f>
        <v>0</v>
      </c>
      <c r="FU132" s="196" t="n">
        <f aca="false">FU$4*FU27</f>
        <v>0</v>
      </c>
      <c r="FV132" s="197" t="n">
        <f aca="false">FV$4*FV27</f>
        <v>0</v>
      </c>
      <c r="FW132" s="194" t="str">
        <f aca="false">FL132</f>
        <v>Alumno22</v>
      </c>
      <c r="FX132" s="195" t="n">
        <f aca="false">FX$4*FX27</f>
        <v>0</v>
      </c>
      <c r="FY132" s="196" t="n">
        <f aca="false">FY$4*FY27</f>
        <v>0</v>
      </c>
      <c r="FZ132" s="196" t="n">
        <f aca="false">FZ$4*FZ27</f>
        <v>0</v>
      </c>
      <c r="GA132" s="196" t="n">
        <f aca="false">GA$4*GA27</f>
        <v>0</v>
      </c>
      <c r="GB132" s="196" t="n">
        <f aca="false">GB$4*GB27</f>
        <v>0</v>
      </c>
      <c r="GC132" s="196" t="n">
        <f aca="false">GC$4*GC27</f>
        <v>0</v>
      </c>
      <c r="GD132" s="196" t="n">
        <f aca="false">GD$4*GD27</f>
        <v>0</v>
      </c>
      <c r="GE132" s="196" t="n">
        <f aca="false">GE$4*GE27</f>
        <v>0</v>
      </c>
      <c r="GF132" s="196" t="n">
        <f aca="false">GF$4*GF27</f>
        <v>0</v>
      </c>
      <c r="GG132" s="197" t="n">
        <f aca="false">GG$4*GG27</f>
        <v>0</v>
      </c>
      <c r="GH132" s="194" t="str">
        <f aca="false">FW132</f>
        <v>Alumno22</v>
      </c>
      <c r="GI132" s="195" t="n">
        <f aca="false">GI$4*GI27</f>
        <v>0</v>
      </c>
      <c r="GJ132" s="196" t="n">
        <f aca="false">GJ$4*GJ27</f>
        <v>0</v>
      </c>
      <c r="GK132" s="196" t="n">
        <f aca="false">GK$4*GK27</f>
        <v>0</v>
      </c>
      <c r="GL132" s="196" t="n">
        <f aca="false">GL$4*GL27</f>
        <v>0</v>
      </c>
      <c r="GM132" s="196" t="n">
        <f aca="false">GM$4*GM27</f>
        <v>0</v>
      </c>
      <c r="GN132" s="196" t="n">
        <f aca="false">GN$4*GN27</f>
        <v>0</v>
      </c>
      <c r="GO132" s="196" t="n">
        <f aca="false">GO$4*GO27</f>
        <v>0</v>
      </c>
      <c r="GP132" s="196" t="n">
        <f aca="false">GP$4*GP27</f>
        <v>0</v>
      </c>
      <c r="GQ132" s="196" t="n">
        <f aca="false">GQ$4*GQ27</f>
        <v>0</v>
      </c>
      <c r="GR132" s="197" t="n">
        <f aca="false">GR$4*GR27</f>
        <v>0</v>
      </c>
      <c r="GS132" s="194" t="str">
        <f aca="false">GH132</f>
        <v>Alumno22</v>
      </c>
      <c r="GT132" s="195" t="n">
        <f aca="false">GT$4*GT27</f>
        <v>0</v>
      </c>
      <c r="GU132" s="196" t="n">
        <f aca="false">GU$4*GU27</f>
        <v>0</v>
      </c>
      <c r="GV132" s="196" t="n">
        <f aca="false">GV$4*GV27</f>
        <v>0</v>
      </c>
      <c r="GW132" s="196" t="n">
        <f aca="false">GW$4*GW27</f>
        <v>0</v>
      </c>
      <c r="GX132" s="196" t="n">
        <f aca="false">GX$4*GX27</f>
        <v>0</v>
      </c>
      <c r="GY132" s="196" t="n">
        <f aca="false">GY$4*GY27</f>
        <v>0</v>
      </c>
      <c r="GZ132" s="196" t="n">
        <f aca="false">GZ$4*GZ27</f>
        <v>0</v>
      </c>
      <c r="HA132" s="196" t="n">
        <f aca="false">HA$4*HA27</f>
        <v>0</v>
      </c>
      <c r="HB132" s="196" t="n">
        <f aca="false">HB$4*HB27</f>
        <v>0</v>
      </c>
      <c r="HC132" s="197" t="n">
        <f aca="false">HC$4*HC27</f>
        <v>0</v>
      </c>
      <c r="HD132" s="194" t="str">
        <f aca="false">GS132</f>
        <v>Alumno22</v>
      </c>
      <c r="HE132" s="195" t="n">
        <f aca="false">HE$4*HE27</f>
        <v>0</v>
      </c>
      <c r="HF132" s="196" t="n">
        <f aca="false">HF$4*HF27</f>
        <v>0</v>
      </c>
      <c r="HG132" s="196" t="n">
        <f aca="false">HG$4*HG27</f>
        <v>0</v>
      </c>
      <c r="HH132" s="196" t="n">
        <f aca="false">HH$4*HH27</f>
        <v>0</v>
      </c>
      <c r="HI132" s="196" t="n">
        <f aca="false">HI$4*HI27</f>
        <v>0</v>
      </c>
      <c r="HJ132" s="196" t="n">
        <f aca="false">HJ$4*HJ27</f>
        <v>0</v>
      </c>
      <c r="HK132" s="196" t="n">
        <f aca="false">HK$4*HK27</f>
        <v>0</v>
      </c>
      <c r="HL132" s="196" t="n">
        <f aca="false">HL$4*HL27</f>
        <v>0</v>
      </c>
      <c r="HM132" s="196" t="n">
        <f aca="false">HM$4*HM27</f>
        <v>0</v>
      </c>
      <c r="HN132" s="197" t="n">
        <f aca="false">HN$4*HN27</f>
        <v>0</v>
      </c>
      <c r="HO132" s="194" t="str">
        <f aca="false">HD132</f>
        <v>Alumno22</v>
      </c>
      <c r="HP132" s="195" t="n">
        <f aca="false">HP$4*HP27</f>
        <v>0</v>
      </c>
      <c r="HQ132" s="196" t="n">
        <f aca="false">HQ$4*HQ27</f>
        <v>0</v>
      </c>
      <c r="HR132" s="196" t="n">
        <f aca="false">HR$4*HR27</f>
        <v>0</v>
      </c>
      <c r="HS132" s="196" t="n">
        <f aca="false">HS$4*HS27</f>
        <v>0</v>
      </c>
      <c r="HT132" s="196" t="n">
        <f aca="false">HT$4*HT27</f>
        <v>0</v>
      </c>
      <c r="HU132" s="196" t="n">
        <f aca="false">HU$4*HU27</f>
        <v>0</v>
      </c>
      <c r="HV132" s="196" t="n">
        <f aca="false">HV$4*HV27</f>
        <v>0</v>
      </c>
      <c r="HW132" s="196" t="n">
        <f aca="false">HW$4*HW27</f>
        <v>0</v>
      </c>
      <c r="HX132" s="196" t="n">
        <f aca="false">HX$4*HX27</f>
        <v>0</v>
      </c>
      <c r="HY132" s="197" t="n">
        <f aca="false">HY$4*HY27</f>
        <v>0</v>
      </c>
      <c r="HZ132" s="194" t="str">
        <f aca="false">HO132</f>
        <v>Alumno22</v>
      </c>
      <c r="IA132" s="195" t="n">
        <f aca="false">IA$4*IA27</f>
        <v>0</v>
      </c>
      <c r="IB132" s="196" t="n">
        <f aca="false">IB$4*IB27</f>
        <v>0</v>
      </c>
      <c r="IC132" s="196" t="n">
        <f aca="false">IC$4*IC27</f>
        <v>0</v>
      </c>
      <c r="ID132" s="196" t="n">
        <f aca="false">ID$4*ID27</f>
        <v>0</v>
      </c>
      <c r="IE132" s="196" t="n">
        <f aca="false">IE$4*IE27</f>
        <v>0</v>
      </c>
      <c r="IF132" s="196" t="n">
        <f aca="false">IF$4*IF27</f>
        <v>0</v>
      </c>
      <c r="IG132" s="196" t="n">
        <f aca="false">IG$4*IG27</f>
        <v>0</v>
      </c>
      <c r="IH132" s="196" t="n">
        <f aca="false">IH$4*IH27</f>
        <v>0</v>
      </c>
      <c r="II132" s="196" t="n">
        <f aca="false">II$4*II27</f>
        <v>0</v>
      </c>
      <c r="IJ132" s="197" t="n">
        <f aca="false">IJ$4*IJ27</f>
        <v>0</v>
      </c>
      <c r="IK132" s="194" t="str">
        <f aca="false">HZ132</f>
        <v>Alumno22</v>
      </c>
      <c r="IL132" s="195" t="n">
        <f aca="false">IL$4*IL27</f>
        <v>0</v>
      </c>
      <c r="IM132" s="196" t="n">
        <f aca="false">IM$4*IM27</f>
        <v>0</v>
      </c>
      <c r="IN132" s="196" t="n">
        <f aca="false">IN$4*IN27</f>
        <v>0</v>
      </c>
      <c r="IO132" s="196" t="n">
        <f aca="false">IO$4*IO27</f>
        <v>0</v>
      </c>
      <c r="IP132" s="196" t="n">
        <f aca="false">IP$4*IP27</f>
        <v>0</v>
      </c>
      <c r="IQ132" s="196" t="n">
        <f aca="false">IQ$4*IQ27</f>
        <v>0</v>
      </c>
      <c r="IR132" s="196" t="n">
        <f aca="false">IR$4*IR27</f>
        <v>0</v>
      </c>
      <c r="IS132" s="196" t="n">
        <f aca="false">IS$4*IS27</f>
        <v>0</v>
      </c>
      <c r="IT132" s="196" t="n">
        <f aca="false">IT$4*IT27</f>
        <v>0</v>
      </c>
      <c r="IU132" s="197" t="n">
        <f aca="false">IU$4*IU27</f>
        <v>0</v>
      </c>
      <c r="IV132" s="194" t="str">
        <f aca="false">IK132</f>
        <v>Alumno22</v>
      </c>
      <c r="IW132" s="195" t="n">
        <f aca="false">IW$4*IW27</f>
        <v>0</v>
      </c>
      <c r="IX132" s="196" t="n">
        <f aca="false">IX$4*IX27</f>
        <v>0</v>
      </c>
      <c r="IY132" s="196" t="n">
        <f aca="false">IY$4*IY27</f>
        <v>0</v>
      </c>
      <c r="IZ132" s="196" t="n">
        <f aca="false">IZ$4*IZ27</f>
        <v>0</v>
      </c>
      <c r="JA132" s="196" t="n">
        <f aca="false">JA$4*JA27</f>
        <v>0</v>
      </c>
      <c r="JB132" s="196" t="n">
        <f aca="false">JB$4*JB27</f>
        <v>0</v>
      </c>
      <c r="JC132" s="196" t="n">
        <f aca="false">JC$4*JC27</f>
        <v>0</v>
      </c>
      <c r="JD132" s="196" t="n">
        <f aca="false">JD$4*JD27</f>
        <v>0</v>
      </c>
      <c r="JE132" s="196" t="n">
        <f aca="false">JE$4*JE27</f>
        <v>0</v>
      </c>
      <c r="JF132" s="197" t="n">
        <f aca="false">JF$4*JF27</f>
        <v>0</v>
      </c>
      <c r="JG132" s="194" t="str">
        <f aca="false">IV132</f>
        <v>Alumno22</v>
      </c>
      <c r="JH132" s="195" t="n">
        <f aca="false">JH$4*JH27</f>
        <v>0</v>
      </c>
      <c r="JI132" s="196" t="n">
        <f aca="false">JI$4*JI27</f>
        <v>0</v>
      </c>
      <c r="JJ132" s="196" t="n">
        <f aca="false">JJ$4*JJ27</f>
        <v>0</v>
      </c>
      <c r="JK132" s="196" t="n">
        <f aca="false">JK$4*JK27</f>
        <v>0</v>
      </c>
      <c r="JL132" s="196" t="n">
        <f aca="false">JL$4*JL27</f>
        <v>0</v>
      </c>
      <c r="JM132" s="196" t="n">
        <f aca="false">JM$4*JM27</f>
        <v>0</v>
      </c>
      <c r="JN132" s="196" t="n">
        <f aca="false">JN$4*JN27</f>
        <v>0</v>
      </c>
      <c r="JO132" s="196" t="n">
        <f aca="false">JO$4*JO27</f>
        <v>0</v>
      </c>
      <c r="JP132" s="196" t="n">
        <f aca="false">JP$4*JP27</f>
        <v>0</v>
      </c>
      <c r="JQ132" s="197" t="n">
        <f aca="false">JQ$4*JQ27</f>
        <v>0</v>
      </c>
      <c r="JR132" s="194" t="str">
        <f aca="false">JG132</f>
        <v>Alumno22</v>
      </c>
      <c r="JS132" s="195" t="n">
        <f aca="false">JS$4*JS27</f>
        <v>0</v>
      </c>
      <c r="JT132" s="196" t="n">
        <f aca="false">JT$4*JT27</f>
        <v>0</v>
      </c>
      <c r="JU132" s="196" t="n">
        <f aca="false">JU$4*JU27</f>
        <v>0</v>
      </c>
      <c r="JV132" s="196" t="n">
        <f aca="false">JV$4*JV27</f>
        <v>0</v>
      </c>
      <c r="JW132" s="196" t="n">
        <f aca="false">JW$4*JW27</f>
        <v>0</v>
      </c>
      <c r="JX132" s="196" t="n">
        <f aca="false">JX$4*JX27</f>
        <v>0</v>
      </c>
      <c r="JY132" s="196" t="n">
        <f aca="false">JY$4*JY27</f>
        <v>0</v>
      </c>
      <c r="JZ132" s="196" t="n">
        <f aca="false">JZ$4*JZ27</f>
        <v>0</v>
      </c>
      <c r="KA132" s="196" t="n">
        <f aca="false">KA$4*KA27</f>
        <v>0</v>
      </c>
      <c r="KB132" s="197" t="n">
        <f aca="false">KB$4*KB27</f>
        <v>0</v>
      </c>
      <c r="KC132" s="194" t="str">
        <f aca="false">JR132</f>
        <v>Alumno22</v>
      </c>
      <c r="KD132" s="195" t="n">
        <f aca="false">KD$4*KD27</f>
        <v>0</v>
      </c>
      <c r="KE132" s="196" t="n">
        <f aca="false">KE$4*KE27</f>
        <v>0</v>
      </c>
      <c r="KF132" s="196" t="n">
        <f aca="false">KF$4*KF27</f>
        <v>0</v>
      </c>
      <c r="KG132" s="196" t="n">
        <f aca="false">KG$4*KG27</f>
        <v>0</v>
      </c>
      <c r="KH132" s="196" t="n">
        <f aca="false">KH$4*KH27</f>
        <v>0</v>
      </c>
      <c r="KI132" s="196" t="n">
        <f aca="false">KI$4*KI27</f>
        <v>0</v>
      </c>
      <c r="KJ132" s="196" t="n">
        <f aca="false">KJ$4*KJ27</f>
        <v>0</v>
      </c>
      <c r="KK132" s="196" t="n">
        <f aca="false">KK$4*KK27</f>
        <v>0</v>
      </c>
      <c r="KL132" s="196" t="n">
        <f aca="false">KL$4*KL27</f>
        <v>0</v>
      </c>
      <c r="KM132" s="197" t="n">
        <f aca="false">KM$4*KM27</f>
        <v>0</v>
      </c>
      <c r="KN132" s="194" t="str">
        <f aca="false">KC132</f>
        <v>Alumno22</v>
      </c>
      <c r="KO132" s="195" t="n">
        <f aca="false">KO$4*KO27</f>
        <v>0</v>
      </c>
      <c r="KP132" s="196" t="n">
        <f aca="false">KP$4*KP27</f>
        <v>0</v>
      </c>
      <c r="KQ132" s="196" t="n">
        <f aca="false">KQ$4*KQ27</f>
        <v>0</v>
      </c>
      <c r="KR132" s="196" t="n">
        <f aca="false">KR$4*KR27</f>
        <v>0</v>
      </c>
      <c r="KS132" s="196" t="n">
        <f aca="false">KS$4*KS27</f>
        <v>0</v>
      </c>
      <c r="KT132" s="196" t="n">
        <f aca="false">KT$4*KT27</f>
        <v>0</v>
      </c>
      <c r="KU132" s="196" t="n">
        <f aca="false">KU$4*KU27</f>
        <v>0</v>
      </c>
      <c r="KV132" s="196" t="n">
        <f aca="false">KV$4*KV27</f>
        <v>0</v>
      </c>
      <c r="KW132" s="196" t="n">
        <f aca="false">KW$4*KW27</f>
        <v>0</v>
      </c>
      <c r="KX132" s="197" t="n">
        <f aca="false">KX$4*KX27</f>
        <v>0</v>
      </c>
      <c r="KY132" s="194" t="str">
        <f aca="false">KN132</f>
        <v>Alumno22</v>
      </c>
      <c r="KZ132" s="195" t="n">
        <f aca="false">KZ$4*KZ27</f>
        <v>0</v>
      </c>
      <c r="LA132" s="196" t="n">
        <f aca="false">LA$4*LA27</f>
        <v>0</v>
      </c>
      <c r="LB132" s="196" t="n">
        <f aca="false">LB$4*LB27</f>
        <v>0</v>
      </c>
      <c r="LC132" s="196" t="n">
        <f aca="false">LC$4*LC27</f>
        <v>0</v>
      </c>
      <c r="LD132" s="196" t="n">
        <f aca="false">LD$4*LD27</f>
        <v>0</v>
      </c>
      <c r="LE132" s="196" t="n">
        <f aca="false">LE$4*LE27</f>
        <v>0</v>
      </c>
      <c r="LF132" s="196" t="n">
        <f aca="false">LF$4*LF27</f>
        <v>0</v>
      </c>
      <c r="LG132" s="196" t="n">
        <f aca="false">LG$4*LG27</f>
        <v>0</v>
      </c>
      <c r="LH132" s="196" t="n">
        <f aca="false">LH$4*LH27</f>
        <v>0</v>
      </c>
      <c r="LI132" s="197" t="n">
        <f aca="false">LI$4*LI27</f>
        <v>0</v>
      </c>
      <c r="LJ132" s="194" t="str">
        <f aca="false">KY132</f>
        <v>Alumno22</v>
      </c>
      <c r="LK132" s="195" t="n">
        <f aca="false">LK$4*LK27</f>
        <v>0</v>
      </c>
      <c r="LL132" s="196" t="n">
        <f aca="false">LL$4*LL27</f>
        <v>0</v>
      </c>
      <c r="LM132" s="196" t="n">
        <f aca="false">LM$4*LM27</f>
        <v>0</v>
      </c>
      <c r="LN132" s="196" t="n">
        <f aca="false">LN$4*LN27</f>
        <v>0</v>
      </c>
      <c r="LO132" s="196" t="n">
        <f aca="false">LO$4*LO27</f>
        <v>0</v>
      </c>
      <c r="LP132" s="196" t="n">
        <f aca="false">LP$4*LP27</f>
        <v>0</v>
      </c>
      <c r="LQ132" s="196" t="n">
        <f aca="false">LQ$4*LQ27</f>
        <v>0</v>
      </c>
      <c r="LR132" s="196" t="n">
        <f aca="false">LR$4*LR27</f>
        <v>0</v>
      </c>
      <c r="LS132" s="196" t="n">
        <f aca="false">LS$4*LS27</f>
        <v>0</v>
      </c>
      <c r="LT132" s="197" t="n">
        <f aca="false">LT$4*LT27</f>
        <v>0</v>
      </c>
    </row>
    <row r="133" customFormat="false" ht="15" hidden="true" customHeight="false" outlineLevel="0" collapsed="false">
      <c r="C133" s="194" t="str">
        <f aca="false">C84</f>
        <v>Alumno23</v>
      </c>
      <c r="D133" s="195" t="n">
        <f aca="false">D$4*D28</f>
        <v>0.75</v>
      </c>
      <c r="E133" s="196" t="n">
        <f aca="false">E$4*E28</f>
        <v>0.9</v>
      </c>
      <c r="F133" s="196" t="n">
        <f aca="false">F$4*F28</f>
        <v>0.6</v>
      </c>
      <c r="G133" s="196" t="n">
        <f aca="false">G$4*G28</f>
        <v>0.4</v>
      </c>
      <c r="H133" s="196" t="n">
        <f aca="false">H$4*H28</f>
        <v>0.75</v>
      </c>
      <c r="I133" s="196" t="n">
        <f aca="false">I$4*I28</f>
        <v>0.9</v>
      </c>
      <c r="J133" s="196" t="n">
        <f aca="false">J$4*J28</f>
        <v>0.7</v>
      </c>
      <c r="K133" s="196" t="n">
        <f aca="false">K$4*K28</f>
        <v>0</v>
      </c>
      <c r="L133" s="196" t="n">
        <f aca="false">L$4*L28</f>
        <v>0</v>
      </c>
      <c r="M133" s="197" t="n">
        <f aca="false">M$4*M28</f>
        <v>0</v>
      </c>
      <c r="N133" s="194" t="str">
        <f aca="false">C133</f>
        <v>Alumno23</v>
      </c>
      <c r="O133" s="195" t="n">
        <f aca="false">O$4*O28</f>
        <v>1</v>
      </c>
      <c r="P133" s="196" t="n">
        <f aca="false">P$4*P28</f>
        <v>1.2</v>
      </c>
      <c r="Q133" s="196" t="n">
        <f aca="false">Q$4*Q28</f>
        <v>0.6</v>
      </c>
      <c r="R133" s="196" t="n">
        <f aca="false">R$4*R28</f>
        <v>0.8</v>
      </c>
      <c r="S133" s="196" t="n">
        <f aca="false">S$4*S28</f>
        <v>1</v>
      </c>
      <c r="T133" s="196" t="n">
        <f aca="false">T$4*T28</f>
        <v>0</v>
      </c>
      <c r="U133" s="196" t="n">
        <f aca="false">U$4*U28</f>
        <v>0</v>
      </c>
      <c r="V133" s="196" t="n">
        <f aca="false">V$4*V28</f>
        <v>0</v>
      </c>
      <c r="W133" s="196" t="n">
        <f aca="false">W$4*W28</f>
        <v>0</v>
      </c>
      <c r="X133" s="197" t="n">
        <f aca="false">X$4*X28</f>
        <v>0</v>
      </c>
      <c r="Y133" s="194" t="str">
        <f aca="false">N133</f>
        <v>Alumno23</v>
      </c>
      <c r="Z133" s="195" t="n">
        <f aca="false">Z$4*Z28</f>
        <v>1</v>
      </c>
      <c r="AA133" s="196" t="n">
        <f aca="false">AA$4*AA28</f>
        <v>1.2</v>
      </c>
      <c r="AB133" s="196" t="n">
        <f aca="false">AB$4*AB28</f>
        <v>0.6</v>
      </c>
      <c r="AC133" s="196" t="n">
        <f aca="false">AC$4*AC28</f>
        <v>0.8</v>
      </c>
      <c r="AD133" s="196" t="n">
        <f aca="false">AD$4*AD28</f>
        <v>1</v>
      </c>
      <c r="AE133" s="196" t="n">
        <f aca="false">AE$4*AE28</f>
        <v>0</v>
      </c>
      <c r="AF133" s="196" t="n">
        <f aca="false">AF$4*AF28</f>
        <v>0</v>
      </c>
      <c r="AG133" s="196" t="n">
        <f aca="false">AG$4*AG28</f>
        <v>0</v>
      </c>
      <c r="AH133" s="196" t="n">
        <f aca="false">AH$4*AH28</f>
        <v>0</v>
      </c>
      <c r="AI133" s="197" t="n">
        <f aca="false">AI$4*AI28</f>
        <v>0</v>
      </c>
      <c r="AJ133" s="194" t="str">
        <f aca="false">Y133</f>
        <v>Alumno23</v>
      </c>
      <c r="AK133" s="195" t="n">
        <f aca="false">AK$4*AK28</f>
        <v>1</v>
      </c>
      <c r="AL133" s="196" t="n">
        <f aca="false">AL$4*AL28</f>
        <v>1.2</v>
      </c>
      <c r="AM133" s="196" t="n">
        <f aca="false">AM$4*AM28</f>
        <v>0.6</v>
      </c>
      <c r="AN133" s="196" t="n">
        <f aca="false">AN$4*AN28</f>
        <v>0.8</v>
      </c>
      <c r="AO133" s="196" t="n">
        <f aca="false">AO$4*AO28</f>
        <v>1</v>
      </c>
      <c r="AP133" s="196" t="n">
        <f aca="false">AP$4*AP28</f>
        <v>0</v>
      </c>
      <c r="AQ133" s="196" t="n">
        <f aca="false">AQ$4*AQ28</f>
        <v>0</v>
      </c>
      <c r="AR133" s="196" t="n">
        <f aca="false">AR$4*AR28</f>
        <v>0</v>
      </c>
      <c r="AS133" s="196" t="n">
        <f aca="false">AS$4*AS28</f>
        <v>0</v>
      </c>
      <c r="AT133" s="197" t="n">
        <f aca="false">AT$4*AT28</f>
        <v>0</v>
      </c>
      <c r="AU133" s="194" t="str">
        <f aca="false">AJ133</f>
        <v>Alumno23</v>
      </c>
      <c r="AV133" s="195" t="n">
        <f aca="false">AV$4*AV28</f>
        <v>0.5</v>
      </c>
      <c r="AW133" s="196" t="n">
        <f aca="false">AW$4*AW28</f>
        <v>1.2</v>
      </c>
      <c r="AX133" s="196" t="n">
        <f aca="false">AX$4*AX28</f>
        <v>0.6</v>
      </c>
      <c r="AY133" s="196" t="n">
        <f aca="false">AY$4*AY28</f>
        <v>1.2</v>
      </c>
      <c r="AZ133" s="196" t="n">
        <f aca="false">AZ$4*AZ28</f>
        <v>1</v>
      </c>
      <c r="BA133" s="196" t="n">
        <f aca="false">BA$4*BA28</f>
        <v>0</v>
      </c>
      <c r="BB133" s="196" t="n">
        <f aca="false">BB$4*BB28</f>
        <v>0</v>
      </c>
      <c r="BC133" s="196" t="n">
        <f aca="false">BC$4*BC28</f>
        <v>0</v>
      </c>
      <c r="BD133" s="196" t="n">
        <f aca="false">BD$4*BD28</f>
        <v>0</v>
      </c>
      <c r="BE133" s="197" t="n">
        <f aca="false">BE$4*BE28</f>
        <v>0</v>
      </c>
      <c r="BF133" s="194" t="str">
        <f aca="false">AU133</f>
        <v>Alumno23</v>
      </c>
      <c r="BG133" s="195" t="n">
        <f aca="false">BG$4*BG28</f>
        <v>0.5</v>
      </c>
      <c r="BH133" s="196" t="n">
        <f aca="false">BH$4*BH28</f>
        <v>1.2</v>
      </c>
      <c r="BI133" s="196" t="n">
        <f aca="false">BI$4*BI28</f>
        <v>0.6</v>
      </c>
      <c r="BJ133" s="196" t="n">
        <f aca="false">BJ$4*BJ28</f>
        <v>0.8</v>
      </c>
      <c r="BK133" s="196" t="n">
        <f aca="false">BK$4*BK28</f>
        <v>1.5</v>
      </c>
      <c r="BL133" s="196" t="n">
        <f aca="false">BL$4*BL28</f>
        <v>0</v>
      </c>
      <c r="BM133" s="196" t="n">
        <f aca="false">BM$4*BM28</f>
        <v>0</v>
      </c>
      <c r="BN133" s="196" t="n">
        <f aca="false">BN$4*BN28</f>
        <v>0</v>
      </c>
      <c r="BO133" s="196" t="n">
        <f aca="false">BO$4*BO28</f>
        <v>0</v>
      </c>
      <c r="BP133" s="197" t="n">
        <f aca="false">BP$4*BP28</f>
        <v>0</v>
      </c>
      <c r="BQ133" s="194" t="str">
        <f aca="false">BF133</f>
        <v>Alumno23</v>
      </c>
      <c r="BR133" s="195" t="n">
        <f aca="false">BR$4*BR28</f>
        <v>1.8</v>
      </c>
      <c r="BS133" s="196" t="n">
        <f aca="false">BS$4*BS28</f>
        <v>1</v>
      </c>
      <c r="BT133" s="196" t="n">
        <f aca="false">BT$4*BT28</f>
        <v>2</v>
      </c>
      <c r="BU133" s="196" t="n">
        <f aca="false">BU$4*BU28</f>
        <v>2</v>
      </c>
      <c r="BV133" s="196" t="n">
        <f aca="false">BV$4*BV28</f>
        <v>2.7</v>
      </c>
      <c r="BW133" s="196" t="n">
        <f aca="false">BW$4*BW28</f>
        <v>0</v>
      </c>
      <c r="BX133" s="196" t="n">
        <f aca="false">BX$4*BX28</f>
        <v>0</v>
      </c>
      <c r="BY133" s="196" t="n">
        <f aca="false">BY$4*BY28</f>
        <v>0</v>
      </c>
      <c r="BZ133" s="196" t="n">
        <f aca="false">BZ$4*BZ28</f>
        <v>0</v>
      </c>
      <c r="CA133" s="197" t="n">
        <f aca="false">CA$4*CA28</f>
        <v>0</v>
      </c>
      <c r="CB133" s="194" t="str">
        <f aca="false">BQ133</f>
        <v>Alumno23</v>
      </c>
      <c r="CC133" s="195" t="n">
        <f aca="false">CC$4*CC28</f>
        <v>0</v>
      </c>
      <c r="CD133" s="196" t="n">
        <f aca="false">CD$4*CD28</f>
        <v>0</v>
      </c>
      <c r="CE133" s="196" t="n">
        <f aca="false">CE$4*CE28</f>
        <v>0</v>
      </c>
      <c r="CF133" s="196" t="n">
        <f aca="false">CF$4*CF28</f>
        <v>0</v>
      </c>
      <c r="CG133" s="196" t="n">
        <f aca="false">CG$4*CG28</f>
        <v>0</v>
      </c>
      <c r="CH133" s="196" t="n">
        <f aca="false">CH$4*CH28</f>
        <v>0</v>
      </c>
      <c r="CI133" s="196" t="n">
        <f aca="false">CI$4*CI28</f>
        <v>0</v>
      </c>
      <c r="CJ133" s="196" t="n">
        <f aca="false">CJ$4*CJ28</f>
        <v>0</v>
      </c>
      <c r="CK133" s="196" t="n">
        <f aca="false">CK$4*CK28</f>
        <v>0</v>
      </c>
      <c r="CL133" s="197" t="n">
        <f aca="false">CL$4*CL28</f>
        <v>0</v>
      </c>
      <c r="CM133" s="194" t="str">
        <f aca="false">CB133</f>
        <v>Alumno23</v>
      </c>
      <c r="CN133" s="195" t="n">
        <f aca="false">CN$4*CN28</f>
        <v>0</v>
      </c>
      <c r="CO133" s="196" t="n">
        <f aca="false">CO$4*CO28</f>
        <v>0</v>
      </c>
      <c r="CP133" s="196" t="n">
        <f aca="false">CP$4*CP28</f>
        <v>0</v>
      </c>
      <c r="CQ133" s="196" t="n">
        <f aca="false">CQ$4*CQ28</f>
        <v>0</v>
      </c>
      <c r="CR133" s="196" t="n">
        <f aca="false">CR$4*CR28</f>
        <v>0</v>
      </c>
      <c r="CS133" s="196" t="n">
        <f aca="false">CS$4*CS28</f>
        <v>0</v>
      </c>
      <c r="CT133" s="196" t="n">
        <f aca="false">CT$4*CT28</f>
        <v>0</v>
      </c>
      <c r="CU133" s="196" t="n">
        <f aca="false">CU$4*CU28</f>
        <v>0</v>
      </c>
      <c r="CV133" s="196" t="n">
        <f aca="false">CV$4*CV28</f>
        <v>0</v>
      </c>
      <c r="CW133" s="197" t="n">
        <f aca="false">CW$4*CW28</f>
        <v>0</v>
      </c>
      <c r="CX133" s="194" t="str">
        <f aca="false">CM133</f>
        <v>Alumno23</v>
      </c>
      <c r="CY133" s="195" t="n">
        <f aca="false">CY$4*CY28</f>
        <v>0</v>
      </c>
      <c r="CZ133" s="196" t="n">
        <f aca="false">CZ$4*CZ28</f>
        <v>0</v>
      </c>
      <c r="DA133" s="196" t="n">
        <f aca="false">DA$4*DA28</f>
        <v>0</v>
      </c>
      <c r="DB133" s="196" t="n">
        <f aca="false">DB$4*DB28</f>
        <v>0</v>
      </c>
      <c r="DC133" s="196" t="n">
        <f aca="false">DC$4*DC28</f>
        <v>0</v>
      </c>
      <c r="DD133" s="196" t="n">
        <f aca="false">DD$4*DD28</f>
        <v>0</v>
      </c>
      <c r="DE133" s="196" t="n">
        <f aca="false">DE$4*DE28</f>
        <v>0</v>
      </c>
      <c r="DF133" s="196" t="n">
        <f aca="false">DF$4*DF28</f>
        <v>0</v>
      </c>
      <c r="DG133" s="196" t="n">
        <f aca="false">DG$4*DG28</f>
        <v>0</v>
      </c>
      <c r="DH133" s="197" t="n">
        <f aca="false">DH$4*DH28</f>
        <v>0</v>
      </c>
      <c r="DI133" s="194" t="str">
        <f aca="false">CX133</f>
        <v>Alumno23</v>
      </c>
      <c r="DJ133" s="195" t="n">
        <f aca="false">DJ$4*DJ28</f>
        <v>0</v>
      </c>
      <c r="DK133" s="196" t="n">
        <f aca="false">DK$4*DK28</f>
        <v>0</v>
      </c>
      <c r="DL133" s="196" t="n">
        <f aca="false">DL$4*DL28</f>
        <v>0</v>
      </c>
      <c r="DM133" s="196" t="n">
        <f aca="false">DM$4*DM28</f>
        <v>0</v>
      </c>
      <c r="DN133" s="196" t="n">
        <f aca="false">DN$4*DN28</f>
        <v>0</v>
      </c>
      <c r="DO133" s="196" t="n">
        <f aca="false">DO$4*DO28</f>
        <v>0</v>
      </c>
      <c r="DP133" s="196" t="n">
        <f aca="false">DP$4*DP28</f>
        <v>0</v>
      </c>
      <c r="DQ133" s="196" t="n">
        <f aca="false">DQ$4*DQ28</f>
        <v>0</v>
      </c>
      <c r="DR133" s="196" t="n">
        <f aca="false">DR$4*DR28</f>
        <v>0</v>
      </c>
      <c r="DS133" s="197" t="n">
        <f aca="false">DS$4*DS28</f>
        <v>0</v>
      </c>
      <c r="DT133" s="194" t="str">
        <f aca="false">DI133</f>
        <v>Alumno23</v>
      </c>
      <c r="DU133" s="195" t="n">
        <f aca="false">DU$4*DU28</f>
        <v>0</v>
      </c>
      <c r="DV133" s="196" t="n">
        <f aca="false">DV$4*DV28</f>
        <v>0</v>
      </c>
      <c r="DW133" s="196" t="n">
        <f aca="false">DW$4*DW28</f>
        <v>0</v>
      </c>
      <c r="DX133" s="196" t="n">
        <f aca="false">DX$4*DX28</f>
        <v>0</v>
      </c>
      <c r="DY133" s="196" t="n">
        <f aca="false">DY$4*DY28</f>
        <v>0</v>
      </c>
      <c r="DZ133" s="196" t="n">
        <f aca="false">DZ$4*DZ28</f>
        <v>0</v>
      </c>
      <c r="EA133" s="196" t="n">
        <f aca="false">EA$4*EA28</f>
        <v>0</v>
      </c>
      <c r="EB133" s="196" t="n">
        <f aca="false">EB$4*EB28</f>
        <v>0</v>
      </c>
      <c r="EC133" s="196" t="n">
        <f aca="false">EC$4*EC28</f>
        <v>0</v>
      </c>
      <c r="ED133" s="197" t="n">
        <f aca="false">ED$4*ED28</f>
        <v>0</v>
      </c>
      <c r="EE133" s="194" t="str">
        <f aca="false">DT133</f>
        <v>Alumno23</v>
      </c>
      <c r="EF133" s="195" t="n">
        <f aca="false">EF$4*EF28</f>
        <v>0</v>
      </c>
      <c r="EG133" s="196" t="n">
        <f aca="false">EG$4*EG28</f>
        <v>0</v>
      </c>
      <c r="EH133" s="196" t="n">
        <f aca="false">EH$4*EH28</f>
        <v>0</v>
      </c>
      <c r="EI133" s="196" t="n">
        <f aca="false">EI$4*EI28</f>
        <v>0</v>
      </c>
      <c r="EJ133" s="196" t="n">
        <f aca="false">EJ$4*EJ28</f>
        <v>0</v>
      </c>
      <c r="EK133" s="196" t="n">
        <f aca="false">EK$4*EK28</f>
        <v>0</v>
      </c>
      <c r="EL133" s="196" t="n">
        <f aca="false">EL$4*EL28</f>
        <v>0</v>
      </c>
      <c r="EM133" s="196" t="n">
        <f aca="false">EM$4*EM28</f>
        <v>0</v>
      </c>
      <c r="EN133" s="196" t="n">
        <f aca="false">EN$4*EN28</f>
        <v>0</v>
      </c>
      <c r="EO133" s="197" t="n">
        <f aca="false">EO$4*EO28</f>
        <v>0</v>
      </c>
      <c r="EP133" s="194" t="str">
        <f aca="false">EE133</f>
        <v>Alumno23</v>
      </c>
      <c r="EQ133" s="195" t="n">
        <f aca="false">EQ$4*EQ28</f>
        <v>0</v>
      </c>
      <c r="ER133" s="196" t="n">
        <f aca="false">ER$4*ER28</f>
        <v>0</v>
      </c>
      <c r="ES133" s="196" t="n">
        <f aca="false">ES$4*ES28</f>
        <v>0</v>
      </c>
      <c r="ET133" s="196" t="n">
        <f aca="false">ET$4*ET28</f>
        <v>0</v>
      </c>
      <c r="EU133" s="196" t="n">
        <f aca="false">EU$4*EU28</f>
        <v>0</v>
      </c>
      <c r="EV133" s="196" t="n">
        <f aca="false">EV$4*EV28</f>
        <v>0</v>
      </c>
      <c r="EW133" s="196" t="n">
        <f aca="false">EW$4*EW28</f>
        <v>0</v>
      </c>
      <c r="EX133" s="196" t="n">
        <f aca="false">EX$4*EX28</f>
        <v>0</v>
      </c>
      <c r="EY133" s="196" t="n">
        <f aca="false">EY$4*EY28</f>
        <v>0</v>
      </c>
      <c r="EZ133" s="197" t="n">
        <f aca="false">EZ$4*EZ28</f>
        <v>0</v>
      </c>
      <c r="FA133" s="194" t="str">
        <f aca="false">EP133</f>
        <v>Alumno23</v>
      </c>
      <c r="FB133" s="195" t="n">
        <f aca="false">FB$4*FB28</f>
        <v>0</v>
      </c>
      <c r="FC133" s="196" t="n">
        <f aca="false">FC$4*FC28</f>
        <v>0</v>
      </c>
      <c r="FD133" s="196" t="n">
        <f aca="false">FD$4*FD28</f>
        <v>0</v>
      </c>
      <c r="FE133" s="196" t="n">
        <f aca="false">FE$4*FE28</f>
        <v>0</v>
      </c>
      <c r="FF133" s="196" t="n">
        <f aca="false">FF$4*FF28</f>
        <v>0</v>
      </c>
      <c r="FG133" s="196" t="n">
        <f aca="false">FG$4*FG28</f>
        <v>0</v>
      </c>
      <c r="FH133" s="196" t="n">
        <f aca="false">FH$4*FH28</f>
        <v>0</v>
      </c>
      <c r="FI133" s="196" t="n">
        <f aca="false">FI$4*FI28</f>
        <v>0</v>
      </c>
      <c r="FJ133" s="196" t="n">
        <f aca="false">FJ$4*FJ28</f>
        <v>0</v>
      </c>
      <c r="FK133" s="197" t="n">
        <f aca="false">FK$4*FK28</f>
        <v>0</v>
      </c>
      <c r="FL133" s="194" t="str">
        <f aca="false">FA133</f>
        <v>Alumno23</v>
      </c>
      <c r="FM133" s="195" t="n">
        <f aca="false">FM$4*FM28</f>
        <v>0</v>
      </c>
      <c r="FN133" s="196" t="n">
        <f aca="false">FN$4*FN28</f>
        <v>0</v>
      </c>
      <c r="FO133" s="196" t="n">
        <f aca="false">FO$4*FO28</f>
        <v>0</v>
      </c>
      <c r="FP133" s="196" t="n">
        <f aca="false">FP$4*FP28</f>
        <v>0</v>
      </c>
      <c r="FQ133" s="196" t="n">
        <f aca="false">FQ$4*FQ28</f>
        <v>0</v>
      </c>
      <c r="FR133" s="196" t="n">
        <f aca="false">FR$4*FR28</f>
        <v>0</v>
      </c>
      <c r="FS133" s="196" t="n">
        <f aca="false">FS$4*FS28</f>
        <v>0</v>
      </c>
      <c r="FT133" s="196" t="n">
        <f aca="false">FT$4*FT28</f>
        <v>0</v>
      </c>
      <c r="FU133" s="196" t="n">
        <f aca="false">FU$4*FU28</f>
        <v>0</v>
      </c>
      <c r="FV133" s="197" t="n">
        <f aca="false">FV$4*FV28</f>
        <v>0</v>
      </c>
      <c r="FW133" s="194" t="str">
        <f aca="false">FL133</f>
        <v>Alumno23</v>
      </c>
      <c r="FX133" s="195" t="n">
        <f aca="false">FX$4*FX28</f>
        <v>0</v>
      </c>
      <c r="FY133" s="196" t="n">
        <f aca="false">FY$4*FY28</f>
        <v>0</v>
      </c>
      <c r="FZ133" s="196" t="n">
        <f aca="false">FZ$4*FZ28</f>
        <v>0</v>
      </c>
      <c r="GA133" s="196" t="n">
        <f aca="false">GA$4*GA28</f>
        <v>0</v>
      </c>
      <c r="GB133" s="196" t="n">
        <f aca="false">GB$4*GB28</f>
        <v>0</v>
      </c>
      <c r="GC133" s="196" t="n">
        <f aca="false">GC$4*GC28</f>
        <v>0</v>
      </c>
      <c r="GD133" s="196" t="n">
        <f aca="false">GD$4*GD28</f>
        <v>0</v>
      </c>
      <c r="GE133" s="196" t="n">
        <f aca="false">GE$4*GE28</f>
        <v>0</v>
      </c>
      <c r="GF133" s="196" t="n">
        <f aca="false">GF$4*GF28</f>
        <v>0</v>
      </c>
      <c r="GG133" s="197" t="n">
        <f aca="false">GG$4*GG28</f>
        <v>0</v>
      </c>
      <c r="GH133" s="194" t="str">
        <f aca="false">FW133</f>
        <v>Alumno23</v>
      </c>
      <c r="GI133" s="195" t="n">
        <f aca="false">GI$4*GI28</f>
        <v>0</v>
      </c>
      <c r="GJ133" s="196" t="n">
        <f aca="false">GJ$4*GJ28</f>
        <v>0</v>
      </c>
      <c r="GK133" s="196" t="n">
        <f aca="false">GK$4*GK28</f>
        <v>0</v>
      </c>
      <c r="GL133" s="196" t="n">
        <f aca="false">GL$4*GL28</f>
        <v>0</v>
      </c>
      <c r="GM133" s="196" t="n">
        <f aca="false">GM$4*GM28</f>
        <v>0</v>
      </c>
      <c r="GN133" s="196" t="n">
        <f aca="false">GN$4*GN28</f>
        <v>0</v>
      </c>
      <c r="GO133" s="196" t="n">
        <f aca="false">GO$4*GO28</f>
        <v>0</v>
      </c>
      <c r="GP133" s="196" t="n">
        <f aca="false">GP$4*GP28</f>
        <v>0</v>
      </c>
      <c r="GQ133" s="196" t="n">
        <f aca="false">GQ$4*GQ28</f>
        <v>0</v>
      </c>
      <c r="GR133" s="197" t="n">
        <f aca="false">GR$4*GR28</f>
        <v>0</v>
      </c>
      <c r="GS133" s="194" t="str">
        <f aca="false">GH133</f>
        <v>Alumno23</v>
      </c>
      <c r="GT133" s="195" t="n">
        <f aca="false">GT$4*GT28</f>
        <v>0</v>
      </c>
      <c r="GU133" s="196" t="n">
        <f aca="false">GU$4*GU28</f>
        <v>0</v>
      </c>
      <c r="GV133" s="196" t="n">
        <f aca="false">GV$4*GV28</f>
        <v>0</v>
      </c>
      <c r="GW133" s="196" t="n">
        <f aca="false">GW$4*GW28</f>
        <v>0</v>
      </c>
      <c r="GX133" s="196" t="n">
        <f aca="false">GX$4*GX28</f>
        <v>0</v>
      </c>
      <c r="GY133" s="196" t="n">
        <f aca="false">GY$4*GY28</f>
        <v>0</v>
      </c>
      <c r="GZ133" s="196" t="n">
        <f aca="false">GZ$4*GZ28</f>
        <v>0</v>
      </c>
      <c r="HA133" s="196" t="n">
        <f aca="false">HA$4*HA28</f>
        <v>0</v>
      </c>
      <c r="HB133" s="196" t="n">
        <f aca="false">HB$4*HB28</f>
        <v>0</v>
      </c>
      <c r="HC133" s="197" t="n">
        <f aca="false">HC$4*HC28</f>
        <v>0</v>
      </c>
      <c r="HD133" s="194" t="str">
        <f aca="false">GS133</f>
        <v>Alumno23</v>
      </c>
      <c r="HE133" s="195" t="n">
        <f aca="false">HE$4*HE28</f>
        <v>0</v>
      </c>
      <c r="HF133" s="196" t="n">
        <f aca="false">HF$4*HF28</f>
        <v>0</v>
      </c>
      <c r="HG133" s="196" t="n">
        <f aca="false">HG$4*HG28</f>
        <v>0</v>
      </c>
      <c r="HH133" s="196" t="n">
        <f aca="false">HH$4*HH28</f>
        <v>0</v>
      </c>
      <c r="HI133" s="196" t="n">
        <f aca="false">HI$4*HI28</f>
        <v>0</v>
      </c>
      <c r="HJ133" s="196" t="n">
        <f aca="false">HJ$4*HJ28</f>
        <v>0</v>
      </c>
      <c r="HK133" s="196" t="n">
        <f aca="false">HK$4*HK28</f>
        <v>0</v>
      </c>
      <c r="HL133" s="196" t="n">
        <f aca="false">HL$4*HL28</f>
        <v>0</v>
      </c>
      <c r="HM133" s="196" t="n">
        <f aca="false">HM$4*HM28</f>
        <v>0</v>
      </c>
      <c r="HN133" s="197" t="n">
        <f aca="false">HN$4*HN28</f>
        <v>0</v>
      </c>
      <c r="HO133" s="194" t="str">
        <f aca="false">HD133</f>
        <v>Alumno23</v>
      </c>
      <c r="HP133" s="195" t="n">
        <f aca="false">HP$4*HP28</f>
        <v>0</v>
      </c>
      <c r="HQ133" s="196" t="n">
        <f aca="false">HQ$4*HQ28</f>
        <v>0</v>
      </c>
      <c r="HR133" s="196" t="n">
        <f aca="false">HR$4*HR28</f>
        <v>0</v>
      </c>
      <c r="HS133" s="196" t="n">
        <f aca="false">HS$4*HS28</f>
        <v>0</v>
      </c>
      <c r="HT133" s="196" t="n">
        <f aca="false">HT$4*HT28</f>
        <v>0</v>
      </c>
      <c r="HU133" s="196" t="n">
        <f aca="false">HU$4*HU28</f>
        <v>0</v>
      </c>
      <c r="HV133" s="196" t="n">
        <f aca="false">HV$4*HV28</f>
        <v>0</v>
      </c>
      <c r="HW133" s="196" t="n">
        <f aca="false">HW$4*HW28</f>
        <v>0</v>
      </c>
      <c r="HX133" s="196" t="n">
        <f aca="false">HX$4*HX28</f>
        <v>0</v>
      </c>
      <c r="HY133" s="197" t="n">
        <f aca="false">HY$4*HY28</f>
        <v>0</v>
      </c>
      <c r="HZ133" s="194" t="str">
        <f aca="false">HO133</f>
        <v>Alumno23</v>
      </c>
      <c r="IA133" s="195" t="n">
        <f aca="false">IA$4*IA28</f>
        <v>0</v>
      </c>
      <c r="IB133" s="196" t="n">
        <f aca="false">IB$4*IB28</f>
        <v>0</v>
      </c>
      <c r="IC133" s="196" t="n">
        <f aca="false">IC$4*IC28</f>
        <v>0</v>
      </c>
      <c r="ID133" s="196" t="n">
        <f aca="false">ID$4*ID28</f>
        <v>0</v>
      </c>
      <c r="IE133" s="196" t="n">
        <f aca="false">IE$4*IE28</f>
        <v>0</v>
      </c>
      <c r="IF133" s="196" t="n">
        <f aca="false">IF$4*IF28</f>
        <v>0</v>
      </c>
      <c r="IG133" s="196" t="n">
        <f aca="false">IG$4*IG28</f>
        <v>0</v>
      </c>
      <c r="IH133" s="196" t="n">
        <f aca="false">IH$4*IH28</f>
        <v>0</v>
      </c>
      <c r="II133" s="196" t="n">
        <f aca="false">II$4*II28</f>
        <v>0</v>
      </c>
      <c r="IJ133" s="197" t="n">
        <f aca="false">IJ$4*IJ28</f>
        <v>0</v>
      </c>
      <c r="IK133" s="194" t="str">
        <f aca="false">HZ133</f>
        <v>Alumno23</v>
      </c>
      <c r="IL133" s="195" t="n">
        <f aca="false">IL$4*IL28</f>
        <v>0</v>
      </c>
      <c r="IM133" s="196" t="n">
        <f aca="false">IM$4*IM28</f>
        <v>0</v>
      </c>
      <c r="IN133" s="196" t="n">
        <f aca="false">IN$4*IN28</f>
        <v>0</v>
      </c>
      <c r="IO133" s="196" t="n">
        <f aca="false">IO$4*IO28</f>
        <v>0</v>
      </c>
      <c r="IP133" s="196" t="n">
        <f aca="false">IP$4*IP28</f>
        <v>0</v>
      </c>
      <c r="IQ133" s="196" t="n">
        <f aca="false">IQ$4*IQ28</f>
        <v>0</v>
      </c>
      <c r="IR133" s="196" t="n">
        <f aca="false">IR$4*IR28</f>
        <v>0</v>
      </c>
      <c r="IS133" s="196" t="n">
        <f aca="false">IS$4*IS28</f>
        <v>0</v>
      </c>
      <c r="IT133" s="196" t="n">
        <f aca="false">IT$4*IT28</f>
        <v>0</v>
      </c>
      <c r="IU133" s="197" t="n">
        <f aca="false">IU$4*IU28</f>
        <v>0</v>
      </c>
      <c r="IV133" s="194" t="str">
        <f aca="false">IK133</f>
        <v>Alumno23</v>
      </c>
      <c r="IW133" s="195" t="n">
        <f aca="false">IW$4*IW28</f>
        <v>0</v>
      </c>
      <c r="IX133" s="196" t="n">
        <f aca="false">IX$4*IX28</f>
        <v>0</v>
      </c>
      <c r="IY133" s="196" t="n">
        <f aca="false">IY$4*IY28</f>
        <v>0</v>
      </c>
      <c r="IZ133" s="196" t="n">
        <f aca="false">IZ$4*IZ28</f>
        <v>0</v>
      </c>
      <c r="JA133" s="196" t="n">
        <f aca="false">JA$4*JA28</f>
        <v>0</v>
      </c>
      <c r="JB133" s="196" t="n">
        <f aca="false">JB$4*JB28</f>
        <v>0</v>
      </c>
      <c r="JC133" s="196" t="n">
        <f aca="false">JC$4*JC28</f>
        <v>0</v>
      </c>
      <c r="JD133" s="196" t="n">
        <f aca="false">JD$4*JD28</f>
        <v>0</v>
      </c>
      <c r="JE133" s="196" t="n">
        <f aca="false">JE$4*JE28</f>
        <v>0</v>
      </c>
      <c r="JF133" s="197" t="n">
        <f aca="false">JF$4*JF28</f>
        <v>0</v>
      </c>
      <c r="JG133" s="194" t="str">
        <f aca="false">IV133</f>
        <v>Alumno23</v>
      </c>
      <c r="JH133" s="195" t="n">
        <f aca="false">JH$4*JH28</f>
        <v>0</v>
      </c>
      <c r="JI133" s="196" t="n">
        <f aca="false">JI$4*JI28</f>
        <v>0</v>
      </c>
      <c r="JJ133" s="196" t="n">
        <f aca="false">JJ$4*JJ28</f>
        <v>0</v>
      </c>
      <c r="JK133" s="196" t="n">
        <f aca="false">JK$4*JK28</f>
        <v>0</v>
      </c>
      <c r="JL133" s="196" t="n">
        <f aca="false">JL$4*JL28</f>
        <v>0</v>
      </c>
      <c r="JM133" s="196" t="n">
        <f aca="false">JM$4*JM28</f>
        <v>0</v>
      </c>
      <c r="JN133" s="196" t="n">
        <f aca="false">JN$4*JN28</f>
        <v>0</v>
      </c>
      <c r="JO133" s="196" t="n">
        <f aca="false">JO$4*JO28</f>
        <v>0</v>
      </c>
      <c r="JP133" s="196" t="n">
        <f aca="false">JP$4*JP28</f>
        <v>0</v>
      </c>
      <c r="JQ133" s="197" t="n">
        <f aca="false">JQ$4*JQ28</f>
        <v>0</v>
      </c>
      <c r="JR133" s="194" t="str">
        <f aca="false">JG133</f>
        <v>Alumno23</v>
      </c>
      <c r="JS133" s="195" t="n">
        <f aca="false">JS$4*JS28</f>
        <v>0</v>
      </c>
      <c r="JT133" s="196" t="n">
        <f aca="false">JT$4*JT28</f>
        <v>0</v>
      </c>
      <c r="JU133" s="196" t="n">
        <f aca="false">JU$4*JU28</f>
        <v>0</v>
      </c>
      <c r="JV133" s="196" t="n">
        <f aca="false">JV$4*JV28</f>
        <v>0</v>
      </c>
      <c r="JW133" s="196" t="n">
        <f aca="false">JW$4*JW28</f>
        <v>0</v>
      </c>
      <c r="JX133" s="196" t="n">
        <f aca="false">JX$4*JX28</f>
        <v>0</v>
      </c>
      <c r="JY133" s="196" t="n">
        <f aca="false">JY$4*JY28</f>
        <v>0</v>
      </c>
      <c r="JZ133" s="196" t="n">
        <f aca="false">JZ$4*JZ28</f>
        <v>0</v>
      </c>
      <c r="KA133" s="196" t="n">
        <f aca="false">KA$4*KA28</f>
        <v>0</v>
      </c>
      <c r="KB133" s="197" t="n">
        <f aca="false">KB$4*KB28</f>
        <v>0</v>
      </c>
      <c r="KC133" s="194" t="str">
        <f aca="false">JR133</f>
        <v>Alumno23</v>
      </c>
      <c r="KD133" s="195" t="n">
        <f aca="false">KD$4*KD28</f>
        <v>0</v>
      </c>
      <c r="KE133" s="196" t="n">
        <f aca="false">KE$4*KE28</f>
        <v>0</v>
      </c>
      <c r="KF133" s="196" t="n">
        <f aca="false">KF$4*KF28</f>
        <v>0</v>
      </c>
      <c r="KG133" s="196" t="n">
        <f aca="false">KG$4*KG28</f>
        <v>0</v>
      </c>
      <c r="KH133" s="196" t="n">
        <f aca="false">KH$4*KH28</f>
        <v>0</v>
      </c>
      <c r="KI133" s="196" t="n">
        <f aca="false">KI$4*KI28</f>
        <v>0</v>
      </c>
      <c r="KJ133" s="196" t="n">
        <f aca="false">KJ$4*KJ28</f>
        <v>0</v>
      </c>
      <c r="KK133" s="196" t="n">
        <f aca="false">KK$4*KK28</f>
        <v>0</v>
      </c>
      <c r="KL133" s="196" t="n">
        <f aca="false">KL$4*KL28</f>
        <v>0</v>
      </c>
      <c r="KM133" s="197" t="n">
        <f aca="false">KM$4*KM28</f>
        <v>0</v>
      </c>
      <c r="KN133" s="194" t="str">
        <f aca="false">KC133</f>
        <v>Alumno23</v>
      </c>
      <c r="KO133" s="195" t="n">
        <f aca="false">KO$4*KO28</f>
        <v>0</v>
      </c>
      <c r="KP133" s="196" t="n">
        <f aca="false">KP$4*KP28</f>
        <v>0</v>
      </c>
      <c r="KQ133" s="196" t="n">
        <f aca="false">KQ$4*KQ28</f>
        <v>0</v>
      </c>
      <c r="KR133" s="196" t="n">
        <f aca="false">KR$4*KR28</f>
        <v>0</v>
      </c>
      <c r="KS133" s="196" t="n">
        <f aca="false">KS$4*KS28</f>
        <v>0</v>
      </c>
      <c r="KT133" s="196" t="n">
        <f aca="false">KT$4*KT28</f>
        <v>0</v>
      </c>
      <c r="KU133" s="196" t="n">
        <f aca="false">KU$4*KU28</f>
        <v>0</v>
      </c>
      <c r="KV133" s="196" t="n">
        <f aca="false">KV$4*KV28</f>
        <v>0</v>
      </c>
      <c r="KW133" s="196" t="n">
        <f aca="false">KW$4*KW28</f>
        <v>0</v>
      </c>
      <c r="KX133" s="197" t="n">
        <f aca="false">KX$4*KX28</f>
        <v>0</v>
      </c>
      <c r="KY133" s="194" t="str">
        <f aca="false">KN133</f>
        <v>Alumno23</v>
      </c>
      <c r="KZ133" s="195" t="n">
        <f aca="false">KZ$4*KZ28</f>
        <v>0</v>
      </c>
      <c r="LA133" s="196" t="n">
        <f aca="false">LA$4*LA28</f>
        <v>0</v>
      </c>
      <c r="LB133" s="196" t="n">
        <f aca="false">LB$4*LB28</f>
        <v>0</v>
      </c>
      <c r="LC133" s="196" t="n">
        <f aca="false">LC$4*LC28</f>
        <v>0</v>
      </c>
      <c r="LD133" s="196" t="n">
        <f aca="false">LD$4*LD28</f>
        <v>0</v>
      </c>
      <c r="LE133" s="196" t="n">
        <f aca="false">LE$4*LE28</f>
        <v>0</v>
      </c>
      <c r="LF133" s="196" t="n">
        <f aca="false">LF$4*LF28</f>
        <v>0</v>
      </c>
      <c r="LG133" s="196" t="n">
        <f aca="false">LG$4*LG28</f>
        <v>0</v>
      </c>
      <c r="LH133" s="196" t="n">
        <f aca="false">LH$4*LH28</f>
        <v>0</v>
      </c>
      <c r="LI133" s="197" t="n">
        <f aca="false">LI$4*LI28</f>
        <v>0</v>
      </c>
      <c r="LJ133" s="194" t="str">
        <f aca="false">KY133</f>
        <v>Alumno23</v>
      </c>
      <c r="LK133" s="195" t="n">
        <f aca="false">LK$4*LK28</f>
        <v>0</v>
      </c>
      <c r="LL133" s="196" t="n">
        <f aca="false">LL$4*LL28</f>
        <v>0</v>
      </c>
      <c r="LM133" s="196" t="n">
        <f aca="false">LM$4*LM28</f>
        <v>0</v>
      </c>
      <c r="LN133" s="196" t="n">
        <f aca="false">LN$4*LN28</f>
        <v>0</v>
      </c>
      <c r="LO133" s="196" t="n">
        <f aca="false">LO$4*LO28</f>
        <v>0</v>
      </c>
      <c r="LP133" s="196" t="n">
        <f aca="false">LP$4*LP28</f>
        <v>0</v>
      </c>
      <c r="LQ133" s="196" t="n">
        <f aca="false">LQ$4*LQ28</f>
        <v>0</v>
      </c>
      <c r="LR133" s="196" t="n">
        <f aca="false">LR$4*LR28</f>
        <v>0</v>
      </c>
      <c r="LS133" s="196" t="n">
        <f aca="false">LS$4*LS28</f>
        <v>0</v>
      </c>
      <c r="LT133" s="197" t="n">
        <f aca="false">LT$4*LT28</f>
        <v>0</v>
      </c>
    </row>
    <row r="134" customFormat="false" ht="15" hidden="true" customHeight="false" outlineLevel="0" collapsed="false">
      <c r="C134" s="194" t="str">
        <f aca="false">C85</f>
        <v>Alumno24</v>
      </c>
      <c r="D134" s="195" t="n">
        <f aca="false">D$4*D29</f>
        <v>0.75</v>
      </c>
      <c r="E134" s="196" t="n">
        <f aca="false">E$4*E29</f>
        <v>0.75</v>
      </c>
      <c r="F134" s="196" t="n">
        <f aca="false">F$4*F29</f>
        <v>1</v>
      </c>
      <c r="G134" s="196" t="n">
        <f aca="false">G$4*G29</f>
        <v>0.5</v>
      </c>
      <c r="H134" s="196" t="n">
        <f aca="false">H$4*H29</f>
        <v>0.75</v>
      </c>
      <c r="I134" s="196" t="n">
        <f aca="false">I$4*I29</f>
        <v>0.75</v>
      </c>
      <c r="J134" s="196" t="n">
        <f aca="false">J$4*J29</f>
        <v>0.5</v>
      </c>
      <c r="K134" s="196" t="n">
        <f aca="false">K$4*K29</f>
        <v>0</v>
      </c>
      <c r="L134" s="196" t="n">
        <f aca="false">L$4*L29</f>
        <v>0</v>
      </c>
      <c r="M134" s="197" t="n">
        <f aca="false">M$4*M29</f>
        <v>0</v>
      </c>
      <c r="N134" s="194" t="str">
        <f aca="false">C134</f>
        <v>Alumno24</v>
      </c>
      <c r="O134" s="195" t="n">
        <f aca="false">O$4*O29</f>
        <v>1</v>
      </c>
      <c r="P134" s="196" t="n">
        <f aca="false">P$4*P29</f>
        <v>1</v>
      </c>
      <c r="Q134" s="196" t="n">
        <f aca="false">Q$4*Q29</f>
        <v>1</v>
      </c>
      <c r="R134" s="196" t="n">
        <f aca="false">R$4*R29</f>
        <v>1</v>
      </c>
      <c r="S134" s="196" t="n">
        <f aca="false">S$4*S29</f>
        <v>1</v>
      </c>
      <c r="T134" s="196" t="n">
        <f aca="false">T$4*T29</f>
        <v>0</v>
      </c>
      <c r="U134" s="196" t="n">
        <f aca="false">U$4*U29</f>
        <v>0</v>
      </c>
      <c r="V134" s="196" t="n">
        <f aca="false">V$4*V29</f>
        <v>0</v>
      </c>
      <c r="W134" s="196" t="n">
        <f aca="false">W$4*W29</f>
        <v>0</v>
      </c>
      <c r="X134" s="197" t="n">
        <f aca="false">X$4*X29</f>
        <v>0</v>
      </c>
      <c r="Y134" s="194" t="str">
        <f aca="false">N134</f>
        <v>Alumno24</v>
      </c>
      <c r="Z134" s="195" t="n">
        <f aca="false">Z$4*Z29</f>
        <v>1.2</v>
      </c>
      <c r="AA134" s="196" t="n">
        <f aca="false">AA$4*AA29</f>
        <v>1.4</v>
      </c>
      <c r="AB134" s="196" t="n">
        <f aca="false">AB$4*AB29</f>
        <v>1.6</v>
      </c>
      <c r="AC134" s="196" t="n">
        <f aca="false">AC$4*AC29</f>
        <v>1.8</v>
      </c>
      <c r="AD134" s="196" t="n">
        <f aca="false">AD$4*AD29</f>
        <v>1</v>
      </c>
      <c r="AE134" s="196" t="n">
        <f aca="false">AE$4*AE29</f>
        <v>0</v>
      </c>
      <c r="AF134" s="196" t="n">
        <f aca="false">AF$4*AF29</f>
        <v>0</v>
      </c>
      <c r="AG134" s="196" t="n">
        <f aca="false">AG$4*AG29</f>
        <v>0</v>
      </c>
      <c r="AH134" s="196" t="n">
        <f aca="false">AH$4*AH29</f>
        <v>0</v>
      </c>
      <c r="AI134" s="197" t="n">
        <f aca="false">AI$4*AI29</f>
        <v>0</v>
      </c>
      <c r="AJ134" s="194" t="str">
        <f aca="false">Y134</f>
        <v>Alumno24</v>
      </c>
      <c r="AK134" s="195" t="n">
        <f aca="false">AK$4*AK29</f>
        <v>1.2</v>
      </c>
      <c r="AL134" s="196" t="n">
        <f aca="false">AL$4*AL29</f>
        <v>1.4</v>
      </c>
      <c r="AM134" s="196" t="n">
        <f aca="false">AM$4*AM29</f>
        <v>1.6</v>
      </c>
      <c r="AN134" s="196" t="n">
        <f aca="false">AN$4*AN29</f>
        <v>1.8</v>
      </c>
      <c r="AO134" s="196" t="n">
        <f aca="false">AO$4*AO29</f>
        <v>1</v>
      </c>
      <c r="AP134" s="196" t="n">
        <f aca="false">AP$4*AP29</f>
        <v>0</v>
      </c>
      <c r="AQ134" s="196" t="n">
        <f aca="false">AQ$4*AQ29</f>
        <v>0</v>
      </c>
      <c r="AR134" s="196" t="n">
        <f aca="false">AR$4*AR29</f>
        <v>0</v>
      </c>
      <c r="AS134" s="196" t="n">
        <f aca="false">AS$4*AS29</f>
        <v>0</v>
      </c>
      <c r="AT134" s="197" t="n">
        <f aca="false">AT$4*AT29</f>
        <v>0</v>
      </c>
      <c r="AU134" s="194" t="str">
        <f aca="false">AJ134</f>
        <v>Alumno24</v>
      </c>
      <c r="AV134" s="195" t="n">
        <f aca="false">AV$4*AV29</f>
        <v>0.5</v>
      </c>
      <c r="AW134" s="196" t="n">
        <f aca="false">AW$4*AW29</f>
        <v>1</v>
      </c>
      <c r="AX134" s="196" t="n">
        <f aca="false">AX$4*AX29</f>
        <v>1</v>
      </c>
      <c r="AY134" s="196" t="n">
        <f aca="false">AY$4*AY29</f>
        <v>1.5</v>
      </c>
      <c r="AZ134" s="196" t="n">
        <f aca="false">AZ$4*AZ29</f>
        <v>1</v>
      </c>
      <c r="BA134" s="196" t="n">
        <f aca="false">BA$4*BA29</f>
        <v>0</v>
      </c>
      <c r="BB134" s="196" t="n">
        <f aca="false">BB$4*BB29</f>
        <v>0</v>
      </c>
      <c r="BC134" s="196" t="n">
        <f aca="false">BC$4*BC29</f>
        <v>0</v>
      </c>
      <c r="BD134" s="196" t="n">
        <f aca="false">BD$4*BD29</f>
        <v>0</v>
      </c>
      <c r="BE134" s="197" t="n">
        <f aca="false">BE$4*BE29</f>
        <v>0</v>
      </c>
      <c r="BF134" s="194" t="str">
        <f aca="false">AU134</f>
        <v>Alumno24</v>
      </c>
      <c r="BG134" s="195" t="n">
        <f aca="false">BG$4*BG29</f>
        <v>0.5</v>
      </c>
      <c r="BH134" s="196" t="n">
        <f aca="false">BH$4*BH29</f>
        <v>1</v>
      </c>
      <c r="BI134" s="196" t="n">
        <f aca="false">BI$4*BI29</f>
        <v>1</v>
      </c>
      <c r="BJ134" s="196" t="n">
        <f aca="false">BJ$4*BJ29</f>
        <v>1</v>
      </c>
      <c r="BK134" s="196" t="n">
        <f aca="false">BK$4*BK29</f>
        <v>1.5</v>
      </c>
      <c r="BL134" s="196" t="n">
        <f aca="false">BL$4*BL29</f>
        <v>0</v>
      </c>
      <c r="BM134" s="196" t="n">
        <f aca="false">BM$4*BM29</f>
        <v>0</v>
      </c>
      <c r="BN134" s="196" t="n">
        <f aca="false">BN$4*BN29</f>
        <v>0</v>
      </c>
      <c r="BO134" s="196" t="n">
        <f aca="false">BO$4*BO29</f>
        <v>0</v>
      </c>
      <c r="BP134" s="197" t="n">
        <f aca="false">BP$4*BP29</f>
        <v>0</v>
      </c>
      <c r="BQ134" s="194" t="str">
        <f aca="false">BF134</f>
        <v>Alumno24</v>
      </c>
      <c r="BR134" s="195" t="n">
        <f aca="false">BR$4*BR29</f>
        <v>1.8</v>
      </c>
      <c r="BS134" s="196" t="n">
        <f aca="false">BS$4*BS29</f>
        <v>0.9</v>
      </c>
      <c r="BT134" s="196" t="n">
        <f aca="false">BT$4*BT29</f>
        <v>1.8</v>
      </c>
      <c r="BU134" s="196" t="n">
        <f aca="false">BU$4*BU29</f>
        <v>1.8</v>
      </c>
      <c r="BV134" s="196" t="n">
        <f aca="false">BV$4*BV29</f>
        <v>2.7</v>
      </c>
      <c r="BW134" s="196" t="n">
        <f aca="false">BW$4*BW29</f>
        <v>0</v>
      </c>
      <c r="BX134" s="196" t="n">
        <f aca="false">BX$4*BX29</f>
        <v>0</v>
      </c>
      <c r="BY134" s="196" t="n">
        <f aca="false">BY$4*BY29</f>
        <v>0</v>
      </c>
      <c r="BZ134" s="196" t="n">
        <f aca="false">BZ$4*BZ29</f>
        <v>0</v>
      </c>
      <c r="CA134" s="197" t="n">
        <f aca="false">CA$4*CA29</f>
        <v>0</v>
      </c>
      <c r="CB134" s="194" t="str">
        <f aca="false">BQ134</f>
        <v>Alumno24</v>
      </c>
      <c r="CC134" s="195" t="n">
        <f aca="false">CC$4*CC29</f>
        <v>0</v>
      </c>
      <c r="CD134" s="196" t="n">
        <f aca="false">CD$4*CD29</f>
        <v>0</v>
      </c>
      <c r="CE134" s="196" t="n">
        <f aca="false">CE$4*CE29</f>
        <v>0</v>
      </c>
      <c r="CF134" s="196" t="n">
        <f aca="false">CF$4*CF29</f>
        <v>0</v>
      </c>
      <c r="CG134" s="196" t="n">
        <f aca="false">CG$4*CG29</f>
        <v>0</v>
      </c>
      <c r="CH134" s="196" t="n">
        <f aca="false">CH$4*CH29</f>
        <v>0</v>
      </c>
      <c r="CI134" s="196" t="n">
        <f aca="false">CI$4*CI29</f>
        <v>0</v>
      </c>
      <c r="CJ134" s="196" t="n">
        <f aca="false">CJ$4*CJ29</f>
        <v>0</v>
      </c>
      <c r="CK134" s="196" t="n">
        <f aca="false">CK$4*CK29</f>
        <v>0</v>
      </c>
      <c r="CL134" s="197" t="n">
        <f aca="false">CL$4*CL29</f>
        <v>0</v>
      </c>
      <c r="CM134" s="194" t="str">
        <f aca="false">CB134</f>
        <v>Alumno24</v>
      </c>
      <c r="CN134" s="195" t="n">
        <f aca="false">CN$4*CN29</f>
        <v>0</v>
      </c>
      <c r="CO134" s="196" t="n">
        <f aca="false">CO$4*CO29</f>
        <v>0</v>
      </c>
      <c r="CP134" s="196" t="n">
        <f aca="false">CP$4*CP29</f>
        <v>0</v>
      </c>
      <c r="CQ134" s="196" t="n">
        <f aca="false">CQ$4*CQ29</f>
        <v>0</v>
      </c>
      <c r="CR134" s="196" t="n">
        <f aca="false">CR$4*CR29</f>
        <v>0</v>
      </c>
      <c r="CS134" s="196" t="n">
        <f aca="false">CS$4*CS29</f>
        <v>0</v>
      </c>
      <c r="CT134" s="196" t="n">
        <f aca="false">CT$4*CT29</f>
        <v>0</v>
      </c>
      <c r="CU134" s="196" t="n">
        <f aca="false">CU$4*CU29</f>
        <v>0</v>
      </c>
      <c r="CV134" s="196" t="n">
        <f aca="false">CV$4*CV29</f>
        <v>0</v>
      </c>
      <c r="CW134" s="197" t="n">
        <f aca="false">CW$4*CW29</f>
        <v>0</v>
      </c>
      <c r="CX134" s="194" t="str">
        <f aca="false">CM134</f>
        <v>Alumno24</v>
      </c>
      <c r="CY134" s="195" t="n">
        <f aca="false">CY$4*CY29</f>
        <v>0</v>
      </c>
      <c r="CZ134" s="196" t="n">
        <f aca="false">CZ$4*CZ29</f>
        <v>0</v>
      </c>
      <c r="DA134" s="196" t="n">
        <f aca="false">DA$4*DA29</f>
        <v>0</v>
      </c>
      <c r="DB134" s="196" t="n">
        <f aca="false">DB$4*DB29</f>
        <v>0</v>
      </c>
      <c r="DC134" s="196" t="n">
        <f aca="false">DC$4*DC29</f>
        <v>0</v>
      </c>
      <c r="DD134" s="196" t="n">
        <f aca="false">DD$4*DD29</f>
        <v>0</v>
      </c>
      <c r="DE134" s="196" t="n">
        <f aca="false">DE$4*DE29</f>
        <v>0</v>
      </c>
      <c r="DF134" s="196" t="n">
        <f aca="false">DF$4*DF29</f>
        <v>0</v>
      </c>
      <c r="DG134" s="196" t="n">
        <f aca="false">DG$4*DG29</f>
        <v>0</v>
      </c>
      <c r="DH134" s="197" t="n">
        <f aca="false">DH$4*DH29</f>
        <v>0</v>
      </c>
      <c r="DI134" s="194" t="str">
        <f aca="false">CX134</f>
        <v>Alumno24</v>
      </c>
      <c r="DJ134" s="195" t="n">
        <f aca="false">DJ$4*DJ29</f>
        <v>0</v>
      </c>
      <c r="DK134" s="196" t="n">
        <f aca="false">DK$4*DK29</f>
        <v>0</v>
      </c>
      <c r="DL134" s="196" t="n">
        <f aca="false">DL$4*DL29</f>
        <v>0</v>
      </c>
      <c r="DM134" s="196" t="n">
        <f aca="false">DM$4*DM29</f>
        <v>0</v>
      </c>
      <c r="DN134" s="196" t="n">
        <f aca="false">DN$4*DN29</f>
        <v>0</v>
      </c>
      <c r="DO134" s="196" t="n">
        <f aca="false">DO$4*DO29</f>
        <v>0</v>
      </c>
      <c r="DP134" s="196" t="n">
        <f aca="false">DP$4*DP29</f>
        <v>0</v>
      </c>
      <c r="DQ134" s="196" t="n">
        <f aca="false">DQ$4*DQ29</f>
        <v>0</v>
      </c>
      <c r="DR134" s="196" t="n">
        <f aca="false">DR$4*DR29</f>
        <v>0</v>
      </c>
      <c r="DS134" s="197" t="n">
        <f aca="false">DS$4*DS29</f>
        <v>0</v>
      </c>
      <c r="DT134" s="194" t="str">
        <f aca="false">DI134</f>
        <v>Alumno24</v>
      </c>
      <c r="DU134" s="195" t="n">
        <f aca="false">DU$4*DU29</f>
        <v>0</v>
      </c>
      <c r="DV134" s="196" t="n">
        <f aca="false">DV$4*DV29</f>
        <v>0</v>
      </c>
      <c r="DW134" s="196" t="n">
        <f aca="false">DW$4*DW29</f>
        <v>0</v>
      </c>
      <c r="DX134" s="196" t="n">
        <f aca="false">DX$4*DX29</f>
        <v>0</v>
      </c>
      <c r="DY134" s="196" t="n">
        <f aca="false">DY$4*DY29</f>
        <v>0</v>
      </c>
      <c r="DZ134" s="196" t="n">
        <f aca="false">DZ$4*DZ29</f>
        <v>0</v>
      </c>
      <c r="EA134" s="196" t="n">
        <f aca="false">EA$4*EA29</f>
        <v>0</v>
      </c>
      <c r="EB134" s="196" t="n">
        <f aca="false">EB$4*EB29</f>
        <v>0</v>
      </c>
      <c r="EC134" s="196" t="n">
        <f aca="false">EC$4*EC29</f>
        <v>0</v>
      </c>
      <c r="ED134" s="197" t="n">
        <f aca="false">ED$4*ED29</f>
        <v>0</v>
      </c>
      <c r="EE134" s="194" t="str">
        <f aca="false">DT134</f>
        <v>Alumno24</v>
      </c>
      <c r="EF134" s="195" t="n">
        <f aca="false">EF$4*EF29</f>
        <v>0</v>
      </c>
      <c r="EG134" s="196" t="n">
        <f aca="false">EG$4*EG29</f>
        <v>0</v>
      </c>
      <c r="EH134" s="196" t="n">
        <f aca="false">EH$4*EH29</f>
        <v>0</v>
      </c>
      <c r="EI134" s="196" t="n">
        <f aca="false">EI$4*EI29</f>
        <v>0</v>
      </c>
      <c r="EJ134" s="196" t="n">
        <f aca="false">EJ$4*EJ29</f>
        <v>0</v>
      </c>
      <c r="EK134" s="196" t="n">
        <f aca="false">EK$4*EK29</f>
        <v>0</v>
      </c>
      <c r="EL134" s="196" t="n">
        <f aca="false">EL$4*EL29</f>
        <v>0</v>
      </c>
      <c r="EM134" s="196" t="n">
        <f aca="false">EM$4*EM29</f>
        <v>0</v>
      </c>
      <c r="EN134" s="196" t="n">
        <f aca="false">EN$4*EN29</f>
        <v>0</v>
      </c>
      <c r="EO134" s="197" t="n">
        <f aca="false">EO$4*EO29</f>
        <v>0</v>
      </c>
      <c r="EP134" s="194" t="str">
        <f aca="false">EE134</f>
        <v>Alumno24</v>
      </c>
      <c r="EQ134" s="195" t="n">
        <f aca="false">EQ$4*EQ29</f>
        <v>0</v>
      </c>
      <c r="ER134" s="196" t="n">
        <f aca="false">ER$4*ER29</f>
        <v>0</v>
      </c>
      <c r="ES134" s="196" t="n">
        <f aca="false">ES$4*ES29</f>
        <v>0</v>
      </c>
      <c r="ET134" s="196" t="n">
        <f aca="false">ET$4*ET29</f>
        <v>0</v>
      </c>
      <c r="EU134" s="196" t="n">
        <f aca="false">EU$4*EU29</f>
        <v>0</v>
      </c>
      <c r="EV134" s="196" t="n">
        <f aca="false">EV$4*EV29</f>
        <v>0</v>
      </c>
      <c r="EW134" s="196" t="n">
        <f aca="false">EW$4*EW29</f>
        <v>0</v>
      </c>
      <c r="EX134" s="196" t="n">
        <f aca="false">EX$4*EX29</f>
        <v>0</v>
      </c>
      <c r="EY134" s="196" t="n">
        <f aca="false">EY$4*EY29</f>
        <v>0</v>
      </c>
      <c r="EZ134" s="197" t="n">
        <f aca="false">EZ$4*EZ29</f>
        <v>0</v>
      </c>
      <c r="FA134" s="194" t="str">
        <f aca="false">EP134</f>
        <v>Alumno24</v>
      </c>
      <c r="FB134" s="195" t="n">
        <f aca="false">FB$4*FB29</f>
        <v>0</v>
      </c>
      <c r="FC134" s="196" t="n">
        <f aca="false">FC$4*FC29</f>
        <v>0</v>
      </c>
      <c r="FD134" s="196" t="n">
        <f aca="false">FD$4*FD29</f>
        <v>0</v>
      </c>
      <c r="FE134" s="196" t="n">
        <f aca="false">FE$4*FE29</f>
        <v>0</v>
      </c>
      <c r="FF134" s="196" t="n">
        <f aca="false">FF$4*FF29</f>
        <v>0</v>
      </c>
      <c r="FG134" s="196" t="n">
        <f aca="false">FG$4*FG29</f>
        <v>0</v>
      </c>
      <c r="FH134" s="196" t="n">
        <f aca="false">FH$4*FH29</f>
        <v>0</v>
      </c>
      <c r="FI134" s="196" t="n">
        <f aca="false">FI$4*FI29</f>
        <v>0</v>
      </c>
      <c r="FJ134" s="196" t="n">
        <f aca="false">FJ$4*FJ29</f>
        <v>0</v>
      </c>
      <c r="FK134" s="197" t="n">
        <f aca="false">FK$4*FK29</f>
        <v>0</v>
      </c>
      <c r="FL134" s="194" t="str">
        <f aca="false">FA134</f>
        <v>Alumno24</v>
      </c>
      <c r="FM134" s="195" t="n">
        <f aca="false">FM$4*FM29</f>
        <v>0</v>
      </c>
      <c r="FN134" s="196" t="n">
        <f aca="false">FN$4*FN29</f>
        <v>0</v>
      </c>
      <c r="FO134" s="196" t="n">
        <f aca="false">FO$4*FO29</f>
        <v>0</v>
      </c>
      <c r="FP134" s="196" t="n">
        <f aca="false">FP$4*FP29</f>
        <v>0</v>
      </c>
      <c r="FQ134" s="196" t="n">
        <f aca="false">FQ$4*FQ29</f>
        <v>0</v>
      </c>
      <c r="FR134" s="196" t="n">
        <f aca="false">FR$4*FR29</f>
        <v>0</v>
      </c>
      <c r="FS134" s="196" t="n">
        <f aca="false">FS$4*FS29</f>
        <v>0</v>
      </c>
      <c r="FT134" s="196" t="n">
        <f aca="false">FT$4*FT29</f>
        <v>0</v>
      </c>
      <c r="FU134" s="196" t="n">
        <f aca="false">FU$4*FU29</f>
        <v>0</v>
      </c>
      <c r="FV134" s="197" t="n">
        <f aca="false">FV$4*FV29</f>
        <v>0</v>
      </c>
      <c r="FW134" s="194" t="str">
        <f aca="false">FL134</f>
        <v>Alumno24</v>
      </c>
      <c r="FX134" s="195" t="n">
        <f aca="false">FX$4*FX29</f>
        <v>0</v>
      </c>
      <c r="FY134" s="196" t="n">
        <f aca="false">FY$4*FY29</f>
        <v>0</v>
      </c>
      <c r="FZ134" s="196" t="n">
        <f aca="false">FZ$4*FZ29</f>
        <v>0</v>
      </c>
      <c r="GA134" s="196" t="n">
        <f aca="false">GA$4*GA29</f>
        <v>0</v>
      </c>
      <c r="GB134" s="196" t="n">
        <f aca="false">GB$4*GB29</f>
        <v>0</v>
      </c>
      <c r="GC134" s="196" t="n">
        <f aca="false">GC$4*GC29</f>
        <v>0</v>
      </c>
      <c r="GD134" s="196" t="n">
        <f aca="false">GD$4*GD29</f>
        <v>0</v>
      </c>
      <c r="GE134" s="196" t="n">
        <f aca="false">GE$4*GE29</f>
        <v>0</v>
      </c>
      <c r="GF134" s="196" t="n">
        <f aca="false">GF$4*GF29</f>
        <v>0</v>
      </c>
      <c r="GG134" s="197" t="n">
        <f aca="false">GG$4*GG29</f>
        <v>0</v>
      </c>
      <c r="GH134" s="194" t="str">
        <f aca="false">FW134</f>
        <v>Alumno24</v>
      </c>
      <c r="GI134" s="195" t="n">
        <f aca="false">GI$4*GI29</f>
        <v>0</v>
      </c>
      <c r="GJ134" s="196" t="n">
        <f aca="false">GJ$4*GJ29</f>
        <v>0</v>
      </c>
      <c r="GK134" s="196" t="n">
        <f aca="false">GK$4*GK29</f>
        <v>0</v>
      </c>
      <c r="GL134" s="196" t="n">
        <f aca="false">GL$4*GL29</f>
        <v>0</v>
      </c>
      <c r="GM134" s="196" t="n">
        <f aca="false">GM$4*GM29</f>
        <v>0</v>
      </c>
      <c r="GN134" s="196" t="n">
        <f aca="false">GN$4*GN29</f>
        <v>0</v>
      </c>
      <c r="GO134" s="196" t="n">
        <f aca="false">GO$4*GO29</f>
        <v>0</v>
      </c>
      <c r="GP134" s="196" t="n">
        <f aca="false">GP$4*GP29</f>
        <v>0</v>
      </c>
      <c r="GQ134" s="196" t="n">
        <f aca="false">GQ$4*GQ29</f>
        <v>0</v>
      </c>
      <c r="GR134" s="197" t="n">
        <f aca="false">GR$4*GR29</f>
        <v>0</v>
      </c>
      <c r="GS134" s="194" t="str">
        <f aca="false">GH134</f>
        <v>Alumno24</v>
      </c>
      <c r="GT134" s="195" t="n">
        <f aca="false">GT$4*GT29</f>
        <v>0</v>
      </c>
      <c r="GU134" s="196" t="n">
        <f aca="false">GU$4*GU29</f>
        <v>0</v>
      </c>
      <c r="GV134" s="196" t="n">
        <f aca="false">GV$4*GV29</f>
        <v>0</v>
      </c>
      <c r="GW134" s="196" t="n">
        <f aca="false">GW$4*GW29</f>
        <v>0</v>
      </c>
      <c r="GX134" s="196" t="n">
        <f aca="false">GX$4*GX29</f>
        <v>0</v>
      </c>
      <c r="GY134" s="196" t="n">
        <f aca="false">GY$4*GY29</f>
        <v>0</v>
      </c>
      <c r="GZ134" s="196" t="n">
        <f aca="false">GZ$4*GZ29</f>
        <v>0</v>
      </c>
      <c r="HA134" s="196" t="n">
        <f aca="false">HA$4*HA29</f>
        <v>0</v>
      </c>
      <c r="HB134" s="196" t="n">
        <f aca="false">HB$4*HB29</f>
        <v>0</v>
      </c>
      <c r="HC134" s="197" t="n">
        <f aca="false">HC$4*HC29</f>
        <v>0</v>
      </c>
      <c r="HD134" s="194" t="str">
        <f aca="false">GS134</f>
        <v>Alumno24</v>
      </c>
      <c r="HE134" s="195" t="n">
        <f aca="false">HE$4*HE29</f>
        <v>0</v>
      </c>
      <c r="HF134" s="196" t="n">
        <f aca="false">HF$4*HF29</f>
        <v>0</v>
      </c>
      <c r="HG134" s="196" t="n">
        <f aca="false">HG$4*HG29</f>
        <v>0</v>
      </c>
      <c r="HH134" s="196" t="n">
        <f aca="false">HH$4*HH29</f>
        <v>0</v>
      </c>
      <c r="HI134" s="196" t="n">
        <f aca="false">HI$4*HI29</f>
        <v>0</v>
      </c>
      <c r="HJ134" s="196" t="n">
        <f aca="false">HJ$4*HJ29</f>
        <v>0</v>
      </c>
      <c r="HK134" s="196" t="n">
        <f aca="false">HK$4*HK29</f>
        <v>0</v>
      </c>
      <c r="HL134" s="196" t="n">
        <f aca="false">HL$4*HL29</f>
        <v>0</v>
      </c>
      <c r="HM134" s="196" t="n">
        <f aca="false">HM$4*HM29</f>
        <v>0</v>
      </c>
      <c r="HN134" s="197" t="n">
        <f aca="false">HN$4*HN29</f>
        <v>0</v>
      </c>
      <c r="HO134" s="194" t="str">
        <f aca="false">HD134</f>
        <v>Alumno24</v>
      </c>
      <c r="HP134" s="195" t="n">
        <f aca="false">HP$4*HP29</f>
        <v>0</v>
      </c>
      <c r="HQ134" s="196" t="n">
        <f aca="false">HQ$4*HQ29</f>
        <v>0</v>
      </c>
      <c r="HR134" s="196" t="n">
        <f aca="false">HR$4*HR29</f>
        <v>0</v>
      </c>
      <c r="HS134" s="196" t="n">
        <f aca="false">HS$4*HS29</f>
        <v>0</v>
      </c>
      <c r="HT134" s="196" t="n">
        <f aca="false">HT$4*HT29</f>
        <v>0</v>
      </c>
      <c r="HU134" s="196" t="n">
        <f aca="false">HU$4*HU29</f>
        <v>0</v>
      </c>
      <c r="HV134" s="196" t="n">
        <f aca="false">HV$4*HV29</f>
        <v>0</v>
      </c>
      <c r="HW134" s="196" t="n">
        <f aca="false">HW$4*HW29</f>
        <v>0</v>
      </c>
      <c r="HX134" s="196" t="n">
        <f aca="false">HX$4*HX29</f>
        <v>0</v>
      </c>
      <c r="HY134" s="197" t="n">
        <f aca="false">HY$4*HY29</f>
        <v>0</v>
      </c>
      <c r="HZ134" s="194" t="str">
        <f aca="false">HO134</f>
        <v>Alumno24</v>
      </c>
      <c r="IA134" s="195" t="n">
        <f aca="false">IA$4*IA29</f>
        <v>0</v>
      </c>
      <c r="IB134" s="196" t="n">
        <f aca="false">IB$4*IB29</f>
        <v>0</v>
      </c>
      <c r="IC134" s="196" t="n">
        <f aca="false">IC$4*IC29</f>
        <v>0</v>
      </c>
      <c r="ID134" s="196" t="n">
        <f aca="false">ID$4*ID29</f>
        <v>0</v>
      </c>
      <c r="IE134" s="196" t="n">
        <f aca="false">IE$4*IE29</f>
        <v>0</v>
      </c>
      <c r="IF134" s="196" t="n">
        <f aca="false">IF$4*IF29</f>
        <v>0</v>
      </c>
      <c r="IG134" s="196" t="n">
        <f aca="false">IG$4*IG29</f>
        <v>0</v>
      </c>
      <c r="IH134" s="196" t="n">
        <f aca="false">IH$4*IH29</f>
        <v>0</v>
      </c>
      <c r="II134" s="196" t="n">
        <f aca="false">II$4*II29</f>
        <v>0</v>
      </c>
      <c r="IJ134" s="197" t="n">
        <f aca="false">IJ$4*IJ29</f>
        <v>0</v>
      </c>
      <c r="IK134" s="194" t="str">
        <f aca="false">HZ134</f>
        <v>Alumno24</v>
      </c>
      <c r="IL134" s="195" t="n">
        <f aca="false">IL$4*IL29</f>
        <v>0</v>
      </c>
      <c r="IM134" s="196" t="n">
        <f aca="false">IM$4*IM29</f>
        <v>0</v>
      </c>
      <c r="IN134" s="196" t="n">
        <f aca="false">IN$4*IN29</f>
        <v>0</v>
      </c>
      <c r="IO134" s="196" t="n">
        <f aca="false">IO$4*IO29</f>
        <v>0</v>
      </c>
      <c r="IP134" s="196" t="n">
        <f aca="false">IP$4*IP29</f>
        <v>0</v>
      </c>
      <c r="IQ134" s="196" t="n">
        <f aca="false">IQ$4*IQ29</f>
        <v>0</v>
      </c>
      <c r="IR134" s="196" t="n">
        <f aca="false">IR$4*IR29</f>
        <v>0</v>
      </c>
      <c r="IS134" s="196" t="n">
        <f aca="false">IS$4*IS29</f>
        <v>0</v>
      </c>
      <c r="IT134" s="196" t="n">
        <f aca="false">IT$4*IT29</f>
        <v>0</v>
      </c>
      <c r="IU134" s="197" t="n">
        <f aca="false">IU$4*IU29</f>
        <v>0</v>
      </c>
      <c r="IV134" s="194" t="str">
        <f aca="false">IK134</f>
        <v>Alumno24</v>
      </c>
      <c r="IW134" s="195" t="n">
        <f aca="false">IW$4*IW29</f>
        <v>0</v>
      </c>
      <c r="IX134" s="196" t="n">
        <f aca="false">IX$4*IX29</f>
        <v>0</v>
      </c>
      <c r="IY134" s="196" t="n">
        <f aca="false">IY$4*IY29</f>
        <v>0</v>
      </c>
      <c r="IZ134" s="196" t="n">
        <f aca="false">IZ$4*IZ29</f>
        <v>0</v>
      </c>
      <c r="JA134" s="196" t="n">
        <f aca="false">JA$4*JA29</f>
        <v>0</v>
      </c>
      <c r="JB134" s="196" t="n">
        <f aca="false">JB$4*JB29</f>
        <v>0</v>
      </c>
      <c r="JC134" s="196" t="n">
        <f aca="false">JC$4*JC29</f>
        <v>0</v>
      </c>
      <c r="JD134" s="196" t="n">
        <f aca="false">JD$4*JD29</f>
        <v>0</v>
      </c>
      <c r="JE134" s="196" t="n">
        <f aca="false">JE$4*JE29</f>
        <v>0</v>
      </c>
      <c r="JF134" s="197" t="n">
        <f aca="false">JF$4*JF29</f>
        <v>0</v>
      </c>
      <c r="JG134" s="194" t="str">
        <f aca="false">IV134</f>
        <v>Alumno24</v>
      </c>
      <c r="JH134" s="195" t="n">
        <f aca="false">JH$4*JH29</f>
        <v>0</v>
      </c>
      <c r="JI134" s="196" t="n">
        <f aca="false">JI$4*JI29</f>
        <v>0</v>
      </c>
      <c r="JJ134" s="196" t="n">
        <f aca="false">JJ$4*JJ29</f>
        <v>0</v>
      </c>
      <c r="JK134" s="196" t="n">
        <f aca="false">JK$4*JK29</f>
        <v>0</v>
      </c>
      <c r="JL134" s="196" t="n">
        <f aca="false">JL$4*JL29</f>
        <v>0</v>
      </c>
      <c r="JM134" s="196" t="n">
        <f aca="false">JM$4*JM29</f>
        <v>0</v>
      </c>
      <c r="JN134" s="196" t="n">
        <f aca="false">JN$4*JN29</f>
        <v>0</v>
      </c>
      <c r="JO134" s="196" t="n">
        <f aca="false">JO$4*JO29</f>
        <v>0</v>
      </c>
      <c r="JP134" s="196" t="n">
        <f aca="false">JP$4*JP29</f>
        <v>0</v>
      </c>
      <c r="JQ134" s="197" t="n">
        <f aca="false">JQ$4*JQ29</f>
        <v>0</v>
      </c>
      <c r="JR134" s="194" t="str">
        <f aca="false">JG134</f>
        <v>Alumno24</v>
      </c>
      <c r="JS134" s="195" t="n">
        <f aca="false">JS$4*JS29</f>
        <v>0</v>
      </c>
      <c r="JT134" s="196" t="n">
        <f aca="false">JT$4*JT29</f>
        <v>0</v>
      </c>
      <c r="JU134" s="196" t="n">
        <f aca="false">JU$4*JU29</f>
        <v>0</v>
      </c>
      <c r="JV134" s="196" t="n">
        <f aca="false">JV$4*JV29</f>
        <v>0</v>
      </c>
      <c r="JW134" s="196" t="n">
        <f aca="false">JW$4*JW29</f>
        <v>0</v>
      </c>
      <c r="JX134" s="196" t="n">
        <f aca="false">JX$4*JX29</f>
        <v>0</v>
      </c>
      <c r="JY134" s="196" t="n">
        <f aca="false">JY$4*JY29</f>
        <v>0</v>
      </c>
      <c r="JZ134" s="196" t="n">
        <f aca="false">JZ$4*JZ29</f>
        <v>0</v>
      </c>
      <c r="KA134" s="196" t="n">
        <f aca="false">KA$4*KA29</f>
        <v>0</v>
      </c>
      <c r="KB134" s="197" t="n">
        <f aca="false">KB$4*KB29</f>
        <v>0</v>
      </c>
      <c r="KC134" s="194" t="str">
        <f aca="false">JR134</f>
        <v>Alumno24</v>
      </c>
      <c r="KD134" s="195" t="n">
        <f aca="false">KD$4*KD29</f>
        <v>0</v>
      </c>
      <c r="KE134" s="196" t="n">
        <f aca="false">KE$4*KE29</f>
        <v>0</v>
      </c>
      <c r="KF134" s="196" t="n">
        <f aca="false">KF$4*KF29</f>
        <v>0</v>
      </c>
      <c r="KG134" s="196" t="n">
        <f aca="false">KG$4*KG29</f>
        <v>0</v>
      </c>
      <c r="KH134" s="196" t="n">
        <f aca="false">KH$4*KH29</f>
        <v>0</v>
      </c>
      <c r="KI134" s="196" t="n">
        <f aca="false">KI$4*KI29</f>
        <v>0</v>
      </c>
      <c r="KJ134" s="196" t="n">
        <f aca="false">KJ$4*KJ29</f>
        <v>0</v>
      </c>
      <c r="KK134" s="196" t="n">
        <f aca="false">KK$4*KK29</f>
        <v>0</v>
      </c>
      <c r="KL134" s="196" t="n">
        <f aca="false">KL$4*KL29</f>
        <v>0</v>
      </c>
      <c r="KM134" s="197" t="n">
        <f aca="false">KM$4*KM29</f>
        <v>0</v>
      </c>
      <c r="KN134" s="194" t="str">
        <f aca="false">KC134</f>
        <v>Alumno24</v>
      </c>
      <c r="KO134" s="195" t="n">
        <f aca="false">KO$4*KO29</f>
        <v>0</v>
      </c>
      <c r="KP134" s="196" t="n">
        <f aca="false">KP$4*KP29</f>
        <v>0</v>
      </c>
      <c r="KQ134" s="196" t="n">
        <f aca="false">KQ$4*KQ29</f>
        <v>0</v>
      </c>
      <c r="KR134" s="196" t="n">
        <f aca="false">KR$4*KR29</f>
        <v>0</v>
      </c>
      <c r="KS134" s="196" t="n">
        <f aca="false">KS$4*KS29</f>
        <v>0</v>
      </c>
      <c r="KT134" s="196" t="n">
        <f aca="false">KT$4*KT29</f>
        <v>0</v>
      </c>
      <c r="KU134" s="196" t="n">
        <f aca="false">KU$4*KU29</f>
        <v>0</v>
      </c>
      <c r="KV134" s="196" t="n">
        <f aca="false">KV$4*KV29</f>
        <v>0</v>
      </c>
      <c r="KW134" s="196" t="n">
        <f aca="false">KW$4*KW29</f>
        <v>0</v>
      </c>
      <c r="KX134" s="197" t="n">
        <f aca="false">KX$4*KX29</f>
        <v>0</v>
      </c>
      <c r="KY134" s="194" t="str">
        <f aca="false">KN134</f>
        <v>Alumno24</v>
      </c>
      <c r="KZ134" s="195" t="n">
        <f aca="false">KZ$4*KZ29</f>
        <v>0</v>
      </c>
      <c r="LA134" s="196" t="n">
        <f aca="false">LA$4*LA29</f>
        <v>0</v>
      </c>
      <c r="LB134" s="196" t="n">
        <f aca="false">LB$4*LB29</f>
        <v>0</v>
      </c>
      <c r="LC134" s="196" t="n">
        <f aca="false">LC$4*LC29</f>
        <v>0</v>
      </c>
      <c r="LD134" s="196" t="n">
        <f aca="false">LD$4*LD29</f>
        <v>0</v>
      </c>
      <c r="LE134" s="196" t="n">
        <f aca="false">LE$4*LE29</f>
        <v>0</v>
      </c>
      <c r="LF134" s="196" t="n">
        <f aca="false">LF$4*LF29</f>
        <v>0</v>
      </c>
      <c r="LG134" s="196" t="n">
        <f aca="false">LG$4*LG29</f>
        <v>0</v>
      </c>
      <c r="LH134" s="196" t="n">
        <f aca="false">LH$4*LH29</f>
        <v>0</v>
      </c>
      <c r="LI134" s="197" t="n">
        <f aca="false">LI$4*LI29</f>
        <v>0</v>
      </c>
      <c r="LJ134" s="194" t="str">
        <f aca="false">KY134</f>
        <v>Alumno24</v>
      </c>
      <c r="LK134" s="195" t="n">
        <f aca="false">LK$4*LK29</f>
        <v>0</v>
      </c>
      <c r="LL134" s="196" t="n">
        <f aca="false">LL$4*LL29</f>
        <v>0</v>
      </c>
      <c r="LM134" s="196" t="n">
        <f aca="false">LM$4*LM29</f>
        <v>0</v>
      </c>
      <c r="LN134" s="196" t="n">
        <f aca="false">LN$4*LN29</f>
        <v>0</v>
      </c>
      <c r="LO134" s="196" t="n">
        <f aca="false">LO$4*LO29</f>
        <v>0</v>
      </c>
      <c r="LP134" s="196" t="n">
        <f aca="false">LP$4*LP29</f>
        <v>0</v>
      </c>
      <c r="LQ134" s="196" t="n">
        <f aca="false">LQ$4*LQ29</f>
        <v>0</v>
      </c>
      <c r="LR134" s="196" t="n">
        <f aca="false">LR$4*LR29</f>
        <v>0</v>
      </c>
      <c r="LS134" s="196" t="n">
        <f aca="false">LS$4*LS29</f>
        <v>0</v>
      </c>
      <c r="LT134" s="197" t="n">
        <f aca="false">LT$4*LT29</f>
        <v>0</v>
      </c>
    </row>
    <row r="135" customFormat="false" ht="15" hidden="true" customHeight="false" outlineLevel="0" collapsed="false">
      <c r="C135" s="194" t="str">
        <f aca="false">C86</f>
        <v>Alumno25</v>
      </c>
      <c r="D135" s="195" t="n">
        <f aca="false">D$4*D30</f>
        <v>1.35</v>
      </c>
      <c r="E135" s="196" t="n">
        <f aca="false">E$4*E30</f>
        <v>1.35</v>
      </c>
      <c r="F135" s="196" t="n">
        <f aca="false">F$4*F30</f>
        <v>1.8</v>
      </c>
      <c r="G135" s="196" t="n">
        <f aca="false">G$4*G30</f>
        <v>0.9</v>
      </c>
      <c r="H135" s="196" t="n">
        <f aca="false">H$4*H30</f>
        <v>1.35</v>
      </c>
      <c r="I135" s="196" t="n">
        <f aca="false">I$4*I30</f>
        <v>1.2</v>
      </c>
      <c r="J135" s="196" t="n">
        <f aca="false">J$4*J30</f>
        <v>0.9</v>
      </c>
      <c r="K135" s="196" t="n">
        <f aca="false">K$4*K30</f>
        <v>0</v>
      </c>
      <c r="L135" s="196" t="n">
        <f aca="false">L$4*L30</f>
        <v>0</v>
      </c>
      <c r="M135" s="197" t="n">
        <f aca="false">M$4*M30</f>
        <v>0</v>
      </c>
      <c r="N135" s="194" t="str">
        <f aca="false">C135</f>
        <v>Alumno25</v>
      </c>
      <c r="O135" s="195" t="n">
        <f aca="false">O$4*O30</f>
        <v>1.8</v>
      </c>
      <c r="P135" s="196" t="n">
        <f aca="false">P$4*P30</f>
        <v>1.8</v>
      </c>
      <c r="Q135" s="196" t="n">
        <f aca="false">Q$4*Q30</f>
        <v>1.8</v>
      </c>
      <c r="R135" s="196" t="n">
        <f aca="false">R$4*R30</f>
        <v>1.8</v>
      </c>
      <c r="S135" s="196" t="n">
        <f aca="false">S$4*S30</f>
        <v>1.8</v>
      </c>
      <c r="T135" s="196" t="n">
        <f aca="false">T$4*T30</f>
        <v>0</v>
      </c>
      <c r="U135" s="196" t="n">
        <f aca="false">U$4*U30</f>
        <v>0</v>
      </c>
      <c r="V135" s="196" t="n">
        <f aca="false">V$4*V30</f>
        <v>0</v>
      </c>
      <c r="W135" s="196" t="n">
        <f aca="false">W$4*W30</f>
        <v>0</v>
      </c>
      <c r="X135" s="197" t="n">
        <f aca="false">X$4*X30</f>
        <v>0</v>
      </c>
      <c r="Y135" s="194" t="str">
        <f aca="false">N135</f>
        <v>Alumno25</v>
      </c>
      <c r="Z135" s="195" t="n">
        <f aca="false">Z$4*Z30</f>
        <v>1</v>
      </c>
      <c r="AA135" s="196" t="n">
        <f aca="false">AA$4*AA30</f>
        <v>1</v>
      </c>
      <c r="AB135" s="196" t="n">
        <f aca="false">AB$4*AB30</f>
        <v>1</v>
      </c>
      <c r="AC135" s="196" t="n">
        <f aca="false">AC$4*AC30</f>
        <v>1</v>
      </c>
      <c r="AD135" s="196" t="n">
        <f aca="false">AD$4*AD30</f>
        <v>1</v>
      </c>
      <c r="AE135" s="196" t="n">
        <f aca="false">AE$4*AE30</f>
        <v>0</v>
      </c>
      <c r="AF135" s="196" t="n">
        <f aca="false">AF$4*AF30</f>
        <v>0</v>
      </c>
      <c r="AG135" s="196" t="n">
        <f aca="false">AG$4*AG30</f>
        <v>0</v>
      </c>
      <c r="AH135" s="196" t="n">
        <f aca="false">AH$4*AH30</f>
        <v>0</v>
      </c>
      <c r="AI135" s="197" t="n">
        <f aca="false">AI$4*AI30</f>
        <v>0</v>
      </c>
      <c r="AJ135" s="194" t="str">
        <f aca="false">Y135</f>
        <v>Alumno25</v>
      </c>
      <c r="AK135" s="195" t="n">
        <f aca="false">AK$4*AK30</f>
        <v>1</v>
      </c>
      <c r="AL135" s="196" t="n">
        <f aca="false">AL$4*AL30</f>
        <v>1</v>
      </c>
      <c r="AM135" s="196" t="n">
        <f aca="false">AM$4*AM30</f>
        <v>1</v>
      </c>
      <c r="AN135" s="196" t="n">
        <f aca="false">AN$4*AN30</f>
        <v>1</v>
      </c>
      <c r="AO135" s="196" t="n">
        <f aca="false">AO$4*AO30</f>
        <v>1</v>
      </c>
      <c r="AP135" s="196" t="n">
        <f aca="false">AP$4*AP30</f>
        <v>0</v>
      </c>
      <c r="AQ135" s="196" t="n">
        <f aca="false">AQ$4*AQ30</f>
        <v>0</v>
      </c>
      <c r="AR135" s="196" t="n">
        <f aca="false">AR$4*AR30</f>
        <v>0</v>
      </c>
      <c r="AS135" s="196" t="n">
        <f aca="false">AS$4*AS30</f>
        <v>0</v>
      </c>
      <c r="AT135" s="197" t="n">
        <f aca="false">AT$4*AT30</f>
        <v>0</v>
      </c>
      <c r="AU135" s="194" t="str">
        <f aca="false">AJ135</f>
        <v>Alumno25</v>
      </c>
      <c r="AV135" s="195" t="n">
        <f aca="false">AV$4*AV30</f>
        <v>0.9</v>
      </c>
      <c r="AW135" s="196" t="n">
        <f aca="false">AW$4*AW30</f>
        <v>1.8</v>
      </c>
      <c r="AX135" s="196" t="n">
        <f aca="false">AX$4*AX30</f>
        <v>1.8</v>
      </c>
      <c r="AY135" s="196" t="n">
        <f aca="false">AY$4*AY30</f>
        <v>2.7</v>
      </c>
      <c r="AZ135" s="196" t="n">
        <f aca="false">AZ$4*AZ30</f>
        <v>1.8</v>
      </c>
      <c r="BA135" s="196" t="n">
        <f aca="false">BA$4*BA30</f>
        <v>0</v>
      </c>
      <c r="BB135" s="196" t="n">
        <f aca="false">BB$4*BB30</f>
        <v>0</v>
      </c>
      <c r="BC135" s="196" t="n">
        <f aca="false">BC$4*BC30</f>
        <v>0</v>
      </c>
      <c r="BD135" s="196" t="n">
        <f aca="false">BD$4*BD30</f>
        <v>0</v>
      </c>
      <c r="BE135" s="197" t="n">
        <f aca="false">BE$4*BE30</f>
        <v>0</v>
      </c>
      <c r="BF135" s="194" t="str">
        <f aca="false">AU135</f>
        <v>Alumno25</v>
      </c>
      <c r="BG135" s="195" t="n">
        <f aca="false">BG$4*BG30</f>
        <v>0.9</v>
      </c>
      <c r="BH135" s="196" t="n">
        <f aca="false">BH$4*BH30</f>
        <v>1.8</v>
      </c>
      <c r="BI135" s="196" t="n">
        <f aca="false">BI$4*BI30</f>
        <v>1.8</v>
      </c>
      <c r="BJ135" s="196" t="n">
        <f aca="false">BJ$4*BJ30</f>
        <v>1.8</v>
      </c>
      <c r="BK135" s="196" t="n">
        <f aca="false">BK$4*BK30</f>
        <v>2.7</v>
      </c>
      <c r="BL135" s="196" t="n">
        <f aca="false">BL$4*BL30</f>
        <v>0</v>
      </c>
      <c r="BM135" s="196" t="n">
        <f aca="false">BM$4*BM30</f>
        <v>0</v>
      </c>
      <c r="BN135" s="196" t="n">
        <f aca="false">BN$4*BN30</f>
        <v>0</v>
      </c>
      <c r="BO135" s="196" t="n">
        <f aca="false">BO$4*BO30</f>
        <v>0</v>
      </c>
      <c r="BP135" s="197" t="n">
        <f aca="false">BP$4*BP30</f>
        <v>0</v>
      </c>
      <c r="BQ135" s="194" t="str">
        <f aca="false">BF135</f>
        <v>Alumno25</v>
      </c>
      <c r="BR135" s="195" t="n">
        <f aca="false">BR$4*BR30</f>
        <v>2</v>
      </c>
      <c r="BS135" s="196" t="n">
        <f aca="false">BS$4*BS30</f>
        <v>0.9</v>
      </c>
      <c r="BT135" s="196" t="n">
        <f aca="false">BT$4*BT30</f>
        <v>2</v>
      </c>
      <c r="BU135" s="196" t="n">
        <f aca="false">BU$4*BU30</f>
        <v>1.8</v>
      </c>
      <c r="BV135" s="196" t="n">
        <f aca="false">BV$4*BV30</f>
        <v>3</v>
      </c>
      <c r="BW135" s="196" t="n">
        <f aca="false">BW$4*BW30</f>
        <v>0</v>
      </c>
      <c r="BX135" s="196" t="n">
        <f aca="false">BX$4*BX30</f>
        <v>0</v>
      </c>
      <c r="BY135" s="196" t="n">
        <f aca="false">BY$4*BY30</f>
        <v>0</v>
      </c>
      <c r="BZ135" s="196" t="n">
        <f aca="false">BZ$4*BZ30</f>
        <v>0</v>
      </c>
      <c r="CA135" s="197" t="n">
        <f aca="false">CA$4*CA30</f>
        <v>0</v>
      </c>
      <c r="CB135" s="194" t="str">
        <f aca="false">BQ135</f>
        <v>Alumno25</v>
      </c>
      <c r="CC135" s="195" t="n">
        <f aca="false">CC$4*CC30</f>
        <v>0</v>
      </c>
      <c r="CD135" s="196" t="n">
        <f aca="false">CD$4*CD30</f>
        <v>0</v>
      </c>
      <c r="CE135" s="196" t="n">
        <f aca="false">CE$4*CE30</f>
        <v>0</v>
      </c>
      <c r="CF135" s="196" t="n">
        <f aca="false">CF$4*CF30</f>
        <v>0</v>
      </c>
      <c r="CG135" s="196" t="n">
        <f aca="false">CG$4*CG30</f>
        <v>0</v>
      </c>
      <c r="CH135" s="196" t="n">
        <f aca="false">CH$4*CH30</f>
        <v>0</v>
      </c>
      <c r="CI135" s="196" t="n">
        <f aca="false">CI$4*CI30</f>
        <v>0</v>
      </c>
      <c r="CJ135" s="196" t="n">
        <f aca="false">CJ$4*CJ30</f>
        <v>0</v>
      </c>
      <c r="CK135" s="196" t="n">
        <f aca="false">CK$4*CK30</f>
        <v>0</v>
      </c>
      <c r="CL135" s="197" t="n">
        <f aca="false">CL$4*CL30</f>
        <v>0</v>
      </c>
      <c r="CM135" s="194" t="str">
        <f aca="false">CB135</f>
        <v>Alumno25</v>
      </c>
      <c r="CN135" s="195" t="n">
        <f aca="false">CN$4*CN30</f>
        <v>0</v>
      </c>
      <c r="CO135" s="196" t="n">
        <f aca="false">CO$4*CO30</f>
        <v>0</v>
      </c>
      <c r="CP135" s="196" t="n">
        <f aca="false">CP$4*CP30</f>
        <v>0</v>
      </c>
      <c r="CQ135" s="196" t="n">
        <f aca="false">CQ$4*CQ30</f>
        <v>0</v>
      </c>
      <c r="CR135" s="196" t="n">
        <f aca="false">CR$4*CR30</f>
        <v>0</v>
      </c>
      <c r="CS135" s="196" t="n">
        <f aca="false">CS$4*CS30</f>
        <v>0</v>
      </c>
      <c r="CT135" s="196" t="n">
        <f aca="false">CT$4*CT30</f>
        <v>0</v>
      </c>
      <c r="CU135" s="196" t="n">
        <f aca="false">CU$4*CU30</f>
        <v>0</v>
      </c>
      <c r="CV135" s="196" t="n">
        <f aca="false">CV$4*CV30</f>
        <v>0</v>
      </c>
      <c r="CW135" s="197" t="n">
        <f aca="false">CW$4*CW30</f>
        <v>0</v>
      </c>
      <c r="CX135" s="194" t="str">
        <f aca="false">CM135</f>
        <v>Alumno25</v>
      </c>
      <c r="CY135" s="195" t="n">
        <f aca="false">CY$4*CY30</f>
        <v>0</v>
      </c>
      <c r="CZ135" s="196" t="n">
        <f aca="false">CZ$4*CZ30</f>
        <v>0</v>
      </c>
      <c r="DA135" s="196" t="n">
        <f aca="false">DA$4*DA30</f>
        <v>0</v>
      </c>
      <c r="DB135" s="196" t="n">
        <f aca="false">DB$4*DB30</f>
        <v>0</v>
      </c>
      <c r="DC135" s="196" t="n">
        <f aca="false">DC$4*DC30</f>
        <v>0</v>
      </c>
      <c r="DD135" s="196" t="n">
        <f aca="false">DD$4*DD30</f>
        <v>0</v>
      </c>
      <c r="DE135" s="196" t="n">
        <f aca="false">DE$4*DE30</f>
        <v>0</v>
      </c>
      <c r="DF135" s="196" t="n">
        <f aca="false">DF$4*DF30</f>
        <v>0</v>
      </c>
      <c r="DG135" s="196" t="n">
        <f aca="false">DG$4*DG30</f>
        <v>0</v>
      </c>
      <c r="DH135" s="197" t="n">
        <f aca="false">DH$4*DH30</f>
        <v>0</v>
      </c>
      <c r="DI135" s="194" t="str">
        <f aca="false">CX135</f>
        <v>Alumno25</v>
      </c>
      <c r="DJ135" s="195" t="n">
        <f aca="false">DJ$4*DJ30</f>
        <v>0</v>
      </c>
      <c r="DK135" s="196" t="n">
        <f aca="false">DK$4*DK30</f>
        <v>0</v>
      </c>
      <c r="DL135" s="196" t="n">
        <f aca="false">DL$4*DL30</f>
        <v>0</v>
      </c>
      <c r="DM135" s="196" t="n">
        <f aca="false">DM$4*DM30</f>
        <v>0</v>
      </c>
      <c r="DN135" s="196" t="n">
        <f aca="false">DN$4*DN30</f>
        <v>0</v>
      </c>
      <c r="DO135" s="196" t="n">
        <f aca="false">DO$4*DO30</f>
        <v>0</v>
      </c>
      <c r="DP135" s="196" t="n">
        <f aca="false">DP$4*DP30</f>
        <v>0</v>
      </c>
      <c r="DQ135" s="196" t="n">
        <f aca="false">DQ$4*DQ30</f>
        <v>0</v>
      </c>
      <c r="DR135" s="196" t="n">
        <f aca="false">DR$4*DR30</f>
        <v>0</v>
      </c>
      <c r="DS135" s="197" t="n">
        <f aca="false">DS$4*DS30</f>
        <v>0</v>
      </c>
      <c r="DT135" s="194" t="str">
        <f aca="false">DI135</f>
        <v>Alumno25</v>
      </c>
      <c r="DU135" s="195" t="n">
        <f aca="false">DU$4*DU30</f>
        <v>0</v>
      </c>
      <c r="DV135" s="196" t="n">
        <f aca="false">DV$4*DV30</f>
        <v>0</v>
      </c>
      <c r="DW135" s="196" t="n">
        <f aca="false">DW$4*DW30</f>
        <v>0</v>
      </c>
      <c r="DX135" s="196" t="n">
        <f aca="false">DX$4*DX30</f>
        <v>0</v>
      </c>
      <c r="DY135" s="196" t="n">
        <f aca="false">DY$4*DY30</f>
        <v>0</v>
      </c>
      <c r="DZ135" s="196" t="n">
        <f aca="false">DZ$4*DZ30</f>
        <v>0</v>
      </c>
      <c r="EA135" s="196" t="n">
        <f aca="false">EA$4*EA30</f>
        <v>0</v>
      </c>
      <c r="EB135" s="196" t="n">
        <f aca="false">EB$4*EB30</f>
        <v>0</v>
      </c>
      <c r="EC135" s="196" t="n">
        <f aca="false">EC$4*EC30</f>
        <v>0</v>
      </c>
      <c r="ED135" s="197" t="n">
        <f aca="false">ED$4*ED30</f>
        <v>0</v>
      </c>
      <c r="EE135" s="194" t="str">
        <f aca="false">DT135</f>
        <v>Alumno25</v>
      </c>
      <c r="EF135" s="195" t="n">
        <f aca="false">EF$4*EF30</f>
        <v>0</v>
      </c>
      <c r="EG135" s="196" t="n">
        <f aca="false">EG$4*EG30</f>
        <v>0</v>
      </c>
      <c r="EH135" s="196" t="n">
        <f aca="false">EH$4*EH30</f>
        <v>0</v>
      </c>
      <c r="EI135" s="196" t="n">
        <f aca="false">EI$4*EI30</f>
        <v>0</v>
      </c>
      <c r="EJ135" s="196" t="n">
        <f aca="false">EJ$4*EJ30</f>
        <v>0</v>
      </c>
      <c r="EK135" s="196" t="n">
        <f aca="false">EK$4*EK30</f>
        <v>0</v>
      </c>
      <c r="EL135" s="196" t="n">
        <f aca="false">EL$4*EL30</f>
        <v>0</v>
      </c>
      <c r="EM135" s="196" t="n">
        <f aca="false">EM$4*EM30</f>
        <v>0</v>
      </c>
      <c r="EN135" s="196" t="n">
        <f aca="false">EN$4*EN30</f>
        <v>0</v>
      </c>
      <c r="EO135" s="197" t="n">
        <f aca="false">EO$4*EO30</f>
        <v>0</v>
      </c>
      <c r="EP135" s="194" t="str">
        <f aca="false">EE135</f>
        <v>Alumno25</v>
      </c>
      <c r="EQ135" s="195" t="n">
        <f aca="false">EQ$4*EQ30</f>
        <v>0</v>
      </c>
      <c r="ER135" s="196" t="n">
        <f aca="false">ER$4*ER30</f>
        <v>0</v>
      </c>
      <c r="ES135" s="196" t="n">
        <f aca="false">ES$4*ES30</f>
        <v>0</v>
      </c>
      <c r="ET135" s="196" t="n">
        <f aca="false">ET$4*ET30</f>
        <v>0</v>
      </c>
      <c r="EU135" s="196" t="n">
        <f aca="false">EU$4*EU30</f>
        <v>0</v>
      </c>
      <c r="EV135" s="196" t="n">
        <f aca="false">EV$4*EV30</f>
        <v>0</v>
      </c>
      <c r="EW135" s="196" t="n">
        <f aca="false">EW$4*EW30</f>
        <v>0</v>
      </c>
      <c r="EX135" s="196" t="n">
        <f aca="false">EX$4*EX30</f>
        <v>0</v>
      </c>
      <c r="EY135" s="196" t="n">
        <f aca="false">EY$4*EY30</f>
        <v>0</v>
      </c>
      <c r="EZ135" s="197" t="n">
        <f aca="false">EZ$4*EZ30</f>
        <v>0</v>
      </c>
      <c r="FA135" s="194" t="str">
        <f aca="false">EP135</f>
        <v>Alumno25</v>
      </c>
      <c r="FB135" s="195" t="n">
        <f aca="false">FB$4*FB30</f>
        <v>0</v>
      </c>
      <c r="FC135" s="196" t="n">
        <f aca="false">FC$4*FC30</f>
        <v>0</v>
      </c>
      <c r="FD135" s="196" t="n">
        <f aca="false">FD$4*FD30</f>
        <v>0</v>
      </c>
      <c r="FE135" s="196" t="n">
        <f aca="false">FE$4*FE30</f>
        <v>0</v>
      </c>
      <c r="FF135" s="196" t="n">
        <f aca="false">FF$4*FF30</f>
        <v>0</v>
      </c>
      <c r="FG135" s="196" t="n">
        <f aca="false">FG$4*FG30</f>
        <v>0</v>
      </c>
      <c r="FH135" s="196" t="n">
        <f aca="false">FH$4*FH30</f>
        <v>0</v>
      </c>
      <c r="FI135" s="196" t="n">
        <f aca="false">FI$4*FI30</f>
        <v>0</v>
      </c>
      <c r="FJ135" s="196" t="n">
        <f aca="false">FJ$4*FJ30</f>
        <v>0</v>
      </c>
      <c r="FK135" s="197" t="n">
        <f aca="false">FK$4*FK30</f>
        <v>0</v>
      </c>
      <c r="FL135" s="194" t="str">
        <f aca="false">FA135</f>
        <v>Alumno25</v>
      </c>
      <c r="FM135" s="195" t="n">
        <f aca="false">FM$4*FM30</f>
        <v>0</v>
      </c>
      <c r="FN135" s="196" t="n">
        <f aca="false">FN$4*FN30</f>
        <v>0</v>
      </c>
      <c r="FO135" s="196" t="n">
        <f aca="false">FO$4*FO30</f>
        <v>0</v>
      </c>
      <c r="FP135" s="196" t="n">
        <f aca="false">FP$4*FP30</f>
        <v>0</v>
      </c>
      <c r="FQ135" s="196" t="n">
        <f aca="false">FQ$4*FQ30</f>
        <v>0</v>
      </c>
      <c r="FR135" s="196" t="n">
        <f aca="false">FR$4*FR30</f>
        <v>0</v>
      </c>
      <c r="FS135" s="196" t="n">
        <f aca="false">FS$4*FS30</f>
        <v>0</v>
      </c>
      <c r="FT135" s="196" t="n">
        <f aca="false">FT$4*FT30</f>
        <v>0</v>
      </c>
      <c r="FU135" s="196" t="n">
        <f aca="false">FU$4*FU30</f>
        <v>0</v>
      </c>
      <c r="FV135" s="197" t="n">
        <f aca="false">FV$4*FV30</f>
        <v>0</v>
      </c>
      <c r="FW135" s="194" t="str">
        <f aca="false">FL135</f>
        <v>Alumno25</v>
      </c>
      <c r="FX135" s="195" t="n">
        <f aca="false">FX$4*FX30</f>
        <v>0</v>
      </c>
      <c r="FY135" s="196" t="n">
        <f aca="false">FY$4*FY30</f>
        <v>0</v>
      </c>
      <c r="FZ135" s="196" t="n">
        <f aca="false">FZ$4*FZ30</f>
        <v>0</v>
      </c>
      <c r="GA135" s="196" t="n">
        <f aca="false">GA$4*GA30</f>
        <v>0</v>
      </c>
      <c r="GB135" s="196" t="n">
        <f aca="false">GB$4*GB30</f>
        <v>0</v>
      </c>
      <c r="GC135" s="196" t="n">
        <f aca="false">GC$4*GC30</f>
        <v>0</v>
      </c>
      <c r="GD135" s="196" t="n">
        <f aca="false">GD$4*GD30</f>
        <v>0</v>
      </c>
      <c r="GE135" s="196" t="n">
        <f aca="false">GE$4*GE30</f>
        <v>0</v>
      </c>
      <c r="GF135" s="196" t="n">
        <f aca="false">GF$4*GF30</f>
        <v>0</v>
      </c>
      <c r="GG135" s="197" t="n">
        <f aca="false">GG$4*GG30</f>
        <v>0</v>
      </c>
      <c r="GH135" s="194" t="str">
        <f aca="false">FW135</f>
        <v>Alumno25</v>
      </c>
      <c r="GI135" s="195" t="n">
        <f aca="false">GI$4*GI30</f>
        <v>0</v>
      </c>
      <c r="GJ135" s="196" t="n">
        <f aca="false">GJ$4*GJ30</f>
        <v>0</v>
      </c>
      <c r="GK135" s="196" t="n">
        <f aca="false">GK$4*GK30</f>
        <v>0</v>
      </c>
      <c r="GL135" s="196" t="n">
        <f aca="false">GL$4*GL30</f>
        <v>0</v>
      </c>
      <c r="GM135" s="196" t="n">
        <f aca="false">GM$4*GM30</f>
        <v>0</v>
      </c>
      <c r="GN135" s="196" t="n">
        <f aca="false">GN$4*GN30</f>
        <v>0</v>
      </c>
      <c r="GO135" s="196" t="n">
        <f aca="false">GO$4*GO30</f>
        <v>0</v>
      </c>
      <c r="GP135" s="196" t="n">
        <f aca="false">GP$4*GP30</f>
        <v>0</v>
      </c>
      <c r="GQ135" s="196" t="n">
        <f aca="false">GQ$4*GQ30</f>
        <v>0</v>
      </c>
      <c r="GR135" s="197" t="n">
        <f aca="false">GR$4*GR30</f>
        <v>0</v>
      </c>
      <c r="GS135" s="194" t="str">
        <f aca="false">GH135</f>
        <v>Alumno25</v>
      </c>
      <c r="GT135" s="195" t="n">
        <f aca="false">GT$4*GT30</f>
        <v>0</v>
      </c>
      <c r="GU135" s="196" t="n">
        <f aca="false">GU$4*GU30</f>
        <v>0</v>
      </c>
      <c r="GV135" s="196" t="n">
        <f aca="false">GV$4*GV30</f>
        <v>0</v>
      </c>
      <c r="GW135" s="196" t="n">
        <f aca="false">GW$4*GW30</f>
        <v>0</v>
      </c>
      <c r="GX135" s="196" t="n">
        <f aca="false">GX$4*GX30</f>
        <v>0</v>
      </c>
      <c r="GY135" s="196" t="n">
        <f aca="false">GY$4*GY30</f>
        <v>0</v>
      </c>
      <c r="GZ135" s="196" t="n">
        <f aca="false">GZ$4*GZ30</f>
        <v>0</v>
      </c>
      <c r="HA135" s="196" t="n">
        <f aca="false">HA$4*HA30</f>
        <v>0</v>
      </c>
      <c r="HB135" s="196" t="n">
        <f aca="false">HB$4*HB30</f>
        <v>0</v>
      </c>
      <c r="HC135" s="197" t="n">
        <f aca="false">HC$4*HC30</f>
        <v>0</v>
      </c>
      <c r="HD135" s="194" t="str">
        <f aca="false">GS135</f>
        <v>Alumno25</v>
      </c>
      <c r="HE135" s="195" t="n">
        <f aca="false">HE$4*HE30</f>
        <v>0</v>
      </c>
      <c r="HF135" s="196" t="n">
        <f aca="false">HF$4*HF30</f>
        <v>0</v>
      </c>
      <c r="HG135" s="196" t="n">
        <f aca="false">HG$4*HG30</f>
        <v>0</v>
      </c>
      <c r="HH135" s="196" t="n">
        <f aca="false">HH$4*HH30</f>
        <v>0</v>
      </c>
      <c r="HI135" s="196" t="n">
        <f aca="false">HI$4*HI30</f>
        <v>0</v>
      </c>
      <c r="HJ135" s="196" t="n">
        <f aca="false">HJ$4*HJ30</f>
        <v>0</v>
      </c>
      <c r="HK135" s="196" t="n">
        <f aca="false">HK$4*HK30</f>
        <v>0</v>
      </c>
      <c r="HL135" s="196" t="n">
        <f aca="false">HL$4*HL30</f>
        <v>0</v>
      </c>
      <c r="HM135" s="196" t="n">
        <f aca="false">HM$4*HM30</f>
        <v>0</v>
      </c>
      <c r="HN135" s="197" t="n">
        <f aca="false">HN$4*HN30</f>
        <v>0</v>
      </c>
      <c r="HO135" s="194" t="str">
        <f aca="false">HD135</f>
        <v>Alumno25</v>
      </c>
      <c r="HP135" s="195" t="n">
        <f aca="false">HP$4*HP30</f>
        <v>0</v>
      </c>
      <c r="HQ135" s="196" t="n">
        <f aca="false">HQ$4*HQ30</f>
        <v>0</v>
      </c>
      <c r="HR135" s="196" t="n">
        <f aca="false">HR$4*HR30</f>
        <v>0</v>
      </c>
      <c r="HS135" s="196" t="n">
        <f aca="false">HS$4*HS30</f>
        <v>0</v>
      </c>
      <c r="HT135" s="196" t="n">
        <f aca="false">HT$4*HT30</f>
        <v>0</v>
      </c>
      <c r="HU135" s="196" t="n">
        <f aca="false">HU$4*HU30</f>
        <v>0</v>
      </c>
      <c r="HV135" s="196" t="n">
        <f aca="false">HV$4*HV30</f>
        <v>0</v>
      </c>
      <c r="HW135" s="196" t="n">
        <f aca="false">HW$4*HW30</f>
        <v>0</v>
      </c>
      <c r="HX135" s="196" t="n">
        <f aca="false">HX$4*HX30</f>
        <v>0</v>
      </c>
      <c r="HY135" s="197" t="n">
        <f aca="false">HY$4*HY30</f>
        <v>0</v>
      </c>
      <c r="HZ135" s="194" t="str">
        <f aca="false">HO135</f>
        <v>Alumno25</v>
      </c>
      <c r="IA135" s="195" t="n">
        <f aca="false">IA$4*IA30</f>
        <v>0</v>
      </c>
      <c r="IB135" s="196" t="n">
        <f aca="false">IB$4*IB30</f>
        <v>0</v>
      </c>
      <c r="IC135" s="196" t="n">
        <f aca="false">IC$4*IC30</f>
        <v>0</v>
      </c>
      <c r="ID135" s="196" t="n">
        <f aca="false">ID$4*ID30</f>
        <v>0</v>
      </c>
      <c r="IE135" s="196" t="n">
        <f aca="false">IE$4*IE30</f>
        <v>0</v>
      </c>
      <c r="IF135" s="196" t="n">
        <f aca="false">IF$4*IF30</f>
        <v>0</v>
      </c>
      <c r="IG135" s="196" t="n">
        <f aca="false">IG$4*IG30</f>
        <v>0</v>
      </c>
      <c r="IH135" s="196" t="n">
        <f aca="false">IH$4*IH30</f>
        <v>0</v>
      </c>
      <c r="II135" s="196" t="n">
        <f aca="false">II$4*II30</f>
        <v>0</v>
      </c>
      <c r="IJ135" s="197" t="n">
        <f aca="false">IJ$4*IJ30</f>
        <v>0</v>
      </c>
      <c r="IK135" s="194" t="str">
        <f aca="false">HZ135</f>
        <v>Alumno25</v>
      </c>
      <c r="IL135" s="195" t="n">
        <f aca="false">IL$4*IL30</f>
        <v>0</v>
      </c>
      <c r="IM135" s="196" t="n">
        <f aca="false">IM$4*IM30</f>
        <v>0</v>
      </c>
      <c r="IN135" s="196" t="n">
        <f aca="false">IN$4*IN30</f>
        <v>0</v>
      </c>
      <c r="IO135" s="196" t="n">
        <f aca="false">IO$4*IO30</f>
        <v>0</v>
      </c>
      <c r="IP135" s="196" t="n">
        <f aca="false">IP$4*IP30</f>
        <v>0</v>
      </c>
      <c r="IQ135" s="196" t="n">
        <f aca="false">IQ$4*IQ30</f>
        <v>0</v>
      </c>
      <c r="IR135" s="196" t="n">
        <f aca="false">IR$4*IR30</f>
        <v>0</v>
      </c>
      <c r="IS135" s="196" t="n">
        <f aca="false">IS$4*IS30</f>
        <v>0</v>
      </c>
      <c r="IT135" s="196" t="n">
        <f aca="false">IT$4*IT30</f>
        <v>0</v>
      </c>
      <c r="IU135" s="197" t="n">
        <f aca="false">IU$4*IU30</f>
        <v>0</v>
      </c>
      <c r="IV135" s="194" t="str">
        <f aca="false">IK135</f>
        <v>Alumno25</v>
      </c>
      <c r="IW135" s="195" t="n">
        <f aca="false">IW$4*IW30</f>
        <v>0</v>
      </c>
      <c r="IX135" s="196" t="n">
        <f aca="false">IX$4*IX30</f>
        <v>0</v>
      </c>
      <c r="IY135" s="196" t="n">
        <f aca="false">IY$4*IY30</f>
        <v>0</v>
      </c>
      <c r="IZ135" s="196" t="n">
        <f aca="false">IZ$4*IZ30</f>
        <v>0</v>
      </c>
      <c r="JA135" s="196" t="n">
        <f aca="false">JA$4*JA30</f>
        <v>0</v>
      </c>
      <c r="JB135" s="196" t="n">
        <f aca="false">JB$4*JB30</f>
        <v>0</v>
      </c>
      <c r="JC135" s="196" t="n">
        <f aca="false">JC$4*JC30</f>
        <v>0</v>
      </c>
      <c r="JD135" s="196" t="n">
        <f aca="false">JD$4*JD30</f>
        <v>0</v>
      </c>
      <c r="JE135" s="196" t="n">
        <f aca="false">JE$4*JE30</f>
        <v>0</v>
      </c>
      <c r="JF135" s="197" t="n">
        <f aca="false">JF$4*JF30</f>
        <v>0</v>
      </c>
      <c r="JG135" s="194" t="str">
        <f aca="false">IV135</f>
        <v>Alumno25</v>
      </c>
      <c r="JH135" s="195" t="n">
        <f aca="false">JH$4*JH30</f>
        <v>0</v>
      </c>
      <c r="JI135" s="196" t="n">
        <f aca="false">JI$4*JI30</f>
        <v>0</v>
      </c>
      <c r="JJ135" s="196" t="n">
        <f aca="false">JJ$4*JJ30</f>
        <v>0</v>
      </c>
      <c r="JK135" s="196" t="n">
        <f aca="false">JK$4*JK30</f>
        <v>0</v>
      </c>
      <c r="JL135" s="196" t="n">
        <f aca="false">JL$4*JL30</f>
        <v>0</v>
      </c>
      <c r="JM135" s="196" t="n">
        <f aca="false">JM$4*JM30</f>
        <v>0</v>
      </c>
      <c r="JN135" s="196" t="n">
        <f aca="false">JN$4*JN30</f>
        <v>0</v>
      </c>
      <c r="JO135" s="196" t="n">
        <f aca="false">JO$4*JO30</f>
        <v>0</v>
      </c>
      <c r="JP135" s="196" t="n">
        <f aca="false">JP$4*JP30</f>
        <v>0</v>
      </c>
      <c r="JQ135" s="197" t="n">
        <f aca="false">JQ$4*JQ30</f>
        <v>0</v>
      </c>
      <c r="JR135" s="194" t="str">
        <f aca="false">JG135</f>
        <v>Alumno25</v>
      </c>
      <c r="JS135" s="195" t="n">
        <f aca="false">JS$4*JS30</f>
        <v>0</v>
      </c>
      <c r="JT135" s="196" t="n">
        <f aca="false">JT$4*JT30</f>
        <v>0</v>
      </c>
      <c r="JU135" s="196" t="n">
        <f aca="false">JU$4*JU30</f>
        <v>0</v>
      </c>
      <c r="JV135" s="196" t="n">
        <f aca="false">JV$4*JV30</f>
        <v>0</v>
      </c>
      <c r="JW135" s="196" t="n">
        <f aca="false">JW$4*JW30</f>
        <v>0</v>
      </c>
      <c r="JX135" s="196" t="n">
        <f aca="false">JX$4*JX30</f>
        <v>0</v>
      </c>
      <c r="JY135" s="196" t="n">
        <f aca="false">JY$4*JY30</f>
        <v>0</v>
      </c>
      <c r="JZ135" s="196" t="n">
        <f aca="false">JZ$4*JZ30</f>
        <v>0</v>
      </c>
      <c r="KA135" s="196" t="n">
        <f aca="false">KA$4*KA30</f>
        <v>0</v>
      </c>
      <c r="KB135" s="197" t="n">
        <f aca="false">KB$4*KB30</f>
        <v>0</v>
      </c>
      <c r="KC135" s="194" t="str">
        <f aca="false">JR135</f>
        <v>Alumno25</v>
      </c>
      <c r="KD135" s="195" t="n">
        <f aca="false">KD$4*KD30</f>
        <v>0</v>
      </c>
      <c r="KE135" s="196" t="n">
        <f aca="false">KE$4*KE30</f>
        <v>0</v>
      </c>
      <c r="KF135" s="196" t="n">
        <f aca="false">KF$4*KF30</f>
        <v>0</v>
      </c>
      <c r="KG135" s="196" t="n">
        <f aca="false">KG$4*KG30</f>
        <v>0</v>
      </c>
      <c r="KH135" s="196" t="n">
        <f aca="false">KH$4*KH30</f>
        <v>0</v>
      </c>
      <c r="KI135" s="196" t="n">
        <f aca="false">KI$4*KI30</f>
        <v>0</v>
      </c>
      <c r="KJ135" s="196" t="n">
        <f aca="false">KJ$4*KJ30</f>
        <v>0</v>
      </c>
      <c r="KK135" s="196" t="n">
        <f aca="false">KK$4*KK30</f>
        <v>0</v>
      </c>
      <c r="KL135" s="196" t="n">
        <f aca="false">KL$4*KL30</f>
        <v>0</v>
      </c>
      <c r="KM135" s="197" t="n">
        <f aca="false">KM$4*KM30</f>
        <v>0</v>
      </c>
      <c r="KN135" s="194" t="str">
        <f aca="false">KC135</f>
        <v>Alumno25</v>
      </c>
      <c r="KO135" s="195" t="n">
        <f aca="false">KO$4*KO30</f>
        <v>0</v>
      </c>
      <c r="KP135" s="196" t="n">
        <f aca="false">KP$4*KP30</f>
        <v>0</v>
      </c>
      <c r="KQ135" s="196" t="n">
        <f aca="false">KQ$4*KQ30</f>
        <v>0</v>
      </c>
      <c r="KR135" s="196" t="n">
        <f aca="false">KR$4*KR30</f>
        <v>0</v>
      </c>
      <c r="KS135" s="196" t="n">
        <f aca="false">KS$4*KS30</f>
        <v>0</v>
      </c>
      <c r="KT135" s="196" t="n">
        <f aca="false">KT$4*KT30</f>
        <v>0</v>
      </c>
      <c r="KU135" s="196" t="n">
        <f aca="false">KU$4*KU30</f>
        <v>0</v>
      </c>
      <c r="KV135" s="196" t="n">
        <f aca="false">KV$4*KV30</f>
        <v>0</v>
      </c>
      <c r="KW135" s="196" t="n">
        <f aca="false">KW$4*KW30</f>
        <v>0</v>
      </c>
      <c r="KX135" s="197" t="n">
        <f aca="false">KX$4*KX30</f>
        <v>0</v>
      </c>
      <c r="KY135" s="194" t="str">
        <f aca="false">KN135</f>
        <v>Alumno25</v>
      </c>
      <c r="KZ135" s="195" t="n">
        <f aca="false">KZ$4*KZ30</f>
        <v>0</v>
      </c>
      <c r="LA135" s="196" t="n">
        <f aca="false">LA$4*LA30</f>
        <v>0</v>
      </c>
      <c r="LB135" s="196" t="n">
        <f aca="false">LB$4*LB30</f>
        <v>0</v>
      </c>
      <c r="LC135" s="196" t="n">
        <f aca="false">LC$4*LC30</f>
        <v>0</v>
      </c>
      <c r="LD135" s="196" t="n">
        <f aca="false">LD$4*LD30</f>
        <v>0</v>
      </c>
      <c r="LE135" s="196" t="n">
        <f aca="false">LE$4*LE30</f>
        <v>0</v>
      </c>
      <c r="LF135" s="196" t="n">
        <f aca="false">LF$4*LF30</f>
        <v>0</v>
      </c>
      <c r="LG135" s="196" t="n">
        <f aca="false">LG$4*LG30</f>
        <v>0</v>
      </c>
      <c r="LH135" s="196" t="n">
        <f aca="false">LH$4*LH30</f>
        <v>0</v>
      </c>
      <c r="LI135" s="197" t="n">
        <f aca="false">LI$4*LI30</f>
        <v>0</v>
      </c>
      <c r="LJ135" s="194" t="str">
        <f aca="false">KY135</f>
        <v>Alumno25</v>
      </c>
      <c r="LK135" s="195" t="n">
        <f aca="false">LK$4*LK30</f>
        <v>0</v>
      </c>
      <c r="LL135" s="196" t="n">
        <f aca="false">LL$4*LL30</f>
        <v>0</v>
      </c>
      <c r="LM135" s="196" t="n">
        <f aca="false">LM$4*LM30</f>
        <v>0</v>
      </c>
      <c r="LN135" s="196" t="n">
        <f aca="false">LN$4*LN30</f>
        <v>0</v>
      </c>
      <c r="LO135" s="196" t="n">
        <f aca="false">LO$4*LO30</f>
        <v>0</v>
      </c>
      <c r="LP135" s="196" t="n">
        <f aca="false">LP$4*LP30</f>
        <v>0</v>
      </c>
      <c r="LQ135" s="196" t="n">
        <f aca="false">LQ$4*LQ30</f>
        <v>0</v>
      </c>
      <c r="LR135" s="196" t="n">
        <f aca="false">LR$4*LR30</f>
        <v>0</v>
      </c>
      <c r="LS135" s="196" t="n">
        <f aca="false">LS$4*LS30</f>
        <v>0</v>
      </c>
      <c r="LT135" s="197" t="n">
        <f aca="false">LT$4*LT30</f>
        <v>0</v>
      </c>
    </row>
    <row r="136" customFormat="false" ht="15" hidden="true" customHeight="false" outlineLevel="0" collapsed="false">
      <c r="C136" s="194" t="str">
        <f aca="false">C87</f>
        <v>Alumno26</v>
      </c>
      <c r="D136" s="195" t="n">
        <f aca="false">D$4*D31</f>
        <v>1.5</v>
      </c>
      <c r="E136" s="196" t="n">
        <f aca="false">E$4*E31</f>
        <v>1.35</v>
      </c>
      <c r="F136" s="196" t="n">
        <f aca="false">F$4*F31</f>
        <v>2</v>
      </c>
      <c r="G136" s="196" t="n">
        <f aca="false">G$4*G31</f>
        <v>0.9</v>
      </c>
      <c r="H136" s="196" t="n">
        <f aca="false">H$4*H31</f>
        <v>1.5</v>
      </c>
      <c r="I136" s="196" t="n">
        <f aca="false">I$4*I31</f>
        <v>1.5</v>
      </c>
      <c r="J136" s="196" t="n">
        <f aca="false">J$4*J31</f>
        <v>0.9</v>
      </c>
      <c r="K136" s="196" t="n">
        <f aca="false">K$4*K31</f>
        <v>0</v>
      </c>
      <c r="L136" s="196" t="n">
        <f aca="false">L$4*L31</f>
        <v>0</v>
      </c>
      <c r="M136" s="197" t="n">
        <f aca="false">M$4*M31</f>
        <v>0</v>
      </c>
      <c r="N136" s="194" t="str">
        <f aca="false">C136</f>
        <v>Alumno26</v>
      </c>
      <c r="O136" s="195" t="n">
        <f aca="false">O$4*O31</f>
        <v>2</v>
      </c>
      <c r="P136" s="196" t="n">
        <f aca="false">P$4*P31</f>
        <v>1.8</v>
      </c>
      <c r="Q136" s="196" t="n">
        <f aca="false">Q$4*Q31</f>
        <v>2</v>
      </c>
      <c r="R136" s="196" t="n">
        <f aca="false">R$4*R31</f>
        <v>1.8</v>
      </c>
      <c r="S136" s="196" t="n">
        <f aca="false">S$4*S31</f>
        <v>2</v>
      </c>
      <c r="T136" s="196" t="n">
        <f aca="false">T$4*T31</f>
        <v>0</v>
      </c>
      <c r="U136" s="196" t="n">
        <f aca="false">U$4*U31</f>
        <v>0</v>
      </c>
      <c r="V136" s="196" t="n">
        <f aca="false">V$4*V31</f>
        <v>0</v>
      </c>
      <c r="W136" s="196" t="n">
        <f aca="false">W$4*W31</f>
        <v>0</v>
      </c>
      <c r="X136" s="197" t="n">
        <f aca="false">X$4*X31</f>
        <v>0</v>
      </c>
      <c r="Y136" s="194" t="str">
        <f aca="false">N136</f>
        <v>Alumno26</v>
      </c>
      <c r="Z136" s="195" t="n">
        <f aca="false">Z$4*Z31</f>
        <v>1</v>
      </c>
      <c r="AA136" s="196" t="n">
        <f aca="false">AA$4*AA31</f>
        <v>1.2</v>
      </c>
      <c r="AB136" s="196" t="n">
        <f aca="false">AB$4*AB31</f>
        <v>0.6</v>
      </c>
      <c r="AC136" s="196" t="n">
        <f aca="false">AC$4*AC31</f>
        <v>0.8</v>
      </c>
      <c r="AD136" s="196" t="n">
        <f aca="false">AD$4*AD31</f>
        <v>1</v>
      </c>
      <c r="AE136" s="196" t="n">
        <f aca="false">AE$4*AE31</f>
        <v>0</v>
      </c>
      <c r="AF136" s="196" t="n">
        <f aca="false">AF$4*AF31</f>
        <v>0</v>
      </c>
      <c r="AG136" s="196" t="n">
        <f aca="false">AG$4*AG31</f>
        <v>0</v>
      </c>
      <c r="AH136" s="196" t="n">
        <f aca="false">AH$4*AH31</f>
        <v>0</v>
      </c>
      <c r="AI136" s="197" t="n">
        <f aca="false">AI$4*AI31</f>
        <v>0</v>
      </c>
      <c r="AJ136" s="194" t="str">
        <f aca="false">Y136</f>
        <v>Alumno26</v>
      </c>
      <c r="AK136" s="195" t="n">
        <f aca="false">AK$4*AK31</f>
        <v>1</v>
      </c>
      <c r="AL136" s="196" t="n">
        <f aca="false">AL$4*AL31</f>
        <v>1.2</v>
      </c>
      <c r="AM136" s="196" t="n">
        <f aca="false">AM$4*AM31</f>
        <v>0.6</v>
      </c>
      <c r="AN136" s="196" t="n">
        <f aca="false">AN$4*AN31</f>
        <v>0.8</v>
      </c>
      <c r="AO136" s="196" t="n">
        <f aca="false">AO$4*AO31</f>
        <v>1</v>
      </c>
      <c r="AP136" s="196" t="n">
        <f aca="false">AP$4*AP31</f>
        <v>0</v>
      </c>
      <c r="AQ136" s="196" t="n">
        <f aca="false">AQ$4*AQ31</f>
        <v>0</v>
      </c>
      <c r="AR136" s="196" t="n">
        <f aca="false">AR$4*AR31</f>
        <v>0</v>
      </c>
      <c r="AS136" s="196" t="n">
        <f aca="false">AS$4*AS31</f>
        <v>0</v>
      </c>
      <c r="AT136" s="197" t="n">
        <f aca="false">AT$4*AT31</f>
        <v>0</v>
      </c>
      <c r="AU136" s="194" t="str">
        <f aca="false">AJ136</f>
        <v>Alumno26</v>
      </c>
      <c r="AV136" s="195" t="n">
        <f aca="false">AV$4*AV31</f>
        <v>1</v>
      </c>
      <c r="AW136" s="196" t="n">
        <f aca="false">AW$4*AW31</f>
        <v>1.8</v>
      </c>
      <c r="AX136" s="196" t="n">
        <f aca="false">AX$4*AX31</f>
        <v>2</v>
      </c>
      <c r="AY136" s="196" t="n">
        <f aca="false">AY$4*AY31</f>
        <v>2.7</v>
      </c>
      <c r="AZ136" s="196" t="n">
        <f aca="false">AZ$4*AZ31</f>
        <v>2</v>
      </c>
      <c r="BA136" s="196" t="n">
        <f aca="false">BA$4*BA31</f>
        <v>0</v>
      </c>
      <c r="BB136" s="196" t="n">
        <f aca="false">BB$4*BB31</f>
        <v>0</v>
      </c>
      <c r="BC136" s="196" t="n">
        <f aca="false">BC$4*BC31</f>
        <v>0</v>
      </c>
      <c r="BD136" s="196" t="n">
        <f aca="false">BD$4*BD31</f>
        <v>0</v>
      </c>
      <c r="BE136" s="197" t="n">
        <f aca="false">BE$4*BE31</f>
        <v>0</v>
      </c>
      <c r="BF136" s="194" t="str">
        <f aca="false">AU136</f>
        <v>Alumno26</v>
      </c>
      <c r="BG136" s="195" t="n">
        <f aca="false">BG$4*BG31</f>
        <v>1</v>
      </c>
      <c r="BH136" s="196" t="n">
        <f aca="false">BH$4*BH31</f>
        <v>1.8</v>
      </c>
      <c r="BI136" s="196" t="n">
        <f aca="false">BI$4*BI31</f>
        <v>2</v>
      </c>
      <c r="BJ136" s="196" t="n">
        <f aca="false">BJ$4*BJ31</f>
        <v>1.8</v>
      </c>
      <c r="BK136" s="196" t="n">
        <f aca="false">BK$4*BK31</f>
        <v>3</v>
      </c>
      <c r="BL136" s="196" t="n">
        <f aca="false">BL$4*BL31</f>
        <v>0</v>
      </c>
      <c r="BM136" s="196" t="n">
        <f aca="false">BM$4*BM31</f>
        <v>0</v>
      </c>
      <c r="BN136" s="196" t="n">
        <f aca="false">BN$4*BN31</f>
        <v>0</v>
      </c>
      <c r="BO136" s="196" t="n">
        <f aca="false">BO$4*BO31</f>
        <v>0</v>
      </c>
      <c r="BP136" s="197" t="n">
        <f aca="false">BP$4*BP31</f>
        <v>0</v>
      </c>
      <c r="BQ136" s="194" t="str">
        <f aca="false">BF136</f>
        <v>Alumno26</v>
      </c>
      <c r="BR136" s="195" t="n">
        <f aca="false">BR$4*BR31</f>
        <v>1.2</v>
      </c>
      <c r="BS136" s="196" t="n">
        <f aca="false">BS$4*BS31</f>
        <v>0.7</v>
      </c>
      <c r="BT136" s="196" t="n">
        <f aca="false">BT$4*BT31</f>
        <v>1.6</v>
      </c>
      <c r="BU136" s="196" t="n">
        <f aca="false">BU$4*BU31</f>
        <v>1.8</v>
      </c>
      <c r="BV136" s="196" t="n">
        <f aca="false">BV$4*BV31</f>
        <v>1.5</v>
      </c>
      <c r="BW136" s="196" t="n">
        <f aca="false">BW$4*BW31</f>
        <v>0</v>
      </c>
      <c r="BX136" s="196" t="n">
        <f aca="false">BX$4*BX31</f>
        <v>0</v>
      </c>
      <c r="BY136" s="196" t="n">
        <f aca="false">BY$4*BY31</f>
        <v>0</v>
      </c>
      <c r="BZ136" s="196" t="n">
        <f aca="false">BZ$4*BZ31</f>
        <v>0</v>
      </c>
      <c r="CA136" s="197" t="n">
        <f aca="false">CA$4*CA31</f>
        <v>0</v>
      </c>
      <c r="CB136" s="194" t="str">
        <f aca="false">BQ136</f>
        <v>Alumno26</v>
      </c>
      <c r="CC136" s="195" t="n">
        <f aca="false">CC$4*CC31</f>
        <v>0</v>
      </c>
      <c r="CD136" s="196" t="n">
        <f aca="false">CD$4*CD31</f>
        <v>0</v>
      </c>
      <c r="CE136" s="196" t="n">
        <f aca="false">CE$4*CE31</f>
        <v>0</v>
      </c>
      <c r="CF136" s="196" t="n">
        <f aca="false">CF$4*CF31</f>
        <v>0</v>
      </c>
      <c r="CG136" s="196" t="n">
        <f aca="false">CG$4*CG31</f>
        <v>0</v>
      </c>
      <c r="CH136" s="196" t="n">
        <f aca="false">CH$4*CH31</f>
        <v>0</v>
      </c>
      <c r="CI136" s="196" t="n">
        <f aca="false">CI$4*CI31</f>
        <v>0</v>
      </c>
      <c r="CJ136" s="196" t="n">
        <f aca="false">CJ$4*CJ31</f>
        <v>0</v>
      </c>
      <c r="CK136" s="196" t="n">
        <f aca="false">CK$4*CK31</f>
        <v>0</v>
      </c>
      <c r="CL136" s="197" t="n">
        <f aca="false">CL$4*CL31</f>
        <v>0</v>
      </c>
      <c r="CM136" s="194" t="str">
        <f aca="false">CB136</f>
        <v>Alumno26</v>
      </c>
      <c r="CN136" s="195" t="n">
        <f aca="false">CN$4*CN31</f>
        <v>0</v>
      </c>
      <c r="CO136" s="196" t="n">
        <f aca="false">CO$4*CO31</f>
        <v>0</v>
      </c>
      <c r="CP136" s="196" t="n">
        <f aca="false">CP$4*CP31</f>
        <v>0</v>
      </c>
      <c r="CQ136" s="196" t="n">
        <f aca="false">CQ$4*CQ31</f>
        <v>0</v>
      </c>
      <c r="CR136" s="196" t="n">
        <f aca="false">CR$4*CR31</f>
        <v>0</v>
      </c>
      <c r="CS136" s="196" t="n">
        <f aca="false">CS$4*CS31</f>
        <v>0</v>
      </c>
      <c r="CT136" s="196" t="n">
        <f aca="false">CT$4*CT31</f>
        <v>0</v>
      </c>
      <c r="CU136" s="196" t="n">
        <f aca="false">CU$4*CU31</f>
        <v>0</v>
      </c>
      <c r="CV136" s="196" t="n">
        <f aca="false">CV$4*CV31</f>
        <v>0</v>
      </c>
      <c r="CW136" s="197" t="n">
        <f aca="false">CW$4*CW31</f>
        <v>0</v>
      </c>
      <c r="CX136" s="194" t="str">
        <f aca="false">CM136</f>
        <v>Alumno26</v>
      </c>
      <c r="CY136" s="195" t="n">
        <f aca="false">CY$4*CY31</f>
        <v>0</v>
      </c>
      <c r="CZ136" s="196" t="n">
        <f aca="false">CZ$4*CZ31</f>
        <v>0</v>
      </c>
      <c r="DA136" s="196" t="n">
        <f aca="false">DA$4*DA31</f>
        <v>0</v>
      </c>
      <c r="DB136" s="196" t="n">
        <f aca="false">DB$4*DB31</f>
        <v>0</v>
      </c>
      <c r="DC136" s="196" t="n">
        <f aca="false">DC$4*DC31</f>
        <v>0</v>
      </c>
      <c r="DD136" s="196" t="n">
        <f aca="false">DD$4*DD31</f>
        <v>0</v>
      </c>
      <c r="DE136" s="196" t="n">
        <f aca="false">DE$4*DE31</f>
        <v>0</v>
      </c>
      <c r="DF136" s="196" t="n">
        <f aca="false">DF$4*DF31</f>
        <v>0</v>
      </c>
      <c r="DG136" s="196" t="n">
        <f aca="false">DG$4*DG31</f>
        <v>0</v>
      </c>
      <c r="DH136" s="197" t="n">
        <f aca="false">DH$4*DH31</f>
        <v>0</v>
      </c>
      <c r="DI136" s="194" t="str">
        <f aca="false">CX136</f>
        <v>Alumno26</v>
      </c>
      <c r="DJ136" s="195" t="n">
        <f aca="false">DJ$4*DJ31</f>
        <v>0</v>
      </c>
      <c r="DK136" s="196" t="n">
        <f aca="false">DK$4*DK31</f>
        <v>0</v>
      </c>
      <c r="DL136" s="196" t="n">
        <f aca="false">DL$4*DL31</f>
        <v>0</v>
      </c>
      <c r="DM136" s="196" t="n">
        <f aca="false">DM$4*DM31</f>
        <v>0</v>
      </c>
      <c r="DN136" s="196" t="n">
        <f aca="false">DN$4*DN31</f>
        <v>0</v>
      </c>
      <c r="DO136" s="196" t="n">
        <f aca="false">DO$4*DO31</f>
        <v>0</v>
      </c>
      <c r="DP136" s="196" t="n">
        <f aca="false">DP$4*DP31</f>
        <v>0</v>
      </c>
      <c r="DQ136" s="196" t="n">
        <f aca="false">DQ$4*DQ31</f>
        <v>0</v>
      </c>
      <c r="DR136" s="196" t="n">
        <f aca="false">DR$4*DR31</f>
        <v>0</v>
      </c>
      <c r="DS136" s="197" t="n">
        <f aca="false">DS$4*DS31</f>
        <v>0</v>
      </c>
      <c r="DT136" s="194" t="str">
        <f aca="false">DI136</f>
        <v>Alumno26</v>
      </c>
      <c r="DU136" s="195" t="n">
        <f aca="false">DU$4*DU31</f>
        <v>0</v>
      </c>
      <c r="DV136" s="196" t="n">
        <f aca="false">DV$4*DV31</f>
        <v>0</v>
      </c>
      <c r="DW136" s="196" t="n">
        <f aca="false">DW$4*DW31</f>
        <v>0</v>
      </c>
      <c r="DX136" s="196" t="n">
        <f aca="false">DX$4*DX31</f>
        <v>0</v>
      </c>
      <c r="DY136" s="196" t="n">
        <f aca="false">DY$4*DY31</f>
        <v>0</v>
      </c>
      <c r="DZ136" s="196" t="n">
        <f aca="false">DZ$4*DZ31</f>
        <v>0</v>
      </c>
      <c r="EA136" s="196" t="n">
        <f aca="false">EA$4*EA31</f>
        <v>0</v>
      </c>
      <c r="EB136" s="196" t="n">
        <f aca="false">EB$4*EB31</f>
        <v>0</v>
      </c>
      <c r="EC136" s="196" t="n">
        <f aca="false">EC$4*EC31</f>
        <v>0</v>
      </c>
      <c r="ED136" s="197" t="n">
        <f aca="false">ED$4*ED31</f>
        <v>0</v>
      </c>
      <c r="EE136" s="194" t="str">
        <f aca="false">DT136</f>
        <v>Alumno26</v>
      </c>
      <c r="EF136" s="195" t="n">
        <f aca="false">EF$4*EF31</f>
        <v>0</v>
      </c>
      <c r="EG136" s="196" t="n">
        <f aca="false">EG$4*EG31</f>
        <v>0</v>
      </c>
      <c r="EH136" s="196" t="n">
        <f aca="false">EH$4*EH31</f>
        <v>0</v>
      </c>
      <c r="EI136" s="196" t="n">
        <f aca="false">EI$4*EI31</f>
        <v>0</v>
      </c>
      <c r="EJ136" s="196" t="n">
        <f aca="false">EJ$4*EJ31</f>
        <v>0</v>
      </c>
      <c r="EK136" s="196" t="n">
        <f aca="false">EK$4*EK31</f>
        <v>0</v>
      </c>
      <c r="EL136" s="196" t="n">
        <f aca="false">EL$4*EL31</f>
        <v>0</v>
      </c>
      <c r="EM136" s="196" t="n">
        <f aca="false">EM$4*EM31</f>
        <v>0</v>
      </c>
      <c r="EN136" s="196" t="n">
        <f aca="false">EN$4*EN31</f>
        <v>0</v>
      </c>
      <c r="EO136" s="197" t="n">
        <f aca="false">EO$4*EO31</f>
        <v>0</v>
      </c>
      <c r="EP136" s="194" t="str">
        <f aca="false">EE136</f>
        <v>Alumno26</v>
      </c>
      <c r="EQ136" s="195" t="n">
        <f aca="false">EQ$4*EQ31</f>
        <v>0</v>
      </c>
      <c r="ER136" s="196" t="n">
        <f aca="false">ER$4*ER31</f>
        <v>0</v>
      </c>
      <c r="ES136" s="196" t="n">
        <f aca="false">ES$4*ES31</f>
        <v>0</v>
      </c>
      <c r="ET136" s="196" t="n">
        <f aca="false">ET$4*ET31</f>
        <v>0</v>
      </c>
      <c r="EU136" s="196" t="n">
        <f aca="false">EU$4*EU31</f>
        <v>0</v>
      </c>
      <c r="EV136" s="196" t="n">
        <f aca="false">EV$4*EV31</f>
        <v>0</v>
      </c>
      <c r="EW136" s="196" t="n">
        <f aca="false">EW$4*EW31</f>
        <v>0</v>
      </c>
      <c r="EX136" s="196" t="n">
        <f aca="false">EX$4*EX31</f>
        <v>0</v>
      </c>
      <c r="EY136" s="196" t="n">
        <f aca="false">EY$4*EY31</f>
        <v>0</v>
      </c>
      <c r="EZ136" s="197" t="n">
        <f aca="false">EZ$4*EZ31</f>
        <v>0</v>
      </c>
      <c r="FA136" s="194" t="str">
        <f aca="false">EP136</f>
        <v>Alumno26</v>
      </c>
      <c r="FB136" s="195" t="n">
        <f aca="false">FB$4*FB31</f>
        <v>0</v>
      </c>
      <c r="FC136" s="196" t="n">
        <f aca="false">FC$4*FC31</f>
        <v>0</v>
      </c>
      <c r="FD136" s="196" t="n">
        <f aca="false">FD$4*FD31</f>
        <v>0</v>
      </c>
      <c r="FE136" s="196" t="n">
        <f aca="false">FE$4*FE31</f>
        <v>0</v>
      </c>
      <c r="FF136" s="196" t="n">
        <f aca="false">FF$4*FF31</f>
        <v>0</v>
      </c>
      <c r="FG136" s="196" t="n">
        <f aca="false">FG$4*FG31</f>
        <v>0</v>
      </c>
      <c r="FH136" s="196" t="n">
        <f aca="false">FH$4*FH31</f>
        <v>0</v>
      </c>
      <c r="FI136" s="196" t="n">
        <f aca="false">FI$4*FI31</f>
        <v>0</v>
      </c>
      <c r="FJ136" s="196" t="n">
        <f aca="false">FJ$4*FJ31</f>
        <v>0</v>
      </c>
      <c r="FK136" s="197" t="n">
        <f aca="false">FK$4*FK31</f>
        <v>0</v>
      </c>
      <c r="FL136" s="194" t="str">
        <f aca="false">FA136</f>
        <v>Alumno26</v>
      </c>
      <c r="FM136" s="195" t="n">
        <f aca="false">FM$4*FM31</f>
        <v>0</v>
      </c>
      <c r="FN136" s="196" t="n">
        <f aca="false">FN$4*FN31</f>
        <v>0</v>
      </c>
      <c r="FO136" s="196" t="n">
        <f aca="false">FO$4*FO31</f>
        <v>0</v>
      </c>
      <c r="FP136" s="196" t="n">
        <f aca="false">FP$4*FP31</f>
        <v>0</v>
      </c>
      <c r="FQ136" s="196" t="n">
        <f aca="false">FQ$4*FQ31</f>
        <v>0</v>
      </c>
      <c r="FR136" s="196" t="n">
        <f aca="false">FR$4*FR31</f>
        <v>0</v>
      </c>
      <c r="FS136" s="196" t="n">
        <f aca="false">FS$4*FS31</f>
        <v>0</v>
      </c>
      <c r="FT136" s="196" t="n">
        <f aca="false">FT$4*FT31</f>
        <v>0</v>
      </c>
      <c r="FU136" s="196" t="n">
        <f aca="false">FU$4*FU31</f>
        <v>0</v>
      </c>
      <c r="FV136" s="197" t="n">
        <f aca="false">FV$4*FV31</f>
        <v>0</v>
      </c>
      <c r="FW136" s="194" t="str">
        <f aca="false">FL136</f>
        <v>Alumno26</v>
      </c>
      <c r="FX136" s="195" t="n">
        <f aca="false">FX$4*FX31</f>
        <v>0</v>
      </c>
      <c r="FY136" s="196" t="n">
        <f aca="false">FY$4*FY31</f>
        <v>0</v>
      </c>
      <c r="FZ136" s="196" t="n">
        <f aca="false">FZ$4*FZ31</f>
        <v>0</v>
      </c>
      <c r="GA136" s="196" t="n">
        <f aca="false">GA$4*GA31</f>
        <v>0</v>
      </c>
      <c r="GB136" s="196" t="n">
        <f aca="false">GB$4*GB31</f>
        <v>0</v>
      </c>
      <c r="GC136" s="196" t="n">
        <f aca="false">GC$4*GC31</f>
        <v>0</v>
      </c>
      <c r="GD136" s="196" t="n">
        <f aca="false">GD$4*GD31</f>
        <v>0</v>
      </c>
      <c r="GE136" s="196" t="n">
        <f aca="false">GE$4*GE31</f>
        <v>0</v>
      </c>
      <c r="GF136" s="196" t="n">
        <f aca="false">GF$4*GF31</f>
        <v>0</v>
      </c>
      <c r="GG136" s="197" t="n">
        <f aca="false">GG$4*GG31</f>
        <v>0</v>
      </c>
      <c r="GH136" s="194" t="str">
        <f aca="false">FW136</f>
        <v>Alumno26</v>
      </c>
      <c r="GI136" s="195" t="n">
        <f aca="false">GI$4*GI31</f>
        <v>0</v>
      </c>
      <c r="GJ136" s="196" t="n">
        <f aca="false">GJ$4*GJ31</f>
        <v>0</v>
      </c>
      <c r="GK136" s="196" t="n">
        <f aca="false">GK$4*GK31</f>
        <v>0</v>
      </c>
      <c r="GL136" s="196" t="n">
        <f aca="false">GL$4*GL31</f>
        <v>0</v>
      </c>
      <c r="GM136" s="196" t="n">
        <f aca="false">GM$4*GM31</f>
        <v>0</v>
      </c>
      <c r="GN136" s="196" t="n">
        <f aca="false">GN$4*GN31</f>
        <v>0</v>
      </c>
      <c r="GO136" s="196" t="n">
        <f aca="false">GO$4*GO31</f>
        <v>0</v>
      </c>
      <c r="GP136" s="196" t="n">
        <f aca="false">GP$4*GP31</f>
        <v>0</v>
      </c>
      <c r="GQ136" s="196" t="n">
        <f aca="false">GQ$4*GQ31</f>
        <v>0</v>
      </c>
      <c r="GR136" s="197" t="n">
        <f aca="false">GR$4*GR31</f>
        <v>0</v>
      </c>
      <c r="GS136" s="194" t="str">
        <f aca="false">GH136</f>
        <v>Alumno26</v>
      </c>
      <c r="GT136" s="195" t="n">
        <f aca="false">GT$4*GT31</f>
        <v>0</v>
      </c>
      <c r="GU136" s="196" t="n">
        <f aca="false">GU$4*GU31</f>
        <v>0</v>
      </c>
      <c r="GV136" s="196" t="n">
        <f aca="false">GV$4*GV31</f>
        <v>0</v>
      </c>
      <c r="GW136" s="196" t="n">
        <f aca="false">GW$4*GW31</f>
        <v>0</v>
      </c>
      <c r="GX136" s="196" t="n">
        <f aca="false">GX$4*GX31</f>
        <v>0</v>
      </c>
      <c r="GY136" s="196" t="n">
        <f aca="false">GY$4*GY31</f>
        <v>0</v>
      </c>
      <c r="GZ136" s="196" t="n">
        <f aca="false">GZ$4*GZ31</f>
        <v>0</v>
      </c>
      <c r="HA136" s="196" t="n">
        <f aca="false">HA$4*HA31</f>
        <v>0</v>
      </c>
      <c r="HB136" s="196" t="n">
        <f aca="false">HB$4*HB31</f>
        <v>0</v>
      </c>
      <c r="HC136" s="197" t="n">
        <f aca="false">HC$4*HC31</f>
        <v>0</v>
      </c>
      <c r="HD136" s="194" t="str">
        <f aca="false">GS136</f>
        <v>Alumno26</v>
      </c>
      <c r="HE136" s="195" t="n">
        <f aca="false">HE$4*HE31</f>
        <v>0</v>
      </c>
      <c r="HF136" s="196" t="n">
        <f aca="false">HF$4*HF31</f>
        <v>0</v>
      </c>
      <c r="HG136" s="196" t="n">
        <f aca="false">HG$4*HG31</f>
        <v>0</v>
      </c>
      <c r="HH136" s="196" t="n">
        <f aca="false">HH$4*HH31</f>
        <v>0</v>
      </c>
      <c r="HI136" s="196" t="n">
        <f aca="false">HI$4*HI31</f>
        <v>0</v>
      </c>
      <c r="HJ136" s="196" t="n">
        <f aca="false">HJ$4*HJ31</f>
        <v>0</v>
      </c>
      <c r="HK136" s="196" t="n">
        <f aca="false">HK$4*HK31</f>
        <v>0</v>
      </c>
      <c r="HL136" s="196" t="n">
        <f aca="false">HL$4*HL31</f>
        <v>0</v>
      </c>
      <c r="HM136" s="196" t="n">
        <f aca="false">HM$4*HM31</f>
        <v>0</v>
      </c>
      <c r="HN136" s="197" t="n">
        <f aca="false">HN$4*HN31</f>
        <v>0</v>
      </c>
      <c r="HO136" s="194" t="str">
        <f aca="false">HD136</f>
        <v>Alumno26</v>
      </c>
      <c r="HP136" s="195" t="n">
        <f aca="false">HP$4*HP31</f>
        <v>0</v>
      </c>
      <c r="HQ136" s="196" t="n">
        <f aca="false">HQ$4*HQ31</f>
        <v>0</v>
      </c>
      <c r="HR136" s="196" t="n">
        <f aca="false">HR$4*HR31</f>
        <v>0</v>
      </c>
      <c r="HS136" s="196" t="n">
        <f aca="false">HS$4*HS31</f>
        <v>0</v>
      </c>
      <c r="HT136" s="196" t="n">
        <f aca="false">HT$4*HT31</f>
        <v>0</v>
      </c>
      <c r="HU136" s="196" t="n">
        <f aca="false">HU$4*HU31</f>
        <v>0</v>
      </c>
      <c r="HV136" s="196" t="n">
        <f aca="false">HV$4*HV31</f>
        <v>0</v>
      </c>
      <c r="HW136" s="196" t="n">
        <f aca="false">HW$4*HW31</f>
        <v>0</v>
      </c>
      <c r="HX136" s="196" t="n">
        <f aca="false">HX$4*HX31</f>
        <v>0</v>
      </c>
      <c r="HY136" s="197" t="n">
        <f aca="false">HY$4*HY31</f>
        <v>0</v>
      </c>
      <c r="HZ136" s="194" t="str">
        <f aca="false">HO136</f>
        <v>Alumno26</v>
      </c>
      <c r="IA136" s="195" t="n">
        <f aca="false">IA$4*IA31</f>
        <v>0</v>
      </c>
      <c r="IB136" s="196" t="n">
        <f aca="false">IB$4*IB31</f>
        <v>0</v>
      </c>
      <c r="IC136" s="196" t="n">
        <f aca="false">IC$4*IC31</f>
        <v>0</v>
      </c>
      <c r="ID136" s="196" t="n">
        <f aca="false">ID$4*ID31</f>
        <v>0</v>
      </c>
      <c r="IE136" s="196" t="n">
        <f aca="false">IE$4*IE31</f>
        <v>0</v>
      </c>
      <c r="IF136" s="196" t="n">
        <f aca="false">IF$4*IF31</f>
        <v>0</v>
      </c>
      <c r="IG136" s="196" t="n">
        <f aca="false">IG$4*IG31</f>
        <v>0</v>
      </c>
      <c r="IH136" s="196" t="n">
        <f aca="false">IH$4*IH31</f>
        <v>0</v>
      </c>
      <c r="II136" s="196" t="n">
        <f aca="false">II$4*II31</f>
        <v>0</v>
      </c>
      <c r="IJ136" s="197" t="n">
        <f aca="false">IJ$4*IJ31</f>
        <v>0</v>
      </c>
      <c r="IK136" s="194" t="str">
        <f aca="false">HZ136</f>
        <v>Alumno26</v>
      </c>
      <c r="IL136" s="195" t="n">
        <f aca="false">IL$4*IL31</f>
        <v>0</v>
      </c>
      <c r="IM136" s="196" t="n">
        <f aca="false">IM$4*IM31</f>
        <v>0</v>
      </c>
      <c r="IN136" s="196" t="n">
        <f aca="false">IN$4*IN31</f>
        <v>0</v>
      </c>
      <c r="IO136" s="196" t="n">
        <f aca="false">IO$4*IO31</f>
        <v>0</v>
      </c>
      <c r="IP136" s="196" t="n">
        <f aca="false">IP$4*IP31</f>
        <v>0</v>
      </c>
      <c r="IQ136" s="196" t="n">
        <f aca="false">IQ$4*IQ31</f>
        <v>0</v>
      </c>
      <c r="IR136" s="196" t="n">
        <f aca="false">IR$4*IR31</f>
        <v>0</v>
      </c>
      <c r="IS136" s="196" t="n">
        <f aca="false">IS$4*IS31</f>
        <v>0</v>
      </c>
      <c r="IT136" s="196" t="n">
        <f aca="false">IT$4*IT31</f>
        <v>0</v>
      </c>
      <c r="IU136" s="197" t="n">
        <f aca="false">IU$4*IU31</f>
        <v>0</v>
      </c>
      <c r="IV136" s="194" t="str">
        <f aca="false">IK136</f>
        <v>Alumno26</v>
      </c>
      <c r="IW136" s="195" t="n">
        <f aca="false">IW$4*IW31</f>
        <v>0</v>
      </c>
      <c r="IX136" s="196" t="n">
        <f aca="false">IX$4*IX31</f>
        <v>0</v>
      </c>
      <c r="IY136" s="196" t="n">
        <f aca="false">IY$4*IY31</f>
        <v>0</v>
      </c>
      <c r="IZ136" s="196" t="n">
        <f aca="false">IZ$4*IZ31</f>
        <v>0</v>
      </c>
      <c r="JA136" s="196" t="n">
        <f aca="false">JA$4*JA31</f>
        <v>0</v>
      </c>
      <c r="JB136" s="196" t="n">
        <f aca="false">JB$4*JB31</f>
        <v>0</v>
      </c>
      <c r="JC136" s="196" t="n">
        <f aca="false">JC$4*JC31</f>
        <v>0</v>
      </c>
      <c r="JD136" s="196" t="n">
        <f aca="false">JD$4*JD31</f>
        <v>0</v>
      </c>
      <c r="JE136" s="196" t="n">
        <f aca="false">JE$4*JE31</f>
        <v>0</v>
      </c>
      <c r="JF136" s="197" t="n">
        <f aca="false">JF$4*JF31</f>
        <v>0</v>
      </c>
      <c r="JG136" s="194" t="str">
        <f aca="false">IV136</f>
        <v>Alumno26</v>
      </c>
      <c r="JH136" s="195" t="n">
        <f aca="false">JH$4*JH31</f>
        <v>0</v>
      </c>
      <c r="JI136" s="196" t="n">
        <f aca="false">JI$4*JI31</f>
        <v>0</v>
      </c>
      <c r="JJ136" s="196" t="n">
        <f aca="false">JJ$4*JJ31</f>
        <v>0</v>
      </c>
      <c r="JK136" s="196" t="n">
        <f aca="false">JK$4*JK31</f>
        <v>0</v>
      </c>
      <c r="JL136" s="196" t="n">
        <f aca="false">JL$4*JL31</f>
        <v>0</v>
      </c>
      <c r="JM136" s="196" t="n">
        <f aca="false">JM$4*JM31</f>
        <v>0</v>
      </c>
      <c r="JN136" s="196" t="n">
        <f aca="false">JN$4*JN31</f>
        <v>0</v>
      </c>
      <c r="JO136" s="196" t="n">
        <f aca="false">JO$4*JO31</f>
        <v>0</v>
      </c>
      <c r="JP136" s="196" t="n">
        <f aca="false">JP$4*JP31</f>
        <v>0</v>
      </c>
      <c r="JQ136" s="197" t="n">
        <f aca="false">JQ$4*JQ31</f>
        <v>0</v>
      </c>
      <c r="JR136" s="194" t="str">
        <f aca="false">JG136</f>
        <v>Alumno26</v>
      </c>
      <c r="JS136" s="195" t="n">
        <f aca="false">JS$4*JS31</f>
        <v>0</v>
      </c>
      <c r="JT136" s="196" t="n">
        <f aca="false">JT$4*JT31</f>
        <v>0</v>
      </c>
      <c r="JU136" s="196" t="n">
        <f aca="false">JU$4*JU31</f>
        <v>0</v>
      </c>
      <c r="JV136" s="196" t="n">
        <f aca="false">JV$4*JV31</f>
        <v>0</v>
      </c>
      <c r="JW136" s="196" t="n">
        <f aca="false">JW$4*JW31</f>
        <v>0</v>
      </c>
      <c r="JX136" s="196" t="n">
        <f aca="false">JX$4*JX31</f>
        <v>0</v>
      </c>
      <c r="JY136" s="196" t="n">
        <f aca="false">JY$4*JY31</f>
        <v>0</v>
      </c>
      <c r="JZ136" s="196" t="n">
        <f aca="false">JZ$4*JZ31</f>
        <v>0</v>
      </c>
      <c r="KA136" s="196" t="n">
        <f aca="false">KA$4*KA31</f>
        <v>0</v>
      </c>
      <c r="KB136" s="197" t="n">
        <f aca="false">KB$4*KB31</f>
        <v>0</v>
      </c>
      <c r="KC136" s="194" t="str">
        <f aca="false">JR136</f>
        <v>Alumno26</v>
      </c>
      <c r="KD136" s="195" t="n">
        <f aca="false">KD$4*KD31</f>
        <v>0</v>
      </c>
      <c r="KE136" s="196" t="n">
        <f aca="false">KE$4*KE31</f>
        <v>0</v>
      </c>
      <c r="KF136" s="196" t="n">
        <f aca="false">KF$4*KF31</f>
        <v>0</v>
      </c>
      <c r="KG136" s="196" t="n">
        <f aca="false">KG$4*KG31</f>
        <v>0</v>
      </c>
      <c r="KH136" s="196" t="n">
        <f aca="false">KH$4*KH31</f>
        <v>0</v>
      </c>
      <c r="KI136" s="196" t="n">
        <f aca="false">KI$4*KI31</f>
        <v>0</v>
      </c>
      <c r="KJ136" s="196" t="n">
        <f aca="false">KJ$4*KJ31</f>
        <v>0</v>
      </c>
      <c r="KK136" s="196" t="n">
        <f aca="false">KK$4*KK31</f>
        <v>0</v>
      </c>
      <c r="KL136" s="196" t="n">
        <f aca="false">KL$4*KL31</f>
        <v>0</v>
      </c>
      <c r="KM136" s="197" t="n">
        <f aca="false">KM$4*KM31</f>
        <v>0</v>
      </c>
      <c r="KN136" s="194" t="str">
        <f aca="false">KC136</f>
        <v>Alumno26</v>
      </c>
      <c r="KO136" s="195" t="n">
        <f aca="false">KO$4*KO31</f>
        <v>0</v>
      </c>
      <c r="KP136" s="196" t="n">
        <f aca="false">KP$4*KP31</f>
        <v>0</v>
      </c>
      <c r="KQ136" s="196" t="n">
        <f aca="false">KQ$4*KQ31</f>
        <v>0</v>
      </c>
      <c r="KR136" s="196" t="n">
        <f aca="false">KR$4*KR31</f>
        <v>0</v>
      </c>
      <c r="KS136" s="196" t="n">
        <f aca="false">KS$4*KS31</f>
        <v>0</v>
      </c>
      <c r="KT136" s="196" t="n">
        <f aca="false">KT$4*KT31</f>
        <v>0</v>
      </c>
      <c r="KU136" s="196" t="n">
        <f aca="false">KU$4*KU31</f>
        <v>0</v>
      </c>
      <c r="KV136" s="196" t="n">
        <f aca="false">KV$4*KV31</f>
        <v>0</v>
      </c>
      <c r="KW136" s="196" t="n">
        <f aca="false">KW$4*KW31</f>
        <v>0</v>
      </c>
      <c r="KX136" s="197" t="n">
        <f aca="false">KX$4*KX31</f>
        <v>0</v>
      </c>
      <c r="KY136" s="194" t="str">
        <f aca="false">KN136</f>
        <v>Alumno26</v>
      </c>
      <c r="KZ136" s="195" t="n">
        <f aca="false">KZ$4*KZ31</f>
        <v>0</v>
      </c>
      <c r="LA136" s="196" t="n">
        <f aca="false">LA$4*LA31</f>
        <v>0</v>
      </c>
      <c r="LB136" s="196" t="n">
        <f aca="false">LB$4*LB31</f>
        <v>0</v>
      </c>
      <c r="LC136" s="196" t="n">
        <f aca="false">LC$4*LC31</f>
        <v>0</v>
      </c>
      <c r="LD136" s="196" t="n">
        <f aca="false">LD$4*LD31</f>
        <v>0</v>
      </c>
      <c r="LE136" s="196" t="n">
        <f aca="false">LE$4*LE31</f>
        <v>0</v>
      </c>
      <c r="LF136" s="196" t="n">
        <f aca="false">LF$4*LF31</f>
        <v>0</v>
      </c>
      <c r="LG136" s="196" t="n">
        <f aca="false">LG$4*LG31</f>
        <v>0</v>
      </c>
      <c r="LH136" s="196" t="n">
        <f aca="false">LH$4*LH31</f>
        <v>0</v>
      </c>
      <c r="LI136" s="197" t="n">
        <f aca="false">LI$4*LI31</f>
        <v>0</v>
      </c>
      <c r="LJ136" s="194" t="str">
        <f aca="false">KY136</f>
        <v>Alumno26</v>
      </c>
      <c r="LK136" s="195" t="n">
        <f aca="false">LK$4*LK31</f>
        <v>0</v>
      </c>
      <c r="LL136" s="196" t="n">
        <f aca="false">LL$4*LL31</f>
        <v>0</v>
      </c>
      <c r="LM136" s="196" t="n">
        <f aca="false">LM$4*LM31</f>
        <v>0</v>
      </c>
      <c r="LN136" s="196" t="n">
        <f aca="false">LN$4*LN31</f>
        <v>0</v>
      </c>
      <c r="LO136" s="196" t="n">
        <f aca="false">LO$4*LO31</f>
        <v>0</v>
      </c>
      <c r="LP136" s="196" t="n">
        <f aca="false">LP$4*LP31</f>
        <v>0</v>
      </c>
      <c r="LQ136" s="196" t="n">
        <f aca="false">LQ$4*LQ31</f>
        <v>0</v>
      </c>
      <c r="LR136" s="196" t="n">
        <f aca="false">LR$4*LR31</f>
        <v>0</v>
      </c>
      <c r="LS136" s="196" t="n">
        <f aca="false">LS$4*LS31</f>
        <v>0</v>
      </c>
      <c r="LT136" s="197" t="n">
        <f aca="false">LT$4*LT31</f>
        <v>0</v>
      </c>
    </row>
    <row r="137" customFormat="false" ht="15" hidden="true" customHeight="false" outlineLevel="0" collapsed="false">
      <c r="C137" s="194" t="str">
        <f aca="false">C88</f>
        <v>Alumno27</v>
      </c>
      <c r="D137" s="195" t="n">
        <f aca="false">D$4*D32</f>
        <v>1.35</v>
      </c>
      <c r="E137" s="196" t="n">
        <f aca="false">E$4*E32</f>
        <v>1.35</v>
      </c>
      <c r="F137" s="196" t="n">
        <f aca="false">F$4*F32</f>
        <v>1.8</v>
      </c>
      <c r="G137" s="196" t="n">
        <f aca="false">G$4*G32</f>
        <v>0.9</v>
      </c>
      <c r="H137" s="196" t="n">
        <f aca="false">H$4*H32</f>
        <v>1.35</v>
      </c>
      <c r="I137" s="196" t="n">
        <f aca="false">I$4*I32</f>
        <v>1.2</v>
      </c>
      <c r="J137" s="196" t="n">
        <f aca="false">J$4*J32</f>
        <v>0.9</v>
      </c>
      <c r="K137" s="196" t="n">
        <f aca="false">K$4*K32</f>
        <v>0</v>
      </c>
      <c r="L137" s="196" t="n">
        <f aca="false">L$4*L32</f>
        <v>0</v>
      </c>
      <c r="M137" s="197" t="n">
        <f aca="false">M$4*M32</f>
        <v>0</v>
      </c>
      <c r="N137" s="194" t="str">
        <f aca="false">C137</f>
        <v>Alumno27</v>
      </c>
      <c r="O137" s="195" t="n">
        <f aca="false">O$4*O32</f>
        <v>1.8</v>
      </c>
      <c r="P137" s="196" t="n">
        <f aca="false">P$4*P32</f>
        <v>1.8</v>
      </c>
      <c r="Q137" s="196" t="n">
        <f aca="false">Q$4*Q32</f>
        <v>1.8</v>
      </c>
      <c r="R137" s="196" t="n">
        <f aca="false">R$4*R32</f>
        <v>1.8</v>
      </c>
      <c r="S137" s="196" t="n">
        <f aca="false">S$4*S32</f>
        <v>1.8</v>
      </c>
      <c r="T137" s="196" t="n">
        <f aca="false">T$4*T32</f>
        <v>0</v>
      </c>
      <c r="U137" s="196" t="n">
        <f aca="false">U$4*U32</f>
        <v>0</v>
      </c>
      <c r="V137" s="196" t="n">
        <f aca="false">V$4*V32</f>
        <v>0</v>
      </c>
      <c r="W137" s="196" t="n">
        <f aca="false">W$4*W32</f>
        <v>0</v>
      </c>
      <c r="X137" s="197" t="n">
        <f aca="false">X$4*X32</f>
        <v>0</v>
      </c>
      <c r="Y137" s="194" t="str">
        <f aca="false">N137</f>
        <v>Alumno27</v>
      </c>
      <c r="Z137" s="195" t="n">
        <f aca="false">Z$4*Z32</f>
        <v>1</v>
      </c>
      <c r="AA137" s="196" t="n">
        <f aca="false">AA$4*AA32</f>
        <v>1</v>
      </c>
      <c r="AB137" s="196" t="n">
        <f aca="false">AB$4*AB32</f>
        <v>1</v>
      </c>
      <c r="AC137" s="196" t="n">
        <f aca="false">AC$4*AC32</f>
        <v>1</v>
      </c>
      <c r="AD137" s="196" t="n">
        <f aca="false">AD$4*AD32</f>
        <v>1</v>
      </c>
      <c r="AE137" s="196" t="n">
        <f aca="false">AE$4*AE32</f>
        <v>0</v>
      </c>
      <c r="AF137" s="196" t="n">
        <f aca="false">AF$4*AF32</f>
        <v>0</v>
      </c>
      <c r="AG137" s="196" t="n">
        <f aca="false">AG$4*AG32</f>
        <v>0</v>
      </c>
      <c r="AH137" s="196" t="n">
        <f aca="false">AH$4*AH32</f>
        <v>0</v>
      </c>
      <c r="AI137" s="197" t="n">
        <f aca="false">AI$4*AI32</f>
        <v>0</v>
      </c>
      <c r="AJ137" s="194" t="str">
        <f aca="false">Y137</f>
        <v>Alumno27</v>
      </c>
      <c r="AK137" s="195" t="n">
        <f aca="false">AK$4*AK32</f>
        <v>1</v>
      </c>
      <c r="AL137" s="196" t="n">
        <f aca="false">AL$4*AL32</f>
        <v>1</v>
      </c>
      <c r="AM137" s="196" t="n">
        <f aca="false">AM$4*AM32</f>
        <v>1</v>
      </c>
      <c r="AN137" s="196" t="n">
        <f aca="false">AN$4*AN32</f>
        <v>1</v>
      </c>
      <c r="AO137" s="196" t="n">
        <f aca="false">AO$4*AO32</f>
        <v>1</v>
      </c>
      <c r="AP137" s="196" t="n">
        <f aca="false">AP$4*AP32</f>
        <v>0</v>
      </c>
      <c r="AQ137" s="196" t="n">
        <f aca="false">AQ$4*AQ32</f>
        <v>0</v>
      </c>
      <c r="AR137" s="196" t="n">
        <f aca="false">AR$4*AR32</f>
        <v>0</v>
      </c>
      <c r="AS137" s="196" t="n">
        <f aca="false">AS$4*AS32</f>
        <v>0</v>
      </c>
      <c r="AT137" s="197" t="n">
        <f aca="false">AT$4*AT32</f>
        <v>0</v>
      </c>
      <c r="AU137" s="194" t="str">
        <f aca="false">AJ137</f>
        <v>Alumno27</v>
      </c>
      <c r="AV137" s="195" t="n">
        <f aca="false">AV$4*AV32</f>
        <v>0.9</v>
      </c>
      <c r="AW137" s="196" t="n">
        <f aca="false">AW$4*AW32</f>
        <v>1.8</v>
      </c>
      <c r="AX137" s="196" t="n">
        <f aca="false">AX$4*AX32</f>
        <v>1.8</v>
      </c>
      <c r="AY137" s="196" t="n">
        <f aca="false">AY$4*AY32</f>
        <v>2.7</v>
      </c>
      <c r="AZ137" s="196" t="n">
        <f aca="false">AZ$4*AZ32</f>
        <v>1.8</v>
      </c>
      <c r="BA137" s="196" t="n">
        <f aca="false">BA$4*BA32</f>
        <v>0</v>
      </c>
      <c r="BB137" s="196" t="n">
        <f aca="false">BB$4*BB32</f>
        <v>0</v>
      </c>
      <c r="BC137" s="196" t="n">
        <f aca="false">BC$4*BC32</f>
        <v>0</v>
      </c>
      <c r="BD137" s="196" t="n">
        <f aca="false">BD$4*BD32</f>
        <v>0</v>
      </c>
      <c r="BE137" s="197" t="n">
        <f aca="false">BE$4*BE32</f>
        <v>0</v>
      </c>
      <c r="BF137" s="194" t="str">
        <f aca="false">AU137</f>
        <v>Alumno27</v>
      </c>
      <c r="BG137" s="195" t="n">
        <f aca="false">BG$4*BG32</f>
        <v>0.9</v>
      </c>
      <c r="BH137" s="196" t="n">
        <f aca="false">BH$4*BH32</f>
        <v>1.8</v>
      </c>
      <c r="BI137" s="196" t="n">
        <f aca="false">BI$4*BI32</f>
        <v>1.8</v>
      </c>
      <c r="BJ137" s="196" t="n">
        <f aca="false">BJ$4*BJ32</f>
        <v>1.8</v>
      </c>
      <c r="BK137" s="196" t="n">
        <f aca="false">BK$4*BK32</f>
        <v>2.7</v>
      </c>
      <c r="BL137" s="196" t="n">
        <f aca="false">BL$4*BL32</f>
        <v>0</v>
      </c>
      <c r="BM137" s="196" t="n">
        <f aca="false">BM$4*BM32</f>
        <v>0</v>
      </c>
      <c r="BN137" s="196" t="n">
        <f aca="false">BN$4*BN32</f>
        <v>0</v>
      </c>
      <c r="BO137" s="196" t="n">
        <f aca="false">BO$4*BO32</f>
        <v>0</v>
      </c>
      <c r="BP137" s="197" t="n">
        <f aca="false">BP$4*BP32</f>
        <v>0</v>
      </c>
      <c r="BQ137" s="194" t="str">
        <f aca="false">BF137</f>
        <v>Alumno27</v>
      </c>
      <c r="BR137" s="195" t="n">
        <f aca="false">BR$4*BR32</f>
        <v>1</v>
      </c>
      <c r="BS137" s="196" t="n">
        <f aca="false">BS$4*BS32</f>
        <v>0.6</v>
      </c>
      <c r="BT137" s="196" t="n">
        <f aca="false">BT$4*BT32</f>
        <v>0.6</v>
      </c>
      <c r="BU137" s="196" t="n">
        <f aca="false">BU$4*BU32</f>
        <v>0.8</v>
      </c>
      <c r="BV137" s="196" t="n">
        <f aca="false">BV$4*BV32</f>
        <v>1.5</v>
      </c>
      <c r="BW137" s="196" t="n">
        <f aca="false">BW$4*BW32</f>
        <v>0</v>
      </c>
      <c r="BX137" s="196" t="n">
        <f aca="false">BX$4*BX32</f>
        <v>0</v>
      </c>
      <c r="BY137" s="196" t="n">
        <f aca="false">BY$4*BY32</f>
        <v>0</v>
      </c>
      <c r="BZ137" s="196" t="n">
        <f aca="false">BZ$4*BZ32</f>
        <v>0</v>
      </c>
      <c r="CA137" s="197" t="n">
        <f aca="false">CA$4*CA32</f>
        <v>0</v>
      </c>
      <c r="CB137" s="194" t="str">
        <f aca="false">BQ137</f>
        <v>Alumno27</v>
      </c>
      <c r="CC137" s="195" t="n">
        <f aca="false">CC$4*CC32</f>
        <v>0</v>
      </c>
      <c r="CD137" s="196" t="n">
        <f aca="false">CD$4*CD32</f>
        <v>0</v>
      </c>
      <c r="CE137" s="196" t="n">
        <f aca="false">CE$4*CE32</f>
        <v>0</v>
      </c>
      <c r="CF137" s="196" t="n">
        <f aca="false">CF$4*CF32</f>
        <v>0</v>
      </c>
      <c r="CG137" s="196" t="n">
        <f aca="false">CG$4*CG32</f>
        <v>0</v>
      </c>
      <c r="CH137" s="196" t="n">
        <f aca="false">CH$4*CH32</f>
        <v>0</v>
      </c>
      <c r="CI137" s="196" t="n">
        <f aca="false">CI$4*CI32</f>
        <v>0</v>
      </c>
      <c r="CJ137" s="196" t="n">
        <f aca="false">CJ$4*CJ32</f>
        <v>0</v>
      </c>
      <c r="CK137" s="196" t="n">
        <f aca="false">CK$4*CK32</f>
        <v>0</v>
      </c>
      <c r="CL137" s="197" t="n">
        <f aca="false">CL$4*CL32</f>
        <v>0</v>
      </c>
      <c r="CM137" s="194" t="str">
        <f aca="false">CB137</f>
        <v>Alumno27</v>
      </c>
      <c r="CN137" s="195" t="n">
        <f aca="false">CN$4*CN32</f>
        <v>0</v>
      </c>
      <c r="CO137" s="196" t="n">
        <f aca="false">CO$4*CO32</f>
        <v>0</v>
      </c>
      <c r="CP137" s="196" t="n">
        <f aca="false">CP$4*CP32</f>
        <v>0</v>
      </c>
      <c r="CQ137" s="196" t="n">
        <f aca="false">CQ$4*CQ32</f>
        <v>0</v>
      </c>
      <c r="CR137" s="196" t="n">
        <f aca="false">CR$4*CR32</f>
        <v>0</v>
      </c>
      <c r="CS137" s="196" t="n">
        <f aca="false">CS$4*CS32</f>
        <v>0</v>
      </c>
      <c r="CT137" s="196" t="n">
        <f aca="false">CT$4*CT32</f>
        <v>0</v>
      </c>
      <c r="CU137" s="196" t="n">
        <f aca="false">CU$4*CU32</f>
        <v>0</v>
      </c>
      <c r="CV137" s="196" t="n">
        <f aca="false">CV$4*CV32</f>
        <v>0</v>
      </c>
      <c r="CW137" s="197" t="n">
        <f aca="false">CW$4*CW32</f>
        <v>0</v>
      </c>
      <c r="CX137" s="194" t="str">
        <f aca="false">CM137</f>
        <v>Alumno27</v>
      </c>
      <c r="CY137" s="195" t="n">
        <f aca="false">CY$4*CY32</f>
        <v>0</v>
      </c>
      <c r="CZ137" s="196" t="n">
        <f aca="false">CZ$4*CZ32</f>
        <v>0</v>
      </c>
      <c r="DA137" s="196" t="n">
        <f aca="false">DA$4*DA32</f>
        <v>0</v>
      </c>
      <c r="DB137" s="196" t="n">
        <f aca="false">DB$4*DB32</f>
        <v>0</v>
      </c>
      <c r="DC137" s="196" t="n">
        <f aca="false">DC$4*DC32</f>
        <v>0</v>
      </c>
      <c r="DD137" s="196" t="n">
        <f aca="false">DD$4*DD32</f>
        <v>0</v>
      </c>
      <c r="DE137" s="196" t="n">
        <f aca="false">DE$4*DE32</f>
        <v>0</v>
      </c>
      <c r="DF137" s="196" t="n">
        <f aca="false">DF$4*DF32</f>
        <v>0</v>
      </c>
      <c r="DG137" s="196" t="n">
        <f aca="false">DG$4*DG32</f>
        <v>0</v>
      </c>
      <c r="DH137" s="197" t="n">
        <f aca="false">DH$4*DH32</f>
        <v>0</v>
      </c>
      <c r="DI137" s="194" t="str">
        <f aca="false">CX137</f>
        <v>Alumno27</v>
      </c>
      <c r="DJ137" s="195" t="n">
        <f aca="false">DJ$4*DJ32</f>
        <v>0</v>
      </c>
      <c r="DK137" s="196" t="n">
        <f aca="false">DK$4*DK32</f>
        <v>0</v>
      </c>
      <c r="DL137" s="196" t="n">
        <f aca="false">DL$4*DL32</f>
        <v>0</v>
      </c>
      <c r="DM137" s="196" t="n">
        <f aca="false">DM$4*DM32</f>
        <v>0</v>
      </c>
      <c r="DN137" s="196" t="n">
        <f aca="false">DN$4*DN32</f>
        <v>0</v>
      </c>
      <c r="DO137" s="196" t="n">
        <f aca="false">DO$4*DO32</f>
        <v>0</v>
      </c>
      <c r="DP137" s="196" t="n">
        <f aca="false">DP$4*DP32</f>
        <v>0</v>
      </c>
      <c r="DQ137" s="196" t="n">
        <f aca="false">DQ$4*DQ32</f>
        <v>0</v>
      </c>
      <c r="DR137" s="196" t="n">
        <f aca="false">DR$4*DR32</f>
        <v>0</v>
      </c>
      <c r="DS137" s="197" t="n">
        <f aca="false">DS$4*DS32</f>
        <v>0</v>
      </c>
      <c r="DT137" s="194" t="str">
        <f aca="false">DI137</f>
        <v>Alumno27</v>
      </c>
      <c r="DU137" s="195" t="n">
        <f aca="false">DU$4*DU32</f>
        <v>0</v>
      </c>
      <c r="DV137" s="196" t="n">
        <f aca="false">DV$4*DV32</f>
        <v>0</v>
      </c>
      <c r="DW137" s="196" t="n">
        <f aca="false">DW$4*DW32</f>
        <v>0</v>
      </c>
      <c r="DX137" s="196" t="n">
        <f aca="false">DX$4*DX32</f>
        <v>0</v>
      </c>
      <c r="DY137" s="196" t="n">
        <f aca="false">DY$4*DY32</f>
        <v>0</v>
      </c>
      <c r="DZ137" s="196" t="n">
        <f aca="false">DZ$4*DZ32</f>
        <v>0</v>
      </c>
      <c r="EA137" s="196" t="n">
        <f aca="false">EA$4*EA32</f>
        <v>0</v>
      </c>
      <c r="EB137" s="196" t="n">
        <f aca="false">EB$4*EB32</f>
        <v>0</v>
      </c>
      <c r="EC137" s="196" t="n">
        <f aca="false">EC$4*EC32</f>
        <v>0</v>
      </c>
      <c r="ED137" s="197" t="n">
        <f aca="false">ED$4*ED32</f>
        <v>0</v>
      </c>
      <c r="EE137" s="194" t="str">
        <f aca="false">DT137</f>
        <v>Alumno27</v>
      </c>
      <c r="EF137" s="195" t="n">
        <f aca="false">EF$4*EF32</f>
        <v>0</v>
      </c>
      <c r="EG137" s="196" t="n">
        <f aca="false">EG$4*EG32</f>
        <v>0</v>
      </c>
      <c r="EH137" s="196" t="n">
        <f aca="false">EH$4*EH32</f>
        <v>0</v>
      </c>
      <c r="EI137" s="196" t="n">
        <f aca="false">EI$4*EI32</f>
        <v>0</v>
      </c>
      <c r="EJ137" s="196" t="n">
        <f aca="false">EJ$4*EJ32</f>
        <v>0</v>
      </c>
      <c r="EK137" s="196" t="n">
        <f aca="false">EK$4*EK32</f>
        <v>0</v>
      </c>
      <c r="EL137" s="196" t="n">
        <f aca="false">EL$4*EL32</f>
        <v>0</v>
      </c>
      <c r="EM137" s="196" t="n">
        <f aca="false">EM$4*EM32</f>
        <v>0</v>
      </c>
      <c r="EN137" s="196" t="n">
        <f aca="false">EN$4*EN32</f>
        <v>0</v>
      </c>
      <c r="EO137" s="197" t="n">
        <f aca="false">EO$4*EO32</f>
        <v>0</v>
      </c>
      <c r="EP137" s="194" t="str">
        <f aca="false">EE137</f>
        <v>Alumno27</v>
      </c>
      <c r="EQ137" s="195" t="n">
        <f aca="false">EQ$4*EQ32</f>
        <v>0</v>
      </c>
      <c r="ER137" s="196" t="n">
        <f aca="false">ER$4*ER32</f>
        <v>0</v>
      </c>
      <c r="ES137" s="196" t="n">
        <f aca="false">ES$4*ES32</f>
        <v>0</v>
      </c>
      <c r="ET137" s="196" t="n">
        <f aca="false">ET$4*ET32</f>
        <v>0</v>
      </c>
      <c r="EU137" s="196" t="n">
        <f aca="false">EU$4*EU32</f>
        <v>0</v>
      </c>
      <c r="EV137" s="196" t="n">
        <f aca="false">EV$4*EV32</f>
        <v>0</v>
      </c>
      <c r="EW137" s="196" t="n">
        <f aca="false">EW$4*EW32</f>
        <v>0</v>
      </c>
      <c r="EX137" s="196" t="n">
        <f aca="false">EX$4*EX32</f>
        <v>0</v>
      </c>
      <c r="EY137" s="196" t="n">
        <f aca="false">EY$4*EY32</f>
        <v>0</v>
      </c>
      <c r="EZ137" s="197" t="n">
        <f aca="false">EZ$4*EZ32</f>
        <v>0</v>
      </c>
      <c r="FA137" s="194" t="str">
        <f aca="false">EP137</f>
        <v>Alumno27</v>
      </c>
      <c r="FB137" s="195" t="n">
        <f aca="false">FB$4*FB32</f>
        <v>0</v>
      </c>
      <c r="FC137" s="196" t="n">
        <f aca="false">FC$4*FC32</f>
        <v>0</v>
      </c>
      <c r="FD137" s="196" t="n">
        <f aca="false">FD$4*FD32</f>
        <v>0</v>
      </c>
      <c r="FE137" s="196" t="n">
        <f aca="false">FE$4*FE32</f>
        <v>0</v>
      </c>
      <c r="FF137" s="196" t="n">
        <f aca="false">FF$4*FF32</f>
        <v>0</v>
      </c>
      <c r="FG137" s="196" t="n">
        <f aca="false">FG$4*FG32</f>
        <v>0</v>
      </c>
      <c r="FH137" s="196" t="n">
        <f aca="false">FH$4*FH32</f>
        <v>0</v>
      </c>
      <c r="FI137" s="196" t="n">
        <f aca="false">FI$4*FI32</f>
        <v>0</v>
      </c>
      <c r="FJ137" s="196" t="n">
        <f aca="false">FJ$4*FJ32</f>
        <v>0</v>
      </c>
      <c r="FK137" s="197" t="n">
        <f aca="false">FK$4*FK32</f>
        <v>0</v>
      </c>
      <c r="FL137" s="194" t="str">
        <f aca="false">FA137</f>
        <v>Alumno27</v>
      </c>
      <c r="FM137" s="195" t="n">
        <f aca="false">FM$4*FM32</f>
        <v>0</v>
      </c>
      <c r="FN137" s="196" t="n">
        <f aca="false">FN$4*FN32</f>
        <v>0</v>
      </c>
      <c r="FO137" s="196" t="n">
        <f aca="false">FO$4*FO32</f>
        <v>0</v>
      </c>
      <c r="FP137" s="196" t="n">
        <f aca="false">FP$4*FP32</f>
        <v>0</v>
      </c>
      <c r="FQ137" s="196" t="n">
        <f aca="false">FQ$4*FQ32</f>
        <v>0</v>
      </c>
      <c r="FR137" s="196" t="n">
        <f aca="false">FR$4*FR32</f>
        <v>0</v>
      </c>
      <c r="FS137" s="196" t="n">
        <f aca="false">FS$4*FS32</f>
        <v>0</v>
      </c>
      <c r="FT137" s="196" t="n">
        <f aca="false">FT$4*FT32</f>
        <v>0</v>
      </c>
      <c r="FU137" s="196" t="n">
        <f aca="false">FU$4*FU32</f>
        <v>0</v>
      </c>
      <c r="FV137" s="197" t="n">
        <f aca="false">FV$4*FV32</f>
        <v>0</v>
      </c>
      <c r="FW137" s="194" t="str">
        <f aca="false">FL137</f>
        <v>Alumno27</v>
      </c>
      <c r="FX137" s="195" t="n">
        <f aca="false">FX$4*FX32</f>
        <v>0</v>
      </c>
      <c r="FY137" s="196" t="n">
        <f aca="false">FY$4*FY32</f>
        <v>0</v>
      </c>
      <c r="FZ137" s="196" t="n">
        <f aca="false">FZ$4*FZ32</f>
        <v>0</v>
      </c>
      <c r="GA137" s="196" t="n">
        <f aca="false">GA$4*GA32</f>
        <v>0</v>
      </c>
      <c r="GB137" s="196" t="n">
        <f aca="false">GB$4*GB32</f>
        <v>0</v>
      </c>
      <c r="GC137" s="196" t="n">
        <f aca="false">GC$4*GC32</f>
        <v>0</v>
      </c>
      <c r="GD137" s="196" t="n">
        <f aca="false">GD$4*GD32</f>
        <v>0</v>
      </c>
      <c r="GE137" s="196" t="n">
        <f aca="false">GE$4*GE32</f>
        <v>0</v>
      </c>
      <c r="GF137" s="196" t="n">
        <f aca="false">GF$4*GF32</f>
        <v>0</v>
      </c>
      <c r="GG137" s="197" t="n">
        <f aca="false">GG$4*GG32</f>
        <v>0</v>
      </c>
      <c r="GH137" s="194" t="str">
        <f aca="false">FW137</f>
        <v>Alumno27</v>
      </c>
      <c r="GI137" s="195" t="n">
        <f aca="false">GI$4*GI32</f>
        <v>0</v>
      </c>
      <c r="GJ137" s="196" t="n">
        <f aca="false">GJ$4*GJ32</f>
        <v>0</v>
      </c>
      <c r="GK137" s="196" t="n">
        <f aca="false">GK$4*GK32</f>
        <v>0</v>
      </c>
      <c r="GL137" s="196" t="n">
        <f aca="false">GL$4*GL32</f>
        <v>0</v>
      </c>
      <c r="GM137" s="196" t="n">
        <f aca="false">GM$4*GM32</f>
        <v>0</v>
      </c>
      <c r="GN137" s="196" t="n">
        <f aca="false">GN$4*GN32</f>
        <v>0</v>
      </c>
      <c r="GO137" s="196" t="n">
        <f aca="false">GO$4*GO32</f>
        <v>0</v>
      </c>
      <c r="GP137" s="196" t="n">
        <f aca="false">GP$4*GP32</f>
        <v>0</v>
      </c>
      <c r="GQ137" s="196" t="n">
        <f aca="false">GQ$4*GQ32</f>
        <v>0</v>
      </c>
      <c r="GR137" s="197" t="n">
        <f aca="false">GR$4*GR32</f>
        <v>0</v>
      </c>
      <c r="GS137" s="194" t="str">
        <f aca="false">GH137</f>
        <v>Alumno27</v>
      </c>
      <c r="GT137" s="195" t="n">
        <f aca="false">GT$4*GT32</f>
        <v>0</v>
      </c>
      <c r="GU137" s="196" t="n">
        <f aca="false">GU$4*GU32</f>
        <v>0</v>
      </c>
      <c r="GV137" s="196" t="n">
        <f aca="false">GV$4*GV32</f>
        <v>0</v>
      </c>
      <c r="GW137" s="196" t="n">
        <f aca="false">GW$4*GW32</f>
        <v>0</v>
      </c>
      <c r="GX137" s="196" t="n">
        <f aca="false">GX$4*GX32</f>
        <v>0</v>
      </c>
      <c r="GY137" s="196" t="n">
        <f aca="false">GY$4*GY32</f>
        <v>0</v>
      </c>
      <c r="GZ137" s="196" t="n">
        <f aca="false">GZ$4*GZ32</f>
        <v>0</v>
      </c>
      <c r="HA137" s="196" t="n">
        <f aca="false">HA$4*HA32</f>
        <v>0</v>
      </c>
      <c r="HB137" s="196" t="n">
        <f aca="false">HB$4*HB32</f>
        <v>0</v>
      </c>
      <c r="HC137" s="197" t="n">
        <f aca="false">HC$4*HC32</f>
        <v>0</v>
      </c>
      <c r="HD137" s="194" t="str">
        <f aca="false">GS137</f>
        <v>Alumno27</v>
      </c>
      <c r="HE137" s="195" t="n">
        <f aca="false">HE$4*HE32</f>
        <v>0</v>
      </c>
      <c r="HF137" s="196" t="n">
        <f aca="false">HF$4*HF32</f>
        <v>0</v>
      </c>
      <c r="HG137" s="196" t="n">
        <f aca="false">HG$4*HG32</f>
        <v>0</v>
      </c>
      <c r="HH137" s="196" t="n">
        <f aca="false">HH$4*HH32</f>
        <v>0</v>
      </c>
      <c r="HI137" s="196" t="n">
        <f aca="false">HI$4*HI32</f>
        <v>0</v>
      </c>
      <c r="HJ137" s="196" t="n">
        <f aca="false">HJ$4*HJ32</f>
        <v>0</v>
      </c>
      <c r="HK137" s="196" t="n">
        <f aca="false">HK$4*HK32</f>
        <v>0</v>
      </c>
      <c r="HL137" s="196" t="n">
        <f aca="false">HL$4*HL32</f>
        <v>0</v>
      </c>
      <c r="HM137" s="196" t="n">
        <f aca="false">HM$4*HM32</f>
        <v>0</v>
      </c>
      <c r="HN137" s="197" t="n">
        <f aca="false">HN$4*HN32</f>
        <v>0</v>
      </c>
      <c r="HO137" s="194" t="str">
        <f aca="false">HD137</f>
        <v>Alumno27</v>
      </c>
      <c r="HP137" s="195" t="n">
        <f aca="false">HP$4*HP32</f>
        <v>0</v>
      </c>
      <c r="HQ137" s="196" t="n">
        <f aca="false">HQ$4*HQ32</f>
        <v>0</v>
      </c>
      <c r="HR137" s="196" t="n">
        <f aca="false">HR$4*HR32</f>
        <v>0</v>
      </c>
      <c r="HS137" s="196" t="n">
        <f aca="false">HS$4*HS32</f>
        <v>0</v>
      </c>
      <c r="HT137" s="196" t="n">
        <f aca="false">HT$4*HT32</f>
        <v>0</v>
      </c>
      <c r="HU137" s="196" t="n">
        <f aca="false">HU$4*HU32</f>
        <v>0</v>
      </c>
      <c r="HV137" s="196" t="n">
        <f aca="false">HV$4*HV32</f>
        <v>0</v>
      </c>
      <c r="HW137" s="196" t="n">
        <f aca="false">HW$4*HW32</f>
        <v>0</v>
      </c>
      <c r="HX137" s="196" t="n">
        <f aca="false">HX$4*HX32</f>
        <v>0</v>
      </c>
      <c r="HY137" s="197" t="n">
        <f aca="false">HY$4*HY32</f>
        <v>0</v>
      </c>
      <c r="HZ137" s="194" t="str">
        <f aca="false">HO137</f>
        <v>Alumno27</v>
      </c>
      <c r="IA137" s="195" t="n">
        <f aca="false">IA$4*IA32</f>
        <v>0</v>
      </c>
      <c r="IB137" s="196" t="n">
        <f aca="false">IB$4*IB32</f>
        <v>0</v>
      </c>
      <c r="IC137" s="196" t="n">
        <f aca="false">IC$4*IC32</f>
        <v>0</v>
      </c>
      <c r="ID137" s="196" t="n">
        <f aca="false">ID$4*ID32</f>
        <v>0</v>
      </c>
      <c r="IE137" s="196" t="n">
        <f aca="false">IE$4*IE32</f>
        <v>0</v>
      </c>
      <c r="IF137" s="196" t="n">
        <f aca="false">IF$4*IF32</f>
        <v>0</v>
      </c>
      <c r="IG137" s="196" t="n">
        <f aca="false">IG$4*IG32</f>
        <v>0</v>
      </c>
      <c r="IH137" s="196" t="n">
        <f aca="false">IH$4*IH32</f>
        <v>0</v>
      </c>
      <c r="II137" s="196" t="n">
        <f aca="false">II$4*II32</f>
        <v>0</v>
      </c>
      <c r="IJ137" s="197" t="n">
        <f aca="false">IJ$4*IJ32</f>
        <v>0</v>
      </c>
      <c r="IK137" s="194" t="str">
        <f aca="false">HZ137</f>
        <v>Alumno27</v>
      </c>
      <c r="IL137" s="195" t="n">
        <f aca="false">IL$4*IL32</f>
        <v>0</v>
      </c>
      <c r="IM137" s="196" t="n">
        <f aca="false">IM$4*IM32</f>
        <v>0</v>
      </c>
      <c r="IN137" s="196" t="n">
        <f aca="false">IN$4*IN32</f>
        <v>0</v>
      </c>
      <c r="IO137" s="196" t="n">
        <f aca="false">IO$4*IO32</f>
        <v>0</v>
      </c>
      <c r="IP137" s="196" t="n">
        <f aca="false">IP$4*IP32</f>
        <v>0</v>
      </c>
      <c r="IQ137" s="196" t="n">
        <f aca="false">IQ$4*IQ32</f>
        <v>0</v>
      </c>
      <c r="IR137" s="196" t="n">
        <f aca="false">IR$4*IR32</f>
        <v>0</v>
      </c>
      <c r="IS137" s="196" t="n">
        <f aca="false">IS$4*IS32</f>
        <v>0</v>
      </c>
      <c r="IT137" s="196" t="n">
        <f aca="false">IT$4*IT32</f>
        <v>0</v>
      </c>
      <c r="IU137" s="197" t="n">
        <f aca="false">IU$4*IU32</f>
        <v>0</v>
      </c>
      <c r="IV137" s="194" t="str">
        <f aca="false">IK137</f>
        <v>Alumno27</v>
      </c>
      <c r="IW137" s="195" t="n">
        <f aca="false">IW$4*IW32</f>
        <v>0</v>
      </c>
      <c r="IX137" s="196" t="n">
        <f aca="false">IX$4*IX32</f>
        <v>0</v>
      </c>
      <c r="IY137" s="196" t="n">
        <f aca="false">IY$4*IY32</f>
        <v>0</v>
      </c>
      <c r="IZ137" s="196" t="n">
        <f aca="false">IZ$4*IZ32</f>
        <v>0</v>
      </c>
      <c r="JA137" s="196" t="n">
        <f aca="false">JA$4*JA32</f>
        <v>0</v>
      </c>
      <c r="JB137" s="196" t="n">
        <f aca="false">JB$4*JB32</f>
        <v>0</v>
      </c>
      <c r="JC137" s="196" t="n">
        <f aca="false">JC$4*JC32</f>
        <v>0</v>
      </c>
      <c r="JD137" s="196" t="n">
        <f aca="false">JD$4*JD32</f>
        <v>0</v>
      </c>
      <c r="JE137" s="196" t="n">
        <f aca="false">JE$4*JE32</f>
        <v>0</v>
      </c>
      <c r="JF137" s="197" t="n">
        <f aca="false">JF$4*JF32</f>
        <v>0</v>
      </c>
      <c r="JG137" s="194" t="str">
        <f aca="false">IV137</f>
        <v>Alumno27</v>
      </c>
      <c r="JH137" s="195" t="n">
        <f aca="false">JH$4*JH32</f>
        <v>0</v>
      </c>
      <c r="JI137" s="196" t="n">
        <f aca="false">JI$4*JI32</f>
        <v>0</v>
      </c>
      <c r="JJ137" s="196" t="n">
        <f aca="false">JJ$4*JJ32</f>
        <v>0</v>
      </c>
      <c r="JK137" s="196" t="n">
        <f aca="false">JK$4*JK32</f>
        <v>0</v>
      </c>
      <c r="JL137" s="196" t="n">
        <f aca="false">JL$4*JL32</f>
        <v>0</v>
      </c>
      <c r="JM137" s="196" t="n">
        <f aca="false">JM$4*JM32</f>
        <v>0</v>
      </c>
      <c r="JN137" s="196" t="n">
        <f aca="false">JN$4*JN32</f>
        <v>0</v>
      </c>
      <c r="JO137" s="196" t="n">
        <f aca="false">JO$4*JO32</f>
        <v>0</v>
      </c>
      <c r="JP137" s="196" t="n">
        <f aca="false">JP$4*JP32</f>
        <v>0</v>
      </c>
      <c r="JQ137" s="197" t="n">
        <f aca="false">JQ$4*JQ32</f>
        <v>0</v>
      </c>
      <c r="JR137" s="194" t="str">
        <f aca="false">JG137</f>
        <v>Alumno27</v>
      </c>
      <c r="JS137" s="195" t="n">
        <f aca="false">JS$4*JS32</f>
        <v>0</v>
      </c>
      <c r="JT137" s="196" t="n">
        <f aca="false">JT$4*JT32</f>
        <v>0</v>
      </c>
      <c r="JU137" s="196" t="n">
        <f aca="false">JU$4*JU32</f>
        <v>0</v>
      </c>
      <c r="JV137" s="196" t="n">
        <f aca="false">JV$4*JV32</f>
        <v>0</v>
      </c>
      <c r="JW137" s="196" t="n">
        <f aca="false">JW$4*JW32</f>
        <v>0</v>
      </c>
      <c r="JX137" s="196" t="n">
        <f aca="false">JX$4*JX32</f>
        <v>0</v>
      </c>
      <c r="JY137" s="196" t="n">
        <f aca="false">JY$4*JY32</f>
        <v>0</v>
      </c>
      <c r="JZ137" s="196" t="n">
        <f aca="false">JZ$4*JZ32</f>
        <v>0</v>
      </c>
      <c r="KA137" s="196" t="n">
        <f aca="false">KA$4*KA32</f>
        <v>0</v>
      </c>
      <c r="KB137" s="197" t="n">
        <f aca="false">KB$4*KB32</f>
        <v>0</v>
      </c>
      <c r="KC137" s="194" t="str">
        <f aca="false">JR137</f>
        <v>Alumno27</v>
      </c>
      <c r="KD137" s="195" t="n">
        <f aca="false">KD$4*KD32</f>
        <v>0</v>
      </c>
      <c r="KE137" s="196" t="n">
        <f aca="false">KE$4*KE32</f>
        <v>0</v>
      </c>
      <c r="KF137" s="196" t="n">
        <f aca="false">KF$4*KF32</f>
        <v>0</v>
      </c>
      <c r="KG137" s="196" t="n">
        <f aca="false">KG$4*KG32</f>
        <v>0</v>
      </c>
      <c r="KH137" s="196" t="n">
        <f aca="false">KH$4*KH32</f>
        <v>0</v>
      </c>
      <c r="KI137" s="196" t="n">
        <f aca="false">KI$4*KI32</f>
        <v>0</v>
      </c>
      <c r="KJ137" s="196" t="n">
        <f aca="false">KJ$4*KJ32</f>
        <v>0</v>
      </c>
      <c r="KK137" s="196" t="n">
        <f aca="false">KK$4*KK32</f>
        <v>0</v>
      </c>
      <c r="KL137" s="196" t="n">
        <f aca="false">KL$4*KL32</f>
        <v>0</v>
      </c>
      <c r="KM137" s="197" t="n">
        <f aca="false">KM$4*KM32</f>
        <v>0</v>
      </c>
      <c r="KN137" s="194" t="str">
        <f aca="false">KC137</f>
        <v>Alumno27</v>
      </c>
      <c r="KO137" s="195" t="n">
        <f aca="false">KO$4*KO32</f>
        <v>0</v>
      </c>
      <c r="KP137" s="196" t="n">
        <f aca="false">KP$4*KP32</f>
        <v>0</v>
      </c>
      <c r="KQ137" s="196" t="n">
        <f aca="false">KQ$4*KQ32</f>
        <v>0</v>
      </c>
      <c r="KR137" s="196" t="n">
        <f aca="false">KR$4*KR32</f>
        <v>0</v>
      </c>
      <c r="KS137" s="196" t="n">
        <f aca="false">KS$4*KS32</f>
        <v>0</v>
      </c>
      <c r="KT137" s="196" t="n">
        <f aca="false">KT$4*KT32</f>
        <v>0</v>
      </c>
      <c r="KU137" s="196" t="n">
        <f aca="false">KU$4*KU32</f>
        <v>0</v>
      </c>
      <c r="KV137" s="196" t="n">
        <f aca="false">KV$4*KV32</f>
        <v>0</v>
      </c>
      <c r="KW137" s="196" t="n">
        <f aca="false">KW$4*KW32</f>
        <v>0</v>
      </c>
      <c r="KX137" s="197" t="n">
        <f aca="false">KX$4*KX32</f>
        <v>0</v>
      </c>
      <c r="KY137" s="194" t="str">
        <f aca="false">KN137</f>
        <v>Alumno27</v>
      </c>
      <c r="KZ137" s="195" t="n">
        <f aca="false">KZ$4*KZ32</f>
        <v>0</v>
      </c>
      <c r="LA137" s="196" t="n">
        <f aca="false">LA$4*LA32</f>
        <v>0</v>
      </c>
      <c r="LB137" s="196" t="n">
        <f aca="false">LB$4*LB32</f>
        <v>0</v>
      </c>
      <c r="LC137" s="196" t="n">
        <f aca="false">LC$4*LC32</f>
        <v>0</v>
      </c>
      <c r="LD137" s="196" t="n">
        <f aca="false">LD$4*LD32</f>
        <v>0</v>
      </c>
      <c r="LE137" s="196" t="n">
        <f aca="false">LE$4*LE32</f>
        <v>0</v>
      </c>
      <c r="LF137" s="196" t="n">
        <f aca="false">LF$4*LF32</f>
        <v>0</v>
      </c>
      <c r="LG137" s="196" t="n">
        <f aca="false">LG$4*LG32</f>
        <v>0</v>
      </c>
      <c r="LH137" s="196" t="n">
        <f aca="false">LH$4*LH32</f>
        <v>0</v>
      </c>
      <c r="LI137" s="197" t="n">
        <f aca="false">LI$4*LI32</f>
        <v>0</v>
      </c>
      <c r="LJ137" s="194" t="str">
        <f aca="false">KY137</f>
        <v>Alumno27</v>
      </c>
      <c r="LK137" s="195" t="n">
        <f aca="false">LK$4*LK32</f>
        <v>0</v>
      </c>
      <c r="LL137" s="196" t="n">
        <f aca="false">LL$4*LL32</f>
        <v>0</v>
      </c>
      <c r="LM137" s="196" t="n">
        <f aca="false">LM$4*LM32</f>
        <v>0</v>
      </c>
      <c r="LN137" s="196" t="n">
        <f aca="false">LN$4*LN32</f>
        <v>0</v>
      </c>
      <c r="LO137" s="196" t="n">
        <f aca="false">LO$4*LO32</f>
        <v>0</v>
      </c>
      <c r="LP137" s="196" t="n">
        <f aca="false">LP$4*LP32</f>
        <v>0</v>
      </c>
      <c r="LQ137" s="196" t="n">
        <f aca="false">LQ$4*LQ32</f>
        <v>0</v>
      </c>
      <c r="LR137" s="196" t="n">
        <f aca="false">LR$4*LR32</f>
        <v>0</v>
      </c>
      <c r="LS137" s="196" t="n">
        <f aca="false">LS$4*LS32</f>
        <v>0</v>
      </c>
      <c r="LT137" s="197" t="n">
        <f aca="false">LT$4*LT32</f>
        <v>0</v>
      </c>
    </row>
    <row r="138" customFormat="false" ht="15" hidden="true" customHeight="false" outlineLevel="0" collapsed="false">
      <c r="C138" s="194" t="str">
        <f aca="false">C89</f>
        <v>Alumno28</v>
      </c>
      <c r="D138" s="195" t="n">
        <f aca="false">D$4*D33</f>
        <v>0.75</v>
      </c>
      <c r="E138" s="196" t="n">
        <f aca="false">E$4*E33</f>
        <v>0.75</v>
      </c>
      <c r="F138" s="196" t="n">
        <f aca="false">F$4*F33</f>
        <v>1</v>
      </c>
      <c r="G138" s="196" t="n">
        <f aca="false">G$4*G33</f>
        <v>0.5</v>
      </c>
      <c r="H138" s="196" t="n">
        <f aca="false">H$4*H33</f>
        <v>0.75</v>
      </c>
      <c r="I138" s="196" t="n">
        <f aca="false">I$4*I33</f>
        <v>0.75</v>
      </c>
      <c r="J138" s="196" t="n">
        <f aca="false">J$4*J33</f>
        <v>0.5</v>
      </c>
      <c r="K138" s="196" t="n">
        <f aca="false">K$4*K33</f>
        <v>0</v>
      </c>
      <c r="L138" s="196" t="n">
        <f aca="false">L$4*L33</f>
        <v>0</v>
      </c>
      <c r="M138" s="197" t="n">
        <f aca="false">M$4*M33</f>
        <v>0</v>
      </c>
      <c r="N138" s="194" t="str">
        <f aca="false">C138</f>
        <v>Alumno28</v>
      </c>
      <c r="O138" s="195" t="n">
        <f aca="false">O$4*O33</f>
        <v>1</v>
      </c>
      <c r="P138" s="196" t="n">
        <f aca="false">P$4*P33</f>
        <v>1</v>
      </c>
      <c r="Q138" s="196" t="n">
        <f aca="false">Q$4*Q33</f>
        <v>1</v>
      </c>
      <c r="R138" s="196" t="n">
        <f aca="false">R$4*R33</f>
        <v>1</v>
      </c>
      <c r="S138" s="196" t="n">
        <f aca="false">S$4*S33</f>
        <v>1</v>
      </c>
      <c r="T138" s="196" t="n">
        <f aca="false">T$4*T33</f>
        <v>0</v>
      </c>
      <c r="U138" s="196" t="n">
        <f aca="false">U$4*U33</f>
        <v>0</v>
      </c>
      <c r="V138" s="196" t="n">
        <f aca="false">V$4*V33</f>
        <v>0</v>
      </c>
      <c r="W138" s="196" t="n">
        <f aca="false">W$4*W33</f>
        <v>0</v>
      </c>
      <c r="X138" s="197" t="n">
        <f aca="false">X$4*X33</f>
        <v>0</v>
      </c>
      <c r="Y138" s="194" t="str">
        <f aca="false">N138</f>
        <v>Alumno28</v>
      </c>
      <c r="Z138" s="195" t="n">
        <f aca="false">Z$4*Z33</f>
        <v>1.8</v>
      </c>
      <c r="AA138" s="196" t="n">
        <f aca="false">AA$4*AA33</f>
        <v>1.8</v>
      </c>
      <c r="AB138" s="196" t="n">
        <f aca="false">AB$4*AB33</f>
        <v>1.8</v>
      </c>
      <c r="AC138" s="196" t="n">
        <f aca="false">AC$4*AC33</f>
        <v>1.8</v>
      </c>
      <c r="AD138" s="196" t="n">
        <f aca="false">AD$4*AD33</f>
        <v>1.8</v>
      </c>
      <c r="AE138" s="196" t="n">
        <f aca="false">AE$4*AE33</f>
        <v>0</v>
      </c>
      <c r="AF138" s="196" t="n">
        <f aca="false">AF$4*AF33</f>
        <v>0</v>
      </c>
      <c r="AG138" s="196" t="n">
        <f aca="false">AG$4*AG33</f>
        <v>0</v>
      </c>
      <c r="AH138" s="196" t="n">
        <f aca="false">AH$4*AH33</f>
        <v>0</v>
      </c>
      <c r="AI138" s="197" t="n">
        <f aca="false">AI$4*AI33</f>
        <v>0</v>
      </c>
      <c r="AJ138" s="194" t="str">
        <f aca="false">Y138</f>
        <v>Alumno28</v>
      </c>
      <c r="AK138" s="195" t="n">
        <f aca="false">AK$4*AK33</f>
        <v>1.8</v>
      </c>
      <c r="AL138" s="196" t="n">
        <f aca="false">AL$4*AL33</f>
        <v>1.8</v>
      </c>
      <c r="AM138" s="196" t="n">
        <f aca="false">AM$4*AM33</f>
        <v>1.8</v>
      </c>
      <c r="AN138" s="196" t="n">
        <f aca="false">AN$4*AN33</f>
        <v>1.8</v>
      </c>
      <c r="AO138" s="196" t="n">
        <f aca="false">AO$4*AO33</f>
        <v>1.8</v>
      </c>
      <c r="AP138" s="196" t="n">
        <f aca="false">AP$4*AP33</f>
        <v>0</v>
      </c>
      <c r="AQ138" s="196" t="n">
        <f aca="false">AQ$4*AQ33</f>
        <v>0</v>
      </c>
      <c r="AR138" s="196" t="n">
        <f aca="false">AR$4*AR33</f>
        <v>0</v>
      </c>
      <c r="AS138" s="196" t="n">
        <f aca="false">AS$4*AS33</f>
        <v>0</v>
      </c>
      <c r="AT138" s="197" t="n">
        <f aca="false">AT$4*AT33</f>
        <v>0</v>
      </c>
      <c r="AU138" s="194" t="str">
        <f aca="false">AJ138</f>
        <v>Alumno28</v>
      </c>
      <c r="AV138" s="195" t="n">
        <f aca="false">AV$4*AV33</f>
        <v>0.5</v>
      </c>
      <c r="AW138" s="196" t="n">
        <f aca="false">AW$4*AW33</f>
        <v>1</v>
      </c>
      <c r="AX138" s="196" t="n">
        <f aca="false">AX$4*AX33</f>
        <v>1</v>
      </c>
      <c r="AY138" s="196" t="n">
        <f aca="false">AY$4*AY33</f>
        <v>1.5</v>
      </c>
      <c r="AZ138" s="196" t="n">
        <f aca="false">AZ$4*AZ33</f>
        <v>1</v>
      </c>
      <c r="BA138" s="196" t="n">
        <f aca="false">BA$4*BA33</f>
        <v>0</v>
      </c>
      <c r="BB138" s="196" t="n">
        <f aca="false">BB$4*BB33</f>
        <v>0</v>
      </c>
      <c r="BC138" s="196" t="n">
        <f aca="false">BC$4*BC33</f>
        <v>0</v>
      </c>
      <c r="BD138" s="196" t="n">
        <f aca="false">BD$4*BD33</f>
        <v>0</v>
      </c>
      <c r="BE138" s="197" t="n">
        <f aca="false">BE$4*BE33</f>
        <v>0</v>
      </c>
      <c r="BF138" s="194" t="str">
        <f aca="false">AU138</f>
        <v>Alumno28</v>
      </c>
      <c r="BG138" s="195" t="n">
        <f aca="false">BG$4*BG33</f>
        <v>0.5</v>
      </c>
      <c r="BH138" s="196" t="n">
        <f aca="false">BH$4*BH33</f>
        <v>1</v>
      </c>
      <c r="BI138" s="196" t="n">
        <f aca="false">BI$4*BI33</f>
        <v>1</v>
      </c>
      <c r="BJ138" s="196" t="n">
        <f aca="false">BJ$4*BJ33</f>
        <v>1</v>
      </c>
      <c r="BK138" s="196" t="n">
        <f aca="false">BK$4*BK33</f>
        <v>1.5</v>
      </c>
      <c r="BL138" s="196" t="n">
        <f aca="false">BL$4*BL33</f>
        <v>0</v>
      </c>
      <c r="BM138" s="196" t="n">
        <f aca="false">BM$4*BM33</f>
        <v>0</v>
      </c>
      <c r="BN138" s="196" t="n">
        <f aca="false">BN$4*BN33</f>
        <v>0</v>
      </c>
      <c r="BO138" s="196" t="n">
        <f aca="false">BO$4*BO33</f>
        <v>0</v>
      </c>
      <c r="BP138" s="197" t="n">
        <f aca="false">BP$4*BP33</f>
        <v>0</v>
      </c>
      <c r="BQ138" s="194" t="str">
        <f aca="false">BF138</f>
        <v>Alumno28</v>
      </c>
      <c r="BR138" s="195" t="n">
        <f aca="false">BR$4*BR33</f>
        <v>1.6</v>
      </c>
      <c r="BS138" s="196" t="n">
        <f aca="false">BS$4*BS33</f>
        <v>0.5</v>
      </c>
      <c r="BT138" s="196" t="n">
        <f aca="false">BT$4*BT33</f>
        <v>1.4</v>
      </c>
      <c r="BU138" s="196" t="n">
        <f aca="false">BU$4*BU33</f>
        <v>0.8</v>
      </c>
      <c r="BV138" s="196" t="n">
        <f aca="false">BV$4*BV33</f>
        <v>2.7</v>
      </c>
      <c r="BW138" s="196" t="n">
        <f aca="false">BW$4*BW33</f>
        <v>0</v>
      </c>
      <c r="BX138" s="196" t="n">
        <f aca="false">BX$4*BX33</f>
        <v>0</v>
      </c>
      <c r="BY138" s="196" t="n">
        <f aca="false">BY$4*BY33</f>
        <v>0</v>
      </c>
      <c r="BZ138" s="196" t="n">
        <f aca="false">BZ$4*BZ33</f>
        <v>0</v>
      </c>
      <c r="CA138" s="197" t="n">
        <f aca="false">CA$4*CA33</f>
        <v>0</v>
      </c>
      <c r="CB138" s="194" t="str">
        <f aca="false">BQ138</f>
        <v>Alumno28</v>
      </c>
      <c r="CC138" s="195" t="n">
        <f aca="false">CC$4*CC33</f>
        <v>0</v>
      </c>
      <c r="CD138" s="196" t="n">
        <f aca="false">CD$4*CD33</f>
        <v>0</v>
      </c>
      <c r="CE138" s="196" t="n">
        <f aca="false">CE$4*CE33</f>
        <v>0</v>
      </c>
      <c r="CF138" s="196" t="n">
        <f aca="false">CF$4*CF33</f>
        <v>0</v>
      </c>
      <c r="CG138" s="196" t="n">
        <f aca="false">CG$4*CG33</f>
        <v>0</v>
      </c>
      <c r="CH138" s="196" t="n">
        <f aca="false">CH$4*CH33</f>
        <v>0</v>
      </c>
      <c r="CI138" s="196" t="n">
        <f aca="false">CI$4*CI33</f>
        <v>0</v>
      </c>
      <c r="CJ138" s="196" t="n">
        <f aca="false">CJ$4*CJ33</f>
        <v>0</v>
      </c>
      <c r="CK138" s="196" t="n">
        <f aca="false">CK$4*CK33</f>
        <v>0</v>
      </c>
      <c r="CL138" s="197" t="n">
        <f aca="false">CL$4*CL33</f>
        <v>0</v>
      </c>
      <c r="CM138" s="194" t="str">
        <f aca="false">CB138</f>
        <v>Alumno28</v>
      </c>
      <c r="CN138" s="195" t="n">
        <f aca="false">CN$4*CN33</f>
        <v>0</v>
      </c>
      <c r="CO138" s="196" t="n">
        <f aca="false">CO$4*CO33</f>
        <v>0</v>
      </c>
      <c r="CP138" s="196" t="n">
        <f aca="false">CP$4*CP33</f>
        <v>0</v>
      </c>
      <c r="CQ138" s="196" t="n">
        <f aca="false">CQ$4*CQ33</f>
        <v>0</v>
      </c>
      <c r="CR138" s="196" t="n">
        <f aca="false">CR$4*CR33</f>
        <v>0</v>
      </c>
      <c r="CS138" s="196" t="n">
        <f aca="false">CS$4*CS33</f>
        <v>0</v>
      </c>
      <c r="CT138" s="196" t="n">
        <f aca="false">CT$4*CT33</f>
        <v>0</v>
      </c>
      <c r="CU138" s="196" t="n">
        <f aca="false">CU$4*CU33</f>
        <v>0</v>
      </c>
      <c r="CV138" s="196" t="n">
        <f aca="false">CV$4*CV33</f>
        <v>0</v>
      </c>
      <c r="CW138" s="197" t="n">
        <f aca="false">CW$4*CW33</f>
        <v>0</v>
      </c>
      <c r="CX138" s="194" t="str">
        <f aca="false">CM138</f>
        <v>Alumno28</v>
      </c>
      <c r="CY138" s="195" t="n">
        <f aca="false">CY$4*CY33</f>
        <v>0</v>
      </c>
      <c r="CZ138" s="196" t="n">
        <f aca="false">CZ$4*CZ33</f>
        <v>0</v>
      </c>
      <c r="DA138" s="196" t="n">
        <f aca="false">DA$4*DA33</f>
        <v>0</v>
      </c>
      <c r="DB138" s="196" t="n">
        <f aca="false">DB$4*DB33</f>
        <v>0</v>
      </c>
      <c r="DC138" s="196" t="n">
        <f aca="false">DC$4*DC33</f>
        <v>0</v>
      </c>
      <c r="DD138" s="196" t="n">
        <f aca="false">DD$4*DD33</f>
        <v>0</v>
      </c>
      <c r="DE138" s="196" t="n">
        <f aca="false">DE$4*DE33</f>
        <v>0</v>
      </c>
      <c r="DF138" s="196" t="n">
        <f aca="false">DF$4*DF33</f>
        <v>0</v>
      </c>
      <c r="DG138" s="196" t="n">
        <f aca="false">DG$4*DG33</f>
        <v>0</v>
      </c>
      <c r="DH138" s="197" t="n">
        <f aca="false">DH$4*DH33</f>
        <v>0</v>
      </c>
      <c r="DI138" s="194" t="str">
        <f aca="false">CX138</f>
        <v>Alumno28</v>
      </c>
      <c r="DJ138" s="195" t="n">
        <f aca="false">DJ$4*DJ33</f>
        <v>0</v>
      </c>
      <c r="DK138" s="196" t="n">
        <f aca="false">DK$4*DK33</f>
        <v>0</v>
      </c>
      <c r="DL138" s="196" t="n">
        <f aca="false">DL$4*DL33</f>
        <v>0</v>
      </c>
      <c r="DM138" s="196" t="n">
        <f aca="false">DM$4*DM33</f>
        <v>0</v>
      </c>
      <c r="DN138" s="196" t="n">
        <f aca="false">DN$4*DN33</f>
        <v>0</v>
      </c>
      <c r="DO138" s="196" t="n">
        <f aca="false">DO$4*DO33</f>
        <v>0</v>
      </c>
      <c r="DP138" s="196" t="n">
        <f aca="false">DP$4*DP33</f>
        <v>0</v>
      </c>
      <c r="DQ138" s="196" t="n">
        <f aca="false">DQ$4*DQ33</f>
        <v>0</v>
      </c>
      <c r="DR138" s="196" t="n">
        <f aca="false">DR$4*DR33</f>
        <v>0</v>
      </c>
      <c r="DS138" s="197" t="n">
        <f aca="false">DS$4*DS33</f>
        <v>0</v>
      </c>
      <c r="DT138" s="194" t="str">
        <f aca="false">DI138</f>
        <v>Alumno28</v>
      </c>
      <c r="DU138" s="195" t="n">
        <f aca="false">DU$4*DU33</f>
        <v>0</v>
      </c>
      <c r="DV138" s="196" t="n">
        <f aca="false">DV$4*DV33</f>
        <v>0</v>
      </c>
      <c r="DW138" s="196" t="n">
        <f aca="false">DW$4*DW33</f>
        <v>0</v>
      </c>
      <c r="DX138" s="196" t="n">
        <f aca="false">DX$4*DX33</f>
        <v>0</v>
      </c>
      <c r="DY138" s="196" t="n">
        <f aca="false">DY$4*DY33</f>
        <v>0</v>
      </c>
      <c r="DZ138" s="196" t="n">
        <f aca="false">DZ$4*DZ33</f>
        <v>0</v>
      </c>
      <c r="EA138" s="196" t="n">
        <f aca="false">EA$4*EA33</f>
        <v>0</v>
      </c>
      <c r="EB138" s="196" t="n">
        <f aca="false">EB$4*EB33</f>
        <v>0</v>
      </c>
      <c r="EC138" s="196" t="n">
        <f aca="false">EC$4*EC33</f>
        <v>0</v>
      </c>
      <c r="ED138" s="197" t="n">
        <f aca="false">ED$4*ED33</f>
        <v>0</v>
      </c>
      <c r="EE138" s="194" t="str">
        <f aca="false">DT138</f>
        <v>Alumno28</v>
      </c>
      <c r="EF138" s="195" t="n">
        <f aca="false">EF$4*EF33</f>
        <v>0</v>
      </c>
      <c r="EG138" s="196" t="n">
        <f aca="false">EG$4*EG33</f>
        <v>0</v>
      </c>
      <c r="EH138" s="196" t="n">
        <f aca="false">EH$4*EH33</f>
        <v>0</v>
      </c>
      <c r="EI138" s="196" t="n">
        <f aca="false">EI$4*EI33</f>
        <v>0</v>
      </c>
      <c r="EJ138" s="196" t="n">
        <f aca="false">EJ$4*EJ33</f>
        <v>0</v>
      </c>
      <c r="EK138" s="196" t="n">
        <f aca="false">EK$4*EK33</f>
        <v>0</v>
      </c>
      <c r="EL138" s="196" t="n">
        <f aca="false">EL$4*EL33</f>
        <v>0</v>
      </c>
      <c r="EM138" s="196" t="n">
        <f aca="false">EM$4*EM33</f>
        <v>0</v>
      </c>
      <c r="EN138" s="196" t="n">
        <f aca="false">EN$4*EN33</f>
        <v>0</v>
      </c>
      <c r="EO138" s="197" t="n">
        <f aca="false">EO$4*EO33</f>
        <v>0</v>
      </c>
      <c r="EP138" s="194" t="str">
        <f aca="false">EE138</f>
        <v>Alumno28</v>
      </c>
      <c r="EQ138" s="195" t="n">
        <f aca="false">EQ$4*EQ33</f>
        <v>0</v>
      </c>
      <c r="ER138" s="196" t="n">
        <f aca="false">ER$4*ER33</f>
        <v>0</v>
      </c>
      <c r="ES138" s="196" t="n">
        <f aca="false">ES$4*ES33</f>
        <v>0</v>
      </c>
      <c r="ET138" s="196" t="n">
        <f aca="false">ET$4*ET33</f>
        <v>0</v>
      </c>
      <c r="EU138" s="196" t="n">
        <f aca="false">EU$4*EU33</f>
        <v>0</v>
      </c>
      <c r="EV138" s="196" t="n">
        <f aca="false">EV$4*EV33</f>
        <v>0</v>
      </c>
      <c r="EW138" s="196" t="n">
        <f aca="false">EW$4*EW33</f>
        <v>0</v>
      </c>
      <c r="EX138" s="196" t="n">
        <f aca="false">EX$4*EX33</f>
        <v>0</v>
      </c>
      <c r="EY138" s="196" t="n">
        <f aca="false">EY$4*EY33</f>
        <v>0</v>
      </c>
      <c r="EZ138" s="197" t="n">
        <f aca="false">EZ$4*EZ33</f>
        <v>0</v>
      </c>
      <c r="FA138" s="194" t="str">
        <f aca="false">EP138</f>
        <v>Alumno28</v>
      </c>
      <c r="FB138" s="195" t="n">
        <f aca="false">FB$4*FB33</f>
        <v>0</v>
      </c>
      <c r="FC138" s="196" t="n">
        <f aca="false">FC$4*FC33</f>
        <v>0</v>
      </c>
      <c r="FD138" s="196" t="n">
        <f aca="false">FD$4*FD33</f>
        <v>0</v>
      </c>
      <c r="FE138" s="196" t="n">
        <f aca="false">FE$4*FE33</f>
        <v>0</v>
      </c>
      <c r="FF138" s="196" t="n">
        <f aca="false">FF$4*FF33</f>
        <v>0</v>
      </c>
      <c r="FG138" s="196" t="n">
        <f aca="false">FG$4*FG33</f>
        <v>0</v>
      </c>
      <c r="FH138" s="196" t="n">
        <f aca="false">FH$4*FH33</f>
        <v>0</v>
      </c>
      <c r="FI138" s="196" t="n">
        <f aca="false">FI$4*FI33</f>
        <v>0</v>
      </c>
      <c r="FJ138" s="196" t="n">
        <f aca="false">FJ$4*FJ33</f>
        <v>0</v>
      </c>
      <c r="FK138" s="197" t="n">
        <f aca="false">FK$4*FK33</f>
        <v>0</v>
      </c>
      <c r="FL138" s="194" t="str">
        <f aca="false">FA138</f>
        <v>Alumno28</v>
      </c>
      <c r="FM138" s="195" t="n">
        <f aca="false">FM$4*FM33</f>
        <v>0</v>
      </c>
      <c r="FN138" s="196" t="n">
        <f aca="false">FN$4*FN33</f>
        <v>0</v>
      </c>
      <c r="FO138" s="196" t="n">
        <f aca="false">FO$4*FO33</f>
        <v>0</v>
      </c>
      <c r="FP138" s="196" t="n">
        <f aca="false">FP$4*FP33</f>
        <v>0</v>
      </c>
      <c r="FQ138" s="196" t="n">
        <f aca="false">FQ$4*FQ33</f>
        <v>0</v>
      </c>
      <c r="FR138" s="196" t="n">
        <f aca="false">FR$4*FR33</f>
        <v>0</v>
      </c>
      <c r="FS138" s="196" t="n">
        <f aca="false">FS$4*FS33</f>
        <v>0</v>
      </c>
      <c r="FT138" s="196" t="n">
        <f aca="false">FT$4*FT33</f>
        <v>0</v>
      </c>
      <c r="FU138" s="196" t="n">
        <f aca="false">FU$4*FU33</f>
        <v>0</v>
      </c>
      <c r="FV138" s="197" t="n">
        <f aca="false">FV$4*FV33</f>
        <v>0</v>
      </c>
      <c r="FW138" s="194" t="str">
        <f aca="false">FL138</f>
        <v>Alumno28</v>
      </c>
      <c r="FX138" s="195" t="n">
        <f aca="false">FX$4*FX33</f>
        <v>0</v>
      </c>
      <c r="FY138" s="196" t="n">
        <f aca="false">FY$4*FY33</f>
        <v>0</v>
      </c>
      <c r="FZ138" s="196" t="n">
        <f aca="false">FZ$4*FZ33</f>
        <v>0</v>
      </c>
      <c r="GA138" s="196" t="n">
        <f aca="false">GA$4*GA33</f>
        <v>0</v>
      </c>
      <c r="GB138" s="196" t="n">
        <f aca="false">GB$4*GB33</f>
        <v>0</v>
      </c>
      <c r="GC138" s="196" t="n">
        <f aca="false">GC$4*GC33</f>
        <v>0</v>
      </c>
      <c r="GD138" s="196" t="n">
        <f aca="false">GD$4*GD33</f>
        <v>0</v>
      </c>
      <c r="GE138" s="196" t="n">
        <f aca="false">GE$4*GE33</f>
        <v>0</v>
      </c>
      <c r="GF138" s="196" t="n">
        <f aca="false">GF$4*GF33</f>
        <v>0</v>
      </c>
      <c r="GG138" s="197" t="n">
        <f aca="false">GG$4*GG33</f>
        <v>0</v>
      </c>
      <c r="GH138" s="194" t="str">
        <f aca="false">FW138</f>
        <v>Alumno28</v>
      </c>
      <c r="GI138" s="195" t="n">
        <f aca="false">GI$4*GI33</f>
        <v>0</v>
      </c>
      <c r="GJ138" s="196" t="n">
        <f aca="false">GJ$4*GJ33</f>
        <v>0</v>
      </c>
      <c r="GK138" s="196" t="n">
        <f aca="false">GK$4*GK33</f>
        <v>0</v>
      </c>
      <c r="GL138" s="196" t="n">
        <f aca="false">GL$4*GL33</f>
        <v>0</v>
      </c>
      <c r="GM138" s="196" t="n">
        <f aca="false">GM$4*GM33</f>
        <v>0</v>
      </c>
      <c r="GN138" s="196" t="n">
        <f aca="false">GN$4*GN33</f>
        <v>0</v>
      </c>
      <c r="GO138" s="196" t="n">
        <f aca="false">GO$4*GO33</f>
        <v>0</v>
      </c>
      <c r="GP138" s="196" t="n">
        <f aca="false">GP$4*GP33</f>
        <v>0</v>
      </c>
      <c r="GQ138" s="196" t="n">
        <f aca="false">GQ$4*GQ33</f>
        <v>0</v>
      </c>
      <c r="GR138" s="197" t="n">
        <f aca="false">GR$4*GR33</f>
        <v>0</v>
      </c>
      <c r="GS138" s="194" t="str">
        <f aca="false">GH138</f>
        <v>Alumno28</v>
      </c>
      <c r="GT138" s="195" t="n">
        <f aca="false">GT$4*GT33</f>
        <v>0</v>
      </c>
      <c r="GU138" s="196" t="n">
        <f aca="false">GU$4*GU33</f>
        <v>0</v>
      </c>
      <c r="GV138" s="196" t="n">
        <f aca="false">GV$4*GV33</f>
        <v>0</v>
      </c>
      <c r="GW138" s="196" t="n">
        <f aca="false">GW$4*GW33</f>
        <v>0</v>
      </c>
      <c r="GX138" s="196" t="n">
        <f aca="false">GX$4*GX33</f>
        <v>0</v>
      </c>
      <c r="GY138" s="196" t="n">
        <f aca="false">GY$4*GY33</f>
        <v>0</v>
      </c>
      <c r="GZ138" s="196" t="n">
        <f aca="false">GZ$4*GZ33</f>
        <v>0</v>
      </c>
      <c r="HA138" s="196" t="n">
        <f aca="false">HA$4*HA33</f>
        <v>0</v>
      </c>
      <c r="HB138" s="196" t="n">
        <f aca="false">HB$4*HB33</f>
        <v>0</v>
      </c>
      <c r="HC138" s="197" t="n">
        <f aca="false">HC$4*HC33</f>
        <v>0</v>
      </c>
      <c r="HD138" s="194" t="str">
        <f aca="false">GS138</f>
        <v>Alumno28</v>
      </c>
      <c r="HE138" s="195" t="n">
        <f aca="false">HE$4*HE33</f>
        <v>0</v>
      </c>
      <c r="HF138" s="196" t="n">
        <f aca="false">HF$4*HF33</f>
        <v>0</v>
      </c>
      <c r="HG138" s="196" t="n">
        <f aca="false">HG$4*HG33</f>
        <v>0</v>
      </c>
      <c r="HH138" s="196" t="n">
        <f aca="false">HH$4*HH33</f>
        <v>0</v>
      </c>
      <c r="HI138" s="196" t="n">
        <f aca="false">HI$4*HI33</f>
        <v>0</v>
      </c>
      <c r="HJ138" s="196" t="n">
        <f aca="false">HJ$4*HJ33</f>
        <v>0</v>
      </c>
      <c r="HK138" s="196" t="n">
        <f aca="false">HK$4*HK33</f>
        <v>0</v>
      </c>
      <c r="HL138" s="196" t="n">
        <f aca="false">HL$4*HL33</f>
        <v>0</v>
      </c>
      <c r="HM138" s="196" t="n">
        <f aca="false">HM$4*HM33</f>
        <v>0</v>
      </c>
      <c r="HN138" s="197" t="n">
        <f aca="false">HN$4*HN33</f>
        <v>0</v>
      </c>
      <c r="HO138" s="194" t="str">
        <f aca="false">HD138</f>
        <v>Alumno28</v>
      </c>
      <c r="HP138" s="195" t="n">
        <f aca="false">HP$4*HP33</f>
        <v>0</v>
      </c>
      <c r="HQ138" s="196" t="n">
        <f aca="false">HQ$4*HQ33</f>
        <v>0</v>
      </c>
      <c r="HR138" s="196" t="n">
        <f aca="false">HR$4*HR33</f>
        <v>0</v>
      </c>
      <c r="HS138" s="196" t="n">
        <f aca="false">HS$4*HS33</f>
        <v>0</v>
      </c>
      <c r="HT138" s="196" t="n">
        <f aca="false">HT$4*HT33</f>
        <v>0</v>
      </c>
      <c r="HU138" s="196" t="n">
        <f aca="false">HU$4*HU33</f>
        <v>0</v>
      </c>
      <c r="HV138" s="196" t="n">
        <f aca="false">HV$4*HV33</f>
        <v>0</v>
      </c>
      <c r="HW138" s="196" t="n">
        <f aca="false">HW$4*HW33</f>
        <v>0</v>
      </c>
      <c r="HX138" s="196" t="n">
        <f aca="false">HX$4*HX33</f>
        <v>0</v>
      </c>
      <c r="HY138" s="197" t="n">
        <f aca="false">HY$4*HY33</f>
        <v>0</v>
      </c>
      <c r="HZ138" s="194" t="str">
        <f aca="false">HO138</f>
        <v>Alumno28</v>
      </c>
      <c r="IA138" s="195" t="n">
        <f aca="false">IA$4*IA33</f>
        <v>0</v>
      </c>
      <c r="IB138" s="196" t="n">
        <f aca="false">IB$4*IB33</f>
        <v>0</v>
      </c>
      <c r="IC138" s="196" t="n">
        <f aca="false">IC$4*IC33</f>
        <v>0</v>
      </c>
      <c r="ID138" s="196" t="n">
        <f aca="false">ID$4*ID33</f>
        <v>0</v>
      </c>
      <c r="IE138" s="196" t="n">
        <f aca="false">IE$4*IE33</f>
        <v>0</v>
      </c>
      <c r="IF138" s="196" t="n">
        <f aca="false">IF$4*IF33</f>
        <v>0</v>
      </c>
      <c r="IG138" s="196" t="n">
        <f aca="false">IG$4*IG33</f>
        <v>0</v>
      </c>
      <c r="IH138" s="196" t="n">
        <f aca="false">IH$4*IH33</f>
        <v>0</v>
      </c>
      <c r="II138" s="196" t="n">
        <f aca="false">II$4*II33</f>
        <v>0</v>
      </c>
      <c r="IJ138" s="197" t="n">
        <f aca="false">IJ$4*IJ33</f>
        <v>0</v>
      </c>
      <c r="IK138" s="194" t="str">
        <f aca="false">HZ138</f>
        <v>Alumno28</v>
      </c>
      <c r="IL138" s="195" t="n">
        <f aca="false">IL$4*IL33</f>
        <v>0</v>
      </c>
      <c r="IM138" s="196" t="n">
        <f aca="false">IM$4*IM33</f>
        <v>0</v>
      </c>
      <c r="IN138" s="196" t="n">
        <f aca="false">IN$4*IN33</f>
        <v>0</v>
      </c>
      <c r="IO138" s="196" t="n">
        <f aca="false">IO$4*IO33</f>
        <v>0</v>
      </c>
      <c r="IP138" s="196" t="n">
        <f aca="false">IP$4*IP33</f>
        <v>0</v>
      </c>
      <c r="IQ138" s="196" t="n">
        <f aca="false">IQ$4*IQ33</f>
        <v>0</v>
      </c>
      <c r="IR138" s="196" t="n">
        <f aca="false">IR$4*IR33</f>
        <v>0</v>
      </c>
      <c r="IS138" s="196" t="n">
        <f aca="false">IS$4*IS33</f>
        <v>0</v>
      </c>
      <c r="IT138" s="196" t="n">
        <f aca="false">IT$4*IT33</f>
        <v>0</v>
      </c>
      <c r="IU138" s="197" t="n">
        <f aca="false">IU$4*IU33</f>
        <v>0</v>
      </c>
      <c r="IV138" s="194" t="str">
        <f aca="false">IK138</f>
        <v>Alumno28</v>
      </c>
      <c r="IW138" s="195" t="n">
        <f aca="false">IW$4*IW33</f>
        <v>0</v>
      </c>
      <c r="IX138" s="196" t="n">
        <f aca="false">IX$4*IX33</f>
        <v>0</v>
      </c>
      <c r="IY138" s="196" t="n">
        <f aca="false">IY$4*IY33</f>
        <v>0</v>
      </c>
      <c r="IZ138" s="196" t="n">
        <f aca="false">IZ$4*IZ33</f>
        <v>0</v>
      </c>
      <c r="JA138" s="196" t="n">
        <f aca="false">JA$4*JA33</f>
        <v>0</v>
      </c>
      <c r="JB138" s="196" t="n">
        <f aca="false">JB$4*JB33</f>
        <v>0</v>
      </c>
      <c r="JC138" s="196" t="n">
        <f aca="false">JC$4*JC33</f>
        <v>0</v>
      </c>
      <c r="JD138" s="196" t="n">
        <f aca="false">JD$4*JD33</f>
        <v>0</v>
      </c>
      <c r="JE138" s="196" t="n">
        <f aca="false">JE$4*JE33</f>
        <v>0</v>
      </c>
      <c r="JF138" s="197" t="n">
        <f aca="false">JF$4*JF33</f>
        <v>0</v>
      </c>
      <c r="JG138" s="194" t="str">
        <f aca="false">IV138</f>
        <v>Alumno28</v>
      </c>
      <c r="JH138" s="195" t="n">
        <f aca="false">JH$4*JH33</f>
        <v>0</v>
      </c>
      <c r="JI138" s="196" t="n">
        <f aca="false">JI$4*JI33</f>
        <v>0</v>
      </c>
      <c r="JJ138" s="196" t="n">
        <f aca="false">JJ$4*JJ33</f>
        <v>0</v>
      </c>
      <c r="JK138" s="196" t="n">
        <f aca="false">JK$4*JK33</f>
        <v>0</v>
      </c>
      <c r="JL138" s="196" t="n">
        <f aca="false">JL$4*JL33</f>
        <v>0</v>
      </c>
      <c r="JM138" s="196" t="n">
        <f aca="false">JM$4*JM33</f>
        <v>0</v>
      </c>
      <c r="JN138" s="196" t="n">
        <f aca="false">JN$4*JN33</f>
        <v>0</v>
      </c>
      <c r="JO138" s="196" t="n">
        <f aca="false">JO$4*JO33</f>
        <v>0</v>
      </c>
      <c r="JP138" s="196" t="n">
        <f aca="false">JP$4*JP33</f>
        <v>0</v>
      </c>
      <c r="JQ138" s="197" t="n">
        <f aca="false">JQ$4*JQ33</f>
        <v>0</v>
      </c>
      <c r="JR138" s="194" t="str">
        <f aca="false">JG138</f>
        <v>Alumno28</v>
      </c>
      <c r="JS138" s="195" t="n">
        <f aca="false">JS$4*JS33</f>
        <v>0</v>
      </c>
      <c r="JT138" s="196" t="n">
        <f aca="false">JT$4*JT33</f>
        <v>0</v>
      </c>
      <c r="JU138" s="196" t="n">
        <f aca="false">JU$4*JU33</f>
        <v>0</v>
      </c>
      <c r="JV138" s="196" t="n">
        <f aca="false">JV$4*JV33</f>
        <v>0</v>
      </c>
      <c r="JW138" s="196" t="n">
        <f aca="false">JW$4*JW33</f>
        <v>0</v>
      </c>
      <c r="JX138" s="196" t="n">
        <f aca="false">JX$4*JX33</f>
        <v>0</v>
      </c>
      <c r="JY138" s="196" t="n">
        <f aca="false">JY$4*JY33</f>
        <v>0</v>
      </c>
      <c r="JZ138" s="196" t="n">
        <f aca="false">JZ$4*JZ33</f>
        <v>0</v>
      </c>
      <c r="KA138" s="196" t="n">
        <f aca="false">KA$4*KA33</f>
        <v>0</v>
      </c>
      <c r="KB138" s="197" t="n">
        <f aca="false">KB$4*KB33</f>
        <v>0</v>
      </c>
      <c r="KC138" s="194" t="str">
        <f aca="false">JR138</f>
        <v>Alumno28</v>
      </c>
      <c r="KD138" s="195" t="n">
        <f aca="false">KD$4*KD33</f>
        <v>0</v>
      </c>
      <c r="KE138" s="196" t="n">
        <f aca="false">KE$4*KE33</f>
        <v>0</v>
      </c>
      <c r="KF138" s="196" t="n">
        <f aca="false">KF$4*KF33</f>
        <v>0</v>
      </c>
      <c r="KG138" s="196" t="n">
        <f aca="false">KG$4*KG33</f>
        <v>0</v>
      </c>
      <c r="KH138" s="196" t="n">
        <f aca="false">KH$4*KH33</f>
        <v>0</v>
      </c>
      <c r="KI138" s="196" t="n">
        <f aca="false">KI$4*KI33</f>
        <v>0</v>
      </c>
      <c r="KJ138" s="196" t="n">
        <f aca="false">KJ$4*KJ33</f>
        <v>0</v>
      </c>
      <c r="KK138" s="196" t="n">
        <f aca="false">KK$4*KK33</f>
        <v>0</v>
      </c>
      <c r="KL138" s="196" t="n">
        <f aca="false">KL$4*KL33</f>
        <v>0</v>
      </c>
      <c r="KM138" s="197" t="n">
        <f aca="false">KM$4*KM33</f>
        <v>0</v>
      </c>
      <c r="KN138" s="194" t="str">
        <f aca="false">KC138</f>
        <v>Alumno28</v>
      </c>
      <c r="KO138" s="195" t="n">
        <f aca="false">KO$4*KO33</f>
        <v>0</v>
      </c>
      <c r="KP138" s="196" t="n">
        <f aca="false">KP$4*KP33</f>
        <v>0</v>
      </c>
      <c r="KQ138" s="196" t="n">
        <f aca="false">KQ$4*KQ33</f>
        <v>0</v>
      </c>
      <c r="KR138" s="196" t="n">
        <f aca="false">KR$4*KR33</f>
        <v>0</v>
      </c>
      <c r="KS138" s="196" t="n">
        <f aca="false">KS$4*KS33</f>
        <v>0</v>
      </c>
      <c r="KT138" s="196" t="n">
        <f aca="false">KT$4*KT33</f>
        <v>0</v>
      </c>
      <c r="KU138" s="196" t="n">
        <f aca="false">KU$4*KU33</f>
        <v>0</v>
      </c>
      <c r="KV138" s="196" t="n">
        <f aca="false">KV$4*KV33</f>
        <v>0</v>
      </c>
      <c r="KW138" s="196" t="n">
        <f aca="false">KW$4*KW33</f>
        <v>0</v>
      </c>
      <c r="KX138" s="197" t="n">
        <f aca="false">KX$4*KX33</f>
        <v>0</v>
      </c>
      <c r="KY138" s="194" t="str">
        <f aca="false">KN138</f>
        <v>Alumno28</v>
      </c>
      <c r="KZ138" s="195" t="n">
        <f aca="false">KZ$4*KZ33</f>
        <v>0</v>
      </c>
      <c r="LA138" s="196" t="n">
        <f aca="false">LA$4*LA33</f>
        <v>0</v>
      </c>
      <c r="LB138" s="196" t="n">
        <f aca="false">LB$4*LB33</f>
        <v>0</v>
      </c>
      <c r="LC138" s="196" t="n">
        <f aca="false">LC$4*LC33</f>
        <v>0</v>
      </c>
      <c r="LD138" s="196" t="n">
        <f aca="false">LD$4*LD33</f>
        <v>0</v>
      </c>
      <c r="LE138" s="196" t="n">
        <f aca="false">LE$4*LE33</f>
        <v>0</v>
      </c>
      <c r="LF138" s="196" t="n">
        <f aca="false">LF$4*LF33</f>
        <v>0</v>
      </c>
      <c r="LG138" s="196" t="n">
        <f aca="false">LG$4*LG33</f>
        <v>0</v>
      </c>
      <c r="LH138" s="196" t="n">
        <f aca="false">LH$4*LH33</f>
        <v>0</v>
      </c>
      <c r="LI138" s="197" t="n">
        <f aca="false">LI$4*LI33</f>
        <v>0</v>
      </c>
      <c r="LJ138" s="194" t="str">
        <f aca="false">KY138</f>
        <v>Alumno28</v>
      </c>
      <c r="LK138" s="195" t="n">
        <f aca="false">LK$4*LK33</f>
        <v>0</v>
      </c>
      <c r="LL138" s="196" t="n">
        <f aca="false">LL$4*LL33</f>
        <v>0</v>
      </c>
      <c r="LM138" s="196" t="n">
        <f aca="false">LM$4*LM33</f>
        <v>0</v>
      </c>
      <c r="LN138" s="196" t="n">
        <f aca="false">LN$4*LN33</f>
        <v>0</v>
      </c>
      <c r="LO138" s="196" t="n">
        <f aca="false">LO$4*LO33</f>
        <v>0</v>
      </c>
      <c r="LP138" s="196" t="n">
        <f aca="false">LP$4*LP33</f>
        <v>0</v>
      </c>
      <c r="LQ138" s="196" t="n">
        <f aca="false">LQ$4*LQ33</f>
        <v>0</v>
      </c>
      <c r="LR138" s="196" t="n">
        <f aca="false">LR$4*LR33</f>
        <v>0</v>
      </c>
      <c r="LS138" s="196" t="n">
        <f aca="false">LS$4*LS33</f>
        <v>0</v>
      </c>
      <c r="LT138" s="197" t="n">
        <f aca="false">LT$4*LT33</f>
        <v>0</v>
      </c>
    </row>
    <row r="139" customFormat="false" ht="15" hidden="true" customHeight="false" outlineLevel="0" collapsed="false">
      <c r="C139" s="194" t="str">
        <f aca="false">C90</f>
        <v>Alumno29</v>
      </c>
      <c r="D139" s="195" t="n">
        <f aca="false">D$4*D34</f>
        <v>0.75</v>
      </c>
      <c r="E139" s="196" t="n">
        <f aca="false">E$4*E34</f>
        <v>0.9</v>
      </c>
      <c r="F139" s="196" t="n">
        <f aca="false">F$4*F34</f>
        <v>0.6</v>
      </c>
      <c r="G139" s="196" t="n">
        <f aca="false">G$4*G34</f>
        <v>0.4</v>
      </c>
      <c r="H139" s="196" t="n">
        <f aca="false">H$4*H34</f>
        <v>0.75</v>
      </c>
      <c r="I139" s="196" t="n">
        <f aca="false">I$4*I34</f>
        <v>0.9</v>
      </c>
      <c r="J139" s="196" t="n">
        <f aca="false">J$4*J34</f>
        <v>0.7</v>
      </c>
      <c r="K139" s="196" t="n">
        <f aca="false">K$4*K34</f>
        <v>0</v>
      </c>
      <c r="L139" s="196" t="n">
        <f aca="false">L$4*L34</f>
        <v>0</v>
      </c>
      <c r="M139" s="197" t="n">
        <f aca="false">M$4*M34</f>
        <v>0</v>
      </c>
      <c r="N139" s="194" t="str">
        <f aca="false">C139</f>
        <v>Alumno29</v>
      </c>
      <c r="O139" s="195" t="n">
        <f aca="false">O$4*O34</f>
        <v>1</v>
      </c>
      <c r="P139" s="196" t="n">
        <f aca="false">P$4*P34</f>
        <v>1.2</v>
      </c>
      <c r="Q139" s="196" t="n">
        <f aca="false">Q$4*Q34</f>
        <v>0.6</v>
      </c>
      <c r="R139" s="196" t="n">
        <f aca="false">R$4*R34</f>
        <v>0.8</v>
      </c>
      <c r="S139" s="196" t="n">
        <f aca="false">S$4*S34</f>
        <v>1</v>
      </c>
      <c r="T139" s="196" t="n">
        <f aca="false">T$4*T34</f>
        <v>0</v>
      </c>
      <c r="U139" s="196" t="n">
        <f aca="false">U$4*U34</f>
        <v>0</v>
      </c>
      <c r="V139" s="196" t="n">
        <f aca="false">V$4*V34</f>
        <v>0</v>
      </c>
      <c r="W139" s="196" t="n">
        <f aca="false">W$4*W34</f>
        <v>0</v>
      </c>
      <c r="X139" s="197" t="n">
        <f aca="false">X$4*X34</f>
        <v>0</v>
      </c>
      <c r="Y139" s="194" t="str">
        <f aca="false">N139</f>
        <v>Alumno29</v>
      </c>
      <c r="Z139" s="195" t="n">
        <f aca="false">Z$4*Z34</f>
        <v>2</v>
      </c>
      <c r="AA139" s="196" t="n">
        <f aca="false">AA$4*AA34</f>
        <v>1.8</v>
      </c>
      <c r="AB139" s="196" t="n">
        <f aca="false">AB$4*AB34</f>
        <v>2</v>
      </c>
      <c r="AC139" s="196" t="n">
        <f aca="false">AC$4*AC34</f>
        <v>1.8</v>
      </c>
      <c r="AD139" s="196" t="n">
        <f aca="false">AD$4*AD34</f>
        <v>2</v>
      </c>
      <c r="AE139" s="196" t="n">
        <f aca="false">AE$4*AE34</f>
        <v>0</v>
      </c>
      <c r="AF139" s="196" t="n">
        <f aca="false">AF$4*AF34</f>
        <v>0</v>
      </c>
      <c r="AG139" s="196" t="n">
        <f aca="false">AG$4*AG34</f>
        <v>0</v>
      </c>
      <c r="AH139" s="196" t="n">
        <f aca="false">AH$4*AH34</f>
        <v>0</v>
      </c>
      <c r="AI139" s="197" t="n">
        <f aca="false">AI$4*AI34</f>
        <v>0</v>
      </c>
      <c r="AJ139" s="194" t="str">
        <f aca="false">Y139</f>
        <v>Alumno29</v>
      </c>
      <c r="AK139" s="195" t="n">
        <f aca="false">AK$4*AK34</f>
        <v>2</v>
      </c>
      <c r="AL139" s="196" t="n">
        <f aca="false">AL$4*AL34</f>
        <v>1.8</v>
      </c>
      <c r="AM139" s="196" t="n">
        <f aca="false">AM$4*AM34</f>
        <v>2</v>
      </c>
      <c r="AN139" s="196" t="n">
        <f aca="false">AN$4*AN34</f>
        <v>1.8</v>
      </c>
      <c r="AO139" s="196" t="n">
        <f aca="false">AO$4*AO34</f>
        <v>2</v>
      </c>
      <c r="AP139" s="196" t="n">
        <f aca="false">AP$4*AP34</f>
        <v>0</v>
      </c>
      <c r="AQ139" s="196" t="n">
        <f aca="false">AQ$4*AQ34</f>
        <v>0</v>
      </c>
      <c r="AR139" s="196" t="n">
        <f aca="false">AR$4*AR34</f>
        <v>0</v>
      </c>
      <c r="AS139" s="196" t="n">
        <f aca="false">AS$4*AS34</f>
        <v>0</v>
      </c>
      <c r="AT139" s="197" t="n">
        <f aca="false">AT$4*AT34</f>
        <v>0</v>
      </c>
      <c r="AU139" s="194" t="str">
        <f aca="false">AJ139</f>
        <v>Alumno29</v>
      </c>
      <c r="AV139" s="195" t="n">
        <f aca="false">AV$4*AV34</f>
        <v>0.5</v>
      </c>
      <c r="AW139" s="196" t="n">
        <f aca="false">AW$4*AW34</f>
        <v>1.2</v>
      </c>
      <c r="AX139" s="196" t="n">
        <f aca="false">AX$4*AX34</f>
        <v>0.6</v>
      </c>
      <c r="AY139" s="196" t="n">
        <f aca="false">AY$4*AY34</f>
        <v>1.2</v>
      </c>
      <c r="AZ139" s="196" t="n">
        <f aca="false">AZ$4*AZ34</f>
        <v>1</v>
      </c>
      <c r="BA139" s="196" t="n">
        <f aca="false">BA$4*BA34</f>
        <v>0</v>
      </c>
      <c r="BB139" s="196" t="n">
        <f aca="false">BB$4*BB34</f>
        <v>0</v>
      </c>
      <c r="BC139" s="196" t="n">
        <f aca="false">BC$4*BC34</f>
        <v>0</v>
      </c>
      <c r="BD139" s="196" t="n">
        <f aca="false">BD$4*BD34</f>
        <v>0</v>
      </c>
      <c r="BE139" s="197" t="n">
        <f aca="false">BE$4*BE34</f>
        <v>0</v>
      </c>
      <c r="BF139" s="194" t="str">
        <f aca="false">AU139</f>
        <v>Alumno29</v>
      </c>
      <c r="BG139" s="195" t="n">
        <f aca="false">BG$4*BG34</f>
        <v>0.5</v>
      </c>
      <c r="BH139" s="196" t="n">
        <f aca="false">BH$4*BH34</f>
        <v>1.2</v>
      </c>
      <c r="BI139" s="196" t="n">
        <f aca="false">BI$4*BI34</f>
        <v>0.6</v>
      </c>
      <c r="BJ139" s="196" t="n">
        <f aca="false">BJ$4*BJ34</f>
        <v>0.8</v>
      </c>
      <c r="BK139" s="196" t="n">
        <f aca="false">BK$4*BK34</f>
        <v>1.5</v>
      </c>
      <c r="BL139" s="196" t="n">
        <f aca="false">BL$4*BL34</f>
        <v>0</v>
      </c>
      <c r="BM139" s="196" t="n">
        <f aca="false">BM$4*BM34</f>
        <v>0</v>
      </c>
      <c r="BN139" s="196" t="n">
        <f aca="false">BN$4*BN34</f>
        <v>0</v>
      </c>
      <c r="BO139" s="196" t="n">
        <f aca="false">BO$4*BO34</f>
        <v>0</v>
      </c>
      <c r="BP139" s="197" t="n">
        <f aca="false">BP$4*BP34</f>
        <v>0</v>
      </c>
      <c r="BQ139" s="194" t="str">
        <f aca="false">BF139</f>
        <v>Alumno29</v>
      </c>
      <c r="BR139" s="195" t="n">
        <f aca="false">BR$4*BR34</f>
        <v>1</v>
      </c>
      <c r="BS139" s="196" t="n">
        <f aca="false">BS$4*BS34</f>
        <v>0.5</v>
      </c>
      <c r="BT139" s="196" t="n">
        <f aca="false">BT$4*BT34</f>
        <v>1</v>
      </c>
      <c r="BU139" s="196" t="n">
        <f aca="false">BU$4*BU34</f>
        <v>1</v>
      </c>
      <c r="BV139" s="196" t="n">
        <f aca="false">BV$4*BV34</f>
        <v>1.5</v>
      </c>
      <c r="BW139" s="196" t="n">
        <f aca="false">BW$4*BW34</f>
        <v>0</v>
      </c>
      <c r="BX139" s="196" t="n">
        <f aca="false">BX$4*BX34</f>
        <v>0</v>
      </c>
      <c r="BY139" s="196" t="n">
        <f aca="false">BY$4*BY34</f>
        <v>0</v>
      </c>
      <c r="BZ139" s="196" t="n">
        <f aca="false">BZ$4*BZ34</f>
        <v>0</v>
      </c>
      <c r="CA139" s="197" t="n">
        <f aca="false">CA$4*CA34</f>
        <v>0</v>
      </c>
      <c r="CB139" s="194" t="str">
        <f aca="false">BQ139</f>
        <v>Alumno29</v>
      </c>
      <c r="CC139" s="195" t="n">
        <f aca="false">CC$4*CC34</f>
        <v>0</v>
      </c>
      <c r="CD139" s="196" t="n">
        <f aca="false">CD$4*CD34</f>
        <v>0</v>
      </c>
      <c r="CE139" s="196" t="n">
        <f aca="false">CE$4*CE34</f>
        <v>0</v>
      </c>
      <c r="CF139" s="196" t="n">
        <f aca="false">CF$4*CF34</f>
        <v>0</v>
      </c>
      <c r="CG139" s="196" t="n">
        <f aca="false">CG$4*CG34</f>
        <v>0</v>
      </c>
      <c r="CH139" s="196" t="n">
        <f aca="false">CH$4*CH34</f>
        <v>0</v>
      </c>
      <c r="CI139" s="196" t="n">
        <f aca="false">CI$4*CI34</f>
        <v>0</v>
      </c>
      <c r="CJ139" s="196" t="n">
        <f aca="false">CJ$4*CJ34</f>
        <v>0</v>
      </c>
      <c r="CK139" s="196" t="n">
        <f aca="false">CK$4*CK34</f>
        <v>0</v>
      </c>
      <c r="CL139" s="197" t="n">
        <f aca="false">CL$4*CL34</f>
        <v>0</v>
      </c>
      <c r="CM139" s="194" t="str">
        <f aca="false">CB139</f>
        <v>Alumno29</v>
      </c>
      <c r="CN139" s="195" t="n">
        <f aca="false">CN$4*CN34</f>
        <v>0</v>
      </c>
      <c r="CO139" s="196" t="n">
        <f aca="false">CO$4*CO34</f>
        <v>0</v>
      </c>
      <c r="CP139" s="196" t="n">
        <f aca="false">CP$4*CP34</f>
        <v>0</v>
      </c>
      <c r="CQ139" s="196" t="n">
        <f aca="false">CQ$4*CQ34</f>
        <v>0</v>
      </c>
      <c r="CR139" s="196" t="n">
        <f aca="false">CR$4*CR34</f>
        <v>0</v>
      </c>
      <c r="CS139" s="196" t="n">
        <f aca="false">CS$4*CS34</f>
        <v>0</v>
      </c>
      <c r="CT139" s="196" t="n">
        <f aca="false">CT$4*CT34</f>
        <v>0</v>
      </c>
      <c r="CU139" s="196" t="n">
        <f aca="false">CU$4*CU34</f>
        <v>0</v>
      </c>
      <c r="CV139" s="196" t="n">
        <f aca="false">CV$4*CV34</f>
        <v>0</v>
      </c>
      <c r="CW139" s="197" t="n">
        <f aca="false">CW$4*CW34</f>
        <v>0</v>
      </c>
      <c r="CX139" s="194" t="str">
        <f aca="false">CM139</f>
        <v>Alumno29</v>
      </c>
      <c r="CY139" s="195" t="n">
        <f aca="false">CY$4*CY34</f>
        <v>0</v>
      </c>
      <c r="CZ139" s="196" t="n">
        <f aca="false">CZ$4*CZ34</f>
        <v>0</v>
      </c>
      <c r="DA139" s="196" t="n">
        <f aca="false">DA$4*DA34</f>
        <v>0</v>
      </c>
      <c r="DB139" s="196" t="n">
        <f aca="false">DB$4*DB34</f>
        <v>0</v>
      </c>
      <c r="DC139" s="196" t="n">
        <f aca="false">DC$4*DC34</f>
        <v>0</v>
      </c>
      <c r="DD139" s="196" t="n">
        <f aca="false">DD$4*DD34</f>
        <v>0</v>
      </c>
      <c r="DE139" s="196" t="n">
        <f aca="false">DE$4*DE34</f>
        <v>0</v>
      </c>
      <c r="DF139" s="196" t="n">
        <f aca="false">DF$4*DF34</f>
        <v>0</v>
      </c>
      <c r="DG139" s="196" t="n">
        <f aca="false">DG$4*DG34</f>
        <v>0</v>
      </c>
      <c r="DH139" s="197" t="n">
        <f aca="false">DH$4*DH34</f>
        <v>0</v>
      </c>
      <c r="DI139" s="194" t="str">
        <f aca="false">CX139</f>
        <v>Alumno29</v>
      </c>
      <c r="DJ139" s="195" t="n">
        <f aca="false">DJ$4*DJ34</f>
        <v>0</v>
      </c>
      <c r="DK139" s="196" t="n">
        <f aca="false">DK$4*DK34</f>
        <v>0</v>
      </c>
      <c r="DL139" s="196" t="n">
        <f aca="false">DL$4*DL34</f>
        <v>0</v>
      </c>
      <c r="DM139" s="196" t="n">
        <f aca="false">DM$4*DM34</f>
        <v>0</v>
      </c>
      <c r="DN139" s="196" t="n">
        <f aca="false">DN$4*DN34</f>
        <v>0</v>
      </c>
      <c r="DO139" s="196" t="n">
        <f aca="false">DO$4*DO34</f>
        <v>0</v>
      </c>
      <c r="DP139" s="196" t="n">
        <f aca="false">DP$4*DP34</f>
        <v>0</v>
      </c>
      <c r="DQ139" s="196" t="n">
        <f aca="false">DQ$4*DQ34</f>
        <v>0</v>
      </c>
      <c r="DR139" s="196" t="n">
        <f aca="false">DR$4*DR34</f>
        <v>0</v>
      </c>
      <c r="DS139" s="197" t="n">
        <f aca="false">DS$4*DS34</f>
        <v>0</v>
      </c>
      <c r="DT139" s="194" t="str">
        <f aca="false">DI139</f>
        <v>Alumno29</v>
      </c>
      <c r="DU139" s="195" t="n">
        <f aca="false">DU$4*DU34</f>
        <v>0</v>
      </c>
      <c r="DV139" s="196" t="n">
        <f aca="false">DV$4*DV34</f>
        <v>0</v>
      </c>
      <c r="DW139" s="196" t="n">
        <f aca="false">DW$4*DW34</f>
        <v>0</v>
      </c>
      <c r="DX139" s="196" t="n">
        <f aca="false">DX$4*DX34</f>
        <v>0</v>
      </c>
      <c r="DY139" s="196" t="n">
        <f aca="false">DY$4*DY34</f>
        <v>0</v>
      </c>
      <c r="DZ139" s="196" t="n">
        <f aca="false">DZ$4*DZ34</f>
        <v>0</v>
      </c>
      <c r="EA139" s="196" t="n">
        <f aca="false">EA$4*EA34</f>
        <v>0</v>
      </c>
      <c r="EB139" s="196" t="n">
        <f aca="false">EB$4*EB34</f>
        <v>0</v>
      </c>
      <c r="EC139" s="196" t="n">
        <f aca="false">EC$4*EC34</f>
        <v>0</v>
      </c>
      <c r="ED139" s="197" t="n">
        <f aca="false">ED$4*ED34</f>
        <v>0</v>
      </c>
      <c r="EE139" s="194" t="str">
        <f aca="false">DT139</f>
        <v>Alumno29</v>
      </c>
      <c r="EF139" s="195" t="n">
        <f aca="false">EF$4*EF34</f>
        <v>0</v>
      </c>
      <c r="EG139" s="196" t="n">
        <f aca="false">EG$4*EG34</f>
        <v>0</v>
      </c>
      <c r="EH139" s="196" t="n">
        <f aca="false">EH$4*EH34</f>
        <v>0</v>
      </c>
      <c r="EI139" s="196" t="n">
        <f aca="false">EI$4*EI34</f>
        <v>0</v>
      </c>
      <c r="EJ139" s="196" t="n">
        <f aca="false">EJ$4*EJ34</f>
        <v>0</v>
      </c>
      <c r="EK139" s="196" t="n">
        <f aca="false">EK$4*EK34</f>
        <v>0</v>
      </c>
      <c r="EL139" s="196" t="n">
        <f aca="false">EL$4*EL34</f>
        <v>0</v>
      </c>
      <c r="EM139" s="196" t="n">
        <f aca="false">EM$4*EM34</f>
        <v>0</v>
      </c>
      <c r="EN139" s="196" t="n">
        <f aca="false">EN$4*EN34</f>
        <v>0</v>
      </c>
      <c r="EO139" s="197" t="n">
        <f aca="false">EO$4*EO34</f>
        <v>0</v>
      </c>
      <c r="EP139" s="194" t="str">
        <f aca="false">EE139</f>
        <v>Alumno29</v>
      </c>
      <c r="EQ139" s="195" t="n">
        <f aca="false">EQ$4*EQ34</f>
        <v>0</v>
      </c>
      <c r="ER139" s="196" t="n">
        <f aca="false">ER$4*ER34</f>
        <v>0</v>
      </c>
      <c r="ES139" s="196" t="n">
        <f aca="false">ES$4*ES34</f>
        <v>0</v>
      </c>
      <c r="ET139" s="196" t="n">
        <f aca="false">ET$4*ET34</f>
        <v>0</v>
      </c>
      <c r="EU139" s="196" t="n">
        <f aca="false">EU$4*EU34</f>
        <v>0</v>
      </c>
      <c r="EV139" s="196" t="n">
        <f aca="false">EV$4*EV34</f>
        <v>0</v>
      </c>
      <c r="EW139" s="196" t="n">
        <f aca="false">EW$4*EW34</f>
        <v>0</v>
      </c>
      <c r="EX139" s="196" t="n">
        <f aca="false">EX$4*EX34</f>
        <v>0</v>
      </c>
      <c r="EY139" s="196" t="n">
        <f aca="false">EY$4*EY34</f>
        <v>0</v>
      </c>
      <c r="EZ139" s="197" t="n">
        <f aca="false">EZ$4*EZ34</f>
        <v>0</v>
      </c>
      <c r="FA139" s="194" t="str">
        <f aca="false">EP139</f>
        <v>Alumno29</v>
      </c>
      <c r="FB139" s="195" t="n">
        <f aca="false">FB$4*FB34</f>
        <v>0</v>
      </c>
      <c r="FC139" s="196" t="n">
        <f aca="false">FC$4*FC34</f>
        <v>0</v>
      </c>
      <c r="FD139" s="196" t="n">
        <f aca="false">FD$4*FD34</f>
        <v>0</v>
      </c>
      <c r="FE139" s="196" t="n">
        <f aca="false">FE$4*FE34</f>
        <v>0</v>
      </c>
      <c r="FF139" s="196" t="n">
        <f aca="false">FF$4*FF34</f>
        <v>0</v>
      </c>
      <c r="FG139" s="196" t="n">
        <f aca="false">FG$4*FG34</f>
        <v>0</v>
      </c>
      <c r="FH139" s="196" t="n">
        <f aca="false">FH$4*FH34</f>
        <v>0</v>
      </c>
      <c r="FI139" s="196" t="n">
        <f aca="false">FI$4*FI34</f>
        <v>0</v>
      </c>
      <c r="FJ139" s="196" t="n">
        <f aca="false">FJ$4*FJ34</f>
        <v>0</v>
      </c>
      <c r="FK139" s="197" t="n">
        <f aca="false">FK$4*FK34</f>
        <v>0</v>
      </c>
      <c r="FL139" s="194" t="str">
        <f aca="false">FA139</f>
        <v>Alumno29</v>
      </c>
      <c r="FM139" s="195" t="n">
        <f aca="false">FM$4*FM34</f>
        <v>0</v>
      </c>
      <c r="FN139" s="196" t="n">
        <f aca="false">FN$4*FN34</f>
        <v>0</v>
      </c>
      <c r="FO139" s="196" t="n">
        <f aca="false">FO$4*FO34</f>
        <v>0</v>
      </c>
      <c r="FP139" s="196" t="n">
        <f aca="false">FP$4*FP34</f>
        <v>0</v>
      </c>
      <c r="FQ139" s="196" t="n">
        <f aca="false">FQ$4*FQ34</f>
        <v>0</v>
      </c>
      <c r="FR139" s="196" t="n">
        <f aca="false">FR$4*FR34</f>
        <v>0</v>
      </c>
      <c r="FS139" s="196" t="n">
        <f aca="false">FS$4*FS34</f>
        <v>0</v>
      </c>
      <c r="FT139" s="196" t="n">
        <f aca="false">FT$4*FT34</f>
        <v>0</v>
      </c>
      <c r="FU139" s="196" t="n">
        <f aca="false">FU$4*FU34</f>
        <v>0</v>
      </c>
      <c r="FV139" s="197" t="n">
        <f aca="false">FV$4*FV34</f>
        <v>0</v>
      </c>
      <c r="FW139" s="194" t="str">
        <f aca="false">FL139</f>
        <v>Alumno29</v>
      </c>
      <c r="FX139" s="195" t="n">
        <f aca="false">FX$4*FX34</f>
        <v>0</v>
      </c>
      <c r="FY139" s="196" t="n">
        <f aca="false">FY$4*FY34</f>
        <v>0</v>
      </c>
      <c r="FZ139" s="196" t="n">
        <f aca="false">FZ$4*FZ34</f>
        <v>0</v>
      </c>
      <c r="GA139" s="196" t="n">
        <f aca="false">GA$4*GA34</f>
        <v>0</v>
      </c>
      <c r="GB139" s="196" t="n">
        <f aca="false">GB$4*GB34</f>
        <v>0</v>
      </c>
      <c r="GC139" s="196" t="n">
        <f aca="false">GC$4*GC34</f>
        <v>0</v>
      </c>
      <c r="GD139" s="196" t="n">
        <f aca="false">GD$4*GD34</f>
        <v>0</v>
      </c>
      <c r="GE139" s="196" t="n">
        <f aca="false">GE$4*GE34</f>
        <v>0</v>
      </c>
      <c r="GF139" s="196" t="n">
        <f aca="false">GF$4*GF34</f>
        <v>0</v>
      </c>
      <c r="GG139" s="197" t="n">
        <f aca="false">GG$4*GG34</f>
        <v>0</v>
      </c>
      <c r="GH139" s="194" t="str">
        <f aca="false">FW139</f>
        <v>Alumno29</v>
      </c>
      <c r="GI139" s="195" t="n">
        <f aca="false">GI$4*GI34</f>
        <v>0</v>
      </c>
      <c r="GJ139" s="196" t="n">
        <f aca="false">GJ$4*GJ34</f>
        <v>0</v>
      </c>
      <c r="GK139" s="196" t="n">
        <f aca="false">GK$4*GK34</f>
        <v>0</v>
      </c>
      <c r="GL139" s="196" t="n">
        <f aca="false">GL$4*GL34</f>
        <v>0</v>
      </c>
      <c r="GM139" s="196" t="n">
        <f aca="false">GM$4*GM34</f>
        <v>0</v>
      </c>
      <c r="GN139" s="196" t="n">
        <f aca="false">GN$4*GN34</f>
        <v>0</v>
      </c>
      <c r="GO139" s="196" t="n">
        <f aca="false">GO$4*GO34</f>
        <v>0</v>
      </c>
      <c r="GP139" s="196" t="n">
        <f aca="false">GP$4*GP34</f>
        <v>0</v>
      </c>
      <c r="GQ139" s="196" t="n">
        <f aca="false">GQ$4*GQ34</f>
        <v>0</v>
      </c>
      <c r="GR139" s="197" t="n">
        <f aca="false">GR$4*GR34</f>
        <v>0</v>
      </c>
      <c r="GS139" s="194" t="str">
        <f aca="false">GH139</f>
        <v>Alumno29</v>
      </c>
      <c r="GT139" s="195" t="n">
        <f aca="false">GT$4*GT34</f>
        <v>0</v>
      </c>
      <c r="GU139" s="196" t="n">
        <f aca="false">GU$4*GU34</f>
        <v>0</v>
      </c>
      <c r="GV139" s="196" t="n">
        <f aca="false">GV$4*GV34</f>
        <v>0</v>
      </c>
      <c r="GW139" s="196" t="n">
        <f aca="false">GW$4*GW34</f>
        <v>0</v>
      </c>
      <c r="GX139" s="196" t="n">
        <f aca="false">GX$4*GX34</f>
        <v>0</v>
      </c>
      <c r="GY139" s="196" t="n">
        <f aca="false">GY$4*GY34</f>
        <v>0</v>
      </c>
      <c r="GZ139" s="196" t="n">
        <f aca="false">GZ$4*GZ34</f>
        <v>0</v>
      </c>
      <c r="HA139" s="196" t="n">
        <f aca="false">HA$4*HA34</f>
        <v>0</v>
      </c>
      <c r="HB139" s="196" t="n">
        <f aca="false">HB$4*HB34</f>
        <v>0</v>
      </c>
      <c r="HC139" s="197" t="n">
        <f aca="false">HC$4*HC34</f>
        <v>0</v>
      </c>
      <c r="HD139" s="194" t="str">
        <f aca="false">GS139</f>
        <v>Alumno29</v>
      </c>
      <c r="HE139" s="195" t="n">
        <f aca="false">HE$4*HE34</f>
        <v>0</v>
      </c>
      <c r="HF139" s="196" t="n">
        <f aca="false">HF$4*HF34</f>
        <v>0</v>
      </c>
      <c r="HG139" s="196" t="n">
        <f aca="false">HG$4*HG34</f>
        <v>0</v>
      </c>
      <c r="HH139" s="196" t="n">
        <f aca="false">HH$4*HH34</f>
        <v>0</v>
      </c>
      <c r="HI139" s="196" t="n">
        <f aca="false">HI$4*HI34</f>
        <v>0</v>
      </c>
      <c r="HJ139" s="196" t="n">
        <f aca="false">HJ$4*HJ34</f>
        <v>0</v>
      </c>
      <c r="HK139" s="196" t="n">
        <f aca="false">HK$4*HK34</f>
        <v>0</v>
      </c>
      <c r="HL139" s="196" t="n">
        <f aca="false">HL$4*HL34</f>
        <v>0</v>
      </c>
      <c r="HM139" s="196" t="n">
        <f aca="false">HM$4*HM34</f>
        <v>0</v>
      </c>
      <c r="HN139" s="197" t="n">
        <f aca="false">HN$4*HN34</f>
        <v>0</v>
      </c>
      <c r="HO139" s="194" t="str">
        <f aca="false">HD139</f>
        <v>Alumno29</v>
      </c>
      <c r="HP139" s="195" t="n">
        <f aca="false">HP$4*HP34</f>
        <v>0</v>
      </c>
      <c r="HQ139" s="196" t="n">
        <f aca="false">HQ$4*HQ34</f>
        <v>0</v>
      </c>
      <c r="HR139" s="196" t="n">
        <f aca="false">HR$4*HR34</f>
        <v>0</v>
      </c>
      <c r="HS139" s="196" t="n">
        <f aca="false">HS$4*HS34</f>
        <v>0</v>
      </c>
      <c r="HT139" s="196" t="n">
        <f aca="false">HT$4*HT34</f>
        <v>0</v>
      </c>
      <c r="HU139" s="196" t="n">
        <f aca="false">HU$4*HU34</f>
        <v>0</v>
      </c>
      <c r="HV139" s="196" t="n">
        <f aca="false">HV$4*HV34</f>
        <v>0</v>
      </c>
      <c r="HW139" s="196" t="n">
        <f aca="false">HW$4*HW34</f>
        <v>0</v>
      </c>
      <c r="HX139" s="196" t="n">
        <f aca="false">HX$4*HX34</f>
        <v>0</v>
      </c>
      <c r="HY139" s="197" t="n">
        <f aca="false">HY$4*HY34</f>
        <v>0</v>
      </c>
      <c r="HZ139" s="194" t="str">
        <f aca="false">HO139</f>
        <v>Alumno29</v>
      </c>
      <c r="IA139" s="195" t="n">
        <f aca="false">IA$4*IA34</f>
        <v>0</v>
      </c>
      <c r="IB139" s="196" t="n">
        <f aca="false">IB$4*IB34</f>
        <v>0</v>
      </c>
      <c r="IC139" s="196" t="n">
        <f aca="false">IC$4*IC34</f>
        <v>0</v>
      </c>
      <c r="ID139" s="196" t="n">
        <f aca="false">ID$4*ID34</f>
        <v>0</v>
      </c>
      <c r="IE139" s="196" t="n">
        <f aca="false">IE$4*IE34</f>
        <v>0</v>
      </c>
      <c r="IF139" s="196" t="n">
        <f aca="false">IF$4*IF34</f>
        <v>0</v>
      </c>
      <c r="IG139" s="196" t="n">
        <f aca="false">IG$4*IG34</f>
        <v>0</v>
      </c>
      <c r="IH139" s="196" t="n">
        <f aca="false">IH$4*IH34</f>
        <v>0</v>
      </c>
      <c r="II139" s="196" t="n">
        <f aca="false">II$4*II34</f>
        <v>0</v>
      </c>
      <c r="IJ139" s="197" t="n">
        <f aca="false">IJ$4*IJ34</f>
        <v>0</v>
      </c>
      <c r="IK139" s="194" t="str">
        <f aca="false">HZ139</f>
        <v>Alumno29</v>
      </c>
      <c r="IL139" s="195" t="n">
        <f aca="false">IL$4*IL34</f>
        <v>0</v>
      </c>
      <c r="IM139" s="196" t="n">
        <f aca="false">IM$4*IM34</f>
        <v>0</v>
      </c>
      <c r="IN139" s="196" t="n">
        <f aca="false">IN$4*IN34</f>
        <v>0</v>
      </c>
      <c r="IO139" s="196" t="n">
        <f aca="false">IO$4*IO34</f>
        <v>0</v>
      </c>
      <c r="IP139" s="196" t="n">
        <f aca="false">IP$4*IP34</f>
        <v>0</v>
      </c>
      <c r="IQ139" s="196" t="n">
        <f aca="false">IQ$4*IQ34</f>
        <v>0</v>
      </c>
      <c r="IR139" s="196" t="n">
        <f aca="false">IR$4*IR34</f>
        <v>0</v>
      </c>
      <c r="IS139" s="196" t="n">
        <f aca="false">IS$4*IS34</f>
        <v>0</v>
      </c>
      <c r="IT139" s="196" t="n">
        <f aca="false">IT$4*IT34</f>
        <v>0</v>
      </c>
      <c r="IU139" s="197" t="n">
        <f aca="false">IU$4*IU34</f>
        <v>0</v>
      </c>
      <c r="IV139" s="194" t="str">
        <f aca="false">IK139</f>
        <v>Alumno29</v>
      </c>
      <c r="IW139" s="195" t="n">
        <f aca="false">IW$4*IW34</f>
        <v>0</v>
      </c>
      <c r="IX139" s="196" t="n">
        <f aca="false">IX$4*IX34</f>
        <v>0</v>
      </c>
      <c r="IY139" s="196" t="n">
        <f aca="false">IY$4*IY34</f>
        <v>0</v>
      </c>
      <c r="IZ139" s="196" t="n">
        <f aca="false">IZ$4*IZ34</f>
        <v>0</v>
      </c>
      <c r="JA139" s="196" t="n">
        <f aca="false">JA$4*JA34</f>
        <v>0</v>
      </c>
      <c r="JB139" s="196" t="n">
        <f aca="false">JB$4*JB34</f>
        <v>0</v>
      </c>
      <c r="JC139" s="196" t="n">
        <f aca="false">JC$4*JC34</f>
        <v>0</v>
      </c>
      <c r="JD139" s="196" t="n">
        <f aca="false">JD$4*JD34</f>
        <v>0</v>
      </c>
      <c r="JE139" s="196" t="n">
        <f aca="false">JE$4*JE34</f>
        <v>0</v>
      </c>
      <c r="JF139" s="197" t="n">
        <f aca="false">JF$4*JF34</f>
        <v>0</v>
      </c>
      <c r="JG139" s="194" t="str">
        <f aca="false">IV139</f>
        <v>Alumno29</v>
      </c>
      <c r="JH139" s="195" t="n">
        <f aca="false">JH$4*JH34</f>
        <v>0</v>
      </c>
      <c r="JI139" s="196" t="n">
        <f aca="false">JI$4*JI34</f>
        <v>0</v>
      </c>
      <c r="JJ139" s="196" t="n">
        <f aca="false">JJ$4*JJ34</f>
        <v>0</v>
      </c>
      <c r="JK139" s="196" t="n">
        <f aca="false">JK$4*JK34</f>
        <v>0</v>
      </c>
      <c r="JL139" s="196" t="n">
        <f aca="false">JL$4*JL34</f>
        <v>0</v>
      </c>
      <c r="JM139" s="196" t="n">
        <f aca="false">JM$4*JM34</f>
        <v>0</v>
      </c>
      <c r="JN139" s="196" t="n">
        <f aca="false">JN$4*JN34</f>
        <v>0</v>
      </c>
      <c r="JO139" s="196" t="n">
        <f aca="false">JO$4*JO34</f>
        <v>0</v>
      </c>
      <c r="JP139" s="196" t="n">
        <f aca="false">JP$4*JP34</f>
        <v>0</v>
      </c>
      <c r="JQ139" s="197" t="n">
        <f aca="false">JQ$4*JQ34</f>
        <v>0</v>
      </c>
      <c r="JR139" s="194" t="str">
        <f aca="false">JG139</f>
        <v>Alumno29</v>
      </c>
      <c r="JS139" s="195" t="n">
        <f aca="false">JS$4*JS34</f>
        <v>0</v>
      </c>
      <c r="JT139" s="196" t="n">
        <f aca="false">JT$4*JT34</f>
        <v>0</v>
      </c>
      <c r="JU139" s="196" t="n">
        <f aca="false">JU$4*JU34</f>
        <v>0</v>
      </c>
      <c r="JV139" s="196" t="n">
        <f aca="false">JV$4*JV34</f>
        <v>0</v>
      </c>
      <c r="JW139" s="196" t="n">
        <f aca="false">JW$4*JW34</f>
        <v>0</v>
      </c>
      <c r="JX139" s="196" t="n">
        <f aca="false">JX$4*JX34</f>
        <v>0</v>
      </c>
      <c r="JY139" s="196" t="n">
        <f aca="false">JY$4*JY34</f>
        <v>0</v>
      </c>
      <c r="JZ139" s="196" t="n">
        <f aca="false">JZ$4*JZ34</f>
        <v>0</v>
      </c>
      <c r="KA139" s="196" t="n">
        <f aca="false">KA$4*KA34</f>
        <v>0</v>
      </c>
      <c r="KB139" s="197" t="n">
        <f aca="false">KB$4*KB34</f>
        <v>0</v>
      </c>
      <c r="KC139" s="194" t="str">
        <f aca="false">JR139</f>
        <v>Alumno29</v>
      </c>
      <c r="KD139" s="195" t="n">
        <f aca="false">KD$4*KD34</f>
        <v>0</v>
      </c>
      <c r="KE139" s="196" t="n">
        <f aca="false">KE$4*KE34</f>
        <v>0</v>
      </c>
      <c r="KF139" s="196" t="n">
        <f aca="false">KF$4*KF34</f>
        <v>0</v>
      </c>
      <c r="KG139" s="196" t="n">
        <f aca="false">KG$4*KG34</f>
        <v>0</v>
      </c>
      <c r="KH139" s="196" t="n">
        <f aca="false">KH$4*KH34</f>
        <v>0</v>
      </c>
      <c r="KI139" s="196" t="n">
        <f aca="false">KI$4*KI34</f>
        <v>0</v>
      </c>
      <c r="KJ139" s="196" t="n">
        <f aca="false">KJ$4*KJ34</f>
        <v>0</v>
      </c>
      <c r="KK139" s="196" t="n">
        <f aca="false">KK$4*KK34</f>
        <v>0</v>
      </c>
      <c r="KL139" s="196" t="n">
        <f aca="false">KL$4*KL34</f>
        <v>0</v>
      </c>
      <c r="KM139" s="197" t="n">
        <f aca="false">KM$4*KM34</f>
        <v>0</v>
      </c>
      <c r="KN139" s="194" t="str">
        <f aca="false">KC139</f>
        <v>Alumno29</v>
      </c>
      <c r="KO139" s="195" t="n">
        <f aca="false">KO$4*KO34</f>
        <v>0</v>
      </c>
      <c r="KP139" s="196" t="n">
        <f aca="false">KP$4*KP34</f>
        <v>0</v>
      </c>
      <c r="KQ139" s="196" t="n">
        <f aca="false">KQ$4*KQ34</f>
        <v>0</v>
      </c>
      <c r="KR139" s="196" t="n">
        <f aca="false">KR$4*KR34</f>
        <v>0</v>
      </c>
      <c r="KS139" s="196" t="n">
        <f aca="false">KS$4*KS34</f>
        <v>0</v>
      </c>
      <c r="KT139" s="196" t="n">
        <f aca="false">KT$4*KT34</f>
        <v>0</v>
      </c>
      <c r="KU139" s="196" t="n">
        <f aca="false">KU$4*KU34</f>
        <v>0</v>
      </c>
      <c r="KV139" s="196" t="n">
        <f aca="false">KV$4*KV34</f>
        <v>0</v>
      </c>
      <c r="KW139" s="196" t="n">
        <f aca="false">KW$4*KW34</f>
        <v>0</v>
      </c>
      <c r="KX139" s="197" t="n">
        <f aca="false">KX$4*KX34</f>
        <v>0</v>
      </c>
      <c r="KY139" s="194" t="str">
        <f aca="false">KN139</f>
        <v>Alumno29</v>
      </c>
      <c r="KZ139" s="195" t="n">
        <f aca="false">KZ$4*KZ34</f>
        <v>0</v>
      </c>
      <c r="LA139" s="196" t="n">
        <f aca="false">LA$4*LA34</f>
        <v>0</v>
      </c>
      <c r="LB139" s="196" t="n">
        <f aca="false">LB$4*LB34</f>
        <v>0</v>
      </c>
      <c r="LC139" s="196" t="n">
        <f aca="false">LC$4*LC34</f>
        <v>0</v>
      </c>
      <c r="LD139" s="196" t="n">
        <f aca="false">LD$4*LD34</f>
        <v>0</v>
      </c>
      <c r="LE139" s="196" t="n">
        <f aca="false">LE$4*LE34</f>
        <v>0</v>
      </c>
      <c r="LF139" s="196" t="n">
        <f aca="false">LF$4*LF34</f>
        <v>0</v>
      </c>
      <c r="LG139" s="196" t="n">
        <f aca="false">LG$4*LG34</f>
        <v>0</v>
      </c>
      <c r="LH139" s="196" t="n">
        <f aca="false">LH$4*LH34</f>
        <v>0</v>
      </c>
      <c r="LI139" s="197" t="n">
        <f aca="false">LI$4*LI34</f>
        <v>0</v>
      </c>
      <c r="LJ139" s="194" t="str">
        <f aca="false">KY139</f>
        <v>Alumno29</v>
      </c>
      <c r="LK139" s="195" t="n">
        <f aca="false">LK$4*LK34</f>
        <v>0</v>
      </c>
      <c r="LL139" s="196" t="n">
        <f aca="false">LL$4*LL34</f>
        <v>0</v>
      </c>
      <c r="LM139" s="196" t="n">
        <f aca="false">LM$4*LM34</f>
        <v>0</v>
      </c>
      <c r="LN139" s="196" t="n">
        <f aca="false">LN$4*LN34</f>
        <v>0</v>
      </c>
      <c r="LO139" s="196" t="n">
        <f aca="false">LO$4*LO34</f>
        <v>0</v>
      </c>
      <c r="LP139" s="196" t="n">
        <f aca="false">LP$4*LP34</f>
        <v>0</v>
      </c>
      <c r="LQ139" s="196" t="n">
        <f aca="false">LQ$4*LQ34</f>
        <v>0</v>
      </c>
      <c r="LR139" s="196" t="n">
        <f aca="false">LR$4*LR34</f>
        <v>0</v>
      </c>
      <c r="LS139" s="196" t="n">
        <f aca="false">LS$4*LS34</f>
        <v>0</v>
      </c>
      <c r="LT139" s="197" t="n">
        <f aca="false">LT$4*LT34</f>
        <v>0</v>
      </c>
    </row>
    <row r="140" customFormat="false" ht="15" hidden="true" customHeight="false" outlineLevel="0" collapsed="false">
      <c r="C140" s="194" t="str">
        <f aca="false">C91</f>
        <v>Alumno30</v>
      </c>
      <c r="D140" s="198" t="n">
        <f aca="false">D$4*D35</f>
        <v>0.75</v>
      </c>
      <c r="E140" s="199" t="n">
        <f aca="false">E$4*E35</f>
        <v>0.75</v>
      </c>
      <c r="F140" s="199" t="n">
        <f aca="false">F$4*F35</f>
        <v>1</v>
      </c>
      <c r="G140" s="199" t="n">
        <f aca="false">G$4*G35</f>
        <v>0.5</v>
      </c>
      <c r="H140" s="199" t="n">
        <f aca="false">H$4*H35</f>
        <v>0.75</v>
      </c>
      <c r="I140" s="199" t="n">
        <f aca="false">I$4*I35</f>
        <v>0.75</v>
      </c>
      <c r="J140" s="199" t="n">
        <f aca="false">J$4*J35</f>
        <v>0.5</v>
      </c>
      <c r="K140" s="199" t="n">
        <f aca="false">K$4*K35</f>
        <v>0</v>
      </c>
      <c r="L140" s="199" t="n">
        <f aca="false">L$4*L35</f>
        <v>0</v>
      </c>
      <c r="M140" s="200" t="n">
        <f aca="false">M$4*M35</f>
        <v>0</v>
      </c>
      <c r="N140" s="194" t="str">
        <f aca="false">C140</f>
        <v>Alumno30</v>
      </c>
      <c r="O140" s="198" t="n">
        <f aca="false">O$4*O35</f>
        <v>1</v>
      </c>
      <c r="P140" s="199" t="n">
        <f aca="false">P$4*P35</f>
        <v>1</v>
      </c>
      <c r="Q140" s="199" t="n">
        <f aca="false">Q$4*Q35</f>
        <v>1</v>
      </c>
      <c r="R140" s="199" t="n">
        <f aca="false">R$4*R35</f>
        <v>1</v>
      </c>
      <c r="S140" s="199" t="n">
        <f aca="false">S$4*S35</f>
        <v>1</v>
      </c>
      <c r="T140" s="199" t="n">
        <f aca="false">T$4*T35</f>
        <v>0</v>
      </c>
      <c r="U140" s="199" t="n">
        <f aca="false">U$4*U35</f>
        <v>0</v>
      </c>
      <c r="V140" s="199" t="n">
        <f aca="false">V$4*V35</f>
        <v>0</v>
      </c>
      <c r="W140" s="199" t="n">
        <f aca="false">W$4*W35</f>
        <v>0</v>
      </c>
      <c r="X140" s="200" t="n">
        <f aca="false">X$4*X35</f>
        <v>0</v>
      </c>
      <c r="Y140" s="194" t="str">
        <f aca="false">N140</f>
        <v>Alumno30</v>
      </c>
      <c r="Z140" s="198" t="n">
        <f aca="false">Z$4*Z35</f>
        <v>1.8</v>
      </c>
      <c r="AA140" s="199" t="n">
        <f aca="false">AA$4*AA35</f>
        <v>1.8</v>
      </c>
      <c r="AB140" s="199" t="n">
        <f aca="false">AB$4*AB35</f>
        <v>1.8</v>
      </c>
      <c r="AC140" s="199" t="n">
        <f aca="false">AC$4*AC35</f>
        <v>1.8</v>
      </c>
      <c r="AD140" s="199" t="n">
        <f aca="false">AD$4*AD35</f>
        <v>1.8</v>
      </c>
      <c r="AE140" s="199" t="n">
        <f aca="false">AE$4*AE35</f>
        <v>0</v>
      </c>
      <c r="AF140" s="199" t="n">
        <f aca="false">AF$4*AF35</f>
        <v>0</v>
      </c>
      <c r="AG140" s="199" t="n">
        <f aca="false">AG$4*AG35</f>
        <v>0</v>
      </c>
      <c r="AH140" s="199" t="n">
        <f aca="false">AH$4*AH35</f>
        <v>0</v>
      </c>
      <c r="AI140" s="200" t="n">
        <f aca="false">AI$4*AI35</f>
        <v>0</v>
      </c>
      <c r="AJ140" s="194" t="str">
        <f aca="false">Y140</f>
        <v>Alumno30</v>
      </c>
      <c r="AK140" s="198" t="n">
        <f aca="false">AK$4*AK35</f>
        <v>1.8</v>
      </c>
      <c r="AL140" s="199" t="n">
        <f aca="false">AL$4*AL35</f>
        <v>1.8</v>
      </c>
      <c r="AM140" s="199" t="n">
        <f aca="false">AM$4*AM35</f>
        <v>1.8</v>
      </c>
      <c r="AN140" s="199" t="n">
        <f aca="false">AN$4*AN35</f>
        <v>1.8</v>
      </c>
      <c r="AO140" s="199" t="n">
        <f aca="false">AO$4*AO35</f>
        <v>1.8</v>
      </c>
      <c r="AP140" s="199" t="n">
        <f aca="false">AP$4*AP35</f>
        <v>0</v>
      </c>
      <c r="AQ140" s="199" t="n">
        <f aca="false">AQ$4*AQ35</f>
        <v>0</v>
      </c>
      <c r="AR140" s="199" t="n">
        <f aca="false">AR$4*AR35</f>
        <v>0</v>
      </c>
      <c r="AS140" s="199" t="n">
        <f aca="false">AS$4*AS35</f>
        <v>0</v>
      </c>
      <c r="AT140" s="200" t="n">
        <f aca="false">AT$4*AT35</f>
        <v>0</v>
      </c>
      <c r="AU140" s="194" t="str">
        <f aca="false">AJ140</f>
        <v>Alumno30</v>
      </c>
      <c r="AV140" s="198" t="n">
        <f aca="false">AV$4*AV35</f>
        <v>0.5</v>
      </c>
      <c r="AW140" s="199" t="n">
        <f aca="false">AW$4*AW35</f>
        <v>1</v>
      </c>
      <c r="AX140" s="199" t="n">
        <f aca="false">AX$4*AX35</f>
        <v>1</v>
      </c>
      <c r="AY140" s="199" t="n">
        <f aca="false">AY$4*AY35</f>
        <v>1.5</v>
      </c>
      <c r="AZ140" s="199" t="n">
        <f aca="false">AZ$4*AZ35</f>
        <v>1</v>
      </c>
      <c r="BA140" s="199" t="n">
        <f aca="false">BA$4*BA35</f>
        <v>0</v>
      </c>
      <c r="BB140" s="199" t="n">
        <f aca="false">BB$4*BB35</f>
        <v>0</v>
      </c>
      <c r="BC140" s="199" t="n">
        <f aca="false">BC$4*BC35</f>
        <v>0</v>
      </c>
      <c r="BD140" s="199" t="n">
        <f aca="false">BD$4*BD35</f>
        <v>0</v>
      </c>
      <c r="BE140" s="200" t="n">
        <f aca="false">BE$4*BE35</f>
        <v>0</v>
      </c>
      <c r="BF140" s="194" t="str">
        <f aca="false">AU140</f>
        <v>Alumno30</v>
      </c>
      <c r="BG140" s="198" t="n">
        <f aca="false">BG$4*BG35</f>
        <v>0.5</v>
      </c>
      <c r="BH140" s="199" t="n">
        <f aca="false">BH$4*BH35</f>
        <v>1</v>
      </c>
      <c r="BI140" s="199" t="n">
        <f aca="false">BI$4*BI35</f>
        <v>1</v>
      </c>
      <c r="BJ140" s="199" t="n">
        <f aca="false">BJ$4*BJ35</f>
        <v>1</v>
      </c>
      <c r="BK140" s="199" t="n">
        <f aca="false">BK$4*BK35</f>
        <v>1.5</v>
      </c>
      <c r="BL140" s="199" t="n">
        <f aca="false">BL$4*BL35</f>
        <v>0</v>
      </c>
      <c r="BM140" s="199" t="n">
        <f aca="false">BM$4*BM35</f>
        <v>0</v>
      </c>
      <c r="BN140" s="199" t="n">
        <f aca="false">BN$4*BN35</f>
        <v>0</v>
      </c>
      <c r="BO140" s="199" t="n">
        <f aca="false">BO$4*BO35</f>
        <v>0</v>
      </c>
      <c r="BP140" s="200" t="n">
        <f aca="false">BP$4*BP35</f>
        <v>0</v>
      </c>
      <c r="BQ140" s="194" t="str">
        <f aca="false">BF140</f>
        <v>Alumno30</v>
      </c>
      <c r="BR140" s="198" t="n">
        <f aca="false">BR$4*BR35</f>
        <v>1.2</v>
      </c>
      <c r="BS140" s="199" t="n">
        <f aca="false">BS$4*BS35</f>
        <v>0.7</v>
      </c>
      <c r="BT140" s="199" t="n">
        <f aca="false">BT$4*BT35</f>
        <v>0.8</v>
      </c>
      <c r="BU140" s="199" t="n">
        <f aca="false">BU$4*BU35</f>
        <v>0.8</v>
      </c>
      <c r="BV140" s="199" t="n">
        <f aca="false">BV$4*BV35</f>
        <v>1.5</v>
      </c>
      <c r="BW140" s="199" t="n">
        <f aca="false">BW$4*BW35</f>
        <v>0</v>
      </c>
      <c r="BX140" s="199" t="n">
        <f aca="false">BX$4*BX35</f>
        <v>0</v>
      </c>
      <c r="BY140" s="199" t="n">
        <f aca="false">BY$4*BY35</f>
        <v>0</v>
      </c>
      <c r="BZ140" s="199" t="n">
        <f aca="false">BZ$4*BZ35</f>
        <v>0</v>
      </c>
      <c r="CA140" s="200" t="n">
        <f aca="false">CA$4*CA35</f>
        <v>0</v>
      </c>
      <c r="CB140" s="194" t="str">
        <f aca="false">BQ140</f>
        <v>Alumno30</v>
      </c>
      <c r="CC140" s="198" t="n">
        <f aca="false">CC$4*CC35</f>
        <v>0</v>
      </c>
      <c r="CD140" s="199" t="n">
        <f aca="false">CD$4*CD35</f>
        <v>0</v>
      </c>
      <c r="CE140" s="199" t="n">
        <f aca="false">CE$4*CE35</f>
        <v>0</v>
      </c>
      <c r="CF140" s="199" t="n">
        <f aca="false">CF$4*CF35</f>
        <v>0</v>
      </c>
      <c r="CG140" s="199" t="n">
        <f aca="false">CG$4*CG35</f>
        <v>0</v>
      </c>
      <c r="CH140" s="199" t="n">
        <f aca="false">CH$4*CH35</f>
        <v>0</v>
      </c>
      <c r="CI140" s="199" t="n">
        <f aca="false">CI$4*CI35</f>
        <v>0</v>
      </c>
      <c r="CJ140" s="199" t="n">
        <f aca="false">CJ$4*CJ35</f>
        <v>0</v>
      </c>
      <c r="CK140" s="199" t="n">
        <f aca="false">CK$4*CK35</f>
        <v>0</v>
      </c>
      <c r="CL140" s="200" t="n">
        <f aca="false">CL$4*CL35</f>
        <v>0</v>
      </c>
      <c r="CM140" s="194" t="str">
        <f aca="false">CB140</f>
        <v>Alumno30</v>
      </c>
      <c r="CN140" s="198" t="n">
        <f aca="false">CN$4*CN35</f>
        <v>0</v>
      </c>
      <c r="CO140" s="199" t="n">
        <f aca="false">CO$4*CO35</f>
        <v>0</v>
      </c>
      <c r="CP140" s="199" t="n">
        <f aca="false">CP$4*CP35</f>
        <v>0</v>
      </c>
      <c r="CQ140" s="199" t="n">
        <f aca="false">CQ$4*CQ35</f>
        <v>0</v>
      </c>
      <c r="CR140" s="199" t="n">
        <f aca="false">CR$4*CR35</f>
        <v>0</v>
      </c>
      <c r="CS140" s="199" t="n">
        <f aca="false">CS$4*CS35</f>
        <v>0</v>
      </c>
      <c r="CT140" s="199" t="n">
        <f aca="false">CT$4*CT35</f>
        <v>0</v>
      </c>
      <c r="CU140" s="199" t="n">
        <f aca="false">CU$4*CU35</f>
        <v>0</v>
      </c>
      <c r="CV140" s="199" t="n">
        <f aca="false">CV$4*CV35</f>
        <v>0</v>
      </c>
      <c r="CW140" s="200" t="n">
        <f aca="false">CW$4*CW35</f>
        <v>0</v>
      </c>
      <c r="CX140" s="194" t="str">
        <f aca="false">CM140</f>
        <v>Alumno30</v>
      </c>
      <c r="CY140" s="198" t="n">
        <f aca="false">CY$4*CY35</f>
        <v>0</v>
      </c>
      <c r="CZ140" s="199" t="n">
        <f aca="false">CZ$4*CZ35</f>
        <v>0</v>
      </c>
      <c r="DA140" s="199" t="n">
        <f aca="false">DA$4*DA35</f>
        <v>0</v>
      </c>
      <c r="DB140" s="199" t="n">
        <f aca="false">DB$4*DB35</f>
        <v>0</v>
      </c>
      <c r="DC140" s="199" t="n">
        <f aca="false">DC$4*DC35</f>
        <v>0</v>
      </c>
      <c r="DD140" s="199" t="n">
        <f aca="false">DD$4*DD35</f>
        <v>0</v>
      </c>
      <c r="DE140" s="199" t="n">
        <f aca="false">DE$4*DE35</f>
        <v>0</v>
      </c>
      <c r="DF140" s="199" t="n">
        <f aca="false">DF$4*DF35</f>
        <v>0</v>
      </c>
      <c r="DG140" s="199" t="n">
        <f aca="false">DG$4*DG35</f>
        <v>0</v>
      </c>
      <c r="DH140" s="200" t="n">
        <f aca="false">DH$4*DH35</f>
        <v>0</v>
      </c>
      <c r="DI140" s="194" t="str">
        <f aca="false">CX140</f>
        <v>Alumno30</v>
      </c>
      <c r="DJ140" s="198" t="n">
        <f aca="false">DJ$4*DJ35</f>
        <v>0</v>
      </c>
      <c r="DK140" s="199" t="n">
        <f aca="false">DK$4*DK35</f>
        <v>0</v>
      </c>
      <c r="DL140" s="199" t="n">
        <f aca="false">DL$4*DL35</f>
        <v>0</v>
      </c>
      <c r="DM140" s="199" t="n">
        <f aca="false">DM$4*DM35</f>
        <v>0</v>
      </c>
      <c r="DN140" s="199" t="n">
        <f aca="false">DN$4*DN35</f>
        <v>0</v>
      </c>
      <c r="DO140" s="199" t="n">
        <f aca="false">DO$4*DO35</f>
        <v>0</v>
      </c>
      <c r="DP140" s="199" t="n">
        <f aca="false">DP$4*DP35</f>
        <v>0</v>
      </c>
      <c r="DQ140" s="199" t="n">
        <f aca="false">DQ$4*DQ35</f>
        <v>0</v>
      </c>
      <c r="DR140" s="199" t="n">
        <f aca="false">DR$4*DR35</f>
        <v>0</v>
      </c>
      <c r="DS140" s="200" t="n">
        <f aca="false">DS$4*DS35</f>
        <v>0</v>
      </c>
      <c r="DT140" s="194" t="str">
        <f aca="false">DI140</f>
        <v>Alumno30</v>
      </c>
      <c r="DU140" s="198" t="n">
        <f aca="false">DU$4*DU35</f>
        <v>0</v>
      </c>
      <c r="DV140" s="199" t="n">
        <f aca="false">DV$4*DV35</f>
        <v>0</v>
      </c>
      <c r="DW140" s="199" t="n">
        <f aca="false">DW$4*DW35</f>
        <v>0</v>
      </c>
      <c r="DX140" s="199" t="n">
        <f aca="false">DX$4*DX35</f>
        <v>0</v>
      </c>
      <c r="DY140" s="199" t="n">
        <f aca="false">DY$4*DY35</f>
        <v>0</v>
      </c>
      <c r="DZ140" s="199" t="n">
        <f aca="false">DZ$4*DZ35</f>
        <v>0</v>
      </c>
      <c r="EA140" s="199" t="n">
        <f aca="false">EA$4*EA35</f>
        <v>0</v>
      </c>
      <c r="EB140" s="199" t="n">
        <f aca="false">EB$4*EB35</f>
        <v>0</v>
      </c>
      <c r="EC140" s="199" t="n">
        <f aca="false">EC$4*EC35</f>
        <v>0</v>
      </c>
      <c r="ED140" s="200" t="n">
        <f aca="false">ED$4*ED35</f>
        <v>0</v>
      </c>
      <c r="EE140" s="194" t="str">
        <f aca="false">DT140</f>
        <v>Alumno30</v>
      </c>
      <c r="EF140" s="198" t="n">
        <f aca="false">EF$4*EF35</f>
        <v>0</v>
      </c>
      <c r="EG140" s="199" t="n">
        <f aca="false">EG$4*EG35</f>
        <v>0</v>
      </c>
      <c r="EH140" s="199" t="n">
        <f aca="false">EH$4*EH35</f>
        <v>0</v>
      </c>
      <c r="EI140" s="199" t="n">
        <f aca="false">EI$4*EI35</f>
        <v>0</v>
      </c>
      <c r="EJ140" s="199" t="n">
        <f aca="false">EJ$4*EJ35</f>
        <v>0</v>
      </c>
      <c r="EK140" s="199" t="n">
        <f aca="false">EK$4*EK35</f>
        <v>0</v>
      </c>
      <c r="EL140" s="199" t="n">
        <f aca="false">EL$4*EL35</f>
        <v>0</v>
      </c>
      <c r="EM140" s="199" t="n">
        <f aca="false">EM$4*EM35</f>
        <v>0</v>
      </c>
      <c r="EN140" s="199" t="n">
        <f aca="false">EN$4*EN35</f>
        <v>0</v>
      </c>
      <c r="EO140" s="200" t="n">
        <f aca="false">EO$4*EO35</f>
        <v>0</v>
      </c>
      <c r="EP140" s="194" t="str">
        <f aca="false">EE140</f>
        <v>Alumno30</v>
      </c>
      <c r="EQ140" s="198" t="n">
        <f aca="false">EQ$4*EQ35</f>
        <v>0</v>
      </c>
      <c r="ER140" s="199" t="n">
        <f aca="false">ER$4*ER35</f>
        <v>0</v>
      </c>
      <c r="ES140" s="199" t="n">
        <f aca="false">ES$4*ES35</f>
        <v>0</v>
      </c>
      <c r="ET140" s="199" t="n">
        <f aca="false">ET$4*ET35</f>
        <v>0</v>
      </c>
      <c r="EU140" s="199" t="n">
        <f aca="false">EU$4*EU35</f>
        <v>0</v>
      </c>
      <c r="EV140" s="199" t="n">
        <f aca="false">EV$4*EV35</f>
        <v>0</v>
      </c>
      <c r="EW140" s="199" t="n">
        <f aca="false">EW$4*EW35</f>
        <v>0</v>
      </c>
      <c r="EX140" s="199" t="n">
        <f aca="false">EX$4*EX35</f>
        <v>0</v>
      </c>
      <c r="EY140" s="199" t="n">
        <f aca="false">EY$4*EY35</f>
        <v>0</v>
      </c>
      <c r="EZ140" s="200" t="n">
        <f aca="false">EZ$4*EZ35</f>
        <v>0</v>
      </c>
      <c r="FA140" s="194" t="str">
        <f aca="false">EP140</f>
        <v>Alumno30</v>
      </c>
      <c r="FB140" s="198" t="n">
        <f aca="false">FB$4*FB35</f>
        <v>0</v>
      </c>
      <c r="FC140" s="199" t="n">
        <f aca="false">FC$4*FC35</f>
        <v>0</v>
      </c>
      <c r="FD140" s="199" t="n">
        <f aca="false">FD$4*FD35</f>
        <v>0</v>
      </c>
      <c r="FE140" s="199" t="n">
        <f aca="false">FE$4*FE35</f>
        <v>0</v>
      </c>
      <c r="FF140" s="199" t="n">
        <f aca="false">FF$4*FF35</f>
        <v>0</v>
      </c>
      <c r="FG140" s="199" t="n">
        <f aca="false">FG$4*FG35</f>
        <v>0</v>
      </c>
      <c r="FH140" s="199" t="n">
        <f aca="false">FH$4*FH35</f>
        <v>0</v>
      </c>
      <c r="FI140" s="199" t="n">
        <f aca="false">FI$4*FI35</f>
        <v>0</v>
      </c>
      <c r="FJ140" s="199" t="n">
        <f aca="false">FJ$4*FJ35</f>
        <v>0</v>
      </c>
      <c r="FK140" s="200" t="n">
        <f aca="false">FK$4*FK35</f>
        <v>0</v>
      </c>
      <c r="FL140" s="194" t="str">
        <f aca="false">FA140</f>
        <v>Alumno30</v>
      </c>
      <c r="FM140" s="198" t="n">
        <f aca="false">FM$4*FM35</f>
        <v>0</v>
      </c>
      <c r="FN140" s="199" t="n">
        <f aca="false">FN$4*FN35</f>
        <v>0</v>
      </c>
      <c r="FO140" s="199" t="n">
        <f aca="false">FO$4*FO35</f>
        <v>0</v>
      </c>
      <c r="FP140" s="199" t="n">
        <f aca="false">FP$4*FP35</f>
        <v>0</v>
      </c>
      <c r="FQ140" s="199" t="n">
        <f aca="false">FQ$4*FQ35</f>
        <v>0</v>
      </c>
      <c r="FR140" s="199" t="n">
        <f aca="false">FR$4*FR35</f>
        <v>0</v>
      </c>
      <c r="FS140" s="199" t="n">
        <f aca="false">FS$4*FS35</f>
        <v>0</v>
      </c>
      <c r="FT140" s="199" t="n">
        <f aca="false">FT$4*FT35</f>
        <v>0</v>
      </c>
      <c r="FU140" s="199" t="n">
        <f aca="false">FU$4*FU35</f>
        <v>0</v>
      </c>
      <c r="FV140" s="200" t="n">
        <f aca="false">FV$4*FV35</f>
        <v>0</v>
      </c>
      <c r="FW140" s="194" t="str">
        <f aca="false">FL140</f>
        <v>Alumno30</v>
      </c>
      <c r="FX140" s="198" t="n">
        <f aca="false">FX$4*FX35</f>
        <v>0</v>
      </c>
      <c r="FY140" s="199" t="n">
        <f aca="false">FY$4*FY35</f>
        <v>0</v>
      </c>
      <c r="FZ140" s="199" t="n">
        <f aca="false">FZ$4*FZ35</f>
        <v>0</v>
      </c>
      <c r="GA140" s="199" t="n">
        <f aca="false">GA$4*GA35</f>
        <v>0</v>
      </c>
      <c r="GB140" s="199" t="n">
        <f aca="false">GB$4*GB35</f>
        <v>0</v>
      </c>
      <c r="GC140" s="199" t="n">
        <f aca="false">GC$4*GC35</f>
        <v>0</v>
      </c>
      <c r="GD140" s="199" t="n">
        <f aca="false">GD$4*GD35</f>
        <v>0</v>
      </c>
      <c r="GE140" s="199" t="n">
        <f aca="false">GE$4*GE35</f>
        <v>0</v>
      </c>
      <c r="GF140" s="199" t="n">
        <f aca="false">GF$4*GF35</f>
        <v>0</v>
      </c>
      <c r="GG140" s="200" t="n">
        <f aca="false">GG$4*GG35</f>
        <v>0</v>
      </c>
      <c r="GH140" s="194" t="str">
        <f aca="false">FW140</f>
        <v>Alumno30</v>
      </c>
      <c r="GI140" s="198" t="n">
        <f aca="false">GI$4*GI35</f>
        <v>0</v>
      </c>
      <c r="GJ140" s="199" t="n">
        <f aca="false">GJ$4*GJ35</f>
        <v>0</v>
      </c>
      <c r="GK140" s="199" t="n">
        <f aca="false">GK$4*GK35</f>
        <v>0</v>
      </c>
      <c r="GL140" s="199" t="n">
        <f aca="false">GL$4*GL35</f>
        <v>0</v>
      </c>
      <c r="GM140" s="199" t="n">
        <f aca="false">GM$4*GM35</f>
        <v>0</v>
      </c>
      <c r="GN140" s="199" t="n">
        <f aca="false">GN$4*GN35</f>
        <v>0</v>
      </c>
      <c r="GO140" s="199" t="n">
        <f aca="false">GO$4*GO35</f>
        <v>0</v>
      </c>
      <c r="GP140" s="199" t="n">
        <f aca="false">GP$4*GP35</f>
        <v>0</v>
      </c>
      <c r="GQ140" s="199" t="n">
        <f aca="false">GQ$4*GQ35</f>
        <v>0</v>
      </c>
      <c r="GR140" s="200" t="n">
        <f aca="false">GR$4*GR35</f>
        <v>0</v>
      </c>
      <c r="GS140" s="194" t="str">
        <f aca="false">GH140</f>
        <v>Alumno30</v>
      </c>
      <c r="GT140" s="198" t="n">
        <f aca="false">GT$4*GT35</f>
        <v>0</v>
      </c>
      <c r="GU140" s="199" t="n">
        <f aca="false">GU$4*GU35</f>
        <v>0</v>
      </c>
      <c r="GV140" s="199" t="n">
        <f aca="false">GV$4*GV35</f>
        <v>0</v>
      </c>
      <c r="GW140" s="199" t="n">
        <f aca="false">GW$4*GW35</f>
        <v>0</v>
      </c>
      <c r="GX140" s="199" t="n">
        <f aca="false">GX$4*GX35</f>
        <v>0</v>
      </c>
      <c r="GY140" s="199" t="n">
        <f aca="false">GY$4*GY35</f>
        <v>0</v>
      </c>
      <c r="GZ140" s="199" t="n">
        <f aca="false">GZ$4*GZ35</f>
        <v>0</v>
      </c>
      <c r="HA140" s="199" t="n">
        <f aca="false">HA$4*HA35</f>
        <v>0</v>
      </c>
      <c r="HB140" s="199" t="n">
        <f aca="false">HB$4*HB35</f>
        <v>0</v>
      </c>
      <c r="HC140" s="200" t="n">
        <f aca="false">HC$4*HC35</f>
        <v>0</v>
      </c>
      <c r="HD140" s="194" t="str">
        <f aca="false">GS140</f>
        <v>Alumno30</v>
      </c>
      <c r="HE140" s="198" t="n">
        <f aca="false">HE$4*HE35</f>
        <v>0</v>
      </c>
      <c r="HF140" s="199" t="n">
        <f aca="false">HF$4*HF35</f>
        <v>0</v>
      </c>
      <c r="HG140" s="199" t="n">
        <f aca="false">HG$4*HG35</f>
        <v>0</v>
      </c>
      <c r="HH140" s="199" t="n">
        <f aca="false">HH$4*HH35</f>
        <v>0</v>
      </c>
      <c r="HI140" s="199" t="n">
        <f aca="false">HI$4*HI35</f>
        <v>0</v>
      </c>
      <c r="HJ140" s="199" t="n">
        <f aca="false">HJ$4*HJ35</f>
        <v>0</v>
      </c>
      <c r="HK140" s="199" t="n">
        <f aca="false">HK$4*HK35</f>
        <v>0</v>
      </c>
      <c r="HL140" s="199" t="n">
        <f aca="false">HL$4*HL35</f>
        <v>0</v>
      </c>
      <c r="HM140" s="199" t="n">
        <f aca="false">HM$4*HM35</f>
        <v>0</v>
      </c>
      <c r="HN140" s="200" t="n">
        <f aca="false">HN$4*HN35</f>
        <v>0</v>
      </c>
      <c r="HO140" s="194" t="str">
        <f aca="false">HD140</f>
        <v>Alumno30</v>
      </c>
      <c r="HP140" s="198" t="n">
        <f aca="false">HP$4*HP35</f>
        <v>0</v>
      </c>
      <c r="HQ140" s="199" t="n">
        <f aca="false">HQ$4*HQ35</f>
        <v>0</v>
      </c>
      <c r="HR140" s="199" t="n">
        <f aca="false">HR$4*HR35</f>
        <v>0</v>
      </c>
      <c r="HS140" s="199" t="n">
        <f aca="false">HS$4*HS35</f>
        <v>0</v>
      </c>
      <c r="HT140" s="199" t="n">
        <f aca="false">HT$4*HT35</f>
        <v>0</v>
      </c>
      <c r="HU140" s="199" t="n">
        <f aca="false">HU$4*HU35</f>
        <v>0</v>
      </c>
      <c r="HV140" s="199" t="n">
        <f aca="false">HV$4*HV35</f>
        <v>0</v>
      </c>
      <c r="HW140" s="199" t="n">
        <f aca="false">HW$4*HW35</f>
        <v>0</v>
      </c>
      <c r="HX140" s="199" t="n">
        <f aca="false">HX$4*HX35</f>
        <v>0</v>
      </c>
      <c r="HY140" s="200" t="n">
        <f aca="false">HY$4*HY35</f>
        <v>0</v>
      </c>
      <c r="HZ140" s="194" t="str">
        <f aca="false">HO140</f>
        <v>Alumno30</v>
      </c>
      <c r="IA140" s="198" t="n">
        <f aca="false">IA$4*IA35</f>
        <v>0</v>
      </c>
      <c r="IB140" s="199" t="n">
        <f aca="false">IB$4*IB35</f>
        <v>0</v>
      </c>
      <c r="IC140" s="199" t="n">
        <f aca="false">IC$4*IC35</f>
        <v>0</v>
      </c>
      <c r="ID140" s="199" t="n">
        <f aca="false">ID$4*ID35</f>
        <v>0</v>
      </c>
      <c r="IE140" s="199" t="n">
        <f aca="false">IE$4*IE35</f>
        <v>0</v>
      </c>
      <c r="IF140" s="199" t="n">
        <f aca="false">IF$4*IF35</f>
        <v>0</v>
      </c>
      <c r="IG140" s="199" t="n">
        <f aca="false">IG$4*IG35</f>
        <v>0</v>
      </c>
      <c r="IH140" s="199" t="n">
        <f aca="false">IH$4*IH35</f>
        <v>0</v>
      </c>
      <c r="II140" s="199" t="n">
        <f aca="false">II$4*II35</f>
        <v>0</v>
      </c>
      <c r="IJ140" s="200" t="n">
        <f aca="false">IJ$4*IJ35</f>
        <v>0</v>
      </c>
      <c r="IK140" s="194" t="str">
        <f aca="false">HZ140</f>
        <v>Alumno30</v>
      </c>
      <c r="IL140" s="198" t="n">
        <f aca="false">IL$4*IL35</f>
        <v>0</v>
      </c>
      <c r="IM140" s="199" t="n">
        <f aca="false">IM$4*IM35</f>
        <v>0</v>
      </c>
      <c r="IN140" s="199" t="n">
        <f aca="false">IN$4*IN35</f>
        <v>0</v>
      </c>
      <c r="IO140" s="199" t="n">
        <f aca="false">IO$4*IO35</f>
        <v>0</v>
      </c>
      <c r="IP140" s="199" t="n">
        <f aca="false">IP$4*IP35</f>
        <v>0</v>
      </c>
      <c r="IQ140" s="199" t="n">
        <f aca="false">IQ$4*IQ35</f>
        <v>0</v>
      </c>
      <c r="IR140" s="199" t="n">
        <f aca="false">IR$4*IR35</f>
        <v>0</v>
      </c>
      <c r="IS140" s="199" t="n">
        <f aca="false">IS$4*IS35</f>
        <v>0</v>
      </c>
      <c r="IT140" s="199" t="n">
        <f aca="false">IT$4*IT35</f>
        <v>0</v>
      </c>
      <c r="IU140" s="200" t="n">
        <f aca="false">IU$4*IU35</f>
        <v>0</v>
      </c>
      <c r="IV140" s="194" t="str">
        <f aca="false">IK140</f>
        <v>Alumno30</v>
      </c>
      <c r="IW140" s="198" t="n">
        <f aca="false">IW$4*IW35</f>
        <v>0</v>
      </c>
      <c r="IX140" s="199" t="n">
        <f aca="false">IX$4*IX35</f>
        <v>0</v>
      </c>
      <c r="IY140" s="199" t="n">
        <f aca="false">IY$4*IY35</f>
        <v>0</v>
      </c>
      <c r="IZ140" s="199" t="n">
        <f aca="false">IZ$4*IZ35</f>
        <v>0</v>
      </c>
      <c r="JA140" s="199" t="n">
        <f aca="false">JA$4*JA35</f>
        <v>0</v>
      </c>
      <c r="JB140" s="199" t="n">
        <f aca="false">JB$4*JB35</f>
        <v>0</v>
      </c>
      <c r="JC140" s="199" t="n">
        <f aca="false">JC$4*JC35</f>
        <v>0</v>
      </c>
      <c r="JD140" s="199" t="n">
        <f aca="false">JD$4*JD35</f>
        <v>0</v>
      </c>
      <c r="JE140" s="199" t="n">
        <f aca="false">JE$4*JE35</f>
        <v>0</v>
      </c>
      <c r="JF140" s="200" t="n">
        <f aca="false">JF$4*JF35</f>
        <v>0</v>
      </c>
      <c r="JG140" s="194" t="str">
        <f aca="false">IV140</f>
        <v>Alumno30</v>
      </c>
      <c r="JH140" s="198" t="n">
        <f aca="false">JH$4*JH35</f>
        <v>0</v>
      </c>
      <c r="JI140" s="199" t="n">
        <f aca="false">JI$4*JI35</f>
        <v>0</v>
      </c>
      <c r="JJ140" s="199" t="n">
        <f aca="false">JJ$4*JJ35</f>
        <v>0</v>
      </c>
      <c r="JK140" s="199" t="n">
        <f aca="false">JK$4*JK35</f>
        <v>0</v>
      </c>
      <c r="JL140" s="199" t="n">
        <f aca="false">JL$4*JL35</f>
        <v>0</v>
      </c>
      <c r="JM140" s="199" t="n">
        <f aca="false">JM$4*JM35</f>
        <v>0</v>
      </c>
      <c r="JN140" s="199" t="n">
        <f aca="false">JN$4*JN35</f>
        <v>0</v>
      </c>
      <c r="JO140" s="199" t="n">
        <f aca="false">JO$4*JO35</f>
        <v>0</v>
      </c>
      <c r="JP140" s="199" t="n">
        <f aca="false">JP$4*JP35</f>
        <v>0</v>
      </c>
      <c r="JQ140" s="200" t="n">
        <f aca="false">JQ$4*JQ35</f>
        <v>0</v>
      </c>
      <c r="JR140" s="194" t="str">
        <f aca="false">JG140</f>
        <v>Alumno30</v>
      </c>
      <c r="JS140" s="198" t="n">
        <f aca="false">JS$4*JS35</f>
        <v>0</v>
      </c>
      <c r="JT140" s="199" t="n">
        <f aca="false">JT$4*JT35</f>
        <v>0</v>
      </c>
      <c r="JU140" s="199" t="n">
        <f aca="false">JU$4*JU35</f>
        <v>0</v>
      </c>
      <c r="JV140" s="199" t="n">
        <f aca="false">JV$4*JV35</f>
        <v>0</v>
      </c>
      <c r="JW140" s="199" t="n">
        <f aca="false">JW$4*JW35</f>
        <v>0</v>
      </c>
      <c r="JX140" s="199" t="n">
        <f aca="false">JX$4*JX35</f>
        <v>0</v>
      </c>
      <c r="JY140" s="199" t="n">
        <f aca="false">JY$4*JY35</f>
        <v>0</v>
      </c>
      <c r="JZ140" s="199" t="n">
        <f aca="false">JZ$4*JZ35</f>
        <v>0</v>
      </c>
      <c r="KA140" s="199" t="n">
        <f aca="false">KA$4*KA35</f>
        <v>0</v>
      </c>
      <c r="KB140" s="200" t="n">
        <f aca="false">KB$4*KB35</f>
        <v>0</v>
      </c>
      <c r="KC140" s="194" t="str">
        <f aca="false">JR140</f>
        <v>Alumno30</v>
      </c>
      <c r="KD140" s="198" t="n">
        <f aca="false">KD$4*KD35</f>
        <v>0</v>
      </c>
      <c r="KE140" s="199" t="n">
        <f aca="false">KE$4*KE35</f>
        <v>0</v>
      </c>
      <c r="KF140" s="199" t="n">
        <f aca="false">KF$4*KF35</f>
        <v>0</v>
      </c>
      <c r="KG140" s="199" t="n">
        <f aca="false">KG$4*KG35</f>
        <v>0</v>
      </c>
      <c r="KH140" s="199" t="n">
        <f aca="false">KH$4*KH35</f>
        <v>0</v>
      </c>
      <c r="KI140" s="199" t="n">
        <f aca="false">KI$4*KI35</f>
        <v>0</v>
      </c>
      <c r="KJ140" s="199" t="n">
        <f aca="false">KJ$4*KJ35</f>
        <v>0</v>
      </c>
      <c r="KK140" s="199" t="n">
        <f aca="false">KK$4*KK35</f>
        <v>0</v>
      </c>
      <c r="KL140" s="199" t="n">
        <f aca="false">KL$4*KL35</f>
        <v>0</v>
      </c>
      <c r="KM140" s="200" t="n">
        <f aca="false">KM$4*KM35</f>
        <v>0</v>
      </c>
      <c r="KN140" s="194" t="str">
        <f aca="false">KC140</f>
        <v>Alumno30</v>
      </c>
      <c r="KO140" s="198" t="n">
        <f aca="false">KO$4*KO35</f>
        <v>0</v>
      </c>
      <c r="KP140" s="199" t="n">
        <f aca="false">KP$4*KP35</f>
        <v>0</v>
      </c>
      <c r="KQ140" s="199" t="n">
        <f aca="false">KQ$4*KQ35</f>
        <v>0</v>
      </c>
      <c r="KR140" s="199" t="n">
        <f aca="false">KR$4*KR35</f>
        <v>0</v>
      </c>
      <c r="KS140" s="199" t="n">
        <f aca="false">KS$4*KS35</f>
        <v>0</v>
      </c>
      <c r="KT140" s="199" t="n">
        <f aca="false">KT$4*KT35</f>
        <v>0</v>
      </c>
      <c r="KU140" s="199" t="n">
        <f aca="false">KU$4*KU35</f>
        <v>0</v>
      </c>
      <c r="KV140" s="199" t="n">
        <f aca="false">KV$4*KV35</f>
        <v>0</v>
      </c>
      <c r="KW140" s="199" t="n">
        <f aca="false">KW$4*KW35</f>
        <v>0</v>
      </c>
      <c r="KX140" s="200" t="n">
        <f aca="false">KX$4*KX35</f>
        <v>0</v>
      </c>
      <c r="KY140" s="194" t="str">
        <f aca="false">KN140</f>
        <v>Alumno30</v>
      </c>
      <c r="KZ140" s="198" t="n">
        <f aca="false">KZ$4*KZ35</f>
        <v>0</v>
      </c>
      <c r="LA140" s="199" t="n">
        <f aca="false">LA$4*LA35</f>
        <v>0</v>
      </c>
      <c r="LB140" s="199" t="n">
        <f aca="false">LB$4*LB35</f>
        <v>0</v>
      </c>
      <c r="LC140" s="199" t="n">
        <f aca="false">LC$4*LC35</f>
        <v>0</v>
      </c>
      <c r="LD140" s="199" t="n">
        <f aca="false">LD$4*LD35</f>
        <v>0</v>
      </c>
      <c r="LE140" s="199" t="n">
        <f aca="false">LE$4*LE35</f>
        <v>0</v>
      </c>
      <c r="LF140" s="199" t="n">
        <f aca="false">LF$4*LF35</f>
        <v>0</v>
      </c>
      <c r="LG140" s="199" t="n">
        <f aca="false">LG$4*LG35</f>
        <v>0</v>
      </c>
      <c r="LH140" s="199" t="n">
        <f aca="false">LH$4*LH35</f>
        <v>0</v>
      </c>
      <c r="LI140" s="200" t="n">
        <f aca="false">LI$4*LI35</f>
        <v>0</v>
      </c>
      <c r="LJ140" s="194" t="str">
        <f aca="false">KY140</f>
        <v>Alumno30</v>
      </c>
      <c r="LK140" s="198" t="n">
        <f aca="false">LK$4*LK35</f>
        <v>0</v>
      </c>
      <c r="LL140" s="199" t="n">
        <f aca="false">LL$4*LL35</f>
        <v>0</v>
      </c>
      <c r="LM140" s="199" t="n">
        <f aca="false">LM$4*LM35</f>
        <v>0</v>
      </c>
      <c r="LN140" s="199" t="n">
        <f aca="false">LN$4*LN35</f>
        <v>0</v>
      </c>
      <c r="LO140" s="199" t="n">
        <f aca="false">LO$4*LO35</f>
        <v>0</v>
      </c>
      <c r="LP140" s="199" t="n">
        <f aca="false">LP$4*LP35</f>
        <v>0</v>
      </c>
      <c r="LQ140" s="199" t="n">
        <f aca="false">LQ$4*LQ35</f>
        <v>0</v>
      </c>
      <c r="LR140" s="199" t="n">
        <f aca="false">LR$4*LR35</f>
        <v>0</v>
      </c>
      <c r="LS140" s="199" t="n">
        <f aca="false">LS$4*LS35</f>
        <v>0</v>
      </c>
      <c r="LT140" s="200" t="n">
        <f aca="false">LT$4*LT35</f>
        <v>0</v>
      </c>
    </row>
    <row r="141" customFormat="false" ht="15" hidden="true" customHeight="false" outlineLevel="0" collapsed="false">
      <c r="C141" s="194" t="str">
        <f aca="false">C92</f>
        <v>Alumno31</v>
      </c>
      <c r="D141" s="198" t="n">
        <f aca="false">D$4*D36</f>
        <v>0</v>
      </c>
      <c r="E141" s="199" t="n">
        <f aca="false">E$4*E36</f>
        <v>0</v>
      </c>
      <c r="F141" s="199" t="n">
        <f aca="false">F$4*F36</f>
        <v>0</v>
      </c>
      <c r="G141" s="199" t="n">
        <f aca="false">G$4*G36</f>
        <v>0</v>
      </c>
      <c r="H141" s="199" t="n">
        <f aca="false">H$4*H36</f>
        <v>0</v>
      </c>
      <c r="I141" s="199" t="n">
        <f aca="false">I$4*I36</f>
        <v>0</v>
      </c>
      <c r="J141" s="199" t="n">
        <f aca="false">J$4*J36</f>
        <v>0</v>
      </c>
      <c r="K141" s="199" t="n">
        <f aca="false">K$4*K36</f>
        <v>0</v>
      </c>
      <c r="L141" s="199" t="n">
        <f aca="false">L$4*L36</f>
        <v>0</v>
      </c>
      <c r="M141" s="200" t="n">
        <f aca="false">M$4*M36</f>
        <v>0</v>
      </c>
      <c r="N141" s="194" t="str">
        <f aca="false">C141</f>
        <v>Alumno31</v>
      </c>
      <c r="O141" s="198" t="n">
        <f aca="false">O$4*O36</f>
        <v>0</v>
      </c>
      <c r="P141" s="199" t="n">
        <f aca="false">P$4*P36</f>
        <v>0</v>
      </c>
      <c r="Q141" s="199" t="n">
        <f aca="false">Q$4*Q36</f>
        <v>0</v>
      </c>
      <c r="R141" s="199" t="n">
        <f aca="false">R$4*R36</f>
        <v>0</v>
      </c>
      <c r="S141" s="199" t="n">
        <f aca="false">S$4*S36</f>
        <v>0</v>
      </c>
      <c r="T141" s="199" t="n">
        <f aca="false">T$4*T36</f>
        <v>0</v>
      </c>
      <c r="U141" s="199" t="n">
        <f aca="false">U$4*U36</f>
        <v>0</v>
      </c>
      <c r="V141" s="199" t="n">
        <f aca="false">V$4*V36</f>
        <v>0</v>
      </c>
      <c r="W141" s="199" t="n">
        <f aca="false">W$4*W36</f>
        <v>0</v>
      </c>
      <c r="X141" s="200" t="n">
        <f aca="false">X$4*X36</f>
        <v>0</v>
      </c>
      <c r="Y141" s="194" t="str">
        <f aca="false">N141</f>
        <v>Alumno31</v>
      </c>
      <c r="Z141" s="198" t="n">
        <f aca="false">Z$4*Z36</f>
        <v>0</v>
      </c>
      <c r="AA141" s="199" t="n">
        <f aca="false">AA$4*AA36</f>
        <v>0</v>
      </c>
      <c r="AB141" s="199" t="n">
        <f aca="false">AB$4*AB36</f>
        <v>0</v>
      </c>
      <c r="AC141" s="199" t="n">
        <f aca="false">AC$4*AC36</f>
        <v>0</v>
      </c>
      <c r="AD141" s="199" t="n">
        <f aca="false">AD$4*AD36</f>
        <v>0</v>
      </c>
      <c r="AE141" s="199" t="n">
        <f aca="false">AE$4*AE36</f>
        <v>0</v>
      </c>
      <c r="AF141" s="199" t="n">
        <f aca="false">AF$4*AF36</f>
        <v>0</v>
      </c>
      <c r="AG141" s="199" t="n">
        <f aca="false">AG$4*AG36</f>
        <v>0</v>
      </c>
      <c r="AH141" s="199" t="n">
        <f aca="false">AH$4*AH36</f>
        <v>0</v>
      </c>
      <c r="AI141" s="200" t="n">
        <f aca="false">AI$4*AI36</f>
        <v>0</v>
      </c>
      <c r="AJ141" s="194" t="str">
        <f aca="false">Y141</f>
        <v>Alumno31</v>
      </c>
      <c r="AK141" s="198" t="n">
        <f aca="false">AK$4*AK36</f>
        <v>0</v>
      </c>
      <c r="AL141" s="199" t="n">
        <f aca="false">AL$4*AL36</f>
        <v>0</v>
      </c>
      <c r="AM141" s="199" t="n">
        <f aca="false">AM$4*AM36</f>
        <v>0</v>
      </c>
      <c r="AN141" s="199" t="n">
        <f aca="false">AN$4*AN36</f>
        <v>0</v>
      </c>
      <c r="AO141" s="199" t="n">
        <f aca="false">AO$4*AO36</f>
        <v>0</v>
      </c>
      <c r="AP141" s="199" t="n">
        <f aca="false">AP$4*AP36</f>
        <v>0</v>
      </c>
      <c r="AQ141" s="199" t="n">
        <f aca="false">AQ$4*AQ36</f>
        <v>0</v>
      </c>
      <c r="AR141" s="199" t="n">
        <f aca="false">AR$4*AR36</f>
        <v>0</v>
      </c>
      <c r="AS141" s="199" t="n">
        <f aca="false">AS$4*AS36</f>
        <v>0</v>
      </c>
      <c r="AT141" s="200" t="n">
        <f aca="false">AT$4*AT36</f>
        <v>0</v>
      </c>
      <c r="AU141" s="194" t="str">
        <f aca="false">AJ141</f>
        <v>Alumno31</v>
      </c>
      <c r="AV141" s="198" t="n">
        <f aca="false">AV$4*AV36</f>
        <v>0</v>
      </c>
      <c r="AW141" s="199" t="n">
        <f aca="false">AW$4*AW36</f>
        <v>0</v>
      </c>
      <c r="AX141" s="199" t="n">
        <f aca="false">AX$4*AX36</f>
        <v>0</v>
      </c>
      <c r="AY141" s="199" t="n">
        <f aca="false">AY$4*AY36</f>
        <v>0</v>
      </c>
      <c r="AZ141" s="199" t="n">
        <f aca="false">AZ$4*AZ36</f>
        <v>0</v>
      </c>
      <c r="BA141" s="199" t="n">
        <f aca="false">BA$4*BA36</f>
        <v>0</v>
      </c>
      <c r="BB141" s="199" t="n">
        <f aca="false">BB$4*BB36</f>
        <v>0</v>
      </c>
      <c r="BC141" s="199" t="n">
        <f aca="false">BC$4*BC36</f>
        <v>0</v>
      </c>
      <c r="BD141" s="199" t="n">
        <f aca="false">BD$4*BD36</f>
        <v>0</v>
      </c>
      <c r="BE141" s="200" t="n">
        <f aca="false">BE$4*BE36</f>
        <v>0</v>
      </c>
      <c r="BF141" s="194" t="str">
        <f aca="false">AU141</f>
        <v>Alumno31</v>
      </c>
      <c r="BG141" s="198" t="n">
        <f aca="false">BG$4*BG36</f>
        <v>0</v>
      </c>
      <c r="BH141" s="199" t="n">
        <f aca="false">BH$4*BH36</f>
        <v>0</v>
      </c>
      <c r="BI141" s="199" t="n">
        <f aca="false">BI$4*BI36</f>
        <v>0</v>
      </c>
      <c r="BJ141" s="199" t="n">
        <f aca="false">BJ$4*BJ36</f>
        <v>0</v>
      </c>
      <c r="BK141" s="199" t="n">
        <f aca="false">BK$4*BK36</f>
        <v>0</v>
      </c>
      <c r="BL141" s="199" t="n">
        <f aca="false">BL$4*BL36</f>
        <v>0</v>
      </c>
      <c r="BM141" s="199" t="n">
        <f aca="false">BM$4*BM36</f>
        <v>0</v>
      </c>
      <c r="BN141" s="199" t="n">
        <f aca="false">BN$4*BN36</f>
        <v>0</v>
      </c>
      <c r="BO141" s="199" t="n">
        <f aca="false">BO$4*BO36</f>
        <v>0</v>
      </c>
      <c r="BP141" s="200" t="n">
        <f aca="false">BP$4*BP36</f>
        <v>0</v>
      </c>
      <c r="BQ141" s="194" t="str">
        <f aca="false">BF141</f>
        <v>Alumno31</v>
      </c>
      <c r="BR141" s="198" t="n">
        <f aca="false">BR$4*BR36</f>
        <v>0</v>
      </c>
      <c r="BS141" s="199" t="n">
        <f aca="false">BS$4*BS36</f>
        <v>0</v>
      </c>
      <c r="BT141" s="199" t="n">
        <f aca="false">BT$4*BT36</f>
        <v>0</v>
      </c>
      <c r="BU141" s="199" t="n">
        <f aca="false">BU$4*BU36</f>
        <v>0</v>
      </c>
      <c r="BV141" s="199" t="n">
        <f aca="false">BV$4*BV36</f>
        <v>0</v>
      </c>
      <c r="BW141" s="199" t="n">
        <f aca="false">BW$4*BW36</f>
        <v>0</v>
      </c>
      <c r="BX141" s="199" t="n">
        <f aca="false">BX$4*BX36</f>
        <v>0</v>
      </c>
      <c r="BY141" s="199" t="n">
        <f aca="false">BY$4*BY36</f>
        <v>0</v>
      </c>
      <c r="BZ141" s="199" t="n">
        <f aca="false">BZ$4*BZ36</f>
        <v>0</v>
      </c>
      <c r="CA141" s="200" t="n">
        <f aca="false">CA$4*CA36</f>
        <v>0</v>
      </c>
      <c r="CB141" s="194" t="str">
        <f aca="false">BQ141</f>
        <v>Alumno31</v>
      </c>
      <c r="CC141" s="198" t="n">
        <f aca="false">CC$4*CC36</f>
        <v>0</v>
      </c>
      <c r="CD141" s="199" t="n">
        <f aca="false">CD$4*CD36</f>
        <v>0</v>
      </c>
      <c r="CE141" s="199" t="n">
        <f aca="false">CE$4*CE36</f>
        <v>0</v>
      </c>
      <c r="CF141" s="199" t="n">
        <f aca="false">CF$4*CF36</f>
        <v>0</v>
      </c>
      <c r="CG141" s="199" t="n">
        <f aca="false">CG$4*CG36</f>
        <v>0</v>
      </c>
      <c r="CH141" s="199" t="n">
        <f aca="false">CH$4*CH36</f>
        <v>0</v>
      </c>
      <c r="CI141" s="199" t="n">
        <f aca="false">CI$4*CI36</f>
        <v>0</v>
      </c>
      <c r="CJ141" s="199" t="n">
        <f aca="false">CJ$4*CJ36</f>
        <v>0</v>
      </c>
      <c r="CK141" s="199" t="n">
        <f aca="false">CK$4*CK36</f>
        <v>0</v>
      </c>
      <c r="CL141" s="200" t="n">
        <f aca="false">CL$4*CL36</f>
        <v>0</v>
      </c>
      <c r="CM141" s="194" t="str">
        <f aca="false">CB141</f>
        <v>Alumno31</v>
      </c>
      <c r="CN141" s="198" t="n">
        <f aca="false">CN$4*CN36</f>
        <v>0</v>
      </c>
      <c r="CO141" s="199" t="n">
        <f aca="false">CO$4*CO36</f>
        <v>0</v>
      </c>
      <c r="CP141" s="199" t="n">
        <f aca="false">CP$4*CP36</f>
        <v>0</v>
      </c>
      <c r="CQ141" s="199" t="n">
        <f aca="false">CQ$4*CQ36</f>
        <v>0</v>
      </c>
      <c r="CR141" s="199" t="n">
        <f aca="false">CR$4*CR36</f>
        <v>0</v>
      </c>
      <c r="CS141" s="199" t="n">
        <f aca="false">CS$4*CS36</f>
        <v>0</v>
      </c>
      <c r="CT141" s="199" t="n">
        <f aca="false">CT$4*CT36</f>
        <v>0</v>
      </c>
      <c r="CU141" s="199" t="n">
        <f aca="false">CU$4*CU36</f>
        <v>0</v>
      </c>
      <c r="CV141" s="199" t="n">
        <f aca="false">CV$4*CV36</f>
        <v>0</v>
      </c>
      <c r="CW141" s="200" t="n">
        <f aca="false">CW$4*CW36</f>
        <v>0</v>
      </c>
      <c r="CX141" s="194" t="str">
        <f aca="false">CM141</f>
        <v>Alumno31</v>
      </c>
      <c r="CY141" s="198" t="n">
        <f aca="false">CY$4*CY36</f>
        <v>0</v>
      </c>
      <c r="CZ141" s="199" t="n">
        <f aca="false">CZ$4*CZ36</f>
        <v>0</v>
      </c>
      <c r="DA141" s="199" t="n">
        <f aca="false">DA$4*DA36</f>
        <v>0</v>
      </c>
      <c r="DB141" s="199" t="n">
        <f aca="false">DB$4*DB36</f>
        <v>0</v>
      </c>
      <c r="DC141" s="199" t="n">
        <f aca="false">DC$4*DC36</f>
        <v>0</v>
      </c>
      <c r="DD141" s="199" t="n">
        <f aca="false">DD$4*DD36</f>
        <v>0</v>
      </c>
      <c r="DE141" s="199" t="n">
        <f aca="false">DE$4*DE36</f>
        <v>0</v>
      </c>
      <c r="DF141" s="199" t="n">
        <f aca="false">DF$4*DF36</f>
        <v>0</v>
      </c>
      <c r="DG141" s="199" t="n">
        <f aca="false">DG$4*DG36</f>
        <v>0</v>
      </c>
      <c r="DH141" s="200" t="n">
        <f aca="false">DH$4*DH36</f>
        <v>0</v>
      </c>
      <c r="DI141" s="194" t="str">
        <f aca="false">CX141</f>
        <v>Alumno31</v>
      </c>
      <c r="DJ141" s="198" t="n">
        <f aca="false">DJ$4*DJ36</f>
        <v>0</v>
      </c>
      <c r="DK141" s="199" t="n">
        <f aca="false">DK$4*DK36</f>
        <v>0</v>
      </c>
      <c r="DL141" s="199" t="n">
        <f aca="false">DL$4*DL36</f>
        <v>0</v>
      </c>
      <c r="DM141" s="199" t="n">
        <f aca="false">DM$4*DM36</f>
        <v>0</v>
      </c>
      <c r="DN141" s="199" t="n">
        <f aca="false">DN$4*DN36</f>
        <v>0</v>
      </c>
      <c r="DO141" s="199" t="n">
        <f aca="false">DO$4*DO36</f>
        <v>0</v>
      </c>
      <c r="DP141" s="199" t="n">
        <f aca="false">DP$4*DP36</f>
        <v>0</v>
      </c>
      <c r="DQ141" s="199" t="n">
        <f aca="false">DQ$4*DQ36</f>
        <v>0</v>
      </c>
      <c r="DR141" s="199" t="n">
        <f aca="false">DR$4*DR36</f>
        <v>0</v>
      </c>
      <c r="DS141" s="200" t="n">
        <f aca="false">DS$4*DS36</f>
        <v>0</v>
      </c>
      <c r="DT141" s="194" t="str">
        <f aca="false">DI141</f>
        <v>Alumno31</v>
      </c>
      <c r="DU141" s="198" t="n">
        <f aca="false">DU$4*DU36</f>
        <v>0</v>
      </c>
      <c r="DV141" s="199" t="n">
        <f aca="false">DV$4*DV36</f>
        <v>0</v>
      </c>
      <c r="DW141" s="199" t="n">
        <f aca="false">DW$4*DW36</f>
        <v>0</v>
      </c>
      <c r="DX141" s="199" t="n">
        <f aca="false">DX$4*DX36</f>
        <v>0</v>
      </c>
      <c r="DY141" s="199" t="n">
        <f aca="false">DY$4*DY36</f>
        <v>0</v>
      </c>
      <c r="DZ141" s="199" t="n">
        <f aca="false">DZ$4*DZ36</f>
        <v>0</v>
      </c>
      <c r="EA141" s="199" t="n">
        <f aca="false">EA$4*EA36</f>
        <v>0</v>
      </c>
      <c r="EB141" s="199" t="n">
        <f aca="false">EB$4*EB36</f>
        <v>0</v>
      </c>
      <c r="EC141" s="199" t="n">
        <f aca="false">EC$4*EC36</f>
        <v>0</v>
      </c>
      <c r="ED141" s="200" t="n">
        <f aca="false">ED$4*ED36</f>
        <v>0</v>
      </c>
      <c r="EE141" s="194" t="str">
        <f aca="false">DT141</f>
        <v>Alumno31</v>
      </c>
      <c r="EF141" s="198" t="n">
        <f aca="false">EF$4*EF36</f>
        <v>0</v>
      </c>
      <c r="EG141" s="199" t="n">
        <f aca="false">EG$4*EG36</f>
        <v>0</v>
      </c>
      <c r="EH141" s="199" t="n">
        <f aca="false">EH$4*EH36</f>
        <v>0</v>
      </c>
      <c r="EI141" s="199" t="n">
        <f aca="false">EI$4*EI36</f>
        <v>0</v>
      </c>
      <c r="EJ141" s="199" t="n">
        <f aca="false">EJ$4*EJ36</f>
        <v>0</v>
      </c>
      <c r="EK141" s="199" t="n">
        <f aca="false">EK$4*EK36</f>
        <v>0</v>
      </c>
      <c r="EL141" s="199" t="n">
        <f aca="false">EL$4*EL36</f>
        <v>0</v>
      </c>
      <c r="EM141" s="199" t="n">
        <f aca="false">EM$4*EM36</f>
        <v>0</v>
      </c>
      <c r="EN141" s="199" t="n">
        <f aca="false">EN$4*EN36</f>
        <v>0</v>
      </c>
      <c r="EO141" s="200" t="n">
        <f aca="false">EO$4*EO36</f>
        <v>0</v>
      </c>
      <c r="EP141" s="194" t="str">
        <f aca="false">EE141</f>
        <v>Alumno31</v>
      </c>
      <c r="EQ141" s="198" t="n">
        <f aca="false">EQ$4*EQ36</f>
        <v>0</v>
      </c>
      <c r="ER141" s="199" t="n">
        <f aca="false">ER$4*ER36</f>
        <v>0</v>
      </c>
      <c r="ES141" s="199" t="n">
        <f aca="false">ES$4*ES36</f>
        <v>0</v>
      </c>
      <c r="ET141" s="199" t="n">
        <f aca="false">ET$4*ET36</f>
        <v>0</v>
      </c>
      <c r="EU141" s="199" t="n">
        <f aca="false">EU$4*EU36</f>
        <v>0</v>
      </c>
      <c r="EV141" s="199" t="n">
        <f aca="false">EV$4*EV36</f>
        <v>0</v>
      </c>
      <c r="EW141" s="199" t="n">
        <f aca="false">EW$4*EW36</f>
        <v>0</v>
      </c>
      <c r="EX141" s="199" t="n">
        <f aca="false">EX$4*EX36</f>
        <v>0</v>
      </c>
      <c r="EY141" s="199" t="n">
        <f aca="false">EY$4*EY36</f>
        <v>0</v>
      </c>
      <c r="EZ141" s="200" t="n">
        <f aca="false">EZ$4*EZ36</f>
        <v>0</v>
      </c>
      <c r="FA141" s="194" t="str">
        <f aca="false">EP141</f>
        <v>Alumno31</v>
      </c>
      <c r="FB141" s="198" t="n">
        <f aca="false">FB$4*FB36</f>
        <v>0</v>
      </c>
      <c r="FC141" s="199" t="n">
        <f aca="false">FC$4*FC36</f>
        <v>0</v>
      </c>
      <c r="FD141" s="199" t="n">
        <f aca="false">FD$4*FD36</f>
        <v>0</v>
      </c>
      <c r="FE141" s="199" t="n">
        <f aca="false">FE$4*FE36</f>
        <v>0</v>
      </c>
      <c r="FF141" s="199" t="n">
        <f aca="false">FF$4*FF36</f>
        <v>0</v>
      </c>
      <c r="FG141" s="199" t="n">
        <f aca="false">FG$4*FG36</f>
        <v>0</v>
      </c>
      <c r="FH141" s="199" t="n">
        <f aca="false">FH$4*FH36</f>
        <v>0</v>
      </c>
      <c r="FI141" s="199" t="n">
        <f aca="false">FI$4*FI36</f>
        <v>0</v>
      </c>
      <c r="FJ141" s="199" t="n">
        <f aca="false">FJ$4*FJ36</f>
        <v>0</v>
      </c>
      <c r="FK141" s="200" t="n">
        <f aca="false">FK$4*FK36</f>
        <v>0</v>
      </c>
      <c r="FL141" s="194" t="str">
        <f aca="false">FA141</f>
        <v>Alumno31</v>
      </c>
      <c r="FM141" s="198" t="n">
        <f aca="false">FM$4*FM36</f>
        <v>0</v>
      </c>
      <c r="FN141" s="199" t="n">
        <f aca="false">FN$4*FN36</f>
        <v>0</v>
      </c>
      <c r="FO141" s="199" t="n">
        <f aca="false">FO$4*FO36</f>
        <v>0</v>
      </c>
      <c r="FP141" s="199" t="n">
        <f aca="false">FP$4*FP36</f>
        <v>0</v>
      </c>
      <c r="FQ141" s="199" t="n">
        <f aca="false">FQ$4*FQ36</f>
        <v>0</v>
      </c>
      <c r="FR141" s="199" t="n">
        <f aca="false">FR$4*FR36</f>
        <v>0</v>
      </c>
      <c r="FS141" s="199" t="n">
        <f aca="false">FS$4*FS36</f>
        <v>0</v>
      </c>
      <c r="FT141" s="199" t="n">
        <f aca="false">FT$4*FT36</f>
        <v>0</v>
      </c>
      <c r="FU141" s="199" t="n">
        <f aca="false">FU$4*FU36</f>
        <v>0</v>
      </c>
      <c r="FV141" s="200" t="n">
        <f aca="false">FV$4*FV36</f>
        <v>0</v>
      </c>
      <c r="FW141" s="194" t="str">
        <f aca="false">FL141</f>
        <v>Alumno31</v>
      </c>
      <c r="FX141" s="198" t="n">
        <f aca="false">FX$4*FX36</f>
        <v>0</v>
      </c>
      <c r="FY141" s="199" t="n">
        <f aca="false">FY$4*FY36</f>
        <v>0</v>
      </c>
      <c r="FZ141" s="199" t="n">
        <f aca="false">FZ$4*FZ36</f>
        <v>0</v>
      </c>
      <c r="GA141" s="199" t="n">
        <f aca="false">GA$4*GA36</f>
        <v>0</v>
      </c>
      <c r="GB141" s="199" t="n">
        <f aca="false">GB$4*GB36</f>
        <v>0</v>
      </c>
      <c r="GC141" s="199" t="n">
        <f aca="false">GC$4*GC36</f>
        <v>0</v>
      </c>
      <c r="GD141" s="199" t="n">
        <f aca="false">GD$4*GD36</f>
        <v>0</v>
      </c>
      <c r="GE141" s="199" t="n">
        <f aca="false">GE$4*GE36</f>
        <v>0</v>
      </c>
      <c r="GF141" s="199" t="n">
        <f aca="false">GF$4*GF36</f>
        <v>0</v>
      </c>
      <c r="GG141" s="200" t="n">
        <f aca="false">GG$4*GG36</f>
        <v>0</v>
      </c>
      <c r="GH141" s="194" t="str">
        <f aca="false">FW141</f>
        <v>Alumno31</v>
      </c>
      <c r="GI141" s="198" t="n">
        <f aca="false">GI$4*GI36</f>
        <v>0</v>
      </c>
      <c r="GJ141" s="199" t="n">
        <f aca="false">GJ$4*GJ36</f>
        <v>0</v>
      </c>
      <c r="GK141" s="199" t="n">
        <f aca="false">GK$4*GK36</f>
        <v>0</v>
      </c>
      <c r="GL141" s="199" t="n">
        <f aca="false">GL$4*GL36</f>
        <v>0</v>
      </c>
      <c r="GM141" s="199" t="n">
        <f aca="false">GM$4*GM36</f>
        <v>0</v>
      </c>
      <c r="GN141" s="199" t="n">
        <f aca="false">GN$4*GN36</f>
        <v>0</v>
      </c>
      <c r="GO141" s="199" t="n">
        <f aca="false">GO$4*GO36</f>
        <v>0</v>
      </c>
      <c r="GP141" s="199" t="n">
        <f aca="false">GP$4*GP36</f>
        <v>0</v>
      </c>
      <c r="GQ141" s="199" t="n">
        <f aca="false">GQ$4*GQ36</f>
        <v>0</v>
      </c>
      <c r="GR141" s="200" t="n">
        <f aca="false">GR$4*GR36</f>
        <v>0</v>
      </c>
      <c r="GS141" s="194" t="str">
        <f aca="false">GH141</f>
        <v>Alumno31</v>
      </c>
      <c r="GT141" s="198" t="n">
        <f aca="false">GT$4*GT36</f>
        <v>0</v>
      </c>
      <c r="GU141" s="199" t="n">
        <f aca="false">GU$4*GU36</f>
        <v>0</v>
      </c>
      <c r="GV141" s="199" t="n">
        <f aca="false">GV$4*GV36</f>
        <v>0</v>
      </c>
      <c r="GW141" s="199" t="n">
        <f aca="false">GW$4*GW36</f>
        <v>0</v>
      </c>
      <c r="GX141" s="199" t="n">
        <f aca="false">GX$4*GX36</f>
        <v>0</v>
      </c>
      <c r="GY141" s="199" t="n">
        <f aca="false">GY$4*GY36</f>
        <v>0</v>
      </c>
      <c r="GZ141" s="199" t="n">
        <f aca="false">GZ$4*GZ36</f>
        <v>0</v>
      </c>
      <c r="HA141" s="199" t="n">
        <f aca="false">HA$4*HA36</f>
        <v>0</v>
      </c>
      <c r="HB141" s="199" t="n">
        <f aca="false">HB$4*HB36</f>
        <v>0</v>
      </c>
      <c r="HC141" s="200" t="n">
        <f aca="false">HC$4*HC36</f>
        <v>0</v>
      </c>
      <c r="HD141" s="194" t="str">
        <f aca="false">GS141</f>
        <v>Alumno31</v>
      </c>
      <c r="HE141" s="198" t="n">
        <f aca="false">HE$4*HE36</f>
        <v>0</v>
      </c>
      <c r="HF141" s="199" t="n">
        <f aca="false">HF$4*HF36</f>
        <v>0</v>
      </c>
      <c r="HG141" s="199" t="n">
        <f aca="false">HG$4*HG36</f>
        <v>0</v>
      </c>
      <c r="HH141" s="199" t="n">
        <f aca="false">HH$4*HH36</f>
        <v>0</v>
      </c>
      <c r="HI141" s="199" t="n">
        <f aca="false">HI$4*HI36</f>
        <v>0</v>
      </c>
      <c r="HJ141" s="199" t="n">
        <f aca="false">HJ$4*HJ36</f>
        <v>0</v>
      </c>
      <c r="HK141" s="199" t="n">
        <f aca="false">HK$4*HK36</f>
        <v>0</v>
      </c>
      <c r="HL141" s="199" t="n">
        <f aca="false">HL$4*HL36</f>
        <v>0</v>
      </c>
      <c r="HM141" s="199" t="n">
        <f aca="false">HM$4*HM36</f>
        <v>0</v>
      </c>
      <c r="HN141" s="200" t="n">
        <f aca="false">HN$4*HN36</f>
        <v>0</v>
      </c>
      <c r="HO141" s="194" t="str">
        <f aca="false">HD141</f>
        <v>Alumno31</v>
      </c>
      <c r="HP141" s="198" t="n">
        <f aca="false">HP$4*HP36</f>
        <v>0</v>
      </c>
      <c r="HQ141" s="199" t="n">
        <f aca="false">HQ$4*HQ36</f>
        <v>0</v>
      </c>
      <c r="HR141" s="199" t="n">
        <f aca="false">HR$4*HR36</f>
        <v>0</v>
      </c>
      <c r="HS141" s="199" t="n">
        <f aca="false">HS$4*HS36</f>
        <v>0</v>
      </c>
      <c r="HT141" s="199" t="n">
        <f aca="false">HT$4*HT36</f>
        <v>0</v>
      </c>
      <c r="HU141" s="199" t="n">
        <f aca="false">HU$4*HU36</f>
        <v>0</v>
      </c>
      <c r="HV141" s="199" t="n">
        <f aca="false">HV$4*HV36</f>
        <v>0</v>
      </c>
      <c r="HW141" s="199" t="n">
        <f aca="false">HW$4*HW36</f>
        <v>0</v>
      </c>
      <c r="HX141" s="199" t="n">
        <f aca="false">HX$4*HX36</f>
        <v>0</v>
      </c>
      <c r="HY141" s="200" t="n">
        <f aca="false">HY$4*HY36</f>
        <v>0</v>
      </c>
      <c r="HZ141" s="194" t="str">
        <f aca="false">HO141</f>
        <v>Alumno31</v>
      </c>
      <c r="IA141" s="198" t="n">
        <f aca="false">IA$4*IA36</f>
        <v>0</v>
      </c>
      <c r="IB141" s="199" t="n">
        <f aca="false">IB$4*IB36</f>
        <v>0</v>
      </c>
      <c r="IC141" s="199" t="n">
        <f aca="false">IC$4*IC36</f>
        <v>0</v>
      </c>
      <c r="ID141" s="199" t="n">
        <f aca="false">ID$4*ID36</f>
        <v>0</v>
      </c>
      <c r="IE141" s="199" t="n">
        <f aca="false">IE$4*IE36</f>
        <v>0</v>
      </c>
      <c r="IF141" s="199" t="n">
        <f aca="false">IF$4*IF36</f>
        <v>0</v>
      </c>
      <c r="IG141" s="199" t="n">
        <f aca="false">IG$4*IG36</f>
        <v>0</v>
      </c>
      <c r="IH141" s="199" t="n">
        <f aca="false">IH$4*IH36</f>
        <v>0</v>
      </c>
      <c r="II141" s="199" t="n">
        <f aca="false">II$4*II36</f>
        <v>0</v>
      </c>
      <c r="IJ141" s="200" t="n">
        <f aca="false">IJ$4*IJ36</f>
        <v>0</v>
      </c>
      <c r="IK141" s="194" t="str">
        <f aca="false">HZ141</f>
        <v>Alumno31</v>
      </c>
      <c r="IL141" s="198" t="n">
        <f aca="false">IL$4*IL36</f>
        <v>0</v>
      </c>
      <c r="IM141" s="199" t="n">
        <f aca="false">IM$4*IM36</f>
        <v>0</v>
      </c>
      <c r="IN141" s="199" t="n">
        <f aca="false">IN$4*IN36</f>
        <v>0</v>
      </c>
      <c r="IO141" s="199" t="n">
        <f aca="false">IO$4*IO36</f>
        <v>0</v>
      </c>
      <c r="IP141" s="199" t="n">
        <f aca="false">IP$4*IP36</f>
        <v>0</v>
      </c>
      <c r="IQ141" s="199" t="n">
        <f aca="false">IQ$4*IQ36</f>
        <v>0</v>
      </c>
      <c r="IR141" s="199" t="n">
        <f aca="false">IR$4*IR36</f>
        <v>0</v>
      </c>
      <c r="IS141" s="199" t="n">
        <f aca="false">IS$4*IS36</f>
        <v>0</v>
      </c>
      <c r="IT141" s="199" t="n">
        <f aca="false">IT$4*IT36</f>
        <v>0</v>
      </c>
      <c r="IU141" s="200" t="n">
        <f aca="false">IU$4*IU36</f>
        <v>0</v>
      </c>
      <c r="IV141" s="194" t="str">
        <f aca="false">IK141</f>
        <v>Alumno31</v>
      </c>
      <c r="IW141" s="198" t="n">
        <f aca="false">IW$4*IW36</f>
        <v>0</v>
      </c>
      <c r="IX141" s="199" t="n">
        <f aca="false">IX$4*IX36</f>
        <v>0</v>
      </c>
      <c r="IY141" s="199" t="n">
        <f aca="false">IY$4*IY36</f>
        <v>0</v>
      </c>
      <c r="IZ141" s="199" t="n">
        <f aca="false">IZ$4*IZ36</f>
        <v>0</v>
      </c>
      <c r="JA141" s="199" t="n">
        <f aca="false">JA$4*JA36</f>
        <v>0</v>
      </c>
      <c r="JB141" s="199" t="n">
        <f aca="false">JB$4*JB36</f>
        <v>0</v>
      </c>
      <c r="JC141" s="199" t="n">
        <f aca="false">JC$4*JC36</f>
        <v>0</v>
      </c>
      <c r="JD141" s="199" t="n">
        <f aca="false">JD$4*JD36</f>
        <v>0</v>
      </c>
      <c r="JE141" s="199" t="n">
        <f aca="false">JE$4*JE36</f>
        <v>0</v>
      </c>
      <c r="JF141" s="200" t="n">
        <f aca="false">JF$4*JF36</f>
        <v>0</v>
      </c>
      <c r="JG141" s="194" t="str">
        <f aca="false">IV141</f>
        <v>Alumno31</v>
      </c>
      <c r="JH141" s="198" t="n">
        <f aca="false">JH$4*JH36</f>
        <v>0</v>
      </c>
      <c r="JI141" s="199" t="n">
        <f aca="false">JI$4*JI36</f>
        <v>0</v>
      </c>
      <c r="JJ141" s="199" t="n">
        <f aca="false">JJ$4*JJ36</f>
        <v>0</v>
      </c>
      <c r="JK141" s="199" t="n">
        <f aca="false">JK$4*JK36</f>
        <v>0</v>
      </c>
      <c r="JL141" s="199" t="n">
        <f aca="false">JL$4*JL36</f>
        <v>0</v>
      </c>
      <c r="JM141" s="199" t="n">
        <f aca="false">JM$4*JM36</f>
        <v>0</v>
      </c>
      <c r="JN141" s="199" t="n">
        <f aca="false">JN$4*JN36</f>
        <v>0</v>
      </c>
      <c r="JO141" s="199" t="n">
        <f aca="false">JO$4*JO36</f>
        <v>0</v>
      </c>
      <c r="JP141" s="199" t="n">
        <f aca="false">JP$4*JP36</f>
        <v>0</v>
      </c>
      <c r="JQ141" s="200" t="n">
        <f aca="false">JQ$4*JQ36</f>
        <v>0</v>
      </c>
      <c r="JR141" s="194" t="str">
        <f aca="false">JG141</f>
        <v>Alumno31</v>
      </c>
      <c r="JS141" s="198" t="n">
        <f aca="false">JS$4*JS36</f>
        <v>0</v>
      </c>
      <c r="JT141" s="199" t="n">
        <f aca="false">JT$4*JT36</f>
        <v>0</v>
      </c>
      <c r="JU141" s="199" t="n">
        <f aca="false">JU$4*JU36</f>
        <v>0</v>
      </c>
      <c r="JV141" s="199" t="n">
        <f aca="false">JV$4*JV36</f>
        <v>0</v>
      </c>
      <c r="JW141" s="199" t="n">
        <f aca="false">JW$4*JW36</f>
        <v>0</v>
      </c>
      <c r="JX141" s="199" t="n">
        <f aca="false">JX$4*JX36</f>
        <v>0</v>
      </c>
      <c r="JY141" s="199" t="n">
        <f aca="false">JY$4*JY36</f>
        <v>0</v>
      </c>
      <c r="JZ141" s="199" t="n">
        <f aca="false">JZ$4*JZ36</f>
        <v>0</v>
      </c>
      <c r="KA141" s="199" t="n">
        <f aca="false">KA$4*KA36</f>
        <v>0</v>
      </c>
      <c r="KB141" s="200" t="n">
        <f aca="false">KB$4*KB36</f>
        <v>0</v>
      </c>
      <c r="KC141" s="194" t="str">
        <f aca="false">JR141</f>
        <v>Alumno31</v>
      </c>
      <c r="KD141" s="198" t="n">
        <f aca="false">KD$4*KD36</f>
        <v>0</v>
      </c>
      <c r="KE141" s="199" t="n">
        <f aca="false">KE$4*KE36</f>
        <v>0</v>
      </c>
      <c r="KF141" s="199" t="n">
        <f aca="false">KF$4*KF36</f>
        <v>0</v>
      </c>
      <c r="KG141" s="199" t="n">
        <f aca="false">KG$4*KG36</f>
        <v>0</v>
      </c>
      <c r="KH141" s="199" t="n">
        <f aca="false">KH$4*KH36</f>
        <v>0</v>
      </c>
      <c r="KI141" s="199" t="n">
        <f aca="false">KI$4*KI36</f>
        <v>0</v>
      </c>
      <c r="KJ141" s="199" t="n">
        <f aca="false">KJ$4*KJ36</f>
        <v>0</v>
      </c>
      <c r="KK141" s="199" t="n">
        <f aca="false">KK$4*KK36</f>
        <v>0</v>
      </c>
      <c r="KL141" s="199" t="n">
        <f aca="false">KL$4*KL36</f>
        <v>0</v>
      </c>
      <c r="KM141" s="200" t="n">
        <f aca="false">KM$4*KM36</f>
        <v>0</v>
      </c>
      <c r="KN141" s="194" t="str">
        <f aca="false">KC141</f>
        <v>Alumno31</v>
      </c>
      <c r="KO141" s="198" t="n">
        <f aca="false">KO$4*KO36</f>
        <v>0</v>
      </c>
      <c r="KP141" s="199" t="n">
        <f aca="false">KP$4*KP36</f>
        <v>0</v>
      </c>
      <c r="KQ141" s="199" t="n">
        <f aca="false">KQ$4*KQ36</f>
        <v>0</v>
      </c>
      <c r="KR141" s="199" t="n">
        <f aca="false">KR$4*KR36</f>
        <v>0</v>
      </c>
      <c r="KS141" s="199" t="n">
        <f aca="false">KS$4*KS36</f>
        <v>0</v>
      </c>
      <c r="KT141" s="199" t="n">
        <f aca="false">KT$4*KT36</f>
        <v>0</v>
      </c>
      <c r="KU141" s="199" t="n">
        <f aca="false">KU$4*KU36</f>
        <v>0</v>
      </c>
      <c r="KV141" s="199" t="n">
        <f aca="false">KV$4*KV36</f>
        <v>0</v>
      </c>
      <c r="KW141" s="199" t="n">
        <f aca="false">KW$4*KW36</f>
        <v>0</v>
      </c>
      <c r="KX141" s="200" t="n">
        <f aca="false">KX$4*KX36</f>
        <v>0</v>
      </c>
      <c r="KY141" s="194" t="str">
        <f aca="false">KN141</f>
        <v>Alumno31</v>
      </c>
      <c r="KZ141" s="198" t="n">
        <f aca="false">KZ$4*KZ36</f>
        <v>0</v>
      </c>
      <c r="LA141" s="199" t="n">
        <f aca="false">LA$4*LA36</f>
        <v>0</v>
      </c>
      <c r="LB141" s="199" t="n">
        <f aca="false">LB$4*LB36</f>
        <v>0</v>
      </c>
      <c r="LC141" s="199" t="n">
        <f aca="false">LC$4*LC36</f>
        <v>0</v>
      </c>
      <c r="LD141" s="199" t="n">
        <f aca="false">LD$4*LD36</f>
        <v>0</v>
      </c>
      <c r="LE141" s="199" t="n">
        <f aca="false">LE$4*LE36</f>
        <v>0</v>
      </c>
      <c r="LF141" s="199" t="n">
        <f aca="false">LF$4*LF36</f>
        <v>0</v>
      </c>
      <c r="LG141" s="199" t="n">
        <f aca="false">LG$4*LG36</f>
        <v>0</v>
      </c>
      <c r="LH141" s="199" t="n">
        <f aca="false">LH$4*LH36</f>
        <v>0</v>
      </c>
      <c r="LI141" s="200" t="n">
        <f aca="false">LI$4*LI36</f>
        <v>0</v>
      </c>
      <c r="LJ141" s="194" t="str">
        <f aca="false">KY141</f>
        <v>Alumno31</v>
      </c>
      <c r="LK141" s="198" t="n">
        <f aca="false">LK$4*LK36</f>
        <v>0</v>
      </c>
      <c r="LL141" s="199" t="n">
        <f aca="false">LL$4*LL36</f>
        <v>0</v>
      </c>
      <c r="LM141" s="199" t="n">
        <f aca="false">LM$4*LM36</f>
        <v>0</v>
      </c>
      <c r="LN141" s="199" t="n">
        <f aca="false">LN$4*LN36</f>
        <v>0</v>
      </c>
      <c r="LO141" s="199" t="n">
        <f aca="false">LO$4*LO36</f>
        <v>0</v>
      </c>
      <c r="LP141" s="199" t="n">
        <f aca="false">LP$4*LP36</f>
        <v>0</v>
      </c>
      <c r="LQ141" s="199" t="n">
        <f aca="false">LQ$4*LQ36</f>
        <v>0</v>
      </c>
      <c r="LR141" s="199" t="n">
        <f aca="false">LR$4*LR36</f>
        <v>0</v>
      </c>
      <c r="LS141" s="199" t="n">
        <f aca="false">LS$4*LS36</f>
        <v>0</v>
      </c>
      <c r="LT141" s="200" t="n">
        <f aca="false">LT$4*LT36</f>
        <v>0</v>
      </c>
    </row>
    <row r="142" customFormat="false" ht="15" hidden="true" customHeight="false" outlineLevel="0" collapsed="false">
      <c r="C142" s="194" t="str">
        <f aca="false">C93</f>
        <v>Alumno32</v>
      </c>
      <c r="D142" s="198" t="n">
        <f aca="false">D$4*D37</f>
        <v>0</v>
      </c>
      <c r="E142" s="199" t="n">
        <f aca="false">E$4*E37</f>
        <v>0</v>
      </c>
      <c r="F142" s="199" t="n">
        <f aca="false">F$4*F37</f>
        <v>0</v>
      </c>
      <c r="G142" s="199" t="n">
        <f aca="false">G$4*G37</f>
        <v>0</v>
      </c>
      <c r="H142" s="199" t="n">
        <f aca="false">H$4*H37</f>
        <v>0</v>
      </c>
      <c r="I142" s="199" t="n">
        <f aca="false">I$4*I37</f>
        <v>0</v>
      </c>
      <c r="J142" s="199" t="n">
        <f aca="false">J$4*J37</f>
        <v>0</v>
      </c>
      <c r="K142" s="199" t="n">
        <f aca="false">K$4*K37</f>
        <v>0</v>
      </c>
      <c r="L142" s="199" t="n">
        <f aca="false">L$4*L37</f>
        <v>0</v>
      </c>
      <c r="M142" s="200" t="n">
        <f aca="false">M$4*M37</f>
        <v>0</v>
      </c>
      <c r="N142" s="194" t="str">
        <f aca="false">C142</f>
        <v>Alumno32</v>
      </c>
      <c r="O142" s="198" t="n">
        <f aca="false">O$4*O37</f>
        <v>0</v>
      </c>
      <c r="P142" s="199" t="n">
        <f aca="false">P$4*P37</f>
        <v>0</v>
      </c>
      <c r="Q142" s="199" t="n">
        <f aca="false">Q$4*Q37</f>
        <v>0</v>
      </c>
      <c r="R142" s="199" t="n">
        <f aca="false">R$4*R37</f>
        <v>0</v>
      </c>
      <c r="S142" s="199" t="n">
        <f aca="false">S$4*S37</f>
        <v>0</v>
      </c>
      <c r="T142" s="199" t="n">
        <f aca="false">T$4*T37</f>
        <v>0</v>
      </c>
      <c r="U142" s="199" t="n">
        <f aca="false">U$4*U37</f>
        <v>0</v>
      </c>
      <c r="V142" s="199" t="n">
        <f aca="false">V$4*V37</f>
        <v>0</v>
      </c>
      <c r="W142" s="199" t="n">
        <f aca="false">W$4*W37</f>
        <v>0</v>
      </c>
      <c r="X142" s="200" t="n">
        <f aca="false">X$4*X37</f>
        <v>0</v>
      </c>
      <c r="Y142" s="194" t="str">
        <f aca="false">N142</f>
        <v>Alumno32</v>
      </c>
      <c r="Z142" s="198" t="n">
        <f aca="false">Z$4*Z37</f>
        <v>0</v>
      </c>
      <c r="AA142" s="199" t="n">
        <f aca="false">AA$4*AA37</f>
        <v>0</v>
      </c>
      <c r="AB142" s="199" t="n">
        <f aca="false">AB$4*AB37</f>
        <v>0</v>
      </c>
      <c r="AC142" s="199" t="n">
        <f aca="false">AC$4*AC37</f>
        <v>0</v>
      </c>
      <c r="AD142" s="199" t="n">
        <f aca="false">AD$4*AD37</f>
        <v>0</v>
      </c>
      <c r="AE142" s="199" t="n">
        <f aca="false">AE$4*AE37</f>
        <v>0</v>
      </c>
      <c r="AF142" s="199" t="n">
        <f aca="false">AF$4*AF37</f>
        <v>0</v>
      </c>
      <c r="AG142" s="199" t="n">
        <f aca="false">AG$4*AG37</f>
        <v>0</v>
      </c>
      <c r="AH142" s="199" t="n">
        <f aca="false">AH$4*AH37</f>
        <v>0</v>
      </c>
      <c r="AI142" s="200" t="n">
        <f aca="false">AI$4*AI37</f>
        <v>0</v>
      </c>
      <c r="AJ142" s="194" t="str">
        <f aca="false">Y142</f>
        <v>Alumno32</v>
      </c>
      <c r="AK142" s="198" t="n">
        <f aca="false">AK$4*AK37</f>
        <v>0</v>
      </c>
      <c r="AL142" s="199" t="n">
        <f aca="false">AL$4*AL37</f>
        <v>0</v>
      </c>
      <c r="AM142" s="199" t="n">
        <f aca="false">AM$4*AM37</f>
        <v>0</v>
      </c>
      <c r="AN142" s="199" t="n">
        <f aca="false">AN$4*AN37</f>
        <v>0</v>
      </c>
      <c r="AO142" s="199" t="n">
        <f aca="false">AO$4*AO37</f>
        <v>0</v>
      </c>
      <c r="AP142" s="199" t="n">
        <f aca="false">AP$4*AP37</f>
        <v>0</v>
      </c>
      <c r="AQ142" s="199" t="n">
        <f aca="false">AQ$4*AQ37</f>
        <v>0</v>
      </c>
      <c r="AR142" s="199" t="n">
        <f aca="false">AR$4*AR37</f>
        <v>0</v>
      </c>
      <c r="AS142" s="199" t="n">
        <f aca="false">AS$4*AS37</f>
        <v>0</v>
      </c>
      <c r="AT142" s="200" t="n">
        <f aca="false">AT$4*AT37</f>
        <v>0</v>
      </c>
      <c r="AU142" s="194" t="str">
        <f aca="false">AJ142</f>
        <v>Alumno32</v>
      </c>
      <c r="AV142" s="198" t="n">
        <f aca="false">AV$4*AV37</f>
        <v>0</v>
      </c>
      <c r="AW142" s="199" t="n">
        <f aca="false">AW$4*AW37</f>
        <v>0</v>
      </c>
      <c r="AX142" s="199" t="n">
        <f aca="false">AX$4*AX37</f>
        <v>0</v>
      </c>
      <c r="AY142" s="199" t="n">
        <f aca="false">AY$4*AY37</f>
        <v>0</v>
      </c>
      <c r="AZ142" s="199" t="n">
        <f aca="false">AZ$4*AZ37</f>
        <v>0</v>
      </c>
      <c r="BA142" s="199" t="n">
        <f aca="false">BA$4*BA37</f>
        <v>0</v>
      </c>
      <c r="BB142" s="199" t="n">
        <f aca="false">BB$4*BB37</f>
        <v>0</v>
      </c>
      <c r="BC142" s="199" t="n">
        <f aca="false">BC$4*BC37</f>
        <v>0</v>
      </c>
      <c r="BD142" s="199" t="n">
        <f aca="false">BD$4*BD37</f>
        <v>0</v>
      </c>
      <c r="BE142" s="200" t="n">
        <f aca="false">BE$4*BE37</f>
        <v>0</v>
      </c>
      <c r="BF142" s="194" t="str">
        <f aca="false">AU142</f>
        <v>Alumno32</v>
      </c>
      <c r="BG142" s="198" t="n">
        <f aca="false">BG$4*BG37</f>
        <v>0</v>
      </c>
      <c r="BH142" s="199" t="n">
        <f aca="false">BH$4*BH37</f>
        <v>0</v>
      </c>
      <c r="BI142" s="199" t="n">
        <f aca="false">BI$4*BI37</f>
        <v>0</v>
      </c>
      <c r="BJ142" s="199" t="n">
        <f aca="false">BJ$4*BJ37</f>
        <v>0</v>
      </c>
      <c r="BK142" s="199" t="n">
        <f aca="false">BK$4*BK37</f>
        <v>0</v>
      </c>
      <c r="BL142" s="199" t="n">
        <f aca="false">BL$4*BL37</f>
        <v>0</v>
      </c>
      <c r="BM142" s="199" t="n">
        <f aca="false">BM$4*BM37</f>
        <v>0</v>
      </c>
      <c r="BN142" s="199" t="n">
        <f aca="false">BN$4*BN37</f>
        <v>0</v>
      </c>
      <c r="BO142" s="199" t="n">
        <f aca="false">BO$4*BO37</f>
        <v>0</v>
      </c>
      <c r="BP142" s="200" t="n">
        <f aca="false">BP$4*BP37</f>
        <v>0</v>
      </c>
      <c r="BQ142" s="194" t="str">
        <f aca="false">BF142</f>
        <v>Alumno32</v>
      </c>
      <c r="BR142" s="198" t="n">
        <f aca="false">BR$4*BR37</f>
        <v>0</v>
      </c>
      <c r="BS142" s="199" t="n">
        <f aca="false">BS$4*BS37</f>
        <v>0</v>
      </c>
      <c r="BT142" s="199" t="n">
        <f aca="false">BT$4*BT37</f>
        <v>0</v>
      </c>
      <c r="BU142" s="199" t="n">
        <f aca="false">BU$4*BU37</f>
        <v>0</v>
      </c>
      <c r="BV142" s="199" t="n">
        <f aca="false">BV$4*BV37</f>
        <v>0</v>
      </c>
      <c r="BW142" s="199" t="n">
        <f aca="false">BW$4*BW37</f>
        <v>0</v>
      </c>
      <c r="BX142" s="199" t="n">
        <f aca="false">BX$4*BX37</f>
        <v>0</v>
      </c>
      <c r="BY142" s="199" t="n">
        <f aca="false">BY$4*BY37</f>
        <v>0</v>
      </c>
      <c r="BZ142" s="199" t="n">
        <f aca="false">BZ$4*BZ37</f>
        <v>0</v>
      </c>
      <c r="CA142" s="200" t="n">
        <f aca="false">CA$4*CA37</f>
        <v>0</v>
      </c>
      <c r="CB142" s="194" t="str">
        <f aca="false">BQ142</f>
        <v>Alumno32</v>
      </c>
      <c r="CC142" s="198" t="n">
        <f aca="false">CC$4*CC37</f>
        <v>0</v>
      </c>
      <c r="CD142" s="199" t="n">
        <f aca="false">CD$4*CD37</f>
        <v>0</v>
      </c>
      <c r="CE142" s="199" t="n">
        <f aca="false">CE$4*CE37</f>
        <v>0</v>
      </c>
      <c r="CF142" s="199" t="n">
        <f aca="false">CF$4*CF37</f>
        <v>0</v>
      </c>
      <c r="CG142" s="199" t="n">
        <f aca="false">CG$4*CG37</f>
        <v>0</v>
      </c>
      <c r="CH142" s="199" t="n">
        <f aca="false">CH$4*CH37</f>
        <v>0</v>
      </c>
      <c r="CI142" s="199" t="n">
        <f aca="false">CI$4*CI37</f>
        <v>0</v>
      </c>
      <c r="CJ142" s="199" t="n">
        <f aca="false">CJ$4*CJ37</f>
        <v>0</v>
      </c>
      <c r="CK142" s="199" t="n">
        <f aca="false">CK$4*CK37</f>
        <v>0</v>
      </c>
      <c r="CL142" s="200" t="n">
        <f aca="false">CL$4*CL37</f>
        <v>0</v>
      </c>
      <c r="CM142" s="194" t="str">
        <f aca="false">CB142</f>
        <v>Alumno32</v>
      </c>
      <c r="CN142" s="198" t="n">
        <f aca="false">CN$4*CN37</f>
        <v>0</v>
      </c>
      <c r="CO142" s="199" t="n">
        <f aca="false">CO$4*CO37</f>
        <v>0</v>
      </c>
      <c r="CP142" s="199" t="n">
        <f aca="false">CP$4*CP37</f>
        <v>0</v>
      </c>
      <c r="CQ142" s="199" t="n">
        <f aca="false">CQ$4*CQ37</f>
        <v>0</v>
      </c>
      <c r="CR142" s="199" t="n">
        <f aca="false">CR$4*CR37</f>
        <v>0</v>
      </c>
      <c r="CS142" s="199" t="n">
        <f aca="false">CS$4*CS37</f>
        <v>0</v>
      </c>
      <c r="CT142" s="199" t="n">
        <f aca="false">CT$4*CT37</f>
        <v>0</v>
      </c>
      <c r="CU142" s="199" t="n">
        <f aca="false">CU$4*CU37</f>
        <v>0</v>
      </c>
      <c r="CV142" s="199" t="n">
        <f aca="false">CV$4*CV37</f>
        <v>0</v>
      </c>
      <c r="CW142" s="200" t="n">
        <f aca="false">CW$4*CW37</f>
        <v>0</v>
      </c>
      <c r="CX142" s="194" t="str">
        <f aca="false">CM142</f>
        <v>Alumno32</v>
      </c>
      <c r="CY142" s="198" t="n">
        <f aca="false">CY$4*CY37</f>
        <v>0</v>
      </c>
      <c r="CZ142" s="199" t="n">
        <f aca="false">CZ$4*CZ37</f>
        <v>0</v>
      </c>
      <c r="DA142" s="199" t="n">
        <f aca="false">DA$4*DA37</f>
        <v>0</v>
      </c>
      <c r="DB142" s="199" t="n">
        <f aca="false">DB$4*DB37</f>
        <v>0</v>
      </c>
      <c r="DC142" s="199" t="n">
        <f aca="false">DC$4*DC37</f>
        <v>0</v>
      </c>
      <c r="DD142" s="199" t="n">
        <f aca="false">DD$4*DD37</f>
        <v>0</v>
      </c>
      <c r="DE142" s="199" t="n">
        <f aca="false">DE$4*DE37</f>
        <v>0</v>
      </c>
      <c r="DF142" s="199" t="n">
        <f aca="false">DF$4*DF37</f>
        <v>0</v>
      </c>
      <c r="DG142" s="199" t="n">
        <f aca="false">DG$4*DG37</f>
        <v>0</v>
      </c>
      <c r="DH142" s="200" t="n">
        <f aca="false">DH$4*DH37</f>
        <v>0</v>
      </c>
      <c r="DI142" s="194" t="str">
        <f aca="false">CX142</f>
        <v>Alumno32</v>
      </c>
      <c r="DJ142" s="198" t="n">
        <f aca="false">DJ$4*DJ37</f>
        <v>0</v>
      </c>
      <c r="DK142" s="199" t="n">
        <f aca="false">DK$4*DK37</f>
        <v>0</v>
      </c>
      <c r="DL142" s="199" t="n">
        <f aca="false">DL$4*DL37</f>
        <v>0</v>
      </c>
      <c r="DM142" s="199" t="n">
        <f aca="false">DM$4*DM37</f>
        <v>0</v>
      </c>
      <c r="DN142" s="199" t="n">
        <f aca="false">DN$4*DN37</f>
        <v>0</v>
      </c>
      <c r="DO142" s="199" t="n">
        <f aca="false">DO$4*DO37</f>
        <v>0</v>
      </c>
      <c r="DP142" s="199" t="n">
        <f aca="false">DP$4*DP37</f>
        <v>0</v>
      </c>
      <c r="DQ142" s="199" t="n">
        <f aca="false">DQ$4*DQ37</f>
        <v>0</v>
      </c>
      <c r="DR142" s="199" t="n">
        <f aca="false">DR$4*DR37</f>
        <v>0</v>
      </c>
      <c r="DS142" s="200" t="n">
        <f aca="false">DS$4*DS37</f>
        <v>0</v>
      </c>
      <c r="DT142" s="194" t="str">
        <f aca="false">DI142</f>
        <v>Alumno32</v>
      </c>
      <c r="DU142" s="198" t="n">
        <f aca="false">DU$4*DU37</f>
        <v>0</v>
      </c>
      <c r="DV142" s="199" t="n">
        <f aca="false">DV$4*DV37</f>
        <v>0</v>
      </c>
      <c r="DW142" s="199" t="n">
        <f aca="false">DW$4*DW37</f>
        <v>0</v>
      </c>
      <c r="DX142" s="199" t="n">
        <f aca="false">DX$4*DX37</f>
        <v>0</v>
      </c>
      <c r="DY142" s="199" t="n">
        <f aca="false">DY$4*DY37</f>
        <v>0</v>
      </c>
      <c r="DZ142" s="199" t="n">
        <f aca="false">DZ$4*DZ37</f>
        <v>0</v>
      </c>
      <c r="EA142" s="199" t="n">
        <f aca="false">EA$4*EA37</f>
        <v>0</v>
      </c>
      <c r="EB142" s="199" t="n">
        <f aca="false">EB$4*EB37</f>
        <v>0</v>
      </c>
      <c r="EC142" s="199" t="n">
        <f aca="false">EC$4*EC37</f>
        <v>0</v>
      </c>
      <c r="ED142" s="200" t="n">
        <f aca="false">ED$4*ED37</f>
        <v>0</v>
      </c>
      <c r="EE142" s="194" t="str">
        <f aca="false">DT142</f>
        <v>Alumno32</v>
      </c>
      <c r="EF142" s="198" t="n">
        <f aca="false">EF$4*EF37</f>
        <v>0</v>
      </c>
      <c r="EG142" s="199" t="n">
        <f aca="false">EG$4*EG37</f>
        <v>0</v>
      </c>
      <c r="EH142" s="199" t="n">
        <f aca="false">EH$4*EH37</f>
        <v>0</v>
      </c>
      <c r="EI142" s="199" t="n">
        <f aca="false">EI$4*EI37</f>
        <v>0</v>
      </c>
      <c r="EJ142" s="199" t="n">
        <f aca="false">EJ$4*EJ37</f>
        <v>0</v>
      </c>
      <c r="EK142" s="199" t="n">
        <f aca="false">EK$4*EK37</f>
        <v>0</v>
      </c>
      <c r="EL142" s="199" t="n">
        <f aca="false">EL$4*EL37</f>
        <v>0</v>
      </c>
      <c r="EM142" s="199" t="n">
        <f aca="false">EM$4*EM37</f>
        <v>0</v>
      </c>
      <c r="EN142" s="199" t="n">
        <f aca="false">EN$4*EN37</f>
        <v>0</v>
      </c>
      <c r="EO142" s="200" t="n">
        <f aca="false">EO$4*EO37</f>
        <v>0</v>
      </c>
      <c r="EP142" s="194" t="str">
        <f aca="false">EE142</f>
        <v>Alumno32</v>
      </c>
      <c r="EQ142" s="198" t="n">
        <f aca="false">EQ$4*EQ37</f>
        <v>0</v>
      </c>
      <c r="ER142" s="199" t="n">
        <f aca="false">ER$4*ER37</f>
        <v>0</v>
      </c>
      <c r="ES142" s="199" t="n">
        <f aca="false">ES$4*ES37</f>
        <v>0</v>
      </c>
      <c r="ET142" s="199" t="n">
        <f aca="false">ET$4*ET37</f>
        <v>0</v>
      </c>
      <c r="EU142" s="199" t="n">
        <f aca="false">EU$4*EU37</f>
        <v>0</v>
      </c>
      <c r="EV142" s="199" t="n">
        <f aca="false">EV$4*EV37</f>
        <v>0</v>
      </c>
      <c r="EW142" s="199" t="n">
        <f aca="false">EW$4*EW37</f>
        <v>0</v>
      </c>
      <c r="EX142" s="199" t="n">
        <f aca="false">EX$4*EX37</f>
        <v>0</v>
      </c>
      <c r="EY142" s="199" t="n">
        <f aca="false">EY$4*EY37</f>
        <v>0</v>
      </c>
      <c r="EZ142" s="200" t="n">
        <f aca="false">EZ$4*EZ37</f>
        <v>0</v>
      </c>
      <c r="FA142" s="194" t="str">
        <f aca="false">EP142</f>
        <v>Alumno32</v>
      </c>
      <c r="FB142" s="198" t="n">
        <f aca="false">FB$4*FB37</f>
        <v>0</v>
      </c>
      <c r="FC142" s="199" t="n">
        <f aca="false">FC$4*FC37</f>
        <v>0</v>
      </c>
      <c r="FD142" s="199" t="n">
        <f aca="false">FD$4*FD37</f>
        <v>0</v>
      </c>
      <c r="FE142" s="199" t="n">
        <f aca="false">FE$4*FE37</f>
        <v>0</v>
      </c>
      <c r="FF142" s="199" t="n">
        <f aca="false">FF$4*FF37</f>
        <v>0</v>
      </c>
      <c r="FG142" s="199" t="n">
        <f aca="false">FG$4*FG37</f>
        <v>0</v>
      </c>
      <c r="FH142" s="199" t="n">
        <f aca="false">FH$4*FH37</f>
        <v>0</v>
      </c>
      <c r="FI142" s="199" t="n">
        <f aca="false">FI$4*FI37</f>
        <v>0</v>
      </c>
      <c r="FJ142" s="199" t="n">
        <f aca="false">FJ$4*FJ37</f>
        <v>0</v>
      </c>
      <c r="FK142" s="200" t="n">
        <f aca="false">FK$4*FK37</f>
        <v>0</v>
      </c>
      <c r="FL142" s="194" t="str">
        <f aca="false">FA142</f>
        <v>Alumno32</v>
      </c>
      <c r="FM142" s="198" t="n">
        <f aca="false">FM$4*FM37</f>
        <v>0</v>
      </c>
      <c r="FN142" s="199" t="n">
        <f aca="false">FN$4*FN37</f>
        <v>0</v>
      </c>
      <c r="FO142" s="199" t="n">
        <f aca="false">FO$4*FO37</f>
        <v>0</v>
      </c>
      <c r="FP142" s="199" t="n">
        <f aca="false">FP$4*FP37</f>
        <v>0</v>
      </c>
      <c r="FQ142" s="199" t="n">
        <f aca="false">FQ$4*FQ37</f>
        <v>0</v>
      </c>
      <c r="FR142" s="199" t="n">
        <f aca="false">FR$4*FR37</f>
        <v>0</v>
      </c>
      <c r="FS142" s="199" t="n">
        <f aca="false">FS$4*FS37</f>
        <v>0</v>
      </c>
      <c r="FT142" s="199" t="n">
        <f aca="false">FT$4*FT37</f>
        <v>0</v>
      </c>
      <c r="FU142" s="199" t="n">
        <f aca="false">FU$4*FU37</f>
        <v>0</v>
      </c>
      <c r="FV142" s="200" t="n">
        <f aca="false">FV$4*FV37</f>
        <v>0</v>
      </c>
      <c r="FW142" s="194" t="str">
        <f aca="false">FL142</f>
        <v>Alumno32</v>
      </c>
      <c r="FX142" s="198" t="n">
        <f aca="false">FX$4*FX37</f>
        <v>0</v>
      </c>
      <c r="FY142" s="199" t="n">
        <f aca="false">FY$4*FY37</f>
        <v>0</v>
      </c>
      <c r="FZ142" s="199" t="n">
        <f aca="false">FZ$4*FZ37</f>
        <v>0</v>
      </c>
      <c r="GA142" s="199" t="n">
        <f aca="false">GA$4*GA37</f>
        <v>0</v>
      </c>
      <c r="GB142" s="199" t="n">
        <f aca="false">GB$4*GB37</f>
        <v>0</v>
      </c>
      <c r="GC142" s="199" t="n">
        <f aca="false">GC$4*GC37</f>
        <v>0</v>
      </c>
      <c r="GD142" s="199" t="n">
        <f aca="false">GD$4*GD37</f>
        <v>0</v>
      </c>
      <c r="GE142" s="199" t="n">
        <f aca="false">GE$4*GE37</f>
        <v>0</v>
      </c>
      <c r="GF142" s="199" t="n">
        <f aca="false">GF$4*GF37</f>
        <v>0</v>
      </c>
      <c r="GG142" s="200" t="n">
        <f aca="false">GG$4*GG37</f>
        <v>0</v>
      </c>
      <c r="GH142" s="194" t="str">
        <f aca="false">FW142</f>
        <v>Alumno32</v>
      </c>
      <c r="GI142" s="198" t="n">
        <f aca="false">GI$4*GI37</f>
        <v>0</v>
      </c>
      <c r="GJ142" s="199" t="n">
        <f aca="false">GJ$4*GJ37</f>
        <v>0</v>
      </c>
      <c r="GK142" s="199" t="n">
        <f aca="false">GK$4*GK37</f>
        <v>0</v>
      </c>
      <c r="GL142" s="199" t="n">
        <f aca="false">GL$4*GL37</f>
        <v>0</v>
      </c>
      <c r="GM142" s="199" t="n">
        <f aca="false">GM$4*GM37</f>
        <v>0</v>
      </c>
      <c r="GN142" s="199" t="n">
        <f aca="false">GN$4*GN37</f>
        <v>0</v>
      </c>
      <c r="GO142" s="199" t="n">
        <f aca="false">GO$4*GO37</f>
        <v>0</v>
      </c>
      <c r="GP142" s="199" t="n">
        <f aca="false">GP$4*GP37</f>
        <v>0</v>
      </c>
      <c r="GQ142" s="199" t="n">
        <f aca="false">GQ$4*GQ37</f>
        <v>0</v>
      </c>
      <c r="GR142" s="200" t="n">
        <f aca="false">GR$4*GR37</f>
        <v>0</v>
      </c>
      <c r="GS142" s="194" t="str">
        <f aca="false">GH142</f>
        <v>Alumno32</v>
      </c>
      <c r="GT142" s="198" t="n">
        <f aca="false">GT$4*GT37</f>
        <v>0</v>
      </c>
      <c r="GU142" s="199" t="n">
        <f aca="false">GU$4*GU37</f>
        <v>0</v>
      </c>
      <c r="GV142" s="199" t="n">
        <f aca="false">GV$4*GV37</f>
        <v>0</v>
      </c>
      <c r="GW142" s="199" t="n">
        <f aca="false">GW$4*GW37</f>
        <v>0</v>
      </c>
      <c r="GX142" s="199" t="n">
        <f aca="false">GX$4*GX37</f>
        <v>0</v>
      </c>
      <c r="GY142" s="199" t="n">
        <f aca="false">GY$4*GY37</f>
        <v>0</v>
      </c>
      <c r="GZ142" s="199" t="n">
        <f aca="false">GZ$4*GZ37</f>
        <v>0</v>
      </c>
      <c r="HA142" s="199" t="n">
        <f aca="false">HA$4*HA37</f>
        <v>0</v>
      </c>
      <c r="HB142" s="199" t="n">
        <f aca="false">HB$4*HB37</f>
        <v>0</v>
      </c>
      <c r="HC142" s="200" t="n">
        <f aca="false">HC$4*HC37</f>
        <v>0</v>
      </c>
      <c r="HD142" s="194" t="str">
        <f aca="false">GS142</f>
        <v>Alumno32</v>
      </c>
      <c r="HE142" s="198" t="n">
        <f aca="false">HE$4*HE37</f>
        <v>0</v>
      </c>
      <c r="HF142" s="199" t="n">
        <f aca="false">HF$4*HF37</f>
        <v>0</v>
      </c>
      <c r="HG142" s="199" t="n">
        <f aca="false">HG$4*HG37</f>
        <v>0</v>
      </c>
      <c r="HH142" s="199" t="n">
        <f aca="false">HH$4*HH37</f>
        <v>0</v>
      </c>
      <c r="HI142" s="199" t="n">
        <f aca="false">HI$4*HI37</f>
        <v>0</v>
      </c>
      <c r="HJ142" s="199" t="n">
        <f aca="false">HJ$4*HJ37</f>
        <v>0</v>
      </c>
      <c r="HK142" s="199" t="n">
        <f aca="false">HK$4*HK37</f>
        <v>0</v>
      </c>
      <c r="HL142" s="199" t="n">
        <f aca="false">HL$4*HL37</f>
        <v>0</v>
      </c>
      <c r="HM142" s="199" t="n">
        <f aca="false">HM$4*HM37</f>
        <v>0</v>
      </c>
      <c r="HN142" s="200" t="n">
        <f aca="false">HN$4*HN37</f>
        <v>0</v>
      </c>
      <c r="HO142" s="194" t="str">
        <f aca="false">HD142</f>
        <v>Alumno32</v>
      </c>
      <c r="HP142" s="198" t="n">
        <f aca="false">HP$4*HP37</f>
        <v>0</v>
      </c>
      <c r="HQ142" s="199" t="n">
        <f aca="false">HQ$4*HQ37</f>
        <v>0</v>
      </c>
      <c r="HR142" s="199" t="n">
        <f aca="false">HR$4*HR37</f>
        <v>0</v>
      </c>
      <c r="HS142" s="199" t="n">
        <f aca="false">HS$4*HS37</f>
        <v>0</v>
      </c>
      <c r="HT142" s="199" t="n">
        <f aca="false">HT$4*HT37</f>
        <v>0</v>
      </c>
      <c r="HU142" s="199" t="n">
        <f aca="false">HU$4*HU37</f>
        <v>0</v>
      </c>
      <c r="HV142" s="199" t="n">
        <f aca="false">HV$4*HV37</f>
        <v>0</v>
      </c>
      <c r="HW142" s="199" t="n">
        <f aca="false">HW$4*HW37</f>
        <v>0</v>
      </c>
      <c r="HX142" s="199" t="n">
        <f aca="false">HX$4*HX37</f>
        <v>0</v>
      </c>
      <c r="HY142" s="200" t="n">
        <f aca="false">HY$4*HY37</f>
        <v>0</v>
      </c>
      <c r="HZ142" s="194" t="str">
        <f aca="false">HO142</f>
        <v>Alumno32</v>
      </c>
      <c r="IA142" s="198" t="n">
        <f aca="false">IA$4*IA37</f>
        <v>0</v>
      </c>
      <c r="IB142" s="199" t="n">
        <f aca="false">IB$4*IB37</f>
        <v>0</v>
      </c>
      <c r="IC142" s="199" t="n">
        <f aca="false">IC$4*IC37</f>
        <v>0</v>
      </c>
      <c r="ID142" s="199" t="n">
        <f aca="false">ID$4*ID37</f>
        <v>0</v>
      </c>
      <c r="IE142" s="199" t="n">
        <f aca="false">IE$4*IE37</f>
        <v>0</v>
      </c>
      <c r="IF142" s="199" t="n">
        <f aca="false">IF$4*IF37</f>
        <v>0</v>
      </c>
      <c r="IG142" s="199" t="n">
        <f aca="false">IG$4*IG37</f>
        <v>0</v>
      </c>
      <c r="IH142" s="199" t="n">
        <f aca="false">IH$4*IH37</f>
        <v>0</v>
      </c>
      <c r="II142" s="199" t="n">
        <f aca="false">II$4*II37</f>
        <v>0</v>
      </c>
      <c r="IJ142" s="200" t="n">
        <f aca="false">IJ$4*IJ37</f>
        <v>0</v>
      </c>
      <c r="IK142" s="194" t="str">
        <f aca="false">HZ142</f>
        <v>Alumno32</v>
      </c>
      <c r="IL142" s="198" t="n">
        <f aca="false">IL$4*IL37</f>
        <v>0</v>
      </c>
      <c r="IM142" s="199" t="n">
        <f aca="false">IM$4*IM37</f>
        <v>0</v>
      </c>
      <c r="IN142" s="199" t="n">
        <f aca="false">IN$4*IN37</f>
        <v>0</v>
      </c>
      <c r="IO142" s="199" t="n">
        <f aca="false">IO$4*IO37</f>
        <v>0</v>
      </c>
      <c r="IP142" s="199" t="n">
        <f aca="false">IP$4*IP37</f>
        <v>0</v>
      </c>
      <c r="IQ142" s="199" t="n">
        <f aca="false">IQ$4*IQ37</f>
        <v>0</v>
      </c>
      <c r="IR142" s="199" t="n">
        <f aca="false">IR$4*IR37</f>
        <v>0</v>
      </c>
      <c r="IS142" s="199" t="n">
        <f aca="false">IS$4*IS37</f>
        <v>0</v>
      </c>
      <c r="IT142" s="199" t="n">
        <f aca="false">IT$4*IT37</f>
        <v>0</v>
      </c>
      <c r="IU142" s="200" t="n">
        <f aca="false">IU$4*IU37</f>
        <v>0</v>
      </c>
      <c r="IV142" s="194" t="str">
        <f aca="false">IK142</f>
        <v>Alumno32</v>
      </c>
      <c r="IW142" s="198" t="n">
        <f aca="false">IW$4*IW37</f>
        <v>0</v>
      </c>
      <c r="IX142" s="199" t="n">
        <f aca="false">IX$4*IX37</f>
        <v>0</v>
      </c>
      <c r="IY142" s="199" t="n">
        <f aca="false">IY$4*IY37</f>
        <v>0</v>
      </c>
      <c r="IZ142" s="199" t="n">
        <f aca="false">IZ$4*IZ37</f>
        <v>0</v>
      </c>
      <c r="JA142" s="199" t="n">
        <f aca="false">JA$4*JA37</f>
        <v>0</v>
      </c>
      <c r="JB142" s="199" t="n">
        <f aca="false">JB$4*JB37</f>
        <v>0</v>
      </c>
      <c r="JC142" s="199" t="n">
        <f aca="false">JC$4*JC37</f>
        <v>0</v>
      </c>
      <c r="JD142" s="199" t="n">
        <f aca="false">JD$4*JD37</f>
        <v>0</v>
      </c>
      <c r="JE142" s="199" t="n">
        <f aca="false">JE$4*JE37</f>
        <v>0</v>
      </c>
      <c r="JF142" s="200" t="n">
        <f aca="false">JF$4*JF37</f>
        <v>0</v>
      </c>
      <c r="JG142" s="194" t="str">
        <f aca="false">IV142</f>
        <v>Alumno32</v>
      </c>
      <c r="JH142" s="198" t="n">
        <f aca="false">JH$4*JH37</f>
        <v>0</v>
      </c>
      <c r="JI142" s="199" t="n">
        <f aca="false">JI$4*JI37</f>
        <v>0</v>
      </c>
      <c r="JJ142" s="199" t="n">
        <f aca="false">JJ$4*JJ37</f>
        <v>0</v>
      </c>
      <c r="JK142" s="199" t="n">
        <f aca="false">JK$4*JK37</f>
        <v>0</v>
      </c>
      <c r="JL142" s="199" t="n">
        <f aca="false">JL$4*JL37</f>
        <v>0</v>
      </c>
      <c r="JM142" s="199" t="n">
        <f aca="false">JM$4*JM37</f>
        <v>0</v>
      </c>
      <c r="JN142" s="199" t="n">
        <f aca="false">JN$4*JN37</f>
        <v>0</v>
      </c>
      <c r="JO142" s="199" t="n">
        <f aca="false">JO$4*JO37</f>
        <v>0</v>
      </c>
      <c r="JP142" s="199" t="n">
        <f aca="false">JP$4*JP37</f>
        <v>0</v>
      </c>
      <c r="JQ142" s="200" t="n">
        <f aca="false">JQ$4*JQ37</f>
        <v>0</v>
      </c>
      <c r="JR142" s="194" t="str">
        <f aca="false">JG142</f>
        <v>Alumno32</v>
      </c>
      <c r="JS142" s="198" t="n">
        <f aca="false">JS$4*JS37</f>
        <v>0</v>
      </c>
      <c r="JT142" s="199" t="n">
        <f aca="false">JT$4*JT37</f>
        <v>0</v>
      </c>
      <c r="JU142" s="199" t="n">
        <f aca="false">JU$4*JU37</f>
        <v>0</v>
      </c>
      <c r="JV142" s="199" t="n">
        <f aca="false">JV$4*JV37</f>
        <v>0</v>
      </c>
      <c r="JW142" s="199" t="n">
        <f aca="false">JW$4*JW37</f>
        <v>0</v>
      </c>
      <c r="JX142" s="199" t="n">
        <f aca="false">JX$4*JX37</f>
        <v>0</v>
      </c>
      <c r="JY142" s="199" t="n">
        <f aca="false">JY$4*JY37</f>
        <v>0</v>
      </c>
      <c r="JZ142" s="199" t="n">
        <f aca="false">JZ$4*JZ37</f>
        <v>0</v>
      </c>
      <c r="KA142" s="199" t="n">
        <f aca="false">KA$4*KA37</f>
        <v>0</v>
      </c>
      <c r="KB142" s="200" t="n">
        <f aca="false">KB$4*KB37</f>
        <v>0</v>
      </c>
      <c r="KC142" s="194" t="str">
        <f aca="false">JR142</f>
        <v>Alumno32</v>
      </c>
      <c r="KD142" s="198" t="n">
        <f aca="false">KD$4*KD37</f>
        <v>0</v>
      </c>
      <c r="KE142" s="199" t="n">
        <f aca="false">KE$4*KE37</f>
        <v>0</v>
      </c>
      <c r="KF142" s="199" t="n">
        <f aca="false">KF$4*KF37</f>
        <v>0</v>
      </c>
      <c r="KG142" s="199" t="n">
        <f aca="false">KG$4*KG37</f>
        <v>0</v>
      </c>
      <c r="KH142" s="199" t="n">
        <f aca="false">KH$4*KH37</f>
        <v>0</v>
      </c>
      <c r="KI142" s="199" t="n">
        <f aca="false">KI$4*KI37</f>
        <v>0</v>
      </c>
      <c r="KJ142" s="199" t="n">
        <f aca="false">KJ$4*KJ37</f>
        <v>0</v>
      </c>
      <c r="KK142" s="199" t="n">
        <f aca="false">KK$4*KK37</f>
        <v>0</v>
      </c>
      <c r="KL142" s="199" t="n">
        <f aca="false">KL$4*KL37</f>
        <v>0</v>
      </c>
      <c r="KM142" s="200" t="n">
        <f aca="false">KM$4*KM37</f>
        <v>0</v>
      </c>
      <c r="KN142" s="194" t="str">
        <f aca="false">KC142</f>
        <v>Alumno32</v>
      </c>
      <c r="KO142" s="198" t="n">
        <f aca="false">KO$4*KO37</f>
        <v>0</v>
      </c>
      <c r="KP142" s="199" t="n">
        <f aca="false">KP$4*KP37</f>
        <v>0</v>
      </c>
      <c r="KQ142" s="199" t="n">
        <f aca="false">KQ$4*KQ37</f>
        <v>0</v>
      </c>
      <c r="KR142" s="199" t="n">
        <f aca="false">KR$4*KR37</f>
        <v>0</v>
      </c>
      <c r="KS142" s="199" t="n">
        <f aca="false">KS$4*KS37</f>
        <v>0</v>
      </c>
      <c r="KT142" s="199" t="n">
        <f aca="false">KT$4*KT37</f>
        <v>0</v>
      </c>
      <c r="KU142" s="199" t="n">
        <f aca="false">KU$4*KU37</f>
        <v>0</v>
      </c>
      <c r="KV142" s="199" t="n">
        <f aca="false">KV$4*KV37</f>
        <v>0</v>
      </c>
      <c r="KW142" s="199" t="n">
        <f aca="false">KW$4*KW37</f>
        <v>0</v>
      </c>
      <c r="KX142" s="200" t="n">
        <f aca="false">KX$4*KX37</f>
        <v>0</v>
      </c>
      <c r="KY142" s="194" t="str">
        <f aca="false">KN142</f>
        <v>Alumno32</v>
      </c>
      <c r="KZ142" s="198" t="n">
        <f aca="false">KZ$4*KZ37</f>
        <v>0</v>
      </c>
      <c r="LA142" s="199" t="n">
        <f aca="false">LA$4*LA37</f>
        <v>0</v>
      </c>
      <c r="LB142" s="199" t="n">
        <f aca="false">LB$4*LB37</f>
        <v>0</v>
      </c>
      <c r="LC142" s="199" t="n">
        <f aca="false">LC$4*LC37</f>
        <v>0</v>
      </c>
      <c r="LD142" s="199" t="n">
        <f aca="false">LD$4*LD37</f>
        <v>0</v>
      </c>
      <c r="LE142" s="199" t="n">
        <f aca="false">LE$4*LE37</f>
        <v>0</v>
      </c>
      <c r="LF142" s="199" t="n">
        <f aca="false">LF$4*LF37</f>
        <v>0</v>
      </c>
      <c r="LG142" s="199" t="n">
        <f aca="false">LG$4*LG37</f>
        <v>0</v>
      </c>
      <c r="LH142" s="199" t="n">
        <f aca="false">LH$4*LH37</f>
        <v>0</v>
      </c>
      <c r="LI142" s="200" t="n">
        <f aca="false">LI$4*LI37</f>
        <v>0</v>
      </c>
      <c r="LJ142" s="194" t="str">
        <f aca="false">KY142</f>
        <v>Alumno32</v>
      </c>
      <c r="LK142" s="198" t="n">
        <f aca="false">LK$4*LK37</f>
        <v>0</v>
      </c>
      <c r="LL142" s="199" t="n">
        <f aca="false">LL$4*LL37</f>
        <v>0</v>
      </c>
      <c r="LM142" s="199" t="n">
        <f aca="false">LM$4*LM37</f>
        <v>0</v>
      </c>
      <c r="LN142" s="199" t="n">
        <f aca="false">LN$4*LN37</f>
        <v>0</v>
      </c>
      <c r="LO142" s="199" t="n">
        <f aca="false">LO$4*LO37</f>
        <v>0</v>
      </c>
      <c r="LP142" s="199" t="n">
        <f aca="false">LP$4*LP37</f>
        <v>0</v>
      </c>
      <c r="LQ142" s="199" t="n">
        <f aca="false">LQ$4*LQ37</f>
        <v>0</v>
      </c>
      <c r="LR142" s="199" t="n">
        <f aca="false">LR$4*LR37</f>
        <v>0</v>
      </c>
      <c r="LS142" s="199" t="n">
        <f aca="false">LS$4*LS37</f>
        <v>0</v>
      </c>
      <c r="LT142" s="200" t="n">
        <f aca="false">LT$4*LT37</f>
        <v>0</v>
      </c>
    </row>
    <row r="143" customFormat="false" ht="15" hidden="true" customHeight="false" outlineLevel="0" collapsed="false">
      <c r="C143" s="194" t="str">
        <f aca="false">C94</f>
        <v>Alumno33</v>
      </c>
      <c r="D143" s="198" t="n">
        <f aca="false">D$4*D38</f>
        <v>0</v>
      </c>
      <c r="E143" s="199" t="n">
        <f aca="false">E$4*E38</f>
        <v>0</v>
      </c>
      <c r="F143" s="199" t="n">
        <f aca="false">F$4*F38</f>
        <v>0</v>
      </c>
      <c r="G143" s="199" t="n">
        <f aca="false">G$4*G38</f>
        <v>0</v>
      </c>
      <c r="H143" s="199" t="n">
        <f aca="false">H$4*H38</f>
        <v>0</v>
      </c>
      <c r="I143" s="199" t="n">
        <f aca="false">I$4*I38</f>
        <v>0</v>
      </c>
      <c r="J143" s="199" t="n">
        <f aca="false">J$4*J38</f>
        <v>0</v>
      </c>
      <c r="K143" s="199" t="n">
        <f aca="false">K$4*K38</f>
        <v>0</v>
      </c>
      <c r="L143" s="199" t="n">
        <f aca="false">L$4*L38</f>
        <v>0</v>
      </c>
      <c r="M143" s="200" t="n">
        <f aca="false">M$4*M38</f>
        <v>0</v>
      </c>
      <c r="N143" s="194" t="str">
        <f aca="false">C143</f>
        <v>Alumno33</v>
      </c>
      <c r="O143" s="198" t="n">
        <f aca="false">O$4*O38</f>
        <v>0</v>
      </c>
      <c r="P143" s="199" t="n">
        <f aca="false">P$4*P38</f>
        <v>0</v>
      </c>
      <c r="Q143" s="199" t="n">
        <f aca="false">Q$4*Q38</f>
        <v>0</v>
      </c>
      <c r="R143" s="199" t="n">
        <f aca="false">R$4*R38</f>
        <v>0</v>
      </c>
      <c r="S143" s="199" t="n">
        <f aca="false">S$4*S38</f>
        <v>0</v>
      </c>
      <c r="T143" s="199" t="n">
        <f aca="false">T$4*T38</f>
        <v>0</v>
      </c>
      <c r="U143" s="199" t="n">
        <f aca="false">U$4*U38</f>
        <v>0</v>
      </c>
      <c r="V143" s="199" t="n">
        <f aca="false">V$4*V38</f>
        <v>0</v>
      </c>
      <c r="W143" s="199" t="n">
        <f aca="false">W$4*W38</f>
        <v>0</v>
      </c>
      <c r="X143" s="200" t="n">
        <f aca="false">X$4*X38</f>
        <v>0</v>
      </c>
      <c r="Y143" s="194" t="str">
        <f aca="false">N143</f>
        <v>Alumno33</v>
      </c>
      <c r="Z143" s="198" t="n">
        <f aca="false">Z$4*Z38</f>
        <v>0</v>
      </c>
      <c r="AA143" s="199" t="n">
        <f aca="false">AA$4*AA38</f>
        <v>0</v>
      </c>
      <c r="AB143" s="199" t="n">
        <f aca="false">AB$4*AB38</f>
        <v>0</v>
      </c>
      <c r="AC143" s="199" t="n">
        <f aca="false">AC$4*AC38</f>
        <v>0</v>
      </c>
      <c r="AD143" s="199" t="n">
        <f aca="false">AD$4*AD38</f>
        <v>0</v>
      </c>
      <c r="AE143" s="199" t="n">
        <f aca="false">AE$4*AE38</f>
        <v>0</v>
      </c>
      <c r="AF143" s="199" t="n">
        <f aca="false">AF$4*AF38</f>
        <v>0</v>
      </c>
      <c r="AG143" s="199" t="n">
        <f aca="false">AG$4*AG38</f>
        <v>0</v>
      </c>
      <c r="AH143" s="199" t="n">
        <f aca="false">AH$4*AH38</f>
        <v>0</v>
      </c>
      <c r="AI143" s="200" t="n">
        <f aca="false">AI$4*AI38</f>
        <v>0</v>
      </c>
      <c r="AJ143" s="194" t="str">
        <f aca="false">Y143</f>
        <v>Alumno33</v>
      </c>
      <c r="AK143" s="198" t="n">
        <f aca="false">AK$4*AK38</f>
        <v>0</v>
      </c>
      <c r="AL143" s="199" t="n">
        <f aca="false">AL$4*AL38</f>
        <v>0</v>
      </c>
      <c r="AM143" s="199" t="n">
        <f aca="false">AM$4*AM38</f>
        <v>0</v>
      </c>
      <c r="AN143" s="199" t="n">
        <f aca="false">AN$4*AN38</f>
        <v>0</v>
      </c>
      <c r="AO143" s="199" t="n">
        <f aca="false">AO$4*AO38</f>
        <v>0</v>
      </c>
      <c r="AP143" s="199" t="n">
        <f aca="false">AP$4*AP38</f>
        <v>0</v>
      </c>
      <c r="AQ143" s="199" t="n">
        <f aca="false">AQ$4*AQ38</f>
        <v>0</v>
      </c>
      <c r="AR143" s="199" t="n">
        <f aca="false">AR$4*AR38</f>
        <v>0</v>
      </c>
      <c r="AS143" s="199" t="n">
        <f aca="false">AS$4*AS38</f>
        <v>0</v>
      </c>
      <c r="AT143" s="200" t="n">
        <f aca="false">AT$4*AT38</f>
        <v>0</v>
      </c>
      <c r="AU143" s="194" t="str">
        <f aca="false">AJ143</f>
        <v>Alumno33</v>
      </c>
      <c r="AV143" s="198" t="n">
        <f aca="false">AV$4*AV38</f>
        <v>0</v>
      </c>
      <c r="AW143" s="199" t="n">
        <f aca="false">AW$4*AW38</f>
        <v>0</v>
      </c>
      <c r="AX143" s="199" t="n">
        <f aca="false">AX$4*AX38</f>
        <v>0</v>
      </c>
      <c r="AY143" s="199" t="n">
        <f aca="false">AY$4*AY38</f>
        <v>0</v>
      </c>
      <c r="AZ143" s="199" t="n">
        <f aca="false">AZ$4*AZ38</f>
        <v>0</v>
      </c>
      <c r="BA143" s="199" t="n">
        <f aca="false">BA$4*BA38</f>
        <v>0</v>
      </c>
      <c r="BB143" s="199" t="n">
        <f aca="false">BB$4*BB38</f>
        <v>0</v>
      </c>
      <c r="BC143" s="199" t="n">
        <f aca="false">BC$4*BC38</f>
        <v>0</v>
      </c>
      <c r="BD143" s="199" t="n">
        <f aca="false">BD$4*BD38</f>
        <v>0</v>
      </c>
      <c r="BE143" s="200" t="n">
        <f aca="false">BE$4*BE38</f>
        <v>0</v>
      </c>
      <c r="BF143" s="194" t="str">
        <f aca="false">AU143</f>
        <v>Alumno33</v>
      </c>
      <c r="BG143" s="198" t="n">
        <f aca="false">BG$4*BG38</f>
        <v>0</v>
      </c>
      <c r="BH143" s="199" t="n">
        <f aca="false">BH$4*BH38</f>
        <v>0</v>
      </c>
      <c r="BI143" s="199" t="n">
        <f aca="false">BI$4*BI38</f>
        <v>0</v>
      </c>
      <c r="BJ143" s="199" t="n">
        <f aca="false">BJ$4*BJ38</f>
        <v>0</v>
      </c>
      <c r="BK143" s="199" t="n">
        <f aca="false">BK$4*BK38</f>
        <v>0</v>
      </c>
      <c r="BL143" s="199" t="n">
        <f aca="false">BL$4*BL38</f>
        <v>0</v>
      </c>
      <c r="BM143" s="199" t="n">
        <f aca="false">BM$4*BM38</f>
        <v>0</v>
      </c>
      <c r="BN143" s="199" t="n">
        <f aca="false">BN$4*BN38</f>
        <v>0</v>
      </c>
      <c r="BO143" s="199" t="n">
        <f aca="false">BO$4*BO38</f>
        <v>0</v>
      </c>
      <c r="BP143" s="200" t="n">
        <f aca="false">BP$4*BP38</f>
        <v>0</v>
      </c>
      <c r="BQ143" s="194" t="str">
        <f aca="false">BF143</f>
        <v>Alumno33</v>
      </c>
      <c r="BR143" s="198" t="n">
        <f aca="false">BR$4*BR38</f>
        <v>0</v>
      </c>
      <c r="BS143" s="199" t="n">
        <f aca="false">BS$4*BS38</f>
        <v>0</v>
      </c>
      <c r="BT143" s="199" t="n">
        <f aca="false">BT$4*BT38</f>
        <v>0</v>
      </c>
      <c r="BU143" s="199" t="n">
        <f aca="false">BU$4*BU38</f>
        <v>0</v>
      </c>
      <c r="BV143" s="199" t="n">
        <f aca="false">BV$4*BV38</f>
        <v>0</v>
      </c>
      <c r="BW143" s="199" t="n">
        <f aca="false">BW$4*BW38</f>
        <v>0</v>
      </c>
      <c r="BX143" s="199" t="n">
        <f aca="false">BX$4*BX38</f>
        <v>0</v>
      </c>
      <c r="BY143" s="199" t="n">
        <f aca="false">BY$4*BY38</f>
        <v>0</v>
      </c>
      <c r="BZ143" s="199" t="n">
        <f aca="false">BZ$4*BZ38</f>
        <v>0</v>
      </c>
      <c r="CA143" s="200" t="n">
        <f aca="false">CA$4*CA38</f>
        <v>0</v>
      </c>
      <c r="CB143" s="194" t="str">
        <f aca="false">BQ143</f>
        <v>Alumno33</v>
      </c>
      <c r="CC143" s="198" t="n">
        <f aca="false">CC$4*CC38</f>
        <v>0</v>
      </c>
      <c r="CD143" s="199" t="n">
        <f aca="false">CD$4*CD38</f>
        <v>0</v>
      </c>
      <c r="CE143" s="199" t="n">
        <f aca="false">CE$4*CE38</f>
        <v>0</v>
      </c>
      <c r="CF143" s="199" t="n">
        <f aca="false">CF$4*CF38</f>
        <v>0</v>
      </c>
      <c r="CG143" s="199" t="n">
        <f aca="false">CG$4*CG38</f>
        <v>0</v>
      </c>
      <c r="CH143" s="199" t="n">
        <f aca="false">CH$4*CH38</f>
        <v>0</v>
      </c>
      <c r="CI143" s="199" t="n">
        <f aca="false">CI$4*CI38</f>
        <v>0</v>
      </c>
      <c r="CJ143" s="199" t="n">
        <f aca="false">CJ$4*CJ38</f>
        <v>0</v>
      </c>
      <c r="CK143" s="199" t="n">
        <f aca="false">CK$4*CK38</f>
        <v>0</v>
      </c>
      <c r="CL143" s="200" t="n">
        <f aca="false">CL$4*CL38</f>
        <v>0</v>
      </c>
      <c r="CM143" s="194" t="str">
        <f aca="false">CB143</f>
        <v>Alumno33</v>
      </c>
      <c r="CN143" s="198" t="n">
        <f aca="false">CN$4*CN38</f>
        <v>0</v>
      </c>
      <c r="CO143" s="199" t="n">
        <f aca="false">CO$4*CO38</f>
        <v>0</v>
      </c>
      <c r="CP143" s="199" t="n">
        <f aca="false">CP$4*CP38</f>
        <v>0</v>
      </c>
      <c r="CQ143" s="199" t="n">
        <f aca="false">CQ$4*CQ38</f>
        <v>0</v>
      </c>
      <c r="CR143" s="199" t="n">
        <f aca="false">CR$4*CR38</f>
        <v>0</v>
      </c>
      <c r="CS143" s="199" t="n">
        <f aca="false">CS$4*CS38</f>
        <v>0</v>
      </c>
      <c r="CT143" s="199" t="n">
        <f aca="false">CT$4*CT38</f>
        <v>0</v>
      </c>
      <c r="CU143" s="199" t="n">
        <f aca="false">CU$4*CU38</f>
        <v>0</v>
      </c>
      <c r="CV143" s="199" t="n">
        <f aca="false">CV$4*CV38</f>
        <v>0</v>
      </c>
      <c r="CW143" s="200" t="n">
        <f aca="false">CW$4*CW38</f>
        <v>0</v>
      </c>
      <c r="CX143" s="194" t="str">
        <f aca="false">CM143</f>
        <v>Alumno33</v>
      </c>
      <c r="CY143" s="198" t="n">
        <f aca="false">CY$4*CY38</f>
        <v>0</v>
      </c>
      <c r="CZ143" s="199" t="n">
        <f aca="false">CZ$4*CZ38</f>
        <v>0</v>
      </c>
      <c r="DA143" s="199" t="n">
        <f aca="false">DA$4*DA38</f>
        <v>0</v>
      </c>
      <c r="DB143" s="199" t="n">
        <f aca="false">DB$4*DB38</f>
        <v>0</v>
      </c>
      <c r="DC143" s="199" t="n">
        <f aca="false">DC$4*DC38</f>
        <v>0</v>
      </c>
      <c r="DD143" s="199" t="n">
        <f aca="false">DD$4*DD38</f>
        <v>0</v>
      </c>
      <c r="DE143" s="199" t="n">
        <f aca="false">DE$4*DE38</f>
        <v>0</v>
      </c>
      <c r="DF143" s="199" t="n">
        <f aca="false">DF$4*DF38</f>
        <v>0</v>
      </c>
      <c r="DG143" s="199" t="n">
        <f aca="false">DG$4*DG38</f>
        <v>0</v>
      </c>
      <c r="DH143" s="200" t="n">
        <f aca="false">DH$4*DH38</f>
        <v>0</v>
      </c>
      <c r="DI143" s="194" t="str">
        <f aca="false">CX143</f>
        <v>Alumno33</v>
      </c>
      <c r="DJ143" s="198" t="n">
        <f aca="false">DJ$4*DJ38</f>
        <v>0</v>
      </c>
      <c r="DK143" s="199" t="n">
        <f aca="false">DK$4*DK38</f>
        <v>0</v>
      </c>
      <c r="DL143" s="199" t="n">
        <f aca="false">DL$4*DL38</f>
        <v>0</v>
      </c>
      <c r="DM143" s="199" t="n">
        <f aca="false">DM$4*DM38</f>
        <v>0</v>
      </c>
      <c r="DN143" s="199" t="n">
        <f aca="false">DN$4*DN38</f>
        <v>0</v>
      </c>
      <c r="DO143" s="199" t="n">
        <f aca="false">DO$4*DO38</f>
        <v>0</v>
      </c>
      <c r="DP143" s="199" t="n">
        <f aca="false">DP$4*DP38</f>
        <v>0</v>
      </c>
      <c r="DQ143" s="199" t="n">
        <f aca="false">DQ$4*DQ38</f>
        <v>0</v>
      </c>
      <c r="DR143" s="199" t="n">
        <f aca="false">DR$4*DR38</f>
        <v>0</v>
      </c>
      <c r="DS143" s="200" t="n">
        <f aca="false">DS$4*DS38</f>
        <v>0</v>
      </c>
      <c r="DT143" s="194" t="str">
        <f aca="false">DI143</f>
        <v>Alumno33</v>
      </c>
      <c r="DU143" s="198" t="n">
        <f aca="false">DU$4*DU38</f>
        <v>0</v>
      </c>
      <c r="DV143" s="199" t="n">
        <f aca="false">DV$4*DV38</f>
        <v>0</v>
      </c>
      <c r="DW143" s="199" t="n">
        <f aca="false">DW$4*DW38</f>
        <v>0</v>
      </c>
      <c r="DX143" s="199" t="n">
        <f aca="false">DX$4*DX38</f>
        <v>0</v>
      </c>
      <c r="DY143" s="199" t="n">
        <f aca="false">DY$4*DY38</f>
        <v>0</v>
      </c>
      <c r="DZ143" s="199" t="n">
        <f aca="false">DZ$4*DZ38</f>
        <v>0</v>
      </c>
      <c r="EA143" s="199" t="n">
        <f aca="false">EA$4*EA38</f>
        <v>0</v>
      </c>
      <c r="EB143" s="199" t="n">
        <f aca="false">EB$4*EB38</f>
        <v>0</v>
      </c>
      <c r="EC143" s="199" t="n">
        <f aca="false">EC$4*EC38</f>
        <v>0</v>
      </c>
      <c r="ED143" s="200" t="n">
        <f aca="false">ED$4*ED38</f>
        <v>0</v>
      </c>
      <c r="EE143" s="194" t="str">
        <f aca="false">DT143</f>
        <v>Alumno33</v>
      </c>
      <c r="EF143" s="198" t="n">
        <f aca="false">EF$4*EF38</f>
        <v>0</v>
      </c>
      <c r="EG143" s="199" t="n">
        <f aca="false">EG$4*EG38</f>
        <v>0</v>
      </c>
      <c r="EH143" s="199" t="n">
        <f aca="false">EH$4*EH38</f>
        <v>0</v>
      </c>
      <c r="EI143" s="199" t="n">
        <f aca="false">EI$4*EI38</f>
        <v>0</v>
      </c>
      <c r="EJ143" s="199" t="n">
        <f aca="false">EJ$4*EJ38</f>
        <v>0</v>
      </c>
      <c r="EK143" s="199" t="n">
        <f aca="false">EK$4*EK38</f>
        <v>0</v>
      </c>
      <c r="EL143" s="199" t="n">
        <f aca="false">EL$4*EL38</f>
        <v>0</v>
      </c>
      <c r="EM143" s="199" t="n">
        <f aca="false">EM$4*EM38</f>
        <v>0</v>
      </c>
      <c r="EN143" s="199" t="n">
        <f aca="false">EN$4*EN38</f>
        <v>0</v>
      </c>
      <c r="EO143" s="200" t="n">
        <f aca="false">EO$4*EO38</f>
        <v>0</v>
      </c>
      <c r="EP143" s="194" t="str">
        <f aca="false">EE143</f>
        <v>Alumno33</v>
      </c>
      <c r="EQ143" s="198" t="n">
        <f aca="false">EQ$4*EQ38</f>
        <v>0</v>
      </c>
      <c r="ER143" s="199" t="n">
        <f aca="false">ER$4*ER38</f>
        <v>0</v>
      </c>
      <c r="ES143" s="199" t="n">
        <f aca="false">ES$4*ES38</f>
        <v>0</v>
      </c>
      <c r="ET143" s="199" t="n">
        <f aca="false">ET$4*ET38</f>
        <v>0</v>
      </c>
      <c r="EU143" s="199" t="n">
        <f aca="false">EU$4*EU38</f>
        <v>0</v>
      </c>
      <c r="EV143" s="199" t="n">
        <f aca="false">EV$4*EV38</f>
        <v>0</v>
      </c>
      <c r="EW143" s="199" t="n">
        <f aca="false">EW$4*EW38</f>
        <v>0</v>
      </c>
      <c r="EX143" s="199" t="n">
        <f aca="false">EX$4*EX38</f>
        <v>0</v>
      </c>
      <c r="EY143" s="199" t="n">
        <f aca="false">EY$4*EY38</f>
        <v>0</v>
      </c>
      <c r="EZ143" s="200" t="n">
        <f aca="false">EZ$4*EZ38</f>
        <v>0</v>
      </c>
      <c r="FA143" s="194" t="str">
        <f aca="false">EP143</f>
        <v>Alumno33</v>
      </c>
      <c r="FB143" s="198" t="n">
        <f aca="false">FB$4*FB38</f>
        <v>0</v>
      </c>
      <c r="FC143" s="199" t="n">
        <f aca="false">FC$4*FC38</f>
        <v>0</v>
      </c>
      <c r="FD143" s="199" t="n">
        <f aca="false">FD$4*FD38</f>
        <v>0</v>
      </c>
      <c r="FE143" s="199" t="n">
        <f aca="false">FE$4*FE38</f>
        <v>0</v>
      </c>
      <c r="FF143" s="199" t="n">
        <f aca="false">FF$4*FF38</f>
        <v>0</v>
      </c>
      <c r="FG143" s="199" t="n">
        <f aca="false">FG$4*FG38</f>
        <v>0</v>
      </c>
      <c r="FH143" s="199" t="n">
        <f aca="false">FH$4*FH38</f>
        <v>0</v>
      </c>
      <c r="FI143" s="199" t="n">
        <f aca="false">FI$4*FI38</f>
        <v>0</v>
      </c>
      <c r="FJ143" s="199" t="n">
        <f aca="false">FJ$4*FJ38</f>
        <v>0</v>
      </c>
      <c r="FK143" s="200" t="n">
        <f aca="false">FK$4*FK38</f>
        <v>0</v>
      </c>
      <c r="FL143" s="194" t="str">
        <f aca="false">FA143</f>
        <v>Alumno33</v>
      </c>
      <c r="FM143" s="198" t="n">
        <f aca="false">FM$4*FM38</f>
        <v>0</v>
      </c>
      <c r="FN143" s="199" t="n">
        <f aca="false">FN$4*FN38</f>
        <v>0</v>
      </c>
      <c r="FO143" s="199" t="n">
        <f aca="false">FO$4*FO38</f>
        <v>0</v>
      </c>
      <c r="FP143" s="199" t="n">
        <f aca="false">FP$4*FP38</f>
        <v>0</v>
      </c>
      <c r="FQ143" s="199" t="n">
        <f aca="false">FQ$4*FQ38</f>
        <v>0</v>
      </c>
      <c r="FR143" s="199" t="n">
        <f aca="false">FR$4*FR38</f>
        <v>0</v>
      </c>
      <c r="FS143" s="199" t="n">
        <f aca="false">FS$4*FS38</f>
        <v>0</v>
      </c>
      <c r="FT143" s="199" t="n">
        <f aca="false">FT$4*FT38</f>
        <v>0</v>
      </c>
      <c r="FU143" s="199" t="n">
        <f aca="false">FU$4*FU38</f>
        <v>0</v>
      </c>
      <c r="FV143" s="200" t="n">
        <f aca="false">FV$4*FV38</f>
        <v>0</v>
      </c>
      <c r="FW143" s="194" t="str">
        <f aca="false">FL143</f>
        <v>Alumno33</v>
      </c>
      <c r="FX143" s="198" t="n">
        <f aca="false">FX$4*FX38</f>
        <v>0</v>
      </c>
      <c r="FY143" s="199" t="n">
        <f aca="false">FY$4*FY38</f>
        <v>0</v>
      </c>
      <c r="FZ143" s="199" t="n">
        <f aca="false">FZ$4*FZ38</f>
        <v>0</v>
      </c>
      <c r="GA143" s="199" t="n">
        <f aca="false">GA$4*GA38</f>
        <v>0</v>
      </c>
      <c r="GB143" s="199" t="n">
        <f aca="false">GB$4*GB38</f>
        <v>0</v>
      </c>
      <c r="GC143" s="199" t="n">
        <f aca="false">GC$4*GC38</f>
        <v>0</v>
      </c>
      <c r="GD143" s="199" t="n">
        <f aca="false">GD$4*GD38</f>
        <v>0</v>
      </c>
      <c r="GE143" s="199" t="n">
        <f aca="false">GE$4*GE38</f>
        <v>0</v>
      </c>
      <c r="GF143" s="199" t="n">
        <f aca="false">GF$4*GF38</f>
        <v>0</v>
      </c>
      <c r="GG143" s="200" t="n">
        <f aca="false">GG$4*GG38</f>
        <v>0</v>
      </c>
      <c r="GH143" s="194" t="str">
        <f aca="false">FW143</f>
        <v>Alumno33</v>
      </c>
      <c r="GI143" s="198" t="n">
        <f aca="false">GI$4*GI38</f>
        <v>0</v>
      </c>
      <c r="GJ143" s="199" t="n">
        <f aca="false">GJ$4*GJ38</f>
        <v>0</v>
      </c>
      <c r="GK143" s="199" t="n">
        <f aca="false">GK$4*GK38</f>
        <v>0</v>
      </c>
      <c r="GL143" s="199" t="n">
        <f aca="false">GL$4*GL38</f>
        <v>0</v>
      </c>
      <c r="GM143" s="199" t="n">
        <f aca="false">GM$4*GM38</f>
        <v>0</v>
      </c>
      <c r="GN143" s="199" t="n">
        <f aca="false">GN$4*GN38</f>
        <v>0</v>
      </c>
      <c r="GO143" s="199" t="n">
        <f aca="false">GO$4*GO38</f>
        <v>0</v>
      </c>
      <c r="GP143" s="199" t="n">
        <f aca="false">GP$4*GP38</f>
        <v>0</v>
      </c>
      <c r="GQ143" s="199" t="n">
        <f aca="false">GQ$4*GQ38</f>
        <v>0</v>
      </c>
      <c r="GR143" s="200" t="n">
        <f aca="false">GR$4*GR38</f>
        <v>0</v>
      </c>
      <c r="GS143" s="194" t="str">
        <f aca="false">GH143</f>
        <v>Alumno33</v>
      </c>
      <c r="GT143" s="198" t="n">
        <f aca="false">GT$4*GT38</f>
        <v>0</v>
      </c>
      <c r="GU143" s="199" t="n">
        <f aca="false">GU$4*GU38</f>
        <v>0</v>
      </c>
      <c r="GV143" s="199" t="n">
        <f aca="false">GV$4*GV38</f>
        <v>0</v>
      </c>
      <c r="GW143" s="199" t="n">
        <f aca="false">GW$4*GW38</f>
        <v>0</v>
      </c>
      <c r="GX143" s="199" t="n">
        <f aca="false">GX$4*GX38</f>
        <v>0</v>
      </c>
      <c r="GY143" s="199" t="n">
        <f aca="false">GY$4*GY38</f>
        <v>0</v>
      </c>
      <c r="GZ143" s="199" t="n">
        <f aca="false">GZ$4*GZ38</f>
        <v>0</v>
      </c>
      <c r="HA143" s="199" t="n">
        <f aca="false">HA$4*HA38</f>
        <v>0</v>
      </c>
      <c r="HB143" s="199" t="n">
        <f aca="false">HB$4*HB38</f>
        <v>0</v>
      </c>
      <c r="HC143" s="200" t="n">
        <f aca="false">HC$4*HC38</f>
        <v>0</v>
      </c>
      <c r="HD143" s="194" t="str">
        <f aca="false">GS143</f>
        <v>Alumno33</v>
      </c>
      <c r="HE143" s="198" t="n">
        <f aca="false">HE$4*HE38</f>
        <v>0</v>
      </c>
      <c r="HF143" s="199" t="n">
        <f aca="false">HF$4*HF38</f>
        <v>0</v>
      </c>
      <c r="HG143" s="199" t="n">
        <f aca="false">HG$4*HG38</f>
        <v>0</v>
      </c>
      <c r="HH143" s="199" t="n">
        <f aca="false">HH$4*HH38</f>
        <v>0</v>
      </c>
      <c r="HI143" s="199" t="n">
        <f aca="false">HI$4*HI38</f>
        <v>0</v>
      </c>
      <c r="HJ143" s="199" t="n">
        <f aca="false">HJ$4*HJ38</f>
        <v>0</v>
      </c>
      <c r="HK143" s="199" t="n">
        <f aca="false">HK$4*HK38</f>
        <v>0</v>
      </c>
      <c r="HL143" s="199" t="n">
        <f aca="false">HL$4*HL38</f>
        <v>0</v>
      </c>
      <c r="HM143" s="199" t="n">
        <f aca="false">HM$4*HM38</f>
        <v>0</v>
      </c>
      <c r="HN143" s="200" t="n">
        <f aca="false">HN$4*HN38</f>
        <v>0</v>
      </c>
      <c r="HO143" s="194" t="str">
        <f aca="false">HD143</f>
        <v>Alumno33</v>
      </c>
      <c r="HP143" s="198" t="n">
        <f aca="false">HP$4*HP38</f>
        <v>0</v>
      </c>
      <c r="HQ143" s="199" t="n">
        <f aca="false">HQ$4*HQ38</f>
        <v>0</v>
      </c>
      <c r="HR143" s="199" t="n">
        <f aca="false">HR$4*HR38</f>
        <v>0</v>
      </c>
      <c r="HS143" s="199" t="n">
        <f aca="false">HS$4*HS38</f>
        <v>0</v>
      </c>
      <c r="HT143" s="199" t="n">
        <f aca="false">HT$4*HT38</f>
        <v>0</v>
      </c>
      <c r="HU143" s="199" t="n">
        <f aca="false">HU$4*HU38</f>
        <v>0</v>
      </c>
      <c r="HV143" s="199" t="n">
        <f aca="false">HV$4*HV38</f>
        <v>0</v>
      </c>
      <c r="HW143" s="199" t="n">
        <f aca="false">HW$4*HW38</f>
        <v>0</v>
      </c>
      <c r="HX143" s="199" t="n">
        <f aca="false">HX$4*HX38</f>
        <v>0</v>
      </c>
      <c r="HY143" s="200" t="n">
        <f aca="false">HY$4*HY38</f>
        <v>0</v>
      </c>
      <c r="HZ143" s="194" t="str">
        <f aca="false">HO143</f>
        <v>Alumno33</v>
      </c>
      <c r="IA143" s="198" t="n">
        <f aca="false">IA$4*IA38</f>
        <v>0</v>
      </c>
      <c r="IB143" s="199" t="n">
        <f aca="false">IB$4*IB38</f>
        <v>0</v>
      </c>
      <c r="IC143" s="199" t="n">
        <f aca="false">IC$4*IC38</f>
        <v>0</v>
      </c>
      <c r="ID143" s="199" t="n">
        <f aca="false">ID$4*ID38</f>
        <v>0</v>
      </c>
      <c r="IE143" s="199" t="n">
        <f aca="false">IE$4*IE38</f>
        <v>0</v>
      </c>
      <c r="IF143" s="199" t="n">
        <f aca="false">IF$4*IF38</f>
        <v>0</v>
      </c>
      <c r="IG143" s="199" t="n">
        <f aca="false">IG$4*IG38</f>
        <v>0</v>
      </c>
      <c r="IH143" s="199" t="n">
        <f aca="false">IH$4*IH38</f>
        <v>0</v>
      </c>
      <c r="II143" s="199" t="n">
        <f aca="false">II$4*II38</f>
        <v>0</v>
      </c>
      <c r="IJ143" s="200" t="n">
        <f aca="false">IJ$4*IJ38</f>
        <v>0</v>
      </c>
      <c r="IK143" s="194" t="str">
        <f aca="false">HZ143</f>
        <v>Alumno33</v>
      </c>
      <c r="IL143" s="198" t="n">
        <f aca="false">IL$4*IL38</f>
        <v>0</v>
      </c>
      <c r="IM143" s="199" t="n">
        <f aca="false">IM$4*IM38</f>
        <v>0</v>
      </c>
      <c r="IN143" s="199" t="n">
        <f aca="false">IN$4*IN38</f>
        <v>0</v>
      </c>
      <c r="IO143" s="199" t="n">
        <f aca="false">IO$4*IO38</f>
        <v>0</v>
      </c>
      <c r="IP143" s="199" t="n">
        <f aca="false">IP$4*IP38</f>
        <v>0</v>
      </c>
      <c r="IQ143" s="199" t="n">
        <f aca="false">IQ$4*IQ38</f>
        <v>0</v>
      </c>
      <c r="IR143" s="199" t="n">
        <f aca="false">IR$4*IR38</f>
        <v>0</v>
      </c>
      <c r="IS143" s="199" t="n">
        <f aca="false">IS$4*IS38</f>
        <v>0</v>
      </c>
      <c r="IT143" s="199" t="n">
        <f aca="false">IT$4*IT38</f>
        <v>0</v>
      </c>
      <c r="IU143" s="200" t="n">
        <f aca="false">IU$4*IU38</f>
        <v>0</v>
      </c>
      <c r="IV143" s="194" t="str">
        <f aca="false">IK143</f>
        <v>Alumno33</v>
      </c>
      <c r="IW143" s="198" t="n">
        <f aca="false">IW$4*IW38</f>
        <v>0</v>
      </c>
      <c r="IX143" s="199" t="n">
        <f aca="false">IX$4*IX38</f>
        <v>0</v>
      </c>
      <c r="IY143" s="199" t="n">
        <f aca="false">IY$4*IY38</f>
        <v>0</v>
      </c>
      <c r="IZ143" s="199" t="n">
        <f aca="false">IZ$4*IZ38</f>
        <v>0</v>
      </c>
      <c r="JA143" s="199" t="n">
        <f aca="false">JA$4*JA38</f>
        <v>0</v>
      </c>
      <c r="JB143" s="199" t="n">
        <f aca="false">JB$4*JB38</f>
        <v>0</v>
      </c>
      <c r="JC143" s="199" t="n">
        <f aca="false">JC$4*JC38</f>
        <v>0</v>
      </c>
      <c r="JD143" s="199" t="n">
        <f aca="false">JD$4*JD38</f>
        <v>0</v>
      </c>
      <c r="JE143" s="199" t="n">
        <f aca="false">JE$4*JE38</f>
        <v>0</v>
      </c>
      <c r="JF143" s="200" t="n">
        <f aca="false">JF$4*JF38</f>
        <v>0</v>
      </c>
      <c r="JG143" s="194" t="str">
        <f aca="false">IV143</f>
        <v>Alumno33</v>
      </c>
      <c r="JH143" s="198" t="n">
        <f aca="false">JH$4*JH38</f>
        <v>0</v>
      </c>
      <c r="JI143" s="199" t="n">
        <f aca="false">JI$4*JI38</f>
        <v>0</v>
      </c>
      <c r="JJ143" s="199" t="n">
        <f aca="false">JJ$4*JJ38</f>
        <v>0</v>
      </c>
      <c r="JK143" s="199" t="n">
        <f aca="false">JK$4*JK38</f>
        <v>0</v>
      </c>
      <c r="JL143" s="199" t="n">
        <f aca="false">JL$4*JL38</f>
        <v>0</v>
      </c>
      <c r="JM143" s="199" t="n">
        <f aca="false">JM$4*JM38</f>
        <v>0</v>
      </c>
      <c r="JN143" s="199" t="n">
        <f aca="false">JN$4*JN38</f>
        <v>0</v>
      </c>
      <c r="JO143" s="199" t="n">
        <f aca="false">JO$4*JO38</f>
        <v>0</v>
      </c>
      <c r="JP143" s="199" t="n">
        <f aca="false">JP$4*JP38</f>
        <v>0</v>
      </c>
      <c r="JQ143" s="200" t="n">
        <f aca="false">JQ$4*JQ38</f>
        <v>0</v>
      </c>
      <c r="JR143" s="194" t="str">
        <f aca="false">JG143</f>
        <v>Alumno33</v>
      </c>
      <c r="JS143" s="198" t="n">
        <f aca="false">JS$4*JS38</f>
        <v>0</v>
      </c>
      <c r="JT143" s="199" t="n">
        <f aca="false">JT$4*JT38</f>
        <v>0</v>
      </c>
      <c r="JU143" s="199" t="n">
        <f aca="false">JU$4*JU38</f>
        <v>0</v>
      </c>
      <c r="JV143" s="199" t="n">
        <f aca="false">JV$4*JV38</f>
        <v>0</v>
      </c>
      <c r="JW143" s="199" t="n">
        <f aca="false">JW$4*JW38</f>
        <v>0</v>
      </c>
      <c r="JX143" s="199" t="n">
        <f aca="false">JX$4*JX38</f>
        <v>0</v>
      </c>
      <c r="JY143" s="199" t="n">
        <f aca="false">JY$4*JY38</f>
        <v>0</v>
      </c>
      <c r="JZ143" s="199" t="n">
        <f aca="false">JZ$4*JZ38</f>
        <v>0</v>
      </c>
      <c r="KA143" s="199" t="n">
        <f aca="false">KA$4*KA38</f>
        <v>0</v>
      </c>
      <c r="KB143" s="200" t="n">
        <f aca="false">KB$4*KB38</f>
        <v>0</v>
      </c>
      <c r="KC143" s="194" t="str">
        <f aca="false">JR143</f>
        <v>Alumno33</v>
      </c>
      <c r="KD143" s="198" t="n">
        <f aca="false">KD$4*KD38</f>
        <v>0</v>
      </c>
      <c r="KE143" s="199" t="n">
        <f aca="false">KE$4*KE38</f>
        <v>0</v>
      </c>
      <c r="KF143" s="199" t="n">
        <f aca="false">KF$4*KF38</f>
        <v>0</v>
      </c>
      <c r="KG143" s="199" t="n">
        <f aca="false">KG$4*KG38</f>
        <v>0</v>
      </c>
      <c r="KH143" s="199" t="n">
        <f aca="false">KH$4*KH38</f>
        <v>0</v>
      </c>
      <c r="KI143" s="199" t="n">
        <f aca="false">KI$4*KI38</f>
        <v>0</v>
      </c>
      <c r="KJ143" s="199" t="n">
        <f aca="false">KJ$4*KJ38</f>
        <v>0</v>
      </c>
      <c r="KK143" s="199" t="n">
        <f aca="false">KK$4*KK38</f>
        <v>0</v>
      </c>
      <c r="KL143" s="199" t="n">
        <f aca="false">KL$4*KL38</f>
        <v>0</v>
      </c>
      <c r="KM143" s="200" t="n">
        <f aca="false">KM$4*KM38</f>
        <v>0</v>
      </c>
      <c r="KN143" s="194" t="str">
        <f aca="false">KC143</f>
        <v>Alumno33</v>
      </c>
      <c r="KO143" s="198" t="n">
        <f aca="false">KO$4*KO38</f>
        <v>0</v>
      </c>
      <c r="KP143" s="199" t="n">
        <f aca="false">KP$4*KP38</f>
        <v>0</v>
      </c>
      <c r="KQ143" s="199" t="n">
        <f aca="false">KQ$4*KQ38</f>
        <v>0</v>
      </c>
      <c r="KR143" s="199" t="n">
        <f aca="false">KR$4*KR38</f>
        <v>0</v>
      </c>
      <c r="KS143" s="199" t="n">
        <f aca="false">KS$4*KS38</f>
        <v>0</v>
      </c>
      <c r="KT143" s="199" t="n">
        <f aca="false">KT$4*KT38</f>
        <v>0</v>
      </c>
      <c r="KU143" s="199" t="n">
        <f aca="false">KU$4*KU38</f>
        <v>0</v>
      </c>
      <c r="KV143" s="199" t="n">
        <f aca="false">KV$4*KV38</f>
        <v>0</v>
      </c>
      <c r="KW143" s="199" t="n">
        <f aca="false">KW$4*KW38</f>
        <v>0</v>
      </c>
      <c r="KX143" s="200" t="n">
        <f aca="false">KX$4*KX38</f>
        <v>0</v>
      </c>
      <c r="KY143" s="194" t="str">
        <f aca="false">KN143</f>
        <v>Alumno33</v>
      </c>
      <c r="KZ143" s="198" t="n">
        <f aca="false">KZ$4*KZ38</f>
        <v>0</v>
      </c>
      <c r="LA143" s="199" t="n">
        <f aca="false">LA$4*LA38</f>
        <v>0</v>
      </c>
      <c r="LB143" s="199" t="n">
        <f aca="false">LB$4*LB38</f>
        <v>0</v>
      </c>
      <c r="LC143" s="199" t="n">
        <f aca="false">LC$4*LC38</f>
        <v>0</v>
      </c>
      <c r="LD143" s="199" t="n">
        <f aca="false">LD$4*LD38</f>
        <v>0</v>
      </c>
      <c r="LE143" s="199" t="n">
        <f aca="false">LE$4*LE38</f>
        <v>0</v>
      </c>
      <c r="LF143" s="199" t="n">
        <f aca="false">LF$4*LF38</f>
        <v>0</v>
      </c>
      <c r="LG143" s="199" t="n">
        <f aca="false">LG$4*LG38</f>
        <v>0</v>
      </c>
      <c r="LH143" s="199" t="n">
        <f aca="false">LH$4*LH38</f>
        <v>0</v>
      </c>
      <c r="LI143" s="200" t="n">
        <f aca="false">LI$4*LI38</f>
        <v>0</v>
      </c>
      <c r="LJ143" s="194" t="str">
        <f aca="false">KY143</f>
        <v>Alumno33</v>
      </c>
      <c r="LK143" s="198" t="n">
        <f aca="false">LK$4*LK38</f>
        <v>0</v>
      </c>
      <c r="LL143" s="199" t="n">
        <f aca="false">LL$4*LL38</f>
        <v>0</v>
      </c>
      <c r="LM143" s="199" t="n">
        <f aca="false">LM$4*LM38</f>
        <v>0</v>
      </c>
      <c r="LN143" s="199" t="n">
        <f aca="false">LN$4*LN38</f>
        <v>0</v>
      </c>
      <c r="LO143" s="199" t="n">
        <f aca="false">LO$4*LO38</f>
        <v>0</v>
      </c>
      <c r="LP143" s="199" t="n">
        <f aca="false">LP$4*LP38</f>
        <v>0</v>
      </c>
      <c r="LQ143" s="199" t="n">
        <f aca="false">LQ$4*LQ38</f>
        <v>0</v>
      </c>
      <c r="LR143" s="199" t="n">
        <f aca="false">LR$4*LR38</f>
        <v>0</v>
      </c>
      <c r="LS143" s="199" t="n">
        <f aca="false">LS$4*LS38</f>
        <v>0</v>
      </c>
      <c r="LT143" s="200" t="n">
        <f aca="false">LT$4*LT38</f>
        <v>0</v>
      </c>
    </row>
    <row r="144" customFormat="false" ht="15" hidden="true" customHeight="false" outlineLevel="0" collapsed="false">
      <c r="C144" s="194" t="str">
        <f aca="false">C95</f>
        <v>Alumno34</v>
      </c>
      <c r="D144" s="198" t="n">
        <f aca="false">D$4*D39</f>
        <v>0</v>
      </c>
      <c r="E144" s="199" t="n">
        <f aca="false">E$4*E39</f>
        <v>0</v>
      </c>
      <c r="F144" s="199" t="n">
        <f aca="false">F$4*F39</f>
        <v>0</v>
      </c>
      <c r="G144" s="199" t="n">
        <f aca="false">G$4*G39</f>
        <v>0</v>
      </c>
      <c r="H144" s="199" t="n">
        <f aca="false">H$4*H39</f>
        <v>0</v>
      </c>
      <c r="I144" s="199" t="n">
        <f aca="false">I$4*I39</f>
        <v>0</v>
      </c>
      <c r="J144" s="199" t="n">
        <f aca="false">J$4*J39</f>
        <v>0</v>
      </c>
      <c r="K144" s="199" t="n">
        <f aca="false">K$4*K39</f>
        <v>0</v>
      </c>
      <c r="L144" s="199" t="n">
        <f aca="false">L$4*L39</f>
        <v>0</v>
      </c>
      <c r="M144" s="200" t="n">
        <f aca="false">M$4*M39</f>
        <v>0</v>
      </c>
      <c r="N144" s="194" t="str">
        <f aca="false">C144</f>
        <v>Alumno34</v>
      </c>
      <c r="O144" s="198" t="n">
        <f aca="false">O$4*O39</f>
        <v>0</v>
      </c>
      <c r="P144" s="199" t="n">
        <f aca="false">P$4*P39</f>
        <v>0</v>
      </c>
      <c r="Q144" s="199" t="n">
        <f aca="false">Q$4*Q39</f>
        <v>0</v>
      </c>
      <c r="R144" s="199" t="n">
        <f aca="false">R$4*R39</f>
        <v>0</v>
      </c>
      <c r="S144" s="199" t="n">
        <f aca="false">S$4*S39</f>
        <v>0</v>
      </c>
      <c r="T144" s="199" t="n">
        <f aca="false">T$4*T39</f>
        <v>0</v>
      </c>
      <c r="U144" s="199" t="n">
        <f aca="false">U$4*U39</f>
        <v>0</v>
      </c>
      <c r="V144" s="199" t="n">
        <f aca="false">V$4*V39</f>
        <v>0</v>
      </c>
      <c r="W144" s="199" t="n">
        <f aca="false">W$4*W39</f>
        <v>0</v>
      </c>
      <c r="X144" s="200" t="n">
        <f aca="false">X$4*X39</f>
        <v>0</v>
      </c>
      <c r="Y144" s="194" t="str">
        <f aca="false">N144</f>
        <v>Alumno34</v>
      </c>
      <c r="Z144" s="198" t="n">
        <f aca="false">Z$4*Z39</f>
        <v>0</v>
      </c>
      <c r="AA144" s="199" t="n">
        <f aca="false">AA$4*AA39</f>
        <v>0</v>
      </c>
      <c r="AB144" s="199" t="n">
        <f aca="false">AB$4*AB39</f>
        <v>0</v>
      </c>
      <c r="AC144" s="199" t="n">
        <f aca="false">AC$4*AC39</f>
        <v>0</v>
      </c>
      <c r="AD144" s="199" t="n">
        <f aca="false">AD$4*AD39</f>
        <v>0</v>
      </c>
      <c r="AE144" s="199" t="n">
        <f aca="false">AE$4*AE39</f>
        <v>0</v>
      </c>
      <c r="AF144" s="199" t="n">
        <f aca="false">AF$4*AF39</f>
        <v>0</v>
      </c>
      <c r="AG144" s="199" t="n">
        <f aca="false">AG$4*AG39</f>
        <v>0</v>
      </c>
      <c r="AH144" s="199" t="n">
        <f aca="false">AH$4*AH39</f>
        <v>0</v>
      </c>
      <c r="AI144" s="200" t="n">
        <f aca="false">AI$4*AI39</f>
        <v>0</v>
      </c>
      <c r="AJ144" s="194" t="str">
        <f aca="false">Y144</f>
        <v>Alumno34</v>
      </c>
      <c r="AK144" s="198" t="n">
        <f aca="false">AK$4*AK39</f>
        <v>0</v>
      </c>
      <c r="AL144" s="199" t="n">
        <f aca="false">AL$4*AL39</f>
        <v>0</v>
      </c>
      <c r="AM144" s="199" t="n">
        <f aca="false">AM$4*AM39</f>
        <v>0</v>
      </c>
      <c r="AN144" s="199" t="n">
        <f aca="false">AN$4*AN39</f>
        <v>0</v>
      </c>
      <c r="AO144" s="199" t="n">
        <f aca="false">AO$4*AO39</f>
        <v>0</v>
      </c>
      <c r="AP144" s="199" t="n">
        <f aca="false">AP$4*AP39</f>
        <v>0</v>
      </c>
      <c r="AQ144" s="199" t="n">
        <f aca="false">AQ$4*AQ39</f>
        <v>0</v>
      </c>
      <c r="AR144" s="199" t="n">
        <f aca="false">AR$4*AR39</f>
        <v>0</v>
      </c>
      <c r="AS144" s="199" t="n">
        <f aca="false">AS$4*AS39</f>
        <v>0</v>
      </c>
      <c r="AT144" s="200" t="n">
        <f aca="false">AT$4*AT39</f>
        <v>0</v>
      </c>
      <c r="AU144" s="194" t="str">
        <f aca="false">AJ144</f>
        <v>Alumno34</v>
      </c>
      <c r="AV144" s="198" t="n">
        <f aca="false">AV$4*AV39</f>
        <v>0</v>
      </c>
      <c r="AW144" s="199" t="n">
        <f aca="false">AW$4*AW39</f>
        <v>0</v>
      </c>
      <c r="AX144" s="199" t="n">
        <f aca="false">AX$4*AX39</f>
        <v>0</v>
      </c>
      <c r="AY144" s="199" t="n">
        <f aca="false">AY$4*AY39</f>
        <v>0</v>
      </c>
      <c r="AZ144" s="199" t="n">
        <f aca="false">AZ$4*AZ39</f>
        <v>0</v>
      </c>
      <c r="BA144" s="199" t="n">
        <f aca="false">BA$4*BA39</f>
        <v>0</v>
      </c>
      <c r="BB144" s="199" t="n">
        <f aca="false">BB$4*BB39</f>
        <v>0</v>
      </c>
      <c r="BC144" s="199" t="n">
        <f aca="false">BC$4*BC39</f>
        <v>0</v>
      </c>
      <c r="BD144" s="199" t="n">
        <f aca="false">BD$4*BD39</f>
        <v>0</v>
      </c>
      <c r="BE144" s="200" t="n">
        <f aca="false">BE$4*BE39</f>
        <v>0</v>
      </c>
      <c r="BF144" s="194" t="str">
        <f aca="false">AU144</f>
        <v>Alumno34</v>
      </c>
      <c r="BG144" s="198" t="n">
        <f aca="false">BG$4*BG39</f>
        <v>0</v>
      </c>
      <c r="BH144" s="199" t="n">
        <f aca="false">BH$4*BH39</f>
        <v>0</v>
      </c>
      <c r="BI144" s="199" t="n">
        <f aca="false">BI$4*BI39</f>
        <v>0</v>
      </c>
      <c r="BJ144" s="199" t="n">
        <f aca="false">BJ$4*BJ39</f>
        <v>0</v>
      </c>
      <c r="BK144" s="199" t="n">
        <f aca="false">BK$4*BK39</f>
        <v>0</v>
      </c>
      <c r="BL144" s="199" t="n">
        <f aca="false">BL$4*BL39</f>
        <v>0</v>
      </c>
      <c r="BM144" s="199" t="n">
        <f aca="false">BM$4*BM39</f>
        <v>0</v>
      </c>
      <c r="BN144" s="199" t="n">
        <f aca="false">BN$4*BN39</f>
        <v>0</v>
      </c>
      <c r="BO144" s="199" t="n">
        <f aca="false">BO$4*BO39</f>
        <v>0</v>
      </c>
      <c r="BP144" s="200" t="n">
        <f aca="false">BP$4*BP39</f>
        <v>0</v>
      </c>
      <c r="BQ144" s="194" t="str">
        <f aca="false">BF144</f>
        <v>Alumno34</v>
      </c>
      <c r="BR144" s="198" t="n">
        <f aca="false">BR$4*BR39</f>
        <v>0</v>
      </c>
      <c r="BS144" s="199" t="n">
        <f aca="false">BS$4*BS39</f>
        <v>0</v>
      </c>
      <c r="BT144" s="199" t="n">
        <f aca="false">BT$4*BT39</f>
        <v>0</v>
      </c>
      <c r="BU144" s="199" t="n">
        <f aca="false">BU$4*BU39</f>
        <v>0</v>
      </c>
      <c r="BV144" s="199" t="n">
        <f aca="false">BV$4*BV39</f>
        <v>0</v>
      </c>
      <c r="BW144" s="199" t="n">
        <f aca="false">BW$4*BW39</f>
        <v>0</v>
      </c>
      <c r="BX144" s="199" t="n">
        <f aca="false">BX$4*BX39</f>
        <v>0</v>
      </c>
      <c r="BY144" s="199" t="n">
        <f aca="false">BY$4*BY39</f>
        <v>0</v>
      </c>
      <c r="BZ144" s="199" t="n">
        <f aca="false">BZ$4*BZ39</f>
        <v>0</v>
      </c>
      <c r="CA144" s="200" t="n">
        <f aca="false">CA$4*CA39</f>
        <v>0</v>
      </c>
      <c r="CB144" s="194" t="str">
        <f aca="false">BQ144</f>
        <v>Alumno34</v>
      </c>
      <c r="CC144" s="198" t="n">
        <f aca="false">CC$4*CC39</f>
        <v>0</v>
      </c>
      <c r="CD144" s="199" t="n">
        <f aca="false">CD$4*CD39</f>
        <v>0</v>
      </c>
      <c r="CE144" s="199" t="n">
        <f aca="false">CE$4*CE39</f>
        <v>0</v>
      </c>
      <c r="CF144" s="199" t="n">
        <f aca="false">CF$4*CF39</f>
        <v>0</v>
      </c>
      <c r="CG144" s="199" t="n">
        <f aca="false">CG$4*CG39</f>
        <v>0</v>
      </c>
      <c r="CH144" s="199" t="n">
        <f aca="false">CH$4*CH39</f>
        <v>0</v>
      </c>
      <c r="CI144" s="199" t="n">
        <f aca="false">CI$4*CI39</f>
        <v>0</v>
      </c>
      <c r="CJ144" s="199" t="n">
        <f aca="false">CJ$4*CJ39</f>
        <v>0</v>
      </c>
      <c r="CK144" s="199" t="n">
        <f aca="false">CK$4*CK39</f>
        <v>0</v>
      </c>
      <c r="CL144" s="200" t="n">
        <f aca="false">CL$4*CL39</f>
        <v>0</v>
      </c>
      <c r="CM144" s="194" t="str">
        <f aca="false">CB144</f>
        <v>Alumno34</v>
      </c>
      <c r="CN144" s="198" t="n">
        <f aca="false">CN$4*CN39</f>
        <v>0</v>
      </c>
      <c r="CO144" s="199" t="n">
        <f aca="false">CO$4*CO39</f>
        <v>0</v>
      </c>
      <c r="CP144" s="199" t="n">
        <f aca="false">CP$4*CP39</f>
        <v>0</v>
      </c>
      <c r="CQ144" s="199" t="n">
        <f aca="false">CQ$4*CQ39</f>
        <v>0</v>
      </c>
      <c r="CR144" s="199" t="n">
        <f aca="false">CR$4*CR39</f>
        <v>0</v>
      </c>
      <c r="CS144" s="199" t="n">
        <f aca="false">CS$4*CS39</f>
        <v>0</v>
      </c>
      <c r="CT144" s="199" t="n">
        <f aca="false">CT$4*CT39</f>
        <v>0</v>
      </c>
      <c r="CU144" s="199" t="n">
        <f aca="false">CU$4*CU39</f>
        <v>0</v>
      </c>
      <c r="CV144" s="199" t="n">
        <f aca="false">CV$4*CV39</f>
        <v>0</v>
      </c>
      <c r="CW144" s="200" t="n">
        <f aca="false">CW$4*CW39</f>
        <v>0</v>
      </c>
      <c r="CX144" s="194" t="str">
        <f aca="false">CM144</f>
        <v>Alumno34</v>
      </c>
      <c r="CY144" s="198" t="n">
        <f aca="false">CY$4*CY39</f>
        <v>0</v>
      </c>
      <c r="CZ144" s="199" t="n">
        <f aca="false">CZ$4*CZ39</f>
        <v>0</v>
      </c>
      <c r="DA144" s="199" t="n">
        <f aca="false">DA$4*DA39</f>
        <v>0</v>
      </c>
      <c r="DB144" s="199" t="n">
        <f aca="false">DB$4*DB39</f>
        <v>0</v>
      </c>
      <c r="DC144" s="199" t="n">
        <f aca="false">DC$4*DC39</f>
        <v>0</v>
      </c>
      <c r="DD144" s="199" t="n">
        <f aca="false">DD$4*DD39</f>
        <v>0</v>
      </c>
      <c r="DE144" s="199" t="n">
        <f aca="false">DE$4*DE39</f>
        <v>0</v>
      </c>
      <c r="DF144" s="199" t="n">
        <f aca="false">DF$4*DF39</f>
        <v>0</v>
      </c>
      <c r="DG144" s="199" t="n">
        <f aca="false">DG$4*DG39</f>
        <v>0</v>
      </c>
      <c r="DH144" s="200" t="n">
        <f aca="false">DH$4*DH39</f>
        <v>0</v>
      </c>
      <c r="DI144" s="194" t="str">
        <f aca="false">CX144</f>
        <v>Alumno34</v>
      </c>
      <c r="DJ144" s="198" t="n">
        <f aca="false">DJ$4*DJ39</f>
        <v>0</v>
      </c>
      <c r="DK144" s="199" t="n">
        <f aca="false">DK$4*DK39</f>
        <v>0</v>
      </c>
      <c r="DL144" s="199" t="n">
        <f aca="false">DL$4*DL39</f>
        <v>0</v>
      </c>
      <c r="DM144" s="199" t="n">
        <f aca="false">DM$4*DM39</f>
        <v>0</v>
      </c>
      <c r="DN144" s="199" t="n">
        <f aca="false">DN$4*DN39</f>
        <v>0</v>
      </c>
      <c r="DO144" s="199" t="n">
        <f aca="false">DO$4*DO39</f>
        <v>0</v>
      </c>
      <c r="DP144" s="199" t="n">
        <f aca="false">DP$4*DP39</f>
        <v>0</v>
      </c>
      <c r="DQ144" s="199" t="n">
        <f aca="false">DQ$4*DQ39</f>
        <v>0</v>
      </c>
      <c r="DR144" s="199" t="n">
        <f aca="false">DR$4*DR39</f>
        <v>0</v>
      </c>
      <c r="DS144" s="200" t="n">
        <f aca="false">DS$4*DS39</f>
        <v>0</v>
      </c>
      <c r="DT144" s="194" t="str">
        <f aca="false">DI144</f>
        <v>Alumno34</v>
      </c>
      <c r="DU144" s="198" t="n">
        <f aca="false">DU$4*DU39</f>
        <v>0</v>
      </c>
      <c r="DV144" s="199" t="n">
        <f aca="false">DV$4*DV39</f>
        <v>0</v>
      </c>
      <c r="DW144" s="199" t="n">
        <f aca="false">DW$4*DW39</f>
        <v>0</v>
      </c>
      <c r="DX144" s="199" t="n">
        <f aca="false">DX$4*DX39</f>
        <v>0</v>
      </c>
      <c r="DY144" s="199" t="n">
        <f aca="false">DY$4*DY39</f>
        <v>0</v>
      </c>
      <c r="DZ144" s="199" t="n">
        <f aca="false">DZ$4*DZ39</f>
        <v>0</v>
      </c>
      <c r="EA144" s="199" t="n">
        <f aca="false">EA$4*EA39</f>
        <v>0</v>
      </c>
      <c r="EB144" s="199" t="n">
        <f aca="false">EB$4*EB39</f>
        <v>0</v>
      </c>
      <c r="EC144" s="199" t="n">
        <f aca="false">EC$4*EC39</f>
        <v>0</v>
      </c>
      <c r="ED144" s="200" t="n">
        <f aca="false">ED$4*ED39</f>
        <v>0</v>
      </c>
      <c r="EE144" s="194" t="str">
        <f aca="false">DT144</f>
        <v>Alumno34</v>
      </c>
      <c r="EF144" s="198" t="n">
        <f aca="false">EF$4*EF39</f>
        <v>0</v>
      </c>
      <c r="EG144" s="199" t="n">
        <f aca="false">EG$4*EG39</f>
        <v>0</v>
      </c>
      <c r="EH144" s="199" t="n">
        <f aca="false">EH$4*EH39</f>
        <v>0</v>
      </c>
      <c r="EI144" s="199" t="n">
        <f aca="false">EI$4*EI39</f>
        <v>0</v>
      </c>
      <c r="EJ144" s="199" t="n">
        <f aca="false">EJ$4*EJ39</f>
        <v>0</v>
      </c>
      <c r="EK144" s="199" t="n">
        <f aca="false">EK$4*EK39</f>
        <v>0</v>
      </c>
      <c r="EL144" s="199" t="n">
        <f aca="false">EL$4*EL39</f>
        <v>0</v>
      </c>
      <c r="EM144" s="199" t="n">
        <f aca="false">EM$4*EM39</f>
        <v>0</v>
      </c>
      <c r="EN144" s="199" t="n">
        <f aca="false">EN$4*EN39</f>
        <v>0</v>
      </c>
      <c r="EO144" s="200" t="n">
        <f aca="false">EO$4*EO39</f>
        <v>0</v>
      </c>
      <c r="EP144" s="194" t="str">
        <f aca="false">EE144</f>
        <v>Alumno34</v>
      </c>
      <c r="EQ144" s="198" t="n">
        <f aca="false">EQ$4*EQ39</f>
        <v>0</v>
      </c>
      <c r="ER144" s="199" t="n">
        <f aca="false">ER$4*ER39</f>
        <v>0</v>
      </c>
      <c r="ES144" s="199" t="n">
        <f aca="false">ES$4*ES39</f>
        <v>0</v>
      </c>
      <c r="ET144" s="199" t="n">
        <f aca="false">ET$4*ET39</f>
        <v>0</v>
      </c>
      <c r="EU144" s="199" t="n">
        <f aca="false">EU$4*EU39</f>
        <v>0</v>
      </c>
      <c r="EV144" s="199" t="n">
        <f aca="false">EV$4*EV39</f>
        <v>0</v>
      </c>
      <c r="EW144" s="199" t="n">
        <f aca="false">EW$4*EW39</f>
        <v>0</v>
      </c>
      <c r="EX144" s="199" t="n">
        <f aca="false">EX$4*EX39</f>
        <v>0</v>
      </c>
      <c r="EY144" s="199" t="n">
        <f aca="false">EY$4*EY39</f>
        <v>0</v>
      </c>
      <c r="EZ144" s="200" t="n">
        <f aca="false">EZ$4*EZ39</f>
        <v>0</v>
      </c>
      <c r="FA144" s="194" t="str">
        <f aca="false">EP144</f>
        <v>Alumno34</v>
      </c>
      <c r="FB144" s="198" t="n">
        <f aca="false">FB$4*FB39</f>
        <v>0</v>
      </c>
      <c r="FC144" s="199" t="n">
        <f aca="false">FC$4*FC39</f>
        <v>0</v>
      </c>
      <c r="FD144" s="199" t="n">
        <f aca="false">FD$4*FD39</f>
        <v>0</v>
      </c>
      <c r="FE144" s="199" t="n">
        <f aca="false">FE$4*FE39</f>
        <v>0</v>
      </c>
      <c r="FF144" s="199" t="n">
        <f aca="false">FF$4*FF39</f>
        <v>0</v>
      </c>
      <c r="FG144" s="199" t="n">
        <f aca="false">FG$4*FG39</f>
        <v>0</v>
      </c>
      <c r="FH144" s="199" t="n">
        <f aca="false">FH$4*FH39</f>
        <v>0</v>
      </c>
      <c r="FI144" s="199" t="n">
        <f aca="false">FI$4*FI39</f>
        <v>0</v>
      </c>
      <c r="FJ144" s="199" t="n">
        <f aca="false">FJ$4*FJ39</f>
        <v>0</v>
      </c>
      <c r="FK144" s="200" t="n">
        <f aca="false">FK$4*FK39</f>
        <v>0</v>
      </c>
      <c r="FL144" s="194" t="str">
        <f aca="false">FA144</f>
        <v>Alumno34</v>
      </c>
      <c r="FM144" s="198" t="n">
        <f aca="false">FM$4*FM39</f>
        <v>0</v>
      </c>
      <c r="FN144" s="199" t="n">
        <f aca="false">FN$4*FN39</f>
        <v>0</v>
      </c>
      <c r="FO144" s="199" t="n">
        <f aca="false">FO$4*FO39</f>
        <v>0</v>
      </c>
      <c r="FP144" s="199" t="n">
        <f aca="false">FP$4*FP39</f>
        <v>0</v>
      </c>
      <c r="FQ144" s="199" t="n">
        <f aca="false">FQ$4*FQ39</f>
        <v>0</v>
      </c>
      <c r="FR144" s="199" t="n">
        <f aca="false">FR$4*FR39</f>
        <v>0</v>
      </c>
      <c r="FS144" s="199" t="n">
        <f aca="false">FS$4*FS39</f>
        <v>0</v>
      </c>
      <c r="FT144" s="199" t="n">
        <f aca="false">FT$4*FT39</f>
        <v>0</v>
      </c>
      <c r="FU144" s="199" t="n">
        <f aca="false">FU$4*FU39</f>
        <v>0</v>
      </c>
      <c r="FV144" s="200" t="n">
        <f aca="false">FV$4*FV39</f>
        <v>0</v>
      </c>
      <c r="FW144" s="194" t="str">
        <f aca="false">FL144</f>
        <v>Alumno34</v>
      </c>
      <c r="FX144" s="198" t="n">
        <f aca="false">FX$4*FX39</f>
        <v>0</v>
      </c>
      <c r="FY144" s="199" t="n">
        <f aca="false">FY$4*FY39</f>
        <v>0</v>
      </c>
      <c r="FZ144" s="199" t="n">
        <f aca="false">FZ$4*FZ39</f>
        <v>0</v>
      </c>
      <c r="GA144" s="199" t="n">
        <f aca="false">GA$4*GA39</f>
        <v>0</v>
      </c>
      <c r="GB144" s="199" t="n">
        <f aca="false">GB$4*GB39</f>
        <v>0</v>
      </c>
      <c r="GC144" s="199" t="n">
        <f aca="false">GC$4*GC39</f>
        <v>0</v>
      </c>
      <c r="GD144" s="199" t="n">
        <f aca="false">GD$4*GD39</f>
        <v>0</v>
      </c>
      <c r="GE144" s="199" t="n">
        <f aca="false">GE$4*GE39</f>
        <v>0</v>
      </c>
      <c r="GF144" s="199" t="n">
        <f aca="false">GF$4*GF39</f>
        <v>0</v>
      </c>
      <c r="GG144" s="200" t="n">
        <f aca="false">GG$4*GG39</f>
        <v>0</v>
      </c>
      <c r="GH144" s="194" t="str">
        <f aca="false">FW144</f>
        <v>Alumno34</v>
      </c>
      <c r="GI144" s="198" t="n">
        <f aca="false">GI$4*GI39</f>
        <v>0</v>
      </c>
      <c r="GJ144" s="199" t="n">
        <f aca="false">GJ$4*GJ39</f>
        <v>0</v>
      </c>
      <c r="GK144" s="199" t="n">
        <f aca="false">GK$4*GK39</f>
        <v>0</v>
      </c>
      <c r="GL144" s="199" t="n">
        <f aca="false">GL$4*GL39</f>
        <v>0</v>
      </c>
      <c r="GM144" s="199" t="n">
        <f aca="false">GM$4*GM39</f>
        <v>0</v>
      </c>
      <c r="GN144" s="199" t="n">
        <f aca="false">GN$4*GN39</f>
        <v>0</v>
      </c>
      <c r="GO144" s="199" t="n">
        <f aca="false">GO$4*GO39</f>
        <v>0</v>
      </c>
      <c r="GP144" s="199" t="n">
        <f aca="false">GP$4*GP39</f>
        <v>0</v>
      </c>
      <c r="GQ144" s="199" t="n">
        <f aca="false">GQ$4*GQ39</f>
        <v>0</v>
      </c>
      <c r="GR144" s="200" t="n">
        <f aca="false">GR$4*GR39</f>
        <v>0</v>
      </c>
      <c r="GS144" s="194" t="str">
        <f aca="false">GH144</f>
        <v>Alumno34</v>
      </c>
      <c r="GT144" s="198" t="n">
        <f aca="false">GT$4*GT39</f>
        <v>0</v>
      </c>
      <c r="GU144" s="199" t="n">
        <f aca="false">GU$4*GU39</f>
        <v>0</v>
      </c>
      <c r="GV144" s="199" t="n">
        <f aca="false">GV$4*GV39</f>
        <v>0</v>
      </c>
      <c r="GW144" s="199" t="n">
        <f aca="false">GW$4*GW39</f>
        <v>0</v>
      </c>
      <c r="GX144" s="199" t="n">
        <f aca="false">GX$4*GX39</f>
        <v>0</v>
      </c>
      <c r="GY144" s="199" t="n">
        <f aca="false">GY$4*GY39</f>
        <v>0</v>
      </c>
      <c r="GZ144" s="199" t="n">
        <f aca="false">GZ$4*GZ39</f>
        <v>0</v>
      </c>
      <c r="HA144" s="199" t="n">
        <f aca="false">HA$4*HA39</f>
        <v>0</v>
      </c>
      <c r="HB144" s="199" t="n">
        <f aca="false">HB$4*HB39</f>
        <v>0</v>
      </c>
      <c r="HC144" s="200" t="n">
        <f aca="false">HC$4*HC39</f>
        <v>0</v>
      </c>
      <c r="HD144" s="194" t="str">
        <f aca="false">GS144</f>
        <v>Alumno34</v>
      </c>
      <c r="HE144" s="198" t="n">
        <f aca="false">HE$4*HE39</f>
        <v>0</v>
      </c>
      <c r="HF144" s="199" t="n">
        <f aca="false">HF$4*HF39</f>
        <v>0</v>
      </c>
      <c r="HG144" s="199" t="n">
        <f aca="false">HG$4*HG39</f>
        <v>0</v>
      </c>
      <c r="HH144" s="199" t="n">
        <f aca="false">HH$4*HH39</f>
        <v>0</v>
      </c>
      <c r="HI144" s="199" t="n">
        <f aca="false">HI$4*HI39</f>
        <v>0</v>
      </c>
      <c r="HJ144" s="199" t="n">
        <f aca="false">HJ$4*HJ39</f>
        <v>0</v>
      </c>
      <c r="HK144" s="199" t="n">
        <f aca="false">HK$4*HK39</f>
        <v>0</v>
      </c>
      <c r="HL144" s="199" t="n">
        <f aca="false">HL$4*HL39</f>
        <v>0</v>
      </c>
      <c r="HM144" s="199" t="n">
        <f aca="false">HM$4*HM39</f>
        <v>0</v>
      </c>
      <c r="HN144" s="200" t="n">
        <f aca="false">HN$4*HN39</f>
        <v>0</v>
      </c>
      <c r="HO144" s="194" t="str">
        <f aca="false">HD144</f>
        <v>Alumno34</v>
      </c>
      <c r="HP144" s="198" t="n">
        <f aca="false">HP$4*HP39</f>
        <v>0</v>
      </c>
      <c r="HQ144" s="199" t="n">
        <f aca="false">HQ$4*HQ39</f>
        <v>0</v>
      </c>
      <c r="HR144" s="199" t="n">
        <f aca="false">HR$4*HR39</f>
        <v>0</v>
      </c>
      <c r="HS144" s="199" t="n">
        <f aca="false">HS$4*HS39</f>
        <v>0</v>
      </c>
      <c r="HT144" s="199" t="n">
        <f aca="false">HT$4*HT39</f>
        <v>0</v>
      </c>
      <c r="HU144" s="199" t="n">
        <f aca="false">HU$4*HU39</f>
        <v>0</v>
      </c>
      <c r="HV144" s="199" t="n">
        <f aca="false">HV$4*HV39</f>
        <v>0</v>
      </c>
      <c r="HW144" s="199" t="n">
        <f aca="false">HW$4*HW39</f>
        <v>0</v>
      </c>
      <c r="HX144" s="199" t="n">
        <f aca="false">HX$4*HX39</f>
        <v>0</v>
      </c>
      <c r="HY144" s="200" t="n">
        <f aca="false">HY$4*HY39</f>
        <v>0</v>
      </c>
      <c r="HZ144" s="194" t="str">
        <f aca="false">HO144</f>
        <v>Alumno34</v>
      </c>
      <c r="IA144" s="198" t="n">
        <f aca="false">IA$4*IA39</f>
        <v>0</v>
      </c>
      <c r="IB144" s="199" t="n">
        <f aca="false">IB$4*IB39</f>
        <v>0</v>
      </c>
      <c r="IC144" s="199" t="n">
        <f aca="false">IC$4*IC39</f>
        <v>0</v>
      </c>
      <c r="ID144" s="199" t="n">
        <f aca="false">ID$4*ID39</f>
        <v>0</v>
      </c>
      <c r="IE144" s="199" t="n">
        <f aca="false">IE$4*IE39</f>
        <v>0</v>
      </c>
      <c r="IF144" s="199" t="n">
        <f aca="false">IF$4*IF39</f>
        <v>0</v>
      </c>
      <c r="IG144" s="199" t="n">
        <f aca="false">IG$4*IG39</f>
        <v>0</v>
      </c>
      <c r="IH144" s="199" t="n">
        <f aca="false">IH$4*IH39</f>
        <v>0</v>
      </c>
      <c r="II144" s="199" t="n">
        <f aca="false">II$4*II39</f>
        <v>0</v>
      </c>
      <c r="IJ144" s="200" t="n">
        <f aca="false">IJ$4*IJ39</f>
        <v>0</v>
      </c>
      <c r="IK144" s="194" t="str">
        <f aca="false">HZ144</f>
        <v>Alumno34</v>
      </c>
      <c r="IL144" s="198" t="n">
        <f aca="false">IL$4*IL39</f>
        <v>0</v>
      </c>
      <c r="IM144" s="199" t="n">
        <f aca="false">IM$4*IM39</f>
        <v>0</v>
      </c>
      <c r="IN144" s="199" t="n">
        <f aca="false">IN$4*IN39</f>
        <v>0</v>
      </c>
      <c r="IO144" s="199" t="n">
        <f aca="false">IO$4*IO39</f>
        <v>0</v>
      </c>
      <c r="IP144" s="199" t="n">
        <f aca="false">IP$4*IP39</f>
        <v>0</v>
      </c>
      <c r="IQ144" s="199" t="n">
        <f aca="false">IQ$4*IQ39</f>
        <v>0</v>
      </c>
      <c r="IR144" s="199" t="n">
        <f aca="false">IR$4*IR39</f>
        <v>0</v>
      </c>
      <c r="IS144" s="199" t="n">
        <f aca="false">IS$4*IS39</f>
        <v>0</v>
      </c>
      <c r="IT144" s="199" t="n">
        <f aca="false">IT$4*IT39</f>
        <v>0</v>
      </c>
      <c r="IU144" s="200" t="n">
        <f aca="false">IU$4*IU39</f>
        <v>0</v>
      </c>
      <c r="IV144" s="194" t="str">
        <f aca="false">IK144</f>
        <v>Alumno34</v>
      </c>
      <c r="IW144" s="198" t="n">
        <f aca="false">IW$4*IW39</f>
        <v>0</v>
      </c>
      <c r="IX144" s="199" t="n">
        <f aca="false">IX$4*IX39</f>
        <v>0</v>
      </c>
      <c r="IY144" s="199" t="n">
        <f aca="false">IY$4*IY39</f>
        <v>0</v>
      </c>
      <c r="IZ144" s="199" t="n">
        <f aca="false">IZ$4*IZ39</f>
        <v>0</v>
      </c>
      <c r="JA144" s="199" t="n">
        <f aca="false">JA$4*JA39</f>
        <v>0</v>
      </c>
      <c r="JB144" s="199" t="n">
        <f aca="false">JB$4*JB39</f>
        <v>0</v>
      </c>
      <c r="JC144" s="199" t="n">
        <f aca="false">JC$4*JC39</f>
        <v>0</v>
      </c>
      <c r="JD144" s="199" t="n">
        <f aca="false">JD$4*JD39</f>
        <v>0</v>
      </c>
      <c r="JE144" s="199" t="n">
        <f aca="false">JE$4*JE39</f>
        <v>0</v>
      </c>
      <c r="JF144" s="200" t="n">
        <f aca="false">JF$4*JF39</f>
        <v>0</v>
      </c>
      <c r="JG144" s="194" t="str">
        <f aca="false">IV144</f>
        <v>Alumno34</v>
      </c>
      <c r="JH144" s="198" t="n">
        <f aca="false">JH$4*JH39</f>
        <v>0</v>
      </c>
      <c r="JI144" s="199" t="n">
        <f aca="false">JI$4*JI39</f>
        <v>0</v>
      </c>
      <c r="JJ144" s="199" t="n">
        <f aca="false">JJ$4*JJ39</f>
        <v>0</v>
      </c>
      <c r="JK144" s="199" t="n">
        <f aca="false">JK$4*JK39</f>
        <v>0</v>
      </c>
      <c r="JL144" s="199" t="n">
        <f aca="false">JL$4*JL39</f>
        <v>0</v>
      </c>
      <c r="JM144" s="199" t="n">
        <f aca="false">JM$4*JM39</f>
        <v>0</v>
      </c>
      <c r="JN144" s="199" t="n">
        <f aca="false">JN$4*JN39</f>
        <v>0</v>
      </c>
      <c r="JO144" s="199" t="n">
        <f aca="false">JO$4*JO39</f>
        <v>0</v>
      </c>
      <c r="JP144" s="199" t="n">
        <f aca="false">JP$4*JP39</f>
        <v>0</v>
      </c>
      <c r="JQ144" s="200" t="n">
        <f aca="false">JQ$4*JQ39</f>
        <v>0</v>
      </c>
      <c r="JR144" s="194" t="str">
        <f aca="false">JG144</f>
        <v>Alumno34</v>
      </c>
      <c r="JS144" s="198" t="n">
        <f aca="false">JS$4*JS39</f>
        <v>0</v>
      </c>
      <c r="JT144" s="199" t="n">
        <f aca="false">JT$4*JT39</f>
        <v>0</v>
      </c>
      <c r="JU144" s="199" t="n">
        <f aca="false">JU$4*JU39</f>
        <v>0</v>
      </c>
      <c r="JV144" s="199" t="n">
        <f aca="false">JV$4*JV39</f>
        <v>0</v>
      </c>
      <c r="JW144" s="199" t="n">
        <f aca="false">JW$4*JW39</f>
        <v>0</v>
      </c>
      <c r="JX144" s="199" t="n">
        <f aca="false">JX$4*JX39</f>
        <v>0</v>
      </c>
      <c r="JY144" s="199" t="n">
        <f aca="false">JY$4*JY39</f>
        <v>0</v>
      </c>
      <c r="JZ144" s="199" t="n">
        <f aca="false">JZ$4*JZ39</f>
        <v>0</v>
      </c>
      <c r="KA144" s="199" t="n">
        <f aca="false">KA$4*KA39</f>
        <v>0</v>
      </c>
      <c r="KB144" s="200" t="n">
        <f aca="false">KB$4*KB39</f>
        <v>0</v>
      </c>
      <c r="KC144" s="194" t="str">
        <f aca="false">JR144</f>
        <v>Alumno34</v>
      </c>
      <c r="KD144" s="198" t="n">
        <f aca="false">KD$4*KD39</f>
        <v>0</v>
      </c>
      <c r="KE144" s="199" t="n">
        <f aca="false">KE$4*KE39</f>
        <v>0</v>
      </c>
      <c r="KF144" s="199" t="n">
        <f aca="false">KF$4*KF39</f>
        <v>0</v>
      </c>
      <c r="KG144" s="199" t="n">
        <f aca="false">KG$4*KG39</f>
        <v>0</v>
      </c>
      <c r="KH144" s="199" t="n">
        <f aca="false">KH$4*KH39</f>
        <v>0</v>
      </c>
      <c r="KI144" s="199" t="n">
        <f aca="false">KI$4*KI39</f>
        <v>0</v>
      </c>
      <c r="KJ144" s="199" t="n">
        <f aca="false">KJ$4*KJ39</f>
        <v>0</v>
      </c>
      <c r="KK144" s="199" t="n">
        <f aca="false">KK$4*KK39</f>
        <v>0</v>
      </c>
      <c r="KL144" s="199" t="n">
        <f aca="false">KL$4*KL39</f>
        <v>0</v>
      </c>
      <c r="KM144" s="200" t="n">
        <f aca="false">KM$4*KM39</f>
        <v>0</v>
      </c>
      <c r="KN144" s="194" t="str">
        <f aca="false">KC144</f>
        <v>Alumno34</v>
      </c>
      <c r="KO144" s="198" t="n">
        <f aca="false">KO$4*KO39</f>
        <v>0</v>
      </c>
      <c r="KP144" s="199" t="n">
        <f aca="false">KP$4*KP39</f>
        <v>0</v>
      </c>
      <c r="KQ144" s="199" t="n">
        <f aca="false">KQ$4*KQ39</f>
        <v>0</v>
      </c>
      <c r="KR144" s="199" t="n">
        <f aca="false">KR$4*KR39</f>
        <v>0</v>
      </c>
      <c r="KS144" s="199" t="n">
        <f aca="false">KS$4*KS39</f>
        <v>0</v>
      </c>
      <c r="KT144" s="199" t="n">
        <f aca="false">KT$4*KT39</f>
        <v>0</v>
      </c>
      <c r="KU144" s="199" t="n">
        <f aca="false">KU$4*KU39</f>
        <v>0</v>
      </c>
      <c r="KV144" s="199" t="n">
        <f aca="false">KV$4*KV39</f>
        <v>0</v>
      </c>
      <c r="KW144" s="199" t="n">
        <f aca="false">KW$4*KW39</f>
        <v>0</v>
      </c>
      <c r="KX144" s="200" t="n">
        <f aca="false">KX$4*KX39</f>
        <v>0</v>
      </c>
      <c r="KY144" s="194" t="str">
        <f aca="false">KN144</f>
        <v>Alumno34</v>
      </c>
      <c r="KZ144" s="198" t="n">
        <f aca="false">KZ$4*KZ39</f>
        <v>0</v>
      </c>
      <c r="LA144" s="199" t="n">
        <f aca="false">LA$4*LA39</f>
        <v>0</v>
      </c>
      <c r="LB144" s="199" t="n">
        <f aca="false">LB$4*LB39</f>
        <v>0</v>
      </c>
      <c r="LC144" s="199" t="n">
        <f aca="false">LC$4*LC39</f>
        <v>0</v>
      </c>
      <c r="LD144" s="199" t="n">
        <f aca="false">LD$4*LD39</f>
        <v>0</v>
      </c>
      <c r="LE144" s="199" t="n">
        <f aca="false">LE$4*LE39</f>
        <v>0</v>
      </c>
      <c r="LF144" s="199" t="n">
        <f aca="false">LF$4*LF39</f>
        <v>0</v>
      </c>
      <c r="LG144" s="199" t="n">
        <f aca="false">LG$4*LG39</f>
        <v>0</v>
      </c>
      <c r="LH144" s="199" t="n">
        <f aca="false">LH$4*LH39</f>
        <v>0</v>
      </c>
      <c r="LI144" s="200" t="n">
        <f aca="false">LI$4*LI39</f>
        <v>0</v>
      </c>
      <c r="LJ144" s="194" t="str">
        <f aca="false">KY144</f>
        <v>Alumno34</v>
      </c>
      <c r="LK144" s="198" t="n">
        <f aca="false">LK$4*LK39</f>
        <v>0</v>
      </c>
      <c r="LL144" s="199" t="n">
        <f aca="false">LL$4*LL39</f>
        <v>0</v>
      </c>
      <c r="LM144" s="199" t="n">
        <f aca="false">LM$4*LM39</f>
        <v>0</v>
      </c>
      <c r="LN144" s="199" t="n">
        <f aca="false">LN$4*LN39</f>
        <v>0</v>
      </c>
      <c r="LO144" s="199" t="n">
        <f aca="false">LO$4*LO39</f>
        <v>0</v>
      </c>
      <c r="LP144" s="199" t="n">
        <f aca="false">LP$4*LP39</f>
        <v>0</v>
      </c>
      <c r="LQ144" s="199" t="n">
        <f aca="false">LQ$4*LQ39</f>
        <v>0</v>
      </c>
      <c r="LR144" s="199" t="n">
        <f aca="false">LR$4*LR39</f>
        <v>0</v>
      </c>
      <c r="LS144" s="199" t="n">
        <f aca="false">LS$4*LS39</f>
        <v>0</v>
      </c>
      <c r="LT144" s="200" t="n">
        <f aca="false">LT$4*LT39</f>
        <v>0</v>
      </c>
    </row>
    <row r="145" customFormat="false" ht="15" hidden="true" customHeight="false" outlineLevel="0" collapsed="false">
      <c r="C145" s="194" t="str">
        <f aca="false">C96</f>
        <v>Alumno35</v>
      </c>
      <c r="D145" s="198" t="n">
        <f aca="false">D$4*D40</f>
        <v>0</v>
      </c>
      <c r="E145" s="199" t="n">
        <f aca="false">E$4*E40</f>
        <v>0</v>
      </c>
      <c r="F145" s="199" t="n">
        <f aca="false">F$4*F40</f>
        <v>0</v>
      </c>
      <c r="G145" s="199" t="n">
        <f aca="false">G$4*G40</f>
        <v>0</v>
      </c>
      <c r="H145" s="199" t="n">
        <f aca="false">H$4*H40</f>
        <v>0</v>
      </c>
      <c r="I145" s="199" t="n">
        <f aca="false">I$4*I40</f>
        <v>0</v>
      </c>
      <c r="J145" s="199" t="n">
        <f aca="false">J$4*J40</f>
        <v>0</v>
      </c>
      <c r="K145" s="199" t="n">
        <f aca="false">K$4*K40</f>
        <v>0</v>
      </c>
      <c r="L145" s="199" t="n">
        <f aca="false">L$4*L40</f>
        <v>0</v>
      </c>
      <c r="M145" s="200" t="n">
        <f aca="false">M$4*M40</f>
        <v>0</v>
      </c>
      <c r="N145" s="194" t="str">
        <f aca="false">C145</f>
        <v>Alumno35</v>
      </c>
      <c r="O145" s="198" t="n">
        <f aca="false">O$4*O40</f>
        <v>0</v>
      </c>
      <c r="P145" s="199" t="n">
        <f aca="false">P$4*P40</f>
        <v>0</v>
      </c>
      <c r="Q145" s="199" t="n">
        <f aca="false">Q$4*Q40</f>
        <v>0</v>
      </c>
      <c r="R145" s="199" t="n">
        <f aca="false">R$4*R40</f>
        <v>0</v>
      </c>
      <c r="S145" s="199" t="n">
        <f aca="false">S$4*S40</f>
        <v>0</v>
      </c>
      <c r="T145" s="199" t="n">
        <f aca="false">T$4*T40</f>
        <v>0</v>
      </c>
      <c r="U145" s="199" t="n">
        <f aca="false">U$4*U40</f>
        <v>0</v>
      </c>
      <c r="V145" s="199" t="n">
        <f aca="false">V$4*V40</f>
        <v>0</v>
      </c>
      <c r="W145" s="199" t="n">
        <f aca="false">W$4*W40</f>
        <v>0</v>
      </c>
      <c r="X145" s="200" t="n">
        <f aca="false">X$4*X40</f>
        <v>0</v>
      </c>
      <c r="Y145" s="194" t="str">
        <f aca="false">N145</f>
        <v>Alumno35</v>
      </c>
      <c r="Z145" s="198" t="n">
        <f aca="false">Z$4*Z40</f>
        <v>0</v>
      </c>
      <c r="AA145" s="199" t="n">
        <f aca="false">AA$4*AA40</f>
        <v>0</v>
      </c>
      <c r="AB145" s="199" t="n">
        <f aca="false">AB$4*AB40</f>
        <v>0</v>
      </c>
      <c r="AC145" s="199" t="n">
        <f aca="false">AC$4*AC40</f>
        <v>0</v>
      </c>
      <c r="AD145" s="199" t="n">
        <f aca="false">AD$4*AD40</f>
        <v>0</v>
      </c>
      <c r="AE145" s="199" t="n">
        <f aca="false">AE$4*AE40</f>
        <v>0</v>
      </c>
      <c r="AF145" s="199" t="n">
        <f aca="false">AF$4*AF40</f>
        <v>0</v>
      </c>
      <c r="AG145" s="199" t="n">
        <f aca="false">AG$4*AG40</f>
        <v>0</v>
      </c>
      <c r="AH145" s="199" t="n">
        <f aca="false">AH$4*AH40</f>
        <v>0</v>
      </c>
      <c r="AI145" s="200" t="n">
        <f aca="false">AI$4*AI40</f>
        <v>0</v>
      </c>
      <c r="AJ145" s="194" t="str">
        <f aca="false">Y145</f>
        <v>Alumno35</v>
      </c>
      <c r="AK145" s="198" t="n">
        <f aca="false">AK$4*AK40</f>
        <v>0</v>
      </c>
      <c r="AL145" s="199" t="n">
        <f aca="false">AL$4*AL40</f>
        <v>0</v>
      </c>
      <c r="AM145" s="199" t="n">
        <f aca="false">AM$4*AM40</f>
        <v>0</v>
      </c>
      <c r="AN145" s="199" t="n">
        <f aca="false">AN$4*AN40</f>
        <v>0</v>
      </c>
      <c r="AO145" s="199" t="n">
        <f aca="false">AO$4*AO40</f>
        <v>0</v>
      </c>
      <c r="AP145" s="199" t="n">
        <f aca="false">AP$4*AP40</f>
        <v>0</v>
      </c>
      <c r="AQ145" s="199" t="n">
        <f aca="false">AQ$4*AQ40</f>
        <v>0</v>
      </c>
      <c r="AR145" s="199" t="n">
        <f aca="false">AR$4*AR40</f>
        <v>0</v>
      </c>
      <c r="AS145" s="199" t="n">
        <f aca="false">AS$4*AS40</f>
        <v>0</v>
      </c>
      <c r="AT145" s="200" t="n">
        <f aca="false">AT$4*AT40</f>
        <v>0</v>
      </c>
      <c r="AU145" s="194" t="str">
        <f aca="false">AJ145</f>
        <v>Alumno35</v>
      </c>
      <c r="AV145" s="198" t="n">
        <f aca="false">AV$4*AV40</f>
        <v>0</v>
      </c>
      <c r="AW145" s="199" t="n">
        <f aca="false">AW$4*AW40</f>
        <v>0</v>
      </c>
      <c r="AX145" s="199" t="n">
        <f aca="false">AX$4*AX40</f>
        <v>0</v>
      </c>
      <c r="AY145" s="199" t="n">
        <f aca="false">AY$4*AY40</f>
        <v>0</v>
      </c>
      <c r="AZ145" s="199" t="n">
        <f aca="false">AZ$4*AZ40</f>
        <v>0</v>
      </c>
      <c r="BA145" s="199" t="n">
        <f aca="false">BA$4*BA40</f>
        <v>0</v>
      </c>
      <c r="BB145" s="199" t="n">
        <f aca="false">BB$4*BB40</f>
        <v>0</v>
      </c>
      <c r="BC145" s="199" t="n">
        <f aca="false">BC$4*BC40</f>
        <v>0</v>
      </c>
      <c r="BD145" s="199" t="n">
        <f aca="false">BD$4*BD40</f>
        <v>0</v>
      </c>
      <c r="BE145" s="200" t="n">
        <f aca="false">BE$4*BE40</f>
        <v>0</v>
      </c>
      <c r="BF145" s="194" t="str">
        <f aca="false">AU145</f>
        <v>Alumno35</v>
      </c>
      <c r="BG145" s="198" t="n">
        <f aca="false">BG$4*BG40</f>
        <v>0</v>
      </c>
      <c r="BH145" s="199" t="n">
        <f aca="false">BH$4*BH40</f>
        <v>0</v>
      </c>
      <c r="BI145" s="199" t="n">
        <f aca="false">BI$4*BI40</f>
        <v>0</v>
      </c>
      <c r="BJ145" s="199" t="n">
        <f aca="false">BJ$4*BJ40</f>
        <v>0</v>
      </c>
      <c r="BK145" s="199" t="n">
        <f aca="false">BK$4*BK40</f>
        <v>0</v>
      </c>
      <c r="BL145" s="199" t="n">
        <f aca="false">BL$4*BL40</f>
        <v>0</v>
      </c>
      <c r="BM145" s="199" t="n">
        <f aca="false">BM$4*BM40</f>
        <v>0</v>
      </c>
      <c r="BN145" s="199" t="n">
        <f aca="false">BN$4*BN40</f>
        <v>0</v>
      </c>
      <c r="BO145" s="199" t="n">
        <f aca="false">BO$4*BO40</f>
        <v>0</v>
      </c>
      <c r="BP145" s="200" t="n">
        <f aca="false">BP$4*BP40</f>
        <v>0</v>
      </c>
      <c r="BQ145" s="194" t="str">
        <f aca="false">BF145</f>
        <v>Alumno35</v>
      </c>
      <c r="BR145" s="198" t="n">
        <f aca="false">BR$4*BR40</f>
        <v>0</v>
      </c>
      <c r="BS145" s="199" t="n">
        <f aca="false">BS$4*BS40</f>
        <v>0</v>
      </c>
      <c r="BT145" s="199" t="n">
        <f aca="false">BT$4*BT40</f>
        <v>0</v>
      </c>
      <c r="BU145" s="199" t="n">
        <f aca="false">BU$4*BU40</f>
        <v>0</v>
      </c>
      <c r="BV145" s="199" t="n">
        <f aca="false">BV$4*BV40</f>
        <v>0</v>
      </c>
      <c r="BW145" s="199" t="n">
        <f aca="false">BW$4*BW40</f>
        <v>0</v>
      </c>
      <c r="BX145" s="199" t="n">
        <f aca="false">BX$4*BX40</f>
        <v>0</v>
      </c>
      <c r="BY145" s="199" t="n">
        <f aca="false">BY$4*BY40</f>
        <v>0</v>
      </c>
      <c r="BZ145" s="199" t="n">
        <f aca="false">BZ$4*BZ40</f>
        <v>0</v>
      </c>
      <c r="CA145" s="200" t="n">
        <f aca="false">CA$4*CA40</f>
        <v>0</v>
      </c>
      <c r="CB145" s="194" t="str">
        <f aca="false">BQ145</f>
        <v>Alumno35</v>
      </c>
      <c r="CC145" s="198" t="n">
        <f aca="false">CC$4*CC40</f>
        <v>0</v>
      </c>
      <c r="CD145" s="199" t="n">
        <f aca="false">CD$4*CD40</f>
        <v>0</v>
      </c>
      <c r="CE145" s="199" t="n">
        <f aca="false">CE$4*CE40</f>
        <v>0</v>
      </c>
      <c r="CF145" s="199" t="n">
        <f aca="false">CF$4*CF40</f>
        <v>0</v>
      </c>
      <c r="CG145" s="199" t="n">
        <f aca="false">CG$4*CG40</f>
        <v>0</v>
      </c>
      <c r="CH145" s="199" t="n">
        <f aca="false">CH$4*CH40</f>
        <v>0</v>
      </c>
      <c r="CI145" s="199" t="n">
        <f aca="false">CI$4*CI40</f>
        <v>0</v>
      </c>
      <c r="CJ145" s="199" t="n">
        <f aca="false">CJ$4*CJ40</f>
        <v>0</v>
      </c>
      <c r="CK145" s="199" t="n">
        <f aca="false">CK$4*CK40</f>
        <v>0</v>
      </c>
      <c r="CL145" s="200" t="n">
        <f aca="false">CL$4*CL40</f>
        <v>0</v>
      </c>
      <c r="CM145" s="194" t="str">
        <f aca="false">CB145</f>
        <v>Alumno35</v>
      </c>
      <c r="CN145" s="198" t="n">
        <f aca="false">CN$4*CN40</f>
        <v>0</v>
      </c>
      <c r="CO145" s="199" t="n">
        <f aca="false">CO$4*CO40</f>
        <v>0</v>
      </c>
      <c r="CP145" s="199" t="n">
        <f aca="false">CP$4*CP40</f>
        <v>0</v>
      </c>
      <c r="CQ145" s="199" t="n">
        <f aca="false">CQ$4*CQ40</f>
        <v>0</v>
      </c>
      <c r="CR145" s="199" t="n">
        <f aca="false">CR$4*CR40</f>
        <v>0</v>
      </c>
      <c r="CS145" s="199" t="n">
        <f aca="false">CS$4*CS40</f>
        <v>0</v>
      </c>
      <c r="CT145" s="199" t="n">
        <f aca="false">CT$4*CT40</f>
        <v>0</v>
      </c>
      <c r="CU145" s="199" t="n">
        <f aca="false">CU$4*CU40</f>
        <v>0</v>
      </c>
      <c r="CV145" s="199" t="n">
        <f aca="false">CV$4*CV40</f>
        <v>0</v>
      </c>
      <c r="CW145" s="200" t="n">
        <f aca="false">CW$4*CW40</f>
        <v>0</v>
      </c>
      <c r="CX145" s="194" t="str">
        <f aca="false">CM145</f>
        <v>Alumno35</v>
      </c>
      <c r="CY145" s="198" t="n">
        <f aca="false">CY$4*CY40</f>
        <v>0</v>
      </c>
      <c r="CZ145" s="199" t="n">
        <f aca="false">CZ$4*CZ40</f>
        <v>0</v>
      </c>
      <c r="DA145" s="199" t="n">
        <f aca="false">DA$4*DA40</f>
        <v>0</v>
      </c>
      <c r="DB145" s="199" t="n">
        <f aca="false">DB$4*DB40</f>
        <v>0</v>
      </c>
      <c r="DC145" s="199" t="n">
        <f aca="false">DC$4*DC40</f>
        <v>0</v>
      </c>
      <c r="DD145" s="199" t="n">
        <f aca="false">DD$4*DD40</f>
        <v>0</v>
      </c>
      <c r="DE145" s="199" t="n">
        <f aca="false">DE$4*DE40</f>
        <v>0</v>
      </c>
      <c r="DF145" s="199" t="n">
        <f aca="false">DF$4*DF40</f>
        <v>0</v>
      </c>
      <c r="DG145" s="199" t="n">
        <f aca="false">DG$4*DG40</f>
        <v>0</v>
      </c>
      <c r="DH145" s="200" t="n">
        <f aca="false">DH$4*DH40</f>
        <v>0</v>
      </c>
      <c r="DI145" s="194" t="str">
        <f aca="false">CX145</f>
        <v>Alumno35</v>
      </c>
      <c r="DJ145" s="198" t="n">
        <f aca="false">DJ$4*DJ40</f>
        <v>0</v>
      </c>
      <c r="DK145" s="199" t="n">
        <f aca="false">DK$4*DK40</f>
        <v>0</v>
      </c>
      <c r="DL145" s="199" t="n">
        <f aca="false">DL$4*DL40</f>
        <v>0</v>
      </c>
      <c r="DM145" s="199" t="n">
        <f aca="false">DM$4*DM40</f>
        <v>0</v>
      </c>
      <c r="DN145" s="199" t="n">
        <f aca="false">DN$4*DN40</f>
        <v>0</v>
      </c>
      <c r="DO145" s="199" t="n">
        <f aca="false">DO$4*DO40</f>
        <v>0</v>
      </c>
      <c r="DP145" s="199" t="n">
        <f aca="false">DP$4*DP40</f>
        <v>0</v>
      </c>
      <c r="DQ145" s="199" t="n">
        <f aca="false">DQ$4*DQ40</f>
        <v>0</v>
      </c>
      <c r="DR145" s="199" t="n">
        <f aca="false">DR$4*DR40</f>
        <v>0</v>
      </c>
      <c r="DS145" s="200" t="n">
        <f aca="false">DS$4*DS40</f>
        <v>0</v>
      </c>
      <c r="DT145" s="194" t="str">
        <f aca="false">DI145</f>
        <v>Alumno35</v>
      </c>
      <c r="DU145" s="198" t="n">
        <f aca="false">DU$4*DU40</f>
        <v>0</v>
      </c>
      <c r="DV145" s="199" t="n">
        <f aca="false">DV$4*DV40</f>
        <v>0</v>
      </c>
      <c r="DW145" s="199" t="n">
        <f aca="false">DW$4*DW40</f>
        <v>0</v>
      </c>
      <c r="DX145" s="199" t="n">
        <f aca="false">DX$4*DX40</f>
        <v>0</v>
      </c>
      <c r="DY145" s="199" t="n">
        <f aca="false">DY$4*DY40</f>
        <v>0</v>
      </c>
      <c r="DZ145" s="199" t="n">
        <f aca="false">DZ$4*DZ40</f>
        <v>0</v>
      </c>
      <c r="EA145" s="199" t="n">
        <f aca="false">EA$4*EA40</f>
        <v>0</v>
      </c>
      <c r="EB145" s="199" t="n">
        <f aca="false">EB$4*EB40</f>
        <v>0</v>
      </c>
      <c r="EC145" s="199" t="n">
        <f aca="false">EC$4*EC40</f>
        <v>0</v>
      </c>
      <c r="ED145" s="200" t="n">
        <f aca="false">ED$4*ED40</f>
        <v>0</v>
      </c>
      <c r="EE145" s="194" t="str">
        <f aca="false">DT145</f>
        <v>Alumno35</v>
      </c>
      <c r="EF145" s="198" t="n">
        <f aca="false">EF$4*EF40</f>
        <v>0</v>
      </c>
      <c r="EG145" s="199" t="n">
        <f aca="false">EG$4*EG40</f>
        <v>0</v>
      </c>
      <c r="EH145" s="199" t="n">
        <f aca="false">EH$4*EH40</f>
        <v>0</v>
      </c>
      <c r="EI145" s="199" t="n">
        <f aca="false">EI$4*EI40</f>
        <v>0</v>
      </c>
      <c r="EJ145" s="199" t="n">
        <f aca="false">EJ$4*EJ40</f>
        <v>0</v>
      </c>
      <c r="EK145" s="199" t="n">
        <f aca="false">EK$4*EK40</f>
        <v>0</v>
      </c>
      <c r="EL145" s="199" t="n">
        <f aca="false">EL$4*EL40</f>
        <v>0</v>
      </c>
      <c r="EM145" s="199" t="n">
        <f aca="false">EM$4*EM40</f>
        <v>0</v>
      </c>
      <c r="EN145" s="199" t="n">
        <f aca="false">EN$4*EN40</f>
        <v>0</v>
      </c>
      <c r="EO145" s="200" t="n">
        <f aca="false">EO$4*EO40</f>
        <v>0</v>
      </c>
      <c r="EP145" s="194" t="str">
        <f aca="false">EE145</f>
        <v>Alumno35</v>
      </c>
      <c r="EQ145" s="198" t="n">
        <f aca="false">EQ$4*EQ40</f>
        <v>0</v>
      </c>
      <c r="ER145" s="199" t="n">
        <f aca="false">ER$4*ER40</f>
        <v>0</v>
      </c>
      <c r="ES145" s="199" t="n">
        <f aca="false">ES$4*ES40</f>
        <v>0</v>
      </c>
      <c r="ET145" s="199" t="n">
        <f aca="false">ET$4*ET40</f>
        <v>0</v>
      </c>
      <c r="EU145" s="199" t="n">
        <f aca="false">EU$4*EU40</f>
        <v>0</v>
      </c>
      <c r="EV145" s="199" t="n">
        <f aca="false">EV$4*EV40</f>
        <v>0</v>
      </c>
      <c r="EW145" s="199" t="n">
        <f aca="false">EW$4*EW40</f>
        <v>0</v>
      </c>
      <c r="EX145" s="199" t="n">
        <f aca="false">EX$4*EX40</f>
        <v>0</v>
      </c>
      <c r="EY145" s="199" t="n">
        <f aca="false">EY$4*EY40</f>
        <v>0</v>
      </c>
      <c r="EZ145" s="200" t="n">
        <f aca="false">EZ$4*EZ40</f>
        <v>0</v>
      </c>
      <c r="FA145" s="194" t="str">
        <f aca="false">EP145</f>
        <v>Alumno35</v>
      </c>
      <c r="FB145" s="198" t="n">
        <f aca="false">FB$4*FB40</f>
        <v>0</v>
      </c>
      <c r="FC145" s="199" t="n">
        <f aca="false">FC$4*FC40</f>
        <v>0</v>
      </c>
      <c r="FD145" s="199" t="n">
        <f aca="false">FD$4*FD40</f>
        <v>0</v>
      </c>
      <c r="FE145" s="199" t="n">
        <f aca="false">FE$4*FE40</f>
        <v>0</v>
      </c>
      <c r="FF145" s="199" t="n">
        <f aca="false">FF$4*FF40</f>
        <v>0</v>
      </c>
      <c r="FG145" s="199" t="n">
        <f aca="false">FG$4*FG40</f>
        <v>0</v>
      </c>
      <c r="FH145" s="199" t="n">
        <f aca="false">FH$4*FH40</f>
        <v>0</v>
      </c>
      <c r="FI145" s="199" t="n">
        <f aca="false">FI$4*FI40</f>
        <v>0</v>
      </c>
      <c r="FJ145" s="199" t="n">
        <f aca="false">FJ$4*FJ40</f>
        <v>0</v>
      </c>
      <c r="FK145" s="200" t="n">
        <f aca="false">FK$4*FK40</f>
        <v>0</v>
      </c>
      <c r="FL145" s="194" t="str">
        <f aca="false">FA145</f>
        <v>Alumno35</v>
      </c>
      <c r="FM145" s="198" t="n">
        <f aca="false">FM$4*FM40</f>
        <v>0</v>
      </c>
      <c r="FN145" s="199" t="n">
        <f aca="false">FN$4*FN40</f>
        <v>0</v>
      </c>
      <c r="FO145" s="199" t="n">
        <f aca="false">FO$4*FO40</f>
        <v>0</v>
      </c>
      <c r="FP145" s="199" t="n">
        <f aca="false">FP$4*FP40</f>
        <v>0</v>
      </c>
      <c r="FQ145" s="199" t="n">
        <f aca="false">FQ$4*FQ40</f>
        <v>0</v>
      </c>
      <c r="FR145" s="199" t="n">
        <f aca="false">FR$4*FR40</f>
        <v>0</v>
      </c>
      <c r="FS145" s="199" t="n">
        <f aca="false">FS$4*FS40</f>
        <v>0</v>
      </c>
      <c r="FT145" s="199" t="n">
        <f aca="false">FT$4*FT40</f>
        <v>0</v>
      </c>
      <c r="FU145" s="199" t="n">
        <f aca="false">FU$4*FU40</f>
        <v>0</v>
      </c>
      <c r="FV145" s="200" t="n">
        <f aca="false">FV$4*FV40</f>
        <v>0</v>
      </c>
      <c r="FW145" s="194" t="str">
        <f aca="false">FL145</f>
        <v>Alumno35</v>
      </c>
      <c r="FX145" s="198" t="n">
        <f aca="false">FX$4*FX40</f>
        <v>0</v>
      </c>
      <c r="FY145" s="199" t="n">
        <f aca="false">FY$4*FY40</f>
        <v>0</v>
      </c>
      <c r="FZ145" s="199" t="n">
        <f aca="false">FZ$4*FZ40</f>
        <v>0</v>
      </c>
      <c r="GA145" s="199" t="n">
        <f aca="false">GA$4*GA40</f>
        <v>0</v>
      </c>
      <c r="GB145" s="199" t="n">
        <f aca="false">GB$4*GB40</f>
        <v>0</v>
      </c>
      <c r="GC145" s="199" t="n">
        <f aca="false">GC$4*GC40</f>
        <v>0</v>
      </c>
      <c r="GD145" s="199" t="n">
        <f aca="false">GD$4*GD40</f>
        <v>0</v>
      </c>
      <c r="GE145" s="199" t="n">
        <f aca="false">GE$4*GE40</f>
        <v>0</v>
      </c>
      <c r="GF145" s="199" t="n">
        <f aca="false">GF$4*GF40</f>
        <v>0</v>
      </c>
      <c r="GG145" s="200" t="n">
        <f aca="false">GG$4*GG40</f>
        <v>0</v>
      </c>
      <c r="GH145" s="194" t="str">
        <f aca="false">FW145</f>
        <v>Alumno35</v>
      </c>
      <c r="GI145" s="198" t="n">
        <f aca="false">GI$4*GI40</f>
        <v>0</v>
      </c>
      <c r="GJ145" s="199" t="n">
        <f aca="false">GJ$4*GJ40</f>
        <v>0</v>
      </c>
      <c r="GK145" s="199" t="n">
        <f aca="false">GK$4*GK40</f>
        <v>0</v>
      </c>
      <c r="GL145" s="199" t="n">
        <f aca="false">GL$4*GL40</f>
        <v>0</v>
      </c>
      <c r="GM145" s="199" t="n">
        <f aca="false">GM$4*GM40</f>
        <v>0</v>
      </c>
      <c r="GN145" s="199" t="n">
        <f aca="false">GN$4*GN40</f>
        <v>0</v>
      </c>
      <c r="GO145" s="199" t="n">
        <f aca="false">GO$4*GO40</f>
        <v>0</v>
      </c>
      <c r="GP145" s="199" t="n">
        <f aca="false">GP$4*GP40</f>
        <v>0</v>
      </c>
      <c r="GQ145" s="199" t="n">
        <f aca="false">GQ$4*GQ40</f>
        <v>0</v>
      </c>
      <c r="GR145" s="200" t="n">
        <f aca="false">GR$4*GR40</f>
        <v>0</v>
      </c>
      <c r="GS145" s="194" t="str">
        <f aca="false">GH145</f>
        <v>Alumno35</v>
      </c>
      <c r="GT145" s="198" t="n">
        <f aca="false">GT$4*GT40</f>
        <v>0</v>
      </c>
      <c r="GU145" s="199" t="n">
        <f aca="false">GU$4*GU40</f>
        <v>0</v>
      </c>
      <c r="GV145" s="199" t="n">
        <f aca="false">GV$4*GV40</f>
        <v>0</v>
      </c>
      <c r="GW145" s="199" t="n">
        <f aca="false">GW$4*GW40</f>
        <v>0</v>
      </c>
      <c r="GX145" s="199" t="n">
        <f aca="false">GX$4*GX40</f>
        <v>0</v>
      </c>
      <c r="GY145" s="199" t="n">
        <f aca="false">GY$4*GY40</f>
        <v>0</v>
      </c>
      <c r="GZ145" s="199" t="n">
        <f aca="false">GZ$4*GZ40</f>
        <v>0</v>
      </c>
      <c r="HA145" s="199" t="n">
        <f aca="false">HA$4*HA40</f>
        <v>0</v>
      </c>
      <c r="HB145" s="199" t="n">
        <f aca="false">HB$4*HB40</f>
        <v>0</v>
      </c>
      <c r="HC145" s="200" t="n">
        <f aca="false">HC$4*HC40</f>
        <v>0</v>
      </c>
      <c r="HD145" s="194" t="str">
        <f aca="false">GS145</f>
        <v>Alumno35</v>
      </c>
      <c r="HE145" s="198" t="n">
        <f aca="false">HE$4*HE40</f>
        <v>0</v>
      </c>
      <c r="HF145" s="199" t="n">
        <f aca="false">HF$4*HF40</f>
        <v>0</v>
      </c>
      <c r="HG145" s="199" t="n">
        <f aca="false">HG$4*HG40</f>
        <v>0</v>
      </c>
      <c r="HH145" s="199" t="n">
        <f aca="false">HH$4*HH40</f>
        <v>0</v>
      </c>
      <c r="HI145" s="199" t="n">
        <f aca="false">HI$4*HI40</f>
        <v>0</v>
      </c>
      <c r="HJ145" s="199" t="n">
        <f aca="false">HJ$4*HJ40</f>
        <v>0</v>
      </c>
      <c r="HK145" s="199" t="n">
        <f aca="false">HK$4*HK40</f>
        <v>0</v>
      </c>
      <c r="HL145" s="199" t="n">
        <f aca="false">HL$4*HL40</f>
        <v>0</v>
      </c>
      <c r="HM145" s="199" t="n">
        <f aca="false">HM$4*HM40</f>
        <v>0</v>
      </c>
      <c r="HN145" s="200" t="n">
        <f aca="false">HN$4*HN40</f>
        <v>0</v>
      </c>
      <c r="HO145" s="194" t="str">
        <f aca="false">HD145</f>
        <v>Alumno35</v>
      </c>
      <c r="HP145" s="198" t="n">
        <f aca="false">HP$4*HP40</f>
        <v>0</v>
      </c>
      <c r="HQ145" s="199" t="n">
        <f aca="false">HQ$4*HQ40</f>
        <v>0</v>
      </c>
      <c r="HR145" s="199" t="n">
        <f aca="false">HR$4*HR40</f>
        <v>0</v>
      </c>
      <c r="HS145" s="199" t="n">
        <f aca="false">HS$4*HS40</f>
        <v>0</v>
      </c>
      <c r="HT145" s="199" t="n">
        <f aca="false">HT$4*HT40</f>
        <v>0</v>
      </c>
      <c r="HU145" s="199" t="n">
        <f aca="false">HU$4*HU40</f>
        <v>0</v>
      </c>
      <c r="HV145" s="199" t="n">
        <f aca="false">HV$4*HV40</f>
        <v>0</v>
      </c>
      <c r="HW145" s="199" t="n">
        <f aca="false">HW$4*HW40</f>
        <v>0</v>
      </c>
      <c r="HX145" s="199" t="n">
        <f aca="false">HX$4*HX40</f>
        <v>0</v>
      </c>
      <c r="HY145" s="200" t="n">
        <f aca="false">HY$4*HY40</f>
        <v>0</v>
      </c>
      <c r="HZ145" s="194" t="str">
        <f aca="false">HO145</f>
        <v>Alumno35</v>
      </c>
      <c r="IA145" s="198" t="n">
        <f aca="false">IA$4*IA40</f>
        <v>0</v>
      </c>
      <c r="IB145" s="199" t="n">
        <f aca="false">IB$4*IB40</f>
        <v>0</v>
      </c>
      <c r="IC145" s="199" t="n">
        <f aca="false">IC$4*IC40</f>
        <v>0</v>
      </c>
      <c r="ID145" s="199" t="n">
        <f aca="false">ID$4*ID40</f>
        <v>0</v>
      </c>
      <c r="IE145" s="199" t="n">
        <f aca="false">IE$4*IE40</f>
        <v>0</v>
      </c>
      <c r="IF145" s="199" t="n">
        <f aca="false">IF$4*IF40</f>
        <v>0</v>
      </c>
      <c r="IG145" s="199" t="n">
        <f aca="false">IG$4*IG40</f>
        <v>0</v>
      </c>
      <c r="IH145" s="199" t="n">
        <f aca="false">IH$4*IH40</f>
        <v>0</v>
      </c>
      <c r="II145" s="199" t="n">
        <f aca="false">II$4*II40</f>
        <v>0</v>
      </c>
      <c r="IJ145" s="200" t="n">
        <f aca="false">IJ$4*IJ40</f>
        <v>0</v>
      </c>
      <c r="IK145" s="194" t="str">
        <f aca="false">HZ145</f>
        <v>Alumno35</v>
      </c>
      <c r="IL145" s="198" t="n">
        <f aca="false">IL$4*IL40</f>
        <v>0</v>
      </c>
      <c r="IM145" s="199" t="n">
        <f aca="false">IM$4*IM40</f>
        <v>0</v>
      </c>
      <c r="IN145" s="199" t="n">
        <f aca="false">IN$4*IN40</f>
        <v>0</v>
      </c>
      <c r="IO145" s="199" t="n">
        <f aca="false">IO$4*IO40</f>
        <v>0</v>
      </c>
      <c r="IP145" s="199" t="n">
        <f aca="false">IP$4*IP40</f>
        <v>0</v>
      </c>
      <c r="IQ145" s="199" t="n">
        <f aca="false">IQ$4*IQ40</f>
        <v>0</v>
      </c>
      <c r="IR145" s="199" t="n">
        <f aca="false">IR$4*IR40</f>
        <v>0</v>
      </c>
      <c r="IS145" s="199" t="n">
        <f aca="false">IS$4*IS40</f>
        <v>0</v>
      </c>
      <c r="IT145" s="199" t="n">
        <f aca="false">IT$4*IT40</f>
        <v>0</v>
      </c>
      <c r="IU145" s="200" t="n">
        <f aca="false">IU$4*IU40</f>
        <v>0</v>
      </c>
      <c r="IV145" s="194" t="str">
        <f aca="false">IK145</f>
        <v>Alumno35</v>
      </c>
      <c r="IW145" s="198" t="n">
        <f aca="false">IW$4*IW40</f>
        <v>0</v>
      </c>
      <c r="IX145" s="199" t="n">
        <f aca="false">IX$4*IX40</f>
        <v>0</v>
      </c>
      <c r="IY145" s="199" t="n">
        <f aca="false">IY$4*IY40</f>
        <v>0</v>
      </c>
      <c r="IZ145" s="199" t="n">
        <f aca="false">IZ$4*IZ40</f>
        <v>0</v>
      </c>
      <c r="JA145" s="199" t="n">
        <f aca="false">JA$4*JA40</f>
        <v>0</v>
      </c>
      <c r="JB145" s="199" t="n">
        <f aca="false">JB$4*JB40</f>
        <v>0</v>
      </c>
      <c r="JC145" s="199" t="n">
        <f aca="false">JC$4*JC40</f>
        <v>0</v>
      </c>
      <c r="JD145" s="199" t="n">
        <f aca="false">JD$4*JD40</f>
        <v>0</v>
      </c>
      <c r="JE145" s="199" t="n">
        <f aca="false">JE$4*JE40</f>
        <v>0</v>
      </c>
      <c r="JF145" s="200" t="n">
        <f aca="false">JF$4*JF40</f>
        <v>0</v>
      </c>
      <c r="JG145" s="194" t="str">
        <f aca="false">IV145</f>
        <v>Alumno35</v>
      </c>
      <c r="JH145" s="198" t="n">
        <f aca="false">JH$4*JH40</f>
        <v>0</v>
      </c>
      <c r="JI145" s="199" t="n">
        <f aca="false">JI$4*JI40</f>
        <v>0</v>
      </c>
      <c r="JJ145" s="199" t="n">
        <f aca="false">JJ$4*JJ40</f>
        <v>0</v>
      </c>
      <c r="JK145" s="199" t="n">
        <f aca="false">JK$4*JK40</f>
        <v>0</v>
      </c>
      <c r="JL145" s="199" t="n">
        <f aca="false">JL$4*JL40</f>
        <v>0</v>
      </c>
      <c r="JM145" s="199" t="n">
        <f aca="false">JM$4*JM40</f>
        <v>0</v>
      </c>
      <c r="JN145" s="199" t="n">
        <f aca="false">JN$4*JN40</f>
        <v>0</v>
      </c>
      <c r="JO145" s="199" t="n">
        <f aca="false">JO$4*JO40</f>
        <v>0</v>
      </c>
      <c r="JP145" s="199" t="n">
        <f aca="false">JP$4*JP40</f>
        <v>0</v>
      </c>
      <c r="JQ145" s="200" t="n">
        <f aca="false">JQ$4*JQ40</f>
        <v>0</v>
      </c>
      <c r="JR145" s="194" t="str">
        <f aca="false">JG145</f>
        <v>Alumno35</v>
      </c>
      <c r="JS145" s="198" t="n">
        <f aca="false">JS$4*JS40</f>
        <v>0</v>
      </c>
      <c r="JT145" s="199" t="n">
        <f aca="false">JT$4*JT40</f>
        <v>0</v>
      </c>
      <c r="JU145" s="199" t="n">
        <f aca="false">JU$4*JU40</f>
        <v>0</v>
      </c>
      <c r="JV145" s="199" t="n">
        <f aca="false">JV$4*JV40</f>
        <v>0</v>
      </c>
      <c r="JW145" s="199" t="n">
        <f aca="false">JW$4*JW40</f>
        <v>0</v>
      </c>
      <c r="JX145" s="199" t="n">
        <f aca="false">JX$4*JX40</f>
        <v>0</v>
      </c>
      <c r="JY145" s="199" t="n">
        <f aca="false">JY$4*JY40</f>
        <v>0</v>
      </c>
      <c r="JZ145" s="199" t="n">
        <f aca="false">JZ$4*JZ40</f>
        <v>0</v>
      </c>
      <c r="KA145" s="199" t="n">
        <f aca="false">KA$4*KA40</f>
        <v>0</v>
      </c>
      <c r="KB145" s="200" t="n">
        <f aca="false">KB$4*KB40</f>
        <v>0</v>
      </c>
      <c r="KC145" s="194" t="str">
        <f aca="false">JR145</f>
        <v>Alumno35</v>
      </c>
      <c r="KD145" s="198" t="n">
        <f aca="false">KD$4*KD40</f>
        <v>0</v>
      </c>
      <c r="KE145" s="199" t="n">
        <f aca="false">KE$4*KE40</f>
        <v>0</v>
      </c>
      <c r="KF145" s="199" t="n">
        <f aca="false">KF$4*KF40</f>
        <v>0</v>
      </c>
      <c r="KG145" s="199" t="n">
        <f aca="false">KG$4*KG40</f>
        <v>0</v>
      </c>
      <c r="KH145" s="199" t="n">
        <f aca="false">KH$4*KH40</f>
        <v>0</v>
      </c>
      <c r="KI145" s="199" t="n">
        <f aca="false">KI$4*KI40</f>
        <v>0</v>
      </c>
      <c r="KJ145" s="199" t="n">
        <f aca="false">KJ$4*KJ40</f>
        <v>0</v>
      </c>
      <c r="KK145" s="199" t="n">
        <f aca="false">KK$4*KK40</f>
        <v>0</v>
      </c>
      <c r="KL145" s="199" t="n">
        <f aca="false">KL$4*KL40</f>
        <v>0</v>
      </c>
      <c r="KM145" s="200" t="n">
        <f aca="false">KM$4*KM40</f>
        <v>0</v>
      </c>
      <c r="KN145" s="194" t="str">
        <f aca="false">KC145</f>
        <v>Alumno35</v>
      </c>
      <c r="KO145" s="198" t="n">
        <f aca="false">KO$4*KO40</f>
        <v>0</v>
      </c>
      <c r="KP145" s="199" t="n">
        <f aca="false">KP$4*KP40</f>
        <v>0</v>
      </c>
      <c r="KQ145" s="199" t="n">
        <f aca="false">KQ$4*KQ40</f>
        <v>0</v>
      </c>
      <c r="KR145" s="199" t="n">
        <f aca="false">KR$4*KR40</f>
        <v>0</v>
      </c>
      <c r="KS145" s="199" t="n">
        <f aca="false">KS$4*KS40</f>
        <v>0</v>
      </c>
      <c r="KT145" s="199" t="n">
        <f aca="false">KT$4*KT40</f>
        <v>0</v>
      </c>
      <c r="KU145" s="199" t="n">
        <f aca="false">KU$4*KU40</f>
        <v>0</v>
      </c>
      <c r="KV145" s="199" t="n">
        <f aca="false">KV$4*KV40</f>
        <v>0</v>
      </c>
      <c r="KW145" s="199" t="n">
        <f aca="false">KW$4*KW40</f>
        <v>0</v>
      </c>
      <c r="KX145" s="200" t="n">
        <f aca="false">KX$4*KX40</f>
        <v>0</v>
      </c>
      <c r="KY145" s="194" t="str">
        <f aca="false">KN145</f>
        <v>Alumno35</v>
      </c>
      <c r="KZ145" s="198" t="n">
        <f aca="false">KZ$4*KZ40</f>
        <v>0</v>
      </c>
      <c r="LA145" s="199" t="n">
        <f aca="false">LA$4*LA40</f>
        <v>0</v>
      </c>
      <c r="LB145" s="199" t="n">
        <f aca="false">LB$4*LB40</f>
        <v>0</v>
      </c>
      <c r="LC145" s="199" t="n">
        <f aca="false">LC$4*LC40</f>
        <v>0</v>
      </c>
      <c r="LD145" s="199" t="n">
        <f aca="false">LD$4*LD40</f>
        <v>0</v>
      </c>
      <c r="LE145" s="199" t="n">
        <f aca="false">LE$4*LE40</f>
        <v>0</v>
      </c>
      <c r="LF145" s="199" t="n">
        <f aca="false">LF$4*LF40</f>
        <v>0</v>
      </c>
      <c r="LG145" s="199" t="n">
        <f aca="false">LG$4*LG40</f>
        <v>0</v>
      </c>
      <c r="LH145" s="199" t="n">
        <f aca="false">LH$4*LH40</f>
        <v>0</v>
      </c>
      <c r="LI145" s="200" t="n">
        <f aca="false">LI$4*LI40</f>
        <v>0</v>
      </c>
      <c r="LJ145" s="194" t="str">
        <f aca="false">KY145</f>
        <v>Alumno35</v>
      </c>
      <c r="LK145" s="198" t="n">
        <f aca="false">LK$4*LK40</f>
        <v>0</v>
      </c>
      <c r="LL145" s="199" t="n">
        <f aca="false">LL$4*LL40</f>
        <v>0</v>
      </c>
      <c r="LM145" s="199" t="n">
        <f aca="false">LM$4*LM40</f>
        <v>0</v>
      </c>
      <c r="LN145" s="199" t="n">
        <f aca="false">LN$4*LN40</f>
        <v>0</v>
      </c>
      <c r="LO145" s="199" t="n">
        <f aca="false">LO$4*LO40</f>
        <v>0</v>
      </c>
      <c r="LP145" s="199" t="n">
        <f aca="false">LP$4*LP40</f>
        <v>0</v>
      </c>
      <c r="LQ145" s="199" t="n">
        <f aca="false">LQ$4*LQ40</f>
        <v>0</v>
      </c>
      <c r="LR145" s="199" t="n">
        <f aca="false">LR$4*LR40</f>
        <v>0</v>
      </c>
      <c r="LS145" s="199" t="n">
        <f aca="false">LS$4*LS40</f>
        <v>0</v>
      </c>
      <c r="LT145" s="200" t="n">
        <f aca="false">LT$4*LT40</f>
        <v>0</v>
      </c>
    </row>
    <row r="146" customFormat="false" ht="15" hidden="true" customHeight="false" outlineLevel="0" collapsed="false">
      <c r="C146" s="194" t="str">
        <f aca="false">C97</f>
        <v>Alumno36</v>
      </c>
      <c r="D146" s="198" t="n">
        <f aca="false">D$4*D41</f>
        <v>0</v>
      </c>
      <c r="E146" s="199" t="n">
        <f aca="false">E$4*E41</f>
        <v>0</v>
      </c>
      <c r="F146" s="199" t="n">
        <f aca="false">F$4*F41</f>
        <v>0</v>
      </c>
      <c r="G146" s="199" t="n">
        <f aca="false">G$4*G41</f>
        <v>0</v>
      </c>
      <c r="H146" s="199" t="n">
        <f aca="false">H$4*H41</f>
        <v>0</v>
      </c>
      <c r="I146" s="199" t="n">
        <f aca="false">I$4*I41</f>
        <v>0</v>
      </c>
      <c r="J146" s="199" t="n">
        <f aca="false">J$4*J41</f>
        <v>0</v>
      </c>
      <c r="K146" s="199" t="n">
        <f aca="false">K$4*K41</f>
        <v>0</v>
      </c>
      <c r="L146" s="199" t="n">
        <f aca="false">L$4*L41</f>
        <v>0</v>
      </c>
      <c r="M146" s="200" t="n">
        <f aca="false">M$4*M41</f>
        <v>0</v>
      </c>
      <c r="N146" s="194" t="str">
        <f aca="false">C146</f>
        <v>Alumno36</v>
      </c>
      <c r="O146" s="198" t="n">
        <f aca="false">O$4*O41</f>
        <v>0</v>
      </c>
      <c r="P146" s="199" t="n">
        <f aca="false">P$4*P41</f>
        <v>0</v>
      </c>
      <c r="Q146" s="199" t="n">
        <f aca="false">Q$4*Q41</f>
        <v>0</v>
      </c>
      <c r="R146" s="199" t="n">
        <f aca="false">R$4*R41</f>
        <v>0</v>
      </c>
      <c r="S146" s="199" t="n">
        <f aca="false">S$4*S41</f>
        <v>0</v>
      </c>
      <c r="T146" s="199" t="n">
        <f aca="false">T$4*T41</f>
        <v>0</v>
      </c>
      <c r="U146" s="199" t="n">
        <f aca="false">U$4*U41</f>
        <v>0</v>
      </c>
      <c r="V146" s="199" t="n">
        <f aca="false">V$4*V41</f>
        <v>0</v>
      </c>
      <c r="W146" s="199" t="n">
        <f aca="false">W$4*W41</f>
        <v>0</v>
      </c>
      <c r="X146" s="200" t="n">
        <f aca="false">X$4*X41</f>
        <v>0</v>
      </c>
      <c r="Y146" s="194" t="str">
        <f aca="false">N146</f>
        <v>Alumno36</v>
      </c>
      <c r="Z146" s="198" t="n">
        <f aca="false">Z$4*Z41</f>
        <v>0</v>
      </c>
      <c r="AA146" s="199" t="n">
        <f aca="false">AA$4*AA41</f>
        <v>0</v>
      </c>
      <c r="AB146" s="199" t="n">
        <f aca="false">AB$4*AB41</f>
        <v>0</v>
      </c>
      <c r="AC146" s="199" t="n">
        <f aca="false">AC$4*AC41</f>
        <v>0</v>
      </c>
      <c r="AD146" s="199" t="n">
        <f aca="false">AD$4*AD41</f>
        <v>0</v>
      </c>
      <c r="AE146" s="199" t="n">
        <f aca="false">AE$4*AE41</f>
        <v>0</v>
      </c>
      <c r="AF146" s="199" t="n">
        <f aca="false">AF$4*AF41</f>
        <v>0</v>
      </c>
      <c r="AG146" s="199" t="n">
        <f aca="false">AG$4*AG41</f>
        <v>0</v>
      </c>
      <c r="AH146" s="199" t="n">
        <f aca="false">AH$4*AH41</f>
        <v>0</v>
      </c>
      <c r="AI146" s="200" t="n">
        <f aca="false">AI$4*AI41</f>
        <v>0</v>
      </c>
      <c r="AJ146" s="194" t="str">
        <f aca="false">Y146</f>
        <v>Alumno36</v>
      </c>
      <c r="AK146" s="198" t="n">
        <f aca="false">AK$4*AK41</f>
        <v>0</v>
      </c>
      <c r="AL146" s="199" t="n">
        <f aca="false">AL$4*AL41</f>
        <v>0</v>
      </c>
      <c r="AM146" s="199" t="n">
        <f aca="false">AM$4*AM41</f>
        <v>0</v>
      </c>
      <c r="AN146" s="199" t="n">
        <f aca="false">AN$4*AN41</f>
        <v>0</v>
      </c>
      <c r="AO146" s="199" t="n">
        <f aca="false">AO$4*AO41</f>
        <v>0</v>
      </c>
      <c r="AP146" s="199" t="n">
        <f aca="false">AP$4*AP41</f>
        <v>0</v>
      </c>
      <c r="AQ146" s="199" t="n">
        <f aca="false">AQ$4*AQ41</f>
        <v>0</v>
      </c>
      <c r="AR146" s="199" t="n">
        <f aca="false">AR$4*AR41</f>
        <v>0</v>
      </c>
      <c r="AS146" s="199" t="n">
        <f aca="false">AS$4*AS41</f>
        <v>0</v>
      </c>
      <c r="AT146" s="200" t="n">
        <f aca="false">AT$4*AT41</f>
        <v>0</v>
      </c>
      <c r="AU146" s="194" t="str">
        <f aca="false">AJ146</f>
        <v>Alumno36</v>
      </c>
      <c r="AV146" s="198" t="n">
        <f aca="false">AV$4*AV41</f>
        <v>0</v>
      </c>
      <c r="AW146" s="199" t="n">
        <f aca="false">AW$4*AW41</f>
        <v>0</v>
      </c>
      <c r="AX146" s="199" t="n">
        <f aca="false">AX$4*AX41</f>
        <v>0</v>
      </c>
      <c r="AY146" s="199" t="n">
        <f aca="false">AY$4*AY41</f>
        <v>0</v>
      </c>
      <c r="AZ146" s="199" t="n">
        <f aca="false">AZ$4*AZ41</f>
        <v>0</v>
      </c>
      <c r="BA146" s="199" t="n">
        <f aca="false">BA$4*BA41</f>
        <v>0</v>
      </c>
      <c r="BB146" s="199" t="n">
        <f aca="false">BB$4*BB41</f>
        <v>0</v>
      </c>
      <c r="BC146" s="199" t="n">
        <f aca="false">BC$4*BC41</f>
        <v>0</v>
      </c>
      <c r="BD146" s="199" t="n">
        <f aca="false">BD$4*BD41</f>
        <v>0</v>
      </c>
      <c r="BE146" s="200" t="n">
        <f aca="false">BE$4*BE41</f>
        <v>0</v>
      </c>
      <c r="BF146" s="194" t="str">
        <f aca="false">AU146</f>
        <v>Alumno36</v>
      </c>
      <c r="BG146" s="198" t="n">
        <f aca="false">BG$4*BG41</f>
        <v>0</v>
      </c>
      <c r="BH146" s="199" t="n">
        <f aca="false">BH$4*BH41</f>
        <v>0</v>
      </c>
      <c r="BI146" s="199" t="n">
        <f aca="false">BI$4*BI41</f>
        <v>0</v>
      </c>
      <c r="BJ146" s="199" t="n">
        <f aca="false">BJ$4*BJ41</f>
        <v>0</v>
      </c>
      <c r="BK146" s="199" t="n">
        <f aca="false">BK$4*BK41</f>
        <v>0</v>
      </c>
      <c r="BL146" s="199" t="n">
        <f aca="false">BL$4*BL41</f>
        <v>0</v>
      </c>
      <c r="BM146" s="199" t="n">
        <f aca="false">BM$4*BM41</f>
        <v>0</v>
      </c>
      <c r="BN146" s="199" t="n">
        <f aca="false">BN$4*BN41</f>
        <v>0</v>
      </c>
      <c r="BO146" s="199" t="n">
        <f aca="false">BO$4*BO41</f>
        <v>0</v>
      </c>
      <c r="BP146" s="200" t="n">
        <f aca="false">BP$4*BP41</f>
        <v>0</v>
      </c>
      <c r="BQ146" s="194" t="str">
        <f aca="false">BF146</f>
        <v>Alumno36</v>
      </c>
      <c r="BR146" s="198" t="n">
        <f aca="false">BR$4*BR41</f>
        <v>0</v>
      </c>
      <c r="BS146" s="199" t="n">
        <f aca="false">BS$4*BS41</f>
        <v>0</v>
      </c>
      <c r="BT146" s="199" t="n">
        <f aca="false">BT$4*BT41</f>
        <v>0</v>
      </c>
      <c r="BU146" s="199" t="n">
        <f aca="false">BU$4*BU41</f>
        <v>0</v>
      </c>
      <c r="BV146" s="199" t="n">
        <f aca="false">BV$4*BV41</f>
        <v>0</v>
      </c>
      <c r="BW146" s="199" t="n">
        <f aca="false">BW$4*BW41</f>
        <v>0</v>
      </c>
      <c r="BX146" s="199" t="n">
        <f aca="false">BX$4*BX41</f>
        <v>0</v>
      </c>
      <c r="BY146" s="199" t="n">
        <f aca="false">BY$4*BY41</f>
        <v>0</v>
      </c>
      <c r="BZ146" s="199" t="n">
        <f aca="false">BZ$4*BZ41</f>
        <v>0</v>
      </c>
      <c r="CA146" s="200" t="n">
        <f aca="false">CA$4*CA41</f>
        <v>0</v>
      </c>
      <c r="CB146" s="194" t="str">
        <f aca="false">BQ146</f>
        <v>Alumno36</v>
      </c>
      <c r="CC146" s="198" t="n">
        <f aca="false">CC$4*CC41</f>
        <v>0</v>
      </c>
      <c r="CD146" s="199" t="n">
        <f aca="false">CD$4*CD41</f>
        <v>0</v>
      </c>
      <c r="CE146" s="199" t="n">
        <f aca="false">CE$4*CE41</f>
        <v>0</v>
      </c>
      <c r="CF146" s="199" t="n">
        <f aca="false">CF$4*CF41</f>
        <v>0</v>
      </c>
      <c r="CG146" s="199" t="n">
        <f aca="false">CG$4*CG41</f>
        <v>0</v>
      </c>
      <c r="CH146" s="199" t="n">
        <f aca="false">CH$4*CH41</f>
        <v>0</v>
      </c>
      <c r="CI146" s="199" t="n">
        <f aca="false">CI$4*CI41</f>
        <v>0</v>
      </c>
      <c r="CJ146" s="199" t="n">
        <f aca="false">CJ$4*CJ41</f>
        <v>0</v>
      </c>
      <c r="CK146" s="199" t="n">
        <f aca="false">CK$4*CK41</f>
        <v>0</v>
      </c>
      <c r="CL146" s="200" t="n">
        <f aca="false">CL$4*CL41</f>
        <v>0</v>
      </c>
      <c r="CM146" s="194" t="str">
        <f aca="false">CB146</f>
        <v>Alumno36</v>
      </c>
      <c r="CN146" s="198" t="n">
        <f aca="false">CN$4*CN41</f>
        <v>0</v>
      </c>
      <c r="CO146" s="199" t="n">
        <f aca="false">CO$4*CO41</f>
        <v>0</v>
      </c>
      <c r="CP146" s="199" t="n">
        <f aca="false">CP$4*CP41</f>
        <v>0</v>
      </c>
      <c r="CQ146" s="199" t="n">
        <f aca="false">CQ$4*CQ41</f>
        <v>0</v>
      </c>
      <c r="CR146" s="199" t="n">
        <f aca="false">CR$4*CR41</f>
        <v>0</v>
      </c>
      <c r="CS146" s="199" t="n">
        <f aca="false">CS$4*CS41</f>
        <v>0</v>
      </c>
      <c r="CT146" s="199" t="n">
        <f aca="false">CT$4*CT41</f>
        <v>0</v>
      </c>
      <c r="CU146" s="199" t="n">
        <f aca="false">CU$4*CU41</f>
        <v>0</v>
      </c>
      <c r="CV146" s="199" t="n">
        <f aca="false">CV$4*CV41</f>
        <v>0</v>
      </c>
      <c r="CW146" s="200" t="n">
        <f aca="false">CW$4*CW41</f>
        <v>0</v>
      </c>
      <c r="CX146" s="194" t="str">
        <f aca="false">CM146</f>
        <v>Alumno36</v>
      </c>
      <c r="CY146" s="198" t="n">
        <f aca="false">CY$4*CY41</f>
        <v>0</v>
      </c>
      <c r="CZ146" s="199" t="n">
        <f aca="false">CZ$4*CZ41</f>
        <v>0</v>
      </c>
      <c r="DA146" s="199" t="n">
        <f aca="false">DA$4*DA41</f>
        <v>0</v>
      </c>
      <c r="DB146" s="199" t="n">
        <f aca="false">DB$4*DB41</f>
        <v>0</v>
      </c>
      <c r="DC146" s="199" t="n">
        <f aca="false">DC$4*DC41</f>
        <v>0</v>
      </c>
      <c r="DD146" s="199" t="n">
        <f aca="false">DD$4*DD41</f>
        <v>0</v>
      </c>
      <c r="DE146" s="199" t="n">
        <f aca="false">DE$4*DE41</f>
        <v>0</v>
      </c>
      <c r="DF146" s="199" t="n">
        <f aca="false">DF$4*DF41</f>
        <v>0</v>
      </c>
      <c r="DG146" s="199" t="n">
        <f aca="false">DG$4*DG41</f>
        <v>0</v>
      </c>
      <c r="DH146" s="200" t="n">
        <f aca="false">DH$4*DH41</f>
        <v>0</v>
      </c>
      <c r="DI146" s="194" t="str">
        <f aca="false">CX146</f>
        <v>Alumno36</v>
      </c>
      <c r="DJ146" s="198" t="n">
        <f aca="false">DJ$4*DJ41</f>
        <v>0</v>
      </c>
      <c r="DK146" s="199" t="n">
        <f aca="false">DK$4*DK41</f>
        <v>0</v>
      </c>
      <c r="DL146" s="199" t="n">
        <f aca="false">DL$4*DL41</f>
        <v>0</v>
      </c>
      <c r="DM146" s="199" t="n">
        <f aca="false">DM$4*DM41</f>
        <v>0</v>
      </c>
      <c r="DN146" s="199" t="n">
        <f aca="false">DN$4*DN41</f>
        <v>0</v>
      </c>
      <c r="DO146" s="199" t="n">
        <f aca="false">DO$4*DO41</f>
        <v>0</v>
      </c>
      <c r="DP146" s="199" t="n">
        <f aca="false">DP$4*DP41</f>
        <v>0</v>
      </c>
      <c r="DQ146" s="199" t="n">
        <f aca="false">DQ$4*DQ41</f>
        <v>0</v>
      </c>
      <c r="DR146" s="199" t="n">
        <f aca="false">DR$4*DR41</f>
        <v>0</v>
      </c>
      <c r="DS146" s="200" t="n">
        <f aca="false">DS$4*DS41</f>
        <v>0</v>
      </c>
      <c r="DT146" s="194" t="str">
        <f aca="false">DI146</f>
        <v>Alumno36</v>
      </c>
      <c r="DU146" s="198" t="n">
        <f aca="false">DU$4*DU41</f>
        <v>0</v>
      </c>
      <c r="DV146" s="199" t="n">
        <f aca="false">DV$4*DV41</f>
        <v>0</v>
      </c>
      <c r="DW146" s="199" t="n">
        <f aca="false">DW$4*DW41</f>
        <v>0</v>
      </c>
      <c r="DX146" s="199" t="n">
        <f aca="false">DX$4*DX41</f>
        <v>0</v>
      </c>
      <c r="DY146" s="199" t="n">
        <f aca="false">DY$4*DY41</f>
        <v>0</v>
      </c>
      <c r="DZ146" s="199" t="n">
        <f aca="false">DZ$4*DZ41</f>
        <v>0</v>
      </c>
      <c r="EA146" s="199" t="n">
        <f aca="false">EA$4*EA41</f>
        <v>0</v>
      </c>
      <c r="EB146" s="199" t="n">
        <f aca="false">EB$4*EB41</f>
        <v>0</v>
      </c>
      <c r="EC146" s="199" t="n">
        <f aca="false">EC$4*EC41</f>
        <v>0</v>
      </c>
      <c r="ED146" s="200" t="n">
        <f aca="false">ED$4*ED41</f>
        <v>0</v>
      </c>
      <c r="EE146" s="194" t="str">
        <f aca="false">DT146</f>
        <v>Alumno36</v>
      </c>
      <c r="EF146" s="198" t="n">
        <f aca="false">EF$4*EF41</f>
        <v>0</v>
      </c>
      <c r="EG146" s="199" t="n">
        <f aca="false">EG$4*EG41</f>
        <v>0</v>
      </c>
      <c r="EH146" s="199" t="n">
        <f aca="false">EH$4*EH41</f>
        <v>0</v>
      </c>
      <c r="EI146" s="199" t="n">
        <f aca="false">EI$4*EI41</f>
        <v>0</v>
      </c>
      <c r="EJ146" s="199" t="n">
        <f aca="false">EJ$4*EJ41</f>
        <v>0</v>
      </c>
      <c r="EK146" s="199" t="n">
        <f aca="false">EK$4*EK41</f>
        <v>0</v>
      </c>
      <c r="EL146" s="199" t="n">
        <f aca="false">EL$4*EL41</f>
        <v>0</v>
      </c>
      <c r="EM146" s="199" t="n">
        <f aca="false">EM$4*EM41</f>
        <v>0</v>
      </c>
      <c r="EN146" s="199" t="n">
        <f aca="false">EN$4*EN41</f>
        <v>0</v>
      </c>
      <c r="EO146" s="200" t="n">
        <f aca="false">EO$4*EO41</f>
        <v>0</v>
      </c>
      <c r="EP146" s="194" t="str">
        <f aca="false">EE146</f>
        <v>Alumno36</v>
      </c>
      <c r="EQ146" s="198" t="n">
        <f aca="false">EQ$4*EQ41</f>
        <v>0</v>
      </c>
      <c r="ER146" s="199" t="n">
        <f aca="false">ER$4*ER41</f>
        <v>0</v>
      </c>
      <c r="ES146" s="199" t="n">
        <f aca="false">ES$4*ES41</f>
        <v>0</v>
      </c>
      <c r="ET146" s="199" t="n">
        <f aca="false">ET$4*ET41</f>
        <v>0</v>
      </c>
      <c r="EU146" s="199" t="n">
        <f aca="false">EU$4*EU41</f>
        <v>0</v>
      </c>
      <c r="EV146" s="199" t="n">
        <f aca="false">EV$4*EV41</f>
        <v>0</v>
      </c>
      <c r="EW146" s="199" t="n">
        <f aca="false">EW$4*EW41</f>
        <v>0</v>
      </c>
      <c r="EX146" s="199" t="n">
        <f aca="false">EX$4*EX41</f>
        <v>0</v>
      </c>
      <c r="EY146" s="199" t="n">
        <f aca="false">EY$4*EY41</f>
        <v>0</v>
      </c>
      <c r="EZ146" s="200" t="n">
        <f aca="false">EZ$4*EZ41</f>
        <v>0</v>
      </c>
      <c r="FA146" s="194" t="str">
        <f aca="false">EP146</f>
        <v>Alumno36</v>
      </c>
      <c r="FB146" s="198" t="n">
        <f aca="false">FB$4*FB41</f>
        <v>0</v>
      </c>
      <c r="FC146" s="199" t="n">
        <f aca="false">FC$4*FC41</f>
        <v>0</v>
      </c>
      <c r="FD146" s="199" t="n">
        <f aca="false">FD$4*FD41</f>
        <v>0</v>
      </c>
      <c r="FE146" s="199" t="n">
        <f aca="false">FE$4*FE41</f>
        <v>0</v>
      </c>
      <c r="FF146" s="199" t="n">
        <f aca="false">FF$4*FF41</f>
        <v>0</v>
      </c>
      <c r="FG146" s="199" t="n">
        <f aca="false">FG$4*FG41</f>
        <v>0</v>
      </c>
      <c r="FH146" s="199" t="n">
        <f aca="false">FH$4*FH41</f>
        <v>0</v>
      </c>
      <c r="FI146" s="199" t="n">
        <f aca="false">FI$4*FI41</f>
        <v>0</v>
      </c>
      <c r="FJ146" s="199" t="n">
        <f aca="false">FJ$4*FJ41</f>
        <v>0</v>
      </c>
      <c r="FK146" s="200" t="n">
        <f aca="false">FK$4*FK41</f>
        <v>0</v>
      </c>
      <c r="FL146" s="194" t="str">
        <f aca="false">FA146</f>
        <v>Alumno36</v>
      </c>
      <c r="FM146" s="198" t="n">
        <f aca="false">FM$4*FM41</f>
        <v>0</v>
      </c>
      <c r="FN146" s="199" t="n">
        <f aca="false">FN$4*FN41</f>
        <v>0</v>
      </c>
      <c r="FO146" s="199" t="n">
        <f aca="false">FO$4*FO41</f>
        <v>0</v>
      </c>
      <c r="FP146" s="199" t="n">
        <f aca="false">FP$4*FP41</f>
        <v>0</v>
      </c>
      <c r="FQ146" s="199" t="n">
        <f aca="false">FQ$4*FQ41</f>
        <v>0</v>
      </c>
      <c r="FR146" s="199" t="n">
        <f aca="false">FR$4*FR41</f>
        <v>0</v>
      </c>
      <c r="FS146" s="199" t="n">
        <f aca="false">FS$4*FS41</f>
        <v>0</v>
      </c>
      <c r="FT146" s="199" t="n">
        <f aca="false">FT$4*FT41</f>
        <v>0</v>
      </c>
      <c r="FU146" s="199" t="n">
        <f aca="false">FU$4*FU41</f>
        <v>0</v>
      </c>
      <c r="FV146" s="200" t="n">
        <f aca="false">FV$4*FV41</f>
        <v>0</v>
      </c>
      <c r="FW146" s="194" t="str">
        <f aca="false">FL146</f>
        <v>Alumno36</v>
      </c>
      <c r="FX146" s="198" t="n">
        <f aca="false">FX$4*FX41</f>
        <v>0</v>
      </c>
      <c r="FY146" s="199" t="n">
        <f aca="false">FY$4*FY41</f>
        <v>0</v>
      </c>
      <c r="FZ146" s="199" t="n">
        <f aca="false">FZ$4*FZ41</f>
        <v>0</v>
      </c>
      <c r="GA146" s="199" t="n">
        <f aca="false">GA$4*GA41</f>
        <v>0</v>
      </c>
      <c r="GB146" s="199" t="n">
        <f aca="false">GB$4*GB41</f>
        <v>0</v>
      </c>
      <c r="GC146" s="199" t="n">
        <f aca="false">GC$4*GC41</f>
        <v>0</v>
      </c>
      <c r="GD146" s="199" t="n">
        <f aca="false">GD$4*GD41</f>
        <v>0</v>
      </c>
      <c r="GE146" s="199" t="n">
        <f aca="false">GE$4*GE41</f>
        <v>0</v>
      </c>
      <c r="GF146" s="199" t="n">
        <f aca="false">GF$4*GF41</f>
        <v>0</v>
      </c>
      <c r="GG146" s="200" t="n">
        <f aca="false">GG$4*GG41</f>
        <v>0</v>
      </c>
      <c r="GH146" s="194" t="str">
        <f aca="false">FW146</f>
        <v>Alumno36</v>
      </c>
      <c r="GI146" s="198" t="n">
        <f aca="false">GI$4*GI41</f>
        <v>0</v>
      </c>
      <c r="GJ146" s="199" t="n">
        <f aca="false">GJ$4*GJ41</f>
        <v>0</v>
      </c>
      <c r="GK146" s="199" t="n">
        <f aca="false">GK$4*GK41</f>
        <v>0</v>
      </c>
      <c r="GL146" s="199" t="n">
        <f aca="false">GL$4*GL41</f>
        <v>0</v>
      </c>
      <c r="GM146" s="199" t="n">
        <f aca="false">GM$4*GM41</f>
        <v>0</v>
      </c>
      <c r="GN146" s="199" t="n">
        <f aca="false">GN$4*GN41</f>
        <v>0</v>
      </c>
      <c r="GO146" s="199" t="n">
        <f aca="false">GO$4*GO41</f>
        <v>0</v>
      </c>
      <c r="GP146" s="199" t="n">
        <f aca="false">GP$4*GP41</f>
        <v>0</v>
      </c>
      <c r="GQ146" s="199" t="n">
        <f aca="false">GQ$4*GQ41</f>
        <v>0</v>
      </c>
      <c r="GR146" s="200" t="n">
        <f aca="false">GR$4*GR41</f>
        <v>0</v>
      </c>
      <c r="GS146" s="194" t="str">
        <f aca="false">GH146</f>
        <v>Alumno36</v>
      </c>
      <c r="GT146" s="198" t="n">
        <f aca="false">GT$4*GT41</f>
        <v>0</v>
      </c>
      <c r="GU146" s="199" t="n">
        <f aca="false">GU$4*GU41</f>
        <v>0</v>
      </c>
      <c r="GV146" s="199" t="n">
        <f aca="false">GV$4*GV41</f>
        <v>0</v>
      </c>
      <c r="GW146" s="199" t="n">
        <f aca="false">GW$4*GW41</f>
        <v>0</v>
      </c>
      <c r="GX146" s="199" t="n">
        <f aca="false">GX$4*GX41</f>
        <v>0</v>
      </c>
      <c r="GY146" s="199" t="n">
        <f aca="false">GY$4*GY41</f>
        <v>0</v>
      </c>
      <c r="GZ146" s="199" t="n">
        <f aca="false">GZ$4*GZ41</f>
        <v>0</v>
      </c>
      <c r="HA146" s="199" t="n">
        <f aca="false">HA$4*HA41</f>
        <v>0</v>
      </c>
      <c r="HB146" s="199" t="n">
        <f aca="false">HB$4*HB41</f>
        <v>0</v>
      </c>
      <c r="HC146" s="200" t="n">
        <f aca="false">HC$4*HC41</f>
        <v>0</v>
      </c>
      <c r="HD146" s="194" t="str">
        <f aca="false">GS146</f>
        <v>Alumno36</v>
      </c>
      <c r="HE146" s="198" t="n">
        <f aca="false">HE$4*HE41</f>
        <v>0</v>
      </c>
      <c r="HF146" s="199" t="n">
        <f aca="false">HF$4*HF41</f>
        <v>0</v>
      </c>
      <c r="HG146" s="199" t="n">
        <f aca="false">HG$4*HG41</f>
        <v>0</v>
      </c>
      <c r="HH146" s="199" t="n">
        <f aca="false">HH$4*HH41</f>
        <v>0</v>
      </c>
      <c r="HI146" s="199" t="n">
        <f aca="false">HI$4*HI41</f>
        <v>0</v>
      </c>
      <c r="HJ146" s="199" t="n">
        <f aca="false">HJ$4*HJ41</f>
        <v>0</v>
      </c>
      <c r="HK146" s="199" t="n">
        <f aca="false">HK$4*HK41</f>
        <v>0</v>
      </c>
      <c r="HL146" s="199" t="n">
        <f aca="false">HL$4*HL41</f>
        <v>0</v>
      </c>
      <c r="HM146" s="199" t="n">
        <f aca="false">HM$4*HM41</f>
        <v>0</v>
      </c>
      <c r="HN146" s="200" t="n">
        <f aca="false">HN$4*HN41</f>
        <v>0</v>
      </c>
      <c r="HO146" s="194" t="str">
        <f aca="false">HD146</f>
        <v>Alumno36</v>
      </c>
      <c r="HP146" s="198" t="n">
        <f aca="false">HP$4*HP41</f>
        <v>0</v>
      </c>
      <c r="HQ146" s="199" t="n">
        <f aca="false">HQ$4*HQ41</f>
        <v>0</v>
      </c>
      <c r="HR146" s="199" t="n">
        <f aca="false">HR$4*HR41</f>
        <v>0</v>
      </c>
      <c r="HS146" s="199" t="n">
        <f aca="false">HS$4*HS41</f>
        <v>0</v>
      </c>
      <c r="HT146" s="199" t="n">
        <f aca="false">HT$4*HT41</f>
        <v>0</v>
      </c>
      <c r="HU146" s="199" t="n">
        <f aca="false">HU$4*HU41</f>
        <v>0</v>
      </c>
      <c r="HV146" s="199" t="n">
        <f aca="false">HV$4*HV41</f>
        <v>0</v>
      </c>
      <c r="HW146" s="199" t="n">
        <f aca="false">HW$4*HW41</f>
        <v>0</v>
      </c>
      <c r="HX146" s="199" t="n">
        <f aca="false">HX$4*HX41</f>
        <v>0</v>
      </c>
      <c r="HY146" s="200" t="n">
        <f aca="false">HY$4*HY41</f>
        <v>0</v>
      </c>
      <c r="HZ146" s="194" t="str">
        <f aca="false">HO146</f>
        <v>Alumno36</v>
      </c>
      <c r="IA146" s="198" t="n">
        <f aca="false">IA$4*IA41</f>
        <v>0</v>
      </c>
      <c r="IB146" s="199" t="n">
        <f aca="false">IB$4*IB41</f>
        <v>0</v>
      </c>
      <c r="IC146" s="199" t="n">
        <f aca="false">IC$4*IC41</f>
        <v>0</v>
      </c>
      <c r="ID146" s="199" t="n">
        <f aca="false">ID$4*ID41</f>
        <v>0</v>
      </c>
      <c r="IE146" s="199" t="n">
        <f aca="false">IE$4*IE41</f>
        <v>0</v>
      </c>
      <c r="IF146" s="199" t="n">
        <f aca="false">IF$4*IF41</f>
        <v>0</v>
      </c>
      <c r="IG146" s="199" t="n">
        <f aca="false">IG$4*IG41</f>
        <v>0</v>
      </c>
      <c r="IH146" s="199" t="n">
        <f aca="false">IH$4*IH41</f>
        <v>0</v>
      </c>
      <c r="II146" s="199" t="n">
        <f aca="false">II$4*II41</f>
        <v>0</v>
      </c>
      <c r="IJ146" s="200" t="n">
        <f aca="false">IJ$4*IJ41</f>
        <v>0</v>
      </c>
      <c r="IK146" s="194" t="str">
        <f aca="false">HZ146</f>
        <v>Alumno36</v>
      </c>
      <c r="IL146" s="198" t="n">
        <f aca="false">IL$4*IL41</f>
        <v>0</v>
      </c>
      <c r="IM146" s="199" t="n">
        <f aca="false">IM$4*IM41</f>
        <v>0</v>
      </c>
      <c r="IN146" s="199" t="n">
        <f aca="false">IN$4*IN41</f>
        <v>0</v>
      </c>
      <c r="IO146" s="199" t="n">
        <f aca="false">IO$4*IO41</f>
        <v>0</v>
      </c>
      <c r="IP146" s="199" t="n">
        <f aca="false">IP$4*IP41</f>
        <v>0</v>
      </c>
      <c r="IQ146" s="199" t="n">
        <f aca="false">IQ$4*IQ41</f>
        <v>0</v>
      </c>
      <c r="IR146" s="199" t="n">
        <f aca="false">IR$4*IR41</f>
        <v>0</v>
      </c>
      <c r="IS146" s="199" t="n">
        <f aca="false">IS$4*IS41</f>
        <v>0</v>
      </c>
      <c r="IT146" s="199" t="n">
        <f aca="false">IT$4*IT41</f>
        <v>0</v>
      </c>
      <c r="IU146" s="200" t="n">
        <f aca="false">IU$4*IU41</f>
        <v>0</v>
      </c>
      <c r="IV146" s="194" t="str">
        <f aca="false">IK146</f>
        <v>Alumno36</v>
      </c>
      <c r="IW146" s="198" t="n">
        <f aca="false">IW$4*IW41</f>
        <v>0</v>
      </c>
      <c r="IX146" s="199" t="n">
        <f aca="false">IX$4*IX41</f>
        <v>0</v>
      </c>
      <c r="IY146" s="199" t="n">
        <f aca="false">IY$4*IY41</f>
        <v>0</v>
      </c>
      <c r="IZ146" s="199" t="n">
        <f aca="false">IZ$4*IZ41</f>
        <v>0</v>
      </c>
      <c r="JA146" s="199" t="n">
        <f aca="false">JA$4*JA41</f>
        <v>0</v>
      </c>
      <c r="JB146" s="199" t="n">
        <f aca="false">JB$4*JB41</f>
        <v>0</v>
      </c>
      <c r="JC146" s="199" t="n">
        <f aca="false">JC$4*JC41</f>
        <v>0</v>
      </c>
      <c r="JD146" s="199" t="n">
        <f aca="false">JD$4*JD41</f>
        <v>0</v>
      </c>
      <c r="JE146" s="199" t="n">
        <f aca="false">JE$4*JE41</f>
        <v>0</v>
      </c>
      <c r="JF146" s="200" t="n">
        <f aca="false">JF$4*JF41</f>
        <v>0</v>
      </c>
      <c r="JG146" s="194" t="str">
        <f aca="false">IV146</f>
        <v>Alumno36</v>
      </c>
      <c r="JH146" s="198" t="n">
        <f aca="false">JH$4*JH41</f>
        <v>0</v>
      </c>
      <c r="JI146" s="199" t="n">
        <f aca="false">JI$4*JI41</f>
        <v>0</v>
      </c>
      <c r="JJ146" s="199" t="n">
        <f aca="false">JJ$4*JJ41</f>
        <v>0</v>
      </c>
      <c r="JK146" s="199" t="n">
        <f aca="false">JK$4*JK41</f>
        <v>0</v>
      </c>
      <c r="JL146" s="199" t="n">
        <f aca="false">JL$4*JL41</f>
        <v>0</v>
      </c>
      <c r="JM146" s="199" t="n">
        <f aca="false">JM$4*JM41</f>
        <v>0</v>
      </c>
      <c r="JN146" s="199" t="n">
        <f aca="false">JN$4*JN41</f>
        <v>0</v>
      </c>
      <c r="JO146" s="199" t="n">
        <f aca="false">JO$4*JO41</f>
        <v>0</v>
      </c>
      <c r="JP146" s="199" t="n">
        <f aca="false">JP$4*JP41</f>
        <v>0</v>
      </c>
      <c r="JQ146" s="200" t="n">
        <f aca="false">JQ$4*JQ41</f>
        <v>0</v>
      </c>
      <c r="JR146" s="194" t="str">
        <f aca="false">JG146</f>
        <v>Alumno36</v>
      </c>
      <c r="JS146" s="198" t="n">
        <f aca="false">JS$4*JS41</f>
        <v>0</v>
      </c>
      <c r="JT146" s="199" t="n">
        <f aca="false">JT$4*JT41</f>
        <v>0</v>
      </c>
      <c r="JU146" s="199" t="n">
        <f aca="false">JU$4*JU41</f>
        <v>0</v>
      </c>
      <c r="JV146" s="199" t="n">
        <f aca="false">JV$4*JV41</f>
        <v>0</v>
      </c>
      <c r="JW146" s="199" t="n">
        <f aca="false">JW$4*JW41</f>
        <v>0</v>
      </c>
      <c r="JX146" s="199" t="n">
        <f aca="false">JX$4*JX41</f>
        <v>0</v>
      </c>
      <c r="JY146" s="199" t="n">
        <f aca="false">JY$4*JY41</f>
        <v>0</v>
      </c>
      <c r="JZ146" s="199" t="n">
        <f aca="false">JZ$4*JZ41</f>
        <v>0</v>
      </c>
      <c r="KA146" s="199" t="n">
        <f aca="false">KA$4*KA41</f>
        <v>0</v>
      </c>
      <c r="KB146" s="200" t="n">
        <f aca="false">KB$4*KB41</f>
        <v>0</v>
      </c>
      <c r="KC146" s="194" t="str">
        <f aca="false">JR146</f>
        <v>Alumno36</v>
      </c>
      <c r="KD146" s="198" t="n">
        <f aca="false">KD$4*KD41</f>
        <v>0</v>
      </c>
      <c r="KE146" s="199" t="n">
        <f aca="false">KE$4*KE41</f>
        <v>0</v>
      </c>
      <c r="KF146" s="199" t="n">
        <f aca="false">KF$4*KF41</f>
        <v>0</v>
      </c>
      <c r="KG146" s="199" t="n">
        <f aca="false">KG$4*KG41</f>
        <v>0</v>
      </c>
      <c r="KH146" s="199" t="n">
        <f aca="false">KH$4*KH41</f>
        <v>0</v>
      </c>
      <c r="KI146" s="199" t="n">
        <f aca="false">KI$4*KI41</f>
        <v>0</v>
      </c>
      <c r="KJ146" s="199" t="n">
        <f aca="false">KJ$4*KJ41</f>
        <v>0</v>
      </c>
      <c r="KK146" s="199" t="n">
        <f aca="false">KK$4*KK41</f>
        <v>0</v>
      </c>
      <c r="KL146" s="199" t="n">
        <f aca="false">KL$4*KL41</f>
        <v>0</v>
      </c>
      <c r="KM146" s="200" t="n">
        <f aca="false">KM$4*KM41</f>
        <v>0</v>
      </c>
      <c r="KN146" s="194" t="str">
        <f aca="false">KC146</f>
        <v>Alumno36</v>
      </c>
      <c r="KO146" s="198" t="n">
        <f aca="false">KO$4*KO41</f>
        <v>0</v>
      </c>
      <c r="KP146" s="199" t="n">
        <f aca="false">KP$4*KP41</f>
        <v>0</v>
      </c>
      <c r="KQ146" s="199" t="n">
        <f aca="false">KQ$4*KQ41</f>
        <v>0</v>
      </c>
      <c r="KR146" s="199" t="n">
        <f aca="false">KR$4*KR41</f>
        <v>0</v>
      </c>
      <c r="KS146" s="199" t="n">
        <f aca="false">KS$4*KS41</f>
        <v>0</v>
      </c>
      <c r="KT146" s="199" t="n">
        <f aca="false">KT$4*KT41</f>
        <v>0</v>
      </c>
      <c r="KU146" s="199" t="n">
        <f aca="false">KU$4*KU41</f>
        <v>0</v>
      </c>
      <c r="KV146" s="199" t="n">
        <f aca="false">KV$4*KV41</f>
        <v>0</v>
      </c>
      <c r="KW146" s="199" t="n">
        <f aca="false">KW$4*KW41</f>
        <v>0</v>
      </c>
      <c r="KX146" s="200" t="n">
        <f aca="false">KX$4*KX41</f>
        <v>0</v>
      </c>
      <c r="KY146" s="194" t="str">
        <f aca="false">KN146</f>
        <v>Alumno36</v>
      </c>
      <c r="KZ146" s="198" t="n">
        <f aca="false">KZ$4*KZ41</f>
        <v>0</v>
      </c>
      <c r="LA146" s="199" t="n">
        <f aca="false">LA$4*LA41</f>
        <v>0</v>
      </c>
      <c r="LB146" s="199" t="n">
        <f aca="false">LB$4*LB41</f>
        <v>0</v>
      </c>
      <c r="LC146" s="199" t="n">
        <f aca="false">LC$4*LC41</f>
        <v>0</v>
      </c>
      <c r="LD146" s="199" t="n">
        <f aca="false">LD$4*LD41</f>
        <v>0</v>
      </c>
      <c r="LE146" s="199" t="n">
        <f aca="false">LE$4*LE41</f>
        <v>0</v>
      </c>
      <c r="LF146" s="199" t="n">
        <f aca="false">LF$4*LF41</f>
        <v>0</v>
      </c>
      <c r="LG146" s="199" t="n">
        <f aca="false">LG$4*LG41</f>
        <v>0</v>
      </c>
      <c r="LH146" s="199" t="n">
        <f aca="false">LH$4*LH41</f>
        <v>0</v>
      </c>
      <c r="LI146" s="200" t="n">
        <f aca="false">LI$4*LI41</f>
        <v>0</v>
      </c>
      <c r="LJ146" s="194" t="str">
        <f aca="false">KY146</f>
        <v>Alumno36</v>
      </c>
      <c r="LK146" s="198" t="n">
        <f aca="false">LK$4*LK41</f>
        <v>0</v>
      </c>
      <c r="LL146" s="199" t="n">
        <f aca="false">LL$4*LL41</f>
        <v>0</v>
      </c>
      <c r="LM146" s="199" t="n">
        <f aca="false">LM$4*LM41</f>
        <v>0</v>
      </c>
      <c r="LN146" s="199" t="n">
        <f aca="false">LN$4*LN41</f>
        <v>0</v>
      </c>
      <c r="LO146" s="199" t="n">
        <f aca="false">LO$4*LO41</f>
        <v>0</v>
      </c>
      <c r="LP146" s="199" t="n">
        <f aca="false">LP$4*LP41</f>
        <v>0</v>
      </c>
      <c r="LQ146" s="199" t="n">
        <f aca="false">LQ$4*LQ41</f>
        <v>0</v>
      </c>
      <c r="LR146" s="199" t="n">
        <f aca="false">LR$4*LR41</f>
        <v>0</v>
      </c>
      <c r="LS146" s="199" t="n">
        <f aca="false">LS$4*LS41</f>
        <v>0</v>
      </c>
      <c r="LT146" s="200" t="n">
        <f aca="false">LT$4*LT41</f>
        <v>0</v>
      </c>
    </row>
    <row r="147" customFormat="false" ht="15" hidden="true" customHeight="false" outlineLevel="0" collapsed="false">
      <c r="C147" s="194" t="str">
        <f aca="false">C98</f>
        <v>Alumno37</v>
      </c>
      <c r="D147" s="198" t="n">
        <f aca="false">D$4*D42</f>
        <v>0</v>
      </c>
      <c r="E147" s="199" t="n">
        <f aca="false">E$4*E42</f>
        <v>0</v>
      </c>
      <c r="F147" s="199" t="n">
        <f aca="false">F$4*F42</f>
        <v>0</v>
      </c>
      <c r="G147" s="199" t="n">
        <f aca="false">G$4*G42</f>
        <v>0</v>
      </c>
      <c r="H147" s="199" t="n">
        <f aca="false">H$4*H42</f>
        <v>0</v>
      </c>
      <c r="I147" s="199" t="n">
        <f aca="false">I$4*I42</f>
        <v>0</v>
      </c>
      <c r="J147" s="199" t="n">
        <f aca="false">J$4*J42</f>
        <v>0</v>
      </c>
      <c r="K147" s="199" t="n">
        <f aca="false">K$4*K42</f>
        <v>0</v>
      </c>
      <c r="L147" s="199" t="n">
        <f aca="false">L$4*L42</f>
        <v>0</v>
      </c>
      <c r="M147" s="200" t="n">
        <f aca="false">M$4*M42</f>
        <v>0</v>
      </c>
      <c r="N147" s="194" t="str">
        <f aca="false">C147</f>
        <v>Alumno37</v>
      </c>
      <c r="O147" s="198" t="n">
        <f aca="false">O$4*O42</f>
        <v>0</v>
      </c>
      <c r="P147" s="199" t="n">
        <f aca="false">P$4*P42</f>
        <v>0</v>
      </c>
      <c r="Q147" s="199" t="n">
        <f aca="false">Q$4*Q42</f>
        <v>0</v>
      </c>
      <c r="R147" s="199" t="n">
        <f aca="false">R$4*R42</f>
        <v>0</v>
      </c>
      <c r="S147" s="199" t="n">
        <f aca="false">S$4*S42</f>
        <v>0</v>
      </c>
      <c r="T147" s="199" t="n">
        <f aca="false">T$4*T42</f>
        <v>0</v>
      </c>
      <c r="U147" s="199" t="n">
        <f aca="false">U$4*U42</f>
        <v>0</v>
      </c>
      <c r="V147" s="199" t="n">
        <f aca="false">V$4*V42</f>
        <v>0</v>
      </c>
      <c r="W147" s="199" t="n">
        <f aca="false">W$4*W42</f>
        <v>0</v>
      </c>
      <c r="X147" s="200" t="n">
        <f aca="false">X$4*X42</f>
        <v>0</v>
      </c>
      <c r="Y147" s="194" t="str">
        <f aca="false">N147</f>
        <v>Alumno37</v>
      </c>
      <c r="Z147" s="198" t="n">
        <f aca="false">Z$4*Z42</f>
        <v>0</v>
      </c>
      <c r="AA147" s="199" t="n">
        <f aca="false">AA$4*AA42</f>
        <v>0</v>
      </c>
      <c r="AB147" s="199" t="n">
        <f aca="false">AB$4*AB42</f>
        <v>0</v>
      </c>
      <c r="AC147" s="199" t="n">
        <f aca="false">AC$4*AC42</f>
        <v>0</v>
      </c>
      <c r="AD147" s="199" t="n">
        <f aca="false">AD$4*AD42</f>
        <v>0</v>
      </c>
      <c r="AE147" s="199" t="n">
        <f aca="false">AE$4*AE42</f>
        <v>0</v>
      </c>
      <c r="AF147" s="199" t="n">
        <f aca="false">AF$4*AF42</f>
        <v>0</v>
      </c>
      <c r="AG147" s="199" t="n">
        <f aca="false">AG$4*AG42</f>
        <v>0</v>
      </c>
      <c r="AH147" s="199" t="n">
        <f aca="false">AH$4*AH42</f>
        <v>0</v>
      </c>
      <c r="AI147" s="200" t="n">
        <f aca="false">AI$4*AI42</f>
        <v>0</v>
      </c>
      <c r="AJ147" s="194" t="str">
        <f aca="false">Y147</f>
        <v>Alumno37</v>
      </c>
      <c r="AK147" s="198" t="n">
        <f aca="false">AK$4*AK42</f>
        <v>0</v>
      </c>
      <c r="AL147" s="199" t="n">
        <f aca="false">AL$4*AL42</f>
        <v>0</v>
      </c>
      <c r="AM147" s="199" t="n">
        <f aca="false">AM$4*AM42</f>
        <v>0</v>
      </c>
      <c r="AN147" s="199" t="n">
        <f aca="false">AN$4*AN42</f>
        <v>0</v>
      </c>
      <c r="AO147" s="199" t="n">
        <f aca="false">AO$4*AO42</f>
        <v>0</v>
      </c>
      <c r="AP147" s="199" t="n">
        <f aca="false">AP$4*AP42</f>
        <v>0</v>
      </c>
      <c r="AQ147" s="199" t="n">
        <f aca="false">AQ$4*AQ42</f>
        <v>0</v>
      </c>
      <c r="AR147" s="199" t="n">
        <f aca="false">AR$4*AR42</f>
        <v>0</v>
      </c>
      <c r="AS147" s="199" t="n">
        <f aca="false">AS$4*AS42</f>
        <v>0</v>
      </c>
      <c r="AT147" s="200" t="n">
        <f aca="false">AT$4*AT42</f>
        <v>0</v>
      </c>
      <c r="AU147" s="194" t="str">
        <f aca="false">AJ147</f>
        <v>Alumno37</v>
      </c>
      <c r="AV147" s="198" t="n">
        <f aca="false">AV$4*AV42</f>
        <v>0</v>
      </c>
      <c r="AW147" s="199" t="n">
        <f aca="false">AW$4*AW42</f>
        <v>0</v>
      </c>
      <c r="AX147" s="199" t="n">
        <f aca="false">AX$4*AX42</f>
        <v>0</v>
      </c>
      <c r="AY147" s="199" t="n">
        <f aca="false">AY$4*AY42</f>
        <v>0</v>
      </c>
      <c r="AZ147" s="199" t="n">
        <f aca="false">AZ$4*AZ42</f>
        <v>0</v>
      </c>
      <c r="BA147" s="199" t="n">
        <f aca="false">BA$4*BA42</f>
        <v>0</v>
      </c>
      <c r="BB147" s="199" t="n">
        <f aca="false">BB$4*BB42</f>
        <v>0</v>
      </c>
      <c r="BC147" s="199" t="n">
        <f aca="false">BC$4*BC42</f>
        <v>0</v>
      </c>
      <c r="BD147" s="199" t="n">
        <f aca="false">BD$4*BD42</f>
        <v>0</v>
      </c>
      <c r="BE147" s="200" t="n">
        <f aca="false">BE$4*BE42</f>
        <v>0</v>
      </c>
      <c r="BF147" s="194" t="str">
        <f aca="false">AU147</f>
        <v>Alumno37</v>
      </c>
      <c r="BG147" s="198" t="n">
        <f aca="false">BG$4*BG42</f>
        <v>0</v>
      </c>
      <c r="BH147" s="199" t="n">
        <f aca="false">BH$4*BH42</f>
        <v>0</v>
      </c>
      <c r="BI147" s="199" t="n">
        <f aca="false">BI$4*BI42</f>
        <v>0</v>
      </c>
      <c r="BJ147" s="199" t="n">
        <f aca="false">BJ$4*BJ42</f>
        <v>0</v>
      </c>
      <c r="BK147" s="199" t="n">
        <f aca="false">BK$4*BK42</f>
        <v>0</v>
      </c>
      <c r="BL147" s="199" t="n">
        <f aca="false">BL$4*BL42</f>
        <v>0</v>
      </c>
      <c r="BM147" s="199" t="n">
        <f aca="false">BM$4*BM42</f>
        <v>0</v>
      </c>
      <c r="BN147" s="199" t="n">
        <f aca="false">BN$4*BN42</f>
        <v>0</v>
      </c>
      <c r="BO147" s="199" t="n">
        <f aca="false">BO$4*BO42</f>
        <v>0</v>
      </c>
      <c r="BP147" s="200" t="n">
        <f aca="false">BP$4*BP42</f>
        <v>0</v>
      </c>
      <c r="BQ147" s="194" t="str">
        <f aca="false">BF147</f>
        <v>Alumno37</v>
      </c>
      <c r="BR147" s="198" t="n">
        <f aca="false">BR$4*BR42</f>
        <v>0</v>
      </c>
      <c r="BS147" s="199" t="n">
        <f aca="false">BS$4*BS42</f>
        <v>0</v>
      </c>
      <c r="BT147" s="199" t="n">
        <f aca="false">BT$4*BT42</f>
        <v>0</v>
      </c>
      <c r="BU147" s="199" t="n">
        <f aca="false">BU$4*BU42</f>
        <v>0</v>
      </c>
      <c r="BV147" s="199" t="n">
        <f aca="false">BV$4*BV42</f>
        <v>0</v>
      </c>
      <c r="BW147" s="199" t="n">
        <f aca="false">BW$4*BW42</f>
        <v>0</v>
      </c>
      <c r="BX147" s="199" t="n">
        <f aca="false">BX$4*BX42</f>
        <v>0</v>
      </c>
      <c r="BY147" s="199" t="n">
        <f aca="false">BY$4*BY42</f>
        <v>0</v>
      </c>
      <c r="BZ147" s="199" t="n">
        <f aca="false">BZ$4*BZ42</f>
        <v>0</v>
      </c>
      <c r="CA147" s="200" t="n">
        <f aca="false">CA$4*CA42</f>
        <v>0</v>
      </c>
      <c r="CB147" s="194" t="str">
        <f aca="false">BQ147</f>
        <v>Alumno37</v>
      </c>
      <c r="CC147" s="198" t="n">
        <f aca="false">CC$4*CC42</f>
        <v>0</v>
      </c>
      <c r="CD147" s="199" t="n">
        <f aca="false">CD$4*CD42</f>
        <v>0</v>
      </c>
      <c r="CE147" s="199" t="n">
        <f aca="false">CE$4*CE42</f>
        <v>0</v>
      </c>
      <c r="CF147" s="199" t="n">
        <f aca="false">CF$4*CF42</f>
        <v>0</v>
      </c>
      <c r="CG147" s="199" t="n">
        <f aca="false">CG$4*CG42</f>
        <v>0</v>
      </c>
      <c r="CH147" s="199" t="n">
        <f aca="false">CH$4*CH42</f>
        <v>0</v>
      </c>
      <c r="CI147" s="199" t="n">
        <f aca="false">CI$4*CI42</f>
        <v>0</v>
      </c>
      <c r="CJ147" s="199" t="n">
        <f aca="false">CJ$4*CJ42</f>
        <v>0</v>
      </c>
      <c r="CK147" s="199" t="n">
        <f aca="false">CK$4*CK42</f>
        <v>0</v>
      </c>
      <c r="CL147" s="200" t="n">
        <f aca="false">CL$4*CL42</f>
        <v>0</v>
      </c>
      <c r="CM147" s="194" t="str">
        <f aca="false">CB147</f>
        <v>Alumno37</v>
      </c>
      <c r="CN147" s="198" t="n">
        <f aca="false">CN$4*CN42</f>
        <v>0</v>
      </c>
      <c r="CO147" s="199" t="n">
        <f aca="false">CO$4*CO42</f>
        <v>0</v>
      </c>
      <c r="CP147" s="199" t="n">
        <f aca="false">CP$4*CP42</f>
        <v>0</v>
      </c>
      <c r="CQ147" s="199" t="n">
        <f aca="false">CQ$4*CQ42</f>
        <v>0</v>
      </c>
      <c r="CR147" s="199" t="n">
        <f aca="false">CR$4*CR42</f>
        <v>0</v>
      </c>
      <c r="CS147" s="199" t="n">
        <f aca="false">CS$4*CS42</f>
        <v>0</v>
      </c>
      <c r="CT147" s="199" t="n">
        <f aca="false">CT$4*CT42</f>
        <v>0</v>
      </c>
      <c r="CU147" s="199" t="n">
        <f aca="false">CU$4*CU42</f>
        <v>0</v>
      </c>
      <c r="CV147" s="199" t="n">
        <f aca="false">CV$4*CV42</f>
        <v>0</v>
      </c>
      <c r="CW147" s="200" t="n">
        <f aca="false">CW$4*CW42</f>
        <v>0</v>
      </c>
      <c r="CX147" s="194" t="str">
        <f aca="false">CM147</f>
        <v>Alumno37</v>
      </c>
      <c r="CY147" s="198" t="n">
        <f aca="false">CY$4*CY42</f>
        <v>0</v>
      </c>
      <c r="CZ147" s="199" t="n">
        <f aca="false">CZ$4*CZ42</f>
        <v>0</v>
      </c>
      <c r="DA147" s="199" t="n">
        <f aca="false">DA$4*DA42</f>
        <v>0</v>
      </c>
      <c r="DB147" s="199" t="n">
        <f aca="false">DB$4*DB42</f>
        <v>0</v>
      </c>
      <c r="DC147" s="199" t="n">
        <f aca="false">DC$4*DC42</f>
        <v>0</v>
      </c>
      <c r="DD147" s="199" t="n">
        <f aca="false">DD$4*DD42</f>
        <v>0</v>
      </c>
      <c r="DE147" s="199" t="n">
        <f aca="false">DE$4*DE42</f>
        <v>0</v>
      </c>
      <c r="DF147" s="199" t="n">
        <f aca="false">DF$4*DF42</f>
        <v>0</v>
      </c>
      <c r="DG147" s="199" t="n">
        <f aca="false">DG$4*DG42</f>
        <v>0</v>
      </c>
      <c r="DH147" s="200" t="n">
        <f aca="false">DH$4*DH42</f>
        <v>0</v>
      </c>
      <c r="DI147" s="194" t="str">
        <f aca="false">CX147</f>
        <v>Alumno37</v>
      </c>
      <c r="DJ147" s="198" t="n">
        <f aca="false">DJ$4*DJ42</f>
        <v>0</v>
      </c>
      <c r="DK147" s="199" t="n">
        <f aca="false">DK$4*DK42</f>
        <v>0</v>
      </c>
      <c r="DL147" s="199" t="n">
        <f aca="false">DL$4*DL42</f>
        <v>0</v>
      </c>
      <c r="DM147" s="199" t="n">
        <f aca="false">DM$4*DM42</f>
        <v>0</v>
      </c>
      <c r="DN147" s="199" t="n">
        <f aca="false">DN$4*DN42</f>
        <v>0</v>
      </c>
      <c r="DO147" s="199" t="n">
        <f aca="false">DO$4*DO42</f>
        <v>0</v>
      </c>
      <c r="DP147" s="199" t="n">
        <f aca="false">DP$4*DP42</f>
        <v>0</v>
      </c>
      <c r="DQ147" s="199" t="n">
        <f aca="false">DQ$4*DQ42</f>
        <v>0</v>
      </c>
      <c r="DR147" s="199" t="n">
        <f aca="false">DR$4*DR42</f>
        <v>0</v>
      </c>
      <c r="DS147" s="200" t="n">
        <f aca="false">DS$4*DS42</f>
        <v>0</v>
      </c>
      <c r="DT147" s="194" t="str">
        <f aca="false">DI147</f>
        <v>Alumno37</v>
      </c>
      <c r="DU147" s="198" t="n">
        <f aca="false">DU$4*DU42</f>
        <v>0</v>
      </c>
      <c r="DV147" s="199" t="n">
        <f aca="false">DV$4*DV42</f>
        <v>0</v>
      </c>
      <c r="DW147" s="199" t="n">
        <f aca="false">DW$4*DW42</f>
        <v>0</v>
      </c>
      <c r="DX147" s="199" t="n">
        <f aca="false">DX$4*DX42</f>
        <v>0</v>
      </c>
      <c r="DY147" s="199" t="n">
        <f aca="false">DY$4*DY42</f>
        <v>0</v>
      </c>
      <c r="DZ147" s="199" t="n">
        <f aca="false">DZ$4*DZ42</f>
        <v>0</v>
      </c>
      <c r="EA147" s="199" t="n">
        <f aca="false">EA$4*EA42</f>
        <v>0</v>
      </c>
      <c r="EB147" s="199" t="n">
        <f aca="false">EB$4*EB42</f>
        <v>0</v>
      </c>
      <c r="EC147" s="199" t="n">
        <f aca="false">EC$4*EC42</f>
        <v>0</v>
      </c>
      <c r="ED147" s="200" t="n">
        <f aca="false">ED$4*ED42</f>
        <v>0</v>
      </c>
      <c r="EE147" s="194" t="str">
        <f aca="false">DT147</f>
        <v>Alumno37</v>
      </c>
      <c r="EF147" s="198" t="n">
        <f aca="false">EF$4*EF42</f>
        <v>0</v>
      </c>
      <c r="EG147" s="199" t="n">
        <f aca="false">EG$4*EG42</f>
        <v>0</v>
      </c>
      <c r="EH147" s="199" t="n">
        <f aca="false">EH$4*EH42</f>
        <v>0</v>
      </c>
      <c r="EI147" s="199" t="n">
        <f aca="false">EI$4*EI42</f>
        <v>0</v>
      </c>
      <c r="EJ147" s="199" t="n">
        <f aca="false">EJ$4*EJ42</f>
        <v>0</v>
      </c>
      <c r="EK147" s="199" t="n">
        <f aca="false">EK$4*EK42</f>
        <v>0</v>
      </c>
      <c r="EL147" s="199" t="n">
        <f aca="false">EL$4*EL42</f>
        <v>0</v>
      </c>
      <c r="EM147" s="199" t="n">
        <f aca="false">EM$4*EM42</f>
        <v>0</v>
      </c>
      <c r="EN147" s="199" t="n">
        <f aca="false">EN$4*EN42</f>
        <v>0</v>
      </c>
      <c r="EO147" s="200" t="n">
        <f aca="false">EO$4*EO42</f>
        <v>0</v>
      </c>
      <c r="EP147" s="194" t="str">
        <f aca="false">EE147</f>
        <v>Alumno37</v>
      </c>
      <c r="EQ147" s="198" t="n">
        <f aca="false">EQ$4*EQ42</f>
        <v>0</v>
      </c>
      <c r="ER147" s="199" t="n">
        <f aca="false">ER$4*ER42</f>
        <v>0</v>
      </c>
      <c r="ES147" s="199" t="n">
        <f aca="false">ES$4*ES42</f>
        <v>0</v>
      </c>
      <c r="ET147" s="199" t="n">
        <f aca="false">ET$4*ET42</f>
        <v>0</v>
      </c>
      <c r="EU147" s="199" t="n">
        <f aca="false">EU$4*EU42</f>
        <v>0</v>
      </c>
      <c r="EV147" s="199" t="n">
        <f aca="false">EV$4*EV42</f>
        <v>0</v>
      </c>
      <c r="EW147" s="199" t="n">
        <f aca="false">EW$4*EW42</f>
        <v>0</v>
      </c>
      <c r="EX147" s="199" t="n">
        <f aca="false">EX$4*EX42</f>
        <v>0</v>
      </c>
      <c r="EY147" s="199" t="n">
        <f aca="false">EY$4*EY42</f>
        <v>0</v>
      </c>
      <c r="EZ147" s="200" t="n">
        <f aca="false">EZ$4*EZ42</f>
        <v>0</v>
      </c>
      <c r="FA147" s="194" t="str">
        <f aca="false">EP147</f>
        <v>Alumno37</v>
      </c>
      <c r="FB147" s="198" t="n">
        <f aca="false">FB$4*FB42</f>
        <v>0</v>
      </c>
      <c r="FC147" s="199" t="n">
        <f aca="false">FC$4*FC42</f>
        <v>0</v>
      </c>
      <c r="FD147" s="199" t="n">
        <f aca="false">FD$4*FD42</f>
        <v>0</v>
      </c>
      <c r="FE147" s="199" t="n">
        <f aca="false">FE$4*FE42</f>
        <v>0</v>
      </c>
      <c r="FF147" s="199" t="n">
        <f aca="false">FF$4*FF42</f>
        <v>0</v>
      </c>
      <c r="FG147" s="199" t="n">
        <f aca="false">FG$4*FG42</f>
        <v>0</v>
      </c>
      <c r="FH147" s="199" t="n">
        <f aca="false">FH$4*FH42</f>
        <v>0</v>
      </c>
      <c r="FI147" s="199" t="n">
        <f aca="false">FI$4*FI42</f>
        <v>0</v>
      </c>
      <c r="FJ147" s="199" t="n">
        <f aca="false">FJ$4*FJ42</f>
        <v>0</v>
      </c>
      <c r="FK147" s="200" t="n">
        <f aca="false">FK$4*FK42</f>
        <v>0</v>
      </c>
      <c r="FL147" s="194" t="str">
        <f aca="false">FA147</f>
        <v>Alumno37</v>
      </c>
      <c r="FM147" s="198" t="n">
        <f aca="false">FM$4*FM42</f>
        <v>0</v>
      </c>
      <c r="FN147" s="199" t="n">
        <f aca="false">FN$4*FN42</f>
        <v>0</v>
      </c>
      <c r="FO147" s="199" t="n">
        <f aca="false">FO$4*FO42</f>
        <v>0</v>
      </c>
      <c r="FP147" s="199" t="n">
        <f aca="false">FP$4*FP42</f>
        <v>0</v>
      </c>
      <c r="FQ147" s="199" t="n">
        <f aca="false">FQ$4*FQ42</f>
        <v>0</v>
      </c>
      <c r="FR147" s="199" t="n">
        <f aca="false">FR$4*FR42</f>
        <v>0</v>
      </c>
      <c r="FS147" s="199" t="n">
        <f aca="false">FS$4*FS42</f>
        <v>0</v>
      </c>
      <c r="FT147" s="199" t="n">
        <f aca="false">FT$4*FT42</f>
        <v>0</v>
      </c>
      <c r="FU147" s="199" t="n">
        <f aca="false">FU$4*FU42</f>
        <v>0</v>
      </c>
      <c r="FV147" s="200" t="n">
        <f aca="false">FV$4*FV42</f>
        <v>0</v>
      </c>
      <c r="FW147" s="194" t="str">
        <f aca="false">FL147</f>
        <v>Alumno37</v>
      </c>
      <c r="FX147" s="198" t="n">
        <f aca="false">FX$4*FX42</f>
        <v>0</v>
      </c>
      <c r="FY147" s="199" t="n">
        <f aca="false">FY$4*FY42</f>
        <v>0</v>
      </c>
      <c r="FZ147" s="199" t="n">
        <f aca="false">FZ$4*FZ42</f>
        <v>0</v>
      </c>
      <c r="GA147" s="199" t="n">
        <f aca="false">GA$4*GA42</f>
        <v>0</v>
      </c>
      <c r="GB147" s="199" t="n">
        <f aca="false">GB$4*GB42</f>
        <v>0</v>
      </c>
      <c r="GC147" s="199" t="n">
        <f aca="false">GC$4*GC42</f>
        <v>0</v>
      </c>
      <c r="GD147" s="199" t="n">
        <f aca="false">GD$4*GD42</f>
        <v>0</v>
      </c>
      <c r="GE147" s="199" t="n">
        <f aca="false">GE$4*GE42</f>
        <v>0</v>
      </c>
      <c r="GF147" s="199" t="n">
        <f aca="false">GF$4*GF42</f>
        <v>0</v>
      </c>
      <c r="GG147" s="200" t="n">
        <f aca="false">GG$4*GG42</f>
        <v>0</v>
      </c>
      <c r="GH147" s="194" t="str">
        <f aca="false">FW147</f>
        <v>Alumno37</v>
      </c>
      <c r="GI147" s="198" t="n">
        <f aca="false">GI$4*GI42</f>
        <v>0</v>
      </c>
      <c r="GJ147" s="199" t="n">
        <f aca="false">GJ$4*GJ42</f>
        <v>0</v>
      </c>
      <c r="GK147" s="199" t="n">
        <f aca="false">GK$4*GK42</f>
        <v>0</v>
      </c>
      <c r="GL147" s="199" t="n">
        <f aca="false">GL$4*GL42</f>
        <v>0</v>
      </c>
      <c r="GM147" s="199" t="n">
        <f aca="false">GM$4*GM42</f>
        <v>0</v>
      </c>
      <c r="GN147" s="199" t="n">
        <f aca="false">GN$4*GN42</f>
        <v>0</v>
      </c>
      <c r="GO147" s="199" t="n">
        <f aca="false">GO$4*GO42</f>
        <v>0</v>
      </c>
      <c r="GP147" s="199" t="n">
        <f aca="false">GP$4*GP42</f>
        <v>0</v>
      </c>
      <c r="GQ147" s="199" t="n">
        <f aca="false">GQ$4*GQ42</f>
        <v>0</v>
      </c>
      <c r="GR147" s="200" t="n">
        <f aca="false">GR$4*GR42</f>
        <v>0</v>
      </c>
      <c r="GS147" s="194" t="str">
        <f aca="false">GH147</f>
        <v>Alumno37</v>
      </c>
      <c r="GT147" s="198" t="n">
        <f aca="false">GT$4*GT42</f>
        <v>0</v>
      </c>
      <c r="GU147" s="199" t="n">
        <f aca="false">GU$4*GU42</f>
        <v>0</v>
      </c>
      <c r="GV147" s="199" t="n">
        <f aca="false">GV$4*GV42</f>
        <v>0</v>
      </c>
      <c r="GW147" s="199" t="n">
        <f aca="false">GW$4*GW42</f>
        <v>0</v>
      </c>
      <c r="GX147" s="199" t="n">
        <f aca="false">GX$4*GX42</f>
        <v>0</v>
      </c>
      <c r="GY147" s="199" t="n">
        <f aca="false">GY$4*GY42</f>
        <v>0</v>
      </c>
      <c r="GZ147" s="199" t="n">
        <f aca="false">GZ$4*GZ42</f>
        <v>0</v>
      </c>
      <c r="HA147" s="199" t="n">
        <f aca="false">HA$4*HA42</f>
        <v>0</v>
      </c>
      <c r="HB147" s="199" t="n">
        <f aca="false">HB$4*HB42</f>
        <v>0</v>
      </c>
      <c r="HC147" s="200" t="n">
        <f aca="false">HC$4*HC42</f>
        <v>0</v>
      </c>
      <c r="HD147" s="194" t="str">
        <f aca="false">GS147</f>
        <v>Alumno37</v>
      </c>
      <c r="HE147" s="198" t="n">
        <f aca="false">HE$4*HE42</f>
        <v>0</v>
      </c>
      <c r="HF147" s="199" t="n">
        <f aca="false">HF$4*HF42</f>
        <v>0</v>
      </c>
      <c r="HG147" s="199" t="n">
        <f aca="false">HG$4*HG42</f>
        <v>0</v>
      </c>
      <c r="HH147" s="199" t="n">
        <f aca="false">HH$4*HH42</f>
        <v>0</v>
      </c>
      <c r="HI147" s="199" t="n">
        <f aca="false">HI$4*HI42</f>
        <v>0</v>
      </c>
      <c r="HJ147" s="199" t="n">
        <f aca="false">HJ$4*HJ42</f>
        <v>0</v>
      </c>
      <c r="HK147" s="199" t="n">
        <f aca="false">HK$4*HK42</f>
        <v>0</v>
      </c>
      <c r="HL147" s="199" t="n">
        <f aca="false">HL$4*HL42</f>
        <v>0</v>
      </c>
      <c r="HM147" s="199" t="n">
        <f aca="false">HM$4*HM42</f>
        <v>0</v>
      </c>
      <c r="HN147" s="200" t="n">
        <f aca="false">HN$4*HN42</f>
        <v>0</v>
      </c>
      <c r="HO147" s="194" t="str">
        <f aca="false">HD147</f>
        <v>Alumno37</v>
      </c>
      <c r="HP147" s="198" t="n">
        <f aca="false">HP$4*HP42</f>
        <v>0</v>
      </c>
      <c r="HQ147" s="199" t="n">
        <f aca="false">HQ$4*HQ42</f>
        <v>0</v>
      </c>
      <c r="HR147" s="199" t="n">
        <f aca="false">HR$4*HR42</f>
        <v>0</v>
      </c>
      <c r="HS147" s="199" t="n">
        <f aca="false">HS$4*HS42</f>
        <v>0</v>
      </c>
      <c r="HT147" s="199" t="n">
        <f aca="false">HT$4*HT42</f>
        <v>0</v>
      </c>
      <c r="HU147" s="199" t="n">
        <f aca="false">HU$4*HU42</f>
        <v>0</v>
      </c>
      <c r="HV147" s="199" t="n">
        <f aca="false">HV$4*HV42</f>
        <v>0</v>
      </c>
      <c r="HW147" s="199" t="n">
        <f aca="false">HW$4*HW42</f>
        <v>0</v>
      </c>
      <c r="HX147" s="199" t="n">
        <f aca="false">HX$4*HX42</f>
        <v>0</v>
      </c>
      <c r="HY147" s="200" t="n">
        <f aca="false">HY$4*HY42</f>
        <v>0</v>
      </c>
      <c r="HZ147" s="194" t="str">
        <f aca="false">HO147</f>
        <v>Alumno37</v>
      </c>
      <c r="IA147" s="198" t="n">
        <f aca="false">IA$4*IA42</f>
        <v>0</v>
      </c>
      <c r="IB147" s="199" t="n">
        <f aca="false">IB$4*IB42</f>
        <v>0</v>
      </c>
      <c r="IC147" s="199" t="n">
        <f aca="false">IC$4*IC42</f>
        <v>0</v>
      </c>
      <c r="ID147" s="199" t="n">
        <f aca="false">ID$4*ID42</f>
        <v>0</v>
      </c>
      <c r="IE147" s="199" t="n">
        <f aca="false">IE$4*IE42</f>
        <v>0</v>
      </c>
      <c r="IF147" s="199" t="n">
        <f aca="false">IF$4*IF42</f>
        <v>0</v>
      </c>
      <c r="IG147" s="199" t="n">
        <f aca="false">IG$4*IG42</f>
        <v>0</v>
      </c>
      <c r="IH147" s="199" t="n">
        <f aca="false">IH$4*IH42</f>
        <v>0</v>
      </c>
      <c r="II147" s="199" t="n">
        <f aca="false">II$4*II42</f>
        <v>0</v>
      </c>
      <c r="IJ147" s="200" t="n">
        <f aca="false">IJ$4*IJ42</f>
        <v>0</v>
      </c>
      <c r="IK147" s="194" t="str">
        <f aca="false">HZ147</f>
        <v>Alumno37</v>
      </c>
      <c r="IL147" s="198" t="n">
        <f aca="false">IL$4*IL42</f>
        <v>0</v>
      </c>
      <c r="IM147" s="199" t="n">
        <f aca="false">IM$4*IM42</f>
        <v>0</v>
      </c>
      <c r="IN147" s="199" t="n">
        <f aca="false">IN$4*IN42</f>
        <v>0</v>
      </c>
      <c r="IO147" s="199" t="n">
        <f aca="false">IO$4*IO42</f>
        <v>0</v>
      </c>
      <c r="IP147" s="199" t="n">
        <f aca="false">IP$4*IP42</f>
        <v>0</v>
      </c>
      <c r="IQ147" s="199" t="n">
        <f aca="false">IQ$4*IQ42</f>
        <v>0</v>
      </c>
      <c r="IR147" s="199" t="n">
        <f aca="false">IR$4*IR42</f>
        <v>0</v>
      </c>
      <c r="IS147" s="199" t="n">
        <f aca="false">IS$4*IS42</f>
        <v>0</v>
      </c>
      <c r="IT147" s="199" t="n">
        <f aca="false">IT$4*IT42</f>
        <v>0</v>
      </c>
      <c r="IU147" s="200" t="n">
        <f aca="false">IU$4*IU42</f>
        <v>0</v>
      </c>
      <c r="IV147" s="194" t="str">
        <f aca="false">IK147</f>
        <v>Alumno37</v>
      </c>
      <c r="IW147" s="198" t="n">
        <f aca="false">IW$4*IW42</f>
        <v>0</v>
      </c>
      <c r="IX147" s="199" t="n">
        <f aca="false">IX$4*IX42</f>
        <v>0</v>
      </c>
      <c r="IY147" s="199" t="n">
        <f aca="false">IY$4*IY42</f>
        <v>0</v>
      </c>
      <c r="IZ147" s="199" t="n">
        <f aca="false">IZ$4*IZ42</f>
        <v>0</v>
      </c>
      <c r="JA147" s="199" t="n">
        <f aca="false">JA$4*JA42</f>
        <v>0</v>
      </c>
      <c r="JB147" s="199" t="n">
        <f aca="false">JB$4*JB42</f>
        <v>0</v>
      </c>
      <c r="JC147" s="199" t="n">
        <f aca="false">JC$4*JC42</f>
        <v>0</v>
      </c>
      <c r="JD147" s="199" t="n">
        <f aca="false">JD$4*JD42</f>
        <v>0</v>
      </c>
      <c r="JE147" s="199" t="n">
        <f aca="false">JE$4*JE42</f>
        <v>0</v>
      </c>
      <c r="JF147" s="200" t="n">
        <f aca="false">JF$4*JF42</f>
        <v>0</v>
      </c>
      <c r="JG147" s="194" t="str">
        <f aca="false">IV147</f>
        <v>Alumno37</v>
      </c>
      <c r="JH147" s="198" t="n">
        <f aca="false">JH$4*JH42</f>
        <v>0</v>
      </c>
      <c r="JI147" s="199" t="n">
        <f aca="false">JI$4*JI42</f>
        <v>0</v>
      </c>
      <c r="JJ147" s="199" t="n">
        <f aca="false">JJ$4*JJ42</f>
        <v>0</v>
      </c>
      <c r="JK147" s="199" t="n">
        <f aca="false">JK$4*JK42</f>
        <v>0</v>
      </c>
      <c r="JL147" s="199" t="n">
        <f aca="false">JL$4*JL42</f>
        <v>0</v>
      </c>
      <c r="JM147" s="199" t="n">
        <f aca="false">JM$4*JM42</f>
        <v>0</v>
      </c>
      <c r="JN147" s="199" t="n">
        <f aca="false">JN$4*JN42</f>
        <v>0</v>
      </c>
      <c r="JO147" s="199" t="n">
        <f aca="false">JO$4*JO42</f>
        <v>0</v>
      </c>
      <c r="JP147" s="199" t="n">
        <f aca="false">JP$4*JP42</f>
        <v>0</v>
      </c>
      <c r="JQ147" s="200" t="n">
        <f aca="false">JQ$4*JQ42</f>
        <v>0</v>
      </c>
      <c r="JR147" s="194" t="str">
        <f aca="false">JG147</f>
        <v>Alumno37</v>
      </c>
      <c r="JS147" s="198" t="n">
        <f aca="false">JS$4*JS42</f>
        <v>0</v>
      </c>
      <c r="JT147" s="199" t="n">
        <f aca="false">JT$4*JT42</f>
        <v>0</v>
      </c>
      <c r="JU147" s="199" t="n">
        <f aca="false">JU$4*JU42</f>
        <v>0</v>
      </c>
      <c r="JV147" s="199" t="n">
        <f aca="false">JV$4*JV42</f>
        <v>0</v>
      </c>
      <c r="JW147" s="199" t="n">
        <f aca="false">JW$4*JW42</f>
        <v>0</v>
      </c>
      <c r="JX147" s="199" t="n">
        <f aca="false">JX$4*JX42</f>
        <v>0</v>
      </c>
      <c r="JY147" s="199" t="n">
        <f aca="false">JY$4*JY42</f>
        <v>0</v>
      </c>
      <c r="JZ147" s="199" t="n">
        <f aca="false">JZ$4*JZ42</f>
        <v>0</v>
      </c>
      <c r="KA147" s="199" t="n">
        <f aca="false">KA$4*KA42</f>
        <v>0</v>
      </c>
      <c r="KB147" s="200" t="n">
        <f aca="false">KB$4*KB42</f>
        <v>0</v>
      </c>
      <c r="KC147" s="194" t="str">
        <f aca="false">JR147</f>
        <v>Alumno37</v>
      </c>
      <c r="KD147" s="198" t="n">
        <f aca="false">KD$4*KD42</f>
        <v>0</v>
      </c>
      <c r="KE147" s="199" t="n">
        <f aca="false">KE$4*KE42</f>
        <v>0</v>
      </c>
      <c r="KF147" s="199" t="n">
        <f aca="false">KF$4*KF42</f>
        <v>0</v>
      </c>
      <c r="KG147" s="199" t="n">
        <f aca="false">KG$4*KG42</f>
        <v>0</v>
      </c>
      <c r="KH147" s="199" t="n">
        <f aca="false">KH$4*KH42</f>
        <v>0</v>
      </c>
      <c r="KI147" s="199" t="n">
        <f aca="false">KI$4*KI42</f>
        <v>0</v>
      </c>
      <c r="KJ147" s="199" t="n">
        <f aca="false">KJ$4*KJ42</f>
        <v>0</v>
      </c>
      <c r="KK147" s="199" t="n">
        <f aca="false">KK$4*KK42</f>
        <v>0</v>
      </c>
      <c r="KL147" s="199" t="n">
        <f aca="false">KL$4*KL42</f>
        <v>0</v>
      </c>
      <c r="KM147" s="200" t="n">
        <f aca="false">KM$4*KM42</f>
        <v>0</v>
      </c>
      <c r="KN147" s="194" t="str">
        <f aca="false">KC147</f>
        <v>Alumno37</v>
      </c>
      <c r="KO147" s="198" t="n">
        <f aca="false">KO$4*KO42</f>
        <v>0</v>
      </c>
      <c r="KP147" s="199" t="n">
        <f aca="false">KP$4*KP42</f>
        <v>0</v>
      </c>
      <c r="KQ147" s="199" t="n">
        <f aca="false">KQ$4*KQ42</f>
        <v>0</v>
      </c>
      <c r="KR147" s="199" t="n">
        <f aca="false">KR$4*KR42</f>
        <v>0</v>
      </c>
      <c r="KS147" s="199" t="n">
        <f aca="false">KS$4*KS42</f>
        <v>0</v>
      </c>
      <c r="KT147" s="199" t="n">
        <f aca="false">KT$4*KT42</f>
        <v>0</v>
      </c>
      <c r="KU147" s="199" t="n">
        <f aca="false">KU$4*KU42</f>
        <v>0</v>
      </c>
      <c r="KV147" s="199" t="n">
        <f aca="false">KV$4*KV42</f>
        <v>0</v>
      </c>
      <c r="KW147" s="199" t="n">
        <f aca="false">KW$4*KW42</f>
        <v>0</v>
      </c>
      <c r="KX147" s="200" t="n">
        <f aca="false">KX$4*KX42</f>
        <v>0</v>
      </c>
      <c r="KY147" s="194" t="str">
        <f aca="false">KN147</f>
        <v>Alumno37</v>
      </c>
      <c r="KZ147" s="198" t="n">
        <f aca="false">KZ$4*KZ42</f>
        <v>0</v>
      </c>
      <c r="LA147" s="199" t="n">
        <f aca="false">LA$4*LA42</f>
        <v>0</v>
      </c>
      <c r="LB147" s="199" t="n">
        <f aca="false">LB$4*LB42</f>
        <v>0</v>
      </c>
      <c r="LC147" s="199" t="n">
        <f aca="false">LC$4*LC42</f>
        <v>0</v>
      </c>
      <c r="LD147" s="199" t="n">
        <f aca="false">LD$4*LD42</f>
        <v>0</v>
      </c>
      <c r="LE147" s="199" t="n">
        <f aca="false">LE$4*LE42</f>
        <v>0</v>
      </c>
      <c r="LF147" s="199" t="n">
        <f aca="false">LF$4*LF42</f>
        <v>0</v>
      </c>
      <c r="LG147" s="199" t="n">
        <f aca="false">LG$4*LG42</f>
        <v>0</v>
      </c>
      <c r="LH147" s="199" t="n">
        <f aca="false">LH$4*LH42</f>
        <v>0</v>
      </c>
      <c r="LI147" s="200" t="n">
        <f aca="false">LI$4*LI42</f>
        <v>0</v>
      </c>
      <c r="LJ147" s="194" t="str">
        <f aca="false">KY147</f>
        <v>Alumno37</v>
      </c>
      <c r="LK147" s="198" t="n">
        <f aca="false">LK$4*LK42</f>
        <v>0</v>
      </c>
      <c r="LL147" s="199" t="n">
        <f aca="false">LL$4*LL42</f>
        <v>0</v>
      </c>
      <c r="LM147" s="199" t="n">
        <f aca="false">LM$4*LM42</f>
        <v>0</v>
      </c>
      <c r="LN147" s="199" t="n">
        <f aca="false">LN$4*LN42</f>
        <v>0</v>
      </c>
      <c r="LO147" s="199" t="n">
        <f aca="false">LO$4*LO42</f>
        <v>0</v>
      </c>
      <c r="LP147" s="199" t="n">
        <f aca="false">LP$4*LP42</f>
        <v>0</v>
      </c>
      <c r="LQ147" s="199" t="n">
        <f aca="false">LQ$4*LQ42</f>
        <v>0</v>
      </c>
      <c r="LR147" s="199" t="n">
        <f aca="false">LR$4*LR42</f>
        <v>0</v>
      </c>
      <c r="LS147" s="199" t="n">
        <f aca="false">LS$4*LS42</f>
        <v>0</v>
      </c>
      <c r="LT147" s="200" t="n">
        <f aca="false">LT$4*LT42</f>
        <v>0</v>
      </c>
    </row>
    <row r="148" customFormat="false" ht="15" hidden="true" customHeight="false" outlineLevel="0" collapsed="false">
      <c r="C148" s="194" t="str">
        <f aca="false">C99</f>
        <v>Alumno38</v>
      </c>
      <c r="D148" s="198" t="n">
        <f aca="false">D$4*D43</f>
        <v>0</v>
      </c>
      <c r="E148" s="199" t="n">
        <f aca="false">E$4*E43</f>
        <v>0</v>
      </c>
      <c r="F148" s="199" t="n">
        <f aca="false">F$4*F43</f>
        <v>0</v>
      </c>
      <c r="G148" s="199" t="n">
        <f aca="false">G$4*G43</f>
        <v>0</v>
      </c>
      <c r="H148" s="199" t="n">
        <f aca="false">H$4*H43</f>
        <v>0</v>
      </c>
      <c r="I148" s="199" t="n">
        <f aca="false">I$4*I43</f>
        <v>0</v>
      </c>
      <c r="J148" s="199" t="n">
        <f aca="false">J$4*J43</f>
        <v>0</v>
      </c>
      <c r="K148" s="199" t="n">
        <f aca="false">K$4*K43</f>
        <v>0</v>
      </c>
      <c r="L148" s="199" t="n">
        <f aca="false">L$4*L43</f>
        <v>0</v>
      </c>
      <c r="M148" s="200" t="n">
        <f aca="false">M$4*M43</f>
        <v>0</v>
      </c>
      <c r="N148" s="194" t="str">
        <f aca="false">C148</f>
        <v>Alumno38</v>
      </c>
      <c r="O148" s="198" t="n">
        <f aca="false">O$4*O43</f>
        <v>0</v>
      </c>
      <c r="P148" s="199" t="n">
        <f aca="false">P$4*P43</f>
        <v>0</v>
      </c>
      <c r="Q148" s="199" t="n">
        <f aca="false">Q$4*Q43</f>
        <v>0</v>
      </c>
      <c r="R148" s="199" t="n">
        <f aca="false">R$4*R43</f>
        <v>0</v>
      </c>
      <c r="S148" s="199" t="n">
        <f aca="false">S$4*S43</f>
        <v>0</v>
      </c>
      <c r="T148" s="199" t="n">
        <f aca="false">T$4*T43</f>
        <v>0</v>
      </c>
      <c r="U148" s="199" t="n">
        <f aca="false">U$4*U43</f>
        <v>0</v>
      </c>
      <c r="V148" s="199" t="n">
        <f aca="false">V$4*V43</f>
        <v>0</v>
      </c>
      <c r="W148" s="199" t="n">
        <f aca="false">W$4*W43</f>
        <v>0</v>
      </c>
      <c r="X148" s="200" t="n">
        <f aca="false">X$4*X43</f>
        <v>0</v>
      </c>
      <c r="Y148" s="194" t="str">
        <f aca="false">N148</f>
        <v>Alumno38</v>
      </c>
      <c r="Z148" s="198" t="n">
        <f aca="false">Z$4*Z43</f>
        <v>0</v>
      </c>
      <c r="AA148" s="199" t="n">
        <f aca="false">AA$4*AA43</f>
        <v>0</v>
      </c>
      <c r="AB148" s="199" t="n">
        <f aca="false">AB$4*AB43</f>
        <v>0</v>
      </c>
      <c r="AC148" s="199" t="n">
        <f aca="false">AC$4*AC43</f>
        <v>0</v>
      </c>
      <c r="AD148" s="199" t="n">
        <f aca="false">AD$4*AD43</f>
        <v>0</v>
      </c>
      <c r="AE148" s="199" t="n">
        <f aca="false">AE$4*AE43</f>
        <v>0</v>
      </c>
      <c r="AF148" s="199" t="n">
        <f aca="false">AF$4*AF43</f>
        <v>0</v>
      </c>
      <c r="AG148" s="199" t="n">
        <f aca="false">AG$4*AG43</f>
        <v>0</v>
      </c>
      <c r="AH148" s="199" t="n">
        <f aca="false">AH$4*AH43</f>
        <v>0</v>
      </c>
      <c r="AI148" s="200" t="n">
        <f aca="false">AI$4*AI43</f>
        <v>0</v>
      </c>
      <c r="AJ148" s="194" t="str">
        <f aca="false">Y148</f>
        <v>Alumno38</v>
      </c>
      <c r="AK148" s="198" t="n">
        <f aca="false">AK$4*AK43</f>
        <v>0</v>
      </c>
      <c r="AL148" s="199" t="n">
        <f aca="false">AL$4*AL43</f>
        <v>0</v>
      </c>
      <c r="AM148" s="199" t="n">
        <f aca="false">AM$4*AM43</f>
        <v>0</v>
      </c>
      <c r="AN148" s="199" t="n">
        <f aca="false">AN$4*AN43</f>
        <v>0</v>
      </c>
      <c r="AO148" s="199" t="n">
        <f aca="false">AO$4*AO43</f>
        <v>0</v>
      </c>
      <c r="AP148" s="199" t="n">
        <f aca="false">AP$4*AP43</f>
        <v>0</v>
      </c>
      <c r="AQ148" s="199" t="n">
        <f aca="false">AQ$4*AQ43</f>
        <v>0</v>
      </c>
      <c r="AR148" s="199" t="n">
        <f aca="false">AR$4*AR43</f>
        <v>0</v>
      </c>
      <c r="AS148" s="199" t="n">
        <f aca="false">AS$4*AS43</f>
        <v>0</v>
      </c>
      <c r="AT148" s="200" t="n">
        <f aca="false">AT$4*AT43</f>
        <v>0</v>
      </c>
      <c r="AU148" s="194" t="str">
        <f aca="false">AJ148</f>
        <v>Alumno38</v>
      </c>
      <c r="AV148" s="198" t="n">
        <f aca="false">AV$4*AV43</f>
        <v>0</v>
      </c>
      <c r="AW148" s="199" t="n">
        <f aca="false">AW$4*AW43</f>
        <v>0</v>
      </c>
      <c r="AX148" s="199" t="n">
        <f aca="false">AX$4*AX43</f>
        <v>0</v>
      </c>
      <c r="AY148" s="199" t="n">
        <f aca="false">AY$4*AY43</f>
        <v>0</v>
      </c>
      <c r="AZ148" s="199" t="n">
        <f aca="false">AZ$4*AZ43</f>
        <v>0</v>
      </c>
      <c r="BA148" s="199" t="n">
        <f aca="false">BA$4*BA43</f>
        <v>0</v>
      </c>
      <c r="BB148" s="199" t="n">
        <f aca="false">BB$4*BB43</f>
        <v>0</v>
      </c>
      <c r="BC148" s="199" t="n">
        <f aca="false">BC$4*BC43</f>
        <v>0</v>
      </c>
      <c r="BD148" s="199" t="n">
        <f aca="false">BD$4*BD43</f>
        <v>0</v>
      </c>
      <c r="BE148" s="200" t="n">
        <f aca="false">BE$4*BE43</f>
        <v>0</v>
      </c>
      <c r="BF148" s="194" t="str">
        <f aca="false">AU148</f>
        <v>Alumno38</v>
      </c>
      <c r="BG148" s="198" t="n">
        <f aca="false">BG$4*BG43</f>
        <v>0</v>
      </c>
      <c r="BH148" s="199" t="n">
        <f aca="false">BH$4*BH43</f>
        <v>0</v>
      </c>
      <c r="BI148" s="199" t="n">
        <f aca="false">BI$4*BI43</f>
        <v>0</v>
      </c>
      <c r="BJ148" s="199" t="n">
        <f aca="false">BJ$4*BJ43</f>
        <v>0</v>
      </c>
      <c r="BK148" s="199" t="n">
        <f aca="false">BK$4*BK43</f>
        <v>0</v>
      </c>
      <c r="BL148" s="199" t="n">
        <f aca="false">BL$4*BL43</f>
        <v>0</v>
      </c>
      <c r="BM148" s="199" t="n">
        <f aca="false">BM$4*BM43</f>
        <v>0</v>
      </c>
      <c r="BN148" s="199" t="n">
        <f aca="false">BN$4*BN43</f>
        <v>0</v>
      </c>
      <c r="BO148" s="199" t="n">
        <f aca="false">BO$4*BO43</f>
        <v>0</v>
      </c>
      <c r="BP148" s="200" t="n">
        <f aca="false">BP$4*BP43</f>
        <v>0</v>
      </c>
      <c r="BQ148" s="194" t="str">
        <f aca="false">BF148</f>
        <v>Alumno38</v>
      </c>
      <c r="BR148" s="198" t="n">
        <f aca="false">BR$4*BR43</f>
        <v>0</v>
      </c>
      <c r="BS148" s="199" t="n">
        <f aca="false">BS$4*BS43</f>
        <v>0</v>
      </c>
      <c r="BT148" s="199" t="n">
        <f aca="false">BT$4*BT43</f>
        <v>0</v>
      </c>
      <c r="BU148" s="199" t="n">
        <f aca="false">BU$4*BU43</f>
        <v>0</v>
      </c>
      <c r="BV148" s="199" t="n">
        <f aca="false">BV$4*BV43</f>
        <v>0</v>
      </c>
      <c r="BW148" s="199" t="n">
        <f aca="false">BW$4*BW43</f>
        <v>0</v>
      </c>
      <c r="BX148" s="199" t="n">
        <f aca="false">BX$4*BX43</f>
        <v>0</v>
      </c>
      <c r="BY148" s="199" t="n">
        <f aca="false">BY$4*BY43</f>
        <v>0</v>
      </c>
      <c r="BZ148" s="199" t="n">
        <f aca="false">BZ$4*BZ43</f>
        <v>0</v>
      </c>
      <c r="CA148" s="200" t="n">
        <f aca="false">CA$4*CA43</f>
        <v>0</v>
      </c>
      <c r="CB148" s="194" t="str">
        <f aca="false">BQ148</f>
        <v>Alumno38</v>
      </c>
      <c r="CC148" s="198" t="n">
        <f aca="false">CC$4*CC43</f>
        <v>0</v>
      </c>
      <c r="CD148" s="199" t="n">
        <f aca="false">CD$4*CD43</f>
        <v>0</v>
      </c>
      <c r="CE148" s="199" t="n">
        <f aca="false">CE$4*CE43</f>
        <v>0</v>
      </c>
      <c r="CF148" s="199" t="n">
        <f aca="false">CF$4*CF43</f>
        <v>0</v>
      </c>
      <c r="CG148" s="199" t="n">
        <f aca="false">CG$4*CG43</f>
        <v>0</v>
      </c>
      <c r="CH148" s="199" t="n">
        <f aca="false">CH$4*CH43</f>
        <v>0</v>
      </c>
      <c r="CI148" s="199" t="n">
        <f aca="false">CI$4*CI43</f>
        <v>0</v>
      </c>
      <c r="CJ148" s="199" t="n">
        <f aca="false">CJ$4*CJ43</f>
        <v>0</v>
      </c>
      <c r="CK148" s="199" t="n">
        <f aca="false">CK$4*CK43</f>
        <v>0</v>
      </c>
      <c r="CL148" s="200" t="n">
        <f aca="false">CL$4*CL43</f>
        <v>0</v>
      </c>
      <c r="CM148" s="194" t="str">
        <f aca="false">CB148</f>
        <v>Alumno38</v>
      </c>
      <c r="CN148" s="198" t="n">
        <f aca="false">CN$4*CN43</f>
        <v>0</v>
      </c>
      <c r="CO148" s="199" t="n">
        <f aca="false">CO$4*CO43</f>
        <v>0</v>
      </c>
      <c r="CP148" s="199" t="n">
        <f aca="false">CP$4*CP43</f>
        <v>0</v>
      </c>
      <c r="CQ148" s="199" t="n">
        <f aca="false">CQ$4*CQ43</f>
        <v>0</v>
      </c>
      <c r="CR148" s="199" t="n">
        <f aca="false">CR$4*CR43</f>
        <v>0</v>
      </c>
      <c r="CS148" s="199" t="n">
        <f aca="false">CS$4*CS43</f>
        <v>0</v>
      </c>
      <c r="CT148" s="199" t="n">
        <f aca="false">CT$4*CT43</f>
        <v>0</v>
      </c>
      <c r="CU148" s="199" t="n">
        <f aca="false">CU$4*CU43</f>
        <v>0</v>
      </c>
      <c r="CV148" s="199" t="n">
        <f aca="false">CV$4*CV43</f>
        <v>0</v>
      </c>
      <c r="CW148" s="200" t="n">
        <f aca="false">CW$4*CW43</f>
        <v>0</v>
      </c>
      <c r="CX148" s="194" t="str">
        <f aca="false">CM148</f>
        <v>Alumno38</v>
      </c>
      <c r="CY148" s="198" t="n">
        <f aca="false">CY$4*CY43</f>
        <v>0</v>
      </c>
      <c r="CZ148" s="199" t="n">
        <f aca="false">CZ$4*CZ43</f>
        <v>0</v>
      </c>
      <c r="DA148" s="199" t="n">
        <f aca="false">DA$4*DA43</f>
        <v>0</v>
      </c>
      <c r="DB148" s="199" t="n">
        <f aca="false">DB$4*DB43</f>
        <v>0</v>
      </c>
      <c r="DC148" s="199" t="n">
        <f aca="false">DC$4*DC43</f>
        <v>0</v>
      </c>
      <c r="DD148" s="199" t="n">
        <f aca="false">DD$4*DD43</f>
        <v>0</v>
      </c>
      <c r="DE148" s="199" t="n">
        <f aca="false">DE$4*DE43</f>
        <v>0</v>
      </c>
      <c r="DF148" s="199" t="n">
        <f aca="false">DF$4*DF43</f>
        <v>0</v>
      </c>
      <c r="DG148" s="199" t="n">
        <f aca="false">DG$4*DG43</f>
        <v>0</v>
      </c>
      <c r="DH148" s="200" t="n">
        <f aca="false">DH$4*DH43</f>
        <v>0</v>
      </c>
      <c r="DI148" s="194" t="str">
        <f aca="false">CX148</f>
        <v>Alumno38</v>
      </c>
      <c r="DJ148" s="198" t="n">
        <f aca="false">DJ$4*DJ43</f>
        <v>0</v>
      </c>
      <c r="DK148" s="199" t="n">
        <f aca="false">DK$4*DK43</f>
        <v>0</v>
      </c>
      <c r="DL148" s="199" t="n">
        <f aca="false">DL$4*DL43</f>
        <v>0</v>
      </c>
      <c r="DM148" s="199" t="n">
        <f aca="false">DM$4*DM43</f>
        <v>0</v>
      </c>
      <c r="DN148" s="199" t="n">
        <f aca="false">DN$4*DN43</f>
        <v>0</v>
      </c>
      <c r="DO148" s="199" t="n">
        <f aca="false">DO$4*DO43</f>
        <v>0</v>
      </c>
      <c r="DP148" s="199" t="n">
        <f aca="false">DP$4*DP43</f>
        <v>0</v>
      </c>
      <c r="DQ148" s="199" t="n">
        <f aca="false">DQ$4*DQ43</f>
        <v>0</v>
      </c>
      <c r="DR148" s="199" t="n">
        <f aca="false">DR$4*DR43</f>
        <v>0</v>
      </c>
      <c r="DS148" s="200" t="n">
        <f aca="false">DS$4*DS43</f>
        <v>0</v>
      </c>
      <c r="DT148" s="194" t="str">
        <f aca="false">DI148</f>
        <v>Alumno38</v>
      </c>
      <c r="DU148" s="198" t="n">
        <f aca="false">DU$4*DU43</f>
        <v>0</v>
      </c>
      <c r="DV148" s="199" t="n">
        <f aca="false">DV$4*DV43</f>
        <v>0</v>
      </c>
      <c r="DW148" s="199" t="n">
        <f aca="false">DW$4*DW43</f>
        <v>0</v>
      </c>
      <c r="DX148" s="199" t="n">
        <f aca="false">DX$4*DX43</f>
        <v>0</v>
      </c>
      <c r="DY148" s="199" t="n">
        <f aca="false">DY$4*DY43</f>
        <v>0</v>
      </c>
      <c r="DZ148" s="199" t="n">
        <f aca="false">DZ$4*DZ43</f>
        <v>0</v>
      </c>
      <c r="EA148" s="199" t="n">
        <f aca="false">EA$4*EA43</f>
        <v>0</v>
      </c>
      <c r="EB148" s="199" t="n">
        <f aca="false">EB$4*EB43</f>
        <v>0</v>
      </c>
      <c r="EC148" s="199" t="n">
        <f aca="false">EC$4*EC43</f>
        <v>0</v>
      </c>
      <c r="ED148" s="200" t="n">
        <f aca="false">ED$4*ED43</f>
        <v>0</v>
      </c>
      <c r="EE148" s="194" t="str">
        <f aca="false">DT148</f>
        <v>Alumno38</v>
      </c>
      <c r="EF148" s="198" t="n">
        <f aca="false">EF$4*EF43</f>
        <v>0</v>
      </c>
      <c r="EG148" s="199" t="n">
        <f aca="false">EG$4*EG43</f>
        <v>0</v>
      </c>
      <c r="EH148" s="199" t="n">
        <f aca="false">EH$4*EH43</f>
        <v>0</v>
      </c>
      <c r="EI148" s="199" t="n">
        <f aca="false">EI$4*EI43</f>
        <v>0</v>
      </c>
      <c r="EJ148" s="199" t="n">
        <f aca="false">EJ$4*EJ43</f>
        <v>0</v>
      </c>
      <c r="EK148" s="199" t="n">
        <f aca="false">EK$4*EK43</f>
        <v>0</v>
      </c>
      <c r="EL148" s="199" t="n">
        <f aca="false">EL$4*EL43</f>
        <v>0</v>
      </c>
      <c r="EM148" s="199" t="n">
        <f aca="false">EM$4*EM43</f>
        <v>0</v>
      </c>
      <c r="EN148" s="199" t="n">
        <f aca="false">EN$4*EN43</f>
        <v>0</v>
      </c>
      <c r="EO148" s="200" t="n">
        <f aca="false">EO$4*EO43</f>
        <v>0</v>
      </c>
      <c r="EP148" s="194" t="str">
        <f aca="false">EE148</f>
        <v>Alumno38</v>
      </c>
      <c r="EQ148" s="198" t="n">
        <f aca="false">EQ$4*EQ43</f>
        <v>0</v>
      </c>
      <c r="ER148" s="199" t="n">
        <f aca="false">ER$4*ER43</f>
        <v>0</v>
      </c>
      <c r="ES148" s="199" t="n">
        <f aca="false">ES$4*ES43</f>
        <v>0</v>
      </c>
      <c r="ET148" s="199" t="n">
        <f aca="false">ET$4*ET43</f>
        <v>0</v>
      </c>
      <c r="EU148" s="199" t="n">
        <f aca="false">EU$4*EU43</f>
        <v>0</v>
      </c>
      <c r="EV148" s="199" t="n">
        <f aca="false">EV$4*EV43</f>
        <v>0</v>
      </c>
      <c r="EW148" s="199" t="n">
        <f aca="false">EW$4*EW43</f>
        <v>0</v>
      </c>
      <c r="EX148" s="199" t="n">
        <f aca="false">EX$4*EX43</f>
        <v>0</v>
      </c>
      <c r="EY148" s="199" t="n">
        <f aca="false">EY$4*EY43</f>
        <v>0</v>
      </c>
      <c r="EZ148" s="200" t="n">
        <f aca="false">EZ$4*EZ43</f>
        <v>0</v>
      </c>
      <c r="FA148" s="194" t="str">
        <f aca="false">EP148</f>
        <v>Alumno38</v>
      </c>
      <c r="FB148" s="198" t="n">
        <f aca="false">FB$4*FB43</f>
        <v>0</v>
      </c>
      <c r="FC148" s="199" t="n">
        <f aca="false">FC$4*FC43</f>
        <v>0</v>
      </c>
      <c r="FD148" s="199" t="n">
        <f aca="false">FD$4*FD43</f>
        <v>0</v>
      </c>
      <c r="FE148" s="199" t="n">
        <f aca="false">FE$4*FE43</f>
        <v>0</v>
      </c>
      <c r="FF148" s="199" t="n">
        <f aca="false">FF$4*FF43</f>
        <v>0</v>
      </c>
      <c r="FG148" s="199" t="n">
        <f aca="false">FG$4*FG43</f>
        <v>0</v>
      </c>
      <c r="FH148" s="199" t="n">
        <f aca="false">FH$4*FH43</f>
        <v>0</v>
      </c>
      <c r="FI148" s="199" t="n">
        <f aca="false">FI$4*FI43</f>
        <v>0</v>
      </c>
      <c r="FJ148" s="199" t="n">
        <f aca="false">FJ$4*FJ43</f>
        <v>0</v>
      </c>
      <c r="FK148" s="200" t="n">
        <f aca="false">FK$4*FK43</f>
        <v>0</v>
      </c>
      <c r="FL148" s="194" t="str">
        <f aca="false">FA148</f>
        <v>Alumno38</v>
      </c>
      <c r="FM148" s="198" t="n">
        <f aca="false">FM$4*FM43</f>
        <v>0</v>
      </c>
      <c r="FN148" s="199" t="n">
        <f aca="false">FN$4*FN43</f>
        <v>0</v>
      </c>
      <c r="FO148" s="199" t="n">
        <f aca="false">FO$4*FO43</f>
        <v>0</v>
      </c>
      <c r="FP148" s="199" t="n">
        <f aca="false">FP$4*FP43</f>
        <v>0</v>
      </c>
      <c r="FQ148" s="199" t="n">
        <f aca="false">FQ$4*FQ43</f>
        <v>0</v>
      </c>
      <c r="FR148" s="199" t="n">
        <f aca="false">FR$4*FR43</f>
        <v>0</v>
      </c>
      <c r="FS148" s="199" t="n">
        <f aca="false">FS$4*FS43</f>
        <v>0</v>
      </c>
      <c r="FT148" s="199" t="n">
        <f aca="false">FT$4*FT43</f>
        <v>0</v>
      </c>
      <c r="FU148" s="199" t="n">
        <f aca="false">FU$4*FU43</f>
        <v>0</v>
      </c>
      <c r="FV148" s="200" t="n">
        <f aca="false">FV$4*FV43</f>
        <v>0</v>
      </c>
      <c r="FW148" s="194" t="str">
        <f aca="false">FL148</f>
        <v>Alumno38</v>
      </c>
      <c r="FX148" s="198" t="n">
        <f aca="false">FX$4*FX43</f>
        <v>0</v>
      </c>
      <c r="FY148" s="199" t="n">
        <f aca="false">FY$4*FY43</f>
        <v>0</v>
      </c>
      <c r="FZ148" s="199" t="n">
        <f aca="false">FZ$4*FZ43</f>
        <v>0</v>
      </c>
      <c r="GA148" s="199" t="n">
        <f aca="false">GA$4*GA43</f>
        <v>0</v>
      </c>
      <c r="GB148" s="199" t="n">
        <f aca="false">GB$4*GB43</f>
        <v>0</v>
      </c>
      <c r="GC148" s="199" t="n">
        <f aca="false">GC$4*GC43</f>
        <v>0</v>
      </c>
      <c r="GD148" s="199" t="n">
        <f aca="false">GD$4*GD43</f>
        <v>0</v>
      </c>
      <c r="GE148" s="199" t="n">
        <f aca="false">GE$4*GE43</f>
        <v>0</v>
      </c>
      <c r="GF148" s="199" t="n">
        <f aca="false">GF$4*GF43</f>
        <v>0</v>
      </c>
      <c r="GG148" s="200" t="n">
        <f aca="false">GG$4*GG43</f>
        <v>0</v>
      </c>
      <c r="GH148" s="194" t="str">
        <f aca="false">FW148</f>
        <v>Alumno38</v>
      </c>
      <c r="GI148" s="198" t="n">
        <f aca="false">GI$4*GI43</f>
        <v>0</v>
      </c>
      <c r="GJ148" s="199" t="n">
        <f aca="false">GJ$4*GJ43</f>
        <v>0</v>
      </c>
      <c r="GK148" s="199" t="n">
        <f aca="false">GK$4*GK43</f>
        <v>0</v>
      </c>
      <c r="GL148" s="199" t="n">
        <f aca="false">GL$4*GL43</f>
        <v>0</v>
      </c>
      <c r="GM148" s="199" t="n">
        <f aca="false">GM$4*GM43</f>
        <v>0</v>
      </c>
      <c r="GN148" s="199" t="n">
        <f aca="false">GN$4*GN43</f>
        <v>0</v>
      </c>
      <c r="GO148" s="199" t="n">
        <f aca="false">GO$4*GO43</f>
        <v>0</v>
      </c>
      <c r="GP148" s="199" t="n">
        <f aca="false">GP$4*GP43</f>
        <v>0</v>
      </c>
      <c r="GQ148" s="199" t="n">
        <f aca="false">GQ$4*GQ43</f>
        <v>0</v>
      </c>
      <c r="GR148" s="200" t="n">
        <f aca="false">GR$4*GR43</f>
        <v>0</v>
      </c>
      <c r="GS148" s="194" t="str">
        <f aca="false">GH148</f>
        <v>Alumno38</v>
      </c>
      <c r="GT148" s="198" t="n">
        <f aca="false">GT$4*GT43</f>
        <v>0</v>
      </c>
      <c r="GU148" s="199" t="n">
        <f aca="false">GU$4*GU43</f>
        <v>0</v>
      </c>
      <c r="GV148" s="199" t="n">
        <f aca="false">GV$4*GV43</f>
        <v>0</v>
      </c>
      <c r="GW148" s="199" t="n">
        <f aca="false">GW$4*GW43</f>
        <v>0</v>
      </c>
      <c r="GX148" s="199" t="n">
        <f aca="false">GX$4*GX43</f>
        <v>0</v>
      </c>
      <c r="GY148" s="199" t="n">
        <f aca="false">GY$4*GY43</f>
        <v>0</v>
      </c>
      <c r="GZ148" s="199" t="n">
        <f aca="false">GZ$4*GZ43</f>
        <v>0</v>
      </c>
      <c r="HA148" s="199" t="n">
        <f aca="false">HA$4*HA43</f>
        <v>0</v>
      </c>
      <c r="HB148" s="199" t="n">
        <f aca="false">HB$4*HB43</f>
        <v>0</v>
      </c>
      <c r="HC148" s="200" t="n">
        <f aca="false">HC$4*HC43</f>
        <v>0</v>
      </c>
      <c r="HD148" s="194" t="str">
        <f aca="false">GS148</f>
        <v>Alumno38</v>
      </c>
      <c r="HE148" s="198" t="n">
        <f aca="false">HE$4*HE43</f>
        <v>0</v>
      </c>
      <c r="HF148" s="199" t="n">
        <f aca="false">HF$4*HF43</f>
        <v>0</v>
      </c>
      <c r="HG148" s="199" t="n">
        <f aca="false">HG$4*HG43</f>
        <v>0</v>
      </c>
      <c r="HH148" s="199" t="n">
        <f aca="false">HH$4*HH43</f>
        <v>0</v>
      </c>
      <c r="HI148" s="199" t="n">
        <f aca="false">HI$4*HI43</f>
        <v>0</v>
      </c>
      <c r="HJ148" s="199" t="n">
        <f aca="false">HJ$4*HJ43</f>
        <v>0</v>
      </c>
      <c r="HK148" s="199" t="n">
        <f aca="false">HK$4*HK43</f>
        <v>0</v>
      </c>
      <c r="HL148" s="199" t="n">
        <f aca="false">HL$4*HL43</f>
        <v>0</v>
      </c>
      <c r="HM148" s="199" t="n">
        <f aca="false">HM$4*HM43</f>
        <v>0</v>
      </c>
      <c r="HN148" s="200" t="n">
        <f aca="false">HN$4*HN43</f>
        <v>0</v>
      </c>
      <c r="HO148" s="194" t="str">
        <f aca="false">HD148</f>
        <v>Alumno38</v>
      </c>
      <c r="HP148" s="198" t="n">
        <f aca="false">HP$4*HP43</f>
        <v>0</v>
      </c>
      <c r="HQ148" s="199" t="n">
        <f aca="false">HQ$4*HQ43</f>
        <v>0</v>
      </c>
      <c r="HR148" s="199" t="n">
        <f aca="false">HR$4*HR43</f>
        <v>0</v>
      </c>
      <c r="HS148" s="199" t="n">
        <f aca="false">HS$4*HS43</f>
        <v>0</v>
      </c>
      <c r="HT148" s="199" t="n">
        <f aca="false">HT$4*HT43</f>
        <v>0</v>
      </c>
      <c r="HU148" s="199" t="n">
        <f aca="false">HU$4*HU43</f>
        <v>0</v>
      </c>
      <c r="HV148" s="199" t="n">
        <f aca="false">HV$4*HV43</f>
        <v>0</v>
      </c>
      <c r="HW148" s="199" t="n">
        <f aca="false">HW$4*HW43</f>
        <v>0</v>
      </c>
      <c r="HX148" s="199" t="n">
        <f aca="false">HX$4*HX43</f>
        <v>0</v>
      </c>
      <c r="HY148" s="200" t="n">
        <f aca="false">HY$4*HY43</f>
        <v>0</v>
      </c>
      <c r="HZ148" s="194" t="str">
        <f aca="false">HO148</f>
        <v>Alumno38</v>
      </c>
      <c r="IA148" s="198" t="n">
        <f aca="false">IA$4*IA43</f>
        <v>0</v>
      </c>
      <c r="IB148" s="199" t="n">
        <f aca="false">IB$4*IB43</f>
        <v>0</v>
      </c>
      <c r="IC148" s="199" t="n">
        <f aca="false">IC$4*IC43</f>
        <v>0</v>
      </c>
      <c r="ID148" s="199" t="n">
        <f aca="false">ID$4*ID43</f>
        <v>0</v>
      </c>
      <c r="IE148" s="199" t="n">
        <f aca="false">IE$4*IE43</f>
        <v>0</v>
      </c>
      <c r="IF148" s="199" t="n">
        <f aca="false">IF$4*IF43</f>
        <v>0</v>
      </c>
      <c r="IG148" s="199" t="n">
        <f aca="false">IG$4*IG43</f>
        <v>0</v>
      </c>
      <c r="IH148" s="199" t="n">
        <f aca="false">IH$4*IH43</f>
        <v>0</v>
      </c>
      <c r="II148" s="199" t="n">
        <f aca="false">II$4*II43</f>
        <v>0</v>
      </c>
      <c r="IJ148" s="200" t="n">
        <f aca="false">IJ$4*IJ43</f>
        <v>0</v>
      </c>
      <c r="IK148" s="194" t="str">
        <f aca="false">HZ148</f>
        <v>Alumno38</v>
      </c>
      <c r="IL148" s="198" t="n">
        <f aca="false">IL$4*IL43</f>
        <v>0</v>
      </c>
      <c r="IM148" s="199" t="n">
        <f aca="false">IM$4*IM43</f>
        <v>0</v>
      </c>
      <c r="IN148" s="199" t="n">
        <f aca="false">IN$4*IN43</f>
        <v>0</v>
      </c>
      <c r="IO148" s="199" t="n">
        <f aca="false">IO$4*IO43</f>
        <v>0</v>
      </c>
      <c r="IP148" s="199" t="n">
        <f aca="false">IP$4*IP43</f>
        <v>0</v>
      </c>
      <c r="IQ148" s="199" t="n">
        <f aca="false">IQ$4*IQ43</f>
        <v>0</v>
      </c>
      <c r="IR148" s="199" t="n">
        <f aca="false">IR$4*IR43</f>
        <v>0</v>
      </c>
      <c r="IS148" s="199" t="n">
        <f aca="false">IS$4*IS43</f>
        <v>0</v>
      </c>
      <c r="IT148" s="199" t="n">
        <f aca="false">IT$4*IT43</f>
        <v>0</v>
      </c>
      <c r="IU148" s="200" t="n">
        <f aca="false">IU$4*IU43</f>
        <v>0</v>
      </c>
      <c r="IV148" s="194" t="str">
        <f aca="false">IK148</f>
        <v>Alumno38</v>
      </c>
      <c r="IW148" s="198" t="n">
        <f aca="false">IW$4*IW43</f>
        <v>0</v>
      </c>
      <c r="IX148" s="199" t="n">
        <f aca="false">IX$4*IX43</f>
        <v>0</v>
      </c>
      <c r="IY148" s="199" t="n">
        <f aca="false">IY$4*IY43</f>
        <v>0</v>
      </c>
      <c r="IZ148" s="199" t="n">
        <f aca="false">IZ$4*IZ43</f>
        <v>0</v>
      </c>
      <c r="JA148" s="199" t="n">
        <f aca="false">JA$4*JA43</f>
        <v>0</v>
      </c>
      <c r="JB148" s="199" t="n">
        <f aca="false">JB$4*JB43</f>
        <v>0</v>
      </c>
      <c r="JC148" s="199" t="n">
        <f aca="false">JC$4*JC43</f>
        <v>0</v>
      </c>
      <c r="JD148" s="199" t="n">
        <f aca="false">JD$4*JD43</f>
        <v>0</v>
      </c>
      <c r="JE148" s="199" t="n">
        <f aca="false">JE$4*JE43</f>
        <v>0</v>
      </c>
      <c r="JF148" s="200" t="n">
        <f aca="false">JF$4*JF43</f>
        <v>0</v>
      </c>
      <c r="JG148" s="194" t="str">
        <f aca="false">IV148</f>
        <v>Alumno38</v>
      </c>
      <c r="JH148" s="198" t="n">
        <f aca="false">JH$4*JH43</f>
        <v>0</v>
      </c>
      <c r="JI148" s="199" t="n">
        <f aca="false">JI$4*JI43</f>
        <v>0</v>
      </c>
      <c r="JJ148" s="199" t="n">
        <f aca="false">JJ$4*JJ43</f>
        <v>0</v>
      </c>
      <c r="JK148" s="199" t="n">
        <f aca="false">JK$4*JK43</f>
        <v>0</v>
      </c>
      <c r="JL148" s="199" t="n">
        <f aca="false">JL$4*JL43</f>
        <v>0</v>
      </c>
      <c r="JM148" s="199" t="n">
        <f aca="false">JM$4*JM43</f>
        <v>0</v>
      </c>
      <c r="JN148" s="199" t="n">
        <f aca="false">JN$4*JN43</f>
        <v>0</v>
      </c>
      <c r="JO148" s="199" t="n">
        <f aca="false">JO$4*JO43</f>
        <v>0</v>
      </c>
      <c r="JP148" s="199" t="n">
        <f aca="false">JP$4*JP43</f>
        <v>0</v>
      </c>
      <c r="JQ148" s="200" t="n">
        <f aca="false">JQ$4*JQ43</f>
        <v>0</v>
      </c>
      <c r="JR148" s="194" t="str">
        <f aca="false">JG148</f>
        <v>Alumno38</v>
      </c>
      <c r="JS148" s="198" t="n">
        <f aca="false">JS$4*JS43</f>
        <v>0</v>
      </c>
      <c r="JT148" s="199" t="n">
        <f aca="false">JT$4*JT43</f>
        <v>0</v>
      </c>
      <c r="JU148" s="199" t="n">
        <f aca="false">JU$4*JU43</f>
        <v>0</v>
      </c>
      <c r="JV148" s="199" t="n">
        <f aca="false">JV$4*JV43</f>
        <v>0</v>
      </c>
      <c r="JW148" s="199" t="n">
        <f aca="false">JW$4*JW43</f>
        <v>0</v>
      </c>
      <c r="JX148" s="199" t="n">
        <f aca="false">JX$4*JX43</f>
        <v>0</v>
      </c>
      <c r="JY148" s="199" t="n">
        <f aca="false">JY$4*JY43</f>
        <v>0</v>
      </c>
      <c r="JZ148" s="199" t="n">
        <f aca="false">JZ$4*JZ43</f>
        <v>0</v>
      </c>
      <c r="KA148" s="199" t="n">
        <f aca="false">KA$4*KA43</f>
        <v>0</v>
      </c>
      <c r="KB148" s="200" t="n">
        <f aca="false">KB$4*KB43</f>
        <v>0</v>
      </c>
      <c r="KC148" s="194" t="str">
        <f aca="false">JR148</f>
        <v>Alumno38</v>
      </c>
      <c r="KD148" s="198" t="n">
        <f aca="false">KD$4*KD43</f>
        <v>0</v>
      </c>
      <c r="KE148" s="199" t="n">
        <f aca="false">KE$4*KE43</f>
        <v>0</v>
      </c>
      <c r="KF148" s="199" t="n">
        <f aca="false">KF$4*KF43</f>
        <v>0</v>
      </c>
      <c r="KG148" s="199" t="n">
        <f aca="false">KG$4*KG43</f>
        <v>0</v>
      </c>
      <c r="KH148" s="199" t="n">
        <f aca="false">KH$4*KH43</f>
        <v>0</v>
      </c>
      <c r="KI148" s="199" t="n">
        <f aca="false">KI$4*KI43</f>
        <v>0</v>
      </c>
      <c r="KJ148" s="199" t="n">
        <f aca="false">KJ$4*KJ43</f>
        <v>0</v>
      </c>
      <c r="KK148" s="199" t="n">
        <f aca="false">KK$4*KK43</f>
        <v>0</v>
      </c>
      <c r="KL148" s="199" t="n">
        <f aca="false">KL$4*KL43</f>
        <v>0</v>
      </c>
      <c r="KM148" s="200" t="n">
        <f aca="false">KM$4*KM43</f>
        <v>0</v>
      </c>
      <c r="KN148" s="194" t="str">
        <f aca="false">KC148</f>
        <v>Alumno38</v>
      </c>
      <c r="KO148" s="198" t="n">
        <f aca="false">KO$4*KO43</f>
        <v>0</v>
      </c>
      <c r="KP148" s="199" t="n">
        <f aca="false">KP$4*KP43</f>
        <v>0</v>
      </c>
      <c r="KQ148" s="199" t="n">
        <f aca="false">KQ$4*KQ43</f>
        <v>0</v>
      </c>
      <c r="KR148" s="199" t="n">
        <f aca="false">KR$4*KR43</f>
        <v>0</v>
      </c>
      <c r="KS148" s="199" t="n">
        <f aca="false">KS$4*KS43</f>
        <v>0</v>
      </c>
      <c r="KT148" s="199" t="n">
        <f aca="false">KT$4*KT43</f>
        <v>0</v>
      </c>
      <c r="KU148" s="199" t="n">
        <f aca="false">KU$4*KU43</f>
        <v>0</v>
      </c>
      <c r="KV148" s="199" t="n">
        <f aca="false">KV$4*KV43</f>
        <v>0</v>
      </c>
      <c r="KW148" s="199" t="n">
        <f aca="false">KW$4*KW43</f>
        <v>0</v>
      </c>
      <c r="KX148" s="200" t="n">
        <f aca="false">KX$4*KX43</f>
        <v>0</v>
      </c>
      <c r="KY148" s="194" t="str">
        <f aca="false">KN148</f>
        <v>Alumno38</v>
      </c>
      <c r="KZ148" s="198" t="n">
        <f aca="false">KZ$4*KZ43</f>
        <v>0</v>
      </c>
      <c r="LA148" s="199" t="n">
        <f aca="false">LA$4*LA43</f>
        <v>0</v>
      </c>
      <c r="LB148" s="199" t="n">
        <f aca="false">LB$4*LB43</f>
        <v>0</v>
      </c>
      <c r="LC148" s="199" t="n">
        <f aca="false">LC$4*LC43</f>
        <v>0</v>
      </c>
      <c r="LD148" s="199" t="n">
        <f aca="false">LD$4*LD43</f>
        <v>0</v>
      </c>
      <c r="LE148" s="199" t="n">
        <f aca="false">LE$4*LE43</f>
        <v>0</v>
      </c>
      <c r="LF148" s="199" t="n">
        <f aca="false">LF$4*LF43</f>
        <v>0</v>
      </c>
      <c r="LG148" s="199" t="n">
        <f aca="false">LG$4*LG43</f>
        <v>0</v>
      </c>
      <c r="LH148" s="199" t="n">
        <f aca="false">LH$4*LH43</f>
        <v>0</v>
      </c>
      <c r="LI148" s="200" t="n">
        <f aca="false">LI$4*LI43</f>
        <v>0</v>
      </c>
      <c r="LJ148" s="194" t="str">
        <f aca="false">KY148</f>
        <v>Alumno38</v>
      </c>
      <c r="LK148" s="198" t="n">
        <f aca="false">LK$4*LK43</f>
        <v>0</v>
      </c>
      <c r="LL148" s="199" t="n">
        <f aca="false">LL$4*LL43</f>
        <v>0</v>
      </c>
      <c r="LM148" s="199" t="n">
        <f aca="false">LM$4*LM43</f>
        <v>0</v>
      </c>
      <c r="LN148" s="199" t="n">
        <f aca="false">LN$4*LN43</f>
        <v>0</v>
      </c>
      <c r="LO148" s="199" t="n">
        <f aca="false">LO$4*LO43</f>
        <v>0</v>
      </c>
      <c r="LP148" s="199" t="n">
        <f aca="false">LP$4*LP43</f>
        <v>0</v>
      </c>
      <c r="LQ148" s="199" t="n">
        <f aca="false">LQ$4*LQ43</f>
        <v>0</v>
      </c>
      <c r="LR148" s="199" t="n">
        <f aca="false">LR$4*LR43</f>
        <v>0</v>
      </c>
      <c r="LS148" s="199" t="n">
        <f aca="false">LS$4*LS43</f>
        <v>0</v>
      </c>
      <c r="LT148" s="200" t="n">
        <f aca="false">LT$4*LT43</f>
        <v>0</v>
      </c>
    </row>
    <row r="149" customFormat="false" ht="15" hidden="true" customHeight="false" outlineLevel="0" collapsed="false">
      <c r="C149" s="194" t="str">
        <f aca="false">C100</f>
        <v>Alumno39</v>
      </c>
      <c r="D149" s="198" t="n">
        <f aca="false">D$4*D44</f>
        <v>0</v>
      </c>
      <c r="E149" s="199" t="n">
        <f aca="false">E$4*E44</f>
        <v>0</v>
      </c>
      <c r="F149" s="199" t="n">
        <f aca="false">F$4*F44</f>
        <v>0</v>
      </c>
      <c r="G149" s="199" t="n">
        <f aca="false">G$4*G44</f>
        <v>0</v>
      </c>
      <c r="H149" s="199" t="n">
        <f aca="false">H$4*H44</f>
        <v>0</v>
      </c>
      <c r="I149" s="199" t="n">
        <f aca="false">I$4*I44</f>
        <v>0</v>
      </c>
      <c r="J149" s="199" t="n">
        <f aca="false">J$4*J44</f>
        <v>0</v>
      </c>
      <c r="K149" s="199" t="n">
        <f aca="false">K$4*K44</f>
        <v>0</v>
      </c>
      <c r="L149" s="199" t="n">
        <f aca="false">L$4*L44</f>
        <v>0</v>
      </c>
      <c r="M149" s="200" t="n">
        <f aca="false">M$4*M44</f>
        <v>0</v>
      </c>
      <c r="N149" s="194" t="str">
        <f aca="false">C149</f>
        <v>Alumno39</v>
      </c>
      <c r="O149" s="198" t="n">
        <f aca="false">O$4*O44</f>
        <v>0</v>
      </c>
      <c r="P149" s="199" t="n">
        <f aca="false">P$4*P44</f>
        <v>0</v>
      </c>
      <c r="Q149" s="199" t="n">
        <f aca="false">Q$4*Q44</f>
        <v>0</v>
      </c>
      <c r="R149" s="199" t="n">
        <f aca="false">R$4*R44</f>
        <v>0</v>
      </c>
      <c r="S149" s="199" t="n">
        <f aca="false">S$4*S44</f>
        <v>0</v>
      </c>
      <c r="T149" s="199" t="n">
        <f aca="false">T$4*T44</f>
        <v>0</v>
      </c>
      <c r="U149" s="199" t="n">
        <f aca="false">U$4*U44</f>
        <v>0</v>
      </c>
      <c r="V149" s="199" t="n">
        <f aca="false">V$4*V44</f>
        <v>0</v>
      </c>
      <c r="W149" s="199" t="n">
        <f aca="false">W$4*W44</f>
        <v>0</v>
      </c>
      <c r="X149" s="200" t="n">
        <f aca="false">X$4*X44</f>
        <v>0</v>
      </c>
      <c r="Y149" s="194" t="str">
        <f aca="false">N149</f>
        <v>Alumno39</v>
      </c>
      <c r="Z149" s="198" t="n">
        <f aca="false">Z$4*Z44</f>
        <v>0</v>
      </c>
      <c r="AA149" s="199" t="n">
        <f aca="false">AA$4*AA44</f>
        <v>0</v>
      </c>
      <c r="AB149" s="199" t="n">
        <f aca="false">AB$4*AB44</f>
        <v>0</v>
      </c>
      <c r="AC149" s="199" t="n">
        <f aca="false">AC$4*AC44</f>
        <v>0</v>
      </c>
      <c r="AD149" s="199" t="n">
        <f aca="false">AD$4*AD44</f>
        <v>0</v>
      </c>
      <c r="AE149" s="199" t="n">
        <f aca="false">AE$4*AE44</f>
        <v>0</v>
      </c>
      <c r="AF149" s="199" t="n">
        <f aca="false">AF$4*AF44</f>
        <v>0</v>
      </c>
      <c r="AG149" s="199" t="n">
        <f aca="false">AG$4*AG44</f>
        <v>0</v>
      </c>
      <c r="AH149" s="199" t="n">
        <f aca="false">AH$4*AH44</f>
        <v>0</v>
      </c>
      <c r="AI149" s="200" t="n">
        <f aca="false">AI$4*AI44</f>
        <v>0</v>
      </c>
      <c r="AJ149" s="194" t="str">
        <f aca="false">Y149</f>
        <v>Alumno39</v>
      </c>
      <c r="AK149" s="198" t="n">
        <f aca="false">AK$4*AK44</f>
        <v>0</v>
      </c>
      <c r="AL149" s="199" t="n">
        <f aca="false">AL$4*AL44</f>
        <v>0</v>
      </c>
      <c r="AM149" s="199" t="n">
        <f aca="false">AM$4*AM44</f>
        <v>0</v>
      </c>
      <c r="AN149" s="199" t="n">
        <f aca="false">AN$4*AN44</f>
        <v>0</v>
      </c>
      <c r="AO149" s="199" t="n">
        <f aca="false">AO$4*AO44</f>
        <v>0</v>
      </c>
      <c r="AP149" s="199" t="n">
        <f aca="false">AP$4*AP44</f>
        <v>0</v>
      </c>
      <c r="AQ149" s="199" t="n">
        <f aca="false">AQ$4*AQ44</f>
        <v>0</v>
      </c>
      <c r="AR149" s="199" t="n">
        <f aca="false">AR$4*AR44</f>
        <v>0</v>
      </c>
      <c r="AS149" s="199" t="n">
        <f aca="false">AS$4*AS44</f>
        <v>0</v>
      </c>
      <c r="AT149" s="200" t="n">
        <f aca="false">AT$4*AT44</f>
        <v>0</v>
      </c>
      <c r="AU149" s="194" t="str">
        <f aca="false">AJ149</f>
        <v>Alumno39</v>
      </c>
      <c r="AV149" s="198" t="n">
        <f aca="false">AV$4*AV44</f>
        <v>0</v>
      </c>
      <c r="AW149" s="199" t="n">
        <f aca="false">AW$4*AW44</f>
        <v>0</v>
      </c>
      <c r="AX149" s="199" t="n">
        <f aca="false">AX$4*AX44</f>
        <v>0</v>
      </c>
      <c r="AY149" s="199" t="n">
        <f aca="false">AY$4*AY44</f>
        <v>0</v>
      </c>
      <c r="AZ149" s="199" t="n">
        <f aca="false">AZ$4*AZ44</f>
        <v>0</v>
      </c>
      <c r="BA149" s="199" t="n">
        <f aca="false">BA$4*BA44</f>
        <v>0</v>
      </c>
      <c r="BB149" s="199" t="n">
        <f aca="false">BB$4*BB44</f>
        <v>0</v>
      </c>
      <c r="BC149" s="199" t="n">
        <f aca="false">BC$4*BC44</f>
        <v>0</v>
      </c>
      <c r="BD149" s="199" t="n">
        <f aca="false">BD$4*BD44</f>
        <v>0</v>
      </c>
      <c r="BE149" s="200" t="n">
        <f aca="false">BE$4*BE44</f>
        <v>0</v>
      </c>
      <c r="BF149" s="194" t="str">
        <f aca="false">AU149</f>
        <v>Alumno39</v>
      </c>
      <c r="BG149" s="198" t="n">
        <f aca="false">BG$4*BG44</f>
        <v>0</v>
      </c>
      <c r="BH149" s="199" t="n">
        <f aca="false">BH$4*BH44</f>
        <v>0</v>
      </c>
      <c r="BI149" s="199" t="n">
        <f aca="false">BI$4*BI44</f>
        <v>0</v>
      </c>
      <c r="BJ149" s="199" t="n">
        <f aca="false">BJ$4*BJ44</f>
        <v>0</v>
      </c>
      <c r="BK149" s="199" t="n">
        <f aca="false">BK$4*BK44</f>
        <v>0</v>
      </c>
      <c r="BL149" s="199" t="n">
        <f aca="false">BL$4*BL44</f>
        <v>0</v>
      </c>
      <c r="BM149" s="199" t="n">
        <f aca="false">BM$4*BM44</f>
        <v>0</v>
      </c>
      <c r="BN149" s="199" t="n">
        <f aca="false">BN$4*BN44</f>
        <v>0</v>
      </c>
      <c r="BO149" s="199" t="n">
        <f aca="false">BO$4*BO44</f>
        <v>0</v>
      </c>
      <c r="BP149" s="200" t="n">
        <f aca="false">BP$4*BP44</f>
        <v>0</v>
      </c>
      <c r="BQ149" s="194" t="str">
        <f aca="false">BF149</f>
        <v>Alumno39</v>
      </c>
      <c r="BR149" s="198" t="n">
        <f aca="false">BR$4*BR44</f>
        <v>0</v>
      </c>
      <c r="BS149" s="199" t="n">
        <f aca="false">BS$4*BS44</f>
        <v>0</v>
      </c>
      <c r="BT149" s="199" t="n">
        <f aca="false">BT$4*BT44</f>
        <v>0</v>
      </c>
      <c r="BU149" s="199" t="n">
        <f aca="false">BU$4*BU44</f>
        <v>0</v>
      </c>
      <c r="BV149" s="199" t="n">
        <f aca="false">BV$4*BV44</f>
        <v>0</v>
      </c>
      <c r="BW149" s="199" t="n">
        <f aca="false">BW$4*BW44</f>
        <v>0</v>
      </c>
      <c r="BX149" s="199" t="n">
        <f aca="false">BX$4*BX44</f>
        <v>0</v>
      </c>
      <c r="BY149" s="199" t="n">
        <f aca="false">BY$4*BY44</f>
        <v>0</v>
      </c>
      <c r="BZ149" s="199" t="n">
        <f aca="false">BZ$4*BZ44</f>
        <v>0</v>
      </c>
      <c r="CA149" s="200" t="n">
        <f aca="false">CA$4*CA44</f>
        <v>0</v>
      </c>
      <c r="CB149" s="194" t="str">
        <f aca="false">BQ149</f>
        <v>Alumno39</v>
      </c>
      <c r="CC149" s="198" t="n">
        <f aca="false">CC$4*CC44</f>
        <v>0</v>
      </c>
      <c r="CD149" s="199" t="n">
        <f aca="false">CD$4*CD44</f>
        <v>0</v>
      </c>
      <c r="CE149" s="199" t="n">
        <f aca="false">CE$4*CE44</f>
        <v>0</v>
      </c>
      <c r="CF149" s="199" t="n">
        <f aca="false">CF$4*CF44</f>
        <v>0</v>
      </c>
      <c r="CG149" s="199" t="n">
        <f aca="false">CG$4*CG44</f>
        <v>0</v>
      </c>
      <c r="CH149" s="199" t="n">
        <f aca="false">CH$4*CH44</f>
        <v>0</v>
      </c>
      <c r="CI149" s="199" t="n">
        <f aca="false">CI$4*CI44</f>
        <v>0</v>
      </c>
      <c r="CJ149" s="199" t="n">
        <f aca="false">CJ$4*CJ44</f>
        <v>0</v>
      </c>
      <c r="CK149" s="199" t="n">
        <f aca="false">CK$4*CK44</f>
        <v>0</v>
      </c>
      <c r="CL149" s="200" t="n">
        <f aca="false">CL$4*CL44</f>
        <v>0</v>
      </c>
      <c r="CM149" s="194" t="str">
        <f aca="false">CB149</f>
        <v>Alumno39</v>
      </c>
      <c r="CN149" s="198" t="n">
        <f aca="false">CN$4*CN44</f>
        <v>0</v>
      </c>
      <c r="CO149" s="199" t="n">
        <f aca="false">CO$4*CO44</f>
        <v>0</v>
      </c>
      <c r="CP149" s="199" t="n">
        <f aca="false">CP$4*CP44</f>
        <v>0</v>
      </c>
      <c r="CQ149" s="199" t="n">
        <f aca="false">CQ$4*CQ44</f>
        <v>0</v>
      </c>
      <c r="CR149" s="199" t="n">
        <f aca="false">CR$4*CR44</f>
        <v>0</v>
      </c>
      <c r="CS149" s="199" t="n">
        <f aca="false">CS$4*CS44</f>
        <v>0</v>
      </c>
      <c r="CT149" s="199" t="n">
        <f aca="false">CT$4*CT44</f>
        <v>0</v>
      </c>
      <c r="CU149" s="199" t="n">
        <f aca="false">CU$4*CU44</f>
        <v>0</v>
      </c>
      <c r="CV149" s="199" t="n">
        <f aca="false">CV$4*CV44</f>
        <v>0</v>
      </c>
      <c r="CW149" s="200" t="n">
        <f aca="false">CW$4*CW44</f>
        <v>0</v>
      </c>
      <c r="CX149" s="194" t="str">
        <f aca="false">CM149</f>
        <v>Alumno39</v>
      </c>
      <c r="CY149" s="198" t="n">
        <f aca="false">CY$4*CY44</f>
        <v>0</v>
      </c>
      <c r="CZ149" s="199" t="n">
        <f aca="false">CZ$4*CZ44</f>
        <v>0</v>
      </c>
      <c r="DA149" s="199" t="n">
        <f aca="false">DA$4*DA44</f>
        <v>0</v>
      </c>
      <c r="DB149" s="199" t="n">
        <f aca="false">DB$4*DB44</f>
        <v>0</v>
      </c>
      <c r="DC149" s="199" t="n">
        <f aca="false">DC$4*DC44</f>
        <v>0</v>
      </c>
      <c r="DD149" s="199" t="n">
        <f aca="false">DD$4*DD44</f>
        <v>0</v>
      </c>
      <c r="DE149" s="199" t="n">
        <f aca="false">DE$4*DE44</f>
        <v>0</v>
      </c>
      <c r="DF149" s="199" t="n">
        <f aca="false">DF$4*DF44</f>
        <v>0</v>
      </c>
      <c r="DG149" s="199" t="n">
        <f aca="false">DG$4*DG44</f>
        <v>0</v>
      </c>
      <c r="DH149" s="200" t="n">
        <f aca="false">DH$4*DH44</f>
        <v>0</v>
      </c>
      <c r="DI149" s="194" t="str">
        <f aca="false">CX149</f>
        <v>Alumno39</v>
      </c>
      <c r="DJ149" s="198" t="n">
        <f aca="false">DJ$4*DJ44</f>
        <v>0</v>
      </c>
      <c r="DK149" s="199" t="n">
        <f aca="false">DK$4*DK44</f>
        <v>0</v>
      </c>
      <c r="DL149" s="199" t="n">
        <f aca="false">DL$4*DL44</f>
        <v>0</v>
      </c>
      <c r="DM149" s="199" t="n">
        <f aca="false">DM$4*DM44</f>
        <v>0</v>
      </c>
      <c r="DN149" s="199" t="n">
        <f aca="false">DN$4*DN44</f>
        <v>0</v>
      </c>
      <c r="DO149" s="199" t="n">
        <f aca="false">DO$4*DO44</f>
        <v>0</v>
      </c>
      <c r="DP149" s="199" t="n">
        <f aca="false">DP$4*DP44</f>
        <v>0</v>
      </c>
      <c r="DQ149" s="199" t="n">
        <f aca="false">DQ$4*DQ44</f>
        <v>0</v>
      </c>
      <c r="DR149" s="199" t="n">
        <f aca="false">DR$4*DR44</f>
        <v>0</v>
      </c>
      <c r="DS149" s="200" t="n">
        <f aca="false">DS$4*DS44</f>
        <v>0</v>
      </c>
      <c r="DT149" s="194" t="str">
        <f aca="false">DI149</f>
        <v>Alumno39</v>
      </c>
      <c r="DU149" s="198" t="n">
        <f aca="false">DU$4*DU44</f>
        <v>0</v>
      </c>
      <c r="DV149" s="199" t="n">
        <f aca="false">DV$4*DV44</f>
        <v>0</v>
      </c>
      <c r="DW149" s="199" t="n">
        <f aca="false">DW$4*DW44</f>
        <v>0</v>
      </c>
      <c r="DX149" s="199" t="n">
        <f aca="false">DX$4*DX44</f>
        <v>0</v>
      </c>
      <c r="DY149" s="199" t="n">
        <f aca="false">DY$4*DY44</f>
        <v>0</v>
      </c>
      <c r="DZ149" s="199" t="n">
        <f aca="false">DZ$4*DZ44</f>
        <v>0</v>
      </c>
      <c r="EA149" s="199" t="n">
        <f aca="false">EA$4*EA44</f>
        <v>0</v>
      </c>
      <c r="EB149" s="199" t="n">
        <f aca="false">EB$4*EB44</f>
        <v>0</v>
      </c>
      <c r="EC149" s="199" t="n">
        <f aca="false">EC$4*EC44</f>
        <v>0</v>
      </c>
      <c r="ED149" s="200" t="n">
        <f aca="false">ED$4*ED44</f>
        <v>0</v>
      </c>
      <c r="EE149" s="194" t="str">
        <f aca="false">DT149</f>
        <v>Alumno39</v>
      </c>
      <c r="EF149" s="198" t="n">
        <f aca="false">EF$4*EF44</f>
        <v>0</v>
      </c>
      <c r="EG149" s="199" t="n">
        <f aca="false">EG$4*EG44</f>
        <v>0</v>
      </c>
      <c r="EH149" s="199" t="n">
        <f aca="false">EH$4*EH44</f>
        <v>0</v>
      </c>
      <c r="EI149" s="199" t="n">
        <f aca="false">EI$4*EI44</f>
        <v>0</v>
      </c>
      <c r="EJ149" s="199" t="n">
        <f aca="false">EJ$4*EJ44</f>
        <v>0</v>
      </c>
      <c r="EK149" s="199" t="n">
        <f aca="false">EK$4*EK44</f>
        <v>0</v>
      </c>
      <c r="EL149" s="199" t="n">
        <f aca="false">EL$4*EL44</f>
        <v>0</v>
      </c>
      <c r="EM149" s="199" t="n">
        <f aca="false">EM$4*EM44</f>
        <v>0</v>
      </c>
      <c r="EN149" s="199" t="n">
        <f aca="false">EN$4*EN44</f>
        <v>0</v>
      </c>
      <c r="EO149" s="200" t="n">
        <f aca="false">EO$4*EO44</f>
        <v>0</v>
      </c>
      <c r="EP149" s="194" t="str">
        <f aca="false">EE149</f>
        <v>Alumno39</v>
      </c>
      <c r="EQ149" s="198" t="n">
        <f aca="false">EQ$4*EQ44</f>
        <v>0</v>
      </c>
      <c r="ER149" s="199" t="n">
        <f aca="false">ER$4*ER44</f>
        <v>0</v>
      </c>
      <c r="ES149" s="199" t="n">
        <f aca="false">ES$4*ES44</f>
        <v>0</v>
      </c>
      <c r="ET149" s="199" t="n">
        <f aca="false">ET$4*ET44</f>
        <v>0</v>
      </c>
      <c r="EU149" s="199" t="n">
        <f aca="false">EU$4*EU44</f>
        <v>0</v>
      </c>
      <c r="EV149" s="199" t="n">
        <f aca="false">EV$4*EV44</f>
        <v>0</v>
      </c>
      <c r="EW149" s="199" t="n">
        <f aca="false">EW$4*EW44</f>
        <v>0</v>
      </c>
      <c r="EX149" s="199" t="n">
        <f aca="false">EX$4*EX44</f>
        <v>0</v>
      </c>
      <c r="EY149" s="199" t="n">
        <f aca="false">EY$4*EY44</f>
        <v>0</v>
      </c>
      <c r="EZ149" s="200" t="n">
        <f aca="false">EZ$4*EZ44</f>
        <v>0</v>
      </c>
      <c r="FA149" s="194" t="str">
        <f aca="false">EP149</f>
        <v>Alumno39</v>
      </c>
      <c r="FB149" s="198" t="n">
        <f aca="false">FB$4*FB44</f>
        <v>0</v>
      </c>
      <c r="FC149" s="199" t="n">
        <f aca="false">FC$4*FC44</f>
        <v>0</v>
      </c>
      <c r="FD149" s="199" t="n">
        <f aca="false">FD$4*FD44</f>
        <v>0</v>
      </c>
      <c r="FE149" s="199" t="n">
        <f aca="false">FE$4*FE44</f>
        <v>0</v>
      </c>
      <c r="FF149" s="199" t="n">
        <f aca="false">FF$4*FF44</f>
        <v>0</v>
      </c>
      <c r="FG149" s="199" t="n">
        <f aca="false">FG$4*FG44</f>
        <v>0</v>
      </c>
      <c r="FH149" s="199" t="n">
        <f aca="false">FH$4*FH44</f>
        <v>0</v>
      </c>
      <c r="FI149" s="199" t="n">
        <f aca="false">FI$4*FI44</f>
        <v>0</v>
      </c>
      <c r="FJ149" s="199" t="n">
        <f aca="false">FJ$4*FJ44</f>
        <v>0</v>
      </c>
      <c r="FK149" s="200" t="n">
        <f aca="false">FK$4*FK44</f>
        <v>0</v>
      </c>
      <c r="FL149" s="194" t="str">
        <f aca="false">FA149</f>
        <v>Alumno39</v>
      </c>
      <c r="FM149" s="198" t="n">
        <f aca="false">FM$4*FM44</f>
        <v>0</v>
      </c>
      <c r="FN149" s="199" t="n">
        <f aca="false">FN$4*FN44</f>
        <v>0</v>
      </c>
      <c r="FO149" s="199" t="n">
        <f aca="false">FO$4*FO44</f>
        <v>0</v>
      </c>
      <c r="FP149" s="199" t="n">
        <f aca="false">FP$4*FP44</f>
        <v>0</v>
      </c>
      <c r="FQ149" s="199" t="n">
        <f aca="false">FQ$4*FQ44</f>
        <v>0</v>
      </c>
      <c r="FR149" s="199" t="n">
        <f aca="false">FR$4*FR44</f>
        <v>0</v>
      </c>
      <c r="FS149" s="199" t="n">
        <f aca="false">FS$4*FS44</f>
        <v>0</v>
      </c>
      <c r="FT149" s="199" t="n">
        <f aca="false">FT$4*FT44</f>
        <v>0</v>
      </c>
      <c r="FU149" s="199" t="n">
        <f aca="false">FU$4*FU44</f>
        <v>0</v>
      </c>
      <c r="FV149" s="200" t="n">
        <f aca="false">FV$4*FV44</f>
        <v>0</v>
      </c>
      <c r="FW149" s="194" t="str">
        <f aca="false">FL149</f>
        <v>Alumno39</v>
      </c>
      <c r="FX149" s="198" t="n">
        <f aca="false">FX$4*FX44</f>
        <v>0</v>
      </c>
      <c r="FY149" s="199" t="n">
        <f aca="false">FY$4*FY44</f>
        <v>0</v>
      </c>
      <c r="FZ149" s="199" t="n">
        <f aca="false">FZ$4*FZ44</f>
        <v>0</v>
      </c>
      <c r="GA149" s="199" t="n">
        <f aca="false">GA$4*GA44</f>
        <v>0</v>
      </c>
      <c r="GB149" s="199" t="n">
        <f aca="false">GB$4*GB44</f>
        <v>0</v>
      </c>
      <c r="GC149" s="199" t="n">
        <f aca="false">GC$4*GC44</f>
        <v>0</v>
      </c>
      <c r="GD149" s="199" t="n">
        <f aca="false">GD$4*GD44</f>
        <v>0</v>
      </c>
      <c r="GE149" s="199" t="n">
        <f aca="false">GE$4*GE44</f>
        <v>0</v>
      </c>
      <c r="GF149" s="199" t="n">
        <f aca="false">GF$4*GF44</f>
        <v>0</v>
      </c>
      <c r="GG149" s="200" t="n">
        <f aca="false">GG$4*GG44</f>
        <v>0</v>
      </c>
      <c r="GH149" s="194" t="str">
        <f aca="false">FW149</f>
        <v>Alumno39</v>
      </c>
      <c r="GI149" s="198" t="n">
        <f aca="false">GI$4*GI44</f>
        <v>0</v>
      </c>
      <c r="GJ149" s="199" t="n">
        <f aca="false">GJ$4*GJ44</f>
        <v>0</v>
      </c>
      <c r="GK149" s="199" t="n">
        <f aca="false">GK$4*GK44</f>
        <v>0</v>
      </c>
      <c r="GL149" s="199" t="n">
        <f aca="false">GL$4*GL44</f>
        <v>0</v>
      </c>
      <c r="GM149" s="199" t="n">
        <f aca="false">GM$4*GM44</f>
        <v>0</v>
      </c>
      <c r="GN149" s="199" t="n">
        <f aca="false">GN$4*GN44</f>
        <v>0</v>
      </c>
      <c r="GO149" s="199" t="n">
        <f aca="false">GO$4*GO44</f>
        <v>0</v>
      </c>
      <c r="GP149" s="199" t="n">
        <f aca="false">GP$4*GP44</f>
        <v>0</v>
      </c>
      <c r="GQ149" s="199" t="n">
        <f aca="false">GQ$4*GQ44</f>
        <v>0</v>
      </c>
      <c r="GR149" s="200" t="n">
        <f aca="false">GR$4*GR44</f>
        <v>0</v>
      </c>
      <c r="GS149" s="194" t="str">
        <f aca="false">GH149</f>
        <v>Alumno39</v>
      </c>
      <c r="GT149" s="198" t="n">
        <f aca="false">GT$4*GT44</f>
        <v>0</v>
      </c>
      <c r="GU149" s="199" t="n">
        <f aca="false">GU$4*GU44</f>
        <v>0</v>
      </c>
      <c r="GV149" s="199" t="n">
        <f aca="false">GV$4*GV44</f>
        <v>0</v>
      </c>
      <c r="GW149" s="199" t="n">
        <f aca="false">GW$4*GW44</f>
        <v>0</v>
      </c>
      <c r="GX149" s="199" t="n">
        <f aca="false">GX$4*GX44</f>
        <v>0</v>
      </c>
      <c r="GY149" s="199" t="n">
        <f aca="false">GY$4*GY44</f>
        <v>0</v>
      </c>
      <c r="GZ149" s="199" t="n">
        <f aca="false">GZ$4*GZ44</f>
        <v>0</v>
      </c>
      <c r="HA149" s="199" t="n">
        <f aca="false">HA$4*HA44</f>
        <v>0</v>
      </c>
      <c r="HB149" s="199" t="n">
        <f aca="false">HB$4*HB44</f>
        <v>0</v>
      </c>
      <c r="HC149" s="200" t="n">
        <f aca="false">HC$4*HC44</f>
        <v>0</v>
      </c>
      <c r="HD149" s="194" t="str">
        <f aca="false">GS149</f>
        <v>Alumno39</v>
      </c>
      <c r="HE149" s="198" t="n">
        <f aca="false">HE$4*HE44</f>
        <v>0</v>
      </c>
      <c r="HF149" s="199" t="n">
        <f aca="false">HF$4*HF44</f>
        <v>0</v>
      </c>
      <c r="HG149" s="199" t="n">
        <f aca="false">HG$4*HG44</f>
        <v>0</v>
      </c>
      <c r="HH149" s="199" t="n">
        <f aca="false">HH$4*HH44</f>
        <v>0</v>
      </c>
      <c r="HI149" s="199" t="n">
        <f aca="false">HI$4*HI44</f>
        <v>0</v>
      </c>
      <c r="HJ149" s="199" t="n">
        <f aca="false">HJ$4*HJ44</f>
        <v>0</v>
      </c>
      <c r="HK149" s="199" t="n">
        <f aca="false">HK$4*HK44</f>
        <v>0</v>
      </c>
      <c r="HL149" s="199" t="n">
        <f aca="false">HL$4*HL44</f>
        <v>0</v>
      </c>
      <c r="HM149" s="199" t="n">
        <f aca="false">HM$4*HM44</f>
        <v>0</v>
      </c>
      <c r="HN149" s="200" t="n">
        <f aca="false">HN$4*HN44</f>
        <v>0</v>
      </c>
      <c r="HO149" s="194" t="str">
        <f aca="false">HD149</f>
        <v>Alumno39</v>
      </c>
      <c r="HP149" s="198" t="n">
        <f aca="false">HP$4*HP44</f>
        <v>0</v>
      </c>
      <c r="HQ149" s="199" t="n">
        <f aca="false">HQ$4*HQ44</f>
        <v>0</v>
      </c>
      <c r="HR149" s="199" t="n">
        <f aca="false">HR$4*HR44</f>
        <v>0</v>
      </c>
      <c r="HS149" s="199" t="n">
        <f aca="false">HS$4*HS44</f>
        <v>0</v>
      </c>
      <c r="HT149" s="199" t="n">
        <f aca="false">HT$4*HT44</f>
        <v>0</v>
      </c>
      <c r="HU149" s="199" t="n">
        <f aca="false">HU$4*HU44</f>
        <v>0</v>
      </c>
      <c r="HV149" s="199" t="n">
        <f aca="false">HV$4*HV44</f>
        <v>0</v>
      </c>
      <c r="HW149" s="199" t="n">
        <f aca="false">HW$4*HW44</f>
        <v>0</v>
      </c>
      <c r="HX149" s="199" t="n">
        <f aca="false">HX$4*HX44</f>
        <v>0</v>
      </c>
      <c r="HY149" s="200" t="n">
        <f aca="false">HY$4*HY44</f>
        <v>0</v>
      </c>
      <c r="HZ149" s="194" t="str">
        <f aca="false">HO149</f>
        <v>Alumno39</v>
      </c>
      <c r="IA149" s="198" t="n">
        <f aca="false">IA$4*IA44</f>
        <v>0</v>
      </c>
      <c r="IB149" s="199" t="n">
        <f aca="false">IB$4*IB44</f>
        <v>0</v>
      </c>
      <c r="IC149" s="199" t="n">
        <f aca="false">IC$4*IC44</f>
        <v>0</v>
      </c>
      <c r="ID149" s="199" t="n">
        <f aca="false">ID$4*ID44</f>
        <v>0</v>
      </c>
      <c r="IE149" s="199" t="n">
        <f aca="false">IE$4*IE44</f>
        <v>0</v>
      </c>
      <c r="IF149" s="199" t="n">
        <f aca="false">IF$4*IF44</f>
        <v>0</v>
      </c>
      <c r="IG149" s="199" t="n">
        <f aca="false">IG$4*IG44</f>
        <v>0</v>
      </c>
      <c r="IH149" s="199" t="n">
        <f aca="false">IH$4*IH44</f>
        <v>0</v>
      </c>
      <c r="II149" s="199" t="n">
        <f aca="false">II$4*II44</f>
        <v>0</v>
      </c>
      <c r="IJ149" s="200" t="n">
        <f aca="false">IJ$4*IJ44</f>
        <v>0</v>
      </c>
      <c r="IK149" s="194" t="str">
        <f aca="false">HZ149</f>
        <v>Alumno39</v>
      </c>
      <c r="IL149" s="198" t="n">
        <f aca="false">IL$4*IL44</f>
        <v>0</v>
      </c>
      <c r="IM149" s="199" t="n">
        <f aca="false">IM$4*IM44</f>
        <v>0</v>
      </c>
      <c r="IN149" s="199" t="n">
        <f aca="false">IN$4*IN44</f>
        <v>0</v>
      </c>
      <c r="IO149" s="199" t="n">
        <f aca="false">IO$4*IO44</f>
        <v>0</v>
      </c>
      <c r="IP149" s="199" t="n">
        <f aca="false">IP$4*IP44</f>
        <v>0</v>
      </c>
      <c r="IQ149" s="199" t="n">
        <f aca="false">IQ$4*IQ44</f>
        <v>0</v>
      </c>
      <c r="IR149" s="199" t="n">
        <f aca="false">IR$4*IR44</f>
        <v>0</v>
      </c>
      <c r="IS149" s="199" t="n">
        <f aca="false">IS$4*IS44</f>
        <v>0</v>
      </c>
      <c r="IT149" s="199" t="n">
        <f aca="false">IT$4*IT44</f>
        <v>0</v>
      </c>
      <c r="IU149" s="200" t="n">
        <f aca="false">IU$4*IU44</f>
        <v>0</v>
      </c>
      <c r="IV149" s="194" t="str">
        <f aca="false">IK149</f>
        <v>Alumno39</v>
      </c>
      <c r="IW149" s="198" t="n">
        <f aca="false">IW$4*IW44</f>
        <v>0</v>
      </c>
      <c r="IX149" s="199" t="n">
        <f aca="false">IX$4*IX44</f>
        <v>0</v>
      </c>
      <c r="IY149" s="199" t="n">
        <f aca="false">IY$4*IY44</f>
        <v>0</v>
      </c>
      <c r="IZ149" s="199" t="n">
        <f aca="false">IZ$4*IZ44</f>
        <v>0</v>
      </c>
      <c r="JA149" s="199" t="n">
        <f aca="false">JA$4*JA44</f>
        <v>0</v>
      </c>
      <c r="JB149" s="199" t="n">
        <f aca="false">JB$4*JB44</f>
        <v>0</v>
      </c>
      <c r="JC149" s="199" t="n">
        <f aca="false">JC$4*JC44</f>
        <v>0</v>
      </c>
      <c r="JD149" s="199" t="n">
        <f aca="false">JD$4*JD44</f>
        <v>0</v>
      </c>
      <c r="JE149" s="199" t="n">
        <f aca="false">JE$4*JE44</f>
        <v>0</v>
      </c>
      <c r="JF149" s="200" t="n">
        <f aca="false">JF$4*JF44</f>
        <v>0</v>
      </c>
      <c r="JG149" s="194" t="str">
        <f aca="false">IV149</f>
        <v>Alumno39</v>
      </c>
      <c r="JH149" s="198" t="n">
        <f aca="false">JH$4*JH44</f>
        <v>0</v>
      </c>
      <c r="JI149" s="199" t="n">
        <f aca="false">JI$4*JI44</f>
        <v>0</v>
      </c>
      <c r="JJ149" s="199" t="n">
        <f aca="false">JJ$4*JJ44</f>
        <v>0</v>
      </c>
      <c r="JK149" s="199" t="n">
        <f aca="false">JK$4*JK44</f>
        <v>0</v>
      </c>
      <c r="JL149" s="199" t="n">
        <f aca="false">JL$4*JL44</f>
        <v>0</v>
      </c>
      <c r="JM149" s="199" t="n">
        <f aca="false">JM$4*JM44</f>
        <v>0</v>
      </c>
      <c r="JN149" s="199" t="n">
        <f aca="false">JN$4*JN44</f>
        <v>0</v>
      </c>
      <c r="JO149" s="199" t="n">
        <f aca="false">JO$4*JO44</f>
        <v>0</v>
      </c>
      <c r="JP149" s="199" t="n">
        <f aca="false">JP$4*JP44</f>
        <v>0</v>
      </c>
      <c r="JQ149" s="200" t="n">
        <f aca="false">JQ$4*JQ44</f>
        <v>0</v>
      </c>
      <c r="JR149" s="194" t="str">
        <f aca="false">JG149</f>
        <v>Alumno39</v>
      </c>
      <c r="JS149" s="198" t="n">
        <f aca="false">JS$4*JS44</f>
        <v>0</v>
      </c>
      <c r="JT149" s="199" t="n">
        <f aca="false">JT$4*JT44</f>
        <v>0</v>
      </c>
      <c r="JU149" s="199" t="n">
        <f aca="false">JU$4*JU44</f>
        <v>0</v>
      </c>
      <c r="JV149" s="199" t="n">
        <f aca="false">JV$4*JV44</f>
        <v>0</v>
      </c>
      <c r="JW149" s="199" t="n">
        <f aca="false">JW$4*JW44</f>
        <v>0</v>
      </c>
      <c r="JX149" s="199" t="n">
        <f aca="false">JX$4*JX44</f>
        <v>0</v>
      </c>
      <c r="JY149" s="199" t="n">
        <f aca="false">JY$4*JY44</f>
        <v>0</v>
      </c>
      <c r="JZ149" s="199" t="n">
        <f aca="false">JZ$4*JZ44</f>
        <v>0</v>
      </c>
      <c r="KA149" s="199" t="n">
        <f aca="false">KA$4*KA44</f>
        <v>0</v>
      </c>
      <c r="KB149" s="200" t="n">
        <f aca="false">KB$4*KB44</f>
        <v>0</v>
      </c>
      <c r="KC149" s="194" t="str">
        <f aca="false">JR149</f>
        <v>Alumno39</v>
      </c>
      <c r="KD149" s="198" t="n">
        <f aca="false">KD$4*KD44</f>
        <v>0</v>
      </c>
      <c r="KE149" s="199" t="n">
        <f aca="false">KE$4*KE44</f>
        <v>0</v>
      </c>
      <c r="KF149" s="199" t="n">
        <f aca="false">KF$4*KF44</f>
        <v>0</v>
      </c>
      <c r="KG149" s="199" t="n">
        <f aca="false">KG$4*KG44</f>
        <v>0</v>
      </c>
      <c r="KH149" s="199" t="n">
        <f aca="false">KH$4*KH44</f>
        <v>0</v>
      </c>
      <c r="KI149" s="199" t="n">
        <f aca="false">KI$4*KI44</f>
        <v>0</v>
      </c>
      <c r="KJ149" s="199" t="n">
        <f aca="false">KJ$4*KJ44</f>
        <v>0</v>
      </c>
      <c r="KK149" s="199" t="n">
        <f aca="false">KK$4*KK44</f>
        <v>0</v>
      </c>
      <c r="KL149" s="199" t="n">
        <f aca="false">KL$4*KL44</f>
        <v>0</v>
      </c>
      <c r="KM149" s="200" t="n">
        <f aca="false">KM$4*KM44</f>
        <v>0</v>
      </c>
      <c r="KN149" s="194" t="str">
        <f aca="false">KC149</f>
        <v>Alumno39</v>
      </c>
      <c r="KO149" s="198" t="n">
        <f aca="false">KO$4*KO44</f>
        <v>0</v>
      </c>
      <c r="KP149" s="199" t="n">
        <f aca="false">KP$4*KP44</f>
        <v>0</v>
      </c>
      <c r="KQ149" s="199" t="n">
        <f aca="false">KQ$4*KQ44</f>
        <v>0</v>
      </c>
      <c r="KR149" s="199" t="n">
        <f aca="false">KR$4*KR44</f>
        <v>0</v>
      </c>
      <c r="KS149" s="199" t="n">
        <f aca="false">KS$4*KS44</f>
        <v>0</v>
      </c>
      <c r="KT149" s="199" t="n">
        <f aca="false">KT$4*KT44</f>
        <v>0</v>
      </c>
      <c r="KU149" s="199" t="n">
        <f aca="false">KU$4*KU44</f>
        <v>0</v>
      </c>
      <c r="KV149" s="199" t="n">
        <f aca="false">KV$4*KV44</f>
        <v>0</v>
      </c>
      <c r="KW149" s="199" t="n">
        <f aca="false">KW$4*KW44</f>
        <v>0</v>
      </c>
      <c r="KX149" s="200" t="n">
        <f aca="false">KX$4*KX44</f>
        <v>0</v>
      </c>
      <c r="KY149" s="194" t="str">
        <f aca="false">KN149</f>
        <v>Alumno39</v>
      </c>
      <c r="KZ149" s="198" t="n">
        <f aca="false">KZ$4*KZ44</f>
        <v>0</v>
      </c>
      <c r="LA149" s="199" t="n">
        <f aca="false">LA$4*LA44</f>
        <v>0</v>
      </c>
      <c r="LB149" s="199" t="n">
        <f aca="false">LB$4*LB44</f>
        <v>0</v>
      </c>
      <c r="LC149" s="199" t="n">
        <f aca="false">LC$4*LC44</f>
        <v>0</v>
      </c>
      <c r="LD149" s="199" t="n">
        <f aca="false">LD$4*LD44</f>
        <v>0</v>
      </c>
      <c r="LE149" s="199" t="n">
        <f aca="false">LE$4*LE44</f>
        <v>0</v>
      </c>
      <c r="LF149" s="199" t="n">
        <f aca="false">LF$4*LF44</f>
        <v>0</v>
      </c>
      <c r="LG149" s="199" t="n">
        <f aca="false">LG$4*LG44</f>
        <v>0</v>
      </c>
      <c r="LH149" s="199" t="n">
        <f aca="false">LH$4*LH44</f>
        <v>0</v>
      </c>
      <c r="LI149" s="200" t="n">
        <f aca="false">LI$4*LI44</f>
        <v>0</v>
      </c>
      <c r="LJ149" s="194" t="str">
        <f aca="false">KY149</f>
        <v>Alumno39</v>
      </c>
      <c r="LK149" s="198" t="n">
        <f aca="false">LK$4*LK44</f>
        <v>0</v>
      </c>
      <c r="LL149" s="199" t="n">
        <f aca="false">LL$4*LL44</f>
        <v>0</v>
      </c>
      <c r="LM149" s="199" t="n">
        <f aca="false">LM$4*LM44</f>
        <v>0</v>
      </c>
      <c r="LN149" s="199" t="n">
        <f aca="false">LN$4*LN44</f>
        <v>0</v>
      </c>
      <c r="LO149" s="199" t="n">
        <f aca="false">LO$4*LO44</f>
        <v>0</v>
      </c>
      <c r="LP149" s="199" t="n">
        <f aca="false">LP$4*LP44</f>
        <v>0</v>
      </c>
      <c r="LQ149" s="199" t="n">
        <f aca="false">LQ$4*LQ44</f>
        <v>0</v>
      </c>
      <c r="LR149" s="199" t="n">
        <f aca="false">LR$4*LR44</f>
        <v>0</v>
      </c>
      <c r="LS149" s="199" t="n">
        <f aca="false">LS$4*LS44</f>
        <v>0</v>
      </c>
      <c r="LT149" s="200" t="n">
        <f aca="false">LT$4*LT44</f>
        <v>0</v>
      </c>
    </row>
    <row r="150" customFormat="false" ht="15" hidden="true" customHeight="false" outlineLevel="0" collapsed="false">
      <c r="C150" s="194" t="str">
        <f aca="false">C101</f>
        <v>Alumno40</v>
      </c>
      <c r="D150" s="198" t="n">
        <f aca="false">D$4*D45</f>
        <v>0</v>
      </c>
      <c r="E150" s="199" t="n">
        <f aca="false">E$4*E45</f>
        <v>0</v>
      </c>
      <c r="F150" s="199" t="n">
        <f aca="false">F$4*F45</f>
        <v>0</v>
      </c>
      <c r="G150" s="199" t="n">
        <f aca="false">G$4*G45</f>
        <v>0</v>
      </c>
      <c r="H150" s="199" t="n">
        <f aca="false">H$4*H45</f>
        <v>0</v>
      </c>
      <c r="I150" s="199" t="n">
        <f aca="false">I$4*I45</f>
        <v>0</v>
      </c>
      <c r="J150" s="199" t="n">
        <f aca="false">J$4*J45</f>
        <v>0</v>
      </c>
      <c r="K150" s="199" t="n">
        <f aca="false">K$4*K45</f>
        <v>0</v>
      </c>
      <c r="L150" s="199" t="n">
        <f aca="false">L$4*L45</f>
        <v>0</v>
      </c>
      <c r="M150" s="200" t="n">
        <f aca="false">M$4*M45</f>
        <v>0</v>
      </c>
      <c r="N150" s="194" t="str">
        <f aca="false">C150</f>
        <v>Alumno40</v>
      </c>
      <c r="O150" s="198" t="n">
        <f aca="false">O$4*O45</f>
        <v>0</v>
      </c>
      <c r="P150" s="199" t="n">
        <f aca="false">P$4*P45</f>
        <v>0</v>
      </c>
      <c r="Q150" s="199" t="n">
        <f aca="false">Q$4*Q45</f>
        <v>0</v>
      </c>
      <c r="R150" s="199" t="n">
        <f aca="false">R$4*R45</f>
        <v>0</v>
      </c>
      <c r="S150" s="199" t="n">
        <f aca="false">S$4*S45</f>
        <v>0</v>
      </c>
      <c r="T150" s="199" t="n">
        <f aca="false">T$4*T45</f>
        <v>0</v>
      </c>
      <c r="U150" s="199" t="n">
        <f aca="false">U$4*U45</f>
        <v>0</v>
      </c>
      <c r="V150" s="199" t="n">
        <f aca="false">V$4*V45</f>
        <v>0</v>
      </c>
      <c r="W150" s="199" t="n">
        <f aca="false">W$4*W45</f>
        <v>0</v>
      </c>
      <c r="X150" s="200" t="n">
        <f aca="false">X$4*X45</f>
        <v>0</v>
      </c>
      <c r="Y150" s="194" t="str">
        <f aca="false">N150</f>
        <v>Alumno40</v>
      </c>
      <c r="Z150" s="198" t="n">
        <f aca="false">Z$4*Z45</f>
        <v>0</v>
      </c>
      <c r="AA150" s="199" t="n">
        <f aca="false">AA$4*AA45</f>
        <v>0</v>
      </c>
      <c r="AB150" s="199" t="n">
        <f aca="false">AB$4*AB45</f>
        <v>0</v>
      </c>
      <c r="AC150" s="199" t="n">
        <f aca="false">AC$4*AC45</f>
        <v>0</v>
      </c>
      <c r="AD150" s="199" t="n">
        <f aca="false">AD$4*AD45</f>
        <v>0</v>
      </c>
      <c r="AE150" s="199" t="n">
        <f aca="false">AE$4*AE45</f>
        <v>0</v>
      </c>
      <c r="AF150" s="199" t="n">
        <f aca="false">AF$4*AF45</f>
        <v>0</v>
      </c>
      <c r="AG150" s="199" t="n">
        <f aca="false">AG$4*AG45</f>
        <v>0</v>
      </c>
      <c r="AH150" s="199" t="n">
        <f aca="false">AH$4*AH45</f>
        <v>0</v>
      </c>
      <c r="AI150" s="200" t="n">
        <f aca="false">AI$4*AI45</f>
        <v>0</v>
      </c>
      <c r="AJ150" s="194" t="str">
        <f aca="false">Y150</f>
        <v>Alumno40</v>
      </c>
      <c r="AK150" s="198" t="n">
        <f aca="false">AK$4*AK45</f>
        <v>0</v>
      </c>
      <c r="AL150" s="199" t="n">
        <f aca="false">AL$4*AL45</f>
        <v>0</v>
      </c>
      <c r="AM150" s="199" t="n">
        <f aca="false">AM$4*AM45</f>
        <v>0</v>
      </c>
      <c r="AN150" s="199" t="n">
        <f aca="false">AN$4*AN45</f>
        <v>0</v>
      </c>
      <c r="AO150" s="199" t="n">
        <f aca="false">AO$4*AO45</f>
        <v>0</v>
      </c>
      <c r="AP150" s="199" t="n">
        <f aca="false">AP$4*AP45</f>
        <v>0</v>
      </c>
      <c r="AQ150" s="199" t="n">
        <f aca="false">AQ$4*AQ45</f>
        <v>0</v>
      </c>
      <c r="AR150" s="199" t="n">
        <f aca="false">AR$4*AR45</f>
        <v>0</v>
      </c>
      <c r="AS150" s="199" t="n">
        <f aca="false">AS$4*AS45</f>
        <v>0</v>
      </c>
      <c r="AT150" s="200" t="n">
        <f aca="false">AT$4*AT45</f>
        <v>0</v>
      </c>
      <c r="AU150" s="194" t="str">
        <f aca="false">AJ150</f>
        <v>Alumno40</v>
      </c>
      <c r="AV150" s="198" t="n">
        <f aca="false">AV$4*AV45</f>
        <v>0</v>
      </c>
      <c r="AW150" s="199" t="n">
        <f aca="false">AW$4*AW45</f>
        <v>0</v>
      </c>
      <c r="AX150" s="199" t="n">
        <f aca="false">AX$4*AX45</f>
        <v>0</v>
      </c>
      <c r="AY150" s="199" t="n">
        <f aca="false">AY$4*AY45</f>
        <v>0</v>
      </c>
      <c r="AZ150" s="199" t="n">
        <f aca="false">AZ$4*AZ45</f>
        <v>0</v>
      </c>
      <c r="BA150" s="199" t="n">
        <f aca="false">BA$4*BA45</f>
        <v>0</v>
      </c>
      <c r="BB150" s="199" t="n">
        <f aca="false">BB$4*BB45</f>
        <v>0</v>
      </c>
      <c r="BC150" s="199" t="n">
        <f aca="false">BC$4*BC45</f>
        <v>0</v>
      </c>
      <c r="BD150" s="199" t="n">
        <f aca="false">BD$4*BD45</f>
        <v>0</v>
      </c>
      <c r="BE150" s="200" t="n">
        <f aca="false">BE$4*BE45</f>
        <v>0</v>
      </c>
      <c r="BF150" s="194" t="str">
        <f aca="false">AU150</f>
        <v>Alumno40</v>
      </c>
      <c r="BG150" s="198" t="n">
        <f aca="false">BG$4*BG45</f>
        <v>0</v>
      </c>
      <c r="BH150" s="199" t="n">
        <f aca="false">BH$4*BH45</f>
        <v>0</v>
      </c>
      <c r="BI150" s="199" t="n">
        <f aca="false">BI$4*BI45</f>
        <v>0</v>
      </c>
      <c r="BJ150" s="199" t="n">
        <f aca="false">BJ$4*BJ45</f>
        <v>0</v>
      </c>
      <c r="BK150" s="199" t="n">
        <f aca="false">BK$4*BK45</f>
        <v>0</v>
      </c>
      <c r="BL150" s="199" t="n">
        <f aca="false">BL$4*BL45</f>
        <v>0</v>
      </c>
      <c r="BM150" s="199" t="n">
        <f aca="false">BM$4*BM45</f>
        <v>0</v>
      </c>
      <c r="BN150" s="199" t="n">
        <f aca="false">BN$4*BN45</f>
        <v>0</v>
      </c>
      <c r="BO150" s="199" t="n">
        <f aca="false">BO$4*BO45</f>
        <v>0</v>
      </c>
      <c r="BP150" s="200" t="n">
        <f aca="false">BP$4*BP45</f>
        <v>0</v>
      </c>
      <c r="BQ150" s="194" t="str">
        <f aca="false">BF150</f>
        <v>Alumno40</v>
      </c>
      <c r="BR150" s="198" t="n">
        <f aca="false">BR$4*BR45</f>
        <v>0</v>
      </c>
      <c r="BS150" s="199" t="n">
        <f aca="false">BS$4*BS45</f>
        <v>0</v>
      </c>
      <c r="BT150" s="199" t="n">
        <f aca="false">BT$4*BT45</f>
        <v>0</v>
      </c>
      <c r="BU150" s="199" t="n">
        <f aca="false">BU$4*BU45</f>
        <v>0</v>
      </c>
      <c r="BV150" s="199" t="n">
        <f aca="false">BV$4*BV45</f>
        <v>0</v>
      </c>
      <c r="BW150" s="199" t="n">
        <f aca="false">BW$4*BW45</f>
        <v>0</v>
      </c>
      <c r="BX150" s="199" t="n">
        <f aca="false">BX$4*BX45</f>
        <v>0</v>
      </c>
      <c r="BY150" s="199" t="n">
        <f aca="false">BY$4*BY45</f>
        <v>0</v>
      </c>
      <c r="BZ150" s="199" t="n">
        <f aca="false">BZ$4*BZ45</f>
        <v>0</v>
      </c>
      <c r="CA150" s="200" t="n">
        <f aca="false">CA$4*CA45</f>
        <v>0</v>
      </c>
      <c r="CB150" s="194" t="str">
        <f aca="false">BQ150</f>
        <v>Alumno40</v>
      </c>
      <c r="CC150" s="198" t="n">
        <f aca="false">CC$4*CC45</f>
        <v>0</v>
      </c>
      <c r="CD150" s="199" t="n">
        <f aca="false">CD$4*CD45</f>
        <v>0</v>
      </c>
      <c r="CE150" s="199" t="n">
        <f aca="false">CE$4*CE45</f>
        <v>0</v>
      </c>
      <c r="CF150" s="199" t="n">
        <f aca="false">CF$4*CF45</f>
        <v>0</v>
      </c>
      <c r="CG150" s="199" t="n">
        <f aca="false">CG$4*CG45</f>
        <v>0</v>
      </c>
      <c r="CH150" s="199" t="n">
        <f aca="false">CH$4*CH45</f>
        <v>0</v>
      </c>
      <c r="CI150" s="199" t="n">
        <f aca="false">CI$4*CI45</f>
        <v>0</v>
      </c>
      <c r="CJ150" s="199" t="n">
        <f aca="false">CJ$4*CJ45</f>
        <v>0</v>
      </c>
      <c r="CK150" s="199" t="n">
        <f aca="false">CK$4*CK45</f>
        <v>0</v>
      </c>
      <c r="CL150" s="200" t="n">
        <f aca="false">CL$4*CL45</f>
        <v>0</v>
      </c>
      <c r="CM150" s="194" t="str">
        <f aca="false">CB150</f>
        <v>Alumno40</v>
      </c>
      <c r="CN150" s="198" t="n">
        <f aca="false">CN$4*CN45</f>
        <v>0</v>
      </c>
      <c r="CO150" s="199" t="n">
        <f aca="false">CO$4*CO45</f>
        <v>0</v>
      </c>
      <c r="CP150" s="199" t="n">
        <f aca="false">CP$4*CP45</f>
        <v>0</v>
      </c>
      <c r="CQ150" s="199" t="n">
        <f aca="false">CQ$4*CQ45</f>
        <v>0</v>
      </c>
      <c r="CR150" s="199" t="n">
        <f aca="false">CR$4*CR45</f>
        <v>0</v>
      </c>
      <c r="CS150" s="199" t="n">
        <f aca="false">CS$4*CS45</f>
        <v>0</v>
      </c>
      <c r="CT150" s="199" t="n">
        <f aca="false">CT$4*CT45</f>
        <v>0</v>
      </c>
      <c r="CU150" s="199" t="n">
        <f aca="false">CU$4*CU45</f>
        <v>0</v>
      </c>
      <c r="CV150" s="199" t="n">
        <f aca="false">CV$4*CV45</f>
        <v>0</v>
      </c>
      <c r="CW150" s="200" t="n">
        <f aca="false">CW$4*CW45</f>
        <v>0</v>
      </c>
      <c r="CX150" s="194" t="str">
        <f aca="false">CM150</f>
        <v>Alumno40</v>
      </c>
      <c r="CY150" s="198" t="n">
        <f aca="false">CY$4*CY45</f>
        <v>0</v>
      </c>
      <c r="CZ150" s="199" t="n">
        <f aca="false">CZ$4*CZ45</f>
        <v>0</v>
      </c>
      <c r="DA150" s="199" t="n">
        <f aca="false">DA$4*DA45</f>
        <v>0</v>
      </c>
      <c r="DB150" s="199" t="n">
        <f aca="false">DB$4*DB45</f>
        <v>0</v>
      </c>
      <c r="DC150" s="199" t="n">
        <f aca="false">DC$4*DC45</f>
        <v>0</v>
      </c>
      <c r="DD150" s="199" t="n">
        <f aca="false">DD$4*DD45</f>
        <v>0</v>
      </c>
      <c r="DE150" s="199" t="n">
        <f aca="false">DE$4*DE45</f>
        <v>0</v>
      </c>
      <c r="DF150" s="199" t="n">
        <f aca="false">DF$4*DF45</f>
        <v>0</v>
      </c>
      <c r="DG150" s="199" t="n">
        <f aca="false">DG$4*DG45</f>
        <v>0</v>
      </c>
      <c r="DH150" s="200" t="n">
        <f aca="false">DH$4*DH45</f>
        <v>0</v>
      </c>
      <c r="DI150" s="194" t="str">
        <f aca="false">CX150</f>
        <v>Alumno40</v>
      </c>
      <c r="DJ150" s="198" t="n">
        <f aca="false">DJ$4*DJ45</f>
        <v>0</v>
      </c>
      <c r="DK150" s="199" t="n">
        <f aca="false">DK$4*DK45</f>
        <v>0</v>
      </c>
      <c r="DL150" s="199" t="n">
        <f aca="false">DL$4*DL45</f>
        <v>0</v>
      </c>
      <c r="DM150" s="199" t="n">
        <f aca="false">DM$4*DM45</f>
        <v>0</v>
      </c>
      <c r="DN150" s="199" t="n">
        <f aca="false">DN$4*DN45</f>
        <v>0</v>
      </c>
      <c r="DO150" s="199" t="n">
        <f aca="false">DO$4*DO45</f>
        <v>0</v>
      </c>
      <c r="DP150" s="199" t="n">
        <f aca="false">DP$4*DP45</f>
        <v>0</v>
      </c>
      <c r="DQ150" s="199" t="n">
        <f aca="false">DQ$4*DQ45</f>
        <v>0</v>
      </c>
      <c r="DR150" s="199" t="n">
        <f aca="false">DR$4*DR45</f>
        <v>0</v>
      </c>
      <c r="DS150" s="200" t="n">
        <f aca="false">DS$4*DS45</f>
        <v>0</v>
      </c>
      <c r="DT150" s="194" t="str">
        <f aca="false">DI150</f>
        <v>Alumno40</v>
      </c>
      <c r="DU150" s="198" t="n">
        <f aca="false">DU$4*DU45</f>
        <v>0</v>
      </c>
      <c r="DV150" s="199" t="n">
        <f aca="false">DV$4*DV45</f>
        <v>0</v>
      </c>
      <c r="DW150" s="199" t="n">
        <f aca="false">DW$4*DW45</f>
        <v>0</v>
      </c>
      <c r="DX150" s="199" t="n">
        <f aca="false">DX$4*DX45</f>
        <v>0</v>
      </c>
      <c r="DY150" s="199" t="n">
        <f aca="false">DY$4*DY45</f>
        <v>0</v>
      </c>
      <c r="DZ150" s="199" t="n">
        <f aca="false">DZ$4*DZ45</f>
        <v>0</v>
      </c>
      <c r="EA150" s="199" t="n">
        <f aca="false">EA$4*EA45</f>
        <v>0</v>
      </c>
      <c r="EB150" s="199" t="n">
        <f aca="false">EB$4*EB45</f>
        <v>0</v>
      </c>
      <c r="EC150" s="199" t="n">
        <f aca="false">EC$4*EC45</f>
        <v>0</v>
      </c>
      <c r="ED150" s="200" t="n">
        <f aca="false">ED$4*ED45</f>
        <v>0</v>
      </c>
      <c r="EE150" s="194" t="str">
        <f aca="false">DT150</f>
        <v>Alumno40</v>
      </c>
      <c r="EF150" s="198" t="n">
        <f aca="false">EF$4*EF45</f>
        <v>0</v>
      </c>
      <c r="EG150" s="199" t="n">
        <f aca="false">EG$4*EG45</f>
        <v>0</v>
      </c>
      <c r="EH150" s="199" t="n">
        <f aca="false">EH$4*EH45</f>
        <v>0</v>
      </c>
      <c r="EI150" s="199" t="n">
        <f aca="false">EI$4*EI45</f>
        <v>0</v>
      </c>
      <c r="EJ150" s="199" t="n">
        <f aca="false">EJ$4*EJ45</f>
        <v>0</v>
      </c>
      <c r="EK150" s="199" t="n">
        <f aca="false">EK$4*EK45</f>
        <v>0</v>
      </c>
      <c r="EL150" s="199" t="n">
        <f aca="false">EL$4*EL45</f>
        <v>0</v>
      </c>
      <c r="EM150" s="199" t="n">
        <f aca="false">EM$4*EM45</f>
        <v>0</v>
      </c>
      <c r="EN150" s="199" t="n">
        <f aca="false">EN$4*EN45</f>
        <v>0</v>
      </c>
      <c r="EO150" s="200" t="n">
        <f aca="false">EO$4*EO45</f>
        <v>0</v>
      </c>
      <c r="EP150" s="194" t="str">
        <f aca="false">EE150</f>
        <v>Alumno40</v>
      </c>
      <c r="EQ150" s="198" t="n">
        <f aca="false">EQ$4*EQ45</f>
        <v>0</v>
      </c>
      <c r="ER150" s="199" t="n">
        <f aca="false">ER$4*ER45</f>
        <v>0</v>
      </c>
      <c r="ES150" s="199" t="n">
        <f aca="false">ES$4*ES45</f>
        <v>0</v>
      </c>
      <c r="ET150" s="199" t="n">
        <f aca="false">ET$4*ET45</f>
        <v>0</v>
      </c>
      <c r="EU150" s="199" t="n">
        <f aca="false">EU$4*EU45</f>
        <v>0</v>
      </c>
      <c r="EV150" s="199" t="n">
        <f aca="false">EV$4*EV45</f>
        <v>0</v>
      </c>
      <c r="EW150" s="199" t="n">
        <f aca="false">EW$4*EW45</f>
        <v>0</v>
      </c>
      <c r="EX150" s="199" t="n">
        <f aca="false">EX$4*EX45</f>
        <v>0</v>
      </c>
      <c r="EY150" s="199" t="n">
        <f aca="false">EY$4*EY45</f>
        <v>0</v>
      </c>
      <c r="EZ150" s="200" t="n">
        <f aca="false">EZ$4*EZ45</f>
        <v>0</v>
      </c>
      <c r="FA150" s="194" t="str">
        <f aca="false">EP150</f>
        <v>Alumno40</v>
      </c>
      <c r="FB150" s="198" t="n">
        <f aca="false">FB$4*FB45</f>
        <v>0</v>
      </c>
      <c r="FC150" s="199" t="n">
        <f aca="false">FC$4*FC45</f>
        <v>0</v>
      </c>
      <c r="FD150" s="199" t="n">
        <f aca="false">FD$4*FD45</f>
        <v>0</v>
      </c>
      <c r="FE150" s="199" t="n">
        <f aca="false">FE$4*FE45</f>
        <v>0</v>
      </c>
      <c r="FF150" s="199" t="n">
        <f aca="false">FF$4*FF45</f>
        <v>0</v>
      </c>
      <c r="FG150" s="199" t="n">
        <f aca="false">FG$4*FG45</f>
        <v>0</v>
      </c>
      <c r="FH150" s="199" t="n">
        <f aca="false">FH$4*FH45</f>
        <v>0</v>
      </c>
      <c r="FI150" s="199" t="n">
        <f aca="false">FI$4*FI45</f>
        <v>0</v>
      </c>
      <c r="FJ150" s="199" t="n">
        <f aca="false">FJ$4*FJ45</f>
        <v>0</v>
      </c>
      <c r="FK150" s="200" t="n">
        <f aca="false">FK$4*FK45</f>
        <v>0</v>
      </c>
      <c r="FL150" s="194" t="str">
        <f aca="false">FA150</f>
        <v>Alumno40</v>
      </c>
      <c r="FM150" s="198" t="n">
        <f aca="false">FM$4*FM45</f>
        <v>0</v>
      </c>
      <c r="FN150" s="199" t="n">
        <f aca="false">FN$4*FN45</f>
        <v>0</v>
      </c>
      <c r="FO150" s="199" t="n">
        <f aca="false">FO$4*FO45</f>
        <v>0</v>
      </c>
      <c r="FP150" s="199" t="n">
        <f aca="false">FP$4*FP45</f>
        <v>0</v>
      </c>
      <c r="FQ150" s="199" t="n">
        <f aca="false">FQ$4*FQ45</f>
        <v>0</v>
      </c>
      <c r="FR150" s="199" t="n">
        <f aca="false">FR$4*FR45</f>
        <v>0</v>
      </c>
      <c r="FS150" s="199" t="n">
        <f aca="false">FS$4*FS45</f>
        <v>0</v>
      </c>
      <c r="FT150" s="199" t="n">
        <f aca="false">FT$4*FT45</f>
        <v>0</v>
      </c>
      <c r="FU150" s="199" t="n">
        <f aca="false">FU$4*FU45</f>
        <v>0</v>
      </c>
      <c r="FV150" s="200" t="n">
        <f aca="false">FV$4*FV45</f>
        <v>0</v>
      </c>
      <c r="FW150" s="194" t="str">
        <f aca="false">FL150</f>
        <v>Alumno40</v>
      </c>
      <c r="FX150" s="198" t="n">
        <f aca="false">FX$4*FX45</f>
        <v>0</v>
      </c>
      <c r="FY150" s="199" t="n">
        <f aca="false">FY$4*FY45</f>
        <v>0</v>
      </c>
      <c r="FZ150" s="199" t="n">
        <f aca="false">FZ$4*FZ45</f>
        <v>0</v>
      </c>
      <c r="GA150" s="199" t="n">
        <f aca="false">GA$4*GA45</f>
        <v>0</v>
      </c>
      <c r="GB150" s="199" t="n">
        <f aca="false">GB$4*GB45</f>
        <v>0</v>
      </c>
      <c r="GC150" s="199" t="n">
        <f aca="false">GC$4*GC45</f>
        <v>0</v>
      </c>
      <c r="GD150" s="199" t="n">
        <f aca="false">GD$4*GD45</f>
        <v>0</v>
      </c>
      <c r="GE150" s="199" t="n">
        <f aca="false">GE$4*GE45</f>
        <v>0</v>
      </c>
      <c r="GF150" s="199" t="n">
        <f aca="false">GF$4*GF45</f>
        <v>0</v>
      </c>
      <c r="GG150" s="200" t="n">
        <f aca="false">GG$4*GG45</f>
        <v>0</v>
      </c>
      <c r="GH150" s="194" t="str">
        <f aca="false">FW150</f>
        <v>Alumno40</v>
      </c>
      <c r="GI150" s="198" t="n">
        <f aca="false">GI$4*GI45</f>
        <v>0</v>
      </c>
      <c r="GJ150" s="199" t="n">
        <f aca="false">GJ$4*GJ45</f>
        <v>0</v>
      </c>
      <c r="GK150" s="199" t="n">
        <f aca="false">GK$4*GK45</f>
        <v>0</v>
      </c>
      <c r="GL150" s="199" t="n">
        <f aca="false">GL$4*GL45</f>
        <v>0</v>
      </c>
      <c r="GM150" s="199" t="n">
        <f aca="false">GM$4*GM45</f>
        <v>0</v>
      </c>
      <c r="GN150" s="199" t="n">
        <f aca="false">GN$4*GN45</f>
        <v>0</v>
      </c>
      <c r="GO150" s="199" t="n">
        <f aca="false">GO$4*GO45</f>
        <v>0</v>
      </c>
      <c r="GP150" s="199" t="n">
        <f aca="false">GP$4*GP45</f>
        <v>0</v>
      </c>
      <c r="GQ150" s="199" t="n">
        <f aca="false">GQ$4*GQ45</f>
        <v>0</v>
      </c>
      <c r="GR150" s="200" t="n">
        <f aca="false">GR$4*GR45</f>
        <v>0</v>
      </c>
      <c r="GS150" s="194" t="str">
        <f aca="false">GH150</f>
        <v>Alumno40</v>
      </c>
      <c r="GT150" s="198" t="n">
        <f aca="false">GT$4*GT45</f>
        <v>0</v>
      </c>
      <c r="GU150" s="199" t="n">
        <f aca="false">GU$4*GU45</f>
        <v>0</v>
      </c>
      <c r="GV150" s="199" t="n">
        <f aca="false">GV$4*GV45</f>
        <v>0</v>
      </c>
      <c r="GW150" s="199" t="n">
        <f aca="false">GW$4*GW45</f>
        <v>0</v>
      </c>
      <c r="GX150" s="199" t="n">
        <f aca="false">GX$4*GX45</f>
        <v>0</v>
      </c>
      <c r="GY150" s="199" t="n">
        <f aca="false">GY$4*GY45</f>
        <v>0</v>
      </c>
      <c r="GZ150" s="199" t="n">
        <f aca="false">GZ$4*GZ45</f>
        <v>0</v>
      </c>
      <c r="HA150" s="199" t="n">
        <f aca="false">HA$4*HA45</f>
        <v>0</v>
      </c>
      <c r="HB150" s="199" t="n">
        <f aca="false">HB$4*HB45</f>
        <v>0</v>
      </c>
      <c r="HC150" s="200" t="n">
        <f aca="false">HC$4*HC45</f>
        <v>0</v>
      </c>
      <c r="HD150" s="194" t="str">
        <f aca="false">GS150</f>
        <v>Alumno40</v>
      </c>
      <c r="HE150" s="198" t="n">
        <f aca="false">HE$4*HE45</f>
        <v>0</v>
      </c>
      <c r="HF150" s="199" t="n">
        <f aca="false">HF$4*HF45</f>
        <v>0</v>
      </c>
      <c r="HG150" s="199" t="n">
        <f aca="false">HG$4*HG45</f>
        <v>0</v>
      </c>
      <c r="HH150" s="199" t="n">
        <f aca="false">HH$4*HH45</f>
        <v>0</v>
      </c>
      <c r="HI150" s="199" t="n">
        <f aca="false">HI$4*HI45</f>
        <v>0</v>
      </c>
      <c r="HJ150" s="199" t="n">
        <f aca="false">HJ$4*HJ45</f>
        <v>0</v>
      </c>
      <c r="HK150" s="199" t="n">
        <f aca="false">HK$4*HK45</f>
        <v>0</v>
      </c>
      <c r="HL150" s="199" t="n">
        <f aca="false">HL$4*HL45</f>
        <v>0</v>
      </c>
      <c r="HM150" s="199" t="n">
        <f aca="false">HM$4*HM45</f>
        <v>0</v>
      </c>
      <c r="HN150" s="200" t="n">
        <f aca="false">HN$4*HN45</f>
        <v>0</v>
      </c>
      <c r="HO150" s="194" t="str">
        <f aca="false">HD150</f>
        <v>Alumno40</v>
      </c>
      <c r="HP150" s="198" t="n">
        <f aca="false">HP$4*HP45</f>
        <v>0</v>
      </c>
      <c r="HQ150" s="199" t="n">
        <f aca="false">HQ$4*HQ45</f>
        <v>0</v>
      </c>
      <c r="HR150" s="199" t="n">
        <f aca="false">HR$4*HR45</f>
        <v>0</v>
      </c>
      <c r="HS150" s="199" t="n">
        <f aca="false">HS$4*HS45</f>
        <v>0</v>
      </c>
      <c r="HT150" s="199" t="n">
        <f aca="false">HT$4*HT45</f>
        <v>0</v>
      </c>
      <c r="HU150" s="199" t="n">
        <f aca="false">HU$4*HU45</f>
        <v>0</v>
      </c>
      <c r="HV150" s="199" t="n">
        <f aca="false">HV$4*HV45</f>
        <v>0</v>
      </c>
      <c r="HW150" s="199" t="n">
        <f aca="false">HW$4*HW45</f>
        <v>0</v>
      </c>
      <c r="HX150" s="199" t="n">
        <f aca="false">HX$4*HX45</f>
        <v>0</v>
      </c>
      <c r="HY150" s="200" t="n">
        <f aca="false">HY$4*HY45</f>
        <v>0</v>
      </c>
      <c r="HZ150" s="194" t="str">
        <f aca="false">HO150</f>
        <v>Alumno40</v>
      </c>
      <c r="IA150" s="198" t="n">
        <f aca="false">IA$4*IA45</f>
        <v>0</v>
      </c>
      <c r="IB150" s="199" t="n">
        <f aca="false">IB$4*IB45</f>
        <v>0</v>
      </c>
      <c r="IC150" s="199" t="n">
        <f aca="false">IC$4*IC45</f>
        <v>0</v>
      </c>
      <c r="ID150" s="199" t="n">
        <f aca="false">ID$4*ID45</f>
        <v>0</v>
      </c>
      <c r="IE150" s="199" t="n">
        <f aca="false">IE$4*IE45</f>
        <v>0</v>
      </c>
      <c r="IF150" s="199" t="n">
        <f aca="false">IF$4*IF45</f>
        <v>0</v>
      </c>
      <c r="IG150" s="199" t="n">
        <f aca="false">IG$4*IG45</f>
        <v>0</v>
      </c>
      <c r="IH150" s="199" t="n">
        <f aca="false">IH$4*IH45</f>
        <v>0</v>
      </c>
      <c r="II150" s="199" t="n">
        <f aca="false">II$4*II45</f>
        <v>0</v>
      </c>
      <c r="IJ150" s="200" t="n">
        <f aca="false">IJ$4*IJ45</f>
        <v>0</v>
      </c>
      <c r="IK150" s="194" t="str">
        <f aca="false">HZ150</f>
        <v>Alumno40</v>
      </c>
      <c r="IL150" s="198" t="n">
        <f aca="false">IL$4*IL45</f>
        <v>0</v>
      </c>
      <c r="IM150" s="199" t="n">
        <f aca="false">IM$4*IM45</f>
        <v>0</v>
      </c>
      <c r="IN150" s="199" t="n">
        <f aca="false">IN$4*IN45</f>
        <v>0</v>
      </c>
      <c r="IO150" s="199" t="n">
        <f aca="false">IO$4*IO45</f>
        <v>0</v>
      </c>
      <c r="IP150" s="199" t="n">
        <f aca="false">IP$4*IP45</f>
        <v>0</v>
      </c>
      <c r="IQ150" s="199" t="n">
        <f aca="false">IQ$4*IQ45</f>
        <v>0</v>
      </c>
      <c r="IR150" s="199" t="n">
        <f aca="false">IR$4*IR45</f>
        <v>0</v>
      </c>
      <c r="IS150" s="199" t="n">
        <f aca="false">IS$4*IS45</f>
        <v>0</v>
      </c>
      <c r="IT150" s="199" t="n">
        <f aca="false">IT$4*IT45</f>
        <v>0</v>
      </c>
      <c r="IU150" s="200" t="n">
        <f aca="false">IU$4*IU45</f>
        <v>0</v>
      </c>
      <c r="IV150" s="194" t="str">
        <f aca="false">IK150</f>
        <v>Alumno40</v>
      </c>
      <c r="IW150" s="198" t="n">
        <f aca="false">IW$4*IW45</f>
        <v>0</v>
      </c>
      <c r="IX150" s="199" t="n">
        <f aca="false">IX$4*IX45</f>
        <v>0</v>
      </c>
      <c r="IY150" s="199" t="n">
        <f aca="false">IY$4*IY45</f>
        <v>0</v>
      </c>
      <c r="IZ150" s="199" t="n">
        <f aca="false">IZ$4*IZ45</f>
        <v>0</v>
      </c>
      <c r="JA150" s="199" t="n">
        <f aca="false">JA$4*JA45</f>
        <v>0</v>
      </c>
      <c r="JB150" s="199" t="n">
        <f aca="false">JB$4*JB45</f>
        <v>0</v>
      </c>
      <c r="JC150" s="199" t="n">
        <f aca="false">JC$4*JC45</f>
        <v>0</v>
      </c>
      <c r="JD150" s="199" t="n">
        <f aca="false">JD$4*JD45</f>
        <v>0</v>
      </c>
      <c r="JE150" s="199" t="n">
        <f aca="false">JE$4*JE45</f>
        <v>0</v>
      </c>
      <c r="JF150" s="200" t="n">
        <f aca="false">JF$4*JF45</f>
        <v>0</v>
      </c>
      <c r="JG150" s="194" t="str">
        <f aca="false">IV150</f>
        <v>Alumno40</v>
      </c>
      <c r="JH150" s="198" t="n">
        <f aca="false">JH$4*JH45</f>
        <v>0</v>
      </c>
      <c r="JI150" s="199" t="n">
        <f aca="false">JI$4*JI45</f>
        <v>0</v>
      </c>
      <c r="JJ150" s="199" t="n">
        <f aca="false">JJ$4*JJ45</f>
        <v>0</v>
      </c>
      <c r="JK150" s="199" t="n">
        <f aca="false">JK$4*JK45</f>
        <v>0</v>
      </c>
      <c r="JL150" s="199" t="n">
        <f aca="false">JL$4*JL45</f>
        <v>0</v>
      </c>
      <c r="JM150" s="199" t="n">
        <f aca="false">JM$4*JM45</f>
        <v>0</v>
      </c>
      <c r="JN150" s="199" t="n">
        <f aca="false">JN$4*JN45</f>
        <v>0</v>
      </c>
      <c r="JO150" s="199" t="n">
        <f aca="false">JO$4*JO45</f>
        <v>0</v>
      </c>
      <c r="JP150" s="199" t="n">
        <f aca="false">JP$4*JP45</f>
        <v>0</v>
      </c>
      <c r="JQ150" s="200" t="n">
        <f aca="false">JQ$4*JQ45</f>
        <v>0</v>
      </c>
      <c r="JR150" s="194" t="str">
        <f aca="false">JG150</f>
        <v>Alumno40</v>
      </c>
      <c r="JS150" s="198" t="n">
        <f aca="false">JS$4*JS45</f>
        <v>0</v>
      </c>
      <c r="JT150" s="199" t="n">
        <f aca="false">JT$4*JT45</f>
        <v>0</v>
      </c>
      <c r="JU150" s="199" t="n">
        <f aca="false">JU$4*JU45</f>
        <v>0</v>
      </c>
      <c r="JV150" s="199" t="n">
        <f aca="false">JV$4*JV45</f>
        <v>0</v>
      </c>
      <c r="JW150" s="199" t="n">
        <f aca="false">JW$4*JW45</f>
        <v>0</v>
      </c>
      <c r="JX150" s="199" t="n">
        <f aca="false">JX$4*JX45</f>
        <v>0</v>
      </c>
      <c r="JY150" s="199" t="n">
        <f aca="false">JY$4*JY45</f>
        <v>0</v>
      </c>
      <c r="JZ150" s="199" t="n">
        <f aca="false">JZ$4*JZ45</f>
        <v>0</v>
      </c>
      <c r="KA150" s="199" t="n">
        <f aca="false">KA$4*KA45</f>
        <v>0</v>
      </c>
      <c r="KB150" s="200" t="n">
        <f aca="false">KB$4*KB45</f>
        <v>0</v>
      </c>
      <c r="KC150" s="194" t="str">
        <f aca="false">JR150</f>
        <v>Alumno40</v>
      </c>
      <c r="KD150" s="198" t="n">
        <f aca="false">KD$4*KD45</f>
        <v>0</v>
      </c>
      <c r="KE150" s="199" t="n">
        <f aca="false">KE$4*KE45</f>
        <v>0</v>
      </c>
      <c r="KF150" s="199" t="n">
        <f aca="false">KF$4*KF45</f>
        <v>0</v>
      </c>
      <c r="KG150" s="199" t="n">
        <f aca="false">KG$4*KG45</f>
        <v>0</v>
      </c>
      <c r="KH150" s="199" t="n">
        <f aca="false">KH$4*KH45</f>
        <v>0</v>
      </c>
      <c r="KI150" s="199" t="n">
        <f aca="false">KI$4*KI45</f>
        <v>0</v>
      </c>
      <c r="KJ150" s="199" t="n">
        <f aca="false">KJ$4*KJ45</f>
        <v>0</v>
      </c>
      <c r="KK150" s="199" t="n">
        <f aca="false">KK$4*KK45</f>
        <v>0</v>
      </c>
      <c r="KL150" s="199" t="n">
        <f aca="false">KL$4*KL45</f>
        <v>0</v>
      </c>
      <c r="KM150" s="200" t="n">
        <f aca="false">KM$4*KM45</f>
        <v>0</v>
      </c>
      <c r="KN150" s="194" t="str">
        <f aca="false">KC150</f>
        <v>Alumno40</v>
      </c>
      <c r="KO150" s="198" t="n">
        <f aca="false">KO$4*KO45</f>
        <v>0</v>
      </c>
      <c r="KP150" s="199" t="n">
        <f aca="false">KP$4*KP45</f>
        <v>0</v>
      </c>
      <c r="KQ150" s="199" t="n">
        <f aca="false">KQ$4*KQ45</f>
        <v>0</v>
      </c>
      <c r="KR150" s="199" t="n">
        <f aca="false">KR$4*KR45</f>
        <v>0</v>
      </c>
      <c r="KS150" s="199" t="n">
        <f aca="false">KS$4*KS45</f>
        <v>0</v>
      </c>
      <c r="KT150" s="199" t="n">
        <f aca="false">KT$4*KT45</f>
        <v>0</v>
      </c>
      <c r="KU150" s="199" t="n">
        <f aca="false">KU$4*KU45</f>
        <v>0</v>
      </c>
      <c r="KV150" s="199" t="n">
        <f aca="false">KV$4*KV45</f>
        <v>0</v>
      </c>
      <c r="KW150" s="199" t="n">
        <f aca="false">KW$4*KW45</f>
        <v>0</v>
      </c>
      <c r="KX150" s="200" t="n">
        <f aca="false">KX$4*KX45</f>
        <v>0</v>
      </c>
      <c r="KY150" s="194" t="str">
        <f aca="false">KN150</f>
        <v>Alumno40</v>
      </c>
      <c r="KZ150" s="198" t="n">
        <f aca="false">KZ$4*KZ45</f>
        <v>0</v>
      </c>
      <c r="LA150" s="199" t="n">
        <f aca="false">LA$4*LA45</f>
        <v>0</v>
      </c>
      <c r="LB150" s="199" t="n">
        <f aca="false">LB$4*LB45</f>
        <v>0</v>
      </c>
      <c r="LC150" s="199" t="n">
        <f aca="false">LC$4*LC45</f>
        <v>0</v>
      </c>
      <c r="LD150" s="199" t="n">
        <f aca="false">LD$4*LD45</f>
        <v>0</v>
      </c>
      <c r="LE150" s="199" t="n">
        <f aca="false">LE$4*LE45</f>
        <v>0</v>
      </c>
      <c r="LF150" s="199" t="n">
        <f aca="false">LF$4*LF45</f>
        <v>0</v>
      </c>
      <c r="LG150" s="199" t="n">
        <f aca="false">LG$4*LG45</f>
        <v>0</v>
      </c>
      <c r="LH150" s="199" t="n">
        <f aca="false">LH$4*LH45</f>
        <v>0</v>
      </c>
      <c r="LI150" s="200" t="n">
        <f aca="false">LI$4*LI45</f>
        <v>0</v>
      </c>
      <c r="LJ150" s="194" t="str">
        <f aca="false">KY150</f>
        <v>Alumno40</v>
      </c>
      <c r="LK150" s="198" t="n">
        <f aca="false">LK$4*LK45</f>
        <v>0</v>
      </c>
      <c r="LL150" s="199" t="n">
        <f aca="false">LL$4*LL45</f>
        <v>0</v>
      </c>
      <c r="LM150" s="199" t="n">
        <f aca="false">LM$4*LM45</f>
        <v>0</v>
      </c>
      <c r="LN150" s="199" t="n">
        <f aca="false">LN$4*LN45</f>
        <v>0</v>
      </c>
      <c r="LO150" s="199" t="n">
        <f aca="false">LO$4*LO45</f>
        <v>0</v>
      </c>
      <c r="LP150" s="199" t="n">
        <f aca="false">LP$4*LP45</f>
        <v>0</v>
      </c>
      <c r="LQ150" s="199" t="n">
        <f aca="false">LQ$4*LQ45</f>
        <v>0</v>
      </c>
      <c r="LR150" s="199" t="n">
        <f aca="false">LR$4*LR45</f>
        <v>0</v>
      </c>
      <c r="LS150" s="199" t="n">
        <f aca="false">LS$4*LS45</f>
        <v>0</v>
      </c>
      <c r="LT150" s="200" t="n">
        <f aca="false">LT$4*LT45</f>
        <v>0</v>
      </c>
    </row>
    <row r="151" customFormat="false" ht="15" hidden="true" customHeight="false" outlineLevel="0" collapsed="false">
      <c r="C151" s="194" t="str">
        <f aca="false">C102</f>
        <v>Alumno41</v>
      </c>
      <c r="D151" s="198" t="n">
        <f aca="false">D$4*D46</f>
        <v>0</v>
      </c>
      <c r="E151" s="199" t="n">
        <f aca="false">E$4*E46</f>
        <v>0</v>
      </c>
      <c r="F151" s="199" t="n">
        <f aca="false">F$4*F46</f>
        <v>0</v>
      </c>
      <c r="G151" s="199" t="n">
        <f aca="false">G$4*G46</f>
        <v>0</v>
      </c>
      <c r="H151" s="199" t="n">
        <f aca="false">H$4*H46</f>
        <v>0</v>
      </c>
      <c r="I151" s="199" t="n">
        <f aca="false">I$4*I46</f>
        <v>0</v>
      </c>
      <c r="J151" s="199" t="n">
        <f aca="false">J$4*J46</f>
        <v>0</v>
      </c>
      <c r="K151" s="199" t="n">
        <f aca="false">K$4*K46</f>
        <v>0</v>
      </c>
      <c r="L151" s="199" t="n">
        <f aca="false">L$4*L46</f>
        <v>0</v>
      </c>
      <c r="M151" s="200" t="n">
        <f aca="false">M$4*M46</f>
        <v>0</v>
      </c>
      <c r="N151" s="194" t="str">
        <f aca="false">C151</f>
        <v>Alumno41</v>
      </c>
      <c r="O151" s="198" t="n">
        <f aca="false">O$4*O46</f>
        <v>0</v>
      </c>
      <c r="P151" s="199" t="n">
        <f aca="false">P$4*P46</f>
        <v>0</v>
      </c>
      <c r="Q151" s="199" t="n">
        <f aca="false">Q$4*Q46</f>
        <v>0</v>
      </c>
      <c r="R151" s="199" t="n">
        <f aca="false">R$4*R46</f>
        <v>0</v>
      </c>
      <c r="S151" s="199" t="n">
        <f aca="false">S$4*S46</f>
        <v>0</v>
      </c>
      <c r="T151" s="199" t="n">
        <f aca="false">T$4*T46</f>
        <v>0</v>
      </c>
      <c r="U151" s="199" t="n">
        <f aca="false">U$4*U46</f>
        <v>0</v>
      </c>
      <c r="V151" s="199" t="n">
        <f aca="false">V$4*V46</f>
        <v>0</v>
      </c>
      <c r="W151" s="199" t="n">
        <f aca="false">W$4*W46</f>
        <v>0</v>
      </c>
      <c r="X151" s="200" t="n">
        <f aca="false">X$4*X46</f>
        <v>0</v>
      </c>
      <c r="Y151" s="194" t="str">
        <f aca="false">N151</f>
        <v>Alumno41</v>
      </c>
      <c r="Z151" s="198" t="n">
        <f aca="false">Z$4*Z46</f>
        <v>0</v>
      </c>
      <c r="AA151" s="199" t="n">
        <f aca="false">AA$4*AA46</f>
        <v>0</v>
      </c>
      <c r="AB151" s="199" t="n">
        <f aca="false">AB$4*AB46</f>
        <v>0</v>
      </c>
      <c r="AC151" s="199" t="n">
        <f aca="false">AC$4*AC46</f>
        <v>0</v>
      </c>
      <c r="AD151" s="199" t="n">
        <f aca="false">AD$4*AD46</f>
        <v>0</v>
      </c>
      <c r="AE151" s="199" t="n">
        <f aca="false">AE$4*AE46</f>
        <v>0</v>
      </c>
      <c r="AF151" s="199" t="n">
        <f aca="false">AF$4*AF46</f>
        <v>0</v>
      </c>
      <c r="AG151" s="199" t="n">
        <f aca="false">AG$4*AG46</f>
        <v>0</v>
      </c>
      <c r="AH151" s="199" t="n">
        <f aca="false">AH$4*AH46</f>
        <v>0</v>
      </c>
      <c r="AI151" s="200" t="n">
        <f aca="false">AI$4*AI46</f>
        <v>0</v>
      </c>
      <c r="AJ151" s="194" t="str">
        <f aca="false">Y151</f>
        <v>Alumno41</v>
      </c>
      <c r="AK151" s="198" t="n">
        <f aca="false">AK$4*AK46</f>
        <v>0</v>
      </c>
      <c r="AL151" s="199" t="n">
        <f aca="false">AL$4*AL46</f>
        <v>0</v>
      </c>
      <c r="AM151" s="199" t="n">
        <f aca="false">AM$4*AM46</f>
        <v>0</v>
      </c>
      <c r="AN151" s="199" t="n">
        <f aca="false">AN$4*AN46</f>
        <v>0</v>
      </c>
      <c r="AO151" s="199" t="n">
        <f aca="false">AO$4*AO46</f>
        <v>0</v>
      </c>
      <c r="AP151" s="199" t="n">
        <f aca="false">AP$4*AP46</f>
        <v>0</v>
      </c>
      <c r="AQ151" s="199" t="n">
        <f aca="false">AQ$4*AQ46</f>
        <v>0</v>
      </c>
      <c r="AR151" s="199" t="n">
        <f aca="false">AR$4*AR46</f>
        <v>0</v>
      </c>
      <c r="AS151" s="199" t="n">
        <f aca="false">AS$4*AS46</f>
        <v>0</v>
      </c>
      <c r="AT151" s="200" t="n">
        <f aca="false">AT$4*AT46</f>
        <v>0</v>
      </c>
      <c r="AU151" s="194" t="str">
        <f aca="false">AJ151</f>
        <v>Alumno41</v>
      </c>
      <c r="AV151" s="198" t="n">
        <f aca="false">AV$4*AV46</f>
        <v>0</v>
      </c>
      <c r="AW151" s="199" t="n">
        <f aca="false">AW$4*AW46</f>
        <v>0</v>
      </c>
      <c r="AX151" s="199" t="n">
        <f aca="false">AX$4*AX46</f>
        <v>0</v>
      </c>
      <c r="AY151" s="199" t="n">
        <f aca="false">AY$4*AY46</f>
        <v>0</v>
      </c>
      <c r="AZ151" s="199" t="n">
        <f aca="false">AZ$4*AZ46</f>
        <v>0</v>
      </c>
      <c r="BA151" s="199" t="n">
        <f aca="false">BA$4*BA46</f>
        <v>0</v>
      </c>
      <c r="BB151" s="199" t="n">
        <f aca="false">BB$4*BB46</f>
        <v>0</v>
      </c>
      <c r="BC151" s="199" t="n">
        <f aca="false">BC$4*BC46</f>
        <v>0</v>
      </c>
      <c r="BD151" s="199" t="n">
        <f aca="false">BD$4*BD46</f>
        <v>0</v>
      </c>
      <c r="BE151" s="200" t="n">
        <f aca="false">BE$4*BE46</f>
        <v>0</v>
      </c>
      <c r="BF151" s="194" t="str">
        <f aca="false">AU151</f>
        <v>Alumno41</v>
      </c>
      <c r="BG151" s="198" t="n">
        <f aca="false">BG$4*BG46</f>
        <v>0</v>
      </c>
      <c r="BH151" s="199" t="n">
        <f aca="false">BH$4*BH46</f>
        <v>0</v>
      </c>
      <c r="BI151" s="199" t="n">
        <f aca="false">BI$4*BI46</f>
        <v>0</v>
      </c>
      <c r="BJ151" s="199" t="n">
        <f aca="false">BJ$4*BJ46</f>
        <v>0</v>
      </c>
      <c r="BK151" s="199" t="n">
        <f aca="false">BK$4*BK46</f>
        <v>0</v>
      </c>
      <c r="BL151" s="199" t="n">
        <f aca="false">BL$4*BL46</f>
        <v>0</v>
      </c>
      <c r="BM151" s="199" t="n">
        <f aca="false">BM$4*BM46</f>
        <v>0</v>
      </c>
      <c r="BN151" s="199" t="n">
        <f aca="false">BN$4*BN46</f>
        <v>0</v>
      </c>
      <c r="BO151" s="199" t="n">
        <f aca="false">BO$4*BO46</f>
        <v>0</v>
      </c>
      <c r="BP151" s="200" t="n">
        <f aca="false">BP$4*BP46</f>
        <v>0</v>
      </c>
      <c r="BQ151" s="194" t="str">
        <f aca="false">BF151</f>
        <v>Alumno41</v>
      </c>
      <c r="BR151" s="198" t="n">
        <f aca="false">BR$4*BR46</f>
        <v>0</v>
      </c>
      <c r="BS151" s="199" t="n">
        <f aca="false">BS$4*BS46</f>
        <v>0</v>
      </c>
      <c r="BT151" s="199" t="n">
        <f aca="false">BT$4*BT46</f>
        <v>0</v>
      </c>
      <c r="BU151" s="199" t="n">
        <f aca="false">BU$4*BU46</f>
        <v>0</v>
      </c>
      <c r="BV151" s="199" t="n">
        <f aca="false">BV$4*BV46</f>
        <v>0</v>
      </c>
      <c r="BW151" s="199" t="n">
        <f aca="false">BW$4*BW46</f>
        <v>0</v>
      </c>
      <c r="BX151" s="199" t="n">
        <f aca="false">BX$4*BX46</f>
        <v>0</v>
      </c>
      <c r="BY151" s="199" t="n">
        <f aca="false">BY$4*BY46</f>
        <v>0</v>
      </c>
      <c r="BZ151" s="199" t="n">
        <f aca="false">BZ$4*BZ46</f>
        <v>0</v>
      </c>
      <c r="CA151" s="200" t="n">
        <f aca="false">CA$4*CA46</f>
        <v>0</v>
      </c>
      <c r="CB151" s="194" t="str">
        <f aca="false">BQ151</f>
        <v>Alumno41</v>
      </c>
      <c r="CC151" s="198" t="n">
        <f aca="false">CC$4*CC46</f>
        <v>0</v>
      </c>
      <c r="CD151" s="199" t="n">
        <f aca="false">CD$4*CD46</f>
        <v>0</v>
      </c>
      <c r="CE151" s="199" t="n">
        <f aca="false">CE$4*CE46</f>
        <v>0</v>
      </c>
      <c r="CF151" s="199" t="n">
        <f aca="false">CF$4*CF46</f>
        <v>0</v>
      </c>
      <c r="CG151" s="199" t="n">
        <f aca="false">CG$4*CG46</f>
        <v>0</v>
      </c>
      <c r="CH151" s="199" t="n">
        <f aca="false">CH$4*CH46</f>
        <v>0</v>
      </c>
      <c r="CI151" s="199" t="n">
        <f aca="false">CI$4*CI46</f>
        <v>0</v>
      </c>
      <c r="CJ151" s="199" t="n">
        <f aca="false">CJ$4*CJ46</f>
        <v>0</v>
      </c>
      <c r="CK151" s="199" t="n">
        <f aca="false">CK$4*CK46</f>
        <v>0</v>
      </c>
      <c r="CL151" s="200" t="n">
        <f aca="false">CL$4*CL46</f>
        <v>0</v>
      </c>
      <c r="CM151" s="194" t="str">
        <f aca="false">CB151</f>
        <v>Alumno41</v>
      </c>
      <c r="CN151" s="198" t="n">
        <f aca="false">CN$4*CN46</f>
        <v>0</v>
      </c>
      <c r="CO151" s="199" t="n">
        <f aca="false">CO$4*CO46</f>
        <v>0</v>
      </c>
      <c r="CP151" s="199" t="n">
        <f aca="false">CP$4*CP46</f>
        <v>0</v>
      </c>
      <c r="CQ151" s="199" t="n">
        <f aca="false">CQ$4*CQ46</f>
        <v>0</v>
      </c>
      <c r="CR151" s="199" t="n">
        <f aca="false">CR$4*CR46</f>
        <v>0</v>
      </c>
      <c r="CS151" s="199" t="n">
        <f aca="false">CS$4*CS46</f>
        <v>0</v>
      </c>
      <c r="CT151" s="199" t="n">
        <f aca="false">CT$4*CT46</f>
        <v>0</v>
      </c>
      <c r="CU151" s="199" t="n">
        <f aca="false">CU$4*CU46</f>
        <v>0</v>
      </c>
      <c r="CV151" s="199" t="n">
        <f aca="false">CV$4*CV46</f>
        <v>0</v>
      </c>
      <c r="CW151" s="200" t="n">
        <f aca="false">CW$4*CW46</f>
        <v>0</v>
      </c>
      <c r="CX151" s="194" t="str">
        <f aca="false">CM151</f>
        <v>Alumno41</v>
      </c>
      <c r="CY151" s="198" t="n">
        <f aca="false">CY$4*CY46</f>
        <v>0</v>
      </c>
      <c r="CZ151" s="199" t="n">
        <f aca="false">CZ$4*CZ46</f>
        <v>0</v>
      </c>
      <c r="DA151" s="199" t="n">
        <f aca="false">DA$4*DA46</f>
        <v>0</v>
      </c>
      <c r="DB151" s="199" t="n">
        <f aca="false">DB$4*DB46</f>
        <v>0</v>
      </c>
      <c r="DC151" s="199" t="n">
        <f aca="false">DC$4*DC46</f>
        <v>0</v>
      </c>
      <c r="DD151" s="199" t="n">
        <f aca="false">DD$4*DD46</f>
        <v>0</v>
      </c>
      <c r="DE151" s="199" t="n">
        <f aca="false">DE$4*DE46</f>
        <v>0</v>
      </c>
      <c r="DF151" s="199" t="n">
        <f aca="false">DF$4*DF46</f>
        <v>0</v>
      </c>
      <c r="DG151" s="199" t="n">
        <f aca="false">DG$4*DG46</f>
        <v>0</v>
      </c>
      <c r="DH151" s="200" t="n">
        <f aca="false">DH$4*DH46</f>
        <v>0</v>
      </c>
      <c r="DI151" s="194" t="str">
        <f aca="false">CX151</f>
        <v>Alumno41</v>
      </c>
      <c r="DJ151" s="198" t="n">
        <f aca="false">DJ$4*DJ46</f>
        <v>0</v>
      </c>
      <c r="DK151" s="199" t="n">
        <f aca="false">DK$4*DK46</f>
        <v>0</v>
      </c>
      <c r="DL151" s="199" t="n">
        <f aca="false">DL$4*DL46</f>
        <v>0</v>
      </c>
      <c r="DM151" s="199" t="n">
        <f aca="false">DM$4*DM46</f>
        <v>0</v>
      </c>
      <c r="DN151" s="199" t="n">
        <f aca="false">DN$4*DN46</f>
        <v>0</v>
      </c>
      <c r="DO151" s="199" t="n">
        <f aca="false">DO$4*DO46</f>
        <v>0</v>
      </c>
      <c r="DP151" s="199" t="n">
        <f aca="false">DP$4*DP46</f>
        <v>0</v>
      </c>
      <c r="DQ151" s="199" t="n">
        <f aca="false">DQ$4*DQ46</f>
        <v>0</v>
      </c>
      <c r="DR151" s="199" t="n">
        <f aca="false">DR$4*DR46</f>
        <v>0</v>
      </c>
      <c r="DS151" s="200" t="n">
        <f aca="false">DS$4*DS46</f>
        <v>0</v>
      </c>
      <c r="DT151" s="194" t="str">
        <f aca="false">DI151</f>
        <v>Alumno41</v>
      </c>
      <c r="DU151" s="198" t="n">
        <f aca="false">DU$4*DU46</f>
        <v>0</v>
      </c>
      <c r="DV151" s="199" t="n">
        <f aca="false">DV$4*DV46</f>
        <v>0</v>
      </c>
      <c r="DW151" s="199" t="n">
        <f aca="false">DW$4*DW46</f>
        <v>0</v>
      </c>
      <c r="DX151" s="199" t="n">
        <f aca="false">DX$4*DX46</f>
        <v>0</v>
      </c>
      <c r="DY151" s="199" t="n">
        <f aca="false">DY$4*DY46</f>
        <v>0</v>
      </c>
      <c r="DZ151" s="199" t="n">
        <f aca="false">DZ$4*DZ46</f>
        <v>0</v>
      </c>
      <c r="EA151" s="199" t="n">
        <f aca="false">EA$4*EA46</f>
        <v>0</v>
      </c>
      <c r="EB151" s="199" t="n">
        <f aca="false">EB$4*EB46</f>
        <v>0</v>
      </c>
      <c r="EC151" s="199" t="n">
        <f aca="false">EC$4*EC46</f>
        <v>0</v>
      </c>
      <c r="ED151" s="200" t="n">
        <f aca="false">ED$4*ED46</f>
        <v>0</v>
      </c>
      <c r="EE151" s="194" t="str">
        <f aca="false">DT151</f>
        <v>Alumno41</v>
      </c>
      <c r="EF151" s="198" t="n">
        <f aca="false">EF$4*EF46</f>
        <v>0</v>
      </c>
      <c r="EG151" s="199" t="n">
        <f aca="false">EG$4*EG46</f>
        <v>0</v>
      </c>
      <c r="EH151" s="199" t="n">
        <f aca="false">EH$4*EH46</f>
        <v>0</v>
      </c>
      <c r="EI151" s="199" t="n">
        <f aca="false">EI$4*EI46</f>
        <v>0</v>
      </c>
      <c r="EJ151" s="199" t="n">
        <f aca="false">EJ$4*EJ46</f>
        <v>0</v>
      </c>
      <c r="EK151" s="199" t="n">
        <f aca="false">EK$4*EK46</f>
        <v>0</v>
      </c>
      <c r="EL151" s="199" t="n">
        <f aca="false">EL$4*EL46</f>
        <v>0</v>
      </c>
      <c r="EM151" s="199" t="n">
        <f aca="false">EM$4*EM46</f>
        <v>0</v>
      </c>
      <c r="EN151" s="199" t="n">
        <f aca="false">EN$4*EN46</f>
        <v>0</v>
      </c>
      <c r="EO151" s="200" t="n">
        <f aca="false">EO$4*EO46</f>
        <v>0</v>
      </c>
      <c r="EP151" s="194" t="str">
        <f aca="false">EE151</f>
        <v>Alumno41</v>
      </c>
      <c r="EQ151" s="198" t="n">
        <f aca="false">EQ$4*EQ46</f>
        <v>0</v>
      </c>
      <c r="ER151" s="199" t="n">
        <f aca="false">ER$4*ER46</f>
        <v>0</v>
      </c>
      <c r="ES151" s="199" t="n">
        <f aca="false">ES$4*ES46</f>
        <v>0</v>
      </c>
      <c r="ET151" s="199" t="n">
        <f aca="false">ET$4*ET46</f>
        <v>0</v>
      </c>
      <c r="EU151" s="199" t="n">
        <f aca="false">EU$4*EU46</f>
        <v>0</v>
      </c>
      <c r="EV151" s="199" t="n">
        <f aca="false">EV$4*EV46</f>
        <v>0</v>
      </c>
      <c r="EW151" s="199" t="n">
        <f aca="false">EW$4*EW46</f>
        <v>0</v>
      </c>
      <c r="EX151" s="199" t="n">
        <f aca="false">EX$4*EX46</f>
        <v>0</v>
      </c>
      <c r="EY151" s="199" t="n">
        <f aca="false">EY$4*EY46</f>
        <v>0</v>
      </c>
      <c r="EZ151" s="200" t="n">
        <f aca="false">EZ$4*EZ46</f>
        <v>0</v>
      </c>
      <c r="FA151" s="194" t="str">
        <f aca="false">EP151</f>
        <v>Alumno41</v>
      </c>
      <c r="FB151" s="198" t="n">
        <f aca="false">FB$4*FB46</f>
        <v>0</v>
      </c>
      <c r="FC151" s="199" t="n">
        <f aca="false">FC$4*FC46</f>
        <v>0</v>
      </c>
      <c r="FD151" s="199" t="n">
        <f aca="false">FD$4*FD46</f>
        <v>0</v>
      </c>
      <c r="FE151" s="199" t="n">
        <f aca="false">FE$4*FE46</f>
        <v>0</v>
      </c>
      <c r="FF151" s="199" t="n">
        <f aca="false">FF$4*FF46</f>
        <v>0</v>
      </c>
      <c r="FG151" s="199" t="n">
        <f aca="false">FG$4*FG46</f>
        <v>0</v>
      </c>
      <c r="FH151" s="199" t="n">
        <f aca="false">FH$4*FH46</f>
        <v>0</v>
      </c>
      <c r="FI151" s="199" t="n">
        <f aca="false">FI$4*FI46</f>
        <v>0</v>
      </c>
      <c r="FJ151" s="199" t="n">
        <f aca="false">FJ$4*FJ46</f>
        <v>0</v>
      </c>
      <c r="FK151" s="200" t="n">
        <f aca="false">FK$4*FK46</f>
        <v>0</v>
      </c>
      <c r="FL151" s="194" t="str">
        <f aca="false">FA151</f>
        <v>Alumno41</v>
      </c>
      <c r="FM151" s="198" t="n">
        <f aca="false">FM$4*FM46</f>
        <v>0</v>
      </c>
      <c r="FN151" s="199" t="n">
        <f aca="false">FN$4*FN46</f>
        <v>0</v>
      </c>
      <c r="FO151" s="199" t="n">
        <f aca="false">FO$4*FO46</f>
        <v>0</v>
      </c>
      <c r="FP151" s="199" t="n">
        <f aca="false">FP$4*FP46</f>
        <v>0</v>
      </c>
      <c r="FQ151" s="199" t="n">
        <f aca="false">FQ$4*FQ46</f>
        <v>0</v>
      </c>
      <c r="FR151" s="199" t="n">
        <f aca="false">FR$4*FR46</f>
        <v>0</v>
      </c>
      <c r="FS151" s="199" t="n">
        <f aca="false">FS$4*FS46</f>
        <v>0</v>
      </c>
      <c r="FT151" s="199" t="n">
        <f aca="false">FT$4*FT46</f>
        <v>0</v>
      </c>
      <c r="FU151" s="199" t="n">
        <f aca="false">FU$4*FU46</f>
        <v>0</v>
      </c>
      <c r="FV151" s="200" t="n">
        <f aca="false">FV$4*FV46</f>
        <v>0</v>
      </c>
      <c r="FW151" s="194" t="str">
        <f aca="false">FL151</f>
        <v>Alumno41</v>
      </c>
      <c r="FX151" s="198" t="n">
        <f aca="false">FX$4*FX46</f>
        <v>0</v>
      </c>
      <c r="FY151" s="199" t="n">
        <f aca="false">FY$4*FY46</f>
        <v>0</v>
      </c>
      <c r="FZ151" s="199" t="n">
        <f aca="false">FZ$4*FZ46</f>
        <v>0</v>
      </c>
      <c r="GA151" s="199" t="n">
        <f aca="false">GA$4*GA46</f>
        <v>0</v>
      </c>
      <c r="GB151" s="199" t="n">
        <f aca="false">GB$4*GB46</f>
        <v>0</v>
      </c>
      <c r="GC151" s="199" t="n">
        <f aca="false">GC$4*GC46</f>
        <v>0</v>
      </c>
      <c r="GD151" s="199" t="n">
        <f aca="false">GD$4*GD46</f>
        <v>0</v>
      </c>
      <c r="GE151" s="199" t="n">
        <f aca="false">GE$4*GE46</f>
        <v>0</v>
      </c>
      <c r="GF151" s="199" t="n">
        <f aca="false">GF$4*GF46</f>
        <v>0</v>
      </c>
      <c r="GG151" s="200" t="n">
        <f aca="false">GG$4*GG46</f>
        <v>0</v>
      </c>
      <c r="GH151" s="194" t="str">
        <f aca="false">FW151</f>
        <v>Alumno41</v>
      </c>
      <c r="GI151" s="198" t="n">
        <f aca="false">GI$4*GI46</f>
        <v>0</v>
      </c>
      <c r="GJ151" s="199" t="n">
        <f aca="false">GJ$4*GJ46</f>
        <v>0</v>
      </c>
      <c r="GK151" s="199" t="n">
        <f aca="false">GK$4*GK46</f>
        <v>0</v>
      </c>
      <c r="GL151" s="199" t="n">
        <f aca="false">GL$4*GL46</f>
        <v>0</v>
      </c>
      <c r="GM151" s="199" t="n">
        <f aca="false">GM$4*GM46</f>
        <v>0</v>
      </c>
      <c r="GN151" s="199" t="n">
        <f aca="false">GN$4*GN46</f>
        <v>0</v>
      </c>
      <c r="GO151" s="199" t="n">
        <f aca="false">GO$4*GO46</f>
        <v>0</v>
      </c>
      <c r="GP151" s="199" t="n">
        <f aca="false">GP$4*GP46</f>
        <v>0</v>
      </c>
      <c r="GQ151" s="199" t="n">
        <f aca="false">GQ$4*GQ46</f>
        <v>0</v>
      </c>
      <c r="GR151" s="200" t="n">
        <f aca="false">GR$4*GR46</f>
        <v>0</v>
      </c>
      <c r="GS151" s="194" t="str">
        <f aca="false">GH151</f>
        <v>Alumno41</v>
      </c>
      <c r="GT151" s="198" t="n">
        <f aca="false">GT$4*GT46</f>
        <v>0</v>
      </c>
      <c r="GU151" s="199" t="n">
        <f aca="false">GU$4*GU46</f>
        <v>0</v>
      </c>
      <c r="GV151" s="199" t="n">
        <f aca="false">GV$4*GV46</f>
        <v>0</v>
      </c>
      <c r="GW151" s="199" t="n">
        <f aca="false">GW$4*GW46</f>
        <v>0</v>
      </c>
      <c r="GX151" s="199" t="n">
        <f aca="false">GX$4*GX46</f>
        <v>0</v>
      </c>
      <c r="GY151" s="199" t="n">
        <f aca="false">GY$4*GY46</f>
        <v>0</v>
      </c>
      <c r="GZ151" s="199" t="n">
        <f aca="false">GZ$4*GZ46</f>
        <v>0</v>
      </c>
      <c r="HA151" s="199" t="n">
        <f aca="false">HA$4*HA46</f>
        <v>0</v>
      </c>
      <c r="HB151" s="199" t="n">
        <f aca="false">HB$4*HB46</f>
        <v>0</v>
      </c>
      <c r="HC151" s="200" t="n">
        <f aca="false">HC$4*HC46</f>
        <v>0</v>
      </c>
      <c r="HD151" s="194" t="str">
        <f aca="false">GS151</f>
        <v>Alumno41</v>
      </c>
      <c r="HE151" s="198" t="n">
        <f aca="false">HE$4*HE46</f>
        <v>0</v>
      </c>
      <c r="HF151" s="199" t="n">
        <f aca="false">HF$4*HF46</f>
        <v>0</v>
      </c>
      <c r="HG151" s="199" t="n">
        <f aca="false">HG$4*HG46</f>
        <v>0</v>
      </c>
      <c r="HH151" s="199" t="n">
        <f aca="false">HH$4*HH46</f>
        <v>0</v>
      </c>
      <c r="HI151" s="199" t="n">
        <f aca="false">HI$4*HI46</f>
        <v>0</v>
      </c>
      <c r="HJ151" s="199" t="n">
        <f aca="false">HJ$4*HJ46</f>
        <v>0</v>
      </c>
      <c r="HK151" s="199" t="n">
        <f aca="false">HK$4*HK46</f>
        <v>0</v>
      </c>
      <c r="HL151" s="199" t="n">
        <f aca="false">HL$4*HL46</f>
        <v>0</v>
      </c>
      <c r="HM151" s="199" t="n">
        <f aca="false">HM$4*HM46</f>
        <v>0</v>
      </c>
      <c r="HN151" s="200" t="n">
        <f aca="false">HN$4*HN46</f>
        <v>0</v>
      </c>
      <c r="HO151" s="194" t="str">
        <f aca="false">HD151</f>
        <v>Alumno41</v>
      </c>
      <c r="HP151" s="198" t="n">
        <f aca="false">HP$4*HP46</f>
        <v>0</v>
      </c>
      <c r="HQ151" s="199" t="n">
        <f aca="false">HQ$4*HQ46</f>
        <v>0</v>
      </c>
      <c r="HR151" s="199" t="n">
        <f aca="false">HR$4*HR46</f>
        <v>0</v>
      </c>
      <c r="HS151" s="199" t="n">
        <f aca="false">HS$4*HS46</f>
        <v>0</v>
      </c>
      <c r="HT151" s="199" t="n">
        <f aca="false">HT$4*HT46</f>
        <v>0</v>
      </c>
      <c r="HU151" s="199" t="n">
        <f aca="false">HU$4*HU46</f>
        <v>0</v>
      </c>
      <c r="HV151" s="199" t="n">
        <f aca="false">HV$4*HV46</f>
        <v>0</v>
      </c>
      <c r="HW151" s="199" t="n">
        <f aca="false">HW$4*HW46</f>
        <v>0</v>
      </c>
      <c r="HX151" s="199" t="n">
        <f aca="false">HX$4*HX46</f>
        <v>0</v>
      </c>
      <c r="HY151" s="200" t="n">
        <f aca="false">HY$4*HY46</f>
        <v>0</v>
      </c>
      <c r="HZ151" s="194" t="str">
        <f aca="false">HO151</f>
        <v>Alumno41</v>
      </c>
      <c r="IA151" s="198" t="n">
        <f aca="false">IA$4*IA46</f>
        <v>0</v>
      </c>
      <c r="IB151" s="199" t="n">
        <f aca="false">IB$4*IB46</f>
        <v>0</v>
      </c>
      <c r="IC151" s="199" t="n">
        <f aca="false">IC$4*IC46</f>
        <v>0</v>
      </c>
      <c r="ID151" s="199" t="n">
        <f aca="false">ID$4*ID46</f>
        <v>0</v>
      </c>
      <c r="IE151" s="199" t="n">
        <f aca="false">IE$4*IE46</f>
        <v>0</v>
      </c>
      <c r="IF151" s="199" t="n">
        <f aca="false">IF$4*IF46</f>
        <v>0</v>
      </c>
      <c r="IG151" s="199" t="n">
        <f aca="false">IG$4*IG46</f>
        <v>0</v>
      </c>
      <c r="IH151" s="199" t="n">
        <f aca="false">IH$4*IH46</f>
        <v>0</v>
      </c>
      <c r="II151" s="199" t="n">
        <f aca="false">II$4*II46</f>
        <v>0</v>
      </c>
      <c r="IJ151" s="200" t="n">
        <f aca="false">IJ$4*IJ46</f>
        <v>0</v>
      </c>
      <c r="IK151" s="194" t="str">
        <f aca="false">HZ151</f>
        <v>Alumno41</v>
      </c>
      <c r="IL151" s="198" t="n">
        <f aca="false">IL$4*IL46</f>
        <v>0</v>
      </c>
      <c r="IM151" s="199" t="n">
        <f aca="false">IM$4*IM46</f>
        <v>0</v>
      </c>
      <c r="IN151" s="199" t="n">
        <f aca="false">IN$4*IN46</f>
        <v>0</v>
      </c>
      <c r="IO151" s="199" t="n">
        <f aca="false">IO$4*IO46</f>
        <v>0</v>
      </c>
      <c r="IP151" s="199" t="n">
        <f aca="false">IP$4*IP46</f>
        <v>0</v>
      </c>
      <c r="IQ151" s="199" t="n">
        <f aca="false">IQ$4*IQ46</f>
        <v>0</v>
      </c>
      <c r="IR151" s="199" t="n">
        <f aca="false">IR$4*IR46</f>
        <v>0</v>
      </c>
      <c r="IS151" s="199" t="n">
        <f aca="false">IS$4*IS46</f>
        <v>0</v>
      </c>
      <c r="IT151" s="199" t="n">
        <f aca="false">IT$4*IT46</f>
        <v>0</v>
      </c>
      <c r="IU151" s="200" t="n">
        <f aca="false">IU$4*IU46</f>
        <v>0</v>
      </c>
      <c r="IV151" s="194" t="str">
        <f aca="false">IK151</f>
        <v>Alumno41</v>
      </c>
      <c r="IW151" s="198" t="n">
        <f aca="false">IW$4*IW46</f>
        <v>0</v>
      </c>
      <c r="IX151" s="199" t="n">
        <f aca="false">IX$4*IX46</f>
        <v>0</v>
      </c>
      <c r="IY151" s="199" t="n">
        <f aca="false">IY$4*IY46</f>
        <v>0</v>
      </c>
      <c r="IZ151" s="199" t="n">
        <f aca="false">IZ$4*IZ46</f>
        <v>0</v>
      </c>
      <c r="JA151" s="199" t="n">
        <f aca="false">JA$4*JA46</f>
        <v>0</v>
      </c>
      <c r="JB151" s="199" t="n">
        <f aca="false">JB$4*JB46</f>
        <v>0</v>
      </c>
      <c r="JC151" s="199" t="n">
        <f aca="false">JC$4*JC46</f>
        <v>0</v>
      </c>
      <c r="JD151" s="199" t="n">
        <f aca="false">JD$4*JD46</f>
        <v>0</v>
      </c>
      <c r="JE151" s="199" t="n">
        <f aca="false">JE$4*JE46</f>
        <v>0</v>
      </c>
      <c r="JF151" s="200" t="n">
        <f aca="false">JF$4*JF46</f>
        <v>0</v>
      </c>
      <c r="JG151" s="194" t="str">
        <f aca="false">IV151</f>
        <v>Alumno41</v>
      </c>
      <c r="JH151" s="198" t="n">
        <f aca="false">JH$4*JH46</f>
        <v>0</v>
      </c>
      <c r="JI151" s="199" t="n">
        <f aca="false">JI$4*JI46</f>
        <v>0</v>
      </c>
      <c r="JJ151" s="199" t="n">
        <f aca="false">JJ$4*JJ46</f>
        <v>0</v>
      </c>
      <c r="JK151" s="199" t="n">
        <f aca="false">JK$4*JK46</f>
        <v>0</v>
      </c>
      <c r="JL151" s="199" t="n">
        <f aca="false">JL$4*JL46</f>
        <v>0</v>
      </c>
      <c r="JM151" s="199" t="n">
        <f aca="false">JM$4*JM46</f>
        <v>0</v>
      </c>
      <c r="JN151" s="199" t="n">
        <f aca="false">JN$4*JN46</f>
        <v>0</v>
      </c>
      <c r="JO151" s="199" t="n">
        <f aca="false">JO$4*JO46</f>
        <v>0</v>
      </c>
      <c r="JP151" s="199" t="n">
        <f aca="false">JP$4*JP46</f>
        <v>0</v>
      </c>
      <c r="JQ151" s="200" t="n">
        <f aca="false">JQ$4*JQ46</f>
        <v>0</v>
      </c>
      <c r="JR151" s="194" t="str">
        <f aca="false">JG151</f>
        <v>Alumno41</v>
      </c>
      <c r="JS151" s="198" t="n">
        <f aca="false">JS$4*JS46</f>
        <v>0</v>
      </c>
      <c r="JT151" s="199" t="n">
        <f aca="false">JT$4*JT46</f>
        <v>0</v>
      </c>
      <c r="JU151" s="199" t="n">
        <f aca="false">JU$4*JU46</f>
        <v>0</v>
      </c>
      <c r="JV151" s="199" t="n">
        <f aca="false">JV$4*JV46</f>
        <v>0</v>
      </c>
      <c r="JW151" s="199" t="n">
        <f aca="false">JW$4*JW46</f>
        <v>0</v>
      </c>
      <c r="JX151" s="199" t="n">
        <f aca="false">JX$4*JX46</f>
        <v>0</v>
      </c>
      <c r="JY151" s="199" t="n">
        <f aca="false">JY$4*JY46</f>
        <v>0</v>
      </c>
      <c r="JZ151" s="199" t="n">
        <f aca="false">JZ$4*JZ46</f>
        <v>0</v>
      </c>
      <c r="KA151" s="199" t="n">
        <f aca="false">KA$4*KA46</f>
        <v>0</v>
      </c>
      <c r="KB151" s="200" t="n">
        <f aca="false">KB$4*KB46</f>
        <v>0</v>
      </c>
      <c r="KC151" s="194" t="str">
        <f aca="false">JR151</f>
        <v>Alumno41</v>
      </c>
      <c r="KD151" s="198" t="n">
        <f aca="false">KD$4*KD46</f>
        <v>0</v>
      </c>
      <c r="KE151" s="199" t="n">
        <f aca="false">KE$4*KE46</f>
        <v>0</v>
      </c>
      <c r="KF151" s="199" t="n">
        <f aca="false">KF$4*KF46</f>
        <v>0</v>
      </c>
      <c r="KG151" s="199" t="n">
        <f aca="false">KG$4*KG46</f>
        <v>0</v>
      </c>
      <c r="KH151" s="199" t="n">
        <f aca="false">KH$4*KH46</f>
        <v>0</v>
      </c>
      <c r="KI151" s="199" t="n">
        <f aca="false">KI$4*KI46</f>
        <v>0</v>
      </c>
      <c r="KJ151" s="199" t="n">
        <f aca="false">KJ$4*KJ46</f>
        <v>0</v>
      </c>
      <c r="KK151" s="199" t="n">
        <f aca="false">KK$4*KK46</f>
        <v>0</v>
      </c>
      <c r="KL151" s="199" t="n">
        <f aca="false">KL$4*KL46</f>
        <v>0</v>
      </c>
      <c r="KM151" s="200" t="n">
        <f aca="false">KM$4*KM46</f>
        <v>0</v>
      </c>
      <c r="KN151" s="194" t="str">
        <f aca="false">KC151</f>
        <v>Alumno41</v>
      </c>
      <c r="KO151" s="198" t="n">
        <f aca="false">KO$4*KO46</f>
        <v>0</v>
      </c>
      <c r="KP151" s="199" t="n">
        <f aca="false">KP$4*KP46</f>
        <v>0</v>
      </c>
      <c r="KQ151" s="199" t="n">
        <f aca="false">KQ$4*KQ46</f>
        <v>0</v>
      </c>
      <c r="KR151" s="199" t="n">
        <f aca="false">KR$4*KR46</f>
        <v>0</v>
      </c>
      <c r="KS151" s="199" t="n">
        <f aca="false">KS$4*KS46</f>
        <v>0</v>
      </c>
      <c r="KT151" s="199" t="n">
        <f aca="false">KT$4*KT46</f>
        <v>0</v>
      </c>
      <c r="KU151" s="199" t="n">
        <f aca="false">KU$4*KU46</f>
        <v>0</v>
      </c>
      <c r="KV151" s="199" t="n">
        <f aca="false">KV$4*KV46</f>
        <v>0</v>
      </c>
      <c r="KW151" s="199" t="n">
        <f aca="false">KW$4*KW46</f>
        <v>0</v>
      </c>
      <c r="KX151" s="200" t="n">
        <f aca="false">KX$4*KX46</f>
        <v>0</v>
      </c>
      <c r="KY151" s="194" t="str">
        <f aca="false">KN151</f>
        <v>Alumno41</v>
      </c>
      <c r="KZ151" s="198" t="n">
        <f aca="false">KZ$4*KZ46</f>
        <v>0</v>
      </c>
      <c r="LA151" s="199" t="n">
        <f aca="false">LA$4*LA46</f>
        <v>0</v>
      </c>
      <c r="LB151" s="199" t="n">
        <f aca="false">LB$4*LB46</f>
        <v>0</v>
      </c>
      <c r="LC151" s="199" t="n">
        <f aca="false">LC$4*LC46</f>
        <v>0</v>
      </c>
      <c r="LD151" s="199" t="n">
        <f aca="false">LD$4*LD46</f>
        <v>0</v>
      </c>
      <c r="LE151" s="199" t="n">
        <f aca="false">LE$4*LE46</f>
        <v>0</v>
      </c>
      <c r="LF151" s="199" t="n">
        <f aca="false">LF$4*LF46</f>
        <v>0</v>
      </c>
      <c r="LG151" s="199" t="n">
        <f aca="false">LG$4*LG46</f>
        <v>0</v>
      </c>
      <c r="LH151" s="199" t="n">
        <f aca="false">LH$4*LH46</f>
        <v>0</v>
      </c>
      <c r="LI151" s="200" t="n">
        <f aca="false">LI$4*LI46</f>
        <v>0</v>
      </c>
      <c r="LJ151" s="194" t="str">
        <f aca="false">KY151</f>
        <v>Alumno41</v>
      </c>
      <c r="LK151" s="198" t="n">
        <f aca="false">LK$4*LK46</f>
        <v>0</v>
      </c>
      <c r="LL151" s="199" t="n">
        <f aca="false">LL$4*LL46</f>
        <v>0</v>
      </c>
      <c r="LM151" s="199" t="n">
        <f aca="false">LM$4*LM46</f>
        <v>0</v>
      </c>
      <c r="LN151" s="199" t="n">
        <f aca="false">LN$4*LN46</f>
        <v>0</v>
      </c>
      <c r="LO151" s="199" t="n">
        <f aca="false">LO$4*LO46</f>
        <v>0</v>
      </c>
      <c r="LP151" s="199" t="n">
        <f aca="false">LP$4*LP46</f>
        <v>0</v>
      </c>
      <c r="LQ151" s="199" t="n">
        <f aca="false">LQ$4*LQ46</f>
        <v>0</v>
      </c>
      <c r="LR151" s="199" t="n">
        <f aca="false">LR$4*LR46</f>
        <v>0</v>
      </c>
      <c r="LS151" s="199" t="n">
        <f aca="false">LS$4*LS46</f>
        <v>0</v>
      </c>
      <c r="LT151" s="200" t="n">
        <f aca="false">LT$4*LT46</f>
        <v>0</v>
      </c>
    </row>
    <row r="152" customFormat="false" ht="15" hidden="true" customHeight="false" outlineLevel="0" collapsed="false">
      <c r="C152" s="194" t="str">
        <f aca="false">C103</f>
        <v>Alumno42</v>
      </c>
      <c r="D152" s="198" t="n">
        <f aca="false">D$4*D47</f>
        <v>0</v>
      </c>
      <c r="E152" s="199" t="n">
        <f aca="false">E$4*E47</f>
        <v>0</v>
      </c>
      <c r="F152" s="199" t="n">
        <f aca="false">F$4*F47</f>
        <v>0</v>
      </c>
      <c r="G152" s="199" t="n">
        <f aca="false">G$4*G47</f>
        <v>0</v>
      </c>
      <c r="H152" s="199" t="n">
        <f aca="false">H$4*H47</f>
        <v>0</v>
      </c>
      <c r="I152" s="199" t="n">
        <f aca="false">I$4*I47</f>
        <v>0</v>
      </c>
      <c r="J152" s="199" t="n">
        <f aca="false">J$4*J47</f>
        <v>0</v>
      </c>
      <c r="K152" s="199" t="n">
        <f aca="false">K$4*K47</f>
        <v>0</v>
      </c>
      <c r="L152" s="199" t="n">
        <f aca="false">L$4*L47</f>
        <v>0</v>
      </c>
      <c r="M152" s="200" t="n">
        <f aca="false">M$4*M47</f>
        <v>0</v>
      </c>
      <c r="N152" s="194" t="str">
        <f aca="false">C152</f>
        <v>Alumno42</v>
      </c>
      <c r="O152" s="198" t="n">
        <f aca="false">O$4*O47</f>
        <v>0</v>
      </c>
      <c r="P152" s="199" t="n">
        <f aca="false">P$4*P47</f>
        <v>0</v>
      </c>
      <c r="Q152" s="199" t="n">
        <f aca="false">Q$4*Q47</f>
        <v>0</v>
      </c>
      <c r="R152" s="199" t="n">
        <f aca="false">R$4*R47</f>
        <v>0</v>
      </c>
      <c r="S152" s="199" t="n">
        <f aca="false">S$4*S47</f>
        <v>0</v>
      </c>
      <c r="T152" s="199" t="n">
        <f aca="false">T$4*T47</f>
        <v>0</v>
      </c>
      <c r="U152" s="199" t="n">
        <f aca="false">U$4*U47</f>
        <v>0</v>
      </c>
      <c r="V152" s="199" t="n">
        <f aca="false">V$4*V47</f>
        <v>0</v>
      </c>
      <c r="W152" s="199" t="n">
        <f aca="false">W$4*W47</f>
        <v>0</v>
      </c>
      <c r="X152" s="200" t="n">
        <f aca="false">X$4*X47</f>
        <v>0</v>
      </c>
      <c r="Y152" s="194" t="str">
        <f aca="false">N152</f>
        <v>Alumno42</v>
      </c>
      <c r="Z152" s="198" t="n">
        <f aca="false">Z$4*Z47</f>
        <v>0</v>
      </c>
      <c r="AA152" s="199" t="n">
        <f aca="false">AA$4*AA47</f>
        <v>0</v>
      </c>
      <c r="AB152" s="199" t="n">
        <f aca="false">AB$4*AB47</f>
        <v>0</v>
      </c>
      <c r="AC152" s="199" t="n">
        <f aca="false">AC$4*AC47</f>
        <v>0</v>
      </c>
      <c r="AD152" s="199" t="n">
        <f aca="false">AD$4*AD47</f>
        <v>0</v>
      </c>
      <c r="AE152" s="199" t="n">
        <f aca="false">AE$4*AE47</f>
        <v>0</v>
      </c>
      <c r="AF152" s="199" t="n">
        <f aca="false">AF$4*AF47</f>
        <v>0</v>
      </c>
      <c r="AG152" s="199" t="n">
        <f aca="false">AG$4*AG47</f>
        <v>0</v>
      </c>
      <c r="AH152" s="199" t="n">
        <f aca="false">AH$4*AH47</f>
        <v>0</v>
      </c>
      <c r="AI152" s="200" t="n">
        <f aca="false">AI$4*AI47</f>
        <v>0</v>
      </c>
      <c r="AJ152" s="194" t="str">
        <f aca="false">Y152</f>
        <v>Alumno42</v>
      </c>
      <c r="AK152" s="198" t="n">
        <f aca="false">AK$4*AK47</f>
        <v>0</v>
      </c>
      <c r="AL152" s="199" t="n">
        <f aca="false">AL$4*AL47</f>
        <v>0</v>
      </c>
      <c r="AM152" s="199" t="n">
        <f aca="false">AM$4*AM47</f>
        <v>0</v>
      </c>
      <c r="AN152" s="199" t="n">
        <f aca="false">AN$4*AN47</f>
        <v>0</v>
      </c>
      <c r="AO152" s="199" t="n">
        <f aca="false">AO$4*AO47</f>
        <v>0</v>
      </c>
      <c r="AP152" s="199" t="n">
        <f aca="false">AP$4*AP47</f>
        <v>0</v>
      </c>
      <c r="AQ152" s="199" t="n">
        <f aca="false">AQ$4*AQ47</f>
        <v>0</v>
      </c>
      <c r="AR152" s="199" t="n">
        <f aca="false">AR$4*AR47</f>
        <v>0</v>
      </c>
      <c r="AS152" s="199" t="n">
        <f aca="false">AS$4*AS47</f>
        <v>0</v>
      </c>
      <c r="AT152" s="200" t="n">
        <f aca="false">AT$4*AT47</f>
        <v>0</v>
      </c>
      <c r="AU152" s="194" t="str">
        <f aca="false">AJ152</f>
        <v>Alumno42</v>
      </c>
      <c r="AV152" s="198" t="n">
        <f aca="false">AV$4*AV47</f>
        <v>0</v>
      </c>
      <c r="AW152" s="199" t="n">
        <f aca="false">AW$4*AW47</f>
        <v>0</v>
      </c>
      <c r="AX152" s="199" t="n">
        <f aca="false">AX$4*AX47</f>
        <v>0</v>
      </c>
      <c r="AY152" s="199" t="n">
        <f aca="false">AY$4*AY47</f>
        <v>0</v>
      </c>
      <c r="AZ152" s="199" t="n">
        <f aca="false">AZ$4*AZ47</f>
        <v>0</v>
      </c>
      <c r="BA152" s="199" t="n">
        <f aca="false">BA$4*BA47</f>
        <v>0</v>
      </c>
      <c r="BB152" s="199" t="n">
        <f aca="false">BB$4*BB47</f>
        <v>0</v>
      </c>
      <c r="BC152" s="199" t="n">
        <f aca="false">BC$4*BC47</f>
        <v>0</v>
      </c>
      <c r="BD152" s="199" t="n">
        <f aca="false">BD$4*BD47</f>
        <v>0</v>
      </c>
      <c r="BE152" s="200" t="n">
        <f aca="false">BE$4*BE47</f>
        <v>0</v>
      </c>
      <c r="BF152" s="194" t="str">
        <f aca="false">AU152</f>
        <v>Alumno42</v>
      </c>
      <c r="BG152" s="198" t="n">
        <f aca="false">BG$4*BG47</f>
        <v>0</v>
      </c>
      <c r="BH152" s="199" t="n">
        <f aca="false">BH$4*BH47</f>
        <v>0</v>
      </c>
      <c r="BI152" s="199" t="n">
        <f aca="false">BI$4*BI47</f>
        <v>0</v>
      </c>
      <c r="BJ152" s="199" t="n">
        <f aca="false">BJ$4*BJ47</f>
        <v>0</v>
      </c>
      <c r="BK152" s="199" t="n">
        <f aca="false">BK$4*BK47</f>
        <v>0</v>
      </c>
      <c r="BL152" s="199" t="n">
        <f aca="false">BL$4*BL47</f>
        <v>0</v>
      </c>
      <c r="BM152" s="199" t="n">
        <f aca="false">BM$4*BM47</f>
        <v>0</v>
      </c>
      <c r="BN152" s="199" t="n">
        <f aca="false">BN$4*BN47</f>
        <v>0</v>
      </c>
      <c r="BO152" s="199" t="n">
        <f aca="false">BO$4*BO47</f>
        <v>0</v>
      </c>
      <c r="BP152" s="200" t="n">
        <f aca="false">BP$4*BP47</f>
        <v>0</v>
      </c>
      <c r="BQ152" s="194" t="str">
        <f aca="false">BF152</f>
        <v>Alumno42</v>
      </c>
      <c r="BR152" s="198" t="n">
        <f aca="false">BR$4*BR47</f>
        <v>0</v>
      </c>
      <c r="BS152" s="199" t="n">
        <f aca="false">BS$4*BS47</f>
        <v>0</v>
      </c>
      <c r="BT152" s="199" t="n">
        <f aca="false">BT$4*BT47</f>
        <v>0</v>
      </c>
      <c r="BU152" s="199" t="n">
        <f aca="false">BU$4*BU47</f>
        <v>0</v>
      </c>
      <c r="BV152" s="199" t="n">
        <f aca="false">BV$4*BV47</f>
        <v>0</v>
      </c>
      <c r="BW152" s="199" t="n">
        <f aca="false">BW$4*BW47</f>
        <v>0</v>
      </c>
      <c r="BX152" s="199" t="n">
        <f aca="false">BX$4*BX47</f>
        <v>0</v>
      </c>
      <c r="BY152" s="199" t="n">
        <f aca="false">BY$4*BY47</f>
        <v>0</v>
      </c>
      <c r="BZ152" s="199" t="n">
        <f aca="false">BZ$4*BZ47</f>
        <v>0</v>
      </c>
      <c r="CA152" s="200" t="n">
        <f aca="false">CA$4*CA47</f>
        <v>0</v>
      </c>
      <c r="CB152" s="194" t="str">
        <f aca="false">BQ152</f>
        <v>Alumno42</v>
      </c>
      <c r="CC152" s="198" t="n">
        <f aca="false">CC$4*CC47</f>
        <v>0</v>
      </c>
      <c r="CD152" s="199" t="n">
        <f aca="false">CD$4*CD47</f>
        <v>0</v>
      </c>
      <c r="CE152" s="199" t="n">
        <f aca="false">CE$4*CE47</f>
        <v>0</v>
      </c>
      <c r="CF152" s="199" t="n">
        <f aca="false">CF$4*CF47</f>
        <v>0</v>
      </c>
      <c r="CG152" s="199" t="n">
        <f aca="false">CG$4*CG47</f>
        <v>0</v>
      </c>
      <c r="CH152" s="199" t="n">
        <f aca="false">CH$4*CH47</f>
        <v>0</v>
      </c>
      <c r="CI152" s="199" t="n">
        <f aca="false">CI$4*CI47</f>
        <v>0</v>
      </c>
      <c r="CJ152" s="199" t="n">
        <f aca="false">CJ$4*CJ47</f>
        <v>0</v>
      </c>
      <c r="CK152" s="199" t="n">
        <f aca="false">CK$4*CK47</f>
        <v>0</v>
      </c>
      <c r="CL152" s="200" t="n">
        <f aca="false">CL$4*CL47</f>
        <v>0</v>
      </c>
      <c r="CM152" s="194" t="str">
        <f aca="false">CB152</f>
        <v>Alumno42</v>
      </c>
      <c r="CN152" s="198" t="n">
        <f aca="false">CN$4*CN47</f>
        <v>0</v>
      </c>
      <c r="CO152" s="199" t="n">
        <f aca="false">CO$4*CO47</f>
        <v>0</v>
      </c>
      <c r="CP152" s="199" t="n">
        <f aca="false">CP$4*CP47</f>
        <v>0</v>
      </c>
      <c r="CQ152" s="199" t="n">
        <f aca="false">CQ$4*CQ47</f>
        <v>0</v>
      </c>
      <c r="CR152" s="199" t="n">
        <f aca="false">CR$4*CR47</f>
        <v>0</v>
      </c>
      <c r="CS152" s="199" t="n">
        <f aca="false">CS$4*CS47</f>
        <v>0</v>
      </c>
      <c r="CT152" s="199" t="n">
        <f aca="false">CT$4*CT47</f>
        <v>0</v>
      </c>
      <c r="CU152" s="199" t="n">
        <f aca="false">CU$4*CU47</f>
        <v>0</v>
      </c>
      <c r="CV152" s="199" t="n">
        <f aca="false">CV$4*CV47</f>
        <v>0</v>
      </c>
      <c r="CW152" s="200" t="n">
        <f aca="false">CW$4*CW47</f>
        <v>0</v>
      </c>
      <c r="CX152" s="194" t="str">
        <f aca="false">CM152</f>
        <v>Alumno42</v>
      </c>
      <c r="CY152" s="198" t="n">
        <f aca="false">CY$4*CY47</f>
        <v>0</v>
      </c>
      <c r="CZ152" s="199" t="n">
        <f aca="false">CZ$4*CZ47</f>
        <v>0</v>
      </c>
      <c r="DA152" s="199" t="n">
        <f aca="false">DA$4*DA47</f>
        <v>0</v>
      </c>
      <c r="DB152" s="199" t="n">
        <f aca="false">DB$4*DB47</f>
        <v>0</v>
      </c>
      <c r="DC152" s="199" t="n">
        <f aca="false">DC$4*DC47</f>
        <v>0</v>
      </c>
      <c r="DD152" s="199" t="n">
        <f aca="false">DD$4*DD47</f>
        <v>0</v>
      </c>
      <c r="DE152" s="199" t="n">
        <f aca="false">DE$4*DE47</f>
        <v>0</v>
      </c>
      <c r="DF152" s="199" t="n">
        <f aca="false">DF$4*DF47</f>
        <v>0</v>
      </c>
      <c r="DG152" s="199" t="n">
        <f aca="false">DG$4*DG47</f>
        <v>0</v>
      </c>
      <c r="DH152" s="200" t="n">
        <f aca="false">DH$4*DH47</f>
        <v>0</v>
      </c>
      <c r="DI152" s="194" t="str">
        <f aca="false">CX152</f>
        <v>Alumno42</v>
      </c>
      <c r="DJ152" s="198" t="n">
        <f aca="false">DJ$4*DJ47</f>
        <v>0</v>
      </c>
      <c r="DK152" s="199" t="n">
        <f aca="false">DK$4*DK47</f>
        <v>0</v>
      </c>
      <c r="DL152" s="199" t="n">
        <f aca="false">DL$4*DL47</f>
        <v>0</v>
      </c>
      <c r="DM152" s="199" t="n">
        <f aca="false">DM$4*DM47</f>
        <v>0</v>
      </c>
      <c r="DN152" s="199" t="n">
        <f aca="false">DN$4*DN47</f>
        <v>0</v>
      </c>
      <c r="DO152" s="199" t="n">
        <f aca="false">DO$4*DO47</f>
        <v>0</v>
      </c>
      <c r="DP152" s="199" t="n">
        <f aca="false">DP$4*DP47</f>
        <v>0</v>
      </c>
      <c r="DQ152" s="199" t="n">
        <f aca="false">DQ$4*DQ47</f>
        <v>0</v>
      </c>
      <c r="DR152" s="199" t="n">
        <f aca="false">DR$4*DR47</f>
        <v>0</v>
      </c>
      <c r="DS152" s="200" t="n">
        <f aca="false">DS$4*DS47</f>
        <v>0</v>
      </c>
      <c r="DT152" s="194" t="str">
        <f aca="false">DI152</f>
        <v>Alumno42</v>
      </c>
      <c r="DU152" s="198" t="n">
        <f aca="false">DU$4*DU47</f>
        <v>0</v>
      </c>
      <c r="DV152" s="199" t="n">
        <f aca="false">DV$4*DV47</f>
        <v>0</v>
      </c>
      <c r="DW152" s="199" t="n">
        <f aca="false">DW$4*DW47</f>
        <v>0</v>
      </c>
      <c r="DX152" s="199" t="n">
        <f aca="false">DX$4*DX47</f>
        <v>0</v>
      </c>
      <c r="DY152" s="199" t="n">
        <f aca="false">DY$4*DY47</f>
        <v>0</v>
      </c>
      <c r="DZ152" s="199" t="n">
        <f aca="false">DZ$4*DZ47</f>
        <v>0</v>
      </c>
      <c r="EA152" s="199" t="n">
        <f aca="false">EA$4*EA47</f>
        <v>0</v>
      </c>
      <c r="EB152" s="199" t="n">
        <f aca="false">EB$4*EB47</f>
        <v>0</v>
      </c>
      <c r="EC152" s="199" t="n">
        <f aca="false">EC$4*EC47</f>
        <v>0</v>
      </c>
      <c r="ED152" s="200" t="n">
        <f aca="false">ED$4*ED47</f>
        <v>0</v>
      </c>
      <c r="EE152" s="194" t="str">
        <f aca="false">DT152</f>
        <v>Alumno42</v>
      </c>
      <c r="EF152" s="198" t="n">
        <f aca="false">EF$4*EF47</f>
        <v>0</v>
      </c>
      <c r="EG152" s="199" t="n">
        <f aca="false">EG$4*EG47</f>
        <v>0</v>
      </c>
      <c r="EH152" s="199" t="n">
        <f aca="false">EH$4*EH47</f>
        <v>0</v>
      </c>
      <c r="EI152" s="199" t="n">
        <f aca="false">EI$4*EI47</f>
        <v>0</v>
      </c>
      <c r="EJ152" s="199" t="n">
        <f aca="false">EJ$4*EJ47</f>
        <v>0</v>
      </c>
      <c r="EK152" s="199" t="n">
        <f aca="false">EK$4*EK47</f>
        <v>0</v>
      </c>
      <c r="EL152" s="199" t="n">
        <f aca="false">EL$4*EL47</f>
        <v>0</v>
      </c>
      <c r="EM152" s="199" t="n">
        <f aca="false">EM$4*EM47</f>
        <v>0</v>
      </c>
      <c r="EN152" s="199" t="n">
        <f aca="false">EN$4*EN47</f>
        <v>0</v>
      </c>
      <c r="EO152" s="200" t="n">
        <f aca="false">EO$4*EO47</f>
        <v>0</v>
      </c>
      <c r="EP152" s="194" t="str">
        <f aca="false">EE152</f>
        <v>Alumno42</v>
      </c>
      <c r="EQ152" s="198" t="n">
        <f aca="false">EQ$4*EQ47</f>
        <v>0</v>
      </c>
      <c r="ER152" s="199" t="n">
        <f aca="false">ER$4*ER47</f>
        <v>0</v>
      </c>
      <c r="ES152" s="199" t="n">
        <f aca="false">ES$4*ES47</f>
        <v>0</v>
      </c>
      <c r="ET152" s="199" t="n">
        <f aca="false">ET$4*ET47</f>
        <v>0</v>
      </c>
      <c r="EU152" s="199" t="n">
        <f aca="false">EU$4*EU47</f>
        <v>0</v>
      </c>
      <c r="EV152" s="199" t="n">
        <f aca="false">EV$4*EV47</f>
        <v>0</v>
      </c>
      <c r="EW152" s="199" t="n">
        <f aca="false">EW$4*EW47</f>
        <v>0</v>
      </c>
      <c r="EX152" s="199" t="n">
        <f aca="false">EX$4*EX47</f>
        <v>0</v>
      </c>
      <c r="EY152" s="199" t="n">
        <f aca="false">EY$4*EY47</f>
        <v>0</v>
      </c>
      <c r="EZ152" s="200" t="n">
        <f aca="false">EZ$4*EZ47</f>
        <v>0</v>
      </c>
      <c r="FA152" s="194" t="str">
        <f aca="false">EP152</f>
        <v>Alumno42</v>
      </c>
      <c r="FB152" s="198" t="n">
        <f aca="false">FB$4*FB47</f>
        <v>0</v>
      </c>
      <c r="FC152" s="199" t="n">
        <f aca="false">FC$4*FC47</f>
        <v>0</v>
      </c>
      <c r="FD152" s="199" t="n">
        <f aca="false">FD$4*FD47</f>
        <v>0</v>
      </c>
      <c r="FE152" s="199" t="n">
        <f aca="false">FE$4*FE47</f>
        <v>0</v>
      </c>
      <c r="FF152" s="199" t="n">
        <f aca="false">FF$4*FF47</f>
        <v>0</v>
      </c>
      <c r="FG152" s="199" t="n">
        <f aca="false">FG$4*FG47</f>
        <v>0</v>
      </c>
      <c r="FH152" s="199" t="n">
        <f aca="false">FH$4*FH47</f>
        <v>0</v>
      </c>
      <c r="FI152" s="199" t="n">
        <f aca="false">FI$4*FI47</f>
        <v>0</v>
      </c>
      <c r="FJ152" s="199" t="n">
        <f aca="false">FJ$4*FJ47</f>
        <v>0</v>
      </c>
      <c r="FK152" s="200" t="n">
        <f aca="false">FK$4*FK47</f>
        <v>0</v>
      </c>
      <c r="FL152" s="194" t="str">
        <f aca="false">FA152</f>
        <v>Alumno42</v>
      </c>
      <c r="FM152" s="198" t="n">
        <f aca="false">FM$4*FM47</f>
        <v>0</v>
      </c>
      <c r="FN152" s="199" t="n">
        <f aca="false">FN$4*FN47</f>
        <v>0</v>
      </c>
      <c r="FO152" s="199" t="n">
        <f aca="false">FO$4*FO47</f>
        <v>0</v>
      </c>
      <c r="FP152" s="199" t="n">
        <f aca="false">FP$4*FP47</f>
        <v>0</v>
      </c>
      <c r="FQ152" s="199" t="n">
        <f aca="false">FQ$4*FQ47</f>
        <v>0</v>
      </c>
      <c r="FR152" s="199" t="n">
        <f aca="false">FR$4*FR47</f>
        <v>0</v>
      </c>
      <c r="FS152" s="199" t="n">
        <f aca="false">FS$4*FS47</f>
        <v>0</v>
      </c>
      <c r="FT152" s="199" t="n">
        <f aca="false">FT$4*FT47</f>
        <v>0</v>
      </c>
      <c r="FU152" s="199" t="n">
        <f aca="false">FU$4*FU47</f>
        <v>0</v>
      </c>
      <c r="FV152" s="200" t="n">
        <f aca="false">FV$4*FV47</f>
        <v>0</v>
      </c>
      <c r="FW152" s="194" t="str">
        <f aca="false">FL152</f>
        <v>Alumno42</v>
      </c>
      <c r="FX152" s="198" t="n">
        <f aca="false">FX$4*FX47</f>
        <v>0</v>
      </c>
      <c r="FY152" s="199" t="n">
        <f aca="false">FY$4*FY47</f>
        <v>0</v>
      </c>
      <c r="FZ152" s="199" t="n">
        <f aca="false">FZ$4*FZ47</f>
        <v>0</v>
      </c>
      <c r="GA152" s="199" t="n">
        <f aca="false">GA$4*GA47</f>
        <v>0</v>
      </c>
      <c r="GB152" s="199" t="n">
        <f aca="false">GB$4*GB47</f>
        <v>0</v>
      </c>
      <c r="GC152" s="199" t="n">
        <f aca="false">GC$4*GC47</f>
        <v>0</v>
      </c>
      <c r="GD152" s="199" t="n">
        <f aca="false">GD$4*GD47</f>
        <v>0</v>
      </c>
      <c r="GE152" s="199" t="n">
        <f aca="false">GE$4*GE47</f>
        <v>0</v>
      </c>
      <c r="GF152" s="199" t="n">
        <f aca="false">GF$4*GF47</f>
        <v>0</v>
      </c>
      <c r="GG152" s="200" t="n">
        <f aca="false">GG$4*GG47</f>
        <v>0</v>
      </c>
      <c r="GH152" s="194" t="str">
        <f aca="false">FW152</f>
        <v>Alumno42</v>
      </c>
      <c r="GI152" s="198" t="n">
        <f aca="false">GI$4*GI47</f>
        <v>0</v>
      </c>
      <c r="GJ152" s="199" t="n">
        <f aca="false">GJ$4*GJ47</f>
        <v>0</v>
      </c>
      <c r="GK152" s="199" t="n">
        <f aca="false">GK$4*GK47</f>
        <v>0</v>
      </c>
      <c r="GL152" s="199" t="n">
        <f aca="false">GL$4*GL47</f>
        <v>0</v>
      </c>
      <c r="GM152" s="199" t="n">
        <f aca="false">GM$4*GM47</f>
        <v>0</v>
      </c>
      <c r="GN152" s="199" t="n">
        <f aca="false">GN$4*GN47</f>
        <v>0</v>
      </c>
      <c r="GO152" s="199" t="n">
        <f aca="false">GO$4*GO47</f>
        <v>0</v>
      </c>
      <c r="GP152" s="199" t="n">
        <f aca="false">GP$4*GP47</f>
        <v>0</v>
      </c>
      <c r="GQ152" s="199" t="n">
        <f aca="false">GQ$4*GQ47</f>
        <v>0</v>
      </c>
      <c r="GR152" s="200" t="n">
        <f aca="false">GR$4*GR47</f>
        <v>0</v>
      </c>
      <c r="GS152" s="194" t="str">
        <f aca="false">GH152</f>
        <v>Alumno42</v>
      </c>
      <c r="GT152" s="198" t="n">
        <f aca="false">GT$4*GT47</f>
        <v>0</v>
      </c>
      <c r="GU152" s="199" t="n">
        <f aca="false">GU$4*GU47</f>
        <v>0</v>
      </c>
      <c r="GV152" s="199" t="n">
        <f aca="false">GV$4*GV47</f>
        <v>0</v>
      </c>
      <c r="GW152" s="199" t="n">
        <f aca="false">GW$4*GW47</f>
        <v>0</v>
      </c>
      <c r="GX152" s="199" t="n">
        <f aca="false">GX$4*GX47</f>
        <v>0</v>
      </c>
      <c r="GY152" s="199" t="n">
        <f aca="false">GY$4*GY47</f>
        <v>0</v>
      </c>
      <c r="GZ152" s="199" t="n">
        <f aca="false">GZ$4*GZ47</f>
        <v>0</v>
      </c>
      <c r="HA152" s="199" t="n">
        <f aca="false">HA$4*HA47</f>
        <v>0</v>
      </c>
      <c r="HB152" s="199" t="n">
        <f aca="false">HB$4*HB47</f>
        <v>0</v>
      </c>
      <c r="HC152" s="200" t="n">
        <f aca="false">HC$4*HC47</f>
        <v>0</v>
      </c>
      <c r="HD152" s="194" t="str">
        <f aca="false">GS152</f>
        <v>Alumno42</v>
      </c>
      <c r="HE152" s="198" t="n">
        <f aca="false">HE$4*HE47</f>
        <v>0</v>
      </c>
      <c r="HF152" s="199" t="n">
        <f aca="false">HF$4*HF47</f>
        <v>0</v>
      </c>
      <c r="HG152" s="199" t="n">
        <f aca="false">HG$4*HG47</f>
        <v>0</v>
      </c>
      <c r="HH152" s="199" t="n">
        <f aca="false">HH$4*HH47</f>
        <v>0</v>
      </c>
      <c r="HI152" s="199" t="n">
        <f aca="false">HI$4*HI47</f>
        <v>0</v>
      </c>
      <c r="HJ152" s="199" t="n">
        <f aca="false">HJ$4*HJ47</f>
        <v>0</v>
      </c>
      <c r="HK152" s="199" t="n">
        <f aca="false">HK$4*HK47</f>
        <v>0</v>
      </c>
      <c r="HL152" s="199" t="n">
        <f aca="false">HL$4*HL47</f>
        <v>0</v>
      </c>
      <c r="HM152" s="199" t="n">
        <f aca="false">HM$4*HM47</f>
        <v>0</v>
      </c>
      <c r="HN152" s="200" t="n">
        <f aca="false">HN$4*HN47</f>
        <v>0</v>
      </c>
      <c r="HO152" s="194" t="str">
        <f aca="false">HD152</f>
        <v>Alumno42</v>
      </c>
      <c r="HP152" s="198" t="n">
        <f aca="false">HP$4*HP47</f>
        <v>0</v>
      </c>
      <c r="HQ152" s="199" t="n">
        <f aca="false">HQ$4*HQ47</f>
        <v>0</v>
      </c>
      <c r="HR152" s="199" t="n">
        <f aca="false">HR$4*HR47</f>
        <v>0</v>
      </c>
      <c r="HS152" s="199" t="n">
        <f aca="false">HS$4*HS47</f>
        <v>0</v>
      </c>
      <c r="HT152" s="199" t="n">
        <f aca="false">HT$4*HT47</f>
        <v>0</v>
      </c>
      <c r="HU152" s="199" t="n">
        <f aca="false">HU$4*HU47</f>
        <v>0</v>
      </c>
      <c r="HV152" s="199" t="n">
        <f aca="false">HV$4*HV47</f>
        <v>0</v>
      </c>
      <c r="HW152" s="199" t="n">
        <f aca="false">HW$4*HW47</f>
        <v>0</v>
      </c>
      <c r="HX152" s="199" t="n">
        <f aca="false">HX$4*HX47</f>
        <v>0</v>
      </c>
      <c r="HY152" s="200" t="n">
        <f aca="false">HY$4*HY47</f>
        <v>0</v>
      </c>
      <c r="HZ152" s="194" t="str">
        <f aca="false">HO152</f>
        <v>Alumno42</v>
      </c>
      <c r="IA152" s="198" t="n">
        <f aca="false">IA$4*IA47</f>
        <v>0</v>
      </c>
      <c r="IB152" s="199" t="n">
        <f aca="false">IB$4*IB47</f>
        <v>0</v>
      </c>
      <c r="IC152" s="199" t="n">
        <f aca="false">IC$4*IC47</f>
        <v>0</v>
      </c>
      <c r="ID152" s="199" t="n">
        <f aca="false">ID$4*ID47</f>
        <v>0</v>
      </c>
      <c r="IE152" s="199" t="n">
        <f aca="false">IE$4*IE47</f>
        <v>0</v>
      </c>
      <c r="IF152" s="199" t="n">
        <f aca="false">IF$4*IF47</f>
        <v>0</v>
      </c>
      <c r="IG152" s="199" t="n">
        <f aca="false">IG$4*IG47</f>
        <v>0</v>
      </c>
      <c r="IH152" s="199" t="n">
        <f aca="false">IH$4*IH47</f>
        <v>0</v>
      </c>
      <c r="II152" s="199" t="n">
        <f aca="false">II$4*II47</f>
        <v>0</v>
      </c>
      <c r="IJ152" s="200" t="n">
        <f aca="false">IJ$4*IJ47</f>
        <v>0</v>
      </c>
      <c r="IK152" s="194" t="str">
        <f aca="false">HZ152</f>
        <v>Alumno42</v>
      </c>
      <c r="IL152" s="198" t="n">
        <f aca="false">IL$4*IL47</f>
        <v>0</v>
      </c>
      <c r="IM152" s="199" t="n">
        <f aca="false">IM$4*IM47</f>
        <v>0</v>
      </c>
      <c r="IN152" s="199" t="n">
        <f aca="false">IN$4*IN47</f>
        <v>0</v>
      </c>
      <c r="IO152" s="199" t="n">
        <f aca="false">IO$4*IO47</f>
        <v>0</v>
      </c>
      <c r="IP152" s="199" t="n">
        <f aca="false">IP$4*IP47</f>
        <v>0</v>
      </c>
      <c r="IQ152" s="199" t="n">
        <f aca="false">IQ$4*IQ47</f>
        <v>0</v>
      </c>
      <c r="IR152" s="199" t="n">
        <f aca="false">IR$4*IR47</f>
        <v>0</v>
      </c>
      <c r="IS152" s="199" t="n">
        <f aca="false">IS$4*IS47</f>
        <v>0</v>
      </c>
      <c r="IT152" s="199" t="n">
        <f aca="false">IT$4*IT47</f>
        <v>0</v>
      </c>
      <c r="IU152" s="200" t="n">
        <f aca="false">IU$4*IU47</f>
        <v>0</v>
      </c>
      <c r="IV152" s="194" t="str">
        <f aca="false">IK152</f>
        <v>Alumno42</v>
      </c>
      <c r="IW152" s="198" t="n">
        <f aca="false">IW$4*IW47</f>
        <v>0</v>
      </c>
      <c r="IX152" s="199" t="n">
        <f aca="false">IX$4*IX47</f>
        <v>0</v>
      </c>
      <c r="IY152" s="199" t="n">
        <f aca="false">IY$4*IY47</f>
        <v>0</v>
      </c>
      <c r="IZ152" s="199" t="n">
        <f aca="false">IZ$4*IZ47</f>
        <v>0</v>
      </c>
      <c r="JA152" s="199" t="n">
        <f aca="false">JA$4*JA47</f>
        <v>0</v>
      </c>
      <c r="JB152" s="199" t="n">
        <f aca="false">JB$4*JB47</f>
        <v>0</v>
      </c>
      <c r="JC152" s="199" t="n">
        <f aca="false">JC$4*JC47</f>
        <v>0</v>
      </c>
      <c r="JD152" s="199" t="n">
        <f aca="false">JD$4*JD47</f>
        <v>0</v>
      </c>
      <c r="JE152" s="199" t="n">
        <f aca="false">JE$4*JE47</f>
        <v>0</v>
      </c>
      <c r="JF152" s="200" t="n">
        <f aca="false">JF$4*JF47</f>
        <v>0</v>
      </c>
      <c r="JG152" s="194" t="str">
        <f aca="false">IV152</f>
        <v>Alumno42</v>
      </c>
      <c r="JH152" s="198" t="n">
        <f aca="false">JH$4*JH47</f>
        <v>0</v>
      </c>
      <c r="JI152" s="199" t="n">
        <f aca="false">JI$4*JI47</f>
        <v>0</v>
      </c>
      <c r="JJ152" s="199" t="n">
        <f aca="false">JJ$4*JJ47</f>
        <v>0</v>
      </c>
      <c r="JK152" s="199" t="n">
        <f aca="false">JK$4*JK47</f>
        <v>0</v>
      </c>
      <c r="JL152" s="199" t="n">
        <f aca="false">JL$4*JL47</f>
        <v>0</v>
      </c>
      <c r="JM152" s="199" t="n">
        <f aca="false">JM$4*JM47</f>
        <v>0</v>
      </c>
      <c r="JN152" s="199" t="n">
        <f aca="false">JN$4*JN47</f>
        <v>0</v>
      </c>
      <c r="JO152" s="199" t="n">
        <f aca="false">JO$4*JO47</f>
        <v>0</v>
      </c>
      <c r="JP152" s="199" t="n">
        <f aca="false">JP$4*JP47</f>
        <v>0</v>
      </c>
      <c r="JQ152" s="200" t="n">
        <f aca="false">JQ$4*JQ47</f>
        <v>0</v>
      </c>
      <c r="JR152" s="194" t="str">
        <f aca="false">JG152</f>
        <v>Alumno42</v>
      </c>
      <c r="JS152" s="198" t="n">
        <f aca="false">JS$4*JS47</f>
        <v>0</v>
      </c>
      <c r="JT152" s="199" t="n">
        <f aca="false">JT$4*JT47</f>
        <v>0</v>
      </c>
      <c r="JU152" s="199" t="n">
        <f aca="false">JU$4*JU47</f>
        <v>0</v>
      </c>
      <c r="JV152" s="199" t="n">
        <f aca="false">JV$4*JV47</f>
        <v>0</v>
      </c>
      <c r="JW152" s="199" t="n">
        <f aca="false">JW$4*JW47</f>
        <v>0</v>
      </c>
      <c r="JX152" s="199" t="n">
        <f aca="false">JX$4*JX47</f>
        <v>0</v>
      </c>
      <c r="JY152" s="199" t="n">
        <f aca="false">JY$4*JY47</f>
        <v>0</v>
      </c>
      <c r="JZ152" s="199" t="n">
        <f aca="false">JZ$4*JZ47</f>
        <v>0</v>
      </c>
      <c r="KA152" s="199" t="n">
        <f aca="false">KA$4*KA47</f>
        <v>0</v>
      </c>
      <c r="KB152" s="200" t="n">
        <f aca="false">KB$4*KB47</f>
        <v>0</v>
      </c>
      <c r="KC152" s="194" t="str">
        <f aca="false">JR152</f>
        <v>Alumno42</v>
      </c>
      <c r="KD152" s="198" t="n">
        <f aca="false">KD$4*KD47</f>
        <v>0</v>
      </c>
      <c r="KE152" s="199" t="n">
        <f aca="false">KE$4*KE47</f>
        <v>0</v>
      </c>
      <c r="KF152" s="199" t="n">
        <f aca="false">KF$4*KF47</f>
        <v>0</v>
      </c>
      <c r="KG152" s="199" t="n">
        <f aca="false">KG$4*KG47</f>
        <v>0</v>
      </c>
      <c r="KH152" s="199" t="n">
        <f aca="false">KH$4*KH47</f>
        <v>0</v>
      </c>
      <c r="KI152" s="199" t="n">
        <f aca="false">KI$4*KI47</f>
        <v>0</v>
      </c>
      <c r="KJ152" s="199" t="n">
        <f aca="false">KJ$4*KJ47</f>
        <v>0</v>
      </c>
      <c r="KK152" s="199" t="n">
        <f aca="false">KK$4*KK47</f>
        <v>0</v>
      </c>
      <c r="KL152" s="199" t="n">
        <f aca="false">KL$4*KL47</f>
        <v>0</v>
      </c>
      <c r="KM152" s="200" t="n">
        <f aca="false">KM$4*KM47</f>
        <v>0</v>
      </c>
      <c r="KN152" s="194" t="str">
        <f aca="false">KC152</f>
        <v>Alumno42</v>
      </c>
      <c r="KO152" s="198" t="n">
        <f aca="false">KO$4*KO47</f>
        <v>0</v>
      </c>
      <c r="KP152" s="199" t="n">
        <f aca="false">KP$4*KP47</f>
        <v>0</v>
      </c>
      <c r="KQ152" s="199" t="n">
        <f aca="false">KQ$4*KQ47</f>
        <v>0</v>
      </c>
      <c r="KR152" s="199" t="n">
        <f aca="false">KR$4*KR47</f>
        <v>0</v>
      </c>
      <c r="KS152" s="199" t="n">
        <f aca="false">KS$4*KS47</f>
        <v>0</v>
      </c>
      <c r="KT152" s="199" t="n">
        <f aca="false">KT$4*KT47</f>
        <v>0</v>
      </c>
      <c r="KU152" s="199" t="n">
        <f aca="false">KU$4*KU47</f>
        <v>0</v>
      </c>
      <c r="KV152" s="199" t="n">
        <f aca="false">KV$4*KV47</f>
        <v>0</v>
      </c>
      <c r="KW152" s="199" t="n">
        <f aca="false">KW$4*KW47</f>
        <v>0</v>
      </c>
      <c r="KX152" s="200" t="n">
        <f aca="false">KX$4*KX47</f>
        <v>0</v>
      </c>
      <c r="KY152" s="194" t="str">
        <f aca="false">KN152</f>
        <v>Alumno42</v>
      </c>
      <c r="KZ152" s="198" t="n">
        <f aca="false">KZ$4*KZ47</f>
        <v>0</v>
      </c>
      <c r="LA152" s="199" t="n">
        <f aca="false">LA$4*LA47</f>
        <v>0</v>
      </c>
      <c r="LB152" s="199" t="n">
        <f aca="false">LB$4*LB47</f>
        <v>0</v>
      </c>
      <c r="LC152" s="199" t="n">
        <f aca="false">LC$4*LC47</f>
        <v>0</v>
      </c>
      <c r="LD152" s="199" t="n">
        <f aca="false">LD$4*LD47</f>
        <v>0</v>
      </c>
      <c r="LE152" s="199" t="n">
        <f aca="false">LE$4*LE47</f>
        <v>0</v>
      </c>
      <c r="LF152" s="199" t="n">
        <f aca="false">LF$4*LF47</f>
        <v>0</v>
      </c>
      <c r="LG152" s="199" t="n">
        <f aca="false">LG$4*LG47</f>
        <v>0</v>
      </c>
      <c r="LH152" s="199" t="n">
        <f aca="false">LH$4*LH47</f>
        <v>0</v>
      </c>
      <c r="LI152" s="200" t="n">
        <f aca="false">LI$4*LI47</f>
        <v>0</v>
      </c>
      <c r="LJ152" s="194" t="str">
        <f aca="false">KY152</f>
        <v>Alumno42</v>
      </c>
      <c r="LK152" s="198" t="n">
        <f aca="false">LK$4*LK47</f>
        <v>0</v>
      </c>
      <c r="LL152" s="199" t="n">
        <f aca="false">LL$4*LL47</f>
        <v>0</v>
      </c>
      <c r="LM152" s="199" t="n">
        <f aca="false">LM$4*LM47</f>
        <v>0</v>
      </c>
      <c r="LN152" s="199" t="n">
        <f aca="false">LN$4*LN47</f>
        <v>0</v>
      </c>
      <c r="LO152" s="199" t="n">
        <f aca="false">LO$4*LO47</f>
        <v>0</v>
      </c>
      <c r="LP152" s="199" t="n">
        <f aca="false">LP$4*LP47</f>
        <v>0</v>
      </c>
      <c r="LQ152" s="199" t="n">
        <f aca="false">LQ$4*LQ47</f>
        <v>0</v>
      </c>
      <c r="LR152" s="199" t="n">
        <f aca="false">LR$4*LR47</f>
        <v>0</v>
      </c>
      <c r="LS152" s="199" t="n">
        <f aca="false">LS$4*LS47</f>
        <v>0</v>
      </c>
      <c r="LT152" s="200" t="n">
        <f aca="false">LT$4*LT47</f>
        <v>0</v>
      </c>
    </row>
    <row r="153" customFormat="false" ht="15" hidden="true" customHeight="false" outlineLevel="0" collapsed="false">
      <c r="C153" s="194" t="str">
        <f aca="false">C104</f>
        <v>Alumno43</v>
      </c>
      <c r="D153" s="198" t="n">
        <f aca="false">D$4*D48</f>
        <v>0</v>
      </c>
      <c r="E153" s="199" t="n">
        <f aca="false">E$4*E48</f>
        <v>0</v>
      </c>
      <c r="F153" s="199" t="n">
        <f aca="false">F$4*F48</f>
        <v>0</v>
      </c>
      <c r="G153" s="199" t="n">
        <f aca="false">G$4*G48</f>
        <v>0</v>
      </c>
      <c r="H153" s="199" t="n">
        <f aca="false">H$4*H48</f>
        <v>0</v>
      </c>
      <c r="I153" s="199" t="n">
        <f aca="false">I$4*I48</f>
        <v>0</v>
      </c>
      <c r="J153" s="199" t="n">
        <f aca="false">J$4*J48</f>
        <v>0</v>
      </c>
      <c r="K153" s="199" t="n">
        <f aca="false">K$4*K48</f>
        <v>0</v>
      </c>
      <c r="L153" s="199" t="n">
        <f aca="false">L$4*L48</f>
        <v>0</v>
      </c>
      <c r="M153" s="200" t="n">
        <f aca="false">M$4*M48</f>
        <v>0</v>
      </c>
      <c r="N153" s="194" t="str">
        <f aca="false">C153</f>
        <v>Alumno43</v>
      </c>
      <c r="O153" s="198" t="n">
        <f aca="false">O$4*O48</f>
        <v>0</v>
      </c>
      <c r="P153" s="199" t="n">
        <f aca="false">P$4*P48</f>
        <v>0</v>
      </c>
      <c r="Q153" s="199" t="n">
        <f aca="false">Q$4*Q48</f>
        <v>0</v>
      </c>
      <c r="R153" s="199" t="n">
        <f aca="false">R$4*R48</f>
        <v>0</v>
      </c>
      <c r="S153" s="199" t="n">
        <f aca="false">S$4*S48</f>
        <v>0</v>
      </c>
      <c r="T153" s="199" t="n">
        <f aca="false">T$4*T48</f>
        <v>0</v>
      </c>
      <c r="U153" s="199" t="n">
        <f aca="false">U$4*U48</f>
        <v>0</v>
      </c>
      <c r="V153" s="199" t="n">
        <f aca="false">V$4*V48</f>
        <v>0</v>
      </c>
      <c r="W153" s="199" t="n">
        <f aca="false">W$4*W48</f>
        <v>0</v>
      </c>
      <c r="X153" s="200" t="n">
        <f aca="false">X$4*X48</f>
        <v>0</v>
      </c>
      <c r="Y153" s="194" t="str">
        <f aca="false">N153</f>
        <v>Alumno43</v>
      </c>
      <c r="Z153" s="198" t="n">
        <f aca="false">Z$4*Z48</f>
        <v>0</v>
      </c>
      <c r="AA153" s="199" t="n">
        <f aca="false">AA$4*AA48</f>
        <v>0</v>
      </c>
      <c r="AB153" s="199" t="n">
        <f aca="false">AB$4*AB48</f>
        <v>0</v>
      </c>
      <c r="AC153" s="199" t="n">
        <f aca="false">AC$4*AC48</f>
        <v>0</v>
      </c>
      <c r="AD153" s="199" t="n">
        <f aca="false">AD$4*AD48</f>
        <v>0</v>
      </c>
      <c r="AE153" s="199" t="n">
        <f aca="false">AE$4*AE48</f>
        <v>0</v>
      </c>
      <c r="AF153" s="199" t="n">
        <f aca="false">AF$4*AF48</f>
        <v>0</v>
      </c>
      <c r="AG153" s="199" t="n">
        <f aca="false">AG$4*AG48</f>
        <v>0</v>
      </c>
      <c r="AH153" s="199" t="n">
        <f aca="false">AH$4*AH48</f>
        <v>0</v>
      </c>
      <c r="AI153" s="200" t="n">
        <f aca="false">AI$4*AI48</f>
        <v>0</v>
      </c>
      <c r="AJ153" s="194" t="str">
        <f aca="false">Y153</f>
        <v>Alumno43</v>
      </c>
      <c r="AK153" s="198" t="n">
        <f aca="false">AK$4*AK48</f>
        <v>0</v>
      </c>
      <c r="AL153" s="199" t="n">
        <f aca="false">AL$4*AL48</f>
        <v>0</v>
      </c>
      <c r="AM153" s="199" t="n">
        <f aca="false">AM$4*AM48</f>
        <v>0</v>
      </c>
      <c r="AN153" s="199" t="n">
        <f aca="false">AN$4*AN48</f>
        <v>0</v>
      </c>
      <c r="AO153" s="199" t="n">
        <f aca="false">AO$4*AO48</f>
        <v>0</v>
      </c>
      <c r="AP153" s="199" t="n">
        <f aca="false">AP$4*AP48</f>
        <v>0</v>
      </c>
      <c r="AQ153" s="199" t="n">
        <f aca="false">AQ$4*AQ48</f>
        <v>0</v>
      </c>
      <c r="AR153" s="199" t="n">
        <f aca="false">AR$4*AR48</f>
        <v>0</v>
      </c>
      <c r="AS153" s="199" t="n">
        <f aca="false">AS$4*AS48</f>
        <v>0</v>
      </c>
      <c r="AT153" s="200" t="n">
        <f aca="false">AT$4*AT48</f>
        <v>0</v>
      </c>
      <c r="AU153" s="194" t="str">
        <f aca="false">AJ153</f>
        <v>Alumno43</v>
      </c>
      <c r="AV153" s="198" t="n">
        <f aca="false">AV$4*AV48</f>
        <v>0</v>
      </c>
      <c r="AW153" s="199" t="n">
        <f aca="false">AW$4*AW48</f>
        <v>0</v>
      </c>
      <c r="AX153" s="199" t="n">
        <f aca="false">AX$4*AX48</f>
        <v>0</v>
      </c>
      <c r="AY153" s="199" t="n">
        <f aca="false">AY$4*AY48</f>
        <v>0</v>
      </c>
      <c r="AZ153" s="199" t="n">
        <f aca="false">AZ$4*AZ48</f>
        <v>0</v>
      </c>
      <c r="BA153" s="199" t="n">
        <f aca="false">BA$4*BA48</f>
        <v>0</v>
      </c>
      <c r="BB153" s="199" t="n">
        <f aca="false">BB$4*BB48</f>
        <v>0</v>
      </c>
      <c r="BC153" s="199" t="n">
        <f aca="false">BC$4*BC48</f>
        <v>0</v>
      </c>
      <c r="BD153" s="199" t="n">
        <f aca="false">BD$4*BD48</f>
        <v>0</v>
      </c>
      <c r="BE153" s="200" t="n">
        <f aca="false">BE$4*BE48</f>
        <v>0</v>
      </c>
      <c r="BF153" s="194" t="str">
        <f aca="false">AU153</f>
        <v>Alumno43</v>
      </c>
      <c r="BG153" s="198" t="n">
        <f aca="false">BG$4*BG48</f>
        <v>0</v>
      </c>
      <c r="BH153" s="199" t="n">
        <f aca="false">BH$4*BH48</f>
        <v>0</v>
      </c>
      <c r="BI153" s="199" t="n">
        <f aca="false">BI$4*BI48</f>
        <v>0</v>
      </c>
      <c r="BJ153" s="199" t="n">
        <f aca="false">BJ$4*BJ48</f>
        <v>0</v>
      </c>
      <c r="BK153" s="199" t="n">
        <f aca="false">BK$4*BK48</f>
        <v>0</v>
      </c>
      <c r="BL153" s="199" t="n">
        <f aca="false">BL$4*BL48</f>
        <v>0</v>
      </c>
      <c r="BM153" s="199" t="n">
        <f aca="false">BM$4*BM48</f>
        <v>0</v>
      </c>
      <c r="BN153" s="199" t="n">
        <f aca="false">BN$4*BN48</f>
        <v>0</v>
      </c>
      <c r="BO153" s="199" t="n">
        <f aca="false">BO$4*BO48</f>
        <v>0</v>
      </c>
      <c r="BP153" s="200" t="n">
        <f aca="false">BP$4*BP48</f>
        <v>0</v>
      </c>
      <c r="BQ153" s="194" t="str">
        <f aca="false">BF153</f>
        <v>Alumno43</v>
      </c>
      <c r="BR153" s="198" t="n">
        <f aca="false">BR$4*BR48</f>
        <v>0</v>
      </c>
      <c r="BS153" s="199" t="n">
        <f aca="false">BS$4*BS48</f>
        <v>0</v>
      </c>
      <c r="BT153" s="199" t="n">
        <f aca="false">BT$4*BT48</f>
        <v>0</v>
      </c>
      <c r="BU153" s="199" t="n">
        <f aca="false">BU$4*BU48</f>
        <v>0</v>
      </c>
      <c r="BV153" s="199" t="n">
        <f aca="false">BV$4*BV48</f>
        <v>0</v>
      </c>
      <c r="BW153" s="199" t="n">
        <f aca="false">BW$4*BW48</f>
        <v>0</v>
      </c>
      <c r="BX153" s="199" t="n">
        <f aca="false">BX$4*BX48</f>
        <v>0</v>
      </c>
      <c r="BY153" s="199" t="n">
        <f aca="false">BY$4*BY48</f>
        <v>0</v>
      </c>
      <c r="BZ153" s="199" t="n">
        <f aca="false">BZ$4*BZ48</f>
        <v>0</v>
      </c>
      <c r="CA153" s="200" t="n">
        <f aca="false">CA$4*CA48</f>
        <v>0</v>
      </c>
      <c r="CB153" s="194" t="str">
        <f aca="false">BQ153</f>
        <v>Alumno43</v>
      </c>
      <c r="CC153" s="198" t="n">
        <f aca="false">CC$4*CC48</f>
        <v>0</v>
      </c>
      <c r="CD153" s="199" t="n">
        <f aca="false">CD$4*CD48</f>
        <v>0</v>
      </c>
      <c r="CE153" s="199" t="n">
        <f aca="false">CE$4*CE48</f>
        <v>0</v>
      </c>
      <c r="CF153" s="199" t="n">
        <f aca="false">CF$4*CF48</f>
        <v>0</v>
      </c>
      <c r="CG153" s="199" t="n">
        <f aca="false">CG$4*CG48</f>
        <v>0</v>
      </c>
      <c r="CH153" s="199" t="n">
        <f aca="false">CH$4*CH48</f>
        <v>0</v>
      </c>
      <c r="CI153" s="199" t="n">
        <f aca="false">CI$4*CI48</f>
        <v>0</v>
      </c>
      <c r="CJ153" s="199" t="n">
        <f aca="false">CJ$4*CJ48</f>
        <v>0</v>
      </c>
      <c r="CK153" s="199" t="n">
        <f aca="false">CK$4*CK48</f>
        <v>0</v>
      </c>
      <c r="CL153" s="200" t="n">
        <f aca="false">CL$4*CL48</f>
        <v>0</v>
      </c>
      <c r="CM153" s="194" t="str">
        <f aca="false">CB153</f>
        <v>Alumno43</v>
      </c>
      <c r="CN153" s="198" t="n">
        <f aca="false">CN$4*CN48</f>
        <v>0</v>
      </c>
      <c r="CO153" s="199" t="n">
        <f aca="false">CO$4*CO48</f>
        <v>0</v>
      </c>
      <c r="CP153" s="199" t="n">
        <f aca="false">CP$4*CP48</f>
        <v>0</v>
      </c>
      <c r="CQ153" s="199" t="n">
        <f aca="false">CQ$4*CQ48</f>
        <v>0</v>
      </c>
      <c r="CR153" s="199" t="n">
        <f aca="false">CR$4*CR48</f>
        <v>0</v>
      </c>
      <c r="CS153" s="199" t="n">
        <f aca="false">CS$4*CS48</f>
        <v>0</v>
      </c>
      <c r="CT153" s="199" t="n">
        <f aca="false">CT$4*CT48</f>
        <v>0</v>
      </c>
      <c r="CU153" s="199" t="n">
        <f aca="false">CU$4*CU48</f>
        <v>0</v>
      </c>
      <c r="CV153" s="199" t="n">
        <f aca="false">CV$4*CV48</f>
        <v>0</v>
      </c>
      <c r="CW153" s="200" t="n">
        <f aca="false">CW$4*CW48</f>
        <v>0</v>
      </c>
      <c r="CX153" s="194" t="str">
        <f aca="false">CM153</f>
        <v>Alumno43</v>
      </c>
      <c r="CY153" s="198" t="n">
        <f aca="false">CY$4*CY48</f>
        <v>0</v>
      </c>
      <c r="CZ153" s="199" t="n">
        <f aca="false">CZ$4*CZ48</f>
        <v>0</v>
      </c>
      <c r="DA153" s="199" t="n">
        <f aca="false">DA$4*DA48</f>
        <v>0</v>
      </c>
      <c r="DB153" s="199" t="n">
        <f aca="false">DB$4*DB48</f>
        <v>0</v>
      </c>
      <c r="DC153" s="199" t="n">
        <f aca="false">DC$4*DC48</f>
        <v>0</v>
      </c>
      <c r="DD153" s="199" t="n">
        <f aca="false">DD$4*DD48</f>
        <v>0</v>
      </c>
      <c r="DE153" s="199" t="n">
        <f aca="false">DE$4*DE48</f>
        <v>0</v>
      </c>
      <c r="DF153" s="199" t="n">
        <f aca="false">DF$4*DF48</f>
        <v>0</v>
      </c>
      <c r="DG153" s="199" t="n">
        <f aca="false">DG$4*DG48</f>
        <v>0</v>
      </c>
      <c r="DH153" s="200" t="n">
        <f aca="false">DH$4*DH48</f>
        <v>0</v>
      </c>
      <c r="DI153" s="194" t="str">
        <f aca="false">CX153</f>
        <v>Alumno43</v>
      </c>
      <c r="DJ153" s="198" t="n">
        <f aca="false">DJ$4*DJ48</f>
        <v>0</v>
      </c>
      <c r="DK153" s="199" t="n">
        <f aca="false">DK$4*DK48</f>
        <v>0</v>
      </c>
      <c r="DL153" s="199" t="n">
        <f aca="false">DL$4*DL48</f>
        <v>0</v>
      </c>
      <c r="DM153" s="199" t="n">
        <f aca="false">DM$4*DM48</f>
        <v>0</v>
      </c>
      <c r="DN153" s="199" t="n">
        <f aca="false">DN$4*DN48</f>
        <v>0</v>
      </c>
      <c r="DO153" s="199" t="n">
        <f aca="false">DO$4*DO48</f>
        <v>0</v>
      </c>
      <c r="DP153" s="199" t="n">
        <f aca="false">DP$4*DP48</f>
        <v>0</v>
      </c>
      <c r="DQ153" s="199" t="n">
        <f aca="false">DQ$4*DQ48</f>
        <v>0</v>
      </c>
      <c r="DR153" s="199" t="n">
        <f aca="false">DR$4*DR48</f>
        <v>0</v>
      </c>
      <c r="DS153" s="200" t="n">
        <f aca="false">DS$4*DS48</f>
        <v>0</v>
      </c>
      <c r="DT153" s="194" t="str">
        <f aca="false">DI153</f>
        <v>Alumno43</v>
      </c>
      <c r="DU153" s="198" t="n">
        <f aca="false">DU$4*DU48</f>
        <v>0</v>
      </c>
      <c r="DV153" s="199" t="n">
        <f aca="false">DV$4*DV48</f>
        <v>0</v>
      </c>
      <c r="DW153" s="199" t="n">
        <f aca="false">DW$4*DW48</f>
        <v>0</v>
      </c>
      <c r="DX153" s="199" t="n">
        <f aca="false">DX$4*DX48</f>
        <v>0</v>
      </c>
      <c r="DY153" s="199" t="n">
        <f aca="false">DY$4*DY48</f>
        <v>0</v>
      </c>
      <c r="DZ153" s="199" t="n">
        <f aca="false">DZ$4*DZ48</f>
        <v>0</v>
      </c>
      <c r="EA153" s="199" t="n">
        <f aca="false">EA$4*EA48</f>
        <v>0</v>
      </c>
      <c r="EB153" s="199" t="n">
        <f aca="false">EB$4*EB48</f>
        <v>0</v>
      </c>
      <c r="EC153" s="199" t="n">
        <f aca="false">EC$4*EC48</f>
        <v>0</v>
      </c>
      <c r="ED153" s="200" t="n">
        <f aca="false">ED$4*ED48</f>
        <v>0</v>
      </c>
      <c r="EE153" s="194" t="str">
        <f aca="false">DT153</f>
        <v>Alumno43</v>
      </c>
      <c r="EF153" s="198" t="n">
        <f aca="false">EF$4*EF48</f>
        <v>0</v>
      </c>
      <c r="EG153" s="199" t="n">
        <f aca="false">EG$4*EG48</f>
        <v>0</v>
      </c>
      <c r="EH153" s="199" t="n">
        <f aca="false">EH$4*EH48</f>
        <v>0</v>
      </c>
      <c r="EI153" s="199" t="n">
        <f aca="false">EI$4*EI48</f>
        <v>0</v>
      </c>
      <c r="EJ153" s="199" t="n">
        <f aca="false">EJ$4*EJ48</f>
        <v>0</v>
      </c>
      <c r="EK153" s="199" t="n">
        <f aca="false">EK$4*EK48</f>
        <v>0</v>
      </c>
      <c r="EL153" s="199" t="n">
        <f aca="false">EL$4*EL48</f>
        <v>0</v>
      </c>
      <c r="EM153" s="199" t="n">
        <f aca="false">EM$4*EM48</f>
        <v>0</v>
      </c>
      <c r="EN153" s="199" t="n">
        <f aca="false">EN$4*EN48</f>
        <v>0</v>
      </c>
      <c r="EO153" s="200" t="n">
        <f aca="false">EO$4*EO48</f>
        <v>0</v>
      </c>
      <c r="EP153" s="194" t="str">
        <f aca="false">EE153</f>
        <v>Alumno43</v>
      </c>
      <c r="EQ153" s="198" t="n">
        <f aca="false">EQ$4*EQ48</f>
        <v>0</v>
      </c>
      <c r="ER153" s="199" t="n">
        <f aca="false">ER$4*ER48</f>
        <v>0</v>
      </c>
      <c r="ES153" s="199" t="n">
        <f aca="false">ES$4*ES48</f>
        <v>0</v>
      </c>
      <c r="ET153" s="199" t="n">
        <f aca="false">ET$4*ET48</f>
        <v>0</v>
      </c>
      <c r="EU153" s="199" t="n">
        <f aca="false">EU$4*EU48</f>
        <v>0</v>
      </c>
      <c r="EV153" s="199" t="n">
        <f aca="false">EV$4*EV48</f>
        <v>0</v>
      </c>
      <c r="EW153" s="199" t="n">
        <f aca="false">EW$4*EW48</f>
        <v>0</v>
      </c>
      <c r="EX153" s="199" t="n">
        <f aca="false">EX$4*EX48</f>
        <v>0</v>
      </c>
      <c r="EY153" s="199" t="n">
        <f aca="false">EY$4*EY48</f>
        <v>0</v>
      </c>
      <c r="EZ153" s="200" t="n">
        <f aca="false">EZ$4*EZ48</f>
        <v>0</v>
      </c>
      <c r="FA153" s="194" t="str">
        <f aca="false">EP153</f>
        <v>Alumno43</v>
      </c>
      <c r="FB153" s="198" t="n">
        <f aca="false">FB$4*FB48</f>
        <v>0</v>
      </c>
      <c r="FC153" s="199" t="n">
        <f aca="false">FC$4*FC48</f>
        <v>0</v>
      </c>
      <c r="FD153" s="199" t="n">
        <f aca="false">FD$4*FD48</f>
        <v>0</v>
      </c>
      <c r="FE153" s="199" t="n">
        <f aca="false">FE$4*FE48</f>
        <v>0</v>
      </c>
      <c r="FF153" s="199" t="n">
        <f aca="false">FF$4*FF48</f>
        <v>0</v>
      </c>
      <c r="FG153" s="199" t="n">
        <f aca="false">FG$4*FG48</f>
        <v>0</v>
      </c>
      <c r="FH153" s="199" t="n">
        <f aca="false">FH$4*FH48</f>
        <v>0</v>
      </c>
      <c r="FI153" s="199" t="n">
        <f aca="false">FI$4*FI48</f>
        <v>0</v>
      </c>
      <c r="FJ153" s="199" t="n">
        <f aca="false">FJ$4*FJ48</f>
        <v>0</v>
      </c>
      <c r="FK153" s="200" t="n">
        <f aca="false">FK$4*FK48</f>
        <v>0</v>
      </c>
      <c r="FL153" s="194" t="str">
        <f aca="false">FA153</f>
        <v>Alumno43</v>
      </c>
      <c r="FM153" s="198" t="n">
        <f aca="false">FM$4*FM48</f>
        <v>0</v>
      </c>
      <c r="FN153" s="199" t="n">
        <f aca="false">FN$4*FN48</f>
        <v>0</v>
      </c>
      <c r="FO153" s="199" t="n">
        <f aca="false">FO$4*FO48</f>
        <v>0</v>
      </c>
      <c r="FP153" s="199" t="n">
        <f aca="false">FP$4*FP48</f>
        <v>0</v>
      </c>
      <c r="FQ153" s="199" t="n">
        <f aca="false">FQ$4*FQ48</f>
        <v>0</v>
      </c>
      <c r="FR153" s="199" t="n">
        <f aca="false">FR$4*FR48</f>
        <v>0</v>
      </c>
      <c r="FS153" s="199" t="n">
        <f aca="false">FS$4*FS48</f>
        <v>0</v>
      </c>
      <c r="FT153" s="199" t="n">
        <f aca="false">FT$4*FT48</f>
        <v>0</v>
      </c>
      <c r="FU153" s="199" t="n">
        <f aca="false">FU$4*FU48</f>
        <v>0</v>
      </c>
      <c r="FV153" s="200" t="n">
        <f aca="false">FV$4*FV48</f>
        <v>0</v>
      </c>
      <c r="FW153" s="194" t="str">
        <f aca="false">FL153</f>
        <v>Alumno43</v>
      </c>
      <c r="FX153" s="198" t="n">
        <f aca="false">FX$4*FX48</f>
        <v>0</v>
      </c>
      <c r="FY153" s="199" t="n">
        <f aca="false">FY$4*FY48</f>
        <v>0</v>
      </c>
      <c r="FZ153" s="199" t="n">
        <f aca="false">FZ$4*FZ48</f>
        <v>0</v>
      </c>
      <c r="GA153" s="199" t="n">
        <f aca="false">GA$4*GA48</f>
        <v>0</v>
      </c>
      <c r="GB153" s="199" t="n">
        <f aca="false">GB$4*GB48</f>
        <v>0</v>
      </c>
      <c r="GC153" s="199" t="n">
        <f aca="false">GC$4*GC48</f>
        <v>0</v>
      </c>
      <c r="GD153" s="199" t="n">
        <f aca="false">GD$4*GD48</f>
        <v>0</v>
      </c>
      <c r="GE153" s="199" t="n">
        <f aca="false">GE$4*GE48</f>
        <v>0</v>
      </c>
      <c r="GF153" s="199" t="n">
        <f aca="false">GF$4*GF48</f>
        <v>0</v>
      </c>
      <c r="GG153" s="200" t="n">
        <f aca="false">GG$4*GG48</f>
        <v>0</v>
      </c>
      <c r="GH153" s="194" t="str">
        <f aca="false">FW153</f>
        <v>Alumno43</v>
      </c>
      <c r="GI153" s="198" t="n">
        <f aca="false">GI$4*GI48</f>
        <v>0</v>
      </c>
      <c r="GJ153" s="199" t="n">
        <f aca="false">GJ$4*GJ48</f>
        <v>0</v>
      </c>
      <c r="GK153" s="199" t="n">
        <f aca="false">GK$4*GK48</f>
        <v>0</v>
      </c>
      <c r="GL153" s="199" t="n">
        <f aca="false">GL$4*GL48</f>
        <v>0</v>
      </c>
      <c r="GM153" s="199" t="n">
        <f aca="false">GM$4*GM48</f>
        <v>0</v>
      </c>
      <c r="GN153" s="199" t="n">
        <f aca="false">GN$4*GN48</f>
        <v>0</v>
      </c>
      <c r="GO153" s="199" t="n">
        <f aca="false">GO$4*GO48</f>
        <v>0</v>
      </c>
      <c r="GP153" s="199" t="n">
        <f aca="false">GP$4*GP48</f>
        <v>0</v>
      </c>
      <c r="GQ153" s="199" t="n">
        <f aca="false">GQ$4*GQ48</f>
        <v>0</v>
      </c>
      <c r="GR153" s="200" t="n">
        <f aca="false">GR$4*GR48</f>
        <v>0</v>
      </c>
      <c r="GS153" s="194" t="str">
        <f aca="false">GH153</f>
        <v>Alumno43</v>
      </c>
      <c r="GT153" s="198" t="n">
        <f aca="false">GT$4*GT48</f>
        <v>0</v>
      </c>
      <c r="GU153" s="199" t="n">
        <f aca="false">GU$4*GU48</f>
        <v>0</v>
      </c>
      <c r="GV153" s="199" t="n">
        <f aca="false">GV$4*GV48</f>
        <v>0</v>
      </c>
      <c r="GW153" s="199" t="n">
        <f aca="false">GW$4*GW48</f>
        <v>0</v>
      </c>
      <c r="GX153" s="199" t="n">
        <f aca="false">GX$4*GX48</f>
        <v>0</v>
      </c>
      <c r="GY153" s="199" t="n">
        <f aca="false">GY$4*GY48</f>
        <v>0</v>
      </c>
      <c r="GZ153" s="199" t="n">
        <f aca="false">GZ$4*GZ48</f>
        <v>0</v>
      </c>
      <c r="HA153" s="199" t="n">
        <f aca="false">HA$4*HA48</f>
        <v>0</v>
      </c>
      <c r="HB153" s="199" t="n">
        <f aca="false">HB$4*HB48</f>
        <v>0</v>
      </c>
      <c r="HC153" s="200" t="n">
        <f aca="false">HC$4*HC48</f>
        <v>0</v>
      </c>
      <c r="HD153" s="194" t="str">
        <f aca="false">GS153</f>
        <v>Alumno43</v>
      </c>
      <c r="HE153" s="198" t="n">
        <f aca="false">HE$4*HE48</f>
        <v>0</v>
      </c>
      <c r="HF153" s="199" t="n">
        <f aca="false">HF$4*HF48</f>
        <v>0</v>
      </c>
      <c r="HG153" s="199" t="n">
        <f aca="false">HG$4*HG48</f>
        <v>0</v>
      </c>
      <c r="HH153" s="199" t="n">
        <f aca="false">HH$4*HH48</f>
        <v>0</v>
      </c>
      <c r="HI153" s="199" t="n">
        <f aca="false">HI$4*HI48</f>
        <v>0</v>
      </c>
      <c r="HJ153" s="199" t="n">
        <f aca="false">HJ$4*HJ48</f>
        <v>0</v>
      </c>
      <c r="HK153" s="199" t="n">
        <f aca="false">HK$4*HK48</f>
        <v>0</v>
      </c>
      <c r="HL153" s="199" t="n">
        <f aca="false">HL$4*HL48</f>
        <v>0</v>
      </c>
      <c r="HM153" s="199" t="n">
        <f aca="false">HM$4*HM48</f>
        <v>0</v>
      </c>
      <c r="HN153" s="200" t="n">
        <f aca="false">HN$4*HN48</f>
        <v>0</v>
      </c>
      <c r="HO153" s="194" t="str">
        <f aca="false">HD153</f>
        <v>Alumno43</v>
      </c>
      <c r="HP153" s="198" t="n">
        <f aca="false">HP$4*HP48</f>
        <v>0</v>
      </c>
      <c r="HQ153" s="199" t="n">
        <f aca="false">HQ$4*HQ48</f>
        <v>0</v>
      </c>
      <c r="HR153" s="199" t="n">
        <f aca="false">HR$4*HR48</f>
        <v>0</v>
      </c>
      <c r="HS153" s="199" t="n">
        <f aca="false">HS$4*HS48</f>
        <v>0</v>
      </c>
      <c r="HT153" s="199" t="n">
        <f aca="false">HT$4*HT48</f>
        <v>0</v>
      </c>
      <c r="HU153" s="199" t="n">
        <f aca="false">HU$4*HU48</f>
        <v>0</v>
      </c>
      <c r="HV153" s="199" t="n">
        <f aca="false">HV$4*HV48</f>
        <v>0</v>
      </c>
      <c r="HW153" s="199" t="n">
        <f aca="false">HW$4*HW48</f>
        <v>0</v>
      </c>
      <c r="HX153" s="199" t="n">
        <f aca="false">HX$4*HX48</f>
        <v>0</v>
      </c>
      <c r="HY153" s="200" t="n">
        <f aca="false">HY$4*HY48</f>
        <v>0</v>
      </c>
      <c r="HZ153" s="194" t="str">
        <f aca="false">HO153</f>
        <v>Alumno43</v>
      </c>
      <c r="IA153" s="198" t="n">
        <f aca="false">IA$4*IA48</f>
        <v>0</v>
      </c>
      <c r="IB153" s="199" t="n">
        <f aca="false">IB$4*IB48</f>
        <v>0</v>
      </c>
      <c r="IC153" s="199" t="n">
        <f aca="false">IC$4*IC48</f>
        <v>0</v>
      </c>
      <c r="ID153" s="199" t="n">
        <f aca="false">ID$4*ID48</f>
        <v>0</v>
      </c>
      <c r="IE153" s="199" t="n">
        <f aca="false">IE$4*IE48</f>
        <v>0</v>
      </c>
      <c r="IF153" s="199" t="n">
        <f aca="false">IF$4*IF48</f>
        <v>0</v>
      </c>
      <c r="IG153" s="199" t="n">
        <f aca="false">IG$4*IG48</f>
        <v>0</v>
      </c>
      <c r="IH153" s="199" t="n">
        <f aca="false">IH$4*IH48</f>
        <v>0</v>
      </c>
      <c r="II153" s="199" t="n">
        <f aca="false">II$4*II48</f>
        <v>0</v>
      </c>
      <c r="IJ153" s="200" t="n">
        <f aca="false">IJ$4*IJ48</f>
        <v>0</v>
      </c>
      <c r="IK153" s="194" t="str">
        <f aca="false">HZ153</f>
        <v>Alumno43</v>
      </c>
      <c r="IL153" s="198" t="n">
        <f aca="false">IL$4*IL48</f>
        <v>0</v>
      </c>
      <c r="IM153" s="199" t="n">
        <f aca="false">IM$4*IM48</f>
        <v>0</v>
      </c>
      <c r="IN153" s="199" t="n">
        <f aca="false">IN$4*IN48</f>
        <v>0</v>
      </c>
      <c r="IO153" s="199" t="n">
        <f aca="false">IO$4*IO48</f>
        <v>0</v>
      </c>
      <c r="IP153" s="199" t="n">
        <f aca="false">IP$4*IP48</f>
        <v>0</v>
      </c>
      <c r="IQ153" s="199" t="n">
        <f aca="false">IQ$4*IQ48</f>
        <v>0</v>
      </c>
      <c r="IR153" s="199" t="n">
        <f aca="false">IR$4*IR48</f>
        <v>0</v>
      </c>
      <c r="IS153" s="199" t="n">
        <f aca="false">IS$4*IS48</f>
        <v>0</v>
      </c>
      <c r="IT153" s="199" t="n">
        <f aca="false">IT$4*IT48</f>
        <v>0</v>
      </c>
      <c r="IU153" s="200" t="n">
        <f aca="false">IU$4*IU48</f>
        <v>0</v>
      </c>
      <c r="IV153" s="194" t="str">
        <f aca="false">IK153</f>
        <v>Alumno43</v>
      </c>
      <c r="IW153" s="198" t="n">
        <f aca="false">IW$4*IW48</f>
        <v>0</v>
      </c>
      <c r="IX153" s="199" t="n">
        <f aca="false">IX$4*IX48</f>
        <v>0</v>
      </c>
      <c r="IY153" s="199" t="n">
        <f aca="false">IY$4*IY48</f>
        <v>0</v>
      </c>
      <c r="IZ153" s="199" t="n">
        <f aca="false">IZ$4*IZ48</f>
        <v>0</v>
      </c>
      <c r="JA153" s="199" t="n">
        <f aca="false">JA$4*JA48</f>
        <v>0</v>
      </c>
      <c r="JB153" s="199" t="n">
        <f aca="false">JB$4*JB48</f>
        <v>0</v>
      </c>
      <c r="JC153" s="199" t="n">
        <f aca="false">JC$4*JC48</f>
        <v>0</v>
      </c>
      <c r="JD153" s="199" t="n">
        <f aca="false">JD$4*JD48</f>
        <v>0</v>
      </c>
      <c r="JE153" s="199" t="n">
        <f aca="false">JE$4*JE48</f>
        <v>0</v>
      </c>
      <c r="JF153" s="200" t="n">
        <f aca="false">JF$4*JF48</f>
        <v>0</v>
      </c>
      <c r="JG153" s="194" t="str">
        <f aca="false">IV153</f>
        <v>Alumno43</v>
      </c>
      <c r="JH153" s="198" t="n">
        <f aca="false">JH$4*JH48</f>
        <v>0</v>
      </c>
      <c r="JI153" s="199" t="n">
        <f aca="false">JI$4*JI48</f>
        <v>0</v>
      </c>
      <c r="JJ153" s="199" t="n">
        <f aca="false">JJ$4*JJ48</f>
        <v>0</v>
      </c>
      <c r="JK153" s="199" t="n">
        <f aca="false">JK$4*JK48</f>
        <v>0</v>
      </c>
      <c r="JL153" s="199" t="n">
        <f aca="false">JL$4*JL48</f>
        <v>0</v>
      </c>
      <c r="JM153" s="199" t="n">
        <f aca="false">JM$4*JM48</f>
        <v>0</v>
      </c>
      <c r="JN153" s="199" t="n">
        <f aca="false">JN$4*JN48</f>
        <v>0</v>
      </c>
      <c r="JO153" s="199" t="n">
        <f aca="false">JO$4*JO48</f>
        <v>0</v>
      </c>
      <c r="JP153" s="199" t="n">
        <f aca="false">JP$4*JP48</f>
        <v>0</v>
      </c>
      <c r="JQ153" s="200" t="n">
        <f aca="false">JQ$4*JQ48</f>
        <v>0</v>
      </c>
      <c r="JR153" s="194" t="str">
        <f aca="false">JG153</f>
        <v>Alumno43</v>
      </c>
      <c r="JS153" s="198" t="n">
        <f aca="false">JS$4*JS48</f>
        <v>0</v>
      </c>
      <c r="JT153" s="199" t="n">
        <f aca="false">JT$4*JT48</f>
        <v>0</v>
      </c>
      <c r="JU153" s="199" t="n">
        <f aca="false">JU$4*JU48</f>
        <v>0</v>
      </c>
      <c r="JV153" s="199" t="n">
        <f aca="false">JV$4*JV48</f>
        <v>0</v>
      </c>
      <c r="JW153" s="199" t="n">
        <f aca="false">JW$4*JW48</f>
        <v>0</v>
      </c>
      <c r="JX153" s="199" t="n">
        <f aca="false">JX$4*JX48</f>
        <v>0</v>
      </c>
      <c r="JY153" s="199" t="n">
        <f aca="false">JY$4*JY48</f>
        <v>0</v>
      </c>
      <c r="JZ153" s="199" t="n">
        <f aca="false">JZ$4*JZ48</f>
        <v>0</v>
      </c>
      <c r="KA153" s="199" t="n">
        <f aca="false">KA$4*KA48</f>
        <v>0</v>
      </c>
      <c r="KB153" s="200" t="n">
        <f aca="false">KB$4*KB48</f>
        <v>0</v>
      </c>
      <c r="KC153" s="194" t="str">
        <f aca="false">JR153</f>
        <v>Alumno43</v>
      </c>
      <c r="KD153" s="198" t="n">
        <f aca="false">KD$4*KD48</f>
        <v>0</v>
      </c>
      <c r="KE153" s="199" t="n">
        <f aca="false">KE$4*KE48</f>
        <v>0</v>
      </c>
      <c r="KF153" s="199" t="n">
        <f aca="false">KF$4*KF48</f>
        <v>0</v>
      </c>
      <c r="KG153" s="199" t="n">
        <f aca="false">KG$4*KG48</f>
        <v>0</v>
      </c>
      <c r="KH153" s="199" t="n">
        <f aca="false">KH$4*KH48</f>
        <v>0</v>
      </c>
      <c r="KI153" s="199" t="n">
        <f aca="false">KI$4*KI48</f>
        <v>0</v>
      </c>
      <c r="KJ153" s="199" t="n">
        <f aca="false">KJ$4*KJ48</f>
        <v>0</v>
      </c>
      <c r="KK153" s="199" t="n">
        <f aca="false">KK$4*KK48</f>
        <v>0</v>
      </c>
      <c r="KL153" s="199" t="n">
        <f aca="false">KL$4*KL48</f>
        <v>0</v>
      </c>
      <c r="KM153" s="200" t="n">
        <f aca="false">KM$4*KM48</f>
        <v>0</v>
      </c>
      <c r="KN153" s="194" t="str">
        <f aca="false">KC153</f>
        <v>Alumno43</v>
      </c>
      <c r="KO153" s="198" t="n">
        <f aca="false">KO$4*KO48</f>
        <v>0</v>
      </c>
      <c r="KP153" s="199" t="n">
        <f aca="false">KP$4*KP48</f>
        <v>0</v>
      </c>
      <c r="KQ153" s="199" t="n">
        <f aca="false">KQ$4*KQ48</f>
        <v>0</v>
      </c>
      <c r="KR153" s="199" t="n">
        <f aca="false">KR$4*KR48</f>
        <v>0</v>
      </c>
      <c r="KS153" s="199" t="n">
        <f aca="false">KS$4*KS48</f>
        <v>0</v>
      </c>
      <c r="KT153" s="199" t="n">
        <f aca="false">KT$4*KT48</f>
        <v>0</v>
      </c>
      <c r="KU153" s="199" t="n">
        <f aca="false">KU$4*KU48</f>
        <v>0</v>
      </c>
      <c r="KV153" s="199" t="n">
        <f aca="false">KV$4*KV48</f>
        <v>0</v>
      </c>
      <c r="KW153" s="199" t="n">
        <f aca="false">KW$4*KW48</f>
        <v>0</v>
      </c>
      <c r="KX153" s="200" t="n">
        <f aca="false">KX$4*KX48</f>
        <v>0</v>
      </c>
      <c r="KY153" s="194" t="str">
        <f aca="false">KN153</f>
        <v>Alumno43</v>
      </c>
      <c r="KZ153" s="198" t="n">
        <f aca="false">KZ$4*KZ48</f>
        <v>0</v>
      </c>
      <c r="LA153" s="199" t="n">
        <f aca="false">LA$4*LA48</f>
        <v>0</v>
      </c>
      <c r="LB153" s="199" t="n">
        <f aca="false">LB$4*LB48</f>
        <v>0</v>
      </c>
      <c r="LC153" s="199" t="n">
        <f aca="false">LC$4*LC48</f>
        <v>0</v>
      </c>
      <c r="LD153" s="199" t="n">
        <f aca="false">LD$4*LD48</f>
        <v>0</v>
      </c>
      <c r="LE153" s="199" t="n">
        <f aca="false">LE$4*LE48</f>
        <v>0</v>
      </c>
      <c r="LF153" s="199" t="n">
        <f aca="false">LF$4*LF48</f>
        <v>0</v>
      </c>
      <c r="LG153" s="199" t="n">
        <f aca="false">LG$4*LG48</f>
        <v>0</v>
      </c>
      <c r="LH153" s="199" t="n">
        <f aca="false">LH$4*LH48</f>
        <v>0</v>
      </c>
      <c r="LI153" s="200" t="n">
        <f aca="false">LI$4*LI48</f>
        <v>0</v>
      </c>
      <c r="LJ153" s="194" t="str">
        <f aca="false">KY153</f>
        <v>Alumno43</v>
      </c>
      <c r="LK153" s="198" t="n">
        <f aca="false">LK$4*LK48</f>
        <v>0</v>
      </c>
      <c r="LL153" s="199" t="n">
        <f aca="false">LL$4*LL48</f>
        <v>0</v>
      </c>
      <c r="LM153" s="199" t="n">
        <f aca="false">LM$4*LM48</f>
        <v>0</v>
      </c>
      <c r="LN153" s="199" t="n">
        <f aca="false">LN$4*LN48</f>
        <v>0</v>
      </c>
      <c r="LO153" s="199" t="n">
        <f aca="false">LO$4*LO48</f>
        <v>0</v>
      </c>
      <c r="LP153" s="199" t="n">
        <f aca="false">LP$4*LP48</f>
        <v>0</v>
      </c>
      <c r="LQ153" s="199" t="n">
        <f aca="false">LQ$4*LQ48</f>
        <v>0</v>
      </c>
      <c r="LR153" s="199" t="n">
        <f aca="false">LR$4*LR48</f>
        <v>0</v>
      </c>
      <c r="LS153" s="199" t="n">
        <f aca="false">LS$4*LS48</f>
        <v>0</v>
      </c>
      <c r="LT153" s="200" t="n">
        <f aca="false">LT$4*LT48</f>
        <v>0</v>
      </c>
    </row>
    <row r="154" customFormat="false" ht="15" hidden="true" customHeight="false" outlineLevel="0" collapsed="false">
      <c r="C154" s="194" t="str">
        <f aca="false">C105</f>
        <v>Alumno44</v>
      </c>
      <c r="D154" s="198" t="n">
        <f aca="false">D$4*D49</f>
        <v>0</v>
      </c>
      <c r="E154" s="199" t="n">
        <f aca="false">E$4*E49</f>
        <v>0</v>
      </c>
      <c r="F154" s="199" t="n">
        <f aca="false">F$4*F49</f>
        <v>0</v>
      </c>
      <c r="G154" s="199" t="n">
        <f aca="false">G$4*G49</f>
        <v>0</v>
      </c>
      <c r="H154" s="199" t="n">
        <f aca="false">H$4*H49</f>
        <v>0</v>
      </c>
      <c r="I154" s="199" t="n">
        <f aca="false">I$4*I49</f>
        <v>0</v>
      </c>
      <c r="J154" s="199" t="n">
        <f aca="false">J$4*J49</f>
        <v>0</v>
      </c>
      <c r="K154" s="199" t="n">
        <f aca="false">K$4*K49</f>
        <v>0</v>
      </c>
      <c r="L154" s="199" t="n">
        <f aca="false">L$4*L49</f>
        <v>0</v>
      </c>
      <c r="M154" s="200" t="n">
        <f aca="false">M$4*M49</f>
        <v>0</v>
      </c>
      <c r="N154" s="194" t="str">
        <f aca="false">C154</f>
        <v>Alumno44</v>
      </c>
      <c r="O154" s="198" t="n">
        <f aca="false">O$4*O49</f>
        <v>0</v>
      </c>
      <c r="P154" s="199" t="n">
        <f aca="false">P$4*P49</f>
        <v>0</v>
      </c>
      <c r="Q154" s="199" t="n">
        <f aca="false">Q$4*Q49</f>
        <v>0</v>
      </c>
      <c r="R154" s="199" t="n">
        <f aca="false">R$4*R49</f>
        <v>0</v>
      </c>
      <c r="S154" s="199" t="n">
        <f aca="false">S$4*S49</f>
        <v>0</v>
      </c>
      <c r="T154" s="199" t="n">
        <f aca="false">T$4*T49</f>
        <v>0</v>
      </c>
      <c r="U154" s="199" t="n">
        <f aca="false">U$4*U49</f>
        <v>0</v>
      </c>
      <c r="V154" s="199" t="n">
        <f aca="false">V$4*V49</f>
        <v>0</v>
      </c>
      <c r="W154" s="199" t="n">
        <f aca="false">W$4*W49</f>
        <v>0</v>
      </c>
      <c r="X154" s="200" t="n">
        <f aca="false">X$4*X49</f>
        <v>0</v>
      </c>
      <c r="Y154" s="194" t="str">
        <f aca="false">N154</f>
        <v>Alumno44</v>
      </c>
      <c r="Z154" s="198" t="n">
        <f aca="false">Z$4*Z49</f>
        <v>0</v>
      </c>
      <c r="AA154" s="199" t="n">
        <f aca="false">AA$4*AA49</f>
        <v>0</v>
      </c>
      <c r="AB154" s="199" t="n">
        <f aca="false">AB$4*AB49</f>
        <v>0</v>
      </c>
      <c r="AC154" s="199" t="n">
        <f aca="false">AC$4*AC49</f>
        <v>0</v>
      </c>
      <c r="AD154" s="199" t="n">
        <f aca="false">AD$4*AD49</f>
        <v>0</v>
      </c>
      <c r="AE154" s="199" t="n">
        <f aca="false">AE$4*AE49</f>
        <v>0</v>
      </c>
      <c r="AF154" s="199" t="n">
        <f aca="false">AF$4*AF49</f>
        <v>0</v>
      </c>
      <c r="AG154" s="199" t="n">
        <f aca="false">AG$4*AG49</f>
        <v>0</v>
      </c>
      <c r="AH154" s="199" t="n">
        <f aca="false">AH$4*AH49</f>
        <v>0</v>
      </c>
      <c r="AI154" s="200" t="n">
        <f aca="false">AI$4*AI49</f>
        <v>0</v>
      </c>
      <c r="AJ154" s="194" t="str">
        <f aca="false">Y154</f>
        <v>Alumno44</v>
      </c>
      <c r="AK154" s="198" t="n">
        <f aca="false">AK$4*AK49</f>
        <v>0</v>
      </c>
      <c r="AL154" s="199" t="n">
        <f aca="false">AL$4*AL49</f>
        <v>0</v>
      </c>
      <c r="AM154" s="199" t="n">
        <f aca="false">AM$4*AM49</f>
        <v>0</v>
      </c>
      <c r="AN154" s="199" t="n">
        <f aca="false">AN$4*AN49</f>
        <v>0</v>
      </c>
      <c r="AO154" s="199" t="n">
        <f aca="false">AO$4*AO49</f>
        <v>0</v>
      </c>
      <c r="AP154" s="199" t="n">
        <f aca="false">AP$4*AP49</f>
        <v>0</v>
      </c>
      <c r="AQ154" s="199" t="n">
        <f aca="false">AQ$4*AQ49</f>
        <v>0</v>
      </c>
      <c r="AR154" s="199" t="n">
        <f aca="false">AR$4*AR49</f>
        <v>0</v>
      </c>
      <c r="AS154" s="199" t="n">
        <f aca="false">AS$4*AS49</f>
        <v>0</v>
      </c>
      <c r="AT154" s="200" t="n">
        <f aca="false">AT$4*AT49</f>
        <v>0</v>
      </c>
      <c r="AU154" s="194" t="str">
        <f aca="false">AJ154</f>
        <v>Alumno44</v>
      </c>
      <c r="AV154" s="198" t="n">
        <f aca="false">AV$4*AV49</f>
        <v>0</v>
      </c>
      <c r="AW154" s="199" t="n">
        <f aca="false">AW$4*AW49</f>
        <v>0</v>
      </c>
      <c r="AX154" s="199" t="n">
        <f aca="false">AX$4*AX49</f>
        <v>0</v>
      </c>
      <c r="AY154" s="199" t="n">
        <f aca="false">AY$4*AY49</f>
        <v>0</v>
      </c>
      <c r="AZ154" s="199" t="n">
        <f aca="false">AZ$4*AZ49</f>
        <v>0</v>
      </c>
      <c r="BA154" s="199" t="n">
        <f aca="false">BA$4*BA49</f>
        <v>0</v>
      </c>
      <c r="BB154" s="199" t="n">
        <f aca="false">BB$4*BB49</f>
        <v>0</v>
      </c>
      <c r="BC154" s="199" t="n">
        <f aca="false">BC$4*BC49</f>
        <v>0</v>
      </c>
      <c r="BD154" s="199" t="n">
        <f aca="false">BD$4*BD49</f>
        <v>0</v>
      </c>
      <c r="BE154" s="200" t="n">
        <f aca="false">BE$4*BE49</f>
        <v>0</v>
      </c>
      <c r="BF154" s="194" t="str">
        <f aca="false">AU154</f>
        <v>Alumno44</v>
      </c>
      <c r="BG154" s="198" t="n">
        <f aca="false">BG$4*BG49</f>
        <v>0</v>
      </c>
      <c r="BH154" s="199" t="n">
        <f aca="false">BH$4*BH49</f>
        <v>0</v>
      </c>
      <c r="BI154" s="199" t="n">
        <f aca="false">BI$4*BI49</f>
        <v>0</v>
      </c>
      <c r="BJ154" s="199" t="n">
        <f aca="false">BJ$4*BJ49</f>
        <v>0</v>
      </c>
      <c r="BK154" s="199" t="n">
        <f aca="false">BK$4*BK49</f>
        <v>0</v>
      </c>
      <c r="BL154" s="199" t="n">
        <f aca="false">BL$4*BL49</f>
        <v>0</v>
      </c>
      <c r="BM154" s="199" t="n">
        <f aca="false">BM$4*BM49</f>
        <v>0</v>
      </c>
      <c r="BN154" s="199" t="n">
        <f aca="false">BN$4*BN49</f>
        <v>0</v>
      </c>
      <c r="BO154" s="199" t="n">
        <f aca="false">BO$4*BO49</f>
        <v>0</v>
      </c>
      <c r="BP154" s="200" t="n">
        <f aca="false">BP$4*BP49</f>
        <v>0</v>
      </c>
      <c r="BQ154" s="194" t="str">
        <f aca="false">BF154</f>
        <v>Alumno44</v>
      </c>
      <c r="BR154" s="198" t="n">
        <f aca="false">BR$4*BR49</f>
        <v>0</v>
      </c>
      <c r="BS154" s="199" t="n">
        <f aca="false">BS$4*BS49</f>
        <v>0</v>
      </c>
      <c r="BT154" s="199" t="n">
        <f aca="false">BT$4*BT49</f>
        <v>0</v>
      </c>
      <c r="BU154" s="199" t="n">
        <f aca="false">BU$4*BU49</f>
        <v>0</v>
      </c>
      <c r="BV154" s="199" t="n">
        <f aca="false">BV$4*BV49</f>
        <v>0</v>
      </c>
      <c r="BW154" s="199" t="n">
        <f aca="false">BW$4*BW49</f>
        <v>0</v>
      </c>
      <c r="BX154" s="199" t="n">
        <f aca="false">BX$4*BX49</f>
        <v>0</v>
      </c>
      <c r="BY154" s="199" t="n">
        <f aca="false">BY$4*BY49</f>
        <v>0</v>
      </c>
      <c r="BZ154" s="199" t="n">
        <f aca="false">BZ$4*BZ49</f>
        <v>0</v>
      </c>
      <c r="CA154" s="200" t="n">
        <f aca="false">CA$4*CA49</f>
        <v>0</v>
      </c>
      <c r="CB154" s="194" t="str">
        <f aca="false">BQ154</f>
        <v>Alumno44</v>
      </c>
      <c r="CC154" s="198" t="n">
        <f aca="false">CC$4*CC49</f>
        <v>0</v>
      </c>
      <c r="CD154" s="199" t="n">
        <f aca="false">CD$4*CD49</f>
        <v>0</v>
      </c>
      <c r="CE154" s="199" t="n">
        <f aca="false">CE$4*CE49</f>
        <v>0</v>
      </c>
      <c r="CF154" s="199" t="n">
        <f aca="false">CF$4*CF49</f>
        <v>0</v>
      </c>
      <c r="CG154" s="199" t="n">
        <f aca="false">CG$4*CG49</f>
        <v>0</v>
      </c>
      <c r="CH154" s="199" t="n">
        <f aca="false">CH$4*CH49</f>
        <v>0</v>
      </c>
      <c r="CI154" s="199" t="n">
        <f aca="false">CI$4*CI49</f>
        <v>0</v>
      </c>
      <c r="CJ154" s="199" t="n">
        <f aca="false">CJ$4*CJ49</f>
        <v>0</v>
      </c>
      <c r="CK154" s="199" t="n">
        <f aca="false">CK$4*CK49</f>
        <v>0</v>
      </c>
      <c r="CL154" s="200" t="n">
        <f aca="false">CL$4*CL49</f>
        <v>0</v>
      </c>
      <c r="CM154" s="194" t="str">
        <f aca="false">CB154</f>
        <v>Alumno44</v>
      </c>
      <c r="CN154" s="198" t="n">
        <f aca="false">CN$4*CN49</f>
        <v>0</v>
      </c>
      <c r="CO154" s="199" t="n">
        <f aca="false">CO$4*CO49</f>
        <v>0</v>
      </c>
      <c r="CP154" s="199" t="n">
        <f aca="false">CP$4*CP49</f>
        <v>0</v>
      </c>
      <c r="CQ154" s="199" t="n">
        <f aca="false">CQ$4*CQ49</f>
        <v>0</v>
      </c>
      <c r="CR154" s="199" t="n">
        <f aca="false">CR$4*CR49</f>
        <v>0</v>
      </c>
      <c r="CS154" s="199" t="n">
        <f aca="false">CS$4*CS49</f>
        <v>0</v>
      </c>
      <c r="CT154" s="199" t="n">
        <f aca="false">CT$4*CT49</f>
        <v>0</v>
      </c>
      <c r="CU154" s="199" t="n">
        <f aca="false">CU$4*CU49</f>
        <v>0</v>
      </c>
      <c r="CV154" s="199" t="n">
        <f aca="false">CV$4*CV49</f>
        <v>0</v>
      </c>
      <c r="CW154" s="200" t="n">
        <f aca="false">CW$4*CW49</f>
        <v>0</v>
      </c>
      <c r="CX154" s="194" t="str">
        <f aca="false">CM154</f>
        <v>Alumno44</v>
      </c>
      <c r="CY154" s="198" t="n">
        <f aca="false">CY$4*CY49</f>
        <v>0</v>
      </c>
      <c r="CZ154" s="199" t="n">
        <f aca="false">CZ$4*CZ49</f>
        <v>0</v>
      </c>
      <c r="DA154" s="199" t="n">
        <f aca="false">DA$4*DA49</f>
        <v>0</v>
      </c>
      <c r="DB154" s="199" t="n">
        <f aca="false">DB$4*DB49</f>
        <v>0</v>
      </c>
      <c r="DC154" s="199" t="n">
        <f aca="false">DC$4*DC49</f>
        <v>0</v>
      </c>
      <c r="DD154" s="199" t="n">
        <f aca="false">DD$4*DD49</f>
        <v>0</v>
      </c>
      <c r="DE154" s="199" t="n">
        <f aca="false">DE$4*DE49</f>
        <v>0</v>
      </c>
      <c r="DF154" s="199" t="n">
        <f aca="false">DF$4*DF49</f>
        <v>0</v>
      </c>
      <c r="DG154" s="199" t="n">
        <f aca="false">DG$4*DG49</f>
        <v>0</v>
      </c>
      <c r="DH154" s="200" t="n">
        <f aca="false">DH$4*DH49</f>
        <v>0</v>
      </c>
      <c r="DI154" s="194" t="str">
        <f aca="false">CX154</f>
        <v>Alumno44</v>
      </c>
      <c r="DJ154" s="198" t="n">
        <f aca="false">DJ$4*DJ49</f>
        <v>0</v>
      </c>
      <c r="DK154" s="199" t="n">
        <f aca="false">DK$4*DK49</f>
        <v>0</v>
      </c>
      <c r="DL154" s="199" t="n">
        <f aca="false">DL$4*DL49</f>
        <v>0</v>
      </c>
      <c r="DM154" s="199" t="n">
        <f aca="false">DM$4*DM49</f>
        <v>0</v>
      </c>
      <c r="DN154" s="199" t="n">
        <f aca="false">DN$4*DN49</f>
        <v>0</v>
      </c>
      <c r="DO154" s="199" t="n">
        <f aca="false">DO$4*DO49</f>
        <v>0</v>
      </c>
      <c r="DP154" s="199" t="n">
        <f aca="false">DP$4*DP49</f>
        <v>0</v>
      </c>
      <c r="DQ154" s="199" t="n">
        <f aca="false">DQ$4*DQ49</f>
        <v>0</v>
      </c>
      <c r="DR154" s="199" t="n">
        <f aca="false">DR$4*DR49</f>
        <v>0</v>
      </c>
      <c r="DS154" s="200" t="n">
        <f aca="false">DS$4*DS49</f>
        <v>0</v>
      </c>
      <c r="DT154" s="194" t="str">
        <f aca="false">DI154</f>
        <v>Alumno44</v>
      </c>
      <c r="DU154" s="198" t="n">
        <f aca="false">DU$4*DU49</f>
        <v>0</v>
      </c>
      <c r="DV154" s="199" t="n">
        <f aca="false">DV$4*DV49</f>
        <v>0</v>
      </c>
      <c r="DW154" s="199" t="n">
        <f aca="false">DW$4*DW49</f>
        <v>0</v>
      </c>
      <c r="DX154" s="199" t="n">
        <f aca="false">DX$4*DX49</f>
        <v>0</v>
      </c>
      <c r="DY154" s="199" t="n">
        <f aca="false">DY$4*DY49</f>
        <v>0</v>
      </c>
      <c r="DZ154" s="199" t="n">
        <f aca="false">DZ$4*DZ49</f>
        <v>0</v>
      </c>
      <c r="EA154" s="199" t="n">
        <f aca="false">EA$4*EA49</f>
        <v>0</v>
      </c>
      <c r="EB154" s="199" t="n">
        <f aca="false">EB$4*EB49</f>
        <v>0</v>
      </c>
      <c r="EC154" s="199" t="n">
        <f aca="false">EC$4*EC49</f>
        <v>0</v>
      </c>
      <c r="ED154" s="200" t="n">
        <f aca="false">ED$4*ED49</f>
        <v>0</v>
      </c>
      <c r="EE154" s="194" t="str">
        <f aca="false">DT154</f>
        <v>Alumno44</v>
      </c>
      <c r="EF154" s="198" t="n">
        <f aca="false">EF$4*EF49</f>
        <v>0</v>
      </c>
      <c r="EG154" s="199" t="n">
        <f aca="false">EG$4*EG49</f>
        <v>0</v>
      </c>
      <c r="EH154" s="199" t="n">
        <f aca="false">EH$4*EH49</f>
        <v>0</v>
      </c>
      <c r="EI154" s="199" t="n">
        <f aca="false">EI$4*EI49</f>
        <v>0</v>
      </c>
      <c r="EJ154" s="199" t="n">
        <f aca="false">EJ$4*EJ49</f>
        <v>0</v>
      </c>
      <c r="EK154" s="199" t="n">
        <f aca="false">EK$4*EK49</f>
        <v>0</v>
      </c>
      <c r="EL154" s="199" t="n">
        <f aca="false">EL$4*EL49</f>
        <v>0</v>
      </c>
      <c r="EM154" s="199" t="n">
        <f aca="false">EM$4*EM49</f>
        <v>0</v>
      </c>
      <c r="EN154" s="199" t="n">
        <f aca="false">EN$4*EN49</f>
        <v>0</v>
      </c>
      <c r="EO154" s="200" t="n">
        <f aca="false">EO$4*EO49</f>
        <v>0</v>
      </c>
      <c r="EP154" s="194" t="str">
        <f aca="false">EE154</f>
        <v>Alumno44</v>
      </c>
      <c r="EQ154" s="198" t="n">
        <f aca="false">EQ$4*EQ49</f>
        <v>0</v>
      </c>
      <c r="ER154" s="199" t="n">
        <f aca="false">ER$4*ER49</f>
        <v>0</v>
      </c>
      <c r="ES154" s="199" t="n">
        <f aca="false">ES$4*ES49</f>
        <v>0</v>
      </c>
      <c r="ET154" s="199" t="n">
        <f aca="false">ET$4*ET49</f>
        <v>0</v>
      </c>
      <c r="EU154" s="199" t="n">
        <f aca="false">EU$4*EU49</f>
        <v>0</v>
      </c>
      <c r="EV154" s="199" t="n">
        <f aca="false">EV$4*EV49</f>
        <v>0</v>
      </c>
      <c r="EW154" s="199" t="n">
        <f aca="false">EW$4*EW49</f>
        <v>0</v>
      </c>
      <c r="EX154" s="199" t="n">
        <f aca="false">EX$4*EX49</f>
        <v>0</v>
      </c>
      <c r="EY154" s="199" t="n">
        <f aca="false">EY$4*EY49</f>
        <v>0</v>
      </c>
      <c r="EZ154" s="200" t="n">
        <f aca="false">EZ$4*EZ49</f>
        <v>0</v>
      </c>
      <c r="FA154" s="194" t="str">
        <f aca="false">EP154</f>
        <v>Alumno44</v>
      </c>
      <c r="FB154" s="198" t="n">
        <f aca="false">FB$4*FB49</f>
        <v>0</v>
      </c>
      <c r="FC154" s="199" t="n">
        <f aca="false">FC$4*FC49</f>
        <v>0</v>
      </c>
      <c r="FD154" s="199" t="n">
        <f aca="false">FD$4*FD49</f>
        <v>0</v>
      </c>
      <c r="FE154" s="199" t="n">
        <f aca="false">FE$4*FE49</f>
        <v>0</v>
      </c>
      <c r="FF154" s="199" t="n">
        <f aca="false">FF$4*FF49</f>
        <v>0</v>
      </c>
      <c r="FG154" s="199" t="n">
        <f aca="false">FG$4*FG49</f>
        <v>0</v>
      </c>
      <c r="FH154" s="199" t="n">
        <f aca="false">FH$4*FH49</f>
        <v>0</v>
      </c>
      <c r="FI154" s="199" t="n">
        <f aca="false">FI$4*FI49</f>
        <v>0</v>
      </c>
      <c r="FJ154" s="199" t="n">
        <f aca="false">FJ$4*FJ49</f>
        <v>0</v>
      </c>
      <c r="FK154" s="200" t="n">
        <f aca="false">FK$4*FK49</f>
        <v>0</v>
      </c>
      <c r="FL154" s="194" t="str">
        <f aca="false">FA154</f>
        <v>Alumno44</v>
      </c>
      <c r="FM154" s="198" t="n">
        <f aca="false">FM$4*FM49</f>
        <v>0</v>
      </c>
      <c r="FN154" s="199" t="n">
        <f aca="false">FN$4*FN49</f>
        <v>0</v>
      </c>
      <c r="FO154" s="199" t="n">
        <f aca="false">FO$4*FO49</f>
        <v>0</v>
      </c>
      <c r="FP154" s="199" t="n">
        <f aca="false">FP$4*FP49</f>
        <v>0</v>
      </c>
      <c r="FQ154" s="199" t="n">
        <f aca="false">FQ$4*FQ49</f>
        <v>0</v>
      </c>
      <c r="FR154" s="199" t="n">
        <f aca="false">FR$4*FR49</f>
        <v>0</v>
      </c>
      <c r="FS154" s="199" t="n">
        <f aca="false">FS$4*FS49</f>
        <v>0</v>
      </c>
      <c r="FT154" s="199" t="n">
        <f aca="false">FT$4*FT49</f>
        <v>0</v>
      </c>
      <c r="FU154" s="199" t="n">
        <f aca="false">FU$4*FU49</f>
        <v>0</v>
      </c>
      <c r="FV154" s="200" t="n">
        <f aca="false">FV$4*FV49</f>
        <v>0</v>
      </c>
      <c r="FW154" s="194" t="str">
        <f aca="false">FL154</f>
        <v>Alumno44</v>
      </c>
      <c r="FX154" s="198" t="n">
        <f aca="false">FX$4*FX49</f>
        <v>0</v>
      </c>
      <c r="FY154" s="199" t="n">
        <f aca="false">FY$4*FY49</f>
        <v>0</v>
      </c>
      <c r="FZ154" s="199" t="n">
        <f aca="false">FZ$4*FZ49</f>
        <v>0</v>
      </c>
      <c r="GA154" s="199" t="n">
        <f aca="false">GA$4*GA49</f>
        <v>0</v>
      </c>
      <c r="GB154" s="199" t="n">
        <f aca="false">GB$4*GB49</f>
        <v>0</v>
      </c>
      <c r="GC154" s="199" t="n">
        <f aca="false">GC$4*GC49</f>
        <v>0</v>
      </c>
      <c r="GD154" s="199" t="n">
        <f aca="false">GD$4*GD49</f>
        <v>0</v>
      </c>
      <c r="GE154" s="199" t="n">
        <f aca="false">GE$4*GE49</f>
        <v>0</v>
      </c>
      <c r="GF154" s="199" t="n">
        <f aca="false">GF$4*GF49</f>
        <v>0</v>
      </c>
      <c r="GG154" s="200" t="n">
        <f aca="false">GG$4*GG49</f>
        <v>0</v>
      </c>
      <c r="GH154" s="194" t="str">
        <f aca="false">FW154</f>
        <v>Alumno44</v>
      </c>
      <c r="GI154" s="198" t="n">
        <f aca="false">GI$4*GI49</f>
        <v>0</v>
      </c>
      <c r="GJ154" s="199" t="n">
        <f aca="false">GJ$4*GJ49</f>
        <v>0</v>
      </c>
      <c r="GK154" s="199" t="n">
        <f aca="false">GK$4*GK49</f>
        <v>0</v>
      </c>
      <c r="GL154" s="199" t="n">
        <f aca="false">GL$4*GL49</f>
        <v>0</v>
      </c>
      <c r="GM154" s="199" t="n">
        <f aca="false">GM$4*GM49</f>
        <v>0</v>
      </c>
      <c r="GN154" s="199" t="n">
        <f aca="false">GN$4*GN49</f>
        <v>0</v>
      </c>
      <c r="GO154" s="199" t="n">
        <f aca="false">GO$4*GO49</f>
        <v>0</v>
      </c>
      <c r="GP154" s="199" t="n">
        <f aca="false">GP$4*GP49</f>
        <v>0</v>
      </c>
      <c r="GQ154" s="199" t="n">
        <f aca="false">GQ$4*GQ49</f>
        <v>0</v>
      </c>
      <c r="GR154" s="200" t="n">
        <f aca="false">GR$4*GR49</f>
        <v>0</v>
      </c>
      <c r="GS154" s="194" t="str">
        <f aca="false">GH154</f>
        <v>Alumno44</v>
      </c>
      <c r="GT154" s="198" t="n">
        <f aca="false">GT$4*GT49</f>
        <v>0</v>
      </c>
      <c r="GU154" s="199" t="n">
        <f aca="false">GU$4*GU49</f>
        <v>0</v>
      </c>
      <c r="GV154" s="199" t="n">
        <f aca="false">GV$4*GV49</f>
        <v>0</v>
      </c>
      <c r="GW154" s="199" t="n">
        <f aca="false">GW$4*GW49</f>
        <v>0</v>
      </c>
      <c r="GX154" s="199" t="n">
        <f aca="false">GX$4*GX49</f>
        <v>0</v>
      </c>
      <c r="GY154" s="199" t="n">
        <f aca="false">GY$4*GY49</f>
        <v>0</v>
      </c>
      <c r="GZ154" s="199" t="n">
        <f aca="false">GZ$4*GZ49</f>
        <v>0</v>
      </c>
      <c r="HA154" s="199" t="n">
        <f aca="false">HA$4*HA49</f>
        <v>0</v>
      </c>
      <c r="HB154" s="199" t="n">
        <f aca="false">HB$4*HB49</f>
        <v>0</v>
      </c>
      <c r="HC154" s="200" t="n">
        <f aca="false">HC$4*HC49</f>
        <v>0</v>
      </c>
      <c r="HD154" s="194" t="str">
        <f aca="false">GS154</f>
        <v>Alumno44</v>
      </c>
      <c r="HE154" s="198" t="n">
        <f aca="false">HE$4*HE49</f>
        <v>0</v>
      </c>
      <c r="HF154" s="199" t="n">
        <f aca="false">HF$4*HF49</f>
        <v>0</v>
      </c>
      <c r="HG154" s="199" t="n">
        <f aca="false">HG$4*HG49</f>
        <v>0</v>
      </c>
      <c r="HH154" s="199" t="n">
        <f aca="false">HH$4*HH49</f>
        <v>0</v>
      </c>
      <c r="HI154" s="199" t="n">
        <f aca="false">HI$4*HI49</f>
        <v>0</v>
      </c>
      <c r="HJ154" s="199" t="n">
        <f aca="false">HJ$4*HJ49</f>
        <v>0</v>
      </c>
      <c r="HK154" s="199" t="n">
        <f aca="false">HK$4*HK49</f>
        <v>0</v>
      </c>
      <c r="HL154" s="199" t="n">
        <f aca="false">HL$4*HL49</f>
        <v>0</v>
      </c>
      <c r="HM154" s="199" t="n">
        <f aca="false">HM$4*HM49</f>
        <v>0</v>
      </c>
      <c r="HN154" s="200" t="n">
        <f aca="false">HN$4*HN49</f>
        <v>0</v>
      </c>
      <c r="HO154" s="194" t="str">
        <f aca="false">HD154</f>
        <v>Alumno44</v>
      </c>
      <c r="HP154" s="198" t="n">
        <f aca="false">HP$4*HP49</f>
        <v>0</v>
      </c>
      <c r="HQ154" s="199" t="n">
        <f aca="false">HQ$4*HQ49</f>
        <v>0</v>
      </c>
      <c r="HR154" s="199" t="n">
        <f aca="false">HR$4*HR49</f>
        <v>0</v>
      </c>
      <c r="HS154" s="199" t="n">
        <f aca="false">HS$4*HS49</f>
        <v>0</v>
      </c>
      <c r="HT154" s="199" t="n">
        <f aca="false">HT$4*HT49</f>
        <v>0</v>
      </c>
      <c r="HU154" s="199" t="n">
        <f aca="false">HU$4*HU49</f>
        <v>0</v>
      </c>
      <c r="HV154" s="199" t="n">
        <f aca="false">HV$4*HV49</f>
        <v>0</v>
      </c>
      <c r="HW154" s="199" t="n">
        <f aca="false">HW$4*HW49</f>
        <v>0</v>
      </c>
      <c r="HX154" s="199" t="n">
        <f aca="false">HX$4*HX49</f>
        <v>0</v>
      </c>
      <c r="HY154" s="200" t="n">
        <f aca="false">HY$4*HY49</f>
        <v>0</v>
      </c>
      <c r="HZ154" s="194" t="str">
        <f aca="false">HO154</f>
        <v>Alumno44</v>
      </c>
      <c r="IA154" s="198" t="n">
        <f aca="false">IA$4*IA49</f>
        <v>0</v>
      </c>
      <c r="IB154" s="199" t="n">
        <f aca="false">IB$4*IB49</f>
        <v>0</v>
      </c>
      <c r="IC154" s="199" t="n">
        <f aca="false">IC$4*IC49</f>
        <v>0</v>
      </c>
      <c r="ID154" s="199" t="n">
        <f aca="false">ID$4*ID49</f>
        <v>0</v>
      </c>
      <c r="IE154" s="199" t="n">
        <f aca="false">IE$4*IE49</f>
        <v>0</v>
      </c>
      <c r="IF154" s="199" t="n">
        <f aca="false">IF$4*IF49</f>
        <v>0</v>
      </c>
      <c r="IG154" s="199" t="n">
        <f aca="false">IG$4*IG49</f>
        <v>0</v>
      </c>
      <c r="IH154" s="199" t="n">
        <f aca="false">IH$4*IH49</f>
        <v>0</v>
      </c>
      <c r="II154" s="199" t="n">
        <f aca="false">II$4*II49</f>
        <v>0</v>
      </c>
      <c r="IJ154" s="200" t="n">
        <f aca="false">IJ$4*IJ49</f>
        <v>0</v>
      </c>
      <c r="IK154" s="194" t="str">
        <f aca="false">HZ154</f>
        <v>Alumno44</v>
      </c>
      <c r="IL154" s="198" t="n">
        <f aca="false">IL$4*IL49</f>
        <v>0</v>
      </c>
      <c r="IM154" s="199" t="n">
        <f aca="false">IM$4*IM49</f>
        <v>0</v>
      </c>
      <c r="IN154" s="199" t="n">
        <f aca="false">IN$4*IN49</f>
        <v>0</v>
      </c>
      <c r="IO154" s="199" t="n">
        <f aca="false">IO$4*IO49</f>
        <v>0</v>
      </c>
      <c r="IP154" s="199" t="n">
        <f aca="false">IP$4*IP49</f>
        <v>0</v>
      </c>
      <c r="IQ154" s="199" t="n">
        <f aca="false">IQ$4*IQ49</f>
        <v>0</v>
      </c>
      <c r="IR154" s="199" t="n">
        <f aca="false">IR$4*IR49</f>
        <v>0</v>
      </c>
      <c r="IS154" s="199" t="n">
        <f aca="false">IS$4*IS49</f>
        <v>0</v>
      </c>
      <c r="IT154" s="199" t="n">
        <f aca="false">IT$4*IT49</f>
        <v>0</v>
      </c>
      <c r="IU154" s="200" t="n">
        <f aca="false">IU$4*IU49</f>
        <v>0</v>
      </c>
      <c r="IV154" s="194" t="str">
        <f aca="false">IK154</f>
        <v>Alumno44</v>
      </c>
      <c r="IW154" s="198" t="n">
        <f aca="false">IW$4*IW49</f>
        <v>0</v>
      </c>
      <c r="IX154" s="199" t="n">
        <f aca="false">IX$4*IX49</f>
        <v>0</v>
      </c>
      <c r="IY154" s="199" t="n">
        <f aca="false">IY$4*IY49</f>
        <v>0</v>
      </c>
      <c r="IZ154" s="199" t="n">
        <f aca="false">IZ$4*IZ49</f>
        <v>0</v>
      </c>
      <c r="JA154" s="199" t="n">
        <f aca="false">JA$4*JA49</f>
        <v>0</v>
      </c>
      <c r="JB154" s="199" t="n">
        <f aca="false">JB$4*JB49</f>
        <v>0</v>
      </c>
      <c r="JC154" s="199" t="n">
        <f aca="false">JC$4*JC49</f>
        <v>0</v>
      </c>
      <c r="JD154" s="199" t="n">
        <f aca="false">JD$4*JD49</f>
        <v>0</v>
      </c>
      <c r="JE154" s="199" t="n">
        <f aca="false">JE$4*JE49</f>
        <v>0</v>
      </c>
      <c r="JF154" s="200" t="n">
        <f aca="false">JF$4*JF49</f>
        <v>0</v>
      </c>
      <c r="JG154" s="194" t="str">
        <f aca="false">IV154</f>
        <v>Alumno44</v>
      </c>
      <c r="JH154" s="198" t="n">
        <f aca="false">JH$4*JH49</f>
        <v>0</v>
      </c>
      <c r="JI154" s="199" t="n">
        <f aca="false">JI$4*JI49</f>
        <v>0</v>
      </c>
      <c r="JJ154" s="199" t="n">
        <f aca="false">JJ$4*JJ49</f>
        <v>0</v>
      </c>
      <c r="JK154" s="199" t="n">
        <f aca="false">JK$4*JK49</f>
        <v>0</v>
      </c>
      <c r="JL154" s="199" t="n">
        <f aca="false">JL$4*JL49</f>
        <v>0</v>
      </c>
      <c r="JM154" s="199" t="n">
        <f aca="false">JM$4*JM49</f>
        <v>0</v>
      </c>
      <c r="JN154" s="199" t="n">
        <f aca="false">JN$4*JN49</f>
        <v>0</v>
      </c>
      <c r="JO154" s="199" t="n">
        <f aca="false">JO$4*JO49</f>
        <v>0</v>
      </c>
      <c r="JP154" s="199" t="n">
        <f aca="false">JP$4*JP49</f>
        <v>0</v>
      </c>
      <c r="JQ154" s="200" t="n">
        <f aca="false">JQ$4*JQ49</f>
        <v>0</v>
      </c>
      <c r="JR154" s="194" t="str">
        <f aca="false">JG154</f>
        <v>Alumno44</v>
      </c>
      <c r="JS154" s="198" t="n">
        <f aca="false">JS$4*JS49</f>
        <v>0</v>
      </c>
      <c r="JT154" s="199" t="n">
        <f aca="false">JT$4*JT49</f>
        <v>0</v>
      </c>
      <c r="JU154" s="199" t="n">
        <f aca="false">JU$4*JU49</f>
        <v>0</v>
      </c>
      <c r="JV154" s="199" t="n">
        <f aca="false">JV$4*JV49</f>
        <v>0</v>
      </c>
      <c r="JW154" s="199" t="n">
        <f aca="false">JW$4*JW49</f>
        <v>0</v>
      </c>
      <c r="JX154" s="199" t="n">
        <f aca="false">JX$4*JX49</f>
        <v>0</v>
      </c>
      <c r="JY154" s="199" t="n">
        <f aca="false">JY$4*JY49</f>
        <v>0</v>
      </c>
      <c r="JZ154" s="199" t="n">
        <f aca="false">JZ$4*JZ49</f>
        <v>0</v>
      </c>
      <c r="KA154" s="199" t="n">
        <f aca="false">KA$4*KA49</f>
        <v>0</v>
      </c>
      <c r="KB154" s="200" t="n">
        <f aca="false">KB$4*KB49</f>
        <v>0</v>
      </c>
      <c r="KC154" s="194" t="str">
        <f aca="false">JR154</f>
        <v>Alumno44</v>
      </c>
      <c r="KD154" s="198" t="n">
        <f aca="false">KD$4*KD49</f>
        <v>0</v>
      </c>
      <c r="KE154" s="199" t="n">
        <f aca="false">KE$4*KE49</f>
        <v>0</v>
      </c>
      <c r="KF154" s="199" t="n">
        <f aca="false">KF$4*KF49</f>
        <v>0</v>
      </c>
      <c r="KG154" s="199" t="n">
        <f aca="false">KG$4*KG49</f>
        <v>0</v>
      </c>
      <c r="KH154" s="199" t="n">
        <f aca="false">KH$4*KH49</f>
        <v>0</v>
      </c>
      <c r="KI154" s="199" t="n">
        <f aca="false">KI$4*KI49</f>
        <v>0</v>
      </c>
      <c r="KJ154" s="199" t="n">
        <f aca="false">KJ$4*KJ49</f>
        <v>0</v>
      </c>
      <c r="KK154" s="199" t="n">
        <f aca="false">KK$4*KK49</f>
        <v>0</v>
      </c>
      <c r="KL154" s="199" t="n">
        <f aca="false">KL$4*KL49</f>
        <v>0</v>
      </c>
      <c r="KM154" s="200" t="n">
        <f aca="false">KM$4*KM49</f>
        <v>0</v>
      </c>
      <c r="KN154" s="194" t="str">
        <f aca="false">KC154</f>
        <v>Alumno44</v>
      </c>
      <c r="KO154" s="198" t="n">
        <f aca="false">KO$4*KO49</f>
        <v>0</v>
      </c>
      <c r="KP154" s="199" t="n">
        <f aca="false">KP$4*KP49</f>
        <v>0</v>
      </c>
      <c r="KQ154" s="199" t="n">
        <f aca="false">KQ$4*KQ49</f>
        <v>0</v>
      </c>
      <c r="KR154" s="199" t="n">
        <f aca="false">KR$4*KR49</f>
        <v>0</v>
      </c>
      <c r="KS154" s="199" t="n">
        <f aca="false">KS$4*KS49</f>
        <v>0</v>
      </c>
      <c r="KT154" s="199" t="n">
        <f aca="false">KT$4*KT49</f>
        <v>0</v>
      </c>
      <c r="KU154" s="199" t="n">
        <f aca="false">KU$4*KU49</f>
        <v>0</v>
      </c>
      <c r="KV154" s="199" t="n">
        <f aca="false">KV$4*KV49</f>
        <v>0</v>
      </c>
      <c r="KW154" s="199" t="n">
        <f aca="false">KW$4*KW49</f>
        <v>0</v>
      </c>
      <c r="KX154" s="200" t="n">
        <f aca="false">KX$4*KX49</f>
        <v>0</v>
      </c>
      <c r="KY154" s="194" t="str">
        <f aca="false">KN154</f>
        <v>Alumno44</v>
      </c>
      <c r="KZ154" s="198" t="n">
        <f aca="false">KZ$4*KZ49</f>
        <v>0</v>
      </c>
      <c r="LA154" s="199" t="n">
        <f aca="false">LA$4*LA49</f>
        <v>0</v>
      </c>
      <c r="LB154" s="199" t="n">
        <f aca="false">LB$4*LB49</f>
        <v>0</v>
      </c>
      <c r="LC154" s="199" t="n">
        <f aca="false">LC$4*LC49</f>
        <v>0</v>
      </c>
      <c r="LD154" s="199" t="n">
        <f aca="false">LD$4*LD49</f>
        <v>0</v>
      </c>
      <c r="LE154" s="199" t="n">
        <f aca="false">LE$4*LE49</f>
        <v>0</v>
      </c>
      <c r="LF154" s="199" t="n">
        <f aca="false">LF$4*LF49</f>
        <v>0</v>
      </c>
      <c r="LG154" s="199" t="n">
        <f aca="false">LG$4*LG49</f>
        <v>0</v>
      </c>
      <c r="LH154" s="199" t="n">
        <f aca="false">LH$4*LH49</f>
        <v>0</v>
      </c>
      <c r="LI154" s="200" t="n">
        <f aca="false">LI$4*LI49</f>
        <v>0</v>
      </c>
      <c r="LJ154" s="194" t="str">
        <f aca="false">KY154</f>
        <v>Alumno44</v>
      </c>
      <c r="LK154" s="198" t="n">
        <f aca="false">LK$4*LK49</f>
        <v>0</v>
      </c>
      <c r="LL154" s="199" t="n">
        <f aca="false">LL$4*LL49</f>
        <v>0</v>
      </c>
      <c r="LM154" s="199" t="n">
        <f aca="false">LM$4*LM49</f>
        <v>0</v>
      </c>
      <c r="LN154" s="199" t="n">
        <f aca="false">LN$4*LN49</f>
        <v>0</v>
      </c>
      <c r="LO154" s="199" t="n">
        <f aca="false">LO$4*LO49</f>
        <v>0</v>
      </c>
      <c r="LP154" s="199" t="n">
        <f aca="false">LP$4*LP49</f>
        <v>0</v>
      </c>
      <c r="LQ154" s="199" t="n">
        <f aca="false">LQ$4*LQ49</f>
        <v>0</v>
      </c>
      <c r="LR154" s="199" t="n">
        <f aca="false">LR$4*LR49</f>
        <v>0</v>
      </c>
      <c r="LS154" s="199" t="n">
        <f aca="false">LS$4*LS49</f>
        <v>0</v>
      </c>
      <c r="LT154" s="200" t="n">
        <f aca="false">LT$4*LT49</f>
        <v>0</v>
      </c>
    </row>
    <row r="155" customFormat="false" ht="15.75" hidden="true" customHeight="false" outlineLevel="0" collapsed="false">
      <c r="C155" s="201" t="str">
        <f aca="false">C106</f>
        <v>Alumno45</v>
      </c>
      <c r="D155" s="202" t="n">
        <f aca="false">D$4*D50</f>
        <v>0</v>
      </c>
      <c r="E155" s="203" t="n">
        <f aca="false">E$4*E50</f>
        <v>0</v>
      </c>
      <c r="F155" s="203" t="n">
        <f aca="false">F$4*F50</f>
        <v>0</v>
      </c>
      <c r="G155" s="203" t="n">
        <f aca="false">G$4*G50</f>
        <v>0</v>
      </c>
      <c r="H155" s="203" t="n">
        <f aca="false">H$4*H50</f>
        <v>0</v>
      </c>
      <c r="I155" s="203" t="n">
        <f aca="false">I$4*I50</f>
        <v>0</v>
      </c>
      <c r="J155" s="203" t="n">
        <f aca="false">J$4*J50</f>
        <v>0</v>
      </c>
      <c r="K155" s="203" t="n">
        <f aca="false">K$4*K50</f>
        <v>0</v>
      </c>
      <c r="L155" s="203" t="n">
        <f aca="false">L$4*L50</f>
        <v>0</v>
      </c>
      <c r="M155" s="204" t="n">
        <f aca="false">M$4*M50</f>
        <v>0</v>
      </c>
      <c r="N155" s="201" t="str">
        <f aca="false">C155</f>
        <v>Alumno45</v>
      </c>
      <c r="O155" s="202" t="n">
        <f aca="false">O$4*O50</f>
        <v>0</v>
      </c>
      <c r="P155" s="203" t="n">
        <f aca="false">P$4*P50</f>
        <v>0</v>
      </c>
      <c r="Q155" s="203" t="n">
        <f aca="false">Q$4*Q50</f>
        <v>0</v>
      </c>
      <c r="R155" s="203" t="n">
        <f aca="false">R$4*R50</f>
        <v>0</v>
      </c>
      <c r="S155" s="203" t="n">
        <f aca="false">S$4*S50</f>
        <v>0</v>
      </c>
      <c r="T155" s="203" t="n">
        <f aca="false">T$4*T50</f>
        <v>0</v>
      </c>
      <c r="U155" s="203" t="n">
        <f aca="false">U$4*U50</f>
        <v>0</v>
      </c>
      <c r="V155" s="203" t="n">
        <f aca="false">V$4*V50</f>
        <v>0</v>
      </c>
      <c r="W155" s="203" t="n">
        <f aca="false">W$4*W50</f>
        <v>0</v>
      </c>
      <c r="X155" s="204" t="n">
        <f aca="false">X$4*X50</f>
        <v>0</v>
      </c>
      <c r="Y155" s="201" t="str">
        <f aca="false">N155</f>
        <v>Alumno45</v>
      </c>
      <c r="Z155" s="202" t="n">
        <f aca="false">Z$4*Z50</f>
        <v>0</v>
      </c>
      <c r="AA155" s="203" t="n">
        <f aca="false">AA$4*AA50</f>
        <v>0</v>
      </c>
      <c r="AB155" s="203" t="n">
        <f aca="false">AB$4*AB50</f>
        <v>0</v>
      </c>
      <c r="AC155" s="203" t="n">
        <f aca="false">AC$4*AC50</f>
        <v>0</v>
      </c>
      <c r="AD155" s="203" t="n">
        <f aca="false">AD$4*AD50</f>
        <v>0</v>
      </c>
      <c r="AE155" s="203" t="n">
        <f aca="false">AE$4*AE50</f>
        <v>0</v>
      </c>
      <c r="AF155" s="203" t="n">
        <f aca="false">AF$4*AF50</f>
        <v>0</v>
      </c>
      <c r="AG155" s="203" t="n">
        <f aca="false">AG$4*AG50</f>
        <v>0</v>
      </c>
      <c r="AH155" s="203" t="n">
        <f aca="false">AH$4*AH50</f>
        <v>0</v>
      </c>
      <c r="AI155" s="204" t="n">
        <f aca="false">AI$4*AI50</f>
        <v>0</v>
      </c>
      <c r="AJ155" s="201" t="str">
        <f aca="false">Y155</f>
        <v>Alumno45</v>
      </c>
      <c r="AK155" s="202" t="n">
        <f aca="false">AK$4*AK50</f>
        <v>0</v>
      </c>
      <c r="AL155" s="203" t="n">
        <f aca="false">AL$4*AL50</f>
        <v>0</v>
      </c>
      <c r="AM155" s="203" t="n">
        <f aca="false">AM$4*AM50</f>
        <v>0</v>
      </c>
      <c r="AN155" s="203" t="n">
        <f aca="false">AN$4*AN50</f>
        <v>0</v>
      </c>
      <c r="AO155" s="203" t="n">
        <f aca="false">AO$4*AO50</f>
        <v>0</v>
      </c>
      <c r="AP155" s="203" t="n">
        <f aca="false">AP$4*AP50</f>
        <v>0</v>
      </c>
      <c r="AQ155" s="203" t="n">
        <f aca="false">AQ$4*AQ50</f>
        <v>0</v>
      </c>
      <c r="AR155" s="203" t="n">
        <f aca="false">AR$4*AR50</f>
        <v>0</v>
      </c>
      <c r="AS155" s="203" t="n">
        <f aca="false">AS$4*AS50</f>
        <v>0</v>
      </c>
      <c r="AT155" s="204" t="n">
        <f aca="false">AT$4*AT50</f>
        <v>0</v>
      </c>
      <c r="AU155" s="201" t="str">
        <f aca="false">AJ155</f>
        <v>Alumno45</v>
      </c>
      <c r="AV155" s="202" t="n">
        <f aca="false">AV$4*AV50</f>
        <v>0</v>
      </c>
      <c r="AW155" s="203" t="n">
        <f aca="false">AW$4*AW50</f>
        <v>0</v>
      </c>
      <c r="AX155" s="203" t="n">
        <f aca="false">AX$4*AX50</f>
        <v>0</v>
      </c>
      <c r="AY155" s="203" t="n">
        <f aca="false">AY$4*AY50</f>
        <v>0</v>
      </c>
      <c r="AZ155" s="203" t="n">
        <f aca="false">AZ$4*AZ50</f>
        <v>0</v>
      </c>
      <c r="BA155" s="203" t="n">
        <f aca="false">BA$4*BA50</f>
        <v>0</v>
      </c>
      <c r="BB155" s="203" t="n">
        <f aca="false">BB$4*BB50</f>
        <v>0</v>
      </c>
      <c r="BC155" s="203" t="n">
        <f aca="false">BC$4*BC50</f>
        <v>0</v>
      </c>
      <c r="BD155" s="203" t="n">
        <f aca="false">BD$4*BD50</f>
        <v>0</v>
      </c>
      <c r="BE155" s="204" t="n">
        <f aca="false">BE$4*BE50</f>
        <v>0</v>
      </c>
      <c r="BF155" s="201" t="str">
        <f aca="false">AU155</f>
        <v>Alumno45</v>
      </c>
      <c r="BG155" s="202" t="n">
        <f aca="false">BG$4*BG50</f>
        <v>0</v>
      </c>
      <c r="BH155" s="203" t="n">
        <f aca="false">BH$4*BH50</f>
        <v>0</v>
      </c>
      <c r="BI155" s="203" t="n">
        <f aca="false">BI$4*BI50</f>
        <v>0</v>
      </c>
      <c r="BJ155" s="203" t="n">
        <f aca="false">BJ$4*BJ50</f>
        <v>0</v>
      </c>
      <c r="BK155" s="203" t="n">
        <f aca="false">BK$4*BK50</f>
        <v>0</v>
      </c>
      <c r="BL155" s="203" t="n">
        <f aca="false">BL$4*BL50</f>
        <v>0</v>
      </c>
      <c r="BM155" s="203" t="n">
        <f aca="false">BM$4*BM50</f>
        <v>0</v>
      </c>
      <c r="BN155" s="203" t="n">
        <f aca="false">BN$4*BN50</f>
        <v>0</v>
      </c>
      <c r="BO155" s="203" t="n">
        <f aca="false">BO$4*BO50</f>
        <v>0</v>
      </c>
      <c r="BP155" s="204" t="n">
        <f aca="false">BP$4*BP50</f>
        <v>0</v>
      </c>
      <c r="BQ155" s="201" t="str">
        <f aca="false">BF155</f>
        <v>Alumno45</v>
      </c>
      <c r="BR155" s="202" t="n">
        <f aca="false">BR$4*BR50</f>
        <v>0</v>
      </c>
      <c r="BS155" s="203" t="n">
        <f aca="false">BS$4*BS50</f>
        <v>0</v>
      </c>
      <c r="BT155" s="203" t="n">
        <f aca="false">BT$4*BT50</f>
        <v>0</v>
      </c>
      <c r="BU155" s="203" t="n">
        <f aca="false">BU$4*BU50</f>
        <v>0</v>
      </c>
      <c r="BV155" s="203" t="n">
        <f aca="false">BV$4*BV50</f>
        <v>0</v>
      </c>
      <c r="BW155" s="203" t="n">
        <f aca="false">BW$4*BW50</f>
        <v>0</v>
      </c>
      <c r="BX155" s="203" t="n">
        <f aca="false">BX$4*BX50</f>
        <v>0</v>
      </c>
      <c r="BY155" s="203" t="n">
        <f aca="false">BY$4*BY50</f>
        <v>0</v>
      </c>
      <c r="BZ155" s="203" t="n">
        <f aca="false">BZ$4*BZ50</f>
        <v>0</v>
      </c>
      <c r="CA155" s="204" t="n">
        <f aca="false">CA$4*CA50</f>
        <v>0</v>
      </c>
      <c r="CB155" s="201" t="str">
        <f aca="false">BQ155</f>
        <v>Alumno45</v>
      </c>
      <c r="CC155" s="202" t="n">
        <f aca="false">CC$4*CC50</f>
        <v>0</v>
      </c>
      <c r="CD155" s="203" t="n">
        <f aca="false">CD$4*CD50</f>
        <v>0</v>
      </c>
      <c r="CE155" s="203" t="n">
        <f aca="false">CE$4*CE50</f>
        <v>0</v>
      </c>
      <c r="CF155" s="203" t="n">
        <f aca="false">CF$4*CF50</f>
        <v>0</v>
      </c>
      <c r="CG155" s="203" t="n">
        <f aca="false">CG$4*CG50</f>
        <v>0</v>
      </c>
      <c r="CH155" s="203" t="n">
        <f aca="false">CH$4*CH50</f>
        <v>0</v>
      </c>
      <c r="CI155" s="203" t="n">
        <f aca="false">CI$4*CI50</f>
        <v>0</v>
      </c>
      <c r="CJ155" s="203" t="n">
        <f aca="false">CJ$4*CJ50</f>
        <v>0</v>
      </c>
      <c r="CK155" s="203" t="n">
        <f aca="false">CK$4*CK50</f>
        <v>0</v>
      </c>
      <c r="CL155" s="204" t="n">
        <f aca="false">CL$4*CL50</f>
        <v>0</v>
      </c>
      <c r="CM155" s="201" t="str">
        <f aca="false">CB155</f>
        <v>Alumno45</v>
      </c>
      <c r="CN155" s="202" t="n">
        <f aca="false">CN$4*CN50</f>
        <v>0</v>
      </c>
      <c r="CO155" s="203" t="n">
        <f aca="false">CO$4*CO50</f>
        <v>0</v>
      </c>
      <c r="CP155" s="203" t="n">
        <f aca="false">CP$4*CP50</f>
        <v>0</v>
      </c>
      <c r="CQ155" s="203" t="n">
        <f aca="false">CQ$4*CQ50</f>
        <v>0</v>
      </c>
      <c r="CR155" s="203" t="n">
        <f aca="false">CR$4*CR50</f>
        <v>0</v>
      </c>
      <c r="CS155" s="203" t="n">
        <f aca="false">CS$4*CS50</f>
        <v>0</v>
      </c>
      <c r="CT155" s="203" t="n">
        <f aca="false">CT$4*CT50</f>
        <v>0</v>
      </c>
      <c r="CU155" s="203" t="n">
        <f aca="false">CU$4*CU50</f>
        <v>0</v>
      </c>
      <c r="CV155" s="203" t="n">
        <f aca="false">CV$4*CV50</f>
        <v>0</v>
      </c>
      <c r="CW155" s="204" t="n">
        <f aca="false">CW$4*CW50</f>
        <v>0</v>
      </c>
      <c r="CX155" s="201" t="str">
        <f aca="false">CM155</f>
        <v>Alumno45</v>
      </c>
      <c r="CY155" s="202" t="n">
        <f aca="false">CY$4*CY50</f>
        <v>0</v>
      </c>
      <c r="CZ155" s="203" t="n">
        <f aca="false">CZ$4*CZ50</f>
        <v>0</v>
      </c>
      <c r="DA155" s="203" t="n">
        <f aca="false">DA$4*DA50</f>
        <v>0</v>
      </c>
      <c r="DB155" s="203" t="n">
        <f aca="false">DB$4*DB50</f>
        <v>0</v>
      </c>
      <c r="DC155" s="203" t="n">
        <f aca="false">DC$4*DC50</f>
        <v>0</v>
      </c>
      <c r="DD155" s="203" t="n">
        <f aca="false">DD$4*DD50</f>
        <v>0</v>
      </c>
      <c r="DE155" s="203" t="n">
        <f aca="false">DE$4*DE50</f>
        <v>0</v>
      </c>
      <c r="DF155" s="203" t="n">
        <f aca="false">DF$4*DF50</f>
        <v>0</v>
      </c>
      <c r="DG155" s="203" t="n">
        <f aca="false">DG$4*DG50</f>
        <v>0</v>
      </c>
      <c r="DH155" s="204" t="n">
        <f aca="false">DH$4*DH50</f>
        <v>0</v>
      </c>
      <c r="DI155" s="201" t="str">
        <f aca="false">CX155</f>
        <v>Alumno45</v>
      </c>
      <c r="DJ155" s="202" t="n">
        <f aca="false">DJ$4*DJ50</f>
        <v>0</v>
      </c>
      <c r="DK155" s="203" t="n">
        <f aca="false">DK$4*DK50</f>
        <v>0</v>
      </c>
      <c r="DL155" s="203" t="n">
        <f aca="false">DL$4*DL50</f>
        <v>0</v>
      </c>
      <c r="DM155" s="203" t="n">
        <f aca="false">DM$4*DM50</f>
        <v>0</v>
      </c>
      <c r="DN155" s="203" t="n">
        <f aca="false">DN$4*DN50</f>
        <v>0</v>
      </c>
      <c r="DO155" s="203" t="n">
        <f aca="false">DO$4*DO50</f>
        <v>0</v>
      </c>
      <c r="DP155" s="203" t="n">
        <f aca="false">DP$4*DP50</f>
        <v>0</v>
      </c>
      <c r="DQ155" s="203" t="n">
        <f aca="false">DQ$4*DQ50</f>
        <v>0</v>
      </c>
      <c r="DR155" s="203" t="n">
        <f aca="false">DR$4*DR50</f>
        <v>0</v>
      </c>
      <c r="DS155" s="204" t="n">
        <f aca="false">DS$4*DS50</f>
        <v>0</v>
      </c>
      <c r="DT155" s="201" t="str">
        <f aca="false">DI155</f>
        <v>Alumno45</v>
      </c>
      <c r="DU155" s="202" t="n">
        <f aca="false">DU$4*DU50</f>
        <v>0</v>
      </c>
      <c r="DV155" s="203" t="n">
        <f aca="false">DV$4*DV50</f>
        <v>0</v>
      </c>
      <c r="DW155" s="203" t="n">
        <f aca="false">DW$4*DW50</f>
        <v>0</v>
      </c>
      <c r="DX155" s="203" t="n">
        <f aca="false">DX$4*DX50</f>
        <v>0</v>
      </c>
      <c r="DY155" s="203" t="n">
        <f aca="false">DY$4*DY50</f>
        <v>0</v>
      </c>
      <c r="DZ155" s="203" t="n">
        <f aca="false">DZ$4*DZ50</f>
        <v>0</v>
      </c>
      <c r="EA155" s="203" t="n">
        <f aca="false">EA$4*EA50</f>
        <v>0</v>
      </c>
      <c r="EB155" s="203" t="n">
        <f aca="false">EB$4*EB50</f>
        <v>0</v>
      </c>
      <c r="EC155" s="203" t="n">
        <f aca="false">EC$4*EC50</f>
        <v>0</v>
      </c>
      <c r="ED155" s="204" t="n">
        <f aca="false">ED$4*ED50</f>
        <v>0</v>
      </c>
      <c r="EE155" s="201" t="str">
        <f aca="false">DT155</f>
        <v>Alumno45</v>
      </c>
      <c r="EF155" s="202" t="n">
        <f aca="false">EF$4*EF50</f>
        <v>0</v>
      </c>
      <c r="EG155" s="203" t="n">
        <f aca="false">EG$4*EG50</f>
        <v>0</v>
      </c>
      <c r="EH155" s="203" t="n">
        <f aca="false">EH$4*EH50</f>
        <v>0</v>
      </c>
      <c r="EI155" s="203" t="n">
        <f aca="false">EI$4*EI50</f>
        <v>0</v>
      </c>
      <c r="EJ155" s="203" t="n">
        <f aca="false">EJ$4*EJ50</f>
        <v>0</v>
      </c>
      <c r="EK155" s="203" t="n">
        <f aca="false">EK$4*EK50</f>
        <v>0</v>
      </c>
      <c r="EL155" s="203" t="n">
        <f aca="false">EL$4*EL50</f>
        <v>0</v>
      </c>
      <c r="EM155" s="203" t="n">
        <f aca="false">EM$4*EM50</f>
        <v>0</v>
      </c>
      <c r="EN155" s="203" t="n">
        <f aca="false">EN$4*EN50</f>
        <v>0</v>
      </c>
      <c r="EO155" s="204" t="n">
        <f aca="false">EO$4*EO50</f>
        <v>0</v>
      </c>
      <c r="EP155" s="201" t="str">
        <f aca="false">EE155</f>
        <v>Alumno45</v>
      </c>
      <c r="EQ155" s="202" t="n">
        <f aca="false">EQ$4*EQ50</f>
        <v>0</v>
      </c>
      <c r="ER155" s="203" t="n">
        <f aca="false">ER$4*ER50</f>
        <v>0</v>
      </c>
      <c r="ES155" s="203" t="n">
        <f aca="false">ES$4*ES50</f>
        <v>0</v>
      </c>
      <c r="ET155" s="203" t="n">
        <f aca="false">ET$4*ET50</f>
        <v>0</v>
      </c>
      <c r="EU155" s="203" t="n">
        <f aca="false">EU$4*EU50</f>
        <v>0</v>
      </c>
      <c r="EV155" s="203" t="n">
        <f aca="false">EV$4*EV50</f>
        <v>0</v>
      </c>
      <c r="EW155" s="203" t="n">
        <f aca="false">EW$4*EW50</f>
        <v>0</v>
      </c>
      <c r="EX155" s="203" t="n">
        <f aca="false">EX$4*EX50</f>
        <v>0</v>
      </c>
      <c r="EY155" s="203" t="n">
        <f aca="false">EY$4*EY50</f>
        <v>0</v>
      </c>
      <c r="EZ155" s="204" t="n">
        <f aca="false">EZ$4*EZ50</f>
        <v>0</v>
      </c>
      <c r="FA155" s="201" t="str">
        <f aca="false">EP155</f>
        <v>Alumno45</v>
      </c>
      <c r="FB155" s="202" t="n">
        <f aca="false">FB$4*FB50</f>
        <v>0</v>
      </c>
      <c r="FC155" s="203" t="n">
        <f aca="false">FC$4*FC50</f>
        <v>0</v>
      </c>
      <c r="FD155" s="203" t="n">
        <f aca="false">FD$4*FD50</f>
        <v>0</v>
      </c>
      <c r="FE155" s="203" t="n">
        <f aca="false">FE$4*FE50</f>
        <v>0</v>
      </c>
      <c r="FF155" s="203" t="n">
        <f aca="false">FF$4*FF50</f>
        <v>0</v>
      </c>
      <c r="FG155" s="203" t="n">
        <f aca="false">FG$4*FG50</f>
        <v>0</v>
      </c>
      <c r="FH155" s="203" t="n">
        <f aca="false">FH$4*FH50</f>
        <v>0</v>
      </c>
      <c r="FI155" s="203" t="n">
        <f aca="false">FI$4*FI50</f>
        <v>0</v>
      </c>
      <c r="FJ155" s="203" t="n">
        <f aca="false">FJ$4*FJ50</f>
        <v>0</v>
      </c>
      <c r="FK155" s="204" t="n">
        <f aca="false">FK$4*FK50</f>
        <v>0</v>
      </c>
      <c r="FL155" s="201" t="str">
        <f aca="false">FA155</f>
        <v>Alumno45</v>
      </c>
      <c r="FM155" s="202" t="n">
        <f aca="false">FM$4*FM50</f>
        <v>0</v>
      </c>
      <c r="FN155" s="203" t="n">
        <f aca="false">FN$4*FN50</f>
        <v>0</v>
      </c>
      <c r="FO155" s="203" t="n">
        <f aca="false">FO$4*FO50</f>
        <v>0</v>
      </c>
      <c r="FP155" s="203" t="n">
        <f aca="false">FP$4*FP50</f>
        <v>0</v>
      </c>
      <c r="FQ155" s="203" t="n">
        <f aca="false">FQ$4*FQ50</f>
        <v>0</v>
      </c>
      <c r="FR155" s="203" t="n">
        <f aca="false">FR$4*FR50</f>
        <v>0</v>
      </c>
      <c r="FS155" s="203" t="n">
        <f aca="false">FS$4*FS50</f>
        <v>0</v>
      </c>
      <c r="FT155" s="203" t="n">
        <f aca="false">FT$4*FT50</f>
        <v>0</v>
      </c>
      <c r="FU155" s="203" t="n">
        <f aca="false">FU$4*FU50</f>
        <v>0</v>
      </c>
      <c r="FV155" s="204" t="n">
        <f aca="false">FV$4*FV50</f>
        <v>0</v>
      </c>
      <c r="FW155" s="201" t="str">
        <f aca="false">FL155</f>
        <v>Alumno45</v>
      </c>
      <c r="FX155" s="202" t="n">
        <f aca="false">FX$4*FX50</f>
        <v>0</v>
      </c>
      <c r="FY155" s="203" t="n">
        <f aca="false">FY$4*FY50</f>
        <v>0</v>
      </c>
      <c r="FZ155" s="203" t="n">
        <f aca="false">FZ$4*FZ50</f>
        <v>0</v>
      </c>
      <c r="GA155" s="203" t="n">
        <f aca="false">GA$4*GA50</f>
        <v>0</v>
      </c>
      <c r="GB155" s="203" t="n">
        <f aca="false">GB$4*GB50</f>
        <v>0</v>
      </c>
      <c r="GC155" s="203" t="n">
        <f aca="false">GC$4*GC50</f>
        <v>0</v>
      </c>
      <c r="GD155" s="203" t="n">
        <f aca="false">GD$4*GD50</f>
        <v>0</v>
      </c>
      <c r="GE155" s="203" t="n">
        <f aca="false">GE$4*GE50</f>
        <v>0</v>
      </c>
      <c r="GF155" s="203" t="n">
        <f aca="false">GF$4*GF50</f>
        <v>0</v>
      </c>
      <c r="GG155" s="204" t="n">
        <f aca="false">GG$4*GG50</f>
        <v>0</v>
      </c>
      <c r="GH155" s="201" t="str">
        <f aca="false">FW155</f>
        <v>Alumno45</v>
      </c>
      <c r="GI155" s="202" t="n">
        <f aca="false">GI$4*GI50</f>
        <v>0</v>
      </c>
      <c r="GJ155" s="203" t="n">
        <f aca="false">GJ$4*GJ50</f>
        <v>0</v>
      </c>
      <c r="GK155" s="203" t="n">
        <f aca="false">GK$4*GK50</f>
        <v>0</v>
      </c>
      <c r="GL155" s="203" t="n">
        <f aca="false">GL$4*GL50</f>
        <v>0</v>
      </c>
      <c r="GM155" s="203" t="n">
        <f aca="false">GM$4*GM50</f>
        <v>0</v>
      </c>
      <c r="GN155" s="203" t="n">
        <f aca="false">GN$4*GN50</f>
        <v>0</v>
      </c>
      <c r="GO155" s="203" t="n">
        <f aca="false">GO$4*GO50</f>
        <v>0</v>
      </c>
      <c r="GP155" s="203" t="n">
        <f aca="false">GP$4*GP50</f>
        <v>0</v>
      </c>
      <c r="GQ155" s="203" t="n">
        <f aca="false">GQ$4*GQ50</f>
        <v>0</v>
      </c>
      <c r="GR155" s="204" t="n">
        <f aca="false">GR$4*GR50</f>
        <v>0</v>
      </c>
      <c r="GS155" s="201" t="str">
        <f aca="false">GH155</f>
        <v>Alumno45</v>
      </c>
      <c r="GT155" s="202" t="n">
        <f aca="false">GT$4*GT50</f>
        <v>0</v>
      </c>
      <c r="GU155" s="203" t="n">
        <f aca="false">GU$4*GU50</f>
        <v>0</v>
      </c>
      <c r="GV155" s="203" t="n">
        <f aca="false">GV$4*GV50</f>
        <v>0</v>
      </c>
      <c r="GW155" s="203" t="n">
        <f aca="false">GW$4*GW50</f>
        <v>0</v>
      </c>
      <c r="GX155" s="203" t="n">
        <f aca="false">GX$4*GX50</f>
        <v>0</v>
      </c>
      <c r="GY155" s="203" t="n">
        <f aca="false">GY$4*GY50</f>
        <v>0</v>
      </c>
      <c r="GZ155" s="203" t="n">
        <f aca="false">GZ$4*GZ50</f>
        <v>0</v>
      </c>
      <c r="HA155" s="203" t="n">
        <f aca="false">HA$4*HA50</f>
        <v>0</v>
      </c>
      <c r="HB155" s="203" t="n">
        <f aca="false">HB$4*HB50</f>
        <v>0</v>
      </c>
      <c r="HC155" s="204" t="n">
        <f aca="false">HC$4*HC50</f>
        <v>0</v>
      </c>
      <c r="HD155" s="201" t="str">
        <f aca="false">GS155</f>
        <v>Alumno45</v>
      </c>
      <c r="HE155" s="202" t="n">
        <f aca="false">HE$4*HE50</f>
        <v>0</v>
      </c>
      <c r="HF155" s="203" t="n">
        <f aca="false">HF$4*HF50</f>
        <v>0</v>
      </c>
      <c r="HG155" s="203" t="n">
        <f aca="false">HG$4*HG50</f>
        <v>0</v>
      </c>
      <c r="HH155" s="203" t="n">
        <f aca="false">HH$4*HH50</f>
        <v>0</v>
      </c>
      <c r="HI155" s="203" t="n">
        <f aca="false">HI$4*HI50</f>
        <v>0</v>
      </c>
      <c r="HJ155" s="203" t="n">
        <f aca="false">HJ$4*HJ50</f>
        <v>0</v>
      </c>
      <c r="HK155" s="203" t="n">
        <f aca="false">HK$4*HK50</f>
        <v>0</v>
      </c>
      <c r="HL155" s="203" t="n">
        <f aca="false">HL$4*HL50</f>
        <v>0</v>
      </c>
      <c r="HM155" s="203" t="n">
        <f aca="false">HM$4*HM50</f>
        <v>0</v>
      </c>
      <c r="HN155" s="204" t="n">
        <f aca="false">HN$4*HN50</f>
        <v>0</v>
      </c>
      <c r="HO155" s="201" t="str">
        <f aca="false">HD155</f>
        <v>Alumno45</v>
      </c>
      <c r="HP155" s="202" t="n">
        <f aca="false">HP$4*HP50</f>
        <v>0</v>
      </c>
      <c r="HQ155" s="203" t="n">
        <f aca="false">HQ$4*HQ50</f>
        <v>0</v>
      </c>
      <c r="HR155" s="203" t="n">
        <f aca="false">HR$4*HR50</f>
        <v>0</v>
      </c>
      <c r="HS155" s="203" t="n">
        <f aca="false">HS$4*HS50</f>
        <v>0</v>
      </c>
      <c r="HT155" s="203" t="n">
        <f aca="false">HT$4*HT50</f>
        <v>0</v>
      </c>
      <c r="HU155" s="203" t="n">
        <f aca="false">HU$4*HU50</f>
        <v>0</v>
      </c>
      <c r="HV155" s="203" t="n">
        <f aca="false">HV$4*HV50</f>
        <v>0</v>
      </c>
      <c r="HW155" s="203" t="n">
        <f aca="false">HW$4*HW50</f>
        <v>0</v>
      </c>
      <c r="HX155" s="203" t="n">
        <f aca="false">HX$4*HX50</f>
        <v>0</v>
      </c>
      <c r="HY155" s="204" t="n">
        <f aca="false">HY$4*HY50</f>
        <v>0</v>
      </c>
      <c r="HZ155" s="201" t="str">
        <f aca="false">HO155</f>
        <v>Alumno45</v>
      </c>
      <c r="IA155" s="202" t="n">
        <f aca="false">IA$4*IA50</f>
        <v>0</v>
      </c>
      <c r="IB155" s="203" t="n">
        <f aca="false">IB$4*IB50</f>
        <v>0</v>
      </c>
      <c r="IC155" s="203" t="n">
        <f aca="false">IC$4*IC50</f>
        <v>0</v>
      </c>
      <c r="ID155" s="203" t="n">
        <f aca="false">ID$4*ID50</f>
        <v>0</v>
      </c>
      <c r="IE155" s="203" t="n">
        <f aca="false">IE$4*IE50</f>
        <v>0</v>
      </c>
      <c r="IF155" s="203" t="n">
        <f aca="false">IF$4*IF50</f>
        <v>0</v>
      </c>
      <c r="IG155" s="203" t="n">
        <f aca="false">IG$4*IG50</f>
        <v>0</v>
      </c>
      <c r="IH155" s="203" t="n">
        <f aca="false">IH$4*IH50</f>
        <v>0</v>
      </c>
      <c r="II155" s="203" t="n">
        <f aca="false">II$4*II50</f>
        <v>0</v>
      </c>
      <c r="IJ155" s="204" t="n">
        <f aca="false">IJ$4*IJ50</f>
        <v>0</v>
      </c>
      <c r="IK155" s="201" t="str">
        <f aca="false">HZ155</f>
        <v>Alumno45</v>
      </c>
      <c r="IL155" s="202" t="n">
        <f aca="false">IL$4*IL50</f>
        <v>0</v>
      </c>
      <c r="IM155" s="203" t="n">
        <f aca="false">IM$4*IM50</f>
        <v>0</v>
      </c>
      <c r="IN155" s="203" t="n">
        <f aca="false">IN$4*IN50</f>
        <v>0</v>
      </c>
      <c r="IO155" s="203" t="n">
        <f aca="false">IO$4*IO50</f>
        <v>0</v>
      </c>
      <c r="IP155" s="203" t="n">
        <f aca="false">IP$4*IP50</f>
        <v>0</v>
      </c>
      <c r="IQ155" s="203" t="n">
        <f aca="false">IQ$4*IQ50</f>
        <v>0</v>
      </c>
      <c r="IR155" s="203" t="n">
        <f aca="false">IR$4*IR50</f>
        <v>0</v>
      </c>
      <c r="IS155" s="203" t="n">
        <f aca="false">IS$4*IS50</f>
        <v>0</v>
      </c>
      <c r="IT155" s="203" t="n">
        <f aca="false">IT$4*IT50</f>
        <v>0</v>
      </c>
      <c r="IU155" s="204" t="n">
        <f aca="false">IU$4*IU50</f>
        <v>0</v>
      </c>
      <c r="IV155" s="201" t="str">
        <f aca="false">IK155</f>
        <v>Alumno45</v>
      </c>
      <c r="IW155" s="202" t="n">
        <f aca="false">IW$4*IW50</f>
        <v>0</v>
      </c>
      <c r="IX155" s="203" t="n">
        <f aca="false">IX$4*IX50</f>
        <v>0</v>
      </c>
      <c r="IY155" s="203" t="n">
        <f aca="false">IY$4*IY50</f>
        <v>0</v>
      </c>
      <c r="IZ155" s="203" t="n">
        <f aca="false">IZ$4*IZ50</f>
        <v>0</v>
      </c>
      <c r="JA155" s="203" t="n">
        <f aca="false">JA$4*JA50</f>
        <v>0</v>
      </c>
      <c r="JB155" s="203" t="n">
        <f aca="false">JB$4*JB50</f>
        <v>0</v>
      </c>
      <c r="JC155" s="203" t="n">
        <f aca="false">JC$4*JC50</f>
        <v>0</v>
      </c>
      <c r="JD155" s="203" t="n">
        <f aca="false">JD$4*JD50</f>
        <v>0</v>
      </c>
      <c r="JE155" s="203" t="n">
        <f aca="false">JE$4*JE50</f>
        <v>0</v>
      </c>
      <c r="JF155" s="204" t="n">
        <f aca="false">JF$4*JF50</f>
        <v>0</v>
      </c>
      <c r="JG155" s="201" t="str">
        <f aca="false">IV155</f>
        <v>Alumno45</v>
      </c>
      <c r="JH155" s="202" t="n">
        <f aca="false">JH$4*JH50</f>
        <v>0</v>
      </c>
      <c r="JI155" s="203" t="n">
        <f aca="false">JI$4*JI50</f>
        <v>0</v>
      </c>
      <c r="JJ155" s="203" t="n">
        <f aca="false">JJ$4*JJ50</f>
        <v>0</v>
      </c>
      <c r="JK155" s="203" t="n">
        <f aca="false">JK$4*JK50</f>
        <v>0</v>
      </c>
      <c r="JL155" s="203" t="n">
        <f aca="false">JL$4*JL50</f>
        <v>0</v>
      </c>
      <c r="JM155" s="203" t="n">
        <f aca="false">JM$4*JM50</f>
        <v>0</v>
      </c>
      <c r="JN155" s="203" t="n">
        <f aca="false">JN$4*JN50</f>
        <v>0</v>
      </c>
      <c r="JO155" s="203" t="n">
        <f aca="false">JO$4*JO50</f>
        <v>0</v>
      </c>
      <c r="JP155" s="203" t="n">
        <f aca="false">JP$4*JP50</f>
        <v>0</v>
      </c>
      <c r="JQ155" s="204" t="n">
        <f aca="false">JQ$4*JQ50</f>
        <v>0</v>
      </c>
      <c r="JR155" s="201" t="str">
        <f aca="false">JG155</f>
        <v>Alumno45</v>
      </c>
      <c r="JS155" s="202" t="n">
        <f aca="false">JS$4*JS50</f>
        <v>0</v>
      </c>
      <c r="JT155" s="203" t="n">
        <f aca="false">JT$4*JT50</f>
        <v>0</v>
      </c>
      <c r="JU155" s="203" t="n">
        <f aca="false">JU$4*JU50</f>
        <v>0</v>
      </c>
      <c r="JV155" s="203" t="n">
        <f aca="false">JV$4*JV50</f>
        <v>0</v>
      </c>
      <c r="JW155" s="203" t="n">
        <f aca="false">JW$4*JW50</f>
        <v>0</v>
      </c>
      <c r="JX155" s="203" t="n">
        <f aca="false">JX$4*JX50</f>
        <v>0</v>
      </c>
      <c r="JY155" s="203" t="n">
        <f aca="false">JY$4*JY50</f>
        <v>0</v>
      </c>
      <c r="JZ155" s="203" t="n">
        <f aca="false">JZ$4*JZ50</f>
        <v>0</v>
      </c>
      <c r="KA155" s="203" t="n">
        <f aca="false">KA$4*KA50</f>
        <v>0</v>
      </c>
      <c r="KB155" s="204" t="n">
        <f aca="false">KB$4*KB50</f>
        <v>0</v>
      </c>
      <c r="KC155" s="201" t="str">
        <f aca="false">JR155</f>
        <v>Alumno45</v>
      </c>
      <c r="KD155" s="202" t="n">
        <f aca="false">KD$4*KD50</f>
        <v>0</v>
      </c>
      <c r="KE155" s="203" t="n">
        <f aca="false">KE$4*KE50</f>
        <v>0</v>
      </c>
      <c r="KF155" s="203" t="n">
        <f aca="false">KF$4*KF50</f>
        <v>0</v>
      </c>
      <c r="KG155" s="203" t="n">
        <f aca="false">KG$4*KG50</f>
        <v>0</v>
      </c>
      <c r="KH155" s="203" t="n">
        <f aca="false">KH$4*KH50</f>
        <v>0</v>
      </c>
      <c r="KI155" s="203" t="n">
        <f aca="false">KI$4*KI50</f>
        <v>0</v>
      </c>
      <c r="KJ155" s="203" t="n">
        <f aca="false">KJ$4*KJ50</f>
        <v>0</v>
      </c>
      <c r="KK155" s="203" t="n">
        <f aca="false">KK$4*KK50</f>
        <v>0</v>
      </c>
      <c r="KL155" s="203" t="n">
        <f aca="false">KL$4*KL50</f>
        <v>0</v>
      </c>
      <c r="KM155" s="204" t="n">
        <f aca="false">KM$4*KM50</f>
        <v>0</v>
      </c>
      <c r="KN155" s="201" t="str">
        <f aca="false">KC155</f>
        <v>Alumno45</v>
      </c>
      <c r="KO155" s="202" t="n">
        <f aca="false">KO$4*KO50</f>
        <v>0</v>
      </c>
      <c r="KP155" s="203" t="n">
        <f aca="false">KP$4*KP50</f>
        <v>0</v>
      </c>
      <c r="KQ155" s="203" t="n">
        <f aca="false">KQ$4*KQ50</f>
        <v>0</v>
      </c>
      <c r="KR155" s="203" t="n">
        <f aca="false">KR$4*KR50</f>
        <v>0</v>
      </c>
      <c r="KS155" s="203" t="n">
        <f aca="false">KS$4*KS50</f>
        <v>0</v>
      </c>
      <c r="KT155" s="203" t="n">
        <f aca="false">KT$4*KT50</f>
        <v>0</v>
      </c>
      <c r="KU155" s="203" t="n">
        <f aca="false">KU$4*KU50</f>
        <v>0</v>
      </c>
      <c r="KV155" s="203" t="n">
        <f aca="false">KV$4*KV50</f>
        <v>0</v>
      </c>
      <c r="KW155" s="203" t="n">
        <f aca="false">KW$4*KW50</f>
        <v>0</v>
      </c>
      <c r="KX155" s="204" t="n">
        <f aca="false">KX$4*KX50</f>
        <v>0</v>
      </c>
      <c r="KY155" s="201" t="str">
        <f aca="false">KN155</f>
        <v>Alumno45</v>
      </c>
      <c r="KZ155" s="202" t="n">
        <f aca="false">KZ$4*KZ50</f>
        <v>0</v>
      </c>
      <c r="LA155" s="203" t="n">
        <f aca="false">LA$4*LA50</f>
        <v>0</v>
      </c>
      <c r="LB155" s="203" t="n">
        <f aca="false">LB$4*LB50</f>
        <v>0</v>
      </c>
      <c r="LC155" s="203" t="n">
        <f aca="false">LC$4*LC50</f>
        <v>0</v>
      </c>
      <c r="LD155" s="203" t="n">
        <f aca="false">LD$4*LD50</f>
        <v>0</v>
      </c>
      <c r="LE155" s="203" t="n">
        <f aca="false">LE$4*LE50</f>
        <v>0</v>
      </c>
      <c r="LF155" s="203" t="n">
        <f aca="false">LF$4*LF50</f>
        <v>0</v>
      </c>
      <c r="LG155" s="203" t="n">
        <f aca="false">LG$4*LG50</f>
        <v>0</v>
      </c>
      <c r="LH155" s="203" t="n">
        <f aca="false">LH$4*LH50</f>
        <v>0</v>
      </c>
      <c r="LI155" s="204" t="n">
        <f aca="false">LI$4*LI50</f>
        <v>0</v>
      </c>
      <c r="LJ155" s="201" t="str">
        <f aca="false">KY155</f>
        <v>Alumno45</v>
      </c>
      <c r="LK155" s="202" t="n">
        <f aca="false">LK$4*LK50</f>
        <v>0</v>
      </c>
      <c r="LL155" s="203" t="n">
        <f aca="false">LL$4*LL50</f>
        <v>0</v>
      </c>
      <c r="LM155" s="203" t="n">
        <f aca="false">LM$4*LM50</f>
        <v>0</v>
      </c>
      <c r="LN155" s="203" t="n">
        <f aca="false">LN$4*LN50</f>
        <v>0</v>
      </c>
      <c r="LO155" s="203" t="n">
        <f aca="false">LO$4*LO50</f>
        <v>0</v>
      </c>
      <c r="LP155" s="203" t="n">
        <f aca="false">LP$4*LP50</f>
        <v>0</v>
      </c>
      <c r="LQ155" s="203" t="n">
        <f aca="false">LQ$4*LQ50</f>
        <v>0</v>
      </c>
      <c r="LR155" s="203" t="n">
        <f aca="false">LR$4*LR50</f>
        <v>0</v>
      </c>
      <c r="LS155" s="203" t="n">
        <f aca="false">LS$4*LS50</f>
        <v>0</v>
      </c>
      <c r="LT155" s="204" t="n">
        <f aca="false">LT$4*LT50</f>
        <v>0</v>
      </c>
    </row>
    <row r="156" customFormat="false" ht="15" hidden="true" customHeight="false" outlineLevel="0" collapsed="false"/>
    <row r="157" customFormat="false" ht="15" hidden="true" customHeight="false" outlineLevel="0" collapsed="false"/>
    <row r="158" customFormat="false" ht="15.75" hidden="true" customHeight="false" outlineLevel="0" collapsed="false">
      <c r="C158" s="205" t="s">
        <v>161</v>
      </c>
      <c r="D158" s="206" t="n">
        <v>2</v>
      </c>
      <c r="E158" s="206" t="n">
        <v>3</v>
      </c>
      <c r="F158" s="206" t="n">
        <v>4</v>
      </c>
      <c r="G158" s="206" t="n">
        <v>5</v>
      </c>
      <c r="H158" s="206" t="n">
        <v>6</v>
      </c>
      <c r="I158" s="206" t="n">
        <v>7</v>
      </c>
      <c r="J158" s="206" t="n">
        <v>8</v>
      </c>
      <c r="K158" s="206" t="n">
        <v>9</v>
      </c>
      <c r="L158" s="206" t="n">
        <v>10</v>
      </c>
      <c r="M158" s="206" t="n">
        <v>11</v>
      </c>
      <c r="N158" s="205" t="s">
        <v>161</v>
      </c>
      <c r="O158" s="206" t="n">
        <v>2</v>
      </c>
      <c r="P158" s="206" t="n">
        <v>3</v>
      </c>
      <c r="Q158" s="206" t="n">
        <v>4</v>
      </c>
      <c r="R158" s="206" t="n">
        <v>5</v>
      </c>
      <c r="S158" s="206" t="n">
        <v>6</v>
      </c>
      <c r="T158" s="206" t="n">
        <v>7</v>
      </c>
      <c r="U158" s="206" t="n">
        <v>8</v>
      </c>
      <c r="V158" s="206" t="n">
        <v>9</v>
      </c>
      <c r="W158" s="206" t="n">
        <v>10</v>
      </c>
      <c r="X158" s="206" t="n">
        <v>11</v>
      </c>
      <c r="Y158" s="205" t="s">
        <v>161</v>
      </c>
      <c r="Z158" s="206" t="n">
        <v>2</v>
      </c>
      <c r="AA158" s="206" t="n">
        <v>3</v>
      </c>
      <c r="AB158" s="206" t="n">
        <v>4</v>
      </c>
      <c r="AC158" s="206" t="n">
        <v>5</v>
      </c>
      <c r="AD158" s="206" t="n">
        <v>6</v>
      </c>
      <c r="AE158" s="206" t="n">
        <v>7</v>
      </c>
      <c r="AF158" s="206" t="n">
        <v>8</v>
      </c>
      <c r="AG158" s="206" t="n">
        <v>9</v>
      </c>
      <c r="AH158" s="206" t="n">
        <v>10</v>
      </c>
      <c r="AI158" s="206" t="n">
        <v>11</v>
      </c>
      <c r="AJ158" s="205" t="s">
        <v>161</v>
      </c>
      <c r="AK158" s="206" t="n">
        <v>2</v>
      </c>
      <c r="AL158" s="206" t="n">
        <v>3</v>
      </c>
      <c r="AM158" s="206" t="n">
        <v>4</v>
      </c>
      <c r="AN158" s="206" t="n">
        <v>5</v>
      </c>
      <c r="AO158" s="206" t="n">
        <v>6</v>
      </c>
      <c r="AP158" s="206" t="n">
        <v>7</v>
      </c>
      <c r="AQ158" s="206" t="n">
        <v>8</v>
      </c>
      <c r="AR158" s="206" t="n">
        <v>9</v>
      </c>
      <c r="AS158" s="206" t="n">
        <v>10</v>
      </c>
      <c r="AT158" s="206" t="n">
        <v>11</v>
      </c>
      <c r="AU158" s="205" t="s">
        <v>161</v>
      </c>
      <c r="AV158" s="206" t="n">
        <v>2</v>
      </c>
      <c r="AW158" s="206" t="n">
        <v>3</v>
      </c>
      <c r="AX158" s="206" t="n">
        <v>4</v>
      </c>
      <c r="AY158" s="206" t="n">
        <v>5</v>
      </c>
      <c r="AZ158" s="206" t="n">
        <v>6</v>
      </c>
      <c r="BA158" s="206" t="n">
        <v>7</v>
      </c>
      <c r="BB158" s="206" t="n">
        <v>8</v>
      </c>
      <c r="BC158" s="206" t="n">
        <v>9</v>
      </c>
      <c r="BD158" s="206" t="n">
        <v>10</v>
      </c>
      <c r="BE158" s="206" t="n">
        <v>11</v>
      </c>
      <c r="BF158" s="205" t="s">
        <v>161</v>
      </c>
      <c r="BG158" s="206" t="n">
        <v>2</v>
      </c>
      <c r="BH158" s="206" t="n">
        <v>3</v>
      </c>
      <c r="BI158" s="206" t="n">
        <v>4</v>
      </c>
      <c r="BJ158" s="206" t="n">
        <v>5</v>
      </c>
      <c r="BK158" s="206" t="n">
        <v>6</v>
      </c>
      <c r="BL158" s="206" t="n">
        <v>7</v>
      </c>
      <c r="BM158" s="206" t="n">
        <v>8</v>
      </c>
      <c r="BN158" s="206" t="n">
        <v>9</v>
      </c>
      <c r="BO158" s="206" t="n">
        <v>10</v>
      </c>
      <c r="BP158" s="206" t="n">
        <v>11</v>
      </c>
      <c r="BQ158" s="205" t="s">
        <v>161</v>
      </c>
      <c r="BR158" s="206" t="n">
        <v>2</v>
      </c>
      <c r="BS158" s="206" t="n">
        <v>3</v>
      </c>
      <c r="BT158" s="206" t="n">
        <v>4</v>
      </c>
      <c r="BU158" s="206" t="n">
        <v>5</v>
      </c>
      <c r="BV158" s="206" t="n">
        <v>6</v>
      </c>
      <c r="BW158" s="206" t="n">
        <v>7</v>
      </c>
      <c r="BX158" s="206" t="n">
        <v>8</v>
      </c>
      <c r="BY158" s="206" t="n">
        <v>9</v>
      </c>
      <c r="BZ158" s="206" t="n">
        <v>10</v>
      </c>
      <c r="CA158" s="206" t="n">
        <v>11</v>
      </c>
      <c r="CB158" s="205" t="s">
        <v>161</v>
      </c>
      <c r="CC158" s="206" t="n">
        <v>2</v>
      </c>
      <c r="CD158" s="206" t="n">
        <v>3</v>
      </c>
      <c r="CE158" s="206" t="n">
        <v>4</v>
      </c>
      <c r="CF158" s="206" t="n">
        <v>5</v>
      </c>
      <c r="CG158" s="206" t="n">
        <v>6</v>
      </c>
      <c r="CH158" s="206" t="n">
        <v>7</v>
      </c>
      <c r="CI158" s="206" t="n">
        <v>8</v>
      </c>
      <c r="CJ158" s="206" t="n">
        <v>9</v>
      </c>
      <c r="CK158" s="206" t="n">
        <v>10</v>
      </c>
      <c r="CL158" s="206" t="n">
        <v>11</v>
      </c>
      <c r="CM158" s="205" t="s">
        <v>161</v>
      </c>
      <c r="CN158" s="206" t="n">
        <v>2</v>
      </c>
      <c r="CO158" s="206" t="n">
        <v>3</v>
      </c>
      <c r="CP158" s="206" t="n">
        <v>4</v>
      </c>
      <c r="CQ158" s="206" t="n">
        <v>5</v>
      </c>
      <c r="CR158" s="206" t="n">
        <v>6</v>
      </c>
      <c r="CS158" s="206" t="n">
        <v>7</v>
      </c>
      <c r="CT158" s="206" t="n">
        <v>8</v>
      </c>
      <c r="CU158" s="206" t="n">
        <v>9</v>
      </c>
      <c r="CV158" s="206" t="n">
        <v>10</v>
      </c>
      <c r="CW158" s="206" t="n">
        <v>11</v>
      </c>
      <c r="CX158" s="205" t="s">
        <v>161</v>
      </c>
      <c r="CY158" s="206" t="n">
        <v>2</v>
      </c>
      <c r="CZ158" s="206" t="n">
        <v>3</v>
      </c>
      <c r="DA158" s="206" t="n">
        <v>4</v>
      </c>
      <c r="DB158" s="206" t="n">
        <v>5</v>
      </c>
      <c r="DC158" s="206" t="n">
        <v>6</v>
      </c>
      <c r="DD158" s="206" t="n">
        <v>7</v>
      </c>
      <c r="DE158" s="206" t="n">
        <v>8</v>
      </c>
      <c r="DF158" s="206" t="n">
        <v>9</v>
      </c>
      <c r="DG158" s="206" t="n">
        <v>10</v>
      </c>
      <c r="DH158" s="206" t="n">
        <v>11</v>
      </c>
      <c r="DI158" s="205" t="s">
        <v>161</v>
      </c>
      <c r="DJ158" s="206" t="n">
        <v>2</v>
      </c>
      <c r="DK158" s="206" t="n">
        <v>3</v>
      </c>
      <c r="DL158" s="206" t="n">
        <v>4</v>
      </c>
      <c r="DM158" s="206" t="n">
        <v>5</v>
      </c>
      <c r="DN158" s="206" t="n">
        <v>6</v>
      </c>
      <c r="DO158" s="206" t="n">
        <v>7</v>
      </c>
      <c r="DP158" s="206" t="n">
        <v>8</v>
      </c>
      <c r="DQ158" s="206" t="n">
        <v>9</v>
      </c>
      <c r="DR158" s="206" t="n">
        <v>10</v>
      </c>
      <c r="DS158" s="206" t="n">
        <v>11</v>
      </c>
      <c r="DT158" s="205" t="s">
        <v>161</v>
      </c>
      <c r="DU158" s="206" t="n">
        <v>2</v>
      </c>
      <c r="DV158" s="206" t="n">
        <v>3</v>
      </c>
      <c r="DW158" s="206" t="n">
        <v>4</v>
      </c>
      <c r="DX158" s="206" t="n">
        <v>5</v>
      </c>
      <c r="DY158" s="206" t="n">
        <v>6</v>
      </c>
      <c r="DZ158" s="206" t="n">
        <v>7</v>
      </c>
      <c r="EA158" s="206" t="n">
        <v>8</v>
      </c>
      <c r="EB158" s="206" t="n">
        <v>9</v>
      </c>
      <c r="EC158" s="206" t="n">
        <v>10</v>
      </c>
      <c r="ED158" s="206" t="n">
        <v>11</v>
      </c>
      <c r="EE158" s="205" t="s">
        <v>161</v>
      </c>
      <c r="EF158" s="206" t="n">
        <v>2</v>
      </c>
      <c r="EG158" s="206" t="n">
        <v>3</v>
      </c>
      <c r="EH158" s="206" t="n">
        <v>4</v>
      </c>
      <c r="EI158" s="206" t="n">
        <v>5</v>
      </c>
      <c r="EJ158" s="206" t="n">
        <v>6</v>
      </c>
      <c r="EK158" s="206" t="n">
        <v>7</v>
      </c>
      <c r="EL158" s="206" t="n">
        <v>8</v>
      </c>
      <c r="EM158" s="206" t="n">
        <v>9</v>
      </c>
      <c r="EN158" s="206" t="n">
        <v>10</v>
      </c>
      <c r="EO158" s="206" t="n">
        <v>11</v>
      </c>
      <c r="EP158" s="205" t="s">
        <v>161</v>
      </c>
      <c r="EQ158" s="206" t="n">
        <v>2</v>
      </c>
      <c r="ER158" s="206" t="n">
        <v>3</v>
      </c>
      <c r="ES158" s="206" t="n">
        <v>4</v>
      </c>
      <c r="ET158" s="206" t="n">
        <v>5</v>
      </c>
      <c r="EU158" s="206" t="n">
        <v>6</v>
      </c>
      <c r="EV158" s="206" t="n">
        <v>7</v>
      </c>
      <c r="EW158" s="206" t="n">
        <v>8</v>
      </c>
      <c r="EX158" s="206" t="n">
        <v>9</v>
      </c>
      <c r="EY158" s="206" t="n">
        <v>10</v>
      </c>
      <c r="EZ158" s="206" t="n">
        <v>11</v>
      </c>
      <c r="FA158" s="205" t="s">
        <v>161</v>
      </c>
      <c r="FB158" s="206" t="n">
        <v>2</v>
      </c>
      <c r="FC158" s="206" t="n">
        <v>3</v>
      </c>
      <c r="FD158" s="206" t="n">
        <v>4</v>
      </c>
      <c r="FE158" s="206" t="n">
        <v>5</v>
      </c>
      <c r="FF158" s="206" t="n">
        <v>6</v>
      </c>
      <c r="FG158" s="206" t="n">
        <v>7</v>
      </c>
      <c r="FH158" s="206" t="n">
        <v>8</v>
      </c>
      <c r="FI158" s="206" t="n">
        <v>9</v>
      </c>
      <c r="FJ158" s="206" t="n">
        <v>10</v>
      </c>
      <c r="FK158" s="206" t="n">
        <v>11</v>
      </c>
      <c r="FL158" s="205" t="s">
        <v>161</v>
      </c>
      <c r="FM158" s="206" t="n">
        <v>2</v>
      </c>
      <c r="FN158" s="206" t="n">
        <v>3</v>
      </c>
      <c r="FO158" s="206" t="n">
        <v>4</v>
      </c>
      <c r="FP158" s="206" t="n">
        <v>5</v>
      </c>
      <c r="FQ158" s="206" t="n">
        <v>6</v>
      </c>
      <c r="FR158" s="206" t="n">
        <v>7</v>
      </c>
      <c r="FS158" s="206" t="n">
        <v>8</v>
      </c>
      <c r="FT158" s="206" t="n">
        <v>9</v>
      </c>
      <c r="FU158" s="206" t="n">
        <v>10</v>
      </c>
      <c r="FV158" s="206" t="n">
        <v>11</v>
      </c>
      <c r="FW158" s="205" t="s">
        <v>161</v>
      </c>
      <c r="FX158" s="206" t="n">
        <v>2</v>
      </c>
      <c r="FY158" s="206" t="n">
        <v>3</v>
      </c>
      <c r="FZ158" s="206" t="n">
        <v>4</v>
      </c>
      <c r="GA158" s="206" t="n">
        <v>5</v>
      </c>
      <c r="GB158" s="206" t="n">
        <v>6</v>
      </c>
      <c r="GC158" s="206" t="n">
        <v>7</v>
      </c>
      <c r="GD158" s="206" t="n">
        <v>8</v>
      </c>
      <c r="GE158" s="206" t="n">
        <v>9</v>
      </c>
      <c r="GF158" s="206" t="n">
        <v>10</v>
      </c>
      <c r="GG158" s="206" t="n">
        <v>11</v>
      </c>
      <c r="GH158" s="205" t="s">
        <v>161</v>
      </c>
      <c r="GI158" s="206" t="n">
        <v>2</v>
      </c>
      <c r="GJ158" s="206" t="n">
        <v>3</v>
      </c>
      <c r="GK158" s="206" t="n">
        <v>4</v>
      </c>
      <c r="GL158" s="206" t="n">
        <v>5</v>
      </c>
      <c r="GM158" s="206" t="n">
        <v>6</v>
      </c>
      <c r="GN158" s="206" t="n">
        <v>7</v>
      </c>
      <c r="GO158" s="206" t="n">
        <v>8</v>
      </c>
      <c r="GP158" s="206" t="n">
        <v>9</v>
      </c>
      <c r="GQ158" s="206" t="n">
        <v>10</v>
      </c>
      <c r="GR158" s="206" t="n">
        <v>11</v>
      </c>
      <c r="GS158" s="205" t="s">
        <v>161</v>
      </c>
      <c r="GT158" s="206" t="n">
        <v>2</v>
      </c>
      <c r="GU158" s="206" t="n">
        <v>3</v>
      </c>
      <c r="GV158" s="206" t="n">
        <v>4</v>
      </c>
      <c r="GW158" s="206" t="n">
        <v>5</v>
      </c>
      <c r="GX158" s="206" t="n">
        <v>6</v>
      </c>
      <c r="GY158" s="206" t="n">
        <v>7</v>
      </c>
      <c r="GZ158" s="206" t="n">
        <v>8</v>
      </c>
      <c r="HA158" s="206" t="n">
        <v>9</v>
      </c>
      <c r="HB158" s="206" t="n">
        <v>10</v>
      </c>
      <c r="HC158" s="206" t="n">
        <v>11</v>
      </c>
      <c r="HD158" s="205" t="s">
        <v>161</v>
      </c>
      <c r="HE158" s="206" t="n">
        <v>2</v>
      </c>
      <c r="HF158" s="206" t="n">
        <v>3</v>
      </c>
      <c r="HG158" s="206" t="n">
        <v>4</v>
      </c>
      <c r="HH158" s="206" t="n">
        <v>5</v>
      </c>
      <c r="HI158" s="206" t="n">
        <v>6</v>
      </c>
      <c r="HJ158" s="206" t="n">
        <v>7</v>
      </c>
      <c r="HK158" s="206" t="n">
        <v>8</v>
      </c>
      <c r="HL158" s="206" t="n">
        <v>9</v>
      </c>
      <c r="HM158" s="206" t="n">
        <v>10</v>
      </c>
      <c r="HN158" s="206" t="n">
        <v>11</v>
      </c>
      <c r="HO158" s="205" t="s">
        <v>161</v>
      </c>
      <c r="HP158" s="206" t="n">
        <v>2</v>
      </c>
      <c r="HQ158" s="206" t="n">
        <v>3</v>
      </c>
      <c r="HR158" s="206" t="n">
        <v>4</v>
      </c>
      <c r="HS158" s="206" t="n">
        <v>5</v>
      </c>
      <c r="HT158" s="206" t="n">
        <v>6</v>
      </c>
      <c r="HU158" s="206" t="n">
        <v>7</v>
      </c>
      <c r="HV158" s="206" t="n">
        <v>8</v>
      </c>
      <c r="HW158" s="206" t="n">
        <v>9</v>
      </c>
      <c r="HX158" s="206" t="n">
        <v>10</v>
      </c>
      <c r="HY158" s="206" t="n">
        <v>11</v>
      </c>
      <c r="HZ158" s="205" t="s">
        <v>161</v>
      </c>
      <c r="IA158" s="206" t="n">
        <v>2</v>
      </c>
      <c r="IB158" s="206" t="n">
        <v>3</v>
      </c>
      <c r="IC158" s="206" t="n">
        <v>4</v>
      </c>
      <c r="ID158" s="206" t="n">
        <v>5</v>
      </c>
      <c r="IE158" s="206" t="n">
        <v>6</v>
      </c>
      <c r="IF158" s="206" t="n">
        <v>7</v>
      </c>
      <c r="IG158" s="206" t="n">
        <v>8</v>
      </c>
      <c r="IH158" s="206" t="n">
        <v>9</v>
      </c>
      <c r="II158" s="206" t="n">
        <v>10</v>
      </c>
      <c r="IJ158" s="206" t="n">
        <v>11</v>
      </c>
      <c r="IK158" s="205" t="s">
        <v>161</v>
      </c>
      <c r="IL158" s="206" t="n">
        <v>2</v>
      </c>
      <c r="IM158" s="206" t="n">
        <v>3</v>
      </c>
      <c r="IN158" s="206" t="n">
        <v>4</v>
      </c>
      <c r="IO158" s="206" t="n">
        <v>5</v>
      </c>
      <c r="IP158" s="206" t="n">
        <v>6</v>
      </c>
      <c r="IQ158" s="206" t="n">
        <v>7</v>
      </c>
      <c r="IR158" s="206" t="n">
        <v>8</v>
      </c>
      <c r="IS158" s="206" t="n">
        <v>9</v>
      </c>
      <c r="IT158" s="206" t="n">
        <v>10</v>
      </c>
      <c r="IU158" s="206" t="n">
        <v>11</v>
      </c>
      <c r="IV158" s="205" t="s">
        <v>161</v>
      </c>
      <c r="IW158" s="206" t="n">
        <v>2</v>
      </c>
      <c r="IX158" s="206" t="n">
        <v>3</v>
      </c>
      <c r="IY158" s="206" t="n">
        <v>4</v>
      </c>
      <c r="IZ158" s="206" t="n">
        <v>5</v>
      </c>
      <c r="JA158" s="206" t="n">
        <v>6</v>
      </c>
      <c r="JB158" s="206" t="n">
        <v>7</v>
      </c>
      <c r="JC158" s="206" t="n">
        <v>8</v>
      </c>
      <c r="JD158" s="206" t="n">
        <v>9</v>
      </c>
      <c r="JE158" s="206" t="n">
        <v>10</v>
      </c>
      <c r="JF158" s="206" t="n">
        <v>11</v>
      </c>
      <c r="JG158" s="205" t="s">
        <v>161</v>
      </c>
      <c r="JH158" s="206" t="n">
        <v>2</v>
      </c>
      <c r="JI158" s="206" t="n">
        <v>3</v>
      </c>
      <c r="JJ158" s="206" t="n">
        <v>4</v>
      </c>
      <c r="JK158" s="206" t="n">
        <v>5</v>
      </c>
      <c r="JL158" s="206" t="n">
        <v>6</v>
      </c>
      <c r="JM158" s="206" t="n">
        <v>7</v>
      </c>
      <c r="JN158" s="206" t="n">
        <v>8</v>
      </c>
      <c r="JO158" s="206" t="n">
        <v>9</v>
      </c>
      <c r="JP158" s="206" t="n">
        <v>10</v>
      </c>
      <c r="JQ158" s="206" t="n">
        <v>11</v>
      </c>
      <c r="JR158" s="205" t="s">
        <v>161</v>
      </c>
      <c r="JS158" s="206" t="n">
        <v>2</v>
      </c>
      <c r="JT158" s="206" t="n">
        <v>3</v>
      </c>
      <c r="JU158" s="206" t="n">
        <v>4</v>
      </c>
      <c r="JV158" s="206" t="n">
        <v>5</v>
      </c>
      <c r="JW158" s="206" t="n">
        <v>6</v>
      </c>
      <c r="JX158" s="206" t="n">
        <v>7</v>
      </c>
      <c r="JY158" s="206" t="n">
        <v>8</v>
      </c>
      <c r="JZ158" s="206" t="n">
        <v>9</v>
      </c>
      <c r="KA158" s="206" t="n">
        <v>10</v>
      </c>
      <c r="KB158" s="206" t="n">
        <v>11</v>
      </c>
      <c r="KC158" s="205" t="s">
        <v>161</v>
      </c>
      <c r="KD158" s="206" t="n">
        <v>2</v>
      </c>
      <c r="KE158" s="206" t="n">
        <v>3</v>
      </c>
      <c r="KF158" s="206" t="n">
        <v>4</v>
      </c>
      <c r="KG158" s="206" t="n">
        <v>5</v>
      </c>
      <c r="KH158" s="206" t="n">
        <v>6</v>
      </c>
      <c r="KI158" s="206" t="n">
        <v>7</v>
      </c>
      <c r="KJ158" s="206" t="n">
        <v>8</v>
      </c>
      <c r="KK158" s="206" t="n">
        <v>9</v>
      </c>
      <c r="KL158" s="206" t="n">
        <v>10</v>
      </c>
      <c r="KM158" s="206" t="n">
        <v>11</v>
      </c>
      <c r="KN158" s="205" t="s">
        <v>161</v>
      </c>
      <c r="KO158" s="206" t="n">
        <v>2</v>
      </c>
      <c r="KP158" s="206" t="n">
        <v>3</v>
      </c>
      <c r="KQ158" s="206" t="n">
        <v>4</v>
      </c>
      <c r="KR158" s="206" t="n">
        <v>5</v>
      </c>
      <c r="KS158" s="206" t="n">
        <v>6</v>
      </c>
      <c r="KT158" s="206" t="n">
        <v>7</v>
      </c>
      <c r="KU158" s="206" t="n">
        <v>8</v>
      </c>
      <c r="KV158" s="206" t="n">
        <v>9</v>
      </c>
      <c r="KW158" s="206" t="n">
        <v>10</v>
      </c>
      <c r="KX158" s="206" t="n">
        <v>11</v>
      </c>
      <c r="KY158" s="205" t="s">
        <v>161</v>
      </c>
      <c r="KZ158" s="206" t="n">
        <v>2</v>
      </c>
      <c r="LA158" s="206" t="n">
        <v>3</v>
      </c>
      <c r="LB158" s="206" t="n">
        <v>4</v>
      </c>
      <c r="LC158" s="206" t="n">
        <v>5</v>
      </c>
      <c r="LD158" s="206" t="n">
        <v>6</v>
      </c>
      <c r="LE158" s="206" t="n">
        <v>7</v>
      </c>
      <c r="LF158" s="206" t="n">
        <v>8</v>
      </c>
      <c r="LG158" s="206" t="n">
        <v>9</v>
      </c>
      <c r="LH158" s="206" t="n">
        <v>10</v>
      </c>
      <c r="LI158" s="206" t="n">
        <v>11</v>
      </c>
      <c r="LJ158" s="205" t="s">
        <v>161</v>
      </c>
      <c r="LK158" s="206" t="n">
        <v>2</v>
      </c>
      <c r="LL158" s="206" t="n">
        <v>3</v>
      </c>
      <c r="LM158" s="206" t="n">
        <v>4</v>
      </c>
      <c r="LN158" s="206" t="n">
        <v>5</v>
      </c>
      <c r="LO158" s="206" t="n">
        <v>6</v>
      </c>
      <c r="LP158" s="206" t="n">
        <v>7</v>
      </c>
      <c r="LQ158" s="206" t="n">
        <v>8</v>
      </c>
      <c r="LR158" s="206" t="n">
        <v>9</v>
      </c>
      <c r="LS158" s="206" t="n">
        <v>10</v>
      </c>
      <c r="LT158" s="206" t="n">
        <v>11</v>
      </c>
    </row>
    <row r="159" customFormat="false" ht="45.75" hidden="true" customHeight="false" outlineLevel="0" collapsed="false">
      <c r="C159" s="187" t="s">
        <v>162</v>
      </c>
      <c r="D159" s="188" t="s">
        <v>17</v>
      </c>
      <c r="E159" s="136" t="s">
        <v>21</v>
      </c>
      <c r="F159" s="136" t="s">
        <v>25</v>
      </c>
      <c r="G159" s="136" t="s">
        <v>29</v>
      </c>
      <c r="H159" s="136" t="s">
        <v>33</v>
      </c>
      <c r="I159" s="136" t="s">
        <v>36</v>
      </c>
      <c r="J159" s="136" t="s">
        <v>39</v>
      </c>
      <c r="K159" s="136" t="s">
        <v>42</v>
      </c>
      <c r="L159" s="136" t="s">
        <v>45</v>
      </c>
      <c r="M159" s="189" t="s">
        <v>48</v>
      </c>
      <c r="N159" s="187" t="s">
        <v>162</v>
      </c>
      <c r="O159" s="188" t="s">
        <v>17</v>
      </c>
      <c r="P159" s="136" t="s">
        <v>21</v>
      </c>
      <c r="Q159" s="136" t="s">
        <v>25</v>
      </c>
      <c r="R159" s="136" t="s">
        <v>29</v>
      </c>
      <c r="S159" s="136" t="s">
        <v>33</v>
      </c>
      <c r="T159" s="136" t="s">
        <v>36</v>
      </c>
      <c r="U159" s="136" t="s">
        <v>39</v>
      </c>
      <c r="V159" s="136" t="s">
        <v>42</v>
      </c>
      <c r="W159" s="136" t="s">
        <v>45</v>
      </c>
      <c r="X159" s="189" t="s">
        <v>48</v>
      </c>
      <c r="Y159" s="187" t="s">
        <v>162</v>
      </c>
      <c r="Z159" s="188" t="s">
        <v>17</v>
      </c>
      <c r="AA159" s="136" t="s">
        <v>21</v>
      </c>
      <c r="AB159" s="136" t="s">
        <v>25</v>
      </c>
      <c r="AC159" s="136" t="s">
        <v>29</v>
      </c>
      <c r="AD159" s="136" t="s">
        <v>33</v>
      </c>
      <c r="AE159" s="136" t="s">
        <v>36</v>
      </c>
      <c r="AF159" s="136" t="s">
        <v>39</v>
      </c>
      <c r="AG159" s="136" t="s">
        <v>42</v>
      </c>
      <c r="AH159" s="136" t="s">
        <v>45</v>
      </c>
      <c r="AI159" s="189" t="s">
        <v>48</v>
      </c>
      <c r="AJ159" s="187" t="s">
        <v>162</v>
      </c>
      <c r="AK159" s="188" t="s">
        <v>17</v>
      </c>
      <c r="AL159" s="136" t="s">
        <v>21</v>
      </c>
      <c r="AM159" s="136" t="s">
        <v>25</v>
      </c>
      <c r="AN159" s="136" t="s">
        <v>29</v>
      </c>
      <c r="AO159" s="136" t="s">
        <v>33</v>
      </c>
      <c r="AP159" s="136" t="s">
        <v>36</v>
      </c>
      <c r="AQ159" s="136" t="s">
        <v>39</v>
      </c>
      <c r="AR159" s="136" t="s">
        <v>42</v>
      </c>
      <c r="AS159" s="136" t="s">
        <v>45</v>
      </c>
      <c r="AT159" s="189" t="s">
        <v>48</v>
      </c>
      <c r="AU159" s="187" t="s">
        <v>162</v>
      </c>
      <c r="AV159" s="188" t="s">
        <v>17</v>
      </c>
      <c r="AW159" s="136" t="s">
        <v>21</v>
      </c>
      <c r="AX159" s="136" t="s">
        <v>25</v>
      </c>
      <c r="AY159" s="136" t="s">
        <v>29</v>
      </c>
      <c r="AZ159" s="136" t="s">
        <v>33</v>
      </c>
      <c r="BA159" s="136" t="s">
        <v>36</v>
      </c>
      <c r="BB159" s="136" t="s">
        <v>39</v>
      </c>
      <c r="BC159" s="136" t="s">
        <v>42</v>
      </c>
      <c r="BD159" s="136" t="s">
        <v>45</v>
      </c>
      <c r="BE159" s="189" t="s">
        <v>48</v>
      </c>
      <c r="BF159" s="187" t="s">
        <v>162</v>
      </c>
      <c r="BG159" s="188" t="s">
        <v>17</v>
      </c>
      <c r="BH159" s="136" t="s">
        <v>21</v>
      </c>
      <c r="BI159" s="136" t="s">
        <v>25</v>
      </c>
      <c r="BJ159" s="136" t="s">
        <v>29</v>
      </c>
      <c r="BK159" s="136" t="s">
        <v>33</v>
      </c>
      <c r="BL159" s="136" t="s">
        <v>36</v>
      </c>
      <c r="BM159" s="136" t="s">
        <v>39</v>
      </c>
      <c r="BN159" s="136" t="s">
        <v>42</v>
      </c>
      <c r="BO159" s="136" t="s">
        <v>45</v>
      </c>
      <c r="BP159" s="189" t="s">
        <v>48</v>
      </c>
      <c r="BQ159" s="187" t="s">
        <v>162</v>
      </c>
      <c r="BR159" s="188" t="s">
        <v>17</v>
      </c>
      <c r="BS159" s="136" t="s">
        <v>21</v>
      </c>
      <c r="BT159" s="136" t="s">
        <v>25</v>
      </c>
      <c r="BU159" s="136" t="s">
        <v>29</v>
      </c>
      <c r="BV159" s="136" t="s">
        <v>33</v>
      </c>
      <c r="BW159" s="136" t="s">
        <v>36</v>
      </c>
      <c r="BX159" s="136" t="s">
        <v>39</v>
      </c>
      <c r="BY159" s="136" t="s">
        <v>42</v>
      </c>
      <c r="BZ159" s="136" t="s">
        <v>45</v>
      </c>
      <c r="CA159" s="189" t="s">
        <v>48</v>
      </c>
      <c r="CB159" s="187" t="s">
        <v>162</v>
      </c>
      <c r="CC159" s="188" t="s">
        <v>17</v>
      </c>
      <c r="CD159" s="136" t="s">
        <v>21</v>
      </c>
      <c r="CE159" s="136" t="s">
        <v>25</v>
      </c>
      <c r="CF159" s="136" t="s">
        <v>29</v>
      </c>
      <c r="CG159" s="136" t="s">
        <v>33</v>
      </c>
      <c r="CH159" s="136" t="s">
        <v>36</v>
      </c>
      <c r="CI159" s="136" t="s">
        <v>39</v>
      </c>
      <c r="CJ159" s="136" t="s">
        <v>42</v>
      </c>
      <c r="CK159" s="136" t="s">
        <v>45</v>
      </c>
      <c r="CL159" s="189" t="s">
        <v>48</v>
      </c>
      <c r="CM159" s="187" t="s">
        <v>162</v>
      </c>
      <c r="CN159" s="188" t="s">
        <v>17</v>
      </c>
      <c r="CO159" s="136" t="s">
        <v>21</v>
      </c>
      <c r="CP159" s="136" t="s">
        <v>25</v>
      </c>
      <c r="CQ159" s="136" t="s">
        <v>29</v>
      </c>
      <c r="CR159" s="136" t="s">
        <v>33</v>
      </c>
      <c r="CS159" s="136" t="s">
        <v>36</v>
      </c>
      <c r="CT159" s="136" t="s">
        <v>39</v>
      </c>
      <c r="CU159" s="136" t="s">
        <v>42</v>
      </c>
      <c r="CV159" s="136" t="s">
        <v>45</v>
      </c>
      <c r="CW159" s="189" t="s">
        <v>48</v>
      </c>
      <c r="CX159" s="187" t="s">
        <v>162</v>
      </c>
      <c r="CY159" s="188" t="s">
        <v>17</v>
      </c>
      <c r="CZ159" s="136" t="s">
        <v>21</v>
      </c>
      <c r="DA159" s="136" t="s">
        <v>25</v>
      </c>
      <c r="DB159" s="136" t="s">
        <v>29</v>
      </c>
      <c r="DC159" s="136" t="s">
        <v>33</v>
      </c>
      <c r="DD159" s="136" t="s">
        <v>36</v>
      </c>
      <c r="DE159" s="136" t="s">
        <v>39</v>
      </c>
      <c r="DF159" s="136" t="s">
        <v>42</v>
      </c>
      <c r="DG159" s="136" t="s">
        <v>45</v>
      </c>
      <c r="DH159" s="189" t="s">
        <v>48</v>
      </c>
      <c r="DI159" s="187" t="s">
        <v>162</v>
      </c>
      <c r="DJ159" s="188" t="s">
        <v>17</v>
      </c>
      <c r="DK159" s="136" t="s">
        <v>21</v>
      </c>
      <c r="DL159" s="136" t="s">
        <v>25</v>
      </c>
      <c r="DM159" s="136" t="s">
        <v>29</v>
      </c>
      <c r="DN159" s="136" t="s">
        <v>33</v>
      </c>
      <c r="DO159" s="136" t="s">
        <v>36</v>
      </c>
      <c r="DP159" s="136" t="s">
        <v>39</v>
      </c>
      <c r="DQ159" s="136" t="s">
        <v>42</v>
      </c>
      <c r="DR159" s="136" t="s">
        <v>45</v>
      </c>
      <c r="DS159" s="189" t="s">
        <v>48</v>
      </c>
      <c r="DT159" s="187" t="s">
        <v>162</v>
      </c>
      <c r="DU159" s="188" t="s">
        <v>17</v>
      </c>
      <c r="DV159" s="136" t="s">
        <v>21</v>
      </c>
      <c r="DW159" s="136" t="s">
        <v>25</v>
      </c>
      <c r="DX159" s="136" t="s">
        <v>29</v>
      </c>
      <c r="DY159" s="136" t="s">
        <v>33</v>
      </c>
      <c r="DZ159" s="136" t="s">
        <v>36</v>
      </c>
      <c r="EA159" s="136" t="s">
        <v>39</v>
      </c>
      <c r="EB159" s="136" t="s">
        <v>42</v>
      </c>
      <c r="EC159" s="136" t="s">
        <v>45</v>
      </c>
      <c r="ED159" s="189" t="s">
        <v>48</v>
      </c>
      <c r="EE159" s="187" t="s">
        <v>162</v>
      </c>
      <c r="EF159" s="188" t="s">
        <v>17</v>
      </c>
      <c r="EG159" s="136" t="s">
        <v>21</v>
      </c>
      <c r="EH159" s="136" t="s">
        <v>25</v>
      </c>
      <c r="EI159" s="136" t="s">
        <v>29</v>
      </c>
      <c r="EJ159" s="136" t="s">
        <v>33</v>
      </c>
      <c r="EK159" s="136" t="s">
        <v>36</v>
      </c>
      <c r="EL159" s="136" t="s">
        <v>39</v>
      </c>
      <c r="EM159" s="136" t="s">
        <v>42</v>
      </c>
      <c r="EN159" s="136" t="s">
        <v>45</v>
      </c>
      <c r="EO159" s="189" t="s">
        <v>48</v>
      </c>
      <c r="EP159" s="187" t="s">
        <v>162</v>
      </c>
      <c r="EQ159" s="188" t="s">
        <v>17</v>
      </c>
      <c r="ER159" s="136" t="s">
        <v>21</v>
      </c>
      <c r="ES159" s="136" t="s">
        <v>25</v>
      </c>
      <c r="ET159" s="136" t="s">
        <v>29</v>
      </c>
      <c r="EU159" s="136" t="s">
        <v>33</v>
      </c>
      <c r="EV159" s="136" t="s">
        <v>36</v>
      </c>
      <c r="EW159" s="136" t="s">
        <v>39</v>
      </c>
      <c r="EX159" s="136" t="s">
        <v>42</v>
      </c>
      <c r="EY159" s="136" t="s">
        <v>45</v>
      </c>
      <c r="EZ159" s="189" t="s">
        <v>48</v>
      </c>
      <c r="FA159" s="187" t="s">
        <v>162</v>
      </c>
      <c r="FB159" s="188" t="s">
        <v>17</v>
      </c>
      <c r="FC159" s="136" t="s">
        <v>21</v>
      </c>
      <c r="FD159" s="136" t="s">
        <v>25</v>
      </c>
      <c r="FE159" s="136" t="s">
        <v>29</v>
      </c>
      <c r="FF159" s="136" t="s">
        <v>33</v>
      </c>
      <c r="FG159" s="136" t="s">
        <v>36</v>
      </c>
      <c r="FH159" s="136" t="s">
        <v>39</v>
      </c>
      <c r="FI159" s="136" t="s">
        <v>42</v>
      </c>
      <c r="FJ159" s="136" t="s">
        <v>45</v>
      </c>
      <c r="FK159" s="189" t="s">
        <v>48</v>
      </c>
      <c r="FL159" s="187" t="s">
        <v>162</v>
      </c>
      <c r="FM159" s="188" t="s">
        <v>17</v>
      </c>
      <c r="FN159" s="136" t="s">
        <v>21</v>
      </c>
      <c r="FO159" s="136" t="s">
        <v>25</v>
      </c>
      <c r="FP159" s="136" t="s">
        <v>29</v>
      </c>
      <c r="FQ159" s="136" t="s">
        <v>33</v>
      </c>
      <c r="FR159" s="136" t="s">
        <v>36</v>
      </c>
      <c r="FS159" s="136" t="s">
        <v>39</v>
      </c>
      <c r="FT159" s="136" t="s">
        <v>42</v>
      </c>
      <c r="FU159" s="136" t="s">
        <v>45</v>
      </c>
      <c r="FV159" s="189" t="s">
        <v>48</v>
      </c>
      <c r="FW159" s="187" t="s">
        <v>162</v>
      </c>
      <c r="FX159" s="188" t="s">
        <v>17</v>
      </c>
      <c r="FY159" s="136" t="s">
        <v>21</v>
      </c>
      <c r="FZ159" s="136" t="s">
        <v>25</v>
      </c>
      <c r="GA159" s="136" t="s">
        <v>29</v>
      </c>
      <c r="GB159" s="136" t="s">
        <v>33</v>
      </c>
      <c r="GC159" s="136" t="s">
        <v>36</v>
      </c>
      <c r="GD159" s="136" t="s">
        <v>39</v>
      </c>
      <c r="GE159" s="136" t="s">
        <v>42</v>
      </c>
      <c r="GF159" s="136" t="s">
        <v>45</v>
      </c>
      <c r="GG159" s="189" t="s">
        <v>48</v>
      </c>
      <c r="GH159" s="187" t="s">
        <v>162</v>
      </c>
      <c r="GI159" s="188" t="s">
        <v>17</v>
      </c>
      <c r="GJ159" s="136" t="s">
        <v>21</v>
      </c>
      <c r="GK159" s="136" t="s">
        <v>25</v>
      </c>
      <c r="GL159" s="136" t="s">
        <v>29</v>
      </c>
      <c r="GM159" s="136" t="s">
        <v>33</v>
      </c>
      <c r="GN159" s="136" t="s">
        <v>36</v>
      </c>
      <c r="GO159" s="136" t="s">
        <v>39</v>
      </c>
      <c r="GP159" s="136" t="s">
        <v>42</v>
      </c>
      <c r="GQ159" s="136" t="s">
        <v>45</v>
      </c>
      <c r="GR159" s="189" t="s">
        <v>48</v>
      </c>
      <c r="GS159" s="187" t="s">
        <v>162</v>
      </c>
      <c r="GT159" s="188" t="s">
        <v>17</v>
      </c>
      <c r="GU159" s="136" t="s">
        <v>21</v>
      </c>
      <c r="GV159" s="136" t="s">
        <v>25</v>
      </c>
      <c r="GW159" s="136" t="s">
        <v>29</v>
      </c>
      <c r="GX159" s="136" t="s">
        <v>33</v>
      </c>
      <c r="GY159" s="136" t="s">
        <v>36</v>
      </c>
      <c r="GZ159" s="136" t="s">
        <v>39</v>
      </c>
      <c r="HA159" s="136" t="s">
        <v>42</v>
      </c>
      <c r="HB159" s="136" t="s">
        <v>45</v>
      </c>
      <c r="HC159" s="189" t="s">
        <v>48</v>
      </c>
      <c r="HD159" s="187" t="s">
        <v>162</v>
      </c>
      <c r="HE159" s="188" t="s">
        <v>17</v>
      </c>
      <c r="HF159" s="136" t="s">
        <v>21</v>
      </c>
      <c r="HG159" s="136" t="s">
        <v>25</v>
      </c>
      <c r="HH159" s="136" t="s">
        <v>29</v>
      </c>
      <c r="HI159" s="136" t="s">
        <v>33</v>
      </c>
      <c r="HJ159" s="136" t="s">
        <v>36</v>
      </c>
      <c r="HK159" s="136" t="s">
        <v>39</v>
      </c>
      <c r="HL159" s="136" t="s">
        <v>42</v>
      </c>
      <c r="HM159" s="136" t="s">
        <v>45</v>
      </c>
      <c r="HN159" s="189" t="s">
        <v>48</v>
      </c>
      <c r="HO159" s="187" t="s">
        <v>162</v>
      </c>
      <c r="HP159" s="188" t="s">
        <v>17</v>
      </c>
      <c r="HQ159" s="136" t="s">
        <v>21</v>
      </c>
      <c r="HR159" s="136" t="s">
        <v>25</v>
      </c>
      <c r="HS159" s="136" t="s">
        <v>29</v>
      </c>
      <c r="HT159" s="136" t="s">
        <v>33</v>
      </c>
      <c r="HU159" s="136" t="s">
        <v>36</v>
      </c>
      <c r="HV159" s="136" t="s">
        <v>39</v>
      </c>
      <c r="HW159" s="136" t="s">
        <v>42</v>
      </c>
      <c r="HX159" s="136" t="s">
        <v>45</v>
      </c>
      <c r="HY159" s="189" t="s">
        <v>48</v>
      </c>
      <c r="HZ159" s="187" t="s">
        <v>162</v>
      </c>
      <c r="IA159" s="188" t="s">
        <v>17</v>
      </c>
      <c r="IB159" s="136" t="s">
        <v>21</v>
      </c>
      <c r="IC159" s="136" t="s">
        <v>25</v>
      </c>
      <c r="ID159" s="136" t="s">
        <v>29</v>
      </c>
      <c r="IE159" s="136" t="s">
        <v>33</v>
      </c>
      <c r="IF159" s="136" t="s">
        <v>36</v>
      </c>
      <c r="IG159" s="136" t="s">
        <v>39</v>
      </c>
      <c r="IH159" s="136" t="s">
        <v>42</v>
      </c>
      <c r="II159" s="136" t="s">
        <v>45</v>
      </c>
      <c r="IJ159" s="189" t="s">
        <v>48</v>
      </c>
      <c r="IK159" s="187" t="s">
        <v>162</v>
      </c>
      <c r="IL159" s="188" t="s">
        <v>17</v>
      </c>
      <c r="IM159" s="136" t="s">
        <v>21</v>
      </c>
      <c r="IN159" s="136" t="s">
        <v>25</v>
      </c>
      <c r="IO159" s="136" t="s">
        <v>29</v>
      </c>
      <c r="IP159" s="136" t="s">
        <v>33</v>
      </c>
      <c r="IQ159" s="136" t="s">
        <v>36</v>
      </c>
      <c r="IR159" s="136" t="s">
        <v>39</v>
      </c>
      <c r="IS159" s="136" t="s">
        <v>42</v>
      </c>
      <c r="IT159" s="136" t="s">
        <v>45</v>
      </c>
      <c r="IU159" s="189" t="s">
        <v>48</v>
      </c>
      <c r="IV159" s="187" t="s">
        <v>162</v>
      </c>
      <c r="IW159" s="188" t="s">
        <v>17</v>
      </c>
      <c r="IX159" s="136" t="s">
        <v>21</v>
      </c>
      <c r="IY159" s="136" t="s">
        <v>25</v>
      </c>
      <c r="IZ159" s="136" t="s">
        <v>29</v>
      </c>
      <c r="JA159" s="136" t="s">
        <v>33</v>
      </c>
      <c r="JB159" s="136" t="s">
        <v>36</v>
      </c>
      <c r="JC159" s="136" t="s">
        <v>39</v>
      </c>
      <c r="JD159" s="136" t="s">
        <v>42</v>
      </c>
      <c r="JE159" s="136" t="s">
        <v>45</v>
      </c>
      <c r="JF159" s="189" t="s">
        <v>48</v>
      </c>
      <c r="JG159" s="187" t="s">
        <v>162</v>
      </c>
      <c r="JH159" s="188" t="s">
        <v>17</v>
      </c>
      <c r="JI159" s="136" t="s">
        <v>21</v>
      </c>
      <c r="JJ159" s="136" t="s">
        <v>25</v>
      </c>
      <c r="JK159" s="136" t="s">
        <v>29</v>
      </c>
      <c r="JL159" s="136" t="s">
        <v>33</v>
      </c>
      <c r="JM159" s="136" t="s">
        <v>36</v>
      </c>
      <c r="JN159" s="136" t="s">
        <v>39</v>
      </c>
      <c r="JO159" s="136" t="s">
        <v>42</v>
      </c>
      <c r="JP159" s="136" t="s">
        <v>45</v>
      </c>
      <c r="JQ159" s="189" t="s">
        <v>48</v>
      </c>
      <c r="JR159" s="187" t="s">
        <v>162</v>
      </c>
      <c r="JS159" s="188" t="s">
        <v>17</v>
      </c>
      <c r="JT159" s="136" t="s">
        <v>21</v>
      </c>
      <c r="JU159" s="136" t="s">
        <v>25</v>
      </c>
      <c r="JV159" s="136" t="s">
        <v>29</v>
      </c>
      <c r="JW159" s="136" t="s">
        <v>33</v>
      </c>
      <c r="JX159" s="136" t="s">
        <v>36</v>
      </c>
      <c r="JY159" s="136" t="s">
        <v>39</v>
      </c>
      <c r="JZ159" s="136" t="s">
        <v>42</v>
      </c>
      <c r="KA159" s="136" t="s">
        <v>45</v>
      </c>
      <c r="KB159" s="189" t="s">
        <v>48</v>
      </c>
      <c r="KC159" s="187" t="s">
        <v>162</v>
      </c>
      <c r="KD159" s="188" t="s">
        <v>17</v>
      </c>
      <c r="KE159" s="136" t="s">
        <v>21</v>
      </c>
      <c r="KF159" s="136" t="s">
        <v>25</v>
      </c>
      <c r="KG159" s="136" t="s">
        <v>29</v>
      </c>
      <c r="KH159" s="136" t="s">
        <v>33</v>
      </c>
      <c r="KI159" s="136" t="s">
        <v>36</v>
      </c>
      <c r="KJ159" s="136" t="s">
        <v>39</v>
      </c>
      <c r="KK159" s="136" t="s">
        <v>42</v>
      </c>
      <c r="KL159" s="136" t="s">
        <v>45</v>
      </c>
      <c r="KM159" s="189" t="s">
        <v>48</v>
      </c>
      <c r="KN159" s="187" t="s">
        <v>162</v>
      </c>
      <c r="KO159" s="188" t="s">
        <v>17</v>
      </c>
      <c r="KP159" s="136" t="s">
        <v>21</v>
      </c>
      <c r="KQ159" s="136" t="s">
        <v>25</v>
      </c>
      <c r="KR159" s="136" t="s">
        <v>29</v>
      </c>
      <c r="KS159" s="136" t="s">
        <v>33</v>
      </c>
      <c r="KT159" s="136" t="s">
        <v>36</v>
      </c>
      <c r="KU159" s="136" t="s">
        <v>39</v>
      </c>
      <c r="KV159" s="136" t="s">
        <v>42</v>
      </c>
      <c r="KW159" s="136" t="s">
        <v>45</v>
      </c>
      <c r="KX159" s="189" t="s">
        <v>48</v>
      </c>
      <c r="KY159" s="187" t="s">
        <v>162</v>
      </c>
      <c r="KZ159" s="188" t="s">
        <v>17</v>
      </c>
      <c r="LA159" s="136" t="s">
        <v>21</v>
      </c>
      <c r="LB159" s="136" t="s">
        <v>25</v>
      </c>
      <c r="LC159" s="136" t="s">
        <v>29</v>
      </c>
      <c r="LD159" s="136" t="s">
        <v>33</v>
      </c>
      <c r="LE159" s="136" t="s">
        <v>36</v>
      </c>
      <c r="LF159" s="136" t="s">
        <v>39</v>
      </c>
      <c r="LG159" s="136" t="s">
        <v>42</v>
      </c>
      <c r="LH159" s="136" t="s">
        <v>45</v>
      </c>
      <c r="LI159" s="189" t="s">
        <v>48</v>
      </c>
      <c r="LJ159" s="187" t="s">
        <v>162</v>
      </c>
      <c r="LK159" s="188" t="s">
        <v>17</v>
      </c>
      <c r="LL159" s="136" t="s">
        <v>21</v>
      </c>
      <c r="LM159" s="136" t="s">
        <v>25</v>
      </c>
      <c r="LN159" s="136" t="s">
        <v>29</v>
      </c>
      <c r="LO159" s="136" t="s">
        <v>33</v>
      </c>
      <c r="LP159" s="136" t="s">
        <v>36</v>
      </c>
      <c r="LQ159" s="136" t="s">
        <v>39</v>
      </c>
      <c r="LR159" s="136" t="s">
        <v>42</v>
      </c>
      <c r="LS159" s="136" t="s">
        <v>45</v>
      </c>
      <c r="LT159" s="189" t="s">
        <v>48</v>
      </c>
    </row>
    <row r="160" customFormat="false" ht="15" hidden="true" customHeight="false" outlineLevel="0" collapsed="false">
      <c r="C160" s="190" t="str">
        <f aca="false">C111</f>
        <v>Alumno1</v>
      </c>
      <c r="D160" s="207" t="n">
        <f aca="false">VLOOKUP($C$1,'Datos Iniciales'!$E$34:$O$64,D$158,FALSE())*D62</f>
        <v>1.725</v>
      </c>
      <c r="E160" s="192" t="n">
        <f aca="false">VLOOKUP($C$1,'Datos Iniciales'!$E$34:$O$64,E$158,FALSE())*E62</f>
        <v>0</v>
      </c>
      <c r="F160" s="192" t="n">
        <f aca="false">VLOOKUP($C$1,'Datos Iniciales'!$E$34:$O$64,F$158,FALSE())*F62</f>
        <v>0</v>
      </c>
      <c r="G160" s="192" t="n">
        <f aca="false">VLOOKUP($C$1,'Datos Iniciales'!$E$34:$O$64,G$158,FALSE())*G62</f>
        <v>0</v>
      </c>
      <c r="H160" s="192" t="n">
        <f aca="false">VLOOKUP($C$1,'Datos Iniciales'!$E$34:$O$64,H$158,FALSE())*H62</f>
        <v>0</v>
      </c>
      <c r="I160" s="192" t="n">
        <f aca="false">VLOOKUP($C$1,'Datos Iniciales'!$E$34:$O$64,I$158,FALSE())*I62</f>
        <v>0</v>
      </c>
      <c r="J160" s="192" t="n">
        <f aca="false">VLOOKUP($C$1,'Datos Iniciales'!$E$34:$O$64,J$158,FALSE())*J62</f>
        <v>0</v>
      </c>
      <c r="K160" s="192" t="n">
        <f aca="false">VLOOKUP($C$1,'Datos Iniciales'!$E$34:$O$64,K$158,FALSE())*K62</f>
        <v>0</v>
      </c>
      <c r="L160" s="192" t="n">
        <f aca="false">VLOOKUP($C$1,'Datos Iniciales'!$E$34:$O$64,L$158,FALSE())*L62</f>
        <v>0</v>
      </c>
      <c r="M160" s="193" t="n">
        <f aca="false">VLOOKUP($C$1,'Datos Iniciales'!$E$34:$O$64,M$158,FALSE())*M62</f>
        <v>0</v>
      </c>
      <c r="N160" s="190" t="str">
        <f aca="false">C160</f>
        <v>Alumno1</v>
      </c>
      <c r="O160" s="207" t="n">
        <f aca="false">VLOOKUP($N$1,'Datos Iniciales'!$E$34:$O$64,O$158,FALSE())*O62</f>
        <v>1.35</v>
      </c>
      <c r="P160" s="192" t="n">
        <f aca="false">VLOOKUP($N$1,'Datos Iniciales'!$E$34:$O$64,P$158,FALSE())*P62</f>
        <v>1.6</v>
      </c>
      <c r="Q160" s="192" t="n">
        <f aca="false">VLOOKUP($N$1,'Datos Iniciales'!$E$34:$O$64,Q$158,FALSE())*Q62</f>
        <v>0</v>
      </c>
      <c r="R160" s="192" t="n">
        <f aca="false">VLOOKUP($N$1,'Datos Iniciales'!$E$34:$O$64,R$158,FALSE())*R62</f>
        <v>0</v>
      </c>
      <c r="S160" s="192" t="n">
        <f aca="false">VLOOKUP($N$1,'Datos Iniciales'!$E$34:$O$64,S$158,FALSE())*S62</f>
        <v>0</v>
      </c>
      <c r="T160" s="192" t="n">
        <f aca="false">VLOOKUP($N$1,'Datos Iniciales'!$E$34:$O$64,T$158,FALSE())*T62</f>
        <v>0</v>
      </c>
      <c r="U160" s="192" t="n">
        <f aca="false">VLOOKUP($N$1,'Datos Iniciales'!$E$34:$O$64,U$158,FALSE())*U62</f>
        <v>0</v>
      </c>
      <c r="V160" s="192" t="n">
        <f aca="false">VLOOKUP($N$1,'Datos Iniciales'!$E$34:$O$64,V$158,FALSE())*V62</f>
        <v>0</v>
      </c>
      <c r="W160" s="192" t="n">
        <f aca="false">VLOOKUP($N$1,'Datos Iniciales'!$E$34:$O$64,W$158,FALSE())*W62</f>
        <v>0</v>
      </c>
      <c r="X160" s="193" t="n">
        <f aca="false">VLOOKUP($N$1,'Datos Iniciales'!$E$34:$O$64,X$158,FALSE())*X62</f>
        <v>0</v>
      </c>
      <c r="Y160" s="190" t="str">
        <f aca="false">N160</f>
        <v>Alumno1</v>
      </c>
      <c r="Z160" s="207" t="n">
        <f aca="false">VLOOKUP($Y$1,'Datos Iniciales'!$E$34:$O$64,Z$158,FALSE())*Z62</f>
        <v>1.95</v>
      </c>
      <c r="AA160" s="192" t="n">
        <f aca="false">VLOOKUP($Y$1,'Datos Iniciales'!$E$34:$O$64,AA$158,FALSE())*AA62</f>
        <v>1.7</v>
      </c>
      <c r="AB160" s="192" t="n">
        <f aca="false">VLOOKUP($Y$1,'Datos Iniciales'!$E$34:$O$64,AB$158,FALSE())*AB62</f>
        <v>0.5</v>
      </c>
      <c r="AC160" s="192" t="n">
        <f aca="false">VLOOKUP($Y$1,'Datos Iniciales'!$E$34:$O$64,AC$158,FALSE())*AC62</f>
        <v>0</v>
      </c>
      <c r="AD160" s="192" t="n">
        <f aca="false">VLOOKUP($Y$1,'Datos Iniciales'!$E$34:$O$64,AD$158,FALSE())*AD62</f>
        <v>0</v>
      </c>
      <c r="AE160" s="192" t="n">
        <f aca="false">VLOOKUP($Y$1,'Datos Iniciales'!$E$34:$O$64,AE$158,FALSE())*AE62</f>
        <v>0</v>
      </c>
      <c r="AF160" s="192" t="n">
        <f aca="false">VLOOKUP($Y$1,'Datos Iniciales'!$E$34:$O$64,AF$158,FALSE())*AF62</f>
        <v>0</v>
      </c>
      <c r="AG160" s="192" t="n">
        <f aca="false">VLOOKUP($Y$1,'Datos Iniciales'!$E$34:$O$64,AG$158,FALSE())*AG62</f>
        <v>0</v>
      </c>
      <c r="AH160" s="192" t="n">
        <f aca="false">VLOOKUP($Y$1,'Datos Iniciales'!$E$34:$O$64,AH$158,FALSE())*AH62</f>
        <v>0</v>
      </c>
      <c r="AI160" s="193" t="n">
        <f aca="false">VLOOKUP($Y$1,'Datos Iniciales'!$E$34:$O$64,AI$158,FALSE())*AI62</f>
        <v>0</v>
      </c>
      <c r="AJ160" s="190" t="str">
        <f aca="false">Y160</f>
        <v>Alumno1</v>
      </c>
      <c r="AK160" s="207" t="n">
        <f aca="false">VLOOKUP($AJ$1,'Datos Iniciales'!$E$34:$O$64,AK$158,FALSE())*AK62</f>
        <v>0.6</v>
      </c>
      <c r="AL160" s="192" t="n">
        <f aca="false">VLOOKUP($AJ$1,'Datos Iniciales'!$E$34:$O$64,AL$158,FALSE())*AL62</f>
        <v>1.8</v>
      </c>
      <c r="AM160" s="192" t="n">
        <f aca="false">VLOOKUP($AJ$1,'Datos Iniciales'!$E$34:$O$64,AM$158,FALSE())*AM62</f>
        <v>2.975</v>
      </c>
      <c r="AN160" s="192" t="n">
        <f aca="false">VLOOKUP($AJ$1,'Datos Iniciales'!$E$34:$O$64,AN$158,FALSE())*AN62</f>
        <v>0</v>
      </c>
      <c r="AO160" s="192" t="n">
        <f aca="false">VLOOKUP($AJ$1,'Datos Iniciales'!$E$34:$O$64,AO$158,FALSE())*AO62</f>
        <v>0</v>
      </c>
      <c r="AP160" s="192" t="n">
        <f aca="false">VLOOKUP($AJ$1,'Datos Iniciales'!$E$34:$O$64,AP$158,FALSE())*AP62</f>
        <v>0</v>
      </c>
      <c r="AQ160" s="192" t="n">
        <f aca="false">VLOOKUP($AJ$1,'Datos Iniciales'!$E$34:$O$64,AQ$158,FALSE())*AQ62</f>
        <v>0</v>
      </c>
      <c r="AR160" s="192" t="n">
        <f aca="false">VLOOKUP($AJ$1,'Datos Iniciales'!$E$34:$O$64,AR$158,FALSE())*AR62</f>
        <v>0</v>
      </c>
      <c r="AS160" s="192" t="n">
        <f aca="false">VLOOKUP($AJ$1,'Datos Iniciales'!$E$34:$O$64,AS$158,FALSE())*AS62</f>
        <v>0</v>
      </c>
      <c r="AT160" s="193" t="n">
        <f aca="false">VLOOKUP($AJ$1,'Datos Iniciales'!$E$34:$O$64,AT$158,FALSE())*AT62</f>
        <v>0</v>
      </c>
      <c r="AU160" s="190" t="str">
        <f aca="false">AJ160</f>
        <v>Alumno1</v>
      </c>
      <c r="AV160" s="207" t="n">
        <f aca="false">VLOOKUP($AU$1,'Datos Iniciales'!$E$34:$O$64,AV$158,FALSE())*AV62</f>
        <v>0.4</v>
      </c>
      <c r="AW160" s="192" t="n">
        <f aca="false">VLOOKUP($AU$1,'Datos Iniciales'!$E$34:$O$64,AW$158,FALSE())*AW62</f>
        <v>0.5</v>
      </c>
      <c r="AX160" s="192" t="n">
        <f aca="false">VLOOKUP($AU$1,'Datos Iniciales'!$E$34:$O$64,AX$158,FALSE())*AX62</f>
        <v>1.56</v>
      </c>
      <c r="AY160" s="192" t="n">
        <f aca="false">VLOOKUP($AU$1,'Datos Iniciales'!$E$34:$O$64,AY$158,FALSE())*AY62</f>
        <v>0.9</v>
      </c>
      <c r="AZ160" s="192" t="n">
        <f aca="false">VLOOKUP($AU$1,'Datos Iniciales'!$E$34:$O$64,AZ$158,FALSE())*AZ62</f>
        <v>0</v>
      </c>
      <c r="BA160" s="192" t="n">
        <f aca="false">VLOOKUP($AU$1,'Datos Iniciales'!$E$34:$O$64,BA$158,FALSE())*BA62</f>
        <v>0</v>
      </c>
      <c r="BB160" s="192" t="n">
        <f aca="false">VLOOKUP($AU$1,'Datos Iniciales'!$E$34:$O$64,BB$158,FALSE())*BB62</f>
        <v>0</v>
      </c>
      <c r="BC160" s="192" t="n">
        <f aca="false">VLOOKUP($AU$1,'Datos Iniciales'!$E$34:$O$64,BC$158,FALSE())*BC62</f>
        <v>0</v>
      </c>
      <c r="BD160" s="192" t="n">
        <f aca="false">VLOOKUP($AU$1,'Datos Iniciales'!$E$34:$O$64,BD$158,FALSE())*BD62</f>
        <v>0</v>
      </c>
      <c r="BE160" s="193" t="n">
        <f aca="false">VLOOKUP($AU$1,'Datos Iniciales'!$E$34:$O$64,BE$158,FALSE())*BE62</f>
        <v>0</v>
      </c>
      <c r="BF160" s="190" t="str">
        <f aca="false">AU160</f>
        <v>Alumno1</v>
      </c>
      <c r="BG160" s="207" t="n">
        <f aca="false">VLOOKUP($BF$1,'Datos Iniciales'!$E$34:$O$64,BG$158,FALSE())*BG62</f>
        <v>0.8</v>
      </c>
      <c r="BH160" s="192" t="n">
        <f aca="false">VLOOKUP($BF$1,'Datos Iniciales'!$E$34:$O$64,BH$158,FALSE())*BH62</f>
        <v>0.75</v>
      </c>
      <c r="BI160" s="192" t="n">
        <f aca="false">VLOOKUP($BF$1,'Datos Iniciales'!$E$34:$O$64,BI$158,FALSE())*BI62</f>
        <v>0.7</v>
      </c>
      <c r="BJ160" s="192" t="n">
        <f aca="false">VLOOKUP($BF$1,'Datos Iniciales'!$E$34:$O$64,BJ$158,FALSE())*BJ62</f>
        <v>2.8</v>
      </c>
      <c r="BK160" s="192" t="n">
        <f aca="false">VLOOKUP($BF$1,'Datos Iniciales'!$E$34:$O$64,BK$158,FALSE())*BK62</f>
        <v>0</v>
      </c>
      <c r="BL160" s="192" t="n">
        <f aca="false">VLOOKUP($BF$1,'Datos Iniciales'!$E$34:$O$64,BL$158,FALSE())*BL62</f>
        <v>0</v>
      </c>
      <c r="BM160" s="192" t="n">
        <f aca="false">VLOOKUP($BF$1,'Datos Iniciales'!$E$34:$O$64,BM$158,FALSE())*BM62</f>
        <v>0</v>
      </c>
      <c r="BN160" s="192" t="n">
        <f aca="false">VLOOKUP($BF$1,'Datos Iniciales'!$E$34:$O$64,BN$158,FALSE())*BN62</f>
        <v>0</v>
      </c>
      <c r="BO160" s="192" t="n">
        <f aca="false">VLOOKUP($BF$1,'Datos Iniciales'!$E$34:$O$64,BO$158,FALSE())*BO62</f>
        <v>0</v>
      </c>
      <c r="BP160" s="193" t="n">
        <f aca="false">VLOOKUP($BF$1,'Datos Iniciales'!$E$34:$O$64,BP$158,FALSE())*BP62</f>
        <v>0</v>
      </c>
      <c r="BQ160" s="190" t="str">
        <f aca="false">BF160</f>
        <v>Alumno1</v>
      </c>
      <c r="BR160" s="207" t="n">
        <f aca="false">VLOOKUP($BQ$1,'Datos Iniciales'!$E$34:$O$64,BR$158,FALSE())*BR62</f>
        <v>0</v>
      </c>
      <c r="BS160" s="192" t="n">
        <f aca="false">VLOOKUP($BQ$1,'Datos Iniciales'!$E$34:$O$64,BS$158,FALSE())*BS62</f>
        <v>0.2</v>
      </c>
      <c r="BT160" s="192" t="n">
        <f aca="false">VLOOKUP($BQ$1,'Datos Iniciales'!$E$34:$O$64,BT$158,FALSE())*BT62</f>
        <v>0.65</v>
      </c>
      <c r="BU160" s="192" t="n">
        <f aca="false">VLOOKUP($BQ$1,'Datos Iniciales'!$E$34:$O$64,BU$158,FALSE())*BU62</f>
        <v>2.4</v>
      </c>
      <c r="BV160" s="192" t="n">
        <f aca="false">VLOOKUP($BQ$1,'Datos Iniciales'!$E$34:$O$64,BV$158,FALSE())*BV62</f>
        <v>0</v>
      </c>
      <c r="BW160" s="192" t="n">
        <f aca="false">VLOOKUP($BQ$1,'Datos Iniciales'!$E$34:$O$64,BW$158,FALSE())*BW62</f>
        <v>0</v>
      </c>
      <c r="BX160" s="192" t="n">
        <f aca="false">VLOOKUP($BQ$1,'Datos Iniciales'!$E$34:$O$64,BX$158,FALSE())*BX62</f>
        <v>0</v>
      </c>
      <c r="BY160" s="192" t="n">
        <f aca="false">VLOOKUP($BQ$1,'Datos Iniciales'!$E$34:$O$64,BY$158,FALSE())*BY62</f>
        <v>0</v>
      </c>
      <c r="BZ160" s="192" t="n">
        <f aca="false">VLOOKUP($BQ$1,'Datos Iniciales'!$E$34:$O$64,BZ$158,FALSE())*BZ62</f>
        <v>0</v>
      </c>
      <c r="CA160" s="193" t="n">
        <f aca="false">VLOOKUP($BQ$1,'Datos Iniciales'!$E$34:$O$64,CA$158,FALSE())*CA62</f>
        <v>0</v>
      </c>
      <c r="CB160" s="190" t="str">
        <f aca="false">BQ160</f>
        <v>Alumno1</v>
      </c>
      <c r="CC160" s="207" t="n">
        <f aca="false">VLOOKUP($CB$1,'Datos Iniciales'!$E$34:$O$64,CC$158,FALSE())*CC62</f>
        <v>0</v>
      </c>
      <c r="CD160" s="192" t="n">
        <f aca="false">VLOOKUP($CB$1,'Datos Iniciales'!$E$34:$O$64,CD$158,FALSE())*CD62</f>
        <v>0</v>
      </c>
      <c r="CE160" s="192" t="n">
        <f aca="false">VLOOKUP($CB$1,'Datos Iniciales'!$E$34:$O$64,CE$158,FALSE())*CE62</f>
        <v>0</v>
      </c>
      <c r="CF160" s="192" t="n">
        <f aca="false">VLOOKUP($CB$1,'Datos Iniciales'!$E$34:$O$64,CF$158,FALSE())*CF62</f>
        <v>0</v>
      </c>
      <c r="CG160" s="192" t="n">
        <f aca="false">VLOOKUP($CB$1,'Datos Iniciales'!$E$34:$O$64,CG$158,FALSE())*CG62</f>
        <v>0</v>
      </c>
      <c r="CH160" s="192" t="n">
        <f aca="false">VLOOKUP($CB$1,'Datos Iniciales'!$E$34:$O$64,CH$158,FALSE())*CH62</f>
        <v>0</v>
      </c>
      <c r="CI160" s="192" t="n">
        <f aca="false">VLOOKUP($CB$1,'Datos Iniciales'!$E$34:$O$64,CI$158,FALSE())*CI62</f>
        <v>0</v>
      </c>
      <c r="CJ160" s="192" t="n">
        <f aca="false">VLOOKUP($CB$1,'Datos Iniciales'!$E$34:$O$64,CJ$158,FALSE())*CJ62</f>
        <v>0</v>
      </c>
      <c r="CK160" s="192" t="n">
        <f aca="false">VLOOKUP($CB$1,'Datos Iniciales'!$E$34:$O$64,CK$158,FALSE())*CK62</f>
        <v>0</v>
      </c>
      <c r="CL160" s="193" t="n">
        <f aca="false">VLOOKUP($CB$1,'Datos Iniciales'!$E$34:$O$64,CL$158,FALSE())*CL62</f>
        <v>0</v>
      </c>
      <c r="CM160" s="190" t="str">
        <f aca="false">CB160</f>
        <v>Alumno1</v>
      </c>
      <c r="CN160" s="207" t="n">
        <f aca="false">VLOOKUP($CM$1,'Datos Iniciales'!$E$34:$O$64,CN$158,FALSE())*CN62</f>
        <v>0</v>
      </c>
      <c r="CO160" s="192" t="n">
        <f aca="false">VLOOKUP($CM$1,'Datos Iniciales'!$E$34:$O$64,CO$158,FALSE())*CO62</f>
        <v>0</v>
      </c>
      <c r="CP160" s="192" t="n">
        <f aca="false">VLOOKUP($CM$1,'Datos Iniciales'!$E$34:$O$64,CP$158,FALSE())*CP62</f>
        <v>0</v>
      </c>
      <c r="CQ160" s="192" t="n">
        <f aca="false">VLOOKUP($CM$1,'Datos Iniciales'!$E$34:$O$64,CQ$158,FALSE())*CQ62</f>
        <v>0</v>
      </c>
      <c r="CR160" s="192" t="n">
        <f aca="false">VLOOKUP($CM$1,'Datos Iniciales'!$E$34:$O$64,CR$158,FALSE())*CR62</f>
        <v>0</v>
      </c>
      <c r="CS160" s="192" t="n">
        <f aca="false">VLOOKUP($CM$1,'Datos Iniciales'!$E$34:$O$64,CS$158,FALSE())*CS62</f>
        <v>0</v>
      </c>
      <c r="CT160" s="192" t="n">
        <f aca="false">VLOOKUP($CM$1,'Datos Iniciales'!$E$34:$O$64,CT$158,FALSE())*CT62</f>
        <v>0</v>
      </c>
      <c r="CU160" s="192" t="n">
        <f aca="false">VLOOKUP($CM$1,'Datos Iniciales'!$E$34:$O$64,CU$158,FALSE())*CU62</f>
        <v>0</v>
      </c>
      <c r="CV160" s="192" t="n">
        <f aca="false">VLOOKUP($CM$1,'Datos Iniciales'!$E$34:$O$64,CV$158,FALSE())*CV62</f>
        <v>0</v>
      </c>
      <c r="CW160" s="193" t="n">
        <f aca="false">VLOOKUP($CM$1,'Datos Iniciales'!$E$34:$O$64,CW$158,FALSE())*CW62</f>
        <v>0</v>
      </c>
      <c r="CX160" s="190" t="str">
        <f aca="false">CM160</f>
        <v>Alumno1</v>
      </c>
      <c r="CY160" s="207" t="n">
        <f aca="false">VLOOKUP($CX$1,'Datos Iniciales'!$E$34:$O$64,CY$158,FALSE())*CY62</f>
        <v>0</v>
      </c>
      <c r="CZ160" s="192" t="n">
        <f aca="false">VLOOKUP($CX$1,'Datos Iniciales'!$E$34:$O$64,CZ$158,FALSE())*CZ62</f>
        <v>0</v>
      </c>
      <c r="DA160" s="192" t="n">
        <f aca="false">VLOOKUP($CX$1,'Datos Iniciales'!$E$34:$O$64,DA$158,FALSE())*DA62</f>
        <v>0</v>
      </c>
      <c r="DB160" s="192" t="n">
        <f aca="false">VLOOKUP($CX$1,'Datos Iniciales'!$E$34:$O$64,DB$158,FALSE())*DB62</f>
        <v>0</v>
      </c>
      <c r="DC160" s="192" t="n">
        <f aca="false">VLOOKUP($CX$1,'Datos Iniciales'!$E$34:$O$64,DC$158,FALSE())*DC62</f>
        <v>0</v>
      </c>
      <c r="DD160" s="192" t="n">
        <f aca="false">VLOOKUP($CX$1,'Datos Iniciales'!$E$34:$O$64,DD$158,FALSE())*DD62</f>
        <v>0</v>
      </c>
      <c r="DE160" s="192" t="n">
        <f aca="false">VLOOKUP($CX$1,'Datos Iniciales'!$E$34:$O$64,DE$158,FALSE())*DE62</f>
        <v>0</v>
      </c>
      <c r="DF160" s="192" t="n">
        <f aca="false">VLOOKUP($CX$1,'Datos Iniciales'!$E$34:$O$64,DF$158,FALSE())*DF62</f>
        <v>0</v>
      </c>
      <c r="DG160" s="192" t="n">
        <f aca="false">VLOOKUP($CX$1,'Datos Iniciales'!$E$34:$O$64,DG$158,FALSE())*DG62</f>
        <v>0</v>
      </c>
      <c r="DH160" s="193" t="n">
        <f aca="false">VLOOKUP($CX$1,'Datos Iniciales'!$E$34:$O$64,DH$158,FALSE())*DH62</f>
        <v>0</v>
      </c>
      <c r="DI160" s="190" t="str">
        <f aca="false">CX160</f>
        <v>Alumno1</v>
      </c>
      <c r="DJ160" s="207" t="n">
        <f aca="false">VLOOKUP($DI$1,'Datos Iniciales'!$E$34:$O$64,DJ$158,FALSE())*DJ62</f>
        <v>0</v>
      </c>
      <c r="DK160" s="192" t="n">
        <f aca="false">VLOOKUP($DI$1,'Datos Iniciales'!$E$34:$O$64,DK$158,FALSE())*DK62</f>
        <v>0</v>
      </c>
      <c r="DL160" s="192" t="n">
        <f aca="false">VLOOKUP($DI$1,'Datos Iniciales'!$E$34:$O$64,DL$158,FALSE())*DL62</f>
        <v>0</v>
      </c>
      <c r="DM160" s="192" t="n">
        <f aca="false">VLOOKUP($DI$1,'Datos Iniciales'!$E$34:$O$64,DM$158,FALSE())*DM62</f>
        <v>0</v>
      </c>
      <c r="DN160" s="192" t="n">
        <f aca="false">VLOOKUP($DI$1,'Datos Iniciales'!$E$34:$O$64,DN$158,FALSE())*DN62</f>
        <v>0</v>
      </c>
      <c r="DO160" s="192" t="n">
        <f aca="false">VLOOKUP($DI$1,'Datos Iniciales'!$E$34:$O$64,DO$158,FALSE())*DO62</f>
        <v>0</v>
      </c>
      <c r="DP160" s="192" t="n">
        <f aca="false">VLOOKUP($DI$1,'Datos Iniciales'!$E$34:$O$64,DP$158,FALSE())*DP62</f>
        <v>0</v>
      </c>
      <c r="DQ160" s="192" t="n">
        <f aca="false">VLOOKUP($DI$1,'Datos Iniciales'!$E$34:$O$64,DQ$158,FALSE())*DQ62</f>
        <v>0</v>
      </c>
      <c r="DR160" s="192" t="n">
        <f aca="false">VLOOKUP($DI$1,'Datos Iniciales'!$E$34:$O$64,DR$158,FALSE())*DR62</f>
        <v>0</v>
      </c>
      <c r="DS160" s="193" t="n">
        <f aca="false">VLOOKUP($DI$1,'Datos Iniciales'!$E$34:$O$64,DS$158,FALSE())*DS62</f>
        <v>0</v>
      </c>
      <c r="DT160" s="190" t="str">
        <f aca="false">DI160</f>
        <v>Alumno1</v>
      </c>
      <c r="DU160" s="207" t="n">
        <f aca="false">VLOOKUP($DT$1,'Datos Iniciales'!$E$34:$O$64,DU$158,FALSE())*DU62</f>
        <v>0</v>
      </c>
      <c r="DV160" s="192" t="n">
        <f aca="false">VLOOKUP($DT$1,'Datos Iniciales'!$E$34:$O$64,DV$158,FALSE())*DV62</f>
        <v>0</v>
      </c>
      <c r="DW160" s="192" t="n">
        <f aca="false">VLOOKUP($DT$1,'Datos Iniciales'!$E$34:$O$64,DW$158,FALSE())*DW62</f>
        <v>0</v>
      </c>
      <c r="DX160" s="192" t="n">
        <f aca="false">VLOOKUP($DT$1,'Datos Iniciales'!$E$34:$O$64,DX$158,FALSE())*DX62</f>
        <v>0</v>
      </c>
      <c r="DY160" s="192" t="n">
        <f aca="false">VLOOKUP($DT$1,'Datos Iniciales'!$E$34:$O$64,DY$158,FALSE())*DY62</f>
        <v>0</v>
      </c>
      <c r="DZ160" s="192" t="n">
        <f aca="false">VLOOKUP($DT$1,'Datos Iniciales'!$E$34:$O$64,DZ$158,FALSE())*DZ62</f>
        <v>0</v>
      </c>
      <c r="EA160" s="192" t="n">
        <f aca="false">VLOOKUP($DT$1,'Datos Iniciales'!$E$34:$O$64,EA$158,FALSE())*EA62</f>
        <v>0</v>
      </c>
      <c r="EB160" s="192" t="n">
        <f aca="false">VLOOKUP($DT$1,'Datos Iniciales'!$E$34:$O$64,EB$158,FALSE())*EB62</f>
        <v>0</v>
      </c>
      <c r="EC160" s="192" t="n">
        <f aca="false">VLOOKUP($DT$1,'Datos Iniciales'!$E$34:$O$64,EC$158,FALSE())*EC62</f>
        <v>0</v>
      </c>
      <c r="ED160" s="193" t="n">
        <f aca="false">VLOOKUP($DT$1,'Datos Iniciales'!$E$34:$O$64,ED$158,FALSE())*ED62</f>
        <v>0</v>
      </c>
      <c r="EE160" s="190" t="str">
        <f aca="false">DT160</f>
        <v>Alumno1</v>
      </c>
      <c r="EF160" s="207" t="n">
        <f aca="false">VLOOKUP($EE$1,'Datos Iniciales'!$E$34:$O$64,EF$158,FALSE())*EF62</f>
        <v>0</v>
      </c>
      <c r="EG160" s="192" t="n">
        <f aca="false">VLOOKUP($EE$1,'Datos Iniciales'!$E$34:$O$64,EG$158,FALSE())*EG62</f>
        <v>0</v>
      </c>
      <c r="EH160" s="192" t="n">
        <f aca="false">VLOOKUP($EE$1,'Datos Iniciales'!$E$34:$O$64,EH$158,FALSE())*EH62</f>
        <v>0</v>
      </c>
      <c r="EI160" s="192" t="n">
        <f aca="false">VLOOKUP($EE$1,'Datos Iniciales'!$E$34:$O$64,EI$158,FALSE())*EI62</f>
        <v>0</v>
      </c>
      <c r="EJ160" s="192" t="n">
        <f aca="false">VLOOKUP($EE$1,'Datos Iniciales'!$E$34:$O$64,EJ$158,FALSE())*EJ62</f>
        <v>0</v>
      </c>
      <c r="EK160" s="192" t="n">
        <f aca="false">VLOOKUP($EE$1,'Datos Iniciales'!$E$34:$O$64,EK$158,FALSE())*EK62</f>
        <v>0</v>
      </c>
      <c r="EL160" s="192" t="n">
        <f aca="false">VLOOKUP($EE$1,'Datos Iniciales'!$E$34:$O$64,EL$158,FALSE())*EL62</f>
        <v>0</v>
      </c>
      <c r="EM160" s="192" t="n">
        <f aca="false">VLOOKUP($EE$1,'Datos Iniciales'!$E$34:$O$64,EM$158,FALSE())*EM62</f>
        <v>0</v>
      </c>
      <c r="EN160" s="192" t="n">
        <f aca="false">VLOOKUP($EE$1,'Datos Iniciales'!$E$34:$O$64,EN$158,FALSE())*EN62</f>
        <v>0</v>
      </c>
      <c r="EO160" s="193" t="n">
        <f aca="false">VLOOKUP($EE$1,'Datos Iniciales'!$E$34:$O$64,EO$158,FALSE())*EO62</f>
        <v>0</v>
      </c>
      <c r="EP160" s="190" t="str">
        <f aca="false">EE160</f>
        <v>Alumno1</v>
      </c>
      <c r="EQ160" s="207" t="n">
        <f aca="false">VLOOKUP($EP$1,'Datos Iniciales'!$E$34:$O$64,EQ$158,FALSE())*EQ62</f>
        <v>0</v>
      </c>
      <c r="ER160" s="192" t="n">
        <f aca="false">VLOOKUP($EP$1,'Datos Iniciales'!$E$34:$O$64,ER$158,FALSE())*ER62</f>
        <v>0</v>
      </c>
      <c r="ES160" s="192" t="n">
        <f aca="false">VLOOKUP($EP$1,'Datos Iniciales'!$E$34:$O$64,ES$158,FALSE())*ES62</f>
        <v>0</v>
      </c>
      <c r="ET160" s="192" t="n">
        <f aca="false">VLOOKUP($EP$1,'Datos Iniciales'!$E$34:$O$64,ET$158,FALSE())*ET62</f>
        <v>0</v>
      </c>
      <c r="EU160" s="192" t="n">
        <f aca="false">VLOOKUP($EP$1,'Datos Iniciales'!$E$34:$O$64,EU$158,FALSE())*EU62</f>
        <v>0</v>
      </c>
      <c r="EV160" s="192" t="n">
        <f aca="false">VLOOKUP($EP$1,'Datos Iniciales'!$E$34:$O$64,EV$158,FALSE())*EV62</f>
        <v>0</v>
      </c>
      <c r="EW160" s="192" t="n">
        <f aca="false">VLOOKUP($EP$1,'Datos Iniciales'!$E$34:$O$64,EW$158,FALSE())*EW62</f>
        <v>0</v>
      </c>
      <c r="EX160" s="192" t="n">
        <f aca="false">VLOOKUP($EP$1,'Datos Iniciales'!$E$34:$O$64,EX$158,FALSE())*EX62</f>
        <v>0</v>
      </c>
      <c r="EY160" s="192" t="n">
        <f aca="false">VLOOKUP($EP$1,'Datos Iniciales'!$E$34:$O$64,EY$158,FALSE())*EY62</f>
        <v>0</v>
      </c>
      <c r="EZ160" s="193" t="n">
        <f aca="false">VLOOKUP($EP$1,'Datos Iniciales'!$E$34:$O$64,EZ$158,FALSE())*EZ62</f>
        <v>0</v>
      </c>
      <c r="FA160" s="190" t="str">
        <f aca="false">EP160</f>
        <v>Alumno1</v>
      </c>
      <c r="FB160" s="207" t="n">
        <f aca="false">VLOOKUP($FA$1,'Datos Iniciales'!$E$34:$O$64,FB$158,FALSE())*FB62</f>
        <v>0</v>
      </c>
      <c r="FC160" s="192" t="n">
        <f aca="false">VLOOKUP($FA$1,'Datos Iniciales'!$E$34:$O$64,FC$158,FALSE())*FC62</f>
        <v>0</v>
      </c>
      <c r="FD160" s="192" t="n">
        <f aca="false">VLOOKUP($FA$1,'Datos Iniciales'!$E$34:$O$64,FD$158,FALSE())*FD62</f>
        <v>0</v>
      </c>
      <c r="FE160" s="192" t="n">
        <f aca="false">VLOOKUP($FA$1,'Datos Iniciales'!$E$34:$O$64,FE$158,FALSE())*FE62</f>
        <v>0</v>
      </c>
      <c r="FF160" s="192" t="n">
        <f aca="false">VLOOKUP($FA$1,'Datos Iniciales'!$E$34:$O$64,FF$158,FALSE())*FF62</f>
        <v>0</v>
      </c>
      <c r="FG160" s="192" t="n">
        <f aca="false">VLOOKUP($FA$1,'Datos Iniciales'!$E$34:$O$64,FG$158,FALSE())*FG62</f>
        <v>0</v>
      </c>
      <c r="FH160" s="192" t="n">
        <f aca="false">VLOOKUP($FA$1,'Datos Iniciales'!$E$34:$O$64,FH$158,FALSE())*FH62</f>
        <v>0</v>
      </c>
      <c r="FI160" s="192" t="n">
        <f aca="false">VLOOKUP($FA$1,'Datos Iniciales'!$E$34:$O$64,FI$158,FALSE())*FI62</f>
        <v>0</v>
      </c>
      <c r="FJ160" s="192" t="n">
        <f aca="false">VLOOKUP($FA$1,'Datos Iniciales'!$E$34:$O$64,FJ$158,FALSE())*FJ62</f>
        <v>0</v>
      </c>
      <c r="FK160" s="193" t="n">
        <f aca="false">VLOOKUP($FA$1,'Datos Iniciales'!$E$34:$O$64,FK$158,FALSE())*FK62</f>
        <v>0</v>
      </c>
      <c r="FL160" s="190" t="str">
        <f aca="false">FA160</f>
        <v>Alumno1</v>
      </c>
      <c r="FM160" s="207" t="n">
        <f aca="false">VLOOKUP($FL$1,'Datos Iniciales'!$E$34:$O$64,FM$158,FALSE())*FM62</f>
        <v>0</v>
      </c>
      <c r="FN160" s="192" t="n">
        <f aca="false">VLOOKUP($FL$1,'Datos Iniciales'!$E$34:$O$64,FN$158,FALSE())*FN62</f>
        <v>0</v>
      </c>
      <c r="FO160" s="192" t="n">
        <f aca="false">VLOOKUP($FL$1,'Datos Iniciales'!$E$34:$O$64,FO$158,FALSE())*FO62</f>
        <v>0</v>
      </c>
      <c r="FP160" s="192" t="n">
        <f aca="false">VLOOKUP($FL$1,'Datos Iniciales'!$E$34:$O$64,FP$158,FALSE())*FP62</f>
        <v>0</v>
      </c>
      <c r="FQ160" s="192" t="n">
        <f aca="false">VLOOKUP($FL$1,'Datos Iniciales'!$E$34:$O$64,FQ$158,FALSE())*FQ62</f>
        <v>0</v>
      </c>
      <c r="FR160" s="192" t="n">
        <f aca="false">VLOOKUP($FL$1,'Datos Iniciales'!$E$34:$O$64,FR$158,FALSE())*FR62</f>
        <v>0</v>
      </c>
      <c r="FS160" s="192" t="n">
        <f aca="false">VLOOKUP($FL$1,'Datos Iniciales'!$E$34:$O$64,FS$158,FALSE())*FS62</f>
        <v>0</v>
      </c>
      <c r="FT160" s="192" t="n">
        <f aca="false">VLOOKUP($FL$1,'Datos Iniciales'!$E$34:$O$64,FT$158,FALSE())*FT62</f>
        <v>0</v>
      </c>
      <c r="FU160" s="192" t="n">
        <f aca="false">VLOOKUP($FL$1,'Datos Iniciales'!$E$34:$O$64,FU$158,FALSE())*FU62</f>
        <v>0</v>
      </c>
      <c r="FV160" s="193" t="n">
        <f aca="false">VLOOKUP($FL$1,'Datos Iniciales'!$E$34:$O$64,FV$158,FALSE())*FV62</f>
        <v>0</v>
      </c>
      <c r="FW160" s="190" t="str">
        <f aca="false">FL160</f>
        <v>Alumno1</v>
      </c>
      <c r="FX160" s="207" t="n">
        <f aca="false">VLOOKUP($FW$1,'Datos Iniciales'!$E$34:$O$64,FX$158,FALSE())*FX62</f>
        <v>0</v>
      </c>
      <c r="FY160" s="192" t="n">
        <f aca="false">VLOOKUP($FW$1,'Datos Iniciales'!$E$34:$O$64,FY$158,FALSE())*FY62</f>
        <v>0</v>
      </c>
      <c r="FZ160" s="192" t="n">
        <f aca="false">VLOOKUP($FW$1,'Datos Iniciales'!$E$34:$O$64,FZ$158,FALSE())*FZ62</f>
        <v>0</v>
      </c>
      <c r="GA160" s="192" t="n">
        <f aca="false">VLOOKUP($FW$1,'Datos Iniciales'!$E$34:$O$64,GA$158,FALSE())*GA62</f>
        <v>0</v>
      </c>
      <c r="GB160" s="192" t="n">
        <f aca="false">VLOOKUP($FW$1,'Datos Iniciales'!$E$34:$O$64,GB$158,FALSE())*GB62</f>
        <v>0</v>
      </c>
      <c r="GC160" s="192" t="n">
        <f aca="false">VLOOKUP($FW$1,'Datos Iniciales'!$E$34:$O$64,GC$158,FALSE())*GC62</f>
        <v>0</v>
      </c>
      <c r="GD160" s="192" t="n">
        <f aca="false">VLOOKUP($FW$1,'Datos Iniciales'!$E$34:$O$64,GD$158,FALSE())*GD62</f>
        <v>0</v>
      </c>
      <c r="GE160" s="192" t="n">
        <f aca="false">VLOOKUP($FW$1,'Datos Iniciales'!$E$34:$O$64,GE$158,FALSE())*GE62</f>
        <v>0</v>
      </c>
      <c r="GF160" s="192" t="n">
        <f aca="false">VLOOKUP($FW$1,'Datos Iniciales'!$E$34:$O$64,GF$158,FALSE())*GF62</f>
        <v>0</v>
      </c>
      <c r="GG160" s="193" t="n">
        <f aca="false">VLOOKUP($FW$1,'Datos Iniciales'!$E$34:$O$64,GG$158,FALSE())*GG62</f>
        <v>0</v>
      </c>
      <c r="GH160" s="190" t="str">
        <f aca="false">FW160</f>
        <v>Alumno1</v>
      </c>
      <c r="GI160" s="207" t="n">
        <f aca="false">VLOOKUP($GH$1,'Datos Iniciales'!$E$34:$O$64,GI$158,FALSE())*GI62</f>
        <v>0</v>
      </c>
      <c r="GJ160" s="192" t="n">
        <f aca="false">VLOOKUP($GH$1,'Datos Iniciales'!$E$34:$O$64,GJ$158,FALSE())*GJ62</f>
        <v>0</v>
      </c>
      <c r="GK160" s="192" t="n">
        <f aca="false">VLOOKUP($GH$1,'Datos Iniciales'!$E$34:$O$64,GK$158,FALSE())*GK62</f>
        <v>0</v>
      </c>
      <c r="GL160" s="192" t="n">
        <f aca="false">VLOOKUP($GH$1,'Datos Iniciales'!$E$34:$O$64,GL$158,FALSE())*GL62</f>
        <v>0</v>
      </c>
      <c r="GM160" s="192" t="n">
        <f aca="false">VLOOKUP($GH$1,'Datos Iniciales'!$E$34:$O$64,GM$158,FALSE())*GM62</f>
        <v>0</v>
      </c>
      <c r="GN160" s="192" t="n">
        <f aca="false">VLOOKUP($GH$1,'Datos Iniciales'!$E$34:$O$64,GN$158,FALSE())*GN62</f>
        <v>0</v>
      </c>
      <c r="GO160" s="192" t="n">
        <f aca="false">VLOOKUP($GH$1,'Datos Iniciales'!$E$34:$O$64,GO$158,FALSE())*GO62</f>
        <v>0</v>
      </c>
      <c r="GP160" s="192" t="n">
        <f aca="false">VLOOKUP($GH$1,'Datos Iniciales'!$E$34:$O$64,GP$158,FALSE())*GP62</f>
        <v>0</v>
      </c>
      <c r="GQ160" s="192" t="n">
        <f aca="false">VLOOKUP($GH$1,'Datos Iniciales'!$E$34:$O$64,GQ$158,FALSE())*GQ62</f>
        <v>0</v>
      </c>
      <c r="GR160" s="193" t="n">
        <f aca="false">VLOOKUP($GH$1,'Datos Iniciales'!$E$34:$O$64,GR$158,FALSE())*GR62</f>
        <v>0</v>
      </c>
      <c r="GS160" s="190" t="str">
        <f aca="false">GH160</f>
        <v>Alumno1</v>
      </c>
      <c r="GT160" s="207" t="n">
        <f aca="false">VLOOKUP($GS$1,'Datos Iniciales'!$E$34:$O$64,GT$158,FALSE())*GT62</f>
        <v>0</v>
      </c>
      <c r="GU160" s="192" t="n">
        <f aca="false">VLOOKUP($GS$1,'Datos Iniciales'!$E$34:$O$64,GU$158,FALSE())*GU62</f>
        <v>0</v>
      </c>
      <c r="GV160" s="192" t="n">
        <f aca="false">VLOOKUP($GS$1,'Datos Iniciales'!$E$34:$O$64,GV$158,FALSE())*GV62</f>
        <v>0</v>
      </c>
      <c r="GW160" s="192" t="n">
        <f aca="false">VLOOKUP($GS$1,'Datos Iniciales'!$E$34:$O$64,GW$158,FALSE())*GW62</f>
        <v>0</v>
      </c>
      <c r="GX160" s="192" t="n">
        <f aca="false">VLOOKUP($GS$1,'Datos Iniciales'!$E$34:$O$64,GX$158,FALSE())*GX62</f>
        <v>0</v>
      </c>
      <c r="GY160" s="192" t="n">
        <f aca="false">VLOOKUP($GS$1,'Datos Iniciales'!$E$34:$O$64,GY$158,FALSE())*GY62</f>
        <v>0</v>
      </c>
      <c r="GZ160" s="192" t="n">
        <f aca="false">VLOOKUP($GS$1,'Datos Iniciales'!$E$34:$O$64,GZ$158,FALSE())*GZ62</f>
        <v>0</v>
      </c>
      <c r="HA160" s="192" t="n">
        <f aca="false">VLOOKUP($GS$1,'Datos Iniciales'!$E$34:$O$64,HA$158,FALSE())*HA62</f>
        <v>0</v>
      </c>
      <c r="HB160" s="192" t="n">
        <f aca="false">VLOOKUP($GS$1,'Datos Iniciales'!$E$34:$O$64,HB$158,FALSE())*HB62</f>
        <v>0</v>
      </c>
      <c r="HC160" s="193" t="n">
        <f aca="false">VLOOKUP($GS$1,'Datos Iniciales'!$E$34:$O$64,HC$158,FALSE())*HC62</f>
        <v>0</v>
      </c>
      <c r="HD160" s="190" t="str">
        <f aca="false">GS160</f>
        <v>Alumno1</v>
      </c>
      <c r="HE160" s="207" t="n">
        <f aca="false">VLOOKUP($HD$1,'Datos Iniciales'!$E$34:$O$64,HE$158,FALSE())*HE62</f>
        <v>0</v>
      </c>
      <c r="HF160" s="192" t="n">
        <f aca="false">VLOOKUP($HD$1,'Datos Iniciales'!$E$34:$O$64,HF$158,FALSE())*HF62</f>
        <v>0</v>
      </c>
      <c r="HG160" s="192" t="n">
        <f aca="false">VLOOKUP($HD$1,'Datos Iniciales'!$E$34:$O$64,HG$158,FALSE())*HG62</f>
        <v>0</v>
      </c>
      <c r="HH160" s="192" t="n">
        <f aca="false">VLOOKUP($HD$1,'Datos Iniciales'!$E$34:$O$64,HH$158,FALSE())*HH62</f>
        <v>0</v>
      </c>
      <c r="HI160" s="192" t="n">
        <f aca="false">VLOOKUP($HD$1,'Datos Iniciales'!$E$34:$O$64,HI$158,FALSE())*HI62</f>
        <v>0</v>
      </c>
      <c r="HJ160" s="192" t="n">
        <f aca="false">VLOOKUP($HD$1,'Datos Iniciales'!$E$34:$O$64,HJ$158,FALSE())*HJ62</f>
        <v>0</v>
      </c>
      <c r="HK160" s="192" t="n">
        <f aca="false">VLOOKUP($HD$1,'Datos Iniciales'!$E$34:$O$64,HK$158,FALSE())*HK62</f>
        <v>0</v>
      </c>
      <c r="HL160" s="192" t="n">
        <f aca="false">VLOOKUP($HD$1,'Datos Iniciales'!$E$34:$O$64,HL$158,FALSE())*HL62</f>
        <v>0</v>
      </c>
      <c r="HM160" s="192" t="n">
        <f aca="false">VLOOKUP($HD$1,'Datos Iniciales'!$E$34:$O$64,HM$158,FALSE())*HM62</f>
        <v>0</v>
      </c>
      <c r="HN160" s="193" t="n">
        <f aca="false">VLOOKUP($HD$1,'Datos Iniciales'!$E$34:$O$64,HN$158,FALSE())*HN62</f>
        <v>0</v>
      </c>
      <c r="HO160" s="190" t="str">
        <f aca="false">HD160</f>
        <v>Alumno1</v>
      </c>
      <c r="HP160" s="207" t="n">
        <f aca="false">VLOOKUP($HO$1,'Datos Iniciales'!$E$34:$O$64,HP$158,FALSE())*HP62</f>
        <v>0</v>
      </c>
      <c r="HQ160" s="192" t="n">
        <f aca="false">VLOOKUP($HO$1,'Datos Iniciales'!$E$34:$O$64,HQ$158,FALSE())*HQ62</f>
        <v>0</v>
      </c>
      <c r="HR160" s="192" t="n">
        <f aca="false">VLOOKUP($HO$1,'Datos Iniciales'!$E$34:$O$64,HR$158,FALSE())*HR62</f>
        <v>0</v>
      </c>
      <c r="HS160" s="192" t="n">
        <f aca="false">VLOOKUP($HO$1,'Datos Iniciales'!$E$34:$O$64,HS$158,FALSE())*HS62</f>
        <v>0</v>
      </c>
      <c r="HT160" s="192" t="n">
        <f aca="false">VLOOKUP($HO$1,'Datos Iniciales'!$E$34:$O$64,HT$158,FALSE())*HT62</f>
        <v>0</v>
      </c>
      <c r="HU160" s="192" t="n">
        <f aca="false">VLOOKUP($HO$1,'Datos Iniciales'!$E$34:$O$64,HU$158,FALSE())*HU62</f>
        <v>0</v>
      </c>
      <c r="HV160" s="192" t="n">
        <f aca="false">VLOOKUP($HO$1,'Datos Iniciales'!$E$34:$O$64,HV$158,FALSE())*HV62</f>
        <v>0</v>
      </c>
      <c r="HW160" s="192" t="n">
        <f aca="false">VLOOKUP($HO$1,'Datos Iniciales'!$E$34:$O$64,HW$158,FALSE())*HW62</f>
        <v>0</v>
      </c>
      <c r="HX160" s="192" t="n">
        <f aca="false">VLOOKUP($HO$1,'Datos Iniciales'!$E$34:$O$64,HX$158,FALSE())*HX62</f>
        <v>0</v>
      </c>
      <c r="HY160" s="193" t="n">
        <f aca="false">VLOOKUP($HO$1,'Datos Iniciales'!$E$34:$O$64,HY$158,FALSE())*HY62</f>
        <v>0</v>
      </c>
      <c r="HZ160" s="190" t="str">
        <f aca="false">HO160</f>
        <v>Alumno1</v>
      </c>
      <c r="IA160" s="207" t="n">
        <f aca="false">VLOOKUP($HZ$1,'Datos Iniciales'!$E$34:$O$64,IA$158,FALSE())*IA62</f>
        <v>0</v>
      </c>
      <c r="IB160" s="192" t="n">
        <f aca="false">VLOOKUP($HZ$1,'Datos Iniciales'!$E$34:$O$64,IB$158,FALSE())*IB62</f>
        <v>0</v>
      </c>
      <c r="IC160" s="192" t="n">
        <f aca="false">VLOOKUP($HZ$1,'Datos Iniciales'!$E$34:$O$64,IC$158,FALSE())*IC62</f>
        <v>0</v>
      </c>
      <c r="ID160" s="192" t="n">
        <f aca="false">VLOOKUP($HZ$1,'Datos Iniciales'!$E$34:$O$64,ID$158,FALSE())*ID62</f>
        <v>0</v>
      </c>
      <c r="IE160" s="192" t="n">
        <f aca="false">VLOOKUP($HZ$1,'Datos Iniciales'!$E$34:$O$64,IE$158,FALSE())*IE62</f>
        <v>0</v>
      </c>
      <c r="IF160" s="192" t="n">
        <f aca="false">VLOOKUP($HZ$1,'Datos Iniciales'!$E$34:$O$64,IF$158,FALSE())*IF62</f>
        <v>0</v>
      </c>
      <c r="IG160" s="192" t="n">
        <f aca="false">VLOOKUP($HZ$1,'Datos Iniciales'!$E$34:$O$64,IG$158,FALSE())*IG62</f>
        <v>0</v>
      </c>
      <c r="IH160" s="192" t="n">
        <f aca="false">VLOOKUP($HZ$1,'Datos Iniciales'!$E$34:$O$64,IH$158,FALSE())*IH62</f>
        <v>0</v>
      </c>
      <c r="II160" s="192" t="n">
        <f aca="false">VLOOKUP($HZ$1,'Datos Iniciales'!$E$34:$O$64,II$158,FALSE())*II62</f>
        <v>0</v>
      </c>
      <c r="IJ160" s="193" t="n">
        <f aca="false">VLOOKUP($HZ$1,'Datos Iniciales'!$E$34:$O$64,IJ$158,FALSE())*IJ62</f>
        <v>0</v>
      </c>
      <c r="IK160" s="190" t="str">
        <f aca="false">HZ160</f>
        <v>Alumno1</v>
      </c>
      <c r="IL160" s="207" t="n">
        <f aca="false">VLOOKUP($IK$1,'Datos Iniciales'!$E$34:$O$64,IL$158,FALSE())*IL62</f>
        <v>0</v>
      </c>
      <c r="IM160" s="192" t="n">
        <f aca="false">VLOOKUP($IK$1,'Datos Iniciales'!$E$34:$O$64,IM$158,FALSE())*IM62</f>
        <v>0</v>
      </c>
      <c r="IN160" s="192" t="n">
        <f aca="false">VLOOKUP($IK$1,'Datos Iniciales'!$E$34:$O$64,IN$158,FALSE())*IN62</f>
        <v>0</v>
      </c>
      <c r="IO160" s="192" t="n">
        <f aca="false">VLOOKUP($IK$1,'Datos Iniciales'!$E$34:$O$64,IO$158,FALSE())*IO62</f>
        <v>0</v>
      </c>
      <c r="IP160" s="192" t="n">
        <f aca="false">VLOOKUP($IK$1,'Datos Iniciales'!$E$34:$O$64,IP$158,FALSE())*IP62</f>
        <v>0</v>
      </c>
      <c r="IQ160" s="192" t="n">
        <f aca="false">VLOOKUP($IK$1,'Datos Iniciales'!$E$34:$O$64,IQ$158,FALSE())*IQ62</f>
        <v>0</v>
      </c>
      <c r="IR160" s="192" t="n">
        <f aca="false">VLOOKUP($IK$1,'Datos Iniciales'!$E$34:$O$64,IR$158,FALSE())*IR62</f>
        <v>0</v>
      </c>
      <c r="IS160" s="192" t="n">
        <f aca="false">VLOOKUP($IK$1,'Datos Iniciales'!$E$34:$O$64,IS$158,FALSE())*IS62</f>
        <v>0</v>
      </c>
      <c r="IT160" s="192" t="n">
        <f aca="false">VLOOKUP($IK$1,'Datos Iniciales'!$E$34:$O$64,IT$158,FALSE())*IT62</f>
        <v>0</v>
      </c>
      <c r="IU160" s="193" t="n">
        <f aca="false">VLOOKUP($IK$1,'Datos Iniciales'!$E$34:$O$64,IU$158,FALSE())*IU62</f>
        <v>0</v>
      </c>
      <c r="IV160" s="190" t="str">
        <f aca="false">IK160</f>
        <v>Alumno1</v>
      </c>
      <c r="IW160" s="207" t="n">
        <f aca="false">VLOOKUP($IV$1,'Datos Iniciales'!$E$34:$O$64,IW$158,FALSE())*IW62</f>
        <v>0</v>
      </c>
      <c r="IX160" s="192" t="n">
        <f aca="false">VLOOKUP($IV$1,'Datos Iniciales'!$E$34:$O$64,IX$158,FALSE())*IX62</f>
        <v>0</v>
      </c>
      <c r="IY160" s="192" t="n">
        <f aca="false">VLOOKUP($IV$1,'Datos Iniciales'!$E$34:$O$64,IY$158,FALSE())*IY62</f>
        <v>0</v>
      </c>
      <c r="IZ160" s="192" t="n">
        <f aca="false">VLOOKUP($IV$1,'Datos Iniciales'!$E$34:$O$64,IZ$158,FALSE())*IZ62</f>
        <v>0</v>
      </c>
      <c r="JA160" s="192" t="n">
        <f aca="false">VLOOKUP($IV$1,'Datos Iniciales'!$E$34:$O$64,JA$158,FALSE())*JA62</f>
        <v>0</v>
      </c>
      <c r="JB160" s="192" t="n">
        <f aca="false">VLOOKUP($IV$1,'Datos Iniciales'!$E$34:$O$64,JB$158,FALSE())*JB62</f>
        <v>0</v>
      </c>
      <c r="JC160" s="192" t="n">
        <f aca="false">VLOOKUP($IV$1,'Datos Iniciales'!$E$34:$O$64,JC$158,FALSE())*JC62</f>
        <v>0</v>
      </c>
      <c r="JD160" s="192" t="n">
        <f aca="false">VLOOKUP($IV$1,'Datos Iniciales'!$E$34:$O$64,JD$158,FALSE())*JD62</f>
        <v>0</v>
      </c>
      <c r="JE160" s="192" t="n">
        <f aca="false">VLOOKUP($IV$1,'Datos Iniciales'!$E$34:$O$64,JE$158,FALSE())*JE62</f>
        <v>0</v>
      </c>
      <c r="JF160" s="193" t="n">
        <f aca="false">VLOOKUP($IV$1,'Datos Iniciales'!$E$34:$O$64,JF$158,FALSE())*JF62</f>
        <v>0</v>
      </c>
      <c r="JG160" s="190" t="str">
        <f aca="false">IV160</f>
        <v>Alumno1</v>
      </c>
      <c r="JH160" s="207" t="n">
        <f aca="false">VLOOKUP($JG$1,'Datos Iniciales'!$E$34:$O$64,JH$158,FALSE())*JH62</f>
        <v>0</v>
      </c>
      <c r="JI160" s="192" t="n">
        <f aca="false">VLOOKUP($JG$1,'Datos Iniciales'!$E$34:$O$64,JI$158,FALSE())*JI62</f>
        <v>0</v>
      </c>
      <c r="JJ160" s="192" t="n">
        <f aca="false">VLOOKUP($JG$1,'Datos Iniciales'!$E$34:$O$64,JJ$158,FALSE())*JJ62</f>
        <v>0</v>
      </c>
      <c r="JK160" s="192" t="n">
        <f aca="false">VLOOKUP($JG$1,'Datos Iniciales'!$E$34:$O$64,JK$158,FALSE())*JK62</f>
        <v>0</v>
      </c>
      <c r="JL160" s="192" t="n">
        <f aca="false">VLOOKUP($JG$1,'Datos Iniciales'!$E$34:$O$64,JL$158,FALSE())*JL62</f>
        <v>0</v>
      </c>
      <c r="JM160" s="192" t="n">
        <f aca="false">VLOOKUP($JG$1,'Datos Iniciales'!$E$34:$O$64,JM$158,FALSE())*JM62</f>
        <v>0</v>
      </c>
      <c r="JN160" s="192" t="n">
        <f aca="false">VLOOKUP($JG$1,'Datos Iniciales'!$E$34:$O$64,JN$158,FALSE())*JN62</f>
        <v>0</v>
      </c>
      <c r="JO160" s="192" t="n">
        <f aca="false">VLOOKUP($JG$1,'Datos Iniciales'!$E$34:$O$64,JO$158,FALSE())*JO62</f>
        <v>0</v>
      </c>
      <c r="JP160" s="192" t="n">
        <f aca="false">VLOOKUP($JG$1,'Datos Iniciales'!$E$34:$O$64,JP$158,FALSE())*JP62</f>
        <v>0</v>
      </c>
      <c r="JQ160" s="193" t="n">
        <f aca="false">VLOOKUP($JG$1,'Datos Iniciales'!$E$34:$O$64,JQ$158,FALSE())*JQ62</f>
        <v>0</v>
      </c>
      <c r="JR160" s="190" t="str">
        <f aca="false">JG160</f>
        <v>Alumno1</v>
      </c>
      <c r="JS160" s="207" t="n">
        <f aca="false">VLOOKUP($JR$1,'Datos Iniciales'!$E$34:$O$64,JS$158,FALSE())*JS62</f>
        <v>0</v>
      </c>
      <c r="JT160" s="192" t="n">
        <f aca="false">VLOOKUP($JR$1,'Datos Iniciales'!$E$34:$O$64,JT$158,FALSE())*JT62</f>
        <v>0</v>
      </c>
      <c r="JU160" s="192" t="n">
        <f aca="false">VLOOKUP($JR$1,'Datos Iniciales'!$E$34:$O$64,JU$158,FALSE())*JU62</f>
        <v>0</v>
      </c>
      <c r="JV160" s="192" t="n">
        <f aca="false">VLOOKUP($JR$1,'Datos Iniciales'!$E$34:$O$64,JV$158,FALSE())*JV62</f>
        <v>0</v>
      </c>
      <c r="JW160" s="192" t="n">
        <f aca="false">VLOOKUP($JR$1,'Datos Iniciales'!$E$34:$O$64,JW$158,FALSE())*JW62</f>
        <v>0</v>
      </c>
      <c r="JX160" s="192" t="n">
        <f aca="false">VLOOKUP($JR$1,'Datos Iniciales'!$E$34:$O$64,JX$158,FALSE())*JX62</f>
        <v>0</v>
      </c>
      <c r="JY160" s="192" t="n">
        <f aca="false">VLOOKUP($JR$1,'Datos Iniciales'!$E$34:$O$64,JY$158,FALSE())*JY62</f>
        <v>0</v>
      </c>
      <c r="JZ160" s="192" t="n">
        <f aca="false">VLOOKUP($JR$1,'Datos Iniciales'!$E$34:$O$64,JZ$158,FALSE())*JZ62</f>
        <v>0</v>
      </c>
      <c r="KA160" s="192" t="n">
        <f aca="false">VLOOKUP($JR$1,'Datos Iniciales'!$E$34:$O$64,KA$158,FALSE())*KA62</f>
        <v>0</v>
      </c>
      <c r="KB160" s="193" t="n">
        <f aca="false">VLOOKUP($JR$1,'Datos Iniciales'!$E$34:$O$64,KB$158,FALSE())*KB62</f>
        <v>0</v>
      </c>
      <c r="KC160" s="190" t="str">
        <f aca="false">JR160</f>
        <v>Alumno1</v>
      </c>
      <c r="KD160" s="207" t="n">
        <f aca="false">VLOOKUP($KC$1,'Datos Iniciales'!$E$34:$O$64,KD$158,FALSE())*KD62</f>
        <v>0</v>
      </c>
      <c r="KE160" s="192" t="n">
        <f aca="false">VLOOKUP($KC$1,'Datos Iniciales'!$E$34:$O$64,KE$158,FALSE())*KE62</f>
        <v>0</v>
      </c>
      <c r="KF160" s="192" t="n">
        <f aca="false">VLOOKUP($KC$1,'Datos Iniciales'!$E$34:$O$64,KF$158,FALSE())*KF62</f>
        <v>0</v>
      </c>
      <c r="KG160" s="192" t="n">
        <f aca="false">VLOOKUP($KC$1,'Datos Iniciales'!$E$34:$O$64,KG$158,FALSE())*KG62</f>
        <v>0</v>
      </c>
      <c r="KH160" s="192" t="n">
        <f aca="false">VLOOKUP($KC$1,'Datos Iniciales'!$E$34:$O$64,KH$158,FALSE())*KH62</f>
        <v>0</v>
      </c>
      <c r="KI160" s="192" t="n">
        <f aca="false">VLOOKUP($KC$1,'Datos Iniciales'!$E$34:$O$64,KI$158,FALSE())*KI62</f>
        <v>0</v>
      </c>
      <c r="KJ160" s="192" t="n">
        <f aca="false">VLOOKUP($KC$1,'Datos Iniciales'!$E$34:$O$64,KJ$158,FALSE())*KJ62</f>
        <v>0</v>
      </c>
      <c r="KK160" s="192" t="n">
        <f aca="false">VLOOKUP($KC$1,'Datos Iniciales'!$E$34:$O$64,KK$158,FALSE())*KK62</f>
        <v>0</v>
      </c>
      <c r="KL160" s="192" t="n">
        <f aca="false">VLOOKUP($KC$1,'Datos Iniciales'!$E$34:$O$64,KL$158,FALSE())*KL62</f>
        <v>0</v>
      </c>
      <c r="KM160" s="193" t="n">
        <f aca="false">VLOOKUP($KC$1,'Datos Iniciales'!$E$34:$O$64,KM$158,FALSE())*KM62</f>
        <v>0</v>
      </c>
      <c r="KN160" s="190" t="str">
        <f aca="false">KC160</f>
        <v>Alumno1</v>
      </c>
      <c r="KO160" s="207" t="n">
        <f aca="false">VLOOKUP($KN$1,'Datos Iniciales'!$E$34:$O$64,KO$158,FALSE())*KO62</f>
        <v>0</v>
      </c>
      <c r="KP160" s="192" t="n">
        <f aca="false">VLOOKUP($KN$1,'Datos Iniciales'!$E$34:$O$64,KP$158,FALSE())*KP62</f>
        <v>0</v>
      </c>
      <c r="KQ160" s="192" t="n">
        <f aca="false">VLOOKUP($KN$1,'Datos Iniciales'!$E$34:$O$64,KQ$158,FALSE())*KQ62</f>
        <v>0</v>
      </c>
      <c r="KR160" s="192" t="n">
        <f aca="false">VLOOKUP($KN$1,'Datos Iniciales'!$E$34:$O$64,KR$158,FALSE())*KR62</f>
        <v>0</v>
      </c>
      <c r="KS160" s="192" t="n">
        <f aca="false">VLOOKUP($KN$1,'Datos Iniciales'!$E$34:$O$64,KS$158,FALSE())*KS62</f>
        <v>0</v>
      </c>
      <c r="KT160" s="192" t="n">
        <f aca="false">VLOOKUP($KN$1,'Datos Iniciales'!$E$34:$O$64,KT$158,FALSE())*KT62</f>
        <v>0</v>
      </c>
      <c r="KU160" s="192" t="n">
        <f aca="false">VLOOKUP($KN$1,'Datos Iniciales'!$E$34:$O$64,KU$158,FALSE())*KU62</f>
        <v>0</v>
      </c>
      <c r="KV160" s="192" t="n">
        <f aca="false">VLOOKUP($KN$1,'Datos Iniciales'!$E$34:$O$64,KV$158,FALSE())*KV62</f>
        <v>0</v>
      </c>
      <c r="KW160" s="192" t="n">
        <f aca="false">VLOOKUP($KN$1,'Datos Iniciales'!$E$34:$O$64,KW$158,FALSE())*KW62</f>
        <v>0</v>
      </c>
      <c r="KX160" s="193" t="n">
        <f aca="false">VLOOKUP($KN$1,'Datos Iniciales'!$E$34:$O$64,KX$158,FALSE())*KX62</f>
        <v>0</v>
      </c>
      <c r="KY160" s="190" t="str">
        <f aca="false">KN160</f>
        <v>Alumno1</v>
      </c>
      <c r="KZ160" s="207" t="n">
        <f aca="false">VLOOKUP($KY$1,'Datos Iniciales'!$E$34:$O$64,KZ$158,FALSE())*KZ62</f>
        <v>0</v>
      </c>
      <c r="LA160" s="192" t="n">
        <f aca="false">VLOOKUP($KY$1,'Datos Iniciales'!$E$34:$O$64,LA$158,FALSE())*LA62</f>
        <v>0</v>
      </c>
      <c r="LB160" s="192" t="n">
        <f aca="false">VLOOKUP($KY$1,'Datos Iniciales'!$E$34:$O$64,LB$158,FALSE())*LB62</f>
        <v>0</v>
      </c>
      <c r="LC160" s="192" t="n">
        <f aca="false">VLOOKUP($KY$1,'Datos Iniciales'!$E$34:$O$64,LC$158,FALSE())*LC62</f>
        <v>0</v>
      </c>
      <c r="LD160" s="192" t="n">
        <f aca="false">VLOOKUP($KY$1,'Datos Iniciales'!$E$34:$O$64,LD$158,FALSE())*LD62</f>
        <v>0</v>
      </c>
      <c r="LE160" s="192" t="n">
        <f aca="false">VLOOKUP($KY$1,'Datos Iniciales'!$E$34:$O$64,LE$158,FALSE())*LE62</f>
        <v>0</v>
      </c>
      <c r="LF160" s="192" t="n">
        <f aca="false">VLOOKUP($KY$1,'Datos Iniciales'!$E$34:$O$64,LF$158,FALSE())*LF62</f>
        <v>0</v>
      </c>
      <c r="LG160" s="192" t="n">
        <f aca="false">VLOOKUP($KY$1,'Datos Iniciales'!$E$34:$O$64,LG$158,FALSE())*LG62</f>
        <v>0</v>
      </c>
      <c r="LH160" s="192" t="n">
        <f aca="false">VLOOKUP($KY$1,'Datos Iniciales'!$E$34:$O$64,LH$158,FALSE())*LH62</f>
        <v>0</v>
      </c>
      <c r="LI160" s="193" t="n">
        <f aca="false">VLOOKUP($KY$1,'Datos Iniciales'!$E$34:$O$64,LI$158,FALSE())*LI62</f>
        <v>0</v>
      </c>
      <c r="LJ160" s="190" t="str">
        <f aca="false">KY160</f>
        <v>Alumno1</v>
      </c>
      <c r="LK160" s="207" t="n">
        <f aca="false">VLOOKUP($LJ$1,'Datos Iniciales'!$E$34:$O$64,LK$158,FALSE())*LK62</f>
        <v>0</v>
      </c>
      <c r="LL160" s="192" t="n">
        <f aca="false">VLOOKUP($LJ$1,'Datos Iniciales'!$E$34:$O$64,LL$158,FALSE())*LL62</f>
        <v>0</v>
      </c>
      <c r="LM160" s="192" t="n">
        <f aca="false">VLOOKUP($LJ$1,'Datos Iniciales'!$E$34:$O$64,LM$158,FALSE())*LM62</f>
        <v>0</v>
      </c>
      <c r="LN160" s="192" t="n">
        <f aca="false">VLOOKUP($LJ$1,'Datos Iniciales'!$E$34:$O$64,LN$158,FALSE())*LN62</f>
        <v>0</v>
      </c>
      <c r="LO160" s="192" t="n">
        <f aca="false">VLOOKUP($LJ$1,'Datos Iniciales'!$E$34:$O$64,LO$158,FALSE())*LO62</f>
        <v>0</v>
      </c>
      <c r="LP160" s="192" t="n">
        <f aca="false">VLOOKUP($LJ$1,'Datos Iniciales'!$E$34:$O$64,LP$158,FALSE())*LP62</f>
        <v>0</v>
      </c>
      <c r="LQ160" s="192" t="n">
        <f aca="false">VLOOKUP($LJ$1,'Datos Iniciales'!$E$34:$O$64,LQ$158,FALSE())*LQ62</f>
        <v>0</v>
      </c>
      <c r="LR160" s="192" t="n">
        <f aca="false">VLOOKUP($LJ$1,'Datos Iniciales'!$E$34:$O$64,LR$158,FALSE())*LR62</f>
        <v>0</v>
      </c>
      <c r="LS160" s="192" t="n">
        <f aca="false">VLOOKUP($LJ$1,'Datos Iniciales'!$E$34:$O$64,LS$158,FALSE())*LS62</f>
        <v>0</v>
      </c>
      <c r="LT160" s="193" t="n">
        <f aca="false">VLOOKUP($LJ$1,'Datos Iniciales'!$E$34:$O$64,LT$158,FALSE())*LT62</f>
        <v>0</v>
      </c>
    </row>
    <row r="161" customFormat="false" ht="15" hidden="true" customHeight="false" outlineLevel="0" collapsed="false">
      <c r="C161" s="194" t="str">
        <f aca="false">C112</f>
        <v>Alumno2</v>
      </c>
      <c r="D161" s="208" t="n">
        <f aca="false">VLOOKUP($C$1,'Datos Iniciales'!$E$34:$O$64,D$158,FALSE())*D63</f>
        <v>1.25</v>
      </c>
      <c r="E161" s="196" t="n">
        <f aca="false">VLOOKUP($C$1,'Datos Iniciales'!$E$34:$O$64,E$158,FALSE())*E63</f>
        <v>0</v>
      </c>
      <c r="F161" s="196" t="n">
        <f aca="false">VLOOKUP($C$1,'Datos Iniciales'!$E$34:$O$64,F$158,FALSE())*F63</f>
        <v>0</v>
      </c>
      <c r="G161" s="196" t="n">
        <f aca="false">VLOOKUP($C$1,'Datos Iniciales'!$E$34:$O$64,G$158,FALSE())*G63</f>
        <v>0</v>
      </c>
      <c r="H161" s="196" t="n">
        <f aca="false">VLOOKUP($C$1,'Datos Iniciales'!$E$34:$O$64,H$158,FALSE())*H63</f>
        <v>0</v>
      </c>
      <c r="I161" s="196" t="n">
        <f aca="false">VLOOKUP($C$1,'Datos Iniciales'!$E$34:$O$64,I$158,FALSE())*I63</f>
        <v>0</v>
      </c>
      <c r="J161" s="196" t="n">
        <f aca="false">VLOOKUP($C$1,'Datos Iniciales'!$E$34:$O$64,J$158,FALSE())*J63</f>
        <v>0</v>
      </c>
      <c r="K161" s="196" t="n">
        <f aca="false">VLOOKUP($C$1,'Datos Iniciales'!$E$34:$O$64,K$158,FALSE())*K63</f>
        <v>0</v>
      </c>
      <c r="L161" s="196" t="n">
        <f aca="false">VLOOKUP($C$1,'Datos Iniciales'!$E$34:$O$64,L$158,FALSE())*L63</f>
        <v>0</v>
      </c>
      <c r="M161" s="197" t="n">
        <f aca="false">VLOOKUP($C$1,'Datos Iniciales'!$E$34:$O$64,M$158,FALSE())*M63</f>
        <v>0</v>
      </c>
      <c r="N161" s="194" t="str">
        <f aca="false">C161</f>
        <v>Alumno2</v>
      </c>
      <c r="O161" s="208" t="n">
        <f aca="false">VLOOKUP($N$1,'Datos Iniciales'!$E$34:$O$64,O$158,FALSE())*O63</f>
        <v>1</v>
      </c>
      <c r="P161" s="196" t="n">
        <f aca="false">VLOOKUP($N$1,'Datos Iniciales'!$E$34:$O$64,P$158,FALSE())*P63</f>
        <v>1</v>
      </c>
      <c r="Q161" s="196" t="n">
        <f aca="false">VLOOKUP($N$1,'Datos Iniciales'!$E$34:$O$64,Q$158,FALSE())*Q63</f>
        <v>0</v>
      </c>
      <c r="R161" s="196" t="n">
        <f aca="false">VLOOKUP($N$1,'Datos Iniciales'!$E$34:$O$64,R$158,FALSE())*R63</f>
        <v>0</v>
      </c>
      <c r="S161" s="196" t="n">
        <f aca="false">VLOOKUP($N$1,'Datos Iniciales'!$E$34:$O$64,S$158,FALSE())*S63</f>
        <v>0</v>
      </c>
      <c r="T161" s="196" t="n">
        <f aca="false">VLOOKUP($N$1,'Datos Iniciales'!$E$34:$O$64,T$158,FALSE())*T63</f>
        <v>0</v>
      </c>
      <c r="U161" s="196" t="n">
        <f aca="false">VLOOKUP($N$1,'Datos Iniciales'!$E$34:$O$64,U$158,FALSE())*U63</f>
        <v>0</v>
      </c>
      <c r="V161" s="196" t="n">
        <f aca="false">VLOOKUP($N$1,'Datos Iniciales'!$E$34:$O$64,V$158,FALSE())*V63</f>
        <v>0</v>
      </c>
      <c r="W161" s="196" t="n">
        <f aca="false">VLOOKUP($N$1,'Datos Iniciales'!$E$34:$O$64,W$158,FALSE())*W63</f>
        <v>0</v>
      </c>
      <c r="X161" s="197" t="n">
        <f aca="false">VLOOKUP($N$1,'Datos Iniciales'!$E$34:$O$64,X$158,FALSE())*X63</f>
        <v>0</v>
      </c>
      <c r="Y161" s="194" t="str">
        <f aca="false">N161</f>
        <v>Alumno2</v>
      </c>
      <c r="Z161" s="208" t="n">
        <f aca="false">VLOOKUP($Y$1,'Datos Iniciales'!$E$34:$O$64,Z$158,FALSE())*Z63</f>
        <v>1.5</v>
      </c>
      <c r="AA161" s="196" t="n">
        <f aca="false">VLOOKUP($Y$1,'Datos Iniciales'!$E$34:$O$64,AA$158,FALSE())*AA63</f>
        <v>1</v>
      </c>
      <c r="AB161" s="196" t="n">
        <f aca="false">VLOOKUP($Y$1,'Datos Iniciales'!$E$34:$O$64,AB$158,FALSE())*AB63</f>
        <v>0.5</v>
      </c>
      <c r="AC161" s="196" t="n">
        <f aca="false">VLOOKUP($Y$1,'Datos Iniciales'!$E$34:$O$64,AC$158,FALSE())*AC63</f>
        <v>0</v>
      </c>
      <c r="AD161" s="196" t="n">
        <f aca="false">VLOOKUP($Y$1,'Datos Iniciales'!$E$34:$O$64,AD$158,FALSE())*AD63</f>
        <v>0</v>
      </c>
      <c r="AE161" s="196" t="n">
        <f aca="false">VLOOKUP($Y$1,'Datos Iniciales'!$E$34:$O$64,AE$158,FALSE())*AE63</f>
        <v>0</v>
      </c>
      <c r="AF161" s="196" t="n">
        <f aca="false">VLOOKUP($Y$1,'Datos Iniciales'!$E$34:$O$64,AF$158,FALSE())*AF63</f>
        <v>0</v>
      </c>
      <c r="AG161" s="196" t="n">
        <f aca="false">VLOOKUP($Y$1,'Datos Iniciales'!$E$34:$O$64,AG$158,FALSE())*AG63</f>
        <v>0</v>
      </c>
      <c r="AH161" s="196" t="n">
        <f aca="false">VLOOKUP($Y$1,'Datos Iniciales'!$E$34:$O$64,AH$158,FALSE())*AH63</f>
        <v>0</v>
      </c>
      <c r="AI161" s="197" t="n">
        <f aca="false">VLOOKUP($Y$1,'Datos Iniciales'!$E$34:$O$64,AI$158,FALSE())*AI63</f>
        <v>0</v>
      </c>
      <c r="AJ161" s="194" t="str">
        <f aca="false">Y161</f>
        <v>Alumno2</v>
      </c>
      <c r="AK161" s="208" t="n">
        <f aca="false">VLOOKUP($AJ$1,'Datos Iniciales'!$E$34:$O$64,AK$158,FALSE())*AK63</f>
        <v>0.5</v>
      </c>
      <c r="AL161" s="196" t="n">
        <f aca="false">VLOOKUP($AJ$1,'Datos Iniciales'!$E$34:$O$64,AL$158,FALSE())*AL63</f>
        <v>1.5</v>
      </c>
      <c r="AM161" s="196" t="n">
        <f aca="false">VLOOKUP($AJ$1,'Datos Iniciales'!$E$34:$O$64,AM$158,FALSE())*AM63</f>
        <v>1.75</v>
      </c>
      <c r="AN161" s="196" t="n">
        <f aca="false">VLOOKUP($AJ$1,'Datos Iniciales'!$E$34:$O$64,AN$158,FALSE())*AN63</f>
        <v>0</v>
      </c>
      <c r="AO161" s="196" t="n">
        <f aca="false">VLOOKUP($AJ$1,'Datos Iniciales'!$E$34:$O$64,AO$158,FALSE())*AO63</f>
        <v>0</v>
      </c>
      <c r="AP161" s="196" t="n">
        <f aca="false">VLOOKUP($AJ$1,'Datos Iniciales'!$E$34:$O$64,AP$158,FALSE())*AP63</f>
        <v>0</v>
      </c>
      <c r="AQ161" s="196" t="n">
        <f aca="false">VLOOKUP($AJ$1,'Datos Iniciales'!$E$34:$O$64,AQ$158,FALSE())*AQ63</f>
        <v>0</v>
      </c>
      <c r="AR161" s="196" t="n">
        <f aca="false">VLOOKUP($AJ$1,'Datos Iniciales'!$E$34:$O$64,AR$158,FALSE())*AR63</f>
        <v>0</v>
      </c>
      <c r="AS161" s="196" t="n">
        <f aca="false">VLOOKUP($AJ$1,'Datos Iniciales'!$E$34:$O$64,AS$158,FALSE())*AS63</f>
        <v>0</v>
      </c>
      <c r="AT161" s="197" t="n">
        <f aca="false">VLOOKUP($AJ$1,'Datos Iniciales'!$E$34:$O$64,AT$158,FALSE())*AT63</f>
        <v>0</v>
      </c>
      <c r="AU161" s="194" t="str">
        <f aca="false">AJ161</f>
        <v>Alumno2</v>
      </c>
      <c r="AV161" s="208" t="n">
        <f aca="false">VLOOKUP($AU$1,'Datos Iniciales'!$E$34:$O$64,AV$158,FALSE())*AV63</f>
        <v>0.25</v>
      </c>
      <c r="AW161" s="196" t="n">
        <f aca="false">VLOOKUP($AU$1,'Datos Iniciales'!$E$34:$O$64,AW$158,FALSE())*AW63</f>
        <v>0.5</v>
      </c>
      <c r="AX161" s="196" t="n">
        <f aca="false">VLOOKUP($AU$1,'Datos Iniciales'!$E$34:$O$64,AX$158,FALSE())*AX63</f>
        <v>1.5</v>
      </c>
      <c r="AY161" s="196" t="n">
        <f aca="false">VLOOKUP($AU$1,'Datos Iniciales'!$E$34:$O$64,AY$158,FALSE())*AY63</f>
        <v>0.5</v>
      </c>
      <c r="AZ161" s="196" t="n">
        <f aca="false">VLOOKUP($AU$1,'Datos Iniciales'!$E$34:$O$64,AZ$158,FALSE())*AZ63</f>
        <v>0</v>
      </c>
      <c r="BA161" s="196" t="n">
        <f aca="false">VLOOKUP($AU$1,'Datos Iniciales'!$E$34:$O$64,BA$158,FALSE())*BA63</f>
        <v>0</v>
      </c>
      <c r="BB161" s="196" t="n">
        <f aca="false">VLOOKUP($AU$1,'Datos Iniciales'!$E$34:$O$64,BB$158,FALSE())*BB63</f>
        <v>0</v>
      </c>
      <c r="BC161" s="196" t="n">
        <f aca="false">VLOOKUP($AU$1,'Datos Iniciales'!$E$34:$O$64,BC$158,FALSE())*BC63</f>
        <v>0</v>
      </c>
      <c r="BD161" s="196" t="n">
        <f aca="false">VLOOKUP($AU$1,'Datos Iniciales'!$E$34:$O$64,BD$158,FALSE())*BD63</f>
        <v>0</v>
      </c>
      <c r="BE161" s="197" t="n">
        <f aca="false">VLOOKUP($AU$1,'Datos Iniciales'!$E$34:$O$64,BE$158,FALSE())*BE63</f>
        <v>0</v>
      </c>
      <c r="BF161" s="194" t="str">
        <f aca="false">AU161</f>
        <v>Alumno2</v>
      </c>
      <c r="BG161" s="208" t="n">
        <f aca="false">VLOOKUP($BF$1,'Datos Iniciales'!$E$34:$O$64,BG$158,FALSE())*BG63</f>
        <v>0.5</v>
      </c>
      <c r="BH161" s="196" t="n">
        <f aca="false">VLOOKUP($BF$1,'Datos Iniciales'!$E$34:$O$64,BH$158,FALSE())*BH63</f>
        <v>0.75</v>
      </c>
      <c r="BI161" s="196" t="n">
        <f aca="false">VLOOKUP($BF$1,'Datos Iniciales'!$E$34:$O$64,BI$158,FALSE())*BI63</f>
        <v>0.5</v>
      </c>
      <c r="BJ161" s="196" t="n">
        <f aca="false">VLOOKUP($BF$1,'Datos Iniciales'!$E$34:$O$64,BJ$158,FALSE())*BJ63</f>
        <v>2</v>
      </c>
      <c r="BK161" s="196" t="n">
        <f aca="false">VLOOKUP($BF$1,'Datos Iniciales'!$E$34:$O$64,BK$158,FALSE())*BK63</f>
        <v>0</v>
      </c>
      <c r="BL161" s="196" t="n">
        <f aca="false">VLOOKUP($BF$1,'Datos Iniciales'!$E$34:$O$64,BL$158,FALSE())*BL63</f>
        <v>0</v>
      </c>
      <c r="BM161" s="196" t="n">
        <f aca="false">VLOOKUP($BF$1,'Datos Iniciales'!$E$34:$O$64,BM$158,FALSE())*BM63</f>
        <v>0</v>
      </c>
      <c r="BN161" s="196" t="n">
        <f aca="false">VLOOKUP($BF$1,'Datos Iniciales'!$E$34:$O$64,BN$158,FALSE())*BN63</f>
        <v>0</v>
      </c>
      <c r="BO161" s="196" t="n">
        <f aca="false">VLOOKUP($BF$1,'Datos Iniciales'!$E$34:$O$64,BO$158,FALSE())*BO63</f>
        <v>0</v>
      </c>
      <c r="BP161" s="197" t="n">
        <f aca="false">VLOOKUP($BF$1,'Datos Iniciales'!$E$34:$O$64,BP$158,FALSE())*BP63</f>
        <v>0</v>
      </c>
      <c r="BQ161" s="194" t="str">
        <f aca="false">BF161</f>
        <v>Alumno2</v>
      </c>
      <c r="BR161" s="208" t="n">
        <f aca="false">VLOOKUP($BQ$1,'Datos Iniciales'!$E$34:$O$64,BR$158,FALSE())*BR63</f>
        <v>0</v>
      </c>
      <c r="BS161" s="196" t="n">
        <f aca="false">VLOOKUP($BQ$1,'Datos Iniciales'!$E$34:$O$64,BS$158,FALSE())*BS63</f>
        <v>0.15</v>
      </c>
      <c r="BT161" s="196" t="n">
        <f aca="false">VLOOKUP($BQ$1,'Datos Iniciales'!$E$34:$O$64,BT$158,FALSE())*BT63</f>
        <v>0.35</v>
      </c>
      <c r="BU161" s="196" t="n">
        <f aca="false">VLOOKUP($BQ$1,'Datos Iniciales'!$E$34:$O$64,BU$158,FALSE())*BU63</f>
        <v>2.3</v>
      </c>
      <c r="BV161" s="196" t="n">
        <f aca="false">VLOOKUP($BQ$1,'Datos Iniciales'!$E$34:$O$64,BV$158,FALSE())*BV63</f>
        <v>0</v>
      </c>
      <c r="BW161" s="196" t="n">
        <f aca="false">VLOOKUP($BQ$1,'Datos Iniciales'!$E$34:$O$64,BW$158,FALSE())*BW63</f>
        <v>0</v>
      </c>
      <c r="BX161" s="196" t="n">
        <f aca="false">VLOOKUP($BQ$1,'Datos Iniciales'!$E$34:$O$64,BX$158,FALSE())*BX63</f>
        <v>0</v>
      </c>
      <c r="BY161" s="196" t="n">
        <f aca="false">VLOOKUP($BQ$1,'Datos Iniciales'!$E$34:$O$64,BY$158,FALSE())*BY63</f>
        <v>0</v>
      </c>
      <c r="BZ161" s="196" t="n">
        <f aca="false">VLOOKUP($BQ$1,'Datos Iniciales'!$E$34:$O$64,BZ$158,FALSE())*BZ63</f>
        <v>0</v>
      </c>
      <c r="CA161" s="197" t="n">
        <f aca="false">VLOOKUP($BQ$1,'Datos Iniciales'!$E$34:$O$64,CA$158,FALSE())*CA63</f>
        <v>0</v>
      </c>
      <c r="CB161" s="194" t="str">
        <f aca="false">BQ161</f>
        <v>Alumno2</v>
      </c>
      <c r="CC161" s="208" t="n">
        <f aca="false">VLOOKUP($CB$1,'Datos Iniciales'!$E$34:$O$64,CC$158,FALSE())*CC63</f>
        <v>0</v>
      </c>
      <c r="CD161" s="196" t="n">
        <f aca="false">VLOOKUP($CB$1,'Datos Iniciales'!$E$34:$O$64,CD$158,FALSE())*CD63</f>
        <v>0</v>
      </c>
      <c r="CE161" s="196" t="n">
        <f aca="false">VLOOKUP($CB$1,'Datos Iniciales'!$E$34:$O$64,CE$158,FALSE())*CE63</f>
        <v>0</v>
      </c>
      <c r="CF161" s="196" t="n">
        <f aca="false">VLOOKUP($CB$1,'Datos Iniciales'!$E$34:$O$64,CF$158,FALSE())*CF63</f>
        <v>0</v>
      </c>
      <c r="CG161" s="196" t="n">
        <f aca="false">VLOOKUP($CB$1,'Datos Iniciales'!$E$34:$O$64,CG$158,FALSE())*CG63</f>
        <v>0</v>
      </c>
      <c r="CH161" s="196" t="n">
        <f aca="false">VLOOKUP($CB$1,'Datos Iniciales'!$E$34:$O$64,CH$158,FALSE())*CH63</f>
        <v>0</v>
      </c>
      <c r="CI161" s="196" t="n">
        <f aca="false">VLOOKUP($CB$1,'Datos Iniciales'!$E$34:$O$64,CI$158,FALSE())*CI63</f>
        <v>0</v>
      </c>
      <c r="CJ161" s="196" t="n">
        <f aca="false">VLOOKUP($CB$1,'Datos Iniciales'!$E$34:$O$64,CJ$158,FALSE())*CJ63</f>
        <v>0</v>
      </c>
      <c r="CK161" s="196" t="n">
        <f aca="false">VLOOKUP($CB$1,'Datos Iniciales'!$E$34:$O$64,CK$158,FALSE())*CK63</f>
        <v>0</v>
      </c>
      <c r="CL161" s="197" t="n">
        <f aca="false">VLOOKUP($CB$1,'Datos Iniciales'!$E$34:$O$64,CL$158,FALSE())*CL63</f>
        <v>0</v>
      </c>
      <c r="CM161" s="194" t="str">
        <f aca="false">CB161</f>
        <v>Alumno2</v>
      </c>
      <c r="CN161" s="208" t="n">
        <f aca="false">VLOOKUP($CM$1,'Datos Iniciales'!$E$34:$O$64,CN$158,FALSE())*CN63</f>
        <v>0</v>
      </c>
      <c r="CO161" s="196" t="n">
        <f aca="false">VLOOKUP($CM$1,'Datos Iniciales'!$E$34:$O$64,CO$158,FALSE())*CO63</f>
        <v>0</v>
      </c>
      <c r="CP161" s="196" t="n">
        <f aca="false">VLOOKUP($CM$1,'Datos Iniciales'!$E$34:$O$64,CP$158,FALSE())*CP63</f>
        <v>0</v>
      </c>
      <c r="CQ161" s="196" t="n">
        <f aca="false">VLOOKUP($CM$1,'Datos Iniciales'!$E$34:$O$64,CQ$158,FALSE())*CQ63</f>
        <v>0</v>
      </c>
      <c r="CR161" s="196" t="n">
        <f aca="false">VLOOKUP($CM$1,'Datos Iniciales'!$E$34:$O$64,CR$158,FALSE())*CR63</f>
        <v>0</v>
      </c>
      <c r="CS161" s="196" t="n">
        <f aca="false">VLOOKUP($CM$1,'Datos Iniciales'!$E$34:$O$64,CS$158,FALSE())*CS63</f>
        <v>0</v>
      </c>
      <c r="CT161" s="196" t="n">
        <f aca="false">VLOOKUP($CM$1,'Datos Iniciales'!$E$34:$O$64,CT$158,FALSE())*CT63</f>
        <v>0</v>
      </c>
      <c r="CU161" s="196" t="n">
        <f aca="false">VLOOKUP($CM$1,'Datos Iniciales'!$E$34:$O$64,CU$158,FALSE())*CU63</f>
        <v>0</v>
      </c>
      <c r="CV161" s="196" t="n">
        <f aca="false">VLOOKUP($CM$1,'Datos Iniciales'!$E$34:$O$64,CV$158,FALSE())*CV63</f>
        <v>0</v>
      </c>
      <c r="CW161" s="197" t="n">
        <f aca="false">VLOOKUP($CM$1,'Datos Iniciales'!$E$34:$O$64,CW$158,FALSE())*CW63</f>
        <v>0</v>
      </c>
      <c r="CX161" s="194" t="str">
        <f aca="false">CM161</f>
        <v>Alumno2</v>
      </c>
      <c r="CY161" s="208" t="n">
        <f aca="false">VLOOKUP($CX$1,'Datos Iniciales'!$E$34:$O$64,CY$158,FALSE())*CY63</f>
        <v>0</v>
      </c>
      <c r="CZ161" s="196" t="n">
        <f aca="false">VLOOKUP($CX$1,'Datos Iniciales'!$E$34:$O$64,CZ$158,FALSE())*CZ63</f>
        <v>0</v>
      </c>
      <c r="DA161" s="196" t="n">
        <f aca="false">VLOOKUP($CX$1,'Datos Iniciales'!$E$34:$O$64,DA$158,FALSE())*DA63</f>
        <v>0</v>
      </c>
      <c r="DB161" s="196" t="n">
        <f aca="false">VLOOKUP($CX$1,'Datos Iniciales'!$E$34:$O$64,DB$158,FALSE())*DB63</f>
        <v>0</v>
      </c>
      <c r="DC161" s="196" t="n">
        <f aca="false">VLOOKUP($CX$1,'Datos Iniciales'!$E$34:$O$64,DC$158,FALSE())*DC63</f>
        <v>0</v>
      </c>
      <c r="DD161" s="196" t="n">
        <f aca="false">VLOOKUP($CX$1,'Datos Iniciales'!$E$34:$O$64,DD$158,FALSE())*DD63</f>
        <v>0</v>
      </c>
      <c r="DE161" s="196" t="n">
        <f aca="false">VLOOKUP($CX$1,'Datos Iniciales'!$E$34:$O$64,DE$158,FALSE())*DE63</f>
        <v>0</v>
      </c>
      <c r="DF161" s="196" t="n">
        <f aca="false">VLOOKUP($CX$1,'Datos Iniciales'!$E$34:$O$64,DF$158,FALSE())*DF63</f>
        <v>0</v>
      </c>
      <c r="DG161" s="196" t="n">
        <f aca="false">VLOOKUP($CX$1,'Datos Iniciales'!$E$34:$O$64,DG$158,FALSE())*DG63</f>
        <v>0</v>
      </c>
      <c r="DH161" s="197" t="n">
        <f aca="false">VLOOKUP($CX$1,'Datos Iniciales'!$E$34:$O$64,DH$158,FALSE())*DH63</f>
        <v>0</v>
      </c>
      <c r="DI161" s="194" t="str">
        <f aca="false">CX161</f>
        <v>Alumno2</v>
      </c>
      <c r="DJ161" s="208" t="n">
        <f aca="false">VLOOKUP($DI$1,'Datos Iniciales'!$E$34:$O$64,DJ$158,FALSE())*DJ63</f>
        <v>0</v>
      </c>
      <c r="DK161" s="196" t="n">
        <f aca="false">VLOOKUP($DI$1,'Datos Iniciales'!$E$34:$O$64,DK$158,FALSE())*DK63</f>
        <v>0</v>
      </c>
      <c r="DL161" s="196" t="n">
        <f aca="false">VLOOKUP($DI$1,'Datos Iniciales'!$E$34:$O$64,DL$158,FALSE())*DL63</f>
        <v>0</v>
      </c>
      <c r="DM161" s="196" t="n">
        <f aca="false">VLOOKUP($DI$1,'Datos Iniciales'!$E$34:$O$64,DM$158,FALSE())*DM63</f>
        <v>0</v>
      </c>
      <c r="DN161" s="196" t="n">
        <f aca="false">VLOOKUP($DI$1,'Datos Iniciales'!$E$34:$O$64,DN$158,FALSE())*DN63</f>
        <v>0</v>
      </c>
      <c r="DO161" s="196" t="n">
        <f aca="false">VLOOKUP($DI$1,'Datos Iniciales'!$E$34:$O$64,DO$158,FALSE())*DO63</f>
        <v>0</v>
      </c>
      <c r="DP161" s="196" t="n">
        <f aca="false">VLOOKUP($DI$1,'Datos Iniciales'!$E$34:$O$64,DP$158,FALSE())*DP63</f>
        <v>0</v>
      </c>
      <c r="DQ161" s="196" t="n">
        <f aca="false">VLOOKUP($DI$1,'Datos Iniciales'!$E$34:$O$64,DQ$158,FALSE())*DQ63</f>
        <v>0</v>
      </c>
      <c r="DR161" s="196" t="n">
        <f aca="false">VLOOKUP($DI$1,'Datos Iniciales'!$E$34:$O$64,DR$158,FALSE())*DR63</f>
        <v>0</v>
      </c>
      <c r="DS161" s="197" t="n">
        <f aca="false">VLOOKUP($DI$1,'Datos Iniciales'!$E$34:$O$64,DS$158,FALSE())*DS63</f>
        <v>0</v>
      </c>
      <c r="DT161" s="194" t="str">
        <f aca="false">DI161</f>
        <v>Alumno2</v>
      </c>
      <c r="DU161" s="208" t="n">
        <f aca="false">VLOOKUP($DT$1,'Datos Iniciales'!$E$34:$O$64,DU$158,FALSE())*DU63</f>
        <v>0</v>
      </c>
      <c r="DV161" s="196" t="n">
        <f aca="false">VLOOKUP($DT$1,'Datos Iniciales'!$E$34:$O$64,DV$158,FALSE())*DV63</f>
        <v>0</v>
      </c>
      <c r="DW161" s="196" t="n">
        <f aca="false">VLOOKUP($DT$1,'Datos Iniciales'!$E$34:$O$64,DW$158,FALSE())*DW63</f>
        <v>0</v>
      </c>
      <c r="DX161" s="196" t="n">
        <f aca="false">VLOOKUP($DT$1,'Datos Iniciales'!$E$34:$O$64,DX$158,FALSE())*DX63</f>
        <v>0</v>
      </c>
      <c r="DY161" s="196" t="n">
        <f aca="false">VLOOKUP($DT$1,'Datos Iniciales'!$E$34:$O$64,DY$158,FALSE())*DY63</f>
        <v>0</v>
      </c>
      <c r="DZ161" s="196" t="n">
        <f aca="false">VLOOKUP($DT$1,'Datos Iniciales'!$E$34:$O$64,DZ$158,FALSE())*DZ63</f>
        <v>0</v>
      </c>
      <c r="EA161" s="196" t="n">
        <f aca="false">VLOOKUP($DT$1,'Datos Iniciales'!$E$34:$O$64,EA$158,FALSE())*EA63</f>
        <v>0</v>
      </c>
      <c r="EB161" s="196" t="n">
        <f aca="false">VLOOKUP($DT$1,'Datos Iniciales'!$E$34:$O$64,EB$158,FALSE())*EB63</f>
        <v>0</v>
      </c>
      <c r="EC161" s="196" t="n">
        <f aca="false">VLOOKUP($DT$1,'Datos Iniciales'!$E$34:$O$64,EC$158,FALSE())*EC63</f>
        <v>0</v>
      </c>
      <c r="ED161" s="197" t="n">
        <f aca="false">VLOOKUP($DT$1,'Datos Iniciales'!$E$34:$O$64,ED$158,FALSE())*ED63</f>
        <v>0</v>
      </c>
      <c r="EE161" s="194" t="str">
        <f aca="false">DT161</f>
        <v>Alumno2</v>
      </c>
      <c r="EF161" s="208" t="n">
        <f aca="false">VLOOKUP($EE$1,'Datos Iniciales'!$E$34:$O$64,EF$158,FALSE())*EF63</f>
        <v>0</v>
      </c>
      <c r="EG161" s="196" t="n">
        <f aca="false">VLOOKUP($EE$1,'Datos Iniciales'!$E$34:$O$64,EG$158,FALSE())*EG63</f>
        <v>0</v>
      </c>
      <c r="EH161" s="196" t="n">
        <f aca="false">VLOOKUP($EE$1,'Datos Iniciales'!$E$34:$O$64,EH$158,FALSE())*EH63</f>
        <v>0</v>
      </c>
      <c r="EI161" s="196" t="n">
        <f aca="false">VLOOKUP($EE$1,'Datos Iniciales'!$E$34:$O$64,EI$158,FALSE())*EI63</f>
        <v>0</v>
      </c>
      <c r="EJ161" s="196" t="n">
        <f aca="false">VLOOKUP($EE$1,'Datos Iniciales'!$E$34:$O$64,EJ$158,FALSE())*EJ63</f>
        <v>0</v>
      </c>
      <c r="EK161" s="196" t="n">
        <f aca="false">VLOOKUP($EE$1,'Datos Iniciales'!$E$34:$O$64,EK$158,FALSE())*EK63</f>
        <v>0</v>
      </c>
      <c r="EL161" s="196" t="n">
        <f aca="false">VLOOKUP($EE$1,'Datos Iniciales'!$E$34:$O$64,EL$158,FALSE())*EL63</f>
        <v>0</v>
      </c>
      <c r="EM161" s="196" t="n">
        <f aca="false">VLOOKUP($EE$1,'Datos Iniciales'!$E$34:$O$64,EM$158,FALSE())*EM63</f>
        <v>0</v>
      </c>
      <c r="EN161" s="196" t="n">
        <f aca="false">VLOOKUP($EE$1,'Datos Iniciales'!$E$34:$O$64,EN$158,FALSE())*EN63</f>
        <v>0</v>
      </c>
      <c r="EO161" s="197" t="n">
        <f aca="false">VLOOKUP($EE$1,'Datos Iniciales'!$E$34:$O$64,EO$158,FALSE())*EO63</f>
        <v>0</v>
      </c>
      <c r="EP161" s="194" t="str">
        <f aca="false">EE161</f>
        <v>Alumno2</v>
      </c>
      <c r="EQ161" s="208" t="n">
        <f aca="false">VLOOKUP($EP$1,'Datos Iniciales'!$E$34:$O$64,EQ$158,FALSE())*EQ63</f>
        <v>0</v>
      </c>
      <c r="ER161" s="196" t="n">
        <f aca="false">VLOOKUP($EP$1,'Datos Iniciales'!$E$34:$O$64,ER$158,FALSE())*ER63</f>
        <v>0</v>
      </c>
      <c r="ES161" s="196" t="n">
        <f aca="false">VLOOKUP($EP$1,'Datos Iniciales'!$E$34:$O$64,ES$158,FALSE())*ES63</f>
        <v>0</v>
      </c>
      <c r="ET161" s="196" t="n">
        <f aca="false">VLOOKUP($EP$1,'Datos Iniciales'!$E$34:$O$64,ET$158,FALSE())*ET63</f>
        <v>0</v>
      </c>
      <c r="EU161" s="196" t="n">
        <f aca="false">VLOOKUP($EP$1,'Datos Iniciales'!$E$34:$O$64,EU$158,FALSE())*EU63</f>
        <v>0</v>
      </c>
      <c r="EV161" s="196" t="n">
        <f aca="false">VLOOKUP($EP$1,'Datos Iniciales'!$E$34:$O$64,EV$158,FALSE())*EV63</f>
        <v>0</v>
      </c>
      <c r="EW161" s="196" t="n">
        <f aca="false">VLOOKUP($EP$1,'Datos Iniciales'!$E$34:$O$64,EW$158,FALSE())*EW63</f>
        <v>0</v>
      </c>
      <c r="EX161" s="196" t="n">
        <f aca="false">VLOOKUP($EP$1,'Datos Iniciales'!$E$34:$O$64,EX$158,FALSE())*EX63</f>
        <v>0</v>
      </c>
      <c r="EY161" s="196" t="n">
        <f aca="false">VLOOKUP($EP$1,'Datos Iniciales'!$E$34:$O$64,EY$158,FALSE())*EY63</f>
        <v>0</v>
      </c>
      <c r="EZ161" s="197" t="n">
        <f aca="false">VLOOKUP($EP$1,'Datos Iniciales'!$E$34:$O$64,EZ$158,FALSE())*EZ63</f>
        <v>0</v>
      </c>
      <c r="FA161" s="194" t="str">
        <f aca="false">EP161</f>
        <v>Alumno2</v>
      </c>
      <c r="FB161" s="208" t="n">
        <f aca="false">VLOOKUP($FA$1,'Datos Iniciales'!$E$34:$O$64,FB$158,FALSE())*FB63</f>
        <v>0</v>
      </c>
      <c r="FC161" s="196" t="n">
        <f aca="false">VLOOKUP($FA$1,'Datos Iniciales'!$E$34:$O$64,FC$158,FALSE())*FC63</f>
        <v>0</v>
      </c>
      <c r="FD161" s="196" t="n">
        <f aca="false">VLOOKUP($FA$1,'Datos Iniciales'!$E$34:$O$64,FD$158,FALSE())*FD63</f>
        <v>0</v>
      </c>
      <c r="FE161" s="196" t="n">
        <f aca="false">VLOOKUP($FA$1,'Datos Iniciales'!$E$34:$O$64,FE$158,FALSE())*FE63</f>
        <v>0</v>
      </c>
      <c r="FF161" s="196" t="n">
        <f aca="false">VLOOKUP($FA$1,'Datos Iniciales'!$E$34:$O$64,FF$158,FALSE())*FF63</f>
        <v>0</v>
      </c>
      <c r="FG161" s="196" t="n">
        <f aca="false">VLOOKUP($FA$1,'Datos Iniciales'!$E$34:$O$64,FG$158,FALSE())*FG63</f>
        <v>0</v>
      </c>
      <c r="FH161" s="196" t="n">
        <f aca="false">VLOOKUP($FA$1,'Datos Iniciales'!$E$34:$O$64,FH$158,FALSE())*FH63</f>
        <v>0</v>
      </c>
      <c r="FI161" s="196" t="n">
        <f aca="false">VLOOKUP($FA$1,'Datos Iniciales'!$E$34:$O$64,FI$158,FALSE())*FI63</f>
        <v>0</v>
      </c>
      <c r="FJ161" s="196" t="n">
        <f aca="false">VLOOKUP($FA$1,'Datos Iniciales'!$E$34:$O$64,FJ$158,FALSE())*FJ63</f>
        <v>0</v>
      </c>
      <c r="FK161" s="197" t="n">
        <f aca="false">VLOOKUP($FA$1,'Datos Iniciales'!$E$34:$O$64,FK$158,FALSE())*FK63</f>
        <v>0</v>
      </c>
      <c r="FL161" s="194" t="str">
        <f aca="false">FA161</f>
        <v>Alumno2</v>
      </c>
      <c r="FM161" s="208" t="n">
        <f aca="false">VLOOKUP($FL$1,'Datos Iniciales'!$E$34:$O$64,FM$158,FALSE())*FM63</f>
        <v>0</v>
      </c>
      <c r="FN161" s="196" t="n">
        <f aca="false">VLOOKUP($FL$1,'Datos Iniciales'!$E$34:$O$64,FN$158,FALSE())*FN63</f>
        <v>0</v>
      </c>
      <c r="FO161" s="196" t="n">
        <f aca="false">VLOOKUP($FL$1,'Datos Iniciales'!$E$34:$O$64,FO$158,FALSE())*FO63</f>
        <v>0</v>
      </c>
      <c r="FP161" s="196" t="n">
        <f aca="false">VLOOKUP($FL$1,'Datos Iniciales'!$E$34:$O$64,FP$158,FALSE())*FP63</f>
        <v>0</v>
      </c>
      <c r="FQ161" s="196" t="n">
        <f aca="false">VLOOKUP($FL$1,'Datos Iniciales'!$E$34:$O$64,FQ$158,FALSE())*FQ63</f>
        <v>0</v>
      </c>
      <c r="FR161" s="196" t="n">
        <f aca="false">VLOOKUP($FL$1,'Datos Iniciales'!$E$34:$O$64,FR$158,FALSE())*FR63</f>
        <v>0</v>
      </c>
      <c r="FS161" s="196" t="n">
        <f aca="false">VLOOKUP($FL$1,'Datos Iniciales'!$E$34:$O$64,FS$158,FALSE())*FS63</f>
        <v>0</v>
      </c>
      <c r="FT161" s="196" t="n">
        <f aca="false">VLOOKUP($FL$1,'Datos Iniciales'!$E$34:$O$64,FT$158,FALSE())*FT63</f>
        <v>0</v>
      </c>
      <c r="FU161" s="196" t="n">
        <f aca="false">VLOOKUP($FL$1,'Datos Iniciales'!$E$34:$O$64,FU$158,FALSE())*FU63</f>
        <v>0</v>
      </c>
      <c r="FV161" s="197" t="n">
        <f aca="false">VLOOKUP($FL$1,'Datos Iniciales'!$E$34:$O$64,FV$158,FALSE())*FV63</f>
        <v>0</v>
      </c>
      <c r="FW161" s="194" t="str">
        <f aca="false">FL161</f>
        <v>Alumno2</v>
      </c>
      <c r="FX161" s="208" t="n">
        <f aca="false">VLOOKUP($FW$1,'Datos Iniciales'!$E$34:$O$64,FX$158,FALSE())*FX63</f>
        <v>0</v>
      </c>
      <c r="FY161" s="196" t="n">
        <f aca="false">VLOOKUP($FW$1,'Datos Iniciales'!$E$34:$O$64,FY$158,FALSE())*FY63</f>
        <v>0</v>
      </c>
      <c r="FZ161" s="196" t="n">
        <f aca="false">VLOOKUP($FW$1,'Datos Iniciales'!$E$34:$O$64,FZ$158,FALSE())*FZ63</f>
        <v>0</v>
      </c>
      <c r="GA161" s="196" t="n">
        <f aca="false">VLOOKUP($FW$1,'Datos Iniciales'!$E$34:$O$64,GA$158,FALSE())*GA63</f>
        <v>0</v>
      </c>
      <c r="GB161" s="196" t="n">
        <f aca="false">VLOOKUP($FW$1,'Datos Iniciales'!$E$34:$O$64,GB$158,FALSE())*GB63</f>
        <v>0</v>
      </c>
      <c r="GC161" s="196" t="n">
        <f aca="false">VLOOKUP($FW$1,'Datos Iniciales'!$E$34:$O$64,GC$158,FALSE())*GC63</f>
        <v>0</v>
      </c>
      <c r="GD161" s="196" t="n">
        <f aca="false">VLOOKUP($FW$1,'Datos Iniciales'!$E$34:$O$64,GD$158,FALSE())*GD63</f>
        <v>0</v>
      </c>
      <c r="GE161" s="196" t="n">
        <f aca="false">VLOOKUP($FW$1,'Datos Iniciales'!$E$34:$O$64,GE$158,FALSE())*GE63</f>
        <v>0</v>
      </c>
      <c r="GF161" s="196" t="n">
        <f aca="false">VLOOKUP($FW$1,'Datos Iniciales'!$E$34:$O$64,GF$158,FALSE())*GF63</f>
        <v>0</v>
      </c>
      <c r="GG161" s="197" t="n">
        <f aca="false">VLOOKUP($FW$1,'Datos Iniciales'!$E$34:$O$64,GG$158,FALSE())*GG63</f>
        <v>0</v>
      </c>
      <c r="GH161" s="194" t="str">
        <f aca="false">FW161</f>
        <v>Alumno2</v>
      </c>
      <c r="GI161" s="208" t="n">
        <f aca="false">VLOOKUP($GH$1,'Datos Iniciales'!$E$34:$O$64,GI$158,FALSE())*GI63</f>
        <v>0</v>
      </c>
      <c r="GJ161" s="196" t="n">
        <f aca="false">VLOOKUP($GH$1,'Datos Iniciales'!$E$34:$O$64,GJ$158,FALSE())*GJ63</f>
        <v>0</v>
      </c>
      <c r="GK161" s="196" t="n">
        <f aca="false">VLOOKUP($GH$1,'Datos Iniciales'!$E$34:$O$64,GK$158,FALSE())*GK63</f>
        <v>0</v>
      </c>
      <c r="GL161" s="196" t="n">
        <f aca="false">VLOOKUP($GH$1,'Datos Iniciales'!$E$34:$O$64,GL$158,FALSE())*GL63</f>
        <v>0</v>
      </c>
      <c r="GM161" s="196" t="n">
        <f aca="false">VLOOKUP($GH$1,'Datos Iniciales'!$E$34:$O$64,GM$158,FALSE())*GM63</f>
        <v>0</v>
      </c>
      <c r="GN161" s="196" t="n">
        <f aca="false">VLOOKUP($GH$1,'Datos Iniciales'!$E$34:$O$64,GN$158,FALSE())*GN63</f>
        <v>0</v>
      </c>
      <c r="GO161" s="196" t="n">
        <f aca="false">VLOOKUP($GH$1,'Datos Iniciales'!$E$34:$O$64,GO$158,FALSE())*GO63</f>
        <v>0</v>
      </c>
      <c r="GP161" s="196" t="n">
        <f aca="false">VLOOKUP($GH$1,'Datos Iniciales'!$E$34:$O$64,GP$158,FALSE())*GP63</f>
        <v>0</v>
      </c>
      <c r="GQ161" s="196" t="n">
        <f aca="false">VLOOKUP($GH$1,'Datos Iniciales'!$E$34:$O$64,GQ$158,FALSE())*GQ63</f>
        <v>0</v>
      </c>
      <c r="GR161" s="197" t="n">
        <f aca="false">VLOOKUP($GH$1,'Datos Iniciales'!$E$34:$O$64,GR$158,FALSE())*GR63</f>
        <v>0</v>
      </c>
      <c r="GS161" s="194" t="str">
        <f aca="false">GH161</f>
        <v>Alumno2</v>
      </c>
      <c r="GT161" s="208" t="n">
        <f aca="false">VLOOKUP($GS$1,'Datos Iniciales'!$E$34:$O$64,GT$158,FALSE())*GT63</f>
        <v>0</v>
      </c>
      <c r="GU161" s="196" t="n">
        <f aca="false">VLOOKUP($GS$1,'Datos Iniciales'!$E$34:$O$64,GU$158,FALSE())*GU63</f>
        <v>0</v>
      </c>
      <c r="GV161" s="196" t="n">
        <f aca="false">VLOOKUP($GS$1,'Datos Iniciales'!$E$34:$O$64,GV$158,FALSE())*GV63</f>
        <v>0</v>
      </c>
      <c r="GW161" s="196" t="n">
        <f aca="false">VLOOKUP($GS$1,'Datos Iniciales'!$E$34:$O$64,GW$158,FALSE())*GW63</f>
        <v>0</v>
      </c>
      <c r="GX161" s="196" t="n">
        <f aca="false">VLOOKUP($GS$1,'Datos Iniciales'!$E$34:$O$64,GX$158,FALSE())*GX63</f>
        <v>0</v>
      </c>
      <c r="GY161" s="196" t="n">
        <f aca="false">VLOOKUP($GS$1,'Datos Iniciales'!$E$34:$O$64,GY$158,FALSE())*GY63</f>
        <v>0</v>
      </c>
      <c r="GZ161" s="196" t="n">
        <f aca="false">VLOOKUP($GS$1,'Datos Iniciales'!$E$34:$O$64,GZ$158,FALSE())*GZ63</f>
        <v>0</v>
      </c>
      <c r="HA161" s="196" t="n">
        <f aca="false">VLOOKUP($GS$1,'Datos Iniciales'!$E$34:$O$64,HA$158,FALSE())*HA63</f>
        <v>0</v>
      </c>
      <c r="HB161" s="196" t="n">
        <f aca="false">VLOOKUP($GS$1,'Datos Iniciales'!$E$34:$O$64,HB$158,FALSE())*HB63</f>
        <v>0</v>
      </c>
      <c r="HC161" s="197" t="n">
        <f aca="false">VLOOKUP($GS$1,'Datos Iniciales'!$E$34:$O$64,HC$158,FALSE())*HC63</f>
        <v>0</v>
      </c>
      <c r="HD161" s="194" t="str">
        <f aca="false">GS161</f>
        <v>Alumno2</v>
      </c>
      <c r="HE161" s="208" t="n">
        <f aca="false">VLOOKUP($HD$1,'Datos Iniciales'!$E$34:$O$64,HE$158,FALSE())*HE63</f>
        <v>0</v>
      </c>
      <c r="HF161" s="196" t="n">
        <f aca="false">VLOOKUP($HD$1,'Datos Iniciales'!$E$34:$O$64,HF$158,FALSE())*HF63</f>
        <v>0</v>
      </c>
      <c r="HG161" s="196" t="n">
        <f aca="false">VLOOKUP($HD$1,'Datos Iniciales'!$E$34:$O$64,HG$158,FALSE())*HG63</f>
        <v>0</v>
      </c>
      <c r="HH161" s="196" t="n">
        <f aca="false">VLOOKUP($HD$1,'Datos Iniciales'!$E$34:$O$64,HH$158,FALSE())*HH63</f>
        <v>0</v>
      </c>
      <c r="HI161" s="196" t="n">
        <f aca="false">VLOOKUP($HD$1,'Datos Iniciales'!$E$34:$O$64,HI$158,FALSE())*HI63</f>
        <v>0</v>
      </c>
      <c r="HJ161" s="196" t="n">
        <f aca="false">VLOOKUP($HD$1,'Datos Iniciales'!$E$34:$O$64,HJ$158,FALSE())*HJ63</f>
        <v>0</v>
      </c>
      <c r="HK161" s="196" t="n">
        <f aca="false">VLOOKUP($HD$1,'Datos Iniciales'!$E$34:$O$64,HK$158,FALSE())*HK63</f>
        <v>0</v>
      </c>
      <c r="HL161" s="196" t="n">
        <f aca="false">VLOOKUP($HD$1,'Datos Iniciales'!$E$34:$O$64,HL$158,FALSE())*HL63</f>
        <v>0</v>
      </c>
      <c r="HM161" s="196" t="n">
        <f aca="false">VLOOKUP($HD$1,'Datos Iniciales'!$E$34:$O$64,HM$158,FALSE())*HM63</f>
        <v>0</v>
      </c>
      <c r="HN161" s="197" t="n">
        <f aca="false">VLOOKUP($HD$1,'Datos Iniciales'!$E$34:$O$64,HN$158,FALSE())*HN63</f>
        <v>0</v>
      </c>
      <c r="HO161" s="194" t="str">
        <f aca="false">HD161</f>
        <v>Alumno2</v>
      </c>
      <c r="HP161" s="208" t="n">
        <f aca="false">VLOOKUP($HO$1,'Datos Iniciales'!$E$34:$O$64,HP$158,FALSE())*HP63</f>
        <v>0</v>
      </c>
      <c r="HQ161" s="196" t="n">
        <f aca="false">VLOOKUP($HO$1,'Datos Iniciales'!$E$34:$O$64,HQ$158,FALSE())*HQ63</f>
        <v>0</v>
      </c>
      <c r="HR161" s="196" t="n">
        <f aca="false">VLOOKUP($HO$1,'Datos Iniciales'!$E$34:$O$64,HR$158,FALSE())*HR63</f>
        <v>0</v>
      </c>
      <c r="HS161" s="196" t="n">
        <f aca="false">VLOOKUP($HO$1,'Datos Iniciales'!$E$34:$O$64,HS$158,FALSE())*HS63</f>
        <v>0</v>
      </c>
      <c r="HT161" s="196" t="n">
        <f aca="false">VLOOKUP($HO$1,'Datos Iniciales'!$E$34:$O$64,HT$158,FALSE())*HT63</f>
        <v>0</v>
      </c>
      <c r="HU161" s="196" t="n">
        <f aca="false">VLOOKUP($HO$1,'Datos Iniciales'!$E$34:$O$64,HU$158,FALSE())*HU63</f>
        <v>0</v>
      </c>
      <c r="HV161" s="196" t="n">
        <f aca="false">VLOOKUP($HO$1,'Datos Iniciales'!$E$34:$O$64,HV$158,FALSE())*HV63</f>
        <v>0</v>
      </c>
      <c r="HW161" s="196" t="n">
        <f aca="false">VLOOKUP($HO$1,'Datos Iniciales'!$E$34:$O$64,HW$158,FALSE())*HW63</f>
        <v>0</v>
      </c>
      <c r="HX161" s="196" t="n">
        <f aca="false">VLOOKUP($HO$1,'Datos Iniciales'!$E$34:$O$64,HX$158,FALSE())*HX63</f>
        <v>0</v>
      </c>
      <c r="HY161" s="197" t="n">
        <f aca="false">VLOOKUP($HO$1,'Datos Iniciales'!$E$34:$O$64,HY$158,FALSE())*HY63</f>
        <v>0</v>
      </c>
      <c r="HZ161" s="194" t="str">
        <f aca="false">HO161</f>
        <v>Alumno2</v>
      </c>
      <c r="IA161" s="208" t="n">
        <f aca="false">VLOOKUP($HZ$1,'Datos Iniciales'!$E$34:$O$64,IA$158,FALSE())*IA63</f>
        <v>0</v>
      </c>
      <c r="IB161" s="196" t="n">
        <f aca="false">VLOOKUP($HZ$1,'Datos Iniciales'!$E$34:$O$64,IB$158,FALSE())*IB63</f>
        <v>0</v>
      </c>
      <c r="IC161" s="196" t="n">
        <f aca="false">VLOOKUP($HZ$1,'Datos Iniciales'!$E$34:$O$64,IC$158,FALSE())*IC63</f>
        <v>0</v>
      </c>
      <c r="ID161" s="196" t="n">
        <f aca="false">VLOOKUP($HZ$1,'Datos Iniciales'!$E$34:$O$64,ID$158,FALSE())*ID63</f>
        <v>0</v>
      </c>
      <c r="IE161" s="196" t="n">
        <f aca="false">VLOOKUP($HZ$1,'Datos Iniciales'!$E$34:$O$64,IE$158,FALSE())*IE63</f>
        <v>0</v>
      </c>
      <c r="IF161" s="196" t="n">
        <f aca="false">VLOOKUP($HZ$1,'Datos Iniciales'!$E$34:$O$64,IF$158,FALSE())*IF63</f>
        <v>0</v>
      </c>
      <c r="IG161" s="196" t="n">
        <f aca="false">VLOOKUP($HZ$1,'Datos Iniciales'!$E$34:$O$64,IG$158,FALSE())*IG63</f>
        <v>0</v>
      </c>
      <c r="IH161" s="196" t="n">
        <f aca="false">VLOOKUP($HZ$1,'Datos Iniciales'!$E$34:$O$64,IH$158,FALSE())*IH63</f>
        <v>0</v>
      </c>
      <c r="II161" s="196" t="n">
        <f aca="false">VLOOKUP($HZ$1,'Datos Iniciales'!$E$34:$O$64,II$158,FALSE())*II63</f>
        <v>0</v>
      </c>
      <c r="IJ161" s="197" t="n">
        <f aca="false">VLOOKUP($HZ$1,'Datos Iniciales'!$E$34:$O$64,IJ$158,FALSE())*IJ63</f>
        <v>0</v>
      </c>
      <c r="IK161" s="194" t="str">
        <f aca="false">HZ161</f>
        <v>Alumno2</v>
      </c>
      <c r="IL161" s="208" t="n">
        <f aca="false">VLOOKUP($IK$1,'Datos Iniciales'!$E$34:$O$64,IL$158,FALSE())*IL63</f>
        <v>0</v>
      </c>
      <c r="IM161" s="196" t="n">
        <f aca="false">VLOOKUP($IK$1,'Datos Iniciales'!$E$34:$O$64,IM$158,FALSE())*IM63</f>
        <v>0</v>
      </c>
      <c r="IN161" s="196" t="n">
        <f aca="false">VLOOKUP($IK$1,'Datos Iniciales'!$E$34:$O$64,IN$158,FALSE())*IN63</f>
        <v>0</v>
      </c>
      <c r="IO161" s="196" t="n">
        <f aca="false">VLOOKUP($IK$1,'Datos Iniciales'!$E$34:$O$64,IO$158,FALSE())*IO63</f>
        <v>0</v>
      </c>
      <c r="IP161" s="196" t="n">
        <f aca="false">VLOOKUP($IK$1,'Datos Iniciales'!$E$34:$O$64,IP$158,FALSE())*IP63</f>
        <v>0</v>
      </c>
      <c r="IQ161" s="196" t="n">
        <f aca="false">VLOOKUP($IK$1,'Datos Iniciales'!$E$34:$O$64,IQ$158,FALSE())*IQ63</f>
        <v>0</v>
      </c>
      <c r="IR161" s="196" t="n">
        <f aca="false">VLOOKUP($IK$1,'Datos Iniciales'!$E$34:$O$64,IR$158,FALSE())*IR63</f>
        <v>0</v>
      </c>
      <c r="IS161" s="196" t="n">
        <f aca="false">VLOOKUP($IK$1,'Datos Iniciales'!$E$34:$O$64,IS$158,FALSE())*IS63</f>
        <v>0</v>
      </c>
      <c r="IT161" s="196" t="n">
        <f aca="false">VLOOKUP($IK$1,'Datos Iniciales'!$E$34:$O$64,IT$158,FALSE())*IT63</f>
        <v>0</v>
      </c>
      <c r="IU161" s="197" t="n">
        <f aca="false">VLOOKUP($IK$1,'Datos Iniciales'!$E$34:$O$64,IU$158,FALSE())*IU63</f>
        <v>0</v>
      </c>
      <c r="IV161" s="194" t="str">
        <f aca="false">IK161</f>
        <v>Alumno2</v>
      </c>
      <c r="IW161" s="208" t="n">
        <f aca="false">VLOOKUP($IV$1,'Datos Iniciales'!$E$34:$O$64,IW$158,FALSE())*IW63</f>
        <v>0</v>
      </c>
      <c r="IX161" s="196" t="n">
        <f aca="false">VLOOKUP($IV$1,'Datos Iniciales'!$E$34:$O$64,IX$158,FALSE())*IX63</f>
        <v>0</v>
      </c>
      <c r="IY161" s="196" t="n">
        <f aca="false">VLOOKUP($IV$1,'Datos Iniciales'!$E$34:$O$64,IY$158,FALSE())*IY63</f>
        <v>0</v>
      </c>
      <c r="IZ161" s="196" t="n">
        <f aca="false">VLOOKUP($IV$1,'Datos Iniciales'!$E$34:$O$64,IZ$158,FALSE())*IZ63</f>
        <v>0</v>
      </c>
      <c r="JA161" s="196" t="n">
        <f aca="false">VLOOKUP($IV$1,'Datos Iniciales'!$E$34:$O$64,JA$158,FALSE())*JA63</f>
        <v>0</v>
      </c>
      <c r="JB161" s="196" t="n">
        <f aca="false">VLOOKUP($IV$1,'Datos Iniciales'!$E$34:$O$64,JB$158,FALSE())*JB63</f>
        <v>0</v>
      </c>
      <c r="JC161" s="196" t="n">
        <f aca="false">VLOOKUP($IV$1,'Datos Iniciales'!$E$34:$O$64,JC$158,FALSE())*JC63</f>
        <v>0</v>
      </c>
      <c r="JD161" s="196" t="n">
        <f aca="false">VLOOKUP($IV$1,'Datos Iniciales'!$E$34:$O$64,JD$158,FALSE())*JD63</f>
        <v>0</v>
      </c>
      <c r="JE161" s="196" t="n">
        <f aca="false">VLOOKUP($IV$1,'Datos Iniciales'!$E$34:$O$64,JE$158,FALSE())*JE63</f>
        <v>0</v>
      </c>
      <c r="JF161" s="197" t="n">
        <f aca="false">VLOOKUP($IV$1,'Datos Iniciales'!$E$34:$O$64,JF$158,FALSE())*JF63</f>
        <v>0</v>
      </c>
      <c r="JG161" s="194" t="str">
        <f aca="false">IV161</f>
        <v>Alumno2</v>
      </c>
      <c r="JH161" s="208" t="n">
        <f aca="false">VLOOKUP($JG$1,'Datos Iniciales'!$E$34:$O$64,JH$158,FALSE())*JH63</f>
        <v>0</v>
      </c>
      <c r="JI161" s="196" t="n">
        <f aca="false">VLOOKUP($JG$1,'Datos Iniciales'!$E$34:$O$64,JI$158,FALSE())*JI63</f>
        <v>0</v>
      </c>
      <c r="JJ161" s="196" t="n">
        <f aca="false">VLOOKUP($JG$1,'Datos Iniciales'!$E$34:$O$64,JJ$158,FALSE())*JJ63</f>
        <v>0</v>
      </c>
      <c r="JK161" s="196" t="n">
        <f aca="false">VLOOKUP($JG$1,'Datos Iniciales'!$E$34:$O$64,JK$158,FALSE())*JK63</f>
        <v>0</v>
      </c>
      <c r="JL161" s="196" t="n">
        <f aca="false">VLOOKUP($JG$1,'Datos Iniciales'!$E$34:$O$64,JL$158,FALSE())*JL63</f>
        <v>0</v>
      </c>
      <c r="JM161" s="196" t="n">
        <f aca="false">VLOOKUP($JG$1,'Datos Iniciales'!$E$34:$O$64,JM$158,FALSE())*JM63</f>
        <v>0</v>
      </c>
      <c r="JN161" s="196" t="n">
        <f aca="false">VLOOKUP($JG$1,'Datos Iniciales'!$E$34:$O$64,JN$158,FALSE())*JN63</f>
        <v>0</v>
      </c>
      <c r="JO161" s="196" t="n">
        <f aca="false">VLOOKUP($JG$1,'Datos Iniciales'!$E$34:$O$64,JO$158,FALSE())*JO63</f>
        <v>0</v>
      </c>
      <c r="JP161" s="196" t="n">
        <f aca="false">VLOOKUP($JG$1,'Datos Iniciales'!$E$34:$O$64,JP$158,FALSE())*JP63</f>
        <v>0</v>
      </c>
      <c r="JQ161" s="197" t="n">
        <f aca="false">VLOOKUP($JG$1,'Datos Iniciales'!$E$34:$O$64,JQ$158,FALSE())*JQ63</f>
        <v>0</v>
      </c>
      <c r="JR161" s="194" t="str">
        <f aca="false">JG161</f>
        <v>Alumno2</v>
      </c>
      <c r="JS161" s="208" t="n">
        <f aca="false">VLOOKUP($JR$1,'Datos Iniciales'!$E$34:$O$64,JS$158,FALSE())*JS63</f>
        <v>0</v>
      </c>
      <c r="JT161" s="196" t="n">
        <f aca="false">VLOOKUP($JR$1,'Datos Iniciales'!$E$34:$O$64,JT$158,FALSE())*JT63</f>
        <v>0</v>
      </c>
      <c r="JU161" s="196" t="n">
        <f aca="false">VLOOKUP($JR$1,'Datos Iniciales'!$E$34:$O$64,JU$158,FALSE())*JU63</f>
        <v>0</v>
      </c>
      <c r="JV161" s="196" t="n">
        <f aca="false">VLOOKUP($JR$1,'Datos Iniciales'!$E$34:$O$64,JV$158,FALSE())*JV63</f>
        <v>0</v>
      </c>
      <c r="JW161" s="196" t="n">
        <f aca="false">VLOOKUP($JR$1,'Datos Iniciales'!$E$34:$O$64,JW$158,FALSE())*JW63</f>
        <v>0</v>
      </c>
      <c r="JX161" s="196" t="n">
        <f aca="false">VLOOKUP($JR$1,'Datos Iniciales'!$E$34:$O$64,JX$158,FALSE())*JX63</f>
        <v>0</v>
      </c>
      <c r="JY161" s="196" t="n">
        <f aca="false">VLOOKUP($JR$1,'Datos Iniciales'!$E$34:$O$64,JY$158,FALSE())*JY63</f>
        <v>0</v>
      </c>
      <c r="JZ161" s="196" t="n">
        <f aca="false">VLOOKUP($JR$1,'Datos Iniciales'!$E$34:$O$64,JZ$158,FALSE())*JZ63</f>
        <v>0</v>
      </c>
      <c r="KA161" s="196" t="n">
        <f aca="false">VLOOKUP($JR$1,'Datos Iniciales'!$E$34:$O$64,KA$158,FALSE())*KA63</f>
        <v>0</v>
      </c>
      <c r="KB161" s="197" t="n">
        <f aca="false">VLOOKUP($JR$1,'Datos Iniciales'!$E$34:$O$64,KB$158,FALSE())*KB63</f>
        <v>0</v>
      </c>
      <c r="KC161" s="194" t="str">
        <f aca="false">JR161</f>
        <v>Alumno2</v>
      </c>
      <c r="KD161" s="208" t="n">
        <f aca="false">VLOOKUP($KC$1,'Datos Iniciales'!$E$34:$O$64,KD$158,FALSE())*KD63</f>
        <v>0</v>
      </c>
      <c r="KE161" s="196" t="n">
        <f aca="false">VLOOKUP($KC$1,'Datos Iniciales'!$E$34:$O$64,KE$158,FALSE())*KE63</f>
        <v>0</v>
      </c>
      <c r="KF161" s="196" t="n">
        <f aca="false">VLOOKUP($KC$1,'Datos Iniciales'!$E$34:$O$64,KF$158,FALSE())*KF63</f>
        <v>0</v>
      </c>
      <c r="KG161" s="196" t="n">
        <f aca="false">VLOOKUP($KC$1,'Datos Iniciales'!$E$34:$O$64,KG$158,FALSE())*KG63</f>
        <v>0</v>
      </c>
      <c r="KH161" s="196" t="n">
        <f aca="false">VLOOKUP($KC$1,'Datos Iniciales'!$E$34:$O$64,KH$158,FALSE())*KH63</f>
        <v>0</v>
      </c>
      <c r="KI161" s="196" t="n">
        <f aca="false">VLOOKUP($KC$1,'Datos Iniciales'!$E$34:$O$64,KI$158,FALSE())*KI63</f>
        <v>0</v>
      </c>
      <c r="KJ161" s="196" t="n">
        <f aca="false">VLOOKUP($KC$1,'Datos Iniciales'!$E$34:$O$64,KJ$158,FALSE())*KJ63</f>
        <v>0</v>
      </c>
      <c r="KK161" s="196" t="n">
        <f aca="false">VLOOKUP($KC$1,'Datos Iniciales'!$E$34:$O$64,KK$158,FALSE())*KK63</f>
        <v>0</v>
      </c>
      <c r="KL161" s="196" t="n">
        <f aca="false">VLOOKUP($KC$1,'Datos Iniciales'!$E$34:$O$64,KL$158,FALSE())*KL63</f>
        <v>0</v>
      </c>
      <c r="KM161" s="197" t="n">
        <f aca="false">VLOOKUP($KC$1,'Datos Iniciales'!$E$34:$O$64,KM$158,FALSE())*KM63</f>
        <v>0</v>
      </c>
      <c r="KN161" s="194" t="str">
        <f aca="false">KC161</f>
        <v>Alumno2</v>
      </c>
      <c r="KO161" s="208" t="n">
        <f aca="false">VLOOKUP($KN$1,'Datos Iniciales'!$E$34:$O$64,KO$158,FALSE())*KO63</f>
        <v>0</v>
      </c>
      <c r="KP161" s="196" t="n">
        <f aca="false">VLOOKUP($KN$1,'Datos Iniciales'!$E$34:$O$64,KP$158,FALSE())*KP63</f>
        <v>0</v>
      </c>
      <c r="KQ161" s="196" t="n">
        <f aca="false">VLOOKUP($KN$1,'Datos Iniciales'!$E$34:$O$64,KQ$158,FALSE())*KQ63</f>
        <v>0</v>
      </c>
      <c r="KR161" s="196" t="n">
        <f aca="false">VLOOKUP($KN$1,'Datos Iniciales'!$E$34:$O$64,KR$158,FALSE())*KR63</f>
        <v>0</v>
      </c>
      <c r="KS161" s="196" t="n">
        <f aca="false">VLOOKUP($KN$1,'Datos Iniciales'!$E$34:$O$64,KS$158,FALSE())*KS63</f>
        <v>0</v>
      </c>
      <c r="KT161" s="196" t="n">
        <f aca="false">VLOOKUP($KN$1,'Datos Iniciales'!$E$34:$O$64,KT$158,FALSE())*KT63</f>
        <v>0</v>
      </c>
      <c r="KU161" s="196" t="n">
        <f aca="false">VLOOKUP($KN$1,'Datos Iniciales'!$E$34:$O$64,KU$158,FALSE())*KU63</f>
        <v>0</v>
      </c>
      <c r="KV161" s="196" t="n">
        <f aca="false">VLOOKUP($KN$1,'Datos Iniciales'!$E$34:$O$64,KV$158,FALSE())*KV63</f>
        <v>0</v>
      </c>
      <c r="KW161" s="196" t="n">
        <f aca="false">VLOOKUP($KN$1,'Datos Iniciales'!$E$34:$O$64,KW$158,FALSE())*KW63</f>
        <v>0</v>
      </c>
      <c r="KX161" s="197" t="n">
        <f aca="false">VLOOKUP($KN$1,'Datos Iniciales'!$E$34:$O$64,KX$158,FALSE())*KX63</f>
        <v>0</v>
      </c>
      <c r="KY161" s="194" t="str">
        <f aca="false">KN161</f>
        <v>Alumno2</v>
      </c>
      <c r="KZ161" s="208" t="n">
        <f aca="false">VLOOKUP($KY$1,'Datos Iniciales'!$E$34:$O$64,KZ$158,FALSE())*KZ63</f>
        <v>0</v>
      </c>
      <c r="LA161" s="196" t="n">
        <f aca="false">VLOOKUP($KY$1,'Datos Iniciales'!$E$34:$O$64,LA$158,FALSE())*LA63</f>
        <v>0</v>
      </c>
      <c r="LB161" s="196" t="n">
        <f aca="false">VLOOKUP($KY$1,'Datos Iniciales'!$E$34:$O$64,LB$158,FALSE())*LB63</f>
        <v>0</v>
      </c>
      <c r="LC161" s="196" t="n">
        <f aca="false">VLOOKUP($KY$1,'Datos Iniciales'!$E$34:$O$64,LC$158,FALSE())*LC63</f>
        <v>0</v>
      </c>
      <c r="LD161" s="196" t="n">
        <f aca="false">VLOOKUP($KY$1,'Datos Iniciales'!$E$34:$O$64,LD$158,FALSE())*LD63</f>
        <v>0</v>
      </c>
      <c r="LE161" s="196" t="n">
        <f aca="false">VLOOKUP($KY$1,'Datos Iniciales'!$E$34:$O$64,LE$158,FALSE())*LE63</f>
        <v>0</v>
      </c>
      <c r="LF161" s="196" t="n">
        <f aca="false">VLOOKUP($KY$1,'Datos Iniciales'!$E$34:$O$64,LF$158,FALSE())*LF63</f>
        <v>0</v>
      </c>
      <c r="LG161" s="196" t="n">
        <f aca="false">VLOOKUP($KY$1,'Datos Iniciales'!$E$34:$O$64,LG$158,FALSE())*LG63</f>
        <v>0</v>
      </c>
      <c r="LH161" s="196" t="n">
        <f aca="false">VLOOKUP($KY$1,'Datos Iniciales'!$E$34:$O$64,LH$158,FALSE())*LH63</f>
        <v>0</v>
      </c>
      <c r="LI161" s="197" t="n">
        <f aca="false">VLOOKUP($KY$1,'Datos Iniciales'!$E$34:$O$64,LI$158,FALSE())*LI63</f>
        <v>0</v>
      </c>
      <c r="LJ161" s="194" t="str">
        <f aca="false">KY161</f>
        <v>Alumno2</v>
      </c>
      <c r="LK161" s="208" t="n">
        <f aca="false">VLOOKUP($LJ$1,'Datos Iniciales'!$E$34:$O$64,LK$158,FALSE())*LK63</f>
        <v>0</v>
      </c>
      <c r="LL161" s="196" t="n">
        <f aca="false">VLOOKUP($LJ$1,'Datos Iniciales'!$E$34:$O$64,LL$158,FALSE())*LL63</f>
        <v>0</v>
      </c>
      <c r="LM161" s="196" t="n">
        <f aca="false">VLOOKUP($LJ$1,'Datos Iniciales'!$E$34:$O$64,LM$158,FALSE())*LM63</f>
        <v>0</v>
      </c>
      <c r="LN161" s="196" t="n">
        <f aca="false">VLOOKUP($LJ$1,'Datos Iniciales'!$E$34:$O$64,LN$158,FALSE())*LN63</f>
        <v>0</v>
      </c>
      <c r="LO161" s="196" t="n">
        <f aca="false">VLOOKUP($LJ$1,'Datos Iniciales'!$E$34:$O$64,LO$158,FALSE())*LO63</f>
        <v>0</v>
      </c>
      <c r="LP161" s="196" t="n">
        <f aca="false">VLOOKUP($LJ$1,'Datos Iniciales'!$E$34:$O$64,LP$158,FALSE())*LP63</f>
        <v>0</v>
      </c>
      <c r="LQ161" s="196" t="n">
        <f aca="false">VLOOKUP($LJ$1,'Datos Iniciales'!$E$34:$O$64,LQ$158,FALSE())*LQ63</f>
        <v>0</v>
      </c>
      <c r="LR161" s="196" t="n">
        <f aca="false">VLOOKUP($LJ$1,'Datos Iniciales'!$E$34:$O$64,LR$158,FALSE())*LR63</f>
        <v>0</v>
      </c>
      <c r="LS161" s="196" t="n">
        <f aca="false">VLOOKUP($LJ$1,'Datos Iniciales'!$E$34:$O$64,LS$158,FALSE())*LS63</f>
        <v>0</v>
      </c>
      <c r="LT161" s="197" t="n">
        <f aca="false">VLOOKUP($LJ$1,'Datos Iniciales'!$E$34:$O$64,LT$158,FALSE())*LT63</f>
        <v>0</v>
      </c>
    </row>
    <row r="162" customFormat="false" ht="15" hidden="true" customHeight="false" outlineLevel="0" collapsed="false">
      <c r="C162" s="194" t="str">
        <f aca="false">C113</f>
        <v>Alumno3</v>
      </c>
      <c r="D162" s="208" t="n">
        <f aca="false">VLOOKUP($C$1,'Datos Iniciales'!$E$34:$O$64,D$158,FALSE())*D64</f>
        <v>1.325</v>
      </c>
      <c r="E162" s="196" t="n">
        <f aca="false">VLOOKUP($C$1,'Datos Iniciales'!$E$34:$O$64,E$158,FALSE())*E64</f>
        <v>0</v>
      </c>
      <c r="F162" s="196" t="n">
        <f aca="false">VLOOKUP($C$1,'Datos Iniciales'!$E$34:$O$64,F$158,FALSE())*F64</f>
        <v>0</v>
      </c>
      <c r="G162" s="196" t="n">
        <f aca="false">VLOOKUP($C$1,'Datos Iniciales'!$E$34:$O$64,G$158,FALSE())*G64</f>
        <v>0</v>
      </c>
      <c r="H162" s="196" t="n">
        <f aca="false">VLOOKUP($C$1,'Datos Iniciales'!$E$34:$O$64,H$158,FALSE())*H64</f>
        <v>0</v>
      </c>
      <c r="I162" s="196" t="n">
        <f aca="false">VLOOKUP($C$1,'Datos Iniciales'!$E$34:$O$64,I$158,FALSE())*I64</f>
        <v>0</v>
      </c>
      <c r="J162" s="196" t="n">
        <f aca="false">VLOOKUP($C$1,'Datos Iniciales'!$E$34:$O$64,J$158,FALSE())*J64</f>
        <v>0</v>
      </c>
      <c r="K162" s="196" t="n">
        <f aca="false">VLOOKUP($C$1,'Datos Iniciales'!$E$34:$O$64,K$158,FALSE())*K64</f>
        <v>0</v>
      </c>
      <c r="L162" s="196" t="n">
        <f aca="false">VLOOKUP($C$1,'Datos Iniciales'!$E$34:$O$64,L$158,FALSE())*L64</f>
        <v>0</v>
      </c>
      <c r="M162" s="197" t="n">
        <f aca="false">VLOOKUP($C$1,'Datos Iniciales'!$E$34:$O$64,M$158,FALSE())*M64</f>
        <v>0</v>
      </c>
      <c r="N162" s="194" t="str">
        <f aca="false">C162</f>
        <v>Alumno3</v>
      </c>
      <c r="O162" s="208" t="n">
        <f aca="false">VLOOKUP($N$1,'Datos Iniciales'!$E$34:$O$64,O$158,FALSE())*O64</f>
        <v>1</v>
      </c>
      <c r="P162" s="196" t="n">
        <f aca="false">VLOOKUP($N$1,'Datos Iniciales'!$E$34:$O$64,P$158,FALSE())*P64</f>
        <v>0.6</v>
      </c>
      <c r="Q162" s="196" t="n">
        <f aca="false">VLOOKUP($N$1,'Datos Iniciales'!$E$34:$O$64,Q$158,FALSE())*Q64</f>
        <v>0</v>
      </c>
      <c r="R162" s="196" t="n">
        <f aca="false">VLOOKUP($N$1,'Datos Iniciales'!$E$34:$O$64,R$158,FALSE())*R64</f>
        <v>0</v>
      </c>
      <c r="S162" s="196" t="n">
        <f aca="false">VLOOKUP($N$1,'Datos Iniciales'!$E$34:$O$64,S$158,FALSE())*S64</f>
        <v>0</v>
      </c>
      <c r="T162" s="196" t="n">
        <f aca="false">VLOOKUP($N$1,'Datos Iniciales'!$E$34:$O$64,T$158,FALSE())*T64</f>
        <v>0</v>
      </c>
      <c r="U162" s="196" t="n">
        <f aca="false">VLOOKUP($N$1,'Datos Iniciales'!$E$34:$O$64,U$158,FALSE())*U64</f>
        <v>0</v>
      </c>
      <c r="V162" s="196" t="n">
        <f aca="false">VLOOKUP($N$1,'Datos Iniciales'!$E$34:$O$64,V$158,FALSE())*V64</f>
        <v>0</v>
      </c>
      <c r="W162" s="196" t="n">
        <f aca="false">VLOOKUP($N$1,'Datos Iniciales'!$E$34:$O$64,W$158,FALSE())*W64</f>
        <v>0</v>
      </c>
      <c r="X162" s="197" t="n">
        <f aca="false">VLOOKUP($N$1,'Datos Iniciales'!$E$34:$O$64,X$158,FALSE())*X64</f>
        <v>0</v>
      </c>
      <c r="Y162" s="194" t="str">
        <f aca="false">N162</f>
        <v>Alumno3</v>
      </c>
      <c r="Z162" s="208" t="n">
        <f aca="false">VLOOKUP($Y$1,'Datos Iniciales'!$E$34:$O$64,Z$158,FALSE())*Z64</f>
        <v>1.65</v>
      </c>
      <c r="AA162" s="196" t="n">
        <f aca="false">VLOOKUP($Y$1,'Datos Iniciales'!$E$34:$O$64,AA$158,FALSE())*AA64</f>
        <v>0.7</v>
      </c>
      <c r="AB162" s="196" t="n">
        <f aca="false">VLOOKUP($Y$1,'Datos Iniciales'!$E$34:$O$64,AB$158,FALSE())*AB64</f>
        <v>0.5</v>
      </c>
      <c r="AC162" s="196" t="n">
        <f aca="false">VLOOKUP($Y$1,'Datos Iniciales'!$E$34:$O$64,AC$158,FALSE())*AC64</f>
        <v>0</v>
      </c>
      <c r="AD162" s="196" t="n">
        <f aca="false">VLOOKUP($Y$1,'Datos Iniciales'!$E$34:$O$64,AD$158,FALSE())*AD64</f>
        <v>0</v>
      </c>
      <c r="AE162" s="196" t="n">
        <f aca="false">VLOOKUP($Y$1,'Datos Iniciales'!$E$34:$O$64,AE$158,FALSE())*AE64</f>
        <v>0</v>
      </c>
      <c r="AF162" s="196" t="n">
        <f aca="false">VLOOKUP($Y$1,'Datos Iniciales'!$E$34:$O$64,AF$158,FALSE())*AF64</f>
        <v>0</v>
      </c>
      <c r="AG162" s="196" t="n">
        <f aca="false">VLOOKUP($Y$1,'Datos Iniciales'!$E$34:$O$64,AG$158,FALSE())*AG64</f>
        <v>0</v>
      </c>
      <c r="AH162" s="196" t="n">
        <f aca="false">VLOOKUP($Y$1,'Datos Iniciales'!$E$34:$O$64,AH$158,FALSE())*AH64</f>
        <v>0</v>
      </c>
      <c r="AI162" s="197" t="n">
        <f aca="false">VLOOKUP($Y$1,'Datos Iniciales'!$E$34:$O$64,AI$158,FALSE())*AI64</f>
        <v>0</v>
      </c>
      <c r="AJ162" s="194" t="str">
        <f aca="false">Y162</f>
        <v>Alumno3</v>
      </c>
      <c r="AK162" s="208" t="n">
        <f aca="false">VLOOKUP($AJ$1,'Datos Iniciales'!$E$34:$O$64,AK$158,FALSE())*AK64</f>
        <v>0.5</v>
      </c>
      <c r="AL162" s="196" t="n">
        <f aca="false">VLOOKUP($AJ$1,'Datos Iniciales'!$E$34:$O$64,AL$158,FALSE())*AL64</f>
        <v>1.65</v>
      </c>
      <c r="AM162" s="196" t="n">
        <f aca="false">VLOOKUP($AJ$1,'Datos Iniciales'!$E$34:$O$64,AM$158,FALSE())*AM64</f>
        <v>1.225</v>
      </c>
      <c r="AN162" s="196" t="n">
        <f aca="false">VLOOKUP($AJ$1,'Datos Iniciales'!$E$34:$O$64,AN$158,FALSE())*AN64</f>
        <v>0</v>
      </c>
      <c r="AO162" s="196" t="n">
        <f aca="false">VLOOKUP($AJ$1,'Datos Iniciales'!$E$34:$O$64,AO$158,FALSE())*AO64</f>
        <v>0</v>
      </c>
      <c r="AP162" s="196" t="n">
        <f aca="false">VLOOKUP($AJ$1,'Datos Iniciales'!$E$34:$O$64,AP$158,FALSE())*AP64</f>
        <v>0</v>
      </c>
      <c r="AQ162" s="196" t="n">
        <f aca="false">VLOOKUP($AJ$1,'Datos Iniciales'!$E$34:$O$64,AQ$158,FALSE())*AQ64</f>
        <v>0</v>
      </c>
      <c r="AR162" s="196" t="n">
        <f aca="false">VLOOKUP($AJ$1,'Datos Iniciales'!$E$34:$O$64,AR$158,FALSE())*AR64</f>
        <v>0</v>
      </c>
      <c r="AS162" s="196" t="n">
        <f aca="false">VLOOKUP($AJ$1,'Datos Iniciales'!$E$34:$O$64,AS$158,FALSE())*AS64</f>
        <v>0</v>
      </c>
      <c r="AT162" s="197" t="n">
        <f aca="false">VLOOKUP($AJ$1,'Datos Iniciales'!$E$34:$O$64,AT$158,FALSE())*AT64</f>
        <v>0</v>
      </c>
      <c r="AU162" s="194" t="str">
        <f aca="false">AJ162</f>
        <v>Alumno3</v>
      </c>
      <c r="AV162" s="208" t="n">
        <f aca="false">VLOOKUP($AU$1,'Datos Iniciales'!$E$34:$O$64,AV$158,FALSE())*AV64</f>
        <v>0.3</v>
      </c>
      <c r="AW162" s="196" t="n">
        <f aca="false">VLOOKUP($AU$1,'Datos Iniciales'!$E$34:$O$64,AW$158,FALSE())*AW64</f>
        <v>0.7</v>
      </c>
      <c r="AX162" s="196" t="n">
        <f aca="false">VLOOKUP($AU$1,'Datos Iniciales'!$E$34:$O$64,AX$158,FALSE())*AX64</f>
        <v>1.2</v>
      </c>
      <c r="AY162" s="196" t="n">
        <f aca="false">VLOOKUP($AU$1,'Datos Iniciales'!$E$34:$O$64,AY$158,FALSE())*AY64</f>
        <v>0.5</v>
      </c>
      <c r="AZ162" s="196" t="n">
        <f aca="false">VLOOKUP($AU$1,'Datos Iniciales'!$E$34:$O$64,AZ$158,FALSE())*AZ64</f>
        <v>0</v>
      </c>
      <c r="BA162" s="196" t="n">
        <f aca="false">VLOOKUP($AU$1,'Datos Iniciales'!$E$34:$O$64,BA$158,FALSE())*BA64</f>
        <v>0</v>
      </c>
      <c r="BB162" s="196" t="n">
        <f aca="false">VLOOKUP($AU$1,'Datos Iniciales'!$E$34:$O$64,BB$158,FALSE())*BB64</f>
        <v>0</v>
      </c>
      <c r="BC162" s="196" t="n">
        <f aca="false">VLOOKUP($AU$1,'Datos Iniciales'!$E$34:$O$64,BC$158,FALSE())*BC64</f>
        <v>0</v>
      </c>
      <c r="BD162" s="196" t="n">
        <f aca="false">VLOOKUP($AU$1,'Datos Iniciales'!$E$34:$O$64,BD$158,FALSE())*BD64</f>
        <v>0</v>
      </c>
      <c r="BE162" s="197" t="n">
        <f aca="false">VLOOKUP($AU$1,'Datos Iniciales'!$E$34:$O$64,BE$158,FALSE())*BE64</f>
        <v>0</v>
      </c>
      <c r="BF162" s="194" t="str">
        <f aca="false">AU162</f>
        <v>Alumno3</v>
      </c>
      <c r="BG162" s="208" t="n">
        <f aca="false">VLOOKUP($BF$1,'Datos Iniciales'!$E$34:$O$64,BG$158,FALSE())*BG64</f>
        <v>0.6</v>
      </c>
      <c r="BH162" s="196" t="n">
        <f aca="false">VLOOKUP($BF$1,'Datos Iniciales'!$E$34:$O$64,BH$158,FALSE())*BH64</f>
        <v>1.05</v>
      </c>
      <c r="BI162" s="196" t="n">
        <f aca="false">VLOOKUP($BF$1,'Datos Iniciales'!$E$34:$O$64,BI$158,FALSE())*BI64</f>
        <v>0.4</v>
      </c>
      <c r="BJ162" s="196" t="n">
        <f aca="false">VLOOKUP($BF$1,'Datos Iniciales'!$E$34:$O$64,BJ$158,FALSE())*BJ64</f>
        <v>1.84</v>
      </c>
      <c r="BK162" s="196" t="n">
        <f aca="false">VLOOKUP($BF$1,'Datos Iniciales'!$E$34:$O$64,BK$158,FALSE())*BK64</f>
        <v>0</v>
      </c>
      <c r="BL162" s="196" t="n">
        <f aca="false">VLOOKUP($BF$1,'Datos Iniciales'!$E$34:$O$64,BL$158,FALSE())*BL64</f>
        <v>0</v>
      </c>
      <c r="BM162" s="196" t="n">
        <f aca="false">VLOOKUP($BF$1,'Datos Iniciales'!$E$34:$O$64,BM$158,FALSE())*BM64</f>
        <v>0</v>
      </c>
      <c r="BN162" s="196" t="n">
        <f aca="false">VLOOKUP($BF$1,'Datos Iniciales'!$E$34:$O$64,BN$158,FALSE())*BN64</f>
        <v>0</v>
      </c>
      <c r="BO162" s="196" t="n">
        <f aca="false">VLOOKUP($BF$1,'Datos Iniciales'!$E$34:$O$64,BO$158,FALSE())*BO64</f>
        <v>0</v>
      </c>
      <c r="BP162" s="197" t="n">
        <f aca="false">VLOOKUP($BF$1,'Datos Iniciales'!$E$34:$O$64,BP$158,FALSE())*BP64</f>
        <v>0</v>
      </c>
      <c r="BQ162" s="194" t="str">
        <f aca="false">BF162</f>
        <v>Alumno3</v>
      </c>
      <c r="BR162" s="208" t="n">
        <f aca="false">VLOOKUP($BQ$1,'Datos Iniciales'!$E$34:$O$64,BR$158,FALSE())*BR64</f>
        <v>0</v>
      </c>
      <c r="BS162" s="196" t="n">
        <f aca="false">VLOOKUP($BQ$1,'Datos Iniciales'!$E$34:$O$64,BS$158,FALSE())*BS64</f>
        <v>0.45</v>
      </c>
      <c r="BT162" s="196" t="n">
        <f aca="false">VLOOKUP($BQ$1,'Datos Iniciales'!$E$34:$O$64,BT$158,FALSE())*BT64</f>
        <v>1.5</v>
      </c>
      <c r="BU162" s="196" t="n">
        <f aca="false">VLOOKUP($BQ$1,'Datos Iniciales'!$E$34:$O$64,BU$158,FALSE())*BU64</f>
        <v>4.7</v>
      </c>
      <c r="BV162" s="196" t="n">
        <f aca="false">VLOOKUP($BQ$1,'Datos Iniciales'!$E$34:$O$64,BV$158,FALSE())*BV64</f>
        <v>0</v>
      </c>
      <c r="BW162" s="196" t="n">
        <f aca="false">VLOOKUP($BQ$1,'Datos Iniciales'!$E$34:$O$64,BW$158,FALSE())*BW64</f>
        <v>0</v>
      </c>
      <c r="BX162" s="196" t="n">
        <f aca="false">VLOOKUP($BQ$1,'Datos Iniciales'!$E$34:$O$64,BX$158,FALSE())*BX64</f>
        <v>0</v>
      </c>
      <c r="BY162" s="196" t="n">
        <f aca="false">VLOOKUP($BQ$1,'Datos Iniciales'!$E$34:$O$64,BY$158,FALSE())*BY64</f>
        <v>0</v>
      </c>
      <c r="BZ162" s="196" t="n">
        <f aca="false">VLOOKUP($BQ$1,'Datos Iniciales'!$E$34:$O$64,BZ$158,FALSE())*BZ64</f>
        <v>0</v>
      </c>
      <c r="CA162" s="197" t="n">
        <f aca="false">VLOOKUP($BQ$1,'Datos Iniciales'!$E$34:$O$64,CA$158,FALSE())*CA64</f>
        <v>0</v>
      </c>
      <c r="CB162" s="194" t="str">
        <f aca="false">BQ162</f>
        <v>Alumno3</v>
      </c>
      <c r="CC162" s="208" t="n">
        <f aca="false">VLOOKUP($CB$1,'Datos Iniciales'!$E$34:$O$64,CC$158,FALSE())*CC64</f>
        <v>0</v>
      </c>
      <c r="CD162" s="196" t="n">
        <f aca="false">VLOOKUP($CB$1,'Datos Iniciales'!$E$34:$O$64,CD$158,FALSE())*CD64</f>
        <v>0</v>
      </c>
      <c r="CE162" s="196" t="n">
        <f aca="false">VLOOKUP($CB$1,'Datos Iniciales'!$E$34:$O$64,CE$158,FALSE())*CE64</f>
        <v>0</v>
      </c>
      <c r="CF162" s="196" t="n">
        <f aca="false">VLOOKUP($CB$1,'Datos Iniciales'!$E$34:$O$64,CF$158,FALSE())*CF64</f>
        <v>0</v>
      </c>
      <c r="CG162" s="196" t="n">
        <f aca="false">VLOOKUP($CB$1,'Datos Iniciales'!$E$34:$O$64,CG$158,FALSE())*CG64</f>
        <v>0</v>
      </c>
      <c r="CH162" s="196" t="n">
        <f aca="false">VLOOKUP($CB$1,'Datos Iniciales'!$E$34:$O$64,CH$158,FALSE())*CH64</f>
        <v>0</v>
      </c>
      <c r="CI162" s="196" t="n">
        <f aca="false">VLOOKUP($CB$1,'Datos Iniciales'!$E$34:$O$64,CI$158,FALSE())*CI64</f>
        <v>0</v>
      </c>
      <c r="CJ162" s="196" t="n">
        <f aca="false">VLOOKUP($CB$1,'Datos Iniciales'!$E$34:$O$64,CJ$158,FALSE())*CJ64</f>
        <v>0</v>
      </c>
      <c r="CK162" s="196" t="n">
        <f aca="false">VLOOKUP($CB$1,'Datos Iniciales'!$E$34:$O$64,CK$158,FALSE())*CK64</f>
        <v>0</v>
      </c>
      <c r="CL162" s="197" t="n">
        <f aca="false">VLOOKUP($CB$1,'Datos Iniciales'!$E$34:$O$64,CL$158,FALSE())*CL64</f>
        <v>0</v>
      </c>
      <c r="CM162" s="194" t="str">
        <f aca="false">CB162</f>
        <v>Alumno3</v>
      </c>
      <c r="CN162" s="208" t="n">
        <f aca="false">VLOOKUP($CM$1,'Datos Iniciales'!$E$34:$O$64,CN$158,FALSE())*CN64</f>
        <v>0</v>
      </c>
      <c r="CO162" s="196" t="n">
        <f aca="false">VLOOKUP($CM$1,'Datos Iniciales'!$E$34:$O$64,CO$158,FALSE())*CO64</f>
        <v>0</v>
      </c>
      <c r="CP162" s="196" t="n">
        <f aca="false">VLOOKUP($CM$1,'Datos Iniciales'!$E$34:$O$64,CP$158,FALSE())*CP64</f>
        <v>0</v>
      </c>
      <c r="CQ162" s="196" t="n">
        <f aca="false">VLOOKUP($CM$1,'Datos Iniciales'!$E$34:$O$64,CQ$158,FALSE())*CQ64</f>
        <v>0</v>
      </c>
      <c r="CR162" s="196" t="n">
        <f aca="false">VLOOKUP($CM$1,'Datos Iniciales'!$E$34:$O$64,CR$158,FALSE())*CR64</f>
        <v>0</v>
      </c>
      <c r="CS162" s="196" t="n">
        <f aca="false">VLOOKUP($CM$1,'Datos Iniciales'!$E$34:$O$64,CS$158,FALSE())*CS64</f>
        <v>0</v>
      </c>
      <c r="CT162" s="196" t="n">
        <f aca="false">VLOOKUP($CM$1,'Datos Iniciales'!$E$34:$O$64,CT$158,FALSE())*CT64</f>
        <v>0</v>
      </c>
      <c r="CU162" s="196" t="n">
        <f aca="false">VLOOKUP($CM$1,'Datos Iniciales'!$E$34:$O$64,CU$158,FALSE())*CU64</f>
        <v>0</v>
      </c>
      <c r="CV162" s="196" t="n">
        <f aca="false">VLOOKUP($CM$1,'Datos Iniciales'!$E$34:$O$64,CV$158,FALSE())*CV64</f>
        <v>0</v>
      </c>
      <c r="CW162" s="197" t="n">
        <f aca="false">VLOOKUP($CM$1,'Datos Iniciales'!$E$34:$O$64,CW$158,FALSE())*CW64</f>
        <v>0</v>
      </c>
      <c r="CX162" s="194" t="str">
        <f aca="false">CM162</f>
        <v>Alumno3</v>
      </c>
      <c r="CY162" s="208" t="n">
        <f aca="false">VLOOKUP($CX$1,'Datos Iniciales'!$E$34:$O$64,CY$158,FALSE())*CY64</f>
        <v>0</v>
      </c>
      <c r="CZ162" s="196" t="n">
        <f aca="false">VLOOKUP($CX$1,'Datos Iniciales'!$E$34:$O$64,CZ$158,FALSE())*CZ64</f>
        <v>0</v>
      </c>
      <c r="DA162" s="196" t="n">
        <f aca="false">VLOOKUP($CX$1,'Datos Iniciales'!$E$34:$O$64,DA$158,FALSE())*DA64</f>
        <v>0</v>
      </c>
      <c r="DB162" s="196" t="n">
        <f aca="false">VLOOKUP($CX$1,'Datos Iniciales'!$E$34:$O$64,DB$158,FALSE())*DB64</f>
        <v>0</v>
      </c>
      <c r="DC162" s="196" t="n">
        <f aca="false">VLOOKUP($CX$1,'Datos Iniciales'!$E$34:$O$64,DC$158,FALSE())*DC64</f>
        <v>0</v>
      </c>
      <c r="DD162" s="196" t="n">
        <f aca="false">VLOOKUP($CX$1,'Datos Iniciales'!$E$34:$O$64,DD$158,FALSE())*DD64</f>
        <v>0</v>
      </c>
      <c r="DE162" s="196" t="n">
        <f aca="false">VLOOKUP($CX$1,'Datos Iniciales'!$E$34:$O$64,DE$158,FALSE())*DE64</f>
        <v>0</v>
      </c>
      <c r="DF162" s="196" t="n">
        <f aca="false">VLOOKUP($CX$1,'Datos Iniciales'!$E$34:$O$64,DF$158,FALSE())*DF64</f>
        <v>0</v>
      </c>
      <c r="DG162" s="196" t="n">
        <f aca="false">VLOOKUP($CX$1,'Datos Iniciales'!$E$34:$O$64,DG$158,FALSE())*DG64</f>
        <v>0</v>
      </c>
      <c r="DH162" s="197" t="n">
        <f aca="false">VLOOKUP($CX$1,'Datos Iniciales'!$E$34:$O$64,DH$158,FALSE())*DH64</f>
        <v>0</v>
      </c>
      <c r="DI162" s="194" t="str">
        <f aca="false">CX162</f>
        <v>Alumno3</v>
      </c>
      <c r="DJ162" s="208" t="n">
        <f aca="false">VLOOKUP($DI$1,'Datos Iniciales'!$E$34:$O$64,DJ$158,FALSE())*DJ64</f>
        <v>0</v>
      </c>
      <c r="DK162" s="196" t="n">
        <f aca="false">VLOOKUP($DI$1,'Datos Iniciales'!$E$34:$O$64,DK$158,FALSE())*DK64</f>
        <v>0</v>
      </c>
      <c r="DL162" s="196" t="n">
        <f aca="false">VLOOKUP($DI$1,'Datos Iniciales'!$E$34:$O$64,DL$158,FALSE())*DL64</f>
        <v>0</v>
      </c>
      <c r="DM162" s="196" t="n">
        <f aca="false">VLOOKUP($DI$1,'Datos Iniciales'!$E$34:$O$64,DM$158,FALSE())*DM64</f>
        <v>0</v>
      </c>
      <c r="DN162" s="196" t="n">
        <f aca="false">VLOOKUP($DI$1,'Datos Iniciales'!$E$34:$O$64,DN$158,FALSE())*DN64</f>
        <v>0</v>
      </c>
      <c r="DO162" s="196" t="n">
        <f aca="false">VLOOKUP($DI$1,'Datos Iniciales'!$E$34:$O$64,DO$158,FALSE())*DO64</f>
        <v>0</v>
      </c>
      <c r="DP162" s="196" t="n">
        <f aca="false">VLOOKUP($DI$1,'Datos Iniciales'!$E$34:$O$64,DP$158,FALSE())*DP64</f>
        <v>0</v>
      </c>
      <c r="DQ162" s="196" t="n">
        <f aca="false">VLOOKUP($DI$1,'Datos Iniciales'!$E$34:$O$64,DQ$158,FALSE())*DQ64</f>
        <v>0</v>
      </c>
      <c r="DR162" s="196" t="n">
        <f aca="false">VLOOKUP($DI$1,'Datos Iniciales'!$E$34:$O$64,DR$158,FALSE())*DR64</f>
        <v>0</v>
      </c>
      <c r="DS162" s="197" t="n">
        <f aca="false">VLOOKUP($DI$1,'Datos Iniciales'!$E$34:$O$64,DS$158,FALSE())*DS64</f>
        <v>0</v>
      </c>
      <c r="DT162" s="194" t="str">
        <f aca="false">DI162</f>
        <v>Alumno3</v>
      </c>
      <c r="DU162" s="208" t="n">
        <f aca="false">VLOOKUP($DT$1,'Datos Iniciales'!$E$34:$O$64,DU$158,FALSE())*DU64</f>
        <v>0</v>
      </c>
      <c r="DV162" s="196" t="n">
        <f aca="false">VLOOKUP($DT$1,'Datos Iniciales'!$E$34:$O$64,DV$158,FALSE())*DV64</f>
        <v>0</v>
      </c>
      <c r="DW162" s="196" t="n">
        <f aca="false">VLOOKUP($DT$1,'Datos Iniciales'!$E$34:$O$64,DW$158,FALSE())*DW64</f>
        <v>0</v>
      </c>
      <c r="DX162" s="196" t="n">
        <f aca="false">VLOOKUP($DT$1,'Datos Iniciales'!$E$34:$O$64,DX$158,FALSE())*DX64</f>
        <v>0</v>
      </c>
      <c r="DY162" s="196" t="n">
        <f aca="false">VLOOKUP($DT$1,'Datos Iniciales'!$E$34:$O$64,DY$158,FALSE())*DY64</f>
        <v>0</v>
      </c>
      <c r="DZ162" s="196" t="n">
        <f aca="false">VLOOKUP($DT$1,'Datos Iniciales'!$E$34:$O$64,DZ$158,FALSE())*DZ64</f>
        <v>0</v>
      </c>
      <c r="EA162" s="196" t="n">
        <f aca="false">VLOOKUP($DT$1,'Datos Iniciales'!$E$34:$O$64,EA$158,FALSE())*EA64</f>
        <v>0</v>
      </c>
      <c r="EB162" s="196" t="n">
        <f aca="false">VLOOKUP($DT$1,'Datos Iniciales'!$E$34:$O$64,EB$158,FALSE())*EB64</f>
        <v>0</v>
      </c>
      <c r="EC162" s="196" t="n">
        <f aca="false">VLOOKUP($DT$1,'Datos Iniciales'!$E$34:$O$64,EC$158,FALSE())*EC64</f>
        <v>0</v>
      </c>
      <c r="ED162" s="197" t="n">
        <f aca="false">VLOOKUP($DT$1,'Datos Iniciales'!$E$34:$O$64,ED$158,FALSE())*ED64</f>
        <v>0</v>
      </c>
      <c r="EE162" s="194" t="str">
        <f aca="false">DT162</f>
        <v>Alumno3</v>
      </c>
      <c r="EF162" s="208" t="n">
        <f aca="false">VLOOKUP($EE$1,'Datos Iniciales'!$E$34:$O$64,EF$158,FALSE())*EF64</f>
        <v>0</v>
      </c>
      <c r="EG162" s="196" t="n">
        <f aca="false">VLOOKUP($EE$1,'Datos Iniciales'!$E$34:$O$64,EG$158,FALSE())*EG64</f>
        <v>0</v>
      </c>
      <c r="EH162" s="196" t="n">
        <f aca="false">VLOOKUP($EE$1,'Datos Iniciales'!$E$34:$O$64,EH$158,FALSE())*EH64</f>
        <v>0</v>
      </c>
      <c r="EI162" s="196" t="n">
        <f aca="false">VLOOKUP($EE$1,'Datos Iniciales'!$E$34:$O$64,EI$158,FALSE())*EI64</f>
        <v>0</v>
      </c>
      <c r="EJ162" s="196" t="n">
        <f aca="false">VLOOKUP($EE$1,'Datos Iniciales'!$E$34:$O$64,EJ$158,FALSE())*EJ64</f>
        <v>0</v>
      </c>
      <c r="EK162" s="196" t="n">
        <f aca="false">VLOOKUP($EE$1,'Datos Iniciales'!$E$34:$O$64,EK$158,FALSE())*EK64</f>
        <v>0</v>
      </c>
      <c r="EL162" s="196" t="n">
        <f aca="false">VLOOKUP($EE$1,'Datos Iniciales'!$E$34:$O$64,EL$158,FALSE())*EL64</f>
        <v>0</v>
      </c>
      <c r="EM162" s="196" t="n">
        <f aca="false">VLOOKUP($EE$1,'Datos Iniciales'!$E$34:$O$64,EM$158,FALSE())*EM64</f>
        <v>0</v>
      </c>
      <c r="EN162" s="196" t="n">
        <f aca="false">VLOOKUP($EE$1,'Datos Iniciales'!$E$34:$O$64,EN$158,FALSE())*EN64</f>
        <v>0</v>
      </c>
      <c r="EO162" s="197" t="n">
        <f aca="false">VLOOKUP($EE$1,'Datos Iniciales'!$E$34:$O$64,EO$158,FALSE())*EO64</f>
        <v>0</v>
      </c>
      <c r="EP162" s="194" t="str">
        <f aca="false">EE162</f>
        <v>Alumno3</v>
      </c>
      <c r="EQ162" s="208" t="n">
        <f aca="false">VLOOKUP($EP$1,'Datos Iniciales'!$E$34:$O$64,EQ$158,FALSE())*EQ64</f>
        <v>0</v>
      </c>
      <c r="ER162" s="196" t="n">
        <f aca="false">VLOOKUP($EP$1,'Datos Iniciales'!$E$34:$O$64,ER$158,FALSE())*ER64</f>
        <v>0</v>
      </c>
      <c r="ES162" s="196" t="n">
        <f aca="false">VLOOKUP($EP$1,'Datos Iniciales'!$E$34:$O$64,ES$158,FALSE())*ES64</f>
        <v>0</v>
      </c>
      <c r="ET162" s="196" t="n">
        <f aca="false">VLOOKUP($EP$1,'Datos Iniciales'!$E$34:$O$64,ET$158,FALSE())*ET64</f>
        <v>0</v>
      </c>
      <c r="EU162" s="196" t="n">
        <f aca="false">VLOOKUP($EP$1,'Datos Iniciales'!$E$34:$O$64,EU$158,FALSE())*EU64</f>
        <v>0</v>
      </c>
      <c r="EV162" s="196" t="n">
        <f aca="false">VLOOKUP($EP$1,'Datos Iniciales'!$E$34:$O$64,EV$158,FALSE())*EV64</f>
        <v>0</v>
      </c>
      <c r="EW162" s="196" t="n">
        <f aca="false">VLOOKUP($EP$1,'Datos Iniciales'!$E$34:$O$64,EW$158,FALSE())*EW64</f>
        <v>0</v>
      </c>
      <c r="EX162" s="196" t="n">
        <f aca="false">VLOOKUP($EP$1,'Datos Iniciales'!$E$34:$O$64,EX$158,FALSE())*EX64</f>
        <v>0</v>
      </c>
      <c r="EY162" s="196" t="n">
        <f aca="false">VLOOKUP($EP$1,'Datos Iniciales'!$E$34:$O$64,EY$158,FALSE())*EY64</f>
        <v>0</v>
      </c>
      <c r="EZ162" s="197" t="n">
        <f aca="false">VLOOKUP($EP$1,'Datos Iniciales'!$E$34:$O$64,EZ$158,FALSE())*EZ64</f>
        <v>0</v>
      </c>
      <c r="FA162" s="194" t="str">
        <f aca="false">EP162</f>
        <v>Alumno3</v>
      </c>
      <c r="FB162" s="208" t="n">
        <f aca="false">VLOOKUP($FA$1,'Datos Iniciales'!$E$34:$O$64,FB$158,FALSE())*FB64</f>
        <v>0</v>
      </c>
      <c r="FC162" s="196" t="n">
        <f aca="false">VLOOKUP($FA$1,'Datos Iniciales'!$E$34:$O$64,FC$158,FALSE())*FC64</f>
        <v>0</v>
      </c>
      <c r="FD162" s="196" t="n">
        <f aca="false">VLOOKUP($FA$1,'Datos Iniciales'!$E$34:$O$64,FD$158,FALSE())*FD64</f>
        <v>0</v>
      </c>
      <c r="FE162" s="196" t="n">
        <f aca="false">VLOOKUP($FA$1,'Datos Iniciales'!$E$34:$O$64,FE$158,FALSE())*FE64</f>
        <v>0</v>
      </c>
      <c r="FF162" s="196" t="n">
        <f aca="false">VLOOKUP($FA$1,'Datos Iniciales'!$E$34:$O$64,FF$158,FALSE())*FF64</f>
        <v>0</v>
      </c>
      <c r="FG162" s="196" t="n">
        <f aca="false">VLOOKUP($FA$1,'Datos Iniciales'!$E$34:$O$64,FG$158,FALSE())*FG64</f>
        <v>0</v>
      </c>
      <c r="FH162" s="196" t="n">
        <f aca="false">VLOOKUP($FA$1,'Datos Iniciales'!$E$34:$O$64,FH$158,FALSE())*FH64</f>
        <v>0</v>
      </c>
      <c r="FI162" s="196" t="n">
        <f aca="false">VLOOKUP($FA$1,'Datos Iniciales'!$E$34:$O$64,FI$158,FALSE())*FI64</f>
        <v>0</v>
      </c>
      <c r="FJ162" s="196" t="n">
        <f aca="false">VLOOKUP($FA$1,'Datos Iniciales'!$E$34:$O$64,FJ$158,FALSE())*FJ64</f>
        <v>0</v>
      </c>
      <c r="FK162" s="197" t="n">
        <f aca="false">VLOOKUP($FA$1,'Datos Iniciales'!$E$34:$O$64,FK$158,FALSE())*FK64</f>
        <v>0</v>
      </c>
      <c r="FL162" s="194" t="str">
        <f aca="false">FA162</f>
        <v>Alumno3</v>
      </c>
      <c r="FM162" s="208" t="n">
        <f aca="false">VLOOKUP($FL$1,'Datos Iniciales'!$E$34:$O$64,FM$158,FALSE())*FM64</f>
        <v>0</v>
      </c>
      <c r="FN162" s="196" t="n">
        <f aca="false">VLOOKUP($FL$1,'Datos Iniciales'!$E$34:$O$64,FN$158,FALSE())*FN64</f>
        <v>0</v>
      </c>
      <c r="FO162" s="196" t="n">
        <f aca="false">VLOOKUP($FL$1,'Datos Iniciales'!$E$34:$O$64,FO$158,FALSE())*FO64</f>
        <v>0</v>
      </c>
      <c r="FP162" s="196" t="n">
        <f aca="false">VLOOKUP($FL$1,'Datos Iniciales'!$E$34:$O$64,FP$158,FALSE())*FP64</f>
        <v>0</v>
      </c>
      <c r="FQ162" s="196" t="n">
        <f aca="false">VLOOKUP($FL$1,'Datos Iniciales'!$E$34:$O$64,FQ$158,FALSE())*FQ64</f>
        <v>0</v>
      </c>
      <c r="FR162" s="196" t="n">
        <f aca="false">VLOOKUP($FL$1,'Datos Iniciales'!$E$34:$O$64,FR$158,FALSE())*FR64</f>
        <v>0</v>
      </c>
      <c r="FS162" s="196" t="n">
        <f aca="false">VLOOKUP($FL$1,'Datos Iniciales'!$E$34:$O$64,FS$158,FALSE())*FS64</f>
        <v>0</v>
      </c>
      <c r="FT162" s="196" t="n">
        <f aca="false">VLOOKUP($FL$1,'Datos Iniciales'!$E$34:$O$64,FT$158,FALSE())*FT64</f>
        <v>0</v>
      </c>
      <c r="FU162" s="196" t="n">
        <f aca="false">VLOOKUP($FL$1,'Datos Iniciales'!$E$34:$O$64,FU$158,FALSE())*FU64</f>
        <v>0</v>
      </c>
      <c r="FV162" s="197" t="n">
        <f aca="false">VLOOKUP($FL$1,'Datos Iniciales'!$E$34:$O$64,FV$158,FALSE())*FV64</f>
        <v>0</v>
      </c>
      <c r="FW162" s="194" t="str">
        <f aca="false">FL162</f>
        <v>Alumno3</v>
      </c>
      <c r="FX162" s="208" t="n">
        <f aca="false">VLOOKUP($FW$1,'Datos Iniciales'!$E$34:$O$64,FX$158,FALSE())*FX64</f>
        <v>0</v>
      </c>
      <c r="FY162" s="196" t="n">
        <f aca="false">VLOOKUP($FW$1,'Datos Iniciales'!$E$34:$O$64,FY$158,FALSE())*FY64</f>
        <v>0</v>
      </c>
      <c r="FZ162" s="196" t="n">
        <f aca="false">VLOOKUP($FW$1,'Datos Iniciales'!$E$34:$O$64,FZ$158,FALSE())*FZ64</f>
        <v>0</v>
      </c>
      <c r="GA162" s="196" t="n">
        <f aca="false">VLOOKUP($FW$1,'Datos Iniciales'!$E$34:$O$64,GA$158,FALSE())*GA64</f>
        <v>0</v>
      </c>
      <c r="GB162" s="196" t="n">
        <f aca="false">VLOOKUP($FW$1,'Datos Iniciales'!$E$34:$O$64,GB$158,FALSE())*GB64</f>
        <v>0</v>
      </c>
      <c r="GC162" s="196" t="n">
        <f aca="false">VLOOKUP($FW$1,'Datos Iniciales'!$E$34:$O$64,GC$158,FALSE())*GC64</f>
        <v>0</v>
      </c>
      <c r="GD162" s="196" t="n">
        <f aca="false">VLOOKUP($FW$1,'Datos Iniciales'!$E$34:$O$64,GD$158,FALSE())*GD64</f>
        <v>0</v>
      </c>
      <c r="GE162" s="196" t="n">
        <f aca="false">VLOOKUP($FW$1,'Datos Iniciales'!$E$34:$O$64,GE$158,FALSE())*GE64</f>
        <v>0</v>
      </c>
      <c r="GF162" s="196" t="n">
        <f aca="false">VLOOKUP($FW$1,'Datos Iniciales'!$E$34:$O$64,GF$158,FALSE())*GF64</f>
        <v>0</v>
      </c>
      <c r="GG162" s="197" t="n">
        <f aca="false">VLOOKUP($FW$1,'Datos Iniciales'!$E$34:$O$64,GG$158,FALSE())*GG64</f>
        <v>0</v>
      </c>
      <c r="GH162" s="194" t="str">
        <f aca="false">FW162</f>
        <v>Alumno3</v>
      </c>
      <c r="GI162" s="208" t="n">
        <f aca="false">VLOOKUP($GH$1,'Datos Iniciales'!$E$34:$O$64,GI$158,FALSE())*GI64</f>
        <v>0</v>
      </c>
      <c r="GJ162" s="196" t="n">
        <f aca="false">VLOOKUP($GH$1,'Datos Iniciales'!$E$34:$O$64,GJ$158,FALSE())*GJ64</f>
        <v>0</v>
      </c>
      <c r="GK162" s="196" t="n">
        <f aca="false">VLOOKUP($GH$1,'Datos Iniciales'!$E$34:$O$64,GK$158,FALSE())*GK64</f>
        <v>0</v>
      </c>
      <c r="GL162" s="196" t="n">
        <f aca="false">VLOOKUP($GH$1,'Datos Iniciales'!$E$34:$O$64,GL$158,FALSE())*GL64</f>
        <v>0</v>
      </c>
      <c r="GM162" s="196" t="n">
        <f aca="false">VLOOKUP($GH$1,'Datos Iniciales'!$E$34:$O$64,GM$158,FALSE())*GM64</f>
        <v>0</v>
      </c>
      <c r="GN162" s="196" t="n">
        <f aca="false">VLOOKUP($GH$1,'Datos Iniciales'!$E$34:$O$64,GN$158,FALSE())*GN64</f>
        <v>0</v>
      </c>
      <c r="GO162" s="196" t="n">
        <f aca="false">VLOOKUP($GH$1,'Datos Iniciales'!$E$34:$O$64,GO$158,FALSE())*GO64</f>
        <v>0</v>
      </c>
      <c r="GP162" s="196" t="n">
        <f aca="false">VLOOKUP($GH$1,'Datos Iniciales'!$E$34:$O$64,GP$158,FALSE())*GP64</f>
        <v>0</v>
      </c>
      <c r="GQ162" s="196" t="n">
        <f aca="false">VLOOKUP($GH$1,'Datos Iniciales'!$E$34:$O$64,GQ$158,FALSE())*GQ64</f>
        <v>0</v>
      </c>
      <c r="GR162" s="197" t="n">
        <f aca="false">VLOOKUP($GH$1,'Datos Iniciales'!$E$34:$O$64,GR$158,FALSE())*GR64</f>
        <v>0</v>
      </c>
      <c r="GS162" s="194" t="str">
        <f aca="false">GH162</f>
        <v>Alumno3</v>
      </c>
      <c r="GT162" s="208" t="n">
        <f aca="false">VLOOKUP($GS$1,'Datos Iniciales'!$E$34:$O$64,GT$158,FALSE())*GT64</f>
        <v>0</v>
      </c>
      <c r="GU162" s="196" t="n">
        <f aca="false">VLOOKUP($GS$1,'Datos Iniciales'!$E$34:$O$64,GU$158,FALSE())*GU64</f>
        <v>0</v>
      </c>
      <c r="GV162" s="196" t="n">
        <f aca="false">VLOOKUP($GS$1,'Datos Iniciales'!$E$34:$O$64,GV$158,FALSE())*GV64</f>
        <v>0</v>
      </c>
      <c r="GW162" s="196" t="n">
        <f aca="false">VLOOKUP($GS$1,'Datos Iniciales'!$E$34:$O$64,GW$158,FALSE())*GW64</f>
        <v>0</v>
      </c>
      <c r="GX162" s="196" t="n">
        <f aca="false">VLOOKUP($GS$1,'Datos Iniciales'!$E$34:$O$64,GX$158,FALSE())*GX64</f>
        <v>0</v>
      </c>
      <c r="GY162" s="196" t="n">
        <f aca="false">VLOOKUP($GS$1,'Datos Iniciales'!$E$34:$O$64,GY$158,FALSE())*GY64</f>
        <v>0</v>
      </c>
      <c r="GZ162" s="196" t="n">
        <f aca="false">VLOOKUP($GS$1,'Datos Iniciales'!$E$34:$O$64,GZ$158,FALSE())*GZ64</f>
        <v>0</v>
      </c>
      <c r="HA162" s="196" t="n">
        <f aca="false">VLOOKUP($GS$1,'Datos Iniciales'!$E$34:$O$64,HA$158,FALSE())*HA64</f>
        <v>0</v>
      </c>
      <c r="HB162" s="196" t="n">
        <f aca="false">VLOOKUP($GS$1,'Datos Iniciales'!$E$34:$O$64,HB$158,FALSE())*HB64</f>
        <v>0</v>
      </c>
      <c r="HC162" s="197" t="n">
        <f aca="false">VLOOKUP($GS$1,'Datos Iniciales'!$E$34:$O$64,HC$158,FALSE())*HC64</f>
        <v>0</v>
      </c>
      <c r="HD162" s="194" t="str">
        <f aca="false">GS162</f>
        <v>Alumno3</v>
      </c>
      <c r="HE162" s="208" t="n">
        <f aca="false">VLOOKUP($HD$1,'Datos Iniciales'!$E$34:$O$64,HE$158,FALSE())*HE64</f>
        <v>0</v>
      </c>
      <c r="HF162" s="196" t="n">
        <f aca="false">VLOOKUP($HD$1,'Datos Iniciales'!$E$34:$O$64,HF$158,FALSE())*HF64</f>
        <v>0</v>
      </c>
      <c r="HG162" s="196" t="n">
        <f aca="false">VLOOKUP($HD$1,'Datos Iniciales'!$E$34:$O$64,HG$158,FALSE())*HG64</f>
        <v>0</v>
      </c>
      <c r="HH162" s="196" t="n">
        <f aca="false">VLOOKUP($HD$1,'Datos Iniciales'!$E$34:$O$64,HH$158,FALSE())*HH64</f>
        <v>0</v>
      </c>
      <c r="HI162" s="196" t="n">
        <f aca="false">VLOOKUP($HD$1,'Datos Iniciales'!$E$34:$O$64,HI$158,FALSE())*HI64</f>
        <v>0</v>
      </c>
      <c r="HJ162" s="196" t="n">
        <f aca="false">VLOOKUP($HD$1,'Datos Iniciales'!$E$34:$O$64,HJ$158,FALSE())*HJ64</f>
        <v>0</v>
      </c>
      <c r="HK162" s="196" t="n">
        <f aca="false">VLOOKUP($HD$1,'Datos Iniciales'!$E$34:$O$64,HK$158,FALSE())*HK64</f>
        <v>0</v>
      </c>
      <c r="HL162" s="196" t="n">
        <f aca="false">VLOOKUP($HD$1,'Datos Iniciales'!$E$34:$O$64,HL$158,FALSE())*HL64</f>
        <v>0</v>
      </c>
      <c r="HM162" s="196" t="n">
        <f aca="false">VLOOKUP($HD$1,'Datos Iniciales'!$E$34:$O$64,HM$158,FALSE())*HM64</f>
        <v>0</v>
      </c>
      <c r="HN162" s="197" t="n">
        <f aca="false">VLOOKUP($HD$1,'Datos Iniciales'!$E$34:$O$64,HN$158,FALSE())*HN64</f>
        <v>0</v>
      </c>
      <c r="HO162" s="194" t="str">
        <f aca="false">HD162</f>
        <v>Alumno3</v>
      </c>
      <c r="HP162" s="208" t="n">
        <f aca="false">VLOOKUP($HO$1,'Datos Iniciales'!$E$34:$O$64,HP$158,FALSE())*HP64</f>
        <v>0</v>
      </c>
      <c r="HQ162" s="196" t="n">
        <f aca="false">VLOOKUP($HO$1,'Datos Iniciales'!$E$34:$O$64,HQ$158,FALSE())*HQ64</f>
        <v>0</v>
      </c>
      <c r="HR162" s="196" t="n">
        <f aca="false">VLOOKUP($HO$1,'Datos Iniciales'!$E$34:$O$64,HR$158,FALSE())*HR64</f>
        <v>0</v>
      </c>
      <c r="HS162" s="196" t="n">
        <f aca="false">VLOOKUP($HO$1,'Datos Iniciales'!$E$34:$O$64,HS$158,FALSE())*HS64</f>
        <v>0</v>
      </c>
      <c r="HT162" s="196" t="n">
        <f aca="false">VLOOKUP($HO$1,'Datos Iniciales'!$E$34:$O$64,HT$158,FALSE())*HT64</f>
        <v>0</v>
      </c>
      <c r="HU162" s="196" t="n">
        <f aca="false">VLOOKUP($HO$1,'Datos Iniciales'!$E$34:$O$64,HU$158,FALSE())*HU64</f>
        <v>0</v>
      </c>
      <c r="HV162" s="196" t="n">
        <f aca="false">VLOOKUP($HO$1,'Datos Iniciales'!$E$34:$O$64,HV$158,FALSE())*HV64</f>
        <v>0</v>
      </c>
      <c r="HW162" s="196" t="n">
        <f aca="false">VLOOKUP($HO$1,'Datos Iniciales'!$E$34:$O$64,HW$158,FALSE())*HW64</f>
        <v>0</v>
      </c>
      <c r="HX162" s="196" t="n">
        <f aca="false">VLOOKUP($HO$1,'Datos Iniciales'!$E$34:$O$64,HX$158,FALSE())*HX64</f>
        <v>0</v>
      </c>
      <c r="HY162" s="197" t="n">
        <f aca="false">VLOOKUP($HO$1,'Datos Iniciales'!$E$34:$O$64,HY$158,FALSE())*HY64</f>
        <v>0</v>
      </c>
      <c r="HZ162" s="194" t="str">
        <f aca="false">HO162</f>
        <v>Alumno3</v>
      </c>
      <c r="IA162" s="208" t="n">
        <f aca="false">VLOOKUP($HZ$1,'Datos Iniciales'!$E$34:$O$64,IA$158,FALSE())*IA64</f>
        <v>0</v>
      </c>
      <c r="IB162" s="196" t="n">
        <f aca="false">VLOOKUP($HZ$1,'Datos Iniciales'!$E$34:$O$64,IB$158,FALSE())*IB64</f>
        <v>0</v>
      </c>
      <c r="IC162" s="196" t="n">
        <f aca="false">VLOOKUP($HZ$1,'Datos Iniciales'!$E$34:$O$64,IC$158,FALSE())*IC64</f>
        <v>0</v>
      </c>
      <c r="ID162" s="196" t="n">
        <f aca="false">VLOOKUP($HZ$1,'Datos Iniciales'!$E$34:$O$64,ID$158,FALSE())*ID64</f>
        <v>0</v>
      </c>
      <c r="IE162" s="196" t="n">
        <f aca="false">VLOOKUP($HZ$1,'Datos Iniciales'!$E$34:$O$64,IE$158,FALSE())*IE64</f>
        <v>0</v>
      </c>
      <c r="IF162" s="196" t="n">
        <f aca="false">VLOOKUP($HZ$1,'Datos Iniciales'!$E$34:$O$64,IF$158,FALSE())*IF64</f>
        <v>0</v>
      </c>
      <c r="IG162" s="196" t="n">
        <f aca="false">VLOOKUP($HZ$1,'Datos Iniciales'!$E$34:$O$64,IG$158,FALSE())*IG64</f>
        <v>0</v>
      </c>
      <c r="IH162" s="196" t="n">
        <f aca="false">VLOOKUP($HZ$1,'Datos Iniciales'!$E$34:$O$64,IH$158,FALSE())*IH64</f>
        <v>0</v>
      </c>
      <c r="II162" s="196" t="n">
        <f aca="false">VLOOKUP($HZ$1,'Datos Iniciales'!$E$34:$O$64,II$158,FALSE())*II64</f>
        <v>0</v>
      </c>
      <c r="IJ162" s="197" t="n">
        <f aca="false">VLOOKUP($HZ$1,'Datos Iniciales'!$E$34:$O$64,IJ$158,FALSE())*IJ64</f>
        <v>0</v>
      </c>
      <c r="IK162" s="194" t="str">
        <f aca="false">HZ162</f>
        <v>Alumno3</v>
      </c>
      <c r="IL162" s="208" t="n">
        <f aca="false">VLOOKUP($IK$1,'Datos Iniciales'!$E$34:$O$64,IL$158,FALSE())*IL64</f>
        <v>0</v>
      </c>
      <c r="IM162" s="196" t="n">
        <f aca="false">VLOOKUP($IK$1,'Datos Iniciales'!$E$34:$O$64,IM$158,FALSE())*IM64</f>
        <v>0</v>
      </c>
      <c r="IN162" s="196" t="n">
        <f aca="false">VLOOKUP($IK$1,'Datos Iniciales'!$E$34:$O$64,IN$158,FALSE())*IN64</f>
        <v>0</v>
      </c>
      <c r="IO162" s="196" t="n">
        <f aca="false">VLOOKUP($IK$1,'Datos Iniciales'!$E$34:$O$64,IO$158,FALSE())*IO64</f>
        <v>0</v>
      </c>
      <c r="IP162" s="196" t="n">
        <f aca="false">VLOOKUP($IK$1,'Datos Iniciales'!$E$34:$O$64,IP$158,FALSE())*IP64</f>
        <v>0</v>
      </c>
      <c r="IQ162" s="196" t="n">
        <f aca="false">VLOOKUP($IK$1,'Datos Iniciales'!$E$34:$O$64,IQ$158,FALSE())*IQ64</f>
        <v>0</v>
      </c>
      <c r="IR162" s="196" t="n">
        <f aca="false">VLOOKUP($IK$1,'Datos Iniciales'!$E$34:$O$64,IR$158,FALSE())*IR64</f>
        <v>0</v>
      </c>
      <c r="IS162" s="196" t="n">
        <f aca="false">VLOOKUP($IK$1,'Datos Iniciales'!$E$34:$O$64,IS$158,FALSE())*IS64</f>
        <v>0</v>
      </c>
      <c r="IT162" s="196" t="n">
        <f aca="false">VLOOKUP($IK$1,'Datos Iniciales'!$E$34:$O$64,IT$158,FALSE())*IT64</f>
        <v>0</v>
      </c>
      <c r="IU162" s="197" t="n">
        <f aca="false">VLOOKUP($IK$1,'Datos Iniciales'!$E$34:$O$64,IU$158,FALSE())*IU64</f>
        <v>0</v>
      </c>
      <c r="IV162" s="194" t="str">
        <f aca="false">IK162</f>
        <v>Alumno3</v>
      </c>
      <c r="IW162" s="208" t="n">
        <f aca="false">VLOOKUP($IV$1,'Datos Iniciales'!$E$34:$O$64,IW$158,FALSE())*IW64</f>
        <v>0</v>
      </c>
      <c r="IX162" s="196" t="n">
        <f aca="false">VLOOKUP($IV$1,'Datos Iniciales'!$E$34:$O$64,IX$158,FALSE())*IX64</f>
        <v>0</v>
      </c>
      <c r="IY162" s="196" t="n">
        <f aca="false">VLOOKUP($IV$1,'Datos Iniciales'!$E$34:$O$64,IY$158,FALSE())*IY64</f>
        <v>0</v>
      </c>
      <c r="IZ162" s="196" t="n">
        <f aca="false">VLOOKUP($IV$1,'Datos Iniciales'!$E$34:$O$64,IZ$158,FALSE())*IZ64</f>
        <v>0</v>
      </c>
      <c r="JA162" s="196" t="n">
        <f aca="false">VLOOKUP($IV$1,'Datos Iniciales'!$E$34:$O$64,JA$158,FALSE())*JA64</f>
        <v>0</v>
      </c>
      <c r="JB162" s="196" t="n">
        <f aca="false">VLOOKUP($IV$1,'Datos Iniciales'!$E$34:$O$64,JB$158,FALSE())*JB64</f>
        <v>0</v>
      </c>
      <c r="JC162" s="196" t="n">
        <f aca="false">VLOOKUP($IV$1,'Datos Iniciales'!$E$34:$O$64,JC$158,FALSE())*JC64</f>
        <v>0</v>
      </c>
      <c r="JD162" s="196" t="n">
        <f aca="false">VLOOKUP($IV$1,'Datos Iniciales'!$E$34:$O$64,JD$158,FALSE())*JD64</f>
        <v>0</v>
      </c>
      <c r="JE162" s="196" t="n">
        <f aca="false">VLOOKUP($IV$1,'Datos Iniciales'!$E$34:$O$64,JE$158,FALSE())*JE64</f>
        <v>0</v>
      </c>
      <c r="JF162" s="197" t="n">
        <f aca="false">VLOOKUP($IV$1,'Datos Iniciales'!$E$34:$O$64,JF$158,FALSE())*JF64</f>
        <v>0</v>
      </c>
      <c r="JG162" s="194" t="str">
        <f aca="false">IV162</f>
        <v>Alumno3</v>
      </c>
      <c r="JH162" s="208" t="n">
        <f aca="false">VLOOKUP($JG$1,'Datos Iniciales'!$E$34:$O$64,JH$158,FALSE())*JH64</f>
        <v>0</v>
      </c>
      <c r="JI162" s="196" t="n">
        <f aca="false">VLOOKUP($JG$1,'Datos Iniciales'!$E$34:$O$64,JI$158,FALSE())*JI64</f>
        <v>0</v>
      </c>
      <c r="JJ162" s="196" t="n">
        <f aca="false">VLOOKUP($JG$1,'Datos Iniciales'!$E$34:$O$64,JJ$158,FALSE())*JJ64</f>
        <v>0</v>
      </c>
      <c r="JK162" s="196" t="n">
        <f aca="false">VLOOKUP($JG$1,'Datos Iniciales'!$E$34:$O$64,JK$158,FALSE())*JK64</f>
        <v>0</v>
      </c>
      <c r="JL162" s="196" t="n">
        <f aca="false">VLOOKUP($JG$1,'Datos Iniciales'!$E$34:$O$64,JL$158,FALSE())*JL64</f>
        <v>0</v>
      </c>
      <c r="JM162" s="196" t="n">
        <f aca="false">VLOOKUP($JG$1,'Datos Iniciales'!$E$34:$O$64,JM$158,FALSE())*JM64</f>
        <v>0</v>
      </c>
      <c r="JN162" s="196" t="n">
        <f aca="false">VLOOKUP($JG$1,'Datos Iniciales'!$E$34:$O$64,JN$158,FALSE())*JN64</f>
        <v>0</v>
      </c>
      <c r="JO162" s="196" t="n">
        <f aca="false">VLOOKUP($JG$1,'Datos Iniciales'!$E$34:$O$64,JO$158,FALSE())*JO64</f>
        <v>0</v>
      </c>
      <c r="JP162" s="196" t="n">
        <f aca="false">VLOOKUP($JG$1,'Datos Iniciales'!$E$34:$O$64,JP$158,FALSE())*JP64</f>
        <v>0</v>
      </c>
      <c r="JQ162" s="197" t="n">
        <f aca="false">VLOOKUP($JG$1,'Datos Iniciales'!$E$34:$O$64,JQ$158,FALSE())*JQ64</f>
        <v>0</v>
      </c>
      <c r="JR162" s="194" t="str">
        <f aca="false">JG162</f>
        <v>Alumno3</v>
      </c>
      <c r="JS162" s="208" t="n">
        <f aca="false">VLOOKUP($JR$1,'Datos Iniciales'!$E$34:$O$64,JS$158,FALSE())*JS64</f>
        <v>0</v>
      </c>
      <c r="JT162" s="196" t="n">
        <f aca="false">VLOOKUP($JR$1,'Datos Iniciales'!$E$34:$O$64,JT$158,FALSE())*JT64</f>
        <v>0</v>
      </c>
      <c r="JU162" s="196" t="n">
        <f aca="false">VLOOKUP($JR$1,'Datos Iniciales'!$E$34:$O$64,JU$158,FALSE())*JU64</f>
        <v>0</v>
      </c>
      <c r="JV162" s="196" t="n">
        <f aca="false">VLOOKUP($JR$1,'Datos Iniciales'!$E$34:$O$64,JV$158,FALSE())*JV64</f>
        <v>0</v>
      </c>
      <c r="JW162" s="196" t="n">
        <f aca="false">VLOOKUP($JR$1,'Datos Iniciales'!$E$34:$O$64,JW$158,FALSE())*JW64</f>
        <v>0</v>
      </c>
      <c r="JX162" s="196" t="n">
        <f aca="false">VLOOKUP($JR$1,'Datos Iniciales'!$E$34:$O$64,JX$158,FALSE())*JX64</f>
        <v>0</v>
      </c>
      <c r="JY162" s="196" t="n">
        <f aca="false">VLOOKUP($JR$1,'Datos Iniciales'!$E$34:$O$64,JY$158,FALSE())*JY64</f>
        <v>0</v>
      </c>
      <c r="JZ162" s="196" t="n">
        <f aca="false">VLOOKUP($JR$1,'Datos Iniciales'!$E$34:$O$64,JZ$158,FALSE())*JZ64</f>
        <v>0</v>
      </c>
      <c r="KA162" s="196" t="n">
        <f aca="false">VLOOKUP($JR$1,'Datos Iniciales'!$E$34:$O$64,KA$158,FALSE())*KA64</f>
        <v>0</v>
      </c>
      <c r="KB162" s="197" t="n">
        <f aca="false">VLOOKUP($JR$1,'Datos Iniciales'!$E$34:$O$64,KB$158,FALSE())*KB64</f>
        <v>0</v>
      </c>
      <c r="KC162" s="194" t="str">
        <f aca="false">JR162</f>
        <v>Alumno3</v>
      </c>
      <c r="KD162" s="208" t="n">
        <f aca="false">VLOOKUP($KC$1,'Datos Iniciales'!$E$34:$O$64,KD$158,FALSE())*KD64</f>
        <v>0</v>
      </c>
      <c r="KE162" s="196" t="n">
        <f aca="false">VLOOKUP($KC$1,'Datos Iniciales'!$E$34:$O$64,KE$158,FALSE())*KE64</f>
        <v>0</v>
      </c>
      <c r="KF162" s="196" t="n">
        <f aca="false">VLOOKUP($KC$1,'Datos Iniciales'!$E$34:$O$64,KF$158,FALSE())*KF64</f>
        <v>0</v>
      </c>
      <c r="KG162" s="196" t="n">
        <f aca="false">VLOOKUP($KC$1,'Datos Iniciales'!$E$34:$O$64,KG$158,FALSE())*KG64</f>
        <v>0</v>
      </c>
      <c r="KH162" s="196" t="n">
        <f aca="false">VLOOKUP($KC$1,'Datos Iniciales'!$E$34:$O$64,KH$158,FALSE())*KH64</f>
        <v>0</v>
      </c>
      <c r="KI162" s="196" t="n">
        <f aca="false">VLOOKUP($KC$1,'Datos Iniciales'!$E$34:$O$64,KI$158,FALSE())*KI64</f>
        <v>0</v>
      </c>
      <c r="KJ162" s="196" t="n">
        <f aca="false">VLOOKUP($KC$1,'Datos Iniciales'!$E$34:$O$64,KJ$158,FALSE())*KJ64</f>
        <v>0</v>
      </c>
      <c r="KK162" s="196" t="n">
        <f aca="false">VLOOKUP($KC$1,'Datos Iniciales'!$E$34:$O$64,KK$158,FALSE())*KK64</f>
        <v>0</v>
      </c>
      <c r="KL162" s="196" t="n">
        <f aca="false">VLOOKUP($KC$1,'Datos Iniciales'!$E$34:$O$64,KL$158,FALSE())*KL64</f>
        <v>0</v>
      </c>
      <c r="KM162" s="197" t="n">
        <f aca="false">VLOOKUP($KC$1,'Datos Iniciales'!$E$34:$O$64,KM$158,FALSE())*KM64</f>
        <v>0</v>
      </c>
      <c r="KN162" s="194" t="str">
        <f aca="false">KC162</f>
        <v>Alumno3</v>
      </c>
      <c r="KO162" s="208" t="n">
        <f aca="false">VLOOKUP($KN$1,'Datos Iniciales'!$E$34:$O$64,KO$158,FALSE())*KO64</f>
        <v>0</v>
      </c>
      <c r="KP162" s="196" t="n">
        <f aca="false">VLOOKUP($KN$1,'Datos Iniciales'!$E$34:$O$64,KP$158,FALSE())*KP64</f>
        <v>0</v>
      </c>
      <c r="KQ162" s="196" t="n">
        <f aca="false">VLOOKUP($KN$1,'Datos Iniciales'!$E$34:$O$64,KQ$158,FALSE())*KQ64</f>
        <v>0</v>
      </c>
      <c r="KR162" s="196" t="n">
        <f aca="false">VLOOKUP($KN$1,'Datos Iniciales'!$E$34:$O$64,KR$158,FALSE())*KR64</f>
        <v>0</v>
      </c>
      <c r="KS162" s="196" t="n">
        <f aca="false">VLOOKUP($KN$1,'Datos Iniciales'!$E$34:$O$64,KS$158,FALSE())*KS64</f>
        <v>0</v>
      </c>
      <c r="KT162" s="196" t="n">
        <f aca="false">VLOOKUP($KN$1,'Datos Iniciales'!$E$34:$O$64,KT$158,FALSE())*KT64</f>
        <v>0</v>
      </c>
      <c r="KU162" s="196" t="n">
        <f aca="false">VLOOKUP($KN$1,'Datos Iniciales'!$E$34:$O$64,KU$158,FALSE())*KU64</f>
        <v>0</v>
      </c>
      <c r="KV162" s="196" t="n">
        <f aca="false">VLOOKUP($KN$1,'Datos Iniciales'!$E$34:$O$64,KV$158,FALSE())*KV64</f>
        <v>0</v>
      </c>
      <c r="KW162" s="196" t="n">
        <f aca="false">VLOOKUP($KN$1,'Datos Iniciales'!$E$34:$O$64,KW$158,FALSE())*KW64</f>
        <v>0</v>
      </c>
      <c r="KX162" s="197" t="n">
        <f aca="false">VLOOKUP($KN$1,'Datos Iniciales'!$E$34:$O$64,KX$158,FALSE())*KX64</f>
        <v>0</v>
      </c>
      <c r="KY162" s="194" t="str">
        <f aca="false">KN162</f>
        <v>Alumno3</v>
      </c>
      <c r="KZ162" s="208" t="n">
        <f aca="false">VLOOKUP($KY$1,'Datos Iniciales'!$E$34:$O$64,KZ$158,FALSE())*KZ64</f>
        <v>0</v>
      </c>
      <c r="LA162" s="196" t="n">
        <f aca="false">VLOOKUP($KY$1,'Datos Iniciales'!$E$34:$O$64,LA$158,FALSE())*LA64</f>
        <v>0</v>
      </c>
      <c r="LB162" s="196" t="n">
        <f aca="false">VLOOKUP($KY$1,'Datos Iniciales'!$E$34:$O$64,LB$158,FALSE())*LB64</f>
        <v>0</v>
      </c>
      <c r="LC162" s="196" t="n">
        <f aca="false">VLOOKUP($KY$1,'Datos Iniciales'!$E$34:$O$64,LC$158,FALSE())*LC64</f>
        <v>0</v>
      </c>
      <c r="LD162" s="196" t="n">
        <f aca="false">VLOOKUP($KY$1,'Datos Iniciales'!$E$34:$O$64,LD$158,FALSE())*LD64</f>
        <v>0</v>
      </c>
      <c r="LE162" s="196" t="n">
        <f aca="false">VLOOKUP($KY$1,'Datos Iniciales'!$E$34:$O$64,LE$158,FALSE())*LE64</f>
        <v>0</v>
      </c>
      <c r="LF162" s="196" t="n">
        <f aca="false">VLOOKUP($KY$1,'Datos Iniciales'!$E$34:$O$64,LF$158,FALSE())*LF64</f>
        <v>0</v>
      </c>
      <c r="LG162" s="196" t="n">
        <f aca="false">VLOOKUP($KY$1,'Datos Iniciales'!$E$34:$O$64,LG$158,FALSE())*LG64</f>
        <v>0</v>
      </c>
      <c r="LH162" s="196" t="n">
        <f aca="false">VLOOKUP($KY$1,'Datos Iniciales'!$E$34:$O$64,LH$158,FALSE())*LH64</f>
        <v>0</v>
      </c>
      <c r="LI162" s="197" t="n">
        <f aca="false">VLOOKUP($KY$1,'Datos Iniciales'!$E$34:$O$64,LI$158,FALSE())*LI64</f>
        <v>0</v>
      </c>
      <c r="LJ162" s="194" t="str">
        <f aca="false">KY162</f>
        <v>Alumno3</v>
      </c>
      <c r="LK162" s="208" t="n">
        <f aca="false">VLOOKUP($LJ$1,'Datos Iniciales'!$E$34:$O$64,LK$158,FALSE())*LK64</f>
        <v>0</v>
      </c>
      <c r="LL162" s="196" t="n">
        <f aca="false">VLOOKUP($LJ$1,'Datos Iniciales'!$E$34:$O$64,LL$158,FALSE())*LL64</f>
        <v>0</v>
      </c>
      <c r="LM162" s="196" t="n">
        <f aca="false">VLOOKUP($LJ$1,'Datos Iniciales'!$E$34:$O$64,LM$158,FALSE())*LM64</f>
        <v>0</v>
      </c>
      <c r="LN162" s="196" t="n">
        <f aca="false">VLOOKUP($LJ$1,'Datos Iniciales'!$E$34:$O$64,LN$158,FALSE())*LN64</f>
        <v>0</v>
      </c>
      <c r="LO162" s="196" t="n">
        <f aca="false">VLOOKUP($LJ$1,'Datos Iniciales'!$E$34:$O$64,LO$158,FALSE())*LO64</f>
        <v>0</v>
      </c>
      <c r="LP162" s="196" t="n">
        <f aca="false">VLOOKUP($LJ$1,'Datos Iniciales'!$E$34:$O$64,LP$158,FALSE())*LP64</f>
        <v>0</v>
      </c>
      <c r="LQ162" s="196" t="n">
        <f aca="false">VLOOKUP($LJ$1,'Datos Iniciales'!$E$34:$O$64,LQ$158,FALSE())*LQ64</f>
        <v>0</v>
      </c>
      <c r="LR162" s="196" t="n">
        <f aca="false">VLOOKUP($LJ$1,'Datos Iniciales'!$E$34:$O$64,LR$158,FALSE())*LR64</f>
        <v>0</v>
      </c>
      <c r="LS162" s="196" t="n">
        <f aca="false">VLOOKUP($LJ$1,'Datos Iniciales'!$E$34:$O$64,LS$158,FALSE())*LS64</f>
        <v>0</v>
      </c>
      <c r="LT162" s="197" t="n">
        <f aca="false">VLOOKUP($LJ$1,'Datos Iniciales'!$E$34:$O$64,LT$158,FALSE())*LT64</f>
        <v>0</v>
      </c>
    </row>
    <row r="163" customFormat="false" ht="15" hidden="true" customHeight="false" outlineLevel="0" collapsed="false">
      <c r="C163" s="194" t="str">
        <f aca="false">C114</f>
        <v>Alumno4</v>
      </c>
      <c r="D163" s="208" t="n">
        <f aca="false">VLOOKUP($C$1,'Datos Iniciales'!$E$34:$O$64,D$158,FALSE())*D65</f>
        <v>1.025</v>
      </c>
      <c r="E163" s="196" t="n">
        <f aca="false">VLOOKUP($C$1,'Datos Iniciales'!$E$34:$O$64,E$158,FALSE())*E65</f>
        <v>0</v>
      </c>
      <c r="F163" s="196" t="n">
        <f aca="false">VLOOKUP($C$1,'Datos Iniciales'!$E$34:$O$64,F$158,FALSE())*F65</f>
        <v>0</v>
      </c>
      <c r="G163" s="196" t="n">
        <f aca="false">VLOOKUP($C$1,'Datos Iniciales'!$E$34:$O$64,G$158,FALSE())*G65</f>
        <v>0</v>
      </c>
      <c r="H163" s="196" t="n">
        <f aca="false">VLOOKUP($C$1,'Datos Iniciales'!$E$34:$O$64,H$158,FALSE())*H65</f>
        <v>0</v>
      </c>
      <c r="I163" s="196" t="n">
        <f aca="false">VLOOKUP($C$1,'Datos Iniciales'!$E$34:$O$64,I$158,FALSE())*I65</f>
        <v>0</v>
      </c>
      <c r="J163" s="196" t="n">
        <f aca="false">VLOOKUP($C$1,'Datos Iniciales'!$E$34:$O$64,J$158,FALSE())*J65</f>
        <v>0</v>
      </c>
      <c r="K163" s="196" t="n">
        <f aca="false">VLOOKUP($C$1,'Datos Iniciales'!$E$34:$O$64,K$158,FALSE())*K65</f>
        <v>0</v>
      </c>
      <c r="L163" s="196" t="n">
        <f aca="false">VLOOKUP($C$1,'Datos Iniciales'!$E$34:$O$64,L$158,FALSE())*L65</f>
        <v>0</v>
      </c>
      <c r="M163" s="197" t="n">
        <f aca="false">VLOOKUP($C$1,'Datos Iniciales'!$E$34:$O$64,M$158,FALSE())*M65</f>
        <v>0</v>
      </c>
      <c r="N163" s="194" t="str">
        <f aca="false">C163</f>
        <v>Alumno4</v>
      </c>
      <c r="O163" s="208" t="n">
        <f aca="false">VLOOKUP($N$1,'Datos Iniciales'!$E$34:$O$64,O$158,FALSE())*O65</f>
        <v>1</v>
      </c>
      <c r="P163" s="196" t="n">
        <f aca="false">VLOOKUP($N$1,'Datos Iniciales'!$E$34:$O$64,P$158,FALSE())*P65</f>
        <v>1</v>
      </c>
      <c r="Q163" s="196" t="n">
        <f aca="false">VLOOKUP($N$1,'Datos Iniciales'!$E$34:$O$64,Q$158,FALSE())*Q65</f>
        <v>0</v>
      </c>
      <c r="R163" s="196" t="n">
        <f aca="false">VLOOKUP($N$1,'Datos Iniciales'!$E$34:$O$64,R$158,FALSE())*R65</f>
        <v>0</v>
      </c>
      <c r="S163" s="196" t="n">
        <f aca="false">VLOOKUP($N$1,'Datos Iniciales'!$E$34:$O$64,S$158,FALSE())*S65</f>
        <v>0</v>
      </c>
      <c r="T163" s="196" t="n">
        <f aca="false">VLOOKUP($N$1,'Datos Iniciales'!$E$34:$O$64,T$158,FALSE())*T65</f>
        <v>0</v>
      </c>
      <c r="U163" s="196" t="n">
        <f aca="false">VLOOKUP($N$1,'Datos Iniciales'!$E$34:$O$64,U$158,FALSE())*U65</f>
        <v>0</v>
      </c>
      <c r="V163" s="196" t="n">
        <f aca="false">VLOOKUP($N$1,'Datos Iniciales'!$E$34:$O$64,V$158,FALSE())*V65</f>
        <v>0</v>
      </c>
      <c r="W163" s="196" t="n">
        <f aca="false">VLOOKUP($N$1,'Datos Iniciales'!$E$34:$O$64,W$158,FALSE())*W65</f>
        <v>0</v>
      </c>
      <c r="X163" s="197" t="n">
        <f aca="false">VLOOKUP($N$1,'Datos Iniciales'!$E$34:$O$64,X$158,FALSE())*X65</f>
        <v>0</v>
      </c>
      <c r="Y163" s="194" t="str">
        <f aca="false">N163</f>
        <v>Alumno4</v>
      </c>
      <c r="Z163" s="208" t="n">
        <f aca="false">VLOOKUP($Y$1,'Datos Iniciales'!$E$34:$O$64,Z$158,FALSE())*Z65</f>
        <v>1.5</v>
      </c>
      <c r="AA163" s="196" t="n">
        <f aca="false">VLOOKUP($Y$1,'Datos Iniciales'!$E$34:$O$64,AA$158,FALSE())*AA65</f>
        <v>1</v>
      </c>
      <c r="AB163" s="196" t="n">
        <f aca="false">VLOOKUP($Y$1,'Datos Iniciales'!$E$34:$O$64,AB$158,FALSE())*AB65</f>
        <v>0.5</v>
      </c>
      <c r="AC163" s="196" t="n">
        <f aca="false">VLOOKUP($Y$1,'Datos Iniciales'!$E$34:$O$64,AC$158,FALSE())*AC65</f>
        <v>0</v>
      </c>
      <c r="AD163" s="196" t="n">
        <f aca="false">VLOOKUP($Y$1,'Datos Iniciales'!$E$34:$O$64,AD$158,FALSE())*AD65</f>
        <v>0</v>
      </c>
      <c r="AE163" s="196" t="n">
        <f aca="false">VLOOKUP($Y$1,'Datos Iniciales'!$E$34:$O$64,AE$158,FALSE())*AE65</f>
        <v>0</v>
      </c>
      <c r="AF163" s="196" t="n">
        <f aca="false">VLOOKUP($Y$1,'Datos Iniciales'!$E$34:$O$64,AF$158,FALSE())*AF65</f>
        <v>0</v>
      </c>
      <c r="AG163" s="196" t="n">
        <f aca="false">VLOOKUP($Y$1,'Datos Iniciales'!$E$34:$O$64,AG$158,FALSE())*AG65</f>
        <v>0</v>
      </c>
      <c r="AH163" s="196" t="n">
        <f aca="false">VLOOKUP($Y$1,'Datos Iniciales'!$E$34:$O$64,AH$158,FALSE())*AH65</f>
        <v>0</v>
      </c>
      <c r="AI163" s="197" t="n">
        <f aca="false">VLOOKUP($Y$1,'Datos Iniciales'!$E$34:$O$64,AI$158,FALSE())*AI65</f>
        <v>0</v>
      </c>
      <c r="AJ163" s="194" t="str">
        <f aca="false">Y163</f>
        <v>Alumno4</v>
      </c>
      <c r="AK163" s="208" t="n">
        <f aca="false">VLOOKUP($AJ$1,'Datos Iniciales'!$E$34:$O$64,AK$158,FALSE())*AK65</f>
        <v>0.5</v>
      </c>
      <c r="AL163" s="196" t="n">
        <f aca="false">VLOOKUP($AJ$1,'Datos Iniciales'!$E$34:$O$64,AL$158,FALSE())*AL65</f>
        <v>1.5</v>
      </c>
      <c r="AM163" s="196" t="n">
        <f aca="false">VLOOKUP($AJ$1,'Datos Iniciales'!$E$34:$O$64,AM$158,FALSE())*AM65</f>
        <v>1.75</v>
      </c>
      <c r="AN163" s="196" t="n">
        <f aca="false">VLOOKUP($AJ$1,'Datos Iniciales'!$E$34:$O$64,AN$158,FALSE())*AN65</f>
        <v>0</v>
      </c>
      <c r="AO163" s="196" t="n">
        <f aca="false">VLOOKUP($AJ$1,'Datos Iniciales'!$E$34:$O$64,AO$158,FALSE())*AO65</f>
        <v>0</v>
      </c>
      <c r="AP163" s="196" t="n">
        <f aca="false">VLOOKUP($AJ$1,'Datos Iniciales'!$E$34:$O$64,AP$158,FALSE())*AP65</f>
        <v>0</v>
      </c>
      <c r="AQ163" s="196" t="n">
        <f aca="false">VLOOKUP($AJ$1,'Datos Iniciales'!$E$34:$O$64,AQ$158,FALSE())*AQ65</f>
        <v>0</v>
      </c>
      <c r="AR163" s="196" t="n">
        <f aca="false">VLOOKUP($AJ$1,'Datos Iniciales'!$E$34:$O$64,AR$158,FALSE())*AR65</f>
        <v>0</v>
      </c>
      <c r="AS163" s="196" t="n">
        <f aca="false">VLOOKUP($AJ$1,'Datos Iniciales'!$E$34:$O$64,AS$158,FALSE())*AS65</f>
        <v>0</v>
      </c>
      <c r="AT163" s="197" t="n">
        <f aca="false">VLOOKUP($AJ$1,'Datos Iniciales'!$E$34:$O$64,AT$158,FALSE())*AT65</f>
        <v>0</v>
      </c>
      <c r="AU163" s="194" t="str">
        <f aca="false">AJ163</f>
        <v>Alumno4</v>
      </c>
      <c r="AV163" s="208" t="n">
        <f aca="false">VLOOKUP($AU$1,'Datos Iniciales'!$E$34:$O$64,AV$158,FALSE())*AV65</f>
        <v>0.2</v>
      </c>
      <c r="AW163" s="196" t="n">
        <f aca="false">VLOOKUP($AU$1,'Datos Iniciales'!$E$34:$O$64,AW$158,FALSE())*AW65</f>
        <v>0.3</v>
      </c>
      <c r="AX163" s="196" t="n">
        <f aca="false">VLOOKUP($AU$1,'Datos Iniciales'!$E$34:$O$64,AX$158,FALSE())*AX65</f>
        <v>1.68</v>
      </c>
      <c r="AY163" s="196" t="n">
        <f aca="false">VLOOKUP($AU$1,'Datos Iniciales'!$E$34:$O$64,AY$158,FALSE())*AY65</f>
        <v>0.4</v>
      </c>
      <c r="AZ163" s="196" t="n">
        <f aca="false">VLOOKUP($AU$1,'Datos Iniciales'!$E$34:$O$64,AZ$158,FALSE())*AZ65</f>
        <v>0</v>
      </c>
      <c r="BA163" s="196" t="n">
        <f aca="false">VLOOKUP($AU$1,'Datos Iniciales'!$E$34:$O$64,BA$158,FALSE())*BA65</f>
        <v>0</v>
      </c>
      <c r="BB163" s="196" t="n">
        <f aca="false">VLOOKUP($AU$1,'Datos Iniciales'!$E$34:$O$64,BB$158,FALSE())*BB65</f>
        <v>0</v>
      </c>
      <c r="BC163" s="196" t="n">
        <f aca="false">VLOOKUP($AU$1,'Datos Iniciales'!$E$34:$O$64,BC$158,FALSE())*BC65</f>
        <v>0</v>
      </c>
      <c r="BD163" s="196" t="n">
        <f aca="false">VLOOKUP($AU$1,'Datos Iniciales'!$E$34:$O$64,BD$158,FALSE())*BD65</f>
        <v>0</v>
      </c>
      <c r="BE163" s="197" t="n">
        <f aca="false">VLOOKUP($AU$1,'Datos Iniciales'!$E$34:$O$64,BE$158,FALSE())*BE65</f>
        <v>0</v>
      </c>
      <c r="BF163" s="194" t="str">
        <f aca="false">AU163</f>
        <v>Alumno4</v>
      </c>
      <c r="BG163" s="208" t="n">
        <f aca="false">VLOOKUP($BF$1,'Datos Iniciales'!$E$34:$O$64,BG$158,FALSE())*BG65</f>
        <v>0.4</v>
      </c>
      <c r="BH163" s="196" t="n">
        <f aca="false">VLOOKUP($BF$1,'Datos Iniciales'!$E$34:$O$64,BH$158,FALSE())*BH65</f>
        <v>0.45</v>
      </c>
      <c r="BI163" s="196" t="n">
        <f aca="false">VLOOKUP($BF$1,'Datos Iniciales'!$E$34:$O$64,BI$158,FALSE())*BI65</f>
        <v>0.5</v>
      </c>
      <c r="BJ163" s="196" t="n">
        <f aca="false">VLOOKUP($BF$1,'Datos Iniciales'!$E$34:$O$64,BJ$158,FALSE())*BJ65</f>
        <v>1.92</v>
      </c>
      <c r="BK163" s="196" t="n">
        <f aca="false">VLOOKUP($BF$1,'Datos Iniciales'!$E$34:$O$64,BK$158,FALSE())*BK65</f>
        <v>0</v>
      </c>
      <c r="BL163" s="196" t="n">
        <f aca="false">VLOOKUP($BF$1,'Datos Iniciales'!$E$34:$O$64,BL$158,FALSE())*BL65</f>
        <v>0</v>
      </c>
      <c r="BM163" s="196" t="n">
        <f aca="false">VLOOKUP($BF$1,'Datos Iniciales'!$E$34:$O$64,BM$158,FALSE())*BM65</f>
        <v>0</v>
      </c>
      <c r="BN163" s="196" t="n">
        <f aca="false">VLOOKUP($BF$1,'Datos Iniciales'!$E$34:$O$64,BN$158,FALSE())*BN65</f>
        <v>0</v>
      </c>
      <c r="BO163" s="196" t="n">
        <f aca="false">VLOOKUP($BF$1,'Datos Iniciales'!$E$34:$O$64,BO$158,FALSE())*BO65</f>
        <v>0</v>
      </c>
      <c r="BP163" s="197" t="n">
        <f aca="false">VLOOKUP($BF$1,'Datos Iniciales'!$E$34:$O$64,BP$158,FALSE())*BP65</f>
        <v>0</v>
      </c>
      <c r="BQ163" s="194" t="str">
        <f aca="false">BF163</f>
        <v>Alumno4</v>
      </c>
      <c r="BR163" s="208" t="n">
        <f aca="false">VLOOKUP($BQ$1,'Datos Iniciales'!$E$34:$O$64,BR$158,FALSE())*BR65</f>
        <v>0</v>
      </c>
      <c r="BS163" s="196" t="n">
        <f aca="false">VLOOKUP($BQ$1,'Datos Iniciales'!$E$34:$O$64,BS$158,FALSE())*BS65</f>
        <v>0.45</v>
      </c>
      <c r="BT163" s="196" t="n">
        <f aca="false">VLOOKUP($BQ$1,'Datos Iniciales'!$E$34:$O$64,BT$158,FALSE())*BT65</f>
        <v>1.35</v>
      </c>
      <c r="BU163" s="196" t="n">
        <f aca="false">VLOOKUP($BQ$1,'Datos Iniciales'!$E$34:$O$64,BU$158,FALSE())*BU65</f>
        <v>4.5</v>
      </c>
      <c r="BV163" s="196" t="n">
        <f aca="false">VLOOKUP($BQ$1,'Datos Iniciales'!$E$34:$O$64,BV$158,FALSE())*BV65</f>
        <v>0</v>
      </c>
      <c r="BW163" s="196" t="n">
        <f aca="false">VLOOKUP($BQ$1,'Datos Iniciales'!$E$34:$O$64,BW$158,FALSE())*BW65</f>
        <v>0</v>
      </c>
      <c r="BX163" s="196" t="n">
        <f aca="false">VLOOKUP($BQ$1,'Datos Iniciales'!$E$34:$O$64,BX$158,FALSE())*BX65</f>
        <v>0</v>
      </c>
      <c r="BY163" s="196" t="n">
        <f aca="false">VLOOKUP($BQ$1,'Datos Iniciales'!$E$34:$O$64,BY$158,FALSE())*BY65</f>
        <v>0</v>
      </c>
      <c r="BZ163" s="196" t="n">
        <f aca="false">VLOOKUP($BQ$1,'Datos Iniciales'!$E$34:$O$64,BZ$158,FALSE())*BZ65</f>
        <v>0</v>
      </c>
      <c r="CA163" s="197" t="n">
        <f aca="false">VLOOKUP($BQ$1,'Datos Iniciales'!$E$34:$O$64,CA$158,FALSE())*CA65</f>
        <v>0</v>
      </c>
      <c r="CB163" s="194" t="str">
        <f aca="false">BQ163</f>
        <v>Alumno4</v>
      </c>
      <c r="CC163" s="208" t="n">
        <f aca="false">VLOOKUP($CB$1,'Datos Iniciales'!$E$34:$O$64,CC$158,FALSE())*CC65</f>
        <v>0</v>
      </c>
      <c r="CD163" s="196" t="n">
        <f aca="false">VLOOKUP($CB$1,'Datos Iniciales'!$E$34:$O$64,CD$158,FALSE())*CD65</f>
        <v>0</v>
      </c>
      <c r="CE163" s="196" t="n">
        <f aca="false">VLOOKUP($CB$1,'Datos Iniciales'!$E$34:$O$64,CE$158,FALSE())*CE65</f>
        <v>0</v>
      </c>
      <c r="CF163" s="196" t="n">
        <f aca="false">VLOOKUP($CB$1,'Datos Iniciales'!$E$34:$O$64,CF$158,FALSE())*CF65</f>
        <v>0</v>
      </c>
      <c r="CG163" s="196" t="n">
        <f aca="false">VLOOKUP($CB$1,'Datos Iniciales'!$E$34:$O$64,CG$158,FALSE())*CG65</f>
        <v>0</v>
      </c>
      <c r="CH163" s="196" t="n">
        <f aca="false">VLOOKUP($CB$1,'Datos Iniciales'!$E$34:$O$64,CH$158,FALSE())*CH65</f>
        <v>0</v>
      </c>
      <c r="CI163" s="196" t="n">
        <f aca="false">VLOOKUP($CB$1,'Datos Iniciales'!$E$34:$O$64,CI$158,FALSE())*CI65</f>
        <v>0</v>
      </c>
      <c r="CJ163" s="196" t="n">
        <f aca="false">VLOOKUP($CB$1,'Datos Iniciales'!$E$34:$O$64,CJ$158,FALSE())*CJ65</f>
        <v>0</v>
      </c>
      <c r="CK163" s="196" t="n">
        <f aca="false">VLOOKUP($CB$1,'Datos Iniciales'!$E$34:$O$64,CK$158,FALSE())*CK65</f>
        <v>0</v>
      </c>
      <c r="CL163" s="197" t="n">
        <f aca="false">VLOOKUP($CB$1,'Datos Iniciales'!$E$34:$O$64,CL$158,FALSE())*CL65</f>
        <v>0</v>
      </c>
      <c r="CM163" s="194" t="str">
        <f aca="false">CB163</f>
        <v>Alumno4</v>
      </c>
      <c r="CN163" s="208" t="n">
        <f aca="false">VLOOKUP($CM$1,'Datos Iniciales'!$E$34:$O$64,CN$158,FALSE())*CN65</f>
        <v>0</v>
      </c>
      <c r="CO163" s="196" t="n">
        <f aca="false">VLOOKUP($CM$1,'Datos Iniciales'!$E$34:$O$64,CO$158,FALSE())*CO65</f>
        <v>0</v>
      </c>
      <c r="CP163" s="196" t="n">
        <f aca="false">VLOOKUP($CM$1,'Datos Iniciales'!$E$34:$O$64,CP$158,FALSE())*CP65</f>
        <v>0</v>
      </c>
      <c r="CQ163" s="196" t="n">
        <f aca="false">VLOOKUP($CM$1,'Datos Iniciales'!$E$34:$O$64,CQ$158,FALSE())*CQ65</f>
        <v>0</v>
      </c>
      <c r="CR163" s="196" t="n">
        <f aca="false">VLOOKUP($CM$1,'Datos Iniciales'!$E$34:$O$64,CR$158,FALSE())*CR65</f>
        <v>0</v>
      </c>
      <c r="CS163" s="196" t="n">
        <f aca="false">VLOOKUP($CM$1,'Datos Iniciales'!$E$34:$O$64,CS$158,FALSE())*CS65</f>
        <v>0</v>
      </c>
      <c r="CT163" s="196" t="n">
        <f aca="false">VLOOKUP($CM$1,'Datos Iniciales'!$E$34:$O$64,CT$158,FALSE())*CT65</f>
        <v>0</v>
      </c>
      <c r="CU163" s="196" t="n">
        <f aca="false">VLOOKUP($CM$1,'Datos Iniciales'!$E$34:$O$64,CU$158,FALSE())*CU65</f>
        <v>0</v>
      </c>
      <c r="CV163" s="196" t="n">
        <f aca="false">VLOOKUP($CM$1,'Datos Iniciales'!$E$34:$O$64,CV$158,FALSE())*CV65</f>
        <v>0</v>
      </c>
      <c r="CW163" s="197" t="n">
        <f aca="false">VLOOKUP($CM$1,'Datos Iniciales'!$E$34:$O$64,CW$158,FALSE())*CW65</f>
        <v>0</v>
      </c>
      <c r="CX163" s="194" t="str">
        <f aca="false">CM163</f>
        <v>Alumno4</v>
      </c>
      <c r="CY163" s="208" t="n">
        <f aca="false">VLOOKUP($CX$1,'Datos Iniciales'!$E$34:$O$64,CY$158,FALSE())*CY65</f>
        <v>0</v>
      </c>
      <c r="CZ163" s="196" t="n">
        <f aca="false">VLOOKUP($CX$1,'Datos Iniciales'!$E$34:$O$64,CZ$158,FALSE())*CZ65</f>
        <v>0</v>
      </c>
      <c r="DA163" s="196" t="n">
        <f aca="false">VLOOKUP($CX$1,'Datos Iniciales'!$E$34:$O$64,DA$158,FALSE())*DA65</f>
        <v>0</v>
      </c>
      <c r="DB163" s="196" t="n">
        <f aca="false">VLOOKUP($CX$1,'Datos Iniciales'!$E$34:$O$64,DB$158,FALSE())*DB65</f>
        <v>0</v>
      </c>
      <c r="DC163" s="196" t="n">
        <f aca="false">VLOOKUP($CX$1,'Datos Iniciales'!$E$34:$O$64,DC$158,FALSE())*DC65</f>
        <v>0</v>
      </c>
      <c r="DD163" s="196" t="n">
        <f aca="false">VLOOKUP($CX$1,'Datos Iniciales'!$E$34:$O$64,DD$158,FALSE())*DD65</f>
        <v>0</v>
      </c>
      <c r="DE163" s="196" t="n">
        <f aca="false">VLOOKUP($CX$1,'Datos Iniciales'!$E$34:$O$64,DE$158,FALSE())*DE65</f>
        <v>0</v>
      </c>
      <c r="DF163" s="196" t="n">
        <f aca="false">VLOOKUP($CX$1,'Datos Iniciales'!$E$34:$O$64,DF$158,FALSE())*DF65</f>
        <v>0</v>
      </c>
      <c r="DG163" s="196" t="n">
        <f aca="false">VLOOKUP($CX$1,'Datos Iniciales'!$E$34:$O$64,DG$158,FALSE())*DG65</f>
        <v>0</v>
      </c>
      <c r="DH163" s="197" t="n">
        <f aca="false">VLOOKUP($CX$1,'Datos Iniciales'!$E$34:$O$64,DH$158,FALSE())*DH65</f>
        <v>0</v>
      </c>
      <c r="DI163" s="194" t="str">
        <f aca="false">CX163</f>
        <v>Alumno4</v>
      </c>
      <c r="DJ163" s="208" t="n">
        <f aca="false">VLOOKUP($DI$1,'Datos Iniciales'!$E$34:$O$64,DJ$158,FALSE())*DJ65</f>
        <v>0</v>
      </c>
      <c r="DK163" s="196" t="n">
        <f aca="false">VLOOKUP($DI$1,'Datos Iniciales'!$E$34:$O$64,DK$158,FALSE())*DK65</f>
        <v>0</v>
      </c>
      <c r="DL163" s="196" t="n">
        <f aca="false">VLOOKUP($DI$1,'Datos Iniciales'!$E$34:$O$64,DL$158,FALSE())*DL65</f>
        <v>0</v>
      </c>
      <c r="DM163" s="196" t="n">
        <f aca="false">VLOOKUP($DI$1,'Datos Iniciales'!$E$34:$O$64,DM$158,FALSE())*DM65</f>
        <v>0</v>
      </c>
      <c r="DN163" s="196" t="n">
        <f aca="false">VLOOKUP($DI$1,'Datos Iniciales'!$E$34:$O$64,DN$158,FALSE())*DN65</f>
        <v>0</v>
      </c>
      <c r="DO163" s="196" t="n">
        <f aca="false">VLOOKUP($DI$1,'Datos Iniciales'!$E$34:$O$64,DO$158,FALSE())*DO65</f>
        <v>0</v>
      </c>
      <c r="DP163" s="196" t="n">
        <f aca="false">VLOOKUP($DI$1,'Datos Iniciales'!$E$34:$O$64,DP$158,FALSE())*DP65</f>
        <v>0</v>
      </c>
      <c r="DQ163" s="196" t="n">
        <f aca="false">VLOOKUP($DI$1,'Datos Iniciales'!$E$34:$O$64,DQ$158,FALSE())*DQ65</f>
        <v>0</v>
      </c>
      <c r="DR163" s="196" t="n">
        <f aca="false">VLOOKUP($DI$1,'Datos Iniciales'!$E$34:$O$64,DR$158,FALSE())*DR65</f>
        <v>0</v>
      </c>
      <c r="DS163" s="197" t="n">
        <f aca="false">VLOOKUP($DI$1,'Datos Iniciales'!$E$34:$O$64,DS$158,FALSE())*DS65</f>
        <v>0</v>
      </c>
      <c r="DT163" s="194" t="str">
        <f aca="false">DI163</f>
        <v>Alumno4</v>
      </c>
      <c r="DU163" s="208" t="n">
        <f aca="false">VLOOKUP($DT$1,'Datos Iniciales'!$E$34:$O$64,DU$158,FALSE())*DU65</f>
        <v>0</v>
      </c>
      <c r="DV163" s="196" t="n">
        <f aca="false">VLOOKUP($DT$1,'Datos Iniciales'!$E$34:$O$64,DV$158,FALSE())*DV65</f>
        <v>0</v>
      </c>
      <c r="DW163" s="196" t="n">
        <f aca="false">VLOOKUP($DT$1,'Datos Iniciales'!$E$34:$O$64,DW$158,FALSE())*DW65</f>
        <v>0</v>
      </c>
      <c r="DX163" s="196" t="n">
        <f aca="false">VLOOKUP($DT$1,'Datos Iniciales'!$E$34:$O$64,DX$158,FALSE())*DX65</f>
        <v>0</v>
      </c>
      <c r="DY163" s="196" t="n">
        <f aca="false">VLOOKUP($DT$1,'Datos Iniciales'!$E$34:$O$64,DY$158,FALSE())*DY65</f>
        <v>0</v>
      </c>
      <c r="DZ163" s="196" t="n">
        <f aca="false">VLOOKUP($DT$1,'Datos Iniciales'!$E$34:$O$64,DZ$158,FALSE())*DZ65</f>
        <v>0</v>
      </c>
      <c r="EA163" s="196" t="n">
        <f aca="false">VLOOKUP($DT$1,'Datos Iniciales'!$E$34:$O$64,EA$158,FALSE())*EA65</f>
        <v>0</v>
      </c>
      <c r="EB163" s="196" t="n">
        <f aca="false">VLOOKUP($DT$1,'Datos Iniciales'!$E$34:$O$64,EB$158,FALSE())*EB65</f>
        <v>0</v>
      </c>
      <c r="EC163" s="196" t="n">
        <f aca="false">VLOOKUP($DT$1,'Datos Iniciales'!$E$34:$O$64,EC$158,FALSE())*EC65</f>
        <v>0</v>
      </c>
      <c r="ED163" s="197" t="n">
        <f aca="false">VLOOKUP($DT$1,'Datos Iniciales'!$E$34:$O$64,ED$158,FALSE())*ED65</f>
        <v>0</v>
      </c>
      <c r="EE163" s="194" t="str">
        <f aca="false">DT163</f>
        <v>Alumno4</v>
      </c>
      <c r="EF163" s="208" t="n">
        <f aca="false">VLOOKUP($EE$1,'Datos Iniciales'!$E$34:$O$64,EF$158,FALSE())*EF65</f>
        <v>0</v>
      </c>
      <c r="EG163" s="196" t="n">
        <f aca="false">VLOOKUP($EE$1,'Datos Iniciales'!$E$34:$O$64,EG$158,FALSE())*EG65</f>
        <v>0</v>
      </c>
      <c r="EH163" s="196" t="n">
        <f aca="false">VLOOKUP($EE$1,'Datos Iniciales'!$E$34:$O$64,EH$158,FALSE())*EH65</f>
        <v>0</v>
      </c>
      <c r="EI163" s="196" t="n">
        <f aca="false">VLOOKUP($EE$1,'Datos Iniciales'!$E$34:$O$64,EI$158,FALSE())*EI65</f>
        <v>0</v>
      </c>
      <c r="EJ163" s="196" t="n">
        <f aca="false">VLOOKUP($EE$1,'Datos Iniciales'!$E$34:$O$64,EJ$158,FALSE())*EJ65</f>
        <v>0</v>
      </c>
      <c r="EK163" s="196" t="n">
        <f aca="false">VLOOKUP($EE$1,'Datos Iniciales'!$E$34:$O$64,EK$158,FALSE())*EK65</f>
        <v>0</v>
      </c>
      <c r="EL163" s="196" t="n">
        <f aca="false">VLOOKUP($EE$1,'Datos Iniciales'!$E$34:$O$64,EL$158,FALSE())*EL65</f>
        <v>0</v>
      </c>
      <c r="EM163" s="196" t="n">
        <f aca="false">VLOOKUP($EE$1,'Datos Iniciales'!$E$34:$O$64,EM$158,FALSE())*EM65</f>
        <v>0</v>
      </c>
      <c r="EN163" s="196" t="n">
        <f aca="false">VLOOKUP($EE$1,'Datos Iniciales'!$E$34:$O$64,EN$158,FALSE())*EN65</f>
        <v>0</v>
      </c>
      <c r="EO163" s="197" t="n">
        <f aca="false">VLOOKUP($EE$1,'Datos Iniciales'!$E$34:$O$64,EO$158,FALSE())*EO65</f>
        <v>0</v>
      </c>
      <c r="EP163" s="194" t="str">
        <f aca="false">EE163</f>
        <v>Alumno4</v>
      </c>
      <c r="EQ163" s="208" t="n">
        <f aca="false">VLOOKUP($EP$1,'Datos Iniciales'!$E$34:$O$64,EQ$158,FALSE())*EQ65</f>
        <v>0</v>
      </c>
      <c r="ER163" s="196" t="n">
        <f aca="false">VLOOKUP($EP$1,'Datos Iniciales'!$E$34:$O$64,ER$158,FALSE())*ER65</f>
        <v>0</v>
      </c>
      <c r="ES163" s="196" t="n">
        <f aca="false">VLOOKUP($EP$1,'Datos Iniciales'!$E$34:$O$64,ES$158,FALSE())*ES65</f>
        <v>0</v>
      </c>
      <c r="ET163" s="196" t="n">
        <f aca="false">VLOOKUP($EP$1,'Datos Iniciales'!$E$34:$O$64,ET$158,FALSE())*ET65</f>
        <v>0</v>
      </c>
      <c r="EU163" s="196" t="n">
        <f aca="false">VLOOKUP($EP$1,'Datos Iniciales'!$E$34:$O$64,EU$158,FALSE())*EU65</f>
        <v>0</v>
      </c>
      <c r="EV163" s="196" t="n">
        <f aca="false">VLOOKUP($EP$1,'Datos Iniciales'!$E$34:$O$64,EV$158,FALSE())*EV65</f>
        <v>0</v>
      </c>
      <c r="EW163" s="196" t="n">
        <f aca="false">VLOOKUP($EP$1,'Datos Iniciales'!$E$34:$O$64,EW$158,FALSE())*EW65</f>
        <v>0</v>
      </c>
      <c r="EX163" s="196" t="n">
        <f aca="false">VLOOKUP($EP$1,'Datos Iniciales'!$E$34:$O$64,EX$158,FALSE())*EX65</f>
        <v>0</v>
      </c>
      <c r="EY163" s="196" t="n">
        <f aca="false">VLOOKUP($EP$1,'Datos Iniciales'!$E$34:$O$64,EY$158,FALSE())*EY65</f>
        <v>0</v>
      </c>
      <c r="EZ163" s="197" t="n">
        <f aca="false">VLOOKUP($EP$1,'Datos Iniciales'!$E$34:$O$64,EZ$158,FALSE())*EZ65</f>
        <v>0</v>
      </c>
      <c r="FA163" s="194" t="str">
        <f aca="false">EP163</f>
        <v>Alumno4</v>
      </c>
      <c r="FB163" s="208" t="n">
        <f aca="false">VLOOKUP($FA$1,'Datos Iniciales'!$E$34:$O$64,FB$158,FALSE())*FB65</f>
        <v>0</v>
      </c>
      <c r="FC163" s="196" t="n">
        <f aca="false">VLOOKUP($FA$1,'Datos Iniciales'!$E$34:$O$64,FC$158,FALSE())*FC65</f>
        <v>0</v>
      </c>
      <c r="FD163" s="196" t="n">
        <f aca="false">VLOOKUP($FA$1,'Datos Iniciales'!$E$34:$O$64,FD$158,FALSE())*FD65</f>
        <v>0</v>
      </c>
      <c r="FE163" s="196" t="n">
        <f aca="false">VLOOKUP($FA$1,'Datos Iniciales'!$E$34:$O$64,FE$158,FALSE())*FE65</f>
        <v>0</v>
      </c>
      <c r="FF163" s="196" t="n">
        <f aca="false">VLOOKUP($FA$1,'Datos Iniciales'!$E$34:$O$64,FF$158,FALSE())*FF65</f>
        <v>0</v>
      </c>
      <c r="FG163" s="196" t="n">
        <f aca="false">VLOOKUP($FA$1,'Datos Iniciales'!$E$34:$O$64,FG$158,FALSE())*FG65</f>
        <v>0</v>
      </c>
      <c r="FH163" s="196" t="n">
        <f aca="false">VLOOKUP($FA$1,'Datos Iniciales'!$E$34:$O$64,FH$158,FALSE())*FH65</f>
        <v>0</v>
      </c>
      <c r="FI163" s="196" t="n">
        <f aca="false">VLOOKUP($FA$1,'Datos Iniciales'!$E$34:$O$64,FI$158,FALSE())*FI65</f>
        <v>0</v>
      </c>
      <c r="FJ163" s="196" t="n">
        <f aca="false">VLOOKUP($FA$1,'Datos Iniciales'!$E$34:$O$64,FJ$158,FALSE())*FJ65</f>
        <v>0</v>
      </c>
      <c r="FK163" s="197" t="n">
        <f aca="false">VLOOKUP($FA$1,'Datos Iniciales'!$E$34:$O$64,FK$158,FALSE())*FK65</f>
        <v>0</v>
      </c>
      <c r="FL163" s="194" t="str">
        <f aca="false">FA163</f>
        <v>Alumno4</v>
      </c>
      <c r="FM163" s="208" t="n">
        <f aca="false">VLOOKUP($FL$1,'Datos Iniciales'!$E$34:$O$64,FM$158,FALSE())*FM65</f>
        <v>0</v>
      </c>
      <c r="FN163" s="196" t="n">
        <f aca="false">VLOOKUP($FL$1,'Datos Iniciales'!$E$34:$O$64,FN$158,FALSE())*FN65</f>
        <v>0</v>
      </c>
      <c r="FO163" s="196" t="n">
        <f aca="false">VLOOKUP($FL$1,'Datos Iniciales'!$E$34:$O$64,FO$158,FALSE())*FO65</f>
        <v>0</v>
      </c>
      <c r="FP163" s="196" t="n">
        <f aca="false">VLOOKUP($FL$1,'Datos Iniciales'!$E$34:$O$64,FP$158,FALSE())*FP65</f>
        <v>0</v>
      </c>
      <c r="FQ163" s="196" t="n">
        <f aca="false">VLOOKUP($FL$1,'Datos Iniciales'!$E$34:$O$64,FQ$158,FALSE())*FQ65</f>
        <v>0</v>
      </c>
      <c r="FR163" s="196" t="n">
        <f aca="false">VLOOKUP($FL$1,'Datos Iniciales'!$E$34:$O$64,FR$158,FALSE())*FR65</f>
        <v>0</v>
      </c>
      <c r="FS163" s="196" t="n">
        <f aca="false">VLOOKUP($FL$1,'Datos Iniciales'!$E$34:$O$64,FS$158,FALSE())*FS65</f>
        <v>0</v>
      </c>
      <c r="FT163" s="196" t="n">
        <f aca="false">VLOOKUP($FL$1,'Datos Iniciales'!$E$34:$O$64,FT$158,FALSE())*FT65</f>
        <v>0</v>
      </c>
      <c r="FU163" s="196" t="n">
        <f aca="false">VLOOKUP($FL$1,'Datos Iniciales'!$E$34:$O$64,FU$158,FALSE())*FU65</f>
        <v>0</v>
      </c>
      <c r="FV163" s="197" t="n">
        <f aca="false">VLOOKUP($FL$1,'Datos Iniciales'!$E$34:$O$64,FV$158,FALSE())*FV65</f>
        <v>0</v>
      </c>
      <c r="FW163" s="194" t="str">
        <f aca="false">FL163</f>
        <v>Alumno4</v>
      </c>
      <c r="FX163" s="208" t="n">
        <f aca="false">VLOOKUP($FW$1,'Datos Iniciales'!$E$34:$O$64,FX$158,FALSE())*FX65</f>
        <v>0</v>
      </c>
      <c r="FY163" s="196" t="n">
        <f aca="false">VLOOKUP($FW$1,'Datos Iniciales'!$E$34:$O$64,FY$158,FALSE())*FY65</f>
        <v>0</v>
      </c>
      <c r="FZ163" s="196" t="n">
        <f aca="false">VLOOKUP($FW$1,'Datos Iniciales'!$E$34:$O$64,FZ$158,FALSE())*FZ65</f>
        <v>0</v>
      </c>
      <c r="GA163" s="196" t="n">
        <f aca="false">VLOOKUP($FW$1,'Datos Iniciales'!$E$34:$O$64,GA$158,FALSE())*GA65</f>
        <v>0</v>
      </c>
      <c r="GB163" s="196" t="n">
        <f aca="false">VLOOKUP($FW$1,'Datos Iniciales'!$E$34:$O$64,GB$158,FALSE())*GB65</f>
        <v>0</v>
      </c>
      <c r="GC163" s="196" t="n">
        <f aca="false">VLOOKUP($FW$1,'Datos Iniciales'!$E$34:$O$64,GC$158,FALSE())*GC65</f>
        <v>0</v>
      </c>
      <c r="GD163" s="196" t="n">
        <f aca="false">VLOOKUP($FW$1,'Datos Iniciales'!$E$34:$O$64,GD$158,FALSE())*GD65</f>
        <v>0</v>
      </c>
      <c r="GE163" s="196" t="n">
        <f aca="false">VLOOKUP($FW$1,'Datos Iniciales'!$E$34:$O$64,GE$158,FALSE())*GE65</f>
        <v>0</v>
      </c>
      <c r="GF163" s="196" t="n">
        <f aca="false">VLOOKUP($FW$1,'Datos Iniciales'!$E$34:$O$64,GF$158,FALSE())*GF65</f>
        <v>0</v>
      </c>
      <c r="GG163" s="197" t="n">
        <f aca="false">VLOOKUP($FW$1,'Datos Iniciales'!$E$34:$O$64,GG$158,FALSE())*GG65</f>
        <v>0</v>
      </c>
      <c r="GH163" s="194" t="str">
        <f aca="false">FW163</f>
        <v>Alumno4</v>
      </c>
      <c r="GI163" s="208" t="n">
        <f aca="false">VLOOKUP($GH$1,'Datos Iniciales'!$E$34:$O$64,GI$158,FALSE())*GI65</f>
        <v>0</v>
      </c>
      <c r="GJ163" s="196" t="n">
        <f aca="false">VLOOKUP($GH$1,'Datos Iniciales'!$E$34:$O$64,GJ$158,FALSE())*GJ65</f>
        <v>0</v>
      </c>
      <c r="GK163" s="196" t="n">
        <f aca="false">VLOOKUP($GH$1,'Datos Iniciales'!$E$34:$O$64,GK$158,FALSE())*GK65</f>
        <v>0</v>
      </c>
      <c r="GL163" s="196" t="n">
        <f aca="false">VLOOKUP($GH$1,'Datos Iniciales'!$E$34:$O$64,GL$158,FALSE())*GL65</f>
        <v>0</v>
      </c>
      <c r="GM163" s="196" t="n">
        <f aca="false">VLOOKUP($GH$1,'Datos Iniciales'!$E$34:$O$64,GM$158,FALSE())*GM65</f>
        <v>0</v>
      </c>
      <c r="GN163" s="196" t="n">
        <f aca="false">VLOOKUP($GH$1,'Datos Iniciales'!$E$34:$O$64,GN$158,FALSE())*GN65</f>
        <v>0</v>
      </c>
      <c r="GO163" s="196" t="n">
        <f aca="false">VLOOKUP($GH$1,'Datos Iniciales'!$E$34:$O$64,GO$158,FALSE())*GO65</f>
        <v>0</v>
      </c>
      <c r="GP163" s="196" t="n">
        <f aca="false">VLOOKUP($GH$1,'Datos Iniciales'!$E$34:$O$64,GP$158,FALSE())*GP65</f>
        <v>0</v>
      </c>
      <c r="GQ163" s="196" t="n">
        <f aca="false">VLOOKUP($GH$1,'Datos Iniciales'!$E$34:$O$64,GQ$158,FALSE())*GQ65</f>
        <v>0</v>
      </c>
      <c r="GR163" s="197" t="n">
        <f aca="false">VLOOKUP($GH$1,'Datos Iniciales'!$E$34:$O$64,GR$158,FALSE())*GR65</f>
        <v>0</v>
      </c>
      <c r="GS163" s="194" t="str">
        <f aca="false">GH163</f>
        <v>Alumno4</v>
      </c>
      <c r="GT163" s="208" t="n">
        <f aca="false">VLOOKUP($GS$1,'Datos Iniciales'!$E$34:$O$64,GT$158,FALSE())*GT65</f>
        <v>0</v>
      </c>
      <c r="GU163" s="196" t="n">
        <f aca="false">VLOOKUP($GS$1,'Datos Iniciales'!$E$34:$O$64,GU$158,FALSE())*GU65</f>
        <v>0</v>
      </c>
      <c r="GV163" s="196" t="n">
        <f aca="false">VLOOKUP($GS$1,'Datos Iniciales'!$E$34:$O$64,GV$158,FALSE())*GV65</f>
        <v>0</v>
      </c>
      <c r="GW163" s="196" t="n">
        <f aca="false">VLOOKUP($GS$1,'Datos Iniciales'!$E$34:$O$64,GW$158,FALSE())*GW65</f>
        <v>0</v>
      </c>
      <c r="GX163" s="196" t="n">
        <f aca="false">VLOOKUP($GS$1,'Datos Iniciales'!$E$34:$O$64,GX$158,FALSE())*GX65</f>
        <v>0</v>
      </c>
      <c r="GY163" s="196" t="n">
        <f aca="false">VLOOKUP($GS$1,'Datos Iniciales'!$E$34:$O$64,GY$158,FALSE())*GY65</f>
        <v>0</v>
      </c>
      <c r="GZ163" s="196" t="n">
        <f aca="false">VLOOKUP($GS$1,'Datos Iniciales'!$E$34:$O$64,GZ$158,FALSE())*GZ65</f>
        <v>0</v>
      </c>
      <c r="HA163" s="196" t="n">
        <f aca="false">VLOOKUP($GS$1,'Datos Iniciales'!$E$34:$O$64,HA$158,FALSE())*HA65</f>
        <v>0</v>
      </c>
      <c r="HB163" s="196" t="n">
        <f aca="false">VLOOKUP($GS$1,'Datos Iniciales'!$E$34:$O$64,HB$158,FALSE())*HB65</f>
        <v>0</v>
      </c>
      <c r="HC163" s="197" t="n">
        <f aca="false">VLOOKUP($GS$1,'Datos Iniciales'!$E$34:$O$64,HC$158,FALSE())*HC65</f>
        <v>0</v>
      </c>
      <c r="HD163" s="194" t="str">
        <f aca="false">GS163</f>
        <v>Alumno4</v>
      </c>
      <c r="HE163" s="208" t="n">
        <f aca="false">VLOOKUP($HD$1,'Datos Iniciales'!$E$34:$O$64,HE$158,FALSE())*HE65</f>
        <v>0</v>
      </c>
      <c r="HF163" s="196" t="n">
        <f aca="false">VLOOKUP($HD$1,'Datos Iniciales'!$E$34:$O$64,HF$158,FALSE())*HF65</f>
        <v>0</v>
      </c>
      <c r="HG163" s="196" t="n">
        <f aca="false">VLOOKUP($HD$1,'Datos Iniciales'!$E$34:$O$64,HG$158,FALSE())*HG65</f>
        <v>0</v>
      </c>
      <c r="HH163" s="196" t="n">
        <f aca="false">VLOOKUP($HD$1,'Datos Iniciales'!$E$34:$O$64,HH$158,FALSE())*HH65</f>
        <v>0</v>
      </c>
      <c r="HI163" s="196" t="n">
        <f aca="false">VLOOKUP($HD$1,'Datos Iniciales'!$E$34:$O$64,HI$158,FALSE())*HI65</f>
        <v>0</v>
      </c>
      <c r="HJ163" s="196" t="n">
        <f aca="false">VLOOKUP($HD$1,'Datos Iniciales'!$E$34:$O$64,HJ$158,FALSE())*HJ65</f>
        <v>0</v>
      </c>
      <c r="HK163" s="196" t="n">
        <f aca="false">VLOOKUP($HD$1,'Datos Iniciales'!$E$34:$O$64,HK$158,FALSE())*HK65</f>
        <v>0</v>
      </c>
      <c r="HL163" s="196" t="n">
        <f aca="false">VLOOKUP($HD$1,'Datos Iniciales'!$E$34:$O$64,HL$158,FALSE())*HL65</f>
        <v>0</v>
      </c>
      <c r="HM163" s="196" t="n">
        <f aca="false">VLOOKUP($HD$1,'Datos Iniciales'!$E$34:$O$64,HM$158,FALSE())*HM65</f>
        <v>0</v>
      </c>
      <c r="HN163" s="197" t="n">
        <f aca="false">VLOOKUP($HD$1,'Datos Iniciales'!$E$34:$O$64,HN$158,FALSE())*HN65</f>
        <v>0</v>
      </c>
      <c r="HO163" s="194" t="str">
        <f aca="false">HD163</f>
        <v>Alumno4</v>
      </c>
      <c r="HP163" s="208" t="n">
        <f aca="false">VLOOKUP($HO$1,'Datos Iniciales'!$E$34:$O$64,HP$158,FALSE())*HP65</f>
        <v>0</v>
      </c>
      <c r="HQ163" s="196" t="n">
        <f aca="false">VLOOKUP($HO$1,'Datos Iniciales'!$E$34:$O$64,HQ$158,FALSE())*HQ65</f>
        <v>0</v>
      </c>
      <c r="HR163" s="196" t="n">
        <f aca="false">VLOOKUP($HO$1,'Datos Iniciales'!$E$34:$O$64,HR$158,FALSE())*HR65</f>
        <v>0</v>
      </c>
      <c r="HS163" s="196" t="n">
        <f aca="false">VLOOKUP($HO$1,'Datos Iniciales'!$E$34:$O$64,HS$158,FALSE())*HS65</f>
        <v>0</v>
      </c>
      <c r="HT163" s="196" t="n">
        <f aca="false">VLOOKUP($HO$1,'Datos Iniciales'!$E$34:$O$64,HT$158,FALSE())*HT65</f>
        <v>0</v>
      </c>
      <c r="HU163" s="196" t="n">
        <f aca="false">VLOOKUP($HO$1,'Datos Iniciales'!$E$34:$O$64,HU$158,FALSE())*HU65</f>
        <v>0</v>
      </c>
      <c r="HV163" s="196" t="n">
        <f aca="false">VLOOKUP($HO$1,'Datos Iniciales'!$E$34:$O$64,HV$158,FALSE())*HV65</f>
        <v>0</v>
      </c>
      <c r="HW163" s="196" t="n">
        <f aca="false">VLOOKUP($HO$1,'Datos Iniciales'!$E$34:$O$64,HW$158,FALSE())*HW65</f>
        <v>0</v>
      </c>
      <c r="HX163" s="196" t="n">
        <f aca="false">VLOOKUP($HO$1,'Datos Iniciales'!$E$34:$O$64,HX$158,FALSE())*HX65</f>
        <v>0</v>
      </c>
      <c r="HY163" s="197" t="n">
        <f aca="false">VLOOKUP($HO$1,'Datos Iniciales'!$E$34:$O$64,HY$158,FALSE())*HY65</f>
        <v>0</v>
      </c>
      <c r="HZ163" s="194" t="str">
        <f aca="false">HO163</f>
        <v>Alumno4</v>
      </c>
      <c r="IA163" s="208" t="n">
        <f aca="false">VLOOKUP($HZ$1,'Datos Iniciales'!$E$34:$O$64,IA$158,FALSE())*IA65</f>
        <v>0</v>
      </c>
      <c r="IB163" s="196" t="n">
        <f aca="false">VLOOKUP($HZ$1,'Datos Iniciales'!$E$34:$O$64,IB$158,FALSE())*IB65</f>
        <v>0</v>
      </c>
      <c r="IC163" s="196" t="n">
        <f aca="false">VLOOKUP($HZ$1,'Datos Iniciales'!$E$34:$O$64,IC$158,FALSE())*IC65</f>
        <v>0</v>
      </c>
      <c r="ID163" s="196" t="n">
        <f aca="false">VLOOKUP($HZ$1,'Datos Iniciales'!$E$34:$O$64,ID$158,FALSE())*ID65</f>
        <v>0</v>
      </c>
      <c r="IE163" s="196" t="n">
        <f aca="false">VLOOKUP($HZ$1,'Datos Iniciales'!$E$34:$O$64,IE$158,FALSE())*IE65</f>
        <v>0</v>
      </c>
      <c r="IF163" s="196" t="n">
        <f aca="false">VLOOKUP($HZ$1,'Datos Iniciales'!$E$34:$O$64,IF$158,FALSE())*IF65</f>
        <v>0</v>
      </c>
      <c r="IG163" s="196" t="n">
        <f aca="false">VLOOKUP($HZ$1,'Datos Iniciales'!$E$34:$O$64,IG$158,FALSE())*IG65</f>
        <v>0</v>
      </c>
      <c r="IH163" s="196" t="n">
        <f aca="false">VLOOKUP($HZ$1,'Datos Iniciales'!$E$34:$O$64,IH$158,FALSE())*IH65</f>
        <v>0</v>
      </c>
      <c r="II163" s="196" t="n">
        <f aca="false">VLOOKUP($HZ$1,'Datos Iniciales'!$E$34:$O$64,II$158,FALSE())*II65</f>
        <v>0</v>
      </c>
      <c r="IJ163" s="197" t="n">
        <f aca="false">VLOOKUP($HZ$1,'Datos Iniciales'!$E$34:$O$64,IJ$158,FALSE())*IJ65</f>
        <v>0</v>
      </c>
      <c r="IK163" s="194" t="str">
        <f aca="false">HZ163</f>
        <v>Alumno4</v>
      </c>
      <c r="IL163" s="208" t="n">
        <f aca="false">VLOOKUP($IK$1,'Datos Iniciales'!$E$34:$O$64,IL$158,FALSE())*IL65</f>
        <v>0</v>
      </c>
      <c r="IM163" s="196" t="n">
        <f aca="false">VLOOKUP($IK$1,'Datos Iniciales'!$E$34:$O$64,IM$158,FALSE())*IM65</f>
        <v>0</v>
      </c>
      <c r="IN163" s="196" t="n">
        <f aca="false">VLOOKUP($IK$1,'Datos Iniciales'!$E$34:$O$64,IN$158,FALSE())*IN65</f>
        <v>0</v>
      </c>
      <c r="IO163" s="196" t="n">
        <f aca="false">VLOOKUP($IK$1,'Datos Iniciales'!$E$34:$O$64,IO$158,FALSE())*IO65</f>
        <v>0</v>
      </c>
      <c r="IP163" s="196" t="n">
        <f aca="false">VLOOKUP($IK$1,'Datos Iniciales'!$E$34:$O$64,IP$158,FALSE())*IP65</f>
        <v>0</v>
      </c>
      <c r="IQ163" s="196" t="n">
        <f aca="false">VLOOKUP($IK$1,'Datos Iniciales'!$E$34:$O$64,IQ$158,FALSE())*IQ65</f>
        <v>0</v>
      </c>
      <c r="IR163" s="196" t="n">
        <f aca="false">VLOOKUP($IK$1,'Datos Iniciales'!$E$34:$O$64,IR$158,FALSE())*IR65</f>
        <v>0</v>
      </c>
      <c r="IS163" s="196" t="n">
        <f aca="false">VLOOKUP($IK$1,'Datos Iniciales'!$E$34:$O$64,IS$158,FALSE())*IS65</f>
        <v>0</v>
      </c>
      <c r="IT163" s="196" t="n">
        <f aca="false">VLOOKUP($IK$1,'Datos Iniciales'!$E$34:$O$64,IT$158,FALSE())*IT65</f>
        <v>0</v>
      </c>
      <c r="IU163" s="197" t="n">
        <f aca="false">VLOOKUP($IK$1,'Datos Iniciales'!$E$34:$O$64,IU$158,FALSE())*IU65</f>
        <v>0</v>
      </c>
      <c r="IV163" s="194" t="str">
        <f aca="false">IK163</f>
        <v>Alumno4</v>
      </c>
      <c r="IW163" s="208" t="n">
        <f aca="false">VLOOKUP($IV$1,'Datos Iniciales'!$E$34:$O$64,IW$158,FALSE())*IW65</f>
        <v>0</v>
      </c>
      <c r="IX163" s="196" t="n">
        <f aca="false">VLOOKUP($IV$1,'Datos Iniciales'!$E$34:$O$64,IX$158,FALSE())*IX65</f>
        <v>0</v>
      </c>
      <c r="IY163" s="196" t="n">
        <f aca="false">VLOOKUP($IV$1,'Datos Iniciales'!$E$34:$O$64,IY$158,FALSE())*IY65</f>
        <v>0</v>
      </c>
      <c r="IZ163" s="196" t="n">
        <f aca="false">VLOOKUP($IV$1,'Datos Iniciales'!$E$34:$O$64,IZ$158,FALSE())*IZ65</f>
        <v>0</v>
      </c>
      <c r="JA163" s="196" t="n">
        <f aca="false">VLOOKUP($IV$1,'Datos Iniciales'!$E$34:$O$64,JA$158,FALSE())*JA65</f>
        <v>0</v>
      </c>
      <c r="JB163" s="196" t="n">
        <f aca="false">VLOOKUP($IV$1,'Datos Iniciales'!$E$34:$O$64,JB$158,FALSE())*JB65</f>
        <v>0</v>
      </c>
      <c r="JC163" s="196" t="n">
        <f aca="false">VLOOKUP($IV$1,'Datos Iniciales'!$E$34:$O$64,JC$158,FALSE())*JC65</f>
        <v>0</v>
      </c>
      <c r="JD163" s="196" t="n">
        <f aca="false">VLOOKUP($IV$1,'Datos Iniciales'!$E$34:$O$64,JD$158,FALSE())*JD65</f>
        <v>0</v>
      </c>
      <c r="JE163" s="196" t="n">
        <f aca="false">VLOOKUP($IV$1,'Datos Iniciales'!$E$34:$O$64,JE$158,FALSE())*JE65</f>
        <v>0</v>
      </c>
      <c r="JF163" s="197" t="n">
        <f aca="false">VLOOKUP($IV$1,'Datos Iniciales'!$E$34:$O$64,JF$158,FALSE())*JF65</f>
        <v>0</v>
      </c>
      <c r="JG163" s="194" t="str">
        <f aca="false">IV163</f>
        <v>Alumno4</v>
      </c>
      <c r="JH163" s="208" t="n">
        <f aca="false">VLOOKUP($JG$1,'Datos Iniciales'!$E$34:$O$64,JH$158,FALSE())*JH65</f>
        <v>0</v>
      </c>
      <c r="JI163" s="196" t="n">
        <f aca="false">VLOOKUP($JG$1,'Datos Iniciales'!$E$34:$O$64,JI$158,FALSE())*JI65</f>
        <v>0</v>
      </c>
      <c r="JJ163" s="196" t="n">
        <f aca="false">VLOOKUP($JG$1,'Datos Iniciales'!$E$34:$O$64,JJ$158,FALSE())*JJ65</f>
        <v>0</v>
      </c>
      <c r="JK163" s="196" t="n">
        <f aca="false">VLOOKUP($JG$1,'Datos Iniciales'!$E$34:$O$64,JK$158,FALSE())*JK65</f>
        <v>0</v>
      </c>
      <c r="JL163" s="196" t="n">
        <f aca="false">VLOOKUP($JG$1,'Datos Iniciales'!$E$34:$O$64,JL$158,FALSE())*JL65</f>
        <v>0</v>
      </c>
      <c r="JM163" s="196" t="n">
        <f aca="false">VLOOKUP($JG$1,'Datos Iniciales'!$E$34:$O$64,JM$158,FALSE())*JM65</f>
        <v>0</v>
      </c>
      <c r="JN163" s="196" t="n">
        <f aca="false">VLOOKUP($JG$1,'Datos Iniciales'!$E$34:$O$64,JN$158,FALSE())*JN65</f>
        <v>0</v>
      </c>
      <c r="JO163" s="196" t="n">
        <f aca="false">VLOOKUP($JG$1,'Datos Iniciales'!$E$34:$O$64,JO$158,FALSE())*JO65</f>
        <v>0</v>
      </c>
      <c r="JP163" s="196" t="n">
        <f aca="false">VLOOKUP($JG$1,'Datos Iniciales'!$E$34:$O$64,JP$158,FALSE())*JP65</f>
        <v>0</v>
      </c>
      <c r="JQ163" s="197" t="n">
        <f aca="false">VLOOKUP($JG$1,'Datos Iniciales'!$E$34:$O$64,JQ$158,FALSE())*JQ65</f>
        <v>0</v>
      </c>
      <c r="JR163" s="194" t="str">
        <f aca="false">JG163</f>
        <v>Alumno4</v>
      </c>
      <c r="JS163" s="208" t="n">
        <f aca="false">VLOOKUP($JR$1,'Datos Iniciales'!$E$34:$O$64,JS$158,FALSE())*JS65</f>
        <v>0</v>
      </c>
      <c r="JT163" s="196" t="n">
        <f aca="false">VLOOKUP($JR$1,'Datos Iniciales'!$E$34:$O$64,JT$158,FALSE())*JT65</f>
        <v>0</v>
      </c>
      <c r="JU163" s="196" t="n">
        <f aca="false">VLOOKUP($JR$1,'Datos Iniciales'!$E$34:$O$64,JU$158,FALSE())*JU65</f>
        <v>0</v>
      </c>
      <c r="JV163" s="196" t="n">
        <f aca="false">VLOOKUP($JR$1,'Datos Iniciales'!$E$34:$O$64,JV$158,FALSE())*JV65</f>
        <v>0</v>
      </c>
      <c r="JW163" s="196" t="n">
        <f aca="false">VLOOKUP($JR$1,'Datos Iniciales'!$E$34:$O$64,JW$158,FALSE())*JW65</f>
        <v>0</v>
      </c>
      <c r="JX163" s="196" t="n">
        <f aca="false">VLOOKUP($JR$1,'Datos Iniciales'!$E$34:$O$64,JX$158,FALSE())*JX65</f>
        <v>0</v>
      </c>
      <c r="JY163" s="196" t="n">
        <f aca="false">VLOOKUP($JR$1,'Datos Iniciales'!$E$34:$O$64,JY$158,FALSE())*JY65</f>
        <v>0</v>
      </c>
      <c r="JZ163" s="196" t="n">
        <f aca="false">VLOOKUP($JR$1,'Datos Iniciales'!$E$34:$O$64,JZ$158,FALSE())*JZ65</f>
        <v>0</v>
      </c>
      <c r="KA163" s="196" t="n">
        <f aca="false">VLOOKUP($JR$1,'Datos Iniciales'!$E$34:$O$64,KA$158,FALSE())*KA65</f>
        <v>0</v>
      </c>
      <c r="KB163" s="197" t="n">
        <f aca="false">VLOOKUP($JR$1,'Datos Iniciales'!$E$34:$O$64,KB$158,FALSE())*KB65</f>
        <v>0</v>
      </c>
      <c r="KC163" s="194" t="str">
        <f aca="false">JR163</f>
        <v>Alumno4</v>
      </c>
      <c r="KD163" s="208" t="n">
        <f aca="false">VLOOKUP($KC$1,'Datos Iniciales'!$E$34:$O$64,KD$158,FALSE())*KD65</f>
        <v>0</v>
      </c>
      <c r="KE163" s="196" t="n">
        <f aca="false">VLOOKUP($KC$1,'Datos Iniciales'!$E$34:$O$64,KE$158,FALSE())*KE65</f>
        <v>0</v>
      </c>
      <c r="KF163" s="196" t="n">
        <f aca="false">VLOOKUP($KC$1,'Datos Iniciales'!$E$34:$O$64,KF$158,FALSE())*KF65</f>
        <v>0</v>
      </c>
      <c r="KG163" s="196" t="n">
        <f aca="false">VLOOKUP($KC$1,'Datos Iniciales'!$E$34:$O$64,KG$158,FALSE())*KG65</f>
        <v>0</v>
      </c>
      <c r="KH163" s="196" t="n">
        <f aca="false">VLOOKUP($KC$1,'Datos Iniciales'!$E$34:$O$64,KH$158,FALSE())*KH65</f>
        <v>0</v>
      </c>
      <c r="KI163" s="196" t="n">
        <f aca="false">VLOOKUP($KC$1,'Datos Iniciales'!$E$34:$O$64,KI$158,FALSE())*KI65</f>
        <v>0</v>
      </c>
      <c r="KJ163" s="196" t="n">
        <f aca="false">VLOOKUP($KC$1,'Datos Iniciales'!$E$34:$O$64,KJ$158,FALSE())*KJ65</f>
        <v>0</v>
      </c>
      <c r="KK163" s="196" t="n">
        <f aca="false">VLOOKUP($KC$1,'Datos Iniciales'!$E$34:$O$64,KK$158,FALSE())*KK65</f>
        <v>0</v>
      </c>
      <c r="KL163" s="196" t="n">
        <f aca="false">VLOOKUP($KC$1,'Datos Iniciales'!$E$34:$O$64,KL$158,FALSE())*KL65</f>
        <v>0</v>
      </c>
      <c r="KM163" s="197" t="n">
        <f aca="false">VLOOKUP($KC$1,'Datos Iniciales'!$E$34:$O$64,KM$158,FALSE())*KM65</f>
        <v>0</v>
      </c>
      <c r="KN163" s="194" t="str">
        <f aca="false">KC163</f>
        <v>Alumno4</v>
      </c>
      <c r="KO163" s="208" t="n">
        <f aca="false">VLOOKUP($KN$1,'Datos Iniciales'!$E$34:$O$64,KO$158,FALSE())*KO65</f>
        <v>0</v>
      </c>
      <c r="KP163" s="196" t="n">
        <f aca="false">VLOOKUP($KN$1,'Datos Iniciales'!$E$34:$O$64,KP$158,FALSE())*KP65</f>
        <v>0</v>
      </c>
      <c r="KQ163" s="196" t="n">
        <f aca="false">VLOOKUP($KN$1,'Datos Iniciales'!$E$34:$O$64,KQ$158,FALSE())*KQ65</f>
        <v>0</v>
      </c>
      <c r="KR163" s="196" t="n">
        <f aca="false">VLOOKUP($KN$1,'Datos Iniciales'!$E$34:$O$64,KR$158,FALSE())*KR65</f>
        <v>0</v>
      </c>
      <c r="KS163" s="196" t="n">
        <f aca="false">VLOOKUP($KN$1,'Datos Iniciales'!$E$34:$O$64,KS$158,FALSE())*KS65</f>
        <v>0</v>
      </c>
      <c r="KT163" s="196" t="n">
        <f aca="false">VLOOKUP($KN$1,'Datos Iniciales'!$E$34:$O$64,KT$158,FALSE())*KT65</f>
        <v>0</v>
      </c>
      <c r="KU163" s="196" t="n">
        <f aca="false">VLOOKUP($KN$1,'Datos Iniciales'!$E$34:$O$64,KU$158,FALSE())*KU65</f>
        <v>0</v>
      </c>
      <c r="KV163" s="196" t="n">
        <f aca="false">VLOOKUP($KN$1,'Datos Iniciales'!$E$34:$O$64,KV$158,FALSE())*KV65</f>
        <v>0</v>
      </c>
      <c r="KW163" s="196" t="n">
        <f aca="false">VLOOKUP($KN$1,'Datos Iniciales'!$E$34:$O$64,KW$158,FALSE())*KW65</f>
        <v>0</v>
      </c>
      <c r="KX163" s="197" t="n">
        <f aca="false">VLOOKUP($KN$1,'Datos Iniciales'!$E$34:$O$64,KX$158,FALSE())*KX65</f>
        <v>0</v>
      </c>
      <c r="KY163" s="194" t="str">
        <f aca="false">KN163</f>
        <v>Alumno4</v>
      </c>
      <c r="KZ163" s="208" t="n">
        <f aca="false">VLOOKUP($KY$1,'Datos Iniciales'!$E$34:$O$64,KZ$158,FALSE())*KZ65</f>
        <v>0</v>
      </c>
      <c r="LA163" s="196" t="n">
        <f aca="false">VLOOKUP($KY$1,'Datos Iniciales'!$E$34:$O$64,LA$158,FALSE())*LA65</f>
        <v>0</v>
      </c>
      <c r="LB163" s="196" t="n">
        <f aca="false">VLOOKUP($KY$1,'Datos Iniciales'!$E$34:$O$64,LB$158,FALSE())*LB65</f>
        <v>0</v>
      </c>
      <c r="LC163" s="196" t="n">
        <f aca="false">VLOOKUP($KY$1,'Datos Iniciales'!$E$34:$O$64,LC$158,FALSE())*LC65</f>
        <v>0</v>
      </c>
      <c r="LD163" s="196" t="n">
        <f aca="false">VLOOKUP($KY$1,'Datos Iniciales'!$E$34:$O$64,LD$158,FALSE())*LD65</f>
        <v>0</v>
      </c>
      <c r="LE163" s="196" t="n">
        <f aca="false">VLOOKUP($KY$1,'Datos Iniciales'!$E$34:$O$64,LE$158,FALSE())*LE65</f>
        <v>0</v>
      </c>
      <c r="LF163" s="196" t="n">
        <f aca="false">VLOOKUP($KY$1,'Datos Iniciales'!$E$34:$O$64,LF$158,FALSE())*LF65</f>
        <v>0</v>
      </c>
      <c r="LG163" s="196" t="n">
        <f aca="false">VLOOKUP($KY$1,'Datos Iniciales'!$E$34:$O$64,LG$158,FALSE())*LG65</f>
        <v>0</v>
      </c>
      <c r="LH163" s="196" t="n">
        <f aca="false">VLOOKUP($KY$1,'Datos Iniciales'!$E$34:$O$64,LH$158,FALSE())*LH65</f>
        <v>0</v>
      </c>
      <c r="LI163" s="197" t="n">
        <f aca="false">VLOOKUP($KY$1,'Datos Iniciales'!$E$34:$O$64,LI$158,FALSE())*LI65</f>
        <v>0</v>
      </c>
      <c r="LJ163" s="194" t="str">
        <f aca="false">KY163</f>
        <v>Alumno4</v>
      </c>
      <c r="LK163" s="208" t="n">
        <f aca="false">VLOOKUP($LJ$1,'Datos Iniciales'!$E$34:$O$64,LK$158,FALSE())*LK65</f>
        <v>0</v>
      </c>
      <c r="LL163" s="196" t="n">
        <f aca="false">VLOOKUP($LJ$1,'Datos Iniciales'!$E$34:$O$64,LL$158,FALSE())*LL65</f>
        <v>0</v>
      </c>
      <c r="LM163" s="196" t="n">
        <f aca="false">VLOOKUP($LJ$1,'Datos Iniciales'!$E$34:$O$64,LM$158,FALSE())*LM65</f>
        <v>0</v>
      </c>
      <c r="LN163" s="196" t="n">
        <f aca="false">VLOOKUP($LJ$1,'Datos Iniciales'!$E$34:$O$64,LN$158,FALSE())*LN65</f>
        <v>0</v>
      </c>
      <c r="LO163" s="196" t="n">
        <f aca="false">VLOOKUP($LJ$1,'Datos Iniciales'!$E$34:$O$64,LO$158,FALSE())*LO65</f>
        <v>0</v>
      </c>
      <c r="LP163" s="196" t="n">
        <f aca="false">VLOOKUP($LJ$1,'Datos Iniciales'!$E$34:$O$64,LP$158,FALSE())*LP65</f>
        <v>0</v>
      </c>
      <c r="LQ163" s="196" t="n">
        <f aca="false">VLOOKUP($LJ$1,'Datos Iniciales'!$E$34:$O$64,LQ$158,FALSE())*LQ65</f>
        <v>0</v>
      </c>
      <c r="LR163" s="196" t="n">
        <f aca="false">VLOOKUP($LJ$1,'Datos Iniciales'!$E$34:$O$64,LR$158,FALSE())*LR65</f>
        <v>0</v>
      </c>
      <c r="LS163" s="196" t="n">
        <f aca="false">VLOOKUP($LJ$1,'Datos Iniciales'!$E$34:$O$64,LS$158,FALSE())*LS65</f>
        <v>0</v>
      </c>
      <c r="LT163" s="197" t="n">
        <f aca="false">VLOOKUP($LJ$1,'Datos Iniciales'!$E$34:$O$64,LT$158,FALSE())*LT65</f>
        <v>0</v>
      </c>
    </row>
    <row r="164" customFormat="false" ht="15" hidden="true" customHeight="false" outlineLevel="0" collapsed="false">
      <c r="C164" s="194" t="str">
        <f aca="false">C115</f>
        <v>Alumno5</v>
      </c>
      <c r="D164" s="208" t="n">
        <f aca="false">VLOOKUP($C$1,'Datos Iniciales'!$E$34:$O$64,D$158,FALSE())*D66</f>
        <v>0.8375</v>
      </c>
      <c r="E164" s="196" t="n">
        <f aca="false">VLOOKUP($C$1,'Datos Iniciales'!$E$34:$O$64,E$158,FALSE())*E66</f>
        <v>0</v>
      </c>
      <c r="F164" s="196" t="n">
        <f aca="false">VLOOKUP($C$1,'Datos Iniciales'!$E$34:$O$64,F$158,FALSE())*F66</f>
        <v>0</v>
      </c>
      <c r="G164" s="196" t="n">
        <f aca="false">VLOOKUP($C$1,'Datos Iniciales'!$E$34:$O$64,G$158,FALSE())*G66</f>
        <v>0</v>
      </c>
      <c r="H164" s="196" t="n">
        <f aca="false">VLOOKUP($C$1,'Datos Iniciales'!$E$34:$O$64,H$158,FALSE())*H66</f>
        <v>0</v>
      </c>
      <c r="I164" s="196" t="n">
        <f aca="false">VLOOKUP($C$1,'Datos Iniciales'!$E$34:$O$64,I$158,FALSE())*I66</f>
        <v>0</v>
      </c>
      <c r="J164" s="196" t="n">
        <f aca="false">VLOOKUP($C$1,'Datos Iniciales'!$E$34:$O$64,J$158,FALSE())*J66</f>
        <v>0</v>
      </c>
      <c r="K164" s="196" t="n">
        <f aca="false">VLOOKUP($C$1,'Datos Iniciales'!$E$34:$O$64,K$158,FALSE())*K66</f>
        <v>0</v>
      </c>
      <c r="L164" s="196" t="n">
        <f aca="false">VLOOKUP($C$1,'Datos Iniciales'!$E$34:$O$64,L$158,FALSE())*L66</f>
        <v>0</v>
      </c>
      <c r="M164" s="197" t="n">
        <f aca="false">VLOOKUP($C$1,'Datos Iniciales'!$E$34:$O$64,M$158,FALSE())*M66</f>
        <v>0</v>
      </c>
      <c r="N164" s="194" t="str">
        <f aca="false">C164</f>
        <v>Alumno5</v>
      </c>
      <c r="O164" s="208" t="n">
        <f aca="false">VLOOKUP($N$1,'Datos Iniciales'!$E$34:$O$64,O$158,FALSE())*O66</f>
        <v>1.8</v>
      </c>
      <c r="P164" s="196" t="n">
        <f aca="false">VLOOKUP($N$1,'Datos Iniciales'!$E$34:$O$64,P$158,FALSE())*P66</f>
        <v>1.8</v>
      </c>
      <c r="Q164" s="196" t="n">
        <f aca="false">VLOOKUP($N$1,'Datos Iniciales'!$E$34:$O$64,Q$158,FALSE())*Q66</f>
        <v>0</v>
      </c>
      <c r="R164" s="196" t="n">
        <f aca="false">VLOOKUP($N$1,'Datos Iniciales'!$E$34:$O$64,R$158,FALSE())*R66</f>
        <v>0</v>
      </c>
      <c r="S164" s="196" t="n">
        <f aca="false">VLOOKUP($N$1,'Datos Iniciales'!$E$34:$O$64,S$158,FALSE())*S66</f>
        <v>0</v>
      </c>
      <c r="T164" s="196" t="n">
        <f aca="false">VLOOKUP($N$1,'Datos Iniciales'!$E$34:$O$64,T$158,FALSE())*T66</f>
        <v>0</v>
      </c>
      <c r="U164" s="196" t="n">
        <f aca="false">VLOOKUP($N$1,'Datos Iniciales'!$E$34:$O$64,U$158,FALSE())*U66</f>
        <v>0</v>
      </c>
      <c r="V164" s="196" t="n">
        <f aca="false">VLOOKUP($N$1,'Datos Iniciales'!$E$34:$O$64,V$158,FALSE())*V66</f>
        <v>0</v>
      </c>
      <c r="W164" s="196" t="n">
        <f aca="false">VLOOKUP($N$1,'Datos Iniciales'!$E$34:$O$64,W$158,FALSE())*W66</f>
        <v>0</v>
      </c>
      <c r="X164" s="197" t="n">
        <f aca="false">VLOOKUP($N$1,'Datos Iniciales'!$E$34:$O$64,X$158,FALSE())*X66</f>
        <v>0</v>
      </c>
      <c r="Y164" s="194" t="str">
        <f aca="false">N164</f>
        <v>Alumno5</v>
      </c>
      <c r="Z164" s="208" t="n">
        <f aca="false">VLOOKUP($Y$1,'Datos Iniciales'!$E$34:$O$64,Z$158,FALSE())*Z66</f>
        <v>2.7</v>
      </c>
      <c r="AA164" s="196" t="n">
        <f aca="false">VLOOKUP($Y$1,'Datos Iniciales'!$E$34:$O$64,AA$158,FALSE())*AA66</f>
        <v>1.8</v>
      </c>
      <c r="AB164" s="196" t="n">
        <f aca="false">VLOOKUP($Y$1,'Datos Iniciales'!$E$34:$O$64,AB$158,FALSE())*AB66</f>
        <v>0.9</v>
      </c>
      <c r="AC164" s="196" t="n">
        <f aca="false">VLOOKUP($Y$1,'Datos Iniciales'!$E$34:$O$64,AC$158,FALSE())*AC66</f>
        <v>0</v>
      </c>
      <c r="AD164" s="196" t="n">
        <f aca="false">VLOOKUP($Y$1,'Datos Iniciales'!$E$34:$O$64,AD$158,FALSE())*AD66</f>
        <v>0</v>
      </c>
      <c r="AE164" s="196" t="n">
        <f aca="false">VLOOKUP($Y$1,'Datos Iniciales'!$E$34:$O$64,AE$158,FALSE())*AE66</f>
        <v>0</v>
      </c>
      <c r="AF164" s="196" t="n">
        <f aca="false">VLOOKUP($Y$1,'Datos Iniciales'!$E$34:$O$64,AF$158,FALSE())*AF66</f>
        <v>0</v>
      </c>
      <c r="AG164" s="196" t="n">
        <f aca="false">VLOOKUP($Y$1,'Datos Iniciales'!$E$34:$O$64,AG$158,FALSE())*AG66</f>
        <v>0</v>
      </c>
      <c r="AH164" s="196" t="n">
        <f aca="false">VLOOKUP($Y$1,'Datos Iniciales'!$E$34:$O$64,AH$158,FALSE())*AH66</f>
        <v>0</v>
      </c>
      <c r="AI164" s="197" t="n">
        <f aca="false">VLOOKUP($Y$1,'Datos Iniciales'!$E$34:$O$64,AI$158,FALSE())*AI66</f>
        <v>0</v>
      </c>
      <c r="AJ164" s="194" t="str">
        <f aca="false">Y164</f>
        <v>Alumno5</v>
      </c>
      <c r="AK164" s="208" t="n">
        <f aca="false">VLOOKUP($AJ$1,'Datos Iniciales'!$E$34:$O$64,AK$158,FALSE())*AK66</f>
        <v>0.9</v>
      </c>
      <c r="AL164" s="196" t="n">
        <f aca="false">VLOOKUP($AJ$1,'Datos Iniciales'!$E$34:$O$64,AL$158,FALSE())*AL66</f>
        <v>2.7</v>
      </c>
      <c r="AM164" s="196" t="n">
        <f aca="false">VLOOKUP($AJ$1,'Datos Iniciales'!$E$34:$O$64,AM$158,FALSE())*AM66</f>
        <v>3.15</v>
      </c>
      <c r="AN164" s="196" t="n">
        <f aca="false">VLOOKUP($AJ$1,'Datos Iniciales'!$E$34:$O$64,AN$158,FALSE())*AN66</f>
        <v>0</v>
      </c>
      <c r="AO164" s="196" t="n">
        <f aca="false">VLOOKUP($AJ$1,'Datos Iniciales'!$E$34:$O$64,AO$158,FALSE())*AO66</f>
        <v>0</v>
      </c>
      <c r="AP164" s="196" t="n">
        <f aca="false">VLOOKUP($AJ$1,'Datos Iniciales'!$E$34:$O$64,AP$158,FALSE())*AP66</f>
        <v>0</v>
      </c>
      <c r="AQ164" s="196" t="n">
        <f aca="false">VLOOKUP($AJ$1,'Datos Iniciales'!$E$34:$O$64,AQ$158,FALSE())*AQ66</f>
        <v>0</v>
      </c>
      <c r="AR164" s="196" t="n">
        <f aca="false">VLOOKUP($AJ$1,'Datos Iniciales'!$E$34:$O$64,AR$158,FALSE())*AR66</f>
        <v>0</v>
      </c>
      <c r="AS164" s="196" t="n">
        <f aca="false">VLOOKUP($AJ$1,'Datos Iniciales'!$E$34:$O$64,AS$158,FALSE())*AS66</f>
        <v>0</v>
      </c>
      <c r="AT164" s="197" t="n">
        <f aca="false">VLOOKUP($AJ$1,'Datos Iniciales'!$E$34:$O$64,AT$158,FALSE())*AT66</f>
        <v>0</v>
      </c>
      <c r="AU164" s="194" t="str">
        <f aca="false">AJ164</f>
        <v>Alumno5</v>
      </c>
      <c r="AV164" s="208" t="n">
        <f aca="false">VLOOKUP($AU$1,'Datos Iniciales'!$E$34:$O$64,AV$158,FALSE())*AV66</f>
        <v>0.15</v>
      </c>
      <c r="AW164" s="196" t="n">
        <f aca="false">VLOOKUP($AU$1,'Datos Iniciales'!$E$34:$O$64,AW$158,FALSE())*AW66</f>
        <v>0.3</v>
      </c>
      <c r="AX164" s="196" t="n">
        <f aca="false">VLOOKUP($AU$1,'Datos Iniciales'!$E$34:$O$64,AX$158,FALSE())*AX66</f>
        <v>0.96</v>
      </c>
      <c r="AY164" s="196" t="n">
        <f aca="false">VLOOKUP($AU$1,'Datos Iniciales'!$E$34:$O$64,AY$158,FALSE())*AY66</f>
        <v>0.5</v>
      </c>
      <c r="AZ164" s="196" t="n">
        <f aca="false">VLOOKUP($AU$1,'Datos Iniciales'!$E$34:$O$64,AZ$158,FALSE())*AZ66</f>
        <v>0</v>
      </c>
      <c r="BA164" s="196" t="n">
        <f aca="false">VLOOKUP($AU$1,'Datos Iniciales'!$E$34:$O$64,BA$158,FALSE())*BA66</f>
        <v>0</v>
      </c>
      <c r="BB164" s="196" t="n">
        <f aca="false">VLOOKUP($AU$1,'Datos Iniciales'!$E$34:$O$64,BB$158,FALSE())*BB66</f>
        <v>0</v>
      </c>
      <c r="BC164" s="196" t="n">
        <f aca="false">VLOOKUP($AU$1,'Datos Iniciales'!$E$34:$O$64,BC$158,FALSE())*BC66</f>
        <v>0</v>
      </c>
      <c r="BD164" s="196" t="n">
        <f aca="false">VLOOKUP($AU$1,'Datos Iniciales'!$E$34:$O$64,BD$158,FALSE())*BD66</f>
        <v>0</v>
      </c>
      <c r="BE164" s="197" t="n">
        <f aca="false">VLOOKUP($AU$1,'Datos Iniciales'!$E$34:$O$64,BE$158,FALSE())*BE66</f>
        <v>0</v>
      </c>
      <c r="BF164" s="194" t="str">
        <f aca="false">AU164</f>
        <v>Alumno5</v>
      </c>
      <c r="BG164" s="208" t="n">
        <f aca="false">VLOOKUP($BF$1,'Datos Iniciales'!$E$34:$O$64,BG$158,FALSE())*BG66</f>
        <v>0.3</v>
      </c>
      <c r="BH164" s="196" t="n">
        <f aca="false">VLOOKUP($BF$1,'Datos Iniciales'!$E$34:$O$64,BH$158,FALSE())*BH66</f>
        <v>0.45</v>
      </c>
      <c r="BI164" s="196" t="n">
        <f aca="false">VLOOKUP($BF$1,'Datos Iniciales'!$E$34:$O$64,BI$158,FALSE())*BI66</f>
        <v>0.2</v>
      </c>
      <c r="BJ164" s="196" t="n">
        <f aca="false">VLOOKUP($BF$1,'Datos Iniciales'!$E$34:$O$64,BJ$158,FALSE())*BJ66</f>
        <v>1.84</v>
      </c>
      <c r="BK164" s="196" t="n">
        <f aca="false">VLOOKUP($BF$1,'Datos Iniciales'!$E$34:$O$64,BK$158,FALSE())*BK66</f>
        <v>0</v>
      </c>
      <c r="BL164" s="196" t="n">
        <f aca="false">VLOOKUP($BF$1,'Datos Iniciales'!$E$34:$O$64,BL$158,FALSE())*BL66</f>
        <v>0</v>
      </c>
      <c r="BM164" s="196" t="n">
        <f aca="false">VLOOKUP($BF$1,'Datos Iniciales'!$E$34:$O$64,BM$158,FALSE())*BM66</f>
        <v>0</v>
      </c>
      <c r="BN164" s="196" t="n">
        <f aca="false">VLOOKUP($BF$1,'Datos Iniciales'!$E$34:$O$64,BN$158,FALSE())*BN66</f>
        <v>0</v>
      </c>
      <c r="BO164" s="196" t="n">
        <f aca="false">VLOOKUP($BF$1,'Datos Iniciales'!$E$34:$O$64,BO$158,FALSE())*BO66</f>
        <v>0</v>
      </c>
      <c r="BP164" s="197" t="n">
        <f aca="false">VLOOKUP($BF$1,'Datos Iniciales'!$E$34:$O$64,BP$158,FALSE())*BP66</f>
        <v>0</v>
      </c>
      <c r="BQ164" s="194" t="str">
        <f aca="false">BF164</f>
        <v>Alumno5</v>
      </c>
      <c r="BR164" s="208" t="n">
        <f aca="false">VLOOKUP($BQ$1,'Datos Iniciales'!$E$34:$O$64,BR$158,FALSE())*BR66</f>
        <v>0</v>
      </c>
      <c r="BS164" s="196" t="n">
        <f aca="false">VLOOKUP($BQ$1,'Datos Iniciales'!$E$34:$O$64,BS$158,FALSE())*BS66</f>
        <v>0.5</v>
      </c>
      <c r="BT164" s="196" t="n">
        <f aca="false">VLOOKUP($BQ$1,'Datos Iniciales'!$E$34:$O$64,BT$158,FALSE())*BT66</f>
        <v>1.45</v>
      </c>
      <c r="BU164" s="196" t="n">
        <f aca="false">VLOOKUP($BQ$1,'Datos Iniciales'!$E$34:$O$64,BU$158,FALSE())*BU66</f>
        <v>4.8</v>
      </c>
      <c r="BV164" s="196" t="n">
        <f aca="false">VLOOKUP($BQ$1,'Datos Iniciales'!$E$34:$O$64,BV$158,FALSE())*BV66</f>
        <v>0</v>
      </c>
      <c r="BW164" s="196" t="n">
        <f aca="false">VLOOKUP($BQ$1,'Datos Iniciales'!$E$34:$O$64,BW$158,FALSE())*BW66</f>
        <v>0</v>
      </c>
      <c r="BX164" s="196" t="n">
        <f aca="false">VLOOKUP($BQ$1,'Datos Iniciales'!$E$34:$O$64,BX$158,FALSE())*BX66</f>
        <v>0</v>
      </c>
      <c r="BY164" s="196" t="n">
        <f aca="false">VLOOKUP($BQ$1,'Datos Iniciales'!$E$34:$O$64,BY$158,FALSE())*BY66</f>
        <v>0</v>
      </c>
      <c r="BZ164" s="196" t="n">
        <f aca="false">VLOOKUP($BQ$1,'Datos Iniciales'!$E$34:$O$64,BZ$158,FALSE())*BZ66</f>
        <v>0</v>
      </c>
      <c r="CA164" s="197" t="n">
        <f aca="false">VLOOKUP($BQ$1,'Datos Iniciales'!$E$34:$O$64,CA$158,FALSE())*CA66</f>
        <v>0</v>
      </c>
      <c r="CB164" s="194" t="str">
        <f aca="false">BQ164</f>
        <v>Alumno5</v>
      </c>
      <c r="CC164" s="208" t="n">
        <f aca="false">VLOOKUP($CB$1,'Datos Iniciales'!$E$34:$O$64,CC$158,FALSE())*CC66</f>
        <v>0</v>
      </c>
      <c r="CD164" s="196" t="n">
        <f aca="false">VLOOKUP($CB$1,'Datos Iniciales'!$E$34:$O$64,CD$158,FALSE())*CD66</f>
        <v>0</v>
      </c>
      <c r="CE164" s="196" t="n">
        <f aca="false">VLOOKUP($CB$1,'Datos Iniciales'!$E$34:$O$64,CE$158,FALSE())*CE66</f>
        <v>0</v>
      </c>
      <c r="CF164" s="196" t="n">
        <f aca="false">VLOOKUP($CB$1,'Datos Iniciales'!$E$34:$O$64,CF$158,FALSE())*CF66</f>
        <v>0</v>
      </c>
      <c r="CG164" s="196" t="n">
        <f aca="false">VLOOKUP($CB$1,'Datos Iniciales'!$E$34:$O$64,CG$158,FALSE())*CG66</f>
        <v>0</v>
      </c>
      <c r="CH164" s="196" t="n">
        <f aca="false">VLOOKUP($CB$1,'Datos Iniciales'!$E$34:$O$64,CH$158,FALSE())*CH66</f>
        <v>0</v>
      </c>
      <c r="CI164" s="196" t="n">
        <f aca="false">VLOOKUP($CB$1,'Datos Iniciales'!$E$34:$O$64,CI$158,FALSE())*CI66</f>
        <v>0</v>
      </c>
      <c r="CJ164" s="196" t="n">
        <f aca="false">VLOOKUP($CB$1,'Datos Iniciales'!$E$34:$O$64,CJ$158,FALSE())*CJ66</f>
        <v>0</v>
      </c>
      <c r="CK164" s="196" t="n">
        <f aca="false">VLOOKUP($CB$1,'Datos Iniciales'!$E$34:$O$64,CK$158,FALSE())*CK66</f>
        <v>0</v>
      </c>
      <c r="CL164" s="197" t="n">
        <f aca="false">VLOOKUP($CB$1,'Datos Iniciales'!$E$34:$O$64,CL$158,FALSE())*CL66</f>
        <v>0</v>
      </c>
      <c r="CM164" s="194" t="str">
        <f aca="false">CB164</f>
        <v>Alumno5</v>
      </c>
      <c r="CN164" s="208" t="n">
        <f aca="false">VLOOKUP($CM$1,'Datos Iniciales'!$E$34:$O$64,CN$158,FALSE())*CN66</f>
        <v>0</v>
      </c>
      <c r="CO164" s="196" t="n">
        <f aca="false">VLOOKUP($CM$1,'Datos Iniciales'!$E$34:$O$64,CO$158,FALSE())*CO66</f>
        <v>0</v>
      </c>
      <c r="CP164" s="196" t="n">
        <f aca="false">VLOOKUP($CM$1,'Datos Iniciales'!$E$34:$O$64,CP$158,FALSE())*CP66</f>
        <v>0</v>
      </c>
      <c r="CQ164" s="196" t="n">
        <f aca="false">VLOOKUP($CM$1,'Datos Iniciales'!$E$34:$O$64,CQ$158,FALSE())*CQ66</f>
        <v>0</v>
      </c>
      <c r="CR164" s="196" t="n">
        <f aca="false">VLOOKUP($CM$1,'Datos Iniciales'!$E$34:$O$64,CR$158,FALSE())*CR66</f>
        <v>0</v>
      </c>
      <c r="CS164" s="196" t="n">
        <f aca="false">VLOOKUP($CM$1,'Datos Iniciales'!$E$34:$O$64,CS$158,FALSE())*CS66</f>
        <v>0</v>
      </c>
      <c r="CT164" s="196" t="n">
        <f aca="false">VLOOKUP($CM$1,'Datos Iniciales'!$E$34:$O$64,CT$158,FALSE())*CT66</f>
        <v>0</v>
      </c>
      <c r="CU164" s="196" t="n">
        <f aca="false">VLOOKUP($CM$1,'Datos Iniciales'!$E$34:$O$64,CU$158,FALSE())*CU66</f>
        <v>0</v>
      </c>
      <c r="CV164" s="196" t="n">
        <f aca="false">VLOOKUP($CM$1,'Datos Iniciales'!$E$34:$O$64,CV$158,FALSE())*CV66</f>
        <v>0</v>
      </c>
      <c r="CW164" s="197" t="n">
        <f aca="false">VLOOKUP($CM$1,'Datos Iniciales'!$E$34:$O$64,CW$158,FALSE())*CW66</f>
        <v>0</v>
      </c>
      <c r="CX164" s="194" t="str">
        <f aca="false">CM164</f>
        <v>Alumno5</v>
      </c>
      <c r="CY164" s="208" t="n">
        <f aca="false">VLOOKUP($CX$1,'Datos Iniciales'!$E$34:$O$64,CY$158,FALSE())*CY66</f>
        <v>0</v>
      </c>
      <c r="CZ164" s="196" t="n">
        <f aca="false">VLOOKUP($CX$1,'Datos Iniciales'!$E$34:$O$64,CZ$158,FALSE())*CZ66</f>
        <v>0</v>
      </c>
      <c r="DA164" s="196" t="n">
        <f aca="false">VLOOKUP($CX$1,'Datos Iniciales'!$E$34:$O$64,DA$158,FALSE())*DA66</f>
        <v>0</v>
      </c>
      <c r="DB164" s="196" t="n">
        <f aca="false">VLOOKUP($CX$1,'Datos Iniciales'!$E$34:$O$64,DB$158,FALSE())*DB66</f>
        <v>0</v>
      </c>
      <c r="DC164" s="196" t="n">
        <f aca="false">VLOOKUP($CX$1,'Datos Iniciales'!$E$34:$O$64,DC$158,FALSE())*DC66</f>
        <v>0</v>
      </c>
      <c r="DD164" s="196" t="n">
        <f aca="false">VLOOKUP($CX$1,'Datos Iniciales'!$E$34:$O$64,DD$158,FALSE())*DD66</f>
        <v>0</v>
      </c>
      <c r="DE164" s="196" t="n">
        <f aca="false">VLOOKUP($CX$1,'Datos Iniciales'!$E$34:$O$64,DE$158,FALSE())*DE66</f>
        <v>0</v>
      </c>
      <c r="DF164" s="196" t="n">
        <f aca="false">VLOOKUP($CX$1,'Datos Iniciales'!$E$34:$O$64,DF$158,FALSE())*DF66</f>
        <v>0</v>
      </c>
      <c r="DG164" s="196" t="n">
        <f aca="false">VLOOKUP($CX$1,'Datos Iniciales'!$E$34:$O$64,DG$158,FALSE())*DG66</f>
        <v>0</v>
      </c>
      <c r="DH164" s="197" t="n">
        <f aca="false">VLOOKUP($CX$1,'Datos Iniciales'!$E$34:$O$64,DH$158,FALSE())*DH66</f>
        <v>0</v>
      </c>
      <c r="DI164" s="194" t="str">
        <f aca="false">CX164</f>
        <v>Alumno5</v>
      </c>
      <c r="DJ164" s="208" t="n">
        <f aca="false">VLOOKUP($DI$1,'Datos Iniciales'!$E$34:$O$64,DJ$158,FALSE())*DJ66</f>
        <v>0</v>
      </c>
      <c r="DK164" s="196" t="n">
        <f aca="false">VLOOKUP($DI$1,'Datos Iniciales'!$E$34:$O$64,DK$158,FALSE())*DK66</f>
        <v>0</v>
      </c>
      <c r="DL164" s="196" t="n">
        <f aca="false">VLOOKUP($DI$1,'Datos Iniciales'!$E$34:$O$64,DL$158,FALSE())*DL66</f>
        <v>0</v>
      </c>
      <c r="DM164" s="196" t="n">
        <f aca="false">VLOOKUP($DI$1,'Datos Iniciales'!$E$34:$O$64,DM$158,FALSE())*DM66</f>
        <v>0</v>
      </c>
      <c r="DN164" s="196" t="n">
        <f aca="false">VLOOKUP($DI$1,'Datos Iniciales'!$E$34:$O$64,DN$158,FALSE())*DN66</f>
        <v>0</v>
      </c>
      <c r="DO164" s="196" t="n">
        <f aca="false">VLOOKUP($DI$1,'Datos Iniciales'!$E$34:$O$64,DO$158,FALSE())*DO66</f>
        <v>0</v>
      </c>
      <c r="DP164" s="196" t="n">
        <f aca="false">VLOOKUP($DI$1,'Datos Iniciales'!$E$34:$O$64,DP$158,FALSE())*DP66</f>
        <v>0</v>
      </c>
      <c r="DQ164" s="196" t="n">
        <f aca="false">VLOOKUP($DI$1,'Datos Iniciales'!$E$34:$O$64,DQ$158,FALSE())*DQ66</f>
        <v>0</v>
      </c>
      <c r="DR164" s="196" t="n">
        <f aca="false">VLOOKUP($DI$1,'Datos Iniciales'!$E$34:$O$64,DR$158,FALSE())*DR66</f>
        <v>0</v>
      </c>
      <c r="DS164" s="197" t="n">
        <f aca="false">VLOOKUP($DI$1,'Datos Iniciales'!$E$34:$O$64,DS$158,FALSE())*DS66</f>
        <v>0</v>
      </c>
      <c r="DT164" s="194" t="str">
        <f aca="false">DI164</f>
        <v>Alumno5</v>
      </c>
      <c r="DU164" s="208" t="n">
        <f aca="false">VLOOKUP($DT$1,'Datos Iniciales'!$E$34:$O$64,DU$158,FALSE())*DU66</f>
        <v>0</v>
      </c>
      <c r="DV164" s="196" t="n">
        <f aca="false">VLOOKUP($DT$1,'Datos Iniciales'!$E$34:$O$64,DV$158,FALSE())*DV66</f>
        <v>0</v>
      </c>
      <c r="DW164" s="196" t="n">
        <f aca="false">VLOOKUP($DT$1,'Datos Iniciales'!$E$34:$O$64,DW$158,FALSE())*DW66</f>
        <v>0</v>
      </c>
      <c r="DX164" s="196" t="n">
        <f aca="false">VLOOKUP($DT$1,'Datos Iniciales'!$E$34:$O$64,DX$158,FALSE())*DX66</f>
        <v>0</v>
      </c>
      <c r="DY164" s="196" t="n">
        <f aca="false">VLOOKUP($DT$1,'Datos Iniciales'!$E$34:$O$64,DY$158,FALSE())*DY66</f>
        <v>0</v>
      </c>
      <c r="DZ164" s="196" t="n">
        <f aca="false">VLOOKUP($DT$1,'Datos Iniciales'!$E$34:$O$64,DZ$158,FALSE())*DZ66</f>
        <v>0</v>
      </c>
      <c r="EA164" s="196" t="n">
        <f aca="false">VLOOKUP($DT$1,'Datos Iniciales'!$E$34:$O$64,EA$158,FALSE())*EA66</f>
        <v>0</v>
      </c>
      <c r="EB164" s="196" t="n">
        <f aca="false">VLOOKUP($DT$1,'Datos Iniciales'!$E$34:$O$64,EB$158,FALSE())*EB66</f>
        <v>0</v>
      </c>
      <c r="EC164" s="196" t="n">
        <f aca="false">VLOOKUP($DT$1,'Datos Iniciales'!$E$34:$O$64,EC$158,FALSE())*EC66</f>
        <v>0</v>
      </c>
      <c r="ED164" s="197" t="n">
        <f aca="false">VLOOKUP($DT$1,'Datos Iniciales'!$E$34:$O$64,ED$158,FALSE())*ED66</f>
        <v>0</v>
      </c>
      <c r="EE164" s="194" t="str">
        <f aca="false">DT164</f>
        <v>Alumno5</v>
      </c>
      <c r="EF164" s="208" t="n">
        <f aca="false">VLOOKUP($EE$1,'Datos Iniciales'!$E$34:$O$64,EF$158,FALSE())*EF66</f>
        <v>0</v>
      </c>
      <c r="EG164" s="196" t="n">
        <f aca="false">VLOOKUP($EE$1,'Datos Iniciales'!$E$34:$O$64,EG$158,FALSE())*EG66</f>
        <v>0</v>
      </c>
      <c r="EH164" s="196" t="n">
        <f aca="false">VLOOKUP($EE$1,'Datos Iniciales'!$E$34:$O$64,EH$158,FALSE())*EH66</f>
        <v>0</v>
      </c>
      <c r="EI164" s="196" t="n">
        <f aca="false">VLOOKUP($EE$1,'Datos Iniciales'!$E$34:$O$64,EI$158,FALSE())*EI66</f>
        <v>0</v>
      </c>
      <c r="EJ164" s="196" t="n">
        <f aca="false">VLOOKUP($EE$1,'Datos Iniciales'!$E$34:$O$64,EJ$158,FALSE())*EJ66</f>
        <v>0</v>
      </c>
      <c r="EK164" s="196" t="n">
        <f aca="false">VLOOKUP($EE$1,'Datos Iniciales'!$E$34:$O$64,EK$158,FALSE())*EK66</f>
        <v>0</v>
      </c>
      <c r="EL164" s="196" t="n">
        <f aca="false">VLOOKUP($EE$1,'Datos Iniciales'!$E$34:$O$64,EL$158,FALSE())*EL66</f>
        <v>0</v>
      </c>
      <c r="EM164" s="196" t="n">
        <f aca="false">VLOOKUP($EE$1,'Datos Iniciales'!$E$34:$O$64,EM$158,FALSE())*EM66</f>
        <v>0</v>
      </c>
      <c r="EN164" s="196" t="n">
        <f aca="false">VLOOKUP($EE$1,'Datos Iniciales'!$E$34:$O$64,EN$158,FALSE())*EN66</f>
        <v>0</v>
      </c>
      <c r="EO164" s="197" t="n">
        <f aca="false">VLOOKUP($EE$1,'Datos Iniciales'!$E$34:$O$64,EO$158,FALSE())*EO66</f>
        <v>0</v>
      </c>
      <c r="EP164" s="194" t="str">
        <f aca="false">EE164</f>
        <v>Alumno5</v>
      </c>
      <c r="EQ164" s="208" t="n">
        <f aca="false">VLOOKUP($EP$1,'Datos Iniciales'!$E$34:$O$64,EQ$158,FALSE())*EQ66</f>
        <v>0</v>
      </c>
      <c r="ER164" s="196" t="n">
        <f aca="false">VLOOKUP($EP$1,'Datos Iniciales'!$E$34:$O$64,ER$158,FALSE())*ER66</f>
        <v>0</v>
      </c>
      <c r="ES164" s="196" t="n">
        <f aca="false">VLOOKUP($EP$1,'Datos Iniciales'!$E$34:$O$64,ES$158,FALSE())*ES66</f>
        <v>0</v>
      </c>
      <c r="ET164" s="196" t="n">
        <f aca="false">VLOOKUP($EP$1,'Datos Iniciales'!$E$34:$O$64,ET$158,FALSE())*ET66</f>
        <v>0</v>
      </c>
      <c r="EU164" s="196" t="n">
        <f aca="false">VLOOKUP($EP$1,'Datos Iniciales'!$E$34:$O$64,EU$158,FALSE())*EU66</f>
        <v>0</v>
      </c>
      <c r="EV164" s="196" t="n">
        <f aca="false">VLOOKUP($EP$1,'Datos Iniciales'!$E$34:$O$64,EV$158,FALSE())*EV66</f>
        <v>0</v>
      </c>
      <c r="EW164" s="196" t="n">
        <f aca="false">VLOOKUP($EP$1,'Datos Iniciales'!$E$34:$O$64,EW$158,FALSE())*EW66</f>
        <v>0</v>
      </c>
      <c r="EX164" s="196" t="n">
        <f aca="false">VLOOKUP($EP$1,'Datos Iniciales'!$E$34:$O$64,EX$158,FALSE())*EX66</f>
        <v>0</v>
      </c>
      <c r="EY164" s="196" t="n">
        <f aca="false">VLOOKUP($EP$1,'Datos Iniciales'!$E$34:$O$64,EY$158,FALSE())*EY66</f>
        <v>0</v>
      </c>
      <c r="EZ164" s="197" t="n">
        <f aca="false">VLOOKUP($EP$1,'Datos Iniciales'!$E$34:$O$64,EZ$158,FALSE())*EZ66</f>
        <v>0</v>
      </c>
      <c r="FA164" s="194" t="str">
        <f aca="false">EP164</f>
        <v>Alumno5</v>
      </c>
      <c r="FB164" s="208" t="n">
        <f aca="false">VLOOKUP($FA$1,'Datos Iniciales'!$E$34:$O$64,FB$158,FALSE())*FB66</f>
        <v>0</v>
      </c>
      <c r="FC164" s="196" t="n">
        <f aca="false">VLOOKUP($FA$1,'Datos Iniciales'!$E$34:$O$64,FC$158,FALSE())*FC66</f>
        <v>0</v>
      </c>
      <c r="FD164" s="196" t="n">
        <f aca="false">VLOOKUP($FA$1,'Datos Iniciales'!$E$34:$O$64,FD$158,FALSE())*FD66</f>
        <v>0</v>
      </c>
      <c r="FE164" s="196" t="n">
        <f aca="false">VLOOKUP($FA$1,'Datos Iniciales'!$E$34:$O$64,FE$158,FALSE())*FE66</f>
        <v>0</v>
      </c>
      <c r="FF164" s="196" t="n">
        <f aca="false">VLOOKUP($FA$1,'Datos Iniciales'!$E$34:$O$64,FF$158,FALSE())*FF66</f>
        <v>0</v>
      </c>
      <c r="FG164" s="196" t="n">
        <f aca="false">VLOOKUP($FA$1,'Datos Iniciales'!$E$34:$O$64,FG$158,FALSE())*FG66</f>
        <v>0</v>
      </c>
      <c r="FH164" s="196" t="n">
        <f aca="false">VLOOKUP($FA$1,'Datos Iniciales'!$E$34:$O$64,FH$158,FALSE())*FH66</f>
        <v>0</v>
      </c>
      <c r="FI164" s="196" t="n">
        <f aca="false">VLOOKUP($FA$1,'Datos Iniciales'!$E$34:$O$64,FI$158,FALSE())*FI66</f>
        <v>0</v>
      </c>
      <c r="FJ164" s="196" t="n">
        <f aca="false">VLOOKUP($FA$1,'Datos Iniciales'!$E$34:$O$64,FJ$158,FALSE())*FJ66</f>
        <v>0</v>
      </c>
      <c r="FK164" s="197" t="n">
        <f aca="false">VLOOKUP($FA$1,'Datos Iniciales'!$E$34:$O$64,FK$158,FALSE())*FK66</f>
        <v>0</v>
      </c>
      <c r="FL164" s="194" t="str">
        <f aca="false">FA164</f>
        <v>Alumno5</v>
      </c>
      <c r="FM164" s="208" t="n">
        <f aca="false">VLOOKUP($FL$1,'Datos Iniciales'!$E$34:$O$64,FM$158,FALSE())*FM66</f>
        <v>0</v>
      </c>
      <c r="FN164" s="196" t="n">
        <f aca="false">VLOOKUP($FL$1,'Datos Iniciales'!$E$34:$O$64,FN$158,FALSE())*FN66</f>
        <v>0</v>
      </c>
      <c r="FO164" s="196" t="n">
        <f aca="false">VLOOKUP($FL$1,'Datos Iniciales'!$E$34:$O$64,FO$158,FALSE())*FO66</f>
        <v>0</v>
      </c>
      <c r="FP164" s="196" t="n">
        <f aca="false">VLOOKUP($FL$1,'Datos Iniciales'!$E$34:$O$64,FP$158,FALSE())*FP66</f>
        <v>0</v>
      </c>
      <c r="FQ164" s="196" t="n">
        <f aca="false">VLOOKUP($FL$1,'Datos Iniciales'!$E$34:$O$64,FQ$158,FALSE())*FQ66</f>
        <v>0</v>
      </c>
      <c r="FR164" s="196" t="n">
        <f aca="false">VLOOKUP($FL$1,'Datos Iniciales'!$E$34:$O$64,FR$158,FALSE())*FR66</f>
        <v>0</v>
      </c>
      <c r="FS164" s="196" t="n">
        <f aca="false">VLOOKUP($FL$1,'Datos Iniciales'!$E$34:$O$64,FS$158,FALSE())*FS66</f>
        <v>0</v>
      </c>
      <c r="FT164" s="196" t="n">
        <f aca="false">VLOOKUP($FL$1,'Datos Iniciales'!$E$34:$O$64,FT$158,FALSE())*FT66</f>
        <v>0</v>
      </c>
      <c r="FU164" s="196" t="n">
        <f aca="false">VLOOKUP($FL$1,'Datos Iniciales'!$E$34:$O$64,FU$158,FALSE())*FU66</f>
        <v>0</v>
      </c>
      <c r="FV164" s="197" t="n">
        <f aca="false">VLOOKUP($FL$1,'Datos Iniciales'!$E$34:$O$64,FV$158,FALSE())*FV66</f>
        <v>0</v>
      </c>
      <c r="FW164" s="194" t="str">
        <f aca="false">FL164</f>
        <v>Alumno5</v>
      </c>
      <c r="FX164" s="208" t="n">
        <f aca="false">VLOOKUP($FW$1,'Datos Iniciales'!$E$34:$O$64,FX$158,FALSE())*FX66</f>
        <v>0</v>
      </c>
      <c r="FY164" s="196" t="n">
        <f aca="false">VLOOKUP($FW$1,'Datos Iniciales'!$E$34:$O$64,FY$158,FALSE())*FY66</f>
        <v>0</v>
      </c>
      <c r="FZ164" s="196" t="n">
        <f aca="false">VLOOKUP($FW$1,'Datos Iniciales'!$E$34:$O$64,FZ$158,FALSE())*FZ66</f>
        <v>0</v>
      </c>
      <c r="GA164" s="196" t="n">
        <f aca="false">VLOOKUP($FW$1,'Datos Iniciales'!$E$34:$O$64,GA$158,FALSE())*GA66</f>
        <v>0</v>
      </c>
      <c r="GB164" s="196" t="n">
        <f aca="false">VLOOKUP($FW$1,'Datos Iniciales'!$E$34:$O$64,GB$158,FALSE())*GB66</f>
        <v>0</v>
      </c>
      <c r="GC164" s="196" t="n">
        <f aca="false">VLOOKUP($FW$1,'Datos Iniciales'!$E$34:$O$64,GC$158,FALSE())*GC66</f>
        <v>0</v>
      </c>
      <c r="GD164" s="196" t="n">
        <f aca="false">VLOOKUP($FW$1,'Datos Iniciales'!$E$34:$O$64,GD$158,FALSE())*GD66</f>
        <v>0</v>
      </c>
      <c r="GE164" s="196" t="n">
        <f aca="false">VLOOKUP($FW$1,'Datos Iniciales'!$E$34:$O$64,GE$158,FALSE())*GE66</f>
        <v>0</v>
      </c>
      <c r="GF164" s="196" t="n">
        <f aca="false">VLOOKUP($FW$1,'Datos Iniciales'!$E$34:$O$64,GF$158,FALSE())*GF66</f>
        <v>0</v>
      </c>
      <c r="GG164" s="197" t="n">
        <f aca="false">VLOOKUP($FW$1,'Datos Iniciales'!$E$34:$O$64,GG$158,FALSE())*GG66</f>
        <v>0</v>
      </c>
      <c r="GH164" s="194" t="str">
        <f aca="false">FW164</f>
        <v>Alumno5</v>
      </c>
      <c r="GI164" s="208" t="n">
        <f aca="false">VLOOKUP($GH$1,'Datos Iniciales'!$E$34:$O$64,GI$158,FALSE())*GI66</f>
        <v>0</v>
      </c>
      <c r="GJ164" s="196" t="n">
        <f aca="false">VLOOKUP($GH$1,'Datos Iniciales'!$E$34:$O$64,GJ$158,FALSE())*GJ66</f>
        <v>0</v>
      </c>
      <c r="GK164" s="196" t="n">
        <f aca="false">VLOOKUP($GH$1,'Datos Iniciales'!$E$34:$O$64,GK$158,FALSE())*GK66</f>
        <v>0</v>
      </c>
      <c r="GL164" s="196" t="n">
        <f aca="false">VLOOKUP($GH$1,'Datos Iniciales'!$E$34:$O$64,GL$158,FALSE())*GL66</f>
        <v>0</v>
      </c>
      <c r="GM164" s="196" t="n">
        <f aca="false">VLOOKUP($GH$1,'Datos Iniciales'!$E$34:$O$64,GM$158,FALSE())*GM66</f>
        <v>0</v>
      </c>
      <c r="GN164" s="196" t="n">
        <f aca="false">VLOOKUP($GH$1,'Datos Iniciales'!$E$34:$O$64,GN$158,FALSE())*GN66</f>
        <v>0</v>
      </c>
      <c r="GO164" s="196" t="n">
        <f aca="false">VLOOKUP($GH$1,'Datos Iniciales'!$E$34:$O$64,GO$158,FALSE())*GO66</f>
        <v>0</v>
      </c>
      <c r="GP164" s="196" t="n">
        <f aca="false">VLOOKUP($GH$1,'Datos Iniciales'!$E$34:$O$64,GP$158,FALSE())*GP66</f>
        <v>0</v>
      </c>
      <c r="GQ164" s="196" t="n">
        <f aca="false">VLOOKUP($GH$1,'Datos Iniciales'!$E$34:$O$64,GQ$158,FALSE())*GQ66</f>
        <v>0</v>
      </c>
      <c r="GR164" s="197" t="n">
        <f aca="false">VLOOKUP($GH$1,'Datos Iniciales'!$E$34:$O$64,GR$158,FALSE())*GR66</f>
        <v>0</v>
      </c>
      <c r="GS164" s="194" t="str">
        <f aca="false">GH164</f>
        <v>Alumno5</v>
      </c>
      <c r="GT164" s="208" t="n">
        <f aca="false">VLOOKUP($GS$1,'Datos Iniciales'!$E$34:$O$64,GT$158,FALSE())*GT66</f>
        <v>0</v>
      </c>
      <c r="GU164" s="196" t="n">
        <f aca="false">VLOOKUP($GS$1,'Datos Iniciales'!$E$34:$O$64,GU$158,FALSE())*GU66</f>
        <v>0</v>
      </c>
      <c r="GV164" s="196" t="n">
        <f aca="false">VLOOKUP($GS$1,'Datos Iniciales'!$E$34:$O$64,GV$158,FALSE())*GV66</f>
        <v>0</v>
      </c>
      <c r="GW164" s="196" t="n">
        <f aca="false">VLOOKUP($GS$1,'Datos Iniciales'!$E$34:$O$64,GW$158,FALSE())*GW66</f>
        <v>0</v>
      </c>
      <c r="GX164" s="196" t="n">
        <f aca="false">VLOOKUP($GS$1,'Datos Iniciales'!$E$34:$O$64,GX$158,FALSE())*GX66</f>
        <v>0</v>
      </c>
      <c r="GY164" s="196" t="n">
        <f aca="false">VLOOKUP($GS$1,'Datos Iniciales'!$E$34:$O$64,GY$158,FALSE())*GY66</f>
        <v>0</v>
      </c>
      <c r="GZ164" s="196" t="n">
        <f aca="false">VLOOKUP($GS$1,'Datos Iniciales'!$E$34:$O$64,GZ$158,FALSE())*GZ66</f>
        <v>0</v>
      </c>
      <c r="HA164" s="196" t="n">
        <f aca="false">VLOOKUP($GS$1,'Datos Iniciales'!$E$34:$O$64,HA$158,FALSE())*HA66</f>
        <v>0</v>
      </c>
      <c r="HB164" s="196" t="n">
        <f aca="false">VLOOKUP($GS$1,'Datos Iniciales'!$E$34:$O$64,HB$158,FALSE())*HB66</f>
        <v>0</v>
      </c>
      <c r="HC164" s="197" t="n">
        <f aca="false">VLOOKUP($GS$1,'Datos Iniciales'!$E$34:$O$64,HC$158,FALSE())*HC66</f>
        <v>0</v>
      </c>
      <c r="HD164" s="194" t="str">
        <f aca="false">GS164</f>
        <v>Alumno5</v>
      </c>
      <c r="HE164" s="208" t="n">
        <f aca="false">VLOOKUP($HD$1,'Datos Iniciales'!$E$34:$O$64,HE$158,FALSE())*HE66</f>
        <v>0</v>
      </c>
      <c r="HF164" s="196" t="n">
        <f aca="false">VLOOKUP($HD$1,'Datos Iniciales'!$E$34:$O$64,HF$158,FALSE())*HF66</f>
        <v>0</v>
      </c>
      <c r="HG164" s="196" t="n">
        <f aca="false">VLOOKUP($HD$1,'Datos Iniciales'!$E$34:$O$64,HG$158,FALSE())*HG66</f>
        <v>0</v>
      </c>
      <c r="HH164" s="196" t="n">
        <f aca="false">VLOOKUP($HD$1,'Datos Iniciales'!$E$34:$O$64,HH$158,FALSE())*HH66</f>
        <v>0</v>
      </c>
      <c r="HI164" s="196" t="n">
        <f aca="false">VLOOKUP($HD$1,'Datos Iniciales'!$E$34:$O$64,HI$158,FALSE())*HI66</f>
        <v>0</v>
      </c>
      <c r="HJ164" s="196" t="n">
        <f aca="false">VLOOKUP($HD$1,'Datos Iniciales'!$E$34:$O$64,HJ$158,FALSE())*HJ66</f>
        <v>0</v>
      </c>
      <c r="HK164" s="196" t="n">
        <f aca="false">VLOOKUP($HD$1,'Datos Iniciales'!$E$34:$O$64,HK$158,FALSE())*HK66</f>
        <v>0</v>
      </c>
      <c r="HL164" s="196" t="n">
        <f aca="false">VLOOKUP($HD$1,'Datos Iniciales'!$E$34:$O$64,HL$158,FALSE())*HL66</f>
        <v>0</v>
      </c>
      <c r="HM164" s="196" t="n">
        <f aca="false">VLOOKUP($HD$1,'Datos Iniciales'!$E$34:$O$64,HM$158,FALSE())*HM66</f>
        <v>0</v>
      </c>
      <c r="HN164" s="197" t="n">
        <f aca="false">VLOOKUP($HD$1,'Datos Iniciales'!$E$34:$O$64,HN$158,FALSE())*HN66</f>
        <v>0</v>
      </c>
      <c r="HO164" s="194" t="str">
        <f aca="false">HD164</f>
        <v>Alumno5</v>
      </c>
      <c r="HP164" s="208" t="n">
        <f aca="false">VLOOKUP($HO$1,'Datos Iniciales'!$E$34:$O$64,HP$158,FALSE())*HP66</f>
        <v>0</v>
      </c>
      <c r="HQ164" s="196" t="n">
        <f aca="false">VLOOKUP($HO$1,'Datos Iniciales'!$E$34:$O$64,HQ$158,FALSE())*HQ66</f>
        <v>0</v>
      </c>
      <c r="HR164" s="196" t="n">
        <f aca="false">VLOOKUP($HO$1,'Datos Iniciales'!$E$34:$O$64,HR$158,FALSE())*HR66</f>
        <v>0</v>
      </c>
      <c r="HS164" s="196" t="n">
        <f aca="false">VLOOKUP($HO$1,'Datos Iniciales'!$E$34:$O$64,HS$158,FALSE())*HS66</f>
        <v>0</v>
      </c>
      <c r="HT164" s="196" t="n">
        <f aca="false">VLOOKUP($HO$1,'Datos Iniciales'!$E$34:$O$64,HT$158,FALSE())*HT66</f>
        <v>0</v>
      </c>
      <c r="HU164" s="196" t="n">
        <f aca="false">VLOOKUP($HO$1,'Datos Iniciales'!$E$34:$O$64,HU$158,FALSE())*HU66</f>
        <v>0</v>
      </c>
      <c r="HV164" s="196" t="n">
        <f aca="false">VLOOKUP($HO$1,'Datos Iniciales'!$E$34:$O$64,HV$158,FALSE())*HV66</f>
        <v>0</v>
      </c>
      <c r="HW164" s="196" t="n">
        <f aca="false">VLOOKUP($HO$1,'Datos Iniciales'!$E$34:$O$64,HW$158,FALSE())*HW66</f>
        <v>0</v>
      </c>
      <c r="HX164" s="196" t="n">
        <f aca="false">VLOOKUP($HO$1,'Datos Iniciales'!$E$34:$O$64,HX$158,FALSE())*HX66</f>
        <v>0</v>
      </c>
      <c r="HY164" s="197" t="n">
        <f aca="false">VLOOKUP($HO$1,'Datos Iniciales'!$E$34:$O$64,HY$158,FALSE())*HY66</f>
        <v>0</v>
      </c>
      <c r="HZ164" s="194" t="str">
        <f aca="false">HO164</f>
        <v>Alumno5</v>
      </c>
      <c r="IA164" s="208" t="n">
        <f aca="false">VLOOKUP($HZ$1,'Datos Iniciales'!$E$34:$O$64,IA$158,FALSE())*IA66</f>
        <v>0</v>
      </c>
      <c r="IB164" s="196" t="n">
        <f aca="false">VLOOKUP($HZ$1,'Datos Iniciales'!$E$34:$O$64,IB$158,FALSE())*IB66</f>
        <v>0</v>
      </c>
      <c r="IC164" s="196" t="n">
        <f aca="false">VLOOKUP($HZ$1,'Datos Iniciales'!$E$34:$O$64,IC$158,FALSE())*IC66</f>
        <v>0</v>
      </c>
      <c r="ID164" s="196" t="n">
        <f aca="false">VLOOKUP($HZ$1,'Datos Iniciales'!$E$34:$O$64,ID$158,FALSE())*ID66</f>
        <v>0</v>
      </c>
      <c r="IE164" s="196" t="n">
        <f aca="false">VLOOKUP($HZ$1,'Datos Iniciales'!$E$34:$O$64,IE$158,FALSE())*IE66</f>
        <v>0</v>
      </c>
      <c r="IF164" s="196" t="n">
        <f aca="false">VLOOKUP($HZ$1,'Datos Iniciales'!$E$34:$O$64,IF$158,FALSE())*IF66</f>
        <v>0</v>
      </c>
      <c r="IG164" s="196" t="n">
        <f aca="false">VLOOKUP($HZ$1,'Datos Iniciales'!$E$34:$O$64,IG$158,FALSE())*IG66</f>
        <v>0</v>
      </c>
      <c r="IH164" s="196" t="n">
        <f aca="false">VLOOKUP($HZ$1,'Datos Iniciales'!$E$34:$O$64,IH$158,FALSE())*IH66</f>
        <v>0</v>
      </c>
      <c r="II164" s="196" t="n">
        <f aca="false">VLOOKUP($HZ$1,'Datos Iniciales'!$E$34:$O$64,II$158,FALSE())*II66</f>
        <v>0</v>
      </c>
      <c r="IJ164" s="197" t="n">
        <f aca="false">VLOOKUP($HZ$1,'Datos Iniciales'!$E$34:$O$64,IJ$158,FALSE())*IJ66</f>
        <v>0</v>
      </c>
      <c r="IK164" s="194" t="str">
        <f aca="false">HZ164</f>
        <v>Alumno5</v>
      </c>
      <c r="IL164" s="208" t="n">
        <f aca="false">VLOOKUP($IK$1,'Datos Iniciales'!$E$34:$O$64,IL$158,FALSE())*IL66</f>
        <v>0</v>
      </c>
      <c r="IM164" s="196" t="n">
        <f aca="false">VLOOKUP($IK$1,'Datos Iniciales'!$E$34:$O$64,IM$158,FALSE())*IM66</f>
        <v>0</v>
      </c>
      <c r="IN164" s="196" t="n">
        <f aca="false">VLOOKUP($IK$1,'Datos Iniciales'!$E$34:$O$64,IN$158,FALSE())*IN66</f>
        <v>0</v>
      </c>
      <c r="IO164" s="196" t="n">
        <f aca="false">VLOOKUP($IK$1,'Datos Iniciales'!$E$34:$O$64,IO$158,FALSE())*IO66</f>
        <v>0</v>
      </c>
      <c r="IP164" s="196" t="n">
        <f aca="false">VLOOKUP($IK$1,'Datos Iniciales'!$E$34:$O$64,IP$158,FALSE())*IP66</f>
        <v>0</v>
      </c>
      <c r="IQ164" s="196" t="n">
        <f aca="false">VLOOKUP($IK$1,'Datos Iniciales'!$E$34:$O$64,IQ$158,FALSE())*IQ66</f>
        <v>0</v>
      </c>
      <c r="IR164" s="196" t="n">
        <f aca="false">VLOOKUP($IK$1,'Datos Iniciales'!$E$34:$O$64,IR$158,FALSE())*IR66</f>
        <v>0</v>
      </c>
      <c r="IS164" s="196" t="n">
        <f aca="false">VLOOKUP($IK$1,'Datos Iniciales'!$E$34:$O$64,IS$158,FALSE())*IS66</f>
        <v>0</v>
      </c>
      <c r="IT164" s="196" t="n">
        <f aca="false">VLOOKUP($IK$1,'Datos Iniciales'!$E$34:$O$64,IT$158,FALSE())*IT66</f>
        <v>0</v>
      </c>
      <c r="IU164" s="197" t="n">
        <f aca="false">VLOOKUP($IK$1,'Datos Iniciales'!$E$34:$O$64,IU$158,FALSE())*IU66</f>
        <v>0</v>
      </c>
      <c r="IV164" s="194" t="str">
        <f aca="false">IK164</f>
        <v>Alumno5</v>
      </c>
      <c r="IW164" s="208" t="n">
        <f aca="false">VLOOKUP($IV$1,'Datos Iniciales'!$E$34:$O$64,IW$158,FALSE())*IW66</f>
        <v>0</v>
      </c>
      <c r="IX164" s="196" t="n">
        <f aca="false">VLOOKUP($IV$1,'Datos Iniciales'!$E$34:$O$64,IX$158,FALSE())*IX66</f>
        <v>0</v>
      </c>
      <c r="IY164" s="196" t="n">
        <f aca="false">VLOOKUP($IV$1,'Datos Iniciales'!$E$34:$O$64,IY$158,FALSE())*IY66</f>
        <v>0</v>
      </c>
      <c r="IZ164" s="196" t="n">
        <f aca="false">VLOOKUP($IV$1,'Datos Iniciales'!$E$34:$O$64,IZ$158,FALSE())*IZ66</f>
        <v>0</v>
      </c>
      <c r="JA164" s="196" t="n">
        <f aca="false">VLOOKUP($IV$1,'Datos Iniciales'!$E$34:$O$64,JA$158,FALSE())*JA66</f>
        <v>0</v>
      </c>
      <c r="JB164" s="196" t="n">
        <f aca="false">VLOOKUP($IV$1,'Datos Iniciales'!$E$34:$O$64,JB$158,FALSE())*JB66</f>
        <v>0</v>
      </c>
      <c r="JC164" s="196" t="n">
        <f aca="false">VLOOKUP($IV$1,'Datos Iniciales'!$E$34:$O$64,JC$158,FALSE())*JC66</f>
        <v>0</v>
      </c>
      <c r="JD164" s="196" t="n">
        <f aca="false">VLOOKUP($IV$1,'Datos Iniciales'!$E$34:$O$64,JD$158,FALSE())*JD66</f>
        <v>0</v>
      </c>
      <c r="JE164" s="196" t="n">
        <f aca="false">VLOOKUP($IV$1,'Datos Iniciales'!$E$34:$O$64,JE$158,FALSE())*JE66</f>
        <v>0</v>
      </c>
      <c r="JF164" s="197" t="n">
        <f aca="false">VLOOKUP($IV$1,'Datos Iniciales'!$E$34:$O$64,JF$158,FALSE())*JF66</f>
        <v>0</v>
      </c>
      <c r="JG164" s="194" t="str">
        <f aca="false">IV164</f>
        <v>Alumno5</v>
      </c>
      <c r="JH164" s="208" t="n">
        <f aca="false">VLOOKUP($JG$1,'Datos Iniciales'!$E$34:$O$64,JH$158,FALSE())*JH66</f>
        <v>0</v>
      </c>
      <c r="JI164" s="196" t="n">
        <f aca="false">VLOOKUP($JG$1,'Datos Iniciales'!$E$34:$O$64,JI$158,FALSE())*JI66</f>
        <v>0</v>
      </c>
      <c r="JJ164" s="196" t="n">
        <f aca="false">VLOOKUP($JG$1,'Datos Iniciales'!$E$34:$O$64,JJ$158,FALSE())*JJ66</f>
        <v>0</v>
      </c>
      <c r="JK164" s="196" t="n">
        <f aca="false">VLOOKUP($JG$1,'Datos Iniciales'!$E$34:$O$64,JK$158,FALSE())*JK66</f>
        <v>0</v>
      </c>
      <c r="JL164" s="196" t="n">
        <f aca="false">VLOOKUP($JG$1,'Datos Iniciales'!$E$34:$O$64,JL$158,FALSE())*JL66</f>
        <v>0</v>
      </c>
      <c r="JM164" s="196" t="n">
        <f aca="false">VLOOKUP($JG$1,'Datos Iniciales'!$E$34:$O$64,JM$158,FALSE())*JM66</f>
        <v>0</v>
      </c>
      <c r="JN164" s="196" t="n">
        <f aca="false">VLOOKUP($JG$1,'Datos Iniciales'!$E$34:$O$64,JN$158,FALSE())*JN66</f>
        <v>0</v>
      </c>
      <c r="JO164" s="196" t="n">
        <f aca="false">VLOOKUP($JG$1,'Datos Iniciales'!$E$34:$O$64,JO$158,FALSE())*JO66</f>
        <v>0</v>
      </c>
      <c r="JP164" s="196" t="n">
        <f aca="false">VLOOKUP($JG$1,'Datos Iniciales'!$E$34:$O$64,JP$158,FALSE())*JP66</f>
        <v>0</v>
      </c>
      <c r="JQ164" s="197" t="n">
        <f aca="false">VLOOKUP($JG$1,'Datos Iniciales'!$E$34:$O$64,JQ$158,FALSE())*JQ66</f>
        <v>0</v>
      </c>
      <c r="JR164" s="194" t="str">
        <f aca="false">JG164</f>
        <v>Alumno5</v>
      </c>
      <c r="JS164" s="208" t="n">
        <f aca="false">VLOOKUP($JR$1,'Datos Iniciales'!$E$34:$O$64,JS$158,FALSE())*JS66</f>
        <v>0</v>
      </c>
      <c r="JT164" s="196" t="n">
        <f aca="false">VLOOKUP($JR$1,'Datos Iniciales'!$E$34:$O$64,JT$158,FALSE())*JT66</f>
        <v>0</v>
      </c>
      <c r="JU164" s="196" t="n">
        <f aca="false">VLOOKUP($JR$1,'Datos Iniciales'!$E$34:$O$64,JU$158,FALSE())*JU66</f>
        <v>0</v>
      </c>
      <c r="JV164" s="196" t="n">
        <f aca="false">VLOOKUP($JR$1,'Datos Iniciales'!$E$34:$O$64,JV$158,FALSE())*JV66</f>
        <v>0</v>
      </c>
      <c r="JW164" s="196" t="n">
        <f aca="false">VLOOKUP($JR$1,'Datos Iniciales'!$E$34:$O$64,JW$158,FALSE())*JW66</f>
        <v>0</v>
      </c>
      <c r="JX164" s="196" t="n">
        <f aca="false">VLOOKUP($JR$1,'Datos Iniciales'!$E$34:$O$64,JX$158,FALSE())*JX66</f>
        <v>0</v>
      </c>
      <c r="JY164" s="196" t="n">
        <f aca="false">VLOOKUP($JR$1,'Datos Iniciales'!$E$34:$O$64,JY$158,FALSE())*JY66</f>
        <v>0</v>
      </c>
      <c r="JZ164" s="196" t="n">
        <f aca="false">VLOOKUP($JR$1,'Datos Iniciales'!$E$34:$O$64,JZ$158,FALSE())*JZ66</f>
        <v>0</v>
      </c>
      <c r="KA164" s="196" t="n">
        <f aca="false">VLOOKUP($JR$1,'Datos Iniciales'!$E$34:$O$64,KA$158,FALSE())*KA66</f>
        <v>0</v>
      </c>
      <c r="KB164" s="197" t="n">
        <f aca="false">VLOOKUP($JR$1,'Datos Iniciales'!$E$34:$O$64,KB$158,FALSE())*KB66</f>
        <v>0</v>
      </c>
      <c r="KC164" s="194" t="str">
        <f aca="false">JR164</f>
        <v>Alumno5</v>
      </c>
      <c r="KD164" s="208" t="n">
        <f aca="false">VLOOKUP($KC$1,'Datos Iniciales'!$E$34:$O$64,KD$158,FALSE())*KD66</f>
        <v>0</v>
      </c>
      <c r="KE164" s="196" t="n">
        <f aca="false">VLOOKUP($KC$1,'Datos Iniciales'!$E$34:$O$64,KE$158,FALSE())*KE66</f>
        <v>0</v>
      </c>
      <c r="KF164" s="196" t="n">
        <f aca="false">VLOOKUP($KC$1,'Datos Iniciales'!$E$34:$O$64,KF$158,FALSE())*KF66</f>
        <v>0</v>
      </c>
      <c r="KG164" s="196" t="n">
        <f aca="false">VLOOKUP($KC$1,'Datos Iniciales'!$E$34:$O$64,KG$158,FALSE())*KG66</f>
        <v>0</v>
      </c>
      <c r="KH164" s="196" t="n">
        <f aca="false">VLOOKUP($KC$1,'Datos Iniciales'!$E$34:$O$64,KH$158,FALSE())*KH66</f>
        <v>0</v>
      </c>
      <c r="KI164" s="196" t="n">
        <f aca="false">VLOOKUP($KC$1,'Datos Iniciales'!$E$34:$O$64,KI$158,FALSE())*KI66</f>
        <v>0</v>
      </c>
      <c r="KJ164" s="196" t="n">
        <f aca="false">VLOOKUP($KC$1,'Datos Iniciales'!$E$34:$O$64,KJ$158,FALSE())*KJ66</f>
        <v>0</v>
      </c>
      <c r="KK164" s="196" t="n">
        <f aca="false">VLOOKUP($KC$1,'Datos Iniciales'!$E$34:$O$64,KK$158,FALSE())*KK66</f>
        <v>0</v>
      </c>
      <c r="KL164" s="196" t="n">
        <f aca="false">VLOOKUP($KC$1,'Datos Iniciales'!$E$34:$O$64,KL$158,FALSE())*KL66</f>
        <v>0</v>
      </c>
      <c r="KM164" s="197" t="n">
        <f aca="false">VLOOKUP($KC$1,'Datos Iniciales'!$E$34:$O$64,KM$158,FALSE())*KM66</f>
        <v>0</v>
      </c>
      <c r="KN164" s="194" t="str">
        <f aca="false">KC164</f>
        <v>Alumno5</v>
      </c>
      <c r="KO164" s="208" t="n">
        <f aca="false">VLOOKUP($KN$1,'Datos Iniciales'!$E$34:$O$64,KO$158,FALSE())*KO66</f>
        <v>0</v>
      </c>
      <c r="KP164" s="196" t="n">
        <f aca="false">VLOOKUP($KN$1,'Datos Iniciales'!$E$34:$O$64,KP$158,FALSE())*KP66</f>
        <v>0</v>
      </c>
      <c r="KQ164" s="196" t="n">
        <f aca="false">VLOOKUP($KN$1,'Datos Iniciales'!$E$34:$O$64,KQ$158,FALSE())*KQ66</f>
        <v>0</v>
      </c>
      <c r="KR164" s="196" t="n">
        <f aca="false">VLOOKUP($KN$1,'Datos Iniciales'!$E$34:$O$64,KR$158,FALSE())*KR66</f>
        <v>0</v>
      </c>
      <c r="KS164" s="196" t="n">
        <f aca="false">VLOOKUP($KN$1,'Datos Iniciales'!$E$34:$O$64,KS$158,FALSE())*KS66</f>
        <v>0</v>
      </c>
      <c r="KT164" s="196" t="n">
        <f aca="false">VLOOKUP($KN$1,'Datos Iniciales'!$E$34:$O$64,KT$158,FALSE())*KT66</f>
        <v>0</v>
      </c>
      <c r="KU164" s="196" t="n">
        <f aca="false">VLOOKUP($KN$1,'Datos Iniciales'!$E$34:$O$64,KU$158,FALSE())*KU66</f>
        <v>0</v>
      </c>
      <c r="KV164" s="196" t="n">
        <f aca="false">VLOOKUP($KN$1,'Datos Iniciales'!$E$34:$O$64,KV$158,FALSE())*KV66</f>
        <v>0</v>
      </c>
      <c r="KW164" s="196" t="n">
        <f aca="false">VLOOKUP($KN$1,'Datos Iniciales'!$E$34:$O$64,KW$158,FALSE())*KW66</f>
        <v>0</v>
      </c>
      <c r="KX164" s="197" t="n">
        <f aca="false">VLOOKUP($KN$1,'Datos Iniciales'!$E$34:$O$64,KX$158,FALSE())*KX66</f>
        <v>0</v>
      </c>
      <c r="KY164" s="194" t="str">
        <f aca="false">KN164</f>
        <v>Alumno5</v>
      </c>
      <c r="KZ164" s="208" t="n">
        <f aca="false">VLOOKUP($KY$1,'Datos Iniciales'!$E$34:$O$64,KZ$158,FALSE())*KZ66</f>
        <v>0</v>
      </c>
      <c r="LA164" s="196" t="n">
        <f aca="false">VLOOKUP($KY$1,'Datos Iniciales'!$E$34:$O$64,LA$158,FALSE())*LA66</f>
        <v>0</v>
      </c>
      <c r="LB164" s="196" t="n">
        <f aca="false">VLOOKUP($KY$1,'Datos Iniciales'!$E$34:$O$64,LB$158,FALSE())*LB66</f>
        <v>0</v>
      </c>
      <c r="LC164" s="196" t="n">
        <f aca="false">VLOOKUP($KY$1,'Datos Iniciales'!$E$34:$O$64,LC$158,FALSE())*LC66</f>
        <v>0</v>
      </c>
      <c r="LD164" s="196" t="n">
        <f aca="false">VLOOKUP($KY$1,'Datos Iniciales'!$E$34:$O$64,LD$158,FALSE())*LD66</f>
        <v>0</v>
      </c>
      <c r="LE164" s="196" t="n">
        <f aca="false">VLOOKUP($KY$1,'Datos Iniciales'!$E$34:$O$64,LE$158,FALSE())*LE66</f>
        <v>0</v>
      </c>
      <c r="LF164" s="196" t="n">
        <f aca="false">VLOOKUP($KY$1,'Datos Iniciales'!$E$34:$O$64,LF$158,FALSE())*LF66</f>
        <v>0</v>
      </c>
      <c r="LG164" s="196" t="n">
        <f aca="false">VLOOKUP($KY$1,'Datos Iniciales'!$E$34:$O$64,LG$158,FALSE())*LG66</f>
        <v>0</v>
      </c>
      <c r="LH164" s="196" t="n">
        <f aca="false">VLOOKUP($KY$1,'Datos Iniciales'!$E$34:$O$64,LH$158,FALSE())*LH66</f>
        <v>0</v>
      </c>
      <c r="LI164" s="197" t="n">
        <f aca="false">VLOOKUP($KY$1,'Datos Iniciales'!$E$34:$O$64,LI$158,FALSE())*LI66</f>
        <v>0</v>
      </c>
      <c r="LJ164" s="194" t="str">
        <f aca="false">KY164</f>
        <v>Alumno5</v>
      </c>
      <c r="LK164" s="208" t="n">
        <f aca="false">VLOOKUP($LJ$1,'Datos Iniciales'!$E$34:$O$64,LK$158,FALSE())*LK66</f>
        <v>0</v>
      </c>
      <c r="LL164" s="196" t="n">
        <f aca="false">VLOOKUP($LJ$1,'Datos Iniciales'!$E$34:$O$64,LL$158,FALSE())*LL66</f>
        <v>0</v>
      </c>
      <c r="LM164" s="196" t="n">
        <f aca="false">VLOOKUP($LJ$1,'Datos Iniciales'!$E$34:$O$64,LM$158,FALSE())*LM66</f>
        <v>0</v>
      </c>
      <c r="LN164" s="196" t="n">
        <f aca="false">VLOOKUP($LJ$1,'Datos Iniciales'!$E$34:$O$64,LN$158,FALSE())*LN66</f>
        <v>0</v>
      </c>
      <c r="LO164" s="196" t="n">
        <f aca="false">VLOOKUP($LJ$1,'Datos Iniciales'!$E$34:$O$64,LO$158,FALSE())*LO66</f>
        <v>0</v>
      </c>
      <c r="LP164" s="196" t="n">
        <f aca="false">VLOOKUP($LJ$1,'Datos Iniciales'!$E$34:$O$64,LP$158,FALSE())*LP66</f>
        <v>0</v>
      </c>
      <c r="LQ164" s="196" t="n">
        <f aca="false">VLOOKUP($LJ$1,'Datos Iniciales'!$E$34:$O$64,LQ$158,FALSE())*LQ66</f>
        <v>0</v>
      </c>
      <c r="LR164" s="196" t="n">
        <f aca="false">VLOOKUP($LJ$1,'Datos Iniciales'!$E$34:$O$64,LR$158,FALSE())*LR66</f>
        <v>0</v>
      </c>
      <c r="LS164" s="196" t="n">
        <f aca="false">VLOOKUP($LJ$1,'Datos Iniciales'!$E$34:$O$64,LS$158,FALSE())*LS66</f>
        <v>0</v>
      </c>
      <c r="LT164" s="197" t="n">
        <f aca="false">VLOOKUP($LJ$1,'Datos Iniciales'!$E$34:$O$64,LT$158,FALSE())*LT66</f>
        <v>0</v>
      </c>
    </row>
    <row r="165" customFormat="false" ht="15" hidden="true" customHeight="false" outlineLevel="0" collapsed="false">
      <c r="C165" s="194" t="str">
        <f aca="false">C116</f>
        <v>Alumno6</v>
      </c>
      <c r="D165" s="208" t="n">
        <f aca="false">VLOOKUP($C$1,'Datos Iniciales'!$E$34:$O$64,D$158,FALSE())*D67</f>
        <v>2.3875</v>
      </c>
      <c r="E165" s="196" t="n">
        <f aca="false">VLOOKUP($C$1,'Datos Iniciales'!$E$34:$O$64,E$158,FALSE())*E67</f>
        <v>0</v>
      </c>
      <c r="F165" s="196" t="n">
        <f aca="false">VLOOKUP($C$1,'Datos Iniciales'!$E$34:$O$64,F$158,FALSE())*F67</f>
        <v>0</v>
      </c>
      <c r="G165" s="196" t="n">
        <f aca="false">VLOOKUP($C$1,'Datos Iniciales'!$E$34:$O$64,G$158,FALSE())*G67</f>
        <v>0</v>
      </c>
      <c r="H165" s="196" t="n">
        <f aca="false">VLOOKUP($C$1,'Datos Iniciales'!$E$34:$O$64,H$158,FALSE())*H67</f>
        <v>0</v>
      </c>
      <c r="I165" s="196" t="n">
        <f aca="false">VLOOKUP($C$1,'Datos Iniciales'!$E$34:$O$64,I$158,FALSE())*I67</f>
        <v>0</v>
      </c>
      <c r="J165" s="196" t="n">
        <f aca="false">VLOOKUP($C$1,'Datos Iniciales'!$E$34:$O$64,J$158,FALSE())*J67</f>
        <v>0</v>
      </c>
      <c r="K165" s="196" t="n">
        <f aca="false">VLOOKUP($C$1,'Datos Iniciales'!$E$34:$O$64,K$158,FALSE())*K67</f>
        <v>0</v>
      </c>
      <c r="L165" s="196" t="n">
        <f aca="false">VLOOKUP($C$1,'Datos Iniciales'!$E$34:$O$64,L$158,FALSE())*L67</f>
        <v>0</v>
      </c>
      <c r="M165" s="197" t="n">
        <f aca="false">VLOOKUP($C$1,'Datos Iniciales'!$E$34:$O$64,M$158,FALSE())*M67</f>
        <v>0</v>
      </c>
      <c r="N165" s="194" t="str">
        <f aca="false">C165</f>
        <v>Alumno6</v>
      </c>
      <c r="O165" s="208" t="n">
        <f aca="false">VLOOKUP($N$1,'Datos Iniciales'!$E$34:$O$64,O$158,FALSE())*O67</f>
        <v>1.9</v>
      </c>
      <c r="P165" s="196" t="n">
        <f aca="false">VLOOKUP($N$1,'Datos Iniciales'!$E$34:$O$64,P$158,FALSE())*P67</f>
        <v>2</v>
      </c>
      <c r="Q165" s="196" t="n">
        <f aca="false">VLOOKUP($N$1,'Datos Iniciales'!$E$34:$O$64,Q$158,FALSE())*Q67</f>
        <v>0</v>
      </c>
      <c r="R165" s="196" t="n">
        <f aca="false">VLOOKUP($N$1,'Datos Iniciales'!$E$34:$O$64,R$158,FALSE())*R67</f>
        <v>0</v>
      </c>
      <c r="S165" s="196" t="n">
        <f aca="false">VLOOKUP($N$1,'Datos Iniciales'!$E$34:$O$64,S$158,FALSE())*S67</f>
        <v>0</v>
      </c>
      <c r="T165" s="196" t="n">
        <f aca="false">VLOOKUP($N$1,'Datos Iniciales'!$E$34:$O$64,T$158,FALSE())*T67</f>
        <v>0</v>
      </c>
      <c r="U165" s="196" t="n">
        <f aca="false">VLOOKUP($N$1,'Datos Iniciales'!$E$34:$O$64,U$158,FALSE())*U67</f>
        <v>0</v>
      </c>
      <c r="V165" s="196" t="n">
        <f aca="false">VLOOKUP($N$1,'Datos Iniciales'!$E$34:$O$64,V$158,FALSE())*V67</f>
        <v>0</v>
      </c>
      <c r="W165" s="196" t="n">
        <f aca="false">VLOOKUP($N$1,'Datos Iniciales'!$E$34:$O$64,W$158,FALSE())*W67</f>
        <v>0</v>
      </c>
      <c r="X165" s="197" t="n">
        <f aca="false">VLOOKUP($N$1,'Datos Iniciales'!$E$34:$O$64,X$158,FALSE())*X67</f>
        <v>0</v>
      </c>
      <c r="Y165" s="194" t="str">
        <f aca="false">N165</f>
        <v>Alumno6</v>
      </c>
      <c r="Z165" s="208" t="n">
        <f aca="false">VLOOKUP($Y$1,'Datos Iniciales'!$E$34:$O$64,Z$158,FALSE())*Z67</f>
        <v>2.85</v>
      </c>
      <c r="AA165" s="196" t="n">
        <f aca="false">VLOOKUP($Y$1,'Datos Iniciales'!$E$34:$O$64,AA$158,FALSE())*AA67</f>
        <v>1.9</v>
      </c>
      <c r="AB165" s="196" t="n">
        <f aca="false">VLOOKUP($Y$1,'Datos Iniciales'!$E$34:$O$64,AB$158,FALSE())*AB67</f>
        <v>1</v>
      </c>
      <c r="AC165" s="196" t="n">
        <f aca="false">VLOOKUP($Y$1,'Datos Iniciales'!$E$34:$O$64,AC$158,FALSE())*AC67</f>
        <v>0</v>
      </c>
      <c r="AD165" s="196" t="n">
        <f aca="false">VLOOKUP($Y$1,'Datos Iniciales'!$E$34:$O$64,AD$158,FALSE())*AD67</f>
        <v>0</v>
      </c>
      <c r="AE165" s="196" t="n">
        <f aca="false">VLOOKUP($Y$1,'Datos Iniciales'!$E$34:$O$64,AE$158,FALSE())*AE67</f>
        <v>0</v>
      </c>
      <c r="AF165" s="196" t="n">
        <f aca="false">VLOOKUP($Y$1,'Datos Iniciales'!$E$34:$O$64,AF$158,FALSE())*AF67</f>
        <v>0</v>
      </c>
      <c r="AG165" s="196" t="n">
        <f aca="false">VLOOKUP($Y$1,'Datos Iniciales'!$E$34:$O$64,AG$158,FALSE())*AG67</f>
        <v>0</v>
      </c>
      <c r="AH165" s="196" t="n">
        <f aca="false">VLOOKUP($Y$1,'Datos Iniciales'!$E$34:$O$64,AH$158,FALSE())*AH67</f>
        <v>0</v>
      </c>
      <c r="AI165" s="197" t="n">
        <f aca="false">VLOOKUP($Y$1,'Datos Iniciales'!$E$34:$O$64,AI$158,FALSE())*AI67</f>
        <v>0</v>
      </c>
      <c r="AJ165" s="194" t="str">
        <f aca="false">Y165</f>
        <v>Alumno6</v>
      </c>
      <c r="AK165" s="208" t="n">
        <f aca="false">VLOOKUP($AJ$1,'Datos Iniciales'!$E$34:$O$64,AK$158,FALSE())*AK67</f>
        <v>1</v>
      </c>
      <c r="AL165" s="196" t="n">
        <f aca="false">VLOOKUP($AJ$1,'Datos Iniciales'!$E$34:$O$64,AL$158,FALSE())*AL67</f>
        <v>2.85</v>
      </c>
      <c r="AM165" s="196" t="n">
        <f aca="false">VLOOKUP($AJ$1,'Datos Iniciales'!$E$34:$O$64,AM$158,FALSE())*AM67</f>
        <v>3.325</v>
      </c>
      <c r="AN165" s="196" t="n">
        <f aca="false">VLOOKUP($AJ$1,'Datos Iniciales'!$E$34:$O$64,AN$158,FALSE())*AN67</f>
        <v>0</v>
      </c>
      <c r="AO165" s="196" t="n">
        <f aca="false">VLOOKUP($AJ$1,'Datos Iniciales'!$E$34:$O$64,AO$158,FALSE())*AO67</f>
        <v>0</v>
      </c>
      <c r="AP165" s="196" t="n">
        <f aca="false">VLOOKUP($AJ$1,'Datos Iniciales'!$E$34:$O$64,AP$158,FALSE())*AP67</f>
        <v>0</v>
      </c>
      <c r="AQ165" s="196" t="n">
        <f aca="false">VLOOKUP($AJ$1,'Datos Iniciales'!$E$34:$O$64,AQ$158,FALSE())*AQ67</f>
        <v>0</v>
      </c>
      <c r="AR165" s="196" t="n">
        <f aca="false">VLOOKUP($AJ$1,'Datos Iniciales'!$E$34:$O$64,AR$158,FALSE())*AR67</f>
        <v>0</v>
      </c>
      <c r="AS165" s="196" t="n">
        <f aca="false">VLOOKUP($AJ$1,'Datos Iniciales'!$E$34:$O$64,AS$158,FALSE())*AS67</f>
        <v>0</v>
      </c>
      <c r="AT165" s="197" t="n">
        <f aca="false">VLOOKUP($AJ$1,'Datos Iniciales'!$E$34:$O$64,AT$158,FALSE())*AT67</f>
        <v>0</v>
      </c>
      <c r="AU165" s="194" t="str">
        <f aca="false">AJ165</f>
        <v>Alumno6</v>
      </c>
      <c r="AV165" s="208" t="n">
        <f aca="false">VLOOKUP($AU$1,'Datos Iniciales'!$E$34:$O$64,AV$158,FALSE())*AV67</f>
        <v>0.45</v>
      </c>
      <c r="AW165" s="196" t="n">
        <f aca="false">VLOOKUP($AU$1,'Datos Iniciales'!$E$34:$O$64,AW$158,FALSE())*AW67</f>
        <v>1</v>
      </c>
      <c r="AX165" s="196" t="n">
        <f aca="false">VLOOKUP($AU$1,'Datos Iniciales'!$E$34:$O$64,AX$158,FALSE())*AX67</f>
        <v>3</v>
      </c>
      <c r="AY165" s="196" t="n">
        <f aca="false">VLOOKUP($AU$1,'Datos Iniciales'!$E$34:$O$64,AY$158,FALSE())*AY67</f>
        <v>0.9</v>
      </c>
      <c r="AZ165" s="196" t="n">
        <f aca="false">VLOOKUP($AU$1,'Datos Iniciales'!$E$34:$O$64,AZ$158,FALSE())*AZ67</f>
        <v>0</v>
      </c>
      <c r="BA165" s="196" t="n">
        <f aca="false">VLOOKUP($AU$1,'Datos Iniciales'!$E$34:$O$64,BA$158,FALSE())*BA67</f>
        <v>0</v>
      </c>
      <c r="BB165" s="196" t="n">
        <f aca="false">VLOOKUP($AU$1,'Datos Iniciales'!$E$34:$O$64,BB$158,FALSE())*BB67</f>
        <v>0</v>
      </c>
      <c r="BC165" s="196" t="n">
        <f aca="false">VLOOKUP($AU$1,'Datos Iniciales'!$E$34:$O$64,BC$158,FALSE())*BC67</f>
        <v>0</v>
      </c>
      <c r="BD165" s="196" t="n">
        <f aca="false">VLOOKUP($AU$1,'Datos Iniciales'!$E$34:$O$64,BD$158,FALSE())*BD67</f>
        <v>0</v>
      </c>
      <c r="BE165" s="197" t="n">
        <f aca="false">VLOOKUP($AU$1,'Datos Iniciales'!$E$34:$O$64,BE$158,FALSE())*BE67</f>
        <v>0</v>
      </c>
      <c r="BF165" s="194" t="str">
        <f aca="false">AU165</f>
        <v>Alumno6</v>
      </c>
      <c r="BG165" s="208" t="n">
        <f aca="false">VLOOKUP($BF$1,'Datos Iniciales'!$E$34:$O$64,BG$158,FALSE())*BG67</f>
        <v>0.9</v>
      </c>
      <c r="BH165" s="196" t="n">
        <f aca="false">VLOOKUP($BF$1,'Datos Iniciales'!$E$34:$O$64,BH$158,FALSE())*BH67</f>
        <v>1.5</v>
      </c>
      <c r="BI165" s="196" t="n">
        <f aca="false">VLOOKUP($BF$1,'Datos Iniciales'!$E$34:$O$64,BI$158,FALSE())*BI67</f>
        <v>1</v>
      </c>
      <c r="BJ165" s="196" t="n">
        <f aca="false">VLOOKUP($BF$1,'Datos Iniciales'!$E$34:$O$64,BJ$158,FALSE())*BJ67</f>
        <v>3.76</v>
      </c>
      <c r="BK165" s="196" t="n">
        <f aca="false">VLOOKUP($BF$1,'Datos Iniciales'!$E$34:$O$64,BK$158,FALSE())*BK67</f>
        <v>0</v>
      </c>
      <c r="BL165" s="196" t="n">
        <f aca="false">VLOOKUP($BF$1,'Datos Iniciales'!$E$34:$O$64,BL$158,FALSE())*BL67</f>
        <v>0</v>
      </c>
      <c r="BM165" s="196" t="n">
        <f aca="false">VLOOKUP($BF$1,'Datos Iniciales'!$E$34:$O$64,BM$158,FALSE())*BM67</f>
        <v>0</v>
      </c>
      <c r="BN165" s="196" t="n">
        <f aca="false">VLOOKUP($BF$1,'Datos Iniciales'!$E$34:$O$64,BN$158,FALSE())*BN67</f>
        <v>0</v>
      </c>
      <c r="BO165" s="196" t="n">
        <f aca="false">VLOOKUP($BF$1,'Datos Iniciales'!$E$34:$O$64,BO$158,FALSE())*BO67</f>
        <v>0</v>
      </c>
      <c r="BP165" s="197" t="n">
        <f aca="false">VLOOKUP($BF$1,'Datos Iniciales'!$E$34:$O$64,BP$158,FALSE())*BP67</f>
        <v>0</v>
      </c>
      <c r="BQ165" s="194" t="str">
        <f aca="false">BF165</f>
        <v>Alumno6</v>
      </c>
      <c r="BR165" s="208" t="n">
        <f aca="false">VLOOKUP($BQ$1,'Datos Iniciales'!$E$34:$O$64,BR$158,FALSE())*BR67</f>
        <v>0</v>
      </c>
      <c r="BS165" s="196" t="n">
        <f aca="false">VLOOKUP($BQ$1,'Datos Iniciales'!$E$34:$O$64,BS$158,FALSE())*BS67</f>
        <v>0.3</v>
      </c>
      <c r="BT165" s="196" t="n">
        <f aca="false">VLOOKUP($BQ$1,'Datos Iniciales'!$E$34:$O$64,BT$158,FALSE())*BT67</f>
        <v>1.15</v>
      </c>
      <c r="BU165" s="196" t="n">
        <f aca="false">VLOOKUP($BQ$1,'Datos Iniciales'!$E$34:$O$64,BU$158,FALSE())*BU67</f>
        <v>3.3</v>
      </c>
      <c r="BV165" s="196" t="n">
        <f aca="false">VLOOKUP($BQ$1,'Datos Iniciales'!$E$34:$O$64,BV$158,FALSE())*BV67</f>
        <v>0</v>
      </c>
      <c r="BW165" s="196" t="n">
        <f aca="false">VLOOKUP($BQ$1,'Datos Iniciales'!$E$34:$O$64,BW$158,FALSE())*BW67</f>
        <v>0</v>
      </c>
      <c r="BX165" s="196" t="n">
        <f aca="false">VLOOKUP($BQ$1,'Datos Iniciales'!$E$34:$O$64,BX$158,FALSE())*BX67</f>
        <v>0</v>
      </c>
      <c r="BY165" s="196" t="n">
        <f aca="false">VLOOKUP($BQ$1,'Datos Iniciales'!$E$34:$O$64,BY$158,FALSE())*BY67</f>
        <v>0</v>
      </c>
      <c r="BZ165" s="196" t="n">
        <f aca="false">VLOOKUP($BQ$1,'Datos Iniciales'!$E$34:$O$64,BZ$158,FALSE())*BZ67</f>
        <v>0</v>
      </c>
      <c r="CA165" s="197" t="n">
        <f aca="false">VLOOKUP($BQ$1,'Datos Iniciales'!$E$34:$O$64,CA$158,FALSE())*CA67</f>
        <v>0</v>
      </c>
      <c r="CB165" s="194" t="str">
        <f aca="false">BQ165</f>
        <v>Alumno6</v>
      </c>
      <c r="CC165" s="208" t="n">
        <f aca="false">VLOOKUP($CB$1,'Datos Iniciales'!$E$34:$O$64,CC$158,FALSE())*CC67</f>
        <v>0</v>
      </c>
      <c r="CD165" s="196" t="n">
        <f aca="false">VLOOKUP($CB$1,'Datos Iniciales'!$E$34:$O$64,CD$158,FALSE())*CD67</f>
        <v>0</v>
      </c>
      <c r="CE165" s="196" t="n">
        <f aca="false">VLOOKUP($CB$1,'Datos Iniciales'!$E$34:$O$64,CE$158,FALSE())*CE67</f>
        <v>0</v>
      </c>
      <c r="CF165" s="196" t="n">
        <f aca="false">VLOOKUP($CB$1,'Datos Iniciales'!$E$34:$O$64,CF$158,FALSE())*CF67</f>
        <v>0</v>
      </c>
      <c r="CG165" s="196" t="n">
        <f aca="false">VLOOKUP($CB$1,'Datos Iniciales'!$E$34:$O$64,CG$158,FALSE())*CG67</f>
        <v>0</v>
      </c>
      <c r="CH165" s="196" t="n">
        <f aca="false">VLOOKUP($CB$1,'Datos Iniciales'!$E$34:$O$64,CH$158,FALSE())*CH67</f>
        <v>0</v>
      </c>
      <c r="CI165" s="196" t="n">
        <f aca="false">VLOOKUP($CB$1,'Datos Iniciales'!$E$34:$O$64,CI$158,FALSE())*CI67</f>
        <v>0</v>
      </c>
      <c r="CJ165" s="196" t="n">
        <f aca="false">VLOOKUP($CB$1,'Datos Iniciales'!$E$34:$O$64,CJ$158,FALSE())*CJ67</f>
        <v>0</v>
      </c>
      <c r="CK165" s="196" t="n">
        <f aca="false">VLOOKUP($CB$1,'Datos Iniciales'!$E$34:$O$64,CK$158,FALSE())*CK67</f>
        <v>0</v>
      </c>
      <c r="CL165" s="197" t="n">
        <f aca="false">VLOOKUP($CB$1,'Datos Iniciales'!$E$34:$O$64,CL$158,FALSE())*CL67</f>
        <v>0</v>
      </c>
      <c r="CM165" s="194" t="str">
        <f aca="false">CB165</f>
        <v>Alumno6</v>
      </c>
      <c r="CN165" s="208" t="n">
        <f aca="false">VLOOKUP($CM$1,'Datos Iniciales'!$E$34:$O$64,CN$158,FALSE())*CN67</f>
        <v>0</v>
      </c>
      <c r="CO165" s="196" t="n">
        <f aca="false">VLOOKUP($CM$1,'Datos Iniciales'!$E$34:$O$64,CO$158,FALSE())*CO67</f>
        <v>0</v>
      </c>
      <c r="CP165" s="196" t="n">
        <f aca="false">VLOOKUP($CM$1,'Datos Iniciales'!$E$34:$O$64,CP$158,FALSE())*CP67</f>
        <v>0</v>
      </c>
      <c r="CQ165" s="196" t="n">
        <f aca="false">VLOOKUP($CM$1,'Datos Iniciales'!$E$34:$O$64,CQ$158,FALSE())*CQ67</f>
        <v>0</v>
      </c>
      <c r="CR165" s="196" t="n">
        <f aca="false">VLOOKUP($CM$1,'Datos Iniciales'!$E$34:$O$64,CR$158,FALSE())*CR67</f>
        <v>0</v>
      </c>
      <c r="CS165" s="196" t="n">
        <f aca="false">VLOOKUP($CM$1,'Datos Iniciales'!$E$34:$O$64,CS$158,FALSE())*CS67</f>
        <v>0</v>
      </c>
      <c r="CT165" s="196" t="n">
        <f aca="false">VLOOKUP($CM$1,'Datos Iniciales'!$E$34:$O$64,CT$158,FALSE())*CT67</f>
        <v>0</v>
      </c>
      <c r="CU165" s="196" t="n">
        <f aca="false">VLOOKUP($CM$1,'Datos Iniciales'!$E$34:$O$64,CU$158,FALSE())*CU67</f>
        <v>0</v>
      </c>
      <c r="CV165" s="196" t="n">
        <f aca="false">VLOOKUP($CM$1,'Datos Iniciales'!$E$34:$O$64,CV$158,FALSE())*CV67</f>
        <v>0</v>
      </c>
      <c r="CW165" s="197" t="n">
        <f aca="false">VLOOKUP($CM$1,'Datos Iniciales'!$E$34:$O$64,CW$158,FALSE())*CW67</f>
        <v>0</v>
      </c>
      <c r="CX165" s="194" t="str">
        <f aca="false">CM165</f>
        <v>Alumno6</v>
      </c>
      <c r="CY165" s="208" t="n">
        <f aca="false">VLOOKUP($CX$1,'Datos Iniciales'!$E$34:$O$64,CY$158,FALSE())*CY67</f>
        <v>0</v>
      </c>
      <c r="CZ165" s="196" t="n">
        <f aca="false">VLOOKUP($CX$1,'Datos Iniciales'!$E$34:$O$64,CZ$158,FALSE())*CZ67</f>
        <v>0</v>
      </c>
      <c r="DA165" s="196" t="n">
        <f aca="false">VLOOKUP($CX$1,'Datos Iniciales'!$E$34:$O$64,DA$158,FALSE())*DA67</f>
        <v>0</v>
      </c>
      <c r="DB165" s="196" t="n">
        <f aca="false">VLOOKUP($CX$1,'Datos Iniciales'!$E$34:$O$64,DB$158,FALSE())*DB67</f>
        <v>0</v>
      </c>
      <c r="DC165" s="196" t="n">
        <f aca="false">VLOOKUP($CX$1,'Datos Iniciales'!$E$34:$O$64,DC$158,FALSE())*DC67</f>
        <v>0</v>
      </c>
      <c r="DD165" s="196" t="n">
        <f aca="false">VLOOKUP($CX$1,'Datos Iniciales'!$E$34:$O$64,DD$158,FALSE())*DD67</f>
        <v>0</v>
      </c>
      <c r="DE165" s="196" t="n">
        <f aca="false">VLOOKUP($CX$1,'Datos Iniciales'!$E$34:$O$64,DE$158,FALSE())*DE67</f>
        <v>0</v>
      </c>
      <c r="DF165" s="196" t="n">
        <f aca="false">VLOOKUP($CX$1,'Datos Iniciales'!$E$34:$O$64,DF$158,FALSE())*DF67</f>
        <v>0</v>
      </c>
      <c r="DG165" s="196" t="n">
        <f aca="false">VLOOKUP($CX$1,'Datos Iniciales'!$E$34:$O$64,DG$158,FALSE())*DG67</f>
        <v>0</v>
      </c>
      <c r="DH165" s="197" t="n">
        <f aca="false">VLOOKUP($CX$1,'Datos Iniciales'!$E$34:$O$64,DH$158,FALSE())*DH67</f>
        <v>0</v>
      </c>
      <c r="DI165" s="194" t="str">
        <f aca="false">CX165</f>
        <v>Alumno6</v>
      </c>
      <c r="DJ165" s="208" t="n">
        <f aca="false">VLOOKUP($DI$1,'Datos Iniciales'!$E$34:$O$64,DJ$158,FALSE())*DJ67</f>
        <v>0</v>
      </c>
      <c r="DK165" s="196" t="n">
        <f aca="false">VLOOKUP($DI$1,'Datos Iniciales'!$E$34:$O$64,DK$158,FALSE())*DK67</f>
        <v>0</v>
      </c>
      <c r="DL165" s="196" t="n">
        <f aca="false">VLOOKUP($DI$1,'Datos Iniciales'!$E$34:$O$64,DL$158,FALSE())*DL67</f>
        <v>0</v>
      </c>
      <c r="DM165" s="196" t="n">
        <f aca="false">VLOOKUP($DI$1,'Datos Iniciales'!$E$34:$O$64,DM$158,FALSE())*DM67</f>
        <v>0</v>
      </c>
      <c r="DN165" s="196" t="n">
        <f aca="false">VLOOKUP($DI$1,'Datos Iniciales'!$E$34:$O$64,DN$158,FALSE())*DN67</f>
        <v>0</v>
      </c>
      <c r="DO165" s="196" t="n">
        <f aca="false">VLOOKUP($DI$1,'Datos Iniciales'!$E$34:$O$64,DO$158,FALSE())*DO67</f>
        <v>0</v>
      </c>
      <c r="DP165" s="196" t="n">
        <f aca="false">VLOOKUP($DI$1,'Datos Iniciales'!$E$34:$O$64,DP$158,FALSE())*DP67</f>
        <v>0</v>
      </c>
      <c r="DQ165" s="196" t="n">
        <f aca="false">VLOOKUP($DI$1,'Datos Iniciales'!$E$34:$O$64,DQ$158,FALSE())*DQ67</f>
        <v>0</v>
      </c>
      <c r="DR165" s="196" t="n">
        <f aca="false">VLOOKUP($DI$1,'Datos Iniciales'!$E$34:$O$64,DR$158,FALSE())*DR67</f>
        <v>0</v>
      </c>
      <c r="DS165" s="197" t="n">
        <f aca="false">VLOOKUP($DI$1,'Datos Iniciales'!$E$34:$O$64,DS$158,FALSE())*DS67</f>
        <v>0</v>
      </c>
      <c r="DT165" s="194" t="str">
        <f aca="false">DI165</f>
        <v>Alumno6</v>
      </c>
      <c r="DU165" s="208" t="n">
        <f aca="false">VLOOKUP($DT$1,'Datos Iniciales'!$E$34:$O$64,DU$158,FALSE())*DU67</f>
        <v>0</v>
      </c>
      <c r="DV165" s="196" t="n">
        <f aca="false">VLOOKUP($DT$1,'Datos Iniciales'!$E$34:$O$64,DV$158,FALSE())*DV67</f>
        <v>0</v>
      </c>
      <c r="DW165" s="196" t="n">
        <f aca="false">VLOOKUP($DT$1,'Datos Iniciales'!$E$34:$O$64,DW$158,FALSE())*DW67</f>
        <v>0</v>
      </c>
      <c r="DX165" s="196" t="n">
        <f aca="false">VLOOKUP($DT$1,'Datos Iniciales'!$E$34:$O$64,DX$158,FALSE())*DX67</f>
        <v>0</v>
      </c>
      <c r="DY165" s="196" t="n">
        <f aca="false">VLOOKUP($DT$1,'Datos Iniciales'!$E$34:$O$64,DY$158,FALSE())*DY67</f>
        <v>0</v>
      </c>
      <c r="DZ165" s="196" t="n">
        <f aca="false">VLOOKUP($DT$1,'Datos Iniciales'!$E$34:$O$64,DZ$158,FALSE())*DZ67</f>
        <v>0</v>
      </c>
      <c r="EA165" s="196" t="n">
        <f aca="false">VLOOKUP($DT$1,'Datos Iniciales'!$E$34:$O$64,EA$158,FALSE())*EA67</f>
        <v>0</v>
      </c>
      <c r="EB165" s="196" t="n">
        <f aca="false">VLOOKUP($DT$1,'Datos Iniciales'!$E$34:$O$64,EB$158,FALSE())*EB67</f>
        <v>0</v>
      </c>
      <c r="EC165" s="196" t="n">
        <f aca="false">VLOOKUP($DT$1,'Datos Iniciales'!$E$34:$O$64,EC$158,FALSE())*EC67</f>
        <v>0</v>
      </c>
      <c r="ED165" s="197" t="n">
        <f aca="false">VLOOKUP($DT$1,'Datos Iniciales'!$E$34:$O$64,ED$158,FALSE())*ED67</f>
        <v>0</v>
      </c>
      <c r="EE165" s="194" t="str">
        <f aca="false">DT165</f>
        <v>Alumno6</v>
      </c>
      <c r="EF165" s="208" t="n">
        <f aca="false">VLOOKUP($EE$1,'Datos Iniciales'!$E$34:$O$64,EF$158,FALSE())*EF67</f>
        <v>0</v>
      </c>
      <c r="EG165" s="196" t="n">
        <f aca="false">VLOOKUP($EE$1,'Datos Iniciales'!$E$34:$O$64,EG$158,FALSE())*EG67</f>
        <v>0</v>
      </c>
      <c r="EH165" s="196" t="n">
        <f aca="false">VLOOKUP($EE$1,'Datos Iniciales'!$E$34:$O$64,EH$158,FALSE())*EH67</f>
        <v>0</v>
      </c>
      <c r="EI165" s="196" t="n">
        <f aca="false">VLOOKUP($EE$1,'Datos Iniciales'!$E$34:$O$64,EI$158,FALSE())*EI67</f>
        <v>0</v>
      </c>
      <c r="EJ165" s="196" t="n">
        <f aca="false">VLOOKUP($EE$1,'Datos Iniciales'!$E$34:$O$64,EJ$158,FALSE())*EJ67</f>
        <v>0</v>
      </c>
      <c r="EK165" s="196" t="n">
        <f aca="false">VLOOKUP($EE$1,'Datos Iniciales'!$E$34:$O$64,EK$158,FALSE())*EK67</f>
        <v>0</v>
      </c>
      <c r="EL165" s="196" t="n">
        <f aca="false">VLOOKUP($EE$1,'Datos Iniciales'!$E$34:$O$64,EL$158,FALSE())*EL67</f>
        <v>0</v>
      </c>
      <c r="EM165" s="196" t="n">
        <f aca="false">VLOOKUP($EE$1,'Datos Iniciales'!$E$34:$O$64,EM$158,FALSE())*EM67</f>
        <v>0</v>
      </c>
      <c r="EN165" s="196" t="n">
        <f aca="false">VLOOKUP($EE$1,'Datos Iniciales'!$E$34:$O$64,EN$158,FALSE())*EN67</f>
        <v>0</v>
      </c>
      <c r="EO165" s="197" t="n">
        <f aca="false">VLOOKUP($EE$1,'Datos Iniciales'!$E$34:$O$64,EO$158,FALSE())*EO67</f>
        <v>0</v>
      </c>
      <c r="EP165" s="194" t="str">
        <f aca="false">EE165</f>
        <v>Alumno6</v>
      </c>
      <c r="EQ165" s="208" t="n">
        <f aca="false">VLOOKUP($EP$1,'Datos Iniciales'!$E$34:$O$64,EQ$158,FALSE())*EQ67</f>
        <v>0</v>
      </c>
      <c r="ER165" s="196" t="n">
        <f aca="false">VLOOKUP($EP$1,'Datos Iniciales'!$E$34:$O$64,ER$158,FALSE())*ER67</f>
        <v>0</v>
      </c>
      <c r="ES165" s="196" t="n">
        <f aca="false">VLOOKUP($EP$1,'Datos Iniciales'!$E$34:$O$64,ES$158,FALSE())*ES67</f>
        <v>0</v>
      </c>
      <c r="ET165" s="196" t="n">
        <f aca="false">VLOOKUP($EP$1,'Datos Iniciales'!$E$34:$O$64,ET$158,FALSE())*ET67</f>
        <v>0</v>
      </c>
      <c r="EU165" s="196" t="n">
        <f aca="false">VLOOKUP($EP$1,'Datos Iniciales'!$E$34:$O$64,EU$158,FALSE())*EU67</f>
        <v>0</v>
      </c>
      <c r="EV165" s="196" t="n">
        <f aca="false">VLOOKUP($EP$1,'Datos Iniciales'!$E$34:$O$64,EV$158,FALSE())*EV67</f>
        <v>0</v>
      </c>
      <c r="EW165" s="196" t="n">
        <f aca="false">VLOOKUP($EP$1,'Datos Iniciales'!$E$34:$O$64,EW$158,FALSE())*EW67</f>
        <v>0</v>
      </c>
      <c r="EX165" s="196" t="n">
        <f aca="false">VLOOKUP($EP$1,'Datos Iniciales'!$E$34:$O$64,EX$158,FALSE())*EX67</f>
        <v>0</v>
      </c>
      <c r="EY165" s="196" t="n">
        <f aca="false">VLOOKUP($EP$1,'Datos Iniciales'!$E$34:$O$64,EY$158,FALSE())*EY67</f>
        <v>0</v>
      </c>
      <c r="EZ165" s="197" t="n">
        <f aca="false">VLOOKUP($EP$1,'Datos Iniciales'!$E$34:$O$64,EZ$158,FALSE())*EZ67</f>
        <v>0</v>
      </c>
      <c r="FA165" s="194" t="str">
        <f aca="false">EP165</f>
        <v>Alumno6</v>
      </c>
      <c r="FB165" s="208" t="n">
        <f aca="false">VLOOKUP($FA$1,'Datos Iniciales'!$E$34:$O$64,FB$158,FALSE())*FB67</f>
        <v>0</v>
      </c>
      <c r="FC165" s="196" t="n">
        <f aca="false">VLOOKUP($FA$1,'Datos Iniciales'!$E$34:$O$64,FC$158,FALSE())*FC67</f>
        <v>0</v>
      </c>
      <c r="FD165" s="196" t="n">
        <f aca="false">VLOOKUP($FA$1,'Datos Iniciales'!$E$34:$O$64,FD$158,FALSE())*FD67</f>
        <v>0</v>
      </c>
      <c r="FE165" s="196" t="n">
        <f aca="false">VLOOKUP($FA$1,'Datos Iniciales'!$E$34:$O$64,FE$158,FALSE())*FE67</f>
        <v>0</v>
      </c>
      <c r="FF165" s="196" t="n">
        <f aca="false">VLOOKUP($FA$1,'Datos Iniciales'!$E$34:$O$64,FF$158,FALSE())*FF67</f>
        <v>0</v>
      </c>
      <c r="FG165" s="196" t="n">
        <f aca="false">VLOOKUP($FA$1,'Datos Iniciales'!$E$34:$O$64,FG$158,FALSE())*FG67</f>
        <v>0</v>
      </c>
      <c r="FH165" s="196" t="n">
        <f aca="false">VLOOKUP($FA$1,'Datos Iniciales'!$E$34:$O$64,FH$158,FALSE())*FH67</f>
        <v>0</v>
      </c>
      <c r="FI165" s="196" t="n">
        <f aca="false">VLOOKUP($FA$1,'Datos Iniciales'!$E$34:$O$64,FI$158,FALSE())*FI67</f>
        <v>0</v>
      </c>
      <c r="FJ165" s="196" t="n">
        <f aca="false">VLOOKUP($FA$1,'Datos Iniciales'!$E$34:$O$64,FJ$158,FALSE())*FJ67</f>
        <v>0</v>
      </c>
      <c r="FK165" s="197" t="n">
        <f aca="false">VLOOKUP($FA$1,'Datos Iniciales'!$E$34:$O$64,FK$158,FALSE())*FK67</f>
        <v>0</v>
      </c>
      <c r="FL165" s="194" t="str">
        <f aca="false">FA165</f>
        <v>Alumno6</v>
      </c>
      <c r="FM165" s="208" t="n">
        <f aca="false">VLOOKUP($FL$1,'Datos Iniciales'!$E$34:$O$64,FM$158,FALSE())*FM67</f>
        <v>0</v>
      </c>
      <c r="FN165" s="196" t="n">
        <f aca="false">VLOOKUP($FL$1,'Datos Iniciales'!$E$34:$O$64,FN$158,FALSE())*FN67</f>
        <v>0</v>
      </c>
      <c r="FO165" s="196" t="n">
        <f aca="false">VLOOKUP($FL$1,'Datos Iniciales'!$E$34:$O$64,FO$158,FALSE())*FO67</f>
        <v>0</v>
      </c>
      <c r="FP165" s="196" t="n">
        <f aca="false">VLOOKUP($FL$1,'Datos Iniciales'!$E$34:$O$64,FP$158,FALSE())*FP67</f>
        <v>0</v>
      </c>
      <c r="FQ165" s="196" t="n">
        <f aca="false">VLOOKUP($FL$1,'Datos Iniciales'!$E$34:$O$64,FQ$158,FALSE())*FQ67</f>
        <v>0</v>
      </c>
      <c r="FR165" s="196" t="n">
        <f aca="false">VLOOKUP($FL$1,'Datos Iniciales'!$E$34:$O$64,FR$158,FALSE())*FR67</f>
        <v>0</v>
      </c>
      <c r="FS165" s="196" t="n">
        <f aca="false">VLOOKUP($FL$1,'Datos Iniciales'!$E$34:$O$64,FS$158,FALSE())*FS67</f>
        <v>0</v>
      </c>
      <c r="FT165" s="196" t="n">
        <f aca="false">VLOOKUP($FL$1,'Datos Iniciales'!$E$34:$O$64,FT$158,FALSE())*FT67</f>
        <v>0</v>
      </c>
      <c r="FU165" s="196" t="n">
        <f aca="false">VLOOKUP($FL$1,'Datos Iniciales'!$E$34:$O$64,FU$158,FALSE())*FU67</f>
        <v>0</v>
      </c>
      <c r="FV165" s="197" t="n">
        <f aca="false">VLOOKUP($FL$1,'Datos Iniciales'!$E$34:$O$64,FV$158,FALSE())*FV67</f>
        <v>0</v>
      </c>
      <c r="FW165" s="194" t="str">
        <f aca="false">FL165</f>
        <v>Alumno6</v>
      </c>
      <c r="FX165" s="208" t="n">
        <f aca="false">VLOOKUP($FW$1,'Datos Iniciales'!$E$34:$O$64,FX$158,FALSE())*FX67</f>
        <v>0</v>
      </c>
      <c r="FY165" s="196" t="n">
        <f aca="false">VLOOKUP($FW$1,'Datos Iniciales'!$E$34:$O$64,FY$158,FALSE())*FY67</f>
        <v>0</v>
      </c>
      <c r="FZ165" s="196" t="n">
        <f aca="false">VLOOKUP($FW$1,'Datos Iniciales'!$E$34:$O$64,FZ$158,FALSE())*FZ67</f>
        <v>0</v>
      </c>
      <c r="GA165" s="196" t="n">
        <f aca="false">VLOOKUP($FW$1,'Datos Iniciales'!$E$34:$O$64,GA$158,FALSE())*GA67</f>
        <v>0</v>
      </c>
      <c r="GB165" s="196" t="n">
        <f aca="false">VLOOKUP($FW$1,'Datos Iniciales'!$E$34:$O$64,GB$158,FALSE())*GB67</f>
        <v>0</v>
      </c>
      <c r="GC165" s="196" t="n">
        <f aca="false">VLOOKUP($FW$1,'Datos Iniciales'!$E$34:$O$64,GC$158,FALSE())*GC67</f>
        <v>0</v>
      </c>
      <c r="GD165" s="196" t="n">
        <f aca="false">VLOOKUP($FW$1,'Datos Iniciales'!$E$34:$O$64,GD$158,FALSE())*GD67</f>
        <v>0</v>
      </c>
      <c r="GE165" s="196" t="n">
        <f aca="false">VLOOKUP($FW$1,'Datos Iniciales'!$E$34:$O$64,GE$158,FALSE())*GE67</f>
        <v>0</v>
      </c>
      <c r="GF165" s="196" t="n">
        <f aca="false">VLOOKUP($FW$1,'Datos Iniciales'!$E$34:$O$64,GF$158,FALSE())*GF67</f>
        <v>0</v>
      </c>
      <c r="GG165" s="197" t="n">
        <f aca="false">VLOOKUP($FW$1,'Datos Iniciales'!$E$34:$O$64,GG$158,FALSE())*GG67</f>
        <v>0</v>
      </c>
      <c r="GH165" s="194" t="str">
        <f aca="false">FW165</f>
        <v>Alumno6</v>
      </c>
      <c r="GI165" s="208" t="n">
        <f aca="false">VLOOKUP($GH$1,'Datos Iniciales'!$E$34:$O$64,GI$158,FALSE())*GI67</f>
        <v>0</v>
      </c>
      <c r="GJ165" s="196" t="n">
        <f aca="false">VLOOKUP($GH$1,'Datos Iniciales'!$E$34:$O$64,GJ$158,FALSE())*GJ67</f>
        <v>0</v>
      </c>
      <c r="GK165" s="196" t="n">
        <f aca="false">VLOOKUP($GH$1,'Datos Iniciales'!$E$34:$O$64,GK$158,FALSE())*GK67</f>
        <v>0</v>
      </c>
      <c r="GL165" s="196" t="n">
        <f aca="false">VLOOKUP($GH$1,'Datos Iniciales'!$E$34:$O$64,GL$158,FALSE())*GL67</f>
        <v>0</v>
      </c>
      <c r="GM165" s="196" t="n">
        <f aca="false">VLOOKUP($GH$1,'Datos Iniciales'!$E$34:$O$64,GM$158,FALSE())*GM67</f>
        <v>0</v>
      </c>
      <c r="GN165" s="196" t="n">
        <f aca="false">VLOOKUP($GH$1,'Datos Iniciales'!$E$34:$O$64,GN$158,FALSE())*GN67</f>
        <v>0</v>
      </c>
      <c r="GO165" s="196" t="n">
        <f aca="false">VLOOKUP($GH$1,'Datos Iniciales'!$E$34:$O$64,GO$158,FALSE())*GO67</f>
        <v>0</v>
      </c>
      <c r="GP165" s="196" t="n">
        <f aca="false">VLOOKUP($GH$1,'Datos Iniciales'!$E$34:$O$64,GP$158,FALSE())*GP67</f>
        <v>0</v>
      </c>
      <c r="GQ165" s="196" t="n">
        <f aca="false">VLOOKUP($GH$1,'Datos Iniciales'!$E$34:$O$64,GQ$158,FALSE())*GQ67</f>
        <v>0</v>
      </c>
      <c r="GR165" s="197" t="n">
        <f aca="false">VLOOKUP($GH$1,'Datos Iniciales'!$E$34:$O$64,GR$158,FALSE())*GR67</f>
        <v>0</v>
      </c>
      <c r="GS165" s="194" t="str">
        <f aca="false">GH165</f>
        <v>Alumno6</v>
      </c>
      <c r="GT165" s="208" t="n">
        <f aca="false">VLOOKUP($GS$1,'Datos Iniciales'!$E$34:$O$64,GT$158,FALSE())*GT67</f>
        <v>0</v>
      </c>
      <c r="GU165" s="196" t="n">
        <f aca="false">VLOOKUP($GS$1,'Datos Iniciales'!$E$34:$O$64,GU$158,FALSE())*GU67</f>
        <v>0</v>
      </c>
      <c r="GV165" s="196" t="n">
        <f aca="false">VLOOKUP($GS$1,'Datos Iniciales'!$E$34:$O$64,GV$158,FALSE())*GV67</f>
        <v>0</v>
      </c>
      <c r="GW165" s="196" t="n">
        <f aca="false">VLOOKUP($GS$1,'Datos Iniciales'!$E$34:$O$64,GW$158,FALSE())*GW67</f>
        <v>0</v>
      </c>
      <c r="GX165" s="196" t="n">
        <f aca="false">VLOOKUP($GS$1,'Datos Iniciales'!$E$34:$O$64,GX$158,FALSE())*GX67</f>
        <v>0</v>
      </c>
      <c r="GY165" s="196" t="n">
        <f aca="false">VLOOKUP($GS$1,'Datos Iniciales'!$E$34:$O$64,GY$158,FALSE())*GY67</f>
        <v>0</v>
      </c>
      <c r="GZ165" s="196" t="n">
        <f aca="false">VLOOKUP($GS$1,'Datos Iniciales'!$E$34:$O$64,GZ$158,FALSE())*GZ67</f>
        <v>0</v>
      </c>
      <c r="HA165" s="196" t="n">
        <f aca="false">VLOOKUP($GS$1,'Datos Iniciales'!$E$34:$O$64,HA$158,FALSE())*HA67</f>
        <v>0</v>
      </c>
      <c r="HB165" s="196" t="n">
        <f aca="false">VLOOKUP($GS$1,'Datos Iniciales'!$E$34:$O$64,HB$158,FALSE())*HB67</f>
        <v>0</v>
      </c>
      <c r="HC165" s="197" t="n">
        <f aca="false">VLOOKUP($GS$1,'Datos Iniciales'!$E$34:$O$64,HC$158,FALSE())*HC67</f>
        <v>0</v>
      </c>
      <c r="HD165" s="194" t="str">
        <f aca="false">GS165</f>
        <v>Alumno6</v>
      </c>
      <c r="HE165" s="208" t="n">
        <f aca="false">VLOOKUP($HD$1,'Datos Iniciales'!$E$34:$O$64,HE$158,FALSE())*HE67</f>
        <v>0</v>
      </c>
      <c r="HF165" s="196" t="n">
        <f aca="false">VLOOKUP($HD$1,'Datos Iniciales'!$E$34:$O$64,HF$158,FALSE())*HF67</f>
        <v>0</v>
      </c>
      <c r="HG165" s="196" t="n">
        <f aca="false">VLOOKUP($HD$1,'Datos Iniciales'!$E$34:$O$64,HG$158,FALSE())*HG67</f>
        <v>0</v>
      </c>
      <c r="HH165" s="196" t="n">
        <f aca="false">VLOOKUP($HD$1,'Datos Iniciales'!$E$34:$O$64,HH$158,FALSE())*HH67</f>
        <v>0</v>
      </c>
      <c r="HI165" s="196" t="n">
        <f aca="false">VLOOKUP($HD$1,'Datos Iniciales'!$E$34:$O$64,HI$158,FALSE())*HI67</f>
        <v>0</v>
      </c>
      <c r="HJ165" s="196" t="n">
        <f aca="false">VLOOKUP($HD$1,'Datos Iniciales'!$E$34:$O$64,HJ$158,FALSE())*HJ67</f>
        <v>0</v>
      </c>
      <c r="HK165" s="196" t="n">
        <f aca="false">VLOOKUP($HD$1,'Datos Iniciales'!$E$34:$O$64,HK$158,FALSE())*HK67</f>
        <v>0</v>
      </c>
      <c r="HL165" s="196" t="n">
        <f aca="false">VLOOKUP($HD$1,'Datos Iniciales'!$E$34:$O$64,HL$158,FALSE())*HL67</f>
        <v>0</v>
      </c>
      <c r="HM165" s="196" t="n">
        <f aca="false">VLOOKUP($HD$1,'Datos Iniciales'!$E$34:$O$64,HM$158,FALSE())*HM67</f>
        <v>0</v>
      </c>
      <c r="HN165" s="197" t="n">
        <f aca="false">VLOOKUP($HD$1,'Datos Iniciales'!$E$34:$O$64,HN$158,FALSE())*HN67</f>
        <v>0</v>
      </c>
      <c r="HO165" s="194" t="str">
        <f aca="false">HD165</f>
        <v>Alumno6</v>
      </c>
      <c r="HP165" s="208" t="n">
        <f aca="false">VLOOKUP($HO$1,'Datos Iniciales'!$E$34:$O$64,HP$158,FALSE())*HP67</f>
        <v>0</v>
      </c>
      <c r="HQ165" s="196" t="n">
        <f aca="false">VLOOKUP($HO$1,'Datos Iniciales'!$E$34:$O$64,HQ$158,FALSE())*HQ67</f>
        <v>0</v>
      </c>
      <c r="HR165" s="196" t="n">
        <f aca="false">VLOOKUP($HO$1,'Datos Iniciales'!$E$34:$O$64,HR$158,FALSE())*HR67</f>
        <v>0</v>
      </c>
      <c r="HS165" s="196" t="n">
        <f aca="false">VLOOKUP($HO$1,'Datos Iniciales'!$E$34:$O$64,HS$158,FALSE())*HS67</f>
        <v>0</v>
      </c>
      <c r="HT165" s="196" t="n">
        <f aca="false">VLOOKUP($HO$1,'Datos Iniciales'!$E$34:$O$64,HT$158,FALSE())*HT67</f>
        <v>0</v>
      </c>
      <c r="HU165" s="196" t="n">
        <f aca="false">VLOOKUP($HO$1,'Datos Iniciales'!$E$34:$O$64,HU$158,FALSE())*HU67</f>
        <v>0</v>
      </c>
      <c r="HV165" s="196" t="n">
        <f aca="false">VLOOKUP($HO$1,'Datos Iniciales'!$E$34:$O$64,HV$158,FALSE())*HV67</f>
        <v>0</v>
      </c>
      <c r="HW165" s="196" t="n">
        <f aca="false">VLOOKUP($HO$1,'Datos Iniciales'!$E$34:$O$64,HW$158,FALSE())*HW67</f>
        <v>0</v>
      </c>
      <c r="HX165" s="196" t="n">
        <f aca="false">VLOOKUP($HO$1,'Datos Iniciales'!$E$34:$O$64,HX$158,FALSE())*HX67</f>
        <v>0</v>
      </c>
      <c r="HY165" s="197" t="n">
        <f aca="false">VLOOKUP($HO$1,'Datos Iniciales'!$E$34:$O$64,HY$158,FALSE())*HY67</f>
        <v>0</v>
      </c>
      <c r="HZ165" s="194" t="str">
        <f aca="false">HO165</f>
        <v>Alumno6</v>
      </c>
      <c r="IA165" s="208" t="n">
        <f aca="false">VLOOKUP($HZ$1,'Datos Iniciales'!$E$34:$O$64,IA$158,FALSE())*IA67</f>
        <v>0</v>
      </c>
      <c r="IB165" s="196" t="n">
        <f aca="false">VLOOKUP($HZ$1,'Datos Iniciales'!$E$34:$O$64,IB$158,FALSE())*IB67</f>
        <v>0</v>
      </c>
      <c r="IC165" s="196" t="n">
        <f aca="false">VLOOKUP($HZ$1,'Datos Iniciales'!$E$34:$O$64,IC$158,FALSE())*IC67</f>
        <v>0</v>
      </c>
      <c r="ID165" s="196" t="n">
        <f aca="false">VLOOKUP($HZ$1,'Datos Iniciales'!$E$34:$O$64,ID$158,FALSE())*ID67</f>
        <v>0</v>
      </c>
      <c r="IE165" s="196" t="n">
        <f aca="false">VLOOKUP($HZ$1,'Datos Iniciales'!$E$34:$O$64,IE$158,FALSE())*IE67</f>
        <v>0</v>
      </c>
      <c r="IF165" s="196" t="n">
        <f aca="false">VLOOKUP($HZ$1,'Datos Iniciales'!$E$34:$O$64,IF$158,FALSE())*IF67</f>
        <v>0</v>
      </c>
      <c r="IG165" s="196" t="n">
        <f aca="false">VLOOKUP($HZ$1,'Datos Iniciales'!$E$34:$O$64,IG$158,FALSE())*IG67</f>
        <v>0</v>
      </c>
      <c r="IH165" s="196" t="n">
        <f aca="false">VLOOKUP($HZ$1,'Datos Iniciales'!$E$34:$O$64,IH$158,FALSE())*IH67</f>
        <v>0</v>
      </c>
      <c r="II165" s="196" t="n">
        <f aca="false">VLOOKUP($HZ$1,'Datos Iniciales'!$E$34:$O$64,II$158,FALSE())*II67</f>
        <v>0</v>
      </c>
      <c r="IJ165" s="197" t="n">
        <f aca="false">VLOOKUP($HZ$1,'Datos Iniciales'!$E$34:$O$64,IJ$158,FALSE())*IJ67</f>
        <v>0</v>
      </c>
      <c r="IK165" s="194" t="str">
        <f aca="false">HZ165</f>
        <v>Alumno6</v>
      </c>
      <c r="IL165" s="208" t="n">
        <f aca="false">VLOOKUP($IK$1,'Datos Iniciales'!$E$34:$O$64,IL$158,FALSE())*IL67</f>
        <v>0</v>
      </c>
      <c r="IM165" s="196" t="n">
        <f aca="false">VLOOKUP($IK$1,'Datos Iniciales'!$E$34:$O$64,IM$158,FALSE())*IM67</f>
        <v>0</v>
      </c>
      <c r="IN165" s="196" t="n">
        <f aca="false">VLOOKUP($IK$1,'Datos Iniciales'!$E$34:$O$64,IN$158,FALSE())*IN67</f>
        <v>0</v>
      </c>
      <c r="IO165" s="196" t="n">
        <f aca="false">VLOOKUP($IK$1,'Datos Iniciales'!$E$34:$O$64,IO$158,FALSE())*IO67</f>
        <v>0</v>
      </c>
      <c r="IP165" s="196" t="n">
        <f aca="false">VLOOKUP($IK$1,'Datos Iniciales'!$E$34:$O$64,IP$158,FALSE())*IP67</f>
        <v>0</v>
      </c>
      <c r="IQ165" s="196" t="n">
        <f aca="false">VLOOKUP($IK$1,'Datos Iniciales'!$E$34:$O$64,IQ$158,FALSE())*IQ67</f>
        <v>0</v>
      </c>
      <c r="IR165" s="196" t="n">
        <f aca="false">VLOOKUP($IK$1,'Datos Iniciales'!$E$34:$O$64,IR$158,FALSE())*IR67</f>
        <v>0</v>
      </c>
      <c r="IS165" s="196" t="n">
        <f aca="false">VLOOKUP($IK$1,'Datos Iniciales'!$E$34:$O$64,IS$158,FALSE())*IS67</f>
        <v>0</v>
      </c>
      <c r="IT165" s="196" t="n">
        <f aca="false">VLOOKUP($IK$1,'Datos Iniciales'!$E$34:$O$64,IT$158,FALSE())*IT67</f>
        <v>0</v>
      </c>
      <c r="IU165" s="197" t="n">
        <f aca="false">VLOOKUP($IK$1,'Datos Iniciales'!$E$34:$O$64,IU$158,FALSE())*IU67</f>
        <v>0</v>
      </c>
      <c r="IV165" s="194" t="str">
        <f aca="false">IK165</f>
        <v>Alumno6</v>
      </c>
      <c r="IW165" s="208" t="n">
        <f aca="false">VLOOKUP($IV$1,'Datos Iniciales'!$E$34:$O$64,IW$158,FALSE())*IW67</f>
        <v>0</v>
      </c>
      <c r="IX165" s="196" t="n">
        <f aca="false">VLOOKUP($IV$1,'Datos Iniciales'!$E$34:$O$64,IX$158,FALSE())*IX67</f>
        <v>0</v>
      </c>
      <c r="IY165" s="196" t="n">
        <f aca="false">VLOOKUP($IV$1,'Datos Iniciales'!$E$34:$O$64,IY$158,FALSE())*IY67</f>
        <v>0</v>
      </c>
      <c r="IZ165" s="196" t="n">
        <f aca="false">VLOOKUP($IV$1,'Datos Iniciales'!$E$34:$O$64,IZ$158,FALSE())*IZ67</f>
        <v>0</v>
      </c>
      <c r="JA165" s="196" t="n">
        <f aca="false">VLOOKUP($IV$1,'Datos Iniciales'!$E$34:$O$64,JA$158,FALSE())*JA67</f>
        <v>0</v>
      </c>
      <c r="JB165" s="196" t="n">
        <f aca="false">VLOOKUP($IV$1,'Datos Iniciales'!$E$34:$O$64,JB$158,FALSE())*JB67</f>
        <v>0</v>
      </c>
      <c r="JC165" s="196" t="n">
        <f aca="false">VLOOKUP($IV$1,'Datos Iniciales'!$E$34:$O$64,JC$158,FALSE())*JC67</f>
        <v>0</v>
      </c>
      <c r="JD165" s="196" t="n">
        <f aca="false">VLOOKUP($IV$1,'Datos Iniciales'!$E$34:$O$64,JD$158,FALSE())*JD67</f>
        <v>0</v>
      </c>
      <c r="JE165" s="196" t="n">
        <f aca="false">VLOOKUP($IV$1,'Datos Iniciales'!$E$34:$O$64,JE$158,FALSE())*JE67</f>
        <v>0</v>
      </c>
      <c r="JF165" s="197" t="n">
        <f aca="false">VLOOKUP($IV$1,'Datos Iniciales'!$E$34:$O$64,JF$158,FALSE())*JF67</f>
        <v>0</v>
      </c>
      <c r="JG165" s="194" t="str">
        <f aca="false">IV165</f>
        <v>Alumno6</v>
      </c>
      <c r="JH165" s="208" t="n">
        <f aca="false">VLOOKUP($JG$1,'Datos Iniciales'!$E$34:$O$64,JH$158,FALSE())*JH67</f>
        <v>0</v>
      </c>
      <c r="JI165" s="196" t="n">
        <f aca="false">VLOOKUP($JG$1,'Datos Iniciales'!$E$34:$O$64,JI$158,FALSE())*JI67</f>
        <v>0</v>
      </c>
      <c r="JJ165" s="196" t="n">
        <f aca="false">VLOOKUP($JG$1,'Datos Iniciales'!$E$34:$O$64,JJ$158,FALSE())*JJ67</f>
        <v>0</v>
      </c>
      <c r="JK165" s="196" t="n">
        <f aca="false">VLOOKUP($JG$1,'Datos Iniciales'!$E$34:$O$64,JK$158,FALSE())*JK67</f>
        <v>0</v>
      </c>
      <c r="JL165" s="196" t="n">
        <f aca="false">VLOOKUP($JG$1,'Datos Iniciales'!$E$34:$O$64,JL$158,FALSE())*JL67</f>
        <v>0</v>
      </c>
      <c r="JM165" s="196" t="n">
        <f aca="false">VLOOKUP($JG$1,'Datos Iniciales'!$E$34:$O$64,JM$158,FALSE())*JM67</f>
        <v>0</v>
      </c>
      <c r="JN165" s="196" t="n">
        <f aca="false">VLOOKUP($JG$1,'Datos Iniciales'!$E$34:$O$64,JN$158,FALSE())*JN67</f>
        <v>0</v>
      </c>
      <c r="JO165" s="196" t="n">
        <f aca="false">VLOOKUP($JG$1,'Datos Iniciales'!$E$34:$O$64,JO$158,FALSE())*JO67</f>
        <v>0</v>
      </c>
      <c r="JP165" s="196" t="n">
        <f aca="false">VLOOKUP($JG$1,'Datos Iniciales'!$E$34:$O$64,JP$158,FALSE())*JP67</f>
        <v>0</v>
      </c>
      <c r="JQ165" s="197" t="n">
        <f aca="false">VLOOKUP($JG$1,'Datos Iniciales'!$E$34:$O$64,JQ$158,FALSE())*JQ67</f>
        <v>0</v>
      </c>
      <c r="JR165" s="194" t="str">
        <f aca="false">JG165</f>
        <v>Alumno6</v>
      </c>
      <c r="JS165" s="208" t="n">
        <f aca="false">VLOOKUP($JR$1,'Datos Iniciales'!$E$34:$O$64,JS$158,FALSE())*JS67</f>
        <v>0</v>
      </c>
      <c r="JT165" s="196" t="n">
        <f aca="false">VLOOKUP($JR$1,'Datos Iniciales'!$E$34:$O$64,JT$158,FALSE())*JT67</f>
        <v>0</v>
      </c>
      <c r="JU165" s="196" t="n">
        <f aca="false">VLOOKUP($JR$1,'Datos Iniciales'!$E$34:$O$64,JU$158,FALSE())*JU67</f>
        <v>0</v>
      </c>
      <c r="JV165" s="196" t="n">
        <f aca="false">VLOOKUP($JR$1,'Datos Iniciales'!$E$34:$O$64,JV$158,FALSE())*JV67</f>
        <v>0</v>
      </c>
      <c r="JW165" s="196" t="n">
        <f aca="false">VLOOKUP($JR$1,'Datos Iniciales'!$E$34:$O$64,JW$158,FALSE())*JW67</f>
        <v>0</v>
      </c>
      <c r="JX165" s="196" t="n">
        <f aca="false">VLOOKUP($JR$1,'Datos Iniciales'!$E$34:$O$64,JX$158,FALSE())*JX67</f>
        <v>0</v>
      </c>
      <c r="JY165" s="196" t="n">
        <f aca="false">VLOOKUP($JR$1,'Datos Iniciales'!$E$34:$O$64,JY$158,FALSE())*JY67</f>
        <v>0</v>
      </c>
      <c r="JZ165" s="196" t="n">
        <f aca="false">VLOOKUP($JR$1,'Datos Iniciales'!$E$34:$O$64,JZ$158,FALSE())*JZ67</f>
        <v>0</v>
      </c>
      <c r="KA165" s="196" t="n">
        <f aca="false">VLOOKUP($JR$1,'Datos Iniciales'!$E$34:$O$64,KA$158,FALSE())*KA67</f>
        <v>0</v>
      </c>
      <c r="KB165" s="197" t="n">
        <f aca="false">VLOOKUP($JR$1,'Datos Iniciales'!$E$34:$O$64,KB$158,FALSE())*KB67</f>
        <v>0</v>
      </c>
      <c r="KC165" s="194" t="str">
        <f aca="false">JR165</f>
        <v>Alumno6</v>
      </c>
      <c r="KD165" s="208" t="n">
        <f aca="false">VLOOKUP($KC$1,'Datos Iniciales'!$E$34:$O$64,KD$158,FALSE())*KD67</f>
        <v>0</v>
      </c>
      <c r="KE165" s="196" t="n">
        <f aca="false">VLOOKUP($KC$1,'Datos Iniciales'!$E$34:$O$64,KE$158,FALSE())*KE67</f>
        <v>0</v>
      </c>
      <c r="KF165" s="196" t="n">
        <f aca="false">VLOOKUP($KC$1,'Datos Iniciales'!$E$34:$O$64,KF$158,FALSE())*KF67</f>
        <v>0</v>
      </c>
      <c r="KG165" s="196" t="n">
        <f aca="false">VLOOKUP($KC$1,'Datos Iniciales'!$E$34:$O$64,KG$158,FALSE())*KG67</f>
        <v>0</v>
      </c>
      <c r="KH165" s="196" t="n">
        <f aca="false">VLOOKUP($KC$1,'Datos Iniciales'!$E$34:$O$64,KH$158,FALSE())*KH67</f>
        <v>0</v>
      </c>
      <c r="KI165" s="196" t="n">
        <f aca="false">VLOOKUP($KC$1,'Datos Iniciales'!$E$34:$O$64,KI$158,FALSE())*KI67</f>
        <v>0</v>
      </c>
      <c r="KJ165" s="196" t="n">
        <f aca="false">VLOOKUP($KC$1,'Datos Iniciales'!$E$34:$O$64,KJ$158,FALSE())*KJ67</f>
        <v>0</v>
      </c>
      <c r="KK165" s="196" t="n">
        <f aca="false">VLOOKUP($KC$1,'Datos Iniciales'!$E$34:$O$64,KK$158,FALSE())*KK67</f>
        <v>0</v>
      </c>
      <c r="KL165" s="196" t="n">
        <f aca="false">VLOOKUP($KC$1,'Datos Iniciales'!$E$34:$O$64,KL$158,FALSE())*KL67</f>
        <v>0</v>
      </c>
      <c r="KM165" s="197" t="n">
        <f aca="false">VLOOKUP($KC$1,'Datos Iniciales'!$E$34:$O$64,KM$158,FALSE())*KM67</f>
        <v>0</v>
      </c>
      <c r="KN165" s="194" t="str">
        <f aca="false">KC165</f>
        <v>Alumno6</v>
      </c>
      <c r="KO165" s="208" t="n">
        <f aca="false">VLOOKUP($KN$1,'Datos Iniciales'!$E$34:$O$64,KO$158,FALSE())*KO67</f>
        <v>0</v>
      </c>
      <c r="KP165" s="196" t="n">
        <f aca="false">VLOOKUP($KN$1,'Datos Iniciales'!$E$34:$O$64,KP$158,FALSE())*KP67</f>
        <v>0</v>
      </c>
      <c r="KQ165" s="196" t="n">
        <f aca="false">VLOOKUP($KN$1,'Datos Iniciales'!$E$34:$O$64,KQ$158,FALSE())*KQ67</f>
        <v>0</v>
      </c>
      <c r="KR165" s="196" t="n">
        <f aca="false">VLOOKUP($KN$1,'Datos Iniciales'!$E$34:$O$64,KR$158,FALSE())*KR67</f>
        <v>0</v>
      </c>
      <c r="KS165" s="196" t="n">
        <f aca="false">VLOOKUP($KN$1,'Datos Iniciales'!$E$34:$O$64,KS$158,FALSE())*KS67</f>
        <v>0</v>
      </c>
      <c r="KT165" s="196" t="n">
        <f aca="false">VLOOKUP($KN$1,'Datos Iniciales'!$E$34:$O$64,KT$158,FALSE())*KT67</f>
        <v>0</v>
      </c>
      <c r="KU165" s="196" t="n">
        <f aca="false">VLOOKUP($KN$1,'Datos Iniciales'!$E$34:$O$64,KU$158,FALSE())*KU67</f>
        <v>0</v>
      </c>
      <c r="KV165" s="196" t="n">
        <f aca="false">VLOOKUP($KN$1,'Datos Iniciales'!$E$34:$O$64,KV$158,FALSE())*KV67</f>
        <v>0</v>
      </c>
      <c r="KW165" s="196" t="n">
        <f aca="false">VLOOKUP($KN$1,'Datos Iniciales'!$E$34:$O$64,KW$158,FALSE())*KW67</f>
        <v>0</v>
      </c>
      <c r="KX165" s="197" t="n">
        <f aca="false">VLOOKUP($KN$1,'Datos Iniciales'!$E$34:$O$64,KX$158,FALSE())*KX67</f>
        <v>0</v>
      </c>
      <c r="KY165" s="194" t="str">
        <f aca="false">KN165</f>
        <v>Alumno6</v>
      </c>
      <c r="KZ165" s="208" t="n">
        <f aca="false">VLOOKUP($KY$1,'Datos Iniciales'!$E$34:$O$64,KZ$158,FALSE())*KZ67</f>
        <v>0</v>
      </c>
      <c r="LA165" s="196" t="n">
        <f aca="false">VLOOKUP($KY$1,'Datos Iniciales'!$E$34:$O$64,LA$158,FALSE())*LA67</f>
        <v>0</v>
      </c>
      <c r="LB165" s="196" t="n">
        <f aca="false">VLOOKUP($KY$1,'Datos Iniciales'!$E$34:$O$64,LB$158,FALSE())*LB67</f>
        <v>0</v>
      </c>
      <c r="LC165" s="196" t="n">
        <f aca="false">VLOOKUP($KY$1,'Datos Iniciales'!$E$34:$O$64,LC$158,FALSE())*LC67</f>
        <v>0</v>
      </c>
      <c r="LD165" s="196" t="n">
        <f aca="false">VLOOKUP($KY$1,'Datos Iniciales'!$E$34:$O$64,LD$158,FALSE())*LD67</f>
        <v>0</v>
      </c>
      <c r="LE165" s="196" t="n">
        <f aca="false">VLOOKUP($KY$1,'Datos Iniciales'!$E$34:$O$64,LE$158,FALSE())*LE67</f>
        <v>0</v>
      </c>
      <c r="LF165" s="196" t="n">
        <f aca="false">VLOOKUP($KY$1,'Datos Iniciales'!$E$34:$O$64,LF$158,FALSE())*LF67</f>
        <v>0</v>
      </c>
      <c r="LG165" s="196" t="n">
        <f aca="false">VLOOKUP($KY$1,'Datos Iniciales'!$E$34:$O$64,LG$158,FALSE())*LG67</f>
        <v>0</v>
      </c>
      <c r="LH165" s="196" t="n">
        <f aca="false">VLOOKUP($KY$1,'Datos Iniciales'!$E$34:$O$64,LH$158,FALSE())*LH67</f>
        <v>0</v>
      </c>
      <c r="LI165" s="197" t="n">
        <f aca="false">VLOOKUP($KY$1,'Datos Iniciales'!$E$34:$O$64,LI$158,FALSE())*LI67</f>
        <v>0</v>
      </c>
      <c r="LJ165" s="194" t="str">
        <f aca="false">KY165</f>
        <v>Alumno6</v>
      </c>
      <c r="LK165" s="208" t="n">
        <f aca="false">VLOOKUP($LJ$1,'Datos Iniciales'!$E$34:$O$64,LK$158,FALSE())*LK67</f>
        <v>0</v>
      </c>
      <c r="LL165" s="196" t="n">
        <f aca="false">VLOOKUP($LJ$1,'Datos Iniciales'!$E$34:$O$64,LL$158,FALSE())*LL67</f>
        <v>0</v>
      </c>
      <c r="LM165" s="196" t="n">
        <f aca="false">VLOOKUP($LJ$1,'Datos Iniciales'!$E$34:$O$64,LM$158,FALSE())*LM67</f>
        <v>0</v>
      </c>
      <c r="LN165" s="196" t="n">
        <f aca="false">VLOOKUP($LJ$1,'Datos Iniciales'!$E$34:$O$64,LN$158,FALSE())*LN67</f>
        <v>0</v>
      </c>
      <c r="LO165" s="196" t="n">
        <f aca="false">VLOOKUP($LJ$1,'Datos Iniciales'!$E$34:$O$64,LO$158,FALSE())*LO67</f>
        <v>0</v>
      </c>
      <c r="LP165" s="196" t="n">
        <f aca="false">VLOOKUP($LJ$1,'Datos Iniciales'!$E$34:$O$64,LP$158,FALSE())*LP67</f>
        <v>0</v>
      </c>
      <c r="LQ165" s="196" t="n">
        <f aca="false">VLOOKUP($LJ$1,'Datos Iniciales'!$E$34:$O$64,LQ$158,FALSE())*LQ67</f>
        <v>0</v>
      </c>
      <c r="LR165" s="196" t="n">
        <f aca="false">VLOOKUP($LJ$1,'Datos Iniciales'!$E$34:$O$64,LR$158,FALSE())*LR67</f>
        <v>0</v>
      </c>
      <c r="LS165" s="196" t="n">
        <f aca="false">VLOOKUP($LJ$1,'Datos Iniciales'!$E$34:$O$64,LS$158,FALSE())*LS67</f>
        <v>0</v>
      </c>
      <c r="LT165" s="197" t="n">
        <f aca="false">VLOOKUP($LJ$1,'Datos Iniciales'!$E$34:$O$64,LT$158,FALSE())*LT67</f>
        <v>0</v>
      </c>
    </row>
    <row r="166" customFormat="false" ht="15" hidden="true" customHeight="false" outlineLevel="0" collapsed="false">
      <c r="C166" s="194" t="str">
        <f aca="false">C117</f>
        <v>Alumno7</v>
      </c>
      <c r="D166" s="208" t="n">
        <f aca="false">VLOOKUP($C$1,'Datos Iniciales'!$E$34:$O$64,D$158,FALSE())*D68</f>
        <v>2.2125</v>
      </c>
      <c r="E166" s="196" t="n">
        <f aca="false">VLOOKUP($C$1,'Datos Iniciales'!$E$34:$O$64,E$158,FALSE())*E68</f>
        <v>0</v>
      </c>
      <c r="F166" s="196" t="n">
        <f aca="false">VLOOKUP($C$1,'Datos Iniciales'!$E$34:$O$64,F$158,FALSE())*F68</f>
        <v>0</v>
      </c>
      <c r="G166" s="196" t="n">
        <f aca="false">VLOOKUP($C$1,'Datos Iniciales'!$E$34:$O$64,G$158,FALSE())*G68</f>
        <v>0</v>
      </c>
      <c r="H166" s="196" t="n">
        <f aca="false">VLOOKUP($C$1,'Datos Iniciales'!$E$34:$O$64,H$158,FALSE())*H68</f>
        <v>0</v>
      </c>
      <c r="I166" s="196" t="n">
        <f aca="false">VLOOKUP($C$1,'Datos Iniciales'!$E$34:$O$64,I$158,FALSE())*I68</f>
        <v>0</v>
      </c>
      <c r="J166" s="196" t="n">
        <f aca="false">VLOOKUP($C$1,'Datos Iniciales'!$E$34:$O$64,J$158,FALSE())*J68</f>
        <v>0</v>
      </c>
      <c r="K166" s="196" t="n">
        <f aca="false">VLOOKUP($C$1,'Datos Iniciales'!$E$34:$O$64,K$158,FALSE())*K68</f>
        <v>0</v>
      </c>
      <c r="L166" s="196" t="n">
        <f aca="false">VLOOKUP($C$1,'Datos Iniciales'!$E$34:$O$64,L$158,FALSE())*L68</f>
        <v>0</v>
      </c>
      <c r="M166" s="197" t="n">
        <f aca="false">VLOOKUP($C$1,'Datos Iniciales'!$E$34:$O$64,M$158,FALSE())*M68</f>
        <v>0</v>
      </c>
      <c r="N166" s="194" t="str">
        <f aca="false">C166</f>
        <v>Alumno7</v>
      </c>
      <c r="O166" s="208" t="n">
        <f aca="false">VLOOKUP($N$1,'Datos Iniciales'!$E$34:$O$64,O$158,FALSE())*O68</f>
        <v>1.8</v>
      </c>
      <c r="P166" s="196" t="n">
        <f aca="false">VLOOKUP($N$1,'Datos Iniciales'!$E$34:$O$64,P$158,FALSE())*P68</f>
        <v>1.8</v>
      </c>
      <c r="Q166" s="196" t="n">
        <f aca="false">VLOOKUP($N$1,'Datos Iniciales'!$E$34:$O$64,Q$158,FALSE())*Q68</f>
        <v>0</v>
      </c>
      <c r="R166" s="196" t="n">
        <f aca="false">VLOOKUP($N$1,'Datos Iniciales'!$E$34:$O$64,R$158,FALSE())*R68</f>
        <v>0</v>
      </c>
      <c r="S166" s="196" t="n">
        <f aca="false">VLOOKUP($N$1,'Datos Iniciales'!$E$34:$O$64,S$158,FALSE())*S68</f>
        <v>0</v>
      </c>
      <c r="T166" s="196" t="n">
        <f aca="false">VLOOKUP($N$1,'Datos Iniciales'!$E$34:$O$64,T$158,FALSE())*T68</f>
        <v>0</v>
      </c>
      <c r="U166" s="196" t="n">
        <f aca="false">VLOOKUP($N$1,'Datos Iniciales'!$E$34:$O$64,U$158,FALSE())*U68</f>
        <v>0</v>
      </c>
      <c r="V166" s="196" t="n">
        <f aca="false">VLOOKUP($N$1,'Datos Iniciales'!$E$34:$O$64,V$158,FALSE())*V68</f>
        <v>0</v>
      </c>
      <c r="W166" s="196" t="n">
        <f aca="false">VLOOKUP($N$1,'Datos Iniciales'!$E$34:$O$64,W$158,FALSE())*W68</f>
        <v>0</v>
      </c>
      <c r="X166" s="197" t="n">
        <f aca="false">VLOOKUP($N$1,'Datos Iniciales'!$E$34:$O$64,X$158,FALSE())*X68</f>
        <v>0</v>
      </c>
      <c r="Y166" s="194" t="str">
        <f aca="false">N166</f>
        <v>Alumno7</v>
      </c>
      <c r="Z166" s="208" t="n">
        <f aca="false">VLOOKUP($Y$1,'Datos Iniciales'!$E$34:$O$64,Z$158,FALSE())*Z68</f>
        <v>2.7</v>
      </c>
      <c r="AA166" s="196" t="n">
        <f aca="false">VLOOKUP($Y$1,'Datos Iniciales'!$E$34:$O$64,AA$158,FALSE())*AA68</f>
        <v>1.8</v>
      </c>
      <c r="AB166" s="196" t="n">
        <f aca="false">VLOOKUP($Y$1,'Datos Iniciales'!$E$34:$O$64,AB$158,FALSE())*AB68</f>
        <v>0.9</v>
      </c>
      <c r="AC166" s="196" t="n">
        <f aca="false">VLOOKUP($Y$1,'Datos Iniciales'!$E$34:$O$64,AC$158,FALSE())*AC68</f>
        <v>0</v>
      </c>
      <c r="AD166" s="196" t="n">
        <f aca="false">VLOOKUP($Y$1,'Datos Iniciales'!$E$34:$O$64,AD$158,FALSE())*AD68</f>
        <v>0</v>
      </c>
      <c r="AE166" s="196" t="n">
        <f aca="false">VLOOKUP($Y$1,'Datos Iniciales'!$E$34:$O$64,AE$158,FALSE())*AE68</f>
        <v>0</v>
      </c>
      <c r="AF166" s="196" t="n">
        <f aca="false">VLOOKUP($Y$1,'Datos Iniciales'!$E$34:$O$64,AF$158,FALSE())*AF68</f>
        <v>0</v>
      </c>
      <c r="AG166" s="196" t="n">
        <f aca="false">VLOOKUP($Y$1,'Datos Iniciales'!$E$34:$O$64,AG$158,FALSE())*AG68</f>
        <v>0</v>
      </c>
      <c r="AH166" s="196" t="n">
        <f aca="false">VLOOKUP($Y$1,'Datos Iniciales'!$E$34:$O$64,AH$158,FALSE())*AH68</f>
        <v>0</v>
      </c>
      <c r="AI166" s="197" t="n">
        <f aca="false">VLOOKUP($Y$1,'Datos Iniciales'!$E$34:$O$64,AI$158,FALSE())*AI68</f>
        <v>0</v>
      </c>
      <c r="AJ166" s="194" t="str">
        <f aca="false">Y166</f>
        <v>Alumno7</v>
      </c>
      <c r="AK166" s="208" t="n">
        <f aca="false">VLOOKUP($AJ$1,'Datos Iniciales'!$E$34:$O$64,AK$158,FALSE())*AK68</f>
        <v>0.9</v>
      </c>
      <c r="AL166" s="196" t="n">
        <f aca="false">VLOOKUP($AJ$1,'Datos Iniciales'!$E$34:$O$64,AL$158,FALSE())*AL68</f>
        <v>2.7</v>
      </c>
      <c r="AM166" s="196" t="n">
        <f aca="false">VLOOKUP($AJ$1,'Datos Iniciales'!$E$34:$O$64,AM$158,FALSE())*AM68</f>
        <v>3.15</v>
      </c>
      <c r="AN166" s="196" t="n">
        <f aca="false">VLOOKUP($AJ$1,'Datos Iniciales'!$E$34:$O$64,AN$158,FALSE())*AN68</f>
        <v>0</v>
      </c>
      <c r="AO166" s="196" t="n">
        <f aca="false">VLOOKUP($AJ$1,'Datos Iniciales'!$E$34:$O$64,AO$158,FALSE())*AO68</f>
        <v>0</v>
      </c>
      <c r="AP166" s="196" t="n">
        <f aca="false">VLOOKUP($AJ$1,'Datos Iniciales'!$E$34:$O$64,AP$158,FALSE())*AP68</f>
        <v>0</v>
      </c>
      <c r="AQ166" s="196" t="n">
        <f aca="false">VLOOKUP($AJ$1,'Datos Iniciales'!$E$34:$O$64,AQ$158,FALSE())*AQ68</f>
        <v>0</v>
      </c>
      <c r="AR166" s="196" t="n">
        <f aca="false">VLOOKUP($AJ$1,'Datos Iniciales'!$E$34:$O$64,AR$158,FALSE())*AR68</f>
        <v>0</v>
      </c>
      <c r="AS166" s="196" t="n">
        <f aca="false">VLOOKUP($AJ$1,'Datos Iniciales'!$E$34:$O$64,AS$158,FALSE())*AS68</f>
        <v>0</v>
      </c>
      <c r="AT166" s="197" t="n">
        <f aca="false">VLOOKUP($AJ$1,'Datos Iniciales'!$E$34:$O$64,AT$158,FALSE())*AT68</f>
        <v>0</v>
      </c>
      <c r="AU166" s="194" t="str">
        <f aca="false">AJ166</f>
        <v>Alumno7</v>
      </c>
      <c r="AV166" s="208" t="n">
        <f aca="false">VLOOKUP($AU$1,'Datos Iniciales'!$E$34:$O$64,AV$158,FALSE())*AV68</f>
        <v>0.45</v>
      </c>
      <c r="AW166" s="196" t="n">
        <f aca="false">VLOOKUP($AU$1,'Datos Iniciales'!$E$34:$O$64,AW$158,FALSE())*AW68</f>
        <v>0.9</v>
      </c>
      <c r="AX166" s="196" t="n">
        <f aca="false">VLOOKUP($AU$1,'Datos Iniciales'!$E$34:$O$64,AX$158,FALSE())*AX68</f>
        <v>2.7</v>
      </c>
      <c r="AY166" s="196" t="n">
        <f aca="false">VLOOKUP($AU$1,'Datos Iniciales'!$E$34:$O$64,AY$158,FALSE())*AY68</f>
        <v>0.9</v>
      </c>
      <c r="AZ166" s="196" t="n">
        <f aca="false">VLOOKUP($AU$1,'Datos Iniciales'!$E$34:$O$64,AZ$158,FALSE())*AZ68</f>
        <v>0</v>
      </c>
      <c r="BA166" s="196" t="n">
        <f aca="false">VLOOKUP($AU$1,'Datos Iniciales'!$E$34:$O$64,BA$158,FALSE())*BA68</f>
        <v>0</v>
      </c>
      <c r="BB166" s="196" t="n">
        <f aca="false">VLOOKUP($AU$1,'Datos Iniciales'!$E$34:$O$64,BB$158,FALSE())*BB68</f>
        <v>0</v>
      </c>
      <c r="BC166" s="196" t="n">
        <f aca="false">VLOOKUP($AU$1,'Datos Iniciales'!$E$34:$O$64,BC$158,FALSE())*BC68</f>
        <v>0</v>
      </c>
      <c r="BD166" s="196" t="n">
        <f aca="false">VLOOKUP($AU$1,'Datos Iniciales'!$E$34:$O$64,BD$158,FALSE())*BD68</f>
        <v>0</v>
      </c>
      <c r="BE166" s="197" t="n">
        <f aca="false">VLOOKUP($AU$1,'Datos Iniciales'!$E$34:$O$64,BE$158,FALSE())*BE68</f>
        <v>0</v>
      </c>
      <c r="BF166" s="194" t="str">
        <f aca="false">AU166</f>
        <v>Alumno7</v>
      </c>
      <c r="BG166" s="208" t="n">
        <f aca="false">VLOOKUP($BF$1,'Datos Iniciales'!$E$34:$O$64,BG$158,FALSE())*BG68</f>
        <v>0.9</v>
      </c>
      <c r="BH166" s="196" t="n">
        <f aca="false">VLOOKUP($BF$1,'Datos Iniciales'!$E$34:$O$64,BH$158,FALSE())*BH68</f>
        <v>1.35</v>
      </c>
      <c r="BI166" s="196" t="n">
        <f aca="false">VLOOKUP($BF$1,'Datos Iniciales'!$E$34:$O$64,BI$158,FALSE())*BI68</f>
        <v>0.9</v>
      </c>
      <c r="BJ166" s="196" t="n">
        <f aca="false">VLOOKUP($BF$1,'Datos Iniciales'!$E$34:$O$64,BJ$158,FALSE())*BJ68</f>
        <v>3.6</v>
      </c>
      <c r="BK166" s="196" t="n">
        <f aca="false">VLOOKUP($BF$1,'Datos Iniciales'!$E$34:$O$64,BK$158,FALSE())*BK68</f>
        <v>0</v>
      </c>
      <c r="BL166" s="196" t="n">
        <f aca="false">VLOOKUP($BF$1,'Datos Iniciales'!$E$34:$O$64,BL$158,FALSE())*BL68</f>
        <v>0</v>
      </c>
      <c r="BM166" s="196" t="n">
        <f aca="false">VLOOKUP($BF$1,'Datos Iniciales'!$E$34:$O$64,BM$158,FALSE())*BM68</f>
        <v>0</v>
      </c>
      <c r="BN166" s="196" t="n">
        <f aca="false">VLOOKUP($BF$1,'Datos Iniciales'!$E$34:$O$64,BN$158,FALSE())*BN68</f>
        <v>0</v>
      </c>
      <c r="BO166" s="196" t="n">
        <f aca="false">VLOOKUP($BF$1,'Datos Iniciales'!$E$34:$O$64,BO$158,FALSE())*BO68</f>
        <v>0</v>
      </c>
      <c r="BP166" s="197" t="n">
        <f aca="false">VLOOKUP($BF$1,'Datos Iniciales'!$E$34:$O$64,BP$158,FALSE())*BP68</f>
        <v>0</v>
      </c>
      <c r="BQ166" s="194" t="str">
        <f aca="false">BF166</f>
        <v>Alumno7</v>
      </c>
      <c r="BR166" s="208" t="n">
        <f aca="false">VLOOKUP($BQ$1,'Datos Iniciales'!$E$34:$O$64,BR$158,FALSE())*BR68</f>
        <v>0</v>
      </c>
      <c r="BS166" s="196" t="n">
        <f aca="false">VLOOKUP($BQ$1,'Datos Iniciales'!$E$34:$O$64,BS$158,FALSE())*BS68</f>
        <v>0.25</v>
      </c>
      <c r="BT166" s="196" t="n">
        <f aca="false">VLOOKUP($BQ$1,'Datos Iniciales'!$E$34:$O$64,BT$158,FALSE())*BT68</f>
        <v>0.6</v>
      </c>
      <c r="BU166" s="196" t="n">
        <f aca="false">VLOOKUP($BQ$1,'Datos Iniciales'!$E$34:$O$64,BU$158,FALSE())*BU68</f>
        <v>2.3</v>
      </c>
      <c r="BV166" s="196" t="n">
        <f aca="false">VLOOKUP($BQ$1,'Datos Iniciales'!$E$34:$O$64,BV$158,FALSE())*BV68</f>
        <v>0</v>
      </c>
      <c r="BW166" s="196" t="n">
        <f aca="false">VLOOKUP($BQ$1,'Datos Iniciales'!$E$34:$O$64,BW$158,FALSE())*BW68</f>
        <v>0</v>
      </c>
      <c r="BX166" s="196" t="n">
        <f aca="false">VLOOKUP($BQ$1,'Datos Iniciales'!$E$34:$O$64,BX$158,FALSE())*BX68</f>
        <v>0</v>
      </c>
      <c r="BY166" s="196" t="n">
        <f aca="false">VLOOKUP($BQ$1,'Datos Iniciales'!$E$34:$O$64,BY$158,FALSE())*BY68</f>
        <v>0</v>
      </c>
      <c r="BZ166" s="196" t="n">
        <f aca="false">VLOOKUP($BQ$1,'Datos Iniciales'!$E$34:$O$64,BZ$158,FALSE())*BZ68</f>
        <v>0</v>
      </c>
      <c r="CA166" s="197" t="n">
        <f aca="false">VLOOKUP($BQ$1,'Datos Iniciales'!$E$34:$O$64,CA$158,FALSE())*CA68</f>
        <v>0</v>
      </c>
      <c r="CB166" s="194" t="str">
        <f aca="false">BQ166</f>
        <v>Alumno7</v>
      </c>
      <c r="CC166" s="208" t="n">
        <f aca="false">VLOOKUP($CB$1,'Datos Iniciales'!$E$34:$O$64,CC$158,FALSE())*CC68</f>
        <v>0</v>
      </c>
      <c r="CD166" s="196" t="n">
        <f aca="false">VLOOKUP($CB$1,'Datos Iniciales'!$E$34:$O$64,CD$158,FALSE())*CD68</f>
        <v>0</v>
      </c>
      <c r="CE166" s="196" t="n">
        <f aca="false">VLOOKUP($CB$1,'Datos Iniciales'!$E$34:$O$64,CE$158,FALSE())*CE68</f>
        <v>0</v>
      </c>
      <c r="CF166" s="196" t="n">
        <f aca="false">VLOOKUP($CB$1,'Datos Iniciales'!$E$34:$O$64,CF$158,FALSE())*CF68</f>
        <v>0</v>
      </c>
      <c r="CG166" s="196" t="n">
        <f aca="false">VLOOKUP($CB$1,'Datos Iniciales'!$E$34:$O$64,CG$158,FALSE())*CG68</f>
        <v>0</v>
      </c>
      <c r="CH166" s="196" t="n">
        <f aca="false">VLOOKUP($CB$1,'Datos Iniciales'!$E$34:$O$64,CH$158,FALSE())*CH68</f>
        <v>0</v>
      </c>
      <c r="CI166" s="196" t="n">
        <f aca="false">VLOOKUP($CB$1,'Datos Iniciales'!$E$34:$O$64,CI$158,FALSE())*CI68</f>
        <v>0</v>
      </c>
      <c r="CJ166" s="196" t="n">
        <f aca="false">VLOOKUP($CB$1,'Datos Iniciales'!$E$34:$O$64,CJ$158,FALSE())*CJ68</f>
        <v>0</v>
      </c>
      <c r="CK166" s="196" t="n">
        <f aca="false">VLOOKUP($CB$1,'Datos Iniciales'!$E$34:$O$64,CK$158,FALSE())*CK68</f>
        <v>0</v>
      </c>
      <c r="CL166" s="197" t="n">
        <f aca="false">VLOOKUP($CB$1,'Datos Iniciales'!$E$34:$O$64,CL$158,FALSE())*CL68</f>
        <v>0</v>
      </c>
      <c r="CM166" s="194" t="str">
        <f aca="false">CB166</f>
        <v>Alumno7</v>
      </c>
      <c r="CN166" s="208" t="n">
        <f aca="false">VLOOKUP($CM$1,'Datos Iniciales'!$E$34:$O$64,CN$158,FALSE())*CN68</f>
        <v>0</v>
      </c>
      <c r="CO166" s="196" t="n">
        <f aca="false">VLOOKUP($CM$1,'Datos Iniciales'!$E$34:$O$64,CO$158,FALSE())*CO68</f>
        <v>0</v>
      </c>
      <c r="CP166" s="196" t="n">
        <f aca="false">VLOOKUP($CM$1,'Datos Iniciales'!$E$34:$O$64,CP$158,FALSE())*CP68</f>
        <v>0</v>
      </c>
      <c r="CQ166" s="196" t="n">
        <f aca="false">VLOOKUP($CM$1,'Datos Iniciales'!$E$34:$O$64,CQ$158,FALSE())*CQ68</f>
        <v>0</v>
      </c>
      <c r="CR166" s="196" t="n">
        <f aca="false">VLOOKUP($CM$1,'Datos Iniciales'!$E$34:$O$64,CR$158,FALSE())*CR68</f>
        <v>0</v>
      </c>
      <c r="CS166" s="196" t="n">
        <f aca="false">VLOOKUP($CM$1,'Datos Iniciales'!$E$34:$O$64,CS$158,FALSE())*CS68</f>
        <v>0</v>
      </c>
      <c r="CT166" s="196" t="n">
        <f aca="false">VLOOKUP($CM$1,'Datos Iniciales'!$E$34:$O$64,CT$158,FALSE())*CT68</f>
        <v>0</v>
      </c>
      <c r="CU166" s="196" t="n">
        <f aca="false">VLOOKUP($CM$1,'Datos Iniciales'!$E$34:$O$64,CU$158,FALSE())*CU68</f>
        <v>0</v>
      </c>
      <c r="CV166" s="196" t="n">
        <f aca="false">VLOOKUP($CM$1,'Datos Iniciales'!$E$34:$O$64,CV$158,FALSE())*CV68</f>
        <v>0</v>
      </c>
      <c r="CW166" s="197" t="n">
        <f aca="false">VLOOKUP($CM$1,'Datos Iniciales'!$E$34:$O$64,CW$158,FALSE())*CW68</f>
        <v>0</v>
      </c>
      <c r="CX166" s="194" t="str">
        <f aca="false">CM166</f>
        <v>Alumno7</v>
      </c>
      <c r="CY166" s="208" t="n">
        <f aca="false">VLOOKUP($CX$1,'Datos Iniciales'!$E$34:$O$64,CY$158,FALSE())*CY68</f>
        <v>0</v>
      </c>
      <c r="CZ166" s="196" t="n">
        <f aca="false">VLOOKUP($CX$1,'Datos Iniciales'!$E$34:$O$64,CZ$158,FALSE())*CZ68</f>
        <v>0</v>
      </c>
      <c r="DA166" s="196" t="n">
        <f aca="false">VLOOKUP($CX$1,'Datos Iniciales'!$E$34:$O$64,DA$158,FALSE())*DA68</f>
        <v>0</v>
      </c>
      <c r="DB166" s="196" t="n">
        <f aca="false">VLOOKUP($CX$1,'Datos Iniciales'!$E$34:$O$64,DB$158,FALSE())*DB68</f>
        <v>0</v>
      </c>
      <c r="DC166" s="196" t="n">
        <f aca="false">VLOOKUP($CX$1,'Datos Iniciales'!$E$34:$O$64,DC$158,FALSE())*DC68</f>
        <v>0</v>
      </c>
      <c r="DD166" s="196" t="n">
        <f aca="false">VLOOKUP($CX$1,'Datos Iniciales'!$E$34:$O$64,DD$158,FALSE())*DD68</f>
        <v>0</v>
      </c>
      <c r="DE166" s="196" t="n">
        <f aca="false">VLOOKUP($CX$1,'Datos Iniciales'!$E$34:$O$64,DE$158,FALSE())*DE68</f>
        <v>0</v>
      </c>
      <c r="DF166" s="196" t="n">
        <f aca="false">VLOOKUP($CX$1,'Datos Iniciales'!$E$34:$O$64,DF$158,FALSE())*DF68</f>
        <v>0</v>
      </c>
      <c r="DG166" s="196" t="n">
        <f aca="false">VLOOKUP($CX$1,'Datos Iniciales'!$E$34:$O$64,DG$158,FALSE())*DG68</f>
        <v>0</v>
      </c>
      <c r="DH166" s="197" t="n">
        <f aca="false">VLOOKUP($CX$1,'Datos Iniciales'!$E$34:$O$64,DH$158,FALSE())*DH68</f>
        <v>0</v>
      </c>
      <c r="DI166" s="194" t="str">
        <f aca="false">CX166</f>
        <v>Alumno7</v>
      </c>
      <c r="DJ166" s="208" t="n">
        <f aca="false">VLOOKUP($DI$1,'Datos Iniciales'!$E$34:$O$64,DJ$158,FALSE())*DJ68</f>
        <v>0</v>
      </c>
      <c r="DK166" s="196" t="n">
        <f aca="false">VLOOKUP($DI$1,'Datos Iniciales'!$E$34:$O$64,DK$158,FALSE())*DK68</f>
        <v>0</v>
      </c>
      <c r="DL166" s="196" t="n">
        <f aca="false">VLOOKUP($DI$1,'Datos Iniciales'!$E$34:$O$64,DL$158,FALSE())*DL68</f>
        <v>0</v>
      </c>
      <c r="DM166" s="196" t="n">
        <f aca="false">VLOOKUP($DI$1,'Datos Iniciales'!$E$34:$O$64,DM$158,FALSE())*DM68</f>
        <v>0</v>
      </c>
      <c r="DN166" s="196" t="n">
        <f aca="false">VLOOKUP($DI$1,'Datos Iniciales'!$E$34:$O$64,DN$158,FALSE())*DN68</f>
        <v>0</v>
      </c>
      <c r="DO166" s="196" t="n">
        <f aca="false">VLOOKUP($DI$1,'Datos Iniciales'!$E$34:$O$64,DO$158,FALSE())*DO68</f>
        <v>0</v>
      </c>
      <c r="DP166" s="196" t="n">
        <f aca="false">VLOOKUP($DI$1,'Datos Iniciales'!$E$34:$O$64,DP$158,FALSE())*DP68</f>
        <v>0</v>
      </c>
      <c r="DQ166" s="196" t="n">
        <f aca="false">VLOOKUP($DI$1,'Datos Iniciales'!$E$34:$O$64,DQ$158,FALSE())*DQ68</f>
        <v>0</v>
      </c>
      <c r="DR166" s="196" t="n">
        <f aca="false">VLOOKUP($DI$1,'Datos Iniciales'!$E$34:$O$64,DR$158,FALSE())*DR68</f>
        <v>0</v>
      </c>
      <c r="DS166" s="197" t="n">
        <f aca="false">VLOOKUP($DI$1,'Datos Iniciales'!$E$34:$O$64,DS$158,FALSE())*DS68</f>
        <v>0</v>
      </c>
      <c r="DT166" s="194" t="str">
        <f aca="false">DI166</f>
        <v>Alumno7</v>
      </c>
      <c r="DU166" s="208" t="n">
        <f aca="false">VLOOKUP($DT$1,'Datos Iniciales'!$E$34:$O$64,DU$158,FALSE())*DU68</f>
        <v>0</v>
      </c>
      <c r="DV166" s="196" t="n">
        <f aca="false">VLOOKUP($DT$1,'Datos Iniciales'!$E$34:$O$64,DV$158,FALSE())*DV68</f>
        <v>0</v>
      </c>
      <c r="DW166" s="196" t="n">
        <f aca="false">VLOOKUP($DT$1,'Datos Iniciales'!$E$34:$O$64,DW$158,FALSE())*DW68</f>
        <v>0</v>
      </c>
      <c r="DX166" s="196" t="n">
        <f aca="false">VLOOKUP($DT$1,'Datos Iniciales'!$E$34:$O$64,DX$158,FALSE())*DX68</f>
        <v>0</v>
      </c>
      <c r="DY166" s="196" t="n">
        <f aca="false">VLOOKUP($DT$1,'Datos Iniciales'!$E$34:$O$64,DY$158,FALSE())*DY68</f>
        <v>0</v>
      </c>
      <c r="DZ166" s="196" t="n">
        <f aca="false">VLOOKUP($DT$1,'Datos Iniciales'!$E$34:$O$64,DZ$158,FALSE())*DZ68</f>
        <v>0</v>
      </c>
      <c r="EA166" s="196" t="n">
        <f aca="false">VLOOKUP($DT$1,'Datos Iniciales'!$E$34:$O$64,EA$158,FALSE())*EA68</f>
        <v>0</v>
      </c>
      <c r="EB166" s="196" t="n">
        <f aca="false">VLOOKUP($DT$1,'Datos Iniciales'!$E$34:$O$64,EB$158,FALSE())*EB68</f>
        <v>0</v>
      </c>
      <c r="EC166" s="196" t="n">
        <f aca="false">VLOOKUP($DT$1,'Datos Iniciales'!$E$34:$O$64,EC$158,FALSE())*EC68</f>
        <v>0</v>
      </c>
      <c r="ED166" s="197" t="n">
        <f aca="false">VLOOKUP($DT$1,'Datos Iniciales'!$E$34:$O$64,ED$158,FALSE())*ED68</f>
        <v>0</v>
      </c>
      <c r="EE166" s="194" t="str">
        <f aca="false">DT166</f>
        <v>Alumno7</v>
      </c>
      <c r="EF166" s="208" t="n">
        <f aca="false">VLOOKUP($EE$1,'Datos Iniciales'!$E$34:$O$64,EF$158,FALSE())*EF68</f>
        <v>0</v>
      </c>
      <c r="EG166" s="196" t="n">
        <f aca="false">VLOOKUP($EE$1,'Datos Iniciales'!$E$34:$O$64,EG$158,FALSE())*EG68</f>
        <v>0</v>
      </c>
      <c r="EH166" s="196" t="n">
        <f aca="false">VLOOKUP($EE$1,'Datos Iniciales'!$E$34:$O$64,EH$158,FALSE())*EH68</f>
        <v>0</v>
      </c>
      <c r="EI166" s="196" t="n">
        <f aca="false">VLOOKUP($EE$1,'Datos Iniciales'!$E$34:$O$64,EI$158,FALSE())*EI68</f>
        <v>0</v>
      </c>
      <c r="EJ166" s="196" t="n">
        <f aca="false">VLOOKUP($EE$1,'Datos Iniciales'!$E$34:$O$64,EJ$158,FALSE())*EJ68</f>
        <v>0</v>
      </c>
      <c r="EK166" s="196" t="n">
        <f aca="false">VLOOKUP($EE$1,'Datos Iniciales'!$E$34:$O$64,EK$158,FALSE())*EK68</f>
        <v>0</v>
      </c>
      <c r="EL166" s="196" t="n">
        <f aca="false">VLOOKUP($EE$1,'Datos Iniciales'!$E$34:$O$64,EL$158,FALSE())*EL68</f>
        <v>0</v>
      </c>
      <c r="EM166" s="196" t="n">
        <f aca="false">VLOOKUP($EE$1,'Datos Iniciales'!$E$34:$O$64,EM$158,FALSE())*EM68</f>
        <v>0</v>
      </c>
      <c r="EN166" s="196" t="n">
        <f aca="false">VLOOKUP($EE$1,'Datos Iniciales'!$E$34:$O$64,EN$158,FALSE())*EN68</f>
        <v>0</v>
      </c>
      <c r="EO166" s="197" t="n">
        <f aca="false">VLOOKUP($EE$1,'Datos Iniciales'!$E$34:$O$64,EO$158,FALSE())*EO68</f>
        <v>0</v>
      </c>
      <c r="EP166" s="194" t="str">
        <f aca="false">EE166</f>
        <v>Alumno7</v>
      </c>
      <c r="EQ166" s="208" t="n">
        <f aca="false">VLOOKUP($EP$1,'Datos Iniciales'!$E$34:$O$64,EQ$158,FALSE())*EQ68</f>
        <v>0</v>
      </c>
      <c r="ER166" s="196" t="n">
        <f aca="false">VLOOKUP($EP$1,'Datos Iniciales'!$E$34:$O$64,ER$158,FALSE())*ER68</f>
        <v>0</v>
      </c>
      <c r="ES166" s="196" t="n">
        <f aca="false">VLOOKUP($EP$1,'Datos Iniciales'!$E$34:$O$64,ES$158,FALSE())*ES68</f>
        <v>0</v>
      </c>
      <c r="ET166" s="196" t="n">
        <f aca="false">VLOOKUP($EP$1,'Datos Iniciales'!$E$34:$O$64,ET$158,FALSE())*ET68</f>
        <v>0</v>
      </c>
      <c r="EU166" s="196" t="n">
        <f aca="false">VLOOKUP($EP$1,'Datos Iniciales'!$E$34:$O$64,EU$158,FALSE())*EU68</f>
        <v>0</v>
      </c>
      <c r="EV166" s="196" t="n">
        <f aca="false">VLOOKUP($EP$1,'Datos Iniciales'!$E$34:$O$64,EV$158,FALSE())*EV68</f>
        <v>0</v>
      </c>
      <c r="EW166" s="196" t="n">
        <f aca="false">VLOOKUP($EP$1,'Datos Iniciales'!$E$34:$O$64,EW$158,FALSE())*EW68</f>
        <v>0</v>
      </c>
      <c r="EX166" s="196" t="n">
        <f aca="false">VLOOKUP($EP$1,'Datos Iniciales'!$E$34:$O$64,EX$158,FALSE())*EX68</f>
        <v>0</v>
      </c>
      <c r="EY166" s="196" t="n">
        <f aca="false">VLOOKUP($EP$1,'Datos Iniciales'!$E$34:$O$64,EY$158,FALSE())*EY68</f>
        <v>0</v>
      </c>
      <c r="EZ166" s="197" t="n">
        <f aca="false">VLOOKUP($EP$1,'Datos Iniciales'!$E$34:$O$64,EZ$158,FALSE())*EZ68</f>
        <v>0</v>
      </c>
      <c r="FA166" s="194" t="str">
        <f aca="false">EP166</f>
        <v>Alumno7</v>
      </c>
      <c r="FB166" s="208" t="n">
        <f aca="false">VLOOKUP($FA$1,'Datos Iniciales'!$E$34:$O$64,FB$158,FALSE())*FB68</f>
        <v>0</v>
      </c>
      <c r="FC166" s="196" t="n">
        <f aca="false">VLOOKUP($FA$1,'Datos Iniciales'!$E$34:$O$64,FC$158,FALSE())*FC68</f>
        <v>0</v>
      </c>
      <c r="FD166" s="196" t="n">
        <f aca="false">VLOOKUP($FA$1,'Datos Iniciales'!$E$34:$O$64,FD$158,FALSE())*FD68</f>
        <v>0</v>
      </c>
      <c r="FE166" s="196" t="n">
        <f aca="false">VLOOKUP($FA$1,'Datos Iniciales'!$E$34:$O$64,FE$158,FALSE())*FE68</f>
        <v>0</v>
      </c>
      <c r="FF166" s="196" t="n">
        <f aca="false">VLOOKUP($FA$1,'Datos Iniciales'!$E$34:$O$64,FF$158,FALSE())*FF68</f>
        <v>0</v>
      </c>
      <c r="FG166" s="196" t="n">
        <f aca="false">VLOOKUP($FA$1,'Datos Iniciales'!$E$34:$O$64,FG$158,FALSE())*FG68</f>
        <v>0</v>
      </c>
      <c r="FH166" s="196" t="n">
        <f aca="false">VLOOKUP($FA$1,'Datos Iniciales'!$E$34:$O$64,FH$158,FALSE())*FH68</f>
        <v>0</v>
      </c>
      <c r="FI166" s="196" t="n">
        <f aca="false">VLOOKUP($FA$1,'Datos Iniciales'!$E$34:$O$64,FI$158,FALSE())*FI68</f>
        <v>0</v>
      </c>
      <c r="FJ166" s="196" t="n">
        <f aca="false">VLOOKUP($FA$1,'Datos Iniciales'!$E$34:$O$64,FJ$158,FALSE())*FJ68</f>
        <v>0</v>
      </c>
      <c r="FK166" s="197" t="n">
        <f aca="false">VLOOKUP($FA$1,'Datos Iniciales'!$E$34:$O$64,FK$158,FALSE())*FK68</f>
        <v>0</v>
      </c>
      <c r="FL166" s="194" t="str">
        <f aca="false">FA166</f>
        <v>Alumno7</v>
      </c>
      <c r="FM166" s="208" t="n">
        <f aca="false">VLOOKUP($FL$1,'Datos Iniciales'!$E$34:$O$64,FM$158,FALSE())*FM68</f>
        <v>0</v>
      </c>
      <c r="FN166" s="196" t="n">
        <f aca="false">VLOOKUP($FL$1,'Datos Iniciales'!$E$34:$O$64,FN$158,FALSE())*FN68</f>
        <v>0</v>
      </c>
      <c r="FO166" s="196" t="n">
        <f aca="false">VLOOKUP($FL$1,'Datos Iniciales'!$E$34:$O$64,FO$158,FALSE())*FO68</f>
        <v>0</v>
      </c>
      <c r="FP166" s="196" t="n">
        <f aca="false">VLOOKUP($FL$1,'Datos Iniciales'!$E$34:$O$64,FP$158,FALSE())*FP68</f>
        <v>0</v>
      </c>
      <c r="FQ166" s="196" t="n">
        <f aca="false">VLOOKUP($FL$1,'Datos Iniciales'!$E$34:$O$64,FQ$158,FALSE())*FQ68</f>
        <v>0</v>
      </c>
      <c r="FR166" s="196" t="n">
        <f aca="false">VLOOKUP($FL$1,'Datos Iniciales'!$E$34:$O$64,FR$158,FALSE())*FR68</f>
        <v>0</v>
      </c>
      <c r="FS166" s="196" t="n">
        <f aca="false">VLOOKUP($FL$1,'Datos Iniciales'!$E$34:$O$64,FS$158,FALSE())*FS68</f>
        <v>0</v>
      </c>
      <c r="FT166" s="196" t="n">
        <f aca="false">VLOOKUP($FL$1,'Datos Iniciales'!$E$34:$O$64,FT$158,FALSE())*FT68</f>
        <v>0</v>
      </c>
      <c r="FU166" s="196" t="n">
        <f aca="false">VLOOKUP($FL$1,'Datos Iniciales'!$E$34:$O$64,FU$158,FALSE())*FU68</f>
        <v>0</v>
      </c>
      <c r="FV166" s="197" t="n">
        <f aca="false">VLOOKUP($FL$1,'Datos Iniciales'!$E$34:$O$64,FV$158,FALSE())*FV68</f>
        <v>0</v>
      </c>
      <c r="FW166" s="194" t="str">
        <f aca="false">FL166</f>
        <v>Alumno7</v>
      </c>
      <c r="FX166" s="208" t="n">
        <f aca="false">VLOOKUP($FW$1,'Datos Iniciales'!$E$34:$O$64,FX$158,FALSE())*FX68</f>
        <v>0</v>
      </c>
      <c r="FY166" s="196" t="n">
        <f aca="false">VLOOKUP($FW$1,'Datos Iniciales'!$E$34:$O$64,FY$158,FALSE())*FY68</f>
        <v>0</v>
      </c>
      <c r="FZ166" s="196" t="n">
        <f aca="false">VLOOKUP($FW$1,'Datos Iniciales'!$E$34:$O$64,FZ$158,FALSE())*FZ68</f>
        <v>0</v>
      </c>
      <c r="GA166" s="196" t="n">
        <f aca="false">VLOOKUP($FW$1,'Datos Iniciales'!$E$34:$O$64,GA$158,FALSE())*GA68</f>
        <v>0</v>
      </c>
      <c r="GB166" s="196" t="n">
        <f aca="false">VLOOKUP($FW$1,'Datos Iniciales'!$E$34:$O$64,GB$158,FALSE())*GB68</f>
        <v>0</v>
      </c>
      <c r="GC166" s="196" t="n">
        <f aca="false">VLOOKUP($FW$1,'Datos Iniciales'!$E$34:$O$64,GC$158,FALSE())*GC68</f>
        <v>0</v>
      </c>
      <c r="GD166" s="196" t="n">
        <f aca="false">VLOOKUP($FW$1,'Datos Iniciales'!$E$34:$O$64,GD$158,FALSE())*GD68</f>
        <v>0</v>
      </c>
      <c r="GE166" s="196" t="n">
        <f aca="false">VLOOKUP($FW$1,'Datos Iniciales'!$E$34:$O$64,GE$158,FALSE())*GE68</f>
        <v>0</v>
      </c>
      <c r="GF166" s="196" t="n">
        <f aca="false">VLOOKUP($FW$1,'Datos Iniciales'!$E$34:$O$64,GF$158,FALSE())*GF68</f>
        <v>0</v>
      </c>
      <c r="GG166" s="197" t="n">
        <f aca="false">VLOOKUP($FW$1,'Datos Iniciales'!$E$34:$O$64,GG$158,FALSE())*GG68</f>
        <v>0</v>
      </c>
      <c r="GH166" s="194" t="str">
        <f aca="false">FW166</f>
        <v>Alumno7</v>
      </c>
      <c r="GI166" s="208" t="n">
        <f aca="false">VLOOKUP($GH$1,'Datos Iniciales'!$E$34:$O$64,GI$158,FALSE())*GI68</f>
        <v>0</v>
      </c>
      <c r="GJ166" s="196" t="n">
        <f aca="false">VLOOKUP($GH$1,'Datos Iniciales'!$E$34:$O$64,GJ$158,FALSE())*GJ68</f>
        <v>0</v>
      </c>
      <c r="GK166" s="196" t="n">
        <f aca="false">VLOOKUP($GH$1,'Datos Iniciales'!$E$34:$O$64,GK$158,FALSE())*GK68</f>
        <v>0</v>
      </c>
      <c r="GL166" s="196" t="n">
        <f aca="false">VLOOKUP($GH$1,'Datos Iniciales'!$E$34:$O$64,GL$158,FALSE())*GL68</f>
        <v>0</v>
      </c>
      <c r="GM166" s="196" t="n">
        <f aca="false">VLOOKUP($GH$1,'Datos Iniciales'!$E$34:$O$64,GM$158,FALSE())*GM68</f>
        <v>0</v>
      </c>
      <c r="GN166" s="196" t="n">
        <f aca="false">VLOOKUP($GH$1,'Datos Iniciales'!$E$34:$O$64,GN$158,FALSE())*GN68</f>
        <v>0</v>
      </c>
      <c r="GO166" s="196" t="n">
        <f aca="false">VLOOKUP($GH$1,'Datos Iniciales'!$E$34:$O$64,GO$158,FALSE())*GO68</f>
        <v>0</v>
      </c>
      <c r="GP166" s="196" t="n">
        <f aca="false">VLOOKUP($GH$1,'Datos Iniciales'!$E$34:$O$64,GP$158,FALSE())*GP68</f>
        <v>0</v>
      </c>
      <c r="GQ166" s="196" t="n">
        <f aca="false">VLOOKUP($GH$1,'Datos Iniciales'!$E$34:$O$64,GQ$158,FALSE())*GQ68</f>
        <v>0</v>
      </c>
      <c r="GR166" s="197" t="n">
        <f aca="false">VLOOKUP($GH$1,'Datos Iniciales'!$E$34:$O$64,GR$158,FALSE())*GR68</f>
        <v>0</v>
      </c>
      <c r="GS166" s="194" t="str">
        <f aca="false">GH166</f>
        <v>Alumno7</v>
      </c>
      <c r="GT166" s="208" t="n">
        <f aca="false">VLOOKUP($GS$1,'Datos Iniciales'!$E$34:$O$64,GT$158,FALSE())*GT68</f>
        <v>0</v>
      </c>
      <c r="GU166" s="196" t="n">
        <f aca="false">VLOOKUP($GS$1,'Datos Iniciales'!$E$34:$O$64,GU$158,FALSE())*GU68</f>
        <v>0</v>
      </c>
      <c r="GV166" s="196" t="n">
        <f aca="false">VLOOKUP($GS$1,'Datos Iniciales'!$E$34:$O$64,GV$158,FALSE())*GV68</f>
        <v>0</v>
      </c>
      <c r="GW166" s="196" t="n">
        <f aca="false">VLOOKUP($GS$1,'Datos Iniciales'!$E$34:$O$64,GW$158,FALSE())*GW68</f>
        <v>0</v>
      </c>
      <c r="GX166" s="196" t="n">
        <f aca="false">VLOOKUP($GS$1,'Datos Iniciales'!$E$34:$O$64,GX$158,FALSE())*GX68</f>
        <v>0</v>
      </c>
      <c r="GY166" s="196" t="n">
        <f aca="false">VLOOKUP($GS$1,'Datos Iniciales'!$E$34:$O$64,GY$158,FALSE())*GY68</f>
        <v>0</v>
      </c>
      <c r="GZ166" s="196" t="n">
        <f aca="false">VLOOKUP($GS$1,'Datos Iniciales'!$E$34:$O$64,GZ$158,FALSE())*GZ68</f>
        <v>0</v>
      </c>
      <c r="HA166" s="196" t="n">
        <f aca="false">VLOOKUP($GS$1,'Datos Iniciales'!$E$34:$O$64,HA$158,FALSE())*HA68</f>
        <v>0</v>
      </c>
      <c r="HB166" s="196" t="n">
        <f aca="false">VLOOKUP($GS$1,'Datos Iniciales'!$E$34:$O$64,HB$158,FALSE())*HB68</f>
        <v>0</v>
      </c>
      <c r="HC166" s="197" t="n">
        <f aca="false">VLOOKUP($GS$1,'Datos Iniciales'!$E$34:$O$64,HC$158,FALSE())*HC68</f>
        <v>0</v>
      </c>
      <c r="HD166" s="194" t="str">
        <f aca="false">GS166</f>
        <v>Alumno7</v>
      </c>
      <c r="HE166" s="208" t="n">
        <f aca="false">VLOOKUP($HD$1,'Datos Iniciales'!$E$34:$O$64,HE$158,FALSE())*HE68</f>
        <v>0</v>
      </c>
      <c r="HF166" s="196" t="n">
        <f aca="false">VLOOKUP($HD$1,'Datos Iniciales'!$E$34:$O$64,HF$158,FALSE())*HF68</f>
        <v>0</v>
      </c>
      <c r="HG166" s="196" t="n">
        <f aca="false">VLOOKUP($HD$1,'Datos Iniciales'!$E$34:$O$64,HG$158,FALSE())*HG68</f>
        <v>0</v>
      </c>
      <c r="HH166" s="196" t="n">
        <f aca="false">VLOOKUP($HD$1,'Datos Iniciales'!$E$34:$O$64,HH$158,FALSE())*HH68</f>
        <v>0</v>
      </c>
      <c r="HI166" s="196" t="n">
        <f aca="false">VLOOKUP($HD$1,'Datos Iniciales'!$E$34:$O$64,HI$158,FALSE())*HI68</f>
        <v>0</v>
      </c>
      <c r="HJ166" s="196" t="n">
        <f aca="false">VLOOKUP($HD$1,'Datos Iniciales'!$E$34:$O$64,HJ$158,FALSE())*HJ68</f>
        <v>0</v>
      </c>
      <c r="HK166" s="196" t="n">
        <f aca="false">VLOOKUP($HD$1,'Datos Iniciales'!$E$34:$O$64,HK$158,FALSE())*HK68</f>
        <v>0</v>
      </c>
      <c r="HL166" s="196" t="n">
        <f aca="false">VLOOKUP($HD$1,'Datos Iniciales'!$E$34:$O$64,HL$158,FALSE())*HL68</f>
        <v>0</v>
      </c>
      <c r="HM166" s="196" t="n">
        <f aca="false">VLOOKUP($HD$1,'Datos Iniciales'!$E$34:$O$64,HM$158,FALSE())*HM68</f>
        <v>0</v>
      </c>
      <c r="HN166" s="197" t="n">
        <f aca="false">VLOOKUP($HD$1,'Datos Iniciales'!$E$34:$O$64,HN$158,FALSE())*HN68</f>
        <v>0</v>
      </c>
      <c r="HO166" s="194" t="str">
        <f aca="false">HD166</f>
        <v>Alumno7</v>
      </c>
      <c r="HP166" s="208" t="n">
        <f aca="false">VLOOKUP($HO$1,'Datos Iniciales'!$E$34:$O$64,HP$158,FALSE())*HP68</f>
        <v>0</v>
      </c>
      <c r="HQ166" s="196" t="n">
        <f aca="false">VLOOKUP($HO$1,'Datos Iniciales'!$E$34:$O$64,HQ$158,FALSE())*HQ68</f>
        <v>0</v>
      </c>
      <c r="HR166" s="196" t="n">
        <f aca="false">VLOOKUP($HO$1,'Datos Iniciales'!$E$34:$O$64,HR$158,FALSE())*HR68</f>
        <v>0</v>
      </c>
      <c r="HS166" s="196" t="n">
        <f aca="false">VLOOKUP($HO$1,'Datos Iniciales'!$E$34:$O$64,HS$158,FALSE())*HS68</f>
        <v>0</v>
      </c>
      <c r="HT166" s="196" t="n">
        <f aca="false">VLOOKUP($HO$1,'Datos Iniciales'!$E$34:$O$64,HT$158,FALSE())*HT68</f>
        <v>0</v>
      </c>
      <c r="HU166" s="196" t="n">
        <f aca="false">VLOOKUP($HO$1,'Datos Iniciales'!$E$34:$O$64,HU$158,FALSE())*HU68</f>
        <v>0</v>
      </c>
      <c r="HV166" s="196" t="n">
        <f aca="false">VLOOKUP($HO$1,'Datos Iniciales'!$E$34:$O$64,HV$158,FALSE())*HV68</f>
        <v>0</v>
      </c>
      <c r="HW166" s="196" t="n">
        <f aca="false">VLOOKUP($HO$1,'Datos Iniciales'!$E$34:$O$64,HW$158,FALSE())*HW68</f>
        <v>0</v>
      </c>
      <c r="HX166" s="196" t="n">
        <f aca="false">VLOOKUP($HO$1,'Datos Iniciales'!$E$34:$O$64,HX$158,FALSE())*HX68</f>
        <v>0</v>
      </c>
      <c r="HY166" s="197" t="n">
        <f aca="false">VLOOKUP($HO$1,'Datos Iniciales'!$E$34:$O$64,HY$158,FALSE())*HY68</f>
        <v>0</v>
      </c>
      <c r="HZ166" s="194" t="str">
        <f aca="false">HO166</f>
        <v>Alumno7</v>
      </c>
      <c r="IA166" s="208" t="n">
        <f aca="false">VLOOKUP($HZ$1,'Datos Iniciales'!$E$34:$O$64,IA$158,FALSE())*IA68</f>
        <v>0</v>
      </c>
      <c r="IB166" s="196" t="n">
        <f aca="false">VLOOKUP($HZ$1,'Datos Iniciales'!$E$34:$O$64,IB$158,FALSE())*IB68</f>
        <v>0</v>
      </c>
      <c r="IC166" s="196" t="n">
        <f aca="false">VLOOKUP($HZ$1,'Datos Iniciales'!$E$34:$O$64,IC$158,FALSE())*IC68</f>
        <v>0</v>
      </c>
      <c r="ID166" s="196" t="n">
        <f aca="false">VLOOKUP($HZ$1,'Datos Iniciales'!$E$34:$O$64,ID$158,FALSE())*ID68</f>
        <v>0</v>
      </c>
      <c r="IE166" s="196" t="n">
        <f aca="false">VLOOKUP($HZ$1,'Datos Iniciales'!$E$34:$O$64,IE$158,FALSE())*IE68</f>
        <v>0</v>
      </c>
      <c r="IF166" s="196" t="n">
        <f aca="false">VLOOKUP($HZ$1,'Datos Iniciales'!$E$34:$O$64,IF$158,FALSE())*IF68</f>
        <v>0</v>
      </c>
      <c r="IG166" s="196" t="n">
        <f aca="false">VLOOKUP($HZ$1,'Datos Iniciales'!$E$34:$O$64,IG$158,FALSE())*IG68</f>
        <v>0</v>
      </c>
      <c r="IH166" s="196" t="n">
        <f aca="false">VLOOKUP($HZ$1,'Datos Iniciales'!$E$34:$O$64,IH$158,FALSE())*IH68</f>
        <v>0</v>
      </c>
      <c r="II166" s="196" t="n">
        <f aca="false">VLOOKUP($HZ$1,'Datos Iniciales'!$E$34:$O$64,II$158,FALSE())*II68</f>
        <v>0</v>
      </c>
      <c r="IJ166" s="197" t="n">
        <f aca="false">VLOOKUP($HZ$1,'Datos Iniciales'!$E$34:$O$64,IJ$158,FALSE())*IJ68</f>
        <v>0</v>
      </c>
      <c r="IK166" s="194" t="str">
        <f aca="false">HZ166</f>
        <v>Alumno7</v>
      </c>
      <c r="IL166" s="208" t="n">
        <f aca="false">VLOOKUP($IK$1,'Datos Iniciales'!$E$34:$O$64,IL$158,FALSE())*IL68</f>
        <v>0</v>
      </c>
      <c r="IM166" s="196" t="n">
        <f aca="false">VLOOKUP($IK$1,'Datos Iniciales'!$E$34:$O$64,IM$158,FALSE())*IM68</f>
        <v>0</v>
      </c>
      <c r="IN166" s="196" t="n">
        <f aca="false">VLOOKUP($IK$1,'Datos Iniciales'!$E$34:$O$64,IN$158,FALSE())*IN68</f>
        <v>0</v>
      </c>
      <c r="IO166" s="196" t="n">
        <f aca="false">VLOOKUP($IK$1,'Datos Iniciales'!$E$34:$O$64,IO$158,FALSE())*IO68</f>
        <v>0</v>
      </c>
      <c r="IP166" s="196" t="n">
        <f aca="false">VLOOKUP($IK$1,'Datos Iniciales'!$E$34:$O$64,IP$158,FALSE())*IP68</f>
        <v>0</v>
      </c>
      <c r="IQ166" s="196" t="n">
        <f aca="false">VLOOKUP($IK$1,'Datos Iniciales'!$E$34:$O$64,IQ$158,FALSE())*IQ68</f>
        <v>0</v>
      </c>
      <c r="IR166" s="196" t="n">
        <f aca="false">VLOOKUP($IK$1,'Datos Iniciales'!$E$34:$O$64,IR$158,FALSE())*IR68</f>
        <v>0</v>
      </c>
      <c r="IS166" s="196" t="n">
        <f aca="false">VLOOKUP($IK$1,'Datos Iniciales'!$E$34:$O$64,IS$158,FALSE())*IS68</f>
        <v>0</v>
      </c>
      <c r="IT166" s="196" t="n">
        <f aca="false">VLOOKUP($IK$1,'Datos Iniciales'!$E$34:$O$64,IT$158,FALSE())*IT68</f>
        <v>0</v>
      </c>
      <c r="IU166" s="197" t="n">
        <f aca="false">VLOOKUP($IK$1,'Datos Iniciales'!$E$34:$O$64,IU$158,FALSE())*IU68</f>
        <v>0</v>
      </c>
      <c r="IV166" s="194" t="str">
        <f aca="false">IK166</f>
        <v>Alumno7</v>
      </c>
      <c r="IW166" s="208" t="n">
        <f aca="false">VLOOKUP($IV$1,'Datos Iniciales'!$E$34:$O$64,IW$158,FALSE())*IW68</f>
        <v>0</v>
      </c>
      <c r="IX166" s="196" t="n">
        <f aca="false">VLOOKUP($IV$1,'Datos Iniciales'!$E$34:$O$64,IX$158,FALSE())*IX68</f>
        <v>0</v>
      </c>
      <c r="IY166" s="196" t="n">
        <f aca="false">VLOOKUP($IV$1,'Datos Iniciales'!$E$34:$O$64,IY$158,FALSE())*IY68</f>
        <v>0</v>
      </c>
      <c r="IZ166" s="196" t="n">
        <f aca="false">VLOOKUP($IV$1,'Datos Iniciales'!$E$34:$O$64,IZ$158,FALSE())*IZ68</f>
        <v>0</v>
      </c>
      <c r="JA166" s="196" t="n">
        <f aca="false">VLOOKUP($IV$1,'Datos Iniciales'!$E$34:$O$64,JA$158,FALSE())*JA68</f>
        <v>0</v>
      </c>
      <c r="JB166" s="196" t="n">
        <f aca="false">VLOOKUP($IV$1,'Datos Iniciales'!$E$34:$O$64,JB$158,FALSE())*JB68</f>
        <v>0</v>
      </c>
      <c r="JC166" s="196" t="n">
        <f aca="false">VLOOKUP($IV$1,'Datos Iniciales'!$E$34:$O$64,JC$158,FALSE())*JC68</f>
        <v>0</v>
      </c>
      <c r="JD166" s="196" t="n">
        <f aca="false">VLOOKUP($IV$1,'Datos Iniciales'!$E$34:$O$64,JD$158,FALSE())*JD68</f>
        <v>0</v>
      </c>
      <c r="JE166" s="196" t="n">
        <f aca="false">VLOOKUP($IV$1,'Datos Iniciales'!$E$34:$O$64,JE$158,FALSE())*JE68</f>
        <v>0</v>
      </c>
      <c r="JF166" s="197" t="n">
        <f aca="false">VLOOKUP($IV$1,'Datos Iniciales'!$E$34:$O$64,JF$158,FALSE())*JF68</f>
        <v>0</v>
      </c>
      <c r="JG166" s="194" t="str">
        <f aca="false">IV166</f>
        <v>Alumno7</v>
      </c>
      <c r="JH166" s="208" t="n">
        <f aca="false">VLOOKUP($JG$1,'Datos Iniciales'!$E$34:$O$64,JH$158,FALSE())*JH68</f>
        <v>0</v>
      </c>
      <c r="JI166" s="196" t="n">
        <f aca="false">VLOOKUP($JG$1,'Datos Iniciales'!$E$34:$O$64,JI$158,FALSE())*JI68</f>
        <v>0</v>
      </c>
      <c r="JJ166" s="196" t="n">
        <f aca="false">VLOOKUP($JG$1,'Datos Iniciales'!$E$34:$O$64,JJ$158,FALSE())*JJ68</f>
        <v>0</v>
      </c>
      <c r="JK166" s="196" t="n">
        <f aca="false">VLOOKUP($JG$1,'Datos Iniciales'!$E$34:$O$64,JK$158,FALSE())*JK68</f>
        <v>0</v>
      </c>
      <c r="JL166" s="196" t="n">
        <f aca="false">VLOOKUP($JG$1,'Datos Iniciales'!$E$34:$O$64,JL$158,FALSE())*JL68</f>
        <v>0</v>
      </c>
      <c r="JM166" s="196" t="n">
        <f aca="false">VLOOKUP($JG$1,'Datos Iniciales'!$E$34:$O$64,JM$158,FALSE())*JM68</f>
        <v>0</v>
      </c>
      <c r="JN166" s="196" t="n">
        <f aca="false">VLOOKUP($JG$1,'Datos Iniciales'!$E$34:$O$64,JN$158,FALSE())*JN68</f>
        <v>0</v>
      </c>
      <c r="JO166" s="196" t="n">
        <f aca="false">VLOOKUP($JG$1,'Datos Iniciales'!$E$34:$O$64,JO$158,FALSE())*JO68</f>
        <v>0</v>
      </c>
      <c r="JP166" s="196" t="n">
        <f aca="false">VLOOKUP($JG$1,'Datos Iniciales'!$E$34:$O$64,JP$158,FALSE())*JP68</f>
        <v>0</v>
      </c>
      <c r="JQ166" s="197" t="n">
        <f aca="false">VLOOKUP($JG$1,'Datos Iniciales'!$E$34:$O$64,JQ$158,FALSE())*JQ68</f>
        <v>0</v>
      </c>
      <c r="JR166" s="194" t="str">
        <f aca="false">JG166</f>
        <v>Alumno7</v>
      </c>
      <c r="JS166" s="208" t="n">
        <f aca="false">VLOOKUP($JR$1,'Datos Iniciales'!$E$34:$O$64,JS$158,FALSE())*JS68</f>
        <v>0</v>
      </c>
      <c r="JT166" s="196" t="n">
        <f aca="false">VLOOKUP($JR$1,'Datos Iniciales'!$E$34:$O$64,JT$158,FALSE())*JT68</f>
        <v>0</v>
      </c>
      <c r="JU166" s="196" t="n">
        <f aca="false">VLOOKUP($JR$1,'Datos Iniciales'!$E$34:$O$64,JU$158,FALSE())*JU68</f>
        <v>0</v>
      </c>
      <c r="JV166" s="196" t="n">
        <f aca="false">VLOOKUP($JR$1,'Datos Iniciales'!$E$34:$O$64,JV$158,FALSE())*JV68</f>
        <v>0</v>
      </c>
      <c r="JW166" s="196" t="n">
        <f aca="false">VLOOKUP($JR$1,'Datos Iniciales'!$E$34:$O$64,JW$158,FALSE())*JW68</f>
        <v>0</v>
      </c>
      <c r="JX166" s="196" t="n">
        <f aca="false">VLOOKUP($JR$1,'Datos Iniciales'!$E$34:$O$64,JX$158,FALSE())*JX68</f>
        <v>0</v>
      </c>
      <c r="JY166" s="196" t="n">
        <f aca="false">VLOOKUP($JR$1,'Datos Iniciales'!$E$34:$O$64,JY$158,FALSE())*JY68</f>
        <v>0</v>
      </c>
      <c r="JZ166" s="196" t="n">
        <f aca="false">VLOOKUP($JR$1,'Datos Iniciales'!$E$34:$O$64,JZ$158,FALSE())*JZ68</f>
        <v>0</v>
      </c>
      <c r="KA166" s="196" t="n">
        <f aca="false">VLOOKUP($JR$1,'Datos Iniciales'!$E$34:$O$64,KA$158,FALSE())*KA68</f>
        <v>0</v>
      </c>
      <c r="KB166" s="197" t="n">
        <f aca="false">VLOOKUP($JR$1,'Datos Iniciales'!$E$34:$O$64,KB$158,FALSE())*KB68</f>
        <v>0</v>
      </c>
      <c r="KC166" s="194" t="str">
        <f aca="false">JR166</f>
        <v>Alumno7</v>
      </c>
      <c r="KD166" s="208" t="n">
        <f aca="false">VLOOKUP($KC$1,'Datos Iniciales'!$E$34:$O$64,KD$158,FALSE())*KD68</f>
        <v>0</v>
      </c>
      <c r="KE166" s="196" t="n">
        <f aca="false">VLOOKUP($KC$1,'Datos Iniciales'!$E$34:$O$64,KE$158,FALSE())*KE68</f>
        <v>0</v>
      </c>
      <c r="KF166" s="196" t="n">
        <f aca="false">VLOOKUP($KC$1,'Datos Iniciales'!$E$34:$O$64,KF$158,FALSE())*KF68</f>
        <v>0</v>
      </c>
      <c r="KG166" s="196" t="n">
        <f aca="false">VLOOKUP($KC$1,'Datos Iniciales'!$E$34:$O$64,KG$158,FALSE())*KG68</f>
        <v>0</v>
      </c>
      <c r="KH166" s="196" t="n">
        <f aca="false">VLOOKUP($KC$1,'Datos Iniciales'!$E$34:$O$64,KH$158,FALSE())*KH68</f>
        <v>0</v>
      </c>
      <c r="KI166" s="196" t="n">
        <f aca="false">VLOOKUP($KC$1,'Datos Iniciales'!$E$34:$O$64,KI$158,FALSE())*KI68</f>
        <v>0</v>
      </c>
      <c r="KJ166" s="196" t="n">
        <f aca="false">VLOOKUP($KC$1,'Datos Iniciales'!$E$34:$O$64,KJ$158,FALSE())*KJ68</f>
        <v>0</v>
      </c>
      <c r="KK166" s="196" t="n">
        <f aca="false">VLOOKUP($KC$1,'Datos Iniciales'!$E$34:$O$64,KK$158,FALSE())*KK68</f>
        <v>0</v>
      </c>
      <c r="KL166" s="196" t="n">
        <f aca="false">VLOOKUP($KC$1,'Datos Iniciales'!$E$34:$O$64,KL$158,FALSE())*KL68</f>
        <v>0</v>
      </c>
      <c r="KM166" s="197" t="n">
        <f aca="false">VLOOKUP($KC$1,'Datos Iniciales'!$E$34:$O$64,KM$158,FALSE())*KM68</f>
        <v>0</v>
      </c>
      <c r="KN166" s="194" t="str">
        <f aca="false">KC166</f>
        <v>Alumno7</v>
      </c>
      <c r="KO166" s="208" t="n">
        <f aca="false">VLOOKUP($KN$1,'Datos Iniciales'!$E$34:$O$64,KO$158,FALSE())*KO68</f>
        <v>0</v>
      </c>
      <c r="KP166" s="196" t="n">
        <f aca="false">VLOOKUP($KN$1,'Datos Iniciales'!$E$34:$O$64,KP$158,FALSE())*KP68</f>
        <v>0</v>
      </c>
      <c r="KQ166" s="196" t="n">
        <f aca="false">VLOOKUP($KN$1,'Datos Iniciales'!$E$34:$O$64,KQ$158,FALSE())*KQ68</f>
        <v>0</v>
      </c>
      <c r="KR166" s="196" t="n">
        <f aca="false">VLOOKUP($KN$1,'Datos Iniciales'!$E$34:$O$64,KR$158,FALSE())*KR68</f>
        <v>0</v>
      </c>
      <c r="KS166" s="196" t="n">
        <f aca="false">VLOOKUP($KN$1,'Datos Iniciales'!$E$34:$O$64,KS$158,FALSE())*KS68</f>
        <v>0</v>
      </c>
      <c r="KT166" s="196" t="n">
        <f aca="false">VLOOKUP($KN$1,'Datos Iniciales'!$E$34:$O$64,KT$158,FALSE())*KT68</f>
        <v>0</v>
      </c>
      <c r="KU166" s="196" t="n">
        <f aca="false">VLOOKUP($KN$1,'Datos Iniciales'!$E$34:$O$64,KU$158,FALSE())*KU68</f>
        <v>0</v>
      </c>
      <c r="KV166" s="196" t="n">
        <f aca="false">VLOOKUP($KN$1,'Datos Iniciales'!$E$34:$O$64,KV$158,FALSE())*KV68</f>
        <v>0</v>
      </c>
      <c r="KW166" s="196" t="n">
        <f aca="false">VLOOKUP($KN$1,'Datos Iniciales'!$E$34:$O$64,KW$158,FALSE())*KW68</f>
        <v>0</v>
      </c>
      <c r="KX166" s="197" t="n">
        <f aca="false">VLOOKUP($KN$1,'Datos Iniciales'!$E$34:$O$64,KX$158,FALSE())*KX68</f>
        <v>0</v>
      </c>
      <c r="KY166" s="194" t="str">
        <f aca="false">KN166</f>
        <v>Alumno7</v>
      </c>
      <c r="KZ166" s="208" t="n">
        <f aca="false">VLOOKUP($KY$1,'Datos Iniciales'!$E$34:$O$64,KZ$158,FALSE())*KZ68</f>
        <v>0</v>
      </c>
      <c r="LA166" s="196" t="n">
        <f aca="false">VLOOKUP($KY$1,'Datos Iniciales'!$E$34:$O$64,LA$158,FALSE())*LA68</f>
        <v>0</v>
      </c>
      <c r="LB166" s="196" t="n">
        <f aca="false">VLOOKUP($KY$1,'Datos Iniciales'!$E$34:$O$64,LB$158,FALSE())*LB68</f>
        <v>0</v>
      </c>
      <c r="LC166" s="196" t="n">
        <f aca="false">VLOOKUP($KY$1,'Datos Iniciales'!$E$34:$O$64,LC$158,FALSE())*LC68</f>
        <v>0</v>
      </c>
      <c r="LD166" s="196" t="n">
        <f aca="false">VLOOKUP($KY$1,'Datos Iniciales'!$E$34:$O$64,LD$158,FALSE())*LD68</f>
        <v>0</v>
      </c>
      <c r="LE166" s="196" t="n">
        <f aca="false">VLOOKUP($KY$1,'Datos Iniciales'!$E$34:$O$64,LE$158,FALSE())*LE68</f>
        <v>0</v>
      </c>
      <c r="LF166" s="196" t="n">
        <f aca="false">VLOOKUP($KY$1,'Datos Iniciales'!$E$34:$O$64,LF$158,FALSE())*LF68</f>
        <v>0</v>
      </c>
      <c r="LG166" s="196" t="n">
        <f aca="false">VLOOKUP($KY$1,'Datos Iniciales'!$E$34:$O$64,LG$158,FALSE())*LG68</f>
        <v>0</v>
      </c>
      <c r="LH166" s="196" t="n">
        <f aca="false">VLOOKUP($KY$1,'Datos Iniciales'!$E$34:$O$64,LH$158,FALSE())*LH68</f>
        <v>0</v>
      </c>
      <c r="LI166" s="197" t="n">
        <f aca="false">VLOOKUP($KY$1,'Datos Iniciales'!$E$34:$O$64,LI$158,FALSE())*LI68</f>
        <v>0</v>
      </c>
      <c r="LJ166" s="194" t="str">
        <f aca="false">KY166</f>
        <v>Alumno7</v>
      </c>
      <c r="LK166" s="208" t="n">
        <f aca="false">VLOOKUP($LJ$1,'Datos Iniciales'!$E$34:$O$64,LK$158,FALSE())*LK68</f>
        <v>0</v>
      </c>
      <c r="LL166" s="196" t="n">
        <f aca="false">VLOOKUP($LJ$1,'Datos Iniciales'!$E$34:$O$64,LL$158,FALSE())*LL68</f>
        <v>0</v>
      </c>
      <c r="LM166" s="196" t="n">
        <f aca="false">VLOOKUP($LJ$1,'Datos Iniciales'!$E$34:$O$64,LM$158,FALSE())*LM68</f>
        <v>0</v>
      </c>
      <c r="LN166" s="196" t="n">
        <f aca="false">VLOOKUP($LJ$1,'Datos Iniciales'!$E$34:$O$64,LN$158,FALSE())*LN68</f>
        <v>0</v>
      </c>
      <c r="LO166" s="196" t="n">
        <f aca="false">VLOOKUP($LJ$1,'Datos Iniciales'!$E$34:$O$64,LO$158,FALSE())*LO68</f>
        <v>0</v>
      </c>
      <c r="LP166" s="196" t="n">
        <f aca="false">VLOOKUP($LJ$1,'Datos Iniciales'!$E$34:$O$64,LP$158,FALSE())*LP68</f>
        <v>0</v>
      </c>
      <c r="LQ166" s="196" t="n">
        <f aca="false">VLOOKUP($LJ$1,'Datos Iniciales'!$E$34:$O$64,LQ$158,FALSE())*LQ68</f>
        <v>0</v>
      </c>
      <c r="LR166" s="196" t="n">
        <f aca="false">VLOOKUP($LJ$1,'Datos Iniciales'!$E$34:$O$64,LR$158,FALSE())*LR68</f>
        <v>0</v>
      </c>
      <c r="LS166" s="196" t="n">
        <f aca="false">VLOOKUP($LJ$1,'Datos Iniciales'!$E$34:$O$64,LS$158,FALSE())*LS68</f>
        <v>0</v>
      </c>
      <c r="LT166" s="197" t="n">
        <f aca="false">VLOOKUP($LJ$1,'Datos Iniciales'!$E$34:$O$64,LT$158,FALSE())*LT68</f>
        <v>0</v>
      </c>
    </row>
    <row r="167" customFormat="false" ht="15" hidden="true" customHeight="false" outlineLevel="0" collapsed="false">
      <c r="C167" s="194" t="str">
        <f aca="false">C118</f>
        <v>Alumno8</v>
      </c>
      <c r="D167" s="208" t="n">
        <f aca="false">VLOOKUP($C$1,'Datos Iniciales'!$E$34:$O$64,D$158,FALSE())*D69</f>
        <v>2.4125</v>
      </c>
      <c r="E167" s="196" t="n">
        <f aca="false">VLOOKUP($C$1,'Datos Iniciales'!$E$34:$O$64,E$158,FALSE())*E69</f>
        <v>0</v>
      </c>
      <c r="F167" s="196" t="n">
        <f aca="false">VLOOKUP($C$1,'Datos Iniciales'!$E$34:$O$64,F$158,FALSE())*F69</f>
        <v>0</v>
      </c>
      <c r="G167" s="196" t="n">
        <f aca="false">VLOOKUP($C$1,'Datos Iniciales'!$E$34:$O$64,G$158,FALSE())*G69</f>
        <v>0</v>
      </c>
      <c r="H167" s="196" t="n">
        <f aca="false">VLOOKUP($C$1,'Datos Iniciales'!$E$34:$O$64,H$158,FALSE())*H69</f>
        <v>0</v>
      </c>
      <c r="I167" s="196" t="n">
        <f aca="false">VLOOKUP($C$1,'Datos Iniciales'!$E$34:$O$64,I$158,FALSE())*I69</f>
        <v>0</v>
      </c>
      <c r="J167" s="196" t="n">
        <f aca="false">VLOOKUP($C$1,'Datos Iniciales'!$E$34:$O$64,J$158,FALSE())*J69</f>
        <v>0</v>
      </c>
      <c r="K167" s="196" t="n">
        <f aca="false">VLOOKUP($C$1,'Datos Iniciales'!$E$34:$O$64,K$158,FALSE())*K69</f>
        <v>0</v>
      </c>
      <c r="L167" s="196" t="n">
        <f aca="false">VLOOKUP($C$1,'Datos Iniciales'!$E$34:$O$64,L$158,FALSE())*L69</f>
        <v>0</v>
      </c>
      <c r="M167" s="197" t="n">
        <f aca="false">VLOOKUP($C$1,'Datos Iniciales'!$E$34:$O$64,M$158,FALSE())*M69</f>
        <v>0</v>
      </c>
      <c r="N167" s="194" t="str">
        <f aca="false">C167</f>
        <v>Alumno8</v>
      </c>
      <c r="O167" s="208" t="n">
        <f aca="false">VLOOKUP($N$1,'Datos Iniciales'!$E$34:$O$64,O$158,FALSE())*O69</f>
        <v>1</v>
      </c>
      <c r="P167" s="196" t="n">
        <f aca="false">VLOOKUP($N$1,'Datos Iniciales'!$E$34:$O$64,P$158,FALSE())*P69</f>
        <v>1</v>
      </c>
      <c r="Q167" s="196" t="n">
        <f aca="false">VLOOKUP($N$1,'Datos Iniciales'!$E$34:$O$64,Q$158,FALSE())*Q69</f>
        <v>0</v>
      </c>
      <c r="R167" s="196" t="n">
        <f aca="false">VLOOKUP($N$1,'Datos Iniciales'!$E$34:$O$64,R$158,FALSE())*R69</f>
        <v>0</v>
      </c>
      <c r="S167" s="196" t="n">
        <f aca="false">VLOOKUP($N$1,'Datos Iniciales'!$E$34:$O$64,S$158,FALSE())*S69</f>
        <v>0</v>
      </c>
      <c r="T167" s="196" t="n">
        <f aca="false">VLOOKUP($N$1,'Datos Iniciales'!$E$34:$O$64,T$158,FALSE())*T69</f>
        <v>0</v>
      </c>
      <c r="U167" s="196" t="n">
        <f aca="false">VLOOKUP($N$1,'Datos Iniciales'!$E$34:$O$64,U$158,FALSE())*U69</f>
        <v>0</v>
      </c>
      <c r="V167" s="196" t="n">
        <f aca="false">VLOOKUP($N$1,'Datos Iniciales'!$E$34:$O$64,V$158,FALSE())*V69</f>
        <v>0</v>
      </c>
      <c r="W167" s="196" t="n">
        <f aca="false">VLOOKUP($N$1,'Datos Iniciales'!$E$34:$O$64,W$158,FALSE())*W69</f>
        <v>0</v>
      </c>
      <c r="X167" s="197" t="n">
        <f aca="false">VLOOKUP($N$1,'Datos Iniciales'!$E$34:$O$64,X$158,FALSE())*X69</f>
        <v>0</v>
      </c>
      <c r="Y167" s="194" t="str">
        <f aca="false">N167</f>
        <v>Alumno8</v>
      </c>
      <c r="Z167" s="208" t="n">
        <f aca="false">VLOOKUP($Y$1,'Datos Iniciales'!$E$34:$O$64,Z$158,FALSE())*Z69</f>
        <v>1.5</v>
      </c>
      <c r="AA167" s="196" t="n">
        <f aca="false">VLOOKUP($Y$1,'Datos Iniciales'!$E$34:$O$64,AA$158,FALSE())*AA69</f>
        <v>1</v>
      </c>
      <c r="AB167" s="196" t="n">
        <f aca="false">VLOOKUP($Y$1,'Datos Iniciales'!$E$34:$O$64,AB$158,FALSE())*AB69</f>
        <v>0.5</v>
      </c>
      <c r="AC167" s="196" t="n">
        <f aca="false">VLOOKUP($Y$1,'Datos Iniciales'!$E$34:$O$64,AC$158,FALSE())*AC69</f>
        <v>0</v>
      </c>
      <c r="AD167" s="196" t="n">
        <f aca="false">VLOOKUP($Y$1,'Datos Iniciales'!$E$34:$O$64,AD$158,FALSE())*AD69</f>
        <v>0</v>
      </c>
      <c r="AE167" s="196" t="n">
        <f aca="false">VLOOKUP($Y$1,'Datos Iniciales'!$E$34:$O$64,AE$158,FALSE())*AE69</f>
        <v>0</v>
      </c>
      <c r="AF167" s="196" t="n">
        <f aca="false">VLOOKUP($Y$1,'Datos Iniciales'!$E$34:$O$64,AF$158,FALSE())*AF69</f>
        <v>0</v>
      </c>
      <c r="AG167" s="196" t="n">
        <f aca="false">VLOOKUP($Y$1,'Datos Iniciales'!$E$34:$O$64,AG$158,FALSE())*AG69</f>
        <v>0</v>
      </c>
      <c r="AH167" s="196" t="n">
        <f aca="false">VLOOKUP($Y$1,'Datos Iniciales'!$E$34:$O$64,AH$158,FALSE())*AH69</f>
        <v>0</v>
      </c>
      <c r="AI167" s="197" t="n">
        <f aca="false">VLOOKUP($Y$1,'Datos Iniciales'!$E$34:$O$64,AI$158,FALSE())*AI69</f>
        <v>0</v>
      </c>
      <c r="AJ167" s="194" t="str">
        <f aca="false">Y167</f>
        <v>Alumno8</v>
      </c>
      <c r="AK167" s="208" t="n">
        <f aca="false">VLOOKUP($AJ$1,'Datos Iniciales'!$E$34:$O$64,AK$158,FALSE())*AK69</f>
        <v>0.5</v>
      </c>
      <c r="AL167" s="196" t="n">
        <f aca="false">VLOOKUP($AJ$1,'Datos Iniciales'!$E$34:$O$64,AL$158,FALSE())*AL69</f>
        <v>1.5</v>
      </c>
      <c r="AM167" s="196" t="n">
        <f aca="false">VLOOKUP($AJ$1,'Datos Iniciales'!$E$34:$O$64,AM$158,FALSE())*AM69</f>
        <v>1.75</v>
      </c>
      <c r="AN167" s="196" t="n">
        <f aca="false">VLOOKUP($AJ$1,'Datos Iniciales'!$E$34:$O$64,AN$158,FALSE())*AN69</f>
        <v>0</v>
      </c>
      <c r="AO167" s="196" t="n">
        <f aca="false">VLOOKUP($AJ$1,'Datos Iniciales'!$E$34:$O$64,AO$158,FALSE())*AO69</f>
        <v>0</v>
      </c>
      <c r="AP167" s="196" t="n">
        <f aca="false">VLOOKUP($AJ$1,'Datos Iniciales'!$E$34:$O$64,AP$158,FALSE())*AP69</f>
        <v>0</v>
      </c>
      <c r="AQ167" s="196" t="n">
        <f aca="false">VLOOKUP($AJ$1,'Datos Iniciales'!$E$34:$O$64,AQ$158,FALSE())*AQ69</f>
        <v>0</v>
      </c>
      <c r="AR167" s="196" t="n">
        <f aca="false">VLOOKUP($AJ$1,'Datos Iniciales'!$E$34:$O$64,AR$158,FALSE())*AR69</f>
        <v>0</v>
      </c>
      <c r="AS167" s="196" t="n">
        <f aca="false">VLOOKUP($AJ$1,'Datos Iniciales'!$E$34:$O$64,AS$158,FALSE())*AS69</f>
        <v>0</v>
      </c>
      <c r="AT167" s="197" t="n">
        <f aca="false">VLOOKUP($AJ$1,'Datos Iniciales'!$E$34:$O$64,AT$158,FALSE())*AT69</f>
        <v>0</v>
      </c>
      <c r="AU167" s="194" t="str">
        <f aca="false">AJ167</f>
        <v>Alumno8</v>
      </c>
      <c r="AV167" s="208" t="n">
        <f aca="false">VLOOKUP($AU$1,'Datos Iniciales'!$E$34:$O$64,AV$158,FALSE())*AV69</f>
        <v>0.5</v>
      </c>
      <c r="AW167" s="196" t="n">
        <f aca="false">VLOOKUP($AU$1,'Datos Iniciales'!$E$34:$O$64,AW$158,FALSE())*AW69</f>
        <v>0.9</v>
      </c>
      <c r="AX167" s="196" t="n">
        <f aca="false">VLOOKUP($AU$1,'Datos Iniciales'!$E$34:$O$64,AX$158,FALSE())*AX69</f>
        <v>2.82</v>
      </c>
      <c r="AY167" s="196" t="n">
        <f aca="false">VLOOKUP($AU$1,'Datos Iniciales'!$E$34:$O$64,AY$158,FALSE())*AY69</f>
        <v>1</v>
      </c>
      <c r="AZ167" s="196" t="n">
        <f aca="false">VLOOKUP($AU$1,'Datos Iniciales'!$E$34:$O$64,AZ$158,FALSE())*AZ69</f>
        <v>0</v>
      </c>
      <c r="BA167" s="196" t="n">
        <f aca="false">VLOOKUP($AU$1,'Datos Iniciales'!$E$34:$O$64,BA$158,FALSE())*BA69</f>
        <v>0</v>
      </c>
      <c r="BB167" s="196" t="n">
        <f aca="false">VLOOKUP($AU$1,'Datos Iniciales'!$E$34:$O$64,BB$158,FALSE())*BB69</f>
        <v>0</v>
      </c>
      <c r="BC167" s="196" t="n">
        <f aca="false">VLOOKUP($AU$1,'Datos Iniciales'!$E$34:$O$64,BC$158,FALSE())*BC69</f>
        <v>0</v>
      </c>
      <c r="BD167" s="196" t="n">
        <f aca="false">VLOOKUP($AU$1,'Datos Iniciales'!$E$34:$O$64,BD$158,FALSE())*BD69</f>
        <v>0</v>
      </c>
      <c r="BE167" s="197" t="n">
        <f aca="false">VLOOKUP($AU$1,'Datos Iniciales'!$E$34:$O$64,BE$158,FALSE())*BE69</f>
        <v>0</v>
      </c>
      <c r="BF167" s="194" t="str">
        <f aca="false">AU167</f>
        <v>Alumno8</v>
      </c>
      <c r="BG167" s="208" t="n">
        <f aca="false">VLOOKUP($BF$1,'Datos Iniciales'!$E$34:$O$64,BG$158,FALSE())*BG69</f>
        <v>1</v>
      </c>
      <c r="BH167" s="196" t="n">
        <f aca="false">VLOOKUP($BF$1,'Datos Iniciales'!$E$34:$O$64,BH$158,FALSE())*BH69</f>
        <v>1.35</v>
      </c>
      <c r="BI167" s="196" t="n">
        <f aca="false">VLOOKUP($BF$1,'Datos Iniciales'!$E$34:$O$64,BI$158,FALSE())*BI69</f>
        <v>1</v>
      </c>
      <c r="BJ167" s="196" t="n">
        <f aca="false">VLOOKUP($BF$1,'Datos Iniciales'!$E$34:$O$64,BJ$158,FALSE())*BJ69</f>
        <v>3.84</v>
      </c>
      <c r="BK167" s="196" t="n">
        <f aca="false">VLOOKUP($BF$1,'Datos Iniciales'!$E$34:$O$64,BK$158,FALSE())*BK69</f>
        <v>0</v>
      </c>
      <c r="BL167" s="196" t="n">
        <f aca="false">VLOOKUP($BF$1,'Datos Iniciales'!$E$34:$O$64,BL$158,FALSE())*BL69</f>
        <v>0</v>
      </c>
      <c r="BM167" s="196" t="n">
        <f aca="false">VLOOKUP($BF$1,'Datos Iniciales'!$E$34:$O$64,BM$158,FALSE())*BM69</f>
        <v>0</v>
      </c>
      <c r="BN167" s="196" t="n">
        <f aca="false">VLOOKUP($BF$1,'Datos Iniciales'!$E$34:$O$64,BN$158,FALSE())*BN69</f>
        <v>0</v>
      </c>
      <c r="BO167" s="196" t="n">
        <f aca="false">VLOOKUP($BF$1,'Datos Iniciales'!$E$34:$O$64,BO$158,FALSE())*BO69</f>
        <v>0</v>
      </c>
      <c r="BP167" s="197" t="n">
        <f aca="false">VLOOKUP($BF$1,'Datos Iniciales'!$E$34:$O$64,BP$158,FALSE())*BP69</f>
        <v>0</v>
      </c>
      <c r="BQ167" s="194" t="str">
        <f aca="false">BF167</f>
        <v>Alumno8</v>
      </c>
      <c r="BR167" s="208" t="n">
        <f aca="false">VLOOKUP($BQ$1,'Datos Iniciales'!$E$34:$O$64,BR$158,FALSE())*BR69</f>
        <v>0</v>
      </c>
      <c r="BS167" s="196" t="n">
        <f aca="false">VLOOKUP($BQ$1,'Datos Iniciales'!$E$34:$O$64,BS$158,FALSE())*BS69</f>
        <v>0.3</v>
      </c>
      <c r="BT167" s="196" t="n">
        <f aca="false">VLOOKUP($BQ$1,'Datos Iniciales'!$E$34:$O$64,BT$158,FALSE())*BT69</f>
        <v>1.15</v>
      </c>
      <c r="BU167" s="196" t="n">
        <f aca="false">VLOOKUP($BQ$1,'Datos Iniciales'!$E$34:$O$64,BU$158,FALSE())*BU69</f>
        <v>3.3</v>
      </c>
      <c r="BV167" s="196" t="n">
        <f aca="false">VLOOKUP($BQ$1,'Datos Iniciales'!$E$34:$O$64,BV$158,FALSE())*BV69</f>
        <v>0</v>
      </c>
      <c r="BW167" s="196" t="n">
        <f aca="false">VLOOKUP($BQ$1,'Datos Iniciales'!$E$34:$O$64,BW$158,FALSE())*BW69</f>
        <v>0</v>
      </c>
      <c r="BX167" s="196" t="n">
        <f aca="false">VLOOKUP($BQ$1,'Datos Iniciales'!$E$34:$O$64,BX$158,FALSE())*BX69</f>
        <v>0</v>
      </c>
      <c r="BY167" s="196" t="n">
        <f aca="false">VLOOKUP($BQ$1,'Datos Iniciales'!$E$34:$O$64,BY$158,FALSE())*BY69</f>
        <v>0</v>
      </c>
      <c r="BZ167" s="196" t="n">
        <f aca="false">VLOOKUP($BQ$1,'Datos Iniciales'!$E$34:$O$64,BZ$158,FALSE())*BZ69</f>
        <v>0</v>
      </c>
      <c r="CA167" s="197" t="n">
        <f aca="false">VLOOKUP($BQ$1,'Datos Iniciales'!$E$34:$O$64,CA$158,FALSE())*CA69</f>
        <v>0</v>
      </c>
      <c r="CB167" s="194" t="str">
        <f aca="false">BQ167</f>
        <v>Alumno8</v>
      </c>
      <c r="CC167" s="208" t="n">
        <f aca="false">VLOOKUP($CB$1,'Datos Iniciales'!$E$34:$O$64,CC$158,FALSE())*CC69</f>
        <v>0</v>
      </c>
      <c r="CD167" s="196" t="n">
        <f aca="false">VLOOKUP($CB$1,'Datos Iniciales'!$E$34:$O$64,CD$158,FALSE())*CD69</f>
        <v>0</v>
      </c>
      <c r="CE167" s="196" t="n">
        <f aca="false">VLOOKUP($CB$1,'Datos Iniciales'!$E$34:$O$64,CE$158,FALSE())*CE69</f>
        <v>0</v>
      </c>
      <c r="CF167" s="196" t="n">
        <f aca="false">VLOOKUP($CB$1,'Datos Iniciales'!$E$34:$O$64,CF$158,FALSE())*CF69</f>
        <v>0</v>
      </c>
      <c r="CG167" s="196" t="n">
        <f aca="false">VLOOKUP($CB$1,'Datos Iniciales'!$E$34:$O$64,CG$158,FALSE())*CG69</f>
        <v>0</v>
      </c>
      <c r="CH167" s="196" t="n">
        <f aca="false">VLOOKUP($CB$1,'Datos Iniciales'!$E$34:$O$64,CH$158,FALSE())*CH69</f>
        <v>0</v>
      </c>
      <c r="CI167" s="196" t="n">
        <f aca="false">VLOOKUP($CB$1,'Datos Iniciales'!$E$34:$O$64,CI$158,FALSE())*CI69</f>
        <v>0</v>
      </c>
      <c r="CJ167" s="196" t="n">
        <f aca="false">VLOOKUP($CB$1,'Datos Iniciales'!$E$34:$O$64,CJ$158,FALSE())*CJ69</f>
        <v>0</v>
      </c>
      <c r="CK167" s="196" t="n">
        <f aca="false">VLOOKUP($CB$1,'Datos Iniciales'!$E$34:$O$64,CK$158,FALSE())*CK69</f>
        <v>0</v>
      </c>
      <c r="CL167" s="197" t="n">
        <f aca="false">VLOOKUP($CB$1,'Datos Iniciales'!$E$34:$O$64,CL$158,FALSE())*CL69</f>
        <v>0</v>
      </c>
      <c r="CM167" s="194" t="str">
        <f aca="false">CB167</f>
        <v>Alumno8</v>
      </c>
      <c r="CN167" s="208" t="n">
        <f aca="false">VLOOKUP($CM$1,'Datos Iniciales'!$E$34:$O$64,CN$158,FALSE())*CN69</f>
        <v>0</v>
      </c>
      <c r="CO167" s="196" t="n">
        <f aca="false">VLOOKUP($CM$1,'Datos Iniciales'!$E$34:$O$64,CO$158,FALSE())*CO69</f>
        <v>0</v>
      </c>
      <c r="CP167" s="196" t="n">
        <f aca="false">VLOOKUP($CM$1,'Datos Iniciales'!$E$34:$O$64,CP$158,FALSE())*CP69</f>
        <v>0</v>
      </c>
      <c r="CQ167" s="196" t="n">
        <f aca="false">VLOOKUP($CM$1,'Datos Iniciales'!$E$34:$O$64,CQ$158,FALSE())*CQ69</f>
        <v>0</v>
      </c>
      <c r="CR167" s="196" t="n">
        <f aca="false">VLOOKUP($CM$1,'Datos Iniciales'!$E$34:$O$64,CR$158,FALSE())*CR69</f>
        <v>0</v>
      </c>
      <c r="CS167" s="196" t="n">
        <f aca="false">VLOOKUP($CM$1,'Datos Iniciales'!$E$34:$O$64,CS$158,FALSE())*CS69</f>
        <v>0</v>
      </c>
      <c r="CT167" s="196" t="n">
        <f aca="false">VLOOKUP($CM$1,'Datos Iniciales'!$E$34:$O$64,CT$158,FALSE())*CT69</f>
        <v>0</v>
      </c>
      <c r="CU167" s="196" t="n">
        <f aca="false">VLOOKUP($CM$1,'Datos Iniciales'!$E$34:$O$64,CU$158,FALSE())*CU69</f>
        <v>0</v>
      </c>
      <c r="CV167" s="196" t="n">
        <f aca="false">VLOOKUP($CM$1,'Datos Iniciales'!$E$34:$O$64,CV$158,FALSE())*CV69</f>
        <v>0</v>
      </c>
      <c r="CW167" s="197" t="n">
        <f aca="false">VLOOKUP($CM$1,'Datos Iniciales'!$E$34:$O$64,CW$158,FALSE())*CW69</f>
        <v>0</v>
      </c>
      <c r="CX167" s="194" t="str">
        <f aca="false">CM167</f>
        <v>Alumno8</v>
      </c>
      <c r="CY167" s="208" t="n">
        <f aca="false">VLOOKUP($CX$1,'Datos Iniciales'!$E$34:$O$64,CY$158,FALSE())*CY69</f>
        <v>0</v>
      </c>
      <c r="CZ167" s="196" t="n">
        <f aca="false">VLOOKUP($CX$1,'Datos Iniciales'!$E$34:$O$64,CZ$158,FALSE())*CZ69</f>
        <v>0</v>
      </c>
      <c r="DA167" s="196" t="n">
        <f aca="false">VLOOKUP($CX$1,'Datos Iniciales'!$E$34:$O$64,DA$158,FALSE())*DA69</f>
        <v>0</v>
      </c>
      <c r="DB167" s="196" t="n">
        <f aca="false">VLOOKUP($CX$1,'Datos Iniciales'!$E$34:$O$64,DB$158,FALSE())*DB69</f>
        <v>0</v>
      </c>
      <c r="DC167" s="196" t="n">
        <f aca="false">VLOOKUP($CX$1,'Datos Iniciales'!$E$34:$O$64,DC$158,FALSE())*DC69</f>
        <v>0</v>
      </c>
      <c r="DD167" s="196" t="n">
        <f aca="false">VLOOKUP($CX$1,'Datos Iniciales'!$E$34:$O$64,DD$158,FALSE())*DD69</f>
        <v>0</v>
      </c>
      <c r="DE167" s="196" t="n">
        <f aca="false">VLOOKUP($CX$1,'Datos Iniciales'!$E$34:$O$64,DE$158,FALSE())*DE69</f>
        <v>0</v>
      </c>
      <c r="DF167" s="196" t="n">
        <f aca="false">VLOOKUP($CX$1,'Datos Iniciales'!$E$34:$O$64,DF$158,FALSE())*DF69</f>
        <v>0</v>
      </c>
      <c r="DG167" s="196" t="n">
        <f aca="false">VLOOKUP($CX$1,'Datos Iniciales'!$E$34:$O$64,DG$158,FALSE())*DG69</f>
        <v>0</v>
      </c>
      <c r="DH167" s="197" t="n">
        <f aca="false">VLOOKUP($CX$1,'Datos Iniciales'!$E$34:$O$64,DH$158,FALSE())*DH69</f>
        <v>0</v>
      </c>
      <c r="DI167" s="194" t="str">
        <f aca="false">CX167</f>
        <v>Alumno8</v>
      </c>
      <c r="DJ167" s="208" t="n">
        <f aca="false">VLOOKUP($DI$1,'Datos Iniciales'!$E$34:$O$64,DJ$158,FALSE())*DJ69</f>
        <v>0</v>
      </c>
      <c r="DK167" s="196" t="n">
        <f aca="false">VLOOKUP($DI$1,'Datos Iniciales'!$E$34:$O$64,DK$158,FALSE())*DK69</f>
        <v>0</v>
      </c>
      <c r="DL167" s="196" t="n">
        <f aca="false">VLOOKUP($DI$1,'Datos Iniciales'!$E$34:$O$64,DL$158,FALSE())*DL69</f>
        <v>0</v>
      </c>
      <c r="DM167" s="196" t="n">
        <f aca="false">VLOOKUP($DI$1,'Datos Iniciales'!$E$34:$O$64,DM$158,FALSE())*DM69</f>
        <v>0</v>
      </c>
      <c r="DN167" s="196" t="n">
        <f aca="false">VLOOKUP($DI$1,'Datos Iniciales'!$E$34:$O$64,DN$158,FALSE())*DN69</f>
        <v>0</v>
      </c>
      <c r="DO167" s="196" t="n">
        <f aca="false">VLOOKUP($DI$1,'Datos Iniciales'!$E$34:$O$64,DO$158,FALSE())*DO69</f>
        <v>0</v>
      </c>
      <c r="DP167" s="196" t="n">
        <f aca="false">VLOOKUP($DI$1,'Datos Iniciales'!$E$34:$O$64,DP$158,FALSE())*DP69</f>
        <v>0</v>
      </c>
      <c r="DQ167" s="196" t="n">
        <f aca="false">VLOOKUP($DI$1,'Datos Iniciales'!$E$34:$O$64,DQ$158,FALSE())*DQ69</f>
        <v>0</v>
      </c>
      <c r="DR167" s="196" t="n">
        <f aca="false">VLOOKUP($DI$1,'Datos Iniciales'!$E$34:$O$64,DR$158,FALSE())*DR69</f>
        <v>0</v>
      </c>
      <c r="DS167" s="197" t="n">
        <f aca="false">VLOOKUP($DI$1,'Datos Iniciales'!$E$34:$O$64,DS$158,FALSE())*DS69</f>
        <v>0</v>
      </c>
      <c r="DT167" s="194" t="str">
        <f aca="false">DI167</f>
        <v>Alumno8</v>
      </c>
      <c r="DU167" s="208" t="n">
        <f aca="false">VLOOKUP($DT$1,'Datos Iniciales'!$E$34:$O$64,DU$158,FALSE())*DU69</f>
        <v>0</v>
      </c>
      <c r="DV167" s="196" t="n">
        <f aca="false">VLOOKUP($DT$1,'Datos Iniciales'!$E$34:$O$64,DV$158,FALSE())*DV69</f>
        <v>0</v>
      </c>
      <c r="DW167" s="196" t="n">
        <f aca="false">VLOOKUP($DT$1,'Datos Iniciales'!$E$34:$O$64,DW$158,FALSE())*DW69</f>
        <v>0</v>
      </c>
      <c r="DX167" s="196" t="n">
        <f aca="false">VLOOKUP($DT$1,'Datos Iniciales'!$E$34:$O$64,DX$158,FALSE())*DX69</f>
        <v>0</v>
      </c>
      <c r="DY167" s="196" t="n">
        <f aca="false">VLOOKUP($DT$1,'Datos Iniciales'!$E$34:$O$64,DY$158,FALSE())*DY69</f>
        <v>0</v>
      </c>
      <c r="DZ167" s="196" t="n">
        <f aca="false">VLOOKUP($DT$1,'Datos Iniciales'!$E$34:$O$64,DZ$158,FALSE())*DZ69</f>
        <v>0</v>
      </c>
      <c r="EA167" s="196" t="n">
        <f aca="false">VLOOKUP($DT$1,'Datos Iniciales'!$E$34:$O$64,EA$158,FALSE())*EA69</f>
        <v>0</v>
      </c>
      <c r="EB167" s="196" t="n">
        <f aca="false">VLOOKUP($DT$1,'Datos Iniciales'!$E$34:$O$64,EB$158,FALSE())*EB69</f>
        <v>0</v>
      </c>
      <c r="EC167" s="196" t="n">
        <f aca="false">VLOOKUP($DT$1,'Datos Iniciales'!$E$34:$O$64,EC$158,FALSE())*EC69</f>
        <v>0</v>
      </c>
      <c r="ED167" s="197" t="n">
        <f aca="false">VLOOKUP($DT$1,'Datos Iniciales'!$E$34:$O$64,ED$158,FALSE())*ED69</f>
        <v>0</v>
      </c>
      <c r="EE167" s="194" t="str">
        <f aca="false">DT167</f>
        <v>Alumno8</v>
      </c>
      <c r="EF167" s="208" t="n">
        <f aca="false">VLOOKUP($EE$1,'Datos Iniciales'!$E$34:$O$64,EF$158,FALSE())*EF69</f>
        <v>0</v>
      </c>
      <c r="EG167" s="196" t="n">
        <f aca="false">VLOOKUP($EE$1,'Datos Iniciales'!$E$34:$O$64,EG$158,FALSE())*EG69</f>
        <v>0</v>
      </c>
      <c r="EH167" s="196" t="n">
        <f aca="false">VLOOKUP($EE$1,'Datos Iniciales'!$E$34:$O$64,EH$158,FALSE())*EH69</f>
        <v>0</v>
      </c>
      <c r="EI167" s="196" t="n">
        <f aca="false">VLOOKUP($EE$1,'Datos Iniciales'!$E$34:$O$64,EI$158,FALSE())*EI69</f>
        <v>0</v>
      </c>
      <c r="EJ167" s="196" t="n">
        <f aca="false">VLOOKUP($EE$1,'Datos Iniciales'!$E$34:$O$64,EJ$158,FALSE())*EJ69</f>
        <v>0</v>
      </c>
      <c r="EK167" s="196" t="n">
        <f aca="false">VLOOKUP($EE$1,'Datos Iniciales'!$E$34:$O$64,EK$158,FALSE())*EK69</f>
        <v>0</v>
      </c>
      <c r="EL167" s="196" t="n">
        <f aca="false">VLOOKUP($EE$1,'Datos Iniciales'!$E$34:$O$64,EL$158,FALSE())*EL69</f>
        <v>0</v>
      </c>
      <c r="EM167" s="196" t="n">
        <f aca="false">VLOOKUP($EE$1,'Datos Iniciales'!$E$34:$O$64,EM$158,FALSE())*EM69</f>
        <v>0</v>
      </c>
      <c r="EN167" s="196" t="n">
        <f aca="false">VLOOKUP($EE$1,'Datos Iniciales'!$E$34:$O$64,EN$158,FALSE())*EN69</f>
        <v>0</v>
      </c>
      <c r="EO167" s="197" t="n">
        <f aca="false">VLOOKUP($EE$1,'Datos Iniciales'!$E$34:$O$64,EO$158,FALSE())*EO69</f>
        <v>0</v>
      </c>
      <c r="EP167" s="194" t="str">
        <f aca="false">EE167</f>
        <v>Alumno8</v>
      </c>
      <c r="EQ167" s="208" t="n">
        <f aca="false">VLOOKUP($EP$1,'Datos Iniciales'!$E$34:$O$64,EQ$158,FALSE())*EQ69</f>
        <v>0</v>
      </c>
      <c r="ER167" s="196" t="n">
        <f aca="false">VLOOKUP($EP$1,'Datos Iniciales'!$E$34:$O$64,ER$158,FALSE())*ER69</f>
        <v>0</v>
      </c>
      <c r="ES167" s="196" t="n">
        <f aca="false">VLOOKUP($EP$1,'Datos Iniciales'!$E$34:$O$64,ES$158,FALSE())*ES69</f>
        <v>0</v>
      </c>
      <c r="ET167" s="196" t="n">
        <f aca="false">VLOOKUP($EP$1,'Datos Iniciales'!$E$34:$O$64,ET$158,FALSE())*ET69</f>
        <v>0</v>
      </c>
      <c r="EU167" s="196" t="n">
        <f aca="false">VLOOKUP($EP$1,'Datos Iniciales'!$E$34:$O$64,EU$158,FALSE())*EU69</f>
        <v>0</v>
      </c>
      <c r="EV167" s="196" t="n">
        <f aca="false">VLOOKUP($EP$1,'Datos Iniciales'!$E$34:$O$64,EV$158,FALSE())*EV69</f>
        <v>0</v>
      </c>
      <c r="EW167" s="196" t="n">
        <f aca="false">VLOOKUP($EP$1,'Datos Iniciales'!$E$34:$O$64,EW$158,FALSE())*EW69</f>
        <v>0</v>
      </c>
      <c r="EX167" s="196" t="n">
        <f aca="false">VLOOKUP($EP$1,'Datos Iniciales'!$E$34:$O$64,EX$158,FALSE())*EX69</f>
        <v>0</v>
      </c>
      <c r="EY167" s="196" t="n">
        <f aca="false">VLOOKUP($EP$1,'Datos Iniciales'!$E$34:$O$64,EY$158,FALSE())*EY69</f>
        <v>0</v>
      </c>
      <c r="EZ167" s="197" t="n">
        <f aca="false">VLOOKUP($EP$1,'Datos Iniciales'!$E$34:$O$64,EZ$158,FALSE())*EZ69</f>
        <v>0</v>
      </c>
      <c r="FA167" s="194" t="str">
        <f aca="false">EP167</f>
        <v>Alumno8</v>
      </c>
      <c r="FB167" s="208" t="n">
        <f aca="false">VLOOKUP($FA$1,'Datos Iniciales'!$E$34:$O$64,FB$158,FALSE())*FB69</f>
        <v>0</v>
      </c>
      <c r="FC167" s="196" t="n">
        <f aca="false">VLOOKUP($FA$1,'Datos Iniciales'!$E$34:$O$64,FC$158,FALSE())*FC69</f>
        <v>0</v>
      </c>
      <c r="FD167" s="196" t="n">
        <f aca="false">VLOOKUP($FA$1,'Datos Iniciales'!$E$34:$O$64,FD$158,FALSE())*FD69</f>
        <v>0</v>
      </c>
      <c r="FE167" s="196" t="n">
        <f aca="false">VLOOKUP($FA$1,'Datos Iniciales'!$E$34:$O$64,FE$158,FALSE())*FE69</f>
        <v>0</v>
      </c>
      <c r="FF167" s="196" t="n">
        <f aca="false">VLOOKUP($FA$1,'Datos Iniciales'!$E$34:$O$64,FF$158,FALSE())*FF69</f>
        <v>0</v>
      </c>
      <c r="FG167" s="196" t="n">
        <f aca="false">VLOOKUP($FA$1,'Datos Iniciales'!$E$34:$O$64,FG$158,FALSE())*FG69</f>
        <v>0</v>
      </c>
      <c r="FH167" s="196" t="n">
        <f aca="false">VLOOKUP($FA$1,'Datos Iniciales'!$E$34:$O$64,FH$158,FALSE())*FH69</f>
        <v>0</v>
      </c>
      <c r="FI167" s="196" t="n">
        <f aca="false">VLOOKUP($FA$1,'Datos Iniciales'!$E$34:$O$64,FI$158,FALSE())*FI69</f>
        <v>0</v>
      </c>
      <c r="FJ167" s="196" t="n">
        <f aca="false">VLOOKUP($FA$1,'Datos Iniciales'!$E$34:$O$64,FJ$158,FALSE())*FJ69</f>
        <v>0</v>
      </c>
      <c r="FK167" s="197" t="n">
        <f aca="false">VLOOKUP($FA$1,'Datos Iniciales'!$E$34:$O$64,FK$158,FALSE())*FK69</f>
        <v>0</v>
      </c>
      <c r="FL167" s="194" t="str">
        <f aca="false">FA167</f>
        <v>Alumno8</v>
      </c>
      <c r="FM167" s="208" t="n">
        <f aca="false">VLOOKUP($FL$1,'Datos Iniciales'!$E$34:$O$64,FM$158,FALSE())*FM69</f>
        <v>0</v>
      </c>
      <c r="FN167" s="196" t="n">
        <f aca="false">VLOOKUP($FL$1,'Datos Iniciales'!$E$34:$O$64,FN$158,FALSE())*FN69</f>
        <v>0</v>
      </c>
      <c r="FO167" s="196" t="n">
        <f aca="false">VLOOKUP($FL$1,'Datos Iniciales'!$E$34:$O$64,FO$158,FALSE())*FO69</f>
        <v>0</v>
      </c>
      <c r="FP167" s="196" t="n">
        <f aca="false">VLOOKUP($FL$1,'Datos Iniciales'!$E$34:$O$64,FP$158,FALSE())*FP69</f>
        <v>0</v>
      </c>
      <c r="FQ167" s="196" t="n">
        <f aca="false">VLOOKUP($FL$1,'Datos Iniciales'!$E$34:$O$64,FQ$158,FALSE())*FQ69</f>
        <v>0</v>
      </c>
      <c r="FR167" s="196" t="n">
        <f aca="false">VLOOKUP($FL$1,'Datos Iniciales'!$E$34:$O$64,FR$158,FALSE())*FR69</f>
        <v>0</v>
      </c>
      <c r="FS167" s="196" t="n">
        <f aca="false">VLOOKUP($FL$1,'Datos Iniciales'!$E$34:$O$64,FS$158,FALSE())*FS69</f>
        <v>0</v>
      </c>
      <c r="FT167" s="196" t="n">
        <f aca="false">VLOOKUP($FL$1,'Datos Iniciales'!$E$34:$O$64,FT$158,FALSE())*FT69</f>
        <v>0</v>
      </c>
      <c r="FU167" s="196" t="n">
        <f aca="false">VLOOKUP($FL$1,'Datos Iniciales'!$E$34:$O$64,FU$158,FALSE())*FU69</f>
        <v>0</v>
      </c>
      <c r="FV167" s="197" t="n">
        <f aca="false">VLOOKUP($FL$1,'Datos Iniciales'!$E$34:$O$64,FV$158,FALSE())*FV69</f>
        <v>0</v>
      </c>
      <c r="FW167" s="194" t="str">
        <f aca="false">FL167</f>
        <v>Alumno8</v>
      </c>
      <c r="FX167" s="208" t="n">
        <f aca="false">VLOOKUP($FW$1,'Datos Iniciales'!$E$34:$O$64,FX$158,FALSE())*FX69</f>
        <v>0</v>
      </c>
      <c r="FY167" s="196" t="n">
        <f aca="false">VLOOKUP($FW$1,'Datos Iniciales'!$E$34:$O$64,FY$158,FALSE())*FY69</f>
        <v>0</v>
      </c>
      <c r="FZ167" s="196" t="n">
        <f aca="false">VLOOKUP($FW$1,'Datos Iniciales'!$E$34:$O$64,FZ$158,FALSE())*FZ69</f>
        <v>0</v>
      </c>
      <c r="GA167" s="196" t="n">
        <f aca="false">VLOOKUP($FW$1,'Datos Iniciales'!$E$34:$O$64,GA$158,FALSE())*GA69</f>
        <v>0</v>
      </c>
      <c r="GB167" s="196" t="n">
        <f aca="false">VLOOKUP($FW$1,'Datos Iniciales'!$E$34:$O$64,GB$158,FALSE())*GB69</f>
        <v>0</v>
      </c>
      <c r="GC167" s="196" t="n">
        <f aca="false">VLOOKUP($FW$1,'Datos Iniciales'!$E$34:$O$64,GC$158,FALSE())*GC69</f>
        <v>0</v>
      </c>
      <c r="GD167" s="196" t="n">
        <f aca="false">VLOOKUP($FW$1,'Datos Iniciales'!$E$34:$O$64,GD$158,FALSE())*GD69</f>
        <v>0</v>
      </c>
      <c r="GE167" s="196" t="n">
        <f aca="false">VLOOKUP($FW$1,'Datos Iniciales'!$E$34:$O$64,GE$158,FALSE())*GE69</f>
        <v>0</v>
      </c>
      <c r="GF167" s="196" t="n">
        <f aca="false">VLOOKUP($FW$1,'Datos Iniciales'!$E$34:$O$64,GF$158,FALSE())*GF69</f>
        <v>0</v>
      </c>
      <c r="GG167" s="197" t="n">
        <f aca="false">VLOOKUP($FW$1,'Datos Iniciales'!$E$34:$O$64,GG$158,FALSE())*GG69</f>
        <v>0</v>
      </c>
      <c r="GH167" s="194" t="str">
        <f aca="false">FW167</f>
        <v>Alumno8</v>
      </c>
      <c r="GI167" s="208" t="n">
        <f aca="false">VLOOKUP($GH$1,'Datos Iniciales'!$E$34:$O$64,GI$158,FALSE())*GI69</f>
        <v>0</v>
      </c>
      <c r="GJ167" s="196" t="n">
        <f aca="false">VLOOKUP($GH$1,'Datos Iniciales'!$E$34:$O$64,GJ$158,FALSE())*GJ69</f>
        <v>0</v>
      </c>
      <c r="GK167" s="196" t="n">
        <f aca="false">VLOOKUP($GH$1,'Datos Iniciales'!$E$34:$O$64,GK$158,FALSE())*GK69</f>
        <v>0</v>
      </c>
      <c r="GL167" s="196" t="n">
        <f aca="false">VLOOKUP($GH$1,'Datos Iniciales'!$E$34:$O$64,GL$158,FALSE())*GL69</f>
        <v>0</v>
      </c>
      <c r="GM167" s="196" t="n">
        <f aca="false">VLOOKUP($GH$1,'Datos Iniciales'!$E$34:$O$64,GM$158,FALSE())*GM69</f>
        <v>0</v>
      </c>
      <c r="GN167" s="196" t="n">
        <f aca="false">VLOOKUP($GH$1,'Datos Iniciales'!$E$34:$O$64,GN$158,FALSE())*GN69</f>
        <v>0</v>
      </c>
      <c r="GO167" s="196" t="n">
        <f aca="false">VLOOKUP($GH$1,'Datos Iniciales'!$E$34:$O$64,GO$158,FALSE())*GO69</f>
        <v>0</v>
      </c>
      <c r="GP167" s="196" t="n">
        <f aca="false">VLOOKUP($GH$1,'Datos Iniciales'!$E$34:$O$64,GP$158,FALSE())*GP69</f>
        <v>0</v>
      </c>
      <c r="GQ167" s="196" t="n">
        <f aca="false">VLOOKUP($GH$1,'Datos Iniciales'!$E$34:$O$64,GQ$158,FALSE())*GQ69</f>
        <v>0</v>
      </c>
      <c r="GR167" s="197" t="n">
        <f aca="false">VLOOKUP($GH$1,'Datos Iniciales'!$E$34:$O$64,GR$158,FALSE())*GR69</f>
        <v>0</v>
      </c>
      <c r="GS167" s="194" t="str">
        <f aca="false">GH167</f>
        <v>Alumno8</v>
      </c>
      <c r="GT167" s="208" t="n">
        <f aca="false">VLOOKUP($GS$1,'Datos Iniciales'!$E$34:$O$64,GT$158,FALSE())*GT69</f>
        <v>0</v>
      </c>
      <c r="GU167" s="196" t="n">
        <f aca="false">VLOOKUP($GS$1,'Datos Iniciales'!$E$34:$O$64,GU$158,FALSE())*GU69</f>
        <v>0</v>
      </c>
      <c r="GV167" s="196" t="n">
        <f aca="false">VLOOKUP($GS$1,'Datos Iniciales'!$E$34:$O$64,GV$158,FALSE())*GV69</f>
        <v>0</v>
      </c>
      <c r="GW167" s="196" t="n">
        <f aca="false">VLOOKUP($GS$1,'Datos Iniciales'!$E$34:$O$64,GW$158,FALSE())*GW69</f>
        <v>0</v>
      </c>
      <c r="GX167" s="196" t="n">
        <f aca="false">VLOOKUP($GS$1,'Datos Iniciales'!$E$34:$O$64,GX$158,FALSE())*GX69</f>
        <v>0</v>
      </c>
      <c r="GY167" s="196" t="n">
        <f aca="false">VLOOKUP($GS$1,'Datos Iniciales'!$E$34:$O$64,GY$158,FALSE())*GY69</f>
        <v>0</v>
      </c>
      <c r="GZ167" s="196" t="n">
        <f aca="false">VLOOKUP($GS$1,'Datos Iniciales'!$E$34:$O$64,GZ$158,FALSE())*GZ69</f>
        <v>0</v>
      </c>
      <c r="HA167" s="196" t="n">
        <f aca="false">VLOOKUP($GS$1,'Datos Iniciales'!$E$34:$O$64,HA$158,FALSE())*HA69</f>
        <v>0</v>
      </c>
      <c r="HB167" s="196" t="n">
        <f aca="false">VLOOKUP($GS$1,'Datos Iniciales'!$E$34:$O$64,HB$158,FALSE())*HB69</f>
        <v>0</v>
      </c>
      <c r="HC167" s="197" t="n">
        <f aca="false">VLOOKUP($GS$1,'Datos Iniciales'!$E$34:$O$64,HC$158,FALSE())*HC69</f>
        <v>0</v>
      </c>
      <c r="HD167" s="194" t="str">
        <f aca="false">GS167</f>
        <v>Alumno8</v>
      </c>
      <c r="HE167" s="208" t="n">
        <f aca="false">VLOOKUP($HD$1,'Datos Iniciales'!$E$34:$O$64,HE$158,FALSE())*HE69</f>
        <v>0</v>
      </c>
      <c r="HF167" s="196" t="n">
        <f aca="false">VLOOKUP($HD$1,'Datos Iniciales'!$E$34:$O$64,HF$158,FALSE())*HF69</f>
        <v>0</v>
      </c>
      <c r="HG167" s="196" t="n">
        <f aca="false">VLOOKUP($HD$1,'Datos Iniciales'!$E$34:$O$64,HG$158,FALSE())*HG69</f>
        <v>0</v>
      </c>
      <c r="HH167" s="196" t="n">
        <f aca="false">VLOOKUP($HD$1,'Datos Iniciales'!$E$34:$O$64,HH$158,FALSE())*HH69</f>
        <v>0</v>
      </c>
      <c r="HI167" s="196" t="n">
        <f aca="false">VLOOKUP($HD$1,'Datos Iniciales'!$E$34:$O$64,HI$158,FALSE())*HI69</f>
        <v>0</v>
      </c>
      <c r="HJ167" s="196" t="n">
        <f aca="false">VLOOKUP($HD$1,'Datos Iniciales'!$E$34:$O$64,HJ$158,FALSE())*HJ69</f>
        <v>0</v>
      </c>
      <c r="HK167" s="196" t="n">
        <f aca="false">VLOOKUP($HD$1,'Datos Iniciales'!$E$34:$O$64,HK$158,FALSE())*HK69</f>
        <v>0</v>
      </c>
      <c r="HL167" s="196" t="n">
        <f aca="false">VLOOKUP($HD$1,'Datos Iniciales'!$E$34:$O$64,HL$158,FALSE())*HL69</f>
        <v>0</v>
      </c>
      <c r="HM167" s="196" t="n">
        <f aca="false">VLOOKUP($HD$1,'Datos Iniciales'!$E$34:$O$64,HM$158,FALSE())*HM69</f>
        <v>0</v>
      </c>
      <c r="HN167" s="197" t="n">
        <f aca="false">VLOOKUP($HD$1,'Datos Iniciales'!$E$34:$O$64,HN$158,FALSE())*HN69</f>
        <v>0</v>
      </c>
      <c r="HO167" s="194" t="str">
        <f aca="false">HD167</f>
        <v>Alumno8</v>
      </c>
      <c r="HP167" s="208" t="n">
        <f aca="false">VLOOKUP($HO$1,'Datos Iniciales'!$E$34:$O$64,HP$158,FALSE())*HP69</f>
        <v>0</v>
      </c>
      <c r="HQ167" s="196" t="n">
        <f aca="false">VLOOKUP($HO$1,'Datos Iniciales'!$E$34:$O$64,HQ$158,FALSE())*HQ69</f>
        <v>0</v>
      </c>
      <c r="HR167" s="196" t="n">
        <f aca="false">VLOOKUP($HO$1,'Datos Iniciales'!$E$34:$O$64,HR$158,FALSE())*HR69</f>
        <v>0</v>
      </c>
      <c r="HS167" s="196" t="n">
        <f aca="false">VLOOKUP($HO$1,'Datos Iniciales'!$E$34:$O$64,HS$158,FALSE())*HS69</f>
        <v>0</v>
      </c>
      <c r="HT167" s="196" t="n">
        <f aca="false">VLOOKUP($HO$1,'Datos Iniciales'!$E$34:$O$64,HT$158,FALSE())*HT69</f>
        <v>0</v>
      </c>
      <c r="HU167" s="196" t="n">
        <f aca="false">VLOOKUP($HO$1,'Datos Iniciales'!$E$34:$O$64,HU$158,FALSE())*HU69</f>
        <v>0</v>
      </c>
      <c r="HV167" s="196" t="n">
        <f aca="false">VLOOKUP($HO$1,'Datos Iniciales'!$E$34:$O$64,HV$158,FALSE())*HV69</f>
        <v>0</v>
      </c>
      <c r="HW167" s="196" t="n">
        <f aca="false">VLOOKUP($HO$1,'Datos Iniciales'!$E$34:$O$64,HW$158,FALSE())*HW69</f>
        <v>0</v>
      </c>
      <c r="HX167" s="196" t="n">
        <f aca="false">VLOOKUP($HO$1,'Datos Iniciales'!$E$34:$O$64,HX$158,FALSE())*HX69</f>
        <v>0</v>
      </c>
      <c r="HY167" s="197" t="n">
        <f aca="false">VLOOKUP($HO$1,'Datos Iniciales'!$E$34:$O$64,HY$158,FALSE())*HY69</f>
        <v>0</v>
      </c>
      <c r="HZ167" s="194" t="str">
        <f aca="false">HO167</f>
        <v>Alumno8</v>
      </c>
      <c r="IA167" s="208" t="n">
        <f aca="false">VLOOKUP($HZ$1,'Datos Iniciales'!$E$34:$O$64,IA$158,FALSE())*IA69</f>
        <v>0</v>
      </c>
      <c r="IB167" s="196" t="n">
        <f aca="false">VLOOKUP($HZ$1,'Datos Iniciales'!$E$34:$O$64,IB$158,FALSE())*IB69</f>
        <v>0</v>
      </c>
      <c r="IC167" s="196" t="n">
        <f aca="false">VLOOKUP($HZ$1,'Datos Iniciales'!$E$34:$O$64,IC$158,FALSE())*IC69</f>
        <v>0</v>
      </c>
      <c r="ID167" s="196" t="n">
        <f aca="false">VLOOKUP($HZ$1,'Datos Iniciales'!$E$34:$O$64,ID$158,FALSE())*ID69</f>
        <v>0</v>
      </c>
      <c r="IE167" s="196" t="n">
        <f aca="false">VLOOKUP($HZ$1,'Datos Iniciales'!$E$34:$O$64,IE$158,FALSE())*IE69</f>
        <v>0</v>
      </c>
      <c r="IF167" s="196" t="n">
        <f aca="false">VLOOKUP($HZ$1,'Datos Iniciales'!$E$34:$O$64,IF$158,FALSE())*IF69</f>
        <v>0</v>
      </c>
      <c r="IG167" s="196" t="n">
        <f aca="false">VLOOKUP($HZ$1,'Datos Iniciales'!$E$34:$O$64,IG$158,FALSE())*IG69</f>
        <v>0</v>
      </c>
      <c r="IH167" s="196" t="n">
        <f aca="false">VLOOKUP($HZ$1,'Datos Iniciales'!$E$34:$O$64,IH$158,FALSE())*IH69</f>
        <v>0</v>
      </c>
      <c r="II167" s="196" t="n">
        <f aca="false">VLOOKUP($HZ$1,'Datos Iniciales'!$E$34:$O$64,II$158,FALSE())*II69</f>
        <v>0</v>
      </c>
      <c r="IJ167" s="197" t="n">
        <f aca="false">VLOOKUP($HZ$1,'Datos Iniciales'!$E$34:$O$64,IJ$158,FALSE())*IJ69</f>
        <v>0</v>
      </c>
      <c r="IK167" s="194" t="str">
        <f aca="false">HZ167</f>
        <v>Alumno8</v>
      </c>
      <c r="IL167" s="208" t="n">
        <f aca="false">VLOOKUP($IK$1,'Datos Iniciales'!$E$34:$O$64,IL$158,FALSE())*IL69</f>
        <v>0</v>
      </c>
      <c r="IM167" s="196" t="n">
        <f aca="false">VLOOKUP($IK$1,'Datos Iniciales'!$E$34:$O$64,IM$158,FALSE())*IM69</f>
        <v>0</v>
      </c>
      <c r="IN167" s="196" t="n">
        <f aca="false">VLOOKUP($IK$1,'Datos Iniciales'!$E$34:$O$64,IN$158,FALSE())*IN69</f>
        <v>0</v>
      </c>
      <c r="IO167" s="196" t="n">
        <f aca="false">VLOOKUP($IK$1,'Datos Iniciales'!$E$34:$O$64,IO$158,FALSE())*IO69</f>
        <v>0</v>
      </c>
      <c r="IP167" s="196" t="n">
        <f aca="false">VLOOKUP($IK$1,'Datos Iniciales'!$E$34:$O$64,IP$158,FALSE())*IP69</f>
        <v>0</v>
      </c>
      <c r="IQ167" s="196" t="n">
        <f aca="false">VLOOKUP($IK$1,'Datos Iniciales'!$E$34:$O$64,IQ$158,FALSE())*IQ69</f>
        <v>0</v>
      </c>
      <c r="IR167" s="196" t="n">
        <f aca="false">VLOOKUP($IK$1,'Datos Iniciales'!$E$34:$O$64,IR$158,FALSE())*IR69</f>
        <v>0</v>
      </c>
      <c r="IS167" s="196" t="n">
        <f aca="false">VLOOKUP($IK$1,'Datos Iniciales'!$E$34:$O$64,IS$158,FALSE())*IS69</f>
        <v>0</v>
      </c>
      <c r="IT167" s="196" t="n">
        <f aca="false">VLOOKUP($IK$1,'Datos Iniciales'!$E$34:$O$64,IT$158,FALSE())*IT69</f>
        <v>0</v>
      </c>
      <c r="IU167" s="197" t="n">
        <f aca="false">VLOOKUP($IK$1,'Datos Iniciales'!$E$34:$O$64,IU$158,FALSE())*IU69</f>
        <v>0</v>
      </c>
      <c r="IV167" s="194" t="str">
        <f aca="false">IK167</f>
        <v>Alumno8</v>
      </c>
      <c r="IW167" s="208" t="n">
        <f aca="false">VLOOKUP($IV$1,'Datos Iniciales'!$E$34:$O$64,IW$158,FALSE())*IW69</f>
        <v>0</v>
      </c>
      <c r="IX167" s="196" t="n">
        <f aca="false">VLOOKUP($IV$1,'Datos Iniciales'!$E$34:$O$64,IX$158,FALSE())*IX69</f>
        <v>0</v>
      </c>
      <c r="IY167" s="196" t="n">
        <f aca="false">VLOOKUP($IV$1,'Datos Iniciales'!$E$34:$O$64,IY$158,FALSE())*IY69</f>
        <v>0</v>
      </c>
      <c r="IZ167" s="196" t="n">
        <f aca="false">VLOOKUP($IV$1,'Datos Iniciales'!$E$34:$O$64,IZ$158,FALSE())*IZ69</f>
        <v>0</v>
      </c>
      <c r="JA167" s="196" t="n">
        <f aca="false">VLOOKUP($IV$1,'Datos Iniciales'!$E$34:$O$64,JA$158,FALSE())*JA69</f>
        <v>0</v>
      </c>
      <c r="JB167" s="196" t="n">
        <f aca="false">VLOOKUP($IV$1,'Datos Iniciales'!$E$34:$O$64,JB$158,FALSE())*JB69</f>
        <v>0</v>
      </c>
      <c r="JC167" s="196" t="n">
        <f aca="false">VLOOKUP($IV$1,'Datos Iniciales'!$E$34:$O$64,JC$158,FALSE())*JC69</f>
        <v>0</v>
      </c>
      <c r="JD167" s="196" t="n">
        <f aca="false">VLOOKUP($IV$1,'Datos Iniciales'!$E$34:$O$64,JD$158,FALSE())*JD69</f>
        <v>0</v>
      </c>
      <c r="JE167" s="196" t="n">
        <f aca="false">VLOOKUP($IV$1,'Datos Iniciales'!$E$34:$O$64,JE$158,FALSE())*JE69</f>
        <v>0</v>
      </c>
      <c r="JF167" s="197" t="n">
        <f aca="false">VLOOKUP($IV$1,'Datos Iniciales'!$E$34:$O$64,JF$158,FALSE())*JF69</f>
        <v>0</v>
      </c>
      <c r="JG167" s="194" t="str">
        <f aca="false">IV167</f>
        <v>Alumno8</v>
      </c>
      <c r="JH167" s="208" t="n">
        <f aca="false">VLOOKUP($JG$1,'Datos Iniciales'!$E$34:$O$64,JH$158,FALSE())*JH69</f>
        <v>0</v>
      </c>
      <c r="JI167" s="196" t="n">
        <f aca="false">VLOOKUP($JG$1,'Datos Iniciales'!$E$34:$O$64,JI$158,FALSE())*JI69</f>
        <v>0</v>
      </c>
      <c r="JJ167" s="196" t="n">
        <f aca="false">VLOOKUP($JG$1,'Datos Iniciales'!$E$34:$O$64,JJ$158,FALSE())*JJ69</f>
        <v>0</v>
      </c>
      <c r="JK167" s="196" t="n">
        <f aca="false">VLOOKUP($JG$1,'Datos Iniciales'!$E$34:$O$64,JK$158,FALSE())*JK69</f>
        <v>0</v>
      </c>
      <c r="JL167" s="196" t="n">
        <f aca="false">VLOOKUP($JG$1,'Datos Iniciales'!$E$34:$O$64,JL$158,FALSE())*JL69</f>
        <v>0</v>
      </c>
      <c r="JM167" s="196" t="n">
        <f aca="false">VLOOKUP($JG$1,'Datos Iniciales'!$E$34:$O$64,JM$158,FALSE())*JM69</f>
        <v>0</v>
      </c>
      <c r="JN167" s="196" t="n">
        <f aca="false">VLOOKUP($JG$1,'Datos Iniciales'!$E$34:$O$64,JN$158,FALSE())*JN69</f>
        <v>0</v>
      </c>
      <c r="JO167" s="196" t="n">
        <f aca="false">VLOOKUP($JG$1,'Datos Iniciales'!$E$34:$O$64,JO$158,FALSE())*JO69</f>
        <v>0</v>
      </c>
      <c r="JP167" s="196" t="n">
        <f aca="false">VLOOKUP($JG$1,'Datos Iniciales'!$E$34:$O$64,JP$158,FALSE())*JP69</f>
        <v>0</v>
      </c>
      <c r="JQ167" s="197" t="n">
        <f aca="false">VLOOKUP($JG$1,'Datos Iniciales'!$E$34:$O$64,JQ$158,FALSE())*JQ69</f>
        <v>0</v>
      </c>
      <c r="JR167" s="194" t="str">
        <f aca="false">JG167</f>
        <v>Alumno8</v>
      </c>
      <c r="JS167" s="208" t="n">
        <f aca="false">VLOOKUP($JR$1,'Datos Iniciales'!$E$34:$O$64,JS$158,FALSE())*JS69</f>
        <v>0</v>
      </c>
      <c r="JT167" s="196" t="n">
        <f aca="false">VLOOKUP($JR$1,'Datos Iniciales'!$E$34:$O$64,JT$158,FALSE())*JT69</f>
        <v>0</v>
      </c>
      <c r="JU167" s="196" t="n">
        <f aca="false">VLOOKUP($JR$1,'Datos Iniciales'!$E$34:$O$64,JU$158,FALSE())*JU69</f>
        <v>0</v>
      </c>
      <c r="JV167" s="196" t="n">
        <f aca="false">VLOOKUP($JR$1,'Datos Iniciales'!$E$34:$O$64,JV$158,FALSE())*JV69</f>
        <v>0</v>
      </c>
      <c r="JW167" s="196" t="n">
        <f aca="false">VLOOKUP($JR$1,'Datos Iniciales'!$E$34:$O$64,JW$158,FALSE())*JW69</f>
        <v>0</v>
      </c>
      <c r="JX167" s="196" t="n">
        <f aca="false">VLOOKUP($JR$1,'Datos Iniciales'!$E$34:$O$64,JX$158,FALSE())*JX69</f>
        <v>0</v>
      </c>
      <c r="JY167" s="196" t="n">
        <f aca="false">VLOOKUP($JR$1,'Datos Iniciales'!$E$34:$O$64,JY$158,FALSE())*JY69</f>
        <v>0</v>
      </c>
      <c r="JZ167" s="196" t="n">
        <f aca="false">VLOOKUP($JR$1,'Datos Iniciales'!$E$34:$O$64,JZ$158,FALSE())*JZ69</f>
        <v>0</v>
      </c>
      <c r="KA167" s="196" t="n">
        <f aca="false">VLOOKUP($JR$1,'Datos Iniciales'!$E$34:$O$64,KA$158,FALSE())*KA69</f>
        <v>0</v>
      </c>
      <c r="KB167" s="197" t="n">
        <f aca="false">VLOOKUP($JR$1,'Datos Iniciales'!$E$34:$O$64,KB$158,FALSE())*KB69</f>
        <v>0</v>
      </c>
      <c r="KC167" s="194" t="str">
        <f aca="false">JR167</f>
        <v>Alumno8</v>
      </c>
      <c r="KD167" s="208" t="n">
        <f aca="false">VLOOKUP($KC$1,'Datos Iniciales'!$E$34:$O$64,KD$158,FALSE())*KD69</f>
        <v>0</v>
      </c>
      <c r="KE167" s="196" t="n">
        <f aca="false">VLOOKUP($KC$1,'Datos Iniciales'!$E$34:$O$64,KE$158,FALSE())*KE69</f>
        <v>0</v>
      </c>
      <c r="KF167" s="196" t="n">
        <f aca="false">VLOOKUP($KC$1,'Datos Iniciales'!$E$34:$O$64,KF$158,FALSE())*KF69</f>
        <v>0</v>
      </c>
      <c r="KG167" s="196" t="n">
        <f aca="false">VLOOKUP($KC$1,'Datos Iniciales'!$E$34:$O$64,KG$158,FALSE())*KG69</f>
        <v>0</v>
      </c>
      <c r="KH167" s="196" t="n">
        <f aca="false">VLOOKUP($KC$1,'Datos Iniciales'!$E$34:$O$64,KH$158,FALSE())*KH69</f>
        <v>0</v>
      </c>
      <c r="KI167" s="196" t="n">
        <f aca="false">VLOOKUP($KC$1,'Datos Iniciales'!$E$34:$O$64,KI$158,FALSE())*KI69</f>
        <v>0</v>
      </c>
      <c r="KJ167" s="196" t="n">
        <f aca="false">VLOOKUP($KC$1,'Datos Iniciales'!$E$34:$O$64,KJ$158,FALSE())*KJ69</f>
        <v>0</v>
      </c>
      <c r="KK167" s="196" t="n">
        <f aca="false">VLOOKUP($KC$1,'Datos Iniciales'!$E$34:$O$64,KK$158,FALSE())*KK69</f>
        <v>0</v>
      </c>
      <c r="KL167" s="196" t="n">
        <f aca="false">VLOOKUP($KC$1,'Datos Iniciales'!$E$34:$O$64,KL$158,FALSE())*KL69</f>
        <v>0</v>
      </c>
      <c r="KM167" s="197" t="n">
        <f aca="false">VLOOKUP($KC$1,'Datos Iniciales'!$E$34:$O$64,KM$158,FALSE())*KM69</f>
        <v>0</v>
      </c>
      <c r="KN167" s="194" t="str">
        <f aca="false">KC167</f>
        <v>Alumno8</v>
      </c>
      <c r="KO167" s="208" t="n">
        <f aca="false">VLOOKUP($KN$1,'Datos Iniciales'!$E$34:$O$64,KO$158,FALSE())*KO69</f>
        <v>0</v>
      </c>
      <c r="KP167" s="196" t="n">
        <f aca="false">VLOOKUP($KN$1,'Datos Iniciales'!$E$34:$O$64,KP$158,FALSE())*KP69</f>
        <v>0</v>
      </c>
      <c r="KQ167" s="196" t="n">
        <f aca="false">VLOOKUP($KN$1,'Datos Iniciales'!$E$34:$O$64,KQ$158,FALSE())*KQ69</f>
        <v>0</v>
      </c>
      <c r="KR167" s="196" t="n">
        <f aca="false">VLOOKUP($KN$1,'Datos Iniciales'!$E$34:$O$64,KR$158,FALSE())*KR69</f>
        <v>0</v>
      </c>
      <c r="KS167" s="196" t="n">
        <f aca="false">VLOOKUP($KN$1,'Datos Iniciales'!$E$34:$O$64,KS$158,FALSE())*KS69</f>
        <v>0</v>
      </c>
      <c r="KT167" s="196" t="n">
        <f aca="false">VLOOKUP($KN$1,'Datos Iniciales'!$E$34:$O$64,KT$158,FALSE())*KT69</f>
        <v>0</v>
      </c>
      <c r="KU167" s="196" t="n">
        <f aca="false">VLOOKUP($KN$1,'Datos Iniciales'!$E$34:$O$64,KU$158,FALSE())*KU69</f>
        <v>0</v>
      </c>
      <c r="KV167" s="196" t="n">
        <f aca="false">VLOOKUP($KN$1,'Datos Iniciales'!$E$34:$O$64,KV$158,FALSE())*KV69</f>
        <v>0</v>
      </c>
      <c r="KW167" s="196" t="n">
        <f aca="false">VLOOKUP($KN$1,'Datos Iniciales'!$E$34:$O$64,KW$158,FALSE())*KW69</f>
        <v>0</v>
      </c>
      <c r="KX167" s="197" t="n">
        <f aca="false">VLOOKUP($KN$1,'Datos Iniciales'!$E$34:$O$64,KX$158,FALSE())*KX69</f>
        <v>0</v>
      </c>
      <c r="KY167" s="194" t="str">
        <f aca="false">KN167</f>
        <v>Alumno8</v>
      </c>
      <c r="KZ167" s="208" t="n">
        <f aca="false">VLOOKUP($KY$1,'Datos Iniciales'!$E$34:$O$64,KZ$158,FALSE())*KZ69</f>
        <v>0</v>
      </c>
      <c r="LA167" s="196" t="n">
        <f aca="false">VLOOKUP($KY$1,'Datos Iniciales'!$E$34:$O$64,LA$158,FALSE())*LA69</f>
        <v>0</v>
      </c>
      <c r="LB167" s="196" t="n">
        <f aca="false">VLOOKUP($KY$1,'Datos Iniciales'!$E$34:$O$64,LB$158,FALSE())*LB69</f>
        <v>0</v>
      </c>
      <c r="LC167" s="196" t="n">
        <f aca="false">VLOOKUP($KY$1,'Datos Iniciales'!$E$34:$O$64,LC$158,FALSE())*LC69</f>
        <v>0</v>
      </c>
      <c r="LD167" s="196" t="n">
        <f aca="false">VLOOKUP($KY$1,'Datos Iniciales'!$E$34:$O$64,LD$158,FALSE())*LD69</f>
        <v>0</v>
      </c>
      <c r="LE167" s="196" t="n">
        <f aca="false">VLOOKUP($KY$1,'Datos Iniciales'!$E$34:$O$64,LE$158,FALSE())*LE69</f>
        <v>0</v>
      </c>
      <c r="LF167" s="196" t="n">
        <f aca="false">VLOOKUP($KY$1,'Datos Iniciales'!$E$34:$O$64,LF$158,FALSE())*LF69</f>
        <v>0</v>
      </c>
      <c r="LG167" s="196" t="n">
        <f aca="false">VLOOKUP($KY$1,'Datos Iniciales'!$E$34:$O$64,LG$158,FALSE())*LG69</f>
        <v>0</v>
      </c>
      <c r="LH167" s="196" t="n">
        <f aca="false">VLOOKUP($KY$1,'Datos Iniciales'!$E$34:$O$64,LH$158,FALSE())*LH69</f>
        <v>0</v>
      </c>
      <c r="LI167" s="197" t="n">
        <f aca="false">VLOOKUP($KY$1,'Datos Iniciales'!$E$34:$O$64,LI$158,FALSE())*LI69</f>
        <v>0</v>
      </c>
      <c r="LJ167" s="194" t="str">
        <f aca="false">KY167</f>
        <v>Alumno8</v>
      </c>
      <c r="LK167" s="208" t="n">
        <f aca="false">VLOOKUP($LJ$1,'Datos Iniciales'!$E$34:$O$64,LK$158,FALSE())*LK69</f>
        <v>0</v>
      </c>
      <c r="LL167" s="196" t="n">
        <f aca="false">VLOOKUP($LJ$1,'Datos Iniciales'!$E$34:$O$64,LL$158,FALSE())*LL69</f>
        <v>0</v>
      </c>
      <c r="LM167" s="196" t="n">
        <f aca="false">VLOOKUP($LJ$1,'Datos Iniciales'!$E$34:$O$64,LM$158,FALSE())*LM69</f>
        <v>0</v>
      </c>
      <c r="LN167" s="196" t="n">
        <f aca="false">VLOOKUP($LJ$1,'Datos Iniciales'!$E$34:$O$64,LN$158,FALSE())*LN69</f>
        <v>0</v>
      </c>
      <c r="LO167" s="196" t="n">
        <f aca="false">VLOOKUP($LJ$1,'Datos Iniciales'!$E$34:$O$64,LO$158,FALSE())*LO69</f>
        <v>0</v>
      </c>
      <c r="LP167" s="196" t="n">
        <f aca="false">VLOOKUP($LJ$1,'Datos Iniciales'!$E$34:$O$64,LP$158,FALSE())*LP69</f>
        <v>0</v>
      </c>
      <c r="LQ167" s="196" t="n">
        <f aca="false">VLOOKUP($LJ$1,'Datos Iniciales'!$E$34:$O$64,LQ$158,FALSE())*LQ69</f>
        <v>0</v>
      </c>
      <c r="LR167" s="196" t="n">
        <f aca="false">VLOOKUP($LJ$1,'Datos Iniciales'!$E$34:$O$64,LR$158,FALSE())*LR69</f>
        <v>0</v>
      </c>
      <c r="LS167" s="196" t="n">
        <f aca="false">VLOOKUP($LJ$1,'Datos Iniciales'!$E$34:$O$64,LS$158,FALSE())*LS69</f>
        <v>0</v>
      </c>
      <c r="LT167" s="197" t="n">
        <f aca="false">VLOOKUP($LJ$1,'Datos Iniciales'!$E$34:$O$64,LT$158,FALSE())*LT69</f>
        <v>0</v>
      </c>
    </row>
    <row r="168" customFormat="false" ht="15" hidden="true" customHeight="false" outlineLevel="0" collapsed="false">
      <c r="C168" s="194" t="str">
        <f aca="false">C119</f>
        <v>Alumno9</v>
      </c>
      <c r="D168" s="208" t="n">
        <f aca="false">VLOOKUP($C$1,'Datos Iniciales'!$E$34:$O$64,D$158,FALSE())*D70</f>
        <v>1.6</v>
      </c>
      <c r="E168" s="196" t="n">
        <f aca="false">VLOOKUP($C$1,'Datos Iniciales'!$E$34:$O$64,E$158,FALSE())*E70</f>
        <v>0</v>
      </c>
      <c r="F168" s="196" t="n">
        <f aca="false">VLOOKUP($C$1,'Datos Iniciales'!$E$34:$O$64,F$158,FALSE())*F70</f>
        <v>0</v>
      </c>
      <c r="G168" s="196" t="n">
        <f aca="false">VLOOKUP($C$1,'Datos Iniciales'!$E$34:$O$64,G$158,FALSE())*G70</f>
        <v>0</v>
      </c>
      <c r="H168" s="196" t="n">
        <f aca="false">VLOOKUP($C$1,'Datos Iniciales'!$E$34:$O$64,H$158,FALSE())*H70</f>
        <v>0</v>
      </c>
      <c r="I168" s="196" t="n">
        <f aca="false">VLOOKUP($C$1,'Datos Iniciales'!$E$34:$O$64,I$158,FALSE())*I70</f>
        <v>0</v>
      </c>
      <c r="J168" s="196" t="n">
        <f aca="false">VLOOKUP($C$1,'Datos Iniciales'!$E$34:$O$64,J$158,FALSE())*J70</f>
        <v>0</v>
      </c>
      <c r="K168" s="196" t="n">
        <f aca="false">VLOOKUP($C$1,'Datos Iniciales'!$E$34:$O$64,K$158,FALSE())*K70</f>
        <v>0</v>
      </c>
      <c r="L168" s="196" t="n">
        <f aca="false">VLOOKUP($C$1,'Datos Iniciales'!$E$34:$O$64,L$158,FALSE())*L70</f>
        <v>0</v>
      </c>
      <c r="M168" s="197" t="n">
        <f aca="false">VLOOKUP($C$1,'Datos Iniciales'!$E$34:$O$64,M$158,FALSE())*M70</f>
        <v>0</v>
      </c>
      <c r="N168" s="194" t="str">
        <f aca="false">C168</f>
        <v>Alumno9</v>
      </c>
      <c r="O168" s="208" t="n">
        <f aca="false">VLOOKUP($N$1,'Datos Iniciales'!$E$34:$O$64,O$158,FALSE())*O70</f>
        <v>1</v>
      </c>
      <c r="P168" s="196" t="n">
        <f aca="false">VLOOKUP($N$1,'Datos Iniciales'!$E$34:$O$64,P$158,FALSE())*P70</f>
        <v>0.6</v>
      </c>
      <c r="Q168" s="196" t="n">
        <f aca="false">VLOOKUP($N$1,'Datos Iniciales'!$E$34:$O$64,Q$158,FALSE())*Q70</f>
        <v>0</v>
      </c>
      <c r="R168" s="196" t="n">
        <f aca="false">VLOOKUP($N$1,'Datos Iniciales'!$E$34:$O$64,R$158,FALSE())*R70</f>
        <v>0</v>
      </c>
      <c r="S168" s="196" t="n">
        <f aca="false">VLOOKUP($N$1,'Datos Iniciales'!$E$34:$O$64,S$158,FALSE())*S70</f>
        <v>0</v>
      </c>
      <c r="T168" s="196" t="n">
        <f aca="false">VLOOKUP($N$1,'Datos Iniciales'!$E$34:$O$64,T$158,FALSE())*T70</f>
        <v>0</v>
      </c>
      <c r="U168" s="196" t="n">
        <f aca="false">VLOOKUP($N$1,'Datos Iniciales'!$E$34:$O$64,U$158,FALSE())*U70</f>
        <v>0</v>
      </c>
      <c r="V168" s="196" t="n">
        <f aca="false">VLOOKUP($N$1,'Datos Iniciales'!$E$34:$O$64,V$158,FALSE())*V70</f>
        <v>0</v>
      </c>
      <c r="W168" s="196" t="n">
        <f aca="false">VLOOKUP($N$1,'Datos Iniciales'!$E$34:$O$64,W$158,FALSE())*W70</f>
        <v>0</v>
      </c>
      <c r="X168" s="197" t="n">
        <f aca="false">VLOOKUP($N$1,'Datos Iniciales'!$E$34:$O$64,X$158,FALSE())*X70</f>
        <v>0</v>
      </c>
      <c r="Y168" s="194" t="str">
        <f aca="false">N168</f>
        <v>Alumno9</v>
      </c>
      <c r="Z168" s="208" t="n">
        <f aca="false">VLOOKUP($Y$1,'Datos Iniciales'!$E$34:$O$64,Z$158,FALSE())*Z70</f>
        <v>1.65</v>
      </c>
      <c r="AA168" s="196" t="n">
        <f aca="false">VLOOKUP($Y$1,'Datos Iniciales'!$E$34:$O$64,AA$158,FALSE())*AA70</f>
        <v>0.7</v>
      </c>
      <c r="AB168" s="196" t="n">
        <f aca="false">VLOOKUP($Y$1,'Datos Iniciales'!$E$34:$O$64,AB$158,FALSE())*AB70</f>
        <v>0.5</v>
      </c>
      <c r="AC168" s="196" t="n">
        <f aca="false">VLOOKUP($Y$1,'Datos Iniciales'!$E$34:$O$64,AC$158,FALSE())*AC70</f>
        <v>0</v>
      </c>
      <c r="AD168" s="196" t="n">
        <f aca="false">VLOOKUP($Y$1,'Datos Iniciales'!$E$34:$O$64,AD$158,FALSE())*AD70</f>
        <v>0</v>
      </c>
      <c r="AE168" s="196" t="n">
        <f aca="false">VLOOKUP($Y$1,'Datos Iniciales'!$E$34:$O$64,AE$158,FALSE())*AE70</f>
        <v>0</v>
      </c>
      <c r="AF168" s="196" t="n">
        <f aca="false">VLOOKUP($Y$1,'Datos Iniciales'!$E$34:$O$64,AF$158,FALSE())*AF70</f>
        <v>0</v>
      </c>
      <c r="AG168" s="196" t="n">
        <f aca="false">VLOOKUP($Y$1,'Datos Iniciales'!$E$34:$O$64,AG$158,FALSE())*AG70</f>
        <v>0</v>
      </c>
      <c r="AH168" s="196" t="n">
        <f aca="false">VLOOKUP($Y$1,'Datos Iniciales'!$E$34:$O$64,AH$158,FALSE())*AH70</f>
        <v>0</v>
      </c>
      <c r="AI168" s="197" t="n">
        <f aca="false">VLOOKUP($Y$1,'Datos Iniciales'!$E$34:$O$64,AI$158,FALSE())*AI70</f>
        <v>0</v>
      </c>
      <c r="AJ168" s="194" t="str">
        <f aca="false">Y168</f>
        <v>Alumno9</v>
      </c>
      <c r="AK168" s="208" t="n">
        <f aca="false">VLOOKUP($AJ$1,'Datos Iniciales'!$E$34:$O$64,AK$158,FALSE())*AK70</f>
        <v>0.5</v>
      </c>
      <c r="AL168" s="196" t="n">
        <f aca="false">VLOOKUP($AJ$1,'Datos Iniciales'!$E$34:$O$64,AL$158,FALSE())*AL70</f>
        <v>1.65</v>
      </c>
      <c r="AM168" s="196" t="n">
        <f aca="false">VLOOKUP($AJ$1,'Datos Iniciales'!$E$34:$O$64,AM$158,FALSE())*AM70</f>
        <v>1.225</v>
      </c>
      <c r="AN168" s="196" t="n">
        <f aca="false">VLOOKUP($AJ$1,'Datos Iniciales'!$E$34:$O$64,AN$158,FALSE())*AN70</f>
        <v>0</v>
      </c>
      <c r="AO168" s="196" t="n">
        <f aca="false">VLOOKUP($AJ$1,'Datos Iniciales'!$E$34:$O$64,AO$158,FALSE())*AO70</f>
        <v>0</v>
      </c>
      <c r="AP168" s="196" t="n">
        <f aca="false">VLOOKUP($AJ$1,'Datos Iniciales'!$E$34:$O$64,AP$158,FALSE())*AP70</f>
        <v>0</v>
      </c>
      <c r="AQ168" s="196" t="n">
        <f aca="false">VLOOKUP($AJ$1,'Datos Iniciales'!$E$34:$O$64,AQ$158,FALSE())*AQ70</f>
        <v>0</v>
      </c>
      <c r="AR168" s="196" t="n">
        <f aca="false">VLOOKUP($AJ$1,'Datos Iniciales'!$E$34:$O$64,AR$158,FALSE())*AR70</f>
        <v>0</v>
      </c>
      <c r="AS168" s="196" t="n">
        <f aca="false">VLOOKUP($AJ$1,'Datos Iniciales'!$E$34:$O$64,AS$158,FALSE())*AS70</f>
        <v>0</v>
      </c>
      <c r="AT168" s="197" t="n">
        <f aca="false">VLOOKUP($AJ$1,'Datos Iniciales'!$E$34:$O$64,AT$158,FALSE())*AT70</f>
        <v>0</v>
      </c>
      <c r="AU168" s="194" t="str">
        <f aca="false">AJ168</f>
        <v>Alumno9</v>
      </c>
      <c r="AV168" s="208" t="n">
        <f aca="false">VLOOKUP($AU$1,'Datos Iniciales'!$E$34:$O$64,AV$158,FALSE())*AV70</f>
        <v>0.3</v>
      </c>
      <c r="AW168" s="196" t="n">
        <f aca="false">VLOOKUP($AU$1,'Datos Iniciales'!$E$34:$O$64,AW$158,FALSE())*AW70</f>
        <v>0.7</v>
      </c>
      <c r="AX168" s="196" t="n">
        <f aca="false">VLOOKUP($AU$1,'Datos Iniciales'!$E$34:$O$64,AX$158,FALSE())*AX70</f>
        <v>2.58</v>
      </c>
      <c r="AY168" s="196" t="n">
        <f aca="false">VLOOKUP($AU$1,'Datos Iniciales'!$E$34:$O$64,AY$158,FALSE())*AY70</f>
        <v>0.5</v>
      </c>
      <c r="AZ168" s="196" t="n">
        <f aca="false">VLOOKUP($AU$1,'Datos Iniciales'!$E$34:$O$64,AZ$158,FALSE())*AZ70</f>
        <v>0</v>
      </c>
      <c r="BA168" s="196" t="n">
        <f aca="false">VLOOKUP($AU$1,'Datos Iniciales'!$E$34:$O$64,BA$158,FALSE())*BA70</f>
        <v>0</v>
      </c>
      <c r="BB168" s="196" t="n">
        <f aca="false">VLOOKUP($AU$1,'Datos Iniciales'!$E$34:$O$64,BB$158,FALSE())*BB70</f>
        <v>0</v>
      </c>
      <c r="BC168" s="196" t="n">
        <f aca="false">VLOOKUP($AU$1,'Datos Iniciales'!$E$34:$O$64,BC$158,FALSE())*BC70</f>
        <v>0</v>
      </c>
      <c r="BD168" s="196" t="n">
        <f aca="false">VLOOKUP($AU$1,'Datos Iniciales'!$E$34:$O$64,BD$158,FALSE())*BD70</f>
        <v>0</v>
      </c>
      <c r="BE168" s="197" t="n">
        <f aca="false">VLOOKUP($AU$1,'Datos Iniciales'!$E$34:$O$64,BE$158,FALSE())*BE70</f>
        <v>0</v>
      </c>
      <c r="BF168" s="194" t="str">
        <f aca="false">AU168</f>
        <v>Alumno9</v>
      </c>
      <c r="BG168" s="208" t="n">
        <f aca="false">VLOOKUP($BF$1,'Datos Iniciales'!$E$34:$O$64,BG$158,FALSE())*BG70</f>
        <v>0.6</v>
      </c>
      <c r="BH168" s="196" t="n">
        <f aca="false">VLOOKUP($BF$1,'Datos Iniciales'!$E$34:$O$64,BH$158,FALSE())*BH70</f>
        <v>1.05</v>
      </c>
      <c r="BI168" s="196" t="n">
        <f aca="false">VLOOKUP($BF$1,'Datos Iniciales'!$E$34:$O$64,BI$158,FALSE())*BI70</f>
        <v>0.8</v>
      </c>
      <c r="BJ168" s="196" t="n">
        <f aca="false">VLOOKUP($BF$1,'Datos Iniciales'!$E$34:$O$64,BJ$158,FALSE())*BJ70</f>
        <v>2.64</v>
      </c>
      <c r="BK168" s="196" t="n">
        <f aca="false">VLOOKUP($BF$1,'Datos Iniciales'!$E$34:$O$64,BK$158,FALSE())*BK70</f>
        <v>0</v>
      </c>
      <c r="BL168" s="196" t="n">
        <f aca="false">VLOOKUP($BF$1,'Datos Iniciales'!$E$34:$O$64,BL$158,FALSE())*BL70</f>
        <v>0</v>
      </c>
      <c r="BM168" s="196" t="n">
        <f aca="false">VLOOKUP($BF$1,'Datos Iniciales'!$E$34:$O$64,BM$158,FALSE())*BM70</f>
        <v>0</v>
      </c>
      <c r="BN168" s="196" t="n">
        <f aca="false">VLOOKUP($BF$1,'Datos Iniciales'!$E$34:$O$64,BN$158,FALSE())*BN70</f>
        <v>0</v>
      </c>
      <c r="BO168" s="196" t="n">
        <f aca="false">VLOOKUP($BF$1,'Datos Iniciales'!$E$34:$O$64,BO$158,FALSE())*BO70</f>
        <v>0</v>
      </c>
      <c r="BP168" s="197" t="n">
        <f aca="false">VLOOKUP($BF$1,'Datos Iniciales'!$E$34:$O$64,BP$158,FALSE())*BP70</f>
        <v>0</v>
      </c>
      <c r="BQ168" s="194" t="str">
        <f aca="false">BF168</f>
        <v>Alumno9</v>
      </c>
      <c r="BR168" s="208" t="n">
        <f aca="false">VLOOKUP($BQ$1,'Datos Iniciales'!$E$34:$O$64,BR$158,FALSE())*BR70</f>
        <v>0</v>
      </c>
      <c r="BS168" s="196" t="n">
        <f aca="false">VLOOKUP($BQ$1,'Datos Iniciales'!$E$34:$O$64,BS$158,FALSE())*BS70</f>
        <v>0.25</v>
      </c>
      <c r="BT168" s="196" t="n">
        <f aca="false">VLOOKUP($BQ$1,'Datos Iniciales'!$E$34:$O$64,BT$158,FALSE())*BT70</f>
        <v>0.75</v>
      </c>
      <c r="BU168" s="196" t="n">
        <f aca="false">VLOOKUP($BQ$1,'Datos Iniciales'!$E$34:$O$64,BU$158,FALSE())*BU70</f>
        <v>2.5</v>
      </c>
      <c r="BV168" s="196" t="n">
        <f aca="false">VLOOKUP($BQ$1,'Datos Iniciales'!$E$34:$O$64,BV$158,FALSE())*BV70</f>
        <v>0</v>
      </c>
      <c r="BW168" s="196" t="n">
        <f aca="false">VLOOKUP($BQ$1,'Datos Iniciales'!$E$34:$O$64,BW$158,FALSE())*BW70</f>
        <v>0</v>
      </c>
      <c r="BX168" s="196" t="n">
        <f aca="false">VLOOKUP($BQ$1,'Datos Iniciales'!$E$34:$O$64,BX$158,FALSE())*BX70</f>
        <v>0</v>
      </c>
      <c r="BY168" s="196" t="n">
        <f aca="false">VLOOKUP($BQ$1,'Datos Iniciales'!$E$34:$O$64,BY$158,FALSE())*BY70</f>
        <v>0</v>
      </c>
      <c r="BZ168" s="196" t="n">
        <f aca="false">VLOOKUP($BQ$1,'Datos Iniciales'!$E$34:$O$64,BZ$158,FALSE())*BZ70</f>
        <v>0</v>
      </c>
      <c r="CA168" s="197" t="n">
        <f aca="false">VLOOKUP($BQ$1,'Datos Iniciales'!$E$34:$O$64,CA$158,FALSE())*CA70</f>
        <v>0</v>
      </c>
      <c r="CB168" s="194" t="str">
        <f aca="false">BQ168</f>
        <v>Alumno9</v>
      </c>
      <c r="CC168" s="208" t="n">
        <f aca="false">VLOOKUP($CB$1,'Datos Iniciales'!$E$34:$O$64,CC$158,FALSE())*CC70</f>
        <v>0</v>
      </c>
      <c r="CD168" s="196" t="n">
        <f aca="false">VLOOKUP($CB$1,'Datos Iniciales'!$E$34:$O$64,CD$158,FALSE())*CD70</f>
        <v>0</v>
      </c>
      <c r="CE168" s="196" t="n">
        <f aca="false">VLOOKUP($CB$1,'Datos Iniciales'!$E$34:$O$64,CE$158,FALSE())*CE70</f>
        <v>0</v>
      </c>
      <c r="CF168" s="196" t="n">
        <f aca="false">VLOOKUP($CB$1,'Datos Iniciales'!$E$34:$O$64,CF$158,FALSE())*CF70</f>
        <v>0</v>
      </c>
      <c r="CG168" s="196" t="n">
        <f aca="false">VLOOKUP($CB$1,'Datos Iniciales'!$E$34:$O$64,CG$158,FALSE())*CG70</f>
        <v>0</v>
      </c>
      <c r="CH168" s="196" t="n">
        <f aca="false">VLOOKUP($CB$1,'Datos Iniciales'!$E$34:$O$64,CH$158,FALSE())*CH70</f>
        <v>0</v>
      </c>
      <c r="CI168" s="196" t="n">
        <f aca="false">VLOOKUP($CB$1,'Datos Iniciales'!$E$34:$O$64,CI$158,FALSE())*CI70</f>
        <v>0</v>
      </c>
      <c r="CJ168" s="196" t="n">
        <f aca="false">VLOOKUP($CB$1,'Datos Iniciales'!$E$34:$O$64,CJ$158,FALSE())*CJ70</f>
        <v>0</v>
      </c>
      <c r="CK168" s="196" t="n">
        <f aca="false">VLOOKUP($CB$1,'Datos Iniciales'!$E$34:$O$64,CK$158,FALSE())*CK70</f>
        <v>0</v>
      </c>
      <c r="CL168" s="197" t="n">
        <f aca="false">VLOOKUP($CB$1,'Datos Iniciales'!$E$34:$O$64,CL$158,FALSE())*CL70</f>
        <v>0</v>
      </c>
      <c r="CM168" s="194" t="str">
        <f aca="false">CB168</f>
        <v>Alumno9</v>
      </c>
      <c r="CN168" s="208" t="n">
        <f aca="false">VLOOKUP($CM$1,'Datos Iniciales'!$E$34:$O$64,CN$158,FALSE())*CN70</f>
        <v>0</v>
      </c>
      <c r="CO168" s="196" t="n">
        <f aca="false">VLOOKUP($CM$1,'Datos Iniciales'!$E$34:$O$64,CO$158,FALSE())*CO70</f>
        <v>0</v>
      </c>
      <c r="CP168" s="196" t="n">
        <f aca="false">VLOOKUP($CM$1,'Datos Iniciales'!$E$34:$O$64,CP$158,FALSE())*CP70</f>
        <v>0</v>
      </c>
      <c r="CQ168" s="196" t="n">
        <f aca="false">VLOOKUP($CM$1,'Datos Iniciales'!$E$34:$O$64,CQ$158,FALSE())*CQ70</f>
        <v>0</v>
      </c>
      <c r="CR168" s="196" t="n">
        <f aca="false">VLOOKUP($CM$1,'Datos Iniciales'!$E$34:$O$64,CR$158,FALSE())*CR70</f>
        <v>0</v>
      </c>
      <c r="CS168" s="196" t="n">
        <f aca="false">VLOOKUP($CM$1,'Datos Iniciales'!$E$34:$O$64,CS$158,FALSE())*CS70</f>
        <v>0</v>
      </c>
      <c r="CT168" s="196" t="n">
        <f aca="false">VLOOKUP($CM$1,'Datos Iniciales'!$E$34:$O$64,CT$158,FALSE())*CT70</f>
        <v>0</v>
      </c>
      <c r="CU168" s="196" t="n">
        <f aca="false">VLOOKUP($CM$1,'Datos Iniciales'!$E$34:$O$64,CU$158,FALSE())*CU70</f>
        <v>0</v>
      </c>
      <c r="CV168" s="196" t="n">
        <f aca="false">VLOOKUP($CM$1,'Datos Iniciales'!$E$34:$O$64,CV$158,FALSE())*CV70</f>
        <v>0</v>
      </c>
      <c r="CW168" s="197" t="n">
        <f aca="false">VLOOKUP($CM$1,'Datos Iniciales'!$E$34:$O$64,CW$158,FALSE())*CW70</f>
        <v>0</v>
      </c>
      <c r="CX168" s="194" t="str">
        <f aca="false">CM168</f>
        <v>Alumno9</v>
      </c>
      <c r="CY168" s="208" t="n">
        <f aca="false">VLOOKUP($CX$1,'Datos Iniciales'!$E$34:$O$64,CY$158,FALSE())*CY70</f>
        <v>0</v>
      </c>
      <c r="CZ168" s="196" t="n">
        <f aca="false">VLOOKUP($CX$1,'Datos Iniciales'!$E$34:$O$64,CZ$158,FALSE())*CZ70</f>
        <v>0</v>
      </c>
      <c r="DA168" s="196" t="n">
        <f aca="false">VLOOKUP($CX$1,'Datos Iniciales'!$E$34:$O$64,DA$158,FALSE())*DA70</f>
        <v>0</v>
      </c>
      <c r="DB168" s="196" t="n">
        <f aca="false">VLOOKUP($CX$1,'Datos Iniciales'!$E$34:$O$64,DB$158,FALSE())*DB70</f>
        <v>0</v>
      </c>
      <c r="DC168" s="196" t="n">
        <f aca="false">VLOOKUP($CX$1,'Datos Iniciales'!$E$34:$O$64,DC$158,FALSE())*DC70</f>
        <v>0</v>
      </c>
      <c r="DD168" s="196" t="n">
        <f aca="false">VLOOKUP($CX$1,'Datos Iniciales'!$E$34:$O$64,DD$158,FALSE())*DD70</f>
        <v>0</v>
      </c>
      <c r="DE168" s="196" t="n">
        <f aca="false">VLOOKUP($CX$1,'Datos Iniciales'!$E$34:$O$64,DE$158,FALSE())*DE70</f>
        <v>0</v>
      </c>
      <c r="DF168" s="196" t="n">
        <f aca="false">VLOOKUP($CX$1,'Datos Iniciales'!$E$34:$O$64,DF$158,FALSE())*DF70</f>
        <v>0</v>
      </c>
      <c r="DG168" s="196" t="n">
        <f aca="false">VLOOKUP($CX$1,'Datos Iniciales'!$E$34:$O$64,DG$158,FALSE())*DG70</f>
        <v>0</v>
      </c>
      <c r="DH168" s="197" t="n">
        <f aca="false">VLOOKUP($CX$1,'Datos Iniciales'!$E$34:$O$64,DH$158,FALSE())*DH70</f>
        <v>0</v>
      </c>
      <c r="DI168" s="194" t="str">
        <f aca="false">CX168</f>
        <v>Alumno9</v>
      </c>
      <c r="DJ168" s="208" t="n">
        <f aca="false">VLOOKUP($DI$1,'Datos Iniciales'!$E$34:$O$64,DJ$158,FALSE())*DJ70</f>
        <v>0</v>
      </c>
      <c r="DK168" s="196" t="n">
        <f aca="false">VLOOKUP($DI$1,'Datos Iniciales'!$E$34:$O$64,DK$158,FALSE())*DK70</f>
        <v>0</v>
      </c>
      <c r="DL168" s="196" t="n">
        <f aca="false">VLOOKUP($DI$1,'Datos Iniciales'!$E$34:$O$64,DL$158,FALSE())*DL70</f>
        <v>0</v>
      </c>
      <c r="DM168" s="196" t="n">
        <f aca="false">VLOOKUP($DI$1,'Datos Iniciales'!$E$34:$O$64,DM$158,FALSE())*DM70</f>
        <v>0</v>
      </c>
      <c r="DN168" s="196" t="n">
        <f aca="false">VLOOKUP($DI$1,'Datos Iniciales'!$E$34:$O$64,DN$158,FALSE())*DN70</f>
        <v>0</v>
      </c>
      <c r="DO168" s="196" t="n">
        <f aca="false">VLOOKUP($DI$1,'Datos Iniciales'!$E$34:$O$64,DO$158,FALSE())*DO70</f>
        <v>0</v>
      </c>
      <c r="DP168" s="196" t="n">
        <f aca="false">VLOOKUP($DI$1,'Datos Iniciales'!$E$34:$O$64,DP$158,FALSE())*DP70</f>
        <v>0</v>
      </c>
      <c r="DQ168" s="196" t="n">
        <f aca="false">VLOOKUP($DI$1,'Datos Iniciales'!$E$34:$O$64,DQ$158,FALSE())*DQ70</f>
        <v>0</v>
      </c>
      <c r="DR168" s="196" t="n">
        <f aca="false">VLOOKUP($DI$1,'Datos Iniciales'!$E$34:$O$64,DR$158,FALSE())*DR70</f>
        <v>0</v>
      </c>
      <c r="DS168" s="197" t="n">
        <f aca="false">VLOOKUP($DI$1,'Datos Iniciales'!$E$34:$O$64,DS$158,FALSE())*DS70</f>
        <v>0</v>
      </c>
      <c r="DT168" s="194" t="str">
        <f aca="false">DI168</f>
        <v>Alumno9</v>
      </c>
      <c r="DU168" s="208" t="n">
        <f aca="false">VLOOKUP($DT$1,'Datos Iniciales'!$E$34:$O$64,DU$158,FALSE())*DU70</f>
        <v>0</v>
      </c>
      <c r="DV168" s="196" t="n">
        <f aca="false">VLOOKUP($DT$1,'Datos Iniciales'!$E$34:$O$64,DV$158,FALSE())*DV70</f>
        <v>0</v>
      </c>
      <c r="DW168" s="196" t="n">
        <f aca="false">VLOOKUP($DT$1,'Datos Iniciales'!$E$34:$O$64,DW$158,FALSE())*DW70</f>
        <v>0</v>
      </c>
      <c r="DX168" s="196" t="n">
        <f aca="false">VLOOKUP($DT$1,'Datos Iniciales'!$E$34:$O$64,DX$158,FALSE())*DX70</f>
        <v>0</v>
      </c>
      <c r="DY168" s="196" t="n">
        <f aca="false">VLOOKUP($DT$1,'Datos Iniciales'!$E$34:$O$64,DY$158,FALSE())*DY70</f>
        <v>0</v>
      </c>
      <c r="DZ168" s="196" t="n">
        <f aca="false">VLOOKUP($DT$1,'Datos Iniciales'!$E$34:$O$64,DZ$158,FALSE())*DZ70</f>
        <v>0</v>
      </c>
      <c r="EA168" s="196" t="n">
        <f aca="false">VLOOKUP($DT$1,'Datos Iniciales'!$E$34:$O$64,EA$158,FALSE())*EA70</f>
        <v>0</v>
      </c>
      <c r="EB168" s="196" t="n">
        <f aca="false">VLOOKUP($DT$1,'Datos Iniciales'!$E$34:$O$64,EB$158,FALSE())*EB70</f>
        <v>0</v>
      </c>
      <c r="EC168" s="196" t="n">
        <f aca="false">VLOOKUP($DT$1,'Datos Iniciales'!$E$34:$O$64,EC$158,FALSE())*EC70</f>
        <v>0</v>
      </c>
      <c r="ED168" s="197" t="n">
        <f aca="false">VLOOKUP($DT$1,'Datos Iniciales'!$E$34:$O$64,ED$158,FALSE())*ED70</f>
        <v>0</v>
      </c>
      <c r="EE168" s="194" t="str">
        <f aca="false">DT168</f>
        <v>Alumno9</v>
      </c>
      <c r="EF168" s="208" t="n">
        <f aca="false">VLOOKUP($EE$1,'Datos Iniciales'!$E$34:$O$64,EF$158,FALSE())*EF70</f>
        <v>0</v>
      </c>
      <c r="EG168" s="196" t="n">
        <f aca="false">VLOOKUP($EE$1,'Datos Iniciales'!$E$34:$O$64,EG$158,FALSE())*EG70</f>
        <v>0</v>
      </c>
      <c r="EH168" s="196" t="n">
        <f aca="false">VLOOKUP($EE$1,'Datos Iniciales'!$E$34:$O$64,EH$158,FALSE())*EH70</f>
        <v>0</v>
      </c>
      <c r="EI168" s="196" t="n">
        <f aca="false">VLOOKUP($EE$1,'Datos Iniciales'!$E$34:$O$64,EI$158,FALSE())*EI70</f>
        <v>0</v>
      </c>
      <c r="EJ168" s="196" t="n">
        <f aca="false">VLOOKUP($EE$1,'Datos Iniciales'!$E$34:$O$64,EJ$158,FALSE())*EJ70</f>
        <v>0</v>
      </c>
      <c r="EK168" s="196" t="n">
        <f aca="false">VLOOKUP($EE$1,'Datos Iniciales'!$E$34:$O$64,EK$158,FALSE())*EK70</f>
        <v>0</v>
      </c>
      <c r="EL168" s="196" t="n">
        <f aca="false">VLOOKUP($EE$1,'Datos Iniciales'!$E$34:$O$64,EL$158,FALSE())*EL70</f>
        <v>0</v>
      </c>
      <c r="EM168" s="196" t="n">
        <f aca="false">VLOOKUP($EE$1,'Datos Iniciales'!$E$34:$O$64,EM$158,FALSE())*EM70</f>
        <v>0</v>
      </c>
      <c r="EN168" s="196" t="n">
        <f aca="false">VLOOKUP($EE$1,'Datos Iniciales'!$E$34:$O$64,EN$158,FALSE())*EN70</f>
        <v>0</v>
      </c>
      <c r="EO168" s="197" t="n">
        <f aca="false">VLOOKUP($EE$1,'Datos Iniciales'!$E$34:$O$64,EO$158,FALSE())*EO70</f>
        <v>0</v>
      </c>
      <c r="EP168" s="194" t="str">
        <f aca="false">EE168</f>
        <v>Alumno9</v>
      </c>
      <c r="EQ168" s="208" t="n">
        <f aca="false">VLOOKUP($EP$1,'Datos Iniciales'!$E$34:$O$64,EQ$158,FALSE())*EQ70</f>
        <v>0</v>
      </c>
      <c r="ER168" s="196" t="n">
        <f aca="false">VLOOKUP($EP$1,'Datos Iniciales'!$E$34:$O$64,ER$158,FALSE())*ER70</f>
        <v>0</v>
      </c>
      <c r="ES168" s="196" t="n">
        <f aca="false">VLOOKUP($EP$1,'Datos Iniciales'!$E$34:$O$64,ES$158,FALSE())*ES70</f>
        <v>0</v>
      </c>
      <c r="ET168" s="196" t="n">
        <f aca="false">VLOOKUP($EP$1,'Datos Iniciales'!$E$34:$O$64,ET$158,FALSE())*ET70</f>
        <v>0</v>
      </c>
      <c r="EU168" s="196" t="n">
        <f aca="false">VLOOKUP($EP$1,'Datos Iniciales'!$E$34:$O$64,EU$158,FALSE())*EU70</f>
        <v>0</v>
      </c>
      <c r="EV168" s="196" t="n">
        <f aca="false">VLOOKUP($EP$1,'Datos Iniciales'!$E$34:$O$64,EV$158,FALSE())*EV70</f>
        <v>0</v>
      </c>
      <c r="EW168" s="196" t="n">
        <f aca="false">VLOOKUP($EP$1,'Datos Iniciales'!$E$34:$O$64,EW$158,FALSE())*EW70</f>
        <v>0</v>
      </c>
      <c r="EX168" s="196" t="n">
        <f aca="false">VLOOKUP($EP$1,'Datos Iniciales'!$E$34:$O$64,EX$158,FALSE())*EX70</f>
        <v>0</v>
      </c>
      <c r="EY168" s="196" t="n">
        <f aca="false">VLOOKUP($EP$1,'Datos Iniciales'!$E$34:$O$64,EY$158,FALSE())*EY70</f>
        <v>0</v>
      </c>
      <c r="EZ168" s="197" t="n">
        <f aca="false">VLOOKUP($EP$1,'Datos Iniciales'!$E$34:$O$64,EZ$158,FALSE())*EZ70</f>
        <v>0</v>
      </c>
      <c r="FA168" s="194" t="str">
        <f aca="false">EP168</f>
        <v>Alumno9</v>
      </c>
      <c r="FB168" s="208" t="n">
        <f aca="false">VLOOKUP($FA$1,'Datos Iniciales'!$E$34:$O$64,FB$158,FALSE())*FB70</f>
        <v>0</v>
      </c>
      <c r="FC168" s="196" t="n">
        <f aca="false">VLOOKUP($FA$1,'Datos Iniciales'!$E$34:$O$64,FC$158,FALSE())*FC70</f>
        <v>0</v>
      </c>
      <c r="FD168" s="196" t="n">
        <f aca="false">VLOOKUP($FA$1,'Datos Iniciales'!$E$34:$O$64,FD$158,FALSE())*FD70</f>
        <v>0</v>
      </c>
      <c r="FE168" s="196" t="n">
        <f aca="false">VLOOKUP($FA$1,'Datos Iniciales'!$E$34:$O$64,FE$158,FALSE())*FE70</f>
        <v>0</v>
      </c>
      <c r="FF168" s="196" t="n">
        <f aca="false">VLOOKUP($FA$1,'Datos Iniciales'!$E$34:$O$64,FF$158,FALSE())*FF70</f>
        <v>0</v>
      </c>
      <c r="FG168" s="196" t="n">
        <f aca="false">VLOOKUP($FA$1,'Datos Iniciales'!$E$34:$O$64,FG$158,FALSE())*FG70</f>
        <v>0</v>
      </c>
      <c r="FH168" s="196" t="n">
        <f aca="false">VLOOKUP($FA$1,'Datos Iniciales'!$E$34:$O$64,FH$158,FALSE())*FH70</f>
        <v>0</v>
      </c>
      <c r="FI168" s="196" t="n">
        <f aca="false">VLOOKUP($FA$1,'Datos Iniciales'!$E$34:$O$64,FI$158,FALSE())*FI70</f>
        <v>0</v>
      </c>
      <c r="FJ168" s="196" t="n">
        <f aca="false">VLOOKUP($FA$1,'Datos Iniciales'!$E$34:$O$64,FJ$158,FALSE())*FJ70</f>
        <v>0</v>
      </c>
      <c r="FK168" s="197" t="n">
        <f aca="false">VLOOKUP($FA$1,'Datos Iniciales'!$E$34:$O$64,FK$158,FALSE())*FK70</f>
        <v>0</v>
      </c>
      <c r="FL168" s="194" t="str">
        <f aca="false">FA168</f>
        <v>Alumno9</v>
      </c>
      <c r="FM168" s="208" t="n">
        <f aca="false">VLOOKUP($FL$1,'Datos Iniciales'!$E$34:$O$64,FM$158,FALSE())*FM70</f>
        <v>0</v>
      </c>
      <c r="FN168" s="196" t="n">
        <f aca="false">VLOOKUP($FL$1,'Datos Iniciales'!$E$34:$O$64,FN$158,FALSE())*FN70</f>
        <v>0</v>
      </c>
      <c r="FO168" s="196" t="n">
        <f aca="false">VLOOKUP($FL$1,'Datos Iniciales'!$E$34:$O$64,FO$158,FALSE())*FO70</f>
        <v>0</v>
      </c>
      <c r="FP168" s="196" t="n">
        <f aca="false">VLOOKUP($FL$1,'Datos Iniciales'!$E$34:$O$64,FP$158,FALSE())*FP70</f>
        <v>0</v>
      </c>
      <c r="FQ168" s="196" t="n">
        <f aca="false">VLOOKUP($FL$1,'Datos Iniciales'!$E$34:$O$64,FQ$158,FALSE())*FQ70</f>
        <v>0</v>
      </c>
      <c r="FR168" s="196" t="n">
        <f aca="false">VLOOKUP($FL$1,'Datos Iniciales'!$E$34:$O$64,FR$158,FALSE())*FR70</f>
        <v>0</v>
      </c>
      <c r="FS168" s="196" t="n">
        <f aca="false">VLOOKUP($FL$1,'Datos Iniciales'!$E$34:$O$64,FS$158,FALSE())*FS70</f>
        <v>0</v>
      </c>
      <c r="FT168" s="196" t="n">
        <f aca="false">VLOOKUP($FL$1,'Datos Iniciales'!$E$34:$O$64,FT$158,FALSE())*FT70</f>
        <v>0</v>
      </c>
      <c r="FU168" s="196" t="n">
        <f aca="false">VLOOKUP($FL$1,'Datos Iniciales'!$E$34:$O$64,FU$158,FALSE())*FU70</f>
        <v>0</v>
      </c>
      <c r="FV168" s="197" t="n">
        <f aca="false">VLOOKUP($FL$1,'Datos Iniciales'!$E$34:$O$64,FV$158,FALSE())*FV70</f>
        <v>0</v>
      </c>
      <c r="FW168" s="194" t="str">
        <f aca="false">FL168</f>
        <v>Alumno9</v>
      </c>
      <c r="FX168" s="208" t="n">
        <f aca="false">VLOOKUP($FW$1,'Datos Iniciales'!$E$34:$O$64,FX$158,FALSE())*FX70</f>
        <v>0</v>
      </c>
      <c r="FY168" s="196" t="n">
        <f aca="false">VLOOKUP($FW$1,'Datos Iniciales'!$E$34:$O$64,FY$158,FALSE())*FY70</f>
        <v>0</v>
      </c>
      <c r="FZ168" s="196" t="n">
        <f aca="false">VLOOKUP($FW$1,'Datos Iniciales'!$E$34:$O$64,FZ$158,FALSE())*FZ70</f>
        <v>0</v>
      </c>
      <c r="GA168" s="196" t="n">
        <f aca="false">VLOOKUP($FW$1,'Datos Iniciales'!$E$34:$O$64,GA$158,FALSE())*GA70</f>
        <v>0</v>
      </c>
      <c r="GB168" s="196" t="n">
        <f aca="false">VLOOKUP($FW$1,'Datos Iniciales'!$E$34:$O$64,GB$158,FALSE())*GB70</f>
        <v>0</v>
      </c>
      <c r="GC168" s="196" t="n">
        <f aca="false">VLOOKUP($FW$1,'Datos Iniciales'!$E$34:$O$64,GC$158,FALSE())*GC70</f>
        <v>0</v>
      </c>
      <c r="GD168" s="196" t="n">
        <f aca="false">VLOOKUP($FW$1,'Datos Iniciales'!$E$34:$O$64,GD$158,FALSE())*GD70</f>
        <v>0</v>
      </c>
      <c r="GE168" s="196" t="n">
        <f aca="false">VLOOKUP($FW$1,'Datos Iniciales'!$E$34:$O$64,GE$158,FALSE())*GE70</f>
        <v>0</v>
      </c>
      <c r="GF168" s="196" t="n">
        <f aca="false">VLOOKUP($FW$1,'Datos Iniciales'!$E$34:$O$64,GF$158,FALSE())*GF70</f>
        <v>0</v>
      </c>
      <c r="GG168" s="197" t="n">
        <f aca="false">VLOOKUP($FW$1,'Datos Iniciales'!$E$34:$O$64,GG$158,FALSE())*GG70</f>
        <v>0</v>
      </c>
      <c r="GH168" s="194" t="str">
        <f aca="false">FW168</f>
        <v>Alumno9</v>
      </c>
      <c r="GI168" s="208" t="n">
        <f aca="false">VLOOKUP($GH$1,'Datos Iniciales'!$E$34:$O$64,GI$158,FALSE())*GI70</f>
        <v>0</v>
      </c>
      <c r="GJ168" s="196" t="n">
        <f aca="false">VLOOKUP($GH$1,'Datos Iniciales'!$E$34:$O$64,GJ$158,FALSE())*GJ70</f>
        <v>0</v>
      </c>
      <c r="GK168" s="196" t="n">
        <f aca="false">VLOOKUP($GH$1,'Datos Iniciales'!$E$34:$O$64,GK$158,FALSE())*GK70</f>
        <v>0</v>
      </c>
      <c r="GL168" s="196" t="n">
        <f aca="false">VLOOKUP($GH$1,'Datos Iniciales'!$E$34:$O$64,GL$158,FALSE())*GL70</f>
        <v>0</v>
      </c>
      <c r="GM168" s="196" t="n">
        <f aca="false">VLOOKUP($GH$1,'Datos Iniciales'!$E$34:$O$64,GM$158,FALSE())*GM70</f>
        <v>0</v>
      </c>
      <c r="GN168" s="196" t="n">
        <f aca="false">VLOOKUP($GH$1,'Datos Iniciales'!$E$34:$O$64,GN$158,FALSE())*GN70</f>
        <v>0</v>
      </c>
      <c r="GO168" s="196" t="n">
        <f aca="false">VLOOKUP($GH$1,'Datos Iniciales'!$E$34:$O$64,GO$158,FALSE())*GO70</f>
        <v>0</v>
      </c>
      <c r="GP168" s="196" t="n">
        <f aca="false">VLOOKUP($GH$1,'Datos Iniciales'!$E$34:$O$64,GP$158,FALSE())*GP70</f>
        <v>0</v>
      </c>
      <c r="GQ168" s="196" t="n">
        <f aca="false">VLOOKUP($GH$1,'Datos Iniciales'!$E$34:$O$64,GQ$158,FALSE())*GQ70</f>
        <v>0</v>
      </c>
      <c r="GR168" s="197" t="n">
        <f aca="false">VLOOKUP($GH$1,'Datos Iniciales'!$E$34:$O$64,GR$158,FALSE())*GR70</f>
        <v>0</v>
      </c>
      <c r="GS168" s="194" t="str">
        <f aca="false">GH168</f>
        <v>Alumno9</v>
      </c>
      <c r="GT168" s="208" t="n">
        <f aca="false">VLOOKUP($GS$1,'Datos Iniciales'!$E$34:$O$64,GT$158,FALSE())*GT70</f>
        <v>0</v>
      </c>
      <c r="GU168" s="196" t="n">
        <f aca="false">VLOOKUP($GS$1,'Datos Iniciales'!$E$34:$O$64,GU$158,FALSE())*GU70</f>
        <v>0</v>
      </c>
      <c r="GV168" s="196" t="n">
        <f aca="false">VLOOKUP($GS$1,'Datos Iniciales'!$E$34:$O$64,GV$158,FALSE())*GV70</f>
        <v>0</v>
      </c>
      <c r="GW168" s="196" t="n">
        <f aca="false">VLOOKUP($GS$1,'Datos Iniciales'!$E$34:$O$64,GW$158,FALSE())*GW70</f>
        <v>0</v>
      </c>
      <c r="GX168" s="196" t="n">
        <f aca="false">VLOOKUP($GS$1,'Datos Iniciales'!$E$34:$O$64,GX$158,FALSE())*GX70</f>
        <v>0</v>
      </c>
      <c r="GY168" s="196" t="n">
        <f aca="false">VLOOKUP($GS$1,'Datos Iniciales'!$E$34:$O$64,GY$158,FALSE())*GY70</f>
        <v>0</v>
      </c>
      <c r="GZ168" s="196" t="n">
        <f aca="false">VLOOKUP($GS$1,'Datos Iniciales'!$E$34:$O$64,GZ$158,FALSE())*GZ70</f>
        <v>0</v>
      </c>
      <c r="HA168" s="196" t="n">
        <f aca="false">VLOOKUP($GS$1,'Datos Iniciales'!$E$34:$O$64,HA$158,FALSE())*HA70</f>
        <v>0</v>
      </c>
      <c r="HB168" s="196" t="n">
        <f aca="false">VLOOKUP($GS$1,'Datos Iniciales'!$E$34:$O$64,HB$158,FALSE())*HB70</f>
        <v>0</v>
      </c>
      <c r="HC168" s="197" t="n">
        <f aca="false">VLOOKUP($GS$1,'Datos Iniciales'!$E$34:$O$64,HC$158,FALSE())*HC70</f>
        <v>0</v>
      </c>
      <c r="HD168" s="194" t="str">
        <f aca="false">GS168</f>
        <v>Alumno9</v>
      </c>
      <c r="HE168" s="208" t="n">
        <f aca="false">VLOOKUP($HD$1,'Datos Iniciales'!$E$34:$O$64,HE$158,FALSE())*HE70</f>
        <v>0</v>
      </c>
      <c r="HF168" s="196" t="n">
        <f aca="false">VLOOKUP($HD$1,'Datos Iniciales'!$E$34:$O$64,HF$158,FALSE())*HF70</f>
        <v>0</v>
      </c>
      <c r="HG168" s="196" t="n">
        <f aca="false">VLOOKUP($HD$1,'Datos Iniciales'!$E$34:$O$64,HG$158,FALSE())*HG70</f>
        <v>0</v>
      </c>
      <c r="HH168" s="196" t="n">
        <f aca="false">VLOOKUP($HD$1,'Datos Iniciales'!$E$34:$O$64,HH$158,FALSE())*HH70</f>
        <v>0</v>
      </c>
      <c r="HI168" s="196" t="n">
        <f aca="false">VLOOKUP($HD$1,'Datos Iniciales'!$E$34:$O$64,HI$158,FALSE())*HI70</f>
        <v>0</v>
      </c>
      <c r="HJ168" s="196" t="n">
        <f aca="false">VLOOKUP($HD$1,'Datos Iniciales'!$E$34:$O$64,HJ$158,FALSE())*HJ70</f>
        <v>0</v>
      </c>
      <c r="HK168" s="196" t="n">
        <f aca="false">VLOOKUP($HD$1,'Datos Iniciales'!$E$34:$O$64,HK$158,FALSE())*HK70</f>
        <v>0</v>
      </c>
      <c r="HL168" s="196" t="n">
        <f aca="false">VLOOKUP($HD$1,'Datos Iniciales'!$E$34:$O$64,HL$158,FALSE())*HL70</f>
        <v>0</v>
      </c>
      <c r="HM168" s="196" t="n">
        <f aca="false">VLOOKUP($HD$1,'Datos Iniciales'!$E$34:$O$64,HM$158,FALSE())*HM70</f>
        <v>0</v>
      </c>
      <c r="HN168" s="197" t="n">
        <f aca="false">VLOOKUP($HD$1,'Datos Iniciales'!$E$34:$O$64,HN$158,FALSE())*HN70</f>
        <v>0</v>
      </c>
      <c r="HO168" s="194" t="str">
        <f aca="false">HD168</f>
        <v>Alumno9</v>
      </c>
      <c r="HP168" s="208" t="n">
        <f aca="false">VLOOKUP($HO$1,'Datos Iniciales'!$E$34:$O$64,HP$158,FALSE())*HP70</f>
        <v>0</v>
      </c>
      <c r="HQ168" s="196" t="n">
        <f aca="false">VLOOKUP($HO$1,'Datos Iniciales'!$E$34:$O$64,HQ$158,FALSE())*HQ70</f>
        <v>0</v>
      </c>
      <c r="HR168" s="196" t="n">
        <f aca="false">VLOOKUP($HO$1,'Datos Iniciales'!$E$34:$O$64,HR$158,FALSE())*HR70</f>
        <v>0</v>
      </c>
      <c r="HS168" s="196" t="n">
        <f aca="false">VLOOKUP($HO$1,'Datos Iniciales'!$E$34:$O$64,HS$158,FALSE())*HS70</f>
        <v>0</v>
      </c>
      <c r="HT168" s="196" t="n">
        <f aca="false">VLOOKUP($HO$1,'Datos Iniciales'!$E$34:$O$64,HT$158,FALSE())*HT70</f>
        <v>0</v>
      </c>
      <c r="HU168" s="196" t="n">
        <f aca="false">VLOOKUP($HO$1,'Datos Iniciales'!$E$34:$O$64,HU$158,FALSE())*HU70</f>
        <v>0</v>
      </c>
      <c r="HV168" s="196" t="n">
        <f aca="false">VLOOKUP($HO$1,'Datos Iniciales'!$E$34:$O$64,HV$158,FALSE())*HV70</f>
        <v>0</v>
      </c>
      <c r="HW168" s="196" t="n">
        <f aca="false">VLOOKUP($HO$1,'Datos Iniciales'!$E$34:$O$64,HW$158,FALSE())*HW70</f>
        <v>0</v>
      </c>
      <c r="HX168" s="196" t="n">
        <f aca="false">VLOOKUP($HO$1,'Datos Iniciales'!$E$34:$O$64,HX$158,FALSE())*HX70</f>
        <v>0</v>
      </c>
      <c r="HY168" s="197" t="n">
        <f aca="false">VLOOKUP($HO$1,'Datos Iniciales'!$E$34:$O$64,HY$158,FALSE())*HY70</f>
        <v>0</v>
      </c>
      <c r="HZ168" s="194" t="str">
        <f aca="false">HO168</f>
        <v>Alumno9</v>
      </c>
      <c r="IA168" s="208" t="n">
        <f aca="false">VLOOKUP($HZ$1,'Datos Iniciales'!$E$34:$O$64,IA$158,FALSE())*IA70</f>
        <v>0</v>
      </c>
      <c r="IB168" s="196" t="n">
        <f aca="false">VLOOKUP($HZ$1,'Datos Iniciales'!$E$34:$O$64,IB$158,FALSE())*IB70</f>
        <v>0</v>
      </c>
      <c r="IC168" s="196" t="n">
        <f aca="false">VLOOKUP($HZ$1,'Datos Iniciales'!$E$34:$O$64,IC$158,FALSE())*IC70</f>
        <v>0</v>
      </c>
      <c r="ID168" s="196" t="n">
        <f aca="false">VLOOKUP($HZ$1,'Datos Iniciales'!$E$34:$O$64,ID$158,FALSE())*ID70</f>
        <v>0</v>
      </c>
      <c r="IE168" s="196" t="n">
        <f aca="false">VLOOKUP($HZ$1,'Datos Iniciales'!$E$34:$O$64,IE$158,FALSE())*IE70</f>
        <v>0</v>
      </c>
      <c r="IF168" s="196" t="n">
        <f aca="false">VLOOKUP($HZ$1,'Datos Iniciales'!$E$34:$O$64,IF$158,FALSE())*IF70</f>
        <v>0</v>
      </c>
      <c r="IG168" s="196" t="n">
        <f aca="false">VLOOKUP($HZ$1,'Datos Iniciales'!$E$34:$O$64,IG$158,FALSE())*IG70</f>
        <v>0</v>
      </c>
      <c r="IH168" s="196" t="n">
        <f aca="false">VLOOKUP($HZ$1,'Datos Iniciales'!$E$34:$O$64,IH$158,FALSE())*IH70</f>
        <v>0</v>
      </c>
      <c r="II168" s="196" t="n">
        <f aca="false">VLOOKUP($HZ$1,'Datos Iniciales'!$E$34:$O$64,II$158,FALSE())*II70</f>
        <v>0</v>
      </c>
      <c r="IJ168" s="197" t="n">
        <f aca="false">VLOOKUP($HZ$1,'Datos Iniciales'!$E$34:$O$64,IJ$158,FALSE())*IJ70</f>
        <v>0</v>
      </c>
      <c r="IK168" s="194" t="str">
        <f aca="false">HZ168</f>
        <v>Alumno9</v>
      </c>
      <c r="IL168" s="208" t="n">
        <f aca="false">VLOOKUP($IK$1,'Datos Iniciales'!$E$34:$O$64,IL$158,FALSE())*IL70</f>
        <v>0</v>
      </c>
      <c r="IM168" s="196" t="n">
        <f aca="false">VLOOKUP($IK$1,'Datos Iniciales'!$E$34:$O$64,IM$158,FALSE())*IM70</f>
        <v>0</v>
      </c>
      <c r="IN168" s="196" t="n">
        <f aca="false">VLOOKUP($IK$1,'Datos Iniciales'!$E$34:$O$64,IN$158,FALSE())*IN70</f>
        <v>0</v>
      </c>
      <c r="IO168" s="196" t="n">
        <f aca="false">VLOOKUP($IK$1,'Datos Iniciales'!$E$34:$O$64,IO$158,FALSE())*IO70</f>
        <v>0</v>
      </c>
      <c r="IP168" s="196" t="n">
        <f aca="false">VLOOKUP($IK$1,'Datos Iniciales'!$E$34:$O$64,IP$158,FALSE())*IP70</f>
        <v>0</v>
      </c>
      <c r="IQ168" s="196" t="n">
        <f aca="false">VLOOKUP($IK$1,'Datos Iniciales'!$E$34:$O$64,IQ$158,FALSE())*IQ70</f>
        <v>0</v>
      </c>
      <c r="IR168" s="196" t="n">
        <f aca="false">VLOOKUP($IK$1,'Datos Iniciales'!$E$34:$O$64,IR$158,FALSE())*IR70</f>
        <v>0</v>
      </c>
      <c r="IS168" s="196" t="n">
        <f aca="false">VLOOKUP($IK$1,'Datos Iniciales'!$E$34:$O$64,IS$158,FALSE())*IS70</f>
        <v>0</v>
      </c>
      <c r="IT168" s="196" t="n">
        <f aca="false">VLOOKUP($IK$1,'Datos Iniciales'!$E$34:$O$64,IT$158,FALSE())*IT70</f>
        <v>0</v>
      </c>
      <c r="IU168" s="197" t="n">
        <f aca="false">VLOOKUP($IK$1,'Datos Iniciales'!$E$34:$O$64,IU$158,FALSE())*IU70</f>
        <v>0</v>
      </c>
      <c r="IV168" s="194" t="str">
        <f aca="false">IK168</f>
        <v>Alumno9</v>
      </c>
      <c r="IW168" s="208" t="n">
        <f aca="false">VLOOKUP($IV$1,'Datos Iniciales'!$E$34:$O$64,IW$158,FALSE())*IW70</f>
        <v>0</v>
      </c>
      <c r="IX168" s="196" t="n">
        <f aca="false">VLOOKUP($IV$1,'Datos Iniciales'!$E$34:$O$64,IX$158,FALSE())*IX70</f>
        <v>0</v>
      </c>
      <c r="IY168" s="196" t="n">
        <f aca="false">VLOOKUP($IV$1,'Datos Iniciales'!$E$34:$O$64,IY$158,FALSE())*IY70</f>
        <v>0</v>
      </c>
      <c r="IZ168" s="196" t="n">
        <f aca="false">VLOOKUP($IV$1,'Datos Iniciales'!$E$34:$O$64,IZ$158,FALSE())*IZ70</f>
        <v>0</v>
      </c>
      <c r="JA168" s="196" t="n">
        <f aca="false">VLOOKUP($IV$1,'Datos Iniciales'!$E$34:$O$64,JA$158,FALSE())*JA70</f>
        <v>0</v>
      </c>
      <c r="JB168" s="196" t="n">
        <f aca="false">VLOOKUP($IV$1,'Datos Iniciales'!$E$34:$O$64,JB$158,FALSE())*JB70</f>
        <v>0</v>
      </c>
      <c r="JC168" s="196" t="n">
        <f aca="false">VLOOKUP($IV$1,'Datos Iniciales'!$E$34:$O$64,JC$158,FALSE())*JC70</f>
        <v>0</v>
      </c>
      <c r="JD168" s="196" t="n">
        <f aca="false">VLOOKUP($IV$1,'Datos Iniciales'!$E$34:$O$64,JD$158,FALSE())*JD70</f>
        <v>0</v>
      </c>
      <c r="JE168" s="196" t="n">
        <f aca="false">VLOOKUP($IV$1,'Datos Iniciales'!$E$34:$O$64,JE$158,FALSE())*JE70</f>
        <v>0</v>
      </c>
      <c r="JF168" s="197" t="n">
        <f aca="false">VLOOKUP($IV$1,'Datos Iniciales'!$E$34:$O$64,JF$158,FALSE())*JF70</f>
        <v>0</v>
      </c>
      <c r="JG168" s="194" t="str">
        <f aca="false">IV168</f>
        <v>Alumno9</v>
      </c>
      <c r="JH168" s="208" t="n">
        <f aca="false">VLOOKUP($JG$1,'Datos Iniciales'!$E$34:$O$64,JH$158,FALSE())*JH70</f>
        <v>0</v>
      </c>
      <c r="JI168" s="196" t="n">
        <f aca="false">VLOOKUP($JG$1,'Datos Iniciales'!$E$34:$O$64,JI$158,FALSE())*JI70</f>
        <v>0</v>
      </c>
      <c r="JJ168" s="196" t="n">
        <f aca="false">VLOOKUP($JG$1,'Datos Iniciales'!$E$34:$O$64,JJ$158,FALSE())*JJ70</f>
        <v>0</v>
      </c>
      <c r="JK168" s="196" t="n">
        <f aca="false">VLOOKUP($JG$1,'Datos Iniciales'!$E$34:$O$64,JK$158,FALSE())*JK70</f>
        <v>0</v>
      </c>
      <c r="JL168" s="196" t="n">
        <f aca="false">VLOOKUP($JG$1,'Datos Iniciales'!$E$34:$O$64,JL$158,FALSE())*JL70</f>
        <v>0</v>
      </c>
      <c r="JM168" s="196" t="n">
        <f aca="false">VLOOKUP($JG$1,'Datos Iniciales'!$E$34:$O$64,JM$158,FALSE())*JM70</f>
        <v>0</v>
      </c>
      <c r="JN168" s="196" t="n">
        <f aca="false">VLOOKUP($JG$1,'Datos Iniciales'!$E$34:$O$64,JN$158,FALSE())*JN70</f>
        <v>0</v>
      </c>
      <c r="JO168" s="196" t="n">
        <f aca="false">VLOOKUP($JG$1,'Datos Iniciales'!$E$34:$O$64,JO$158,FALSE())*JO70</f>
        <v>0</v>
      </c>
      <c r="JP168" s="196" t="n">
        <f aca="false">VLOOKUP($JG$1,'Datos Iniciales'!$E$34:$O$64,JP$158,FALSE())*JP70</f>
        <v>0</v>
      </c>
      <c r="JQ168" s="197" t="n">
        <f aca="false">VLOOKUP($JG$1,'Datos Iniciales'!$E$34:$O$64,JQ$158,FALSE())*JQ70</f>
        <v>0</v>
      </c>
      <c r="JR168" s="194" t="str">
        <f aca="false">JG168</f>
        <v>Alumno9</v>
      </c>
      <c r="JS168" s="208" t="n">
        <f aca="false">VLOOKUP($JR$1,'Datos Iniciales'!$E$34:$O$64,JS$158,FALSE())*JS70</f>
        <v>0</v>
      </c>
      <c r="JT168" s="196" t="n">
        <f aca="false">VLOOKUP($JR$1,'Datos Iniciales'!$E$34:$O$64,JT$158,FALSE())*JT70</f>
        <v>0</v>
      </c>
      <c r="JU168" s="196" t="n">
        <f aca="false">VLOOKUP($JR$1,'Datos Iniciales'!$E$34:$O$64,JU$158,FALSE())*JU70</f>
        <v>0</v>
      </c>
      <c r="JV168" s="196" t="n">
        <f aca="false">VLOOKUP($JR$1,'Datos Iniciales'!$E$34:$O$64,JV$158,FALSE())*JV70</f>
        <v>0</v>
      </c>
      <c r="JW168" s="196" t="n">
        <f aca="false">VLOOKUP($JR$1,'Datos Iniciales'!$E$34:$O$64,JW$158,FALSE())*JW70</f>
        <v>0</v>
      </c>
      <c r="JX168" s="196" t="n">
        <f aca="false">VLOOKUP($JR$1,'Datos Iniciales'!$E$34:$O$64,JX$158,FALSE())*JX70</f>
        <v>0</v>
      </c>
      <c r="JY168" s="196" t="n">
        <f aca="false">VLOOKUP($JR$1,'Datos Iniciales'!$E$34:$O$64,JY$158,FALSE())*JY70</f>
        <v>0</v>
      </c>
      <c r="JZ168" s="196" t="n">
        <f aca="false">VLOOKUP($JR$1,'Datos Iniciales'!$E$34:$O$64,JZ$158,FALSE())*JZ70</f>
        <v>0</v>
      </c>
      <c r="KA168" s="196" t="n">
        <f aca="false">VLOOKUP($JR$1,'Datos Iniciales'!$E$34:$O$64,KA$158,FALSE())*KA70</f>
        <v>0</v>
      </c>
      <c r="KB168" s="197" t="n">
        <f aca="false">VLOOKUP($JR$1,'Datos Iniciales'!$E$34:$O$64,KB$158,FALSE())*KB70</f>
        <v>0</v>
      </c>
      <c r="KC168" s="194" t="str">
        <f aca="false">JR168</f>
        <v>Alumno9</v>
      </c>
      <c r="KD168" s="208" t="n">
        <f aca="false">VLOOKUP($KC$1,'Datos Iniciales'!$E$34:$O$64,KD$158,FALSE())*KD70</f>
        <v>0</v>
      </c>
      <c r="KE168" s="196" t="n">
        <f aca="false">VLOOKUP($KC$1,'Datos Iniciales'!$E$34:$O$64,KE$158,FALSE())*KE70</f>
        <v>0</v>
      </c>
      <c r="KF168" s="196" t="n">
        <f aca="false">VLOOKUP($KC$1,'Datos Iniciales'!$E$34:$O$64,KF$158,FALSE())*KF70</f>
        <v>0</v>
      </c>
      <c r="KG168" s="196" t="n">
        <f aca="false">VLOOKUP($KC$1,'Datos Iniciales'!$E$34:$O$64,KG$158,FALSE())*KG70</f>
        <v>0</v>
      </c>
      <c r="KH168" s="196" t="n">
        <f aca="false">VLOOKUP($KC$1,'Datos Iniciales'!$E$34:$O$64,KH$158,FALSE())*KH70</f>
        <v>0</v>
      </c>
      <c r="KI168" s="196" t="n">
        <f aca="false">VLOOKUP($KC$1,'Datos Iniciales'!$E$34:$O$64,KI$158,FALSE())*KI70</f>
        <v>0</v>
      </c>
      <c r="KJ168" s="196" t="n">
        <f aca="false">VLOOKUP($KC$1,'Datos Iniciales'!$E$34:$O$64,KJ$158,FALSE())*KJ70</f>
        <v>0</v>
      </c>
      <c r="KK168" s="196" t="n">
        <f aca="false">VLOOKUP($KC$1,'Datos Iniciales'!$E$34:$O$64,KK$158,FALSE())*KK70</f>
        <v>0</v>
      </c>
      <c r="KL168" s="196" t="n">
        <f aca="false">VLOOKUP($KC$1,'Datos Iniciales'!$E$34:$O$64,KL$158,FALSE())*KL70</f>
        <v>0</v>
      </c>
      <c r="KM168" s="197" t="n">
        <f aca="false">VLOOKUP($KC$1,'Datos Iniciales'!$E$34:$O$64,KM$158,FALSE())*KM70</f>
        <v>0</v>
      </c>
      <c r="KN168" s="194" t="str">
        <f aca="false">KC168</f>
        <v>Alumno9</v>
      </c>
      <c r="KO168" s="208" t="n">
        <f aca="false">VLOOKUP($KN$1,'Datos Iniciales'!$E$34:$O$64,KO$158,FALSE())*KO70</f>
        <v>0</v>
      </c>
      <c r="KP168" s="196" t="n">
        <f aca="false">VLOOKUP($KN$1,'Datos Iniciales'!$E$34:$O$64,KP$158,FALSE())*KP70</f>
        <v>0</v>
      </c>
      <c r="KQ168" s="196" t="n">
        <f aca="false">VLOOKUP($KN$1,'Datos Iniciales'!$E$34:$O$64,KQ$158,FALSE())*KQ70</f>
        <v>0</v>
      </c>
      <c r="KR168" s="196" t="n">
        <f aca="false">VLOOKUP($KN$1,'Datos Iniciales'!$E$34:$O$64,KR$158,FALSE())*KR70</f>
        <v>0</v>
      </c>
      <c r="KS168" s="196" t="n">
        <f aca="false">VLOOKUP($KN$1,'Datos Iniciales'!$E$34:$O$64,KS$158,FALSE())*KS70</f>
        <v>0</v>
      </c>
      <c r="KT168" s="196" t="n">
        <f aca="false">VLOOKUP($KN$1,'Datos Iniciales'!$E$34:$O$64,KT$158,FALSE())*KT70</f>
        <v>0</v>
      </c>
      <c r="KU168" s="196" t="n">
        <f aca="false">VLOOKUP($KN$1,'Datos Iniciales'!$E$34:$O$64,KU$158,FALSE())*KU70</f>
        <v>0</v>
      </c>
      <c r="KV168" s="196" t="n">
        <f aca="false">VLOOKUP($KN$1,'Datos Iniciales'!$E$34:$O$64,KV$158,FALSE())*KV70</f>
        <v>0</v>
      </c>
      <c r="KW168" s="196" t="n">
        <f aca="false">VLOOKUP($KN$1,'Datos Iniciales'!$E$34:$O$64,KW$158,FALSE())*KW70</f>
        <v>0</v>
      </c>
      <c r="KX168" s="197" t="n">
        <f aca="false">VLOOKUP($KN$1,'Datos Iniciales'!$E$34:$O$64,KX$158,FALSE())*KX70</f>
        <v>0</v>
      </c>
      <c r="KY168" s="194" t="str">
        <f aca="false">KN168</f>
        <v>Alumno9</v>
      </c>
      <c r="KZ168" s="208" t="n">
        <f aca="false">VLOOKUP($KY$1,'Datos Iniciales'!$E$34:$O$64,KZ$158,FALSE())*KZ70</f>
        <v>0</v>
      </c>
      <c r="LA168" s="196" t="n">
        <f aca="false">VLOOKUP($KY$1,'Datos Iniciales'!$E$34:$O$64,LA$158,FALSE())*LA70</f>
        <v>0</v>
      </c>
      <c r="LB168" s="196" t="n">
        <f aca="false">VLOOKUP($KY$1,'Datos Iniciales'!$E$34:$O$64,LB$158,FALSE())*LB70</f>
        <v>0</v>
      </c>
      <c r="LC168" s="196" t="n">
        <f aca="false">VLOOKUP($KY$1,'Datos Iniciales'!$E$34:$O$64,LC$158,FALSE())*LC70</f>
        <v>0</v>
      </c>
      <c r="LD168" s="196" t="n">
        <f aca="false">VLOOKUP($KY$1,'Datos Iniciales'!$E$34:$O$64,LD$158,FALSE())*LD70</f>
        <v>0</v>
      </c>
      <c r="LE168" s="196" t="n">
        <f aca="false">VLOOKUP($KY$1,'Datos Iniciales'!$E$34:$O$64,LE$158,FALSE())*LE70</f>
        <v>0</v>
      </c>
      <c r="LF168" s="196" t="n">
        <f aca="false">VLOOKUP($KY$1,'Datos Iniciales'!$E$34:$O$64,LF$158,FALSE())*LF70</f>
        <v>0</v>
      </c>
      <c r="LG168" s="196" t="n">
        <f aca="false">VLOOKUP($KY$1,'Datos Iniciales'!$E$34:$O$64,LG$158,FALSE())*LG70</f>
        <v>0</v>
      </c>
      <c r="LH168" s="196" t="n">
        <f aca="false">VLOOKUP($KY$1,'Datos Iniciales'!$E$34:$O$64,LH$158,FALSE())*LH70</f>
        <v>0</v>
      </c>
      <c r="LI168" s="197" t="n">
        <f aca="false">VLOOKUP($KY$1,'Datos Iniciales'!$E$34:$O$64,LI$158,FALSE())*LI70</f>
        <v>0</v>
      </c>
      <c r="LJ168" s="194" t="str">
        <f aca="false">KY168</f>
        <v>Alumno9</v>
      </c>
      <c r="LK168" s="208" t="n">
        <f aca="false">VLOOKUP($LJ$1,'Datos Iniciales'!$E$34:$O$64,LK$158,FALSE())*LK70</f>
        <v>0</v>
      </c>
      <c r="LL168" s="196" t="n">
        <f aca="false">VLOOKUP($LJ$1,'Datos Iniciales'!$E$34:$O$64,LL$158,FALSE())*LL70</f>
        <v>0</v>
      </c>
      <c r="LM168" s="196" t="n">
        <f aca="false">VLOOKUP($LJ$1,'Datos Iniciales'!$E$34:$O$64,LM$158,FALSE())*LM70</f>
        <v>0</v>
      </c>
      <c r="LN168" s="196" t="n">
        <f aca="false">VLOOKUP($LJ$1,'Datos Iniciales'!$E$34:$O$64,LN$158,FALSE())*LN70</f>
        <v>0</v>
      </c>
      <c r="LO168" s="196" t="n">
        <f aca="false">VLOOKUP($LJ$1,'Datos Iniciales'!$E$34:$O$64,LO$158,FALSE())*LO70</f>
        <v>0</v>
      </c>
      <c r="LP168" s="196" t="n">
        <f aca="false">VLOOKUP($LJ$1,'Datos Iniciales'!$E$34:$O$64,LP$158,FALSE())*LP70</f>
        <v>0</v>
      </c>
      <c r="LQ168" s="196" t="n">
        <f aca="false">VLOOKUP($LJ$1,'Datos Iniciales'!$E$34:$O$64,LQ$158,FALSE())*LQ70</f>
        <v>0</v>
      </c>
      <c r="LR168" s="196" t="n">
        <f aca="false">VLOOKUP($LJ$1,'Datos Iniciales'!$E$34:$O$64,LR$158,FALSE())*LR70</f>
        <v>0</v>
      </c>
      <c r="LS168" s="196" t="n">
        <f aca="false">VLOOKUP($LJ$1,'Datos Iniciales'!$E$34:$O$64,LS$158,FALSE())*LS70</f>
        <v>0</v>
      </c>
      <c r="LT168" s="197" t="n">
        <f aca="false">VLOOKUP($LJ$1,'Datos Iniciales'!$E$34:$O$64,LT$158,FALSE())*LT70</f>
        <v>0</v>
      </c>
    </row>
    <row r="169" customFormat="false" ht="15" hidden="true" customHeight="false" outlineLevel="0" collapsed="false">
      <c r="C169" s="194" t="str">
        <f aca="false">C120</f>
        <v>Alumno10</v>
      </c>
      <c r="D169" s="208" t="n">
        <f aca="false">VLOOKUP($C$1,'Datos Iniciales'!$E$34:$O$64,D$158,FALSE())*D71</f>
        <v>1.25</v>
      </c>
      <c r="E169" s="196" t="n">
        <f aca="false">VLOOKUP($C$1,'Datos Iniciales'!$E$34:$O$64,E$158,FALSE())*E71</f>
        <v>0</v>
      </c>
      <c r="F169" s="196" t="n">
        <f aca="false">VLOOKUP($C$1,'Datos Iniciales'!$E$34:$O$64,F$158,FALSE())*F71</f>
        <v>0</v>
      </c>
      <c r="G169" s="196" t="n">
        <f aca="false">VLOOKUP($C$1,'Datos Iniciales'!$E$34:$O$64,G$158,FALSE())*G71</f>
        <v>0</v>
      </c>
      <c r="H169" s="196" t="n">
        <f aca="false">VLOOKUP($C$1,'Datos Iniciales'!$E$34:$O$64,H$158,FALSE())*H71</f>
        <v>0</v>
      </c>
      <c r="I169" s="196" t="n">
        <f aca="false">VLOOKUP($C$1,'Datos Iniciales'!$E$34:$O$64,I$158,FALSE())*I71</f>
        <v>0</v>
      </c>
      <c r="J169" s="196" t="n">
        <f aca="false">VLOOKUP($C$1,'Datos Iniciales'!$E$34:$O$64,J$158,FALSE())*J71</f>
        <v>0</v>
      </c>
      <c r="K169" s="196" t="n">
        <f aca="false">VLOOKUP($C$1,'Datos Iniciales'!$E$34:$O$64,K$158,FALSE())*K71</f>
        <v>0</v>
      </c>
      <c r="L169" s="196" t="n">
        <f aca="false">VLOOKUP($C$1,'Datos Iniciales'!$E$34:$O$64,L$158,FALSE())*L71</f>
        <v>0</v>
      </c>
      <c r="M169" s="197" t="n">
        <f aca="false">VLOOKUP($C$1,'Datos Iniciales'!$E$34:$O$64,M$158,FALSE())*M71</f>
        <v>0</v>
      </c>
      <c r="N169" s="194" t="str">
        <f aca="false">C169</f>
        <v>Alumno10</v>
      </c>
      <c r="O169" s="208" t="n">
        <f aca="false">VLOOKUP($N$1,'Datos Iniciales'!$E$34:$O$64,O$158,FALSE())*O71</f>
        <v>1</v>
      </c>
      <c r="P169" s="196" t="n">
        <f aca="false">VLOOKUP($N$1,'Datos Iniciales'!$E$34:$O$64,P$158,FALSE())*P71</f>
        <v>1</v>
      </c>
      <c r="Q169" s="196" t="n">
        <f aca="false">VLOOKUP($N$1,'Datos Iniciales'!$E$34:$O$64,Q$158,FALSE())*Q71</f>
        <v>0</v>
      </c>
      <c r="R169" s="196" t="n">
        <f aca="false">VLOOKUP($N$1,'Datos Iniciales'!$E$34:$O$64,R$158,FALSE())*R71</f>
        <v>0</v>
      </c>
      <c r="S169" s="196" t="n">
        <f aca="false">VLOOKUP($N$1,'Datos Iniciales'!$E$34:$O$64,S$158,FALSE())*S71</f>
        <v>0</v>
      </c>
      <c r="T169" s="196" t="n">
        <f aca="false">VLOOKUP($N$1,'Datos Iniciales'!$E$34:$O$64,T$158,FALSE())*T71</f>
        <v>0</v>
      </c>
      <c r="U169" s="196" t="n">
        <f aca="false">VLOOKUP($N$1,'Datos Iniciales'!$E$34:$O$64,U$158,FALSE())*U71</f>
        <v>0</v>
      </c>
      <c r="V169" s="196" t="n">
        <f aca="false">VLOOKUP($N$1,'Datos Iniciales'!$E$34:$O$64,V$158,FALSE())*V71</f>
        <v>0</v>
      </c>
      <c r="W169" s="196" t="n">
        <f aca="false">VLOOKUP($N$1,'Datos Iniciales'!$E$34:$O$64,W$158,FALSE())*W71</f>
        <v>0</v>
      </c>
      <c r="X169" s="197" t="n">
        <f aca="false">VLOOKUP($N$1,'Datos Iniciales'!$E$34:$O$64,X$158,FALSE())*X71</f>
        <v>0</v>
      </c>
      <c r="Y169" s="194" t="str">
        <f aca="false">N169</f>
        <v>Alumno10</v>
      </c>
      <c r="Z169" s="208" t="n">
        <f aca="false">VLOOKUP($Y$1,'Datos Iniciales'!$E$34:$O$64,Z$158,FALSE())*Z71</f>
        <v>1.5</v>
      </c>
      <c r="AA169" s="196" t="n">
        <f aca="false">VLOOKUP($Y$1,'Datos Iniciales'!$E$34:$O$64,AA$158,FALSE())*AA71</f>
        <v>1</v>
      </c>
      <c r="AB169" s="196" t="n">
        <f aca="false">VLOOKUP($Y$1,'Datos Iniciales'!$E$34:$O$64,AB$158,FALSE())*AB71</f>
        <v>0.5</v>
      </c>
      <c r="AC169" s="196" t="n">
        <f aca="false">VLOOKUP($Y$1,'Datos Iniciales'!$E$34:$O$64,AC$158,FALSE())*AC71</f>
        <v>0</v>
      </c>
      <c r="AD169" s="196" t="n">
        <f aca="false">VLOOKUP($Y$1,'Datos Iniciales'!$E$34:$O$64,AD$158,FALSE())*AD71</f>
        <v>0</v>
      </c>
      <c r="AE169" s="196" t="n">
        <f aca="false">VLOOKUP($Y$1,'Datos Iniciales'!$E$34:$O$64,AE$158,FALSE())*AE71</f>
        <v>0</v>
      </c>
      <c r="AF169" s="196" t="n">
        <f aca="false">VLOOKUP($Y$1,'Datos Iniciales'!$E$34:$O$64,AF$158,FALSE())*AF71</f>
        <v>0</v>
      </c>
      <c r="AG169" s="196" t="n">
        <f aca="false">VLOOKUP($Y$1,'Datos Iniciales'!$E$34:$O$64,AG$158,FALSE())*AG71</f>
        <v>0</v>
      </c>
      <c r="AH169" s="196" t="n">
        <f aca="false">VLOOKUP($Y$1,'Datos Iniciales'!$E$34:$O$64,AH$158,FALSE())*AH71</f>
        <v>0</v>
      </c>
      <c r="AI169" s="197" t="n">
        <f aca="false">VLOOKUP($Y$1,'Datos Iniciales'!$E$34:$O$64,AI$158,FALSE())*AI71</f>
        <v>0</v>
      </c>
      <c r="AJ169" s="194" t="str">
        <f aca="false">Y169</f>
        <v>Alumno10</v>
      </c>
      <c r="AK169" s="208" t="n">
        <f aca="false">VLOOKUP($AJ$1,'Datos Iniciales'!$E$34:$O$64,AK$158,FALSE())*AK71</f>
        <v>0.5</v>
      </c>
      <c r="AL169" s="196" t="n">
        <f aca="false">VLOOKUP($AJ$1,'Datos Iniciales'!$E$34:$O$64,AL$158,FALSE())*AL71</f>
        <v>1.5</v>
      </c>
      <c r="AM169" s="196" t="n">
        <f aca="false">VLOOKUP($AJ$1,'Datos Iniciales'!$E$34:$O$64,AM$158,FALSE())*AM71</f>
        <v>1.75</v>
      </c>
      <c r="AN169" s="196" t="n">
        <f aca="false">VLOOKUP($AJ$1,'Datos Iniciales'!$E$34:$O$64,AN$158,FALSE())*AN71</f>
        <v>0</v>
      </c>
      <c r="AO169" s="196" t="n">
        <f aca="false">VLOOKUP($AJ$1,'Datos Iniciales'!$E$34:$O$64,AO$158,FALSE())*AO71</f>
        <v>0</v>
      </c>
      <c r="AP169" s="196" t="n">
        <f aca="false">VLOOKUP($AJ$1,'Datos Iniciales'!$E$34:$O$64,AP$158,FALSE())*AP71</f>
        <v>0</v>
      </c>
      <c r="AQ169" s="196" t="n">
        <f aca="false">VLOOKUP($AJ$1,'Datos Iniciales'!$E$34:$O$64,AQ$158,FALSE())*AQ71</f>
        <v>0</v>
      </c>
      <c r="AR169" s="196" t="n">
        <f aca="false">VLOOKUP($AJ$1,'Datos Iniciales'!$E$34:$O$64,AR$158,FALSE())*AR71</f>
        <v>0</v>
      </c>
      <c r="AS169" s="196" t="n">
        <f aca="false">VLOOKUP($AJ$1,'Datos Iniciales'!$E$34:$O$64,AS$158,FALSE())*AS71</f>
        <v>0</v>
      </c>
      <c r="AT169" s="197" t="n">
        <f aca="false">VLOOKUP($AJ$1,'Datos Iniciales'!$E$34:$O$64,AT$158,FALSE())*AT71</f>
        <v>0</v>
      </c>
      <c r="AU169" s="194" t="str">
        <f aca="false">AJ169</f>
        <v>Alumno10</v>
      </c>
      <c r="AV169" s="208" t="n">
        <f aca="false">VLOOKUP($AU$1,'Datos Iniciales'!$E$34:$O$64,AV$158,FALSE())*AV71</f>
        <v>0.25</v>
      </c>
      <c r="AW169" s="196" t="n">
        <f aca="false">VLOOKUP($AU$1,'Datos Iniciales'!$E$34:$O$64,AW$158,FALSE())*AW71</f>
        <v>0.6</v>
      </c>
      <c r="AX169" s="196" t="n">
        <f aca="false">VLOOKUP($AU$1,'Datos Iniciales'!$E$34:$O$64,AX$158,FALSE())*AX71</f>
        <v>1.08</v>
      </c>
      <c r="AY169" s="196" t="n">
        <f aca="false">VLOOKUP($AU$1,'Datos Iniciales'!$E$34:$O$64,AY$158,FALSE())*AY71</f>
        <v>0.5</v>
      </c>
      <c r="AZ169" s="196" t="n">
        <f aca="false">VLOOKUP($AU$1,'Datos Iniciales'!$E$34:$O$64,AZ$158,FALSE())*AZ71</f>
        <v>0</v>
      </c>
      <c r="BA169" s="196" t="n">
        <f aca="false">VLOOKUP($AU$1,'Datos Iniciales'!$E$34:$O$64,BA$158,FALSE())*BA71</f>
        <v>0</v>
      </c>
      <c r="BB169" s="196" t="n">
        <f aca="false">VLOOKUP($AU$1,'Datos Iniciales'!$E$34:$O$64,BB$158,FALSE())*BB71</f>
        <v>0</v>
      </c>
      <c r="BC169" s="196" t="n">
        <f aca="false">VLOOKUP($AU$1,'Datos Iniciales'!$E$34:$O$64,BC$158,FALSE())*BC71</f>
        <v>0</v>
      </c>
      <c r="BD169" s="196" t="n">
        <f aca="false">VLOOKUP($AU$1,'Datos Iniciales'!$E$34:$O$64,BD$158,FALSE())*BD71</f>
        <v>0</v>
      </c>
      <c r="BE169" s="197" t="n">
        <f aca="false">VLOOKUP($AU$1,'Datos Iniciales'!$E$34:$O$64,BE$158,FALSE())*BE71</f>
        <v>0</v>
      </c>
      <c r="BF169" s="194" t="str">
        <f aca="false">AU169</f>
        <v>Alumno10</v>
      </c>
      <c r="BG169" s="208" t="n">
        <f aca="false">VLOOKUP($BF$1,'Datos Iniciales'!$E$34:$O$64,BG$158,FALSE())*BG71</f>
        <v>0.5</v>
      </c>
      <c r="BH169" s="196" t="n">
        <f aca="false">VLOOKUP($BF$1,'Datos Iniciales'!$E$34:$O$64,BH$158,FALSE())*BH71</f>
        <v>0.9</v>
      </c>
      <c r="BI169" s="196" t="n">
        <f aca="false">VLOOKUP($BF$1,'Datos Iniciales'!$E$34:$O$64,BI$158,FALSE())*BI71</f>
        <v>0.3</v>
      </c>
      <c r="BJ169" s="196" t="n">
        <f aca="false">VLOOKUP($BF$1,'Datos Iniciales'!$E$34:$O$64,BJ$158,FALSE())*BJ71</f>
        <v>1.84</v>
      </c>
      <c r="BK169" s="196" t="n">
        <f aca="false">VLOOKUP($BF$1,'Datos Iniciales'!$E$34:$O$64,BK$158,FALSE())*BK71</f>
        <v>0</v>
      </c>
      <c r="BL169" s="196" t="n">
        <f aca="false">VLOOKUP($BF$1,'Datos Iniciales'!$E$34:$O$64,BL$158,FALSE())*BL71</f>
        <v>0</v>
      </c>
      <c r="BM169" s="196" t="n">
        <f aca="false">VLOOKUP($BF$1,'Datos Iniciales'!$E$34:$O$64,BM$158,FALSE())*BM71</f>
        <v>0</v>
      </c>
      <c r="BN169" s="196" t="n">
        <f aca="false">VLOOKUP($BF$1,'Datos Iniciales'!$E$34:$O$64,BN$158,FALSE())*BN71</f>
        <v>0</v>
      </c>
      <c r="BO169" s="196" t="n">
        <f aca="false">VLOOKUP($BF$1,'Datos Iniciales'!$E$34:$O$64,BO$158,FALSE())*BO71</f>
        <v>0</v>
      </c>
      <c r="BP169" s="197" t="n">
        <f aca="false">VLOOKUP($BF$1,'Datos Iniciales'!$E$34:$O$64,BP$158,FALSE())*BP71</f>
        <v>0</v>
      </c>
      <c r="BQ169" s="194" t="str">
        <f aca="false">BF169</f>
        <v>Alumno10</v>
      </c>
      <c r="BR169" s="208" t="n">
        <f aca="false">VLOOKUP($BQ$1,'Datos Iniciales'!$E$34:$O$64,BR$158,FALSE())*BR71</f>
        <v>0</v>
      </c>
      <c r="BS169" s="196" t="n">
        <f aca="false">VLOOKUP($BQ$1,'Datos Iniciales'!$E$34:$O$64,BS$158,FALSE())*BS71</f>
        <v>0.25</v>
      </c>
      <c r="BT169" s="196" t="n">
        <f aca="false">VLOOKUP($BQ$1,'Datos Iniciales'!$E$34:$O$64,BT$158,FALSE())*BT71</f>
        <v>0.6</v>
      </c>
      <c r="BU169" s="196" t="n">
        <f aca="false">VLOOKUP($BQ$1,'Datos Iniciales'!$E$34:$O$64,BU$158,FALSE())*BU71</f>
        <v>2.3</v>
      </c>
      <c r="BV169" s="196" t="n">
        <f aca="false">VLOOKUP($BQ$1,'Datos Iniciales'!$E$34:$O$64,BV$158,FALSE())*BV71</f>
        <v>0</v>
      </c>
      <c r="BW169" s="196" t="n">
        <f aca="false">VLOOKUP($BQ$1,'Datos Iniciales'!$E$34:$O$64,BW$158,FALSE())*BW71</f>
        <v>0</v>
      </c>
      <c r="BX169" s="196" t="n">
        <f aca="false">VLOOKUP($BQ$1,'Datos Iniciales'!$E$34:$O$64,BX$158,FALSE())*BX71</f>
        <v>0</v>
      </c>
      <c r="BY169" s="196" t="n">
        <f aca="false">VLOOKUP($BQ$1,'Datos Iniciales'!$E$34:$O$64,BY$158,FALSE())*BY71</f>
        <v>0</v>
      </c>
      <c r="BZ169" s="196" t="n">
        <f aca="false">VLOOKUP($BQ$1,'Datos Iniciales'!$E$34:$O$64,BZ$158,FALSE())*BZ71</f>
        <v>0</v>
      </c>
      <c r="CA169" s="197" t="n">
        <f aca="false">VLOOKUP($BQ$1,'Datos Iniciales'!$E$34:$O$64,CA$158,FALSE())*CA71</f>
        <v>0</v>
      </c>
      <c r="CB169" s="194" t="str">
        <f aca="false">BQ169</f>
        <v>Alumno10</v>
      </c>
      <c r="CC169" s="208" t="n">
        <f aca="false">VLOOKUP($CB$1,'Datos Iniciales'!$E$34:$O$64,CC$158,FALSE())*CC71</f>
        <v>0</v>
      </c>
      <c r="CD169" s="196" t="n">
        <f aca="false">VLOOKUP($CB$1,'Datos Iniciales'!$E$34:$O$64,CD$158,FALSE())*CD71</f>
        <v>0</v>
      </c>
      <c r="CE169" s="196" t="n">
        <f aca="false">VLOOKUP($CB$1,'Datos Iniciales'!$E$34:$O$64,CE$158,FALSE())*CE71</f>
        <v>0</v>
      </c>
      <c r="CF169" s="196" t="n">
        <f aca="false">VLOOKUP($CB$1,'Datos Iniciales'!$E$34:$O$64,CF$158,FALSE())*CF71</f>
        <v>0</v>
      </c>
      <c r="CG169" s="196" t="n">
        <f aca="false">VLOOKUP($CB$1,'Datos Iniciales'!$E$34:$O$64,CG$158,FALSE())*CG71</f>
        <v>0</v>
      </c>
      <c r="CH169" s="196" t="n">
        <f aca="false">VLOOKUP($CB$1,'Datos Iniciales'!$E$34:$O$64,CH$158,FALSE())*CH71</f>
        <v>0</v>
      </c>
      <c r="CI169" s="196" t="n">
        <f aca="false">VLOOKUP($CB$1,'Datos Iniciales'!$E$34:$O$64,CI$158,FALSE())*CI71</f>
        <v>0</v>
      </c>
      <c r="CJ169" s="196" t="n">
        <f aca="false">VLOOKUP($CB$1,'Datos Iniciales'!$E$34:$O$64,CJ$158,FALSE())*CJ71</f>
        <v>0</v>
      </c>
      <c r="CK169" s="196" t="n">
        <f aca="false">VLOOKUP($CB$1,'Datos Iniciales'!$E$34:$O$64,CK$158,FALSE())*CK71</f>
        <v>0</v>
      </c>
      <c r="CL169" s="197" t="n">
        <f aca="false">VLOOKUP($CB$1,'Datos Iniciales'!$E$34:$O$64,CL$158,FALSE())*CL71</f>
        <v>0</v>
      </c>
      <c r="CM169" s="194" t="str">
        <f aca="false">CB169</f>
        <v>Alumno10</v>
      </c>
      <c r="CN169" s="208" t="n">
        <f aca="false">VLOOKUP($CM$1,'Datos Iniciales'!$E$34:$O$64,CN$158,FALSE())*CN71</f>
        <v>0</v>
      </c>
      <c r="CO169" s="196" t="n">
        <f aca="false">VLOOKUP($CM$1,'Datos Iniciales'!$E$34:$O$64,CO$158,FALSE())*CO71</f>
        <v>0</v>
      </c>
      <c r="CP169" s="196" t="n">
        <f aca="false">VLOOKUP($CM$1,'Datos Iniciales'!$E$34:$O$64,CP$158,FALSE())*CP71</f>
        <v>0</v>
      </c>
      <c r="CQ169" s="196" t="n">
        <f aca="false">VLOOKUP($CM$1,'Datos Iniciales'!$E$34:$O$64,CQ$158,FALSE())*CQ71</f>
        <v>0</v>
      </c>
      <c r="CR169" s="196" t="n">
        <f aca="false">VLOOKUP($CM$1,'Datos Iniciales'!$E$34:$O$64,CR$158,FALSE())*CR71</f>
        <v>0</v>
      </c>
      <c r="CS169" s="196" t="n">
        <f aca="false">VLOOKUP($CM$1,'Datos Iniciales'!$E$34:$O$64,CS$158,FALSE())*CS71</f>
        <v>0</v>
      </c>
      <c r="CT169" s="196" t="n">
        <f aca="false">VLOOKUP($CM$1,'Datos Iniciales'!$E$34:$O$64,CT$158,FALSE())*CT71</f>
        <v>0</v>
      </c>
      <c r="CU169" s="196" t="n">
        <f aca="false">VLOOKUP($CM$1,'Datos Iniciales'!$E$34:$O$64,CU$158,FALSE())*CU71</f>
        <v>0</v>
      </c>
      <c r="CV169" s="196" t="n">
        <f aca="false">VLOOKUP($CM$1,'Datos Iniciales'!$E$34:$O$64,CV$158,FALSE())*CV71</f>
        <v>0</v>
      </c>
      <c r="CW169" s="197" t="n">
        <f aca="false">VLOOKUP($CM$1,'Datos Iniciales'!$E$34:$O$64,CW$158,FALSE())*CW71</f>
        <v>0</v>
      </c>
      <c r="CX169" s="194" t="str">
        <f aca="false">CM169</f>
        <v>Alumno10</v>
      </c>
      <c r="CY169" s="208" t="n">
        <f aca="false">VLOOKUP($CX$1,'Datos Iniciales'!$E$34:$O$64,CY$158,FALSE())*CY71</f>
        <v>0</v>
      </c>
      <c r="CZ169" s="196" t="n">
        <f aca="false">VLOOKUP($CX$1,'Datos Iniciales'!$E$34:$O$64,CZ$158,FALSE())*CZ71</f>
        <v>0</v>
      </c>
      <c r="DA169" s="196" t="n">
        <f aca="false">VLOOKUP($CX$1,'Datos Iniciales'!$E$34:$O$64,DA$158,FALSE())*DA71</f>
        <v>0</v>
      </c>
      <c r="DB169" s="196" t="n">
        <f aca="false">VLOOKUP($CX$1,'Datos Iniciales'!$E$34:$O$64,DB$158,FALSE())*DB71</f>
        <v>0</v>
      </c>
      <c r="DC169" s="196" t="n">
        <f aca="false">VLOOKUP($CX$1,'Datos Iniciales'!$E$34:$O$64,DC$158,FALSE())*DC71</f>
        <v>0</v>
      </c>
      <c r="DD169" s="196" t="n">
        <f aca="false">VLOOKUP($CX$1,'Datos Iniciales'!$E$34:$O$64,DD$158,FALSE())*DD71</f>
        <v>0</v>
      </c>
      <c r="DE169" s="196" t="n">
        <f aca="false">VLOOKUP($CX$1,'Datos Iniciales'!$E$34:$O$64,DE$158,FALSE())*DE71</f>
        <v>0</v>
      </c>
      <c r="DF169" s="196" t="n">
        <f aca="false">VLOOKUP($CX$1,'Datos Iniciales'!$E$34:$O$64,DF$158,FALSE())*DF71</f>
        <v>0</v>
      </c>
      <c r="DG169" s="196" t="n">
        <f aca="false">VLOOKUP($CX$1,'Datos Iniciales'!$E$34:$O$64,DG$158,FALSE())*DG71</f>
        <v>0</v>
      </c>
      <c r="DH169" s="197" t="n">
        <f aca="false">VLOOKUP($CX$1,'Datos Iniciales'!$E$34:$O$64,DH$158,FALSE())*DH71</f>
        <v>0</v>
      </c>
      <c r="DI169" s="194" t="str">
        <f aca="false">CX169</f>
        <v>Alumno10</v>
      </c>
      <c r="DJ169" s="208" t="n">
        <f aca="false">VLOOKUP($DI$1,'Datos Iniciales'!$E$34:$O$64,DJ$158,FALSE())*DJ71</f>
        <v>0</v>
      </c>
      <c r="DK169" s="196" t="n">
        <f aca="false">VLOOKUP($DI$1,'Datos Iniciales'!$E$34:$O$64,DK$158,FALSE())*DK71</f>
        <v>0</v>
      </c>
      <c r="DL169" s="196" t="n">
        <f aca="false">VLOOKUP($DI$1,'Datos Iniciales'!$E$34:$O$64,DL$158,FALSE())*DL71</f>
        <v>0</v>
      </c>
      <c r="DM169" s="196" t="n">
        <f aca="false">VLOOKUP($DI$1,'Datos Iniciales'!$E$34:$O$64,DM$158,FALSE())*DM71</f>
        <v>0</v>
      </c>
      <c r="DN169" s="196" t="n">
        <f aca="false">VLOOKUP($DI$1,'Datos Iniciales'!$E$34:$O$64,DN$158,FALSE())*DN71</f>
        <v>0</v>
      </c>
      <c r="DO169" s="196" t="n">
        <f aca="false">VLOOKUP($DI$1,'Datos Iniciales'!$E$34:$O$64,DO$158,FALSE())*DO71</f>
        <v>0</v>
      </c>
      <c r="DP169" s="196" t="n">
        <f aca="false">VLOOKUP($DI$1,'Datos Iniciales'!$E$34:$O$64,DP$158,FALSE())*DP71</f>
        <v>0</v>
      </c>
      <c r="DQ169" s="196" t="n">
        <f aca="false">VLOOKUP($DI$1,'Datos Iniciales'!$E$34:$O$64,DQ$158,FALSE())*DQ71</f>
        <v>0</v>
      </c>
      <c r="DR169" s="196" t="n">
        <f aca="false">VLOOKUP($DI$1,'Datos Iniciales'!$E$34:$O$64,DR$158,FALSE())*DR71</f>
        <v>0</v>
      </c>
      <c r="DS169" s="197" t="n">
        <f aca="false">VLOOKUP($DI$1,'Datos Iniciales'!$E$34:$O$64,DS$158,FALSE())*DS71</f>
        <v>0</v>
      </c>
      <c r="DT169" s="194" t="str">
        <f aca="false">DI169</f>
        <v>Alumno10</v>
      </c>
      <c r="DU169" s="208" t="n">
        <f aca="false">VLOOKUP($DT$1,'Datos Iniciales'!$E$34:$O$64,DU$158,FALSE())*DU71</f>
        <v>0</v>
      </c>
      <c r="DV169" s="196" t="n">
        <f aca="false">VLOOKUP($DT$1,'Datos Iniciales'!$E$34:$O$64,DV$158,FALSE())*DV71</f>
        <v>0</v>
      </c>
      <c r="DW169" s="196" t="n">
        <f aca="false">VLOOKUP($DT$1,'Datos Iniciales'!$E$34:$O$64,DW$158,FALSE())*DW71</f>
        <v>0</v>
      </c>
      <c r="DX169" s="196" t="n">
        <f aca="false">VLOOKUP($DT$1,'Datos Iniciales'!$E$34:$O$64,DX$158,FALSE())*DX71</f>
        <v>0</v>
      </c>
      <c r="DY169" s="196" t="n">
        <f aca="false">VLOOKUP($DT$1,'Datos Iniciales'!$E$34:$O$64,DY$158,FALSE())*DY71</f>
        <v>0</v>
      </c>
      <c r="DZ169" s="196" t="n">
        <f aca="false">VLOOKUP($DT$1,'Datos Iniciales'!$E$34:$O$64,DZ$158,FALSE())*DZ71</f>
        <v>0</v>
      </c>
      <c r="EA169" s="196" t="n">
        <f aca="false">VLOOKUP($DT$1,'Datos Iniciales'!$E$34:$O$64,EA$158,FALSE())*EA71</f>
        <v>0</v>
      </c>
      <c r="EB169" s="196" t="n">
        <f aca="false">VLOOKUP($DT$1,'Datos Iniciales'!$E$34:$O$64,EB$158,FALSE())*EB71</f>
        <v>0</v>
      </c>
      <c r="EC169" s="196" t="n">
        <f aca="false">VLOOKUP($DT$1,'Datos Iniciales'!$E$34:$O$64,EC$158,FALSE())*EC71</f>
        <v>0</v>
      </c>
      <c r="ED169" s="197" t="n">
        <f aca="false">VLOOKUP($DT$1,'Datos Iniciales'!$E$34:$O$64,ED$158,FALSE())*ED71</f>
        <v>0</v>
      </c>
      <c r="EE169" s="194" t="str">
        <f aca="false">DT169</f>
        <v>Alumno10</v>
      </c>
      <c r="EF169" s="208" t="n">
        <f aca="false">VLOOKUP($EE$1,'Datos Iniciales'!$E$34:$O$64,EF$158,FALSE())*EF71</f>
        <v>0</v>
      </c>
      <c r="EG169" s="196" t="n">
        <f aca="false">VLOOKUP($EE$1,'Datos Iniciales'!$E$34:$O$64,EG$158,FALSE())*EG71</f>
        <v>0</v>
      </c>
      <c r="EH169" s="196" t="n">
        <f aca="false">VLOOKUP($EE$1,'Datos Iniciales'!$E$34:$O$64,EH$158,FALSE())*EH71</f>
        <v>0</v>
      </c>
      <c r="EI169" s="196" t="n">
        <f aca="false">VLOOKUP($EE$1,'Datos Iniciales'!$E$34:$O$64,EI$158,FALSE())*EI71</f>
        <v>0</v>
      </c>
      <c r="EJ169" s="196" t="n">
        <f aca="false">VLOOKUP($EE$1,'Datos Iniciales'!$E$34:$O$64,EJ$158,FALSE())*EJ71</f>
        <v>0</v>
      </c>
      <c r="EK169" s="196" t="n">
        <f aca="false">VLOOKUP($EE$1,'Datos Iniciales'!$E$34:$O$64,EK$158,FALSE())*EK71</f>
        <v>0</v>
      </c>
      <c r="EL169" s="196" t="n">
        <f aca="false">VLOOKUP($EE$1,'Datos Iniciales'!$E$34:$O$64,EL$158,FALSE())*EL71</f>
        <v>0</v>
      </c>
      <c r="EM169" s="196" t="n">
        <f aca="false">VLOOKUP($EE$1,'Datos Iniciales'!$E$34:$O$64,EM$158,FALSE())*EM71</f>
        <v>0</v>
      </c>
      <c r="EN169" s="196" t="n">
        <f aca="false">VLOOKUP($EE$1,'Datos Iniciales'!$E$34:$O$64,EN$158,FALSE())*EN71</f>
        <v>0</v>
      </c>
      <c r="EO169" s="197" t="n">
        <f aca="false">VLOOKUP($EE$1,'Datos Iniciales'!$E$34:$O$64,EO$158,FALSE())*EO71</f>
        <v>0</v>
      </c>
      <c r="EP169" s="194" t="str">
        <f aca="false">EE169</f>
        <v>Alumno10</v>
      </c>
      <c r="EQ169" s="208" t="n">
        <f aca="false">VLOOKUP($EP$1,'Datos Iniciales'!$E$34:$O$64,EQ$158,FALSE())*EQ71</f>
        <v>0</v>
      </c>
      <c r="ER169" s="196" t="n">
        <f aca="false">VLOOKUP($EP$1,'Datos Iniciales'!$E$34:$O$64,ER$158,FALSE())*ER71</f>
        <v>0</v>
      </c>
      <c r="ES169" s="196" t="n">
        <f aca="false">VLOOKUP($EP$1,'Datos Iniciales'!$E$34:$O$64,ES$158,FALSE())*ES71</f>
        <v>0</v>
      </c>
      <c r="ET169" s="196" t="n">
        <f aca="false">VLOOKUP($EP$1,'Datos Iniciales'!$E$34:$O$64,ET$158,FALSE())*ET71</f>
        <v>0</v>
      </c>
      <c r="EU169" s="196" t="n">
        <f aca="false">VLOOKUP($EP$1,'Datos Iniciales'!$E$34:$O$64,EU$158,FALSE())*EU71</f>
        <v>0</v>
      </c>
      <c r="EV169" s="196" t="n">
        <f aca="false">VLOOKUP($EP$1,'Datos Iniciales'!$E$34:$O$64,EV$158,FALSE())*EV71</f>
        <v>0</v>
      </c>
      <c r="EW169" s="196" t="n">
        <f aca="false">VLOOKUP($EP$1,'Datos Iniciales'!$E$34:$O$64,EW$158,FALSE())*EW71</f>
        <v>0</v>
      </c>
      <c r="EX169" s="196" t="n">
        <f aca="false">VLOOKUP($EP$1,'Datos Iniciales'!$E$34:$O$64,EX$158,FALSE())*EX71</f>
        <v>0</v>
      </c>
      <c r="EY169" s="196" t="n">
        <f aca="false">VLOOKUP($EP$1,'Datos Iniciales'!$E$34:$O$64,EY$158,FALSE())*EY71</f>
        <v>0</v>
      </c>
      <c r="EZ169" s="197" t="n">
        <f aca="false">VLOOKUP($EP$1,'Datos Iniciales'!$E$34:$O$64,EZ$158,FALSE())*EZ71</f>
        <v>0</v>
      </c>
      <c r="FA169" s="194" t="str">
        <f aca="false">EP169</f>
        <v>Alumno10</v>
      </c>
      <c r="FB169" s="208" t="n">
        <f aca="false">VLOOKUP($FA$1,'Datos Iniciales'!$E$34:$O$64,FB$158,FALSE())*FB71</f>
        <v>0</v>
      </c>
      <c r="FC169" s="196" t="n">
        <f aca="false">VLOOKUP($FA$1,'Datos Iniciales'!$E$34:$O$64,FC$158,FALSE())*FC71</f>
        <v>0</v>
      </c>
      <c r="FD169" s="196" t="n">
        <f aca="false">VLOOKUP($FA$1,'Datos Iniciales'!$E$34:$O$64,FD$158,FALSE())*FD71</f>
        <v>0</v>
      </c>
      <c r="FE169" s="196" t="n">
        <f aca="false">VLOOKUP($FA$1,'Datos Iniciales'!$E$34:$O$64,FE$158,FALSE())*FE71</f>
        <v>0</v>
      </c>
      <c r="FF169" s="196" t="n">
        <f aca="false">VLOOKUP($FA$1,'Datos Iniciales'!$E$34:$O$64,FF$158,FALSE())*FF71</f>
        <v>0</v>
      </c>
      <c r="FG169" s="196" t="n">
        <f aca="false">VLOOKUP($FA$1,'Datos Iniciales'!$E$34:$O$64,FG$158,FALSE())*FG71</f>
        <v>0</v>
      </c>
      <c r="FH169" s="196" t="n">
        <f aca="false">VLOOKUP($FA$1,'Datos Iniciales'!$E$34:$O$64,FH$158,FALSE())*FH71</f>
        <v>0</v>
      </c>
      <c r="FI169" s="196" t="n">
        <f aca="false">VLOOKUP($FA$1,'Datos Iniciales'!$E$34:$O$64,FI$158,FALSE())*FI71</f>
        <v>0</v>
      </c>
      <c r="FJ169" s="196" t="n">
        <f aca="false">VLOOKUP($FA$1,'Datos Iniciales'!$E$34:$O$64,FJ$158,FALSE())*FJ71</f>
        <v>0</v>
      </c>
      <c r="FK169" s="197" t="n">
        <f aca="false">VLOOKUP($FA$1,'Datos Iniciales'!$E$34:$O$64,FK$158,FALSE())*FK71</f>
        <v>0</v>
      </c>
      <c r="FL169" s="194" t="str">
        <f aca="false">FA169</f>
        <v>Alumno10</v>
      </c>
      <c r="FM169" s="208" t="n">
        <f aca="false">VLOOKUP($FL$1,'Datos Iniciales'!$E$34:$O$64,FM$158,FALSE())*FM71</f>
        <v>0</v>
      </c>
      <c r="FN169" s="196" t="n">
        <f aca="false">VLOOKUP($FL$1,'Datos Iniciales'!$E$34:$O$64,FN$158,FALSE())*FN71</f>
        <v>0</v>
      </c>
      <c r="FO169" s="196" t="n">
        <f aca="false">VLOOKUP($FL$1,'Datos Iniciales'!$E$34:$O$64,FO$158,FALSE())*FO71</f>
        <v>0</v>
      </c>
      <c r="FP169" s="196" t="n">
        <f aca="false">VLOOKUP($FL$1,'Datos Iniciales'!$E$34:$O$64,FP$158,FALSE())*FP71</f>
        <v>0</v>
      </c>
      <c r="FQ169" s="196" t="n">
        <f aca="false">VLOOKUP($FL$1,'Datos Iniciales'!$E$34:$O$64,FQ$158,FALSE())*FQ71</f>
        <v>0</v>
      </c>
      <c r="FR169" s="196" t="n">
        <f aca="false">VLOOKUP($FL$1,'Datos Iniciales'!$E$34:$O$64,FR$158,FALSE())*FR71</f>
        <v>0</v>
      </c>
      <c r="FS169" s="196" t="n">
        <f aca="false">VLOOKUP($FL$1,'Datos Iniciales'!$E$34:$O$64,FS$158,FALSE())*FS71</f>
        <v>0</v>
      </c>
      <c r="FT169" s="196" t="n">
        <f aca="false">VLOOKUP($FL$1,'Datos Iniciales'!$E$34:$O$64,FT$158,FALSE())*FT71</f>
        <v>0</v>
      </c>
      <c r="FU169" s="196" t="n">
        <f aca="false">VLOOKUP($FL$1,'Datos Iniciales'!$E$34:$O$64,FU$158,FALSE())*FU71</f>
        <v>0</v>
      </c>
      <c r="FV169" s="197" t="n">
        <f aca="false">VLOOKUP($FL$1,'Datos Iniciales'!$E$34:$O$64,FV$158,FALSE())*FV71</f>
        <v>0</v>
      </c>
      <c r="FW169" s="194" t="str">
        <f aca="false">FL169</f>
        <v>Alumno10</v>
      </c>
      <c r="FX169" s="208" t="n">
        <f aca="false">VLOOKUP($FW$1,'Datos Iniciales'!$E$34:$O$64,FX$158,FALSE())*FX71</f>
        <v>0</v>
      </c>
      <c r="FY169" s="196" t="n">
        <f aca="false">VLOOKUP($FW$1,'Datos Iniciales'!$E$34:$O$64,FY$158,FALSE())*FY71</f>
        <v>0</v>
      </c>
      <c r="FZ169" s="196" t="n">
        <f aca="false">VLOOKUP($FW$1,'Datos Iniciales'!$E$34:$O$64,FZ$158,FALSE())*FZ71</f>
        <v>0</v>
      </c>
      <c r="GA169" s="196" t="n">
        <f aca="false">VLOOKUP($FW$1,'Datos Iniciales'!$E$34:$O$64,GA$158,FALSE())*GA71</f>
        <v>0</v>
      </c>
      <c r="GB169" s="196" t="n">
        <f aca="false">VLOOKUP($FW$1,'Datos Iniciales'!$E$34:$O$64,GB$158,FALSE())*GB71</f>
        <v>0</v>
      </c>
      <c r="GC169" s="196" t="n">
        <f aca="false">VLOOKUP($FW$1,'Datos Iniciales'!$E$34:$O$64,GC$158,FALSE())*GC71</f>
        <v>0</v>
      </c>
      <c r="GD169" s="196" t="n">
        <f aca="false">VLOOKUP($FW$1,'Datos Iniciales'!$E$34:$O$64,GD$158,FALSE())*GD71</f>
        <v>0</v>
      </c>
      <c r="GE169" s="196" t="n">
        <f aca="false">VLOOKUP($FW$1,'Datos Iniciales'!$E$34:$O$64,GE$158,FALSE())*GE71</f>
        <v>0</v>
      </c>
      <c r="GF169" s="196" t="n">
        <f aca="false">VLOOKUP($FW$1,'Datos Iniciales'!$E$34:$O$64,GF$158,FALSE())*GF71</f>
        <v>0</v>
      </c>
      <c r="GG169" s="197" t="n">
        <f aca="false">VLOOKUP($FW$1,'Datos Iniciales'!$E$34:$O$64,GG$158,FALSE())*GG71</f>
        <v>0</v>
      </c>
      <c r="GH169" s="194" t="str">
        <f aca="false">FW169</f>
        <v>Alumno10</v>
      </c>
      <c r="GI169" s="208" t="n">
        <f aca="false">VLOOKUP($GH$1,'Datos Iniciales'!$E$34:$O$64,GI$158,FALSE())*GI71</f>
        <v>0</v>
      </c>
      <c r="GJ169" s="196" t="n">
        <f aca="false">VLOOKUP($GH$1,'Datos Iniciales'!$E$34:$O$64,GJ$158,FALSE())*GJ71</f>
        <v>0</v>
      </c>
      <c r="GK169" s="196" t="n">
        <f aca="false">VLOOKUP($GH$1,'Datos Iniciales'!$E$34:$O$64,GK$158,FALSE())*GK71</f>
        <v>0</v>
      </c>
      <c r="GL169" s="196" t="n">
        <f aca="false">VLOOKUP($GH$1,'Datos Iniciales'!$E$34:$O$64,GL$158,FALSE())*GL71</f>
        <v>0</v>
      </c>
      <c r="GM169" s="196" t="n">
        <f aca="false">VLOOKUP($GH$1,'Datos Iniciales'!$E$34:$O$64,GM$158,FALSE())*GM71</f>
        <v>0</v>
      </c>
      <c r="GN169" s="196" t="n">
        <f aca="false">VLOOKUP($GH$1,'Datos Iniciales'!$E$34:$O$64,GN$158,FALSE())*GN71</f>
        <v>0</v>
      </c>
      <c r="GO169" s="196" t="n">
        <f aca="false">VLOOKUP($GH$1,'Datos Iniciales'!$E$34:$O$64,GO$158,FALSE())*GO71</f>
        <v>0</v>
      </c>
      <c r="GP169" s="196" t="n">
        <f aca="false">VLOOKUP($GH$1,'Datos Iniciales'!$E$34:$O$64,GP$158,FALSE())*GP71</f>
        <v>0</v>
      </c>
      <c r="GQ169" s="196" t="n">
        <f aca="false">VLOOKUP($GH$1,'Datos Iniciales'!$E$34:$O$64,GQ$158,FALSE())*GQ71</f>
        <v>0</v>
      </c>
      <c r="GR169" s="197" t="n">
        <f aca="false">VLOOKUP($GH$1,'Datos Iniciales'!$E$34:$O$64,GR$158,FALSE())*GR71</f>
        <v>0</v>
      </c>
      <c r="GS169" s="194" t="str">
        <f aca="false">GH169</f>
        <v>Alumno10</v>
      </c>
      <c r="GT169" s="208" t="n">
        <f aca="false">VLOOKUP($GS$1,'Datos Iniciales'!$E$34:$O$64,GT$158,FALSE())*GT71</f>
        <v>0</v>
      </c>
      <c r="GU169" s="196" t="n">
        <f aca="false">VLOOKUP($GS$1,'Datos Iniciales'!$E$34:$O$64,GU$158,FALSE())*GU71</f>
        <v>0</v>
      </c>
      <c r="GV169" s="196" t="n">
        <f aca="false">VLOOKUP($GS$1,'Datos Iniciales'!$E$34:$O$64,GV$158,FALSE())*GV71</f>
        <v>0</v>
      </c>
      <c r="GW169" s="196" t="n">
        <f aca="false">VLOOKUP($GS$1,'Datos Iniciales'!$E$34:$O$64,GW$158,FALSE())*GW71</f>
        <v>0</v>
      </c>
      <c r="GX169" s="196" t="n">
        <f aca="false">VLOOKUP($GS$1,'Datos Iniciales'!$E$34:$O$64,GX$158,FALSE())*GX71</f>
        <v>0</v>
      </c>
      <c r="GY169" s="196" t="n">
        <f aca="false">VLOOKUP($GS$1,'Datos Iniciales'!$E$34:$O$64,GY$158,FALSE())*GY71</f>
        <v>0</v>
      </c>
      <c r="GZ169" s="196" t="n">
        <f aca="false">VLOOKUP($GS$1,'Datos Iniciales'!$E$34:$O$64,GZ$158,FALSE())*GZ71</f>
        <v>0</v>
      </c>
      <c r="HA169" s="196" t="n">
        <f aca="false">VLOOKUP($GS$1,'Datos Iniciales'!$E$34:$O$64,HA$158,FALSE())*HA71</f>
        <v>0</v>
      </c>
      <c r="HB169" s="196" t="n">
        <f aca="false">VLOOKUP($GS$1,'Datos Iniciales'!$E$34:$O$64,HB$158,FALSE())*HB71</f>
        <v>0</v>
      </c>
      <c r="HC169" s="197" t="n">
        <f aca="false">VLOOKUP($GS$1,'Datos Iniciales'!$E$34:$O$64,HC$158,FALSE())*HC71</f>
        <v>0</v>
      </c>
      <c r="HD169" s="194" t="str">
        <f aca="false">GS169</f>
        <v>Alumno10</v>
      </c>
      <c r="HE169" s="208" t="n">
        <f aca="false">VLOOKUP($HD$1,'Datos Iniciales'!$E$34:$O$64,HE$158,FALSE())*HE71</f>
        <v>0</v>
      </c>
      <c r="HF169" s="196" t="n">
        <f aca="false">VLOOKUP($HD$1,'Datos Iniciales'!$E$34:$O$64,HF$158,FALSE())*HF71</f>
        <v>0</v>
      </c>
      <c r="HG169" s="196" t="n">
        <f aca="false">VLOOKUP($HD$1,'Datos Iniciales'!$E$34:$O$64,HG$158,FALSE())*HG71</f>
        <v>0</v>
      </c>
      <c r="HH169" s="196" t="n">
        <f aca="false">VLOOKUP($HD$1,'Datos Iniciales'!$E$34:$O$64,HH$158,FALSE())*HH71</f>
        <v>0</v>
      </c>
      <c r="HI169" s="196" t="n">
        <f aca="false">VLOOKUP($HD$1,'Datos Iniciales'!$E$34:$O$64,HI$158,FALSE())*HI71</f>
        <v>0</v>
      </c>
      <c r="HJ169" s="196" t="n">
        <f aca="false">VLOOKUP($HD$1,'Datos Iniciales'!$E$34:$O$64,HJ$158,FALSE())*HJ71</f>
        <v>0</v>
      </c>
      <c r="HK169" s="196" t="n">
        <f aca="false">VLOOKUP($HD$1,'Datos Iniciales'!$E$34:$O$64,HK$158,FALSE())*HK71</f>
        <v>0</v>
      </c>
      <c r="HL169" s="196" t="n">
        <f aca="false">VLOOKUP($HD$1,'Datos Iniciales'!$E$34:$O$64,HL$158,FALSE())*HL71</f>
        <v>0</v>
      </c>
      <c r="HM169" s="196" t="n">
        <f aca="false">VLOOKUP($HD$1,'Datos Iniciales'!$E$34:$O$64,HM$158,FALSE())*HM71</f>
        <v>0</v>
      </c>
      <c r="HN169" s="197" t="n">
        <f aca="false">VLOOKUP($HD$1,'Datos Iniciales'!$E$34:$O$64,HN$158,FALSE())*HN71</f>
        <v>0</v>
      </c>
      <c r="HO169" s="194" t="str">
        <f aca="false">HD169</f>
        <v>Alumno10</v>
      </c>
      <c r="HP169" s="208" t="n">
        <f aca="false">VLOOKUP($HO$1,'Datos Iniciales'!$E$34:$O$64,HP$158,FALSE())*HP71</f>
        <v>0</v>
      </c>
      <c r="HQ169" s="196" t="n">
        <f aca="false">VLOOKUP($HO$1,'Datos Iniciales'!$E$34:$O$64,HQ$158,FALSE())*HQ71</f>
        <v>0</v>
      </c>
      <c r="HR169" s="196" t="n">
        <f aca="false">VLOOKUP($HO$1,'Datos Iniciales'!$E$34:$O$64,HR$158,FALSE())*HR71</f>
        <v>0</v>
      </c>
      <c r="HS169" s="196" t="n">
        <f aca="false">VLOOKUP($HO$1,'Datos Iniciales'!$E$34:$O$64,HS$158,FALSE())*HS71</f>
        <v>0</v>
      </c>
      <c r="HT169" s="196" t="n">
        <f aca="false">VLOOKUP($HO$1,'Datos Iniciales'!$E$34:$O$64,HT$158,FALSE())*HT71</f>
        <v>0</v>
      </c>
      <c r="HU169" s="196" t="n">
        <f aca="false">VLOOKUP($HO$1,'Datos Iniciales'!$E$34:$O$64,HU$158,FALSE())*HU71</f>
        <v>0</v>
      </c>
      <c r="HV169" s="196" t="n">
        <f aca="false">VLOOKUP($HO$1,'Datos Iniciales'!$E$34:$O$64,HV$158,FALSE())*HV71</f>
        <v>0</v>
      </c>
      <c r="HW169" s="196" t="n">
        <f aca="false">VLOOKUP($HO$1,'Datos Iniciales'!$E$34:$O$64,HW$158,FALSE())*HW71</f>
        <v>0</v>
      </c>
      <c r="HX169" s="196" t="n">
        <f aca="false">VLOOKUP($HO$1,'Datos Iniciales'!$E$34:$O$64,HX$158,FALSE())*HX71</f>
        <v>0</v>
      </c>
      <c r="HY169" s="197" t="n">
        <f aca="false">VLOOKUP($HO$1,'Datos Iniciales'!$E$34:$O$64,HY$158,FALSE())*HY71</f>
        <v>0</v>
      </c>
      <c r="HZ169" s="194" t="str">
        <f aca="false">HO169</f>
        <v>Alumno10</v>
      </c>
      <c r="IA169" s="208" t="n">
        <f aca="false">VLOOKUP($HZ$1,'Datos Iniciales'!$E$34:$O$64,IA$158,FALSE())*IA71</f>
        <v>0</v>
      </c>
      <c r="IB169" s="196" t="n">
        <f aca="false">VLOOKUP($HZ$1,'Datos Iniciales'!$E$34:$O$64,IB$158,FALSE())*IB71</f>
        <v>0</v>
      </c>
      <c r="IC169" s="196" t="n">
        <f aca="false">VLOOKUP($HZ$1,'Datos Iniciales'!$E$34:$O$64,IC$158,FALSE())*IC71</f>
        <v>0</v>
      </c>
      <c r="ID169" s="196" t="n">
        <f aca="false">VLOOKUP($HZ$1,'Datos Iniciales'!$E$34:$O$64,ID$158,FALSE())*ID71</f>
        <v>0</v>
      </c>
      <c r="IE169" s="196" t="n">
        <f aca="false">VLOOKUP($HZ$1,'Datos Iniciales'!$E$34:$O$64,IE$158,FALSE())*IE71</f>
        <v>0</v>
      </c>
      <c r="IF169" s="196" t="n">
        <f aca="false">VLOOKUP($HZ$1,'Datos Iniciales'!$E$34:$O$64,IF$158,FALSE())*IF71</f>
        <v>0</v>
      </c>
      <c r="IG169" s="196" t="n">
        <f aca="false">VLOOKUP($HZ$1,'Datos Iniciales'!$E$34:$O$64,IG$158,FALSE())*IG71</f>
        <v>0</v>
      </c>
      <c r="IH169" s="196" t="n">
        <f aca="false">VLOOKUP($HZ$1,'Datos Iniciales'!$E$34:$O$64,IH$158,FALSE())*IH71</f>
        <v>0</v>
      </c>
      <c r="II169" s="196" t="n">
        <f aca="false">VLOOKUP($HZ$1,'Datos Iniciales'!$E$34:$O$64,II$158,FALSE())*II71</f>
        <v>0</v>
      </c>
      <c r="IJ169" s="197" t="n">
        <f aca="false">VLOOKUP($HZ$1,'Datos Iniciales'!$E$34:$O$64,IJ$158,FALSE())*IJ71</f>
        <v>0</v>
      </c>
      <c r="IK169" s="194" t="str">
        <f aca="false">HZ169</f>
        <v>Alumno10</v>
      </c>
      <c r="IL169" s="208" t="n">
        <f aca="false">VLOOKUP($IK$1,'Datos Iniciales'!$E$34:$O$64,IL$158,FALSE())*IL71</f>
        <v>0</v>
      </c>
      <c r="IM169" s="196" t="n">
        <f aca="false">VLOOKUP($IK$1,'Datos Iniciales'!$E$34:$O$64,IM$158,FALSE())*IM71</f>
        <v>0</v>
      </c>
      <c r="IN169" s="196" t="n">
        <f aca="false">VLOOKUP($IK$1,'Datos Iniciales'!$E$34:$O$64,IN$158,FALSE())*IN71</f>
        <v>0</v>
      </c>
      <c r="IO169" s="196" t="n">
        <f aca="false">VLOOKUP($IK$1,'Datos Iniciales'!$E$34:$O$64,IO$158,FALSE())*IO71</f>
        <v>0</v>
      </c>
      <c r="IP169" s="196" t="n">
        <f aca="false">VLOOKUP($IK$1,'Datos Iniciales'!$E$34:$O$64,IP$158,FALSE())*IP71</f>
        <v>0</v>
      </c>
      <c r="IQ169" s="196" t="n">
        <f aca="false">VLOOKUP($IK$1,'Datos Iniciales'!$E$34:$O$64,IQ$158,FALSE())*IQ71</f>
        <v>0</v>
      </c>
      <c r="IR169" s="196" t="n">
        <f aca="false">VLOOKUP($IK$1,'Datos Iniciales'!$E$34:$O$64,IR$158,FALSE())*IR71</f>
        <v>0</v>
      </c>
      <c r="IS169" s="196" t="n">
        <f aca="false">VLOOKUP($IK$1,'Datos Iniciales'!$E$34:$O$64,IS$158,FALSE())*IS71</f>
        <v>0</v>
      </c>
      <c r="IT169" s="196" t="n">
        <f aca="false">VLOOKUP($IK$1,'Datos Iniciales'!$E$34:$O$64,IT$158,FALSE())*IT71</f>
        <v>0</v>
      </c>
      <c r="IU169" s="197" t="n">
        <f aca="false">VLOOKUP($IK$1,'Datos Iniciales'!$E$34:$O$64,IU$158,FALSE())*IU71</f>
        <v>0</v>
      </c>
      <c r="IV169" s="194" t="str">
        <f aca="false">IK169</f>
        <v>Alumno10</v>
      </c>
      <c r="IW169" s="208" t="n">
        <f aca="false">VLOOKUP($IV$1,'Datos Iniciales'!$E$34:$O$64,IW$158,FALSE())*IW71</f>
        <v>0</v>
      </c>
      <c r="IX169" s="196" t="n">
        <f aca="false">VLOOKUP($IV$1,'Datos Iniciales'!$E$34:$O$64,IX$158,FALSE())*IX71</f>
        <v>0</v>
      </c>
      <c r="IY169" s="196" t="n">
        <f aca="false">VLOOKUP($IV$1,'Datos Iniciales'!$E$34:$O$64,IY$158,FALSE())*IY71</f>
        <v>0</v>
      </c>
      <c r="IZ169" s="196" t="n">
        <f aca="false">VLOOKUP($IV$1,'Datos Iniciales'!$E$34:$O$64,IZ$158,FALSE())*IZ71</f>
        <v>0</v>
      </c>
      <c r="JA169" s="196" t="n">
        <f aca="false">VLOOKUP($IV$1,'Datos Iniciales'!$E$34:$O$64,JA$158,FALSE())*JA71</f>
        <v>0</v>
      </c>
      <c r="JB169" s="196" t="n">
        <f aca="false">VLOOKUP($IV$1,'Datos Iniciales'!$E$34:$O$64,JB$158,FALSE())*JB71</f>
        <v>0</v>
      </c>
      <c r="JC169" s="196" t="n">
        <f aca="false">VLOOKUP($IV$1,'Datos Iniciales'!$E$34:$O$64,JC$158,FALSE())*JC71</f>
        <v>0</v>
      </c>
      <c r="JD169" s="196" t="n">
        <f aca="false">VLOOKUP($IV$1,'Datos Iniciales'!$E$34:$O$64,JD$158,FALSE())*JD71</f>
        <v>0</v>
      </c>
      <c r="JE169" s="196" t="n">
        <f aca="false">VLOOKUP($IV$1,'Datos Iniciales'!$E$34:$O$64,JE$158,FALSE())*JE71</f>
        <v>0</v>
      </c>
      <c r="JF169" s="197" t="n">
        <f aca="false">VLOOKUP($IV$1,'Datos Iniciales'!$E$34:$O$64,JF$158,FALSE())*JF71</f>
        <v>0</v>
      </c>
      <c r="JG169" s="194" t="str">
        <f aca="false">IV169</f>
        <v>Alumno10</v>
      </c>
      <c r="JH169" s="208" t="n">
        <f aca="false">VLOOKUP($JG$1,'Datos Iniciales'!$E$34:$O$64,JH$158,FALSE())*JH71</f>
        <v>0</v>
      </c>
      <c r="JI169" s="196" t="n">
        <f aca="false">VLOOKUP($JG$1,'Datos Iniciales'!$E$34:$O$64,JI$158,FALSE())*JI71</f>
        <v>0</v>
      </c>
      <c r="JJ169" s="196" t="n">
        <f aca="false">VLOOKUP($JG$1,'Datos Iniciales'!$E$34:$O$64,JJ$158,FALSE())*JJ71</f>
        <v>0</v>
      </c>
      <c r="JK169" s="196" t="n">
        <f aca="false">VLOOKUP($JG$1,'Datos Iniciales'!$E$34:$O$64,JK$158,FALSE())*JK71</f>
        <v>0</v>
      </c>
      <c r="JL169" s="196" t="n">
        <f aca="false">VLOOKUP($JG$1,'Datos Iniciales'!$E$34:$O$64,JL$158,FALSE())*JL71</f>
        <v>0</v>
      </c>
      <c r="JM169" s="196" t="n">
        <f aca="false">VLOOKUP($JG$1,'Datos Iniciales'!$E$34:$O$64,JM$158,FALSE())*JM71</f>
        <v>0</v>
      </c>
      <c r="JN169" s="196" t="n">
        <f aca="false">VLOOKUP($JG$1,'Datos Iniciales'!$E$34:$O$64,JN$158,FALSE())*JN71</f>
        <v>0</v>
      </c>
      <c r="JO169" s="196" t="n">
        <f aca="false">VLOOKUP($JG$1,'Datos Iniciales'!$E$34:$O$64,JO$158,FALSE())*JO71</f>
        <v>0</v>
      </c>
      <c r="JP169" s="196" t="n">
        <f aca="false">VLOOKUP($JG$1,'Datos Iniciales'!$E$34:$O$64,JP$158,FALSE())*JP71</f>
        <v>0</v>
      </c>
      <c r="JQ169" s="197" t="n">
        <f aca="false">VLOOKUP($JG$1,'Datos Iniciales'!$E$34:$O$64,JQ$158,FALSE())*JQ71</f>
        <v>0</v>
      </c>
      <c r="JR169" s="194" t="str">
        <f aca="false">JG169</f>
        <v>Alumno10</v>
      </c>
      <c r="JS169" s="208" t="n">
        <f aca="false">VLOOKUP($JR$1,'Datos Iniciales'!$E$34:$O$64,JS$158,FALSE())*JS71</f>
        <v>0</v>
      </c>
      <c r="JT169" s="196" t="n">
        <f aca="false">VLOOKUP($JR$1,'Datos Iniciales'!$E$34:$O$64,JT$158,FALSE())*JT71</f>
        <v>0</v>
      </c>
      <c r="JU169" s="196" t="n">
        <f aca="false">VLOOKUP($JR$1,'Datos Iniciales'!$E$34:$O$64,JU$158,FALSE())*JU71</f>
        <v>0</v>
      </c>
      <c r="JV169" s="196" t="n">
        <f aca="false">VLOOKUP($JR$1,'Datos Iniciales'!$E$34:$O$64,JV$158,FALSE())*JV71</f>
        <v>0</v>
      </c>
      <c r="JW169" s="196" t="n">
        <f aca="false">VLOOKUP($JR$1,'Datos Iniciales'!$E$34:$O$64,JW$158,FALSE())*JW71</f>
        <v>0</v>
      </c>
      <c r="JX169" s="196" t="n">
        <f aca="false">VLOOKUP($JR$1,'Datos Iniciales'!$E$34:$O$64,JX$158,FALSE())*JX71</f>
        <v>0</v>
      </c>
      <c r="JY169" s="196" t="n">
        <f aca="false">VLOOKUP($JR$1,'Datos Iniciales'!$E$34:$O$64,JY$158,FALSE())*JY71</f>
        <v>0</v>
      </c>
      <c r="JZ169" s="196" t="n">
        <f aca="false">VLOOKUP($JR$1,'Datos Iniciales'!$E$34:$O$64,JZ$158,FALSE())*JZ71</f>
        <v>0</v>
      </c>
      <c r="KA169" s="196" t="n">
        <f aca="false">VLOOKUP($JR$1,'Datos Iniciales'!$E$34:$O$64,KA$158,FALSE())*KA71</f>
        <v>0</v>
      </c>
      <c r="KB169" s="197" t="n">
        <f aca="false">VLOOKUP($JR$1,'Datos Iniciales'!$E$34:$O$64,KB$158,FALSE())*KB71</f>
        <v>0</v>
      </c>
      <c r="KC169" s="194" t="str">
        <f aca="false">JR169</f>
        <v>Alumno10</v>
      </c>
      <c r="KD169" s="208" t="n">
        <f aca="false">VLOOKUP($KC$1,'Datos Iniciales'!$E$34:$O$64,KD$158,FALSE())*KD71</f>
        <v>0</v>
      </c>
      <c r="KE169" s="196" t="n">
        <f aca="false">VLOOKUP($KC$1,'Datos Iniciales'!$E$34:$O$64,KE$158,FALSE())*KE71</f>
        <v>0</v>
      </c>
      <c r="KF169" s="196" t="n">
        <f aca="false">VLOOKUP($KC$1,'Datos Iniciales'!$E$34:$O$64,KF$158,FALSE())*KF71</f>
        <v>0</v>
      </c>
      <c r="KG169" s="196" t="n">
        <f aca="false">VLOOKUP($KC$1,'Datos Iniciales'!$E$34:$O$64,KG$158,FALSE())*KG71</f>
        <v>0</v>
      </c>
      <c r="KH169" s="196" t="n">
        <f aca="false">VLOOKUP($KC$1,'Datos Iniciales'!$E$34:$O$64,KH$158,FALSE())*KH71</f>
        <v>0</v>
      </c>
      <c r="KI169" s="196" t="n">
        <f aca="false">VLOOKUP($KC$1,'Datos Iniciales'!$E$34:$O$64,KI$158,FALSE())*KI71</f>
        <v>0</v>
      </c>
      <c r="KJ169" s="196" t="n">
        <f aca="false">VLOOKUP($KC$1,'Datos Iniciales'!$E$34:$O$64,KJ$158,FALSE())*KJ71</f>
        <v>0</v>
      </c>
      <c r="KK169" s="196" t="n">
        <f aca="false">VLOOKUP($KC$1,'Datos Iniciales'!$E$34:$O$64,KK$158,FALSE())*KK71</f>
        <v>0</v>
      </c>
      <c r="KL169" s="196" t="n">
        <f aca="false">VLOOKUP($KC$1,'Datos Iniciales'!$E$34:$O$64,KL$158,FALSE())*KL71</f>
        <v>0</v>
      </c>
      <c r="KM169" s="197" t="n">
        <f aca="false">VLOOKUP($KC$1,'Datos Iniciales'!$E$34:$O$64,KM$158,FALSE())*KM71</f>
        <v>0</v>
      </c>
      <c r="KN169" s="194" t="str">
        <f aca="false">KC169</f>
        <v>Alumno10</v>
      </c>
      <c r="KO169" s="208" t="n">
        <f aca="false">VLOOKUP($KN$1,'Datos Iniciales'!$E$34:$O$64,KO$158,FALSE())*KO71</f>
        <v>0</v>
      </c>
      <c r="KP169" s="196" t="n">
        <f aca="false">VLOOKUP($KN$1,'Datos Iniciales'!$E$34:$O$64,KP$158,FALSE())*KP71</f>
        <v>0</v>
      </c>
      <c r="KQ169" s="196" t="n">
        <f aca="false">VLOOKUP($KN$1,'Datos Iniciales'!$E$34:$O$64,KQ$158,FALSE())*KQ71</f>
        <v>0</v>
      </c>
      <c r="KR169" s="196" t="n">
        <f aca="false">VLOOKUP($KN$1,'Datos Iniciales'!$E$34:$O$64,KR$158,FALSE())*KR71</f>
        <v>0</v>
      </c>
      <c r="KS169" s="196" t="n">
        <f aca="false">VLOOKUP($KN$1,'Datos Iniciales'!$E$34:$O$64,KS$158,FALSE())*KS71</f>
        <v>0</v>
      </c>
      <c r="KT169" s="196" t="n">
        <f aca="false">VLOOKUP($KN$1,'Datos Iniciales'!$E$34:$O$64,KT$158,FALSE())*KT71</f>
        <v>0</v>
      </c>
      <c r="KU169" s="196" t="n">
        <f aca="false">VLOOKUP($KN$1,'Datos Iniciales'!$E$34:$O$64,KU$158,FALSE())*KU71</f>
        <v>0</v>
      </c>
      <c r="KV169" s="196" t="n">
        <f aca="false">VLOOKUP($KN$1,'Datos Iniciales'!$E$34:$O$64,KV$158,FALSE())*KV71</f>
        <v>0</v>
      </c>
      <c r="KW169" s="196" t="n">
        <f aca="false">VLOOKUP($KN$1,'Datos Iniciales'!$E$34:$O$64,KW$158,FALSE())*KW71</f>
        <v>0</v>
      </c>
      <c r="KX169" s="197" t="n">
        <f aca="false">VLOOKUP($KN$1,'Datos Iniciales'!$E$34:$O$64,KX$158,FALSE())*KX71</f>
        <v>0</v>
      </c>
      <c r="KY169" s="194" t="str">
        <f aca="false">KN169</f>
        <v>Alumno10</v>
      </c>
      <c r="KZ169" s="208" t="n">
        <f aca="false">VLOOKUP($KY$1,'Datos Iniciales'!$E$34:$O$64,KZ$158,FALSE())*KZ71</f>
        <v>0</v>
      </c>
      <c r="LA169" s="196" t="n">
        <f aca="false">VLOOKUP($KY$1,'Datos Iniciales'!$E$34:$O$64,LA$158,FALSE())*LA71</f>
        <v>0</v>
      </c>
      <c r="LB169" s="196" t="n">
        <f aca="false">VLOOKUP($KY$1,'Datos Iniciales'!$E$34:$O$64,LB$158,FALSE())*LB71</f>
        <v>0</v>
      </c>
      <c r="LC169" s="196" t="n">
        <f aca="false">VLOOKUP($KY$1,'Datos Iniciales'!$E$34:$O$64,LC$158,FALSE())*LC71</f>
        <v>0</v>
      </c>
      <c r="LD169" s="196" t="n">
        <f aca="false">VLOOKUP($KY$1,'Datos Iniciales'!$E$34:$O$64,LD$158,FALSE())*LD71</f>
        <v>0</v>
      </c>
      <c r="LE169" s="196" t="n">
        <f aca="false">VLOOKUP($KY$1,'Datos Iniciales'!$E$34:$O$64,LE$158,FALSE())*LE71</f>
        <v>0</v>
      </c>
      <c r="LF169" s="196" t="n">
        <f aca="false">VLOOKUP($KY$1,'Datos Iniciales'!$E$34:$O$64,LF$158,FALSE())*LF71</f>
        <v>0</v>
      </c>
      <c r="LG169" s="196" t="n">
        <f aca="false">VLOOKUP($KY$1,'Datos Iniciales'!$E$34:$O$64,LG$158,FALSE())*LG71</f>
        <v>0</v>
      </c>
      <c r="LH169" s="196" t="n">
        <f aca="false">VLOOKUP($KY$1,'Datos Iniciales'!$E$34:$O$64,LH$158,FALSE())*LH71</f>
        <v>0</v>
      </c>
      <c r="LI169" s="197" t="n">
        <f aca="false">VLOOKUP($KY$1,'Datos Iniciales'!$E$34:$O$64,LI$158,FALSE())*LI71</f>
        <v>0</v>
      </c>
      <c r="LJ169" s="194" t="str">
        <f aca="false">KY169</f>
        <v>Alumno10</v>
      </c>
      <c r="LK169" s="208" t="n">
        <f aca="false">VLOOKUP($LJ$1,'Datos Iniciales'!$E$34:$O$64,LK$158,FALSE())*LK71</f>
        <v>0</v>
      </c>
      <c r="LL169" s="196" t="n">
        <f aca="false">VLOOKUP($LJ$1,'Datos Iniciales'!$E$34:$O$64,LL$158,FALSE())*LL71</f>
        <v>0</v>
      </c>
      <c r="LM169" s="196" t="n">
        <f aca="false">VLOOKUP($LJ$1,'Datos Iniciales'!$E$34:$O$64,LM$158,FALSE())*LM71</f>
        <v>0</v>
      </c>
      <c r="LN169" s="196" t="n">
        <f aca="false">VLOOKUP($LJ$1,'Datos Iniciales'!$E$34:$O$64,LN$158,FALSE())*LN71</f>
        <v>0</v>
      </c>
      <c r="LO169" s="196" t="n">
        <f aca="false">VLOOKUP($LJ$1,'Datos Iniciales'!$E$34:$O$64,LO$158,FALSE())*LO71</f>
        <v>0</v>
      </c>
      <c r="LP169" s="196" t="n">
        <f aca="false">VLOOKUP($LJ$1,'Datos Iniciales'!$E$34:$O$64,LP$158,FALSE())*LP71</f>
        <v>0</v>
      </c>
      <c r="LQ169" s="196" t="n">
        <f aca="false">VLOOKUP($LJ$1,'Datos Iniciales'!$E$34:$O$64,LQ$158,FALSE())*LQ71</f>
        <v>0</v>
      </c>
      <c r="LR169" s="196" t="n">
        <f aca="false">VLOOKUP($LJ$1,'Datos Iniciales'!$E$34:$O$64,LR$158,FALSE())*LR71</f>
        <v>0</v>
      </c>
      <c r="LS169" s="196" t="n">
        <f aca="false">VLOOKUP($LJ$1,'Datos Iniciales'!$E$34:$O$64,LS$158,FALSE())*LS71</f>
        <v>0</v>
      </c>
      <c r="LT169" s="197" t="n">
        <f aca="false">VLOOKUP($LJ$1,'Datos Iniciales'!$E$34:$O$64,LT$158,FALSE())*LT71</f>
        <v>0</v>
      </c>
    </row>
    <row r="170" customFormat="false" ht="15" hidden="true" customHeight="false" outlineLevel="0" collapsed="false">
      <c r="C170" s="194" t="str">
        <f aca="false">C121</f>
        <v>Alumno11</v>
      </c>
      <c r="D170" s="208" t="n">
        <f aca="false">VLOOKUP($C$1,'Datos Iniciales'!$E$34:$O$64,D$158,FALSE())*D72</f>
        <v>1.725</v>
      </c>
      <c r="E170" s="196" t="n">
        <f aca="false">VLOOKUP($C$1,'Datos Iniciales'!$E$34:$O$64,E$158,FALSE())*E72</f>
        <v>0</v>
      </c>
      <c r="F170" s="196" t="n">
        <f aca="false">VLOOKUP($C$1,'Datos Iniciales'!$E$34:$O$64,F$158,FALSE())*F72</f>
        <v>0</v>
      </c>
      <c r="G170" s="196" t="n">
        <f aca="false">VLOOKUP($C$1,'Datos Iniciales'!$E$34:$O$64,G$158,FALSE())*G72</f>
        <v>0</v>
      </c>
      <c r="H170" s="196" t="n">
        <f aca="false">VLOOKUP($C$1,'Datos Iniciales'!$E$34:$O$64,H$158,FALSE())*H72</f>
        <v>0</v>
      </c>
      <c r="I170" s="196" t="n">
        <f aca="false">VLOOKUP($C$1,'Datos Iniciales'!$E$34:$O$64,I$158,FALSE())*I72</f>
        <v>0</v>
      </c>
      <c r="J170" s="196" t="n">
        <f aca="false">VLOOKUP($C$1,'Datos Iniciales'!$E$34:$O$64,J$158,FALSE())*J72</f>
        <v>0</v>
      </c>
      <c r="K170" s="196" t="n">
        <f aca="false">VLOOKUP($C$1,'Datos Iniciales'!$E$34:$O$64,K$158,FALSE())*K72</f>
        <v>0</v>
      </c>
      <c r="L170" s="196" t="n">
        <f aca="false">VLOOKUP($C$1,'Datos Iniciales'!$E$34:$O$64,L$158,FALSE())*L72</f>
        <v>0</v>
      </c>
      <c r="M170" s="197" t="n">
        <f aca="false">VLOOKUP($C$1,'Datos Iniciales'!$E$34:$O$64,M$158,FALSE())*M72</f>
        <v>0</v>
      </c>
      <c r="N170" s="194" t="str">
        <f aca="false">C170</f>
        <v>Alumno11</v>
      </c>
      <c r="O170" s="208" t="n">
        <f aca="false">VLOOKUP($N$1,'Datos Iniciales'!$E$34:$O$64,O$158,FALSE())*O72</f>
        <v>1.3</v>
      </c>
      <c r="P170" s="196" t="n">
        <f aca="false">VLOOKUP($N$1,'Datos Iniciales'!$E$34:$O$64,P$158,FALSE())*P72</f>
        <v>1.4</v>
      </c>
      <c r="Q170" s="196" t="n">
        <f aca="false">VLOOKUP($N$1,'Datos Iniciales'!$E$34:$O$64,Q$158,FALSE())*Q72</f>
        <v>0</v>
      </c>
      <c r="R170" s="196" t="n">
        <f aca="false">VLOOKUP($N$1,'Datos Iniciales'!$E$34:$O$64,R$158,FALSE())*R72</f>
        <v>0</v>
      </c>
      <c r="S170" s="196" t="n">
        <f aca="false">VLOOKUP($N$1,'Datos Iniciales'!$E$34:$O$64,S$158,FALSE())*S72</f>
        <v>0</v>
      </c>
      <c r="T170" s="196" t="n">
        <f aca="false">VLOOKUP($N$1,'Datos Iniciales'!$E$34:$O$64,T$158,FALSE())*T72</f>
        <v>0</v>
      </c>
      <c r="U170" s="196" t="n">
        <f aca="false">VLOOKUP($N$1,'Datos Iniciales'!$E$34:$O$64,U$158,FALSE())*U72</f>
        <v>0</v>
      </c>
      <c r="V170" s="196" t="n">
        <f aca="false">VLOOKUP($N$1,'Datos Iniciales'!$E$34:$O$64,V$158,FALSE())*V72</f>
        <v>0</v>
      </c>
      <c r="W170" s="196" t="n">
        <f aca="false">VLOOKUP($N$1,'Datos Iniciales'!$E$34:$O$64,W$158,FALSE())*W72</f>
        <v>0</v>
      </c>
      <c r="X170" s="197" t="n">
        <f aca="false">VLOOKUP($N$1,'Datos Iniciales'!$E$34:$O$64,X$158,FALSE())*X72</f>
        <v>0</v>
      </c>
      <c r="Y170" s="194" t="str">
        <f aca="false">N170</f>
        <v>Alumno11</v>
      </c>
      <c r="Z170" s="208" t="n">
        <f aca="false">VLOOKUP($Y$1,'Datos Iniciales'!$E$34:$O$64,Z$158,FALSE())*Z72</f>
        <v>2.7</v>
      </c>
      <c r="AA170" s="196" t="n">
        <f aca="false">VLOOKUP($Y$1,'Datos Iniciales'!$E$34:$O$64,AA$158,FALSE())*AA72</f>
        <v>1.8</v>
      </c>
      <c r="AB170" s="196" t="n">
        <f aca="false">VLOOKUP($Y$1,'Datos Iniciales'!$E$34:$O$64,AB$158,FALSE())*AB72</f>
        <v>0.9</v>
      </c>
      <c r="AC170" s="196" t="n">
        <f aca="false">VLOOKUP($Y$1,'Datos Iniciales'!$E$34:$O$64,AC$158,FALSE())*AC72</f>
        <v>0</v>
      </c>
      <c r="AD170" s="196" t="n">
        <f aca="false">VLOOKUP($Y$1,'Datos Iniciales'!$E$34:$O$64,AD$158,FALSE())*AD72</f>
        <v>0</v>
      </c>
      <c r="AE170" s="196" t="n">
        <f aca="false">VLOOKUP($Y$1,'Datos Iniciales'!$E$34:$O$64,AE$158,FALSE())*AE72</f>
        <v>0</v>
      </c>
      <c r="AF170" s="196" t="n">
        <f aca="false">VLOOKUP($Y$1,'Datos Iniciales'!$E$34:$O$64,AF$158,FALSE())*AF72</f>
        <v>0</v>
      </c>
      <c r="AG170" s="196" t="n">
        <f aca="false">VLOOKUP($Y$1,'Datos Iniciales'!$E$34:$O$64,AG$158,FALSE())*AG72</f>
        <v>0</v>
      </c>
      <c r="AH170" s="196" t="n">
        <f aca="false">VLOOKUP($Y$1,'Datos Iniciales'!$E$34:$O$64,AH$158,FALSE())*AH72</f>
        <v>0</v>
      </c>
      <c r="AI170" s="197" t="n">
        <f aca="false">VLOOKUP($Y$1,'Datos Iniciales'!$E$34:$O$64,AI$158,FALSE())*AI72</f>
        <v>0</v>
      </c>
      <c r="AJ170" s="194" t="str">
        <f aca="false">Y170</f>
        <v>Alumno11</v>
      </c>
      <c r="AK170" s="208" t="n">
        <f aca="false">VLOOKUP($AJ$1,'Datos Iniciales'!$E$34:$O$64,AK$158,FALSE())*AK72</f>
        <v>0.9</v>
      </c>
      <c r="AL170" s="196" t="n">
        <f aca="false">VLOOKUP($AJ$1,'Datos Iniciales'!$E$34:$O$64,AL$158,FALSE())*AL72</f>
        <v>2.7</v>
      </c>
      <c r="AM170" s="196" t="n">
        <f aca="false">VLOOKUP($AJ$1,'Datos Iniciales'!$E$34:$O$64,AM$158,FALSE())*AM72</f>
        <v>3.15</v>
      </c>
      <c r="AN170" s="196" t="n">
        <f aca="false">VLOOKUP($AJ$1,'Datos Iniciales'!$E$34:$O$64,AN$158,FALSE())*AN72</f>
        <v>0</v>
      </c>
      <c r="AO170" s="196" t="n">
        <f aca="false">VLOOKUP($AJ$1,'Datos Iniciales'!$E$34:$O$64,AO$158,FALSE())*AO72</f>
        <v>0</v>
      </c>
      <c r="AP170" s="196" t="n">
        <f aca="false">VLOOKUP($AJ$1,'Datos Iniciales'!$E$34:$O$64,AP$158,FALSE())*AP72</f>
        <v>0</v>
      </c>
      <c r="AQ170" s="196" t="n">
        <f aca="false">VLOOKUP($AJ$1,'Datos Iniciales'!$E$34:$O$64,AQ$158,FALSE())*AQ72</f>
        <v>0</v>
      </c>
      <c r="AR170" s="196" t="n">
        <f aca="false">VLOOKUP($AJ$1,'Datos Iniciales'!$E$34:$O$64,AR$158,FALSE())*AR72</f>
        <v>0</v>
      </c>
      <c r="AS170" s="196" t="n">
        <f aca="false">VLOOKUP($AJ$1,'Datos Iniciales'!$E$34:$O$64,AS$158,FALSE())*AS72</f>
        <v>0</v>
      </c>
      <c r="AT170" s="197" t="n">
        <f aca="false">VLOOKUP($AJ$1,'Datos Iniciales'!$E$34:$O$64,AT$158,FALSE())*AT72</f>
        <v>0</v>
      </c>
      <c r="AU170" s="194" t="str">
        <f aca="false">AJ170</f>
        <v>Alumno11</v>
      </c>
      <c r="AV170" s="208" t="n">
        <f aca="false">VLOOKUP($AU$1,'Datos Iniciales'!$E$34:$O$64,AV$158,FALSE())*AV72</f>
        <v>0.4</v>
      </c>
      <c r="AW170" s="196" t="n">
        <f aca="false">VLOOKUP($AU$1,'Datos Iniciales'!$E$34:$O$64,AW$158,FALSE())*AW72</f>
        <v>0.5</v>
      </c>
      <c r="AX170" s="196" t="n">
        <f aca="false">VLOOKUP($AU$1,'Datos Iniciales'!$E$34:$O$64,AX$158,FALSE())*AX72</f>
        <v>1.56</v>
      </c>
      <c r="AY170" s="196" t="n">
        <f aca="false">VLOOKUP($AU$1,'Datos Iniciales'!$E$34:$O$64,AY$158,FALSE())*AY72</f>
        <v>0.9</v>
      </c>
      <c r="AZ170" s="196" t="n">
        <f aca="false">VLOOKUP($AU$1,'Datos Iniciales'!$E$34:$O$64,AZ$158,FALSE())*AZ72</f>
        <v>0</v>
      </c>
      <c r="BA170" s="196" t="n">
        <f aca="false">VLOOKUP($AU$1,'Datos Iniciales'!$E$34:$O$64,BA$158,FALSE())*BA72</f>
        <v>0</v>
      </c>
      <c r="BB170" s="196" t="n">
        <f aca="false">VLOOKUP($AU$1,'Datos Iniciales'!$E$34:$O$64,BB$158,FALSE())*BB72</f>
        <v>0</v>
      </c>
      <c r="BC170" s="196" t="n">
        <f aca="false">VLOOKUP($AU$1,'Datos Iniciales'!$E$34:$O$64,BC$158,FALSE())*BC72</f>
        <v>0</v>
      </c>
      <c r="BD170" s="196" t="n">
        <f aca="false">VLOOKUP($AU$1,'Datos Iniciales'!$E$34:$O$64,BD$158,FALSE())*BD72</f>
        <v>0</v>
      </c>
      <c r="BE170" s="197" t="n">
        <f aca="false">VLOOKUP($AU$1,'Datos Iniciales'!$E$34:$O$64,BE$158,FALSE())*BE72</f>
        <v>0</v>
      </c>
      <c r="BF170" s="194" t="str">
        <f aca="false">AU170</f>
        <v>Alumno11</v>
      </c>
      <c r="BG170" s="208" t="n">
        <f aca="false">VLOOKUP($BF$1,'Datos Iniciales'!$E$34:$O$64,BG$158,FALSE())*BG72</f>
        <v>0.8</v>
      </c>
      <c r="BH170" s="196" t="n">
        <f aca="false">VLOOKUP($BF$1,'Datos Iniciales'!$E$34:$O$64,BH$158,FALSE())*BH72</f>
        <v>0.75</v>
      </c>
      <c r="BI170" s="196" t="n">
        <f aca="false">VLOOKUP($BF$1,'Datos Iniciales'!$E$34:$O$64,BI$158,FALSE())*BI72</f>
        <v>0.7</v>
      </c>
      <c r="BJ170" s="196" t="n">
        <f aca="false">VLOOKUP($BF$1,'Datos Iniciales'!$E$34:$O$64,BJ$158,FALSE())*BJ72</f>
        <v>2.8</v>
      </c>
      <c r="BK170" s="196" t="n">
        <f aca="false">VLOOKUP($BF$1,'Datos Iniciales'!$E$34:$O$64,BK$158,FALSE())*BK72</f>
        <v>0</v>
      </c>
      <c r="BL170" s="196" t="n">
        <f aca="false">VLOOKUP($BF$1,'Datos Iniciales'!$E$34:$O$64,BL$158,FALSE())*BL72</f>
        <v>0</v>
      </c>
      <c r="BM170" s="196" t="n">
        <f aca="false">VLOOKUP($BF$1,'Datos Iniciales'!$E$34:$O$64,BM$158,FALSE())*BM72</f>
        <v>0</v>
      </c>
      <c r="BN170" s="196" t="n">
        <f aca="false">VLOOKUP($BF$1,'Datos Iniciales'!$E$34:$O$64,BN$158,FALSE())*BN72</f>
        <v>0</v>
      </c>
      <c r="BO170" s="196" t="n">
        <f aca="false">VLOOKUP($BF$1,'Datos Iniciales'!$E$34:$O$64,BO$158,FALSE())*BO72</f>
        <v>0</v>
      </c>
      <c r="BP170" s="197" t="n">
        <f aca="false">VLOOKUP($BF$1,'Datos Iniciales'!$E$34:$O$64,BP$158,FALSE())*BP72</f>
        <v>0</v>
      </c>
      <c r="BQ170" s="194" t="str">
        <f aca="false">BF170</f>
        <v>Alumno11</v>
      </c>
      <c r="BR170" s="208" t="n">
        <f aca="false">VLOOKUP($BQ$1,'Datos Iniciales'!$E$34:$O$64,BR$158,FALSE())*BR72</f>
        <v>0</v>
      </c>
      <c r="BS170" s="196" t="n">
        <f aca="false">VLOOKUP($BQ$1,'Datos Iniciales'!$E$34:$O$64,BS$158,FALSE())*BS72</f>
        <v>0.25</v>
      </c>
      <c r="BT170" s="196" t="n">
        <f aca="false">VLOOKUP($BQ$1,'Datos Iniciales'!$E$34:$O$64,BT$158,FALSE())*BT72</f>
        <v>0.75</v>
      </c>
      <c r="BU170" s="196" t="n">
        <f aca="false">VLOOKUP($BQ$1,'Datos Iniciales'!$E$34:$O$64,BU$158,FALSE())*BU72</f>
        <v>2.5</v>
      </c>
      <c r="BV170" s="196" t="n">
        <f aca="false">VLOOKUP($BQ$1,'Datos Iniciales'!$E$34:$O$64,BV$158,FALSE())*BV72</f>
        <v>0</v>
      </c>
      <c r="BW170" s="196" t="n">
        <f aca="false">VLOOKUP($BQ$1,'Datos Iniciales'!$E$34:$O$64,BW$158,FALSE())*BW72</f>
        <v>0</v>
      </c>
      <c r="BX170" s="196" t="n">
        <f aca="false">VLOOKUP($BQ$1,'Datos Iniciales'!$E$34:$O$64,BX$158,FALSE())*BX72</f>
        <v>0</v>
      </c>
      <c r="BY170" s="196" t="n">
        <f aca="false">VLOOKUP($BQ$1,'Datos Iniciales'!$E$34:$O$64,BY$158,FALSE())*BY72</f>
        <v>0</v>
      </c>
      <c r="BZ170" s="196" t="n">
        <f aca="false">VLOOKUP($BQ$1,'Datos Iniciales'!$E$34:$O$64,BZ$158,FALSE())*BZ72</f>
        <v>0</v>
      </c>
      <c r="CA170" s="197" t="n">
        <f aca="false">VLOOKUP($BQ$1,'Datos Iniciales'!$E$34:$O$64,CA$158,FALSE())*CA72</f>
        <v>0</v>
      </c>
      <c r="CB170" s="194" t="str">
        <f aca="false">BQ170</f>
        <v>Alumno11</v>
      </c>
      <c r="CC170" s="208" t="n">
        <f aca="false">VLOOKUP($CB$1,'Datos Iniciales'!$E$34:$O$64,CC$158,FALSE())*CC72</f>
        <v>0</v>
      </c>
      <c r="CD170" s="196" t="n">
        <f aca="false">VLOOKUP($CB$1,'Datos Iniciales'!$E$34:$O$64,CD$158,FALSE())*CD72</f>
        <v>0</v>
      </c>
      <c r="CE170" s="196" t="n">
        <f aca="false">VLOOKUP($CB$1,'Datos Iniciales'!$E$34:$O$64,CE$158,FALSE())*CE72</f>
        <v>0</v>
      </c>
      <c r="CF170" s="196" t="n">
        <f aca="false">VLOOKUP($CB$1,'Datos Iniciales'!$E$34:$O$64,CF$158,FALSE())*CF72</f>
        <v>0</v>
      </c>
      <c r="CG170" s="196" t="n">
        <f aca="false">VLOOKUP($CB$1,'Datos Iniciales'!$E$34:$O$64,CG$158,FALSE())*CG72</f>
        <v>0</v>
      </c>
      <c r="CH170" s="196" t="n">
        <f aca="false">VLOOKUP($CB$1,'Datos Iniciales'!$E$34:$O$64,CH$158,FALSE())*CH72</f>
        <v>0</v>
      </c>
      <c r="CI170" s="196" t="n">
        <f aca="false">VLOOKUP($CB$1,'Datos Iniciales'!$E$34:$O$64,CI$158,FALSE())*CI72</f>
        <v>0</v>
      </c>
      <c r="CJ170" s="196" t="n">
        <f aca="false">VLOOKUP($CB$1,'Datos Iniciales'!$E$34:$O$64,CJ$158,FALSE())*CJ72</f>
        <v>0</v>
      </c>
      <c r="CK170" s="196" t="n">
        <f aca="false">VLOOKUP($CB$1,'Datos Iniciales'!$E$34:$O$64,CK$158,FALSE())*CK72</f>
        <v>0</v>
      </c>
      <c r="CL170" s="197" t="n">
        <f aca="false">VLOOKUP($CB$1,'Datos Iniciales'!$E$34:$O$64,CL$158,FALSE())*CL72</f>
        <v>0</v>
      </c>
      <c r="CM170" s="194" t="str">
        <f aca="false">CB170</f>
        <v>Alumno11</v>
      </c>
      <c r="CN170" s="208" t="n">
        <f aca="false">VLOOKUP($CM$1,'Datos Iniciales'!$E$34:$O$64,CN$158,FALSE())*CN72</f>
        <v>0</v>
      </c>
      <c r="CO170" s="196" t="n">
        <f aca="false">VLOOKUP($CM$1,'Datos Iniciales'!$E$34:$O$64,CO$158,FALSE())*CO72</f>
        <v>0</v>
      </c>
      <c r="CP170" s="196" t="n">
        <f aca="false">VLOOKUP($CM$1,'Datos Iniciales'!$E$34:$O$64,CP$158,FALSE())*CP72</f>
        <v>0</v>
      </c>
      <c r="CQ170" s="196" t="n">
        <f aca="false">VLOOKUP($CM$1,'Datos Iniciales'!$E$34:$O$64,CQ$158,FALSE())*CQ72</f>
        <v>0</v>
      </c>
      <c r="CR170" s="196" t="n">
        <f aca="false">VLOOKUP($CM$1,'Datos Iniciales'!$E$34:$O$64,CR$158,FALSE())*CR72</f>
        <v>0</v>
      </c>
      <c r="CS170" s="196" t="n">
        <f aca="false">VLOOKUP($CM$1,'Datos Iniciales'!$E$34:$O$64,CS$158,FALSE())*CS72</f>
        <v>0</v>
      </c>
      <c r="CT170" s="196" t="n">
        <f aca="false">VLOOKUP($CM$1,'Datos Iniciales'!$E$34:$O$64,CT$158,FALSE())*CT72</f>
        <v>0</v>
      </c>
      <c r="CU170" s="196" t="n">
        <f aca="false">VLOOKUP($CM$1,'Datos Iniciales'!$E$34:$O$64,CU$158,FALSE())*CU72</f>
        <v>0</v>
      </c>
      <c r="CV170" s="196" t="n">
        <f aca="false">VLOOKUP($CM$1,'Datos Iniciales'!$E$34:$O$64,CV$158,FALSE())*CV72</f>
        <v>0</v>
      </c>
      <c r="CW170" s="197" t="n">
        <f aca="false">VLOOKUP($CM$1,'Datos Iniciales'!$E$34:$O$64,CW$158,FALSE())*CW72</f>
        <v>0</v>
      </c>
      <c r="CX170" s="194" t="str">
        <f aca="false">CM170</f>
        <v>Alumno11</v>
      </c>
      <c r="CY170" s="208" t="n">
        <f aca="false">VLOOKUP($CX$1,'Datos Iniciales'!$E$34:$O$64,CY$158,FALSE())*CY72</f>
        <v>0</v>
      </c>
      <c r="CZ170" s="196" t="n">
        <f aca="false">VLOOKUP($CX$1,'Datos Iniciales'!$E$34:$O$64,CZ$158,FALSE())*CZ72</f>
        <v>0</v>
      </c>
      <c r="DA170" s="196" t="n">
        <f aca="false">VLOOKUP($CX$1,'Datos Iniciales'!$E$34:$O$64,DA$158,FALSE())*DA72</f>
        <v>0</v>
      </c>
      <c r="DB170" s="196" t="n">
        <f aca="false">VLOOKUP($CX$1,'Datos Iniciales'!$E$34:$O$64,DB$158,FALSE())*DB72</f>
        <v>0</v>
      </c>
      <c r="DC170" s="196" t="n">
        <f aca="false">VLOOKUP($CX$1,'Datos Iniciales'!$E$34:$O$64,DC$158,FALSE())*DC72</f>
        <v>0</v>
      </c>
      <c r="DD170" s="196" t="n">
        <f aca="false">VLOOKUP($CX$1,'Datos Iniciales'!$E$34:$O$64,DD$158,FALSE())*DD72</f>
        <v>0</v>
      </c>
      <c r="DE170" s="196" t="n">
        <f aca="false">VLOOKUP($CX$1,'Datos Iniciales'!$E$34:$O$64,DE$158,FALSE())*DE72</f>
        <v>0</v>
      </c>
      <c r="DF170" s="196" t="n">
        <f aca="false">VLOOKUP($CX$1,'Datos Iniciales'!$E$34:$O$64,DF$158,FALSE())*DF72</f>
        <v>0</v>
      </c>
      <c r="DG170" s="196" t="n">
        <f aca="false">VLOOKUP($CX$1,'Datos Iniciales'!$E$34:$O$64,DG$158,FALSE())*DG72</f>
        <v>0</v>
      </c>
      <c r="DH170" s="197" t="n">
        <f aca="false">VLOOKUP($CX$1,'Datos Iniciales'!$E$34:$O$64,DH$158,FALSE())*DH72</f>
        <v>0</v>
      </c>
      <c r="DI170" s="194" t="str">
        <f aca="false">CX170</f>
        <v>Alumno11</v>
      </c>
      <c r="DJ170" s="208" t="n">
        <f aca="false">VLOOKUP($DI$1,'Datos Iniciales'!$E$34:$O$64,DJ$158,FALSE())*DJ72</f>
        <v>0</v>
      </c>
      <c r="DK170" s="196" t="n">
        <f aca="false">VLOOKUP($DI$1,'Datos Iniciales'!$E$34:$O$64,DK$158,FALSE())*DK72</f>
        <v>0</v>
      </c>
      <c r="DL170" s="196" t="n">
        <f aca="false">VLOOKUP($DI$1,'Datos Iniciales'!$E$34:$O$64,DL$158,FALSE())*DL72</f>
        <v>0</v>
      </c>
      <c r="DM170" s="196" t="n">
        <f aca="false">VLOOKUP($DI$1,'Datos Iniciales'!$E$34:$O$64,DM$158,FALSE())*DM72</f>
        <v>0</v>
      </c>
      <c r="DN170" s="196" t="n">
        <f aca="false">VLOOKUP($DI$1,'Datos Iniciales'!$E$34:$O$64,DN$158,FALSE())*DN72</f>
        <v>0</v>
      </c>
      <c r="DO170" s="196" t="n">
        <f aca="false">VLOOKUP($DI$1,'Datos Iniciales'!$E$34:$O$64,DO$158,FALSE())*DO72</f>
        <v>0</v>
      </c>
      <c r="DP170" s="196" t="n">
        <f aca="false">VLOOKUP($DI$1,'Datos Iniciales'!$E$34:$O$64,DP$158,FALSE())*DP72</f>
        <v>0</v>
      </c>
      <c r="DQ170" s="196" t="n">
        <f aca="false">VLOOKUP($DI$1,'Datos Iniciales'!$E$34:$O$64,DQ$158,FALSE())*DQ72</f>
        <v>0</v>
      </c>
      <c r="DR170" s="196" t="n">
        <f aca="false">VLOOKUP($DI$1,'Datos Iniciales'!$E$34:$O$64,DR$158,FALSE())*DR72</f>
        <v>0</v>
      </c>
      <c r="DS170" s="197" t="n">
        <f aca="false">VLOOKUP($DI$1,'Datos Iniciales'!$E$34:$O$64,DS$158,FALSE())*DS72</f>
        <v>0</v>
      </c>
      <c r="DT170" s="194" t="str">
        <f aca="false">DI170</f>
        <v>Alumno11</v>
      </c>
      <c r="DU170" s="208" t="n">
        <f aca="false">VLOOKUP($DT$1,'Datos Iniciales'!$E$34:$O$64,DU$158,FALSE())*DU72</f>
        <v>0</v>
      </c>
      <c r="DV170" s="196" t="n">
        <f aca="false">VLOOKUP($DT$1,'Datos Iniciales'!$E$34:$O$64,DV$158,FALSE())*DV72</f>
        <v>0</v>
      </c>
      <c r="DW170" s="196" t="n">
        <f aca="false">VLOOKUP($DT$1,'Datos Iniciales'!$E$34:$O$64,DW$158,FALSE())*DW72</f>
        <v>0</v>
      </c>
      <c r="DX170" s="196" t="n">
        <f aca="false">VLOOKUP($DT$1,'Datos Iniciales'!$E$34:$O$64,DX$158,FALSE())*DX72</f>
        <v>0</v>
      </c>
      <c r="DY170" s="196" t="n">
        <f aca="false">VLOOKUP($DT$1,'Datos Iniciales'!$E$34:$O$64,DY$158,FALSE())*DY72</f>
        <v>0</v>
      </c>
      <c r="DZ170" s="196" t="n">
        <f aca="false">VLOOKUP($DT$1,'Datos Iniciales'!$E$34:$O$64,DZ$158,FALSE())*DZ72</f>
        <v>0</v>
      </c>
      <c r="EA170" s="196" t="n">
        <f aca="false">VLOOKUP($DT$1,'Datos Iniciales'!$E$34:$O$64,EA$158,FALSE())*EA72</f>
        <v>0</v>
      </c>
      <c r="EB170" s="196" t="n">
        <f aca="false">VLOOKUP($DT$1,'Datos Iniciales'!$E$34:$O$64,EB$158,FALSE())*EB72</f>
        <v>0</v>
      </c>
      <c r="EC170" s="196" t="n">
        <f aca="false">VLOOKUP($DT$1,'Datos Iniciales'!$E$34:$O$64,EC$158,FALSE())*EC72</f>
        <v>0</v>
      </c>
      <c r="ED170" s="197" t="n">
        <f aca="false">VLOOKUP($DT$1,'Datos Iniciales'!$E$34:$O$64,ED$158,FALSE())*ED72</f>
        <v>0</v>
      </c>
      <c r="EE170" s="194" t="str">
        <f aca="false">DT170</f>
        <v>Alumno11</v>
      </c>
      <c r="EF170" s="208" t="n">
        <f aca="false">VLOOKUP($EE$1,'Datos Iniciales'!$E$34:$O$64,EF$158,FALSE())*EF72</f>
        <v>0</v>
      </c>
      <c r="EG170" s="196" t="n">
        <f aca="false">VLOOKUP($EE$1,'Datos Iniciales'!$E$34:$O$64,EG$158,FALSE())*EG72</f>
        <v>0</v>
      </c>
      <c r="EH170" s="196" t="n">
        <f aca="false">VLOOKUP($EE$1,'Datos Iniciales'!$E$34:$O$64,EH$158,FALSE())*EH72</f>
        <v>0</v>
      </c>
      <c r="EI170" s="196" t="n">
        <f aca="false">VLOOKUP($EE$1,'Datos Iniciales'!$E$34:$O$64,EI$158,FALSE())*EI72</f>
        <v>0</v>
      </c>
      <c r="EJ170" s="196" t="n">
        <f aca="false">VLOOKUP($EE$1,'Datos Iniciales'!$E$34:$O$64,EJ$158,FALSE())*EJ72</f>
        <v>0</v>
      </c>
      <c r="EK170" s="196" t="n">
        <f aca="false">VLOOKUP($EE$1,'Datos Iniciales'!$E$34:$O$64,EK$158,FALSE())*EK72</f>
        <v>0</v>
      </c>
      <c r="EL170" s="196" t="n">
        <f aca="false">VLOOKUP($EE$1,'Datos Iniciales'!$E$34:$O$64,EL$158,FALSE())*EL72</f>
        <v>0</v>
      </c>
      <c r="EM170" s="196" t="n">
        <f aca="false">VLOOKUP($EE$1,'Datos Iniciales'!$E$34:$O$64,EM$158,FALSE())*EM72</f>
        <v>0</v>
      </c>
      <c r="EN170" s="196" t="n">
        <f aca="false">VLOOKUP($EE$1,'Datos Iniciales'!$E$34:$O$64,EN$158,FALSE())*EN72</f>
        <v>0</v>
      </c>
      <c r="EO170" s="197" t="n">
        <f aca="false">VLOOKUP($EE$1,'Datos Iniciales'!$E$34:$O$64,EO$158,FALSE())*EO72</f>
        <v>0</v>
      </c>
      <c r="EP170" s="194" t="str">
        <f aca="false">EE170</f>
        <v>Alumno11</v>
      </c>
      <c r="EQ170" s="208" t="n">
        <f aca="false">VLOOKUP($EP$1,'Datos Iniciales'!$E$34:$O$64,EQ$158,FALSE())*EQ72</f>
        <v>0</v>
      </c>
      <c r="ER170" s="196" t="n">
        <f aca="false">VLOOKUP($EP$1,'Datos Iniciales'!$E$34:$O$64,ER$158,FALSE())*ER72</f>
        <v>0</v>
      </c>
      <c r="ES170" s="196" t="n">
        <f aca="false">VLOOKUP($EP$1,'Datos Iniciales'!$E$34:$O$64,ES$158,FALSE())*ES72</f>
        <v>0</v>
      </c>
      <c r="ET170" s="196" t="n">
        <f aca="false">VLOOKUP($EP$1,'Datos Iniciales'!$E$34:$O$64,ET$158,FALSE())*ET72</f>
        <v>0</v>
      </c>
      <c r="EU170" s="196" t="n">
        <f aca="false">VLOOKUP($EP$1,'Datos Iniciales'!$E$34:$O$64,EU$158,FALSE())*EU72</f>
        <v>0</v>
      </c>
      <c r="EV170" s="196" t="n">
        <f aca="false">VLOOKUP($EP$1,'Datos Iniciales'!$E$34:$O$64,EV$158,FALSE())*EV72</f>
        <v>0</v>
      </c>
      <c r="EW170" s="196" t="n">
        <f aca="false">VLOOKUP($EP$1,'Datos Iniciales'!$E$34:$O$64,EW$158,FALSE())*EW72</f>
        <v>0</v>
      </c>
      <c r="EX170" s="196" t="n">
        <f aca="false">VLOOKUP($EP$1,'Datos Iniciales'!$E$34:$O$64,EX$158,FALSE())*EX72</f>
        <v>0</v>
      </c>
      <c r="EY170" s="196" t="n">
        <f aca="false">VLOOKUP($EP$1,'Datos Iniciales'!$E$34:$O$64,EY$158,FALSE())*EY72</f>
        <v>0</v>
      </c>
      <c r="EZ170" s="197" t="n">
        <f aca="false">VLOOKUP($EP$1,'Datos Iniciales'!$E$34:$O$64,EZ$158,FALSE())*EZ72</f>
        <v>0</v>
      </c>
      <c r="FA170" s="194" t="str">
        <f aca="false">EP170</f>
        <v>Alumno11</v>
      </c>
      <c r="FB170" s="208" t="n">
        <f aca="false">VLOOKUP($FA$1,'Datos Iniciales'!$E$34:$O$64,FB$158,FALSE())*FB72</f>
        <v>0</v>
      </c>
      <c r="FC170" s="196" t="n">
        <f aca="false">VLOOKUP($FA$1,'Datos Iniciales'!$E$34:$O$64,FC$158,FALSE())*FC72</f>
        <v>0</v>
      </c>
      <c r="FD170" s="196" t="n">
        <f aca="false">VLOOKUP($FA$1,'Datos Iniciales'!$E$34:$O$64,FD$158,FALSE())*FD72</f>
        <v>0</v>
      </c>
      <c r="FE170" s="196" t="n">
        <f aca="false">VLOOKUP($FA$1,'Datos Iniciales'!$E$34:$O$64,FE$158,FALSE())*FE72</f>
        <v>0</v>
      </c>
      <c r="FF170" s="196" t="n">
        <f aca="false">VLOOKUP($FA$1,'Datos Iniciales'!$E$34:$O$64,FF$158,FALSE())*FF72</f>
        <v>0</v>
      </c>
      <c r="FG170" s="196" t="n">
        <f aca="false">VLOOKUP($FA$1,'Datos Iniciales'!$E$34:$O$64,FG$158,FALSE())*FG72</f>
        <v>0</v>
      </c>
      <c r="FH170" s="196" t="n">
        <f aca="false">VLOOKUP($FA$1,'Datos Iniciales'!$E$34:$O$64,FH$158,FALSE())*FH72</f>
        <v>0</v>
      </c>
      <c r="FI170" s="196" t="n">
        <f aca="false">VLOOKUP($FA$1,'Datos Iniciales'!$E$34:$O$64,FI$158,FALSE())*FI72</f>
        <v>0</v>
      </c>
      <c r="FJ170" s="196" t="n">
        <f aca="false">VLOOKUP($FA$1,'Datos Iniciales'!$E$34:$O$64,FJ$158,FALSE())*FJ72</f>
        <v>0</v>
      </c>
      <c r="FK170" s="197" t="n">
        <f aca="false">VLOOKUP($FA$1,'Datos Iniciales'!$E$34:$O$64,FK$158,FALSE())*FK72</f>
        <v>0</v>
      </c>
      <c r="FL170" s="194" t="str">
        <f aca="false">FA170</f>
        <v>Alumno11</v>
      </c>
      <c r="FM170" s="208" t="n">
        <f aca="false">VLOOKUP($FL$1,'Datos Iniciales'!$E$34:$O$64,FM$158,FALSE())*FM72</f>
        <v>0</v>
      </c>
      <c r="FN170" s="196" t="n">
        <f aca="false">VLOOKUP($FL$1,'Datos Iniciales'!$E$34:$O$64,FN$158,FALSE())*FN72</f>
        <v>0</v>
      </c>
      <c r="FO170" s="196" t="n">
        <f aca="false">VLOOKUP($FL$1,'Datos Iniciales'!$E$34:$O$64,FO$158,FALSE())*FO72</f>
        <v>0</v>
      </c>
      <c r="FP170" s="196" t="n">
        <f aca="false">VLOOKUP($FL$1,'Datos Iniciales'!$E$34:$O$64,FP$158,FALSE())*FP72</f>
        <v>0</v>
      </c>
      <c r="FQ170" s="196" t="n">
        <f aca="false">VLOOKUP($FL$1,'Datos Iniciales'!$E$34:$O$64,FQ$158,FALSE())*FQ72</f>
        <v>0</v>
      </c>
      <c r="FR170" s="196" t="n">
        <f aca="false">VLOOKUP($FL$1,'Datos Iniciales'!$E$34:$O$64,FR$158,FALSE())*FR72</f>
        <v>0</v>
      </c>
      <c r="FS170" s="196" t="n">
        <f aca="false">VLOOKUP($FL$1,'Datos Iniciales'!$E$34:$O$64,FS$158,FALSE())*FS72</f>
        <v>0</v>
      </c>
      <c r="FT170" s="196" t="n">
        <f aca="false">VLOOKUP($FL$1,'Datos Iniciales'!$E$34:$O$64,FT$158,FALSE())*FT72</f>
        <v>0</v>
      </c>
      <c r="FU170" s="196" t="n">
        <f aca="false">VLOOKUP($FL$1,'Datos Iniciales'!$E$34:$O$64,FU$158,FALSE())*FU72</f>
        <v>0</v>
      </c>
      <c r="FV170" s="197" t="n">
        <f aca="false">VLOOKUP($FL$1,'Datos Iniciales'!$E$34:$O$64,FV$158,FALSE())*FV72</f>
        <v>0</v>
      </c>
      <c r="FW170" s="194" t="str">
        <f aca="false">FL170</f>
        <v>Alumno11</v>
      </c>
      <c r="FX170" s="208" t="n">
        <f aca="false">VLOOKUP($FW$1,'Datos Iniciales'!$E$34:$O$64,FX$158,FALSE())*FX72</f>
        <v>0</v>
      </c>
      <c r="FY170" s="196" t="n">
        <f aca="false">VLOOKUP($FW$1,'Datos Iniciales'!$E$34:$O$64,FY$158,FALSE())*FY72</f>
        <v>0</v>
      </c>
      <c r="FZ170" s="196" t="n">
        <f aca="false">VLOOKUP($FW$1,'Datos Iniciales'!$E$34:$O$64,FZ$158,FALSE())*FZ72</f>
        <v>0</v>
      </c>
      <c r="GA170" s="196" t="n">
        <f aca="false">VLOOKUP($FW$1,'Datos Iniciales'!$E$34:$O$64,GA$158,FALSE())*GA72</f>
        <v>0</v>
      </c>
      <c r="GB170" s="196" t="n">
        <f aca="false">VLOOKUP($FW$1,'Datos Iniciales'!$E$34:$O$64,GB$158,FALSE())*GB72</f>
        <v>0</v>
      </c>
      <c r="GC170" s="196" t="n">
        <f aca="false">VLOOKUP($FW$1,'Datos Iniciales'!$E$34:$O$64,GC$158,FALSE())*GC72</f>
        <v>0</v>
      </c>
      <c r="GD170" s="196" t="n">
        <f aca="false">VLOOKUP($FW$1,'Datos Iniciales'!$E$34:$O$64,GD$158,FALSE())*GD72</f>
        <v>0</v>
      </c>
      <c r="GE170" s="196" t="n">
        <f aca="false">VLOOKUP($FW$1,'Datos Iniciales'!$E$34:$O$64,GE$158,FALSE())*GE72</f>
        <v>0</v>
      </c>
      <c r="GF170" s="196" t="n">
        <f aca="false">VLOOKUP($FW$1,'Datos Iniciales'!$E$34:$O$64,GF$158,FALSE())*GF72</f>
        <v>0</v>
      </c>
      <c r="GG170" s="197" t="n">
        <f aca="false">VLOOKUP($FW$1,'Datos Iniciales'!$E$34:$O$64,GG$158,FALSE())*GG72</f>
        <v>0</v>
      </c>
      <c r="GH170" s="194" t="str">
        <f aca="false">FW170</f>
        <v>Alumno11</v>
      </c>
      <c r="GI170" s="208" t="n">
        <f aca="false">VLOOKUP($GH$1,'Datos Iniciales'!$E$34:$O$64,GI$158,FALSE())*GI72</f>
        <v>0</v>
      </c>
      <c r="GJ170" s="196" t="n">
        <f aca="false">VLOOKUP($GH$1,'Datos Iniciales'!$E$34:$O$64,GJ$158,FALSE())*GJ72</f>
        <v>0</v>
      </c>
      <c r="GK170" s="196" t="n">
        <f aca="false">VLOOKUP($GH$1,'Datos Iniciales'!$E$34:$O$64,GK$158,FALSE())*GK72</f>
        <v>0</v>
      </c>
      <c r="GL170" s="196" t="n">
        <f aca="false">VLOOKUP($GH$1,'Datos Iniciales'!$E$34:$O$64,GL$158,FALSE())*GL72</f>
        <v>0</v>
      </c>
      <c r="GM170" s="196" t="n">
        <f aca="false">VLOOKUP($GH$1,'Datos Iniciales'!$E$34:$O$64,GM$158,FALSE())*GM72</f>
        <v>0</v>
      </c>
      <c r="GN170" s="196" t="n">
        <f aca="false">VLOOKUP($GH$1,'Datos Iniciales'!$E$34:$O$64,GN$158,FALSE())*GN72</f>
        <v>0</v>
      </c>
      <c r="GO170" s="196" t="n">
        <f aca="false">VLOOKUP($GH$1,'Datos Iniciales'!$E$34:$O$64,GO$158,FALSE())*GO72</f>
        <v>0</v>
      </c>
      <c r="GP170" s="196" t="n">
        <f aca="false">VLOOKUP($GH$1,'Datos Iniciales'!$E$34:$O$64,GP$158,FALSE())*GP72</f>
        <v>0</v>
      </c>
      <c r="GQ170" s="196" t="n">
        <f aca="false">VLOOKUP($GH$1,'Datos Iniciales'!$E$34:$O$64,GQ$158,FALSE())*GQ72</f>
        <v>0</v>
      </c>
      <c r="GR170" s="197" t="n">
        <f aca="false">VLOOKUP($GH$1,'Datos Iniciales'!$E$34:$O$64,GR$158,FALSE())*GR72</f>
        <v>0</v>
      </c>
      <c r="GS170" s="194" t="str">
        <f aca="false">GH170</f>
        <v>Alumno11</v>
      </c>
      <c r="GT170" s="208" t="n">
        <f aca="false">VLOOKUP($GS$1,'Datos Iniciales'!$E$34:$O$64,GT$158,FALSE())*GT72</f>
        <v>0</v>
      </c>
      <c r="GU170" s="196" t="n">
        <f aca="false">VLOOKUP($GS$1,'Datos Iniciales'!$E$34:$O$64,GU$158,FALSE())*GU72</f>
        <v>0</v>
      </c>
      <c r="GV170" s="196" t="n">
        <f aca="false">VLOOKUP($GS$1,'Datos Iniciales'!$E$34:$O$64,GV$158,FALSE())*GV72</f>
        <v>0</v>
      </c>
      <c r="GW170" s="196" t="n">
        <f aca="false">VLOOKUP($GS$1,'Datos Iniciales'!$E$34:$O$64,GW$158,FALSE())*GW72</f>
        <v>0</v>
      </c>
      <c r="GX170" s="196" t="n">
        <f aca="false">VLOOKUP($GS$1,'Datos Iniciales'!$E$34:$O$64,GX$158,FALSE())*GX72</f>
        <v>0</v>
      </c>
      <c r="GY170" s="196" t="n">
        <f aca="false">VLOOKUP($GS$1,'Datos Iniciales'!$E$34:$O$64,GY$158,FALSE())*GY72</f>
        <v>0</v>
      </c>
      <c r="GZ170" s="196" t="n">
        <f aca="false">VLOOKUP($GS$1,'Datos Iniciales'!$E$34:$O$64,GZ$158,FALSE())*GZ72</f>
        <v>0</v>
      </c>
      <c r="HA170" s="196" t="n">
        <f aca="false">VLOOKUP($GS$1,'Datos Iniciales'!$E$34:$O$64,HA$158,FALSE())*HA72</f>
        <v>0</v>
      </c>
      <c r="HB170" s="196" t="n">
        <f aca="false">VLOOKUP($GS$1,'Datos Iniciales'!$E$34:$O$64,HB$158,FALSE())*HB72</f>
        <v>0</v>
      </c>
      <c r="HC170" s="197" t="n">
        <f aca="false">VLOOKUP($GS$1,'Datos Iniciales'!$E$34:$O$64,HC$158,FALSE())*HC72</f>
        <v>0</v>
      </c>
      <c r="HD170" s="194" t="str">
        <f aca="false">GS170</f>
        <v>Alumno11</v>
      </c>
      <c r="HE170" s="208" t="n">
        <f aca="false">VLOOKUP($HD$1,'Datos Iniciales'!$E$34:$O$64,HE$158,FALSE())*HE72</f>
        <v>0</v>
      </c>
      <c r="HF170" s="196" t="n">
        <f aca="false">VLOOKUP($HD$1,'Datos Iniciales'!$E$34:$O$64,HF$158,FALSE())*HF72</f>
        <v>0</v>
      </c>
      <c r="HG170" s="196" t="n">
        <f aca="false">VLOOKUP($HD$1,'Datos Iniciales'!$E$34:$O$64,HG$158,FALSE())*HG72</f>
        <v>0</v>
      </c>
      <c r="HH170" s="196" t="n">
        <f aca="false">VLOOKUP($HD$1,'Datos Iniciales'!$E$34:$O$64,HH$158,FALSE())*HH72</f>
        <v>0</v>
      </c>
      <c r="HI170" s="196" t="n">
        <f aca="false">VLOOKUP($HD$1,'Datos Iniciales'!$E$34:$O$64,HI$158,FALSE())*HI72</f>
        <v>0</v>
      </c>
      <c r="HJ170" s="196" t="n">
        <f aca="false">VLOOKUP($HD$1,'Datos Iniciales'!$E$34:$O$64,HJ$158,FALSE())*HJ72</f>
        <v>0</v>
      </c>
      <c r="HK170" s="196" t="n">
        <f aca="false">VLOOKUP($HD$1,'Datos Iniciales'!$E$34:$O$64,HK$158,FALSE())*HK72</f>
        <v>0</v>
      </c>
      <c r="HL170" s="196" t="n">
        <f aca="false">VLOOKUP($HD$1,'Datos Iniciales'!$E$34:$O$64,HL$158,FALSE())*HL72</f>
        <v>0</v>
      </c>
      <c r="HM170" s="196" t="n">
        <f aca="false">VLOOKUP($HD$1,'Datos Iniciales'!$E$34:$O$64,HM$158,FALSE())*HM72</f>
        <v>0</v>
      </c>
      <c r="HN170" s="197" t="n">
        <f aca="false">VLOOKUP($HD$1,'Datos Iniciales'!$E$34:$O$64,HN$158,FALSE())*HN72</f>
        <v>0</v>
      </c>
      <c r="HO170" s="194" t="str">
        <f aca="false">HD170</f>
        <v>Alumno11</v>
      </c>
      <c r="HP170" s="208" t="n">
        <f aca="false">VLOOKUP($HO$1,'Datos Iniciales'!$E$34:$O$64,HP$158,FALSE())*HP72</f>
        <v>0</v>
      </c>
      <c r="HQ170" s="196" t="n">
        <f aca="false">VLOOKUP($HO$1,'Datos Iniciales'!$E$34:$O$64,HQ$158,FALSE())*HQ72</f>
        <v>0</v>
      </c>
      <c r="HR170" s="196" t="n">
        <f aca="false">VLOOKUP($HO$1,'Datos Iniciales'!$E$34:$O$64,HR$158,FALSE())*HR72</f>
        <v>0</v>
      </c>
      <c r="HS170" s="196" t="n">
        <f aca="false">VLOOKUP($HO$1,'Datos Iniciales'!$E$34:$O$64,HS$158,FALSE())*HS72</f>
        <v>0</v>
      </c>
      <c r="HT170" s="196" t="n">
        <f aca="false">VLOOKUP($HO$1,'Datos Iniciales'!$E$34:$O$64,HT$158,FALSE())*HT72</f>
        <v>0</v>
      </c>
      <c r="HU170" s="196" t="n">
        <f aca="false">VLOOKUP($HO$1,'Datos Iniciales'!$E$34:$O$64,HU$158,FALSE())*HU72</f>
        <v>0</v>
      </c>
      <c r="HV170" s="196" t="n">
        <f aca="false">VLOOKUP($HO$1,'Datos Iniciales'!$E$34:$O$64,HV$158,FALSE())*HV72</f>
        <v>0</v>
      </c>
      <c r="HW170" s="196" t="n">
        <f aca="false">VLOOKUP($HO$1,'Datos Iniciales'!$E$34:$O$64,HW$158,FALSE())*HW72</f>
        <v>0</v>
      </c>
      <c r="HX170" s="196" t="n">
        <f aca="false">VLOOKUP($HO$1,'Datos Iniciales'!$E$34:$O$64,HX$158,FALSE())*HX72</f>
        <v>0</v>
      </c>
      <c r="HY170" s="197" t="n">
        <f aca="false">VLOOKUP($HO$1,'Datos Iniciales'!$E$34:$O$64,HY$158,FALSE())*HY72</f>
        <v>0</v>
      </c>
      <c r="HZ170" s="194" t="str">
        <f aca="false">HO170</f>
        <v>Alumno11</v>
      </c>
      <c r="IA170" s="208" t="n">
        <f aca="false">VLOOKUP($HZ$1,'Datos Iniciales'!$E$34:$O$64,IA$158,FALSE())*IA72</f>
        <v>0</v>
      </c>
      <c r="IB170" s="196" t="n">
        <f aca="false">VLOOKUP($HZ$1,'Datos Iniciales'!$E$34:$O$64,IB$158,FALSE())*IB72</f>
        <v>0</v>
      </c>
      <c r="IC170" s="196" t="n">
        <f aca="false">VLOOKUP($HZ$1,'Datos Iniciales'!$E$34:$O$64,IC$158,FALSE())*IC72</f>
        <v>0</v>
      </c>
      <c r="ID170" s="196" t="n">
        <f aca="false">VLOOKUP($HZ$1,'Datos Iniciales'!$E$34:$O$64,ID$158,FALSE())*ID72</f>
        <v>0</v>
      </c>
      <c r="IE170" s="196" t="n">
        <f aca="false">VLOOKUP($HZ$1,'Datos Iniciales'!$E$34:$O$64,IE$158,FALSE())*IE72</f>
        <v>0</v>
      </c>
      <c r="IF170" s="196" t="n">
        <f aca="false">VLOOKUP($HZ$1,'Datos Iniciales'!$E$34:$O$64,IF$158,FALSE())*IF72</f>
        <v>0</v>
      </c>
      <c r="IG170" s="196" t="n">
        <f aca="false">VLOOKUP($HZ$1,'Datos Iniciales'!$E$34:$O$64,IG$158,FALSE())*IG72</f>
        <v>0</v>
      </c>
      <c r="IH170" s="196" t="n">
        <f aca="false">VLOOKUP($HZ$1,'Datos Iniciales'!$E$34:$O$64,IH$158,FALSE())*IH72</f>
        <v>0</v>
      </c>
      <c r="II170" s="196" t="n">
        <f aca="false">VLOOKUP($HZ$1,'Datos Iniciales'!$E$34:$O$64,II$158,FALSE())*II72</f>
        <v>0</v>
      </c>
      <c r="IJ170" s="197" t="n">
        <f aca="false">VLOOKUP($HZ$1,'Datos Iniciales'!$E$34:$O$64,IJ$158,FALSE())*IJ72</f>
        <v>0</v>
      </c>
      <c r="IK170" s="194" t="str">
        <f aca="false">HZ170</f>
        <v>Alumno11</v>
      </c>
      <c r="IL170" s="208" t="n">
        <f aca="false">VLOOKUP($IK$1,'Datos Iniciales'!$E$34:$O$64,IL$158,FALSE())*IL72</f>
        <v>0</v>
      </c>
      <c r="IM170" s="196" t="n">
        <f aca="false">VLOOKUP($IK$1,'Datos Iniciales'!$E$34:$O$64,IM$158,FALSE())*IM72</f>
        <v>0</v>
      </c>
      <c r="IN170" s="196" t="n">
        <f aca="false">VLOOKUP($IK$1,'Datos Iniciales'!$E$34:$O$64,IN$158,FALSE())*IN72</f>
        <v>0</v>
      </c>
      <c r="IO170" s="196" t="n">
        <f aca="false">VLOOKUP($IK$1,'Datos Iniciales'!$E$34:$O$64,IO$158,FALSE())*IO72</f>
        <v>0</v>
      </c>
      <c r="IP170" s="196" t="n">
        <f aca="false">VLOOKUP($IK$1,'Datos Iniciales'!$E$34:$O$64,IP$158,FALSE())*IP72</f>
        <v>0</v>
      </c>
      <c r="IQ170" s="196" t="n">
        <f aca="false">VLOOKUP($IK$1,'Datos Iniciales'!$E$34:$O$64,IQ$158,FALSE())*IQ72</f>
        <v>0</v>
      </c>
      <c r="IR170" s="196" t="n">
        <f aca="false">VLOOKUP($IK$1,'Datos Iniciales'!$E$34:$O$64,IR$158,FALSE())*IR72</f>
        <v>0</v>
      </c>
      <c r="IS170" s="196" t="n">
        <f aca="false">VLOOKUP($IK$1,'Datos Iniciales'!$E$34:$O$64,IS$158,FALSE())*IS72</f>
        <v>0</v>
      </c>
      <c r="IT170" s="196" t="n">
        <f aca="false">VLOOKUP($IK$1,'Datos Iniciales'!$E$34:$O$64,IT$158,FALSE())*IT72</f>
        <v>0</v>
      </c>
      <c r="IU170" s="197" t="n">
        <f aca="false">VLOOKUP($IK$1,'Datos Iniciales'!$E$34:$O$64,IU$158,FALSE())*IU72</f>
        <v>0</v>
      </c>
      <c r="IV170" s="194" t="str">
        <f aca="false">IK170</f>
        <v>Alumno11</v>
      </c>
      <c r="IW170" s="208" t="n">
        <f aca="false">VLOOKUP($IV$1,'Datos Iniciales'!$E$34:$O$64,IW$158,FALSE())*IW72</f>
        <v>0</v>
      </c>
      <c r="IX170" s="196" t="n">
        <f aca="false">VLOOKUP($IV$1,'Datos Iniciales'!$E$34:$O$64,IX$158,FALSE())*IX72</f>
        <v>0</v>
      </c>
      <c r="IY170" s="196" t="n">
        <f aca="false">VLOOKUP($IV$1,'Datos Iniciales'!$E$34:$O$64,IY$158,FALSE())*IY72</f>
        <v>0</v>
      </c>
      <c r="IZ170" s="196" t="n">
        <f aca="false">VLOOKUP($IV$1,'Datos Iniciales'!$E$34:$O$64,IZ$158,FALSE())*IZ72</f>
        <v>0</v>
      </c>
      <c r="JA170" s="196" t="n">
        <f aca="false">VLOOKUP($IV$1,'Datos Iniciales'!$E$34:$O$64,JA$158,FALSE())*JA72</f>
        <v>0</v>
      </c>
      <c r="JB170" s="196" t="n">
        <f aca="false">VLOOKUP($IV$1,'Datos Iniciales'!$E$34:$O$64,JB$158,FALSE())*JB72</f>
        <v>0</v>
      </c>
      <c r="JC170" s="196" t="n">
        <f aca="false">VLOOKUP($IV$1,'Datos Iniciales'!$E$34:$O$64,JC$158,FALSE())*JC72</f>
        <v>0</v>
      </c>
      <c r="JD170" s="196" t="n">
        <f aca="false">VLOOKUP($IV$1,'Datos Iniciales'!$E$34:$O$64,JD$158,FALSE())*JD72</f>
        <v>0</v>
      </c>
      <c r="JE170" s="196" t="n">
        <f aca="false">VLOOKUP($IV$1,'Datos Iniciales'!$E$34:$O$64,JE$158,FALSE())*JE72</f>
        <v>0</v>
      </c>
      <c r="JF170" s="197" t="n">
        <f aca="false">VLOOKUP($IV$1,'Datos Iniciales'!$E$34:$O$64,JF$158,FALSE())*JF72</f>
        <v>0</v>
      </c>
      <c r="JG170" s="194" t="str">
        <f aca="false">IV170</f>
        <v>Alumno11</v>
      </c>
      <c r="JH170" s="208" t="n">
        <f aca="false">VLOOKUP($JG$1,'Datos Iniciales'!$E$34:$O$64,JH$158,FALSE())*JH72</f>
        <v>0</v>
      </c>
      <c r="JI170" s="196" t="n">
        <f aca="false">VLOOKUP($JG$1,'Datos Iniciales'!$E$34:$O$64,JI$158,FALSE())*JI72</f>
        <v>0</v>
      </c>
      <c r="JJ170" s="196" t="n">
        <f aca="false">VLOOKUP($JG$1,'Datos Iniciales'!$E$34:$O$64,JJ$158,FALSE())*JJ72</f>
        <v>0</v>
      </c>
      <c r="JK170" s="196" t="n">
        <f aca="false">VLOOKUP($JG$1,'Datos Iniciales'!$E$34:$O$64,JK$158,FALSE())*JK72</f>
        <v>0</v>
      </c>
      <c r="JL170" s="196" t="n">
        <f aca="false">VLOOKUP($JG$1,'Datos Iniciales'!$E$34:$O$64,JL$158,FALSE())*JL72</f>
        <v>0</v>
      </c>
      <c r="JM170" s="196" t="n">
        <f aca="false">VLOOKUP($JG$1,'Datos Iniciales'!$E$34:$O$64,JM$158,FALSE())*JM72</f>
        <v>0</v>
      </c>
      <c r="JN170" s="196" t="n">
        <f aca="false">VLOOKUP($JG$1,'Datos Iniciales'!$E$34:$O$64,JN$158,FALSE())*JN72</f>
        <v>0</v>
      </c>
      <c r="JO170" s="196" t="n">
        <f aca="false">VLOOKUP($JG$1,'Datos Iniciales'!$E$34:$O$64,JO$158,FALSE())*JO72</f>
        <v>0</v>
      </c>
      <c r="JP170" s="196" t="n">
        <f aca="false">VLOOKUP($JG$1,'Datos Iniciales'!$E$34:$O$64,JP$158,FALSE())*JP72</f>
        <v>0</v>
      </c>
      <c r="JQ170" s="197" t="n">
        <f aca="false">VLOOKUP($JG$1,'Datos Iniciales'!$E$34:$O$64,JQ$158,FALSE())*JQ72</f>
        <v>0</v>
      </c>
      <c r="JR170" s="194" t="str">
        <f aca="false">JG170</f>
        <v>Alumno11</v>
      </c>
      <c r="JS170" s="208" t="n">
        <f aca="false">VLOOKUP($JR$1,'Datos Iniciales'!$E$34:$O$64,JS$158,FALSE())*JS72</f>
        <v>0</v>
      </c>
      <c r="JT170" s="196" t="n">
        <f aca="false">VLOOKUP($JR$1,'Datos Iniciales'!$E$34:$O$64,JT$158,FALSE())*JT72</f>
        <v>0</v>
      </c>
      <c r="JU170" s="196" t="n">
        <f aca="false">VLOOKUP($JR$1,'Datos Iniciales'!$E$34:$O$64,JU$158,FALSE())*JU72</f>
        <v>0</v>
      </c>
      <c r="JV170" s="196" t="n">
        <f aca="false">VLOOKUP($JR$1,'Datos Iniciales'!$E$34:$O$64,JV$158,FALSE())*JV72</f>
        <v>0</v>
      </c>
      <c r="JW170" s="196" t="n">
        <f aca="false">VLOOKUP($JR$1,'Datos Iniciales'!$E$34:$O$64,JW$158,FALSE())*JW72</f>
        <v>0</v>
      </c>
      <c r="JX170" s="196" t="n">
        <f aca="false">VLOOKUP($JR$1,'Datos Iniciales'!$E$34:$O$64,JX$158,FALSE())*JX72</f>
        <v>0</v>
      </c>
      <c r="JY170" s="196" t="n">
        <f aca="false">VLOOKUP($JR$1,'Datos Iniciales'!$E$34:$O$64,JY$158,FALSE())*JY72</f>
        <v>0</v>
      </c>
      <c r="JZ170" s="196" t="n">
        <f aca="false">VLOOKUP($JR$1,'Datos Iniciales'!$E$34:$O$64,JZ$158,FALSE())*JZ72</f>
        <v>0</v>
      </c>
      <c r="KA170" s="196" t="n">
        <f aca="false">VLOOKUP($JR$1,'Datos Iniciales'!$E$34:$O$64,KA$158,FALSE())*KA72</f>
        <v>0</v>
      </c>
      <c r="KB170" s="197" t="n">
        <f aca="false">VLOOKUP($JR$1,'Datos Iniciales'!$E$34:$O$64,KB$158,FALSE())*KB72</f>
        <v>0</v>
      </c>
      <c r="KC170" s="194" t="str">
        <f aca="false">JR170</f>
        <v>Alumno11</v>
      </c>
      <c r="KD170" s="208" t="n">
        <f aca="false">VLOOKUP($KC$1,'Datos Iniciales'!$E$34:$O$64,KD$158,FALSE())*KD72</f>
        <v>0</v>
      </c>
      <c r="KE170" s="196" t="n">
        <f aca="false">VLOOKUP($KC$1,'Datos Iniciales'!$E$34:$O$64,KE$158,FALSE())*KE72</f>
        <v>0</v>
      </c>
      <c r="KF170" s="196" t="n">
        <f aca="false">VLOOKUP($KC$1,'Datos Iniciales'!$E$34:$O$64,KF$158,FALSE())*KF72</f>
        <v>0</v>
      </c>
      <c r="KG170" s="196" t="n">
        <f aca="false">VLOOKUP($KC$1,'Datos Iniciales'!$E$34:$O$64,KG$158,FALSE())*KG72</f>
        <v>0</v>
      </c>
      <c r="KH170" s="196" t="n">
        <f aca="false">VLOOKUP($KC$1,'Datos Iniciales'!$E$34:$O$64,KH$158,FALSE())*KH72</f>
        <v>0</v>
      </c>
      <c r="KI170" s="196" t="n">
        <f aca="false">VLOOKUP($KC$1,'Datos Iniciales'!$E$34:$O$64,KI$158,FALSE())*KI72</f>
        <v>0</v>
      </c>
      <c r="KJ170" s="196" t="n">
        <f aca="false">VLOOKUP($KC$1,'Datos Iniciales'!$E$34:$O$64,KJ$158,FALSE())*KJ72</f>
        <v>0</v>
      </c>
      <c r="KK170" s="196" t="n">
        <f aca="false">VLOOKUP($KC$1,'Datos Iniciales'!$E$34:$O$64,KK$158,FALSE())*KK72</f>
        <v>0</v>
      </c>
      <c r="KL170" s="196" t="n">
        <f aca="false">VLOOKUP($KC$1,'Datos Iniciales'!$E$34:$O$64,KL$158,FALSE())*KL72</f>
        <v>0</v>
      </c>
      <c r="KM170" s="197" t="n">
        <f aca="false">VLOOKUP($KC$1,'Datos Iniciales'!$E$34:$O$64,KM$158,FALSE())*KM72</f>
        <v>0</v>
      </c>
      <c r="KN170" s="194" t="str">
        <f aca="false">KC170</f>
        <v>Alumno11</v>
      </c>
      <c r="KO170" s="208" t="n">
        <f aca="false">VLOOKUP($KN$1,'Datos Iniciales'!$E$34:$O$64,KO$158,FALSE())*KO72</f>
        <v>0</v>
      </c>
      <c r="KP170" s="196" t="n">
        <f aca="false">VLOOKUP($KN$1,'Datos Iniciales'!$E$34:$O$64,KP$158,FALSE())*KP72</f>
        <v>0</v>
      </c>
      <c r="KQ170" s="196" t="n">
        <f aca="false">VLOOKUP($KN$1,'Datos Iniciales'!$E$34:$O$64,KQ$158,FALSE())*KQ72</f>
        <v>0</v>
      </c>
      <c r="KR170" s="196" t="n">
        <f aca="false">VLOOKUP($KN$1,'Datos Iniciales'!$E$34:$O$64,KR$158,FALSE())*KR72</f>
        <v>0</v>
      </c>
      <c r="KS170" s="196" t="n">
        <f aca="false">VLOOKUP($KN$1,'Datos Iniciales'!$E$34:$O$64,KS$158,FALSE())*KS72</f>
        <v>0</v>
      </c>
      <c r="KT170" s="196" t="n">
        <f aca="false">VLOOKUP($KN$1,'Datos Iniciales'!$E$34:$O$64,KT$158,FALSE())*KT72</f>
        <v>0</v>
      </c>
      <c r="KU170" s="196" t="n">
        <f aca="false">VLOOKUP($KN$1,'Datos Iniciales'!$E$34:$O$64,KU$158,FALSE())*KU72</f>
        <v>0</v>
      </c>
      <c r="KV170" s="196" t="n">
        <f aca="false">VLOOKUP($KN$1,'Datos Iniciales'!$E$34:$O$64,KV$158,FALSE())*KV72</f>
        <v>0</v>
      </c>
      <c r="KW170" s="196" t="n">
        <f aca="false">VLOOKUP($KN$1,'Datos Iniciales'!$E$34:$O$64,KW$158,FALSE())*KW72</f>
        <v>0</v>
      </c>
      <c r="KX170" s="197" t="n">
        <f aca="false">VLOOKUP($KN$1,'Datos Iniciales'!$E$34:$O$64,KX$158,FALSE())*KX72</f>
        <v>0</v>
      </c>
      <c r="KY170" s="194" t="str">
        <f aca="false">KN170</f>
        <v>Alumno11</v>
      </c>
      <c r="KZ170" s="208" t="n">
        <f aca="false">VLOOKUP($KY$1,'Datos Iniciales'!$E$34:$O$64,KZ$158,FALSE())*KZ72</f>
        <v>0</v>
      </c>
      <c r="LA170" s="196" t="n">
        <f aca="false">VLOOKUP($KY$1,'Datos Iniciales'!$E$34:$O$64,LA$158,FALSE())*LA72</f>
        <v>0</v>
      </c>
      <c r="LB170" s="196" t="n">
        <f aca="false">VLOOKUP($KY$1,'Datos Iniciales'!$E$34:$O$64,LB$158,FALSE())*LB72</f>
        <v>0</v>
      </c>
      <c r="LC170" s="196" t="n">
        <f aca="false">VLOOKUP($KY$1,'Datos Iniciales'!$E$34:$O$64,LC$158,FALSE())*LC72</f>
        <v>0</v>
      </c>
      <c r="LD170" s="196" t="n">
        <f aca="false">VLOOKUP($KY$1,'Datos Iniciales'!$E$34:$O$64,LD$158,FALSE())*LD72</f>
        <v>0</v>
      </c>
      <c r="LE170" s="196" t="n">
        <f aca="false">VLOOKUP($KY$1,'Datos Iniciales'!$E$34:$O$64,LE$158,FALSE())*LE72</f>
        <v>0</v>
      </c>
      <c r="LF170" s="196" t="n">
        <f aca="false">VLOOKUP($KY$1,'Datos Iniciales'!$E$34:$O$64,LF$158,FALSE())*LF72</f>
        <v>0</v>
      </c>
      <c r="LG170" s="196" t="n">
        <f aca="false">VLOOKUP($KY$1,'Datos Iniciales'!$E$34:$O$64,LG$158,FALSE())*LG72</f>
        <v>0</v>
      </c>
      <c r="LH170" s="196" t="n">
        <f aca="false">VLOOKUP($KY$1,'Datos Iniciales'!$E$34:$O$64,LH$158,FALSE())*LH72</f>
        <v>0</v>
      </c>
      <c r="LI170" s="197" t="n">
        <f aca="false">VLOOKUP($KY$1,'Datos Iniciales'!$E$34:$O$64,LI$158,FALSE())*LI72</f>
        <v>0</v>
      </c>
      <c r="LJ170" s="194" t="str">
        <f aca="false">KY170</f>
        <v>Alumno11</v>
      </c>
      <c r="LK170" s="208" t="n">
        <f aca="false">VLOOKUP($LJ$1,'Datos Iniciales'!$E$34:$O$64,LK$158,FALSE())*LK72</f>
        <v>0</v>
      </c>
      <c r="LL170" s="196" t="n">
        <f aca="false">VLOOKUP($LJ$1,'Datos Iniciales'!$E$34:$O$64,LL$158,FALSE())*LL72</f>
        <v>0</v>
      </c>
      <c r="LM170" s="196" t="n">
        <f aca="false">VLOOKUP($LJ$1,'Datos Iniciales'!$E$34:$O$64,LM$158,FALSE())*LM72</f>
        <v>0</v>
      </c>
      <c r="LN170" s="196" t="n">
        <f aca="false">VLOOKUP($LJ$1,'Datos Iniciales'!$E$34:$O$64,LN$158,FALSE())*LN72</f>
        <v>0</v>
      </c>
      <c r="LO170" s="196" t="n">
        <f aca="false">VLOOKUP($LJ$1,'Datos Iniciales'!$E$34:$O$64,LO$158,FALSE())*LO72</f>
        <v>0</v>
      </c>
      <c r="LP170" s="196" t="n">
        <f aca="false">VLOOKUP($LJ$1,'Datos Iniciales'!$E$34:$O$64,LP$158,FALSE())*LP72</f>
        <v>0</v>
      </c>
      <c r="LQ170" s="196" t="n">
        <f aca="false">VLOOKUP($LJ$1,'Datos Iniciales'!$E$34:$O$64,LQ$158,FALSE())*LQ72</f>
        <v>0</v>
      </c>
      <c r="LR170" s="196" t="n">
        <f aca="false">VLOOKUP($LJ$1,'Datos Iniciales'!$E$34:$O$64,LR$158,FALSE())*LR72</f>
        <v>0</v>
      </c>
      <c r="LS170" s="196" t="n">
        <f aca="false">VLOOKUP($LJ$1,'Datos Iniciales'!$E$34:$O$64,LS$158,FALSE())*LS72</f>
        <v>0</v>
      </c>
      <c r="LT170" s="197" t="n">
        <f aca="false">VLOOKUP($LJ$1,'Datos Iniciales'!$E$34:$O$64,LT$158,FALSE())*LT72</f>
        <v>0</v>
      </c>
    </row>
    <row r="171" customFormat="false" ht="15" hidden="true" customHeight="false" outlineLevel="0" collapsed="false">
      <c r="C171" s="194" t="str">
        <f aca="false">C122</f>
        <v>Alumno12</v>
      </c>
      <c r="D171" s="208" t="n">
        <f aca="false">VLOOKUP($C$1,'Datos Iniciales'!$E$34:$O$64,D$158,FALSE())*D73</f>
        <v>1.25</v>
      </c>
      <c r="E171" s="196" t="n">
        <f aca="false">VLOOKUP($C$1,'Datos Iniciales'!$E$34:$O$64,E$158,FALSE())*E73</f>
        <v>0</v>
      </c>
      <c r="F171" s="196" t="n">
        <f aca="false">VLOOKUP($C$1,'Datos Iniciales'!$E$34:$O$64,F$158,FALSE())*F73</f>
        <v>0</v>
      </c>
      <c r="G171" s="196" t="n">
        <f aca="false">VLOOKUP($C$1,'Datos Iniciales'!$E$34:$O$64,G$158,FALSE())*G73</f>
        <v>0</v>
      </c>
      <c r="H171" s="196" t="n">
        <f aca="false">VLOOKUP($C$1,'Datos Iniciales'!$E$34:$O$64,H$158,FALSE())*H73</f>
        <v>0</v>
      </c>
      <c r="I171" s="196" t="n">
        <f aca="false">VLOOKUP($C$1,'Datos Iniciales'!$E$34:$O$64,I$158,FALSE())*I73</f>
        <v>0</v>
      </c>
      <c r="J171" s="196" t="n">
        <f aca="false">VLOOKUP($C$1,'Datos Iniciales'!$E$34:$O$64,J$158,FALSE())*J73</f>
        <v>0</v>
      </c>
      <c r="K171" s="196" t="n">
        <f aca="false">VLOOKUP($C$1,'Datos Iniciales'!$E$34:$O$64,K$158,FALSE())*K73</f>
        <v>0</v>
      </c>
      <c r="L171" s="196" t="n">
        <f aca="false">VLOOKUP($C$1,'Datos Iniciales'!$E$34:$O$64,L$158,FALSE())*L73</f>
        <v>0</v>
      </c>
      <c r="M171" s="197" t="n">
        <f aca="false">VLOOKUP($C$1,'Datos Iniciales'!$E$34:$O$64,M$158,FALSE())*M73</f>
        <v>0</v>
      </c>
      <c r="N171" s="194" t="str">
        <f aca="false">C171</f>
        <v>Alumno12</v>
      </c>
      <c r="O171" s="208" t="n">
        <f aca="false">VLOOKUP($N$1,'Datos Iniciales'!$E$34:$O$64,O$158,FALSE())*O73</f>
        <v>1</v>
      </c>
      <c r="P171" s="196" t="n">
        <f aca="false">VLOOKUP($N$1,'Datos Iniciales'!$E$34:$O$64,P$158,FALSE())*P73</f>
        <v>1</v>
      </c>
      <c r="Q171" s="196" t="n">
        <f aca="false">VLOOKUP($N$1,'Datos Iniciales'!$E$34:$O$64,Q$158,FALSE())*Q73</f>
        <v>0</v>
      </c>
      <c r="R171" s="196" t="n">
        <f aca="false">VLOOKUP($N$1,'Datos Iniciales'!$E$34:$O$64,R$158,FALSE())*R73</f>
        <v>0</v>
      </c>
      <c r="S171" s="196" t="n">
        <f aca="false">VLOOKUP($N$1,'Datos Iniciales'!$E$34:$O$64,S$158,FALSE())*S73</f>
        <v>0</v>
      </c>
      <c r="T171" s="196" t="n">
        <f aca="false">VLOOKUP($N$1,'Datos Iniciales'!$E$34:$O$64,T$158,FALSE())*T73</f>
        <v>0</v>
      </c>
      <c r="U171" s="196" t="n">
        <f aca="false">VLOOKUP($N$1,'Datos Iniciales'!$E$34:$O$64,U$158,FALSE())*U73</f>
        <v>0</v>
      </c>
      <c r="V171" s="196" t="n">
        <f aca="false">VLOOKUP($N$1,'Datos Iniciales'!$E$34:$O$64,V$158,FALSE())*V73</f>
        <v>0</v>
      </c>
      <c r="W171" s="196" t="n">
        <f aca="false">VLOOKUP($N$1,'Datos Iniciales'!$E$34:$O$64,W$158,FALSE())*W73</f>
        <v>0</v>
      </c>
      <c r="X171" s="197" t="n">
        <f aca="false">VLOOKUP($N$1,'Datos Iniciales'!$E$34:$O$64,X$158,FALSE())*X73</f>
        <v>0</v>
      </c>
      <c r="Y171" s="194" t="str">
        <f aca="false">N171</f>
        <v>Alumno12</v>
      </c>
      <c r="Z171" s="208" t="n">
        <f aca="false">VLOOKUP($Y$1,'Datos Iniciales'!$E$34:$O$64,Z$158,FALSE())*Z73</f>
        <v>1.5</v>
      </c>
      <c r="AA171" s="196" t="n">
        <f aca="false">VLOOKUP($Y$1,'Datos Iniciales'!$E$34:$O$64,AA$158,FALSE())*AA73</f>
        <v>1</v>
      </c>
      <c r="AB171" s="196" t="n">
        <f aca="false">VLOOKUP($Y$1,'Datos Iniciales'!$E$34:$O$64,AB$158,FALSE())*AB73</f>
        <v>0.5</v>
      </c>
      <c r="AC171" s="196" t="n">
        <f aca="false">VLOOKUP($Y$1,'Datos Iniciales'!$E$34:$O$64,AC$158,FALSE())*AC73</f>
        <v>0</v>
      </c>
      <c r="AD171" s="196" t="n">
        <f aca="false">VLOOKUP($Y$1,'Datos Iniciales'!$E$34:$O$64,AD$158,FALSE())*AD73</f>
        <v>0</v>
      </c>
      <c r="AE171" s="196" t="n">
        <f aca="false">VLOOKUP($Y$1,'Datos Iniciales'!$E$34:$O$64,AE$158,FALSE())*AE73</f>
        <v>0</v>
      </c>
      <c r="AF171" s="196" t="n">
        <f aca="false">VLOOKUP($Y$1,'Datos Iniciales'!$E$34:$O$64,AF$158,FALSE())*AF73</f>
        <v>0</v>
      </c>
      <c r="AG171" s="196" t="n">
        <f aca="false">VLOOKUP($Y$1,'Datos Iniciales'!$E$34:$O$64,AG$158,FALSE())*AG73</f>
        <v>0</v>
      </c>
      <c r="AH171" s="196" t="n">
        <f aca="false">VLOOKUP($Y$1,'Datos Iniciales'!$E$34:$O$64,AH$158,FALSE())*AH73</f>
        <v>0</v>
      </c>
      <c r="AI171" s="197" t="n">
        <f aca="false">VLOOKUP($Y$1,'Datos Iniciales'!$E$34:$O$64,AI$158,FALSE())*AI73</f>
        <v>0</v>
      </c>
      <c r="AJ171" s="194" t="str">
        <f aca="false">Y171</f>
        <v>Alumno12</v>
      </c>
      <c r="AK171" s="208" t="n">
        <f aca="false">VLOOKUP($AJ$1,'Datos Iniciales'!$E$34:$O$64,AK$158,FALSE())*AK73</f>
        <v>0.5</v>
      </c>
      <c r="AL171" s="196" t="n">
        <f aca="false">VLOOKUP($AJ$1,'Datos Iniciales'!$E$34:$O$64,AL$158,FALSE())*AL73</f>
        <v>1.5</v>
      </c>
      <c r="AM171" s="196" t="n">
        <f aca="false">VLOOKUP($AJ$1,'Datos Iniciales'!$E$34:$O$64,AM$158,FALSE())*AM73</f>
        <v>1.75</v>
      </c>
      <c r="AN171" s="196" t="n">
        <f aca="false">VLOOKUP($AJ$1,'Datos Iniciales'!$E$34:$O$64,AN$158,FALSE())*AN73</f>
        <v>0</v>
      </c>
      <c r="AO171" s="196" t="n">
        <f aca="false">VLOOKUP($AJ$1,'Datos Iniciales'!$E$34:$O$64,AO$158,FALSE())*AO73</f>
        <v>0</v>
      </c>
      <c r="AP171" s="196" t="n">
        <f aca="false">VLOOKUP($AJ$1,'Datos Iniciales'!$E$34:$O$64,AP$158,FALSE())*AP73</f>
        <v>0</v>
      </c>
      <c r="AQ171" s="196" t="n">
        <f aca="false">VLOOKUP($AJ$1,'Datos Iniciales'!$E$34:$O$64,AQ$158,FALSE())*AQ73</f>
        <v>0</v>
      </c>
      <c r="AR171" s="196" t="n">
        <f aca="false">VLOOKUP($AJ$1,'Datos Iniciales'!$E$34:$O$64,AR$158,FALSE())*AR73</f>
        <v>0</v>
      </c>
      <c r="AS171" s="196" t="n">
        <f aca="false">VLOOKUP($AJ$1,'Datos Iniciales'!$E$34:$O$64,AS$158,FALSE())*AS73</f>
        <v>0</v>
      </c>
      <c r="AT171" s="197" t="n">
        <f aca="false">VLOOKUP($AJ$1,'Datos Iniciales'!$E$34:$O$64,AT$158,FALSE())*AT73</f>
        <v>0</v>
      </c>
      <c r="AU171" s="194" t="str">
        <f aca="false">AJ171</f>
        <v>Alumno12</v>
      </c>
      <c r="AV171" s="208" t="n">
        <f aca="false">VLOOKUP($AU$1,'Datos Iniciales'!$E$34:$O$64,AV$158,FALSE())*AV73</f>
        <v>0.25</v>
      </c>
      <c r="AW171" s="196" t="n">
        <f aca="false">VLOOKUP($AU$1,'Datos Iniciales'!$E$34:$O$64,AW$158,FALSE())*AW73</f>
        <v>0.5</v>
      </c>
      <c r="AX171" s="196" t="n">
        <f aca="false">VLOOKUP($AU$1,'Datos Iniciales'!$E$34:$O$64,AX$158,FALSE())*AX73</f>
        <v>1.5</v>
      </c>
      <c r="AY171" s="196" t="n">
        <f aca="false">VLOOKUP($AU$1,'Datos Iniciales'!$E$34:$O$64,AY$158,FALSE())*AY73</f>
        <v>0.5</v>
      </c>
      <c r="AZ171" s="196" t="n">
        <f aca="false">VLOOKUP($AU$1,'Datos Iniciales'!$E$34:$O$64,AZ$158,FALSE())*AZ73</f>
        <v>0</v>
      </c>
      <c r="BA171" s="196" t="n">
        <f aca="false">VLOOKUP($AU$1,'Datos Iniciales'!$E$34:$O$64,BA$158,FALSE())*BA73</f>
        <v>0</v>
      </c>
      <c r="BB171" s="196" t="n">
        <f aca="false">VLOOKUP($AU$1,'Datos Iniciales'!$E$34:$O$64,BB$158,FALSE())*BB73</f>
        <v>0</v>
      </c>
      <c r="BC171" s="196" t="n">
        <f aca="false">VLOOKUP($AU$1,'Datos Iniciales'!$E$34:$O$64,BC$158,FALSE())*BC73</f>
        <v>0</v>
      </c>
      <c r="BD171" s="196" t="n">
        <f aca="false">VLOOKUP($AU$1,'Datos Iniciales'!$E$34:$O$64,BD$158,FALSE())*BD73</f>
        <v>0</v>
      </c>
      <c r="BE171" s="197" t="n">
        <f aca="false">VLOOKUP($AU$1,'Datos Iniciales'!$E$34:$O$64,BE$158,FALSE())*BE73</f>
        <v>0</v>
      </c>
      <c r="BF171" s="194" t="str">
        <f aca="false">AU171</f>
        <v>Alumno12</v>
      </c>
      <c r="BG171" s="208" t="n">
        <f aca="false">VLOOKUP($BF$1,'Datos Iniciales'!$E$34:$O$64,BG$158,FALSE())*BG73</f>
        <v>0.5</v>
      </c>
      <c r="BH171" s="196" t="n">
        <f aca="false">VLOOKUP($BF$1,'Datos Iniciales'!$E$34:$O$64,BH$158,FALSE())*BH73</f>
        <v>0.75</v>
      </c>
      <c r="BI171" s="196" t="n">
        <f aca="false">VLOOKUP($BF$1,'Datos Iniciales'!$E$34:$O$64,BI$158,FALSE())*BI73</f>
        <v>0.5</v>
      </c>
      <c r="BJ171" s="196" t="n">
        <f aca="false">VLOOKUP($BF$1,'Datos Iniciales'!$E$34:$O$64,BJ$158,FALSE())*BJ73</f>
        <v>2</v>
      </c>
      <c r="BK171" s="196" t="n">
        <f aca="false">VLOOKUP($BF$1,'Datos Iniciales'!$E$34:$O$64,BK$158,FALSE())*BK73</f>
        <v>0</v>
      </c>
      <c r="BL171" s="196" t="n">
        <f aca="false">VLOOKUP($BF$1,'Datos Iniciales'!$E$34:$O$64,BL$158,FALSE())*BL73</f>
        <v>0</v>
      </c>
      <c r="BM171" s="196" t="n">
        <f aca="false">VLOOKUP($BF$1,'Datos Iniciales'!$E$34:$O$64,BM$158,FALSE())*BM73</f>
        <v>0</v>
      </c>
      <c r="BN171" s="196" t="n">
        <f aca="false">VLOOKUP($BF$1,'Datos Iniciales'!$E$34:$O$64,BN$158,FALSE())*BN73</f>
        <v>0</v>
      </c>
      <c r="BO171" s="196" t="n">
        <f aca="false">VLOOKUP($BF$1,'Datos Iniciales'!$E$34:$O$64,BO$158,FALSE())*BO73</f>
        <v>0</v>
      </c>
      <c r="BP171" s="197" t="n">
        <f aca="false">VLOOKUP($BF$1,'Datos Iniciales'!$E$34:$O$64,BP$158,FALSE())*BP73</f>
        <v>0</v>
      </c>
      <c r="BQ171" s="194" t="str">
        <f aca="false">BF171</f>
        <v>Alumno12</v>
      </c>
      <c r="BR171" s="208" t="n">
        <f aca="false">VLOOKUP($BQ$1,'Datos Iniciales'!$E$34:$O$64,BR$158,FALSE())*BR73</f>
        <v>0</v>
      </c>
      <c r="BS171" s="196" t="n">
        <f aca="false">VLOOKUP($BQ$1,'Datos Iniciales'!$E$34:$O$64,BS$158,FALSE())*BS73</f>
        <v>0.45</v>
      </c>
      <c r="BT171" s="196" t="n">
        <f aca="false">VLOOKUP($BQ$1,'Datos Iniciales'!$E$34:$O$64,BT$158,FALSE())*BT73</f>
        <v>1.35</v>
      </c>
      <c r="BU171" s="196" t="n">
        <f aca="false">VLOOKUP($BQ$1,'Datos Iniciales'!$E$34:$O$64,BU$158,FALSE())*BU73</f>
        <v>4.5</v>
      </c>
      <c r="BV171" s="196" t="n">
        <f aca="false">VLOOKUP($BQ$1,'Datos Iniciales'!$E$34:$O$64,BV$158,FALSE())*BV73</f>
        <v>0</v>
      </c>
      <c r="BW171" s="196" t="n">
        <f aca="false">VLOOKUP($BQ$1,'Datos Iniciales'!$E$34:$O$64,BW$158,FALSE())*BW73</f>
        <v>0</v>
      </c>
      <c r="BX171" s="196" t="n">
        <f aca="false">VLOOKUP($BQ$1,'Datos Iniciales'!$E$34:$O$64,BX$158,FALSE())*BX73</f>
        <v>0</v>
      </c>
      <c r="BY171" s="196" t="n">
        <f aca="false">VLOOKUP($BQ$1,'Datos Iniciales'!$E$34:$O$64,BY$158,FALSE())*BY73</f>
        <v>0</v>
      </c>
      <c r="BZ171" s="196" t="n">
        <f aca="false">VLOOKUP($BQ$1,'Datos Iniciales'!$E$34:$O$64,BZ$158,FALSE())*BZ73</f>
        <v>0</v>
      </c>
      <c r="CA171" s="197" t="n">
        <f aca="false">VLOOKUP($BQ$1,'Datos Iniciales'!$E$34:$O$64,CA$158,FALSE())*CA73</f>
        <v>0</v>
      </c>
      <c r="CB171" s="194" t="str">
        <f aca="false">BQ171</f>
        <v>Alumno12</v>
      </c>
      <c r="CC171" s="208" t="n">
        <f aca="false">VLOOKUP($CB$1,'Datos Iniciales'!$E$34:$O$64,CC$158,FALSE())*CC73</f>
        <v>0</v>
      </c>
      <c r="CD171" s="196" t="n">
        <f aca="false">VLOOKUP($CB$1,'Datos Iniciales'!$E$34:$O$64,CD$158,FALSE())*CD73</f>
        <v>0</v>
      </c>
      <c r="CE171" s="196" t="n">
        <f aca="false">VLOOKUP($CB$1,'Datos Iniciales'!$E$34:$O$64,CE$158,FALSE())*CE73</f>
        <v>0</v>
      </c>
      <c r="CF171" s="196" t="n">
        <f aca="false">VLOOKUP($CB$1,'Datos Iniciales'!$E$34:$O$64,CF$158,FALSE())*CF73</f>
        <v>0</v>
      </c>
      <c r="CG171" s="196" t="n">
        <f aca="false">VLOOKUP($CB$1,'Datos Iniciales'!$E$34:$O$64,CG$158,FALSE())*CG73</f>
        <v>0</v>
      </c>
      <c r="CH171" s="196" t="n">
        <f aca="false">VLOOKUP($CB$1,'Datos Iniciales'!$E$34:$O$64,CH$158,FALSE())*CH73</f>
        <v>0</v>
      </c>
      <c r="CI171" s="196" t="n">
        <f aca="false">VLOOKUP($CB$1,'Datos Iniciales'!$E$34:$O$64,CI$158,FALSE())*CI73</f>
        <v>0</v>
      </c>
      <c r="CJ171" s="196" t="n">
        <f aca="false">VLOOKUP($CB$1,'Datos Iniciales'!$E$34:$O$64,CJ$158,FALSE())*CJ73</f>
        <v>0</v>
      </c>
      <c r="CK171" s="196" t="n">
        <f aca="false">VLOOKUP($CB$1,'Datos Iniciales'!$E$34:$O$64,CK$158,FALSE())*CK73</f>
        <v>0</v>
      </c>
      <c r="CL171" s="197" t="n">
        <f aca="false">VLOOKUP($CB$1,'Datos Iniciales'!$E$34:$O$64,CL$158,FALSE())*CL73</f>
        <v>0</v>
      </c>
      <c r="CM171" s="194" t="str">
        <f aca="false">CB171</f>
        <v>Alumno12</v>
      </c>
      <c r="CN171" s="208" t="n">
        <f aca="false">VLOOKUP($CM$1,'Datos Iniciales'!$E$34:$O$64,CN$158,FALSE())*CN73</f>
        <v>0</v>
      </c>
      <c r="CO171" s="196" t="n">
        <f aca="false">VLOOKUP($CM$1,'Datos Iniciales'!$E$34:$O$64,CO$158,FALSE())*CO73</f>
        <v>0</v>
      </c>
      <c r="CP171" s="196" t="n">
        <f aca="false">VLOOKUP($CM$1,'Datos Iniciales'!$E$34:$O$64,CP$158,FALSE())*CP73</f>
        <v>0</v>
      </c>
      <c r="CQ171" s="196" t="n">
        <f aca="false">VLOOKUP($CM$1,'Datos Iniciales'!$E$34:$O$64,CQ$158,FALSE())*CQ73</f>
        <v>0</v>
      </c>
      <c r="CR171" s="196" t="n">
        <f aca="false">VLOOKUP($CM$1,'Datos Iniciales'!$E$34:$O$64,CR$158,FALSE())*CR73</f>
        <v>0</v>
      </c>
      <c r="CS171" s="196" t="n">
        <f aca="false">VLOOKUP($CM$1,'Datos Iniciales'!$E$34:$O$64,CS$158,FALSE())*CS73</f>
        <v>0</v>
      </c>
      <c r="CT171" s="196" t="n">
        <f aca="false">VLOOKUP($CM$1,'Datos Iniciales'!$E$34:$O$64,CT$158,FALSE())*CT73</f>
        <v>0</v>
      </c>
      <c r="CU171" s="196" t="n">
        <f aca="false">VLOOKUP($CM$1,'Datos Iniciales'!$E$34:$O$64,CU$158,FALSE())*CU73</f>
        <v>0</v>
      </c>
      <c r="CV171" s="196" t="n">
        <f aca="false">VLOOKUP($CM$1,'Datos Iniciales'!$E$34:$O$64,CV$158,FALSE())*CV73</f>
        <v>0</v>
      </c>
      <c r="CW171" s="197" t="n">
        <f aca="false">VLOOKUP($CM$1,'Datos Iniciales'!$E$34:$O$64,CW$158,FALSE())*CW73</f>
        <v>0</v>
      </c>
      <c r="CX171" s="194" t="str">
        <f aca="false">CM171</f>
        <v>Alumno12</v>
      </c>
      <c r="CY171" s="208" t="n">
        <f aca="false">VLOOKUP($CX$1,'Datos Iniciales'!$E$34:$O$64,CY$158,FALSE())*CY73</f>
        <v>0</v>
      </c>
      <c r="CZ171" s="196" t="n">
        <f aca="false">VLOOKUP($CX$1,'Datos Iniciales'!$E$34:$O$64,CZ$158,FALSE())*CZ73</f>
        <v>0</v>
      </c>
      <c r="DA171" s="196" t="n">
        <f aca="false">VLOOKUP($CX$1,'Datos Iniciales'!$E$34:$O$64,DA$158,FALSE())*DA73</f>
        <v>0</v>
      </c>
      <c r="DB171" s="196" t="n">
        <f aca="false">VLOOKUP($CX$1,'Datos Iniciales'!$E$34:$O$64,DB$158,FALSE())*DB73</f>
        <v>0</v>
      </c>
      <c r="DC171" s="196" t="n">
        <f aca="false">VLOOKUP($CX$1,'Datos Iniciales'!$E$34:$O$64,DC$158,FALSE())*DC73</f>
        <v>0</v>
      </c>
      <c r="DD171" s="196" t="n">
        <f aca="false">VLOOKUP($CX$1,'Datos Iniciales'!$E$34:$O$64,DD$158,FALSE())*DD73</f>
        <v>0</v>
      </c>
      <c r="DE171" s="196" t="n">
        <f aca="false">VLOOKUP($CX$1,'Datos Iniciales'!$E$34:$O$64,DE$158,FALSE())*DE73</f>
        <v>0</v>
      </c>
      <c r="DF171" s="196" t="n">
        <f aca="false">VLOOKUP($CX$1,'Datos Iniciales'!$E$34:$O$64,DF$158,FALSE())*DF73</f>
        <v>0</v>
      </c>
      <c r="DG171" s="196" t="n">
        <f aca="false">VLOOKUP($CX$1,'Datos Iniciales'!$E$34:$O$64,DG$158,FALSE())*DG73</f>
        <v>0</v>
      </c>
      <c r="DH171" s="197" t="n">
        <f aca="false">VLOOKUP($CX$1,'Datos Iniciales'!$E$34:$O$64,DH$158,FALSE())*DH73</f>
        <v>0</v>
      </c>
      <c r="DI171" s="194" t="str">
        <f aca="false">CX171</f>
        <v>Alumno12</v>
      </c>
      <c r="DJ171" s="208" t="n">
        <f aca="false">VLOOKUP($DI$1,'Datos Iniciales'!$E$34:$O$64,DJ$158,FALSE())*DJ73</f>
        <v>0</v>
      </c>
      <c r="DK171" s="196" t="n">
        <f aca="false">VLOOKUP($DI$1,'Datos Iniciales'!$E$34:$O$64,DK$158,FALSE())*DK73</f>
        <v>0</v>
      </c>
      <c r="DL171" s="196" t="n">
        <f aca="false">VLOOKUP($DI$1,'Datos Iniciales'!$E$34:$O$64,DL$158,FALSE())*DL73</f>
        <v>0</v>
      </c>
      <c r="DM171" s="196" t="n">
        <f aca="false">VLOOKUP($DI$1,'Datos Iniciales'!$E$34:$O$64,DM$158,FALSE())*DM73</f>
        <v>0</v>
      </c>
      <c r="DN171" s="196" t="n">
        <f aca="false">VLOOKUP($DI$1,'Datos Iniciales'!$E$34:$O$64,DN$158,FALSE())*DN73</f>
        <v>0</v>
      </c>
      <c r="DO171" s="196" t="n">
        <f aca="false">VLOOKUP($DI$1,'Datos Iniciales'!$E$34:$O$64,DO$158,FALSE())*DO73</f>
        <v>0</v>
      </c>
      <c r="DP171" s="196" t="n">
        <f aca="false">VLOOKUP($DI$1,'Datos Iniciales'!$E$34:$O$64,DP$158,FALSE())*DP73</f>
        <v>0</v>
      </c>
      <c r="DQ171" s="196" t="n">
        <f aca="false">VLOOKUP($DI$1,'Datos Iniciales'!$E$34:$O$64,DQ$158,FALSE())*DQ73</f>
        <v>0</v>
      </c>
      <c r="DR171" s="196" t="n">
        <f aca="false">VLOOKUP($DI$1,'Datos Iniciales'!$E$34:$O$64,DR$158,FALSE())*DR73</f>
        <v>0</v>
      </c>
      <c r="DS171" s="197" t="n">
        <f aca="false">VLOOKUP($DI$1,'Datos Iniciales'!$E$34:$O$64,DS$158,FALSE())*DS73</f>
        <v>0</v>
      </c>
      <c r="DT171" s="194" t="str">
        <f aca="false">DI171</f>
        <v>Alumno12</v>
      </c>
      <c r="DU171" s="208" t="n">
        <f aca="false">VLOOKUP($DT$1,'Datos Iniciales'!$E$34:$O$64,DU$158,FALSE())*DU73</f>
        <v>0</v>
      </c>
      <c r="DV171" s="196" t="n">
        <f aca="false">VLOOKUP($DT$1,'Datos Iniciales'!$E$34:$O$64,DV$158,FALSE())*DV73</f>
        <v>0</v>
      </c>
      <c r="DW171" s="196" t="n">
        <f aca="false">VLOOKUP($DT$1,'Datos Iniciales'!$E$34:$O$64,DW$158,FALSE())*DW73</f>
        <v>0</v>
      </c>
      <c r="DX171" s="196" t="n">
        <f aca="false">VLOOKUP($DT$1,'Datos Iniciales'!$E$34:$O$64,DX$158,FALSE())*DX73</f>
        <v>0</v>
      </c>
      <c r="DY171" s="196" t="n">
        <f aca="false">VLOOKUP($DT$1,'Datos Iniciales'!$E$34:$O$64,DY$158,FALSE())*DY73</f>
        <v>0</v>
      </c>
      <c r="DZ171" s="196" t="n">
        <f aca="false">VLOOKUP($DT$1,'Datos Iniciales'!$E$34:$O$64,DZ$158,FALSE())*DZ73</f>
        <v>0</v>
      </c>
      <c r="EA171" s="196" t="n">
        <f aca="false">VLOOKUP($DT$1,'Datos Iniciales'!$E$34:$O$64,EA$158,FALSE())*EA73</f>
        <v>0</v>
      </c>
      <c r="EB171" s="196" t="n">
        <f aca="false">VLOOKUP($DT$1,'Datos Iniciales'!$E$34:$O$64,EB$158,FALSE())*EB73</f>
        <v>0</v>
      </c>
      <c r="EC171" s="196" t="n">
        <f aca="false">VLOOKUP($DT$1,'Datos Iniciales'!$E$34:$O$64,EC$158,FALSE())*EC73</f>
        <v>0</v>
      </c>
      <c r="ED171" s="197" t="n">
        <f aca="false">VLOOKUP($DT$1,'Datos Iniciales'!$E$34:$O$64,ED$158,FALSE())*ED73</f>
        <v>0</v>
      </c>
      <c r="EE171" s="194" t="str">
        <f aca="false">DT171</f>
        <v>Alumno12</v>
      </c>
      <c r="EF171" s="208" t="n">
        <f aca="false">VLOOKUP($EE$1,'Datos Iniciales'!$E$34:$O$64,EF$158,FALSE())*EF73</f>
        <v>0</v>
      </c>
      <c r="EG171" s="196" t="n">
        <f aca="false">VLOOKUP($EE$1,'Datos Iniciales'!$E$34:$O$64,EG$158,FALSE())*EG73</f>
        <v>0</v>
      </c>
      <c r="EH171" s="196" t="n">
        <f aca="false">VLOOKUP($EE$1,'Datos Iniciales'!$E$34:$O$64,EH$158,FALSE())*EH73</f>
        <v>0</v>
      </c>
      <c r="EI171" s="196" t="n">
        <f aca="false">VLOOKUP($EE$1,'Datos Iniciales'!$E$34:$O$64,EI$158,FALSE())*EI73</f>
        <v>0</v>
      </c>
      <c r="EJ171" s="196" t="n">
        <f aca="false">VLOOKUP($EE$1,'Datos Iniciales'!$E$34:$O$64,EJ$158,FALSE())*EJ73</f>
        <v>0</v>
      </c>
      <c r="EK171" s="196" t="n">
        <f aca="false">VLOOKUP($EE$1,'Datos Iniciales'!$E$34:$O$64,EK$158,FALSE())*EK73</f>
        <v>0</v>
      </c>
      <c r="EL171" s="196" t="n">
        <f aca="false">VLOOKUP($EE$1,'Datos Iniciales'!$E$34:$O$64,EL$158,FALSE())*EL73</f>
        <v>0</v>
      </c>
      <c r="EM171" s="196" t="n">
        <f aca="false">VLOOKUP($EE$1,'Datos Iniciales'!$E$34:$O$64,EM$158,FALSE())*EM73</f>
        <v>0</v>
      </c>
      <c r="EN171" s="196" t="n">
        <f aca="false">VLOOKUP($EE$1,'Datos Iniciales'!$E$34:$O$64,EN$158,FALSE())*EN73</f>
        <v>0</v>
      </c>
      <c r="EO171" s="197" t="n">
        <f aca="false">VLOOKUP($EE$1,'Datos Iniciales'!$E$34:$O$64,EO$158,FALSE())*EO73</f>
        <v>0</v>
      </c>
      <c r="EP171" s="194" t="str">
        <f aca="false">EE171</f>
        <v>Alumno12</v>
      </c>
      <c r="EQ171" s="208" t="n">
        <f aca="false">VLOOKUP($EP$1,'Datos Iniciales'!$E$34:$O$64,EQ$158,FALSE())*EQ73</f>
        <v>0</v>
      </c>
      <c r="ER171" s="196" t="n">
        <f aca="false">VLOOKUP($EP$1,'Datos Iniciales'!$E$34:$O$64,ER$158,FALSE())*ER73</f>
        <v>0</v>
      </c>
      <c r="ES171" s="196" t="n">
        <f aca="false">VLOOKUP($EP$1,'Datos Iniciales'!$E$34:$O$64,ES$158,FALSE())*ES73</f>
        <v>0</v>
      </c>
      <c r="ET171" s="196" t="n">
        <f aca="false">VLOOKUP($EP$1,'Datos Iniciales'!$E$34:$O$64,ET$158,FALSE())*ET73</f>
        <v>0</v>
      </c>
      <c r="EU171" s="196" t="n">
        <f aca="false">VLOOKUP($EP$1,'Datos Iniciales'!$E$34:$O$64,EU$158,FALSE())*EU73</f>
        <v>0</v>
      </c>
      <c r="EV171" s="196" t="n">
        <f aca="false">VLOOKUP($EP$1,'Datos Iniciales'!$E$34:$O$64,EV$158,FALSE())*EV73</f>
        <v>0</v>
      </c>
      <c r="EW171" s="196" t="n">
        <f aca="false">VLOOKUP($EP$1,'Datos Iniciales'!$E$34:$O$64,EW$158,FALSE())*EW73</f>
        <v>0</v>
      </c>
      <c r="EX171" s="196" t="n">
        <f aca="false">VLOOKUP($EP$1,'Datos Iniciales'!$E$34:$O$64,EX$158,FALSE())*EX73</f>
        <v>0</v>
      </c>
      <c r="EY171" s="196" t="n">
        <f aca="false">VLOOKUP($EP$1,'Datos Iniciales'!$E$34:$O$64,EY$158,FALSE())*EY73</f>
        <v>0</v>
      </c>
      <c r="EZ171" s="197" t="n">
        <f aca="false">VLOOKUP($EP$1,'Datos Iniciales'!$E$34:$O$64,EZ$158,FALSE())*EZ73</f>
        <v>0</v>
      </c>
      <c r="FA171" s="194" t="str">
        <f aca="false">EP171</f>
        <v>Alumno12</v>
      </c>
      <c r="FB171" s="208" t="n">
        <f aca="false">VLOOKUP($FA$1,'Datos Iniciales'!$E$34:$O$64,FB$158,FALSE())*FB73</f>
        <v>0</v>
      </c>
      <c r="FC171" s="196" t="n">
        <f aca="false">VLOOKUP($FA$1,'Datos Iniciales'!$E$34:$O$64,FC$158,FALSE())*FC73</f>
        <v>0</v>
      </c>
      <c r="FD171" s="196" t="n">
        <f aca="false">VLOOKUP($FA$1,'Datos Iniciales'!$E$34:$O$64,FD$158,FALSE())*FD73</f>
        <v>0</v>
      </c>
      <c r="FE171" s="196" t="n">
        <f aca="false">VLOOKUP($FA$1,'Datos Iniciales'!$E$34:$O$64,FE$158,FALSE())*FE73</f>
        <v>0</v>
      </c>
      <c r="FF171" s="196" t="n">
        <f aca="false">VLOOKUP($FA$1,'Datos Iniciales'!$E$34:$O$64,FF$158,FALSE())*FF73</f>
        <v>0</v>
      </c>
      <c r="FG171" s="196" t="n">
        <f aca="false">VLOOKUP($FA$1,'Datos Iniciales'!$E$34:$O$64,FG$158,FALSE())*FG73</f>
        <v>0</v>
      </c>
      <c r="FH171" s="196" t="n">
        <f aca="false">VLOOKUP($FA$1,'Datos Iniciales'!$E$34:$O$64,FH$158,FALSE())*FH73</f>
        <v>0</v>
      </c>
      <c r="FI171" s="196" t="n">
        <f aca="false">VLOOKUP($FA$1,'Datos Iniciales'!$E$34:$O$64,FI$158,FALSE())*FI73</f>
        <v>0</v>
      </c>
      <c r="FJ171" s="196" t="n">
        <f aca="false">VLOOKUP($FA$1,'Datos Iniciales'!$E$34:$O$64,FJ$158,FALSE())*FJ73</f>
        <v>0</v>
      </c>
      <c r="FK171" s="197" t="n">
        <f aca="false">VLOOKUP($FA$1,'Datos Iniciales'!$E$34:$O$64,FK$158,FALSE())*FK73</f>
        <v>0</v>
      </c>
      <c r="FL171" s="194" t="str">
        <f aca="false">FA171</f>
        <v>Alumno12</v>
      </c>
      <c r="FM171" s="208" t="n">
        <f aca="false">VLOOKUP($FL$1,'Datos Iniciales'!$E$34:$O$64,FM$158,FALSE())*FM73</f>
        <v>0</v>
      </c>
      <c r="FN171" s="196" t="n">
        <f aca="false">VLOOKUP($FL$1,'Datos Iniciales'!$E$34:$O$64,FN$158,FALSE())*FN73</f>
        <v>0</v>
      </c>
      <c r="FO171" s="196" t="n">
        <f aca="false">VLOOKUP($FL$1,'Datos Iniciales'!$E$34:$O$64,FO$158,FALSE())*FO73</f>
        <v>0</v>
      </c>
      <c r="FP171" s="196" t="n">
        <f aca="false">VLOOKUP($FL$1,'Datos Iniciales'!$E$34:$O$64,FP$158,FALSE())*FP73</f>
        <v>0</v>
      </c>
      <c r="FQ171" s="196" t="n">
        <f aca="false">VLOOKUP($FL$1,'Datos Iniciales'!$E$34:$O$64,FQ$158,FALSE())*FQ73</f>
        <v>0</v>
      </c>
      <c r="FR171" s="196" t="n">
        <f aca="false">VLOOKUP($FL$1,'Datos Iniciales'!$E$34:$O$64,FR$158,FALSE())*FR73</f>
        <v>0</v>
      </c>
      <c r="FS171" s="196" t="n">
        <f aca="false">VLOOKUP($FL$1,'Datos Iniciales'!$E$34:$O$64,FS$158,FALSE())*FS73</f>
        <v>0</v>
      </c>
      <c r="FT171" s="196" t="n">
        <f aca="false">VLOOKUP($FL$1,'Datos Iniciales'!$E$34:$O$64,FT$158,FALSE())*FT73</f>
        <v>0</v>
      </c>
      <c r="FU171" s="196" t="n">
        <f aca="false">VLOOKUP($FL$1,'Datos Iniciales'!$E$34:$O$64,FU$158,FALSE())*FU73</f>
        <v>0</v>
      </c>
      <c r="FV171" s="197" t="n">
        <f aca="false">VLOOKUP($FL$1,'Datos Iniciales'!$E$34:$O$64,FV$158,FALSE())*FV73</f>
        <v>0</v>
      </c>
      <c r="FW171" s="194" t="str">
        <f aca="false">FL171</f>
        <v>Alumno12</v>
      </c>
      <c r="FX171" s="208" t="n">
        <f aca="false">VLOOKUP($FW$1,'Datos Iniciales'!$E$34:$O$64,FX$158,FALSE())*FX73</f>
        <v>0</v>
      </c>
      <c r="FY171" s="196" t="n">
        <f aca="false">VLOOKUP($FW$1,'Datos Iniciales'!$E$34:$O$64,FY$158,FALSE())*FY73</f>
        <v>0</v>
      </c>
      <c r="FZ171" s="196" t="n">
        <f aca="false">VLOOKUP($FW$1,'Datos Iniciales'!$E$34:$O$64,FZ$158,FALSE())*FZ73</f>
        <v>0</v>
      </c>
      <c r="GA171" s="196" t="n">
        <f aca="false">VLOOKUP($FW$1,'Datos Iniciales'!$E$34:$O$64,GA$158,FALSE())*GA73</f>
        <v>0</v>
      </c>
      <c r="GB171" s="196" t="n">
        <f aca="false">VLOOKUP($FW$1,'Datos Iniciales'!$E$34:$O$64,GB$158,FALSE())*GB73</f>
        <v>0</v>
      </c>
      <c r="GC171" s="196" t="n">
        <f aca="false">VLOOKUP($FW$1,'Datos Iniciales'!$E$34:$O$64,GC$158,FALSE())*GC73</f>
        <v>0</v>
      </c>
      <c r="GD171" s="196" t="n">
        <f aca="false">VLOOKUP($FW$1,'Datos Iniciales'!$E$34:$O$64,GD$158,FALSE())*GD73</f>
        <v>0</v>
      </c>
      <c r="GE171" s="196" t="n">
        <f aca="false">VLOOKUP($FW$1,'Datos Iniciales'!$E$34:$O$64,GE$158,FALSE())*GE73</f>
        <v>0</v>
      </c>
      <c r="GF171" s="196" t="n">
        <f aca="false">VLOOKUP($FW$1,'Datos Iniciales'!$E$34:$O$64,GF$158,FALSE())*GF73</f>
        <v>0</v>
      </c>
      <c r="GG171" s="197" t="n">
        <f aca="false">VLOOKUP($FW$1,'Datos Iniciales'!$E$34:$O$64,GG$158,FALSE())*GG73</f>
        <v>0</v>
      </c>
      <c r="GH171" s="194" t="str">
        <f aca="false">FW171</f>
        <v>Alumno12</v>
      </c>
      <c r="GI171" s="208" t="n">
        <f aca="false">VLOOKUP($GH$1,'Datos Iniciales'!$E$34:$O$64,GI$158,FALSE())*GI73</f>
        <v>0</v>
      </c>
      <c r="GJ171" s="196" t="n">
        <f aca="false">VLOOKUP($GH$1,'Datos Iniciales'!$E$34:$O$64,GJ$158,FALSE())*GJ73</f>
        <v>0</v>
      </c>
      <c r="GK171" s="196" t="n">
        <f aca="false">VLOOKUP($GH$1,'Datos Iniciales'!$E$34:$O$64,GK$158,FALSE())*GK73</f>
        <v>0</v>
      </c>
      <c r="GL171" s="196" t="n">
        <f aca="false">VLOOKUP($GH$1,'Datos Iniciales'!$E$34:$O$64,GL$158,FALSE())*GL73</f>
        <v>0</v>
      </c>
      <c r="GM171" s="196" t="n">
        <f aca="false">VLOOKUP($GH$1,'Datos Iniciales'!$E$34:$O$64,GM$158,FALSE())*GM73</f>
        <v>0</v>
      </c>
      <c r="GN171" s="196" t="n">
        <f aca="false">VLOOKUP($GH$1,'Datos Iniciales'!$E$34:$O$64,GN$158,FALSE())*GN73</f>
        <v>0</v>
      </c>
      <c r="GO171" s="196" t="n">
        <f aca="false">VLOOKUP($GH$1,'Datos Iniciales'!$E$34:$O$64,GO$158,FALSE())*GO73</f>
        <v>0</v>
      </c>
      <c r="GP171" s="196" t="n">
        <f aca="false">VLOOKUP($GH$1,'Datos Iniciales'!$E$34:$O$64,GP$158,FALSE())*GP73</f>
        <v>0</v>
      </c>
      <c r="GQ171" s="196" t="n">
        <f aca="false">VLOOKUP($GH$1,'Datos Iniciales'!$E$34:$O$64,GQ$158,FALSE())*GQ73</f>
        <v>0</v>
      </c>
      <c r="GR171" s="197" t="n">
        <f aca="false">VLOOKUP($GH$1,'Datos Iniciales'!$E$34:$O$64,GR$158,FALSE())*GR73</f>
        <v>0</v>
      </c>
      <c r="GS171" s="194" t="str">
        <f aca="false">GH171</f>
        <v>Alumno12</v>
      </c>
      <c r="GT171" s="208" t="n">
        <f aca="false">VLOOKUP($GS$1,'Datos Iniciales'!$E$34:$O$64,GT$158,FALSE())*GT73</f>
        <v>0</v>
      </c>
      <c r="GU171" s="196" t="n">
        <f aca="false">VLOOKUP($GS$1,'Datos Iniciales'!$E$34:$O$64,GU$158,FALSE())*GU73</f>
        <v>0</v>
      </c>
      <c r="GV171" s="196" t="n">
        <f aca="false">VLOOKUP($GS$1,'Datos Iniciales'!$E$34:$O$64,GV$158,FALSE())*GV73</f>
        <v>0</v>
      </c>
      <c r="GW171" s="196" t="n">
        <f aca="false">VLOOKUP($GS$1,'Datos Iniciales'!$E$34:$O$64,GW$158,FALSE())*GW73</f>
        <v>0</v>
      </c>
      <c r="GX171" s="196" t="n">
        <f aca="false">VLOOKUP($GS$1,'Datos Iniciales'!$E$34:$O$64,GX$158,FALSE())*GX73</f>
        <v>0</v>
      </c>
      <c r="GY171" s="196" t="n">
        <f aca="false">VLOOKUP($GS$1,'Datos Iniciales'!$E$34:$O$64,GY$158,FALSE())*GY73</f>
        <v>0</v>
      </c>
      <c r="GZ171" s="196" t="n">
        <f aca="false">VLOOKUP($GS$1,'Datos Iniciales'!$E$34:$O$64,GZ$158,FALSE())*GZ73</f>
        <v>0</v>
      </c>
      <c r="HA171" s="196" t="n">
        <f aca="false">VLOOKUP($GS$1,'Datos Iniciales'!$E$34:$O$64,HA$158,FALSE())*HA73</f>
        <v>0</v>
      </c>
      <c r="HB171" s="196" t="n">
        <f aca="false">VLOOKUP($GS$1,'Datos Iniciales'!$E$34:$O$64,HB$158,FALSE())*HB73</f>
        <v>0</v>
      </c>
      <c r="HC171" s="197" t="n">
        <f aca="false">VLOOKUP($GS$1,'Datos Iniciales'!$E$34:$O$64,HC$158,FALSE())*HC73</f>
        <v>0</v>
      </c>
      <c r="HD171" s="194" t="str">
        <f aca="false">GS171</f>
        <v>Alumno12</v>
      </c>
      <c r="HE171" s="208" t="n">
        <f aca="false">VLOOKUP($HD$1,'Datos Iniciales'!$E$34:$O$64,HE$158,FALSE())*HE73</f>
        <v>0</v>
      </c>
      <c r="HF171" s="196" t="n">
        <f aca="false">VLOOKUP($HD$1,'Datos Iniciales'!$E$34:$O$64,HF$158,FALSE())*HF73</f>
        <v>0</v>
      </c>
      <c r="HG171" s="196" t="n">
        <f aca="false">VLOOKUP($HD$1,'Datos Iniciales'!$E$34:$O$64,HG$158,FALSE())*HG73</f>
        <v>0</v>
      </c>
      <c r="HH171" s="196" t="n">
        <f aca="false">VLOOKUP($HD$1,'Datos Iniciales'!$E$34:$O$64,HH$158,FALSE())*HH73</f>
        <v>0</v>
      </c>
      <c r="HI171" s="196" t="n">
        <f aca="false">VLOOKUP($HD$1,'Datos Iniciales'!$E$34:$O$64,HI$158,FALSE())*HI73</f>
        <v>0</v>
      </c>
      <c r="HJ171" s="196" t="n">
        <f aca="false">VLOOKUP($HD$1,'Datos Iniciales'!$E$34:$O$64,HJ$158,FALSE())*HJ73</f>
        <v>0</v>
      </c>
      <c r="HK171" s="196" t="n">
        <f aca="false">VLOOKUP($HD$1,'Datos Iniciales'!$E$34:$O$64,HK$158,FALSE())*HK73</f>
        <v>0</v>
      </c>
      <c r="HL171" s="196" t="n">
        <f aca="false">VLOOKUP($HD$1,'Datos Iniciales'!$E$34:$O$64,HL$158,FALSE())*HL73</f>
        <v>0</v>
      </c>
      <c r="HM171" s="196" t="n">
        <f aca="false">VLOOKUP($HD$1,'Datos Iniciales'!$E$34:$O$64,HM$158,FALSE())*HM73</f>
        <v>0</v>
      </c>
      <c r="HN171" s="197" t="n">
        <f aca="false">VLOOKUP($HD$1,'Datos Iniciales'!$E$34:$O$64,HN$158,FALSE())*HN73</f>
        <v>0</v>
      </c>
      <c r="HO171" s="194" t="str">
        <f aca="false">HD171</f>
        <v>Alumno12</v>
      </c>
      <c r="HP171" s="208" t="n">
        <f aca="false">VLOOKUP($HO$1,'Datos Iniciales'!$E$34:$O$64,HP$158,FALSE())*HP73</f>
        <v>0</v>
      </c>
      <c r="HQ171" s="196" t="n">
        <f aca="false">VLOOKUP($HO$1,'Datos Iniciales'!$E$34:$O$64,HQ$158,FALSE())*HQ73</f>
        <v>0</v>
      </c>
      <c r="HR171" s="196" t="n">
        <f aca="false">VLOOKUP($HO$1,'Datos Iniciales'!$E$34:$O$64,HR$158,FALSE())*HR73</f>
        <v>0</v>
      </c>
      <c r="HS171" s="196" t="n">
        <f aca="false">VLOOKUP($HO$1,'Datos Iniciales'!$E$34:$O$64,HS$158,FALSE())*HS73</f>
        <v>0</v>
      </c>
      <c r="HT171" s="196" t="n">
        <f aca="false">VLOOKUP($HO$1,'Datos Iniciales'!$E$34:$O$64,HT$158,FALSE())*HT73</f>
        <v>0</v>
      </c>
      <c r="HU171" s="196" t="n">
        <f aca="false">VLOOKUP($HO$1,'Datos Iniciales'!$E$34:$O$64,HU$158,FALSE())*HU73</f>
        <v>0</v>
      </c>
      <c r="HV171" s="196" t="n">
        <f aca="false">VLOOKUP($HO$1,'Datos Iniciales'!$E$34:$O$64,HV$158,FALSE())*HV73</f>
        <v>0</v>
      </c>
      <c r="HW171" s="196" t="n">
        <f aca="false">VLOOKUP($HO$1,'Datos Iniciales'!$E$34:$O$64,HW$158,FALSE())*HW73</f>
        <v>0</v>
      </c>
      <c r="HX171" s="196" t="n">
        <f aca="false">VLOOKUP($HO$1,'Datos Iniciales'!$E$34:$O$64,HX$158,FALSE())*HX73</f>
        <v>0</v>
      </c>
      <c r="HY171" s="197" t="n">
        <f aca="false">VLOOKUP($HO$1,'Datos Iniciales'!$E$34:$O$64,HY$158,FALSE())*HY73</f>
        <v>0</v>
      </c>
      <c r="HZ171" s="194" t="str">
        <f aca="false">HO171</f>
        <v>Alumno12</v>
      </c>
      <c r="IA171" s="208" t="n">
        <f aca="false">VLOOKUP($HZ$1,'Datos Iniciales'!$E$34:$O$64,IA$158,FALSE())*IA73</f>
        <v>0</v>
      </c>
      <c r="IB171" s="196" t="n">
        <f aca="false">VLOOKUP($HZ$1,'Datos Iniciales'!$E$34:$O$64,IB$158,FALSE())*IB73</f>
        <v>0</v>
      </c>
      <c r="IC171" s="196" t="n">
        <f aca="false">VLOOKUP($HZ$1,'Datos Iniciales'!$E$34:$O$64,IC$158,FALSE())*IC73</f>
        <v>0</v>
      </c>
      <c r="ID171" s="196" t="n">
        <f aca="false">VLOOKUP($HZ$1,'Datos Iniciales'!$E$34:$O$64,ID$158,FALSE())*ID73</f>
        <v>0</v>
      </c>
      <c r="IE171" s="196" t="n">
        <f aca="false">VLOOKUP($HZ$1,'Datos Iniciales'!$E$34:$O$64,IE$158,FALSE())*IE73</f>
        <v>0</v>
      </c>
      <c r="IF171" s="196" t="n">
        <f aca="false">VLOOKUP($HZ$1,'Datos Iniciales'!$E$34:$O$64,IF$158,FALSE())*IF73</f>
        <v>0</v>
      </c>
      <c r="IG171" s="196" t="n">
        <f aca="false">VLOOKUP($HZ$1,'Datos Iniciales'!$E$34:$O$64,IG$158,FALSE())*IG73</f>
        <v>0</v>
      </c>
      <c r="IH171" s="196" t="n">
        <f aca="false">VLOOKUP($HZ$1,'Datos Iniciales'!$E$34:$O$64,IH$158,FALSE())*IH73</f>
        <v>0</v>
      </c>
      <c r="II171" s="196" t="n">
        <f aca="false">VLOOKUP($HZ$1,'Datos Iniciales'!$E$34:$O$64,II$158,FALSE())*II73</f>
        <v>0</v>
      </c>
      <c r="IJ171" s="197" t="n">
        <f aca="false">VLOOKUP($HZ$1,'Datos Iniciales'!$E$34:$O$64,IJ$158,FALSE())*IJ73</f>
        <v>0</v>
      </c>
      <c r="IK171" s="194" t="str">
        <f aca="false">HZ171</f>
        <v>Alumno12</v>
      </c>
      <c r="IL171" s="208" t="n">
        <f aca="false">VLOOKUP($IK$1,'Datos Iniciales'!$E$34:$O$64,IL$158,FALSE())*IL73</f>
        <v>0</v>
      </c>
      <c r="IM171" s="196" t="n">
        <f aca="false">VLOOKUP($IK$1,'Datos Iniciales'!$E$34:$O$64,IM$158,FALSE())*IM73</f>
        <v>0</v>
      </c>
      <c r="IN171" s="196" t="n">
        <f aca="false">VLOOKUP($IK$1,'Datos Iniciales'!$E$34:$O$64,IN$158,FALSE())*IN73</f>
        <v>0</v>
      </c>
      <c r="IO171" s="196" t="n">
        <f aca="false">VLOOKUP($IK$1,'Datos Iniciales'!$E$34:$O$64,IO$158,FALSE())*IO73</f>
        <v>0</v>
      </c>
      <c r="IP171" s="196" t="n">
        <f aca="false">VLOOKUP($IK$1,'Datos Iniciales'!$E$34:$O$64,IP$158,FALSE())*IP73</f>
        <v>0</v>
      </c>
      <c r="IQ171" s="196" t="n">
        <f aca="false">VLOOKUP($IK$1,'Datos Iniciales'!$E$34:$O$64,IQ$158,FALSE())*IQ73</f>
        <v>0</v>
      </c>
      <c r="IR171" s="196" t="n">
        <f aca="false">VLOOKUP($IK$1,'Datos Iniciales'!$E$34:$O$64,IR$158,FALSE())*IR73</f>
        <v>0</v>
      </c>
      <c r="IS171" s="196" t="n">
        <f aca="false">VLOOKUP($IK$1,'Datos Iniciales'!$E$34:$O$64,IS$158,FALSE())*IS73</f>
        <v>0</v>
      </c>
      <c r="IT171" s="196" t="n">
        <f aca="false">VLOOKUP($IK$1,'Datos Iniciales'!$E$34:$O$64,IT$158,FALSE())*IT73</f>
        <v>0</v>
      </c>
      <c r="IU171" s="197" t="n">
        <f aca="false">VLOOKUP($IK$1,'Datos Iniciales'!$E$34:$O$64,IU$158,FALSE())*IU73</f>
        <v>0</v>
      </c>
      <c r="IV171" s="194" t="str">
        <f aca="false">IK171</f>
        <v>Alumno12</v>
      </c>
      <c r="IW171" s="208" t="n">
        <f aca="false">VLOOKUP($IV$1,'Datos Iniciales'!$E$34:$O$64,IW$158,FALSE())*IW73</f>
        <v>0</v>
      </c>
      <c r="IX171" s="196" t="n">
        <f aca="false">VLOOKUP($IV$1,'Datos Iniciales'!$E$34:$O$64,IX$158,FALSE())*IX73</f>
        <v>0</v>
      </c>
      <c r="IY171" s="196" t="n">
        <f aca="false">VLOOKUP($IV$1,'Datos Iniciales'!$E$34:$O$64,IY$158,FALSE())*IY73</f>
        <v>0</v>
      </c>
      <c r="IZ171" s="196" t="n">
        <f aca="false">VLOOKUP($IV$1,'Datos Iniciales'!$E$34:$O$64,IZ$158,FALSE())*IZ73</f>
        <v>0</v>
      </c>
      <c r="JA171" s="196" t="n">
        <f aca="false">VLOOKUP($IV$1,'Datos Iniciales'!$E$34:$O$64,JA$158,FALSE())*JA73</f>
        <v>0</v>
      </c>
      <c r="JB171" s="196" t="n">
        <f aca="false">VLOOKUP($IV$1,'Datos Iniciales'!$E$34:$O$64,JB$158,FALSE())*JB73</f>
        <v>0</v>
      </c>
      <c r="JC171" s="196" t="n">
        <f aca="false">VLOOKUP($IV$1,'Datos Iniciales'!$E$34:$O$64,JC$158,FALSE())*JC73</f>
        <v>0</v>
      </c>
      <c r="JD171" s="196" t="n">
        <f aca="false">VLOOKUP($IV$1,'Datos Iniciales'!$E$34:$O$64,JD$158,FALSE())*JD73</f>
        <v>0</v>
      </c>
      <c r="JE171" s="196" t="n">
        <f aca="false">VLOOKUP($IV$1,'Datos Iniciales'!$E$34:$O$64,JE$158,FALSE())*JE73</f>
        <v>0</v>
      </c>
      <c r="JF171" s="197" t="n">
        <f aca="false">VLOOKUP($IV$1,'Datos Iniciales'!$E$34:$O$64,JF$158,FALSE())*JF73</f>
        <v>0</v>
      </c>
      <c r="JG171" s="194" t="str">
        <f aca="false">IV171</f>
        <v>Alumno12</v>
      </c>
      <c r="JH171" s="208" t="n">
        <f aca="false">VLOOKUP($JG$1,'Datos Iniciales'!$E$34:$O$64,JH$158,FALSE())*JH73</f>
        <v>0</v>
      </c>
      <c r="JI171" s="196" t="n">
        <f aca="false">VLOOKUP($JG$1,'Datos Iniciales'!$E$34:$O$64,JI$158,FALSE())*JI73</f>
        <v>0</v>
      </c>
      <c r="JJ171" s="196" t="n">
        <f aca="false">VLOOKUP($JG$1,'Datos Iniciales'!$E$34:$O$64,JJ$158,FALSE())*JJ73</f>
        <v>0</v>
      </c>
      <c r="JK171" s="196" t="n">
        <f aca="false">VLOOKUP($JG$1,'Datos Iniciales'!$E$34:$O$64,JK$158,FALSE())*JK73</f>
        <v>0</v>
      </c>
      <c r="JL171" s="196" t="n">
        <f aca="false">VLOOKUP($JG$1,'Datos Iniciales'!$E$34:$O$64,JL$158,FALSE())*JL73</f>
        <v>0</v>
      </c>
      <c r="JM171" s="196" t="n">
        <f aca="false">VLOOKUP($JG$1,'Datos Iniciales'!$E$34:$O$64,JM$158,FALSE())*JM73</f>
        <v>0</v>
      </c>
      <c r="JN171" s="196" t="n">
        <f aca="false">VLOOKUP($JG$1,'Datos Iniciales'!$E$34:$O$64,JN$158,FALSE())*JN73</f>
        <v>0</v>
      </c>
      <c r="JO171" s="196" t="n">
        <f aca="false">VLOOKUP($JG$1,'Datos Iniciales'!$E$34:$O$64,JO$158,FALSE())*JO73</f>
        <v>0</v>
      </c>
      <c r="JP171" s="196" t="n">
        <f aca="false">VLOOKUP($JG$1,'Datos Iniciales'!$E$34:$O$64,JP$158,FALSE())*JP73</f>
        <v>0</v>
      </c>
      <c r="JQ171" s="197" t="n">
        <f aca="false">VLOOKUP($JG$1,'Datos Iniciales'!$E$34:$O$64,JQ$158,FALSE())*JQ73</f>
        <v>0</v>
      </c>
      <c r="JR171" s="194" t="str">
        <f aca="false">JG171</f>
        <v>Alumno12</v>
      </c>
      <c r="JS171" s="208" t="n">
        <f aca="false">VLOOKUP($JR$1,'Datos Iniciales'!$E$34:$O$64,JS$158,FALSE())*JS73</f>
        <v>0</v>
      </c>
      <c r="JT171" s="196" t="n">
        <f aca="false">VLOOKUP($JR$1,'Datos Iniciales'!$E$34:$O$64,JT$158,FALSE())*JT73</f>
        <v>0</v>
      </c>
      <c r="JU171" s="196" t="n">
        <f aca="false">VLOOKUP($JR$1,'Datos Iniciales'!$E$34:$O$64,JU$158,FALSE())*JU73</f>
        <v>0</v>
      </c>
      <c r="JV171" s="196" t="n">
        <f aca="false">VLOOKUP($JR$1,'Datos Iniciales'!$E$34:$O$64,JV$158,FALSE())*JV73</f>
        <v>0</v>
      </c>
      <c r="JW171" s="196" t="n">
        <f aca="false">VLOOKUP($JR$1,'Datos Iniciales'!$E$34:$O$64,JW$158,FALSE())*JW73</f>
        <v>0</v>
      </c>
      <c r="JX171" s="196" t="n">
        <f aca="false">VLOOKUP($JR$1,'Datos Iniciales'!$E$34:$O$64,JX$158,FALSE())*JX73</f>
        <v>0</v>
      </c>
      <c r="JY171" s="196" t="n">
        <f aca="false">VLOOKUP($JR$1,'Datos Iniciales'!$E$34:$O$64,JY$158,FALSE())*JY73</f>
        <v>0</v>
      </c>
      <c r="JZ171" s="196" t="n">
        <f aca="false">VLOOKUP($JR$1,'Datos Iniciales'!$E$34:$O$64,JZ$158,FALSE())*JZ73</f>
        <v>0</v>
      </c>
      <c r="KA171" s="196" t="n">
        <f aca="false">VLOOKUP($JR$1,'Datos Iniciales'!$E$34:$O$64,KA$158,FALSE())*KA73</f>
        <v>0</v>
      </c>
      <c r="KB171" s="197" t="n">
        <f aca="false">VLOOKUP($JR$1,'Datos Iniciales'!$E$34:$O$64,KB$158,FALSE())*KB73</f>
        <v>0</v>
      </c>
      <c r="KC171" s="194" t="str">
        <f aca="false">JR171</f>
        <v>Alumno12</v>
      </c>
      <c r="KD171" s="208" t="n">
        <f aca="false">VLOOKUP($KC$1,'Datos Iniciales'!$E$34:$O$64,KD$158,FALSE())*KD73</f>
        <v>0</v>
      </c>
      <c r="KE171" s="196" t="n">
        <f aca="false">VLOOKUP($KC$1,'Datos Iniciales'!$E$34:$O$64,KE$158,FALSE())*KE73</f>
        <v>0</v>
      </c>
      <c r="KF171" s="196" t="n">
        <f aca="false">VLOOKUP($KC$1,'Datos Iniciales'!$E$34:$O$64,KF$158,FALSE())*KF73</f>
        <v>0</v>
      </c>
      <c r="KG171" s="196" t="n">
        <f aca="false">VLOOKUP($KC$1,'Datos Iniciales'!$E$34:$O$64,KG$158,FALSE())*KG73</f>
        <v>0</v>
      </c>
      <c r="KH171" s="196" t="n">
        <f aca="false">VLOOKUP($KC$1,'Datos Iniciales'!$E$34:$O$64,KH$158,FALSE())*KH73</f>
        <v>0</v>
      </c>
      <c r="KI171" s="196" t="n">
        <f aca="false">VLOOKUP($KC$1,'Datos Iniciales'!$E$34:$O$64,KI$158,FALSE())*KI73</f>
        <v>0</v>
      </c>
      <c r="KJ171" s="196" t="n">
        <f aca="false">VLOOKUP($KC$1,'Datos Iniciales'!$E$34:$O$64,KJ$158,FALSE())*KJ73</f>
        <v>0</v>
      </c>
      <c r="KK171" s="196" t="n">
        <f aca="false">VLOOKUP($KC$1,'Datos Iniciales'!$E$34:$O$64,KK$158,FALSE())*KK73</f>
        <v>0</v>
      </c>
      <c r="KL171" s="196" t="n">
        <f aca="false">VLOOKUP($KC$1,'Datos Iniciales'!$E$34:$O$64,KL$158,FALSE())*KL73</f>
        <v>0</v>
      </c>
      <c r="KM171" s="197" t="n">
        <f aca="false">VLOOKUP($KC$1,'Datos Iniciales'!$E$34:$O$64,KM$158,FALSE())*KM73</f>
        <v>0</v>
      </c>
      <c r="KN171" s="194" t="str">
        <f aca="false">KC171</f>
        <v>Alumno12</v>
      </c>
      <c r="KO171" s="208" t="n">
        <f aca="false">VLOOKUP($KN$1,'Datos Iniciales'!$E$34:$O$64,KO$158,FALSE())*KO73</f>
        <v>0</v>
      </c>
      <c r="KP171" s="196" t="n">
        <f aca="false">VLOOKUP($KN$1,'Datos Iniciales'!$E$34:$O$64,KP$158,FALSE())*KP73</f>
        <v>0</v>
      </c>
      <c r="KQ171" s="196" t="n">
        <f aca="false">VLOOKUP($KN$1,'Datos Iniciales'!$E$34:$O$64,KQ$158,FALSE())*KQ73</f>
        <v>0</v>
      </c>
      <c r="KR171" s="196" t="n">
        <f aca="false">VLOOKUP($KN$1,'Datos Iniciales'!$E$34:$O$64,KR$158,FALSE())*KR73</f>
        <v>0</v>
      </c>
      <c r="KS171" s="196" t="n">
        <f aca="false">VLOOKUP($KN$1,'Datos Iniciales'!$E$34:$O$64,KS$158,FALSE())*KS73</f>
        <v>0</v>
      </c>
      <c r="KT171" s="196" t="n">
        <f aca="false">VLOOKUP($KN$1,'Datos Iniciales'!$E$34:$O$64,KT$158,FALSE())*KT73</f>
        <v>0</v>
      </c>
      <c r="KU171" s="196" t="n">
        <f aca="false">VLOOKUP($KN$1,'Datos Iniciales'!$E$34:$O$64,KU$158,FALSE())*KU73</f>
        <v>0</v>
      </c>
      <c r="KV171" s="196" t="n">
        <f aca="false">VLOOKUP($KN$1,'Datos Iniciales'!$E$34:$O$64,KV$158,FALSE())*KV73</f>
        <v>0</v>
      </c>
      <c r="KW171" s="196" t="n">
        <f aca="false">VLOOKUP($KN$1,'Datos Iniciales'!$E$34:$O$64,KW$158,FALSE())*KW73</f>
        <v>0</v>
      </c>
      <c r="KX171" s="197" t="n">
        <f aca="false">VLOOKUP($KN$1,'Datos Iniciales'!$E$34:$O$64,KX$158,FALSE())*KX73</f>
        <v>0</v>
      </c>
      <c r="KY171" s="194" t="str">
        <f aca="false">KN171</f>
        <v>Alumno12</v>
      </c>
      <c r="KZ171" s="208" t="n">
        <f aca="false">VLOOKUP($KY$1,'Datos Iniciales'!$E$34:$O$64,KZ$158,FALSE())*KZ73</f>
        <v>0</v>
      </c>
      <c r="LA171" s="196" t="n">
        <f aca="false">VLOOKUP($KY$1,'Datos Iniciales'!$E$34:$O$64,LA$158,FALSE())*LA73</f>
        <v>0</v>
      </c>
      <c r="LB171" s="196" t="n">
        <f aca="false">VLOOKUP($KY$1,'Datos Iniciales'!$E$34:$O$64,LB$158,FALSE())*LB73</f>
        <v>0</v>
      </c>
      <c r="LC171" s="196" t="n">
        <f aca="false">VLOOKUP($KY$1,'Datos Iniciales'!$E$34:$O$64,LC$158,FALSE())*LC73</f>
        <v>0</v>
      </c>
      <c r="LD171" s="196" t="n">
        <f aca="false">VLOOKUP($KY$1,'Datos Iniciales'!$E$34:$O$64,LD$158,FALSE())*LD73</f>
        <v>0</v>
      </c>
      <c r="LE171" s="196" t="n">
        <f aca="false">VLOOKUP($KY$1,'Datos Iniciales'!$E$34:$O$64,LE$158,FALSE())*LE73</f>
        <v>0</v>
      </c>
      <c r="LF171" s="196" t="n">
        <f aca="false">VLOOKUP($KY$1,'Datos Iniciales'!$E$34:$O$64,LF$158,FALSE())*LF73</f>
        <v>0</v>
      </c>
      <c r="LG171" s="196" t="n">
        <f aca="false">VLOOKUP($KY$1,'Datos Iniciales'!$E$34:$O$64,LG$158,FALSE())*LG73</f>
        <v>0</v>
      </c>
      <c r="LH171" s="196" t="n">
        <f aca="false">VLOOKUP($KY$1,'Datos Iniciales'!$E$34:$O$64,LH$158,FALSE())*LH73</f>
        <v>0</v>
      </c>
      <c r="LI171" s="197" t="n">
        <f aca="false">VLOOKUP($KY$1,'Datos Iniciales'!$E$34:$O$64,LI$158,FALSE())*LI73</f>
        <v>0</v>
      </c>
      <c r="LJ171" s="194" t="str">
        <f aca="false">KY171</f>
        <v>Alumno12</v>
      </c>
      <c r="LK171" s="208" t="n">
        <f aca="false">VLOOKUP($LJ$1,'Datos Iniciales'!$E$34:$O$64,LK$158,FALSE())*LK73</f>
        <v>0</v>
      </c>
      <c r="LL171" s="196" t="n">
        <f aca="false">VLOOKUP($LJ$1,'Datos Iniciales'!$E$34:$O$64,LL$158,FALSE())*LL73</f>
        <v>0</v>
      </c>
      <c r="LM171" s="196" t="n">
        <f aca="false">VLOOKUP($LJ$1,'Datos Iniciales'!$E$34:$O$64,LM$158,FALSE())*LM73</f>
        <v>0</v>
      </c>
      <c r="LN171" s="196" t="n">
        <f aca="false">VLOOKUP($LJ$1,'Datos Iniciales'!$E$34:$O$64,LN$158,FALSE())*LN73</f>
        <v>0</v>
      </c>
      <c r="LO171" s="196" t="n">
        <f aca="false">VLOOKUP($LJ$1,'Datos Iniciales'!$E$34:$O$64,LO$158,FALSE())*LO73</f>
        <v>0</v>
      </c>
      <c r="LP171" s="196" t="n">
        <f aca="false">VLOOKUP($LJ$1,'Datos Iniciales'!$E$34:$O$64,LP$158,FALSE())*LP73</f>
        <v>0</v>
      </c>
      <c r="LQ171" s="196" t="n">
        <f aca="false">VLOOKUP($LJ$1,'Datos Iniciales'!$E$34:$O$64,LQ$158,FALSE())*LQ73</f>
        <v>0</v>
      </c>
      <c r="LR171" s="196" t="n">
        <f aca="false">VLOOKUP($LJ$1,'Datos Iniciales'!$E$34:$O$64,LR$158,FALSE())*LR73</f>
        <v>0</v>
      </c>
      <c r="LS171" s="196" t="n">
        <f aca="false">VLOOKUP($LJ$1,'Datos Iniciales'!$E$34:$O$64,LS$158,FALSE())*LS73</f>
        <v>0</v>
      </c>
      <c r="LT171" s="197" t="n">
        <f aca="false">VLOOKUP($LJ$1,'Datos Iniciales'!$E$34:$O$64,LT$158,FALSE())*LT73</f>
        <v>0</v>
      </c>
    </row>
    <row r="172" customFormat="false" ht="15" hidden="true" customHeight="false" outlineLevel="0" collapsed="false">
      <c r="C172" s="194" t="str">
        <f aca="false">C123</f>
        <v>Alumno13</v>
      </c>
      <c r="D172" s="208" t="n">
        <f aca="false">VLOOKUP($C$1,'Datos Iniciales'!$E$34:$O$64,D$158,FALSE())*D74</f>
        <v>1.325</v>
      </c>
      <c r="E172" s="196" t="n">
        <f aca="false">VLOOKUP($C$1,'Datos Iniciales'!$E$34:$O$64,E$158,FALSE())*E74</f>
        <v>0</v>
      </c>
      <c r="F172" s="196" t="n">
        <f aca="false">VLOOKUP($C$1,'Datos Iniciales'!$E$34:$O$64,F$158,FALSE())*F74</f>
        <v>0</v>
      </c>
      <c r="G172" s="196" t="n">
        <f aca="false">VLOOKUP($C$1,'Datos Iniciales'!$E$34:$O$64,G$158,FALSE())*G74</f>
        <v>0</v>
      </c>
      <c r="H172" s="196" t="n">
        <f aca="false">VLOOKUP($C$1,'Datos Iniciales'!$E$34:$O$64,H$158,FALSE())*H74</f>
        <v>0</v>
      </c>
      <c r="I172" s="196" t="n">
        <f aca="false">VLOOKUP($C$1,'Datos Iniciales'!$E$34:$O$64,I$158,FALSE())*I74</f>
        <v>0</v>
      </c>
      <c r="J172" s="196" t="n">
        <f aca="false">VLOOKUP($C$1,'Datos Iniciales'!$E$34:$O$64,J$158,FALSE())*J74</f>
        <v>0</v>
      </c>
      <c r="K172" s="196" t="n">
        <f aca="false">VLOOKUP($C$1,'Datos Iniciales'!$E$34:$O$64,K$158,FALSE())*K74</f>
        <v>0</v>
      </c>
      <c r="L172" s="196" t="n">
        <f aca="false">VLOOKUP($C$1,'Datos Iniciales'!$E$34:$O$64,L$158,FALSE())*L74</f>
        <v>0</v>
      </c>
      <c r="M172" s="197" t="n">
        <f aca="false">VLOOKUP($C$1,'Datos Iniciales'!$E$34:$O$64,M$158,FALSE())*M74</f>
        <v>0</v>
      </c>
      <c r="N172" s="194" t="str">
        <f aca="false">C172</f>
        <v>Alumno13</v>
      </c>
      <c r="O172" s="208" t="n">
        <f aca="false">VLOOKUP($N$1,'Datos Iniciales'!$E$34:$O$64,O$158,FALSE())*O74</f>
        <v>1.1</v>
      </c>
      <c r="P172" s="196" t="n">
        <f aca="false">VLOOKUP($N$1,'Datos Iniciales'!$E$34:$O$64,P$158,FALSE())*P74</f>
        <v>0.8</v>
      </c>
      <c r="Q172" s="196" t="n">
        <f aca="false">VLOOKUP($N$1,'Datos Iniciales'!$E$34:$O$64,Q$158,FALSE())*Q74</f>
        <v>0</v>
      </c>
      <c r="R172" s="196" t="n">
        <f aca="false">VLOOKUP($N$1,'Datos Iniciales'!$E$34:$O$64,R$158,FALSE())*R74</f>
        <v>0</v>
      </c>
      <c r="S172" s="196" t="n">
        <f aca="false">VLOOKUP($N$1,'Datos Iniciales'!$E$34:$O$64,S$158,FALSE())*S74</f>
        <v>0</v>
      </c>
      <c r="T172" s="196" t="n">
        <f aca="false">VLOOKUP($N$1,'Datos Iniciales'!$E$34:$O$64,T$158,FALSE())*T74</f>
        <v>0</v>
      </c>
      <c r="U172" s="196" t="n">
        <f aca="false">VLOOKUP($N$1,'Datos Iniciales'!$E$34:$O$64,U$158,FALSE())*U74</f>
        <v>0</v>
      </c>
      <c r="V172" s="196" t="n">
        <f aca="false">VLOOKUP($N$1,'Datos Iniciales'!$E$34:$O$64,V$158,FALSE())*V74</f>
        <v>0</v>
      </c>
      <c r="W172" s="196" t="n">
        <f aca="false">VLOOKUP($N$1,'Datos Iniciales'!$E$34:$O$64,W$158,FALSE())*W74</f>
        <v>0</v>
      </c>
      <c r="X172" s="197" t="n">
        <f aca="false">VLOOKUP($N$1,'Datos Iniciales'!$E$34:$O$64,X$158,FALSE())*X74</f>
        <v>0</v>
      </c>
      <c r="Y172" s="194" t="str">
        <f aca="false">N172</f>
        <v>Alumno13</v>
      </c>
      <c r="Z172" s="208" t="n">
        <f aca="false">VLOOKUP($Y$1,'Datos Iniciales'!$E$34:$O$64,Z$158,FALSE())*Z74</f>
        <v>1.65</v>
      </c>
      <c r="AA172" s="196" t="n">
        <f aca="false">VLOOKUP($Y$1,'Datos Iniciales'!$E$34:$O$64,AA$158,FALSE())*AA74</f>
        <v>0.7</v>
      </c>
      <c r="AB172" s="196" t="n">
        <f aca="false">VLOOKUP($Y$1,'Datos Iniciales'!$E$34:$O$64,AB$158,FALSE())*AB74</f>
        <v>0.5</v>
      </c>
      <c r="AC172" s="196" t="n">
        <f aca="false">VLOOKUP($Y$1,'Datos Iniciales'!$E$34:$O$64,AC$158,FALSE())*AC74</f>
        <v>0</v>
      </c>
      <c r="AD172" s="196" t="n">
        <f aca="false">VLOOKUP($Y$1,'Datos Iniciales'!$E$34:$O$64,AD$158,FALSE())*AD74</f>
        <v>0</v>
      </c>
      <c r="AE172" s="196" t="n">
        <f aca="false">VLOOKUP($Y$1,'Datos Iniciales'!$E$34:$O$64,AE$158,FALSE())*AE74</f>
        <v>0</v>
      </c>
      <c r="AF172" s="196" t="n">
        <f aca="false">VLOOKUP($Y$1,'Datos Iniciales'!$E$34:$O$64,AF$158,FALSE())*AF74</f>
        <v>0</v>
      </c>
      <c r="AG172" s="196" t="n">
        <f aca="false">VLOOKUP($Y$1,'Datos Iniciales'!$E$34:$O$64,AG$158,FALSE())*AG74</f>
        <v>0</v>
      </c>
      <c r="AH172" s="196" t="n">
        <f aca="false">VLOOKUP($Y$1,'Datos Iniciales'!$E$34:$O$64,AH$158,FALSE())*AH74</f>
        <v>0</v>
      </c>
      <c r="AI172" s="197" t="n">
        <f aca="false">VLOOKUP($Y$1,'Datos Iniciales'!$E$34:$O$64,AI$158,FALSE())*AI74</f>
        <v>0</v>
      </c>
      <c r="AJ172" s="194" t="str">
        <f aca="false">Y172</f>
        <v>Alumno13</v>
      </c>
      <c r="AK172" s="208" t="n">
        <f aca="false">VLOOKUP($AJ$1,'Datos Iniciales'!$E$34:$O$64,AK$158,FALSE())*AK74</f>
        <v>0.5</v>
      </c>
      <c r="AL172" s="196" t="n">
        <f aca="false">VLOOKUP($AJ$1,'Datos Iniciales'!$E$34:$O$64,AL$158,FALSE())*AL74</f>
        <v>1.65</v>
      </c>
      <c r="AM172" s="196" t="n">
        <f aca="false">VLOOKUP($AJ$1,'Datos Iniciales'!$E$34:$O$64,AM$158,FALSE())*AM74</f>
        <v>1.225</v>
      </c>
      <c r="AN172" s="196" t="n">
        <f aca="false">VLOOKUP($AJ$1,'Datos Iniciales'!$E$34:$O$64,AN$158,FALSE())*AN74</f>
        <v>0</v>
      </c>
      <c r="AO172" s="196" t="n">
        <f aca="false">VLOOKUP($AJ$1,'Datos Iniciales'!$E$34:$O$64,AO$158,FALSE())*AO74</f>
        <v>0</v>
      </c>
      <c r="AP172" s="196" t="n">
        <f aca="false">VLOOKUP($AJ$1,'Datos Iniciales'!$E$34:$O$64,AP$158,FALSE())*AP74</f>
        <v>0</v>
      </c>
      <c r="AQ172" s="196" t="n">
        <f aca="false">VLOOKUP($AJ$1,'Datos Iniciales'!$E$34:$O$64,AQ$158,FALSE())*AQ74</f>
        <v>0</v>
      </c>
      <c r="AR172" s="196" t="n">
        <f aca="false">VLOOKUP($AJ$1,'Datos Iniciales'!$E$34:$O$64,AR$158,FALSE())*AR74</f>
        <v>0</v>
      </c>
      <c r="AS172" s="196" t="n">
        <f aca="false">VLOOKUP($AJ$1,'Datos Iniciales'!$E$34:$O$64,AS$158,FALSE())*AS74</f>
        <v>0</v>
      </c>
      <c r="AT172" s="197" t="n">
        <f aca="false">VLOOKUP($AJ$1,'Datos Iniciales'!$E$34:$O$64,AT$158,FALSE())*AT74</f>
        <v>0</v>
      </c>
      <c r="AU172" s="194" t="str">
        <f aca="false">AJ172</f>
        <v>Alumno13</v>
      </c>
      <c r="AV172" s="208" t="n">
        <f aca="false">VLOOKUP($AU$1,'Datos Iniciales'!$E$34:$O$64,AV$158,FALSE())*AV74</f>
        <v>0.3</v>
      </c>
      <c r="AW172" s="196" t="n">
        <f aca="false">VLOOKUP($AU$1,'Datos Iniciales'!$E$34:$O$64,AW$158,FALSE())*AW74</f>
        <v>0.7</v>
      </c>
      <c r="AX172" s="196" t="n">
        <f aca="false">VLOOKUP($AU$1,'Datos Iniciales'!$E$34:$O$64,AX$158,FALSE())*AX74</f>
        <v>1.2</v>
      </c>
      <c r="AY172" s="196" t="n">
        <f aca="false">VLOOKUP($AU$1,'Datos Iniciales'!$E$34:$O$64,AY$158,FALSE())*AY74</f>
        <v>0.5</v>
      </c>
      <c r="AZ172" s="196" t="n">
        <f aca="false">VLOOKUP($AU$1,'Datos Iniciales'!$E$34:$O$64,AZ$158,FALSE())*AZ74</f>
        <v>0</v>
      </c>
      <c r="BA172" s="196" t="n">
        <f aca="false">VLOOKUP($AU$1,'Datos Iniciales'!$E$34:$O$64,BA$158,FALSE())*BA74</f>
        <v>0</v>
      </c>
      <c r="BB172" s="196" t="n">
        <f aca="false">VLOOKUP($AU$1,'Datos Iniciales'!$E$34:$O$64,BB$158,FALSE())*BB74</f>
        <v>0</v>
      </c>
      <c r="BC172" s="196" t="n">
        <f aca="false">VLOOKUP($AU$1,'Datos Iniciales'!$E$34:$O$64,BC$158,FALSE())*BC74</f>
        <v>0</v>
      </c>
      <c r="BD172" s="196" t="n">
        <f aca="false">VLOOKUP($AU$1,'Datos Iniciales'!$E$34:$O$64,BD$158,FALSE())*BD74</f>
        <v>0</v>
      </c>
      <c r="BE172" s="197" t="n">
        <f aca="false">VLOOKUP($AU$1,'Datos Iniciales'!$E$34:$O$64,BE$158,FALSE())*BE74</f>
        <v>0</v>
      </c>
      <c r="BF172" s="194" t="str">
        <f aca="false">AU172</f>
        <v>Alumno13</v>
      </c>
      <c r="BG172" s="208" t="n">
        <f aca="false">VLOOKUP($BF$1,'Datos Iniciales'!$E$34:$O$64,BG$158,FALSE())*BG74</f>
        <v>0.6</v>
      </c>
      <c r="BH172" s="196" t="n">
        <f aca="false">VLOOKUP($BF$1,'Datos Iniciales'!$E$34:$O$64,BH$158,FALSE())*BH74</f>
        <v>1.05</v>
      </c>
      <c r="BI172" s="196" t="n">
        <f aca="false">VLOOKUP($BF$1,'Datos Iniciales'!$E$34:$O$64,BI$158,FALSE())*BI74</f>
        <v>0.4</v>
      </c>
      <c r="BJ172" s="196" t="n">
        <f aca="false">VLOOKUP($BF$1,'Datos Iniciales'!$E$34:$O$64,BJ$158,FALSE())*BJ74</f>
        <v>1.84</v>
      </c>
      <c r="BK172" s="196" t="n">
        <f aca="false">VLOOKUP($BF$1,'Datos Iniciales'!$E$34:$O$64,BK$158,FALSE())*BK74</f>
        <v>0</v>
      </c>
      <c r="BL172" s="196" t="n">
        <f aca="false">VLOOKUP($BF$1,'Datos Iniciales'!$E$34:$O$64,BL$158,FALSE())*BL74</f>
        <v>0</v>
      </c>
      <c r="BM172" s="196" t="n">
        <f aca="false">VLOOKUP($BF$1,'Datos Iniciales'!$E$34:$O$64,BM$158,FALSE())*BM74</f>
        <v>0</v>
      </c>
      <c r="BN172" s="196" t="n">
        <f aca="false">VLOOKUP($BF$1,'Datos Iniciales'!$E$34:$O$64,BN$158,FALSE())*BN74</f>
        <v>0</v>
      </c>
      <c r="BO172" s="196" t="n">
        <f aca="false">VLOOKUP($BF$1,'Datos Iniciales'!$E$34:$O$64,BO$158,FALSE())*BO74</f>
        <v>0</v>
      </c>
      <c r="BP172" s="197" t="n">
        <f aca="false">VLOOKUP($BF$1,'Datos Iniciales'!$E$34:$O$64,BP$158,FALSE())*BP74</f>
        <v>0</v>
      </c>
      <c r="BQ172" s="194" t="str">
        <f aca="false">BF172</f>
        <v>Alumno13</v>
      </c>
      <c r="BR172" s="208" t="n">
        <f aca="false">VLOOKUP($BQ$1,'Datos Iniciales'!$E$34:$O$64,BR$158,FALSE())*BR74</f>
        <v>0</v>
      </c>
      <c r="BS172" s="196" t="n">
        <f aca="false">VLOOKUP($BQ$1,'Datos Iniciales'!$E$34:$O$64,BS$158,FALSE())*BS74</f>
        <v>0.5</v>
      </c>
      <c r="BT172" s="196" t="n">
        <f aca="false">VLOOKUP($BQ$1,'Datos Iniciales'!$E$34:$O$64,BT$158,FALSE())*BT74</f>
        <v>1.45</v>
      </c>
      <c r="BU172" s="196" t="n">
        <f aca="false">VLOOKUP($BQ$1,'Datos Iniciales'!$E$34:$O$64,BU$158,FALSE())*BU74</f>
        <v>4.8</v>
      </c>
      <c r="BV172" s="196" t="n">
        <f aca="false">VLOOKUP($BQ$1,'Datos Iniciales'!$E$34:$O$64,BV$158,FALSE())*BV74</f>
        <v>0</v>
      </c>
      <c r="BW172" s="196" t="n">
        <f aca="false">VLOOKUP($BQ$1,'Datos Iniciales'!$E$34:$O$64,BW$158,FALSE())*BW74</f>
        <v>0</v>
      </c>
      <c r="BX172" s="196" t="n">
        <f aca="false">VLOOKUP($BQ$1,'Datos Iniciales'!$E$34:$O$64,BX$158,FALSE())*BX74</f>
        <v>0</v>
      </c>
      <c r="BY172" s="196" t="n">
        <f aca="false">VLOOKUP($BQ$1,'Datos Iniciales'!$E$34:$O$64,BY$158,FALSE())*BY74</f>
        <v>0</v>
      </c>
      <c r="BZ172" s="196" t="n">
        <f aca="false">VLOOKUP($BQ$1,'Datos Iniciales'!$E$34:$O$64,BZ$158,FALSE())*BZ74</f>
        <v>0</v>
      </c>
      <c r="CA172" s="197" t="n">
        <f aca="false">VLOOKUP($BQ$1,'Datos Iniciales'!$E$34:$O$64,CA$158,FALSE())*CA74</f>
        <v>0</v>
      </c>
      <c r="CB172" s="194" t="str">
        <f aca="false">BQ172</f>
        <v>Alumno13</v>
      </c>
      <c r="CC172" s="208" t="n">
        <f aca="false">VLOOKUP($CB$1,'Datos Iniciales'!$E$34:$O$64,CC$158,FALSE())*CC74</f>
        <v>0</v>
      </c>
      <c r="CD172" s="196" t="n">
        <f aca="false">VLOOKUP($CB$1,'Datos Iniciales'!$E$34:$O$64,CD$158,FALSE())*CD74</f>
        <v>0</v>
      </c>
      <c r="CE172" s="196" t="n">
        <f aca="false">VLOOKUP($CB$1,'Datos Iniciales'!$E$34:$O$64,CE$158,FALSE())*CE74</f>
        <v>0</v>
      </c>
      <c r="CF172" s="196" t="n">
        <f aca="false">VLOOKUP($CB$1,'Datos Iniciales'!$E$34:$O$64,CF$158,FALSE())*CF74</f>
        <v>0</v>
      </c>
      <c r="CG172" s="196" t="n">
        <f aca="false">VLOOKUP($CB$1,'Datos Iniciales'!$E$34:$O$64,CG$158,FALSE())*CG74</f>
        <v>0</v>
      </c>
      <c r="CH172" s="196" t="n">
        <f aca="false">VLOOKUP($CB$1,'Datos Iniciales'!$E$34:$O$64,CH$158,FALSE())*CH74</f>
        <v>0</v>
      </c>
      <c r="CI172" s="196" t="n">
        <f aca="false">VLOOKUP($CB$1,'Datos Iniciales'!$E$34:$O$64,CI$158,FALSE())*CI74</f>
        <v>0</v>
      </c>
      <c r="CJ172" s="196" t="n">
        <f aca="false">VLOOKUP($CB$1,'Datos Iniciales'!$E$34:$O$64,CJ$158,FALSE())*CJ74</f>
        <v>0</v>
      </c>
      <c r="CK172" s="196" t="n">
        <f aca="false">VLOOKUP($CB$1,'Datos Iniciales'!$E$34:$O$64,CK$158,FALSE())*CK74</f>
        <v>0</v>
      </c>
      <c r="CL172" s="197" t="n">
        <f aca="false">VLOOKUP($CB$1,'Datos Iniciales'!$E$34:$O$64,CL$158,FALSE())*CL74</f>
        <v>0</v>
      </c>
      <c r="CM172" s="194" t="str">
        <f aca="false">CB172</f>
        <v>Alumno13</v>
      </c>
      <c r="CN172" s="208" t="n">
        <f aca="false">VLOOKUP($CM$1,'Datos Iniciales'!$E$34:$O$64,CN$158,FALSE())*CN74</f>
        <v>0</v>
      </c>
      <c r="CO172" s="196" t="n">
        <f aca="false">VLOOKUP($CM$1,'Datos Iniciales'!$E$34:$O$64,CO$158,FALSE())*CO74</f>
        <v>0</v>
      </c>
      <c r="CP172" s="196" t="n">
        <f aca="false">VLOOKUP($CM$1,'Datos Iniciales'!$E$34:$O$64,CP$158,FALSE())*CP74</f>
        <v>0</v>
      </c>
      <c r="CQ172" s="196" t="n">
        <f aca="false">VLOOKUP($CM$1,'Datos Iniciales'!$E$34:$O$64,CQ$158,FALSE())*CQ74</f>
        <v>0</v>
      </c>
      <c r="CR172" s="196" t="n">
        <f aca="false">VLOOKUP($CM$1,'Datos Iniciales'!$E$34:$O$64,CR$158,FALSE())*CR74</f>
        <v>0</v>
      </c>
      <c r="CS172" s="196" t="n">
        <f aca="false">VLOOKUP($CM$1,'Datos Iniciales'!$E$34:$O$64,CS$158,FALSE())*CS74</f>
        <v>0</v>
      </c>
      <c r="CT172" s="196" t="n">
        <f aca="false">VLOOKUP($CM$1,'Datos Iniciales'!$E$34:$O$64,CT$158,FALSE())*CT74</f>
        <v>0</v>
      </c>
      <c r="CU172" s="196" t="n">
        <f aca="false">VLOOKUP($CM$1,'Datos Iniciales'!$E$34:$O$64,CU$158,FALSE())*CU74</f>
        <v>0</v>
      </c>
      <c r="CV172" s="196" t="n">
        <f aca="false">VLOOKUP($CM$1,'Datos Iniciales'!$E$34:$O$64,CV$158,FALSE())*CV74</f>
        <v>0</v>
      </c>
      <c r="CW172" s="197" t="n">
        <f aca="false">VLOOKUP($CM$1,'Datos Iniciales'!$E$34:$O$64,CW$158,FALSE())*CW74</f>
        <v>0</v>
      </c>
      <c r="CX172" s="194" t="str">
        <f aca="false">CM172</f>
        <v>Alumno13</v>
      </c>
      <c r="CY172" s="208" t="n">
        <f aca="false">VLOOKUP($CX$1,'Datos Iniciales'!$E$34:$O$64,CY$158,FALSE())*CY74</f>
        <v>0</v>
      </c>
      <c r="CZ172" s="196" t="n">
        <f aca="false">VLOOKUP($CX$1,'Datos Iniciales'!$E$34:$O$64,CZ$158,FALSE())*CZ74</f>
        <v>0</v>
      </c>
      <c r="DA172" s="196" t="n">
        <f aca="false">VLOOKUP($CX$1,'Datos Iniciales'!$E$34:$O$64,DA$158,FALSE())*DA74</f>
        <v>0</v>
      </c>
      <c r="DB172" s="196" t="n">
        <f aca="false">VLOOKUP($CX$1,'Datos Iniciales'!$E$34:$O$64,DB$158,FALSE())*DB74</f>
        <v>0</v>
      </c>
      <c r="DC172" s="196" t="n">
        <f aca="false">VLOOKUP($CX$1,'Datos Iniciales'!$E$34:$O$64,DC$158,FALSE())*DC74</f>
        <v>0</v>
      </c>
      <c r="DD172" s="196" t="n">
        <f aca="false">VLOOKUP($CX$1,'Datos Iniciales'!$E$34:$O$64,DD$158,FALSE())*DD74</f>
        <v>0</v>
      </c>
      <c r="DE172" s="196" t="n">
        <f aca="false">VLOOKUP($CX$1,'Datos Iniciales'!$E$34:$O$64,DE$158,FALSE())*DE74</f>
        <v>0</v>
      </c>
      <c r="DF172" s="196" t="n">
        <f aca="false">VLOOKUP($CX$1,'Datos Iniciales'!$E$34:$O$64,DF$158,FALSE())*DF74</f>
        <v>0</v>
      </c>
      <c r="DG172" s="196" t="n">
        <f aca="false">VLOOKUP($CX$1,'Datos Iniciales'!$E$34:$O$64,DG$158,FALSE())*DG74</f>
        <v>0</v>
      </c>
      <c r="DH172" s="197" t="n">
        <f aca="false">VLOOKUP($CX$1,'Datos Iniciales'!$E$34:$O$64,DH$158,FALSE())*DH74</f>
        <v>0</v>
      </c>
      <c r="DI172" s="194" t="str">
        <f aca="false">CX172</f>
        <v>Alumno13</v>
      </c>
      <c r="DJ172" s="208" t="n">
        <f aca="false">VLOOKUP($DI$1,'Datos Iniciales'!$E$34:$O$64,DJ$158,FALSE())*DJ74</f>
        <v>0</v>
      </c>
      <c r="DK172" s="196" t="n">
        <f aca="false">VLOOKUP($DI$1,'Datos Iniciales'!$E$34:$O$64,DK$158,FALSE())*DK74</f>
        <v>0</v>
      </c>
      <c r="DL172" s="196" t="n">
        <f aca="false">VLOOKUP($DI$1,'Datos Iniciales'!$E$34:$O$64,DL$158,FALSE())*DL74</f>
        <v>0</v>
      </c>
      <c r="DM172" s="196" t="n">
        <f aca="false">VLOOKUP($DI$1,'Datos Iniciales'!$E$34:$O$64,DM$158,FALSE())*DM74</f>
        <v>0</v>
      </c>
      <c r="DN172" s="196" t="n">
        <f aca="false">VLOOKUP($DI$1,'Datos Iniciales'!$E$34:$O$64,DN$158,FALSE())*DN74</f>
        <v>0</v>
      </c>
      <c r="DO172" s="196" t="n">
        <f aca="false">VLOOKUP($DI$1,'Datos Iniciales'!$E$34:$O$64,DO$158,FALSE())*DO74</f>
        <v>0</v>
      </c>
      <c r="DP172" s="196" t="n">
        <f aca="false">VLOOKUP($DI$1,'Datos Iniciales'!$E$34:$O$64,DP$158,FALSE())*DP74</f>
        <v>0</v>
      </c>
      <c r="DQ172" s="196" t="n">
        <f aca="false">VLOOKUP($DI$1,'Datos Iniciales'!$E$34:$O$64,DQ$158,FALSE())*DQ74</f>
        <v>0</v>
      </c>
      <c r="DR172" s="196" t="n">
        <f aca="false">VLOOKUP($DI$1,'Datos Iniciales'!$E$34:$O$64,DR$158,FALSE())*DR74</f>
        <v>0</v>
      </c>
      <c r="DS172" s="197" t="n">
        <f aca="false">VLOOKUP($DI$1,'Datos Iniciales'!$E$34:$O$64,DS$158,FALSE())*DS74</f>
        <v>0</v>
      </c>
      <c r="DT172" s="194" t="str">
        <f aca="false">DI172</f>
        <v>Alumno13</v>
      </c>
      <c r="DU172" s="208" t="n">
        <f aca="false">VLOOKUP($DT$1,'Datos Iniciales'!$E$34:$O$64,DU$158,FALSE())*DU74</f>
        <v>0</v>
      </c>
      <c r="DV172" s="196" t="n">
        <f aca="false">VLOOKUP($DT$1,'Datos Iniciales'!$E$34:$O$64,DV$158,FALSE())*DV74</f>
        <v>0</v>
      </c>
      <c r="DW172" s="196" t="n">
        <f aca="false">VLOOKUP($DT$1,'Datos Iniciales'!$E$34:$O$64,DW$158,FALSE())*DW74</f>
        <v>0</v>
      </c>
      <c r="DX172" s="196" t="n">
        <f aca="false">VLOOKUP($DT$1,'Datos Iniciales'!$E$34:$O$64,DX$158,FALSE())*DX74</f>
        <v>0</v>
      </c>
      <c r="DY172" s="196" t="n">
        <f aca="false">VLOOKUP($DT$1,'Datos Iniciales'!$E$34:$O$64,DY$158,FALSE())*DY74</f>
        <v>0</v>
      </c>
      <c r="DZ172" s="196" t="n">
        <f aca="false">VLOOKUP($DT$1,'Datos Iniciales'!$E$34:$O$64,DZ$158,FALSE())*DZ74</f>
        <v>0</v>
      </c>
      <c r="EA172" s="196" t="n">
        <f aca="false">VLOOKUP($DT$1,'Datos Iniciales'!$E$34:$O$64,EA$158,FALSE())*EA74</f>
        <v>0</v>
      </c>
      <c r="EB172" s="196" t="n">
        <f aca="false">VLOOKUP($DT$1,'Datos Iniciales'!$E$34:$O$64,EB$158,FALSE())*EB74</f>
        <v>0</v>
      </c>
      <c r="EC172" s="196" t="n">
        <f aca="false">VLOOKUP($DT$1,'Datos Iniciales'!$E$34:$O$64,EC$158,FALSE())*EC74</f>
        <v>0</v>
      </c>
      <c r="ED172" s="197" t="n">
        <f aca="false">VLOOKUP($DT$1,'Datos Iniciales'!$E$34:$O$64,ED$158,FALSE())*ED74</f>
        <v>0</v>
      </c>
      <c r="EE172" s="194" t="str">
        <f aca="false">DT172</f>
        <v>Alumno13</v>
      </c>
      <c r="EF172" s="208" t="n">
        <f aca="false">VLOOKUP($EE$1,'Datos Iniciales'!$E$34:$O$64,EF$158,FALSE())*EF74</f>
        <v>0</v>
      </c>
      <c r="EG172" s="196" t="n">
        <f aca="false">VLOOKUP($EE$1,'Datos Iniciales'!$E$34:$O$64,EG$158,FALSE())*EG74</f>
        <v>0</v>
      </c>
      <c r="EH172" s="196" t="n">
        <f aca="false">VLOOKUP($EE$1,'Datos Iniciales'!$E$34:$O$64,EH$158,FALSE())*EH74</f>
        <v>0</v>
      </c>
      <c r="EI172" s="196" t="n">
        <f aca="false">VLOOKUP($EE$1,'Datos Iniciales'!$E$34:$O$64,EI$158,FALSE())*EI74</f>
        <v>0</v>
      </c>
      <c r="EJ172" s="196" t="n">
        <f aca="false">VLOOKUP($EE$1,'Datos Iniciales'!$E$34:$O$64,EJ$158,FALSE())*EJ74</f>
        <v>0</v>
      </c>
      <c r="EK172" s="196" t="n">
        <f aca="false">VLOOKUP($EE$1,'Datos Iniciales'!$E$34:$O$64,EK$158,FALSE())*EK74</f>
        <v>0</v>
      </c>
      <c r="EL172" s="196" t="n">
        <f aca="false">VLOOKUP($EE$1,'Datos Iniciales'!$E$34:$O$64,EL$158,FALSE())*EL74</f>
        <v>0</v>
      </c>
      <c r="EM172" s="196" t="n">
        <f aca="false">VLOOKUP($EE$1,'Datos Iniciales'!$E$34:$O$64,EM$158,FALSE())*EM74</f>
        <v>0</v>
      </c>
      <c r="EN172" s="196" t="n">
        <f aca="false">VLOOKUP($EE$1,'Datos Iniciales'!$E$34:$O$64,EN$158,FALSE())*EN74</f>
        <v>0</v>
      </c>
      <c r="EO172" s="197" t="n">
        <f aca="false">VLOOKUP($EE$1,'Datos Iniciales'!$E$34:$O$64,EO$158,FALSE())*EO74</f>
        <v>0</v>
      </c>
      <c r="EP172" s="194" t="str">
        <f aca="false">EE172</f>
        <v>Alumno13</v>
      </c>
      <c r="EQ172" s="208" t="n">
        <f aca="false">VLOOKUP($EP$1,'Datos Iniciales'!$E$34:$O$64,EQ$158,FALSE())*EQ74</f>
        <v>0</v>
      </c>
      <c r="ER172" s="196" t="n">
        <f aca="false">VLOOKUP($EP$1,'Datos Iniciales'!$E$34:$O$64,ER$158,FALSE())*ER74</f>
        <v>0</v>
      </c>
      <c r="ES172" s="196" t="n">
        <f aca="false">VLOOKUP($EP$1,'Datos Iniciales'!$E$34:$O$64,ES$158,FALSE())*ES74</f>
        <v>0</v>
      </c>
      <c r="ET172" s="196" t="n">
        <f aca="false">VLOOKUP($EP$1,'Datos Iniciales'!$E$34:$O$64,ET$158,FALSE())*ET74</f>
        <v>0</v>
      </c>
      <c r="EU172" s="196" t="n">
        <f aca="false">VLOOKUP($EP$1,'Datos Iniciales'!$E$34:$O$64,EU$158,FALSE())*EU74</f>
        <v>0</v>
      </c>
      <c r="EV172" s="196" t="n">
        <f aca="false">VLOOKUP($EP$1,'Datos Iniciales'!$E$34:$O$64,EV$158,FALSE())*EV74</f>
        <v>0</v>
      </c>
      <c r="EW172" s="196" t="n">
        <f aca="false">VLOOKUP($EP$1,'Datos Iniciales'!$E$34:$O$64,EW$158,FALSE())*EW74</f>
        <v>0</v>
      </c>
      <c r="EX172" s="196" t="n">
        <f aca="false">VLOOKUP($EP$1,'Datos Iniciales'!$E$34:$O$64,EX$158,FALSE())*EX74</f>
        <v>0</v>
      </c>
      <c r="EY172" s="196" t="n">
        <f aca="false">VLOOKUP($EP$1,'Datos Iniciales'!$E$34:$O$64,EY$158,FALSE())*EY74</f>
        <v>0</v>
      </c>
      <c r="EZ172" s="197" t="n">
        <f aca="false">VLOOKUP($EP$1,'Datos Iniciales'!$E$34:$O$64,EZ$158,FALSE())*EZ74</f>
        <v>0</v>
      </c>
      <c r="FA172" s="194" t="str">
        <f aca="false">EP172</f>
        <v>Alumno13</v>
      </c>
      <c r="FB172" s="208" t="n">
        <f aca="false">VLOOKUP($FA$1,'Datos Iniciales'!$E$34:$O$64,FB$158,FALSE())*FB74</f>
        <v>0</v>
      </c>
      <c r="FC172" s="196" t="n">
        <f aca="false">VLOOKUP($FA$1,'Datos Iniciales'!$E$34:$O$64,FC$158,FALSE())*FC74</f>
        <v>0</v>
      </c>
      <c r="FD172" s="196" t="n">
        <f aca="false">VLOOKUP($FA$1,'Datos Iniciales'!$E$34:$O$64,FD$158,FALSE())*FD74</f>
        <v>0</v>
      </c>
      <c r="FE172" s="196" t="n">
        <f aca="false">VLOOKUP($FA$1,'Datos Iniciales'!$E$34:$O$64,FE$158,FALSE())*FE74</f>
        <v>0</v>
      </c>
      <c r="FF172" s="196" t="n">
        <f aca="false">VLOOKUP($FA$1,'Datos Iniciales'!$E$34:$O$64,FF$158,FALSE())*FF74</f>
        <v>0</v>
      </c>
      <c r="FG172" s="196" t="n">
        <f aca="false">VLOOKUP($FA$1,'Datos Iniciales'!$E$34:$O$64,FG$158,FALSE())*FG74</f>
        <v>0</v>
      </c>
      <c r="FH172" s="196" t="n">
        <f aca="false">VLOOKUP($FA$1,'Datos Iniciales'!$E$34:$O$64,FH$158,FALSE())*FH74</f>
        <v>0</v>
      </c>
      <c r="FI172" s="196" t="n">
        <f aca="false">VLOOKUP($FA$1,'Datos Iniciales'!$E$34:$O$64,FI$158,FALSE())*FI74</f>
        <v>0</v>
      </c>
      <c r="FJ172" s="196" t="n">
        <f aca="false">VLOOKUP($FA$1,'Datos Iniciales'!$E$34:$O$64,FJ$158,FALSE())*FJ74</f>
        <v>0</v>
      </c>
      <c r="FK172" s="197" t="n">
        <f aca="false">VLOOKUP($FA$1,'Datos Iniciales'!$E$34:$O$64,FK$158,FALSE())*FK74</f>
        <v>0</v>
      </c>
      <c r="FL172" s="194" t="str">
        <f aca="false">FA172</f>
        <v>Alumno13</v>
      </c>
      <c r="FM172" s="208" t="n">
        <f aca="false">VLOOKUP($FL$1,'Datos Iniciales'!$E$34:$O$64,FM$158,FALSE())*FM74</f>
        <v>0</v>
      </c>
      <c r="FN172" s="196" t="n">
        <f aca="false">VLOOKUP($FL$1,'Datos Iniciales'!$E$34:$O$64,FN$158,FALSE())*FN74</f>
        <v>0</v>
      </c>
      <c r="FO172" s="196" t="n">
        <f aca="false">VLOOKUP($FL$1,'Datos Iniciales'!$E$34:$O$64,FO$158,FALSE())*FO74</f>
        <v>0</v>
      </c>
      <c r="FP172" s="196" t="n">
        <f aca="false">VLOOKUP($FL$1,'Datos Iniciales'!$E$34:$O$64,FP$158,FALSE())*FP74</f>
        <v>0</v>
      </c>
      <c r="FQ172" s="196" t="n">
        <f aca="false">VLOOKUP($FL$1,'Datos Iniciales'!$E$34:$O$64,FQ$158,FALSE())*FQ74</f>
        <v>0</v>
      </c>
      <c r="FR172" s="196" t="n">
        <f aca="false">VLOOKUP($FL$1,'Datos Iniciales'!$E$34:$O$64,FR$158,FALSE())*FR74</f>
        <v>0</v>
      </c>
      <c r="FS172" s="196" t="n">
        <f aca="false">VLOOKUP($FL$1,'Datos Iniciales'!$E$34:$O$64,FS$158,FALSE())*FS74</f>
        <v>0</v>
      </c>
      <c r="FT172" s="196" t="n">
        <f aca="false">VLOOKUP($FL$1,'Datos Iniciales'!$E$34:$O$64,FT$158,FALSE())*FT74</f>
        <v>0</v>
      </c>
      <c r="FU172" s="196" t="n">
        <f aca="false">VLOOKUP($FL$1,'Datos Iniciales'!$E$34:$O$64,FU$158,FALSE())*FU74</f>
        <v>0</v>
      </c>
      <c r="FV172" s="197" t="n">
        <f aca="false">VLOOKUP($FL$1,'Datos Iniciales'!$E$34:$O$64,FV$158,FALSE())*FV74</f>
        <v>0</v>
      </c>
      <c r="FW172" s="194" t="str">
        <f aca="false">FL172</f>
        <v>Alumno13</v>
      </c>
      <c r="FX172" s="208" t="n">
        <f aca="false">VLOOKUP($FW$1,'Datos Iniciales'!$E$34:$O$64,FX$158,FALSE())*FX74</f>
        <v>0</v>
      </c>
      <c r="FY172" s="196" t="n">
        <f aca="false">VLOOKUP($FW$1,'Datos Iniciales'!$E$34:$O$64,FY$158,FALSE())*FY74</f>
        <v>0</v>
      </c>
      <c r="FZ172" s="196" t="n">
        <f aca="false">VLOOKUP($FW$1,'Datos Iniciales'!$E$34:$O$64,FZ$158,FALSE())*FZ74</f>
        <v>0</v>
      </c>
      <c r="GA172" s="196" t="n">
        <f aca="false">VLOOKUP($FW$1,'Datos Iniciales'!$E$34:$O$64,GA$158,FALSE())*GA74</f>
        <v>0</v>
      </c>
      <c r="GB172" s="196" t="n">
        <f aca="false">VLOOKUP($FW$1,'Datos Iniciales'!$E$34:$O$64,GB$158,FALSE())*GB74</f>
        <v>0</v>
      </c>
      <c r="GC172" s="196" t="n">
        <f aca="false">VLOOKUP($FW$1,'Datos Iniciales'!$E$34:$O$64,GC$158,FALSE())*GC74</f>
        <v>0</v>
      </c>
      <c r="GD172" s="196" t="n">
        <f aca="false">VLOOKUP($FW$1,'Datos Iniciales'!$E$34:$O$64,GD$158,FALSE())*GD74</f>
        <v>0</v>
      </c>
      <c r="GE172" s="196" t="n">
        <f aca="false">VLOOKUP($FW$1,'Datos Iniciales'!$E$34:$O$64,GE$158,FALSE())*GE74</f>
        <v>0</v>
      </c>
      <c r="GF172" s="196" t="n">
        <f aca="false">VLOOKUP($FW$1,'Datos Iniciales'!$E$34:$O$64,GF$158,FALSE())*GF74</f>
        <v>0</v>
      </c>
      <c r="GG172" s="197" t="n">
        <f aca="false">VLOOKUP($FW$1,'Datos Iniciales'!$E$34:$O$64,GG$158,FALSE())*GG74</f>
        <v>0</v>
      </c>
      <c r="GH172" s="194" t="str">
        <f aca="false">FW172</f>
        <v>Alumno13</v>
      </c>
      <c r="GI172" s="208" t="n">
        <f aca="false">VLOOKUP($GH$1,'Datos Iniciales'!$E$34:$O$64,GI$158,FALSE())*GI74</f>
        <v>0</v>
      </c>
      <c r="GJ172" s="196" t="n">
        <f aca="false">VLOOKUP($GH$1,'Datos Iniciales'!$E$34:$O$64,GJ$158,FALSE())*GJ74</f>
        <v>0</v>
      </c>
      <c r="GK172" s="196" t="n">
        <f aca="false">VLOOKUP($GH$1,'Datos Iniciales'!$E$34:$O$64,GK$158,FALSE())*GK74</f>
        <v>0</v>
      </c>
      <c r="GL172" s="196" t="n">
        <f aca="false">VLOOKUP($GH$1,'Datos Iniciales'!$E$34:$O$64,GL$158,FALSE())*GL74</f>
        <v>0</v>
      </c>
      <c r="GM172" s="196" t="n">
        <f aca="false">VLOOKUP($GH$1,'Datos Iniciales'!$E$34:$O$64,GM$158,FALSE())*GM74</f>
        <v>0</v>
      </c>
      <c r="GN172" s="196" t="n">
        <f aca="false">VLOOKUP($GH$1,'Datos Iniciales'!$E$34:$O$64,GN$158,FALSE())*GN74</f>
        <v>0</v>
      </c>
      <c r="GO172" s="196" t="n">
        <f aca="false">VLOOKUP($GH$1,'Datos Iniciales'!$E$34:$O$64,GO$158,FALSE())*GO74</f>
        <v>0</v>
      </c>
      <c r="GP172" s="196" t="n">
        <f aca="false">VLOOKUP($GH$1,'Datos Iniciales'!$E$34:$O$64,GP$158,FALSE())*GP74</f>
        <v>0</v>
      </c>
      <c r="GQ172" s="196" t="n">
        <f aca="false">VLOOKUP($GH$1,'Datos Iniciales'!$E$34:$O$64,GQ$158,FALSE())*GQ74</f>
        <v>0</v>
      </c>
      <c r="GR172" s="197" t="n">
        <f aca="false">VLOOKUP($GH$1,'Datos Iniciales'!$E$34:$O$64,GR$158,FALSE())*GR74</f>
        <v>0</v>
      </c>
      <c r="GS172" s="194" t="str">
        <f aca="false">GH172</f>
        <v>Alumno13</v>
      </c>
      <c r="GT172" s="208" t="n">
        <f aca="false">VLOOKUP($GS$1,'Datos Iniciales'!$E$34:$O$64,GT$158,FALSE())*GT74</f>
        <v>0</v>
      </c>
      <c r="GU172" s="196" t="n">
        <f aca="false">VLOOKUP($GS$1,'Datos Iniciales'!$E$34:$O$64,GU$158,FALSE())*GU74</f>
        <v>0</v>
      </c>
      <c r="GV172" s="196" t="n">
        <f aca="false">VLOOKUP($GS$1,'Datos Iniciales'!$E$34:$O$64,GV$158,FALSE())*GV74</f>
        <v>0</v>
      </c>
      <c r="GW172" s="196" t="n">
        <f aca="false">VLOOKUP($GS$1,'Datos Iniciales'!$E$34:$O$64,GW$158,FALSE())*GW74</f>
        <v>0</v>
      </c>
      <c r="GX172" s="196" t="n">
        <f aca="false">VLOOKUP($GS$1,'Datos Iniciales'!$E$34:$O$64,GX$158,FALSE())*GX74</f>
        <v>0</v>
      </c>
      <c r="GY172" s="196" t="n">
        <f aca="false">VLOOKUP($GS$1,'Datos Iniciales'!$E$34:$O$64,GY$158,FALSE())*GY74</f>
        <v>0</v>
      </c>
      <c r="GZ172" s="196" t="n">
        <f aca="false">VLOOKUP($GS$1,'Datos Iniciales'!$E$34:$O$64,GZ$158,FALSE())*GZ74</f>
        <v>0</v>
      </c>
      <c r="HA172" s="196" t="n">
        <f aca="false">VLOOKUP($GS$1,'Datos Iniciales'!$E$34:$O$64,HA$158,FALSE())*HA74</f>
        <v>0</v>
      </c>
      <c r="HB172" s="196" t="n">
        <f aca="false">VLOOKUP($GS$1,'Datos Iniciales'!$E$34:$O$64,HB$158,FALSE())*HB74</f>
        <v>0</v>
      </c>
      <c r="HC172" s="197" t="n">
        <f aca="false">VLOOKUP($GS$1,'Datos Iniciales'!$E$34:$O$64,HC$158,FALSE())*HC74</f>
        <v>0</v>
      </c>
      <c r="HD172" s="194" t="str">
        <f aca="false">GS172</f>
        <v>Alumno13</v>
      </c>
      <c r="HE172" s="208" t="n">
        <f aca="false">VLOOKUP($HD$1,'Datos Iniciales'!$E$34:$O$64,HE$158,FALSE())*HE74</f>
        <v>0</v>
      </c>
      <c r="HF172" s="196" t="n">
        <f aca="false">VLOOKUP($HD$1,'Datos Iniciales'!$E$34:$O$64,HF$158,FALSE())*HF74</f>
        <v>0</v>
      </c>
      <c r="HG172" s="196" t="n">
        <f aca="false">VLOOKUP($HD$1,'Datos Iniciales'!$E$34:$O$64,HG$158,FALSE())*HG74</f>
        <v>0</v>
      </c>
      <c r="HH172" s="196" t="n">
        <f aca="false">VLOOKUP($HD$1,'Datos Iniciales'!$E$34:$O$64,HH$158,FALSE())*HH74</f>
        <v>0</v>
      </c>
      <c r="HI172" s="196" t="n">
        <f aca="false">VLOOKUP($HD$1,'Datos Iniciales'!$E$34:$O$64,HI$158,FALSE())*HI74</f>
        <v>0</v>
      </c>
      <c r="HJ172" s="196" t="n">
        <f aca="false">VLOOKUP($HD$1,'Datos Iniciales'!$E$34:$O$64,HJ$158,FALSE())*HJ74</f>
        <v>0</v>
      </c>
      <c r="HK172" s="196" t="n">
        <f aca="false">VLOOKUP($HD$1,'Datos Iniciales'!$E$34:$O$64,HK$158,FALSE())*HK74</f>
        <v>0</v>
      </c>
      <c r="HL172" s="196" t="n">
        <f aca="false">VLOOKUP($HD$1,'Datos Iniciales'!$E$34:$O$64,HL$158,FALSE())*HL74</f>
        <v>0</v>
      </c>
      <c r="HM172" s="196" t="n">
        <f aca="false">VLOOKUP($HD$1,'Datos Iniciales'!$E$34:$O$64,HM$158,FALSE())*HM74</f>
        <v>0</v>
      </c>
      <c r="HN172" s="197" t="n">
        <f aca="false">VLOOKUP($HD$1,'Datos Iniciales'!$E$34:$O$64,HN$158,FALSE())*HN74</f>
        <v>0</v>
      </c>
      <c r="HO172" s="194" t="str">
        <f aca="false">HD172</f>
        <v>Alumno13</v>
      </c>
      <c r="HP172" s="208" t="n">
        <f aca="false">VLOOKUP($HO$1,'Datos Iniciales'!$E$34:$O$64,HP$158,FALSE())*HP74</f>
        <v>0</v>
      </c>
      <c r="HQ172" s="196" t="n">
        <f aca="false">VLOOKUP($HO$1,'Datos Iniciales'!$E$34:$O$64,HQ$158,FALSE())*HQ74</f>
        <v>0</v>
      </c>
      <c r="HR172" s="196" t="n">
        <f aca="false">VLOOKUP($HO$1,'Datos Iniciales'!$E$34:$O$64,HR$158,FALSE())*HR74</f>
        <v>0</v>
      </c>
      <c r="HS172" s="196" t="n">
        <f aca="false">VLOOKUP($HO$1,'Datos Iniciales'!$E$34:$O$64,HS$158,FALSE())*HS74</f>
        <v>0</v>
      </c>
      <c r="HT172" s="196" t="n">
        <f aca="false">VLOOKUP($HO$1,'Datos Iniciales'!$E$34:$O$64,HT$158,FALSE())*HT74</f>
        <v>0</v>
      </c>
      <c r="HU172" s="196" t="n">
        <f aca="false">VLOOKUP($HO$1,'Datos Iniciales'!$E$34:$O$64,HU$158,FALSE())*HU74</f>
        <v>0</v>
      </c>
      <c r="HV172" s="196" t="n">
        <f aca="false">VLOOKUP($HO$1,'Datos Iniciales'!$E$34:$O$64,HV$158,FALSE())*HV74</f>
        <v>0</v>
      </c>
      <c r="HW172" s="196" t="n">
        <f aca="false">VLOOKUP($HO$1,'Datos Iniciales'!$E$34:$O$64,HW$158,FALSE())*HW74</f>
        <v>0</v>
      </c>
      <c r="HX172" s="196" t="n">
        <f aca="false">VLOOKUP($HO$1,'Datos Iniciales'!$E$34:$O$64,HX$158,FALSE())*HX74</f>
        <v>0</v>
      </c>
      <c r="HY172" s="197" t="n">
        <f aca="false">VLOOKUP($HO$1,'Datos Iniciales'!$E$34:$O$64,HY$158,FALSE())*HY74</f>
        <v>0</v>
      </c>
      <c r="HZ172" s="194" t="str">
        <f aca="false">HO172</f>
        <v>Alumno13</v>
      </c>
      <c r="IA172" s="208" t="n">
        <f aca="false">VLOOKUP($HZ$1,'Datos Iniciales'!$E$34:$O$64,IA$158,FALSE())*IA74</f>
        <v>0</v>
      </c>
      <c r="IB172" s="196" t="n">
        <f aca="false">VLOOKUP($HZ$1,'Datos Iniciales'!$E$34:$O$64,IB$158,FALSE())*IB74</f>
        <v>0</v>
      </c>
      <c r="IC172" s="196" t="n">
        <f aca="false">VLOOKUP($HZ$1,'Datos Iniciales'!$E$34:$O$64,IC$158,FALSE())*IC74</f>
        <v>0</v>
      </c>
      <c r="ID172" s="196" t="n">
        <f aca="false">VLOOKUP($HZ$1,'Datos Iniciales'!$E$34:$O$64,ID$158,FALSE())*ID74</f>
        <v>0</v>
      </c>
      <c r="IE172" s="196" t="n">
        <f aca="false">VLOOKUP($HZ$1,'Datos Iniciales'!$E$34:$O$64,IE$158,FALSE())*IE74</f>
        <v>0</v>
      </c>
      <c r="IF172" s="196" t="n">
        <f aca="false">VLOOKUP($HZ$1,'Datos Iniciales'!$E$34:$O$64,IF$158,FALSE())*IF74</f>
        <v>0</v>
      </c>
      <c r="IG172" s="196" t="n">
        <f aca="false">VLOOKUP($HZ$1,'Datos Iniciales'!$E$34:$O$64,IG$158,FALSE())*IG74</f>
        <v>0</v>
      </c>
      <c r="IH172" s="196" t="n">
        <f aca="false">VLOOKUP($HZ$1,'Datos Iniciales'!$E$34:$O$64,IH$158,FALSE())*IH74</f>
        <v>0</v>
      </c>
      <c r="II172" s="196" t="n">
        <f aca="false">VLOOKUP($HZ$1,'Datos Iniciales'!$E$34:$O$64,II$158,FALSE())*II74</f>
        <v>0</v>
      </c>
      <c r="IJ172" s="197" t="n">
        <f aca="false">VLOOKUP($HZ$1,'Datos Iniciales'!$E$34:$O$64,IJ$158,FALSE())*IJ74</f>
        <v>0</v>
      </c>
      <c r="IK172" s="194" t="str">
        <f aca="false">HZ172</f>
        <v>Alumno13</v>
      </c>
      <c r="IL172" s="208" t="n">
        <f aca="false">VLOOKUP($IK$1,'Datos Iniciales'!$E$34:$O$64,IL$158,FALSE())*IL74</f>
        <v>0</v>
      </c>
      <c r="IM172" s="196" t="n">
        <f aca="false">VLOOKUP($IK$1,'Datos Iniciales'!$E$34:$O$64,IM$158,FALSE())*IM74</f>
        <v>0</v>
      </c>
      <c r="IN172" s="196" t="n">
        <f aca="false">VLOOKUP($IK$1,'Datos Iniciales'!$E$34:$O$64,IN$158,FALSE())*IN74</f>
        <v>0</v>
      </c>
      <c r="IO172" s="196" t="n">
        <f aca="false">VLOOKUP($IK$1,'Datos Iniciales'!$E$34:$O$64,IO$158,FALSE())*IO74</f>
        <v>0</v>
      </c>
      <c r="IP172" s="196" t="n">
        <f aca="false">VLOOKUP($IK$1,'Datos Iniciales'!$E$34:$O$64,IP$158,FALSE())*IP74</f>
        <v>0</v>
      </c>
      <c r="IQ172" s="196" t="n">
        <f aca="false">VLOOKUP($IK$1,'Datos Iniciales'!$E$34:$O$64,IQ$158,FALSE())*IQ74</f>
        <v>0</v>
      </c>
      <c r="IR172" s="196" t="n">
        <f aca="false">VLOOKUP($IK$1,'Datos Iniciales'!$E$34:$O$64,IR$158,FALSE())*IR74</f>
        <v>0</v>
      </c>
      <c r="IS172" s="196" t="n">
        <f aca="false">VLOOKUP($IK$1,'Datos Iniciales'!$E$34:$O$64,IS$158,FALSE())*IS74</f>
        <v>0</v>
      </c>
      <c r="IT172" s="196" t="n">
        <f aca="false">VLOOKUP($IK$1,'Datos Iniciales'!$E$34:$O$64,IT$158,FALSE())*IT74</f>
        <v>0</v>
      </c>
      <c r="IU172" s="197" t="n">
        <f aca="false">VLOOKUP($IK$1,'Datos Iniciales'!$E$34:$O$64,IU$158,FALSE())*IU74</f>
        <v>0</v>
      </c>
      <c r="IV172" s="194" t="str">
        <f aca="false">IK172</f>
        <v>Alumno13</v>
      </c>
      <c r="IW172" s="208" t="n">
        <f aca="false">VLOOKUP($IV$1,'Datos Iniciales'!$E$34:$O$64,IW$158,FALSE())*IW74</f>
        <v>0</v>
      </c>
      <c r="IX172" s="196" t="n">
        <f aca="false">VLOOKUP($IV$1,'Datos Iniciales'!$E$34:$O$64,IX$158,FALSE())*IX74</f>
        <v>0</v>
      </c>
      <c r="IY172" s="196" t="n">
        <f aca="false">VLOOKUP($IV$1,'Datos Iniciales'!$E$34:$O$64,IY$158,FALSE())*IY74</f>
        <v>0</v>
      </c>
      <c r="IZ172" s="196" t="n">
        <f aca="false">VLOOKUP($IV$1,'Datos Iniciales'!$E$34:$O$64,IZ$158,FALSE())*IZ74</f>
        <v>0</v>
      </c>
      <c r="JA172" s="196" t="n">
        <f aca="false">VLOOKUP($IV$1,'Datos Iniciales'!$E$34:$O$64,JA$158,FALSE())*JA74</f>
        <v>0</v>
      </c>
      <c r="JB172" s="196" t="n">
        <f aca="false">VLOOKUP($IV$1,'Datos Iniciales'!$E$34:$O$64,JB$158,FALSE())*JB74</f>
        <v>0</v>
      </c>
      <c r="JC172" s="196" t="n">
        <f aca="false">VLOOKUP($IV$1,'Datos Iniciales'!$E$34:$O$64,JC$158,FALSE())*JC74</f>
        <v>0</v>
      </c>
      <c r="JD172" s="196" t="n">
        <f aca="false">VLOOKUP($IV$1,'Datos Iniciales'!$E$34:$O$64,JD$158,FALSE())*JD74</f>
        <v>0</v>
      </c>
      <c r="JE172" s="196" t="n">
        <f aca="false">VLOOKUP($IV$1,'Datos Iniciales'!$E$34:$O$64,JE$158,FALSE())*JE74</f>
        <v>0</v>
      </c>
      <c r="JF172" s="197" t="n">
        <f aca="false">VLOOKUP($IV$1,'Datos Iniciales'!$E$34:$O$64,JF$158,FALSE())*JF74</f>
        <v>0</v>
      </c>
      <c r="JG172" s="194" t="str">
        <f aca="false">IV172</f>
        <v>Alumno13</v>
      </c>
      <c r="JH172" s="208" t="n">
        <f aca="false">VLOOKUP($JG$1,'Datos Iniciales'!$E$34:$O$64,JH$158,FALSE())*JH74</f>
        <v>0</v>
      </c>
      <c r="JI172" s="196" t="n">
        <f aca="false">VLOOKUP($JG$1,'Datos Iniciales'!$E$34:$O$64,JI$158,FALSE())*JI74</f>
        <v>0</v>
      </c>
      <c r="JJ172" s="196" t="n">
        <f aca="false">VLOOKUP($JG$1,'Datos Iniciales'!$E$34:$O$64,JJ$158,FALSE())*JJ74</f>
        <v>0</v>
      </c>
      <c r="JK172" s="196" t="n">
        <f aca="false">VLOOKUP($JG$1,'Datos Iniciales'!$E$34:$O$64,JK$158,FALSE())*JK74</f>
        <v>0</v>
      </c>
      <c r="JL172" s="196" t="n">
        <f aca="false">VLOOKUP($JG$1,'Datos Iniciales'!$E$34:$O$64,JL$158,FALSE())*JL74</f>
        <v>0</v>
      </c>
      <c r="JM172" s="196" t="n">
        <f aca="false">VLOOKUP($JG$1,'Datos Iniciales'!$E$34:$O$64,JM$158,FALSE())*JM74</f>
        <v>0</v>
      </c>
      <c r="JN172" s="196" t="n">
        <f aca="false">VLOOKUP($JG$1,'Datos Iniciales'!$E$34:$O$64,JN$158,FALSE())*JN74</f>
        <v>0</v>
      </c>
      <c r="JO172" s="196" t="n">
        <f aca="false">VLOOKUP($JG$1,'Datos Iniciales'!$E$34:$O$64,JO$158,FALSE())*JO74</f>
        <v>0</v>
      </c>
      <c r="JP172" s="196" t="n">
        <f aca="false">VLOOKUP($JG$1,'Datos Iniciales'!$E$34:$O$64,JP$158,FALSE())*JP74</f>
        <v>0</v>
      </c>
      <c r="JQ172" s="197" t="n">
        <f aca="false">VLOOKUP($JG$1,'Datos Iniciales'!$E$34:$O$64,JQ$158,FALSE())*JQ74</f>
        <v>0</v>
      </c>
      <c r="JR172" s="194" t="str">
        <f aca="false">JG172</f>
        <v>Alumno13</v>
      </c>
      <c r="JS172" s="208" t="n">
        <f aca="false">VLOOKUP($JR$1,'Datos Iniciales'!$E$34:$O$64,JS$158,FALSE())*JS74</f>
        <v>0</v>
      </c>
      <c r="JT172" s="196" t="n">
        <f aca="false">VLOOKUP($JR$1,'Datos Iniciales'!$E$34:$O$64,JT$158,FALSE())*JT74</f>
        <v>0</v>
      </c>
      <c r="JU172" s="196" t="n">
        <f aca="false">VLOOKUP($JR$1,'Datos Iniciales'!$E$34:$O$64,JU$158,FALSE())*JU74</f>
        <v>0</v>
      </c>
      <c r="JV172" s="196" t="n">
        <f aca="false">VLOOKUP($JR$1,'Datos Iniciales'!$E$34:$O$64,JV$158,FALSE())*JV74</f>
        <v>0</v>
      </c>
      <c r="JW172" s="196" t="n">
        <f aca="false">VLOOKUP($JR$1,'Datos Iniciales'!$E$34:$O$64,JW$158,FALSE())*JW74</f>
        <v>0</v>
      </c>
      <c r="JX172" s="196" t="n">
        <f aca="false">VLOOKUP($JR$1,'Datos Iniciales'!$E$34:$O$64,JX$158,FALSE())*JX74</f>
        <v>0</v>
      </c>
      <c r="JY172" s="196" t="n">
        <f aca="false">VLOOKUP($JR$1,'Datos Iniciales'!$E$34:$O$64,JY$158,FALSE())*JY74</f>
        <v>0</v>
      </c>
      <c r="JZ172" s="196" t="n">
        <f aca="false">VLOOKUP($JR$1,'Datos Iniciales'!$E$34:$O$64,JZ$158,FALSE())*JZ74</f>
        <v>0</v>
      </c>
      <c r="KA172" s="196" t="n">
        <f aca="false">VLOOKUP($JR$1,'Datos Iniciales'!$E$34:$O$64,KA$158,FALSE())*KA74</f>
        <v>0</v>
      </c>
      <c r="KB172" s="197" t="n">
        <f aca="false">VLOOKUP($JR$1,'Datos Iniciales'!$E$34:$O$64,KB$158,FALSE())*KB74</f>
        <v>0</v>
      </c>
      <c r="KC172" s="194" t="str">
        <f aca="false">JR172</f>
        <v>Alumno13</v>
      </c>
      <c r="KD172" s="208" t="n">
        <f aca="false">VLOOKUP($KC$1,'Datos Iniciales'!$E$34:$O$64,KD$158,FALSE())*KD74</f>
        <v>0</v>
      </c>
      <c r="KE172" s="196" t="n">
        <f aca="false">VLOOKUP($KC$1,'Datos Iniciales'!$E$34:$O$64,KE$158,FALSE())*KE74</f>
        <v>0</v>
      </c>
      <c r="KF172" s="196" t="n">
        <f aca="false">VLOOKUP($KC$1,'Datos Iniciales'!$E$34:$O$64,KF$158,FALSE())*KF74</f>
        <v>0</v>
      </c>
      <c r="KG172" s="196" t="n">
        <f aca="false">VLOOKUP($KC$1,'Datos Iniciales'!$E$34:$O$64,KG$158,FALSE())*KG74</f>
        <v>0</v>
      </c>
      <c r="KH172" s="196" t="n">
        <f aca="false">VLOOKUP($KC$1,'Datos Iniciales'!$E$34:$O$64,KH$158,FALSE())*KH74</f>
        <v>0</v>
      </c>
      <c r="KI172" s="196" t="n">
        <f aca="false">VLOOKUP($KC$1,'Datos Iniciales'!$E$34:$O$64,KI$158,FALSE())*KI74</f>
        <v>0</v>
      </c>
      <c r="KJ172" s="196" t="n">
        <f aca="false">VLOOKUP($KC$1,'Datos Iniciales'!$E$34:$O$64,KJ$158,FALSE())*KJ74</f>
        <v>0</v>
      </c>
      <c r="KK172" s="196" t="n">
        <f aca="false">VLOOKUP($KC$1,'Datos Iniciales'!$E$34:$O$64,KK$158,FALSE())*KK74</f>
        <v>0</v>
      </c>
      <c r="KL172" s="196" t="n">
        <f aca="false">VLOOKUP($KC$1,'Datos Iniciales'!$E$34:$O$64,KL$158,FALSE())*KL74</f>
        <v>0</v>
      </c>
      <c r="KM172" s="197" t="n">
        <f aca="false">VLOOKUP($KC$1,'Datos Iniciales'!$E$34:$O$64,KM$158,FALSE())*KM74</f>
        <v>0</v>
      </c>
      <c r="KN172" s="194" t="str">
        <f aca="false">KC172</f>
        <v>Alumno13</v>
      </c>
      <c r="KO172" s="208" t="n">
        <f aca="false">VLOOKUP($KN$1,'Datos Iniciales'!$E$34:$O$64,KO$158,FALSE())*KO74</f>
        <v>0</v>
      </c>
      <c r="KP172" s="196" t="n">
        <f aca="false">VLOOKUP($KN$1,'Datos Iniciales'!$E$34:$O$64,KP$158,FALSE())*KP74</f>
        <v>0</v>
      </c>
      <c r="KQ172" s="196" t="n">
        <f aca="false">VLOOKUP($KN$1,'Datos Iniciales'!$E$34:$O$64,KQ$158,FALSE())*KQ74</f>
        <v>0</v>
      </c>
      <c r="KR172" s="196" t="n">
        <f aca="false">VLOOKUP($KN$1,'Datos Iniciales'!$E$34:$O$64,KR$158,FALSE())*KR74</f>
        <v>0</v>
      </c>
      <c r="KS172" s="196" t="n">
        <f aca="false">VLOOKUP($KN$1,'Datos Iniciales'!$E$34:$O$64,KS$158,FALSE())*KS74</f>
        <v>0</v>
      </c>
      <c r="KT172" s="196" t="n">
        <f aca="false">VLOOKUP($KN$1,'Datos Iniciales'!$E$34:$O$64,KT$158,FALSE())*KT74</f>
        <v>0</v>
      </c>
      <c r="KU172" s="196" t="n">
        <f aca="false">VLOOKUP($KN$1,'Datos Iniciales'!$E$34:$O$64,KU$158,FALSE())*KU74</f>
        <v>0</v>
      </c>
      <c r="KV172" s="196" t="n">
        <f aca="false">VLOOKUP($KN$1,'Datos Iniciales'!$E$34:$O$64,KV$158,FALSE())*KV74</f>
        <v>0</v>
      </c>
      <c r="KW172" s="196" t="n">
        <f aca="false">VLOOKUP($KN$1,'Datos Iniciales'!$E$34:$O$64,KW$158,FALSE())*KW74</f>
        <v>0</v>
      </c>
      <c r="KX172" s="197" t="n">
        <f aca="false">VLOOKUP($KN$1,'Datos Iniciales'!$E$34:$O$64,KX$158,FALSE())*KX74</f>
        <v>0</v>
      </c>
      <c r="KY172" s="194" t="str">
        <f aca="false">KN172</f>
        <v>Alumno13</v>
      </c>
      <c r="KZ172" s="208" t="n">
        <f aca="false">VLOOKUP($KY$1,'Datos Iniciales'!$E$34:$O$64,KZ$158,FALSE())*KZ74</f>
        <v>0</v>
      </c>
      <c r="LA172" s="196" t="n">
        <f aca="false">VLOOKUP($KY$1,'Datos Iniciales'!$E$34:$O$64,LA$158,FALSE())*LA74</f>
        <v>0</v>
      </c>
      <c r="LB172" s="196" t="n">
        <f aca="false">VLOOKUP($KY$1,'Datos Iniciales'!$E$34:$O$64,LB$158,FALSE())*LB74</f>
        <v>0</v>
      </c>
      <c r="LC172" s="196" t="n">
        <f aca="false">VLOOKUP($KY$1,'Datos Iniciales'!$E$34:$O$64,LC$158,FALSE())*LC74</f>
        <v>0</v>
      </c>
      <c r="LD172" s="196" t="n">
        <f aca="false">VLOOKUP($KY$1,'Datos Iniciales'!$E$34:$O$64,LD$158,FALSE())*LD74</f>
        <v>0</v>
      </c>
      <c r="LE172" s="196" t="n">
        <f aca="false">VLOOKUP($KY$1,'Datos Iniciales'!$E$34:$O$64,LE$158,FALSE())*LE74</f>
        <v>0</v>
      </c>
      <c r="LF172" s="196" t="n">
        <f aca="false">VLOOKUP($KY$1,'Datos Iniciales'!$E$34:$O$64,LF$158,FALSE())*LF74</f>
        <v>0</v>
      </c>
      <c r="LG172" s="196" t="n">
        <f aca="false">VLOOKUP($KY$1,'Datos Iniciales'!$E$34:$O$64,LG$158,FALSE())*LG74</f>
        <v>0</v>
      </c>
      <c r="LH172" s="196" t="n">
        <f aca="false">VLOOKUP($KY$1,'Datos Iniciales'!$E$34:$O$64,LH$158,FALSE())*LH74</f>
        <v>0</v>
      </c>
      <c r="LI172" s="197" t="n">
        <f aca="false">VLOOKUP($KY$1,'Datos Iniciales'!$E$34:$O$64,LI$158,FALSE())*LI74</f>
        <v>0</v>
      </c>
      <c r="LJ172" s="194" t="str">
        <f aca="false">KY172</f>
        <v>Alumno13</v>
      </c>
      <c r="LK172" s="208" t="n">
        <f aca="false">VLOOKUP($LJ$1,'Datos Iniciales'!$E$34:$O$64,LK$158,FALSE())*LK74</f>
        <v>0</v>
      </c>
      <c r="LL172" s="196" t="n">
        <f aca="false">VLOOKUP($LJ$1,'Datos Iniciales'!$E$34:$O$64,LL$158,FALSE())*LL74</f>
        <v>0</v>
      </c>
      <c r="LM172" s="196" t="n">
        <f aca="false">VLOOKUP($LJ$1,'Datos Iniciales'!$E$34:$O$64,LM$158,FALSE())*LM74</f>
        <v>0</v>
      </c>
      <c r="LN172" s="196" t="n">
        <f aca="false">VLOOKUP($LJ$1,'Datos Iniciales'!$E$34:$O$64,LN$158,FALSE())*LN74</f>
        <v>0</v>
      </c>
      <c r="LO172" s="196" t="n">
        <f aca="false">VLOOKUP($LJ$1,'Datos Iniciales'!$E$34:$O$64,LO$158,FALSE())*LO74</f>
        <v>0</v>
      </c>
      <c r="LP172" s="196" t="n">
        <f aca="false">VLOOKUP($LJ$1,'Datos Iniciales'!$E$34:$O$64,LP$158,FALSE())*LP74</f>
        <v>0</v>
      </c>
      <c r="LQ172" s="196" t="n">
        <f aca="false">VLOOKUP($LJ$1,'Datos Iniciales'!$E$34:$O$64,LQ$158,FALSE())*LQ74</f>
        <v>0</v>
      </c>
      <c r="LR172" s="196" t="n">
        <f aca="false">VLOOKUP($LJ$1,'Datos Iniciales'!$E$34:$O$64,LR$158,FALSE())*LR74</f>
        <v>0</v>
      </c>
      <c r="LS172" s="196" t="n">
        <f aca="false">VLOOKUP($LJ$1,'Datos Iniciales'!$E$34:$O$64,LS$158,FALSE())*LS74</f>
        <v>0</v>
      </c>
      <c r="LT172" s="197" t="n">
        <f aca="false">VLOOKUP($LJ$1,'Datos Iniciales'!$E$34:$O$64,LT$158,FALSE())*LT74</f>
        <v>0</v>
      </c>
    </row>
    <row r="173" customFormat="false" ht="15" hidden="true" customHeight="false" outlineLevel="0" collapsed="false">
      <c r="C173" s="194" t="str">
        <f aca="false">C124</f>
        <v>Alumno14</v>
      </c>
      <c r="D173" s="208" t="n">
        <f aca="false">VLOOKUP($C$1,'Datos Iniciales'!$E$34:$O$64,D$158,FALSE())*D75</f>
        <v>1.025</v>
      </c>
      <c r="E173" s="196" t="n">
        <f aca="false">VLOOKUP($C$1,'Datos Iniciales'!$E$34:$O$64,E$158,FALSE())*E75</f>
        <v>0</v>
      </c>
      <c r="F173" s="196" t="n">
        <f aca="false">VLOOKUP($C$1,'Datos Iniciales'!$E$34:$O$64,F$158,FALSE())*F75</f>
        <v>0</v>
      </c>
      <c r="G173" s="196" t="n">
        <f aca="false">VLOOKUP($C$1,'Datos Iniciales'!$E$34:$O$64,G$158,FALSE())*G75</f>
        <v>0</v>
      </c>
      <c r="H173" s="196" t="n">
        <f aca="false">VLOOKUP($C$1,'Datos Iniciales'!$E$34:$O$64,H$158,FALSE())*H75</f>
        <v>0</v>
      </c>
      <c r="I173" s="196" t="n">
        <f aca="false">VLOOKUP($C$1,'Datos Iniciales'!$E$34:$O$64,I$158,FALSE())*I75</f>
        <v>0</v>
      </c>
      <c r="J173" s="196" t="n">
        <f aca="false">VLOOKUP($C$1,'Datos Iniciales'!$E$34:$O$64,J$158,FALSE())*J75</f>
        <v>0</v>
      </c>
      <c r="K173" s="196" t="n">
        <f aca="false">VLOOKUP($C$1,'Datos Iniciales'!$E$34:$O$64,K$158,FALSE())*K75</f>
        <v>0</v>
      </c>
      <c r="L173" s="196" t="n">
        <f aca="false">VLOOKUP($C$1,'Datos Iniciales'!$E$34:$O$64,L$158,FALSE())*L75</f>
        <v>0</v>
      </c>
      <c r="M173" s="197" t="n">
        <f aca="false">VLOOKUP($C$1,'Datos Iniciales'!$E$34:$O$64,M$158,FALSE())*M75</f>
        <v>0</v>
      </c>
      <c r="N173" s="194" t="str">
        <f aca="false">C173</f>
        <v>Alumno14</v>
      </c>
      <c r="O173" s="208" t="n">
        <f aca="false">VLOOKUP($N$1,'Datos Iniciales'!$E$34:$O$64,O$158,FALSE())*O75</f>
        <v>0.85</v>
      </c>
      <c r="P173" s="196" t="n">
        <f aca="false">VLOOKUP($N$1,'Datos Iniciales'!$E$34:$O$64,P$158,FALSE())*P75</f>
        <v>1</v>
      </c>
      <c r="Q173" s="196" t="n">
        <f aca="false">VLOOKUP($N$1,'Datos Iniciales'!$E$34:$O$64,Q$158,FALSE())*Q75</f>
        <v>0</v>
      </c>
      <c r="R173" s="196" t="n">
        <f aca="false">VLOOKUP($N$1,'Datos Iniciales'!$E$34:$O$64,R$158,FALSE())*R75</f>
        <v>0</v>
      </c>
      <c r="S173" s="196" t="n">
        <f aca="false">VLOOKUP($N$1,'Datos Iniciales'!$E$34:$O$64,S$158,FALSE())*S75</f>
        <v>0</v>
      </c>
      <c r="T173" s="196" t="n">
        <f aca="false">VLOOKUP($N$1,'Datos Iniciales'!$E$34:$O$64,T$158,FALSE())*T75</f>
        <v>0</v>
      </c>
      <c r="U173" s="196" t="n">
        <f aca="false">VLOOKUP($N$1,'Datos Iniciales'!$E$34:$O$64,U$158,FALSE())*U75</f>
        <v>0</v>
      </c>
      <c r="V173" s="196" t="n">
        <f aca="false">VLOOKUP($N$1,'Datos Iniciales'!$E$34:$O$64,V$158,FALSE())*V75</f>
        <v>0</v>
      </c>
      <c r="W173" s="196" t="n">
        <f aca="false">VLOOKUP($N$1,'Datos Iniciales'!$E$34:$O$64,W$158,FALSE())*W75</f>
        <v>0</v>
      </c>
      <c r="X173" s="197" t="n">
        <f aca="false">VLOOKUP($N$1,'Datos Iniciales'!$E$34:$O$64,X$158,FALSE())*X75</f>
        <v>0</v>
      </c>
      <c r="Y173" s="194" t="str">
        <f aca="false">N173</f>
        <v>Alumno14</v>
      </c>
      <c r="Z173" s="208" t="n">
        <f aca="false">VLOOKUP($Y$1,'Datos Iniciales'!$E$34:$O$64,Z$158,FALSE())*Z75</f>
        <v>1.5</v>
      </c>
      <c r="AA173" s="196" t="n">
        <f aca="false">VLOOKUP($Y$1,'Datos Iniciales'!$E$34:$O$64,AA$158,FALSE())*AA75</f>
        <v>1</v>
      </c>
      <c r="AB173" s="196" t="n">
        <f aca="false">VLOOKUP($Y$1,'Datos Iniciales'!$E$34:$O$64,AB$158,FALSE())*AB75</f>
        <v>0.5</v>
      </c>
      <c r="AC173" s="196" t="n">
        <f aca="false">VLOOKUP($Y$1,'Datos Iniciales'!$E$34:$O$64,AC$158,FALSE())*AC75</f>
        <v>0</v>
      </c>
      <c r="AD173" s="196" t="n">
        <f aca="false">VLOOKUP($Y$1,'Datos Iniciales'!$E$34:$O$64,AD$158,FALSE())*AD75</f>
        <v>0</v>
      </c>
      <c r="AE173" s="196" t="n">
        <f aca="false">VLOOKUP($Y$1,'Datos Iniciales'!$E$34:$O$64,AE$158,FALSE())*AE75</f>
        <v>0</v>
      </c>
      <c r="AF173" s="196" t="n">
        <f aca="false">VLOOKUP($Y$1,'Datos Iniciales'!$E$34:$O$64,AF$158,FALSE())*AF75</f>
        <v>0</v>
      </c>
      <c r="AG173" s="196" t="n">
        <f aca="false">VLOOKUP($Y$1,'Datos Iniciales'!$E$34:$O$64,AG$158,FALSE())*AG75</f>
        <v>0</v>
      </c>
      <c r="AH173" s="196" t="n">
        <f aca="false">VLOOKUP($Y$1,'Datos Iniciales'!$E$34:$O$64,AH$158,FALSE())*AH75</f>
        <v>0</v>
      </c>
      <c r="AI173" s="197" t="n">
        <f aca="false">VLOOKUP($Y$1,'Datos Iniciales'!$E$34:$O$64,AI$158,FALSE())*AI75</f>
        <v>0</v>
      </c>
      <c r="AJ173" s="194" t="str">
        <f aca="false">Y173</f>
        <v>Alumno14</v>
      </c>
      <c r="AK173" s="208" t="n">
        <f aca="false">VLOOKUP($AJ$1,'Datos Iniciales'!$E$34:$O$64,AK$158,FALSE())*AK75</f>
        <v>0.5</v>
      </c>
      <c r="AL173" s="196" t="n">
        <f aca="false">VLOOKUP($AJ$1,'Datos Iniciales'!$E$34:$O$64,AL$158,FALSE())*AL75</f>
        <v>1.5</v>
      </c>
      <c r="AM173" s="196" t="n">
        <f aca="false">VLOOKUP($AJ$1,'Datos Iniciales'!$E$34:$O$64,AM$158,FALSE())*AM75</f>
        <v>1.75</v>
      </c>
      <c r="AN173" s="196" t="n">
        <f aca="false">VLOOKUP($AJ$1,'Datos Iniciales'!$E$34:$O$64,AN$158,FALSE())*AN75</f>
        <v>0</v>
      </c>
      <c r="AO173" s="196" t="n">
        <f aca="false">VLOOKUP($AJ$1,'Datos Iniciales'!$E$34:$O$64,AO$158,FALSE())*AO75</f>
        <v>0</v>
      </c>
      <c r="AP173" s="196" t="n">
        <f aca="false">VLOOKUP($AJ$1,'Datos Iniciales'!$E$34:$O$64,AP$158,FALSE())*AP75</f>
        <v>0</v>
      </c>
      <c r="AQ173" s="196" t="n">
        <f aca="false">VLOOKUP($AJ$1,'Datos Iniciales'!$E$34:$O$64,AQ$158,FALSE())*AQ75</f>
        <v>0</v>
      </c>
      <c r="AR173" s="196" t="n">
        <f aca="false">VLOOKUP($AJ$1,'Datos Iniciales'!$E$34:$O$64,AR$158,FALSE())*AR75</f>
        <v>0</v>
      </c>
      <c r="AS173" s="196" t="n">
        <f aca="false">VLOOKUP($AJ$1,'Datos Iniciales'!$E$34:$O$64,AS$158,FALSE())*AS75</f>
        <v>0</v>
      </c>
      <c r="AT173" s="197" t="n">
        <f aca="false">VLOOKUP($AJ$1,'Datos Iniciales'!$E$34:$O$64,AT$158,FALSE())*AT75</f>
        <v>0</v>
      </c>
      <c r="AU173" s="194" t="str">
        <f aca="false">AJ173</f>
        <v>Alumno14</v>
      </c>
      <c r="AV173" s="208" t="n">
        <f aca="false">VLOOKUP($AU$1,'Datos Iniciales'!$E$34:$O$64,AV$158,FALSE())*AV75</f>
        <v>0.2</v>
      </c>
      <c r="AW173" s="196" t="n">
        <f aca="false">VLOOKUP($AU$1,'Datos Iniciales'!$E$34:$O$64,AW$158,FALSE())*AW75</f>
        <v>0.3</v>
      </c>
      <c r="AX173" s="196" t="n">
        <f aca="false">VLOOKUP($AU$1,'Datos Iniciales'!$E$34:$O$64,AX$158,FALSE())*AX75</f>
        <v>1.68</v>
      </c>
      <c r="AY173" s="196" t="n">
        <f aca="false">VLOOKUP($AU$1,'Datos Iniciales'!$E$34:$O$64,AY$158,FALSE())*AY75</f>
        <v>0.4</v>
      </c>
      <c r="AZ173" s="196" t="n">
        <f aca="false">VLOOKUP($AU$1,'Datos Iniciales'!$E$34:$O$64,AZ$158,FALSE())*AZ75</f>
        <v>0</v>
      </c>
      <c r="BA173" s="196" t="n">
        <f aca="false">VLOOKUP($AU$1,'Datos Iniciales'!$E$34:$O$64,BA$158,FALSE())*BA75</f>
        <v>0</v>
      </c>
      <c r="BB173" s="196" t="n">
        <f aca="false">VLOOKUP($AU$1,'Datos Iniciales'!$E$34:$O$64,BB$158,FALSE())*BB75</f>
        <v>0</v>
      </c>
      <c r="BC173" s="196" t="n">
        <f aca="false">VLOOKUP($AU$1,'Datos Iniciales'!$E$34:$O$64,BC$158,FALSE())*BC75</f>
        <v>0</v>
      </c>
      <c r="BD173" s="196" t="n">
        <f aca="false">VLOOKUP($AU$1,'Datos Iniciales'!$E$34:$O$64,BD$158,FALSE())*BD75</f>
        <v>0</v>
      </c>
      <c r="BE173" s="197" t="n">
        <f aca="false">VLOOKUP($AU$1,'Datos Iniciales'!$E$34:$O$64,BE$158,FALSE())*BE75</f>
        <v>0</v>
      </c>
      <c r="BF173" s="194" t="str">
        <f aca="false">AU173</f>
        <v>Alumno14</v>
      </c>
      <c r="BG173" s="208" t="n">
        <f aca="false">VLOOKUP($BF$1,'Datos Iniciales'!$E$34:$O$64,BG$158,FALSE())*BG75</f>
        <v>0.4</v>
      </c>
      <c r="BH173" s="196" t="n">
        <f aca="false">VLOOKUP($BF$1,'Datos Iniciales'!$E$34:$O$64,BH$158,FALSE())*BH75</f>
        <v>0.45</v>
      </c>
      <c r="BI173" s="196" t="n">
        <f aca="false">VLOOKUP($BF$1,'Datos Iniciales'!$E$34:$O$64,BI$158,FALSE())*BI75</f>
        <v>0.5</v>
      </c>
      <c r="BJ173" s="196" t="n">
        <f aca="false">VLOOKUP($BF$1,'Datos Iniciales'!$E$34:$O$64,BJ$158,FALSE())*BJ75</f>
        <v>1.92</v>
      </c>
      <c r="BK173" s="196" t="n">
        <f aca="false">VLOOKUP($BF$1,'Datos Iniciales'!$E$34:$O$64,BK$158,FALSE())*BK75</f>
        <v>0</v>
      </c>
      <c r="BL173" s="196" t="n">
        <f aca="false">VLOOKUP($BF$1,'Datos Iniciales'!$E$34:$O$64,BL$158,FALSE())*BL75</f>
        <v>0</v>
      </c>
      <c r="BM173" s="196" t="n">
        <f aca="false">VLOOKUP($BF$1,'Datos Iniciales'!$E$34:$O$64,BM$158,FALSE())*BM75</f>
        <v>0</v>
      </c>
      <c r="BN173" s="196" t="n">
        <f aca="false">VLOOKUP($BF$1,'Datos Iniciales'!$E$34:$O$64,BN$158,FALSE())*BN75</f>
        <v>0</v>
      </c>
      <c r="BO173" s="196" t="n">
        <f aca="false">VLOOKUP($BF$1,'Datos Iniciales'!$E$34:$O$64,BO$158,FALSE())*BO75</f>
        <v>0</v>
      </c>
      <c r="BP173" s="197" t="n">
        <f aca="false">VLOOKUP($BF$1,'Datos Iniciales'!$E$34:$O$64,BP$158,FALSE())*BP75</f>
        <v>0</v>
      </c>
      <c r="BQ173" s="194" t="str">
        <f aca="false">BF173</f>
        <v>Alumno14</v>
      </c>
      <c r="BR173" s="208" t="n">
        <f aca="false">VLOOKUP($BQ$1,'Datos Iniciales'!$E$34:$O$64,BR$158,FALSE())*BR75</f>
        <v>0</v>
      </c>
      <c r="BS173" s="196" t="n">
        <f aca="false">VLOOKUP($BQ$1,'Datos Iniciales'!$E$34:$O$64,BS$158,FALSE())*BS75</f>
        <v>0.45</v>
      </c>
      <c r="BT173" s="196" t="n">
        <f aca="false">VLOOKUP($BQ$1,'Datos Iniciales'!$E$34:$O$64,BT$158,FALSE())*BT75</f>
        <v>1.35</v>
      </c>
      <c r="BU173" s="196" t="n">
        <f aca="false">VLOOKUP($BQ$1,'Datos Iniciales'!$E$34:$O$64,BU$158,FALSE())*BU75</f>
        <v>4.5</v>
      </c>
      <c r="BV173" s="196" t="n">
        <f aca="false">VLOOKUP($BQ$1,'Datos Iniciales'!$E$34:$O$64,BV$158,FALSE())*BV75</f>
        <v>0</v>
      </c>
      <c r="BW173" s="196" t="n">
        <f aca="false">VLOOKUP($BQ$1,'Datos Iniciales'!$E$34:$O$64,BW$158,FALSE())*BW75</f>
        <v>0</v>
      </c>
      <c r="BX173" s="196" t="n">
        <f aca="false">VLOOKUP($BQ$1,'Datos Iniciales'!$E$34:$O$64,BX$158,FALSE())*BX75</f>
        <v>0</v>
      </c>
      <c r="BY173" s="196" t="n">
        <f aca="false">VLOOKUP($BQ$1,'Datos Iniciales'!$E$34:$O$64,BY$158,FALSE())*BY75</f>
        <v>0</v>
      </c>
      <c r="BZ173" s="196" t="n">
        <f aca="false">VLOOKUP($BQ$1,'Datos Iniciales'!$E$34:$O$64,BZ$158,FALSE())*BZ75</f>
        <v>0</v>
      </c>
      <c r="CA173" s="197" t="n">
        <f aca="false">VLOOKUP($BQ$1,'Datos Iniciales'!$E$34:$O$64,CA$158,FALSE())*CA75</f>
        <v>0</v>
      </c>
      <c r="CB173" s="194" t="str">
        <f aca="false">BQ173</f>
        <v>Alumno14</v>
      </c>
      <c r="CC173" s="208" t="n">
        <f aca="false">VLOOKUP($CB$1,'Datos Iniciales'!$E$34:$O$64,CC$158,FALSE())*CC75</f>
        <v>0</v>
      </c>
      <c r="CD173" s="196" t="n">
        <f aca="false">VLOOKUP($CB$1,'Datos Iniciales'!$E$34:$O$64,CD$158,FALSE())*CD75</f>
        <v>0</v>
      </c>
      <c r="CE173" s="196" t="n">
        <f aca="false">VLOOKUP($CB$1,'Datos Iniciales'!$E$34:$O$64,CE$158,FALSE())*CE75</f>
        <v>0</v>
      </c>
      <c r="CF173" s="196" t="n">
        <f aca="false">VLOOKUP($CB$1,'Datos Iniciales'!$E$34:$O$64,CF$158,FALSE())*CF75</f>
        <v>0</v>
      </c>
      <c r="CG173" s="196" t="n">
        <f aca="false">VLOOKUP($CB$1,'Datos Iniciales'!$E$34:$O$64,CG$158,FALSE())*CG75</f>
        <v>0</v>
      </c>
      <c r="CH173" s="196" t="n">
        <f aca="false">VLOOKUP($CB$1,'Datos Iniciales'!$E$34:$O$64,CH$158,FALSE())*CH75</f>
        <v>0</v>
      </c>
      <c r="CI173" s="196" t="n">
        <f aca="false">VLOOKUP($CB$1,'Datos Iniciales'!$E$34:$O$64,CI$158,FALSE())*CI75</f>
        <v>0</v>
      </c>
      <c r="CJ173" s="196" t="n">
        <f aca="false">VLOOKUP($CB$1,'Datos Iniciales'!$E$34:$O$64,CJ$158,FALSE())*CJ75</f>
        <v>0</v>
      </c>
      <c r="CK173" s="196" t="n">
        <f aca="false">VLOOKUP($CB$1,'Datos Iniciales'!$E$34:$O$64,CK$158,FALSE())*CK75</f>
        <v>0</v>
      </c>
      <c r="CL173" s="197" t="n">
        <f aca="false">VLOOKUP($CB$1,'Datos Iniciales'!$E$34:$O$64,CL$158,FALSE())*CL75</f>
        <v>0</v>
      </c>
      <c r="CM173" s="194" t="str">
        <f aca="false">CB173</f>
        <v>Alumno14</v>
      </c>
      <c r="CN173" s="208" t="n">
        <f aca="false">VLOOKUP($CM$1,'Datos Iniciales'!$E$34:$O$64,CN$158,FALSE())*CN75</f>
        <v>0</v>
      </c>
      <c r="CO173" s="196" t="n">
        <f aca="false">VLOOKUP($CM$1,'Datos Iniciales'!$E$34:$O$64,CO$158,FALSE())*CO75</f>
        <v>0</v>
      </c>
      <c r="CP173" s="196" t="n">
        <f aca="false">VLOOKUP($CM$1,'Datos Iniciales'!$E$34:$O$64,CP$158,FALSE())*CP75</f>
        <v>0</v>
      </c>
      <c r="CQ173" s="196" t="n">
        <f aca="false">VLOOKUP($CM$1,'Datos Iniciales'!$E$34:$O$64,CQ$158,FALSE())*CQ75</f>
        <v>0</v>
      </c>
      <c r="CR173" s="196" t="n">
        <f aca="false">VLOOKUP($CM$1,'Datos Iniciales'!$E$34:$O$64,CR$158,FALSE())*CR75</f>
        <v>0</v>
      </c>
      <c r="CS173" s="196" t="n">
        <f aca="false">VLOOKUP($CM$1,'Datos Iniciales'!$E$34:$O$64,CS$158,FALSE())*CS75</f>
        <v>0</v>
      </c>
      <c r="CT173" s="196" t="n">
        <f aca="false">VLOOKUP($CM$1,'Datos Iniciales'!$E$34:$O$64,CT$158,FALSE())*CT75</f>
        <v>0</v>
      </c>
      <c r="CU173" s="196" t="n">
        <f aca="false">VLOOKUP($CM$1,'Datos Iniciales'!$E$34:$O$64,CU$158,FALSE())*CU75</f>
        <v>0</v>
      </c>
      <c r="CV173" s="196" t="n">
        <f aca="false">VLOOKUP($CM$1,'Datos Iniciales'!$E$34:$O$64,CV$158,FALSE())*CV75</f>
        <v>0</v>
      </c>
      <c r="CW173" s="197" t="n">
        <f aca="false">VLOOKUP($CM$1,'Datos Iniciales'!$E$34:$O$64,CW$158,FALSE())*CW75</f>
        <v>0</v>
      </c>
      <c r="CX173" s="194" t="str">
        <f aca="false">CM173</f>
        <v>Alumno14</v>
      </c>
      <c r="CY173" s="208" t="n">
        <f aca="false">VLOOKUP($CX$1,'Datos Iniciales'!$E$34:$O$64,CY$158,FALSE())*CY75</f>
        <v>0</v>
      </c>
      <c r="CZ173" s="196" t="n">
        <f aca="false">VLOOKUP($CX$1,'Datos Iniciales'!$E$34:$O$64,CZ$158,FALSE())*CZ75</f>
        <v>0</v>
      </c>
      <c r="DA173" s="196" t="n">
        <f aca="false">VLOOKUP($CX$1,'Datos Iniciales'!$E$34:$O$64,DA$158,FALSE())*DA75</f>
        <v>0</v>
      </c>
      <c r="DB173" s="196" t="n">
        <f aca="false">VLOOKUP($CX$1,'Datos Iniciales'!$E$34:$O$64,DB$158,FALSE())*DB75</f>
        <v>0</v>
      </c>
      <c r="DC173" s="196" t="n">
        <f aca="false">VLOOKUP($CX$1,'Datos Iniciales'!$E$34:$O$64,DC$158,FALSE())*DC75</f>
        <v>0</v>
      </c>
      <c r="DD173" s="196" t="n">
        <f aca="false">VLOOKUP($CX$1,'Datos Iniciales'!$E$34:$O$64,DD$158,FALSE())*DD75</f>
        <v>0</v>
      </c>
      <c r="DE173" s="196" t="n">
        <f aca="false">VLOOKUP($CX$1,'Datos Iniciales'!$E$34:$O$64,DE$158,FALSE())*DE75</f>
        <v>0</v>
      </c>
      <c r="DF173" s="196" t="n">
        <f aca="false">VLOOKUP($CX$1,'Datos Iniciales'!$E$34:$O$64,DF$158,FALSE())*DF75</f>
        <v>0</v>
      </c>
      <c r="DG173" s="196" t="n">
        <f aca="false">VLOOKUP($CX$1,'Datos Iniciales'!$E$34:$O$64,DG$158,FALSE())*DG75</f>
        <v>0</v>
      </c>
      <c r="DH173" s="197" t="n">
        <f aca="false">VLOOKUP($CX$1,'Datos Iniciales'!$E$34:$O$64,DH$158,FALSE())*DH75</f>
        <v>0</v>
      </c>
      <c r="DI173" s="194" t="str">
        <f aca="false">CX173</f>
        <v>Alumno14</v>
      </c>
      <c r="DJ173" s="208" t="n">
        <f aca="false">VLOOKUP($DI$1,'Datos Iniciales'!$E$34:$O$64,DJ$158,FALSE())*DJ75</f>
        <v>0</v>
      </c>
      <c r="DK173" s="196" t="n">
        <f aca="false">VLOOKUP($DI$1,'Datos Iniciales'!$E$34:$O$64,DK$158,FALSE())*DK75</f>
        <v>0</v>
      </c>
      <c r="DL173" s="196" t="n">
        <f aca="false">VLOOKUP($DI$1,'Datos Iniciales'!$E$34:$O$64,DL$158,FALSE())*DL75</f>
        <v>0</v>
      </c>
      <c r="DM173" s="196" t="n">
        <f aca="false">VLOOKUP($DI$1,'Datos Iniciales'!$E$34:$O$64,DM$158,FALSE())*DM75</f>
        <v>0</v>
      </c>
      <c r="DN173" s="196" t="n">
        <f aca="false">VLOOKUP($DI$1,'Datos Iniciales'!$E$34:$O$64,DN$158,FALSE())*DN75</f>
        <v>0</v>
      </c>
      <c r="DO173" s="196" t="n">
        <f aca="false">VLOOKUP($DI$1,'Datos Iniciales'!$E$34:$O$64,DO$158,FALSE())*DO75</f>
        <v>0</v>
      </c>
      <c r="DP173" s="196" t="n">
        <f aca="false">VLOOKUP($DI$1,'Datos Iniciales'!$E$34:$O$64,DP$158,FALSE())*DP75</f>
        <v>0</v>
      </c>
      <c r="DQ173" s="196" t="n">
        <f aca="false">VLOOKUP($DI$1,'Datos Iniciales'!$E$34:$O$64,DQ$158,FALSE())*DQ75</f>
        <v>0</v>
      </c>
      <c r="DR173" s="196" t="n">
        <f aca="false">VLOOKUP($DI$1,'Datos Iniciales'!$E$34:$O$64,DR$158,FALSE())*DR75</f>
        <v>0</v>
      </c>
      <c r="DS173" s="197" t="n">
        <f aca="false">VLOOKUP($DI$1,'Datos Iniciales'!$E$34:$O$64,DS$158,FALSE())*DS75</f>
        <v>0</v>
      </c>
      <c r="DT173" s="194" t="str">
        <f aca="false">DI173</f>
        <v>Alumno14</v>
      </c>
      <c r="DU173" s="208" t="n">
        <f aca="false">VLOOKUP($DT$1,'Datos Iniciales'!$E$34:$O$64,DU$158,FALSE())*DU75</f>
        <v>0</v>
      </c>
      <c r="DV173" s="196" t="n">
        <f aca="false">VLOOKUP($DT$1,'Datos Iniciales'!$E$34:$O$64,DV$158,FALSE())*DV75</f>
        <v>0</v>
      </c>
      <c r="DW173" s="196" t="n">
        <f aca="false">VLOOKUP($DT$1,'Datos Iniciales'!$E$34:$O$64,DW$158,FALSE())*DW75</f>
        <v>0</v>
      </c>
      <c r="DX173" s="196" t="n">
        <f aca="false">VLOOKUP($DT$1,'Datos Iniciales'!$E$34:$O$64,DX$158,FALSE())*DX75</f>
        <v>0</v>
      </c>
      <c r="DY173" s="196" t="n">
        <f aca="false">VLOOKUP($DT$1,'Datos Iniciales'!$E$34:$O$64,DY$158,FALSE())*DY75</f>
        <v>0</v>
      </c>
      <c r="DZ173" s="196" t="n">
        <f aca="false">VLOOKUP($DT$1,'Datos Iniciales'!$E$34:$O$64,DZ$158,FALSE())*DZ75</f>
        <v>0</v>
      </c>
      <c r="EA173" s="196" t="n">
        <f aca="false">VLOOKUP($DT$1,'Datos Iniciales'!$E$34:$O$64,EA$158,FALSE())*EA75</f>
        <v>0</v>
      </c>
      <c r="EB173" s="196" t="n">
        <f aca="false">VLOOKUP($DT$1,'Datos Iniciales'!$E$34:$O$64,EB$158,FALSE())*EB75</f>
        <v>0</v>
      </c>
      <c r="EC173" s="196" t="n">
        <f aca="false">VLOOKUP($DT$1,'Datos Iniciales'!$E$34:$O$64,EC$158,FALSE())*EC75</f>
        <v>0</v>
      </c>
      <c r="ED173" s="197" t="n">
        <f aca="false">VLOOKUP($DT$1,'Datos Iniciales'!$E$34:$O$64,ED$158,FALSE())*ED75</f>
        <v>0</v>
      </c>
      <c r="EE173" s="194" t="str">
        <f aca="false">DT173</f>
        <v>Alumno14</v>
      </c>
      <c r="EF173" s="208" t="n">
        <f aca="false">VLOOKUP($EE$1,'Datos Iniciales'!$E$34:$O$64,EF$158,FALSE())*EF75</f>
        <v>0</v>
      </c>
      <c r="EG173" s="196" t="n">
        <f aca="false">VLOOKUP($EE$1,'Datos Iniciales'!$E$34:$O$64,EG$158,FALSE())*EG75</f>
        <v>0</v>
      </c>
      <c r="EH173" s="196" t="n">
        <f aca="false">VLOOKUP($EE$1,'Datos Iniciales'!$E$34:$O$64,EH$158,FALSE())*EH75</f>
        <v>0</v>
      </c>
      <c r="EI173" s="196" t="n">
        <f aca="false">VLOOKUP($EE$1,'Datos Iniciales'!$E$34:$O$64,EI$158,FALSE())*EI75</f>
        <v>0</v>
      </c>
      <c r="EJ173" s="196" t="n">
        <f aca="false">VLOOKUP($EE$1,'Datos Iniciales'!$E$34:$O$64,EJ$158,FALSE())*EJ75</f>
        <v>0</v>
      </c>
      <c r="EK173" s="196" t="n">
        <f aca="false">VLOOKUP($EE$1,'Datos Iniciales'!$E$34:$O$64,EK$158,FALSE())*EK75</f>
        <v>0</v>
      </c>
      <c r="EL173" s="196" t="n">
        <f aca="false">VLOOKUP($EE$1,'Datos Iniciales'!$E$34:$O$64,EL$158,FALSE())*EL75</f>
        <v>0</v>
      </c>
      <c r="EM173" s="196" t="n">
        <f aca="false">VLOOKUP($EE$1,'Datos Iniciales'!$E$34:$O$64,EM$158,FALSE())*EM75</f>
        <v>0</v>
      </c>
      <c r="EN173" s="196" t="n">
        <f aca="false">VLOOKUP($EE$1,'Datos Iniciales'!$E$34:$O$64,EN$158,FALSE())*EN75</f>
        <v>0</v>
      </c>
      <c r="EO173" s="197" t="n">
        <f aca="false">VLOOKUP($EE$1,'Datos Iniciales'!$E$34:$O$64,EO$158,FALSE())*EO75</f>
        <v>0</v>
      </c>
      <c r="EP173" s="194" t="str">
        <f aca="false">EE173</f>
        <v>Alumno14</v>
      </c>
      <c r="EQ173" s="208" t="n">
        <f aca="false">VLOOKUP($EP$1,'Datos Iniciales'!$E$34:$O$64,EQ$158,FALSE())*EQ75</f>
        <v>0</v>
      </c>
      <c r="ER173" s="196" t="n">
        <f aca="false">VLOOKUP($EP$1,'Datos Iniciales'!$E$34:$O$64,ER$158,FALSE())*ER75</f>
        <v>0</v>
      </c>
      <c r="ES173" s="196" t="n">
        <f aca="false">VLOOKUP($EP$1,'Datos Iniciales'!$E$34:$O$64,ES$158,FALSE())*ES75</f>
        <v>0</v>
      </c>
      <c r="ET173" s="196" t="n">
        <f aca="false">VLOOKUP($EP$1,'Datos Iniciales'!$E$34:$O$64,ET$158,FALSE())*ET75</f>
        <v>0</v>
      </c>
      <c r="EU173" s="196" t="n">
        <f aca="false">VLOOKUP($EP$1,'Datos Iniciales'!$E$34:$O$64,EU$158,FALSE())*EU75</f>
        <v>0</v>
      </c>
      <c r="EV173" s="196" t="n">
        <f aca="false">VLOOKUP($EP$1,'Datos Iniciales'!$E$34:$O$64,EV$158,FALSE())*EV75</f>
        <v>0</v>
      </c>
      <c r="EW173" s="196" t="n">
        <f aca="false">VLOOKUP($EP$1,'Datos Iniciales'!$E$34:$O$64,EW$158,FALSE())*EW75</f>
        <v>0</v>
      </c>
      <c r="EX173" s="196" t="n">
        <f aca="false">VLOOKUP($EP$1,'Datos Iniciales'!$E$34:$O$64,EX$158,FALSE())*EX75</f>
        <v>0</v>
      </c>
      <c r="EY173" s="196" t="n">
        <f aca="false">VLOOKUP($EP$1,'Datos Iniciales'!$E$34:$O$64,EY$158,FALSE())*EY75</f>
        <v>0</v>
      </c>
      <c r="EZ173" s="197" t="n">
        <f aca="false">VLOOKUP($EP$1,'Datos Iniciales'!$E$34:$O$64,EZ$158,FALSE())*EZ75</f>
        <v>0</v>
      </c>
      <c r="FA173" s="194" t="str">
        <f aca="false">EP173</f>
        <v>Alumno14</v>
      </c>
      <c r="FB173" s="208" t="n">
        <f aca="false">VLOOKUP($FA$1,'Datos Iniciales'!$E$34:$O$64,FB$158,FALSE())*FB75</f>
        <v>0</v>
      </c>
      <c r="FC173" s="196" t="n">
        <f aca="false">VLOOKUP($FA$1,'Datos Iniciales'!$E$34:$O$64,FC$158,FALSE())*FC75</f>
        <v>0</v>
      </c>
      <c r="FD173" s="196" t="n">
        <f aca="false">VLOOKUP($FA$1,'Datos Iniciales'!$E$34:$O$64,FD$158,FALSE())*FD75</f>
        <v>0</v>
      </c>
      <c r="FE173" s="196" t="n">
        <f aca="false">VLOOKUP($FA$1,'Datos Iniciales'!$E$34:$O$64,FE$158,FALSE())*FE75</f>
        <v>0</v>
      </c>
      <c r="FF173" s="196" t="n">
        <f aca="false">VLOOKUP($FA$1,'Datos Iniciales'!$E$34:$O$64,FF$158,FALSE())*FF75</f>
        <v>0</v>
      </c>
      <c r="FG173" s="196" t="n">
        <f aca="false">VLOOKUP($FA$1,'Datos Iniciales'!$E$34:$O$64,FG$158,FALSE())*FG75</f>
        <v>0</v>
      </c>
      <c r="FH173" s="196" t="n">
        <f aca="false">VLOOKUP($FA$1,'Datos Iniciales'!$E$34:$O$64,FH$158,FALSE())*FH75</f>
        <v>0</v>
      </c>
      <c r="FI173" s="196" t="n">
        <f aca="false">VLOOKUP($FA$1,'Datos Iniciales'!$E$34:$O$64,FI$158,FALSE())*FI75</f>
        <v>0</v>
      </c>
      <c r="FJ173" s="196" t="n">
        <f aca="false">VLOOKUP($FA$1,'Datos Iniciales'!$E$34:$O$64,FJ$158,FALSE())*FJ75</f>
        <v>0</v>
      </c>
      <c r="FK173" s="197" t="n">
        <f aca="false">VLOOKUP($FA$1,'Datos Iniciales'!$E$34:$O$64,FK$158,FALSE())*FK75</f>
        <v>0</v>
      </c>
      <c r="FL173" s="194" t="str">
        <f aca="false">FA173</f>
        <v>Alumno14</v>
      </c>
      <c r="FM173" s="208" t="n">
        <f aca="false">VLOOKUP($FL$1,'Datos Iniciales'!$E$34:$O$64,FM$158,FALSE())*FM75</f>
        <v>0</v>
      </c>
      <c r="FN173" s="196" t="n">
        <f aca="false">VLOOKUP($FL$1,'Datos Iniciales'!$E$34:$O$64,FN$158,FALSE())*FN75</f>
        <v>0</v>
      </c>
      <c r="FO173" s="196" t="n">
        <f aca="false">VLOOKUP($FL$1,'Datos Iniciales'!$E$34:$O$64,FO$158,FALSE())*FO75</f>
        <v>0</v>
      </c>
      <c r="FP173" s="196" t="n">
        <f aca="false">VLOOKUP($FL$1,'Datos Iniciales'!$E$34:$O$64,FP$158,FALSE())*FP75</f>
        <v>0</v>
      </c>
      <c r="FQ173" s="196" t="n">
        <f aca="false">VLOOKUP($FL$1,'Datos Iniciales'!$E$34:$O$64,FQ$158,FALSE())*FQ75</f>
        <v>0</v>
      </c>
      <c r="FR173" s="196" t="n">
        <f aca="false">VLOOKUP($FL$1,'Datos Iniciales'!$E$34:$O$64,FR$158,FALSE())*FR75</f>
        <v>0</v>
      </c>
      <c r="FS173" s="196" t="n">
        <f aca="false">VLOOKUP($FL$1,'Datos Iniciales'!$E$34:$O$64,FS$158,FALSE())*FS75</f>
        <v>0</v>
      </c>
      <c r="FT173" s="196" t="n">
        <f aca="false">VLOOKUP($FL$1,'Datos Iniciales'!$E$34:$O$64,FT$158,FALSE())*FT75</f>
        <v>0</v>
      </c>
      <c r="FU173" s="196" t="n">
        <f aca="false">VLOOKUP($FL$1,'Datos Iniciales'!$E$34:$O$64,FU$158,FALSE())*FU75</f>
        <v>0</v>
      </c>
      <c r="FV173" s="197" t="n">
        <f aca="false">VLOOKUP($FL$1,'Datos Iniciales'!$E$34:$O$64,FV$158,FALSE())*FV75</f>
        <v>0</v>
      </c>
      <c r="FW173" s="194" t="str">
        <f aca="false">FL173</f>
        <v>Alumno14</v>
      </c>
      <c r="FX173" s="208" t="n">
        <f aca="false">VLOOKUP($FW$1,'Datos Iniciales'!$E$34:$O$64,FX$158,FALSE())*FX75</f>
        <v>0</v>
      </c>
      <c r="FY173" s="196" t="n">
        <f aca="false">VLOOKUP($FW$1,'Datos Iniciales'!$E$34:$O$64,FY$158,FALSE())*FY75</f>
        <v>0</v>
      </c>
      <c r="FZ173" s="196" t="n">
        <f aca="false">VLOOKUP($FW$1,'Datos Iniciales'!$E$34:$O$64,FZ$158,FALSE())*FZ75</f>
        <v>0</v>
      </c>
      <c r="GA173" s="196" t="n">
        <f aca="false">VLOOKUP($FW$1,'Datos Iniciales'!$E$34:$O$64,GA$158,FALSE())*GA75</f>
        <v>0</v>
      </c>
      <c r="GB173" s="196" t="n">
        <f aca="false">VLOOKUP($FW$1,'Datos Iniciales'!$E$34:$O$64,GB$158,FALSE())*GB75</f>
        <v>0</v>
      </c>
      <c r="GC173" s="196" t="n">
        <f aca="false">VLOOKUP($FW$1,'Datos Iniciales'!$E$34:$O$64,GC$158,FALSE())*GC75</f>
        <v>0</v>
      </c>
      <c r="GD173" s="196" t="n">
        <f aca="false">VLOOKUP($FW$1,'Datos Iniciales'!$E$34:$O$64,GD$158,FALSE())*GD75</f>
        <v>0</v>
      </c>
      <c r="GE173" s="196" t="n">
        <f aca="false">VLOOKUP($FW$1,'Datos Iniciales'!$E$34:$O$64,GE$158,FALSE())*GE75</f>
        <v>0</v>
      </c>
      <c r="GF173" s="196" t="n">
        <f aca="false">VLOOKUP($FW$1,'Datos Iniciales'!$E$34:$O$64,GF$158,FALSE())*GF75</f>
        <v>0</v>
      </c>
      <c r="GG173" s="197" t="n">
        <f aca="false">VLOOKUP($FW$1,'Datos Iniciales'!$E$34:$O$64,GG$158,FALSE())*GG75</f>
        <v>0</v>
      </c>
      <c r="GH173" s="194" t="str">
        <f aca="false">FW173</f>
        <v>Alumno14</v>
      </c>
      <c r="GI173" s="208" t="n">
        <f aca="false">VLOOKUP($GH$1,'Datos Iniciales'!$E$34:$O$64,GI$158,FALSE())*GI75</f>
        <v>0</v>
      </c>
      <c r="GJ173" s="196" t="n">
        <f aca="false">VLOOKUP($GH$1,'Datos Iniciales'!$E$34:$O$64,GJ$158,FALSE())*GJ75</f>
        <v>0</v>
      </c>
      <c r="GK173" s="196" t="n">
        <f aca="false">VLOOKUP($GH$1,'Datos Iniciales'!$E$34:$O$64,GK$158,FALSE())*GK75</f>
        <v>0</v>
      </c>
      <c r="GL173" s="196" t="n">
        <f aca="false">VLOOKUP($GH$1,'Datos Iniciales'!$E$34:$O$64,GL$158,FALSE())*GL75</f>
        <v>0</v>
      </c>
      <c r="GM173" s="196" t="n">
        <f aca="false">VLOOKUP($GH$1,'Datos Iniciales'!$E$34:$O$64,GM$158,FALSE())*GM75</f>
        <v>0</v>
      </c>
      <c r="GN173" s="196" t="n">
        <f aca="false">VLOOKUP($GH$1,'Datos Iniciales'!$E$34:$O$64,GN$158,FALSE())*GN75</f>
        <v>0</v>
      </c>
      <c r="GO173" s="196" t="n">
        <f aca="false">VLOOKUP($GH$1,'Datos Iniciales'!$E$34:$O$64,GO$158,FALSE())*GO75</f>
        <v>0</v>
      </c>
      <c r="GP173" s="196" t="n">
        <f aca="false">VLOOKUP($GH$1,'Datos Iniciales'!$E$34:$O$64,GP$158,FALSE())*GP75</f>
        <v>0</v>
      </c>
      <c r="GQ173" s="196" t="n">
        <f aca="false">VLOOKUP($GH$1,'Datos Iniciales'!$E$34:$O$64,GQ$158,FALSE())*GQ75</f>
        <v>0</v>
      </c>
      <c r="GR173" s="197" t="n">
        <f aca="false">VLOOKUP($GH$1,'Datos Iniciales'!$E$34:$O$64,GR$158,FALSE())*GR75</f>
        <v>0</v>
      </c>
      <c r="GS173" s="194" t="str">
        <f aca="false">GH173</f>
        <v>Alumno14</v>
      </c>
      <c r="GT173" s="208" t="n">
        <f aca="false">VLOOKUP($GS$1,'Datos Iniciales'!$E$34:$O$64,GT$158,FALSE())*GT75</f>
        <v>0</v>
      </c>
      <c r="GU173" s="196" t="n">
        <f aca="false">VLOOKUP($GS$1,'Datos Iniciales'!$E$34:$O$64,GU$158,FALSE())*GU75</f>
        <v>0</v>
      </c>
      <c r="GV173" s="196" t="n">
        <f aca="false">VLOOKUP($GS$1,'Datos Iniciales'!$E$34:$O$64,GV$158,FALSE())*GV75</f>
        <v>0</v>
      </c>
      <c r="GW173" s="196" t="n">
        <f aca="false">VLOOKUP($GS$1,'Datos Iniciales'!$E$34:$O$64,GW$158,FALSE())*GW75</f>
        <v>0</v>
      </c>
      <c r="GX173" s="196" t="n">
        <f aca="false">VLOOKUP($GS$1,'Datos Iniciales'!$E$34:$O$64,GX$158,FALSE())*GX75</f>
        <v>0</v>
      </c>
      <c r="GY173" s="196" t="n">
        <f aca="false">VLOOKUP($GS$1,'Datos Iniciales'!$E$34:$O$64,GY$158,FALSE())*GY75</f>
        <v>0</v>
      </c>
      <c r="GZ173" s="196" t="n">
        <f aca="false">VLOOKUP($GS$1,'Datos Iniciales'!$E$34:$O$64,GZ$158,FALSE())*GZ75</f>
        <v>0</v>
      </c>
      <c r="HA173" s="196" t="n">
        <f aca="false">VLOOKUP($GS$1,'Datos Iniciales'!$E$34:$O$64,HA$158,FALSE())*HA75</f>
        <v>0</v>
      </c>
      <c r="HB173" s="196" t="n">
        <f aca="false">VLOOKUP($GS$1,'Datos Iniciales'!$E$34:$O$64,HB$158,FALSE())*HB75</f>
        <v>0</v>
      </c>
      <c r="HC173" s="197" t="n">
        <f aca="false">VLOOKUP($GS$1,'Datos Iniciales'!$E$34:$O$64,HC$158,FALSE())*HC75</f>
        <v>0</v>
      </c>
      <c r="HD173" s="194" t="str">
        <f aca="false">GS173</f>
        <v>Alumno14</v>
      </c>
      <c r="HE173" s="208" t="n">
        <f aca="false">VLOOKUP($HD$1,'Datos Iniciales'!$E$34:$O$64,HE$158,FALSE())*HE75</f>
        <v>0</v>
      </c>
      <c r="HF173" s="196" t="n">
        <f aca="false">VLOOKUP($HD$1,'Datos Iniciales'!$E$34:$O$64,HF$158,FALSE())*HF75</f>
        <v>0</v>
      </c>
      <c r="HG173" s="196" t="n">
        <f aca="false">VLOOKUP($HD$1,'Datos Iniciales'!$E$34:$O$64,HG$158,FALSE())*HG75</f>
        <v>0</v>
      </c>
      <c r="HH173" s="196" t="n">
        <f aca="false">VLOOKUP($HD$1,'Datos Iniciales'!$E$34:$O$64,HH$158,FALSE())*HH75</f>
        <v>0</v>
      </c>
      <c r="HI173" s="196" t="n">
        <f aca="false">VLOOKUP($HD$1,'Datos Iniciales'!$E$34:$O$64,HI$158,FALSE())*HI75</f>
        <v>0</v>
      </c>
      <c r="HJ173" s="196" t="n">
        <f aca="false">VLOOKUP($HD$1,'Datos Iniciales'!$E$34:$O$64,HJ$158,FALSE())*HJ75</f>
        <v>0</v>
      </c>
      <c r="HK173" s="196" t="n">
        <f aca="false">VLOOKUP($HD$1,'Datos Iniciales'!$E$34:$O$64,HK$158,FALSE())*HK75</f>
        <v>0</v>
      </c>
      <c r="HL173" s="196" t="n">
        <f aca="false">VLOOKUP($HD$1,'Datos Iniciales'!$E$34:$O$64,HL$158,FALSE())*HL75</f>
        <v>0</v>
      </c>
      <c r="HM173" s="196" t="n">
        <f aca="false">VLOOKUP($HD$1,'Datos Iniciales'!$E$34:$O$64,HM$158,FALSE())*HM75</f>
        <v>0</v>
      </c>
      <c r="HN173" s="197" t="n">
        <f aca="false">VLOOKUP($HD$1,'Datos Iniciales'!$E$34:$O$64,HN$158,FALSE())*HN75</f>
        <v>0</v>
      </c>
      <c r="HO173" s="194" t="str">
        <f aca="false">HD173</f>
        <v>Alumno14</v>
      </c>
      <c r="HP173" s="208" t="n">
        <f aca="false">VLOOKUP($HO$1,'Datos Iniciales'!$E$34:$O$64,HP$158,FALSE())*HP75</f>
        <v>0</v>
      </c>
      <c r="HQ173" s="196" t="n">
        <f aca="false">VLOOKUP($HO$1,'Datos Iniciales'!$E$34:$O$64,HQ$158,FALSE())*HQ75</f>
        <v>0</v>
      </c>
      <c r="HR173" s="196" t="n">
        <f aca="false">VLOOKUP($HO$1,'Datos Iniciales'!$E$34:$O$64,HR$158,FALSE())*HR75</f>
        <v>0</v>
      </c>
      <c r="HS173" s="196" t="n">
        <f aca="false">VLOOKUP($HO$1,'Datos Iniciales'!$E$34:$O$64,HS$158,FALSE())*HS75</f>
        <v>0</v>
      </c>
      <c r="HT173" s="196" t="n">
        <f aca="false">VLOOKUP($HO$1,'Datos Iniciales'!$E$34:$O$64,HT$158,FALSE())*HT75</f>
        <v>0</v>
      </c>
      <c r="HU173" s="196" t="n">
        <f aca="false">VLOOKUP($HO$1,'Datos Iniciales'!$E$34:$O$64,HU$158,FALSE())*HU75</f>
        <v>0</v>
      </c>
      <c r="HV173" s="196" t="n">
        <f aca="false">VLOOKUP($HO$1,'Datos Iniciales'!$E$34:$O$64,HV$158,FALSE())*HV75</f>
        <v>0</v>
      </c>
      <c r="HW173" s="196" t="n">
        <f aca="false">VLOOKUP($HO$1,'Datos Iniciales'!$E$34:$O$64,HW$158,FALSE())*HW75</f>
        <v>0</v>
      </c>
      <c r="HX173" s="196" t="n">
        <f aca="false">VLOOKUP($HO$1,'Datos Iniciales'!$E$34:$O$64,HX$158,FALSE())*HX75</f>
        <v>0</v>
      </c>
      <c r="HY173" s="197" t="n">
        <f aca="false">VLOOKUP($HO$1,'Datos Iniciales'!$E$34:$O$64,HY$158,FALSE())*HY75</f>
        <v>0</v>
      </c>
      <c r="HZ173" s="194" t="str">
        <f aca="false">HO173</f>
        <v>Alumno14</v>
      </c>
      <c r="IA173" s="208" t="n">
        <f aca="false">VLOOKUP($HZ$1,'Datos Iniciales'!$E$34:$O$64,IA$158,FALSE())*IA75</f>
        <v>0</v>
      </c>
      <c r="IB173" s="196" t="n">
        <f aca="false">VLOOKUP($HZ$1,'Datos Iniciales'!$E$34:$O$64,IB$158,FALSE())*IB75</f>
        <v>0</v>
      </c>
      <c r="IC173" s="196" t="n">
        <f aca="false">VLOOKUP($HZ$1,'Datos Iniciales'!$E$34:$O$64,IC$158,FALSE())*IC75</f>
        <v>0</v>
      </c>
      <c r="ID173" s="196" t="n">
        <f aca="false">VLOOKUP($HZ$1,'Datos Iniciales'!$E$34:$O$64,ID$158,FALSE())*ID75</f>
        <v>0</v>
      </c>
      <c r="IE173" s="196" t="n">
        <f aca="false">VLOOKUP($HZ$1,'Datos Iniciales'!$E$34:$O$64,IE$158,FALSE())*IE75</f>
        <v>0</v>
      </c>
      <c r="IF173" s="196" t="n">
        <f aca="false">VLOOKUP($HZ$1,'Datos Iniciales'!$E$34:$O$64,IF$158,FALSE())*IF75</f>
        <v>0</v>
      </c>
      <c r="IG173" s="196" t="n">
        <f aca="false">VLOOKUP($HZ$1,'Datos Iniciales'!$E$34:$O$64,IG$158,FALSE())*IG75</f>
        <v>0</v>
      </c>
      <c r="IH173" s="196" t="n">
        <f aca="false">VLOOKUP($HZ$1,'Datos Iniciales'!$E$34:$O$64,IH$158,FALSE())*IH75</f>
        <v>0</v>
      </c>
      <c r="II173" s="196" t="n">
        <f aca="false">VLOOKUP($HZ$1,'Datos Iniciales'!$E$34:$O$64,II$158,FALSE())*II75</f>
        <v>0</v>
      </c>
      <c r="IJ173" s="197" t="n">
        <f aca="false">VLOOKUP($HZ$1,'Datos Iniciales'!$E$34:$O$64,IJ$158,FALSE())*IJ75</f>
        <v>0</v>
      </c>
      <c r="IK173" s="194" t="str">
        <f aca="false">HZ173</f>
        <v>Alumno14</v>
      </c>
      <c r="IL173" s="208" t="n">
        <f aca="false">VLOOKUP($IK$1,'Datos Iniciales'!$E$34:$O$64,IL$158,FALSE())*IL75</f>
        <v>0</v>
      </c>
      <c r="IM173" s="196" t="n">
        <f aca="false">VLOOKUP($IK$1,'Datos Iniciales'!$E$34:$O$64,IM$158,FALSE())*IM75</f>
        <v>0</v>
      </c>
      <c r="IN173" s="196" t="n">
        <f aca="false">VLOOKUP($IK$1,'Datos Iniciales'!$E$34:$O$64,IN$158,FALSE())*IN75</f>
        <v>0</v>
      </c>
      <c r="IO173" s="196" t="n">
        <f aca="false">VLOOKUP($IK$1,'Datos Iniciales'!$E$34:$O$64,IO$158,FALSE())*IO75</f>
        <v>0</v>
      </c>
      <c r="IP173" s="196" t="n">
        <f aca="false">VLOOKUP($IK$1,'Datos Iniciales'!$E$34:$O$64,IP$158,FALSE())*IP75</f>
        <v>0</v>
      </c>
      <c r="IQ173" s="196" t="n">
        <f aca="false">VLOOKUP($IK$1,'Datos Iniciales'!$E$34:$O$64,IQ$158,FALSE())*IQ75</f>
        <v>0</v>
      </c>
      <c r="IR173" s="196" t="n">
        <f aca="false">VLOOKUP($IK$1,'Datos Iniciales'!$E$34:$O$64,IR$158,FALSE())*IR75</f>
        <v>0</v>
      </c>
      <c r="IS173" s="196" t="n">
        <f aca="false">VLOOKUP($IK$1,'Datos Iniciales'!$E$34:$O$64,IS$158,FALSE())*IS75</f>
        <v>0</v>
      </c>
      <c r="IT173" s="196" t="n">
        <f aca="false">VLOOKUP($IK$1,'Datos Iniciales'!$E$34:$O$64,IT$158,FALSE())*IT75</f>
        <v>0</v>
      </c>
      <c r="IU173" s="197" t="n">
        <f aca="false">VLOOKUP($IK$1,'Datos Iniciales'!$E$34:$O$64,IU$158,FALSE())*IU75</f>
        <v>0</v>
      </c>
      <c r="IV173" s="194" t="str">
        <f aca="false">IK173</f>
        <v>Alumno14</v>
      </c>
      <c r="IW173" s="208" t="n">
        <f aca="false">VLOOKUP($IV$1,'Datos Iniciales'!$E$34:$O$64,IW$158,FALSE())*IW75</f>
        <v>0</v>
      </c>
      <c r="IX173" s="196" t="n">
        <f aca="false">VLOOKUP($IV$1,'Datos Iniciales'!$E$34:$O$64,IX$158,FALSE())*IX75</f>
        <v>0</v>
      </c>
      <c r="IY173" s="196" t="n">
        <f aca="false">VLOOKUP($IV$1,'Datos Iniciales'!$E$34:$O$64,IY$158,FALSE())*IY75</f>
        <v>0</v>
      </c>
      <c r="IZ173" s="196" t="n">
        <f aca="false">VLOOKUP($IV$1,'Datos Iniciales'!$E$34:$O$64,IZ$158,FALSE())*IZ75</f>
        <v>0</v>
      </c>
      <c r="JA173" s="196" t="n">
        <f aca="false">VLOOKUP($IV$1,'Datos Iniciales'!$E$34:$O$64,JA$158,FALSE())*JA75</f>
        <v>0</v>
      </c>
      <c r="JB173" s="196" t="n">
        <f aca="false">VLOOKUP($IV$1,'Datos Iniciales'!$E$34:$O$64,JB$158,FALSE())*JB75</f>
        <v>0</v>
      </c>
      <c r="JC173" s="196" t="n">
        <f aca="false">VLOOKUP($IV$1,'Datos Iniciales'!$E$34:$O$64,JC$158,FALSE())*JC75</f>
        <v>0</v>
      </c>
      <c r="JD173" s="196" t="n">
        <f aca="false">VLOOKUP($IV$1,'Datos Iniciales'!$E$34:$O$64,JD$158,FALSE())*JD75</f>
        <v>0</v>
      </c>
      <c r="JE173" s="196" t="n">
        <f aca="false">VLOOKUP($IV$1,'Datos Iniciales'!$E$34:$O$64,JE$158,FALSE())*JE75</f>
        <v>0</v>
      </c>
      <c r="JF173" s="197" t="n">
        <f aca="false">VLOOKUP($IV$1,'Datos Iniciales'!$E$34:$O$64,JF$158,FALSE())*JF75</f>
        <v>0</v>
      </c>
      <c r="JG173" s="194" t="str">
        <f aca="false">IV173</f>
        <v>Alumno14</v>
      </c>
      <c r="JH173" s="208" t="n">
        <f aca="false">VLOOKUP($JG$1,'Datos Iniciales'!$E$34:$O$64,JH$158,FALSE())*JH75</f>
        <v>0</v>
      </c>
      <c r="JI173" s="196" t="n">
        <f aca="false">VLOOKUP($JG$1,'Datos Iniciales'!$E$34:$O$64,JI$158,FALSE())*JI75</f>
        <v>0</v>
      </c>
      <c r="JJ173" s="196" t="n">
        <f aca="false">VLOOKUP($JG$1,'Datos Iniciales'!$E$34:$O$64,JJ$158,FALSE())*JJ75</f>
        <v>0</v>
      </c>
      <c r="JK173" s="196" t="n">
        <f aca="false">VLOOKUP($JG$1,'Datos Iniciales'!$E$34:$O$64,JK$158,FALSE())*JK75</f>
        <v>0</v>
      </c>
      <c r="JL173" s="196" t="n">
        <f aca="false">VLOOKUP($JG$1,'Datos Iniciales'!$E$34:$O$64,JL$158,FALSE())*JL75</f>
        <v>0</v>
      </c>
      <c r="JM173" s="196" t="n">
        <f aca="false">VLOOKUP($JG$1,'Datos Iniciales'!$E$34:$O$64,JM$158,FALSE())*JM75</f>
        <v>0</v>
      </c>
      <c r="JN173" s="196" t="n">
        <f aca="false">VLOOKUP($JG$1,'Datos Iniciales'!$E$34:$O$64,JN$158,FALSE())*JN75</f>
        <v>0</v>
      </c>
      <c r="JO173" s="196" t="n">
        <f aca="false">VLOOKUP($JG$1,'Datos Iniciales'!$E$34:$O$64,JO$158,FALSE())*JO75</f>
        <v>0</v>
      </c>
      <c r="JP173" s="196" t="n">
        <f aca="false">VLOOKUP($JG$1,'Datos Iniciales'!$E$34:$O$64,JP$158,FALSE())*JP75</f>
        <v>0</v>
      </c>
      <c r="JQ173" s="197" t="n">
        <f aca="false">VLOOKUP($JG$1,'Datos Iniciales'!$E$34:$O$64,JQ$158,FALSE())*JQ75</f>
        <v>0</v>
      </c>
      <c r="JR173" s="194" t="str">
        <f aca="false">JG173</f>
        <v>Alumno14</v>
      </c>
      <c r="JS173" s="208" t="n">
        <f aca="false">VLOOKUP($JR$1,'Datos Iniciales'!$E$34:$O$64,JS$158,FALSE())*JS75</f>
        <v>0</v>
      </c>
      <c r="JT173" s="196" t="n">
        <f aca="false">VLOOKUP($JR$1,'Datos Iniciales'!$E$34:$O$64,JT$158,FALSE())*JT75</f>
        <v>0</v>
      </c>
      <c r="JU173" s="196" t="n">
        <f aca="false">VLOOKUP($JR$1,'Datos Iniciales'!$E$34:$O$64,JU$158,FALSE())*JU75</f>
        <v>0</v>
      </c>
      <c r="JV173" s="196" t="n">
        <f aca="false">VLOOKUP($JR$1,'Datos Iniciales'!$E$34:$O$64,JV$158,FALSE())*JV75</f>
        <v>0</v>
      </c>
      <c r="JW173" s="196" t="n">
        <f aca="false">VLOOKUP($JR$1,'Datos Iniciales'!$E$34:$O$64,JW$158,FALSE())*JW75</f>
        <v>0</v>
      </c>
      <c r="JX173" s="196" t="n">
        <f aca="false">VLOOKUP($JR$1,'Datos Iniciales'!$E$34:$O$64,JX$158,FALSE())*JX75</f>
        <v>0</v>
      </c>
      <c r="JY173" s="196" t="n">
        <f aca="false">VLOOKUP($JR$1,'Datos Iniciales'!$E$34:$O$64,JY$158,FALSE())*JY75</f>
        <v>0</v>
      </c>
      <c r="JZ173" s="196" t="n">
        <f aca="false">VLOOKUP($JR$1,'Datos Iniciales'!$E$34:$O$64,JZ$158,FALSE())*JZ75</f>
        <v>0</v>
      </c>
      <c r="KA173" s="196" t="n">
        <f aca="false">VLOOKUP($JR$1,'Datos Iniciales'!$E$34:$O$64,KA$158,FALSE())*KA75</f>
        <v>0</v>
      </c>
      <c r="KB173" s="197" t="n">
        <f aca="false">VLOOKUP($JR$1,'Datos Iniciales'!$E$34:$O$64,KB$158,FALSE())*KB75</f>
        <v>0</v>
      </c>
      <c r="KC173" s="194" t="str">
        <f aca="false">JR173</f>
        <v>Alumno14</v>
      </c>
      <c r="KD173" s="208" t="n">
        <f aca="false">VLOOKUP($KC$1,'Datos Iniciales'!$E$34:$O$64,KD$158,FALSE())*KD75</f>
        <v>0</v>
      </c>
      <c r="KE173" s="196" t="n">
        <f aca="false">VLOOKUP($KC$1,'Datos Iniciales'!$E$34:$O$64,KE$158,FALSE())*KE75</f>
        <v>0</v>
      </c>
      <c r="KF173" s="196" t="n">
        <f aca="false">VLOOKUP($KC$1,'Datos Iniciales'!$E$34:$O$64,KF$158,FALSE())*KF75</f>
        <v>0</v>
      </c>
      <c r="KG173" s="196" t="n">
        <f aca="false">VLOOKUP($KC$1,'Datos Iniciales'!$E$34:$O$64,KG$158,FALSE())*KG75</f>
        <v>0</v>
      </c>
      <c r="KH173" s="196" t="n">
        <f aca="false">VLOOKUP($KC$1,'Datos Iniciales'!$E$34:$O$64,KH$158,FALSE())*KH75</f>
        <v>0</v>
      </c>
      <c r="KI173" s="196" t="n">
        <f aca="false">VLOOKUP($KC$1,'Datos Iniciales'!$E$34:$O$64,KI$158,FALSE())*KI75</f>
        <v>0</v>
      </c>
      <c r="KJ173" s="196" t="n">
        <f aca="false">VLOOKUP($KC$1,'Datos Iniciales'!$E$34:$O$64,KJ$158,FALSE())*KJ75</f>
        <v>0</v>
      </c>
      <c r="KK173" s="196" t="n">
        <f aca="false">VLOOKUP($KC$1,'Datos Iniciales'!$E$34:$O$64,KK$158,FALSE())*KK75</f>
        <v>0</v>
      </c>
      <c r="KL173" s="196" t="n">
        <f aca="false">VLOOKUP($KC$1,'Datos Iniciales'!$E$34:$O$64,KL$158,FALSE())*KL75</f>
        <v>0</v>
      </c>
      <c r="KM173" s="197" t="n">
        <f aca="false">VLOOKUP($KC$1,'Datos Iniciales'!$E$34:$O$64,KM$158,FALSE())*KM75</f>
        <v>0</v>
      </c>
      <c r="KN173" s="194" t="str">
        <f aca="false">KC173</f>
        <v>Alumno14</v>
      </c>
      <c r="KO173" s="208" t="n">
        <f aca="false">VLOOKUP($KN$1,'Datos Iniciales'!$E$34:$O$64,KO$158,FALSE())*KO75</f>
        <v>0</v>
      </c>
      <c r="KP173" s="196" t="n">
        <f aca="false">VLOOKUP($KN$1,'Datos Iniciales'!$E$34:$O$64,KP$158,FALSE())*KP75</f>
        <v>0</v>
      </c>
      <c r="KQ173" s="196" t="n">
        <f aca="false">VLOOKUP($KN$1,'Datos Iniciales'!$E$34:$O$64,KQ$158,FALSE())*KQ75</f>
        <v>0</v>
      </c>
      <c r="KR173" s="196" t="n">
        <f aca="false">VLOOKUP($KN$1,'Datos Iniciales'!$E$34:$O$64,KR$158,FALSE())*KR75</f>
        <v>0</v>
      </c>
      <c r="KS173" s="196" t="n">
        <f aca="false">VLOOKUP($KN$1,'Datos Iniciales'!$E$34:$O$64,KS$158,FALSE())*KS75</f>
        <v>0</v>
      </c>
      <c r="KT173" s="196" t="n">
        <f aca="false">VLOOKUP($KN$1,'Datos Iniciales'!$E$34:$O$64,KT$158,FALSE())*KT75</f>
        <v>0</v>
      </c>
      <c r="KU173" s="196" t="n">
        <f aca="false">VLOOKUP($KN$1,'Datos Iniciales'!$E$34:$O$64,KU$158,FALSE())*KU75</f>
        <v>0</v>
      </c>
      <c r="KV173" s="196" t="n">
        <f aca="false">VLOOKUP($KN$1,'Datos Iniciales'!$E$34:$O$64,KV$158,FALSE())*KV75</f>
        <v>0</v>
      </c>
      <c r="KW173" s="196" t="n">
        <f aca="false">VLOOKUP($KN$1,'Datos Iniciales'!$E$34:$O$64,KW$158,FALSE())*KW75</f>
        <v>0</v>
      </c>
      <c r="KX173" s="197" t="n">
        <f aca="false">VLOOKUP($KN$1,'Datos Iniciales'!$E$34:$O$64,KX$158,FALSE())*KX75</f>
        <v>0</v>
      </c>
      <c r="KY173" s="194" t="str">
        <f aca="false">KN173</f>
        <v>Alumno14</v>
      </c>
      <c r="KZ173" s="208" t="n">
        <f aca="false">VLOOKUP($KY$1,'Datos Iniciales'!$E$34:$O$64,KZ$158,FALSE())*KZ75</f>
        <v>0</v>
      </c>
      <c r="LA173" s="196" t="n">
        <f aca="false">VLOOKUP($KY$1,'Datos Iniciales'!$E$34:$O$64,LA$158,FALSE())*LA75</f>
        <v>0</v>
      </c>
      <c r="LB173" s="196" t="n">
        <f aca="false">VLOOKUP($KY$1,'Datos Iniciales'!$E$34:$O$64,LB$158,FALSE())*LB75</f>
        <v>0</v>
      </c>
      <c r="LC173" s="196" t="n">
        <f aca="false">VLOOKUP($KY$1,'Datos Iniciales'!$E$34:$O$64,LC$158,FALSE())*LC75</f>
        <v>0</v>
      </c>
      <c r="LD173" s="196" t="n">
        <f aca="false">VLOOKUP($KY$1,'Datos Iniciales'!$E$34:$O$64,LD$158,FALSE())*LD75</f>
        <v>0</v>
      </c>
      <c r="LE173" s="196" t="n">
        <f aca="false">VLOOKUP($KY$1,'Datos Iniciales'!$E$34:$O$64,LE$158,FALSE())*LE75</f>
        <v>0</v>
      </c>
      <c r="LF173" s="196" t="n">
        <f aca="false">VLOOKUP($KY$1,'Datos Iniciales'!$E$34:$O$64,LF$158,FALSE())*LF75</f>
        <v>0</v>
      </c>
      <c r="LG173" s="196" t="n">
        <f aca="false">VLOOKUP($KY$1,'Datos Iniciales'!$E$34:$O$64,LG$158,FALSE())*LG75</f>
        <v>0</v>
      </c>
      <c r="LH173" s="196" t="n">
        <f aca="false">VLOOKUP($KY$1,'Datos Iniciales'!$E$34:$O$64,LH$158,FALSE())*LH75</f>
        <v>0</v>
      </c>
      <c r="LI173" s="197" t="n">
        <f aca="false">VLOOKUP($KY$1,'Datos Iniciales'!$E$34:$O$64,LI$158,FALSE())*LI75</f>
        <v>0</v>
      </c>
      <c r="LJ173" s="194" t="str">
        <f aca="false">KY173</f>
        <v>Alumno14</v>
      </c>
      <c r="LK173" s="208" t="n">
        <f aca="false">VLOOKUP($LJ$1,'Datos Iniciales'!$E$34:$O$64,LK$158,FALSE())*LK75</f>
        <v>0</v>
      </c>
      <c r="LL173" s="196" t="n">
        <f aca="false">VLOOKUP($LJ$1,'Datos Iniciales'!$E$34:$O$64,LL$158,FALSE())*LL75</f>
        <v>0</v>
      </c>
      <c r="LM173" s="196" t="n">
        <f aca="false">VLOOKUP($LJ$1,'Datos Iniciales'!$E$34:$O$64,LM$158,FALSE())*LM75</f>
        <v>0</v>
      </c>
      <c r="LN173" s="196" t="n">
        <f aca="false">VLOOKUP($LJ$1,'Datos Iniciales'!$E$34:$O$64,LN$158,FALSE())*LN75</f>
        <v>0</v>
      </c>
      <c r="LO173" s="196" t="n">
        <f aca="false">VLOOKUP($LJ$1,'Datos Iniciales'!$E$34:$O$64,LO$158,FALSE())*LO75</f>
        <v>0</v>
      </c>
      <c r="LP173" s="196" t="n">
        <f aca="false">VLOOKUP($LJ$1,'Datos Iniciales'!$E$34:$O$64,LP$158,FALSE())*LP75</f>
        <v>0</v>
      </c>
      <c r="LQ173" s="196" t="n">
        <f aca="false">VLOOKUP($LJ$1,'Datos Iniciales'!$E$34:$O$64,LQ$158,FALSE())*LQ75</f>
        <v>0</v>
      </c>
      <c r="LR173" s="196" t="n">
        <f aca="false">VLOOKUP($LJ$1,'Datos Iniciales'!$E$34:$O$64,LR$158,FALSE())*LR75</f>
        <v>0</v>
      </c>
      <c r="LS173" s="196" t="n">
        <f aca="false">VLOOKUP($LJ$1,'Datos Iniciales'!$E$34:$O$64,LS$158,FALSE())*LS75</f>
        <v>0</v>
      </c>
      <c r="LT173" s="197" t="n">
        <f aca="false">VLOOKUP($LJ$1,'Datos Iniciales'!$E$34:$O$64,LT$158,FALSE())*LT75</f>
        <v>0</v>
      </c>
    </row>
    <row r="174" customFormat="false" ht="15" hidden="true" customHeight="false" outlineLevel="0" collapsed="false">
      <c r="C174" s="194" t="str">
        <f aca="false">C125</f>
        <v>Alumno15</v>
      </c>
      <c r="D174" s="208" t="n">
        <f aca="false">VLOOKUP($C$1,'Datos Iniciales'!$E$34:$O$64,D$158,FALSE())*D76</f>
        <v>0.8375</v>
      </c>
      <c r="E174" s="196" t="n">
        <f aca="false">VLOOKUP($C$1,'Datos Iniciales'!$E$34:$O$64,E$158,FALSE())*E76</f>
        <v>0</v>
      </c>
      <c r="F174" s="196" t="n">
        <f aca="false">VLOOKUP($C$1,'Datos Iniciales'!$E$34:$O$64,F$158,FALSE())*F76</f>
        <v>0</v>
      </c>
      <c r="G174" s="196" t="n">
        <f aca="false">VLOOKUP($C$1,'Datos Iniciales'!$E$34:$O$64,G$158,FALSE())*G76</f>
        <v>0</v>
      </c>
      <c r="H174" s="196" t="n">
        <f aca="false">VLOOKUP($C$1,'Datos Iniciales'!$E$34:$O$64,H$158,FALSE())*H76</f>
        <v>0</v>
      </c>
      <c r="I174" s="196" t="n">
        <f aca="false">VLOOKUP($C$1,'Datos Iniciales'!$E$34:$O$64,I$158,FALSE())*I76</f>
        <v>0</v>
      </c>
      <c r="J174" s="196" t="n">
        <f aca="false">VLOOKUP($C$1,'Datos Iniciales'!$E$34:$O$64,J$158,FALSE())*J76</f>
        <v>0</v>
      </c>
      <c r="K174" s="196" t="n">
        <f aca="false">VLOOKUP($C$1,'Datos Iniciales'!$E$34:$O$64,K$158,FALSE())*K76</f>
        <v>0</v>
      </c>
      <c r="L174" s="196" t="n">
        <f aca="false">VLOOKUP($C$1,'Datos Iniciales'!$E$34:$O$64,L$158,FALSE())*L76</f>
        <v>0</v>
      </c>
      <c r="M174" s="197" t="n">
        <f aca="false">VLOOKUP($C$1,'Datos Iniciales'!$E$34:$O$64,M$158,FALSE())*M76</f>
        <v>0</v>
      </c>
      <c r="N174" s="194" t="str">
        <f aca="false">C174</f>
        <v>Alumno15</v>
      </c>
      <c r="O174" s="208" t="n">
        <f aca="false">VLOOKUP($N$1,'Datos Iniciales'!$E$34:$O$64,O$158,FALSE())*O76</f>
        <v>0.75</v>
      </c>
      <c r="P174" s="196" t="n">
        <f aca="false">VLOOKUP($N$1,'Datos Iniciales'!$E$34:$O$64,P$158,FALSE())*P76</f>
        <v>0.4</v>
      </c>
      <c r="Q174" s="196" t="n">
        <f aca="false">VLOOKUP($N$1,'Datos Iniciales'!$E$34:$O$64,Q$158,FALSE())*Q76</f>
        <v>0</v>
      </c>
      <c r="R174" s="196" t="n">
        <f aca="false">VLOOKUP($N$1,'Datos Iniciales'!$E$34:$O$64,R$158,FALSE())*R76</f>
        <v>0</v>
      </c>
      <c r="S174" s="196" t="n">
        <f aca="false">VLOOKUP($N$1,'Datos Iniciales'!$E$34:$O$64,S$158,FALSE())*S76</f>
        <v>0</v>
      </c>
      <c r="T174" s="196" t="n">
        <f aca="false">VLOOKUP($N$1,'Datos Iniciales'!$E$34:$O$64,T$158,FALSE())*T76</f>
        <v>0</v>
      </c>
      <c r="U174" s="196" t="n">
        <f aca="false">VLOOKUP($N$1,'Datos Iniciales'!$E$34:$O$64,U$158,FALSE())*U76</f>
        <v>0</v>
      </c>
      <c r="V174" s="196" t="n">
        <f aca="false">VLOOKUP($N$1,'Datos Iniciales'!$E$34:$O$64,V$158,FALSE())*V76</f>
        <v>0</v>
      </c>
      <c r="W174" s="196" t="n">
        <f aca="false">VLOOKUP($N$1,'Datos Iniciales'!$E$34:$O$64,W$158,FALSE())*W76</f>
        <v>0</v>
      </c>
      <c r="X174" s="197" t="n">
        <f aca="false">VLOOKUP($N$1,'Datos Iniciales'!$E$34:$O$64,X$158,FALSE())*X76</f>
        <v>0</v>
      </c>
      <c r="Y174" s="194" t="str">
        <f aca="false">N174</f>
        <v>Alumno15</v>
      </c>
      <c r="Z174" s="208" t="n">
        <f aca="false">VLOOKUP($Y$1,'Datos Iniciales'!$E$34:$O$64,Z$158,FALSE())*Z76</f>
        <v>1.95</v>
      </c>
      <c r="AA174" s="196" t="n">
        <f aca="false">VLOOKUP($Y$1,'Datos Iniciales'!$E$34:$O$64,AA$158,FALSE())*AA76</f>
        <v>1.1</v>
      </c>
      <c r="AB174" s="196" t="n">
        <f aca="false">VLOOKUP($Y$1,'Datos Iniciales'!$E$34:$O$64,AB$158,FALSE())*AB76</f>
        <v>0.9</v>
      </c>
      <c r="AC174" s="196" t="n">
        <f aca="false">VLOOKUP($Y$1,'Datos Iniciales'!$E$34:$O$64,AC$158,FALSE())*AC76</f>
        <v>0</v>
      </c>
      <c r="AD174" s="196" t="n">
        <f aca="false">VLOOKUP($Y$1,'Datos Iniciales'!$E$34:$O$64,AD$158,FALSE())*AD76</f>
        <v>0</v>
      </c>
      <c r="AE174" s="196" t="n">
        <f aca="false">VLOOKUP($Y$1,'Datos Iniciales'!$E$34:$O$64,AE$158,FALSE())*AE76</f>
        <v>0</v>
      </c>
      <c r="AF174" s="196" t="n">
        <f aca="false">VLOOKUP($Y$1,'Datos Iniciales'!$E$34:$O$64,AF$158,FALSE())*AF76</f>
        <v>0</v>
      </c>
      <c r="AG174" s="196" t="n">
        <f aca="false">VLOOKUP($Y$1,'Datos Iniciales'!$E$34:$O$64,AG$158,FALSE())*AG76</f>
        <v>0</v>
      </c>
      <c r="AH174" s="196" t="n">
        <f aca="false">VLOOKUP($Y$1,'Datos Iniciales'!$E$34:$O$64,AH$158,FALSE())*AH76</f>
        <v>0</v>
      </c>
      <c r="AI174" s="197" t="n">
        <f aca="false">VLOOKUP($Y$1,'Datos Iniciales'!$E$34:$O$64,AI$158,FALSE())*AI76</f>
        <v>0</v>
      </c>
      <c r="AJ174" s="194" t="str">
        <f aca="false">Y174</f>
        <v>Alumno15</v>
      </c>
      <c r="AK174" s="208" t="n">
        <f aca="false">VLOOKUP($AJ$1,'Datos Iniciales'!$E$34:$O$64,AK$158,FALSE())*AK76</f>
        <v>0.8</v>
      </c>
      <c r="AL174" s="196" t="n">
        <f aca="false">VLOOKUP($AJ$1,'Datos Iniciales'!$E$34:$O$64,AL$158,FALSE())*AL76</f>
        <v>2.1</v>
      </c>
      <c r="AM174" s="196" t="n">
        <f aca="false">VLOOKUP($AJ$1,'Datos Iniciales'!$E$34:$O$64,AM$158,FALSE())*AM76</f>
        <v>1.925</v>
      </c>
      <c r="AN174" s="196" t="n">
        <f aca="false">VLOOKUP($AJ$1,'Datos Iniciales'!$E$34:$O$64,AN$158,FALSE())*AN76</f>
        <v>0</v>
      </c>
      <c r="AO174" s="196" t="n">
        <f aca="false">VLOOKUP($AJ$1,'Datos Iniciales'!$E$34:$O$64,AO$158,FALSE())*AO76</f>
        <v>0</v>
      </c>
      <c r="AP174" s="196" t="n">
        <f aca="false">VLOOKUP($AJ$1,'Datos Iniciales'!$E$34:$O$64,AP$158,FALSE())*AP76</f>
        <v>0</v>
      </c>
      <c r="AQ174" s="196" t="n">
        <f aca="false">VLOOKUP($AJ$1,'Datos Iniciales'!$E$34:$O$64,AQ$158,FALSE())*AQ76</f>
        <v>0</v>
      </c>
      <c r="AR174" s="196" t="n">
        <f aca="false">VLOOKUP($AJ$1,'Datos Iniciales'!$E$34:$O$64,AR$158,FALSE())*AR76</f>
        <v>0</v>
      </c>
      <c r="AS174" s="196" t="n">
        <f aca="false">VLOOKUP($AJ$1,'Datos Iniciales'!$E$34:$O$64,AS$158,FALSE())*AS76</f>
        <v>0</v>
      </c>
      <c r="AT174" s="197" t="n">
        <f aca="false">VLOOKUP($AJ$1,'Datos Iniciales'!$E$34:$O$64,AT$158,FALSE())*AT76</f>
        <v>0</v>
      </c>
      <c r="AU174" s="194" t="str">
        <f aca="false">AJ174</f>
        <v>Alumno15</v>
      </c>
      <c r="AV174" s="208" t="n">
        <f aca="false">VLOOKUP($AU$1,'Datos Iniciales'!$E$34:$O$64,AV$158,FALSE())*AV76</f>
        <v>0.15</v>
      </c>
      <c r="AW174" s="196" t="n">
        <f aca="false">VLOOKUP($AU$1,'Datos Iniciales'!$E$34:$O$64,AW$158,FALSE())*AW76</f>
        <v>0.3</v>
      </c>
      <c r="AX174" s="196" t="n">
        <f aca="false">VLOOKUP($AU$1,'Datos Iniciales'!$E$34:$O$64,AX$158,FALSE())*AX76</f>
        <v>0.96</v>
      </c>
      <c r="AY174" s="196" t="n">
        <f aca="false">VLOOKUP($AU$1,'Datos Iniciales'!$E$34:$O$64,AY$158,FALSE())*AY76</f>
        <v>0.5</v>
      </c>
      <c r="AZ174" s="196" t="n">
        <f aca="false">VLOOKUP($AU$1,'Datos Iniciales'!$E$34:$O$64,AZ$158,FALSE())*AZ76</f>
        <v>0</v>
      </c>
      <c r="BA174" s="196" t="n">
        <f aca="false">VLOOKUP($AU$1,'Datos Iniciales'!$E$34:$O$64,BA$158,FALSE())*BA76</f>
        <v>0</v>
      </c>
      <c r="BB174" s="196" t="n">
        <f aca="false">VLOOKUP($AU$1,'Datos Iniciales'!$E$34:$O$64,BB$158,FALSE())*BB76</f>
        <v>0</v>
      </c>
      <c r="BC174" s="196" t="n">
        <f aca="false">VLOOKUP($AU$1,'Datos Iniciales'!$E$34:$O$64,BC$158,FALSE())*BC76</f>
        <v>0</v>
      </c>
      <c r="BD174" s="196" t="n">
        <f aca="false">VLOOKUP($AU$1,'Datos Iniciales'!$E$34:$O$64,BD$158,FALSE())*BD76</f>
        <v>0</v>
      </c>
      <c r="BE174" s="197" t="n">
        <f aca="false">VLOOKUP($AU$1,'Datos Iniciales'!$E$34:$O$64,BE$158,FALSE())*BE76</f>
        <v>0</v>
      </c>
      <c r="BF174" s="194" t="str">
        <f aca="false">AU174</f>
        <v>Alumno15</v>
      </c>
      <c r="BG174" s="208" t="n">
        <f aca="false">VLOOKUP($BF$1,'Datos Iniciales'!$E$34:$O$64,BG$158,FALSE())*BG76</f>
        <v>0.3</v>
      </c>
      <c r="BH174" s="196" t="n">
        <f aca="false">VLOOKUP($BF$1,'Datos Iniciales'!$E$34:$O$64,BH$158,FALSE())*BH76</f>
        <v>0.45</v>
      </c>
      <c r="BI174" s="196" t="n">
        <f aca="false">VLOOKUP($BF$1,'Datos Iniciales'!$E$34:$O$64,BI$158,FALSE())*BI76</f>
        <v>0.2</v>
      </c>
      <c r="BJ174" s="196" t="n">
        <f aca="false">VLOOKUP($BF$1,'Datos Iniciales'!$E$34:$O$64,BJ$158,FALSE())*BJ76</f>
        <v>1.84</v>
      </c>
      <c r="BK174" s="196" t="n">
        <f aca="false">VLOOKUP($BF$1,'Datos Iniciales'!$E$34:$O$64,BK$158,FALSE())*BK76</f>
        <v>0</v>
      </c>
      <c r="BL174" s="196" t="n">
        <f aca="false">VLOOKUP($BF$1,'Datos Iniciales'!$E$34:$O$64,BL$158,FALSE())*BL76</f>
        <v>0</v>
      </c>
      <c r="BM174" s="196" t="n">
        <f aca="false">VLOOKUP($BF$1,'Datos Iniciales'!$E$34:$O$64,BM$158,FALSE())*BM76</f>
        <v>0</v>
      </c>
      <c r="BN174" s="196" t="n">
        <f aca="false">VLOOKUP($BF$1,'Datos Iniciales'!$E$34:$O$64,BN$158,FALSE())*BN76</f>
        <v>0</v>
      </c>
      <c r="BO174" s="196" t="n">
        <f aca="false">VLOOKUP($BF$1,'Datos Iniciales'!$E$34:$O$64,BO$158,FALSE())*BO76</f>
        <v>0</v>
      </c>
      <c r="BP174" s="197" t="n">
        <f aca="false">VLOOKUP($BF$1,'Datos Iniciales'!$E$34:$O$64,BP$158,FALSE())*BP76</f>
        <v>0</v>
      </c>
      <c r="BQ174" s="194" t="str">
        <f aca="false">BF174</f>
        <v>Alumno15</v>
      </c>
      <c r="BR174" s="208" t="n">
        <f aca="false">VLOOKUP($BQ$1,'Datos Iniciales'!$E$34:$O$64,BR$158,FALSE())*BR76</f>
        <v>0</v>
      </c>
      <c r="BS174" s="196" t="n">
        <f aca="false">VLOOKUP($BQ$1,'Datos Iniciales'!$E$34:$O$64,BS$158,FALSE())*BS76</f>
        <v>0.25</v>
      </c>
      <c r="BT174" s="196" t="n">
        <f aca="false">VLOOKUP($BQ$1,'Datos Iniciales'!$E$34:$O$64,BT$158,FALSE())*BT76</f>
        <v>0.75</v>
      </c>
      <c r="BU174" s="196" t="n">
        <f aca="false">VLOOKUP($BQ$1,'Datos Iniciales'!$E$34:$O$64,BU$158,FALSE())*BU76</f>
        <v>2.5</v>
      </c>
      <c r="BV174" s="196" t="n">
        <f aca="false">VLOOKUP($BQ$1,'Datos Iniciales'!$E$34:$O$64,BV$158,FALSE())*BV76</f>
        <v>0</v>
      </c>
      <c r="BW174" s="196" t="n">
        <f aca="false">VLOOKUP($BQ$1,'Datos Iniciales'!$E$34:$O$64,BW$158,FALSE())*BW76</f>
        <v>0</v>
      </c>
      <c r="BX174" s="196" t="n">
        <f aca="false">VLOOKUP($BQ$1,'Datos Iniciales'!$E$34:$O$64,BX$158,FALSE())*BX76</f>
        <v>0</v>
      </c>
      <c r="BY174" s="196" t="n">
        <f aca="false">VLOOKUP($BQ$1,'Datos Iniciales'!$E$34:$O$64,BY$158,FALSE())*BY76</f>
        <v>0</v>
      </c>
      <c r="BZ174" s="196" t="n">
        <f aca="false">VLOOKUP($BQ$1,'Datos Iniciales'!$E$34:$O$64,BZ$158,FALSE())*BZ76</f>
        <v>0</v>
      </c>
      <c r="CA174" s="197" t="n">
        <f aca="false">VLOOKUP($BQ$1,'Datos Iniciales'!$E$34:$O$64,CA$158,FALSE())*CA76</f>
        <v>0</v>
      </c>
      <c r="CB174" s="194" t="str">
        <f aca="false">BQ174</f>
        <v>Alumno15</v>
      </c>
      <c r="CC174" s="208" t="n">
        <f aca="false">VLOOKUP($CB$1,'Datos Iniciales'!$E$34:$O$64,CC$158,FALSE())*CC76</f>
        <v>0</v>
      </c>
      <c r="CD174" s="196" t="n">
        <f aca="false">VLOOKUP($CB$1,'Datos Iniciales'!$E$34:$O$64,CD$158,FALSE())*CD76</f>
        <v>0</v>
      </c>
      <c r="CE174" s="196" t="n">
        <f aca="false">VLOOKUP($CB$1,'Datos Iniciales'!$E$34:$O$64,CE$158,FALSE())*CE76</f>
        <v>0</v>
      </c>
      <c r="CF174" s="196" t="n">
        <f aca="false">VLOOKUP($CB$1,'Datos Iniciales'!$E$34:$O$64,CF$158,FALSE())*CF76</f>
        <v>0</v>
      </c>
      <c r="CG174" s="196" t="n">
        <f aca="false">VLOOKUP($CB$1,'Datos Iniciales'!$E$34:$O$64,CG$158,FALSE())*CG76</f>
        <v>0</v>
      </c>
      <c r="CH174" s="196" t="n">
        <f aca="false">VLOOKUP($CB$1,'Datos Iniciales'!$E$34:$O$64,CH$158,FALSE())*CH76</f>
        <v>0</v>
      </c>
      <c r="CI174" s="196" t="n">
        <f aca="false">VLOOKUP($CB$1,'Datos Iniciales'!$E$34:$O$64,CI$158,FALSE())*CI76</f>
        <v>0</v>
      </c>
      <c r="CJ174" s="196" t="n">
        <f aca="false">VLOOKUP($CB$1,'Datos Iniciales'!$E$34:$O$64,CJ$158,FALSE())*CJ76</f>
        <v>0</v>
      </c>
      <c r="CK174" s="196" t="n">
        <f aca="false">VLOOKUP($CB$1,'Datos Iniciales'!$E$34:$O$64,CK$158,FALSE())*CK76</f>
        <v>0</v>
      </c>
      <c r="CL174" s="197" t="n">
        <f aca="false">VLOOKUP($CB$1,'Datos Iniciales'!$E$34:$O$64,CL$158,FALSE())*CL76</f>
        <v>0</v>
      </c>
      <c r="CM174" s="194" t="str">
        <f aca="false">CB174</f>
        <v>Alumno15</v>
      </c>
      <c r="CN174" s="208" t="n">
        <f aca="false">VLOOKUP($CM$1,'Datos Iniciales'!$E$34:$O$64,CN$158,FALSE())*CN76</f>
        <v>0</v>
      </c>
      <c r="CO174" s="196" t="n">
        <f aca="false">VLOOKUP($CM$1,'Datos Iniciales'!$E$34:$O$64,CO$158,FALSE())*CO76</f>
        <v>0</v>
      </c>
      <c r="CP174" s="196" t="n">
        <f aca="false">VLOOKUP($CM$1,'Datos Iniciales'!$E$34:$O$64,CP$158,FALSE())*CP76</f>
        <v>0</v>
      </c>
      <c r="CQ174" s="196" t="n">
        <f aca="false">VLOOKUP($CM$1,'Datos Iniciales'!$E$34:$O$64,CQ$158,FALSE())*CQ76</f>
        <v>0</v>
      </c>
      <c r="CR174" s="196" t="n">
        <f aca="false">VLOOKUP($CM$1,'Datos Iniciales'!$E$34:$O$64,CR$158,FALSE())*CR76</f>
        <v>0</v>
      </c>
      <c r="CS174" s="196" t="n">
        <f aca="false">VLOOKUP($CM$1,'Datos Iniciales'!$E$34:$O$64,CS$158,FALSE())*CS76</f>
        <v>0</v>
      </c>
      <c r="CT174" s="196" t="n">
        <f aca="false">VLOOKUP($CM$1,'Datos Iniciales'!$E$34:$O$64,CT$158,FALSE())*CT76</f>
        <v>0</v>
      </c>
      <c r="CU174" s="196" t="n">
        <f aca="false">VLOOKUP($CM$1,'Datos Iniciales'!$E$34:$O$64,CU$158,FALSE())*CU76</f>
        <v>0</v>
      </c>
      <c r="CV174" s="196" t="n">
        <f aca="false">VLOOKUP($CM$1,'Datos Iniciales'!$E$34:$O$64,CV$158,FALSE())*CV76</f>
        <v>0</v>
      </c>
      <c r="CW174" s="197" t="n">
        <f aca="false">VLOOKUP($CM$1,'Datos Iniciales'!$E$34:$O$64,CW$158,FALSE())*CW76</f>
        <v>0</v>
      </c>
      <c r="CX174" s="194" t="str">
        <f aca="false">CM174</f>
        <v>Alumno15</v>
      </c>
      <c r="CY174" s="208" t="n">
        <f aca="false">VLOOKUP($CX$1,'Datos Iniciales'!$E$34:$O$64,CY$158,FALSE())*CY76</f>
        <v>0</v>
      </c>
      <c r="CZ174" s="196" t="n">
        <f aca="false">VLOOKUP($CX$1,'Datos Iniciales'!$E$34:$O$64,CZ$158,FALSE())*CZ76</f>
        <v>0</v>
      </c>
      <c r="DA174" s="196" t="n">
        <f aca="false">VLOOKUP($CX$1,'Datos Iniciales'!$E$34:$O$64,DA$158,FALSE())*DA76</f>
        <v>0</v>
      </c>
      <c r="DB174" s="196" t="n">
        <f aca="false">VLOOKUP($CX$1,'Datos Iniciales'!$E$34:$O$64,DB$158,FALSE())*DB76</f>
        <v>0</v>
      </c>
      <c r="DC174" s="196" t="n">
        <f aca="false">VLOOKUP($CX$1,'Datos Iniciales'!$E$34:$O$64,DC$158,FALSE())*DC76</f>
        <v>0</v>
      </c>
      <c r="DD174" s="196" t="n">
        <f aca="false">VLOOKUP($CX$1,'Datos Iniciales'!$E$34:$O$64,DD$158,FALSE())*DD76</f>
        <v>0</v>
      </c>
      <c r="DE174" s="196" t="n">
        <f aca="false">VLOOKUP($CX$1,'Datos Iniciales'!$E$34:$O$64,DE$158,FALSE())*DE76</f>
        <v>0</v>
      </c>
      <c r="DF174" s="196" t="n">
        <f aca="false">VLOOKUP($CX$1,'Datos Iniciales'!$E$34:$O$64,DF$158,FALSE())*DF76</f>
        <v>0</v>
      </c>
      <c r="DG174" s="196" t="n">
        <f aca="false">VLOOKUP($CX$1,'Datos Iniciales'!$E$34:$O$64,DG$158,FALSE())*DG76</f>
        <v>0</v>
      </c>
      <c r="DH174" s="197" t="n">
        <f aca="false">VLOOKUP($CX$1,'Datos Iniciales'!$E$34:$O$64,DH$158,FALSE())*DH76</f>
        <v>0</v>
      </c>
      <c r="DI174" s="194" t="str">
        <f aca="false">CX174</f>
        <v>Alumno15</v>
      </c>
      <c r="DJ174" s="208" t="n">
        <f aca="false">VLOOKUP($DI$1,'Datos Iniciales'!$E$34:$O$64,DJ$158,FALSE())*DJ76</f>
        <v>0</v>
      </c>
      <c r="DK174" s="196" t="n">
        <f aca="false">VLOOKUP($DI$1,'Datos Iniciales'!$E$34:$O$64,DK$158,FALSE())*DK76</f>
        <v>0</v>
      </c>
      <c r="DL174" s="196" t="n">
        <f aca="false">VLOOKUP($DI$1,'Datos Iniciales'!$E$34:$O$64,DL$158,FALSE())*DL76</f>
        <v>0</v>
      </c>
      <c r="DM174" s="196" t="n">
        <f aca="false">VLOOKUP($DI$1,'Datos Iniciales'!$E$34:$O$64,DM$158,FALSE())*DM76</f>
        <v>0</v>
      </c>
      <c r="DN174" s="196" t="n">
        <f aca="false">VLOOKUP($DI$1,'Datos Iniciales'!$E$34:$O$64,DN$158,FALSE())*DN76</f>
        <v>0</v>
      </c>
      <c r="DO174" s="196" t="n">
        <f aca="false">VLOOKUP($DI$1,'Datos Iniciales'!$E$34:$O$64,DO$158,FALSE())*DO76</f>
        <v>0</v>
      </c>
      <c r="DP174" s="196" t="n">
        <f aca="false">VLOOKUP($DI$1,'Datos Iniciales'!$E$34:$O$64,DP$158,FALSE())*DP76</f>
        <v>0</v>
      </c>
      <c r="DQ174" s="196" t="n">
        <f aca="false">VLOOKUP($DI$1,'Datos Iniciales'!$E$34:$O$64,DQ$158,FALSE())*DQ76</f>
        <v>0</v>
      </c>
      <c r="DR174" s="196" t="n">
        <f aca="false">VLOOKUP($DI$1,'Datos Iniciales'!$E$34:$O$64,DR$158,FALSE())*DR76</f>
        <v>0</v>
      </c>
      <c r="DS174" s="197" t="n">
        <f aca="false">VLOOKUP($DI$1,'Datos Iniciales'!$E$34:$O$64,DS$158,FALSE())*DS76</f>
        <v>0</v>
      </c>
      <c r="DT174" s="194" t="str">
        <f aca="false">DI174</f>
        <v>Alumno15</v>
      </c>
      <c r="DU174" s="208" t="n">
        <f aca="false">VLOOKUP($DT$1,'Datos Iniciales'!$E$34:$O$64,DU$158,FALSE())*DU76</f>
        <v>0</v>
      </c>
      <c r="DV174" s="196" t="n">
        <f aca="false">VLOOKUP($DT$1,'Datos Iniciales'!$E$34:$O$64,DV$158,FALSE())*DV76</f>
        <v>0</v>
      </c>
      <c r="DW174" s="196" t="n">
        <f aca="false">VLOOKUP($DT$1,'Datos Iniciales'!$E$34:$O$64,DW$158,FALSE())*DW76</f>
        <v>0</v>
      </c>
      <c r="DX174" s="196" t="n">
        <f aca="false">VLOOKUP($DT$1,'Datos Iniciales'!$E$34:$O$64,DX$158,FALSE())*DX76</f>
        <v>0</v>
      </c>
      <c r="DY174" s="196" t="n">
        <f aca="false">VLOOKUP($DT$1,'Datos Iniciales'!$E$34:$O$64,DY$158,FALSE())*DY76</f>
        <v>0</v>
      </c>
      <c r="DZ174" s="196" t="n">
        <f aca="false">VLOOKUP($DT$1,'Datos Iniciales'!$E$34:$O$64,DZ$158,FALSE())*DZ76</f>
        <v>0</v>
      </c>
      <c r="EA174" s="196" t="n">
        <f aca="false">VLOOKUP($DT$1,'Datos Iniciales'!$E$34:$O$64,EA$158,FALSE())*EA76</f>
        <v>0</v>
      </c>
      <c r="EB174" s="196" t="n">
        <f aca="false">VLOOKUP($DT$1,'Datos Iniciales'!$E$34:$O$64,EB$158,FALSE())*EB76</f>
        <v>0</v>
      </c>
      <c r="EC174" s="196" t="n">
        <f aca="false">VLOOKUP($DT$1,'Datos Iniciales'!$E$34:$O$64,EC$158,FALSE())*EC76</f>
        <v>0</v>
      </c>
      <c r="ED174" s="197" t="n">
        <f aca="false">VLOOKUP($DT$1,'Datos Iniciales'!$E$34:$O$64,ED$158,FALSE())*ED76</f>
        <v>0</v>
      </c>
      <c r="EE174" s="194" t="str">
        <f aca="false">DT174</f>
        <v>Alumno15</v>
      </c>
      <c r="EF174" s="208" t="n">
        <f aca="false">VLOOKUP($EE$1,'Datos Iniciales'!$E$34:$O$64,EF$158,FALSE())*EF76</f>
        <v>0</v>
      </c>
      <c r="EG174" s="196" t="n">
        <f aca="false">VLOOKUP($EE$1,'Datos Iniciales'!$E$34:$O$64,EG$158,FALSE())*EG76</f>
        <v>0</v>
      </c>
      <c r="EH174" s="196" t="n">
        <f aca="false">VLOOKUP($EE$1,'Datos Iniciales'!$E$34:$O$64,EH$158,FALSE())*EH76</f>
        <v>0</v>
      </c>
      <c r="EI174" s="196" t="n">
        <f aca="false">VLOOKUP($EE$1,'Datos Iniciales'!$E$34:$O$64,EI$158,FALSE())*EI76</f>
        <v>0</v>
      </c>
      <c r="EJ174" s="196" t="n">
        <f aca="false">VLOOKUP($EE$1,'Datos Iniciales'!$E$34:$O$64,EJ$158,FALSE())*EJ76</f>
        <v>0</v>
      </c>
      <c r="EK174" s="196" t="n">
        <f aca="false">VLOOKUP($EE$1,'Datos Iniciales'!$E$34:$O$64,EK$158,FALSE())*EK76</f>
        <v>0</v>
      </c>
      <c r="EL174" s="196" t="n">
        <f aca="false">VLOOKUP($EE$1,'Datos Iniciales'!$E$34:$O$64,EL$158,FALSE())*EL76</f>
        <v>0</v>
      </c>
      <c r="EM174" s="196" t="n">
        <f aca="false">VLOOKUP($EE$1,'Datos Iniciales'!$E$34:$O$64,EM$158,FALSE())*EM76</f>
        <v>0</v>
      </c>
      <c r="EN174" s="196" t="n">
        <f aca="false">VLOOKUP($EE$1,'Datos Iniciales'!$E$34:$O$64,EN$158,FALSE())*EN76</f>
        <v>0</v>
      </c>
      <c r="EO174" s="197" t="n">
        <f aca="false">VLOOKUP($EE$1,'Datos Iniciales'!$E$34:$O$64,EO$158,FALSE())*EO76</f>
        <v>0</v>
      </c>
      <c r="EP174" s="194" t="str">
        <f aca="false">EE174</f>
        <v>Alumno15</v>
      </c>
      <c r="EQ174" s="208" t="n">
        <f aca="false">VLOOKUP($EP$1,'Datos Iniciales'!$E$34:$O$64,EQ$158,FALSE())*EQ76</f>
        <v>0</v>
      </c>
      <c r="ER174" s="196" t="n">
        <f aca="false">VLOOKUP($EP$1,'Datos Iniciales'!$E$34:$O$64,ER$158,FALSE())*ER76</f>
        <v>0</v>
      </c>
      <c r="ES174" s="196" t="n">
        <f aca="false">VLOOKUP($EP$1,'Datos Iniciales'!$E$34:$O$64,ES$158,FALSE())*ES76</f>
        <v>0</v>
      </c>
      <c r="ET174" s="196" t="n">
        <f aca="false">VLOOKUP($EP$1,'Datos Iniciales'!$E$34:$O$64,ET$158,FALSE())*ET76</f>
        <v>0</v>
      </c>
      <c r="EU174" s="196" t="n">
        <f aca="false">VLOOKUP($EP$1,'Datos Iniciales'!$E$34:$O$64,EU$158,FALSE())*EU76</f>
        <v>0</v>
      </c>
      <c r="EV174" s="196" t="n">
        <f aca="false">VLOOKUP($EP$1,'Datos Iniciales'!$E$34:$O$64,EV$158,FALSE())*EV76</f>
        <v>0</v>
      </c>
      <c r="EW174" s="196" t="n">
        <f aca="false">VLOOKUP($EP$1,'Datos Iniciales'!$E$34:$O$64,EW$158,FALSE())*EW76</f>
        <v>0</v>
      </c>
      <c r="EX174" s="196" t="n">
        <f aca="false">VLOOKUP($EP$1,'Datos Iniciales'!$E$34:$O$64,EX$158,FALSE())*EX76</f>
        <v>0</v>
      </c>
      <c r="EY174" s="196" t="n">
        <f aca="false">VLOOKUP($EP$1,'Datos Iniciales'!$E$34:$O$64,EY$158,FALSE())*EY76</f>
        <v>0</v>
      </c>
      <c r="EZ174" s="197" t="n">
        <f aca="false">VLOOKUP($EP$1,'Datos Iniciales'!$E$34:$O$64,EZ$158,FALSE())*EZ76</f>
        <v>0</v>
      </c>
      <c r="FA174" s="194" t="str">
        <f aca="false">EP174</f>
        <v>Alumno15</v>
      </c>
      <c r="FB174" s="208" t="n">
        <f aca="false">VLOOKUP($FA$1,'Datos Iniciales'!$E$34:$O$64,FB$158,FALSE())*FB76</f>
        <v>0</v>
      </c>
      <c r="FC174" s="196" t="n">
        <f aca="false">VLOOKUP($FA$1,'Datos Iniciales'!$E$34:$O$64,FC$158,FALSE())*FC76</f>
        <v>0</v>
      </c>
      <c r="FD174" s="196" t="n">
        <f aca="false">VLOOKUP($FA$1,'Datos Iniciales'!$E$34:$O$64,FD$158,FALSE())*FD76</f>
        <v>0</v>
      </c>
      <c r="FE174" s="196" t="n">
        <f aca="false">VLOOKUP($FA$1,'Datos Iniciales'!$E$34:$O$64,FE$158,FALSE())*FE76</f>
        <v>0</v>
      </c>
      <c r="FF174" s="196" t="n">
        <f aca="false">VLOOKUP($FA$1,'Datos Iniciales'!$E$34:$O$64,FF$158,FALSE())*FF76</f>
        <v>0</v>
      </c>
      <c r="FG174" s="196" t="n">
        <f aca="false">VLOOKUP($FA$1,'Datos Iniciales'!$E$34:$O$64,FG$158,FALSE())*FG76</f>
        <v>0</v>
      </c>
      <c r="FH174" s="196" t="n">
        <f aca="false">VLOOKUP($FA$1,'Datos Iniciales'!$E$34:$O$64,FH$158,FALSE())*FH76</f>
        <v>0</v>
      </c>
      <c r="FI174" s="196" t="n">
        <f aca="false">VLOOKUP($FA$1,'Datos Iniciales'!$E$34:$O$64,FI$158,FALSE())*FI76</f>
        <v>0</v>
      </c>
      <c r="FJ174" s="196" t="n">
        <f aca="false">VLOOKUP($FA$1,'Datos Iniciales'!$E$34:$O$64,FJ$158,FALSE())*FJ76</f>
        <v>0</v>
      </c>
      <c r="FK174" s="197" t="n">
        <f aca="false">VLOOKUP($FA$1,'Datos Iniciales'!$E$34:$O$64,FK$158,FALSE())*FK76</f>
        <v>0</v>
      </c>
      <c r="FL174" s="194" t="str">
        <f aca="false">FA174</f>
        <v>Alumno15</v>
      </c>
      <c r="FM174" s="208" t="n">
        <f aca="false">VLOOKUP($FL$1,'Datos Iniciales'!$E$34:$O$64,FM$158,FALSE())*FM76</f>
        <v>0</v>
      </c>
      <c r="FN174" s="196" t="n">
        <f aca="false">VLOOKUP($FL$1,'Datos Iniciales'!$E$34:$O$64,FN$158,FALSE())*FN76</f>
        <v>0</v>
      </c>
      <c r="FO174" s="196" t="n">
        <f aca="false">VLOOKUP($FL$1,'Datos Iniciales'!$E$34:$O$64,FO$158,FALSE())*FO76</f>
        <v>0</v>
      </c>
      <c r="FP174" s="196" t="n">
        <f aca="false">VLOOKUP($FL$1,'Datos Iniciales'!$E$34:$O$64,FP$158,FALSE())*FP76</f>
        <v>0</v>
      </c>
      <c r="FQ174" s="196" t="n">
        <f aca="false">VLOOKUP($FL$1,'Datos Iniciales'!$E$34:$O$64,FQ$158,FALSE())*FQ76</f>
        <v>0</v>
      </c>
      <c r="FR174" s="196" t="n">
        <f aca="false">VLOOKUP($FL$1,'Datos Iniciales'!$E$34:$O$64,FR$158,FALSE())*FR76</f>
        <v>0</v>
      </c>
      <c r="FS174" s="196" t="n">
        <f aca="false">VLOOKUP($FL$1,'Datos Iniciales'!$E$34:$O$64,FS$158,FALSE())*FS76</f>
        <v>0</v>
      </c>
      <c r="FT174" s="196" t="n">
        <f aca="false">VLOOKUP($FL$1,'Datos Iniciales'!$E$34:$O$64,FT$158,FALSE())*FT76</f>
        <v>0</v>
      </c>
      <c r="FU174" s="196" t="n">
        <f aca="false">VLOOKUP($FL$1,'Datos Iniciales'!$E$34:$O$64,FU$158,FALSE())*FU76</f>
        <v>0</v>
      </c>
      <c r="FV174" s="197" t="n">
        <f aca="false">VLOOKUP($FL$1,'Datos Iniciales'!$E$34:$O$64,FV$158,FALSE())*FV76</f>
        <v>0</v>
      </c>
      <c r="FW174" s="194" t="str">
        <f aca="false">FL174</f>
        <v>Alumno15</v>
      </c>
      <c r="FX174" s="208" t="n">
        <f aca="false">VLOOKUP($FW$1,'Datos Iniciales'!$E$34:$O$64,FX$158,FALSE())*FX76</f>
        <v>0</v>
      </c>
      <c r="FY174" s="196" t="n">
        <f aca="false">VLOOKUP($FW$1,'Datos Iniciales'!$E$34:$O$64,FY$158,FALSE())*FY76</f>
        <v>0</v>
      </c>
      <c r="FZ174" s="196" t="n">
        <f aca="false">VLOOKUP($FW$1,'Datos Iniciales'!$E$34:$O$64,FZ$158,FALSE())*FZ76</f>
        <v>0</v>
      </c>
      <c r="GA174" s="196" t="n">
        <f aca="false">VLOOKUP($FW$1,'Datos Iniciales'!$E$34:$O$64,GA$158,FALSE())*GA76</f>
        <v>0</v>
      </c>
      <c r="GB174" s="196" t="n">
        <f aca="false">VLOOKUP($FW$1,'Datos Iniciales'!$E$34:$O$64,GB$158,FALSE())*GB76</f>
        <v>0</v>
      </c>
      <c r="GC174" s="196" t="n">
        <f aca="false">VLOOKUP($FW$1,'Datos Iniciales'!$E$34:$O$64,GC$158,FALSE())*GC76</f>
        <v>0</v>
      </c>
      <c r="GD174" s="196" t="n">
        <f aca="false">VLOOKUP($FW$1,'Datos Iniciales'!$E$34:$O$64,GD$158,FALSE())*GD76</f>
        <v>0</v>
      </c>
      <c r="GE174" s="196" t="n">
        <f aca="false">VLOOKUP($FW$1,'Datos Iniciales'!$E$34:$O$64,GE$158,FALSE())*GE76</f>
        <v>0</v>
      </c>
      <c r="GF174" s="196" t="n">
        <f aca="false">VLOOKUP($FW$1,'Datos Iniciales'!$E$34:$O$64,GF$158,FALSE())*GF76</f>
        <v>0</v>
      </c>
      <c r="GG174" s="197" t="n">
        <f aca="false">VLOOKUP($FW$1,'Datos Iniciales'!$E$34:$O$64,GG$158,FALSE())*GG76</f>
        <v>0</v>
      </c>
      <c r="GH174" s="194" t="str">
        <f aca="false">FW174</f>
        <v>Alumno15</v>
      </c>
      <c r="GI174" s="208" t="n">
        <f aca="false">VLOOKUP($GH$1,'Datos Iniciales'!$E$34:$O$64,GI$158,FALSE())*GI76</f>
        <v>0</v>
      </c>
      <c r="GJ174" s="196" t="n">
        <f aca="false">VLOOKUP($GH$1,'Datos Iniciales'!$E$34:$O$64,GJ$158,FALSE())*GJ76</f>
        <v>0</v>
      </c>
      <c r="GK174" s="196" t="n">
        <f aca="false">VLOOKUP($GH$1,'Datos Iniciales'!$E$34:$O$64,GK$158,FALSE())*GK76</f>
        <v>0</v>
      </c>
      <c r="GL174" s="196" t="n">
        <f aca="false">VLOOKUP($GH$1,'Datos Iniciales'!$E$34:$O$64,GL$158,FALSE())*GL76</f>
        <v>0</v>
      </c>
      <c r="GM174" s="196" t="n">
        <f aca="false">VLOOKUP($GH$1,'Datos Iniciales'!$E$34:$O$64,GM$158,FALSE())*GM76</f>
        <v>0</v>
      </c>
      <c r="GN174" s="196" t="n">
        <f aca="false">VLOOKUP($GH$1,'Datos Iniciales'!$E$34:$O$64,GN$158,FALSE())*GN76</f>
        <v>0</v>
      </c>
      <c r="GO174" s="196" t="n">
        <f aca="false">VLOOKUP($GH$1,'Datos Iniciales'!$E$34:$O$64,GO$158,FALSE())*GO76</f>
        <v>0</v>
      </c>
      <c r="GP174" s="196" t="n">
        <f aca="false">VLOOKUP($GH$1,'Datos Iniciales'!$E$34:$O$64,GP$158,FALSE())*GP76</f>
        <v>0</v>
      </c>
      <c r="GQ174" s="196" t="n">
        <f aca="false">VLOOKUP($GH$1,'Datos Iniciales'!$E$34:$O$64,GQ$158,FALSE())*GQ76</f>
        <v>0</v>
      </c>
      <c r="GR174" s="197" t="n">
        <f aca="false">VLOOKUP($GH$1,'Datos Iniciales'!$E$34:$O$64,GR$158,FALSE())*GR76</f>
        <v>0</v>
      </c>
      <c r="GS174" s="194" t="str">
        <f aca="false">GH174</f>
        <v>Alumno15</v>
      </c>
      <c r="GT174" s="208" t="n">
        <f aca="false">VLOOKUP($GS$1,'Datos Iniciales'!$E$34:$O$64,GT$158,FALSE())*GT76</f>
        <v>0</v>
      </c>
      <c r="GU174" s="196" t="n">
        <f aca="false">VLOOKUP($GS$1,'Datos Iniciales'!$E$34:$O$64,GU$158,FALSE())*GU76</f>
        <v>0</v>
      </c>
      <c r="GV174" s="196" t="n">
        <f aca="false">VLOOKUP($GS$1,'Datos Iniciales'!$E$34:$O$64,GV$158,FALSE())*GV76</f>
        <v>0</v>
      </c>
      <c r="GW174" s="196" t="n">
        <f aca="false">VLOOKUP($GS$1,'Datos Iniciales'!$E$34:$O$64,GW$158,FALSE())*GW76</f>
        <v>0</v>
      </c>
      <c r="GX174" s="196" t="n">
        <f aca="false">VLOOKUP($GS$1,'Datos Iniciales'!$E$34:$O$64,GX$158,FALSE())*GX76</f>
        <v>0</v>
      </c>
      <c r="GY174" s="196" t="n">
        <f aca="false">VLOOKUP($GS$1,'Datos Iniciales'!$E$34:$O$64,GY$158,FALSE())*GY76</f>
        <v>0</v>
      </c>
      <c r="GZ174" s="196" t="n">
        <f aca="false">VLOOKUP($GS$1,'Datos Iniciales'!$E$34:$O$64,GZ$158,FALSE())*GZ76</f>
        <v>0</v>
      </c>
      <c r="HA174" s="196" t="n">
        <f aca="false">VLOOKUP($GS$1,'Datos Iniciales'!$E$34:$O$64,HA$158,FALSE())*HA76</f>
        <v>0</v>
      </c>
      <c r="HB174" s="196" t="n">
        <f aca="false">VLOOKUP($GS$1,'Datos Iniciales'!$E$34:$O$64,HB$158,FALSE())*HB76</f>
        <v>0</v>
      </c>
      <c r="HC174" s="197" t="n">
        <f aca="false">VLOOKUP($GS$1,'Datos Iniciales'!$E$34:$O$64,HC$158,FALSE())*HC76</f>
        <v>0</v>
      </c>
      <c r="HD174" s="194" t="str">
        <f aca="false">GS174</f>
        <v>Alumno15</v>
      </c>
      <c r="HE174" s="208" t="n">
        <f aca="false">VLOOKUP($HD$1,'Datos Iniciales'!$E$34:$O$64,HE$158,FALSE())*HE76</f>
        <v>0</v>
      </c>
      <c r="HF174" s="196" t="n">
        <f aca="false">VLOOKUP($HD$1,'Datos Iniciales'!$E$34:$O$64,HF$158,FALSE())*HF76</f>
        <v>0</v>
      </c>
      <c r="HG174" s="196" t="n">
        <f aca="false">VLOOKUP($HD$1,'Datos Iniciales'!$E$34:$O$64,HG$158,FALSE())*HG76</f>
        <v>0</v>
      </c>
      <c r="HH174" s="196" t="n">
        <f aca="false">VLOOKUP($HD$1,'Datos Iniciales'!$E$34:$O$64,HH$158,FALSE())*HH76</f>
        <v>0</v>
      </c>
      <c r="HI174" s="196" t="n">
        <f aca="false">VLOOKUP($HD$1,'Datos Iniciales'!$E$34:$O$64,HI$158,FALSE())*HI76</f>
        <v>0</v>
      </c>
      <c r="HJ174" s="196" t="n">
        <f aca="false">VLOOKUP($HD$1,'Datos Iniciales'!$E$34:$O$64,HJ$158,FALSE())*HJ76</f>
        <v>0</v>
      </c>
      <c r="HK174" s="196" t="n">
        <f aca="false">VLOOKUP($HD$1,'Datos Iniciales'!$E$34:$O$64,HK$158,FALSE())*HK76</f>
        <v>0</v>
      </c>
      <c r="HL174" s="196" t="n">
        <f aca="false">VLOOKUP($HD$1,'Datos Iniciales'!$E$34:$O$64,HL$158,FALSE())*HL76</f>
        <v>0</v>
      </c>
      <c r="HM174" s="196" t="n">
        <f aca="false">VLOOKUP($HD$1,'Datos Iniciales'!$E$34:$O$64,HM$158,FALSE())*HM76</f>
        <v>0</v>
      </c>
      <c r="HN174" s="197" t="n">
        <f aca="false">VLOOKUP($HD$1,'Datos Iniciales'!$E$34:$O$64,HN$158,FALSE())*HN76</f>
        <v>0</v>
      </c>
      <c r="HO174" s="194" t="str">
        <f aca="false">HD174</f>
        <v>Alumno15</v>
      </c>
      <c r="HP174" s="208" t="n">
        <f aca="false">VLOOKUP($HO$1,'Datos Iniciales'!$E$34:$O$64,HP$158,FALSE())*HP76</f>
        <v>0</v>
      </c>
      <c r="HQ174" s="196" t="n">
        <f aca="false">VLOOKUP($HO$1,'Datos Iniciales'!$E$34:$O$64,HQ$158,FALSE())*HQ76</f>
        <v>0</v>
      </c>
      <c r="HR174" s="196" t="n">
        <f aca="false">VLOOKUP($HO$1,'Datos Iniciales'!$E$34:$O$64,HR$158,FALSE())*HR76</f>
        <v>0</v>
      </c>
      <c r="HS174" s="196" t="n">
        <f aca="false">VLOOKUP($HO$1,'Datos Iniciales'!$E$34:$O$64,HS$158,FALSE())*HS76</f>
        <v>0</v>
      </c>
      <c r="HT174" s="196" t="n">
        <f aca="false">VLOOKUP($HO$1,'Datos Iniciales'!$E$34:$O$64,HT$158,FALSE())*HT76</f>
        <v>0</v>
      </c>
      <c r="HU174" s="196" t="n">
        <f aca="false">VLOOKUP($HO$1,'Datos Iniciales'!$E$34:$O$64,HU$158,FALSE())*HU76</f>
        <v>0</v>
      </c>
      <c r="HV174" s="196" t="n">
        <f aca="false">VLOOKUP($HO$1,'Datos Iniciales'!$E$34:$O$64,HV$158,FALSE())*HV76</f>
        <v>0</v>
      </c>
      <c r="HW174" s="196" t="n">
        <f aca="false">VLOOKUP($HO$1,'Datos Iniciales'!$E$34:$O$64,HW$158,FALSE())*HW76</f>
        <v>0</v>
      </c>
      <c r="HX174" s="196" t="n">
        <f aca="false">VLOOKUP($HO$1,'Datos Iniciales'!$E$34:$O$64,HX$158,FALSE())*HX76</f>
        <v>0</v>
      </c>
      <c r="HY174" s="197" t="n">
        <f aca="false">VLOOKUP($HO$1,'Datos Iniciales'!$E$34:$O$64,HY$158,FALSE())*HY76</f>
        <v>0</v>
      </c>
      <c r="HZ174" s="194" t="str">
        <f aca="false">HO174</f>
        <v>Alumno15</v>
      </c>
      <c r="IA174" s="208" t="n">
        <f aca="false">VLOOKUP($HZ$1,'Datos Iniciales'!$E$34:$O$64,IA$158,FALSE())*IA76</f>
        <v>0</v>
      </c>
      <c r="IB174" s="196" t="n">
        <f aca="false">VLOOKUP($HZ$1,'Datos Iniciales'!$E$34:$O$64,IB$158,FALSE())*IB76</f>
        <v>0</v>
      </c>
      <c r="IC174" s="196" t="n">
        <f aca="false">VLOOKUP($HZ$1,'Datos Iniciales'!$E$34:$O$64,IC$158,FALSE())*IC76</f>
        <v>0</v>
      </c>
      <c r="ID174" s="196" t="n">
        <f aca="false">VLOOKUP($HZ$1,'Datos Iniciales'!$E$34:$O$64,ID$158,FALSE())*ID76</f>
        <v>0</v>
      </c>
      <c r="IE174" s="196" t="n">
        <f aca="false">VLOOKUP($HZ$1,'Datos Iniciales'!$E$34:$O$64,IE$158,FALSE())*IE76</f>
        <v>0</v>
      </c>
      <c r="IF174" s="196" t="n">
        <f aca="false">VLOOKUP($HZ$1,'Datos Iniciales'!$E$34:$O$64,IF$158,FALSE())*IF76</f>
        <v>0</v>
      </c>
      <c r="IG174" s="196" t="n">
        <f aca="false">VLOOKUP($HZ$1,'Datos Iniciales'!$E$34:$O$64,IG$158,FALSE())*IG76</f>
        <v>0</v>
      </c>
      <c r="IH174" s="196" t="n">
        <f aca="false">VLOOKUP($HZ$1,'Datos Iniciales'!$E$34:$O$64,IH$158,FALSE())*IH76</f>
        <v>0</v>
      </c>
      <c r="II174" s="196" t="n">
        <f aca="false">VLOOKUP($HZ$1,'Datos Iniciales'!$E$34:$O$64,II$158,FALSE())*II76</f>
        <v>0</v>
      </c>
      <c r="IJ174" s="197" t="n">
        <f aca="false">VLOOKUP($HZ$1,'Datos Iniciales'!$E$34:$O$64,IJ$158,FALSE())*IJ76</f>
        <v>0</v>
      </c>
      <c r="IK174" s="194" t="str">
        <f aca="false">HZ174</f>
        <v>Alumno15</v>
      </c>
      <c r="IL174" s="208" t="n">
        <f aca="false">VLOOKUP($IK$1,'Datos Iniciales'!$E$34:$O$64,IL$158,FALSE())*IL76</f>
        <v>0</v>
      </c>
      <c r="IM174" s="196" t="n">
        <f aca="false">VLOOKUP($IK$1,'Datos Iniciales'!$E$34:$O$64,IM$158,FALSE())*IM76</f>
        <v>0</v>
      </c>
      <c r="IN174" s="196" t="n">
        <f aca="false">VLOOKUP($IK$1,'Datos Iniciales'!$E$34:$O$64,IN$158,FALSE())*IN76</f>
        <v>0</v>
      </c>
      <c r="IO174" s="196" t="n">
        <f aca="false">VLOOKUP($IK$1,'Datos Iniciales'!$E$34:$O$64,IO$158,FALSE())*IO76</f>
        <v>0</v>
      </c>
      <c r="IP174" s="196" t="n">
        <f aca="false">VLOOKUP($IK$1,'Datos Iniciales'!$E$34:$O$64,IP$158,FALSE())*IP76</f>
        <v>0</v>
      </c>
      <c r="IQ174" s="196" t="n">
        <f aca="false">VLOOKUP($IK$1,'Datos Iniciales'!$E$34:$O$64,IQ$158,FALSE())*IQ76</f>
        <v>0</v>
      </c>
      <c r="IR174" s="196" t="n">
        <f aca="false">VLOOKUP($IK$1,'Datos Iniciales'!$E$34:$O$64,IR$158,FALSE())*IR76</f>
        <v>0</v>
      </c>
      <c r="IS174" s="196" t="n">
        <f aca="false">VLOOKUP($IK$1,'Datos Iniciales'!$E$34:$O$64,IS$158,FALSE())*IS76</f>
        <v>0</v>
      </c>
      <c r="IT174" s="196" t="n">
        <f aca="false">VLOOKUP($IK$1,'Datos Iniciales'!$E$34:$O$64,IT$158,FALSE())*IT76</f>
        <v>0</v>
      </c>
      <c r="IU174" s="197" t="n">
        <f aca="false">VLOOKUP($IK$1,'Datos Iniciales'!$E$34:$O$64,IU$158,FALSE())*IU76</f>
        <v>0</v>
      </c>
      <c r="IV174" s="194" t="str">
        <f aca="false">IK174</f>
        <v>Alumno15</v>
      </c>
      <c r="IW174" s="208" t="n">
        <f aca="false">VLOOKUP($IV$1,'Datos Iniciales'!$E$34:$O$64,IW$158,FALSE())*IW76</f>
        <v>0</v>
      </c>
      <c r="IX174" s="196" t="n">
        <f aca="false">VLOOKUP($IV$1,'Datos Iniciales'!$E$34:$O$64,IX$158,FALSE())*IX76</f>
        <v>0</v>
      </c>
      <c r="IY174" s="196" t="n">
        <f aca="false">VLOOKUP($IV$1,'Datos Iniciales'!$E$34:$O$64,IY$158,FALSE())*IY76</f>
        <v>0</v>
      </c>
      <c r="IZ174" s="196" t="n">
        <f aca="false">VLOOKUP($IV$1,'Datos Iniciales'!$E$34:$O$64,IZ$158,FALSE())*IZ76</f>
        <v>0</v>
      </c>
      <c r="JA174" s="196" t="n">
        <f aca="false">VLOOKUP($IV$1,'Datos Iniciales'!$E$34:$O$64,JA$158,FALSE())*JA76</f>
        <v>0</v>
      </c>
      <c r="JB174" s="196" t="n">
        <f aca="false">VLOOKUP($IV$1,'Datos Iniciales'!$E$34:$O$64,JB$158,FALSE())*JB76</f>
        <v>0</v>
      </c>
      <c r="JC174" s="196" t="n">
        <f aca="false">VLOOKUP($IV$1,'Datos Iniciales'!$E$34:$O$64,JC$158,FALSE())*JC76</f>
        <v>0</v>
      </c>
      <c r="JD174" s="196" t="n">
        <f aca="false">VLOOKUP($IV$1,'Datos Iniciales'!$E$34:$O$64,JD$158,FALSE())*JD76</f>
        <v>0</v>
      </c>
      <c r="JE174" s="196" t="n">
        <f aca="false">VLOOKUP($IV$1,'Datos Iniciales'!$E$34:$O$64,JE$158,FALSE())*JE76</f>
        <v>0</v>
      </c>
      <c r="JF174" s="197" t="n">
        <f aca="false">VLOOKUP($IV$1,'Datos Iniciales'!$E$34:$O$64,JF$158,FALSE())*JF76</f>
        <v>0</v>
      </c>
      <c r="JG174" s="194" t="str">
        <f aca="false">IV174</f>
        <v>Alumno15</v>
      </c>
      <c r="JH174" s="208" t="n">
        <f aca="false">VLOOKUP($JG$1,'Datos Iniciales'!$E$34:$O$64,JH$158,FALSE())*JH76</f>
        <v>0</v>
      </c>
      <c r="JI174" s="196" t="n">
        <f aca="false">VLOOKUP($JG$1,'Datos Iniciales'!$E$34:$O$64,JI$158,FALSE())*JI76</f>
        <v>0</v>
      </c>
      <c r="JJ174" s="196" t="n">
        <f aca="false">VLOOKUP($JG$1,'Datos Iniciales'!$E$34:$O$64,JJ$158,FALSE())*JJ76</f>
        <v>0</v>
      </c>
      <c r="JK174" s="196" t="n">
        <f aca="false">VLOOKUP($JG$1,'Datos Iniciales'!$E$34:$O$64,JK$158,FALSE())*JK76</f>
        <v>0</v>
      </c>
      <c r="JL174" s="196" t="n">
        <f aca="false">VLOOKUP($JG$1,'Datos Iniciales'!$E$34:$O$64,JL$158,FALSE())*JL76</f>
        <v>0</v>
      </c>
      <c r="JM174" s="196" t="n">
        <f aca="false">VLOOKUP($JG$1,'Datos Iniciales'!$E$34:$O$64,JM$158,FALSE())*JM76</f>
        <v>0</v>
      </c>
      <c r="JN174" s="196" t="n">
        <f aca="false">VLOOKUP($JG$1,'Datos Iniciales'!$E$34:$O$64,JN$158,FALSE())*JN76</f>
        <v>0</v>
      </c>
      <c r="JO174" s="196" t="n">
        <f aca="false">VLOOKUP($JG$1,'Datos Iniciales'!$E$34:$O$64,JO$158,FALSE())*JO76</f>
        <v>0</v>
      </c>
      <c r="JP174" s="196" t="n">
        <f aca="false">VLOOKUP($JG$1,'Datos Iniciales'!$E$34:$O$64,JP$158,FALSE())*JP76</f>
        <v>0</v>
      </c>
      <c r="JQ174" s="197" t="n">
        <f aca="false">VLOOKUP($JG$1,'Datos Iniciales'!$E$34:$O$64,JQ$158,FALSE())*JQ76</f>
        <v>0</v>
      </c>
      <c r="JR174" s="194" t="str">
        <f aca="false">JG174</f>
        <v>Alumno15</v>
      </c>
      <c r="JS174" s="208" t="n">
        <f aca="false">VLOOKUP($JR$1,'Datos Iniciales'!$E$34:$O$64,JS$158,FALSE())*JS76</f>
        <v>0</v>
      </c>
      <c r="JT174" s="196" t="n">
        <f aca="false">VLOOKUP($JR$1,'Datos Iniciales'!$E$34:$O$64,JT$158,FALSE())*JT76</f>
        <v>0</v>
      </c>
      <c r="JU174" s="196" t="n">
        <f aca="false">VLOOKUP($JR$1,'Datos Iniciales'!$E$34:$O$64,JU$158,FALSE())*JU76</f>
        <v>0</v>
      </c>
      <c r="JV174" s="196" t="n">
        <f aca="false">VLOOKUP($JR$1,'Datos Iniciales'!$E$34:$O$64,JV$158,FALSE())*JV76</f>
        <v>0</v>
      </c>
      <c r="JW174" s="196" t="n">
        <f aca="false">VLOOKUP($JR$1,'Datos Iniciales'!$E$34:$O$64,JW$158,FALSE())*JW76</f>
        <v>0</v>
      </c>
      <c r="JX174" s="196" t="n">
        <f aca="false">VLOOKUP($JR$1,'Datos Iniciales'!$E$34:$O$64,JX$158,FALSE())*JX76</f>
        <v>0</v>
      </c>
      <c r="JY174" s="196" t="n">
        <f aca="false">VLOOKUP($JR$1,'Datos Iniciales'!$E$34:$O$64,JY$158,FALSE())*JY76</f>
        <v>0</v>
      </c>
      <c r="JZ174" s="196" t="n">
        <f aca="false">VLOOKUP($JR$1,'Datos Iniciales'!$E$34:$O$64,JZ$158,FALSE())*JZ76</f>
        <v>0</v>
      </c>
      <c r="KA174" s="196" t="n">
        <f aca="false">VLOOKUP($JR$1,'Datos Iniciales'!$E$34:$O$64,KA$158,FALSE())*KA76</f>
        <v>0</v>
      </c>
      <c r="KB174" s="197" t="n">
        <f aca="false">VLOOKUP($JR$1,'Datos Iniciales'!$E$34:$O$64,KB$158,FALSE())*KB76</f>
        <v>0</v>
      </c>
      <c r="KC174" s="194" t="str">
        <f aca="false">JR174</f>
        <v>Alumno15</v>
      </c>
      <c r="KD174" s="208" t="n">
        <f aca="false">VLOOKUP($KC$1,'Datos Iniciales'!$E$34:$O$64,KD$158,FALSE())*KD76</f>
        <v>0</v>
      </c>
      <c r="KE174" s="196" t="n">
        <f aca="false">VLOOKUP($KC$1,'Datos Iniciales'!$E$34:$O$64,KE$158,FALSE())*KE76</f>
        <v>0</v>
      </c>
      <c r="KF174" s="196" t="n">
        <f aca="false">VLOOKUP($KC$1,'Datos Iniciales'!$E$34:$O$64,KF$158,FALSE())*KF76</f>
        <v>0</v>
      </c>
      <c r="KG174" s="196" t="n">
        <f aca="false">VLOOKUP($KC$1,'Datos Iniciales'!$E$34:$O$64,KG$158,FALSE())*KG76</f>
        <v>0</v>
      </c>
      <c r="KH174" s="196" t="n">
        <f aca="false">VLOOKUP($KC$1,'Datos Iniciales'!$E$34:$O$64,KH$158,FALSE())*KH76</f>
        <v>0</v>
      </c>
      <c r="KI174" s="196" t="n">
        <f aca="false">VLOOKUP($KC$1,'Datos Iniciales'!$E$34:$O$64,KI$158,FALSE())*KI76</f>
        <v>0</v>
      </c>
      <c r="KJ174" s="196" t="n">
        <f aca="false">VLOOKUP($KC$1,'Datos Iniciales'!$E$34:$O$64,KJ$158,FALSE())*KJ76</f>
        <v>0</v>
      </c>
      <c r="KK174" s="196" t="n">
        <f aca="false">VLOOKUP($KC$1,'Datos Iniciales'!$E$34:$O$64,KK$158,FALSE())*KK76</f>
        <v>0</v>
      </c>
      <c r="KL174" s="196" t="n">
        <f aca="false">VLOOKUP($KC$1,'Datos Iniciales'!$E$34:$O$64,KL$158,FALSE())*KL76</f>
        <v>0</v>
      </c>
      <c r="KM174" s="197" t="n">
        <f aca="false">VLOOKUP($KC$1,'Datos Iniciales'!$E$34:$O$64,KM$158,FALSE())*KM76</f>
        <v>0</v>
      </c>
      <c r="KN174" s="194" t="str">
        <f aca="false">KC174</f>
        <v>Alumno15</v>
      </c>
      <c r="KO174" s="208" t="n">
        <f aca="false">VLOOKUP($KN$1,'Datos Iniciales'!$E$34:$O$64,KO$158,FALSE())*KO76</f>
        <v>0</v>
      </c>
      <c r="KP174" s="196" t="n">
        <f aca="false">VLOOKUP($KN$1,'Datos Iniciales'!$E$34:$O$64,KP$158,FALSE())*KP76</f>
        <v>0</v>
      </c>
      <c r="KQ174" s="196" t="n">
        <f aca="false">VLOOKUP($KN$1,'Datos Iniciales'!$E$34:$O$64,KQ$158,FALSE())*KQ76</f>
        <v>0</v>
      </c>
      <c r="KR174" s="196" t="n">
        <f aca="false">VLOOKUP($KN$1,'Datos Iniciales'!$E$34:$O$64,KR$158,FALSE())*KR76</f>
        <v>0</v>
      </c>
      <c r="KS174" s="196" t="n">
        <f aca="false">VLOOKUP($KN$1,'Datos Iniciales'!$E$34:$O$64,KS$158,FALSE())*KS76</f>
        <v>0</v>
      </c>
      <c r="KT174" s="196" t="n">
        <f aca="false">VLOOKUP($KN$1,'Datos Iniciales'!$E$34:$O$64,KT$158,FALSE())*KT76</f>
        <v>0</v>
      </c>
      <c r="KU174" s="196" t="n">
        <f aca="false">VLOOKUP($KN$1,'Datos Iniciales'!$E$34:$O$64,KU$158,FALSE())*KU76</f>
        <v>0</v>
      </c>
      <c r="KV174" s="196" t="n">
        <f aca="false">VLOOKUP($KN$1,'Datos Iniciales'!$E$34:$O$64,KV$158,FALSE())*KV76</f>
        <v>0</v>
      </c>
      <c r="KW174" s="196" t="n">
        <f aca="false">VLOOKUP($KN$1,'Datos Iniciales'!$E$34:$O$64,KW$158,FALSE())*KW76</f>
        <v>0</v>
      </c>
      <c r="KX174" s="197" t="n">
        <f aca="false">VLOOKUP($KN$1,'Datos Iniciales'!$E$34:$O$64,KX$158,FALSE())*KX76</f>
        <v>0</v>
      </c>
      <c r="KY174" s="194" t="str">
        <f aca="false">KN174</f>
        <v>Alumno15</v>
      </c>
      <c r="KZ174" s="208" t="n">
        <f aca="false">VLOOKUP($KY$1,'Datos Iniciales'!$E$34:$O$64,KZ$158,FALSE())*KZ76</f>
        <v>0</v>
      </c>
      <c r="LA174" s="196" t="n">
        <f aca="false">VLOOKUP($KY$1,'Datos Iniciales'!$E$34:$O$64,LA$158,FALSE())*LA76</f>
        <v>0</v>
      </c>
      <c r="LB174" s="196" t="n">
        <f aca="false">VLOOKUP($KY$1,'Datos Iniciales'!$E$34:$O$64,LB$158,FALSE())*LB76</f>
        <v>0</v>
      </c>
      <c r="LC174" s="196" t="n">
        <f aca="false">VLOOKUP($KY$1,'Datos Iniciales'!$E$34:$O$64,LC$158,FALSE())*LC76</f>
        <v>0</v>
      </c>
      <c r="LD174" s="196" t="n">
        <f aca="false">VLOOKUP($KY$1,'Datos Iniciales'!$E$34:$O$64,LD$158,FALSE())*LD76</f>
        <v>0</v>
      </c>
      <c r="LE174" s="196" t="n">
        <f aca="false">VLOOKUP($KY$1,'Datos Iniciales'!$E$34:$O$64,LE$158,FALSE())*LE76</f>
        <v>0</v>
      </c>
      <c r="LF174" s="196" t="n">
        <f aca="false">VLOOKUP($KY$1,'Datos Iniciales'!$E$34:$O$64,LF$158,FALSE())*LF76</f>
        <v>0</v>
      </c>
      <c r="LG174" s="196" t="n">
        <f aca="false">VLOOKUP($KY$1,'Datos Iniciales'!$E$34:$O$64,LG$158,FALSE())*LG76</f>
        <v>0</v>
      </c>
      <c r="LH174" s="196" t="n">
        <f aca="false">VLOOKUP($KY$1,'Datos Iniciales'!$E$34:$O$64,LH$158,FALSE())*LH76</f>
        <v>0</v>
      </c>
      <c r="LI174" s="197" t="n">
        <f aca="false">VLOOKUP($KY$1,'Datos Iniciales'!$E$34:$O$64,LI$158,FALSE())*LI76</f>
        <v>0</v>
      </c>
      <c r="LJ174" s="194" t="str">
        <f aca="false">KY174</f>
        <v>Alumno15</v>
      </c>
      <c r="LK174" s="208" t="n">
        <f aca="false">VLOOKUP($LJ$1,'Datos Iniciales'!$E$34:$O$64,LK$158,FALSE())*LK76</f>
        <v>0</v>
      </c>
      <c r="LL174" s="196" t="n">
        <f aca="false">VLOOKUP($LJ$1,'Datos Iniciales'!$E$34:$O$64,LL$158,FALSE())*LL76</f>
        <v>0</v>
      </c>
      <c r="LM174" s="196" t="n">
        <f aca="false">VLOOKUP($LJ$1,'Datos Iniciales'!$E$34:$O$64,LM$158,FALSE())*LM76</f>
        <v>0</v>
      </c>
      <c r="LN174" s="196" t="n">
        <f aca="false">VLOOKUP($LJ$1,'Datos Iniciales'!$E$34:$O$64,LN$158,FALSE())*LN76</f>
        <v>0</v>
      </c>
      <c r="LO174" s="196" t="n">
        <f aca="false">VLOOKUP($LJ$1,'Datos Iniciales'!$E$34:$O$64,LO$158,FALSE())*LO76</f>
        <v>0</v>
      </c>
      <c r="LP174" s="196" t="n">
        <f aca="false">VLOOKUP($LJ$1,'Datos Iniciales'!$E$34:$O$64,LP$158,FALSE())*LP76</f>
        <v>0</v>
      </c>
      <c r="LQ174" s="196" t="n">
        <f aca="false">VLOOKUP($LJ$1,'Datos Iniciales'!$E$34:$O$64,LQ$158,FALSE())*LQ76</f>
        <v>0</v>
      </c>
      <c r="LR174" s="196" t="n">
        <f aca="false">VLOOKUP($LJ$1,'Datos Iniciales'!$E$34:$O$64,LR$158,FALSE())*LR76</f>
        <v>0</v>
      </c>
      <c r="LS174" s="196" t="n">
        <f aca="false">VLOOKUP($LJ$1,'Datos Iniciales'!$E$34:$O$64,LS$158,FALSE())*LS76</f>
        <v>0</v>
      </c>
      <c r="LT174" s="197" t="n">
        <f aca="false">VLOOKUP($LJ$1,'Datos Iniciales'!$E$34:$O$64,LT$158,FALSE())*LT76</f>
        <v>0</v>
      </c>
    </row>
    <row r="175" customFormat="false" ht="15" hidden="true" customHeight="false" outlineLevel="0" collapsed="false">
      <c r="C175" s="194" t="str">
        <f aca="false">C126</f>
        <v>Alumno16</v>
      </c>
      <c r="D175" s="208" t="n">
        <f aca="false">VLOOKUP($C$1,'Datos Iniciales'!$E$34:$O$64,D$158,FALSE())*D77</f>
        <v>2.3875</v>
      </c>
      <c r="E175" s="196" t="n">
        <f aca="false">VLOOKUP($C$1,'Datos Iniciales'!$E$34:$O$64,E$158,FALSE())*E77</f>
        <v>0</v>
      </c>
      <c r="F175" s="196" t="n">
        <f aca="false">VLOOKUP($C$1,'Datos Iniciales'!$E$34:$O$64,F$158,FALSE())*F77</f>
        <v>0</v>
      </c>
      <c r="G175" s="196" t="n">
        <f aca="false">VLOOKUP($C$1,'Datos Iniciales'!$E$34:$O$64,G$158,FALSE())*G77</f>
        <v>0</v>
      </c>
      <c r="H175" s="196" t="n">
        <f aca="false">VLOOKUP($C$1,'Datos Iniciales'!$E$34:$O$64,H$158,FALSE())*H77</f>
        <v>0</v>
      </c>
      <c r="I175" s="196" t="n">
        <f aca="false">VLOOKUP($C$1,'Datos Iniciales'!$E$34:$O$64,I$158,FALSE())*I77</f>
        <v>0</v>
      </c>
      <c r="J175" s="196" t="n">
        <f aca="false">VLOOKUP($C$1,'Datos Iniciales'!$E$34:$O$64,J$158,FALSE())*J77</f>
        <v>0</v>
      </c>
      <c r="K175" s="196" t="n">
        <f aca="false">VLOOKUP($C$1,'Datos Iniciales'!$E$34:$O$64,K$158,FALSE())*K77</f>
        <v>0</v>
      </c>
      <c r="L175" s="196" t="n">
        <f aca="false">VLOOKUP($C$1,'Datos Iniciales'!$E$34:$O$64,L$158,FALSE())*L77</f>
        <v>0</v>
      </c>
      <c r="M175" s="197" t="n">
        <f aca="false">VLOOKUP($C$1,'Datos Iniciales'!$E$34:$O$64,M$158,FALSE())*M77</f>
        <v>0</v>
      </c>
      <c r="N175" s="194" t="str">
        <f aca="false">C175</f>
        <v>Alumno16</v>
      </c>
      <c r="O175" s="208" t="n">
        <f aca="false">VLOOKUP($N$1,'Datos Iniciales'!$E$34:$O$64,O$158,FALSE())*O77</f>
        <v>1.9</v>
      </c>
      <c r="P175" s="196" t="n">
        <f aca="false">VLOOKUP($N$1,'Datos Iniciales'!$E$34:$O$64,P$158,FALSE())*P77</f>
        <v>2</v>
      </c>
      <c r="Q175" s="196" t="n">
        <f aca="false">VLOOKUP($N$1,'Datos Iniciales'!$E$34:$O$64,Q$158,FALSE())*Q77</f>
        <v>0</v>
      </c>
      <c r="R175" s="196" t="n">
        <f aca="false">VLOOKUP($N$1,'Datos Iniciales'!$E$34:$O$64,R$158,FALSE())*R77</f>
        <v>0</v>
      </c>
      <c r="S175" s="196" t="n">
        <f aca="false">VLOOKUP($N$1,'Datos Iniciales'!$E$34:$O$64,S$158,FALSE())*S77</f>
        <v>0</v>
      </c>
      <c r="T175" s="196" t="n">
        <f aca="false">VLOOKUP($N$1,'Datos Iniciales'!$E$34:$O$64,T$158,FALSE())*T77</f>
        <v>0</v>
      </c>
      <c r="U175" s="196" t="n">
        <f aca="false">VLOOKUP($N$1,'Datos Iniciales'!$E$34:$O$64,U$158,FALSE())*U77</f>
        <v>0</v>
      </c>
      <c r="V175" s="196" t="n">
        <f aca="false">VLOOKUP($N$1,'Datos Iniciales'!$E$34:$O$64,V$158,FALSE())*V77</f>
        <v>0</v>
      </c>
      <c r="W175" s="196" t="n">
        <f aca="false">VLOOKUP($N$1,'Datos Iniciales'!$E$34:$O$64,W$158,FALSE())*W77</f>
        <v>0</v>
      </c>
      <c r="X175" s="197" t="n">
        <f aca="false">VLOOKUP($N$1,'Datos Iniciales'!$E$34:$O$64,X$158,FALSE())*X77</f>
        <v>0</v>
      </c>
      <c r="Y175" s="194" t="str">
        <f aca="false">N175</f>
        <v>Alumno16</v>
      </c>
      <c r="Z175" s="208" t="n">
        <f aca="false">VLOOKUP($Y$1,'Datos Iniciales'!$E$34:$O$64,Z$158,FALSE())*Z77</f>
        <v>1.5</v>
      </c>
      <c r="AA175" s="196" t="n">
        <f aca="false">VLOOKUP($Y$1,'Datos Iniciales'!$E$34:$O$64,AA$158,FALSE())*AA77</f>
        <v>1</v>
      </c>
      <c r="AB175" s="196" t="n">
        <f aca="false">VLOOKUP($Y$1,'Datos Iniciales'!$E$34:$O$64,AB$158,FALSE())*AB77</f>
        <v>0.5</v>
      </c>
      <c r="AC175" s="196" t="n">
        <f aca="false">VLOOKUP($Y$1,'Datos Iniciales'!$E$34:$O$64,AC$158,FALSE())*AC77</f>
        <v>0</v>
      </c>
      <c r="AD175" s="196" t="n">
        <f aca="false">VLOOKUP($Y$1,'Datos Iniciales'!$E$34:$O$64,AD$158,FALSE())*AD77</f>
        <v>0</v>
      </c>
      <c r="AE175" s="196" t="n">
        <f aca="false">VLOOKUP($Y$1,'Datos Iniciales'!$E$34:$O$64,AE$158,FALSE())*AE77</f>
        <v>0</v>
      </c>
      <c r="AF175" s="196" t="n">
        <f aca="false">VLOOKUP($Y$1,'Datos Iniciales'!$E$34:$O$64,AF$158,FALSE())*AF77</f>
        <v>0</v>
      </c>
      <c r="AG175" s="196" t="n">
        <f aca="false">VLOOKUP($Y$1,'Datos Iniciales'!$E$34:$O$64,AG$158,FALSE())*AG77</f>
        <v>0</v>
      </c>
      <c r="AH175" s="196" t="n">
        <f aca="false">VLOOKUP($Y$1,'Datos Iniciales'!$E$34:$O$64,AH$158,FALSE())*AH77</f>
        <v>0</v>
      </c>
      <c r="AI175" s="197" t="n">
        <f aca="false">VLOOKUP($Y$1,'Datos Iniciales'!$E$34:$O$64,AI$158,FALSE())*AI77</f>
        <v>0</v>
      </c>
      <c r="AJ175" s="194" t="str">
        <f aca="false">Y175</f>
        <v>Alumno16</v>
      </c>
      <c r="AK175" s="208" t="n">
        <f aca="false">VLOOKUP($AJ$1,'Datos Iniciales'!$E$34:$O$64,AK$158,FALSE())*AK77</f>
        <v>0.5</v>
      </c>
      <c r="AL175" s="196" t="n">
        <f aca="false">VLOOKUP($AJ$1,'Datos Iniciales'!$E$34:$O$64,AL$158,FALSE())*AL77</f>
        <v>1.5</v>
      </c>
      <c r="AM175" s="196" t="n">
        <f aca="false">VLOOKUP($AJ$1,'Datos Iniciales'!$E$34:$O$64,AM$158,FALSE())*AM77</f>
        <v>1.75</v>
      </c>
      <c r="AN175" s="196" t="n">
        <f aca="false">VLOOKUP($AJ$1,'Datos Iniciales'!$E$34:$O$64,AN$158,FALSE())*AN77</f>
        <v>0</v>
      </c>
      <c r="AO175" s="196" t="n">
        <f aca="false">VLOOKUP($AJ$1,'Datos Iniciales'!$E$34:$O$64,AO$158,FALSE())*AO77</f>
        <v>0</v>
      </c>
      <c r="AP175" s="196" t="n">
        <f aca="false">VLOOKUP($AJ$1,'Datos Iniciales'!$E$34:$O$64,AP$158,FALSE())*AP77</f>
        <v>0</v>
      </c>
      <c r="AQ175" s="196" t="n">
        <f aca="false">VLOOKUP($AJ$1,'Datos Iniciales'!$E$34:$O$64,AQ$158,FALSE())*AQ77</f>
        <v>0</v>
      </c>
      <c r="AR175" s="196" t="n">
        <f aca="false">VLOOKUP($AJ$1,'Datos Iniciales'!$E$34:$O$64,AR$158,FALSE())*AR77</f>
        <v>0</v>
      </c>
      <c r="AS175" s="196" t="n">
        <f aca="false">VLOOKUP($AJ$1,'Datos Iniciales'!$E$34:$O$64,AS$158,FALSE())*AS77</f>
        <v>0</v>
      </c>
      <c r="AT175" s="197" t="n">
        <f aca="false">VLOOKUP($AJ$1,'Datos Iniciales'!$E$34:$O$64,AT$158,FALSE())*AT77</f>
        <v>0</v>
      </c>
      <c r="AU175" s="194" t="str">
        <f aca="false">AJ175</f>
        <v>Alumno16</v>
      </c>
      <c r="AV175" s="208" t="n">
        <f aca="false">VLOOKUP($AU$1,'Datos Iniciales'!$E$34:$O$64,AV$158,FALSE())*AV77</f>
        <v>0.45</v>
      </c>
      <c r="AW175" s="196" t="n">
        <f aca="false">VLOOKUP($AU$1,'Datos Iniciales'!$E$34:$O$64,AW$158,FALSE())*AW77</f>
        <v>1</v>
      </c>
      <c r="AX175" s="196" t="n">
        <f aca="false">VLOOKUP($AU$1,'Datos Iniciales'!$E$34:$O$64,AX$158,FALSE())*AX77</f>
        <v>3</v>
      </c>
      <c r="AY175" s="196" t="n">
        <f aca="false">VLOOKUP($AU$1,'Datos Iniciales'!$E$34:$O$64,AY$158,FALSE())*AY77</f>
        <v>0.9</v>
      </c>
      <c r="AZ175" s="196" t="n">
        <f aca="false">VLOOKUP($AU$1,'Datos Iniciales'!$E$34:$O$64,AZ$158,FALSE())*AZ77</f>
        <v>0</v>
      </c>
      <c r="BA175" s="196" t="n">
        <f aca="false">VLOOKUP($AU$1,'Datos Iniciales'!$E$34:$O$64,BA$158,FALSE())*BA77</f>
        <v>0</v>
      </c>
      <c r="BB175" s="196" t="n">
        <f aca="false">VLOOKUP($AU$1,'Datos Iniciales'!$E$34:$O$64,BB$158,FALSE())*BB77</f>
        <v>0</v>
      </c>
      <c r="BC175" s="196" t="n">
        <f aca="false">VLOOKUP($AU$1,'Datos Iniciales'!$E$34:$O$64,BC$158,FALSE())*BC77</f>
        <v>0</v>
      </c>
      <c r="BD175" s="196" t="n">
        <f aca="false">VLOOKUP($AU$1,'Datos Iniciales'!$E$34:$O$64,BD$158,FALSE())*BD77</f>
        <v>0</v>
      </c>
      <c r="BE175" s="197" t="n">
        <f aca="false">VLOOKUP($AU$1,'Datos Iniciales'!$E$34:$O$64,BE$158,FALSE())*BE77</f>
        <v>0</v>
      </c>
      <c r="BF175" s="194" t="str">
        <f aca="false">AU175</f>
        <v>Alumno16</v>
      </c>
      <c r="BG175" s="208" t="n">
        <f aca="false">VLOOKUP($BF$1,'Datos Iniciales'!$E$34:$O$64,BG$158,FALSE())*BG77</f>
        <v>0.9</v>
      </c>
      <c r="BH175" s="196" t="n">
        <f aca="false">VLOOKUP($BF$1,'Datos Iniciales'!$E$34:$O$64,BH$158,FALSE())*BH77</f>
        <v>1.5</v>
      </c>
      <c r="BI175" s="196" t="n">
        <f aca="false">VLOOKUP($BF$1,'Datos Iniciales'!$E$34:$O$64,BI$158,FALSE())*BI77</f>
        <v>1</v>
      </c>
      <c r="BJ175" s="196" t="n">
        <f aca="false">VLOOKUP($BF$1,'Datos Iniciales'!$E$34:$O$64,BJ$158,FALSE())*BJ77</f>
        <v>3.76</v>
      </c>
      <c r="BK175" s="196" t="n">
        <f aca="false">VLOOKUP($BF$1,'Datos Iniciales'!$E$34:$O$64,BK$158,FALSE())*BK77</f>
        <v>0</v>
      </c>
      <c r="BL175" s="196" t="n">
        <f aca="false">VLOOKUP($BF$1,'Datos Iniciales'!$E$34:$O$64,BL$158,FALSE())*BL77</f>
        <v>0</v>
      </c>
      <c r="BM175" s="196" t="n">
        <f aca="false">VLOOKUP($BF$1,'Datos Iniciales'!$E$34:$O$64,BM$158,FALSE())*BM77</f>
        <v>0</v>
      </c>
      <c r="BN175" s="196" t="n">
        <f aca="false">VLOOKUP($BF$1,'Datos Iniciales'!$E$34:$O$64,BN$158,FALSE())*BN77</f>
        <v>0</v>
      </c>
      <c r="BO175" s="196" t="n">
        <f aca="false">VLOOKUP($BF$1,'Datos Iniciales'!$E$34:$O$64,BO$158,FALSE())*BO77</f>
        <v>0</v>
      </c>
      <c r="BP175" s="197" t="n">
        <f aca="false">VLOOKUP($BF$1,'Datos Iniciales'!$E$34:$O$64,BP$158,FALSE())*BP77</f>
        <v>0</v>
      </c>
      <c r="BQ175" s="194" t="str">
        <f aca="false">BF175</f>
        <v>Alumno16</v>
      </c>
      <c r="BR175" s="208" t="n">
        <f aca="false">VLOOKUP($BQ$1,'Datos Iniciales'!$E$34:$O$64,BR$158,FALSE())*BR77</f>
        <v>0</v>
      </c>
      <c r="BS175" s="196" t="n">
        <f aca="false">VLOOKUP($BQ$1,'Datos Iniciales'!$E$34:$O$64,BS$158,FALSE())*BS77</f>
        <v>0.25</v>
      </c>
      <c r="BT175" s="196" t="n">
        <f aca="false">VLOOKUP($BQ$1,'Datos Iniciales'!$E$34:$O$64,BT$158,FALSE())*BT77</f>
        <v>0.6</v>
      </c>
      <c r="BU175" s="196" t="n">
        <f aca="false">VLOOKUP($BQ$1,'Datos Iniciales'!$E$34:$O$64,BU$158,FALSE())*BU77</f>
        <v>2.3</v>
      </c>
      <c r="BV175" s="196" t="n">
        <f aca="false">VLOOKUP($BQ$1,'Datos Iniciales'!$E$34:$O$64,BV$158,FALSE())*BV77</f>
        <v>0</v>
      </c>
      <c r="BW175" s="196" t="n">
        <f aca="false">VLOOKUP($BQ$1,'Datos Iniciales'!$E$34:$O$64,BW$158,FALSE())*BW77</f>
        <v>0</v>
      </c>
      <c r="BX175" s="196" t="n">
        <f aca="false">VLOOKUP($BQ$1,'Datos Iniciales'!$E$34:$O$64,BX$158,FALSE())*BX77</f>
        <v>0</v>
      </c>
      <c r="BY175" s="196" t="n">
        <f aca="false">VLOOKUP($BQ$1,'Datos Iniciales'!$E$34:$O$64,BY$158,FALSE())*BY77</f>
        <v>0</v>
      </c>
      <c r="BZ175" s="196" t="n">
        <f aca="false">VLOOKUP($BQ$1,'Datos Iniciales'!$E$34:$O$64,BZ$158,FALSE())*BZ77</f>
        <v>0</v>
      </c>
      <c r="CA175" s="197" t="n">
        <f aca="false">VLOOKUP($BQ$1,'Datos Iniciales'!$E$34:$O$64,CA$158,FALSE())*CA77</f>
        <v>0</v>
      </c>
      <c r="CB175" s="194" t="str">
        <f aca="false">BQ175</f>
        <v>Alumno16</v>
      </c>
      <c r="CC175" s="208" t="n">
        <f aca="false">VLOOKUP($CB$1,'Datos Iniciales'!$E$34:$O$64,CC$158,FALSE())*CC77</f>
        <v>0</v>
      </c>
      <c r="CD175" s="196" t="n">
        <f aca="false">VLOOKUP($CB$1,'Datos Iniciales'!$E$34:$O$64,CD$158,FALSE())*CD77</f>
        <v>0</v>
      </c>
      <c r="CE175" s="196" t="n">
        <f aca="false">VLOOKUP($CB$1,'Datos Iniciales'!$E$34:$O$64,CE$158,FALSE())*CE77</f>
        <v>0</v>
      </c>
      <c r="CF175" s="196" t="n">
        <f aca="false">VLOOKUP($CB$1,'Datos Iniciales'!$E$34:$O$64,CF$158,FALSE())*CF77</f>
        <v>0</v>
      </c>
      <c r="CG175" s="196" t="n">
        <f aca="false">VLOOKUP($CB$1,'Datos Iniciales'!$E$34:$O$64,CG$158,FALSE())*CG77</f>
        <v>0</v>
      </c>
      <c r="CH175" s="196" t="n">
        <f aca="false">VLOOKUP($CB$1,'Datos Iniciales'!$E$34:$O$64,CH$158,FALSE())*CH77</f>
        <v>0</v>
      </c>
      <c r="CI175" s="196" t="n">
        <f aca="false">VLOOKUP($CB$1,'Datos Iniciales'!$E$34:$O$64,CI$158,FALSE())*CI77</f>
        <v>0</v>
      </c>
      <c r="CJ175" s="196" t="n">
        <f aca="false">VLOOKUP($CB$1,'Datos Iniciales'!$E$34:$O$64,CJ$158,FALSE())*CJ77</f>
        <v>0</v>
      </c>
      <c r="CK175" s="196" t="n">
        <f aca="false">VLOOKUP($CB$1,'Datos Iniciales'!$E$34:$O$64,CK$158,FALSE())*CK77</f>
        <v>0</v>
      </c>
      <c r="CL175" s="197" t="n">
        <f aca="false">VLOOKUP($CB$1,'Datos Iniciales'!$E$34:$O$64,CL$158,FALSE())*CL77</f>
        <v>0</v>
      </c>
      <c r="CM175" s="194" t="str">
        <f aca="false">CB175</f>
        <v>Alumno16</v>
      </c>
      <c r="CN175" s="208" t="n">
        <f aca="false">VLOOKUP($CM$1,'Datos Iniciales'!$E$34:$O$64,CN$158,FALSE())*CN77</f>
        <v>0</v>
      </c>
      <c r="CO175" s="196" t="n">
        <f aca="false">VLOOKUP($CM$1,'Datos Iniciales'!$E$34:$O$64,CO$158,FALSE())*CO77</f>
        <v>0</v>
      </c>
      <c r="CP175" s="196" t="n">
        <f aca="false">VLOOKUP($CM$1,'Datos Iniciales'!$E$34:$O$64,CP$158,FALSE())*CP77</f>
        <v>0</v>
      </c>
      <c r="CQ175" s="196" t="n">
        <f aca="false">VLOOKUP($CM$1,'Datos Iniciales'!$E$34:$O$64,CQ$158,FALSE())*CQ77</f>
        <v>0</v>
      </c>
      <c r="CR175" s="196" t="n">
        <f aca="false">VLOOKUP($CM$1,'Datos Iniciales'!$E$34:$O$64,CR$158,FALSE())*CR77</f>
        <v>0</v>
      </c>
      <c r="CS175" s="196" t="n">
        <f aca="false">VLOOKUP($CM$1,'Datos Iniciales'!$E$34:$O$64,CS$158,FALSE())*CS77</f>
        <v>0</v>
      </c>
      <c r="CT175" s="196" t="n">
        <f aca="false">VLOOKUP($CM$1,'Datos Iniciales'!$E$34:$O$64,CT$158,FALSE())*CT77</f>
        <v>0</v>
      </c>
      <c r="CU175" s="196" t="n">
        <f aca="false">VLOOKUP($CM$1,'Datos Iniciales'!$E$34:$O$64,CU$158,FALSE())*CU77</f>
        <v>0</v>
      </c>
      <c r="CV175" s="196" t="n">
        <f aca="false">VLOOKUP($CM$1,'Datos Iniciales'!$E$34:$O$64,CV$158,FALSE())*CV77</f>
        <v>0</v>
      </c>
      <c r="CW175" s="197" t="n">
        <f aca="false">VLOOKUP($CM$1,'Datos Iniciales'!$E$34:$O$64,CW$158,FALSE())*CW77</f>
        <v>0</v>
      </c>
      <c r="CX175" s="194" t="str">
        <f aca="false">CM175</f>
        <v>Alumno16</v>
      </c>
      <c r="CY175" s="208" t="n">
        <f aca="false">VLOOKUP($CX$1,'Datos Iniciales'!$E$34:$O$64,CY$158,FALSE())*CY77</f>
        <v>0</v>
      </c>
      <c r="CZ175" s="196" t="n">
        <f aca="false">VLOOKUP($CX$1,'Datos Iniciales'!$E$34:$O$64,CZ$158,FALSE())*CZ77</f>
        <v>0</v>
      </c>
      <c r="DA175" s="196" t="n">
        <f aca="false">VLOOKUP($CX$1,'Datos Iniciales'!$E$34:$O$64,DA$158,FALSE())*DA77</f>
        <v>0</v>
      </c>
      <c r="DB175" s="196" t="n">
        <f aca="false">VLOOKUP($CX$1,'Datos Iniciales'!$E$34:$O$64,DB$158,FALSE())*DB77</f>
        <v>0</v>
      </c>
      <c r="DC175" s="196" t="n">
        <f aca="false">VLOOKUP($CX$1,'Datos Iniciales'!$E$34:$O$64,DC$158,FALSE())*DC77</f>
        <v>0</v>
      </c>
      <c r="DD175" s="196" t="n">
        <f aca="false">VLOOKUP($CX$1,'Datos Iniciales'!$E$34:$O$64,DD$158,FALSE())*DD77</f>
        <v>0</v>
      </c>
      <c r="DE175" s="196" t="n">
        <f aca="false">VLOOKUP($CX$1,'Datos Iniciales'!$E$34:$O$64,DE$158,FALSE())*DE77</f>
        <v>0</v>
      </c>
      <c r="DF175" s="196" t="n">
        <f aca="false">VLOOKUP($CX$1,'Datos Iniciales'!$E$34:$O$64,DF$158,FALSE())*DF77</f>
        <v>0</v>
      </c>
      <c r="DG175" s="196" t="n">
        <f aca="false">VLOOKUP($CX$1,'Datos Iniciales'!$E$34:$O$64,DG$158,FALSE())*DG77</f>
        <v>0</v>
      </c>
      <c r="DH175" s="197" t="n">
        <f aca="false">VLOOKUP($CX$1,'Datos Iniciales'!$E$34:$O$64,DH$158,FALSE())*DH77</f>
        <v>0</v>
      </c>
      <c r="DI175" s="194" t="str">
        <f aca="false">CX175</f>
        <v>Alumno16</v>
      </c>
      <c r="DJ175" s="208" t="n">
        <f aca="false">VLOOKUP($DI$1,'Datos Iniciales'!$E$34:$O$64,DJ$158,FALSE())*DJ77</f>
        <v>0</v>
      </c>
      <c r="DK175" s="196" t="n">
        <f aca="false">VLOOKUP($DI$1,'Datos Iniciales'!$E$34:$O$64,DK$158,FALSE())*DK77</f>
        <v>0</v>
      </c>
      <c r="DL175" s="196" t="n">
        <f aca="false">VLOOKUP($DI$1,'Datos Iniciales'!$E$34:$O$64,DL$158,FALSE())*DL77</f>
        <v>0</v>
      </c>
      <c r="DM175" s="196" t="n">
        <f aca="false">VLOOKUP($DI$1,'Datos Iniciales'!$E$34:$O$64,DM$158,FALSE())*DM77</f>
        <v>0</v>
      </c>
      <c r="DN175" s="196" t="n">
        <f aca="false">VLOOKUP($DI$1,'Datos Iniciales'!$E$34:$O$64,DN$158,FALSE())*DN77</f>
        <v>0</v>
      </c>
      <c r="DO175" s="196" t="n">
        <f aca="false">VLOOKUP($DI$1,'Datos Iniciales'!$E$34:$O$64,DO$158,FALSE())*DO77</f>
        <v>0</v>
      </c>
      <c r="DP175" s="196" t="n">
        <f aca="false">VLOOKUP($DI$1,'Datos Iniciales'!$E$34:$O$64,DP$158,FALSE())*DP77</f>
        <v>0</v>
      </c>
      <c r="DQ175" s="196" t="n">
        <f aca="false">VLOOKUP($DI$1,'Datos Iniciales'!$E$34:$O$64,DQ$158,FALSE())*DQ77</f>
        <v>0</v>
      </c>
      <c r="DR175" s="196" t="n">
        <f aca="false">VLOOKUP($DI$1,'Datos Iniciales'!$E$34:$O$64,DR$158,FALSE())*DR77</f>
        <v>0</v>
      </c>
      <c r="DS175" s="197" t="n">
        <f aca="false">VLOOKUP($DI$1,'Datos Iniciales'!$E$34:$O$64,DS$158,FALSE())*DS77</f>
        <v>0</v>
      </c>
      <c r="DT175" s="194" t="str">
        <f aca="false">DI175</f>
        <v>Alumno16</v>
      </c>
      <c r="DU175" s="208" t="n">
        <f aca="false">VLOOKUP($DT$1,'Datos Iniciales'!$E$34:$O$64,DU$158,FALSE())*DU77</f>
        <v>0</v>
      </c>
      <c r="DV175" s="196" t="n">
        <f aca="false">VLOOKUP($DT$1,'Datos Iniciales'!$E$34:$O$64,DV$158,FALSE())*DV77</f>
        <v>0</v>
      </c>
      <c r="DW175" s="196" t="n">
        <f aca="false">VLOOKUP($DT$1,'Datos Iniciales'!$E$34:$O$64,DW$158,FALSE())*DW77</f>
        <v>0</v>
      </c>
      <c r="DX175" s="196" t="n">
        <f aca="false">VLOOKUP($DT$1,'Datos Iniciales'!$E$34:$O$64,DX$158,FALSE())*DX77</f>
        <v>0</v>
      </c>
      <c r="DY175" s="196" t="n">
        <f aca="false">VLOOKUP($DT$1,'Datos Iniciales'!$E$34:$O$64,DY$158,FALSE())*DY77</f>
        <v>0</v>
      </c>
      <c r="DZ175" s="196" t="n">
        <f aca="false">VLOOKUP($DT$1,'Datos Iniciales'!$E$34:$O$64,DZ$158,FALSE())*DZ77</f>
        <v>0</v>
      </c>
      <c r="EA175" s="196" t="n">
        <f aca="false">VLOOKUP($DT$1,'Datos Iniciales'!$E$34:$O$64,EA$158,FALSE())*EA77</f>
        <v>0</v>
      </c>
      <c r="EB175" s="196" t="n">
        <f aca="false">VLOOKUP($DT$1,'Datos Iniciales'!$E$34:$O$64,EB$158,FALSE())*EB77</f>
        <v>0</v>
      </c>
      <c r="EC175" s="196" t="n">
        <f aca="false">VLOOKUP($DT$1,'Datos Iniciales'!$E$34:$O$64,EC$158,FALSE())*EC77</f>
        <v>0</v>
      </c>
      <c r="ED175" s="197" t="n">
        <f aca="false">VLOOKUP($DT$1,'Datos Iniciales'!$E$34:$O$64,ED$158,FALSE())*ED77</f>
        <v>0</v>
      </c>
      <c r="EE175" s="194" t="str">
        <f aca="false">DT175</f>
        <v>Alumno16</v>
      </c>
      <c r="EF175" s="208" t="n">
        <f aca="false">VLOOKUP($EE$1,'Datos Iniciales'!$E$34:$O$64,EF$158,FALSE())*EF77</f>
        <v>0</v>
      </c>
      <c r="EG175" s="196" t="n">
        <f aca="false">VLOOKUP($EE$1,'Datos Iniciales'!$E$34:$O$64,EG$158,FALSE())*EG77</f>
        <v>0</v>
      </c>
      <c r="EH175" s="196" t="n">
        <f aca="false">VLOOKUP($EE$1,'Datos Iniciales'!$E$34:$O$64,EH$158,FALSE())*EH77</f>
        <v>0</v>
      </c>
      <c r="EI175" s="196" t="n">
        <f aca="false">VLOOKUP($EE$1,'Datos Iniciales'!$E$34:$O$64,EI$158,FALSE())*EI77</f>
        <v>0</v>
      </c>
      <c r="EJ175" s="196" t="n">
        <f aca="false">VLOOKUP($EE$1,'Datos Iniciales'!$E$34:$O$64,EJ$158,FALSE())*EJ77</f>
        <v>0</v>
      </c>
      <c r="EK175" s="196" t="n">
        <f aca="false">VLOOKUP($EE$1,'Datos Iniciales'!$E$34:$O$64,EK$158,FALSE())*EK77</f>
        <v>0</v>
      </c>
      <c r="EL175" s="196" t="n">
        <f aca="false">VLOOKUP($EE$1,'Datos Iniciales'!$E$34:$O$64,EL$158,FALSE())*EL77</f>
        <v>0</v>
      </c>
      <c r="EM175" s="196" t="n">
        <f aca="false">VLOOKUP($EE$1,'Datos Iniciales'!$E$34:$O$64,EM$158,FALSE())*EM77</f>
        <v>0</v>
      </c>
      <c r="EN175" s="196" t="n">
        <f aca="false">VLOOKUP($EE$1,'Datos Iniciales'!$E$34:$O$64,EN$158,FALSE())*EN77</f>
        <v>0</v>
      </c>
      <c r="EO175" s="197" t="n">
        <f aca="false">VLOOKUP($EE$1,'Datos Iniciales'!$E$34:$O$64,EO$158,FALSE())*EO77</f>
        <v>0</v>
      </c>
      <c r="EP175" s="194" t="str">
        <f aca="false">EE175</f>
        <v>Alumno16</v>
      </c>
      <c r="EQ175" s="208" t="n">
        <f aca="false">VLOOKUP($EP$1,'Datos Iniciales'!$E$34:$O$64,EQ$158,FALSE())*EQ77</f>
        <v>0</v>
      </c>
      <c r="ER175" s="196" t="n">
        <f aca="false">VLOOKUP($EP$1,'Datos Iniciales'!$E$34:$O$64,ER$158,FALSE())*ER77</f>
        <v>0</v>
      </c>
      <c r="ES175" s="196" t="n">
        <f aca="false">VLOOKUP($EP$1,'Datos Iniciales'!$E$34:$O$64,ES$158,FALSE())*ES77</f>
        <v>0</v>
      </c>
      <c r="ET175" s="196" t="n">
        <f aca="false">VLOOKUP($EP$1,'Datos Iniciales'!$E$34:$O$64,ET$158,FALSE())*ET77</f>
        <v>0</v>
      </c>
      <c r="EU175" s="196" t="n">
        <f aca="false">VLOOKUP($EP$1,'Datos Iniciales'!$E$34:$O$64,EU$158,FALSE())*EU77</f>
        <v>0</v>
      </c>
      <c r="EV175" s="196" t="n">
        <f aca="false">VLOOKUP($EP$1,'Datos Iniciales'!$E$34:$O$64,EV$158,FALSE())*EV77</f>
        <v>0</v>
      </c>
      <c r="EW175" s="196" t="n">
        <f aca="false">VLOOKUP($EP$1,'Datos Iniciales'!$E$34:$O$64,EW$158,FALSE())*EW77</f>
        <v>0</v>
      </c>
      <c r="EX175" s="196" t="n">
        <f aca="false">VLOOKUP($EP$1,'Datos Iniciales'!$E$34:$O$64,EX$158,FALSE())*EX77</f>
        <v>0</v>
      </c>
      <c r="EY175" s="196" t="n">
        <f aca="false">VLOOKUP($EP$1,'Datos Iniciales'!$E$34:$O$64,EY$158,FALSE())*EY77</f>
        <v>0</v>
      </c>
      <c r="EZ175" s="197" t="n">
        <f aca="false">VLOOKUP($EP$1,'Datos Iniciales'!$E$34:$O$64,EZ$158,FALSE())*EZ77</f>
        <v>0</v>
      </c>
      <c r="FA175" s="194" t="str">
        <f aca="false">EP175</f>
        <v>Alumno16</v>
      </c>
      <c r="FB175" s="208" t="n">
        <f aca="false">VLOOKUP($FA$1,'Datos Iniciales'!$E$34:$O$64,FB$158,FALSE())*FB77</f>
        <v>0</v>
      </c>
      <c r="FC175" s="196" t="n">
        <f aca="false">VLOOKUP($FA$1,'Datos Iniciales'!$E$34:$O$64,FC$158,FALSE())*FC77</f>
        <v>0</v>
      </c>
      <c r="FD175" s="196" t="n">
        <f aca="false">VLOOKUP($FA$1,'Datos Iniciales'!$E$34:$O$64,FD$158,FALSE())*FD77</f>
        <v>0</v>
      </c>
      <c r="FE175" s="196" t="n">
        <f aca="false">VLOOKUP($FA$1,'Datos Iniciales'!$E$34:$O$64,FE$158,FALSE())*FE77</f>
        <v>0</v>
      </c>
      <c r="FF175" s="196" t="n">
        <f aca="false">VLOOKUP($FA$1,'Datos Iniciales'!$E$34:$O$64,FF$158,FALSE())*FF77</f>
        <v>0</v>
      </c>
      <c r="FG175" s="196" t="n">
        <f aca="false">VLOOKUP($FA$1,'Datos Iniciales'!$E$34:$O$64,FG$158,FALSE())*FG77</f>
        <v>0</v>
      </c>
      <c r="FH175" s="196" t="n">
        <f aca="false">VLOOKUP($FA$1,'Datos Iniciales'!$E$34:$O$64,FH$158,FALSE())*FH77</f>
        <v>0</v>
      </c>
      <c r="FI175" s="196" t="n">
        <f aca="false">VLOOKUP($FA$1,'Datos Iniciales'!$E$34:$O$64,FI$158,FALSE())*FI77</f>
        <v>0</v>
      </c>
      <c r="FJ175" s="196" t="n">
        <f aca="false">VLOOKUP($FA$1,'Datos Iniciales'!$E$34:$O$64,FJ$158,FALSE())*FJ77</f>
        <v>0</v>
      </c>
      <c r="FK175" s="197" t="n">
        <f aca="false">VLOOKUP($FA$1,'Datos Iniciales'!$E$34:$O$64,FK$158,FALSE())*FK77</f>
        <v>0</v>
      </c>
      <c r="FL175" s="194" t="str">
        <f aca="false">FA175</f>
        <v>Alumno16</v>
      </c>
      <c r="FM175" s="208" t="n">
        <f aca="false">VLOOKUP($FL$1,'Datos Iniciales'!$E$34:$O$64,FM$158,FALSE())*FM77</f>
        <v>0</v>
      </c>
      <c r="FN175" s="196" t="n">
        <f aca="false">VLOOKUP($FL$1,'Datos Iniciales'!$E$34:$O$64,FN$158,FALSE())*FN77</f>
        <v>0</v>
      </c>
      <c r="FO175" s="196" t="n">
        <f aca="false">VLOOKUP($FL$1,'Datos Iniciales'!$E$34:$O$64,FO$158,FALSE())*FO77</f>
        <v>0</v>
      </c>
      <c r="FP175" s="196" t="n">
        <f aca="false">VLOOKUP($FL$1,'Datos Iniciales'!$E$34:$O$64,FP$158,FALSE())*FP77</f>
        <v>0</v>
      </c>
      <c r="FQ175" s="196" t="n">
        <f aca="false">VLOOKUP($FL$1,'Datos Iniciales'!$E$34:$O$64,FQ$158,FALSE())*FQ77</f>
        <v>0</v>
      </c>
      <c r="FR175" s="196" t="n">
        <f aca="false">VLOOKUP($FL$1,'Datos Iniciales'!$E$34:$O$64,FR$158,FALSE())*FR77</f>
        <v>0</v>
      </c>
      <c r="FS175" s="196" t="n">
        <f aca="false">VLOOKUP($FL$1,'Datos Iniciales'!$E$34:$O$64,FS$158,FALSE())*FS77</f>
        <v>0</v>
      </c>
      <c r="FT175" s="196" t="n">
        <f aca="false">VLOOKUP($FL$1,'Datos Iniciales'!$E$34:$O$64,FT$158,FALSE())*FT77</f>
        <v>0</v>
      </c>
      <c r="FU175" s="196" t="n">
        <f aca="false">VLOOKUP($FL$1,'Datos Iniciales'!$E$34:$O$64,FU$158,FALSE())*FU77</f>
        <v>0</v>
      </c>
      <c r="FV175" s="197" t="n">
        <f aca="false">VLOOKUP($FL$1,'Datos Iniciales'!$E$34:$O$64,FV$158,FALSE())*FV77</f>
        <v>0</v>
      </c>
      <c r="FW175" s="194" t="str">
        <f aca="false">FL175</f>
        <v>Alumno16</v>
      </c>
      <c r="FX175" s="208" t="n">
        <f aca="false">VLOOKUP($FW$1,'Datos Iniciales'!$E$34:$O$64,FX$158,FALSE())*FX77</f>
        <v>0</v>
      </c>
      <c r="FY175" s="196" t="n">
        <f aca="false">VLOOKUP($FW$1,'Datos Iniciales'!$E$34:$O$64,FY$158,FALSE())*FY77</f>
        <v>0</v>
      </c>
      <c r="FZ175" s="196" t="n">
        <f aca="false">VLOOKUP($FW$1,'Datos Iniciales'!$E$34:$O$64,FZ$158,FALSE())*FZ77</f>
        <v>0</v>
      </c>
      <c r="GA175" s="196" t="n">
        <f aca="false">VLOOKUP($FW$1,'Datos Iniciales'!$E$34:$O$64,GA$158,FALSE())*GA77</f>
        <v>0</v>
      </c>
      <c r="GB175" s="196" t="n">
        <f aca="false">VLOOKUP($FW$1,'Datos Iniciales'!$E$34:$O$64,GB$158,FALSE())*GB77</f>
        <v>0</v>
      </c>
      <c r="GC175" s="196" t="n">
        <f aca="false">VLOOKUP($FW$1,'Datos Iniciales'!$E$34:$O$64,GC$158,FALSE())*GC77</f>
        <v>0</v>
      </c>
      <c r="GD175" s="196" t="n">
        <f aca="false">VLOOKUP($FW$1,'Datos Iniciales'!$E$34:$O$64,GD$158,FALSE())*GD77</f>
        <v>0</v>
      </c>
      <c r="GE175" s="196" t="n">
        <f aca="false">VLOOKUP($FW$1,'Datos Iniciales'!$E$34:$O$64,GE$158,FALSE())*GE77</f>
        <v>0</v>
      </c>
      <c r="GF175" s="196" t="n">
        <f aca="false">VLOOKUP($FW$1,'Datos Iniciales'!$E$34:$O$64,GF$158,FALSE())*GF77</f>
        <v>0</v>
      </c>
      <c r="GG175" s="197" t="n">
        <f aca="false">VLOOKUP($FW$1,'Datos Iniciales'!$E$34:$O$64,GG$158,FALSE())*GG77</f>
        <v>0</v>
      </c>
      <c r="GH175" s="194" t="str">
        <f aca="false">FW175</f>
        <v>Alumno16</v>
      </c>
      <c r="GI175" s="208" t="n">
        <f aca="false">VLOOKUP($GH$1,'Datos Iniciales'!$E$34:$O$64,GI$158,FALSE())*GI77</f>
        <v>0</v>
      </c>
      <c r="GJ175" s="196" t="n">
        <f aca="false">VLOOKUP($GH$1,'Datos Iniciales'!$E$34:$O$64,GJ$158,FALSE())*GJ77</f>
        <v>0</v>
      </c>
      <c r="GK175" s="196" t="n">
        <f aca="false">VLOOKUP($GH$1,'Datos Iniciales'!$E$34:$O$64,GK$158,FALSE())*GK77</f>
        <v>0</v>
      </c>
      <c r="GL175" s="196" t="n">
        <f aca="false">VLOOKUP($GH$1,'Datos Iniciales'!$E$34:$O$64,GL$158,FALSE())*GL77</f>
        <v>0</v>
      </c>
      <c r="GM175" s="196" t="n">
        <f aca="false">VLOOKUP($GH$1,'Datos Iniciales'!$E$34:$O$64,GM$158,FALSE())*GM77</f>
        <v>0</v>
      </c>
      <c r="GN175" s="196" t="n">
        <f aca="false">VLOOKUP($GH$1,'Datos Iniciales'!$E$34:$O$64,GN$158,FALSE())*GN77</f>
        <v>0</v>
      </c>
      <c r="GO175" s="196" t="n">
        <f aca="false">VLOOKUP($GH$1,'Datos Iniciales'!$E$34:$O$64,GO$158,FALSE())*GO77</f>
        <v>0</v>
      </c>
      <c r="GP175" s="196" t="n">
        <f aca="false">VLOOKUP($GH$1,'Datos Iniciales'!$E$34:$O$64,GP$158,FALSE())*GP77</f>
        <v>0</v>
      </c>
      <c r="GQ175" s="196" t="n">
        <f aca="false">VLOOKUP($GH$1,'Datos Iniciales'!$E$34:$O$64,GQ$158,FALSE())*GQ77</f>
        <v>0</v>
      </c>
      <c r="GR175" s="197" t="n">
        <f aca="false">VLOOKUP($GH$1,'Datos Iniciales'!$E$34:$O$64,GR$158,FALSE())*GR77</f>
        <v>0</v>
      </c>
      <c r="GS175" s="194" t="str">
        <f aca="false">GH175</f>
        <v>Alumno16</v>
      </c>
      <c r="GT175" s="208" t="n">
        <f aca="false">VLOOKUP($GS$1,'Datos Iniciales'!$E$34:$O$64,GT$158,FALSE())*GT77</f>
        <v>0</v>
      </c>
      <c r="GU175" s="196" t="n">
        <f aca="false">VLOOKUP($GS$1,'Datos Iniciales'!$E$34:$O$64,GU$158,FALSE())*GU77</f>
        <v>0</v>
      </c>
      <c r="GV175" s="196" t="n">
        <f aca="false">VLOOKUP($GS$1,'Datos Iniciales'!$E$34:$O$64,GV$158,FALSE())*GV77</f>
        <v>0</v>
      </c>
      <c r="GW175" s="196" t="n">
        <f aca="false">VLOOKUP($GS$1,'Datos Iniciales'!$E$34:$O$64,GW$158,FALSE())*GW77</f>
        <v>0</v>
      </c>
      <c r="GX175" s="196" t="n">
        <f aca="false">VLOOKUP($GS$1,'Datos Iniciales'!$E$34:$O$64,GX$158,FALSE())*GX77</f>
        <v>0</v>
      </c>
      <c r="GY175" s="196" t="n">
        <f aca="false">VLOOKUP($GS$1,'Datos Iniciales'!$E$34:$O$64,GY$158,FALSE())*GY77</f>
        <v>0</v>
      </c>
      <c r="GZ175" s="196" t="n">
        <f aca="false">VLOOKUP($GS$1,'Datos Iniciales'!$E$34:$O$64,GZ$158,FALSE())*GZ77</f>
        <v>0</v>
      </c>
      <c r="HA175" s="196" t="n">
        <f aca="false">VLOOKUP($GS$1,'Datos Iniciales'!$E$34:$O$64,HA$158,FALSE())*HA77</f>
        <v>0</v>
      </c>
      <c r="HB175" s="196" t="n">
        <f aca="false">VLOOKUP($GS$1,'Datos Iniciales'!$E$34:$O$64,HB$158,FALSE())*HB77</f>
        <v>0</v>
      </c>
      <c r="HC175" s="197" t="n">
        <f aca="false">VLOOKUP($GS$1,'Datos Iniciales'!$E$34:$O$64,HC$158,FALSE())*HC77</f>
        <v>0</v>
      </c>
      <c r="HD175" s="194" t="str">
        <f aca="false">GS175</f>
        <v>Alumno16</v>
      </c>
      <c r="HE175" s="208" t="n">
        <f aca="false">VLOOKUP($HD$1,'Datos Iniciales'!$E$34:$O$64,HE$158,FALSE())*HE77</f>
        <v>0</v>
      </c>
      <c r="HF175" s="196" t="n">
        <f aca="false">VLOOKUP($HD$1,'Datos Iniciales'!$E$34:$O$64,HF$158,FALSE())*HF77</f>
        <v>0</v>
      </c>
      <c r="HG175" s="196" t="n">
        <f aca="false">VLOOKUP($HD$1,'Datos Iniciales'!$E$34:$O$64,HG$158,FALSE())*HG77</f>
        <v>0</v>
      </c>
      <c r="HH175" s="196" t="n">
        <f aca="false">VLOOKUP($HD$1,'Datos Iniciales'!$E$34:$O$64,HH$158,FALSE())*HH77</f>
        <v>0</v>
      </c>
      <c r="HI175" s="196" t="n">
        <f aca="false">VLOOKUP($HD$1,'Datos Iniciales'!$E$34:$O$64,HI$158,FALSE())*HI77</f>
        <v>0</v>
      </c>
      <c r="HJ175" s="196" t="n">
        <f aca="false">VLOOKUP($HD$1,'Datos Iniciales'!$E$34:$O$64,HJ$158,FALSE())*HJ77</f>
        <v>0</v>
      </c>
      <c r="HK175" s="196" t="n">
        <f aca="false">VLOOKUP($HD$1,'Datos Iniciales'!$E$34:$O$64,HK$158,FALSE())*HK77</f>
        <v>0</v>
      </c>
      <c r="HL175" s="196" t="n">
        <f aca="false">VLOOKUP($HD$1,'Datos Iniciales'!$E$34:$O$64,HL$158,FALSE())*HL77</f>
        <v>0</v>
      </c>
      <c r="HM175" s="196" t="n">
        <f aca="false">VLOOKUP($HD$1,'Datos Iniciales'!$E$34:$O$64,HM$158,FALSE())*HM77</f>
        <v>0</v>
      </c>
      <c r="HN175" s="197" t="n">
        <f aca="false">VLOOKUP($HD$1,'Datos Iniciales'!$E$34:$O$64,HN$158,FALSE())*HN77</f>
        <v>0</v>
      </c>
      <c r="HO175" s="194" t="str">
        <f aca="false">HD175</f>
        <v>Alumno16</v>
      </c>
      <c r="HP175" s="208" t="n">
        <f aca="false">VLOOKUP($HO$1,'Datos Iniciales'!$E$34:$O$64,HP$158,FALSE())*HP77</f>
        <v>0</v>
      </c>
      <c r="HQ175" s="196" t="n">
        <f aca="false">VLOOKUP($HO$1,'Datos Iniciales'!$E$34:$O$64,HQ$158,FALSE())*HQ77</f>
        <v>0</v>
      </c>
      <c r="HR175" s="196" t="n">
        <f aca="false">VLOOKUP($HO$1,'Datos Iniciales'!$E$34:$O$64,HR$158,FALSE())*HR77</f>
        <v>0</v>
      </c>
      <c r="HS175" s="196" t="n">
        <f aca="false">VLOOKUP($HO$1,'Datos Iniciales'!$E$34:$O$64,HS$158,FALSE())*HS77</f>
        <v>0</v>
      </c>
      <c r="HT175" s="196" t="n">
        <f aca="false">VLOOKUP($HO$1,'Datos Iniciales'!$E$34:$O$64,HT$158,FALSE())*HT77</f>
        <v>0</v>
      </c>
      <c r="HU175" s="196" t="n">
        <f aca="false">VLOOKUP($HO$1,'Datos Iniciales'!$E$34:$O$64,HU$158,FALSE())*HU77</f>
        <v>0</v>
      </c>
      <c r="HV175" s="196" t="n">
        <f aca="false">VLOOKUP($HO$1,'Datos Iniciales'!$E$34:$O$64,HV$158,FALSE())*HV77</f>
        <v>0</v>
      </c>
      <c r="HW175" s="196" t="n">
        <f aca="false">VLOOKUP($HO$1,'Datos Iniciales'!$E$34:$O$64,HW$158,FALSE())*HW77</f>
        <v>0</v>
      </c>
      <c r="HX175" s="196" t="n">
        <f aca="false">VLOOKUP($HO$1,'Datos Iniciales'!$E$34:$O$64,HX$158,FALSE())*HX77</f>
        <v>0</v>
      </c>
      <c r="HY175" s="197" t="n">
        <f aca="false">VLOOKUP($HO$1,'Datos Iniciales'!$E$34:$O$64,HY$158,FALSE())*HY77</f>
        <v>0</v>
      </c>
      <c r="HZ175" s="194" t="str">
        <f aca="false">HO175</f>
        <v>Alumno16</v>
      </c>
      <c r="IA175" s="208" t="n">
        <f aca="false">VLOOKUP($HZ$1,'Datos Iniciales'!$E$34:$O$64,IA$158,FALSE())*IA77</f>
        <v>0</v>
      </c>
      <c r="IB175" s="196" t="n">
        <f aca="false">VLOOKUP($HZ$1,'Datos Iniciales'!$E$34:$O$64,IB$158,FALSE())*IB77</f>
        <v>0</v>
      </c>
      <c r="IC175" s="196" t="n">
        <f aca="false">VLOOKUP($HZ$1,'Datos Iniciales'!$E$34:$O$64,IC$158,FALSE())*IC77</f>
        <v>0</v>
      </c>
      <c r="ID175" s="196" t="n">
        <f aca="false">VLOOKUP($HZ$1,'Datos Iniciales'!$E$34:$O$64,ID$158,FALSE())*ID77</f>
        <v>0</v>
      </c>
      <c r="IE175" s="196" t="n">
        <f aca="false">VLOOKUP($HZ$1,'Datos Iniciales'!$E$34:$O$64,IE$158,FALSE())*IE77</f>
        <v>0</v>
      </c>
      <c r="IF175" s="196" t="n">
        <f aca="false">VLOOKUP($HZ$1,'Datos Iniciales'!$E$34:$O$64,IF$158,FALSE())*IF77</f>
        <v>0</v>
      </c>
      <c r="IG175" s="196" t="n">
        <f aca="false">VLOOKUP($HZ$1,'Datos Iniciales'!$E$34:$O$64,IG$158,FALSE())*IG77</f>
        <v>0</v>
      </c>
      <c r="IH175" s="196" t="n">
        <f aca="false">VLOOKUP($HZ$1,'Datos Iniciales'!$E$34:$O$64,IH$158,FALSE())*IH77</f>
        <v>0</v>
      </c>
      <c r="II175" s="196" t="n">
        <f aca="false">VLOOKUP($HZ$1,'Datos Iniciales'!$E$34:$O$64,II$158,FALSE())*II77</f>
        <v>0</v>
      </c>
      <c r="IJ175" s="197" t="n">
        <f aca="false">VLOOKUP($HZ$1,'Datos Iniciales'!$E$34:$O$64,IJ$158,FALSE())*IJ77</f>
        <v>0</v>
      </c>
      <c r="IK175" s="194" t="str">
        <f aca="false">HZ175</f>
        <v>Alumno16</v>
      </c>
      <c r="IL175" s="208" t="n">
        <f aca="false">VLOOKUP($IK$1,'Datos Iniciales'!$E$34:$O$64,IL$158,FALSE())*IL77</f>
        <v>0</v>
      </c>
      <c r="IM175" s="196" t="n">
        <f aca="false">VLOOKUP($IK$1,'Datos Iniciales'!$E$34:$O$64,IM$158,FALSE())*IM77</f>
        <v>0</v>
      </c>
      <c r="IN175" s="196" t="n">
        <f aca="false">VLOOKUP($IK$1,'Datos Iniciales'!$E$34:$O$64,IN$158,FALSE())*IN77</f>
        <v>0</v>
      </c>
      <c r="IO175" s="196" t="n">
        <f aca="false">VLOOKUP($IK$1,'Datos Iniciales'!$E$34:$O$64,IO$158,FALSE())*IO77</f>
        <v>0</v>
      </c>
      <c r="IP175" s="196" t="n">
        <f aca="false">VLOOKUP($IK$1,'Datos Iniciales'!$E$34:$O$64,IP$158,FALSE())*IP77</f>
        <v>0</v>
      </c>
      <c r="IQ175" s="196" t="n">
        <f aca="false">VLOOKUP($IK$1,'Datos Iniciales'!$E$34:$O$64,IQ$158,FALSE())*IQ77</f>
        <v>0</v>
      </c>
      <c r="IR175" s="196" t="n">
        <f aca="false">VLOOKUP($IK$1,'Datos Iniciales'!$E$34:$O$64,IR$158,FALSE())*IR77</f>
        <v>0</v>
      </c>
      <c r="IS175" s="196" t="n">
        <f aca="false">VLOOKUP($IK$1,'Datos Iniciales'!$E$34:$O$64,IS$158,FALSE())*IS77</f>
        <v>0</v>
      </c>
      <c r="IT175" s="196" t="n">
        <f aca="false">VLOOKUP($IK$1,'Datos Iniciales'!$E$34:$O$64,IT$158,FALSE())*IT77</f>
        <v>0</v>
      </c>
      <c r="IU175" s="197" t="n">
        <f aca="false">VLOOKUP($IK$1,'Datos Iniciales'!$E$34:$O$64,IU$158,FALSE())*IU77</f>
        <v>0</v>
      </c>
      <c r="IV175" s="194" t="str">
        <f aca="false">IK175</f>
        <v>Alumno16</v>
      </c>
      <c r="IW175" s="208" t="n">
        <f aca="false">VLOOKUP($IV$1,'Datos Iniciales'!$E$34:$O$64,IW$158,FALSE())*IW77</f>
        <v>0</v>
      </c>
      <c r="IX175" s="196" t="n">
        <f aca="false">VLOOKUP($IV$1,'Datos Iniciales'!$E$34:$O$64,IX$158,FALSE())*IX77</f>
        <v>0</v>
      </c>
      <c r="IY175" s="196" t="n">
        <f aca="false">VLOOKUP($IV$1,'Datos Iniciales'!$E$34:$O$64,IY$158,FALSE())*IY77</f>
        <v>0</v>
      </c>
      <c r="IZ175" s="196" t="n">
        <f aca="false">VLOOKUP($IV$1,'Datos Iniciales'!$E$34:$O$64,IZ$158,FALSE())*IZ77</f>
        <v>0</v>
      </c>
      <c r="JA175" s="196" t="n">
        <f aca="false">VLOOKUP($IV$1,'Datos Iniciales'!$E$34:$O$64,JA$158,FALSE())*JA77</f>
        <v>0</v>
      </c>
      <c r="JB175" s="196" t="n">
        <f aca="false">VLOOKUP($IV$1,'Datos Iniciales'!$E$34:$O$64,JB$158,FALSE())*JB77</f>
        <v>0</v>
      </c>
      <c r="JC175" s="196" t="n">
        <f aca="false">VLOOKUP($IV$1,'Datos Iniciales'!$E$34:$O$64,JC$158,FALSE())*JC77</f>
        <v>0</v>
      </c>
      <c r="JD175" s="196" t="n">
        <f aca="false">VLOOKUP($IV$1,'Datos Iniciales'!$E$34:$O$64,JD$158,FALSE())*JD77</f>
        <v>0</v>
      </c>
      <c r="JE175" s="196" t="n">
        <f aca="false">VLOOKUP($IV$1,'Datos Iniciales'!$E$34:$O$64,JE$158,FALSE())*JE77</f>
        <v>0</v>
      </c>
      <c r="JF175" s="197" t="n">
        <f aca="false">VLOOKUP($IV$1,'Datos Iniciales'!$E$34:$O$64,JF$158,FALSE())*JF77</f>
        <v>0</v>
      </c>
      <c r="JG175" s="194" t="str">
        <f aca="false">IV175</f>
        <v>Alumno16</v>
      </c>
      <c r="JH175" s="208" t="n">
        <f aca="false">VLOOKUP($JG$1,'Datos Iniciales'!$E$34:$O$64,JH$158,FALSE())*JH77</f>
        <v>0</v>
      </c>
      <c r="JI175" s="196" t="n">
        <f aca="false">VLOOKUP($JG$1,'Datos Iniciales'!$E$34:$O$64,JI$158,FALSE())*JI77</f>
        <v>0</v>
      </c>
      <c r="JJ175" s="196" t="n">
        <f aca="false">VLOOKUP($JG$1,'Datos Iniciales'!$E$34:$O$64,JJ$158,FALSE())*JJ77</f>
        <v>0</v>
      </c>
      <c r="JK175" s="196" t="n">
        <f aca="false">VLOOKUP($JG$1,'Datos Iniciales'!$E$34:$O$64,JK$158,FALSE())*JK77</f>
        <v>0</v>
      </c>
      <c r="JL175" s="196" t="n">
        <f aca="false">VLOOKUP($JG$1,'Datos Iniciales'!$E$34:$O$64,JL$158,FALSE())*JL77</f>
        <v>0</v>
      </c>
      <c r="JM175" s="196" t="n">
        <f aca="false">VLOOKUP($JG$1,'Datos Iniciales'!$E$34:$O$64,JM$158,FALSE())*JM77</f>
        <v>0</v>
      </c>
      <c r="JN175" s="196" t="n">
        <f aca="false">VLOOKUP($JG$1,'Datos Iniciales'!$E$34:$O$64,JN$158,FALSE())*JN77</f>
        <v>0</v>
      </c>
      <c r="JO175" s="196" t="n">
        <f aca="false">VLOOKUP($JG$1,'Datos Iniciales'!$E$34:$O$64,JO$158,FALSE())*JO77</f>
        <v>0</v>
      </c>
      <c r="JP175" s="196" t="n">
        <f aca="false">VLOOKUP($JG$1,'Datos Iniciales'!$E$34:$O$64,JP$158,FALSE())*JP77</f>
        <v>0</v>
      </c>
      <c r="JQ175" s="197" t="n">
        <f aca="false">VLOOKUP($JG$1,'Datos Iniciales'!$E$34:$O$64,JQ$158,FALSE())*JQ77</f>
        <v>0</v>
      </c>
      <c r="JR175" s="194" t="str">
        <f aca="false">JG175</f>
        <v>Alumno16</v>
      </c>
      <c r="JS175" s="208" t="n">
        <f aca="false">VLOOKUP($JR$1,'Datos Iniciales'!$E$34:$O$64,JS$158,FALSE())*JS77</f>
        <v>0</v>
      </c>
      <c r="JT175" s="196" t="n">
        <f aca="false">VLOOKUP($JR$1,'Datos Iniciales'!$E$34:$O$64,JT$158,FALSE())*JT77</f>
        <v>0</v>
      </c>
      <c r="JU175" s="196" t="n">
        <f aca="false">VLOOKUP($JR$1,'Datos Iniciales'!$E$34:$O$64,JU$158,FALSE())*JU77</f>
        <v>0</v>
      </c>
      <c r="JV175" s="196" t="n">
        <f aca="false">VLOOKUP($JR$1,'Datos Iniciales'!$E$34:$O$64,JV$158,FALSE())*JV77</f>
        <v>0</v>
      </c>
      <c r="JW175" s="196" t="n">
        <f aca="false">VLOOKUP($JR$1,'Datos Iniciales'!$E$34:$O$64,JW$158,FALSE())*JW77</f>
        <v>0</v>
      </c>
      <c r="JX175" s="196" t="n">
        <f aca="false">VLOOKUP($JR$1,'Datos Iniciales'!$E$34:$O$64,JX$158,FALSE())*JX77</f>
        <v>0</v>
      </c>
      <c r="JY175" s="196" t="n">
        <f aca="false">VLOOKUP($JR$1,'Datos Iniciales'!$E$34:$O$64,JY$158,FALSE())*JY77</f>
        <v>0</v>
      </c>
      <c r="JZ175" s="196" t="n">
        <f aca="false">VLOOKUP($JR$1,'Datos Iniciales'!$E$34:$O$64,JZ$158,FALSE())*JZ77</f>
        <v>0</v>
      </c>
      <c r="KA175" s="196" t="n">
        <f aca="false">VLOOKUP($JR$1,'Datos Iniciales'!$E$34:$O$64,KA$158,FALSE())*KA77</f>
        <v>0</v>
      </c>
      <c r="KB175" s="197" t="n">
        <f aca="false">VLOOKUP($JR$1,'Datos Iniciales'!$E$34:$O$64,KB$158,FALSE())*KB77</f>
        <v>0</v>
      </c>
      <c r="KC175" s="194" t="str">
        <f aca="false">JR175</f>
        <v>Alumno16</v>
      </c>
      <c r="KD175" s="208" t="n">
        <f aca="false">VLOOKUP($KC$1,'Datos Iniciales'!$E$34:$O$64,KD$158,FALSE())*KD77</f>
        <v>0</v>
      </c>
      <c r="KE175" s="196" t="n">
        <f aca="false">VLOOKUP($KC$1,'Datos Iniciales'!$E$34:$O$64,KE$158,FALSE())*KE77</f>
        <v>0</v>
      </c>
      <c r="KF175" s="196" t="n">
        <f aca="false">VLOOKUP($KC$1,'Datos Iniciales'!$E$34:$O$64,KF$158,FALSE())*KF77</f>
        <v>0</v>
      </c>
      <c r="KG175" s="196" t="n">
        <f aca="false">VLOOKUP($KC$1,'Datos Iniciales'!$E$34:$O$64,KG$158,FALSE())*KG77</f>
        <v>0</v>
      </c>
      <c r="KH175" s="196" t="n">
        <f aca="false">VLOOKUP($KC$1,'Datos Iniciales'!$E$34:$O$64,KH$158,FALSE())*KH77</f>
        <v>0</v>
      </c>
      <c r="KI175" s="196" t="n">
        <f aca="false">VLOOKUP($KC$1,'Datos Iniciales'!$E$34:$O$64,KI$158,FALSE())*KI77</f>
        <v>0</v>
      </c>
      <c r="KJ175" s="196" t="n">
        <f aca="false">VLOOKUP($KC$1,'Datos Iniciales'!$E$34:$O$64,KJ$158,FALSE())*KJ77</f>
        <v>0</v>
      </c>
      <c r="KK175" s="196" t="n">
        <f aca="false">VLOOKUP($KC$1,'Datos Iniciales'!$E$34:$O$64,KK$158,FALSE())*KK77</f>
        <v>0</v>
      </c>
      <c r="KL175" s="196" t="n">
        <f aca="false">VLOOKUP($KC$1,'Datos Iniciales'!$E$34:$O$64,KL$158,FALSE())*KL77</f>
        <v>0</v>
      </c>
      <c r="KM175" s="197" t="n">
        <f aca="false">VLOOKUP($KC$1,'Datos Iniciales'!$E$34:$O$64,KM$158,FALSE())*KM77</f>
        <v>0</v>
      </c>
      <c r="KN175" s="194" t="str">
        <f aca="false">KC175</f>
        <v>Alumno16</v>
      </c>
      <c r="KO175" s="208" t="n">
        <f aca="false">VLOOKUP($KN$1,'Datos Iniciales'!$E$34:$O$64,KO$158,FALSE())*KO77</f>
        <v>0</v>
      </c>
      <c r="KP175" s="196" t="n">
        <f aca="false">VLOOKUP($KN$1,'Datos Iniciales'!$E$34:$O$64,KP$158,FALSE())*KP77</f>
        <v>0</v>
      </c>
      <c r="KQ175" s="196" t="n">
        <f aca="false">VLOOKUP($KN$1,'Datos Iniciales'!$E$34:$O$64,KQ$158,FALSE())*KQ77</f>
        <v>0</v>
      </c>
      <c r="KR175" s="196" t="n">
        <f aca="false">VLOOKUP($KN$1,'Datos Iniciales'!$E$34:$O$64,KR$158,FALSE())*KR77</f>
        <v>0</v>
      </c>
      <c r="KS175" s="196" t="n">
        <f aca="false">VLOOKUP($KN$1,'Datos Iniciales'!$E$34:$O$64,KS$158,FALSE())*KS77</f>
        <v>0</v>
      </c>
      <c r="KT175" s="196" t="n">
        <f aca="false">VLOOKUP($KN$1,'Datos Iniciales'!$E$34:$O$64,KT$158,FALSE())*KT77</f>
        <v>0</v>
      </c>
      <c r="KU175" s="196" t="n">
        <f aca="false">VLOOKUP($KN$1,'Datos Iniciales'!$E$34:$O$64,KU$158,FALSE())*KU77</f>
        <v>0</v>
      </c>
      <c r="KV175" s="196" t="n">
        <f aca="false">VLOOKUP($KN$1,'Datos Iniciales'!$E$34:$O$64,KV$158,FALSE())*KV77</f>
        <v>0</v>
      </c>
      <c r="KW175" s="196" t="n">
        <f aca="false">VLOOKUP($KN$1,'Datos Iniciales'!$E$34:$O$64,KW$158,FALSE())*KW77</f>
        <v>0</v>
      </c>
      <c r="KX175" s="197" t="n">
        <f aca="false">VLOOKUP($KN$1,'Datos Iniciales'!$E$34:$O$64,KX$158,FALSE())*KX77</f>
        <v>0</v>
      </c>
      <c r="KY175" s="194" t="str">
        <f aca="false">KN175</f>
        <v>Alumno16</v>
      </c>
      <c r="KZ175" s="208" t="n">
        <f aca="false">VLOOKUP($KY$1,'Datos Iniciales'!$E$34:$O$64,KZ$158,FALSE())*KZ77</f>
        <v>0</v>
      </c>
      <c r="LA175" s="196" t="n">
        <f aca="false">VLOOKUP($KY$1,'Datos Iniciales'!$E$34:$O$64,LA$158,FALSE())*LA77</f>
        <v>0</v>
      </c>
      <c r="LB175" s="196" t="n">
        <f aca="false">VLOOKUP($KY$1,'Datos Iniciales'!$E$34:$O$64,LB$158,FALSE())*LB77</f>
        <v>0</v>
      </c>
      <c r="LC175" s="196" t="n">
        <f aca="false">VLOOKUP($KY$1,'Datos Iniciales'!$E$34:$O$64,LC$158,FALSE())*LC77</f>
        <v>0</v>
      </c>
      <c r="LD175" s="196" t="n">
        <f aca="false">VLOOKUP($KY$1,'Datos Iniciales'!$E$34:$O$64,LD$158,FALSE())*LD77</f>
        <v>0</v>
      </c>
      <c r="LE175" s="196" t="n">
        <f aca="false">VLOOKUP($KY$1,'Datos Iniciales'!$E$34:$O$64,LE$158,FALSE())*LE77</f>
        <v>0</v>
      </c>
      <c r="LF175" s="196" t="n">
        <f aca="false">VLOOKUP($KY$1,'Datos Iniciales'!$E$34:$O$64,LF$158,FALSE())*LF77</f>
        <v>0</v>
      </c>
      <c r="LG175" s="196" t="n">
        <f aca="false">VLOOKUP($KY$1,'Datos Iniciales'!$E$34:$O$64,LG$158,FALSE())*LG77</f>
        <v>0</v>
      </c>
      <c r="LH175" s="196" t="n">
        <f aca="false">VLOOKUP($KY$1,'Datos Iniciales'!$E$34:$O$64,LH$158,FALSE())*LH77</f>
        <v>0</v>
      </c>
      <c r="LI175" s="197" t="n">
        <f aca="false">VLOOKUP($KY$1,'Datos Iniciales'!$E$34:$O$64,LI$158,FALSE())*LI77</f>
        <v>0</v>
      </c>
      <c r="LJ175" s="194" t="str">
        <f aca="false">KY175</f>
        <v>Alumno16</v>
      </c>
      <c r="LK175" s="208" t="n">
        <f aca="false">VLOOKUP($LJ$1,'Datos Iniciales'!$E$34:$O$64,LK$158,FALSE())*LK77</f>
        <v>0</v>
      </c>
      <c r="LL175" s="196" t="n">
        <f aca="false">VLOOKUP($LJ$1,'Datos Iniciales'!$E$34:$O$64,LL$158,FALSE())*LL77</f>
        <v>0</v>
      </c>
      <c r="LM175" s="196" t="n">
        <f aca="false">VLOOKUP($LJ$1,'Datos Iniciales'!$E$34:$O$64,LM$158,FALSE())*LM77</f>
        <v>0</v>
      </c>
      <c r="LN175" s="196" t="n">
        <f aca="false">VLOOKUP($LJ$1,'Datos Iniciales'!$E$34:$O$64,LN$158,FALSE())*LN77</f>
        <v>0</v>
      </c>
      <c r="LO175" s="196" t="n">
        <f aca="false">VLOOKUP($LJ$1,'Datos Iniciales'!$E$34:$O$64,LO$158,FALSE())*LO77</f>
        <v>0</v>
      </c>
      <c r="LP175" s="196" t="n">
        <f aca="false">VLOOKUP($LJ$1,'Datos Iniciales'!$E$34:$O$64,LP$158,FALSE())*LP77</f>
        <v>0</v>
      </c>
      <c r="LQ175" s="196" t="n">
        <f aca="false">VLOOKUP($LJ$1,'Datos Iniciales'!$E$34:$O$64,LQ$158,FALSE())*LQ77</f>
        <v>0</v>
      </c>
      <c r="LR175" s="196" t="n">
        <f aca="false">VLOOKUP($LJ$1,'Datos Iniciales'!$E$34:$O$64,LR$158,FALSE())*LR77</f>
        <v>0</v>
      </c>
      <c r="LS175" s="196" t="n">
        <f aca="false">VLOOKUP($LJ$1,'Datos Iniciales'!$E$34:$O$64,LS$158,FALSE())*LS77</f>
        <v>0</v>
      </c>
      <c r="LT175" s="197" t="n">
        <f aca="false">VLOOKUP($LJ$1,'Datos Iniciales'!$E$34:$O$64,LT$158,FALSE())*LT77</f>
        <v>0</v>
      </c>
    </row>
    <row r="176" customFormat="false" ht="15" hidden="true" customHeight="false" outlineLevel="0" collapsed="false">
      <c r="C176" s="194" t="str">
        <f aca="false">C127</f>
        <v>Alumno17</v>
      </c>
      <c r="D176" s="208" t="n">
        <f aca="false">VLOOKUP($C$1,'Datos Iniciales'!$E$34:$O$64,D$158,FALSE())*D78</f>
        <v>2.2125</v>
      </c>
      <c r="E176" s="196" t="n">
        <f aca="false">VLOOKUP($C$1,'Datos Iniciales'!$E$34:$O$64,E$158,FALSE())*E78</f>
        <v>0</v>
      </c>
      <c r="F176" s="196" t="n">
        <f aca="false">VLOOKUP($C$1,'Datos Iniciales'!$E$34:$O$64,F$158,FALSE())*F78</f>
        <v>0</v>
      </c>
      <c r="G176" s="196" t="n">
        <f aca="false">VLOOKUP($C$1,'Datos Iniciales'!$E$34:$O$64,G$158,FALSE())*G78</f>
        <v>0</v>
      </c>
      <c r="H176" s="196" t="n">
        <f aca="false">VLOOKUP($C$1,'Datos Iniciales'!$E$34:$O$64,H$158,FALSE())*H78</f>
        <v>0</v>
      </c>
      <c r="I176" s="196" t="n">
        <f aca="false">VLOOKUP($C$1,'Datos Iniciales'!$E$34:$O$64,I$158,FALSE())*I78</f>
        <v>0</v>
      </c>
      <c r="J176" s="196" t="n">
        <f aca="false">VLOOKUP($C$1,'Datos Iniciales'!$E$34:$O$64,J$158,FALSE())*J78</f>
        <v>0</v>
      </c>
      <c r="K176" s="196" t="n">
        <f aca="false">VLOOKUP($C$1,'Datos Iniciales'!$E$34:$O$64,K$158,FALSE())*K78</f>
        <v>0</v>
      </c>
      <c r="L176" s="196" t="n">
        <f aca="false">VLOOKUP($C$1,'Datos Iniciales'!$E$34:$O$64,L$158,FALSE())*L78</f>
        <v>0</v>
      </c>
      <c r="M176" s="197" t="n">
        <f aca="false">VLOOKUP($C$1,'Datos Iniciales'!$E$34:$O$64,M$158,FALSE())*M78</f>
        <v>0</v>
      </c>
      <c r="N176" s="194" t="str">
        <f aca="false">C176</f>
        <v>Alumno17</v>
      </c>
      <c r="O176" s="208" t="n">
        <f aca="false">VLOOKUP($N$1,'Datos Iniciales'!$E$34:$O$64,O$158,FALSE())*O78</f>
        <v>1.8</v>
      </c>
      <c r="P176" s="196" t="n">
        <f aca="false">VLOOKUP($N$1,'Datos Iniciales'!$E$34:$O$64,P$158,FALSE())*P78</f>
        <v>1.8</v>
      </c>
      <c r="Q176" s="196" t="n">
        <f aca="false">VLOOKUP($N$1,'Datos Iniciales'!$E$34:$O$64,Q$158,FALSE())*Q78</f>
        <v>0</v>
      </c>
      <c r="R176" s="196" t="n">
        <f aca="false">VLOOKUP($N$1,'Datos Iniciales'!$E$34:$O$64,R$158,FALSE())*R78</f>
        <v>0</v>
      </c>
      <c r="S176" s="196" t="n">
        <f aca="false">VLOOKUP($N$1,'Datos Iniciales'!$E$34:$O$64,S$158,FALSE())*S78</f>
        <v>0</v>
      </c>
      <c r="T176" s="196" t="n">
        <f aca="false">VLOOKUP($N$1,'Datos Iniciales'!$E$34:$O$64,T$158,FALSE())*T78</f>
        <v>0</v>
      </c>
      <c r="U176" s="196" t="n">
        <f aca="false">VLOOKUP($N$1,'Datos Iniciales'!$E$34:$O$64,U$158,FALSE())*U78</f>
        <v>0</v>
      </c>
      <c r="V176" s="196" t="n">
        <f aca="false">VLOOKUP($N$1,'Datos Iniciales'!$E$34:$O$64,V$158,FALSE())*V78</f>
        <v>0</v>
      </c>
      <c r="W176" s="196" t="n">
        <f aca="false">VLOOKUP($N$1,'Datos Iniciales'!$E$34:$O$64,W$158,FALSE())*W78</f>
        <v>0</v>
      </c>
      <c r="X176" s="197" t="n">
        <f aca="false">VLOOKUP($N$1,'Datos Iniciales'!$E$34:$O$64,X$158,FALSE())*X78</f>
        <v>0</v>
      </c>
      <c r="Y176" s="194" t="str">
        <f aca="false">N176</f>
        <v>Alumno17</v>
      </c>
      <c r="Z176" s="208" t="n">
        <f aca="false">VLOOKUP($Y$1,'Datos Iniciales'!$E$34:$O$64,Z$158,FALSE())*Z78</f>
        <v>1.95</v>
      </c>
      <c r="AA176" s="196" t="n">
        <f aca="false">VLOOKUP($Y$1,'Datos Iniciales'!$E$34:$O$64,AA$158,FALSE())*AA78</f>
        <v>0.8</v>
      </c>
      <c r="AB176" s="196" t="n">
        <f aca="false">VLOOKUP($Y$1,'Datos Iniciales'!$E$34:$O$64,AB$158,FALSE())*AB78</f>
        <v>0.5</v>
      </c>
      <c r="AC176" s="196" t="n">
        <f aca="false">VLOOKUP($Y$1,'Datos Iniciales'!$E$34:$O$64,AC$158,FALSE())*AC78</f>
        <v>0</v>
      </c>
      <c r="AD176" s="196" t="n">
        <f aca="false">VLOOKUP($Y$1,'Datos Iniciales'!$E$34:$O$64,AD$158,FALSE())*AD78</f>
        <v>0</v>
      </c>
      <c r="AE176" s="196" t="n">
        <f aca="false">VLOOKUP($Y$1,'Datos Iniciales'!$E$34:$O$64,AE$158,FALSE())*AE78</f>
        <v>0</v>
      </c>
      <c r="AF176" s="196" t="n">
        <f aca="false">VLOOKUP($Y$1,'Datos Iniciales'!$E$34:$O$64,AF$158,FALSE())*AF78</f>
        <v>0</v>
      </c>
      <c r="AG176" s="196" t="n">
        <f aca="false">VLOOKUP($Y$1,'Datos Iniciales'!$E$34:$O$64,AG$158,FALSE())*AG78</f>
        <v>0</v>
      </c>
      <c r="AH176" s="196" t="n">
        <f aca="false">VLOOKUP($Y$1,'Datos Iniciales'!$E$34:$O$64,AH$158,FALSE())*AH78</f>
        <v>0</v>
      </c>
      <c r="AI176" s="197" t="n">
        <f aca="false">VLOOKUP($Y$1,'Datos Iniciales'!$E$34:$O$64,AI$158,FALSE())*AI78</f>
        <v>0</v>
      </c>
      <c r="AJ176" s="194" t="str">
        <f aca="false">Y176</f>
        <v>Alumno17</v>
      </c>
      <c r="AK176" s="208" t="n">
        <f aca="false">VLOOKUP($AJ$1,'Datos Iniciales'!$E$34:$O$64,AK$158,FALSE())*AK78</f>
        <v>0.6</v>
      </c>
      <c r="AL176" s="196" t="n">
        <f aca="false">VLOOKUP($AJ$1,'Datos Iniciales'!$E$34:$O$64,AL$158,FALSE())*AL78</f>
        <v>1.8</v>
      </c>
      <c r="AM176" s="196" t="n">
        <f aca="false">VLOOKUP($AJ$1,'Datos Iniciales'!$E$34:$O$64,AM$158,FALSE())*AM78</f>
        <v>1.4</v>
      </c>
      <c r="AN176" s="196" t="n">
        <f aca="false">VLOOKUP($AJ$1,'Datos Iniciales'!$E$34:$O$64,AN$158,FALSE())*AN78</f>
        <v>0</v>
      </c>
      <c r="AO176" s="196" t="n">
        <f aca="false">VLOOKUP($AJ$1,'Datos Iniciales'!$E$34:$O$64,AO$158,FALSE())*AO78</f>
        <v>0</v>
      </c>
      <c r="AP176" s="196" t="n">
        <f aca="false">VLOOKUP($AJ$1,'Datos Iniciales'!$E$34:$O$64,AP$158,FALSE())*AP78</f>
        <v>0</v>
      </c>
      <c r="AQ176" s="196" t="n">
        <f aca="false">VLOOKUP($AJ$1,'Datos Iniciales'!$E$34:$O$64,AQ$158,FALSE())*AQ78</f>
        <v>0</v>
      </c>
      <c r="AR176" s="196" t="n">
        <f aca="false">VLOOKUP($AJ$1,'Datos Iniciales'!$E$34:$O$64,AR$158,FALSE())*AR78</f>
        <v>0</v>
      </c>
      <c r="AS176" s="196" t="n">
        <f aca="false">VLOOKUP($AJ$1,'Datos Iniciales'!$E$34:$O$64,AS$158,FALSE())*AS78</f>
        <v>0</v>
      </c>
      <c r="AT176" s="197" t="n">
        <f aca="false">VLOOKUP($AJ$1,'Datos Iniciales'!$E$34:$O$64,AT$158,FALSE())*AT78</f>
        <v>0</v>
      </c>
      <c r="AU176" s="194" t="str">
        <f aca="false">AJ176</f>
        <v>Alumno17</v>
      </c>
      <c r="AV176" s="208" t="n">
        <f aca="false">VLOOKUP($AU$1,'Datos Iniciales'!$E$34:$O$64,AV$158,FALSE())*AV78</f>
        <v>0.45</v>
      </c>
      <c r="AW176" s="196" t="n">
        <f aca="false">VLOOKUP($AU$1,'Datos Iniciales'!$E$34:$O$64,AW$158,FALSE())*AW78</f>
        <v>0.9</v>
      </c>
      <c r="AX176" s="196" t="n">
        <f aca="false">VLOOKUP($AU$1,'Datos Iniciales'!$E$34:$O$64,AX$158,FALSE())*AX78</f>
        <v>2.7</v>
      </c>
      <c r="AY176" s="196" t="n">
        <f aca="false">VLOOKUP($AU$1,'Datos Iniciales'!$E$34:$O$64,AY$158,FALSE())*AY78</f>
        <v>0.9</v>
      </c>
      <c r="AZ176" s="196" t="n">
        <f aca="false">VLOOKUP($AU$1,'Datos Iniciales'!$E$34:$O$64,AZ$158,FALSE())*AZ78</f>
        <v>0</v>
      </c>
      <c r="BA176" s="196" t="n">
        <f aca="false">VLOOKUP($AU$1,'Datos Iniciales'!$E$34:$O$64,BA$158,FALSE())*BA78</f>
        <v>0</v>
      </c>
      <c r="BB176" s="196" t="n">
        <f aca="false">VLOOKUP($AU$1,'Datos Iniciales'!$E$34:$O$64,BB$158,FALSE())*BB78</f>
        <v>0</v>
      </c>
      <c r="BC176" s="196" t="n">
        <f aca="false">VLOOKUP($AU$1,'Datos Iniciales'!$E$34:$O$64,BC$158,FALSE())*BC78</f>
        <v>0</v>
      </c>
      <c r="BD176" s="196" t="n">
        <f aca="false">VLOOKUP($AU$1,'Datos Iniciales'!$E$34:$O$64,BD$158,FALSE())*BD78</f>
        <v>0</v>
      </c>
      <c r="BE176" s="197" t="n">
        <f aca="false">VLOOKUP($AU$1,'Datos Iniciales'!$E$34:$O$64,BE$158,FALSE())*BE78</f>
        <v>0</v>
      </c>
      <c r="BF176" s="194" t="str">
        <f aca="false">AU176</f>
        <v>Alumno17</v>
      </c>
      <c r="BG176" s="208" t="n">
        <f aca="false">VLOOKUP($BF$1,'Datos Iniciales'!$E$34:$O$64,BG$158,FALSE())*BG78</f>
        <v>0.9</v>
      </c>
      <c r="BH176" s="196" t="n">
        <f aca="false">VLOOKUP($BF$1,'Datos Iniciales'!$E$34:$O$64,BH$158,FALSE())*BH78</f>
        <v>1.35</v>
      </c>
      <c r="BI176" s="196" t="n">
        <f aca="false">VLOOKUP($BF$1,'Datos Iniciales'!$E$34:$O$64,BI$158,FALSE())*BI78</f>
        <v>0.9</v>
      </c>
      <c r="BJ176" s="196" t="n">
        <f aca="false">VLOOKUP($BF$1,'Datos Iniciales'!$E$34:$O$64,BJ$158,FALSE())*BJ78</f>
        <v>3.6</v>
      </c>
      <c r="BK176" s="196" t="n">
        <f aca="false">VLOOKUP($BF$1,'Datos Iniciales'!$E$34:$O$64,BK$158,FALSE())*BK78</f>
        <v>0</v>
      </c>
      <c r="BL176" s="196" t="n">
        <f aca="false">VLOOKUP($BF$1,'Datos Iniciales'!$E$34:$O$64,BL$158,FALSE())*BL78</f>
        <v>0</v>
      </c>
      <c r="BM176" s="196" t="n">
        <f aca="false">VLOOKUP($BF$1,'Datos Iniciales'!$E$34:$O$64,BM$158,FALSE())*BM78</f>
        <v>0</v>
      </c>
      <c r="BN176" s="196" t="n">
        <f aca="false">VLOOKUP($BF$1,'Datos Iniciales'!$E$34:$O$64,BN$158,FALSE())*BN78</f>
        <v>0</v>
      </c>
      <c r="BO176" s="196" t="n">
        <f aca="false">VLOOKUP($BF$1,'Datos Iniciales'!$E$34:$O$64,BO$158,FALSE())*BO78</f>
        <v>0</v>
      </c>
      <c r="BP176" s="197" t="n">
        <f aca="false">VLOOKUP($BF$1,'Datos Iniciales'!$E$34:$O$64,BP$158,FALSE())*BP78</f>
        <v>0</v>
      </c>
      <c r="BQ176" s="194" t="str">
        <f aca="false">BF176</f>
        <v>Alumno17</v>
      </c>
      <c r="BR176" s="208" t="n">
        <f aca="false">VLOOKUP($BQ$1,'Datos Iniciales'!$E$34:$O$64,BR$158,FALSE())*BR78</f>
        <v>0</v>
      </c>
      <c r="BS176" s="196" t="n">
        <f aca="false">VLOOKUP($BQ$1,'Datos Iniciales'!$E$34:$O$64,BS$158,FALSE())*BS78</f>
        <v>0.25</v>
      </c>
      <c r="BT176" s="196" t="n">
        <f aca="false">VLOOKUP($BQ$1,'Datos Iniciales'!$E$34:$O$64,BT$158,FALSE())*BT78</f>
        <v>0.75</v>
      </c>
      <c r="BU176" s="196" t="n">
        <f aca="false">VLOOKUP($BQ$1,'Datos Iniciales'!$E$34:$O$64,BU$158,FALSE())*BU78</f>
        <v>2.5</v>
      </c>
      <c r="BV176" s="196" t="n">
        <f aca="false">VLOOKUP($BQ$1,'Datos Iniciales'!$E$34:$O$64,BV$158,FALSE())*BV78</f>
        <v>0</v>
      </c>
      <c r="BW176" s="196" t="n">
        <f aca="false">VLOOKUP($BQ$1,'Datos Iniciales'!$E$34:$O$64,BW$158,FALSE())*BW78</f>
        <v>0</v>
      </c>
      <c r="BX176" s="196" t="n">
        <f aca="false">VLOOKUP($BQ$1,'Datos Iniciales'!$E$34:$O$64,BX$158,FALSE())*BX78</f>
        <v>0</v>
      </c>
      <c r="BY176" s="196" t="n">
        <f aca="false">VLOOKUP($BQ$1,'Datos Iniciales'!$E$34:$O$64,BY$158,FALSE())*BY78</f>
        <v>0</v>
      </c>
      <c r="BZ176" s="196" t="n">
        <f aca="false">VLOOKUP($BQ$1,'Datos Iniciales'!$E$34:$O$64,BZ$158,FALSE())*BZ78</f>
        <v>0</v>
      </c>
      <c r="CA176" s="197" t="n">
        <f aca="false">VLOOKUP($BQ$1,'Datos Iniciales'!$E$34:$O$64,CA$158,FALSE())*CA78</f>
        <v>0</v>
      </c>
      <c r="CB176" s="194" t="str">
        <f aca="false">BQ176</f>
        <v>Alumno17</v>
      </c>
      <c r="CC176" s="208" t="n">
        <f aca="false">VLOOKUP($CB$1,'Datos Iniciales'!$E$34:$O$64,CC$158,FALSE())*CC78</f>
        <v>0</v>
      </c>
      <c r="CD176" s="196" t="n">
        <f aca="false">VLOOKUP($CB$1,'Datos Iniciales'!$E$34:$O$64,CD$158,FALSE())*CD78</f>
        <v>0</v>
      </c>
      <c r="CE176" s="196" t="n">
        <f aca="false">VLOOKUP($CB$1,'Datos Iniciales'!$E$34:$O$64,CE$158,FALSE())*CE78</f>
        <v>0</v>
      </c>
      <c r="CF176" s="196" t="n">
        <f aca="false">VLOOKUP($CB$1,'Datos Iniciales'!$E$34:$O$64,CF$158,FALSE())*CF78</f>
        <v>0</v>
      </c>
      <c r="CG176" s="196" t="n">
        <f aca="false">VLOOKUP($CB$1,'Datos Iniciales'!$E$34:$O$64,CG$158,FALSE())*CG78</f>
        <v>0</v>
      </c>
      <c r="CH176" s="196" t="n">
        <f aca="false">VLOOKUP($CB$1,'Datos Iniciales'!$E$34:$O$64,CH$158,FALSE())*CH78</f>
        <v>0</v>
      </c>
      <c r="CI176" s="196" t="n">
        <f aca="false">VLOOKUP($CB$1,'Datos Iniciales'!$E$34:$O$64,CI$158,FALSE())*CI78</f>
        <v>0</v>
      </c>
      <c r="CJ176" s="196" t="n">
        <f aca="false">VLOOKUP($CB$1,'Datos Iniciales'!$E$34:$O$64,CJ$158,FALSE())*CJ78</f>
        <v>0</v>
      </c>
      <c r="CK176" s="196" t="n">
        <f aca="false">VLOOKUP($CB$1,'Datos Iniciales'!$E$34:$O$64,CK$158,FALSE())*CK78</f>
        <v>0</v>
      </c>
      <c r="CL176" s="197" t="n">
        <f aca="false">VLOOKUP($CB$1,'Datos Iniciales'!$E$34:$O$64,CL$158,FALSE())*CL78</f>
        <v>0</v>
      </c>
      <c r="CM176" s="194" t="str">
        <f aca="false">CB176</f>
        <v>Alumno17</v>
      </c>
      <c r="CN176" s="208" t="n">
        <f aca="false">VLOOKUP($CM$1,'Datos Iniciales'!$E$34:$O$64,CN$158,FALSE())*CN78</f>
        <v>0</v>
      </c>
      <c r="CO176" s="196" t="n">
        <f aca="false">VLOOKUP($CM$1,'Datos Iniciales'!$E$34:$O$64,CO$158,FALSE())*CO78</f>
        <v>0</v>
      </c>
      <c r="CP176" s="196" t="n">
        <f aca="false">VLOOKUP($CM$1,'Datos Iniciales'!$E$34:$O$64,CP$158,FALSE())*CP78</f>
        <v>0</v>
      </c>
      <c r="CQ176" s="196" t="n">
        <f aca="false">VLOOKUP($CM$1,'Datos Iniciales'!$E$34:$O$64,CQ$158,FALSE())*CQ78</f>
        <v>0</v>
      </c>
      <c r="CR176" s="196" t="n">
        <f aca="false">VLOOKUP($CM$1,'Datos Iniciales'!$E$34:$O$64,CR$158,FALSE())*CR78</f>
        <v>0</v>
      </c>
      <c r="CS176" s="196" t="n">
        <f aca="false">VLOOKUP($CM$1,'Datos Iniciales'!$E$34:$O$64,CS$158,FALSE())*CS78</f>
        <v>0</v>
      </c>
      <c r="CT176" s="196" t="n">
        <f aca="false">VLOOKUP($CM$1,'Datos Iniciales'!$E$34:$O$64,CT$158,FALSE())*CT78</f>
        <v>0</v>
      </c>
      <c r="CU176" s="196" t="n">
        <f aca="false">VLOOKUP($CM$1,'Datos Iniciales'!$E$34:$O$64,CU$158,FALSE())*CU78</f>
        <v>0</v>
      </c>
      <c r="CV176" s="196" t="n">
        <f aca="false">VLOOKUP($CM$1,'Datos Iniciales'!$E$34:$O$64,CV$158,FALSE())*CV78</f>
        <v>0</v>
      </c>
      <c r="CW176" s="197" t="n">
        <f aca="false">VLOOKUP($CM$1,'Datos Iniciales'!$E$34:$O$64,CW$158,FALSE())*CW78</f>
        <v>0</v>
      </c>
      <c r="CX176" s="194" t="str">
        <f aca="false">CM176</f>
        <v>Alumno17</v>
      </c>
      <c r="CY176" s="208" t="n">
        <f aca="false">VLOOKUP($CX$1,'Datos Iniciales'!$E$34:$O$64,CY$158,FALSE())*CY78</f>
        <v>0</v>
      </c>
      <c r="CZ176" s="196" t="n">
        <f aca="false">VLOOKUP($CX$1,'Datos Iniciales'!$E$34:$O$64,CZ$158,FALSE())*CZ78</f>
        <v>0</v>
      </c>
      <c r="DA176" s="196" t="n">
        <f aca="false">VLOOKUP($CX$1,'Datos Iniciales'!$E$34:$O$64,DA$158,FALSE())*DA78</f>
        <v>0</v>
      </c>
      <c r="DB176" s="196" t="n">
        <f aca="false">VLOOKUP($CX$1,'Datos Iniciales'!$E$34:$O$64,DB$158,FALSE())*DB78</f>
        <v>0</v>
      </c>
      <c r="DC176" s="196" t="n">
        <f aca="false">VLOOKUP($CX$1,'Datos Iniciales'!$E$34:$O$64,DC$158,FALSE())*DC78</f>
        <v>0</v>
      </c>
      <c r="DD176" s="196" t="n">
        <f aca="false">VLOOKUP($CX$1,'Datos Iniciales'!$E$34:$O$64,DD$158,FALSE())*DD78</f>
        <v>0</v>
      </c>
      <c r="DE176" s="196" t="n">
        <f aca="false">VLOOKUP($CX$1,'Datos Iniciales'!$E$34:$O$64,DE$158,FALSE())*DE78</f>
        <v>0</v>
      </c>
      <c r="DF176" s="196" t="n">
        <f aca="false">VLOOKUP($CX$1,'Datos Iniciales'!$E$34:$O$64,DF$158,FALSE())*DF78</f>
        <v>0</v>
      </c>
      <c r="DG176" s="196" t="n">
        <f aca="false">VLOOKUP($CX$1,'Datos Iniciales'!$E$34:$O$64,DG$158,FALSE())*DG78</f>
        <v>0</v>
      </c>
      <c r="DH176" s="197" t="n">
        <f aca="false">VLOOKUP($CX$1,'Datos Iniciales'!$E$34:$O$64,DH$158,FALSE())*DH78</f>
        <v>0</v>
      </c>
      <c r="DI176" s="194" t="str">
        <f aca="false">CX176</f>
        <v>Alumno17</v>
      </c>
      <c r="DJ176" s="208" t="n">
        <f aca="false">VLOOKUP($DI$1,'Datos Iniciales'!$E$34:$O$64,DJ$158,FALSE())*DJ78</f>
        <v>0</v>
      </c>
      <c r="DK176" s="196" t="n">
        <f aca="false">VLOOKUP($DI$1,'Datos Iniciales'!$E$34:$O$64,DK$158,FALSE())*DK78</f>
        <v>0</v>
      </c>
      <c r="DL176" s="196" t="n">
        <f aca="false">VLOOKUP($DI$1,'Datos Iniciales'!$E$34:$O$64,DL$158,FALSE())*DL78</f>
        <v>0</v>
      </c>
      <c r="DM176" s="196" t="n">
        <f aca="false">VLOOKUP($DI$1,'Datos Iniciales'!$E$34:$O$64,DM$158,FALSE())*DM78</f>
        <v>0</v>
      </c>
      <c r="DN176" s="196" t="n">
        <f aca="false">VLOOKUP($DI$1,'Datos Iniciales'!$E$34:$O$64,DN$158,FALSE())*DN78</f>
        <v>0</v>
      </c>
      <c r="DO176" s="196" t="n">
        <f aca="false">VLOOKUP($DI$1,'Datos Iniciales'!$E$34:$O$64,DO$158,FALSE())*DO78</f>
        <v>0</v>
      </c>
      <c r="DP176" s="196" t="n">
        <f aca="false">VLOOKUP($DI$1,'Datos Iniciales'!$E$34:$O$64,DP$158,FALSE())*DP78</f>
        <v>0</v>
      </c>
      <c r="DQ176" s="196" t="n">
        <f aca="false">VLOOKUP($DI$1,'Datos Iniciales'!$E$34:$O$64,DQ$158,FALSE())*DQ78</f>
        <v>0</v>
      </c>
      <c r="DR176" s="196" t="n">
        <f aca="false">VLOOKUP($DI$1,'Datos Iniciales'!$E$34:$O$64,DR$158,FALSE())*DR78</f>
        <v>0</v>
      </c>
      <c r="DS176" s="197" t="n">
        <f aca="false">VLOOKUP($DI$1,'Datos Iniciales'!$E$34:$O$64,DS$158,FALSE())*DS78</f>
        <v>0</v>
      </c>
      <c r="DT176" s="194" t="str">
        <f aca="false">DI176</f>
        <v>Alumno17</v>
      </c>
      <c r="DU176" s="208" t="n">
        <f aca="false">VLOOKUP($DT$1,'Datos Iniciales'!$E$34:$O$64,DU$158,FALSE())*DU78</f>
        <v>0</v>
      </c>
      <c r="DV176" s="196" t="n">
        <f aca="false">VLOOKUP($DT$1,'Datos Iniciales'!$E$34:$O$64,DV$158,FALSE())*DV78</f>
        <v>0</v>
      </c>
      <c r="DW176" s="196" t="n">
        <f aca="false">VLOOKUP($DT$1,'Datos Iniciales'!$E$34:$O$64,DW$158,FALSE())*DW78</f>
        <v>0</v>
      </c>
      <c r="DX176" s="196" t="n">
        <f aca="false">VLOOKUP($DT$1,'Datos Iniciales'!$E$34:$O$64,DX$158,FALSE())*DX78</f>
        <v>0</v>
      </c>
      <c r="DY176" s="196" t="n">
        <f aca="false">VLOOKUP($DT$1,'Datos Iniciales'!$E$34:$O$64,DY$158,FALSE())*DY78</f>
        <v>0</v>
      </c>
      <c r="DZ176" s="196" t="n">
        <f aca="false">VLOOKUP($DT$1,'Datos Iniciales'!$E$34:$O$64,DZ$158,FALSE())*DZ78</f>
        <v>0</v>
      </c>
      <c r="EA176" s="196" t="n">
        <f aca="false">VLOOKUP($DT$1,'Datos Iniciales'!$E$34:$O$64,EA$158,FALSE())*EA78</f>
        <v>0</v>
      </c>
      <c r="EB176" s="196" t="n">
        <f aca="false">VLOOKUP($DT$1,'Datos Iniciales'!$E$34:$O$64,EB$158,FALSE())*EB78</f>
        <v>0</v>
      </c>
      <c r="EC176" s="196" t="n">
        <f aca="false">VLOOKUP($DT$1,'Datos Iniciales'!$E$34:$O$64,EC$158,FALSE())*EC78</f>
        <v>0</v>
      </c>
      <c r="ED176" s="197" t="n">
        <f aca="false">VLOOKUP($DT$1,'Datos Iniciales'!$E$34:$O$64,ED$158,FALSE())*ED78</f>
        <v>0</v>
      </c>
      <c r="EE176" s="194" t="str">
        <f aca="false">DT176</f>
        <v>Alumno17</v>
      </c>
      <c r="EF176" s="208" t="n">
        <f aca="false">VLOOKUP($EE$1,'Datos Iniciales'!$E$34:$O$64,EF$158,FALSE())*EF78</f>
        <v>0</v>
      </c>
      <c r="EG176" s="196" t="n">
        <f aca="false">VLOOKUP($EE$1,'Datos Iniciales'!$E$34:$O$64,EG$158,FALSE())*EG78</f>
        <v>0</v>
      </c>
      <c r="EH176" s="196" t="n">
        <f aca="false">VLOOKUP($EE$1,'Datos Iniciales'!$E$34:$O$64,EH$158,FALSE())*EH78</f>
        <v>0</v>
      </c>
      <c r="EI176" s="196" t="n">
        <f aca="false">VLOOKUP($EE$1,'Datos Iniciales'!$E$34:$O$64,EI$158,FALSE())*EI78</f>
        <v>0</v>
      </c>
      <c r="EJ176" s="196" t="n">
        <f aca="false">VLOOKUP($EE$1,'Datos Iniciales'!$E$34:$O$64,EJ$158,FALSE())*EJ78</f>
        <v>0</v>
      </c>
      <c r="EK176" s="196" t="n">
        <f aca="false">VLOOKUP($EE$1,'Datos Iniciales'!$E$34:$O$64,EK$158,FALSE())*EK78</f>
        <v>0</v>
      </c>
      <c r="EL176" s="196" t="n">
        <f aca="false">VLOOKUP($EE$1,'Datos Iniciales'!$E$34:$O$64,EL$158,FALSE())*EL78</f>
        <v>0</v>
      </c>
      <c r="EM176" s="196" t="n">
        <f aca="false">VLOOKUP($EE$1,'Datos Iniciales'!$E$34:$O$64,EM$158,FALSE())*EM78</f>
        <v>0</v>
      </c>
      <c r="EN176" s="196" t="n">
        <f aca="false">VLOOKUP($EE$1,'Datos Iniciales'!$E$34:$O$64,EN$158,FALSE())*EN78</f>
        <v>0</v>
      </c>
      <c r="EO176" s="197" t="n">
        <f aca="false">VLOOKUP($EE$1,'Datos Iniciales'!$E$34:$O$64,EO$158,FALSE())*EO78</f>
        <v>0</v>
      </c>
      <c r="EP176" s="194" t="str">
        <f aca="false">EE176</f>
        <v>Alumno17</v>
      </c>
      <c r="EQ176" s="208" t="n">
        <f aca="false">VLOOKUP($EP$1,'Datos Iniciales'!$E$34:$O$64,EQ$158,FALSE())*EQ78</f>
        <v>0</v>
      </c>
      <c r="ER176" s="196" t="n">
        <f aca="false">VLOOKUP($EP$1,'Datos Iniciales'!$E$34:$O$64,ER$158,FALSE())*ER78</f>
        <v>0</v>
      </c>
      <c r="ES176" s="196" t="n">
        <f aca="false">VLOOKUP($EP$1,'Datos Iniciales'!$E$34:$O$64,ES$158,FALSE())*ES78</f>
        <v>0</v>
      </c>
      <c r="ET176" s="196" t="n">
        <f aca="false">VLOOKUP($EP$1,'Datos Iniciales'!$E$34:$O$64,ET$158,FALSE())*ET78</f>
        <v>0</v>
      </c>
      <c r="EU176" s="196" t="n">
        <f aca="false">VLOOKUP($EP$1,'Datos Iniciales'!$E$34:$O$64,EU$158,FALSE())*EU78</f>
        <v>0</v>
      </c>
      <c r="EV176" s="196" t="n">
        <f aca="false">VLOOKUP($EP$1,'Datos Iniciales'!$E$34:$O$64,EV$158,FALSE())*EV78</f>
        <v>0</v>
      </c>
      <c r="EW176" s="196" t="n">
        <f aca="false">VLOOKUP($EP$1,'Datos Iniciales'!$E$34:$O$64,EW$158,FALSE())*EW78</f>
        <v>0</v>
      </c>
      <c r="EX176" s="196" t="n">
        <f aca="false">VLOOKUP($EP$1,'Datos Iniciales'!$E$34:$O$64,EX$158,FALSE())*EX78</f>
        <v>0</v>
      </c>
      <c r="EY176" s="196" t="n">
        <f aca="false">VLOOKUP($EP$1,'Datos Iniciales'!$E$34:$O$64,EY$158,FALSE())*EY78</f>
        <v>0</v>
      </c>
      <c r="EZ176" s="197" t="n">
        <f aca="false">VLOOKUP($EP$1,'Datos Iniciales'!$E$34:$O$64,EZ$158,FALSE())*EZ78</f>
        <v>0</v>
      </c>
      <c r="FA176" s="194" t="str">
        <f aca="false">EP176</f>
        <v>Alumno17</v>
      </c>
      <c r="FB176" s="208" t="n">
        <f aca="false">VLOOKUP($FA$1,'Datos Iniciales'!$E$34:$O$64,FB$158,FALSE())*FB78</f>
        <v>0</v>
      </c>
      <c r="FC176" s="196" t="n">
        <f aca="false">VLOOKUP($FA$1,'Datos Iniciales'!$E$34:$O$64,FC$158,FALSE())*FC78</f>
        <v>0</v>
      </c>
      <c r="FD176" s="196" t="n">
        <f aca="false">VLOOKUP($FA$1,'Datos Iniciales'!$E$34:$O$64,FD$158,FALSE())*FD78</f>
        <v>0</v>
      </c>
      <c r="FE176" s="196" t="n">
        <f aca="false">VLOOKUP($FA$1,'Datos Iniciales'!$E$34:$O$64,FE$158,FALSE())*FE78</f>
        <v>0</v>
      </c>
      <c r="FF176" s="196" t="n">
        <f aca="false">VLOOKUP($FA$1,'Datos Iniciales'!$E$34:$O$64,FF$158,FALSE())*FF78</f>
        <v>0</v>
      </c>
      <c r="FG176" s="196" t="n">
        <f aca="false">VLOOKUP($FA$1,'Datos Iniciales'!$E$34:$O$64,FG$158,FALSE())*FG78</f>
        <v>0</v>
      </c>
      <c r="FH176" s="196" t="n">
        <f aca="false">VLOOKUP($FA$1,'Datos Iniciales'!$E$34:$O$64,FH$158,FALSE())*FH78</f>
        <v>0</v>
      </c>
      <c r="FI176" s="196" t="n">
        <f aca="false">VLOOKUP($FA$1,'Datos Iniciales'!$E$34:$O$64,FI$158,FALSE())*FI78</f>
        <v>0</v>
      </c>
      <c r="FJ176" s="196" t="n">
        <f aca="false">VLOOKUP($FA$1,'Datos Iniciales'!$E$34:$O$64,FJ$158,FALSE())*FJ78</f>
        <v>0</v>
      </c>
      <c r="FK176" s="197" t="n">
        <f aca="false">VLOOKUP($FA$1,'Datos Iniciales'!$E$34:$O$64,FK$158,FALSE())*FK78</f>
        <v>0</v>
      </c>
      <c r="FL176" s="194" t="str">
        <f aca="false">FA176</f>
        <v>Alumno17</v>
      </c>
      <c r="FM176" s="208" t="n">
        <f aca="false">VLOOKUP($FL$1,'Datos Iniciales'!$E$34:$O$64,FM$158,FALSE())*FM78</f>
        <v>0</v>
      </c>
      <c r="FN176" s="196" t="n">
        <f aca="false">VLOOKUP($FL$1,'Datos Iniciales'!$E$34:$O$64,FN$158,FALSE())*FN78</f>
        <v>0</v>
      </c>
      <c r="FO176" s="196" t="n">
        <f aca="false">VLOOKUP($FL$1,'Datos Iniciales'!$E$34:$O$64,FO$158,FALSE())*FO78</f>
        <v>0</v>
      </c>
      <c r="FP176" s="196" t="n">
        <f aca="false">VLOOKUP($FL$1,'Datos Iniciales'!$E$34:$O$64,FP$158,FALSE())*FP78</f>
        <v>0</v>
      </c>
      <c r="FQ176" s="196" t="n">
        <f aca="false">VLOOKUP($FL$1,'Datos Iniciales'!$E$34:$O$64,FQ$158,FALSE())*FQ78</f>
        <v>0</v>
      </c>
      <c r="FR176" s="196" t="n">
        <f aca="false">VLOOKUP($FL$1,'Datos Iniciales'!$E$34:$O$64,FR$158,FALSE())*FR78</f>
        <v>0</v>
      </c>
      <c r="FS176" s="196" t="n">
        <f aca="false">VLOOKUP($FL$1,'Datos Iniciales'!$E$34:$O$64,FS$158,FALSE())*FS78</f>
        <v>0</v>
      </c>
      <c r="FT176" s="196" t="n">
        <f aca="false">VLOOKUP($FL$1,'Datos Iniciales'!$E$34:$O$64,FT$158,FALSE())*FT78</f>
        <v>0</v>
      </c>
      <c r="FU176" s="196" t="n">
        <f aca="false">VLOOKUP($FL$1,'Datos Iniciales'!$E$34:$O$64,FU$158,FALSE())*FU78</f>
        <v>0</v>
      </c>
      <c r="FV176" s="197" t="n">
        <f aca="false">VLOOKUP($FL$1,'Datos Iniciales'!$E$34:$O$64,FV$158,FALSE())*FV78</f>
        <v>0</v>
      </c>
      <c r="FW176" s="194" t="str">
        <f aca="false">FL176</f>
        <v>Alumno17</v>
      </c>
      <c r="FX176" s="208" t="n">
        <f aca="false">VLOOKUP($FW$1,'Datos Iniciales'!$E$34:$O$64,FX$158,FALSE())*FX78</f>
        <v>0</v>
      </c>
      <c r="FY176" s="196" t="n">
        <f aca="false">VLOOKUP($FW$1,'Datos Iniciales'!$E$34:$O$64,FY$158,FALSE())*FY78</f>
        <v>0</v>
      </c>
      <c r="FZ176" s="196" t="n">
        <f aca="false">VLOOKUP($FW$1,'Datos Iniciales'!$E$34:$O$64,FZ$158,FALSE())*FZ78</f>
        <v>0</v>
      </c>
      <c r="GA176" s="196" t="n">
        <f aca="false">VLOOKUP($FW$1,'Datos Iniciales'!$E$34:$O$64,GA$158,FALSE())*GA78</f>
        <v>0</v>
      </c>
      <c r="GB176" s="196" t="n">
        <f aca="false">VLOOKUP($FW$1,'Datos Iniciales'!$E$34:$O$64,GB$158,FALSE())*GB78</f>
        <v>0</v>
      </c>
      <c r="GC176" s="196" t="n">
        <f aca="false">VLOOKUP($FW$1,'Datos Iniciales'!$E$34:$O$64,GC$158,FALSE())*GC78</f>
        <v>0</v>
      </c>
      <c r="GD176" s="196" t="n">
        <f aca="false">VLOOKUP($FW$1,'Datos Iniciales'!$E$34:$O$64,GD$158,FALSE())*GD78</f>
        <v>0</v>
      </c>
      <c r="GE176" s="196" t="n">
        <f aca="false">VLOOKUP($FW$1,'Datos Iniciales'!$E$34:$O$64,GE$158,FALSE())*GE78</f>
        <v>0</v>
      </c>
      <c r="GF176" s="196" t="n">
        <f aca="false">VLOOKUP($FW$1,'Datos Iniciales'!$E$34:$O$64,GF$158,FALSE())*GF78</f>
        <v>0</v>
      </c>
      <c r="GG176" s="197" t="n">
        <f aca="false">VLOOKUP($FW$1,'Datos Iniciales'!$E$34:$O$64,GG$158,FALSE())*GG78</f>
        <v>0</v>
      </c>
      <c r="GH176" s="194" t="str">
        <f aca="false">FW176</f>
        <v>Alumno17</v>
      </c>
      <c r="GI176" s="208" t="n">
        <f aca="false">VLOOKUP($GH$1,'Datos Iniciales'!$E$34:$O$64,GI$158,FALSE())*GI78</f>
        <v>0</v>
      </c>
      <c r="GJ176" s="196" t="n">
        <f aca="false">VLOOKUP($GH$1,'Datos Iniciales'!$E$34:$O$64,GJ$158,FALSE())*GJ78</f>
        <v>0</v>
      </c>
      <c r="GK176" s="196" t="n">
        <f aca="false">VLOOKUP($GH$1,'Datos Iniciales'!$E$34:$O$64,GK$158,FALSE())*GK78</f>
        <v>0</v>
      </c>
      <c r="GL176" s="196" t="n">
        <f aca="false">VLOOKUP($GH$1,'Datos Iniciales'!$E$34:$O$64,GL$158,FALSE())*GL78</f>
        <v>0</v>
      </c>
      <c r="GM176" s="196" t="n">
        <f aca="false">VLOOKUP($GH$1,'Datos Iniciales'!$E$34:$O$64,GM$158,FALSE())*GM78</f>
        <v>0</v>
      </c>
      <c r="GN176" s="196" t="n">
        <f aca="false">VLOOKUP($GH$1,'Datos Iniciales'!$E$34:$O$64,GN$158,FALSE())*GN78</f>
        <v>0</v>
      </c>
      <c r="GO176" s="196" t="n">
        <f aca="false">VLOOKUP($GH$1,'Datos Iniciales'!$E$34:$O$64,GO$158,FALSE())*GO78</f>
        <v>0</v>
      </c>
      <c r="GP176" s="196" t="n">
        <f aca="false">VLOOKUP($GH$1,'Datos Iniciales'!$E$34:$O$64,GP$158,FALSE())*GP78</f>
        <v>0</v>
      </c>
      <c r="GQ176" s="196" t="n">
        <f aca="false">VLOOKUP($GH$1,'Datos Iniciales'!$E$34:$O$64,GQ$158,FALSE())*GQ78</f>
        <v>0</v>
      </c>
      <c r="GR176" s="197" t="n">
        <f aca="false">VLOOKUP($GH$1,'Datos Iniciales'!$E$34:$O$64,GR$158,FALSE())*GR78</f>
        <v>0</v>
      </c>
      <c r="GS176" s="194" t="str">
        <f aca="false">GH176</f>
        <v>Alumno17</v>
      </c>
      <c r="GT176" s="208" t="n">
        <f aca="false">VLOOKUP($GS$1,'Datos Iniciales'!$E$34:$O$64,GT$158,FALSE())*GT78</f>
        <v>0</v>
      </c>
      <c r="GU176" s="196" t="n">
        <f aca="false">VLOOKUP($GS$1,'Datos Iniciales'!$E$34:$O$64,GU$158,FALSE())*GU78</f>
        <v>0</v>
      </c>
      <c r="GV176" s="196" t="n">
        <f aca="false">VLOOKUP($GS$1,'Datos Iniciales'!$E$34:$O$64,GV$158,FALSE())*GV78</f>
        <v>0</v>
      </c>
      <c r="GW176" s="196" t="n">
        <f aca="false">VLOOKUP($GS$1,'Datos Iniciales'!$E$34:$O$64,GW$158,FALSE())*GW78</f>
        <v>0</v>
      </c>
      <c r="GX176" s="196" t="n">
        <f aca="false">VLOOKUP($GS$1,'Datos Iniciales'!$E$34:$O$64,GX$158,FALSE())*GX78</f>
        <v>0</v>
      </c>
      <c r="GY176" s="196" t="n">
        <f aca="false">VLOOKUP($GS$1,'Datos Iniciales'!$E$34:$O$64,GY$158,FALSE())*GY78</f>
        <v>0</v>
      </c>
      <c r="GZ176" s="196" t="n">
        <f aca="false">VLOOKUP($GS$1,'Datos Iniciales'!$E$34:$O$64,GZ$158,FALSE())*GZ78</f>
        <v>0</v>
      </c>
      <c r="HA176" s="196" t="n">
        <f aca="false">VLOOKUP($GS$1,'Datos Iniciales'!$E$34:$O$64,HA$158,FALSE())*HA78</f>
        <v>0</v>
      </c>
      <c r="HB176" s="196" t="n">
        <f aca="false">VLOOKUP($GS$1,'Datos Iniciales'!$E$34:$O$64,HB$158,FALSE())*HB78</f>
        <v>0</v>
      </c>
      <c r="HC176" s="197" t="n">
        <f aca="false">VLOOKUP($GS$1,'Datos Iniciales'!$E$34:$O$64,HC$158,FALSE())*HC78</f>
        <v>0</v>
      </c>
      <c r="HD176" s="194" t="str">
        <f aca="false">GS176</f>
        <v>Alumno17</v>
      </c>
      <c r="HE176" s="208" t="n">
        <f aca="false">VLOOKUP($HD$1,'Datos Iniciales'!$E$34:$O$64,HE$158,FALSE())*HE78</f>
        <v>0</v>
      </c>
      <c r="HF176" s="196" t="n">
        <f aca="false">VLOOKUP($HD$1,'Datos Iniciales'!$E$34:$O$64,HF$158,FALSE())*HF78</f>
        <v>0</v>
      </c>
      <c r="HG176" s="196" t="n">
        <f aca="false">VLOOKUP($HD$1,'Datos Iniciales'!$E$34:$O$64,HG$158,FALSE())*HG78</f>
        <v>0</v>
      </c>
      <c r="HH176" s="196" t="n">
        <f aca="false">VLOOKUP($HD$1,'Datos Iniciales'!$E$34:$O$64,HH$158,FALSE())*HH78</f>
        <v>0</v>
      </c>
      <c r="HI176" s="196" t="n">
        <f aca="false">VLOOKUP($HD$1,'Datos Iniciales'!$E$34:$O$64,HI$158,FALSE())*HI78</f>
        <v>0</v>
      </c>
      <c r="HJ176" s="196" t="n">
        <f aca="false">VLOOKUP($HD$1,'Datos Iniciales'!$E$34:$O$64,HJ$158,FALSE())*HJ78</f>
        <v>0</v>
      </c>
      <c r="HK176" s="196" t="n">
        <f aca="false">VLOOKUP($HD$1,'Datos Iniciales'!$E$34:$O$64,HK$158,FALSE())*HK78</f>
        <v>0</v>
      </c>
      <c r="HL176" s="196" t="n">
        <f aca="false">VLOOKUP($HD$1,'Datos Iniciales'!$E$34:$O$64,HL$158,FALSE())*HL78</f>
        <v>0</v>
      </c>
      <c r="HM176" s="196" t="n">
        <f aca="false">VLOOKUP($HD$1,'Datos Iniciales'!$E$34:$O$64,HM$158,FALSE())*HM78</f>
        <v>0</v>
      </c>
      <c r="HN176" s="197" t="n">
        <f aca="false">VLOOKUP($HD$1,'Datos Iniciales'!$E$34:$O$64,HN$158,FALSE())*HN78</f>
        <v>0</v>
      </c>
      <c r="HO176" s="194" t="str">
        <f aca="false">HD176</f>
        <v>Alumno17</v>
      </c>
      <c r="HP176" s="208" t="n">
        <f aca="false">VLOOKUP($HO$1,'Datos Iniciales'!$E$34:$O$64,HP$158,FALSE())*HP78</f>
        <v>0</v>
      </c>
      <c r="HQ176" s="196" t="n">
        <f aca="false">VLOOKUP($HO$1,'Datos Iniciales'!$E$34:$O$64,HQ$158,FALSE())*HQ78</f>
        <v>0</v>
      </c>
      <c r="HR176" s="196" t="n">
        <f aca="false">VLOOKUP($HO$1,'Datos Iniciales'!$E$34:$O$64,HR$158,FALSE())*HR78</f>
        <v>0</v>
      </c>
      <c r="HS176" s="196" t="n">
        <f aca="false">VLOOKUP($HO$1,'Datos Iniciales'!$E$34:$O$64,HS$158,FALSE())*HS78</f>
        <v>0</v>
      </c>
      <c r="HT176" s="196" t="n">
        <f aca="false">VLOOKUP($HO$1,'Datos Iniciales'!$E$34:$O$64,HT$158,FALSE())*HT78</f>
        <v>0</v>
      </c>
      <c r="HU176" s="196" t="n">
        <f aca="false">VLOOKUP($HO$1,'Datos Iniciales'!$E$34:$O$64,HU$158,FALSE())*HU78</f>
        <v>0</v>
      </c>
      <c r="HV176" s="196" t="n">
        <f aca="false">VLOOKUP($HO$1,'Datos Iniciales'!$E$34:$O$64,HV$158,FALSE())*HV78</f>
        <v>0</v>
      </c>
      <c r="HW176" s="196" t="n">
        <f aca="false">VLOOKUP($HO$1,'Datos Iniciales'!$E$34:$O$64,HW$158,FALSE())*HW78</f>
        <v>0</v>
      </c>
      <c r="HX176" s="196" t="n">
        <f aca="false">VLOOKUP($HO$1,'Datos Iniciales'!$E$34:$O$64,HX$158,FALSE())*HX78</f>
        <v>0</v>
      </c>
      <c r="HY176" s="197" t="n">
        <f aca="false">VLOOKUP($HO$1,'Datos Iniciales'!$E$34:$O$64,HY$158,FALSE())*HY78</f>
        <v>0</v>
      </c>
      <c r="HZ176" s="194" t="str">
        <f aca="false">HO176</f>
        <v>Alumno17</v>
      </c>
      <c r="IA176" s="208" t="n">
        <f aca="false">VLOOKUP($HZ$1,'Datos Iniciales'!$E$34:$O$64,IA$158,FALSE())*IA78</f>
        <v>0</v>
      </c>
      <c r="IB176" s="196" t="n">
        <f aca="false">VLOOKUP($HZ$1,'Datos Iniciales'!$E$34:$O$64,IB$158,FALSE())*IB78</f>
        <v>0</v>
      </c>
      <c r="IC176" s="196" t="n">
        <f aca="false">VLOOKUP($HZ$1,'Datos Iniciales'!$E$34:$O$64,IC$158,FALSE())*IC78</f>
        <v>0</v>
      </c>
      <c r="ID176" s="196" t="n">
        <f aca="false">VLOOKUP($HZ$1,'Datos Iniciales'!$E$34:$O$64,ID$158,FALSE())*ID78</f>
        <v>0</v>
      </c>
      <c r="IE176" s="196" t="n">
        <f aca="false">VLOOKUP($HZ$1,'Datos Iniciales'!$E$34:$O$64,IE$158,FALSE())*IE78</f>
        <v>0</v>
      </c>
      <c r="IF176" s="196" t="n">
        <f aca="false">VLOOKUP($HZ$1,'Datos Iniciales'!$E$34:$O$64,IF$158,FALSE())*IF78</f>
        <v>0</v>
      </c>
      <c r="IG176" s="196" t="n">
        <f aca="false">VLOOKUP($HZ$1,'Datos Iniciales'!$E$34:$O$64,IG$158,FALSE())*IG78</f>
        <v>0</v>
      </c>
      <c r="IH176" s="196" t="n">
        <f aca="false">VLOOKUP($HZ$1,'Datos Iniciales'!$E$34:$O$64,IH$158,FALSE())*IH78</f>
        <v>0</v>
      </c>
      <c r="II176" s="196" t="n">
        <f aca="false">VLOOKUP($HZ$1,'Datos Iniciales'!$E$34:$O$64,II$158,FALSE())*II78</f>
        <v>0</v>
      </c>
      <c r="IJ176" s="197" t="n">
        <f aca="false">VLOOKUP($HZ$1,'Datos Iniciales'!$E$34:$O$64,IJ$158,FALSE())*IJ78</f>
        <v>0</v>
      </c>
      <c r="IK176" s="194" t="str">
        <f aca="false">HZ176</f>
        <v>Alumno17</v>
      </c>
      <c r="IL176" s="208" t="n">
        <f aca="false">VLOOKUP($IK$1,'Datos Iniciales'!$E$34:$O$64,IL$158,FALSE())*IL78</f>
        <v>0</v>
      </c>
      <c r="IM176" s="196" t="n">
        <f aca="false">VLOOKUP($IK$1,'Datos Iniciales'!$E$34:$O$64,IM$158,FALSE())*IM78</f>
        <v>0</v>
      </c>
      <c r="IN176" s="196" t="n">
        <f aca="false">VLOOKUP($IK$1,'Datos Iniciales'!$E$34:$O$64,IN$158,FALSE())*IN78</f>
        <v>0</v>
      </c>
      <c r="IO176" s="196" t="n">
        <f aca="false">VLOOKUP($IK$1,'Datos Iniciales'!$E$34:$O$64,IO$158,FALSE())*IO78</f>
        <v>0</v>
      </c>
      <c r="IP176" s="196" t="n">
        <f aca="false">VLOOKUP($IK$1,'Datos Iniciales'!$E$34:$O$64,IP$158,FALSE())*IP78</f>
        <v>0</v>
      </c>
      <c r="IQ176" s="196" t="n">
        <f aca="false">VLOOKUP($IK$1,'Datos Iniciales'!$E$34:$O$64,IQ$158,FALSE())*IQ78</f>
        <v>0</v>
      </c>
      <c r="IR176" s="196" t="n">
        <f aca="false">VLOOKUP($IK$1,'Datos Iniciales'!$E$34:$O$64,IR$158,FALSE())*IR78</f>
        <v>0</v>
      </c>
      <c r="IS176" s="196" t="n">
        <f aca="false">VLOOKUP($IK$1,'Datos Iniciales'!$E$34:$O$64,IS$158,FALSE())*IS78</f>
        <v>0</v>
      </c>
      <c r="IT176" s="196" t="n">
        <f aca="false">VLOOKUP($IK$1,'Datos Iniciales'!$E$34:$O$64,IT$158,FALSE())*IT78</f>
        <v>0</v>
      </c>
      <c r="IU176" s="197" t="n">
        <f aca="false">VLOOKUP($IK$1,'Datos Iniciales'!$E$34:$O$64,IU$158,FALSE())*IU78</f>
        <v>0</v>
      </c>
      <c r="IV176" s="194" t="str">
        <f aca="false">IK176</f>
        <v>Alumno17</v>
      </c>
      <c r="IW176" s="208" t="n">
        <f aca="false">VLOOKUP($IV$1,'Datos Iniciales'!$E$34:$O$64,IW$158,FALSE())*IW78</f>
        <v>0</v>
      </c>
      <c r="IX176" s="196" t="n">
        <f aca="false">VLOOKUP($IV$1,'Datos Iniciales'!$E$34:$O$64,IX$158,FALSE())*IX78</f>
        <v>0</v>
      </c>
      <c r="IY176" s="196" t="n">
        <f aca="false">VLOOKUP($IV$1,'Datos Iniciales'!$E$34:$O$64,IY$158,FALSE())*IY78</f>
        <v>0</v>
      </c>
      <c r="IZ176" s="196" t="n">
        <f aca="false">VLOOKUP($IV$1,'Datos Iniciales'!$E$34:$O$64,IZ$158,FALSE())*IZ78</f>
        <v>0</v>
      </c>
      <c r="JA176" s="196" t="n">
        <f aca="false">VLOOKUP($IV$1,'Datos Iniciales'!$E$34:$O$64,JA$158,FALSE())*JA78</f>
        <v>0</v>
      </c>
      <c r="JB176" s="196" t="n">
        <f aca="false">VLOOKUP($IV$1,'Datos Iniciales'!$E$34:$O$64,JB$158,FALSE())*JB78</f>
        <v>0</v>
      </c>
      <c r="JC176" s="196" t="n">
        <f aca="false">VLOOKUP($IV$1,'Datos Iniciales'!$E$34:$O$64,JC$158,FALSE())*JC78</f>
        <v>0</v>
      </c>
      <c r="JD176" s="196" t="n">
        <f aca="false">VLOOKUP($IV$1,'Datos Iniciales'!$E$34:$O$64,JD$158,FALSE())*JD78</f>
        <v>0</v>
      </c>
      <c r="JE176" s="196" t="n">
        <f aca="false">VLOOKUP($IV$1,'Datos Iniciales'!$E$34:$O$64,JE$158,FALSE())*JE78</f>
        <v>0</v>
      </c>
      <c r="JF176" s="197" t="n">
        <f aca="false">VLOOKUP($IV$1,'Datos Iniciales'!$E$34:$O$64,JF$158,FALSE())*JF78</f>
        <v>0</v>
      </c>
      <c r="JG176" s="194" t="str">
        <f aca="false">IV176</f>
        <v>Alumno17</v>
      </c>
      <c r="JH176" s="208" t="n">
        <f aca="false">VLOOKUP($JG$1,'Datos Iniciales'!$E$34:$O$64,JH$158,FALSE())*JH78</f>
        <v>0</v>
      </c>
      <c r="JI176" s="196" t="n">
        <f aca="false">VLOOKUP($JG$1,'Datos Iniciales'!$E$34:$O$64,JI$158,FALSE())*JI78</f>
        <v>0</v>
      </c>
      <c r="JJ176" s="196" t="n">
        <f aca="false">VLOOKUP($JG$1,'Datos Iniciales'!$E$34:$O$64,JJ$158,FALSE())*JJ78</f>
        <v>0</v>
      </c>
      <c r="JK176" s="196" t="n">
        <f aca="false">VLOOKUP($JG$1,'Datos Iniciales'!$E$34:$O$64,JK$158,FALSE())*JK78</f>
        <v>0</v>
      </c>
      <c r="JL176" s="196" t="n">
        <f aca="false">VLOOKUP($JG$1,'Datos Iniciales'!$E$34:$O$64,JL$158,FALSE())*JL78</f>
        <v>0</v>
      </c>
      <c r="JM176" s="196" t="n">
        <f aca="false">VLOOKUP($JG$1,'Datos Iniciales'!$E$34:$O$64,JM$158,FALSE())*JM78</f>
        <v>0</v>
      </c>
      <c r="JN176" s="196" t="n">
        <f aca="false">VLOOKUP($JG$1,'Datos Iniciales'!$E$34:$O$64,JN$158,FALSE())*JN78</f>
        <v>0</v>
      </c>
      <c r="JO176" s="196" t="n">
        <f aca="false">VLOOKUP($JG$1,'Datos Iniciales'!$E$34:$O$64,JO$158,FALSE())*JO78</f>
        <v>0</v>
      </c>
      <c r="JP176" s="196" t="n">
        <f aca="false">VLOOKUP($JG$1,'Datos Iniciales'!$E$34:$O$64,JP$158,FALSE())*JP78</f>
        <v>0</v>
      </c>
      <c r="JQ176" s="197" t="n">
        <f aca="false">VLOOKUP($JG$1,'Datos Iniciales'!$E$34:$O$64,JQ$158,FALSE())*JQ78</f>
        <v>0</v>
      </c>
      <c r="JR176" s="194" t="str">
        <f aca="false">JG176</f>
        <v>Alumno17</v>
      </c>
      <c r="JS176" s="208" t="n">
        <f aca="false">VLOOKUP($JR$1,'Datos Iniciales'!$E$34:$O$64,JS$158,FALSE())*JS78</f>
        <v>0</v>
      </c>
      <c r="JT176" s="196" t="n">
        <f aca="false">VLOOKUP($JR$1,'Datos Iniciales'!$E$34:$O$64,JT$158,FALSE())*JT78</f>
        <v>0</v>
      </c>
      <c r="JU176" s="196" t="n">
        <f aca="false">VLOOKUP($JR$1,'Datos Iniciales'!$E$34:$O$64,JU$158,FALSE())*JU78</f>
        <v>0</v>
      </c>
      <c r="JV176" s="196" t="n">
        <f aca="false">VLOOKUP($JR$1,'Datos Iniciales'!$E$34:$O$64,JV$158,FALSE())*JV78</f>
        <v>0</v>
      </c>
      <c r="JW176" s="196" t="n">
        <f aca="false">VLOOKUP($JR$1,'Datos Iniciales'!$E$34:$O$64,JW$158,FALSE())*JW78</f>
        <v>0</v>
      </c>
      <c r="JX176" s="196" t="n">
        <f aca="false">VLOOKUP($JR$1,'Datos Iniciales'!$E$34:$O$64,JX$158,FALSE())*JX78</f>
        <v>0</v>
      </c>
      <c r="JY176" s="196" t="n">
        <f aca="false">VLOOKUP($JR$1,'Datos Iniciales'!$E$34:$O$64,JY$158,FALSE())*JY78</f>
        <v>0</v>
      </c>
      <c r="JZ176" s="196" t="n">
        <f aca="false">VLOOKUP($JR$1,'Datos Iniciales'!$E$34:$O$64,JZ$158,FALSE())*JZ78</f>
        <v>0</v>
      </c>
      <c r="KA176" s="196" t="n">
        <f aca="false">VLOOKUP($JR$1,'Datos Iniciales'!$E$34:$O$64,KA$158,FALSE())*KA78</f>
        <v>0</v>
      </c>
      <c r="KB176" s="197" t="n">
        <f aca="false">VLOOKUP($JR$1,'Datos Iniciales'!$E$34:$O$64,KB$158,FALSE())*KB78</f>
        <v>0</v>
      </c>
      <c r="KC176" s="194" t="str">
        <f aca="false">JR176</f>
        <v>Alumno17</v>
      </c>
      <c r="KD176" s="208" t="n">
        <f aca="false">VLOOKUP($KC$1,'Datos Iniciales'!$E$34:$O$64,KD$158,FALSE())*KD78</f>
        <v>0</v>
      </c>
      <c r="KE176" s="196" t="n">
        <f aca="false">VLOOKUP($KC$1,'Datos Iniciales'!$E$34:$O$64,KE$158,FALSE())*KE78</f>
        <v>0</v>
      </c>
      <c r="KF176" s="196" t="n">
        <f aca="false">VLOOKUP($KC$1,'Datos Iniciales'!$E$34:$O$64,KF$158,FALSE())*KF78</f>
        <v>0</v>
      </c>
      <c r="KG176" s="196" t="n">
        <f aca="false">VLOOKUP($KC$1,'Datos Iniciales'!$E$34:$O$64,KG$158,FALSE())*KG78</f>
        <v>0</v>
      </c>
      <c r="KH176" s="196" t="n">
        <f aca="false">VLOOKUP($KC$1,'Datos Iniciales'!$E$34:$O$64,KH$158,FALSE())*KH78</f>
        <v>0</v>
      </c>
      <c r="KI176" s="196" t="n">
        <f aca="false">VLOOKUP($KC$1,'Datos Iniciales'!$E$34:$O$64,KI$158,FALSE())*KI78</f>
        <v>0</v>
      </c>
      <c r="KJ176" s="196" t="n">
        <f aca="false">VLOOKUP($KC$1,'Datos Iniciales'!$E$34:$O$64,KJ$158,FALSE())*KJ78</f>
        <v>0</v>
      </c>
      <c r="KK176" s="196" t="n">
        <f aca="false">VLOOKUP($KC$1,'Datos Iniciales'!$E$34:$O$64,KK$158,FALSE())*KK78</f>
        <v>0</v>
      </c>
      <c r="KL176" s="196" t="n">
        <f aca="false">VLOOKUP($KC$1,'Datos Iniciales'!$E$34:$O$64,KL$158,FALSE())*KL78</f>
        <v>0</v>
      </c>
      <c r="KM176" s="197" t="n">
        <f aca="false">VLOOKUP($KC$1,'Datos Iniciales'!$E$34:$O$64,KM$158,FALSE())*KM78</f>
        <v>0</v>
      </c>
      <c r="KN176" s="194" t="str">
        <f aca="false">KC176</f>
        <v>Alumno17</v>
      </c>
      <c r="KO176" s="208" t="n">
        <f aca="false">VLOOKUP($KN$1,'Datos Iniciales'!$E$34:$O$64,KO$158,FALSE())*KO78</f>
        <v>0</v>
      </c>
      <c r="KP176" s="196" t="n">
        <f aca="false">VLOOKUP($KN$1,'Datos Iniciales'!$E$34:$O$64,KP$158,FALSE())*KP78</f>
        <v>0</v>
      </c>
      <c r="KQ176" s="196" t="n">
        <f aca="false">VLOOKUP($KN$1,'Datos Iniciales'!$E$34:$O$64,KQ$158,FALSE())*KQ78</f>
        <v>0</v>
      </c>
      <c r="KR176" s="196" t="n">
        <f aca="false">VLOOKUP($KN$1,'Datos Iniciales'!$E$34:$O$64,KR$158,FALSE())*KR78</f>
        <v>0</v>
      </c>
      <c r="KS176" s="196" t="n">
        <f aca="false">VLOOKUP($KN$1,'Datos Iniciales'!$E$34:$O$64,KS$158,FALSE())*KS78</f>
        <v>0</v>
      </c>
      <c r="KT176" s="196" t="n">
        <f aca="false">VLOOKUP($KN$1,'Datos Iniciales'!$E$34:$O$64,KT$158,FALSE())*KT78</f>
        <v>0</v>
      </c>
      <c r="KU176" s="196" t="n">
        <f aca="false">VLOOKUP($KN$1,'Datos Iniciales'!$E$34:$O$64,KU$158,FALSE())*KU78</f>
        <v>0</v>
      </c>
      <c r="KV176" s="196" t="n">
        <f aca="false">VLOOKUP($KN$1,'Datos Iniciales'!$E$34:$O$64,KV$158,FALSE())*KV78</f>
        <v>0</v>
      </c>
      <c r="KW176" s="196" t="n">
        <f aca="false">VLOOKUP($KN$1,'Datos Iniciales'!$E$34:$O$64,KW$158,FALSE())*KW78</f>
        <v>0</v>
      </c>
      <c r="KX176" s="197" t="n">
        <f aca="false">VLOOKUP($KN$1,'Datos Iniciales'!$E$34:$O$64,KX$158,FALSE())*KX78</f>
        <v>0</v>
      </c>
      <c r="KY176" s="194" t="str">
        <f aca="false">KN176</f>
        <v>Alumno17</v>
      </c>
      <c r="KZ176" s="208" t="n">
        <f aca="false">VLOOKUP($KY$1,'Datos Iniciales'!$E$34:$O$64,KZ$158,FALSE())*KZ78</f>
        <v>0</v>
      </c>
      <c r="LA176" s="196" t="n">
        <f aca="false">VLOOKUP($KY$1,'Datos Iniciales'!$E$34:$O$64,LA$158,FALSE())*LA78</f>
        <v>0</v>
      </c>
      <c r="LB176" s="196" t="n">
        <f aca="false">VLOOKUP($KY$1,'Datos Iniciales'!$E$34:$O$64,LB$158,FALSE())*LB78</f>
        <v>0</v>
      </c>
      <c r="LC176" s="196" t="n">
        <f aca="false">VLOOKUP($KY$1,'Datos Iniciales'!$E$34:$O$64,LC$158,FALSE())*LC78</f>
        <v>0</v>
      </c>
      <c r="LD176" s="196" t="n">
        <f aca="false">VLOOKUP($KY$1,'Datos Iniciales'!$E$34:$O$64,LD$158,FALSE())*LD78</f>
        <v>0</v>
      </c>
      <c r="LE176" s="196" t="n">
        <f aca="false">VLOOKUP($KY$1,'Datos Iniciales'!$E$34:$O$64,LE$158,FALSE())*LE78</f>
        <v>0</v>
      </c>
      <c r="LF176" s="196" t="n">
        <f aca="false">VLOOKUP($KY$1,'Datos Iniciales'!$E$34:$O$64,LF$158,FALSE())*LF78</f>
        <v>0</v>
      </c>
      <c r="LG176" s="196" t="n">
        <f aca="false">VLOOKUP($KY$1,'Datos Iniciales'!$E$34:$O$64,LG$158,FALSE())*LG78</f>
        <v>0</v>
      </c>
      <c r="LH176" s="196" t="n">
        <f aca="false">VLOOKUP($KY$1,'Datos Iniciales'!$E$34:$O$64,LH$158,FALSE())*LH78</f>
        <v>0</v>
      </c>
      <c r="LI176" s="197" t="n">
        <f aca="false">VLOOKUP($KY$1,'Datos Iniciales'!$E$34:$O$64,LI$158,FALSE())*LI78</f>
        <v>0</v>
      </c>
      <c r="LJ176" s="194" t="str">
        <f aca="false">KY176</f>
        <v>Alumno17</v>
      </c>
      <c r="LK176" s="208" t="n">
        <f aca="false">VLOOKUP($LJ$1,'Datos Iniciales'!$E$34:$O$64,LK$158,FALSE())*LK78</f>
        <v>0</v>
      </c>
      <c r="LL176" s="196" t="n">
        <f aca="false">VLOOKUP($LJ$1,'Datos Iniciales'!$E$34:$O$64,LL$158,FALSE())*LL78</f>
        <v>0</v>
      </c>
      <c r="LM176" s="196" t="n">
        <f aca="false">VLOOKUP($LJ$1,'Datos Iniciales'!$E$34:$O$64,LM$158,FALSE())*LM78</f>
        <v>0</v>
      </c>
      <c r="LN176" s="196" t="n">
        <f aca="false">VLOOKUP($LJ$1,'Datos Iniciales'!$E$34:$O$64,LN$158,FALSE())*LN78</f>
        <v>0</v>
      </c>
      <c r="LO176" s="196" t="n">
        <f aca="false">VLOOKUP($LJ$1,'Datos Iniciales'!$E$34:$O$64,LO$158,FALSE())*LO78</f>
        <v>0</v>
      </c>
      <c r="LP176" s="196" t="n">
        <f aca="false">VLOOKUP($LJ$1,'Datos Iniciales'!$E$34:$O$64,LP$158,FALSE())*LP78</f>
        <v>0</v>
      </c>
      <c r="LQ176" s="196" t="n">
        <f aca="false">VLOOKUP($LJ$1,'Datos Iniciales'!$E$34:$O$64,LQ$158,FALSE())*LQ78</f>
        <v>0</v>
      </c>
      <c r="LR176" s="196" t="n">
        <f aca="false">VLOOKUP($LJ$1,'Datos Iniciales'!$E$34:$O$64,LR$158,FALSE())*LR78</f>
        <v>0</v>
      </c>
      <c r="LS176" s="196" t="n">
        <f aca="false">VLOOKUP($LJ$1,'Datos Iniciales'!$E$34:$O$64,LS$158,FALSE())*LS78</f>
        <v>0</v>
      </c>
      <c r="LT176" s="197" t="n">
        <f aca="false">VLOOKUP($LJ$1,'Datos Iniciales'!$E$34:$O$64,LT$158,FALSE())*LT78</f>
        <v>0</v>
      </c>
    </row>
    <row r="177" customFormat="false" ht="15" hidden="true" customHeight="false" outlineLevel="0" collapsed="false">
      <c r="C177" s="194" t="str">
        <f aca="false">C128</f>
        <v>Alumno18</v>
      </c>
      <c r="D177" s="208" t="n">
        <f aca="false">VLOOKUP($C$1,'Datos Iniciales'!$E$34:$O$64,D$158,FALSE())*D79</f>
        <v>2.4125</v>
      </c>
      <c r="E177" s="196" t="n">
        <f aca="false">VLOOKUP($C$1,'Datos Iniciales'!$E$34:$O$64,E$158,FALSE())*E79</f>
        <v>0</v>
      </c>
      <c r="F177" s="196" t="n">
        <f aca="false">VLOOKUP($C$1,'Datos Iniciales'!$E$34:$O$64,F$158,FALSE())*F79</f>
        <v>0</v>
      </c>
      <c r="G177" s="196" t="n">
        <f aca="false">VLOOKUP($C$1,'Datos Iniciales'!$E$34:$O$64,G$158,FALSE())*G79</f>
        <v>0</v>
      </c>
      <c r="H177" s="196" t="n">
        <f aca="false">VLOOKUP($C$1,'Datos Iniciales'!$E$34:$O$64,H$158,FALSE())*H79</f>
        <v>0</v>
      </c>
      <c r="I177" s="196" t="n">
        <f aca="false">VLOOKUP($C$1,'Datos Iniciales'!$E$34:$O$64,I$158,FALSE())*I79</f>
        <v>0</v>
      </c>
      <c r="J177" s="196" t="n">
        <f aca="false">VLOOKUP($C$1,'Datos Iniciales'!$E$34:$O$64,J$158,FALSE())*J79</f>
        <v>0</v>
      </c>
      <c r="K177" s="196" t="n">
        <f aca="false">VLOOKUP($C$1,'Datos Iniciales'!$E$34:$O$64,K$158,FALSE())*K79</f>
        <v>0</v>
      </c>
      <c r="L177" s="196" t="n">
        <f aca="false">VLOOKUP($C$1,'Datos Iniciales'!$E$34:$O$64,L$158,FALSE())*L79</f>
        <v>0</v>
      </c>
      <c r="M177" s="197" t="n">
        <f aca="false">VLOOKUP($C$1,'Datos Iniciales'!$E$34:$O$64,M$158,FALSE())*M79</f>
        <v>0</v>
      </c>
      <c r="N177" s="194" t="str">
        <f aca="false">C177</f>
        <v>Alumno18</v>
      </c>
      <c r="O177" s="208" t="n">
        <f aca="false">VLOOKUP($N$1,'Datos Iniciales'!$E$34:$O$64,O$158,FALSE())*O79</f>
        <v>1.9</v>
      </c>
      <c r="P177" s="196" t="n">
        <f aca="false">VLOOKUP($N$1,'Datos Iniciales'!$E$34:$O$64,P$158,FALSE())*P79</f>
        <v>2</v>
      </c>
      <c r="Q177" s="196" t="n">
        <f aca="false">VLOOKUP($N$1,'Datos Iniciales'!$E$34:$O$64,Q$158,FALSE())*Q79</f>
        <v>0</v>
      </c>
      <c r="R177" s="196" t="n">
        <f aca="false">VLOOKUP($N$1,'Datos Iniciales'!$E$34:$O$64,R$158,FALSE())*R79</f>
        <v>0</v>
      </c>
      <c r="S177" s="196" t="n">
        <f aca="false">VLOOKUP($N$1,'Datos Iniciales'!$E$34:$O$64,S$158,FALSE())*S79</f>
        <v>0</v>
      </c>
      <c r="T177" s="196" t="n">
        <f aca="false">VLOOKUP($N$1,'Datos Iniciales'!$E$34:$O$64,T$158,FALSE())*T79</f>
        <v>0</v>
      </c>
      <c r="U177" s="196" t="n">
        <f aca="false">VLOOKUP($N$1,'Datos Iniciales'!$E$34:$O$64,U$158,FALSE())*U79</f>
        <v>0</v>
      </c>
      <c r="V177" s="196" t="n">
        <f aca="false">VLOOKUP($N$1,'Datos Iniciales'!$E$34:$O$64,V$158,FALSE())*V79</f>
        <v>0</v>
      </c>
      <c r="W177" s="196" t="n">
        <f aca="false">VLOOKUP($N$1,'Datos Iniciales'!$E$34:$O$64,W$158,FALSE())*W79</f>
        <v>0</v>
      </c>
      <c r="X177" s="197" t="n">
        <f aca="false">VLOOKUP($N$1,'Datos Iniciales'!$E$34:$O$64,X$158,FALSE())*X79</f>
        <v>0</v>
      </c>
      <c r="Y177" s="194" t="str">
        <f aca="false">N177</f>
        <v>Alumno18</v>
      </c>
      <c r="Z177" s="208" t="n">
        <f aca="false">VLOOKUP($Y$1,'Datos Iniciales'!$E$34:$O$64,Z$158,FALSE())*Z79</f>
        <v>1.05</v>
      </c>
      <c r="AA177" s="196" t="n">
        <f aca="false">VLOOKUP($Y$1,'Datos Iniciales'!$E$34:$O$64,AA$158,FALSE())*AA79</f>
        <v>1.1</v>
      </c>
      <c r="AB177" s="196" t="n">
        <f aca="false">VLOOKUP($Y$1,'Datos Iniciales'!$E$34:$O$64,AB$158,FALSE())*AB79</f>
        <v>0.4</v>
      </c>
      <c r="AC177" s="196" t="n">
        <f aca="false">VLOOKUP($Y$1,'Datos Iniciales'!$E$34:$O$64,AC$158,FALSE())*AC79</f>
        <v>0</v>
      </c>
      <c r="AD177" s="196" t="n">
        <f aca="false">VLOOKUP($Y$1,'Datos Iniciales'!$E$34:$O$64,AD$158,FALSE())*AD79</f>
        <v>0</v>
      </c>
      <c r="AE177" s="196" t="n">
        <f aca="false">VLOOKUP($Y$1,'Datos Iniciales'!$E$34:$O$64,AE$158,FALSE())*AE79</f>
        <v>0</v>
      </c>
      <c r="AF177" s="196" t="n">
        <f aca="false">VLOOKUP($Y$1,'Datos Iniciales'!$E$34:$O$64,AF$158,FALSE())*AF79</f>
        <v>0</v>
      </c>
      <c r="AG177" s="196" t="n">
        <f aca="false">VLOOKUP($Y$1,'Datos Iniciales'!$E$34:$O$64,AG$158,FALSE())*AG79</f>
        <v>0</v>
      </c>
      <c r="AH177" s="196" t="n">
        <f aca="false">VLOOKUP($Y$1,'Datos Iniciales'!$E$34:$O$64,AH$158,FALSE())*AH79</f>
        <v>0</v>
      </c>
      <c r="AI177" s="197" t="n">
        <f aca="false">VLOOKUP($Y$1,'Datos Iniciales'!$E$34:$O$64,AI$158,FALSE())*AI79</f>
        <v>0</v>
      </c>
      <c r="AJ177" s="194" t="str">
        <f aca="false">Y177</f>
        <v>Alumno18</v>
      </c>
      <c r="AK177" s="208" t="n">
        <f aca="false">VLOOKUP($AJ$1,'Datos Iniciales'!$E$34:$O$64,AK$158,FALSE())*AK79</f>
        <v>0.4</v>
      </c>
      <c r="AL177" s="196" t="n">
        <f aca="false">VLOOKUP($AJ$1,'Datos Iniciales'!$E$34:$O$64,AL$158,FALSE())*AL79</f>
        <v>1.05</v>
      </c>
      <c r="AM177" s="196" t="n">
        <f aca="false">VLOOKUP($AJ$1,'Datos Iniciales'!$E$34:$O$64,AM$158,FALSE())*AM79</f>
        <v>1.925</v>
      </c>
      <c r="AN177" s="196" t="n">
        <f aca="false">VLOOKUP($AJ$1,'Datos Iniciales'!$E$34:$O$64,AN$158,FALSE())*AN79</f>
        <v>0</v>
      </c>
      <c r="AO177" s="196" t="n">
        <f aca="false">VLOOKUP($AJ$1,'Datos Iniciales'!$E$34:$O$64,AO$158,FALSE())*AO79</f>
        <v>0</v>
      </c>
      <c r="AP177" s="196" t="n">
        <f aca="false">VLOOKUP($AJ$1,'Datos Iniciales'!$E$34:$O$64,AP$158,FALSE())*AP79</f>
        <v>0</v>
      </c>
      <c r="AQ177" s="196" t="n">
        <f aca="false">VLOOKUP($AJ$1,'Datos Iniciales'!$E$34:$O$64,AQ$158,FALSE())*AQ79</f>
        <v>0</v>
      </c>
      <c r="AR177" s="196" t="n">
        <f aca="false">VLOOKUP($AJ$1,'Datos Iniciales'!$E$34:$O$64,AR$158,FALSE())*AR79</f>
        <v>0</v>
      </c>
      <c r="AS177" s="196" t="n">
        <f aca="false">VLOOKUP($AJ$1,'Datos Iniciales'!$E$34:$O$64,AS$158,FALSE())*AS79</f>
        <v>0</v>
      </c>
      <c r="AT177" s="197" t="n">
        <f aca="false">VLOOKUP($AJ$1,'Datos Iniciales'!$E$34:$O$64,AT$158,FALSE())*AT79</f>
        <v>0</v>
      </c>
      <c r="AU177" s="194" t="str">
        <f aca="false">AJ177</f>
        <v>Alumno18</v>
      </c>
      <c r="AV177" s="208" t="n">
        <f aca="false">VLOOKUP($AU$1,'Datos Iniciales'!$E$34:$O$64,AV$158,FALSE())*AV79</f>
        <v>0.5</v>
      </c>
      <c r="AW177" s="196" t="n">
        <f aca="false">VLOOKUP($AU$1,'Datos Iniciales'!$E$34:$O$64,AW$158,FALSE())*AW79</f>
        <v>0.9</v>
      </c>
      <c r="AX177" s="196" t="n">
        <f aca="false">VLOOKUP($AU$1,'Datos Iniciales'!$E$34:$O$64,AX$158,FALSE())*AX79</f>
        <v>2.82</v>
      </c>
      <c r="AY177" s="196" t="n">
        <f aca="false">VLOOKUP($AU$1,'Datos Iniciales'!$E$34:$O$64,AY$158,FALSE())*AY79</f>
        <v>1</v>
      </c>
      <c r="AZ177" s="196" t="n">
        <f aca="false">VLOOKUP($AU$1,'Datos Iniciales'!$E$34:$O$64,AZ$158,FALSE())*AZ79</f>
        <v>0</v>
      </c>
      <c r="BA177" s="196" t="n">
        <f aca="false">VLOOKUP($AU$1,'Datos Iniciales'!$E$34:$O$64,BA$158,FALSE())*BA79</f>
        <v>0</v>
      </c>
      <c r="BB177" s="196" t="n">
        <f aca="false">VLOOKUP($AU$1,'Datos Iniciales'!$E$34:$O$64,BB$158,FALSE())*BB79</f>
        <v>0</v>
      </c>
      <c r="BC177" s="196" t="n">
        <f aca="false">VLOOKUP($AU$1,'Datos Iniciales'!$E$34:$O$64,BC$158,FALSE())*BC79</f>
        <v>0</v>
      </c>
      <c r="BD177" s="196" t="n">
        <f aca="false">VLOOKUP($AU$1,'Datos Iniciales'!$E$34:$O$64,BD$158,FALSE())*BD79</f>
        <v>0</v>
      </c>
      <c r="BE177" s="197" t="n">
        <f aca="false">VLOOKUP($AU$1,'Datos Iniciales'!$E$34:$O$64,BE$158,FALSE())*BE79</f>
        <v>0</v>
      </c>
      <c r="BF177" s="194" t="str">
        <f aca="false">AU177</f>
        <v>Alumno18</v>
      </c>
      <c r="BG177" s="208" t="n">
        <f aca="false">VLOOKUP($BF$1,'Datos Iniciales'!$E$34:$O$64,BG$158,FALSE())*BG79</f>
        <v>1</v>
      </c>
      <c r="BH177" s="196" t="n">
        <f aca="false">VLOOKUP($BF$1,'Datos Iniciales'!$E$34:$O$64,BH$158,FALSE())*BH79</f>
        <v>1.35</v>
      </c>
      <c r="BI177" s="196" t="n">
        <f aca="false">VLOOKUP($BF$1,'Datos Iniciales'!$E$34:$O$64,BI$158,FALSE())*BI79</f>
        <v>1</v>
      </c>
      <c r="BJ177" s="196" t="n">
        <f aca="false">VLOOKUP($BF$1,'Datos Iniciales'!$E$34:$O$64,BJ$158,FALSE())*BJ79</f>
        <v>3.84</v>
      </c>
      <c r="BK177" s="196" t="n">
        <f aca="false">VLOOKUP($BF$1,'Datos Iniciales'!$E$34:$O$64,BK$158,FALSE())*BK79</f>
        <v>0</v>
      </c>
      <c r="BL177" s="196" t="n">
        <f aca="false">VLOOKUP($BF$1,'Datos Iniciales'!$E$34:$O$64,BL$158,FALSE())*BL79</f>
        <v>0</v>
      </c>
      <c r="BM177" s="196" t="n">
        <f aca="false">VLOOKUP($BF$1,'Datos Iniciales'!$E$34:$O$64,BM$158,FALSE())*BM79</f>
        <v>0</v>
      </c>
      <c r="BN177" s="196" t="n">
        <f aca="false">VLOOKUP($BF$1,'Datos Iniciales'!$E$34:$O$64,BN$158,FALSE())*BN79</f>
        <v>0</v>
      </c>
      <c r="BO177" s="196" t="n">
        <f aca="false">VLOOKUP($BF$1,'Datos Iniciales'!$E$34:$O$64,BO$158,FALSE())*BO79</f>
        <v>0</v>
      </c>
      <c r="BP177" s="197" t="n">
        <f aca="false">VLOOKUP($BF$1,'Datos Iniciales'!$E$34:$O$64,BP$158,FALSE())*BP79</f>
        <v>0</v>
      </c>
      <c r="BQ177" s="194" t="str">
        <f aca="false">BF177</f>
        <v>Alumno18</v>
      </c>
      <c r="BR177" s="208" t="n">
        <f aca="false">VLOOKUP($BQ$1,'Datos Iniciales'!$E$34:$O$64,BR$158,FALSE())*BR79</f>
        <v>0</v>
      </c>
      <c r="BS177" s="196" t="n">
        <f aca="false">VLOOKUP($BQ$1,'Datos Iniciales'!$E$34:$O$64,BS$158,FALSE())*BS79</f>
        <v>0.4</v>
      </c>
      <c r="BT177" s="196" t="n">
        <f aca="false">VLOOKUP($BQ$1,'Datos Iniciales'!$E$34:$O$64,BT$158,FALSE())*BT79</f>
        <v>0.95</v>
      </c>
      <c r="BU177" s="196" t="n">
        <f aca="false">VLOOKUP($BQ$1,'Datos Iniciales'!$E$34:$O$64,BU$158,FALSE())*BU79</f>
        <v>3.5</v>
      </c>
      <c r="BV177" s="196" t="n">
        <f aca="false">VLOOKUP($BQ$1,'Datos Iniciales'!$E$34:$O$64,BV$158,FALSE())*BV79</f>
        <v>0</v>
      </c>
      <c r="BW177" s="196" t="n">
        <f aca="false">VLOOKUP($BQ$1,'Datos Iniciales'!$E$34:$O$64,BW$158,FALSE())*BW79</f>
        <v>0</v>
      </c>
      <c r="BX177" s="196" t="n">
        <f aca="false">VLOOKUP($BQ$1,'Datos Iniciales'!$E$34:$O$64,BX$158,FALSE())*BX79</f>
        <v>0</v>
      </c>
      <c r="BY177" s="196" t="n">
        <f aca="false">VLOOKUP($BQ$1,'Datos Iniciales'!$E$34:$O$64,BY$158,FALSE())*BY79</f>
        <v>0</v>
      </c>
      <c r="BZ177" s="196" t="n">
        <f aca="false">VLOOKUP($BQ$1,'Datos Iniciales'!$E$34:$O$64,BZ$158,FALSE())*BZ79</f>
        <v>0</v>
      </c>
      <c r="CA177" s="197" t="n">
        <f aca="false">VLOOKUP($BQ$1,'Datos Iniciales'!$E$34:$O$64,CA$158,FALSE())*CA79</f>
        <v>0</v>
      </c>
      <c r="CB177" s="194" t="str">
        <f aca="false">BQ177</f>
        <v>Alumno18</v>
      </c>
      <c r="CC177" s="208" t="n">
        <f aca="false">VLOOKUP($CB$1,'Datos Iniciales'!$E$34:$O$64,CC$158,FALSE())*CC79</f>
        <v>0</v>
      </c>
      <c r="CD177" s="196" t="n">
        <f aca="false">VLOOKUP($CB$1,'Datos Iniciales'!$E$34:$O$64,CD$158,FALSE())*CD79</f>
        <v>0</v>
      </c>
      <c r="CE177" s="196" t="n">
        <f aca="false">VLOOKUP($CB$1,'Datos Iniciales'!$E$34:$O$64,CE$158,FALSE())*CE79</f>
        <v>0</v>
      </c>
      <c r="CF177" s="196" t="n">
        <f aca="false">VLOOKUP($CB$1,'Datos Iniciales'!$E$34:$O$64,CF$158,FALSE())*CF79</f>
        <v>0</v>
      </c>
      <c r="CG177" s="196" t="n">
        <f aca="false">VLOOKUP($CB$1,'Datos Iniciales'!$E$34:$O$64,CG$158,FALSE())*CG79</f>
        <v>0</v>
      </c>
      <c r="CH177" s="196" t="n">
        <f aca="false">VLOOKUP($CB$1,'Datos Iniciales'!$E$34:$O$64,CH$158,FALSE())*CH79</f>
        <v>0</v>
      </c>
      <c r="CI177" s="196" t="n">
        <f aca="false">VLOOKUP($CB$1,'Datos Iniciales'!$E$34:$O$64,CI$158,FALSE())*CI79</f>
        <v>0</v>
      </c>
      <c r="CJ177" s="196" t="n">
        <f aca="false">VLOOKUP($CB$1,'Datos Iniciales'!$E$34:$O$64,CJ$158,FALSE())*CJ79</f>
        <v>0</v>
      </c>
      <c r="CK177" s="196" t="n">
        <f aca="false">VLOOKUP($CB$1,'Datos Iniciales'!$E$34:$O$64,CK$158,FALSE())*CK79</f>
        <v>0</v>
      </c>
      <c r="CL177" s="197" t="n">
        <f aca="false">VLOOKUP($CB$1,'Datos Iniciales'!$E$34:$O$64,CL$158,FALSE())*CL79</f>
        <v>0</v>
      </c>
      <c r="CM177" s="194" t="str">
        <f aca="false">CB177</f>
        <v>Alumno18</v>
      </c>
      <c r="CN177" s="208" t="n">
        <f aca="false">VLOOKUP($CM$1,'Datos Iniciales'!$E$34:$O$64,CN$158,FALSE())*CN79</f>
        <v>0</v>
      </c>
      <c r="CO177" s="196" t="n">
        <f aca="false">VLOOKUP($CM$1,'Datos Iniciales'!$E$34:$O$64,CO$158,FALSE())*CO79</f>
        <v>0</v>
      </c>
      <c r="CP177" s="196" t="n">
        <f aca="false">VLOOKUP($CM$1,'Datos Iniciales'!$E$34:$O$64,CP$158,FALSE())*CP79</f>
        <v>0</v>
      </c>
      <c r="CQ177" s="196" t="n">
        <f aca="false">VLOOKUP($CM$1,'Datos Iniciales'!$E$34:$O$64,CQ$158,FALSE())*CQ79</f>
        <v>0</v>
      </c>
      <c r="CR177" s="196" t="n">
        <f aca="false">VLOOKUP($CM$1,'Datos Iniciales'!$E$34:$O$64,CR$158,FALSE())*CR79</f>
        <v>0</v>
      </c>
      <c r="CS177" s="196" t="n">
        <f aca="false">VLOOKUP($CM$1,'Datos Iniciales'!$E$34:$O$64,CS$158,FALSE())*CS79</f>
        <v>0</v>
      </c>
      <c r="CT177" s="196" t="n">
        <f aca="false">VLOOKUP($CM$1,'Datos Iniciales'!$E$34:$O$64,CT$158,FALSE())*CT79</f>
        <v>0</v>
      </c>
      <c r="CU177" s="196" t="n">
        <f aca="false">VLOOKUP($CM$1,'Datos Iniciales'!$E$34:$O$64,CU$158,FALSE())*CU79</f>
        <v>0</v>
      </c>
      <c r="CV177" s="196" t="n">
        <f aca="false">VLOOKUP($CM$1,'Datos Iniciales'!$E$34:$O$64,CV$158,FALSE())*CV79</f>
        <v>0</v>
      </c>
      <c r="CW177" s="197" t="n">
        <f aca="false">VLOOKUP($CM$1,'Datos Iniciales'!$E$34:$O$64,CW$158,FALSE())*CW79</f>
        <v>0</v>
      </c>
      <c r="CX177" s="194" t="str">
        <f aca="false">CM177</f>
        <v>Alumno18</v>
      </c>
      <c r="CY177" s="208" t="n">
        <f aca="false">VLOOKUP($CX$1,'Datos Iniciales'!$E$34:$O$64,CY$158,FALSE())*CY79</f>
        <v>0</v>
      </c>
      <c r="CZ177" s="196" t="n">
        <f aca="false">VLOOKUP($CX$1,'Datos Iniciales'!$E$34:$O$64,CZ$158,FALSE())*CZ79</f>
        <v>0</v>
      </c>
      <c r="DA177" s="196" t="n">
        <f aca="false">VLOOKUP($CX$1,'Datos Iniciales'!$E$34:$O$64,DA$158,FALSE())*DA79</f>
        <v>0</v>
      </c>
      <c r="DB177" s="196" t="n">
        <f aca="false">VLOOKUP($CX$1,'Datos Iniciales'!$E$34:$O$64,DB$158,FALSE())*DB79</f>
        <v>0</v>
      </c>
      <c r="DC177" s="196" t="n">
        <f aca="false">VLOOKUP($CX$1,'Datos Iniciales'!$E$34:$O$64,DC$158,FALSE())*DC79</f>
        <v>0</v>
      </c>
      <c r="DD177" s="196" t="n">
        <f aca="false">VLOOKUP($CX$1,'Datos Iniciales'!$E$34:$O$64,DD$158,FALSE())*DD79</f>
        <v>0</v>
      </c>
      <c r="DE177" s="196" t="n">
        <f aca="false">VLOOKUP($CX$1,'Datos Iniciales'!$E$34:$O$64,DE$158,FALSE())*DE79</f>
        <v>0</v>
      </c>
      <c r="DF177" s="196" t="n">
        <f aca="false">VLOOKUP($CX$1,'Datos Iniciales'!$E$34:$O$64,DF$158,FALSE())*DF79</f>
        <v>0</v>
      </c>
      <c r="DG177" s="196" t="n">
        <f aca="false">VLOOKUP($CX$1,'Datos Iniciales'!$E$34:$O$64,DG$158,FALSE())*DG79</f>
        <v>0</v>
      </c>
      <c r="DH177" s="197" t="n">
        <f aca="false">VLOOKUP($CX$1,'Datos Iniciales'!$E$34:$O$64,DH$158,FALSE())*DH79</f>
        <v>0</v>
      </c>
      <c r="DI177" s="194" t="str">
        <f aca="false">CX177</f>
        <v>Alumno18</v>
      </c>
      <c r="DJ177" s="208" t="n">
        <f aca="false">VLOOKUP($DI$1,'Datos Iniciales'!$E$34:$O$64,DJ$158,FALSE())*DJ79</f>
        <v>0</v>
      </c>
      <c r="DK177" s="196" t="n">
        <f aca="false">VLOOKUP($DI$1,'Datos Iniciales'!$E$34:$O$64,DK$158,FALSE())*DK79</f>
        <v>0</v>
      </c>
      <c r="DL177" s="196" t="n">
        <f aca="false">VLOOKUP($DI$1,'Datos Iniciales'!$E$34:$O$64,DL$158,FALSE())*DL79</f>
        <v>0</v>
      </c>
      <c r="DM177" s="196" t="n">
        <f aca="false">VLOOKUP($DI$1,'Datos Iniciales'!$E$34:$O$64,DM$158,FALSE())*DM79</f>
        <v>0</v>
      </c>
      <c r="DN177" s="196" t="n">
        <f aca="false">VLOOKUP($DI$1,'Datos Iniciales'!$E$34:$O$64,DN$158,FALSE())*DN79</f>
        <v>0</v>
      </c>
      <c r="DO177" s="196" t="n">
        <f aca="false">VLOOKUP($DI$1,'Datos Iniciales'!$E$34:$O$64,DO$158,FALSE())*DO79</f>
        <v>0</v>
      </c>
      <c r="DP177" s="196" t="n">
        <f aca="false">VLOOKUP($DI$1,'Datos Iniciales'!$E$34:$O$64,DP$158,FALSE())*DP79</f>
        <v>0</v>
      </c>
      <c r="DQ177" s="196" t="n">
        <f aca="false">VLOOKUP($DI$1,'Datos Iniciales'!$E$34:$O$64,DQ$158,FALSE())*DQ79</f>
        <v>0</v>
      </c>
      <c r="DR177" s="196" t="n">
        <f aca="false">VLOOKUP($DI$1,'Datos Iniciales'!$E$34:$O$64,DR$158,FALSE())*DR79</f>
        <v>0</v>
      </c>
      <c r="DS177" s="197" t="n">
        <f aca="false">VLOOKUP($DI$1,'Datos Iniciales'!$E$34:$O$64,DS$158,FALSE())*DS79</f>
        <v>0</v>
      </c>
      <c r="DT177" s="194" t="str">
        <f aca="false">DI177</f>
        <v>Alumno18</v>
      </c>
      <c r="DU177" s="208" t="n">
        <f aca="false">VLOOKUP($DT$1,'Datos Iniciales'!$E$34:$O$64,DU$158,FALSE())*DU79</f>
        <v>0</v>
      </c>
      <c r="DV177" s="196" t="n">
        <f aca="false">VLOOKUP($DT$1,'Datos Iniciales'!$E$34:$O$64,DV$158,FALSE())*DV79</f>
        <v>0</v>
      </c>
      <c r="DW177" s="196" t="n">
        <f aca="false">VLOOKUP($DT$1,'Datos Iniciales'!$E$34:$O$64,DW$158,FALSE())*DW79</f>
        <v>0</v>
      </c>
      <c r="DX177" s="196" t="n">
        <f aca="false">VLOOKUP($DT$1,'Datos Iniciales'!$E$34:$O$64,DX$158,FALSE())*DX79</f>
        <v>0</v>
      </c>
      <c r="DY177" s="196" t="n">
        <f aca="false">VLOOKUP($DT$1,'Datos Iniciales'!$E$34:$O$64,DY$158,FALSE())*DY79</f>
        <v>0</v>
      </c>
      <c r="DZ177" s="196" t="n">
        <f aca="false">VLOOKUP($DT$1,'Datos Iniciales'!$E$34:$O$64,DZ$158,FALSE())*DZ79</f>
        <v>0</v>
      </c>
      <c r="EA177" s="196" t="n">
        <f aca="false">VLOOKUP($DT$1,'Datos Iniciales'!$E$34:$O$64,EA$158,FALSE())*EA79</f>
        <v>0</v>
      </c>
      <c r="EB177" s="196" t="n">
        <f aca="false">VLOOKUP($DT$1,'Datos Iniciales'!$E$34:$O$64,EB$158,FALSE())*EB79</f>
        <v>0</v>
      </c>
      <c r="EC177" s="196" t="n">
        <f aca="false">VLOOKUP($DT$1,'Datos Iniciales'!$E$34:$O$64,EC$158,FALSE())*EC79</f>
        <v>0</v>
      </c>
      <c r="ED177" s="197" t="n">
        <f aca="false">VLOOKUP($DT$1,'Datos Iniciales'!$E$34:$O$64,ED$158,FALSE())*ED79</f>
        <v>0</v>
      </c>
      <c r="EE177" s="194" t="str">
        <f aca="false">DT177</f>
        <v>Alumno18</v>
      </c>
      <c r="EF177" s="208" t="n">
        <f aca="false">VLOOKUP($EE$1,'Datos Iniciales'!$E$34:$O$64,EF$158,FALSE())*EF79</f>
        <v>0</v>
      </c>
      <c r="EG177" s="196" t="n">
        <f aca="false">VLOOKUP($EE$1,'Datos Iniciales'!$E$34:$O$64,EG$158,FALSE())*EG79</f>
        <v>0</v>
      </c>
      <c r="EH177" s="196" t="n">
        <f aca="false">VLOOKUP($EE$1,'Datos Iniciales'!$E$34:$O$64,EH$158,FALSE())*EH79</f>
        <v>0</v>
      </c>
      <c r="EI177" s="196" t="n">
        <f aca="false">VLOOKUP($EE$1,'Datos Iniciales'!$E$34:$O$64,EI$158,FALSE())*EI79</f>
        <v>0</v>
      </c>
      <c r="EJ177" s="196" t="n">
        <f aca="false">VLOOKUP($EE$1,'Datos Iniciales'!$E$34:$O$64,EJ$158,FALSE())*EJ79</f>
        <v>0</v>
      </c>
      <c r="EK177" s="196" t="n">
        <f aca="false">VLOOKUP($EE$1,'Datos Iniciales'!$E$34:$O$64,EK$158,FALSE())*EK79</f>
        <v>0</v>
      </c>
      <c r="EL177" s="196" t="n">
        <f aca="false">VLOOKUP($EE$1,'Datos Iniciales'!$E$34:$O$64,EL$158,FALSE())*EL79</f>
        <v>0</v>
      </c>
      <c r="EM177" s="196" t="n">
        <f aca="false">VLOOKUP($EE$1,'Datos Iniciales'!$E$34:$O$64,EM$158,FALSE())*EM79</f>
        <v>0</v>
      </c>
      <c r="EN177" s="196" t="n">
        <f aca="false">VLOOKUP($EE$1,'Datos Iniciales'!$E$34:$O$64,EN$158,FALSE())*EN79</f>
        <v>0</v>
      </c>
      <c r="EO177" s="197" t="n">
        <f aca="false">VLOOKUP($EE$1,'Datos Iniciales'!$E$34:$O$64,EO$158,FALSE())*EO79</f>
        <v>0</v>
      </c>
      <c r="EP177" s="194" t="str">
        <f aca="false">EE177</f>
        <v>Alumno18</v>
      </c>
      <c r="EQ177" s="208" t="n">
        <f aca="false">VLOOKUP($EP$1,'Datos Iniciales'!$E$34:$O$64,EQ$158,FALSE())*EQ79</f>
        <v>0</v>
      </c>
      <c r="ER177" s="196" t="n">
        <f aca="false">VLOOKUP($EP$1,'Datos Iniciales'!$E$34:$O$64,ER$158,FALSE())*ER79</f>
        <v>0</v>
      </c>
      <c r="ES177" s="196" t="n">
        <f aca="false">VLOOKUP($EP$1,'Datos Iniciales'!$E$34:$O$64,ES$158,FALSE())*ES79</f>
        <v>0</v>
      </c>
      <c r="ET177" s="196" t="n">
        <f aca="false">VLOOKUP($EP$1,'Datos Iniciales'!$E$34:$O$64,ET$158,FALSE())*ET79</f>
        <v>0</v>
      </c>
      <c r="EU177" s="196" t="n">
        <f aca="false">VLOOKUP($EP$1,'Datos Iniciales'!$E$34:$O$64,EU$158,FALSE())*EU79</f>
        <v>0</v>
      </c>
      <c r="EV177" s="196" t="n">
        <f aca="false">VLOOKUP($EP$1,'Datos Iniciales'!$E$34:$O$64,EV$158,FALSE())*EV79</f>
        <v>0</v>
      </c>
      <c r="EW177" s="196" t="n">
        <f aca="false">VLOOKUP($EP$1,'Datos Iniciales'!$E$34:$O$64,EW$158,FALSE())*EW79</f>
        <v>0</v>
      </c>
      <c r="EX177" s="196" t="n">
        <f aca="false">VLOOKUP($EP$1,'Datos Iniciales'!$E$34:$O$64,EX$158,FALSE())*EX79</f>
        <v>0</v>
      </c>
      <c r="EY177" s="196" t="n">
        <f aca="false">VLOOKUP($EP$1,'Datos Iniciales'!$E$34:$O$64,EY$158,FALSE())*EY79</f>
        <v>0</v>
      </c>
      <c r="EZ177" s="197" t="n">
        <f aca="false">VLOOKUP($EP$1,'Datos Iniciales'!$E$34:$O$64,EZ$158,FALSE())*EZ79</f>
        <v>0</v>
      </c>
      <c r="FA177" s="194" t="str">
        <f aca="false">EP177</f>
        <v>Alumno18</v>
      </c>
      <c r="FB177" s="208" t="n">
        <f aca="false">VLOOKUP($FA$1,'Datos Iniciales'!$E$34:$O$64,FB$158,FALSE())*FB79</f>
        <v>0</v>
      </c>
      <c r="FC177" s="196" t="n">
        <f aca="false">VLOOKUP($FA$1,'Datos Iniciales'!$E$34:$O$64,FC$158,FALSE())*FC79</f>
        <v>0</v>
      </c>
      <c r="FD177" s="196" t="n">
        <f aca="false">VLOOKUP($FA$1,'Datos Iniciales'!$E$34:$O$64,FD$158,FALSE())*FD79</f>
        <v>0</v>
      </c>
      <c r="FE177" s="196" t="n">
        <f aca="false">VLOOKUP($FA$1,'Datos Iniciales'!$E$34:$O$64,FE$158,FALSE())*FE79</f>
        <v>0</v>
      </c>
      <c r="FF177" s="196" t="n">
        <f aca="false">VLOOKUP($FA$1,'Datos Iniciales'!$E$34:$O$64,FF$158,FALSE())*FF79</f>
        <v>0</v>
      </c>
      <c r="FG177" s="196" t="n">
        <f aca="false">VLOOKUP($FA$1,'Datos Iniciales'!$E$34:$O$64,FG$158,FALSE())*FG79</f>
        <v>0</v>
      </c>
      <c r="FH177" s="196" t="n">
        <f aca="false">VLOOKUP($FA$1,'Datos Iniciales'!$E$34:$O$64,FH$158,FALSE())*FH79</f>
        <v>0</v>
      </c>
      <c r="FI177" s="196" t="n">
        <f aca="false">VLOOKUP($FA$1,'Datos Iniciales'!$E$34:$O$64,FI$158,FALSE())*FI79</f>
        <v>0</v>
      </c>
      <c r="FJ177" s="196" t="n">
        <f aca="false">VLOOKUP($FA$1,'Datos Iniciales'!$E$34:$O$64,FJ$158,FALSE())*FJ79</f>
        <v>0</v>
      </c>
      <c r="FK177" s="197" t="n">
        <f aca="false">VLOOKUP($FA$1,'Datos Iniciales'!$E$34:$O$64,FK$158,FALSE())*FK79</f>
        <v>0</v>
      </c>
      <c r="FL177" s="194" t="str">
        <f aca="false">FA177</f>
        <v>Alumno18</v>
      </c>
      <c r="FM177" s="208" t="n">
        <f aca="false">VLOOKUP($FL$1,'Datos Iniciales'!$E$34:$O$64,FM$158,FALSE())*FM79</f>
        <v>0</v>
      </c>
      <c r="FN177" s="196" t="n">
        <f aca="false">VLOOKUP($FL$1,'Datos Iniciales'!$E$34:$O$64,FN$158,FALSE())*FN79</f>
        <v>0</v>
      </c>
      <c r="FO177" s="196" t="n">
        <f aca="false">VLOOKUP($FL$1,'Datos Iniciales'!$E$34:$O$64,FO$158,FALSE())*FO79</f>
        <v>0</v>
      </c>
      <c r="FP177" s="196" t="n">
        <f aca="false">VLOOKUP($FL$1,'Datos Iniciales'!$E$34:$O$64,FP$158,FALSE())*FP79</f>
        <v>0</v>
      </c>
      <c r="FQ177" s="196" t="n">
        <f aca="false">VLOOKUP($FL$1,'Datos Iniciales'!$E$34:$O$64,FQ$158,FALSE())*FQ79</f>
        <v>0</v>
      </c>
      <c r="FR177" s="196" t="n">
        <f aca="false">VLOOKUP($FL$1,'Datos Iniciales'!$E$34:$O$64,FR$158,FALSE())*FR79</f>
        <v>0</v>
      </c>
      <c r="FS177" s="196" t="n">
        <f aca="false">VLOOKUP($FL$1,'Datos Iniciales'!$E$34:$O$64,FS$158,FALSE())*FS79</f>
        <v>0</v>
      </c>
      <c r="FT177" s="196" t="n">
        <f aca="false">VLOOKUP($FL$1,'Datos Iniciales'!$E$34:$O$64,FT$158,FALSE())*FT79</f>
        <v>0</v>
      </c>
      <c r="FU177" s="196" t="n">
        <f aca="false">VLOOKUP($FL$1,'Datos Iniciales'!$E$34:$O$64,FU$158,FALSE())*FU79</f>
        <v>0</v>
      </c>
      <c r="FV177" s="197" t="n">
        <f aca="false">VLOOKUP($FL$1,'Datos Iniciales'!$E$34:$O$64,FV$158,FALSE())*FV79</f>
        <v>0</v>
      </c>
      <c r="FW177" s="194" t="str">
        <f aca="false">FL177</f>
        <v>Alumno18</v>
      </c>
      <c r="FX177" s="208" t="n">
        <f aca="false">VLOOKUP($FW$1,'Datos Iniciales'!$E$34:$O$64,FX$158,FALSE())*FX79</f>
        <v>0</v>
      </c>
      <c r="FY177" s="196" t="n">
        <f aca="false">VLOOKUP($FW$1,'Datos Iniciales'!$E$34:$O$64,FY$158,FALSE())*FY79</f>
        <v>0</v>
      </c>
      <c r="FZ177" s="196" t="n">
        <f aca="false">VLOOKUP($FW$1,'Datos Iniciales'!$E$34:$O$64,FZ$158,FALSE())*FZ79</f>
        <v>0</v>
      </c>
      <c r="GA177" s="196" t="n">
        <f aca="false">VLOOKUP($FW$1,'Datos Iniciales'!$E$34:$O$64,GA$158,FALSE())*GA79</f>
        <v>0</v>
      </c>
      <c r="GB177" s="196" t="n">
        <f aca="false">VLOOKUP($FW$1,'Datos Iniciales'!$E$34:$O$64,GB$158,FALSE())*GB79</f>
        <v>0</v>
      </c>
      <c r="GC177" s="196" t="n">
        <f aca="false">VLOOKUP($FW$1,'Datos Iniciales'!$E$34:$O$64,GC$158,FALSE())*GC79</f>
        <v>0</v>
      </c>
      <c r="GD177" s="196" t="n">
        <f aca="false">VLOOKUP($FW$1,'Datos Iniciales'!$E$34:$O$64,GD$158,FALSE())*GD79</f>
        <v>0</v>
      </c>
      <c r="GE177" s="196" t="n">
        <f aca="false">VLOOKUP($FW$1,'Datos Iniciales'!$E$34:$O$64,GE$158,FALSE())*GE79</f>
        <v>0</v>
      </c>
      <c r="GF177" s="196" t="n">
        <f aca="false">VLOOKUP($FW$1,'Datos Iniciales'!$E$34:$O$64,GF$158,FALSE())*GF79</f>
        <v>0</v>
      </c>
      <c r="GG177" s="197" t="n">
        <f aca="false">VLOOKUP($FW$1,'Datos Iniciales'!$E$34:$O$64,GG$158,FALSE())*GG79</f>
        <v>0</v>
      </c>
      <c r="GH177" s="194" t="str">
        <f aca="false">FW177</f>
        <v>Alumno18</v>
      </c>
      <c r="GI177" s="208" t="n">
        <f aca="false">VLOOKUP($GH$1,'Datos Iniciales'!$E$34:$O$64,GI$158,FALSE())*GI79</f>
        <v>0</v>
      </c>
      <c r="GJ177" s="196" t="n">
        <f aca="false">VLOOKUP($GH$1,'Datos Iniciales'!$E$34:$O$64,GJ$158,FALSE())*GJ79</f>
        <v>0</v>
      </c>
      <c r="GK177" s="196" t="n">
        <f aca="false">VLOOKUP($GH$1,'Datos Iniciales'!$E$34:$O$64,GK$158,FALSE())*GK79</f>
        <v>0</v>
      </c>
      <c r="GL177" s="196" t="n">
        <f aca="false">VLOOKUP($GH$1,'Datos Iniciales'!$E$34:$O$64,GL$158,FALSE())*GL79</f>
        <v>0</v>
      </c>
      <c r="GM177" s="196" t="n">
        <f aca="false">VLOOKUP($GH$1,'Datos Iniciales'!$E$34:$O$64,GM$158,FALSE())*GM79</f>
        <v>0</v>
      </c>
      <c r="GN177" s="196" t="n">
        <f aca="false">VLOOKUP($GH$1,'Datos Iniciales'!$E$34:$O$64,GN$158,FALSE())*GN79</f>
        <v>0</v>
      </c>
      <c r="GO177" s="196" t="n">
        <f aca="false">VLOOKUP($GH$1,'Datos Iniciales'!$E$34:$O$64,GO$158,FALSE())*GO79</f>
        <v>0</v>
      </c>
      <c r="GP177" s="196" t="n">
        <f aca="false">VLOOKUP($GH$1,'Datos Iniciales'!$E$34:$O$64,GP$158,FALSE())*GP79</f>
        <v>0</v>
      </c>
      <c r="GQ177" s="196" t="n">
        <f aca="false">VLOOKUP($GH$1,'Datos Iniciales'!$E$34:$O$64,GQ$158,FALSE())*GQ79</f>
        <v>0</v>
      </c>
      <c r="GR177" s="197" t="n">
        <f aca="false">VLOOKUP($GH$1,'Datos Iniciales'!$E$34:$O$64,GR$158,FALSE())*GR79</f>
        <v>0</v>
      </c>
      <c r="GS177" s="194" t="str">
        <f aca="false">GH177</f>
        <v>Alumno18</v>
      </c>
      <c r="GT177" s="208" t="n">
        <f aca="false">VLOOKUP($GS$1,'Datos Iniciales'!$E$34:$O$64,GT$158,FALSE())*GT79</f>
        <v>0</v>
      </c>
      <c r="GU177" s="196" t="n">
        <f aca="false">VLOOKUP($GS$1,'Datos Iniciales'!$E$34:$O$64,GU$158,FALSE())*GU79</f>
        <v>0</v>
      </c>
      <c r="GV177" s="196" t="n">
        <f aca="false">VLOOKUP($GS$1,'Datos Iniciales'!$E$34:$O$64,GV$158,FALSE())*GV79</f>
        <v>0</v>
      </c>
      <c r="GW177" s="196" t="n">
        <f aca="false">VLOOKUP($GS$1,'Datos Iniciales'!$E$34:$O$64,GW$158,FALSE())*GW79</f>
        <v>0</v>
      </c>
      <c r="GX177" s="196" t="n">
        <f aca="false">VLOOKUP($GS$1,'Datos Iniciales'!$E$34:$O$64,GX$158,FALSE())*GX79</f>
        <v>0</v>
      </c>
      <c r="GY177" s="196" t="n">
        <f aca="false">VLOOKUP($GS$1,'Datos Iniciales'!$E$34:$O$64,GY$158,FALSE())*GY79</f>
        <v>0</v>
      </c>
      <c r="GZ177" s="196" t="n">
        <f aca="false">VLOOKUP($GS$1,'Datos Iniciales'!$E$34:$O$64,GZ$158,FALSE())*GZ79</f>
        <v>0</v>
      </c>
      <c r="HA177" s="196" t="n">
        <f aca="false">VLOOKUP($GS$1,'Datos Iniciales'!$E$34:$O$64,HA$158,FALSE())*HA79</f>
        <v>0</v>
      </c>
      <c r="HB177" s="196" t="n">
        <f aca="false">VLOOKUP($GS$1,'Datos Iniciales'!$E$34:$O$64,HB$158,FALSE())*HB79</f>
        <v>0</v>
      </c>
      <c r="HC177" s="197" t="n">
        <f aca="false">VLOOKUP($GS$1,'Datos Iniciales'!$E$34:$O$64,HC$158,FALSE())*HC79</f>
        <v>0</v>
      </c>
      <c r="HD177" s="194" t="str">
        <f aca="false">GS177</f>
        <v>Alumno18</v>
      </c>
      <c r="HE177" s="208" t="n">
        <f aca="false">VLOOKUP($HD$1,'Datos Iniciales'!$E$34:$O$64,HE$158,FALSE())*HE79</f>
        <v>0</v>
      </c>
      <c r="HF177" s="196" t="n">
        <f aca="false">VLOOKUP($HD$1,'Datos Iniciales'!$E$34:$O$64,HF$158,FALSE())*HF79</f>
        <v>0</v>
      </c>
      <c r="HG177" s="196" t="n">
        <f aca="false">VLOOKUP($HD$1,'Datos Iniciales'!$E$34:$O$64,HG$158,FALSE())*HG79</f>
        <v>0</v>
      </c>
      <c r="HH177" s="196" t="n">
        <f aca="false">VLOOKUP($HD$1,'Datos Iniciales'!$E$34:$O$64,HH$158,FALSE())*HH79</f>
        <v>0</v>
      </c>
      <c r="HI177" s="196" t="n">
        <f aca="false">VLOOKUP($HD$1,'Datos Iniciales'!$E$34:$O$64,HI$158,FALSE())*HI79</f>
        <v>0</v>
      </c>
      <c r="HJ177" s="196" t="n">
        <f aca="false">VLOOKUP($HD$1,'Datos Iniciales'!$E$34:$O$64,HJ$158,FALSE())*HJ79</f>
        <v>0</v>
      </c>
      <c r="HK177" s="196" t="n">
        <f aca="false">VLOOKUP($HD$1,'Datos Iniciales'!$E$34:$O$64,HK$158,FALSE())*HK79</f>
        <v>0</v>
      </c>
      <c r="HL177" s="196" t="n">
        <f aca="false">VLOOKUP($HD$1,'Datos Iniciales'!$E$34:$O$64,HL$158,FALSE())*HL79</f>
        <v>0</v>
      </c>
      <c r="HM177" s="196" t="n">
        <f aca="false">VLOOKUP($HD$1,'Datos Iniciales'!$E$34:$O$64,HM$158,FALSE())*HM79</f>
        <v>0</v>
      </c>
      <c r="HN177" s="197" t="n">
        <f aca="false">VLOOKUP($HD$1,'Datos Iniciales'!$E$34:$O$64,HN$158,FALSE())*HN79</f>
        <v>0</v>
      </c>
      <c r="HO177" s="194" t="str">
        <f aca="false">HD177</f>
        <v>Alumno18</v>
      </c>
      <c r="HP177" s="208" t="n">
        <f aca="false">VLOOKUP($HO$1,'Datos Iniciales'!$E$34:$O$64,HP$158,FALSE())*HP79</f>
        <v>0</v>
      </c>
      <c r="HQ177" s="196" t="n">
        <f aca="false">VLOOKUP($HO$1,'Datos Iniciales'!$E$34:$O$64,HQ$158,FALSE())*HQ79</f>
        <v>0</v>
      </c>
      <c r="HR177" s="196" t="n">
        <f aca="false">VLOOKUP($HO$1,'Datos Iniciales'!$E$34:$O$64,HR$158,FALSE())*HR79</f>
        <v>0</v>
      </c>
      <c r="HS177" s="196" t="n">
        <f aca="false">VLOOKUP($HO$1,'Datos Iniciales'!$E$34:$O$64,HS$158,FALSE())*HS79</f>
        <v>0</v>
      </c>
      <c r="HT177" s="196" t="n">
        <f aca="false">VLOOKUP($HO$1,'Datos Iniciales'!$E$34:$O$64,HT$158,FALSE())*HT79</f>
        <v>0</v>
      </c>
      <c r="HU177" s="196" t="n">
        <f aca="false">VLOOKUP($HO$1,'Datos Iniciales'!$E$34:$O$64,HU$158,FALSE())*HU79</f>
        <v>0</v>
      </c>
      <c r="HV177" s="196" t="n">
        <f aca="false">VLOOKUP($HO$1,'Datos Iniciales'!$E$34:$O$64,HV$158,FALSE())*HV79</f>
        <v>0</v>
      </c>
      <c r="HW177" s="196" t="n">
        <f aca="false">VLOOKUP($HO$1,'Datos Iniciales'!$E$34:$O$64,HW$158,FALSE())*HW79</f>
        <v>0</v>
      </c>
      <c r="HX177" s="196" t="n">
        <f aca="false">VLOOKUP($HO$1,'Datos Iniciales'!$E$34:$O$64,HX$158,FALSE())*HX79</f>
        <v>0</v>
      </c>
      <c r="HY177" s="197" t="n">
        <f aca="false">VLOOKUP($HO$1,'Datos Iniciales'!$E$34:$O$64,HY$158,FALSE())*HY79</f>
        <v>0</v>
      </c>
      <c r="HZ177" s="194" t="str">
        <f aca="false">HO177</f>
        <v>Alumno18</v>
      </c>
      <c r="IA177" s="208" t="n">
        <f aca="false">VLOOKUP($HZ$1,'Datos Iniciales'!$E$34:$O$64,IA$158,FALSE())*IA79</f>
        <v>0</v>
      </c>
      <c r="IB177" s="196" t="n">
        <f aca="false">VLOOKUP($HZ$1,'Datos Iniciales'!$E$34:$O$64,IB$158,FALSE())*IB79</f>
        <v>0</v>
      </c>
      <c r="IC177" s="196" t="n">
        <f aca="false">VLOOKUP($HZ$1,'Datos Iniciales'!$E$34:$O$64,IC$158,FALSE())*IC79</f>
        <v>0</v>
      </c>
      <c r="ID177" s="196" t="n">
        <f aca="false">VLOOKUP($HZ$1,'Datos Iniciales'!$E$34:$O$64,ID$158,FALSE())*ID79</f>
        <v>0</v>
      </c>
      <c r="IE177" s="196" t="n">
        <f aca="false">VLOOKUP($HZ$1,'Datos Iniciales'!$E$34:$O$64,IE$158,FALSE())*IE79</f>
        <v>0</v>
      </c>
      <c r="IF177" s="196" t="n">
        <f aca="false">VLOOKUP($HZ$1,'Datos Iniciales'!$E$34:$O$64,IF$158,FALSE())*IF79</f>
        <v>0</v>
      </c>
      <c r="IG177" s="196" t="n">
        <f aca="false">VLOOKUP($HZ$1,'Datos Iniciales'!$E$34:$O$64,IG$158,FALSE())*IG79</f>
        <v>0</v>
      </c>
      <c r="IH177" s="196" t="n">
        <f aca="false">VLOOKUP($HZ$1,'Datos Iniciales'!$E$34:$O$64,IH$158,FALSE())*IH79</f>
        <v>0</v>
      </c>
      <c r="II177" s="196" t="n">
        <f aca="false">VLOOKUP($HZ$1,'Datos Iniciales'!$E$34:$O$64,II$158,FALSE())*II79</f>
        <v>0</v>
      </c>
      <c r="IJ177" s="197" t="n">
        <f aca="false">VLOOKUP($HZ$1,'Datos Iniciales'!$E$34:$O$64,IJ$158,FALSE())*IJ79</f>
        <v>0</v>
      </c>
      <c r="IK177" s="194" t="str">
        <f aca="false">HZ177</f>
        <v>Alumno18</v>
      </c>
      <c r="IL177" s="208" t="n">
        <f aca="false">VLOOKUP($IK$1,'Datos Iniciales'!$E$34:$O$64,IL$158,FALSE())*IL79</f>
        <v>0</v>
      </c>
      <c r="IM177" s="196" t="n">
        <f aca="false">VLOOKUP($IK$1,'Datos Iniciales'!$E$34:$O$64,IM$158,FALSE())*IM79</f>
        <v>0</v>
      </c>
      <c r="IN177" s="196" t="n">
        <f aca="false">VLOOKUP($IK$1,'Datos Iniciales'!$E$34:$O$64,IN$158,FALSE())*IN79</f>
        <v>0</v>
      </c>
      <c r="IO177" s="196" t="n">
        <f aca="false">VLOOKUP($IK$1,'Datos Iniciales'!$E$34:$O$64,IO$158,FALSE())*IO79</f>
        <v>0</v>
      </c>
      <c r="IP177" s="196" t="n">
        <f aca="false">VLOOKUP($IK$1,'Datos Iniciales'!$E$34:$O$64,IP$158,FALSE())*IP79</f>
        <v>0</v>
      </c>
      <c r="IQ177" s="196" t="n">
        <f aca="false">VLOOKUP($IK$1,'Datos Iniciales'!$E$34:$O$64,IQ$158,FALSE())*IQ79</f>
        <v>0</v>
      </c>
      <c r="IR177" s="196" t="n">
        <f aca="false">VLOOKUP($IK$1,'Datos Iniciales'!$E$34:$O$64,IR$158,FALSE())*IR79</f>
        <v>0</v>
      </c>
      <c r="IS177" s="196" t="n">
        <f aca="false">VLOOKUP($IK$1,'Datos Iniciales'!$E$34:$O$64,IS$158,FALSE())*IS79</f>
        <v>0</v>
      </c>
      <c r="IT177" s="196" t="n">
        <f aca="false">VLOOKUP($IK$1,'Datos Iniciales'!$E$34:$O$64,IT$158,FALSE())*IT79</f>
        <v>0</v>
      </c>
      <c r="IU177" s="197" t="n">
        <f aca="false">VLOOKUP($IK$1,'Datos Iniciales'!$E$34:$O$64,IU$158,FALSE())*IU79</f>
        <v>0</v>
      </c>
      <c r="IV177" s="194" t="str">
        <f aca="false">IK177</f>
        <v>Alumno18</v>
      </c>
      <c r="IW177" s="208" t="n">
        <f aca="false">VLOOKUP($IV$1,'Datos Iniciales'!$E$34:$O$64,IW$158,FALSE())*IW79</f>
        <v>0</v>
      </c>
      <c r="IX177" s="196" t="n">
        <f aca="false">VLOOKUP($IV$1,'Datos Iniciales'!$E$34:$O$64,IX$158,FALSE())*IX79</f>
        <v>0</v>
      </c>
      <c r="IY177" s="196" t="n">
        <f aca="false">VLOOKUP($IV$1,'Datos Iniciales'!$E$34:$O$64,IY$158,FALSE())*IY79</f>
        <v>0</v>
      </c>
      <c r="IZ177" s="196" t="n">
        <f aca="false">VLOOKUP($IV$1,'Datos Iniciales'!$E$34:$O$64,IZ$158,FALSE())*IZ79</f>
        <v>0</v>
      </c>
      <c r="JA177" s="196" t="n">
        <f aca="false">VLOOKUP($IV$1,'Datos Iniciales'!$E$34:$O$64,JA$158,FALSE())*JA79</f>
        <v>0</v>
      </c>
      <c r="JB177" s="196" t="n">
        <f aca="false">VLOOKUP($IV$1,'Datos Iniciales'!$E$34:$O$64,JB$158,FALSE())*JB79</f>
        <v>0</v>
      </c>
      <c r="JC177" s="196" t="n">
        <f aca="false">VLOOKUP($IV$1,'Datos Iniciales'!$E$34:$O$64,JC$158,FALSE())*JC79</f>
        <v>0</v>
      </c>
      <c r="JD177" s="196" t="n">
        <f aca="false">VLOOKUP($IV$1,'Datos Iniciales'!$E$34:$O$64,JD$158,FALSE())*JD79</f>
        <v>0</v>
      </c>
      <c r="JE177" s="196" t="n">
        <f aca="false">VLOOKUP($IV$1,'Datos Iniciales'!$E$34:$O$64,JE$158,FALSE())*JE79</f>
        <v>0</v>
      </c>
      <c r="JF177" s="197" t="n">
        <f aca="false">VLOOKUP($IV$1,'Datos Iniciales'!$E$34:$O$64,JF$158,FALSE())*JF79</f>
        <v>0</v>
      </c>
      <c r="JG177" s="194" t="str">
        <f aca="false">IV177</f>
        <v>Alumno18</v>
      </c>
      <c r="JH177" s="208" t="n">
        <f aca="false">VLOOKUP($JG$1,'Datos Iniciales'!$E$34:$O$64,JH$158,FALSE())*JH79</f>
        <v>0</v>
      </c>
      <c r="JI177" s="196" t="n">
        <f aca="false">VLOOKUP($JG$1,'Datos Iniciales'!$E$34:$O$64,JI$158,FALSE())*JI79</f>
        <v>0</v>
      </c>
      <c r="JJ177" s="196" t="n">
        <f aca="false">VLOOKUP($JG$1,'Datos Iniciales'!$E$34:$O$64,JJ$158,FALSE())*JJ79</f>
        <v>0</v>
      </c>
      <c r="JK177" s="196" t="n">
        <f aca="false">VLOOKUP($JG$1,'Datos Iniciales'!$E$34:$O$64,JK$158,FALSE())*JK79</f>
        <v>0</v>
      </c>
      <c r="JL177" s="196" t="n">
        <f aca="false">VLOOKUP($JG$1,'Datos Iniciales'!$E$34:$O$64,JL$158,FALSE())*JL79</f>
        <v>0</v>
      </c>
      <c r="JM177" s="196" t="n">
        <f aca="false">VLOOKUP($JG$1,'Datos Iniciales'!$E$34:$O$64,JM$158,FALSE())*JM79</f>
        <v>0</v>
      </c>
      <c r="JN177" s="196" t="n">
        <f aca="false">VLOOKUP($JG$1,'Datos Iniciales'!$E$34:$O$64,JN$158,FALSE())*JN79</f>
        <v>0</v>
      </c>
      <c r="JO177" s="196" t="n">
        <f aca="false">VLOOKUP($JG$1,'Datos Iniciales'!$E$34:$O$64,JO$158,FALSE())*JO79</f>
        <v>0</v>
      </c>
      <c r="JP177" s="196" t="n">
        <f aca="false">VLOOKUP($JG$1,'Datos Iniciales'!$E$34:$O$64,JP$158,FALSE())*JP79</f>
        <v>0</v>
      </c>
      <c r="JQ177" s="197" t="n">
        <f aca="false">VLOOKUP($JG$1,'Datos Iniciales'!$E$34:$O$64,JQ$158,FALSE())*JQ79</f>
        <v>0</v>
      </c>
      <c r="JR177" s="194" t="str">
        <f aca="false">JG177</f>
        <v>Alumno18</v>
      </c>
      <c r="JS177" s="208" t="n">
        <f aca="false">VLOOKUP($JR$1,'Datos Iniciales'!$E$34:$O$64,JS$158,FALSE())*JS79</f>
        <v>0</v>
      </c>
      <c r="JT177" s="196" t="n">
        <f aca="false">VLOOKUP($JR$1,'Datos Iniciales'!$E$34:$O$64,JT$158,FALSE())*JT79</f>
        <v>0</v>
      </c>
      <c r="JU177" s="196" t="n">
        <f aca="false">VLOOKUP($JR$1,'Datos Iniciales'!$E$34:$O$64,JU$158,FALSE())*JU79</f>
        <v>0</v>
      </c>
      <c r="JV177" s="196" t="n">
        <f aca="false">VLOOKUP($JR$1,'Datos Iniciales'!$E$34:$O$64,JV$158,FALSE())*JV79</f>
        <v>0</v>
      </c>
      <c r="JW177" s="196" t="n">
        <f aca="false">VLOOKUP($JR$1,'Datos Iniciales'!$E$34:$O$64,JW$158,FALSE())*JW79</f>
        <v>0</v>
      </c>
      <c r="JX177" s="196" t="n">
        <f aca="false">VLOOKUP($JR$1,'Datos Iniciales'!$E$34:$O$64,JX$158,FALSE())*JX79</f>
        <v>0</v>
      </c>
      <c r="JY177" s="196" t="n">
        <f aca="false">VLOOKUP($JR$1,'Datos Iniciales'!$E$34:$O$64,JY$158,FALSE())*JY79</f>
        <v>0</v>
      </c>
      <c r="JZ177" s="196" t="n">
        <f aca="false">VLOOKUP($JR$1,'Datos Iniciales'!$E$34:$O$64,JZ$158,FALSE())*JZ79</f>
        <v>0</v>
      </c>
      <c r="KA177" s="196" t="n">
        <f aca="false">VLOOKUP($JR$1,'Datos Iniciales'!$E$34:$O$64,KA$158,FALSE())*KA79</f>
        <v>0</v>
      </c>
      <c r="KB177" s="197" t="n">
        <f aca="false">VLOOKUP($JR$1,'Datos Iniciales'!$E$34:$O$64,KB$158,FALSE())*KB79</f>
        <v>0</v>
      </c>
      <c r="KC177" s="194" t="str">
        <f aca="false">JR177</f>
        <v>Alumno18</v>
      </c>
      <c r="KD177" s="208" t="n">
        <f aca="false">VLOOKUP($KC$1,'Datos Iniciales'!$E$34:$O$64,KD$158,FALSE())*KD79</f>
        <v>0</v>
      </c>
      <c r="KE177" s="196" t="n">
        <f aca="false">VLOOKUP($KC$1,'Datos Iniciales'!$E$34:$O$64,KE$158,FALSE())*KE79</f>
        <v>0</v>
      </c>
      <c r="KF177" s="196" t="n">
        <f aca="false">VLOOKUP($KC$1,'Datos Iniciales'!$E$34:$O$64,KF$158,FALSE())*KF79</f>
        <v>0</v>
      </c>
      <c r="KG177" s="196" t="n">
        <f aca="false">VLOOKUP($KC$1,'Datos Iniciales'!$E$34:$O$64,KG$158,FALSE())*KG79</f>
        <v>0</v>
      </c>
      <c r="KH177" s="196" t="n">
        <f aca="false">VLOOKUP($KC$1,'Datos Iniciales'!$E$34:$O$64,KH$158,FALSE())*KH79</f>
        <v>0</v>
      </c>
      <c r="KI177" s="196" t="n">
        <f aca="false">VLOOKUP($KC$1,'Datos Iniciales'!$E$34:$O$64,KI$158,FALSE())*KI79</f>
        <v>0</v>
      </c>
      <c r="KJ177" s="196" t="n">
        <f aca="false">VLOOKUP($KC$1,'Datos Iniciales'!$E$34:$O$64,KJ$158,FALSE())*KJ79</f>
        <v>0</v>
      </c>
      <c r="KK177" s="196" t="n">
        <f aca="false">VLOOKUP($KC$1,'Datos Iniciales'!$E$34:$O$64,KK$158,FALSE())*KK79</f>
        <v>0</v>
      </c>
      <c r="KL177" s="196" t="n">
        <f aca="false">VLOOKUP($KC$1,'Datos Iniciales'!$E$34:$O$64,KL$158,FALSE())*KL79</f>
        <v>0</v>
      </c>
      <c r="KM177" s="197" t="n">
        <f aca="false">VLOOKUP($KC$1,'Datos Iniciales'!$E$34:$O$64,KM$158,FALSE())*KM79</f>
        <v>0</v>
      </c>
      <c r="KN177" s="194" t="str">
        <f aca="false">KC177</f>
        <v>Alumno18</v>
      </c>
      <c r="KO177" s="208" t="n">
        <f aca="false">VLOOKUP($KN$1,'Datos Iniciales'!$E$34:$O$64,KO$158,FALSE())*KO79</f>
        <v>0</v>
      </c>
      <c r="KP177" s="196" t="n">
        <f aca="false">VLOOKUP($KN$1,'Datos Iniciales'!$E$34:$O$64,KP$158,FALSE())*KP79</f>
        <v>0</v>
      </c>
      <c r="KQ177" s="196" t="n">
        <f aca="false">VLOOKUP($KN$1,'Datos Iniciales'!$E$34:$O$64,KQ$158,FALSE())*KQ79</f>
        <v>0</v>
      </c>
      <c r="KR177" s="196" t="n">
        <f aca="false">VLOOKUP($KN$1,'Datos Iniciales'!$E$34:$O$64,KR$158,FALSE())*KR79</f>
        <v>0</v>
      </c>
      <c r="KS177" s="196" t="n">
        <f aca="false">VLOOKUP($KN$1,'Datos Iniciales'!$E$34:$O$64,KS$158,FALSE())*KS79</f>
        <v>0</v>
      </c>
      <c r="KT177" s="196" t="n">
        <f aca="false">VLOOKUP($KN$1,'Datos Iniciales'!$E$34:$O$64,KT$158,FALSE())*KT79</f>
        <v>0</v>
      </c>
      <c r="KU177" s="196" t="n">
        <f aca="false">VLOOKUP($KN$1,'Datos Iniciales'!$E$34:$O$64,KU$158,FALSE())*KU79</f>
        <v>0</v>
      </c>
      <c r="KV177" s="196" t="n">
        <f aca="false">VLOOKUP($KN$1,'Datos Iniciales'!$E$34:$O$64,KV$158,FALSE())*KV79</f>
        <v>0</v>
      </c>
      <c r="KW177" s="196" t="n">
        <f aca="false">VLOOKUP($KN$1,'Datos Iniciales'!$E$34:$O$64,KW$158,FALSE())*KW79</f>
        <v>0</v>
      </c>
      <c r="KX177" s="197" t="n">
        <f aca="false">VLOOKUP($KN$1,'Datos Iniciales'!$E$34:$O$64,KX$158,FALSE())*KX79</f>
        <v>0</v>
      </c>
      <c r="KY177" s="194" t="str">
        <f aca="false">KN177</f>
        <v>Alumno18</v>
      </c>
      <c r="KZ177" s="208" t="n">
        <f aca="false">VLOOKUP($KY$1,'Datos Iniciales'!$E$34:$O$64,KZ$158,FALSE())*KZ79</f>
        <v>0</v>
      </c>
      <c r="LA177" s="196" t="n">
        <f aca="false">VLOOKUP($KY$1,'Datos Iniciales'!$E$34:$O$64,LA$158,FALSE())*LA79</f>
        <v>0</v>
      </c>
      <c r="LB177" s="196" t="n">
        <f aca="false">VLOOKUP($KY$1,'Datos Iniciales'!$E$34:$O$64,LB$158,FALSE())*LB79</f>
        <v>0</v>
      </c>
      <c r="LC177" s="196" t="n">
        <f aca="false">VLOOKUP($KY$1,'Datos Iniciales'!$E$34:$O$64,LC$158,FALSE())*LC79</f>
        <v>0</v>
      </c>
      <c r="LD177" s="196" t="n">
        <f aca="false">VLOOKUP($KY$1,'Datos Iniciales'!$E$34:$O$64,LD$158,FALSE())*LD79</f>
        <v>0</v>
      </c>
      <c r="LE177" s="196" t="n">
        <f aca="false">VLOOKUP($KY$1,'Datos Iniciales'!$E$34:$O$64,LE$158,FALSE())*LE79</f>
        <v>0</v>
      </c>
      <c r="LF177" s="196" t="n">
        <f aca="false">VLOOKUP($KY$1,'Datos Iniciales'!$E$34:$O$64,LF$158,FALSE())*LF79</f>
        <v>0</v>
      </c>
      <c r="LG177" s="196" t="n">
        <f aca="false">VLOOKUP($KY$1,'Datos Iniciales'!$E$34:$O$64,LG$158,FALSE())*LG79</f>
        <v>0</v>
      </c>
      <c r="LH177" s="196" t="n">
        <f aca="false">VLOOKUP($KY$1,'Datos Iniciales'!$E$34:$O$64,LH$158,FALSE())*LH79</f>
        <v>0</v>
      </c>
      <c r="LI177" s="197" t="n">
        <f aca="false">VLOOKUP($KY$1,'Datos Iniciales'!$E$34:$O$64,LI$158,FALSE())*LI79</f>
        <v>0</v>
      </c>
      <c r="LJ177" s="194" t="str">
        <f aca="false">KY177</f>
        <v>Alumno18</v>
      </c>
      <c r="LK177" s="208" t="n">
        <f aca="false">VLOOKUP($LJ$1,'Datos Iniciales'!$E$34:$O$64,LK$158,FALSE())*LK79</f>
        <v>0</v>
      </c>
      <c r="LL177" s="196" t="n">
        <f aca="false">VLOOKUP($LJ$1,'Datos Iniciales'!$E$34:$O$64,LL$158,FALSE())*LL79</f>
        <v>0</v>
      </c>
      <c r="LM177" s="196" t="n">
        <f aca="false">VLOOKUP($LJ$1,'Datos Iniciales'!$E$34:$O$64,LM$158,FALSE())*LM79</f>
        <v>0</v>
      </c>
      <c r="LN177" s="196" t="n">
        <f aca="false">VLOOKUP($LJ$1,'Datos Iniciales'!$E$34:$O$64,LN$158,FALSE())*LN79</f>
        <v>0</v>
      </c>
      <c r="LO177" s="196" t="n">
        <f aca="false">VLOOKUP($LJ$1,'Datos Iniciales'!$E$34:$O$64,LO$158,FALSE())*LO79</f>
        <v>0</v>
      </c>
      <c r="LP177" s="196" t="n">
        <f aca="false">VLOOKUP($LJ$1,'Datos Iniciales'!$E$34:$O$64,LP$158,FALSE())*LP79</f>
        <v>0</v>
      </c>
      <c r="LQ177" s="196" t="n">
        <f aca="false">VLOOKUP($LJ$1,'Datos Iniciales'!$E$34:$O$64,LQ$158,FALSE())*LQ79</f>
        <v>0</v>
      </c>
      <c r="LR177" s="196" t="n">
        <f aca="false">VLOOKUP($LJ$1,'Datos Iniciales'!$E$34:$O$64,LR$158,FALSE())*LR79</f>
        <v>0</v>
      </c>
      <c r="LS177" s="196" t="n">
        <f aca="false">VLOOKUP($LJ$1,'Datos Iniciales'!$E$34:$O$64,LS$158,FALSE())*LS79</f>
        <v>0</v>
      </c>
      <c r="LT177" s="197" t="n">
        <f aca="false">VLOOKUP($LJ$1,'Datos Iniciales'!$E$34:$O$64,LT$158,FALSE())*LT79</f>
        <v>0</v>
      </c>
    </row>
    <row r="178" customFormat="false" ht="15" hidden="true" customHeight="false" outlineLevel="0" collapsed="false">
      <c r="C178" s="194" t="str">
        <f aca="false">C129</f>
        <v>Alumno19</v>
      </c>
      <c r="D178" s="208" t="n">
        <f aca="false">VLOOKUP($C$1,'Datos Iniciales'!$E$34:$O$64,D$158,FALSE())*D80</f>
        <v>1.6</v>
      </c>
      <c r="E178" s="196" t="n">
        <f aca="false">VLOOKUP($C$1,'Datos Iniciales'!$E$34:$O$64,E$158,FALSE())*E80</f>
        <v>0</v>
      </c>
      <c r="F178" s="196" t="n">
        <f aca="false">VLOOKUP($C$1,'Datos Iniciales'!$E$34:$O$64,F$158,FALSE())*F80</f>
        <v>0</v>
      </c>
      <c r="G178" s="196" t="n">
        <f aca="false">VLOOKUP($C$1,'Datos Iniciales'!$E$34:$O$64,G$158,FALSE())*G80</f>
        <v>0</v>
      </c>
      <c r="H178" s="196" t="n">
        <f aca="false">VLOOKUP($C$1,'Datos Iniciales'!$E$34:$O$64,H$158,FALSE())*H80</f>
        <v>0</v>
      </c>
      <c r="I178" s="196" t="n">
        <f aca="false">VLOOKUP($C$1,'Datos Iniciales'!$E$34:$O$64,I$158,FALSE())*I80</f>
        <v>0</v>
      </c>
      <c r="J178" s="196" t="n">
        <f aca="false">VLOOKUP($C$1,'Datos Iniciales'!$E$34:$O$64,J$158,FALSE())*J80</f>
        <v>0</v>
      </c>
      <c r="K178" s="196" t="n">
        <f aca="false">VLOOKUP($C$1,'Datos Iniciales'!$E$34:$O$64,K$158,FALSE())*K80</f>
        <v>0</v>
      </c>
      <c r="L178" s="196" t="n">
        <f aca="false">VLOOKUP($C$1,'Datos Iniciales'!$E$34:$O$64,L$158,FALSE())*L80</f>
        <v>0</v>
      </c>
      <c r="M178" s="197" t="n">
        <f aca="false">VLOOKUP($C$1,'Datos Iniciales'!$E$34:$O$64,M$158,FALSE())*M80</f>
        <v>0</v>
      </c>
      <c r="N178" s="194" t="str">
        <f aca="false">C178</f>
        <v>Alumno19</v>
      </c>
      <c r="O178" s="208" t="n">
        <f aca="false">VLOOKUP($N$1,'Datos Iniciales'!$E$34:$O$64,O$158,FALSE())*O80</f>
        <v>1.35</v>
      </c>
      <c r="P178" s="196" t="n">
        <f aca="false">VLOOKUP($N$1,'Datos Iniciales'!$E$34:$O$64,P$158,FALSE())*P80</f>
        <v>1.6</v>
      </c>
      <c r="Q178" s="196" t="n">
        <f aca="false">VLOOKUP($N$1,'Datos Iniciales'!$E$34:$O$64,Q$158,FALSE())*Q80</f>
        <v>0</v>
      </c>
      <c r="R178" s="196" t="n">
        <f aca="false">VLOOKUP($N$1,'Datos Iniciales'!$E$34:$O$64,R$158,FALSE())*R80</f>
        <v>0</v>
      </c>
      <c r="S178" s="196" t="n">
        <f aca="false">VLOOKUP($N$1,'Datos Iniciales'!$E$34:$O$64,S$158,FALSE())*S80</f>
        <v>0</v>
      </c>
      <c r="T178" s="196" t="n">
        <f aca="false">VLOOKUP($N$1,'Datos Iniciales'!$E$34:$O$64,T$158,FALSE())*T80</f>
        <v>0</v>
      </c>
      <c r="U178" s="196" t="n">
        <f aca="false">VLOOKUP($N$1,'Datos Iniciales'!$E$34:$O$64,U$158,FALSE())*U80</f>
        <v>0</v>
      </c>
      <c r="V178" s="196" t="n">
        <f aca="false">VLOOKUP($N$1,'Datos Iniciales'!$E$34:$O$64,V$158,FALSE())*V80</f>
        <v>0</v>
      </c>
      <c r="W178" s="196" t="n">
        <f aca="false">VLOOKUP($N$1,'Datos Iniciales'!$E$34:$O$64,W$158,FALSE())*W80</f>
        <v>0</v>
      </c>
      <c r="X178" s="197" t="n">
        <f aca="false">VLOOKUP($N$1,'Datos Iniciales'!$E$34:$O$64,X$158,FALSE())*X80</f>
        <v>0</v>
      </c>
      <c r="Y178" s="194" t="str">
        <f aca="false">N178</f>
        <v>Alumno19</v>
      </c>
      <c r="Z178" s="208" t="n">
        <f aca="false">VLOOKUP($Y$1,'Datos Iniciales'!$E$34:$O$64,Z$158,FALSE())*Z80</f>
        <v>0.9</v>
      </c>
      <c r="AA178" s="196" t="n">
        <f aca="false">VLOOKUP($Y$1,'Datos Iniciales'!$E$34:$O$64,AA$158,FALSE())*AA80</f>
        <v>0.6</v>
      </c>
      <c r="AB178" s="196" t="n">
        <f aca="false">VLOOKUP($Y$1,'Datos Iniciales'!$E$34:$O$64,AB$158,FALSE())*AB80</f>
        <v>0.5</v>
      </c>
      <c r="AC178" s="196" t="n">
        <f aca="false">VLOOKUP($Y$1,'Datos Iniciales'!$E$34:$O$64,AC$158,FALSE())*AC80</f>
        <v>0</v>
      </c>
      <c r="AD178" s="196" t="n">
        <f aca="false">VLOOKUP($Y$1,'Datos Iniciales'!$E$34:$O$64,AD$158,FALSE())*AD80</f>
        <v>0</v>
      </c>
      <c r="AE178" s="196" t="n">
        <f aca="false">VLOOKUP($Y$1,'Datos Iniciales'!$E$34:$O$64,AE$158,FALSE())*AE80</f>
        <v>0</v>
      </c>
      <c r="AF178" s="196" t="n">
        <f aca="false">VLOOKUP($Y$1,'Datos Iniciales'!$E$34:$O$64,AF$158,FALSE())*AF80</f>
        <v>0</v>
      </c>
      <c r="AG178" s="196" t="n">
        <f aca="false">VLOOKUP($Y$1,'Datos Iniciales'!$E$34:$O$64,AG$158,FALSE())*AG80</f>
        <v>0</v>
      </c>
      <c r="AH178" s="196" t="n">
        <f aca="false">VLOOKUP($Y$1,'Datos Iniciales'!$E$34:$O$64,AH$158,FALSE())*AH80</f>
        <v>0</v>
      </c>
      <c r="AI178" s="197" t="n">
        <f aca="false">VLOOKUP($Y$1,'Datos Iniciales'!$E$34:$O$64,AI$158,FALSE())*AI80</f>
        <v>0</v>
      </c>
      <c r="AJ178" s="194" t="str">
        <f aca="false">Y178</f>
        <v>Alumno19</v>
      </c>
      <c r="AK178" s="208" t="n">
        <f aca="false">VLOOKUP($AJ$1,'Datos Iniciales'!$E$34:$O$64,AK$158,FALSE())*AK80</f>
        <v>0.3</v>
      </c>
      <c r="AL178" s="196" t="n">
        <f aca="false">VLOOKUP($AJ$1,'Datos Iniciales'!$E$34:$O$64,AL$158,FALSE())*AL80</f>
        <v>1.2</v>
      </c>
      <c r="AM178" s="196" t="n">
        <f aca="false">VLOOKUP($AJ$1,'Datos Iniciales'!$E$34:$O$64,AM$158,FALSE())*AM80</f>
        <v>1.05</v>
      </c>
      <c r="AN178" s="196" t="n">
        <f aca="false">VLOOKUP($AJ$1,'Datos Iniciales'!$E$34:$O$64,AN$158,FALSE())*AN80</f>
        <v>0</v>
      </c>
      <c r="AO178" s="196" t="n">
        <f aca="false">VLOOKUP($AJ$1,'Datos Iniciales'!$E$34:$O$64,AO$158,FALSE())*AO80</f>
        <v>0</v>
      </c>
      <c r="AP178" s="196" t="n">
        <f aca="false">VLOOKUP($AJ$1,'Datos Iniciales'!$E$34:$O$64,AP$158,FALSE())*AP80</f>
        <v>0</v>
      </c>
      <c r="AQ178" s="196" t="n">
        <f aca="false">VLOOKUP($AJ$1,'Datos Iniciales'!$E$34:$O$64,AQ$158,FALSE())*AQ80</f>
        <v>0</v>
      </c>
      <c r="AR178" s="196" t="n">
        <f aca="false">VLOOKUP($AJ$1,'Datos Iniciales'!$E$34:$O$64,AR$158,FALSE())*AR80</f>
        <v>0</v>
      </c>
      <c r="AS178" s="196" t="n">
        <f aca="false">VLOOKUP($AJ$1,'Datos Iniciales'!$E$34:$O$64,AS$158,FALSE())*AS80</f>
        <v>0</v>
      </c>
      <c r="AT178" s="197" t="n">
        <f aca="false">VLOOKUP($AJ$1,'Datos Iniciales'!$E$34:$O$64,AT$158,FALSE())*AT80</f>
        <v>0</v>
      </c>
      <c r="AU178" s="194" t="str">
        <f aca="false">AJ178</f>
        <v>Alumno19</v>
      </c>
      <c r="AV178" s="208" t="n">
        <f aca="false">VLOOKUP($AU$1,'Datos Iniciales'!$E$34:$O$64,AV$158,FALSE())*AV80</f>
        <v>0.3</v>
      </c>
      <c r="AW178" s="196" t="n">
        <f aca="false">VLOOKUP($AU$1,'Datos Iniciales'!$E$34:$O$64,AW$158,FALSE())*AW80</f>
        <v>0.7</v>
      </c>
      <c r="AX178" s="196" t="n">
        <f aca="false">VLOOKUP($AU$1,'Datos Iniciales'!$E$34:$O$64,AX$158,FALSE())*AX80</f>
        <v>2.58</v>
      </c>
      <c r="AY178" s="196" t="n">
        <f aca="false">VLOOKUP($AU$1,'Datos Iniciales'!$E$34:$O$64,AY$158,FALSE())*AY80</f>
        <v>0.5</v>
      </c>
      <c r="AZ178" s="196" t="n">
        <f aca="false">VLOOKUP($AU$1,'Datos Iniciales'!$E$34:$O$64,AZ$158,FALSE())*AZ80</f>
        <v>0</v>
      </c>
      <c r="BA178" s="196" t="n">
        <f aca="false">VLOOKUP($AU$1,'Datos Iniciales'!$E$34:$O$64,BA$158,FALSE())*BA80</f>
        <v>0</v>
      </c>
      <c r="BB178" s="196" t="n">
        <f aca="false">VLOOKUP($AU$1,'Datos Iniciales'!$E$34:$O$64,BB$158,FALSE())*BB80</f>
        <v>0</v>
      </c>
      <c r="BC178" s="196" t="n">
        <f aca="false">VLOOKUP($AU$1,'Datos Iniciales'!$E$34:$O$64,BC$158,FALSE())*BC80</f>
        <v>0</v>
      </c>
      <c r="BD178" s="196" t="n">
        <f aca="false">VLOOKUP($AU$1,'Datos Iniciales'!$E$34:$O$64,BD$158,FALSE())*BD80</f>
        <v>0</v>
      </c>
      <c r="BE178" s="197" t="n">
        <f aca="false">VLOOKUP($AU$1,'Datos Iniciales'!$E$34:$O$64,BE$158,FALSE())*BE80</f>
        <v>0</v>
      </c>
      <c r="BF178" s="194" t="str">
        <f aca="false">AU178</f>
        <v>Alumno19</v>
      </c>
      <c r="BG178" s="208" t="n">
        <f aca="false">VLOOKUP($BF$1,'Datos Iniciales'!$E$34:$O$64,BG$158,FALSE())*BG80</f>
        <v>0.6</v>
      </c>
      <c r="BH178" s="196" t="n">
        <f aca="false">VLOOKUP($BF$1,'Datos Iniciales'!$E$34:$O$64,BH$158,FALSE())*BH80</f>
        <v>1.05</v>
      </c>
      <c r="BI178" s="196" t="n">
        <f aca="false">VLOOKUP($BF$1,'Datos Iniciales'!$E$34:$O$64,BI$158,FALSE())*BI80</f>
        <v>0.8</v>
      </c>
      <c r="BJ178" s="196" t="n">
        <f aca="false">VLOOKUP($BF$1,'Datos Iniciales'!$E$34:$O$64,BJ$158,FALSE())*BJ80</f>
        <v>2.64</v>
      </c>
      <c r="BK178" s="196" t="n">
        <f aca="false">VLOOKUP($BF$1,'Datos Iniciales'!$E$34:$O$64,BK$158,FALSE())*BK80</f>
        <v>0</v>
      </c>
      <c r="BL178" s="196" t="n">
        <f aca="false">VLOOKUP($BF$1,'Datos Iniciales'!$E$34:$O$64,BL$158,FALSE())*BL80</f>
        <v>0</v>
      </c>
      <c r="BM178" s="196" t="n">
        <f aca="false">VLOOKUP($BF$1,'Datos Iniciales'!$E$34:$O$64,BM$158,FALSE())*BM80</f>
        <v>0</v>
      </c>
      <c r="BN178" s="196" t="n">
        <f aca="false">VLOOKUP($BF$1,'Datos Iniciales'!$E$34:$O$64,BN$158,FALSE())*BN80</f>
        <v>0</v>
      </c>
      <c r="BO178" s="196" t="n">
        <f aca="false">VLOOKUP($BF$1,'Datos Iniciales'!$E$34:$O$64,BO$158,FALSE())*BO80</f>
        <v>0</v>
      </c>
      <c r="BP178" s="197" t="n">
        <f aca="false">VLOOKUP($BF$1,'Datos Iniciales'!$E$34:$O$64,BP$158,FALSE())*BP80</f>
        <v>0</v>
      </c>
      <c r="BQ178" s="194" t="str">
        <f aca="false">BF178</f>
        <v>Alumno19</v>
      </c>
      <c r="BR178" s="208" t="n">
        <f aca="false">VLOOKUP($BQ$1,'Datos Iniciales'!$E$34:$O$64,BR$158,FALSE())*BR80</f>
        <v>0</v>
      </c>
      <c r="BS178" s="196" t="n">
        <f aca="false">VLOOKUP($BQ$1,'Datos Iniciales'!$E$34:$O$64,BS$158,FALSE())*BS80</f>
        <v>0.25</v>
      </c>
      <c r="BT178" s="196" t="n">
        <f aca="false">VLOOKUP($BQ$1,'Datos Iniciales'!$E$34:$O$64,BT$158,FALSE())*BT80</f>
        <v>0.75</v>
      </c>
      <c r="BU178" s="196" t="n">
        <f aca="false">VLOOKUP($BQ$1,'Datos Iniciales'!$E$34:$O$64,BU$158,FALSE())*BU80</f>
        <v>2.5</v>
      </c>
      <c r="BV178" s="196" t="n">
        <f aca="false">VLOOKUP($BQ$1,'Datos Iniciales'!$E$34:$O$64,BV$158,FALSE())*BV80</f>
        <v>0</v>
      </c>
      <c r="BW178" s="196" t="n">
        <f aca="false">VLOOKUP($BQ$1,'Datos Iniciales'!$E$34:$O$64,BW$158,FALSE())*BW80</f>
        <v>0</v>
      </c>
      <c r="BX178" s="196" t="n">
        <f aca="false">VLOOKUP($BQ$1,'Datos Iniciales'!$E$34:$O$64,BX$158,FALSE())*BX80</f>
        <v>0</v>
      </c>
      <c r="BY178" s="196" t="n">
        <f aca="false">VLOOKUP($BQ$1,'Datos Iniciales'!$E$34:$O$64,BY$158,FALSE())*BY80</f>
        <v>0</v>
      </c>
      <c r="BZ178" s="196" t="n">
        <f aca="false">VLOOKUP($BQ$1,'Datos Iniciales'!$E$34:$O$64,BZ$158,FALSE())*BZ80</f>
        <v>0</v>
      </c>
      <c r="CA178" s="197" t="n">
        <f aca="false">VLOOKUP($BQ$1,'Datos Iniciales'!$E$34:$O$64,CA$158,FALSE())*CA80</f>
        <v>0</v>
      </c>
      <c r="CB178" s="194" t="str">
        <f aca="false">BQ178</f>
        <v>Alumno19</v>
      </c>
      <c r="CC178" s="208" t="n">
        <f aca="false">VLOOKUP($CB$1,'Datos Iniciales'!$E$34:$O$64,CC$158,FALSE())*CC80</f>
        <v>0</v>
      </c>
      <c r="CD178" s="196" t="n">
        <f aca="false">VLOOKUP($CB$1,'Datos Iniciales'!$E$34:$O$64,CD$158,FALSE())*CD80</f>
        <v>0</v>
      </c>
      <c r="CE178" s="196" t="n">
        <f aca="false">VLOOKUP($CB$1,'Datos Iniciales'!$E$34:$O$64,CE$158,FALSE())*CE80</f>
        <v>0</v>
      </c>
      <c r="CF178" s="196" t="n">
        <f aca="false">VLOOKUP($CB$1,'Datos Iniciales'!$E$34:$O$64,CF$158,FALSE())*CF80</f>
        <v>0</v>
      </c>
      <c r="CG178" s="196" t="n">
        <f aca="false">VLOOKUP($CB$1,'Datos Iniciales'!$E$34:$O$64,CG$158,FALSE())*CG80</f>
        <v>0</v>
      </c>
      <c r="CH178" s="196" t="n">
        <f aca="false">VLOOKUP($CB$1,'Datos Iniciales'!$E$34:$O$64,CH$158,FALSE())*CH80</f>
        <v>0</v>
      </c>
      <c r="CI178" s="196" t="n">
        <f aca="false">VLOOKUP($CB$1,'Datos Iniciales'!$E$34:$O$64,CI$158,FALSE())*CI80</f>
        <v>0</v>
      </c>
      <c r="CJ178" s="196" t="n">
        <f aca="false">VLOOKUP($CB$1,'Datos Iniciales'!$E$34:$O$64,CJ$158,FALSE())*CJ80</f>
        <v>0</v>
      </c>
      <c r="CK178" s="196" t="n">
        <f aca="false">VLOOKUP($CB$1,'Datos Iniciales'!$E$34:$O$64,CK$158,FALSE())*CK80</f>
        <v>0</v>
      </c>
      <c r="CL178" s="197" t="n">
        <f aca="false">VLOOKUP($CB$1,'Datos Iniciales'!$E$34:$O$64,CL$158,FALSE())*CL80</f>
        <v>0</v>
      </c>
      <c r="CM178" s="194" t="str">
        <f aca="false">CB178</f>
        <v>Alumno19</v>
      </c>
      <c r="CN178" s="208" t="n">
        <f aca="false">VLOOKUP($CM$1,'Datos Iniciales'!$E$34:$O$64,CN$158,FALSE())*CN80</f>
        <v>0</v>
      </c>
      <c r="CO178" s="196" t="n">
        <f aca="false">VLOOKUP($CM$1,'Datos Iniciales'!$E$34:$O$64,CO$158,FALSE())*CO80</f>
        <v>0</v>
      </c>
      <c r="CP178" s="196" t="n">
        <f aca="false">VLOOKUP($CM$1,'Datos Iniciales'!$E$34:$O$64,CP$158,FALSE())*CP80</f>
        <v>0</v>
      </c>
      <c r="CQ178" s="196" t="n">
        <f aca="false">VLOOKUP($CM$1,'Datos Iniciales'!$E$34:$O$64,CQ$158,FALSE())*CQ80</f>
        <v>0</v>
      </c>
      <c r="CR178" s="196" t="n">
        <f aca="false">VLOOKUP($CM$1,'Datos Iniciales'!$E$34:$O$64,CR$158,FALSE())*CR80</f>
        <v>0</v>
      </c>
      <c r="CS178" s="196" t="n">
        <f aca="false">VLOOKUP($CM$1,'Datos Iniciales'!$E$34:$O$64,CS$158,FALSE())*CS80</f>
        <v>0</v>
      </c>
      <c r="CT178" s="196" t="n">
        <f aca="false">VLOOKUP($CM$1,'Datos Iniciales'!$E$34:$O$64,CT$158,FALSE())*CT80</f>
        <v>0</v>
      </c>
      <c r="CU178" s="196" t="n">
        <f aca="false">VLOOKUP($CM$1,'Datos Iniciales'!$E$34:$O$64,CU$158,FALSE())*CU80</f>
        <v>0</v>
      </c>
      <c r="CV178" s="196" t="n">
        <f aca="false">VLOOKUP($CM$1,'Datos Iniciales'!$E$34:$O$64,CV$158,FALSE())*CV80</f>
        <v>0</v>
      </c>
      <c r="CW178" s="197" t="n">
        <f aca="false">VLOOKUP($CM$1,'Datos Iniciales'!$E$34:$O$64,CW$158,FALSE())*CW80</f>
        <v>0</v>
      </c>
      <c r="CX178" s="194" t="str">
        <f aca="false">CM178</f>
        <v>Alumno19</v>
      </c>
      <c r="CY178" s="208" t="n">
        <f aca="false">VLOOKUP($CX$1,'Datos Iniciales'!$E$34:$O$64,CY$158,FALSE())*CY80</f>
        <v>0</v>
      </c>
      <c r="CZ178" s="196" t="n">
        <f aca="false">VLOOKUP($CX$1,'Datos Iniciales'!$E$34:$O$64,CZ$158,FALSE())*CZ80</f>
        <v>0</v>
      </c>
      <c r="DA178" s="196" t="n">
        <f aca="false">VLOOKUP($CX$1,'Datos Iniciales'!$E$34:$O$64,DA$158,FALSE())*DA80</f>
        <v>0</v>
      </c>
      <c r="DB178" s="196" t="n">
        <f aca="false">VLOOKUP($CX$1,'Datos Iniciales'!$E$34:$O$64,DB$158,FALSE())*DB80</f>
        <v>0</v>
      </c>
      <c r="DC178" s="196" t="n">
        <f aca="false">VLOOKUP($CX$1,'Datos Iniciales'!$E$34:$O$64,DC$158,FALSE())*DC80</f>
        <v>0</v>
      </c>
      <c r="DD178" s="196" t="n">
        <f aca="false">VLOOKUP($CX$1,'Datos Iniciales'!$E$34:$O$64,DD$158,FALSE())*DD80</f>
        <v>0</v>
      </c>
      <c r="DE178" s="196" t="n">
        <f aca="false">VLOOKUP($CX$1,'Datos Iniciales'!$E$34:$O$64,DE$158,FALSE())*DE80</f>
        <v>0</v>
      </c>
      <c r="DF178" s="196" t="n">
        <f aca="false">VLOOKUP($CX$1,'Datos Iniciales'!$E$34:$O$64,DF$158,FALSE())*DF80</f>
        <v>0</v>
      </c>
      <c r="DG178" s="196" t="n">
        <f aca="false">VLOOKUP($CX$1,'Datos Iniciales'!$E$34:$O$64,DG$158,FALSE())*DG80</f>
        <v>0</v>
      </c>
      <c r="DH178" s="197" t="n">
        <f aca="false">VLOOKUP($CX$1,'Datos Iniciales'!$E$34:$O$64,DH$158,FALSE())*DH80</f>
        <v>0</v>
      </c>
      <c r="DI178" s="194" t="str">
        <f aca="false">CX178</f>
        <v>Alumno19</v>
      </c>
      <c r="DJ178" s="208" t="n">
        <f aca="false">VLOOKUP($DI$1,'Datos Iniciales'!$E$34:$O$64,DJ$158,FALSE())*DJ80</f>
        <v>0</v>
      </c>
      <c r="DK178" s="196" t="n">
        <f aca="false">VLOOKUP($DI$1,'Datos Iniciales'!$E$34:$O$64,DK$158,FALSE())*DK80</f>
        <v>0</v>
      </c>
      <c r="DL178" s="196" t="n">
        <f aca="false">VLOOKUP($DI$1,'Datos Iniciales'!$E$34:$O$64,DL$158,FALSE())*DL80</f>
        <v>0</v>
      </c>
      <c r="DM178" s="196" t="n">
        <f aca="false">VLOOKUP($DI$1,'Datos Iniciales'!$E$34:$O$64,DM$158,FALSE())*DM80</f>
        <v>0</v>
      </c>
      <c r="DN178" s="196" t="n">
        <f aca="false">VLOOKUP($DI$1,'Datos Iniciales'!$E$34:$O$64,DN$158,FALSE())*DN80</f>
        <v>0</v>
      </c>
      <c r="DO178" s="196" t="n">
        <f aca="false">VLOOKUP($DI$1,'Datos Iniciales'!$E$34:$O$64,DO$158,FALSE())*DO80</f>
        <v>0</v>
      </c>
      <c r="DP178" s="196" t="n">
        <f aca="false">VLOOKUP($DI$1,'Datos Iniciales'!$E$34:$O$64,DP$158,FALSE())*DP80</f>
        <v>0</v>
      </c>
      <c r="DQ178" s="196" t="n">
        <f aca="false">VLOOKUP($DI$1,'Datos Iniciales'!$E$34:$O$64,DQ$158,FALSE())*DQ80</f>
        <v>0</v>
      </c>
      <c r="DR178" s="196" t="n">
        <f aca="false">VLOOKUP($DI$1,'Datos Iniciales'!$E$34:$O$64,DR$158,FALSE())*DR80</f>
        <v>0</v>
      </c>
      <c r="DS178" s="197" t="n">
        <f aca="false">VLOOKUP($DI$1,'Datos Iniciales'!$E$34:$O$64,DS$158,FALSE())*DS80</f>
        <v>0</v>
      </c>
      <c r="DT178" s="194" t="str">
        <f aca="false">DI178</f>
        <v>Alumno19</v>
      </c>
      <c r="DU178" s="208" t="n">
        <f aca="false">VLOOKUP($DT$1,'Datos Iniciales'!$E$34:$O$64,DU$158,FALSE())*DU80</f>
        <v>0</v>
      </c>
      <c r="DV178" s="196" t="n">
        <f aca="false">VLOOKUP($DT$1,'Datos Iniciales'!$E$34:$O$64,DV$158,FALSE())*DV80</f>
        <v>0</v>
      </c>
      <c r="DW178" s="196" t="n">
        <f aca="false">VLOOKUP($DT$1,'Datos Iniciales'!$E$34:$O$64,DW$158,FALSE())*DW80</f>
        <v>0</v>
      </c>
      <c r="DX178" s="196" t="n">
        <f aca="false">VLOOKUP($DT$1,'Datos Iniciales'!$E$34:$O$64,DX$158,FALSE())*DX80</f>
        <v>0</v>
      </c>
      <c r="DY178" s="196" t="n">
        <f aca="false">VLOOKUP($DT$1,'Datos Iniciales'!$E$34:$O$64,DY$158,FALSE())*DY80</f>
        <v>0</v>
      </c>
      <c r="DZ178" s="196" t="n">
        <f aca="false">VLOOKUP($DT$1,'Datos Iniciales'!$E$34:$O$64,DZ$158,FALSE())*DZ80</f>
        <v>0</v>
      </c>
      <c r="EA178" s="196" t="n">
        <f aca="false">VLOOKUP($DT$1,'Datos Iniciales'!$E$34:$O$64,EA$158,FALSE())*EA80</f>
        <v>0</v>
      </c>
      <c r="EB178" s="196" t="n">
        <f aca="false">VLOOKUP($DT$1,'Datos Iniciales'!$E$34:$O$64,EB$158,FALSE())*EB80</f>
        <v>0</v>
      </c>
      <c r="EC178" s="196" t="n">
        <f aca="false">VLOOKUP($DT$1,'Datos Iniciales'!$E$34:$O$64,EC$158,FALSE())*EC80</f>
        <v>0</v>
      </c>
      <c r="ED178" s="197" t="n">
        <f aca="false">VLOOKUP($DT$1,'Datos Iniciales'!$E$34:$O$64,ED$158,FALSE())*ED80</f>
        <v>0</v>
      </c>
      <c r="EE178" s="194" t="str">
        <f aca="false">DT178</f>
        <v>Alumno19</v>
      </c>
      <c r="EF178" s="208" t="n">
        <f aca="false">VLOOKUP($EE$1,'Datos Iniciales'!$E$34:$O$64,EF$158,FALSE())*EF80</f>
        <v>0</v>
      </c>
      <c r="EG178" s="196" t="n">
        <f aca="false">VLOOKUP($EE$1,'Datos Iniciales'!$E$34:$O$64,EG$158,FALSE())*EG80</f>
        <v>0</v>
      </c>
      <c r="EH178" s="196" t="n">
        <f aca="false">VLOOKUP($EE$1,'Datos Iniciales'!$E$34:$O$64,EH$158,FALSE())*EH80</f>
        <v>0</v>
      </c>
      <c r="EI178" s="196" t="n">
        <f aca="false">VLOOKUP($EE$1,'Datos Iniciales'!$E$34:$O$64,EI$158,FALSE())*EI80</f>
        <v>0</v>
      </c>
      <c r="EJ178" s="196" t="n">
        <f aca="false">VLOOKUP($EE$1,'Datos Iniciales'!$E$34:$O$64,EJ$158,FALSE())*EJ80</f>
        <v>0</v>
      </c>
      <c r="EK178" s="196" t="n">
        <f aca="false">VLOOKUP($EE$1,'Datos Iniciales'!$E$34:$O$64,EK$158,FALSE())*EK80</f>
        <v>0</v>
      </c>
      <c r="EL178" s="196" t="n">
        <f aca="false">VLOOKUP($EE$1,'Datos Iniciales'!$E$34:$O$64,EL$158,FALSE())*EL80</f>
        <v>0</v>
      </c>
      <c r="EM178" s="196" t="n">
        <f aca="false">VLOOKUP($EE$1,'Datos Iniciales'!$E$34:$O$64,EM$158,FALSE())*EM80</f>
        <v>0</v>
      </c>
      <c r="EN178" s="196" t="n">
        <f aca="false">VLOOKUP($EE$1,'Datos Iniciales'!$E$34:$O$64,EN$158,FALSE())*EN80</f>
        <v>0</v>
      </c>
      <c r="EO178" s="197" t="n">
        <f aca="false">VLOOKUP($EE$1,'Datos Iniciales'!$E$34:$O$64,EO$158,FALSE())*EO80</f>
        <v>0</v>
      </c>
      <c r="EP178" s="194" t="str">
        <f aca="false">EE178</f>
        <v>Alumno19</v>
      </c>
      <c r="EQ178" s="208" t="n">
        <f aca="false">VLOOKUP($EP$1,'Datos Iniciales'!$E$34:$O$64,EQ$158,FALSE())*EQ80</f>
        <v>0</v>
      </c>
      <c r="ER178" s="196" t="n">
        <f aca="false">VLOOKUP($EP$1,'Datos Iniciales'!$E$34:$O$64,ER$158,FALSE())*ER80</f>
        <v>0</v>
      </c>
      <c r="ES178" s="196" t="n">
        <f aca="false">VLOOKUP($EP$1,'Datos Iniciales'!$E$34:$O$64,ES$158,FALSE())*ES80</f>
        <v>0</v>
      </c>
      <c r="ET178" s="196" t="n">
        <f aca="false">VLOOKUP($EP$1,'Datos Iniciales'!$E$34:$O$64,ET$158,FALSE())*ET80</f>
        <v>0</v>
      </c>
      <c r="EU178" s="196" t="n">
        <f aca="false">VLOOKUP($EP$1,'Datos Iniciales'!$E$34:$O$64,EU$158,FALSE())*EU80</f>
        <v>0</v>
      </c>
      <c r="EV178" s="196" t="n">
        <f aca="false">VLOOKUP($EP$1,'Datos Iniciales'!$E$34:$O$64,EV$158,FALSE())*EV80</f>
        <v>0</v>
      </c>
      <c r="EW178" s="196" t="n">
        <f aca="false">VLOOKUP($EP$1,'Datos Iniciales'!$E$34:$O$64,EW$158,FALSE())*EW80</f>
        <v>0</v>
      </c>
      <c r="EX178" s="196" t="n">
        <f aca="false">VLOOKUP($EP$1,'Datos Iniciales'!$E$34:$O$64,EX$158,FALSE())*EX80</f>
        <v>0</v>
      </c>
      <c r="EY178" s="196" t="n">
        <f aca="false">VLOOKUP($EP$1,'Datos Iniciales'!$E$34:$O$64,EY$158,FALSE())*EY80</f>
        <v>0</v>
      </c>
      <c r="EZ178" s="197" t="n">
        <f aca="false">VLOOKUP($EP$1,'Datos Iniciales'!$E$34:$O$64,EZ$158,FALSE())*EZ80</f>
        <v>0</v>
      </c>
      <c r="FA178" s="194" t="str">
        <f aca="false">EP178</f>
        <v>Alumno19</v>
      </c>
      <c r="FB178" s="208" t="n">
        <f aca="false">VLOOKUP($FA$1,'Datos Iniciales'!$E$34:$O$64,FB$158,FALSE())*FB80</f>
        <v>0</v>
      </c>
      <c r="FC178" s="196" t="n">
        <f aca="false">VLOOKUP($FA$1,'Datos Iniciales'!$E$34:$O$64,FC$158,FALSE())*FC80</f>
        <v>0</v>
      </c>
      <c r="FD178" s="196" t="n">
        <f aca="false">VLOOKUP($FA$1,'Datos Iniciales'!$E$34:$O$64,FD$158,FALSE())*FD80</f>
        <v>0</v>
      </c>
      <c r="FE178" s="196" t="n">
        <f aca="false">VLOOKUP($FA$1,'Datos Iniciales'!$E$34:$O$64,FE$158,FALSE())*FE80</f>
        <v>0</v>
      </c>
      <c r="FF178" s="196" t="n">
        <f aca="false">VLOOKUP($FA$1,'Datos Iniciales'!$E$34:$O$64,FF$158,FALSE())*FF80</f>
        <v>0</v>
      </c>
      <c r="FG178" s="196" t="n">
        <f aca="false">VLOOKUP($FA$1,'Datos Iniciales'!$E$34:$O$64,FG$158,FALSE())*FG80</f>
        <v>0</v>
      </c>
      <c r="FH178" s="196" t="n">
        <f aca="false">VLOOKUP($FA$1,'Datos Iniciales'!$E$34:$O$64,FH$158,FALSE())*FH80</f>
        <v>0</v>
      </c>
      <c r="FI178" s="196" t="n">
        <f aca="false">VLOOKUP($FA$1,'Datos Iniciales'!$E$34:$O$64,FI$158,FALSE())*FI80</f>
        <v>0</v>
      </c>
      <c r="FJ178" s="196" t="n">
        <f aca="false">VLOOKUP($FA$1,'Datos Iniciales'!$E$34:$O$64,FJ$158,FALSE())*FJ80</f>
        <v>0</v>
      </c>
      <c r="FK178" s="197" t="n">
        <f aca="false">VLOOKUP($FA$1,'Datos Iniciales'!$E$34:$O$64,FK$158,FALSE())*FK80</f>
        <v>0</v>
      </c>
      <c r="FL178" s="194" t="str">
        <f aca="false">FA178</f>
        <v>Alumno19</v>
      </c>
      <c r="FM178" s="208" t="n">
        <f aca="false">VLOOKUP($FL$1,'Datos Iniciales'!$E$34:$O$64,FM$158,FALSE())*FM80</f>
        <v>0</v>
      </c>
      <c r="FN178" s="196" t="n">
        <f aca="false">VLOOKUP($FL$1,'Datos Iniciales'!$E$34:$O$64,FN$158,FALSE())*FN80</f>
        <v>0</v>
      </c>
      <c r="FO178" s="196" t="n">
        <f aca="false">VLOOKUP($FL$1,'Datos Iniciales'!$E$34:$O$64,FO$158,FALSE())*FO80</f>
        <v>0</v>
      </c>
      <c r="FP178" s="196" t="n">
        <f aca="false">VLOOKUP($FL$1,'Datos Iniciales'!$E$34:$O$64,FP$158,FALSE())*FP80</f>
        <v>0</v>
      </c>
      <c r="FQ178" s="196" t="n">
        <f aca="false">VLOOKUP($FL$1,'Datos Iniciales'!$E$34:$O$64,FQ$158,FALSE())*FQ80</f>
        <v>0</v>
      </c>
      <c r="FR178" s="196" t="n">
        <f aca="false">VLOOKUP($FL$1,'Datos Iniciales'!$E$34:$O$64,FR$158,FALSE())*FR80</f>
        <v>0</v>
      </c>
      <c r="FS178" s="196" t="n">
        <f aca="false">VLOOKUP($FL$1,'Datos Iniciales'!$E$34:$O$64,FS$158,FALSE())*FS80</f>
        <v>0</v>
      </c>
      <c r="FT178" s="196" t="n">
        <f aca="false">VLOOKUP($FL$1,'Datos Iniciales'!$E$34:$O$64,FT$158,FALSE())*FT80</f>
        <v>0</v>
      </c>
      <c r="FU178" s="196" t="n">
        <f aca="false">VLOOKUP($FL$1,'Datos Iniciales'!$E$34:$O$64,FU$158,FALSE())*FU80</f>
        <v>0</v>
      </c>
      <c r="FV178" s="197" t="n">
        <f aca="false">VLOOKUP($FL$1,'Datos Iniciales'!$E$34:$O$64,FV$158,FALSE())*FV80</f>
        <v>0</v>
      </c>
      <c r="FW178" s="194" t="str">
        <f aca="false">FL178</f>
        <v>Alumno19</v>
      </c>
      <c r="FX178" s="208" t="n">
        <f aca="false">VLOOKUP($FW$1,'Datos Iniciales'!$E$34:$O$64,FX$158,FALSE())*FX80</f>
        <v>0</v>
      </c>
      <c r="FY178" s="196" t="n">
        <f aca="false">VLOOKUP($FW$1,'Datos Iniciales'!$E$34:$O$64,FY$158,FALSE())*FY80</f>
        <v>0</v>
      </c>
      <c r="FZ178" s="196" t="n">
        <f aca="false">VLOOKUP($FW$1,'Datos Iniciales'!$E$34:$O$64,FZ$158,FALSE())*FZ80</f>
        <v>0</v>
      </c>
      <c r="GA178" s="196" t="n">
        <f aca="false">VLOOKUP($FW$1,'Datos Iniciales'!$E$34:$O$64,GA$158,FALSE())*GA80</f>
        <v>0</v>
      </c>
      <c r="GB178" s="196" t="n">
        <f aca="false">VLOOKUP($FW$1,'Datos Iniciales'!$E$34:$O$64,GB$158,FALSE())*GB80</f>
        <v>0</v>
      </c>
      <c r="GC178" s="196" t="n">
        <f aca="false">VLOOKUP($FW$1,'Datos Iniciales'!$E$34:$O$64,GC$158,FALSE())*GC80</f>
        <v>0</v>
      </c>
      <c r="GD178" s="196" t="n">
        <f aca="false">VLOOKUP($FW$1,'Datos Iniciales'!$E$34:$O$64,GD$158,FALSE())*GD80</f>
        <v>0</v>
      </c>
      <c r="GE178" s="196" t="n">
        <f aca="false">VLOOKUP($FW$1,'Datos Iniciales'!$E$34:$O$64,GE$158,FALSE())*GE80</f>
        <v>0</v>
      </c>
      <c r="GF178" s="196" t="n">
        <f aca="false">VLOOKUP($FW$1,'Datos Iniciales'!$E$34:$O$64,GF$158,FALSE())*GF80</f>
        <v>0</v>
      </c>
      <c r="GG178" s="197" t="n">
        <f aca="false">VLOOKUP($FW$1,'Datos Iniciales'!$E$34:$O$64,GG$158,FALSE())*GG80</f>
        <v>0</v>
      </c>
      <c r="GH178" s="194" t="str">
        <f aca="false">FW178</f>
        <v>Alumno19</v>
      </c>
      <c r="GI178" s="208" t="n">
        <f aca="false">VLOOKUP($GH$1,'Datos Iniciales'!$E$34:$O$64,GI$158,FALSE())*GI80</f>
        <v>0</v>
      </c>
      <c r="GJ178" s="196" t="n">
        <f aca="false">VLOOKUP($GH$1,'Datos Iniciales'!$E$34:$O$64,GJ$158,FALSE())*GJ80</f>
        <v>0</v>
      </c>
      <c r="GK178" s="196" t="n">
        <f aca="false">VLOOKUP($GH$1,'Datos Iniciales'!$E$34:$O$64,GK$158,FALSE())*GK80</f>
        <v>0</v>
      </c>
      <c r="GL178" s="196" t="n">
        <f aca="false">VLOOKUP($GH$1,'Datos Iniciales'!$E$34:$O$64,GL$158,FALSE())*GL80</f>
        <v>0</v>
      </c>
      <c r="GM178" s="196" t="n">
        <f aca="false">VLOOKUP($GH$1,'Datos Iniciales'!$E$34:$O$64,GM$158,FALSE())*GM80</f>
        <v>0</v>
      </c>
      <c r="GN178" s="196" t="n">
        <f aca="false">VLOOKUP($GH$1,'Datos Iniciales'!$E$34:$O$64,GN$158,FALSE())*GN80</f>
        <v>0</v>
      </c>
      <c r="GO178" s="196" t="n">
        <f aca="false">VLOOKUP($GH$1,'Datos Iniciales'!$E$34:$O$64,GO$158,FALSE())*GO80</f>
        <v>0</v>
      </c>
      <c r="GP178" s="196" t="n">
        <f aca="false">VLOOKUP($GH$1,'Datos Iniciales'!$E$34:$O$64,GP$158,FALSE())*GP80</f>
        <v>0</v>
      </c>
      <c r="GQ178" s="196" t="n">
        <f aca="false">VLOOKUP($GH$1,'Datos Iniciales'!$E$34:$O$64,GQ$158,FALSE())*GQ80</f>
        <v>0</v>
      </c>
      <c r="GR178" s="197" t="n">
        <f aca="false">VLOOKUP($GH$1,'Datos Iniciales'!$E$34:$O$64,GR$158,FALSE())*GR80</f>
        <v>0</v>
      </c>
      <c r="GS178" s="194" t="str">
        <f aca="false">GH178</f>
        <v>Alumno19</v>
      </c>
      <c r="GT178" s="208" t="n">
        <f aca="false">VLOOKUP($GS$1,'Datos Iniciales'!$E$34:$O$64,GT$158,FALSE())*GT80</f>
        <v>0</v>
      </c>
      <c r="GU178" s="196" t="n">
        <f aca="false">VLOOKUP($GS$1,'Datos Iniciales'!$E$34:$O$64,GU$158,FALSE())*GU80</f>
        <v>0</v>
      </c>
      <c r="GV178" s="196" t="n">
        <f aca="false">VLOOKUP($GS$1,'Datos Iniciales'!$E$34:$O$64,GV$158,FALSE())*GV80</f>
        <v>0</v>
      </c>
      <c r="GW178" s="196" t="n">
        <f aca="false">VLOOKUP($GS$1,'Datos Iniciales'!$E$34:$O$64,GW$158,FALSE())*GW80</f>
        <v>0</v>
      </c>
      <c r="GX178" s="196" t="n">
        <f aca="false">VLOOKUP($GS$1,'Datos Iniciales'!$E$34:$O$64,GX$158,FALSE())*GX80</f>
        <v>0</v>
      </c>
      <c r="GY178" s="196" t="n">
        <f aca="false">VLOOKUP($GS$1,'Datos Iniciales'!$E$34:$O$64,GY$158,FALSE())*GY80</f>
        <v>0</v>
      </c>
      <c r="GZ178" s="196" t="n">
        <f aca="false">VLOOKUP($GS$1,'Datos Iniciales'!$E$34:$O$64,GZ$158,FALSE())*GZ80</f>
        <v>0</v>
      </c>
      <c r="HA178" s="196" t="n">
        <f aca="false">VLOOKUP($GS$1,'Datos Iniciales'!$E$34:$O$64,HA$158,FALSE())*HA80</f>
        <v>0</v>
      </c>
      <c r="HB178" s="196" t="n">
        <f aca="false">VLOOKUP($GS$1,'Datos Iniciales'!$E$34:$O$64,HB$158,FALSE())*HB80</f>
        <v>0</v>
      </c>
      <c r="HC178" s="197" t="n">
        <f aca="false">VLOOKUP($GS$1,'Datos Iniciales'!$E$34:$O$64,HC$158,FALSE())*HC80</f>
        <v>0</v>
      </c>
      <c r="HD178" s="194" t="str">
        <f aca="false">GS178</f>
        <v>Alumno19</v>
      </c>
      <c r="HE178" s="208" t="n">
        <f aca="false">VLOOKUP($HD$1,'Datos Iniciales'!$E$34:$O$64,HE$158,FALSE())*HE80</f>
        <v>0</v>
      </c>
      <c r="HF178" s="196" t="n">
        <f aca="false">VLOOKUP($HD$1,'Datos Iniciales'!$E$34:$O$64,HF$158,FALSE())*HF80</f>
        <v>0</v>
      </c>
      <c r="HG178" s="196" t="n">
        <f aca="false">VLOOKUP($HD$1,'Datos Iniciales'!$E$34:$O$64,HG$158,FALSE())*HG80</f>
        <v>0</v>
      </c>
      <c r="HH178" s="196" t="n">
        <f aca="false">VLOOKUP($HD$1,'Datos Iniciales'!$E$34:$O$64,HH$158,FALSE())*HH80</f>
        <v>0</v>
      </c>
      <c r="HI178" s="196" t="n">
        <f aca="false">VLOOKUP($HD$1,'Datos Iniciales'!$E$34:$O$64,HI$158,FALSE())*HI80</f>
        <v>0</v>
      </c>
      <c r="HJ178" s="196" t="n">
        <f aca="false">VLOOKUP($HD$1,'Datos Iniciales'!$E$34:$O$64,HJ$158,FALSE())*HJ80</f>
        <v>0</v>
      </c>
      <c r="HK178" s="196" t="n">
        <f aca="false">VLOOKUP($HD$1,'Datos Iniciales'!$E$34:$O$64,HK$158,FALSE())*HK80</f>
        <v>0</v>
      </c>
      <c r="HL178" s="196" t="n">
        <f aca="false">VLOOKUP($HD$1,'Datos Iniciales'!$E$34:$O$64,HL$158,FALSE())*HL80</f>
        <v>0</v>
      </c>
      <c r="HM178" s="196" t="n">
        <f aca="false">VLOOKUP($HD$1,'Datos Iniciales'!$E$34:$O$64,HM$158,FALSE())*HM80</f>
        <v>0</v>
      </c>
      <c r="HN178" s="197" t="n">
        <f aca="false">VLOOKUP($HD$1,'Datos Iniciales'!$E$34:$O$64,HN$158,FALSE())*HN80</f>
        <v>0</v>
      </c>
      <c r="HO178" s="194" t="str">
        <f aca="false">HD178</f>
        <v>Alumno19</v>
      </c>
      <c r="HP178" s="208" t="n">
        <f aca="false">VLOOKUP($HO$1,'Datos Iniciales'!$E$34:$O$64,HP$158,FALSE())*HP80</f>
        <v>0</v>
      </c>
      <c r="HQ178" s="196" t="n">
        <f aca="false">VLOOKUP($HO$1,'Datos Iniciales'!$E$34:$O$64,HQ$158,FALSE())*HQ80</f>
        <v>0</v>
      </c>
      <c r="HR178" s="196" t="n">
        <f aca="false">VLOOKUP($HO$1,'Datos Iniciales'!$E$34:$O$64,HR$158,FALSE())*HR80</f>
        <v>0</v>
      </c>
      <c r="HS178" s="196" t="n">
        <f aca="false">VLOOKUP($HO$1,'Datos Iniciales'!$E$34:$O$64,HS$158,FALSE())*HS80</f>
        <v>0</v>
      </c>
      <c r="HT178" s="196" t="n">
        <f aca="false">VLOOKUP($HO$1,'Datos Iniciales'!$E$34:$O$64,HT$158,FALSE())*HT80</f>
        <v>0</v>
      </c>
      <c r="HU178" s="196" t="n">
        <f aca="false">VLOOKUP($HO$1,'Datos Iniciales'!$E$34:$O$64,HU$158,FALSE())*HU80</f>
        <v>0</v>
      </c>
      <c r="HV178" s="196" t="n">
        <f aca="false">VLOOKUP($HO$1,'Datos Iniciales'!$E$34:$O$64,HV$158,FALSE())*HV80</f>
        <v>0</v>
      </c>
      <c r="HW178" s="196" t="n">
        <f aca="false">VLOOKUP($HO$1,'Datos Iniciales'!$E$34:$O$64,HW$158,FALSE())*HW80</f>
        <v>0</v>
      </c>
      <c r="HX178" s="196" t="n">
        <f aca="false">VLOOKUP($HO$1,'Datos Iniciales'!$E$34:$O$64,HX$158,FALSE())*HX80</f>
        <v>0</v>
      </c>
      <c r="HY178" s="197" t="n">
        <f aca="false">VLOOKUP($HO$1,'Datos Iniciales'!$E$34:$O$64,HY$158,FALSE())*HY80</f>
        <v>0</v>
      </c>
      <c r="HZ178" s="194" t="str">
        <f aca="false">HO178</f>
        <v>Alumno19</v>
      </c>
      <c r="IA178" s="208" t="n">
        <f aca="false">VLOOKUP($HZ$1,'Datos Iniciales'!$E$34:$O$64,IA$158,FALSE())*IA80</f>
        <v>0</v>
      </c>
      <c r="IB178" s="196" t="n">
        <f aca="false">VLOOKUP($HZ$1,'Datos Iniciales'!$E$34:$O$64,IB$158,FALSE())*IB80</f>
        <v>0</v>
      </c>
      <c r="IC178" s="196" t="n">
        <f aca="false">VLOOKUP($HZ$1,'Datos Iniciales'!$E$34:$O$64,IC$158,FALSE())*IC80</f>
        <v>0</v>
      </c>
      <c r="ID178" s="196" t="n">
        <f aca="false">VLOOKUP($HZ$1,'Datos Iniciales'!$E$34:$O$64,ID$158,FALSE())*ID80</f>
        <v>0</v>
      </c>
      <c r="IE178" s="196" t="n">
        <f aca="false">VLOOKUP($HZ$1,'Datos Iniciales'!$E$34:$O$64,IE$158,FALSE())*IE80</f>
        <v>0</v>
      </c>
      <c r="IF178" s="196" t="n">
        <f aca="false">VLOOKUP($HZ$1,'Datos Iniciales'!$E$34:$O$64,IF$158,FALSE())*IF80</f>
        <v>0</v>
      </c>
      <c r="IG178" s="196" t="n">
        <f aca="false">VLOOKUP($HZ$1,'Datos Iniciales'!$E$34:$O$64,IG$158,FALSE())*IG80</f>
        <v>0</v>
      </c>
      <c r="IH178" s="196" t="n">
        <f aca="false">VLOOKUP($HZ$1,'Datos Iniciales'!$E$34:$O$64,IH$158,FALSE())*IH80</f>
        <v>0</v>
      </c>
      <c r="II178" s="196" t="n">
        <f aca="false">VLOOKUP($HZ$1,'Datos Iniciales'!$E$34:$O$64,II$158,FALSE())*II80</f>
        <v>0</v>
      </c>
      <c r="IJ178" s="197" t="n">
        <f aca="false">VLOOKUP($HZ$1,'Datos Iniciales'!$E$34:$O$64,IJ$158,FALSE())*IJ80</f>
        <v>0</v>
      </c>
      <c r="IK178" s="194" t="str">
        <f aca="false">HZ178</f>
        <v>Alumno19</v>
      </c>
      <c r="IL178" s="208" t="n">
        <f aca="false">VLOOKUP($IK$1,'Datos Iniciales'!$E$34:$O$64,IL$158,FALSE())*IL80</f>
        <v>0</v>
      </c>
      <c r="IM178" s="196" t="n">
        <f aca="false">VLOOKUP($IK$1,'Datos Iniciales'!$E$34:$O$64,IM$158,FALSE())*IM80</f>
        <v>0</v>
      </c>
      <c r="IN178" s="196" t="n">
        <f aca="false">VLOOKUP($IK$1,'Datos Iniciales'!$E$34:$O$64,IN$158,FALSE())*IN80</f>
        <v>0</v>
      </c>
      <c r="IO178" s="196" t="n">
        <f aca="false">VLOOKUP($IK$1,'Datos Iniciales'!$E$34:$O$64,IO$158,FALSE())*IO80</f>
        <v>0</v>
      </c>
      <c r="IP178" s="196" t="n">
        <f aca="false">VLOOKUP($IK$1,'Datos Iniciales'!$E$34:$O$64,IP$158,FALSE())*IP80</f>
        <v>0</v>
      </c>
      <c r="IQ178" s="196" t="n">
        <f aca="false">VLOOKUP($IK$1,'Datos Iniciales'!$E$34:$O$64,IQ$158,FALSE())*IQ80</f>
        <v>0</v>
      </c>
      <c r="IR178" s="196" t="n">
        <f aca="false">VLOOKUP($IK$1,'Datos Iniciales'!$E$34:$O$64,IR$158,FALSE())*IR80</f>
        <v>0</v>
      </c>
      <c r="IS178" s="196" t="n">
        <f aca="false">VLOOKUP($IK$1,'Datos Iniciales'!$E$34:$O$64,IS$158,FALSE())*IS80</f>
        <v>0</v>
      </c>
      <c r="IT178" s="196" t="n">
        <f aca="false">VLOOKUP($IK$1,'Datos Iniciales'!$E$34:$O$64,IT$158,FALSE())*IT80</f>
        <v>0</v>
      </c>
      <c r="IU178" s="197" t="n">
        <f aca="false">VLOOKUP($IK$1,'Datos Iniciales'!$E$34:$O$64,IU$158,FALSE())*IU80</f>
        <v>0</v>
      </c>
      <c r="IV178" s="194" t="str">
        <f aca="false">IK178</f>
        <v>Alumno19</v>
      </c>
      <c r="IW178" s="208" t="n">
        <f aca="false">VLOOKUP($IV$1,'Datos Iniciales'!$E$34:$O$64,IW$158,FALSE())*IW80</f>
        <v>0</v>
      </c>
      <c r="IX178" s="196" t="n">
        <f aca="false">VLOOKUP($IV$1,'Datos Iniciales'!$E$34:$O$64,IX$158,FALSE())*IX80</f>
        <v>0</v>
      </c>
      <c r="IY178" s="196" t="n">
        <f aca="false">VLOOKUP($IV$1,'Datos Iniciales'!$E$34:$O$64,IY$158,FALSE())*IY80</f>
        <v>0</v>
      </c>
      <c r="IZ178" s="196" t="n">
        <f aca="false">VLOOKUP($IV$1,'Datos Iniciales'!$E$34:$O$64,IZ$158,FALSE())*IZ80</f>
        <v>0</v>
      </c>
      <c r="JA178" s="196" t="n">
        <f aca="false">VLOOKUP($IV$1,'Datos Iniciales'!$E$34:$O$64,JA$158,FALSE())*JA80</f>
        <v>0</v>
      </c>
      <c r="JB178" s="196" t="n">
        <f aca="false">VLOOKUP($IV$1,'Datos Iniciales'!$E$34:$O$64,JB$158,FALSE())*JB80</f>
        <v>0</v>
      </c>
      <c r="JC178" s="196" t="n">
        <f aca="false">VLOOKUP($IV$1,'Datos Iniciales'!$E$34:$O$64,JC$158,FALSE())*JC80</f>
        <v>0</v>
      </c>
      <c r="JD178" s="196" t="n">
        <f aca="false">VLOOKUP($IV$1,'Datos Iniciales'!$E$34:$O$64,JD$158,FALSE())*JD80</f>
        <v>0</v>
      </c>
      <c r="JE178" s="196" t="n">
        <f aca="false">VLOOKUP($IV$1,'Datos Iniciales'!$E$34:$O$64,JE$158,FALSE())*JE80</f>
        <v>0</v>
      </c>
      <c r="JF178" s="197" t="n">
        <f aca="false">VLOOKUP($IV$1,'Datos Iniciales'!$E$34:$O$64,JF$158,FALSE())*JF80</f>
        <v>0</v>
      </c>
      <c r="JG178" s="194" t="str">
        <f aca="false">IV178</f>
        <v>Alumno19</v>
      </c>
      <c r="JH178" s="208" t="n">
        <f aca="false">VLOOKUP($JG$1,'Datos Iniciales'!$E$34:$O$64,JH$158,FALSE())*JH80</f>
        <v>0</v>
      </c>
      <c r="JI178" s="196" t="n">
        <f aca="false">VLOOKUP($JG$1,'Datos Iniciales'!$E$34:$O$64,JI$158,FALSE())*JI80</f>
        <v>0</v>
      </c>
      <c r="JJ178" s="196" t="n">
        <f aca="false">VLOOKUP($JG$1,'Datos Iniciales'!$E$34:$O$64,JJ$158,FALSE())*JJ80</f>
        <v>0</v>
      </c>
      <c r="JK178" s="196" t="n">
        <f aca="false">VLOOKUP($JG$1,'Datos Iniciales'!$E$34:$O$64,JK$158,FALSE())*JK80</f>
        <v>0</v>
      </c>
      <c r="JL178" s="196" t="n">
        <f aca="false">VLOOKUP($JG$1,'Datos Iniciales'!$E$34:$O$64,JL$158,FALSE())*JL80</f>
        <v>0</v>
      </c>
      <c r="JM178" s="196" t="n">
        <f aca="false">VLOOKUP($JG$1,'Datos Iniciales'!$E$34:$O$64,JM$158,FALSE())*JM80</f>
        <v>0</v>
      </c>
      <c r="JN178" s="196" t="n">
        <f aca="false">VLOOKUP($JG$1,'Datos Iniciales'!$E$34:$O$64,JN$158,FALSE())*JN80</f>
        <v>0</v>
      </c>
      <c r="JO178" s="196" t="n">
        <f aca="false">VLOOKUP($JG$1,'Datos Iniciales'!$E$34:$O$64,JO$158,FALSE())*JO80</f>
        <v>0</v>
      </c>
      <c r="JP178" s="196" t="n">
        <f aca="false">VLOOKUP($JG$1,'Datos Iniciales'!$E$34:$O$64,JP$158,FALSE())*JP80</f>
        <v>0</v>
      </c>
      <c r="JQ178" s="197" t="n">
        <f aca="false">VLOOKUP($JG$1,'Datos Iniciales'!$E$34:$O$64,JQ$158,FALSE())*JQ80</f>
        <v>0</v>
      </c>
      <c r="JR178" s="194" t="str">
        <f aca="false">JG178</f>
        <v>Alumno19</v>
      </c>
      <c r="JS178" s="208" t="n">
        <f aca="false">VLOOKUP($JR$1,'Datos Iniciales'!$E$34:$O$64,JS$158,FALSE())*JS80</f>
        <v>0</v>
      </c>
      <c r="JT178" s="196" t="n">
        <f aca="false">VLOOKUP($JR$1,'Datos Iniciales'!$E$34:$O$64,JT$158,FALSE())*JT80</f>
        <v>0</v>
      </c>
      <c r="JU178" s="196" t="n">
        <f aca="false">VLOOKUP($JR$1,'Datos Iniciales'!$E$34:$O$64,JU$158,FALSE())*JU80</f>
        <v>0</v>
      </c>
      <c r="JV178" s="196" t="n">
        <f aca="false">VLOOKUP($JR$1,'Datos Iniciales'!$E$34:$O$64,JV$158,FALSE())*JV80</f>
        <v>0</v>
      </c>
      <c r="JW178" s="196" t="n">
        <f aca="false">VLOOKUP($JR$1,'Datos Iniciales'!$E$34:$O$64,JW$158,FALSE())*JW80</f>
        <v>0</v>
      </c>
      <c r="JX178" s="196" t="n">
        <f aca="false">VLOOKUP($JR$1,'Datos Iniciales'!$E$34:$O$64,JX$158,FALSE())*JX80</f>
        <v>0</v>
      </c>
      <c r="JY178" s="196" t="n">
        <f aca="false">VLOOKUP($JR$1,'Datos Iniciales'!$E$34:$O$64,JY$158,FALSE())*JY80</f>
        <v>0</v>
      </c>
      <c r="JZ178" s="196" t="n">
        <f aca="false">VLOOKUP($JR$1,'Datos Iniciales'!$E$34:$O$64,JZ$158,FALSE())*JZ80</f>
        <v>0</v>
      </c>
      <c r="KA178" s="196" t="n">
        <f aca="false">VLOOKUP($JR$1,'Datos Iniciales'!$E$34:$O$64,KA$158,FALSE())*KA80</f>
        <v>0</v>
      </c>
      <c r="KB178" s="197" t="n">
        <f aca="false">VLOOKUP($JR$1,'Datos Iniciales'!$E$34:$O$64,KB$158,FALSE())*KB80</f>
        <v>0</v>
      </c>
      <c r="KC178" s="194" t="str">
        <f aca="false">JR178</f>
        <v>Alumno19</v>
      </c>
      <c r="KD178" s="208" t="n">
        <f aca="false">VLOOKUP($KC$1,'Datos Iniciales'!$E$34:$O$64,KD$158,FALSE())*KD80</f>
        <v>0</v>
      </c>
      <c r="KE178" s="196" t="n">
        <f aca="false">VLOOKUP($KC$1,'Datos Iniciales'!$E$34:$O$64,KE$158,FALSE())*KE80</f>
        <v>0</v>
      </c>
      <c r="KF178" s="196" t="n">
        <f aca="false">VLOOKUP($KC$1,'Datos Iniciales'!$E$34:$O$64,KF$158,FALSE())*KF80</f>
        <v>0</v>
      </c>
      <c r="KG178" s="196" t="n">
        <f aca="false">VLOOKUP($KC$1,'Datos Iniciales'!$E$34:$O$64,KG$158,FALSE())*KG80</f>
        <v>0</v>
      </c>
      <c r="KH178" s="196" t="n">
        <f aca="false">VLOOKUP($KC$1,'Datos Iniciales'!$E$34:$O$64,KH$158,FALSE())*KH80</f>
        <v>0</v>
      </c>
      <c r="KI178" s="196" t="n">
        <f aca="false">VLOOKUP($KC$1,'Datos Iniciales'!$E$34:$O$64,KI$158,FALSE())*KI80</f>
        <v>0</v>
      </c>
      <c r="KJ178" s="196" t="n">
        <f aca="false">VLOOKUP($KC$1,'Datos Iniciales'!$E$34:$O$64,KJ$158,FALSE())*KJ80</f>
        <v>0</v>
      </c>
      <c r="KK178" s="196" t="n">
        <f aca="false">VLOOKUP($KC$1,'Datos Iniciales'!$E$34:$O$64,KK$158,FALSE())*KK80</f>
        <v>0</v>
      </c>
      <c r="KL178" s="196" t="n">
        <f aca="false">VLOOKUP($KC$1,'Datos Iniciales'!$E$34:$O$64,KL$158,FALSE())*KL80</f>
        <v>0</v>
      </c>
      <c r="KM178" s="197" t="n">
        <f aca="false">VLOOKUP($KC$1,'Datos Iniciales'!$E$34:$O$64,KM$158,FALSE())*KM80</f>
        <v>0</v>
      </c>
      <c r="KN178" s="194" t="str">
        <f aca="false">KC178</f>
        <v>Alumno19</v>
      </c>
      <c r="KO178" s="208" t="n">
        <f aca="false">VLOOKUP($KN$1,'Datos Iniciales'!$E$34:$O$64,KO$158,FALSE())*KO80</f>
        <v>0</v>
      </c>
      <c r="KP178" s="196" t="n">
        <f aca="false">VLOOKUP($KN$1,'Datos Iniciales'!$E$34:$O$64,KP$158,FALSE())*KP80</f>
        <v>0</v>
      </c>
      <c r="KQ178" s="196" t="n">
        <f aca="false">VLOOKUP($KN$1,'Datos Iniciales'!$E$34:$O$64,KQ$158,FALSE())*KQ80</f>
        <v>0</v>
      </c>
      <c r="KR178" s="196" t="n">
        <f aca="false">VLOOKUP($KN$1,'Datos Iniciales'!$E$34:$O$64,KR$158,FALSE())*KR80</f>
        <v>0</v>
      </c>
      <c r="KS178" s="196" t="n">
        <f aca="false">VLOOKUP($KN$1,'Datos Iniciales'!$E$34:$O$64,KS$158,FALSE())*KS80</f>
        <v>0</v>
      </c>
      <c r="KT178" s="196" t="n">
        <f aca="false">VLOOKUP($KN$1,'Datos Iniciales'!$E$34:$O$64,KT$158,FALSE())*KT80</f>
        <v>0</v>
      </c>
      <c r="KU178" s="196" t="n">
        <f aca="false">VLOOKUP($KN$1,'Datos Iniciales'!$E$34:$O$64,KU$158,FALSE())*KU80</f>
        <v>0</v>
      </c>
      <c r="KV178" s="196" t="n">
        <f aca="false">VLOOKUP($KN$1,'Datos Iniciales'!$E$34:$O$64,KV$158,FALSE())*KV80</f>
        <v>0</v>
      </c>
      <c r="KW178" s="196" t="n">
        <f aca="false">VLOOKUP($KN$1,'Datos Iniciales'!$E$34:$O$64,KW$158,FALSE())*KW80</f>
        <v>0</v>
      </c>
      <c r="KX178" s="197" t="n">
        <f aca="false">VLOOKUP($KN$1,'Datos Iniciales'!$E$34:$O$64,KX$158,FALSE())*KX80</f>
        <v>0</v>
      </c>
      <c r="KY178" s="194" t="str">
        <f aca="false">KN178</f>
        <v>Alumno19</v>
      </c>
      <c r="KZ178" s="208" t="n">
        <f aca="false">VLOOKUP($KY$1,'Datos Iniciales'!$E$34:$O$64,KZ$158,FALSE())*KZ80</f>
        <v>0</v>
      </c>
      <c r="LA178" s="196" t="n">
        <f aca="false">VLOOKUP($KY$1,'Datos Iniciales'!$E$34:$O$64,LA$158,FALSE())*LA80</f>
        <v>0</v>
      </c>
      <c r="LB178" s="196" t="n">
        <f aca="false">VLOOKUP($KY$1,'Datos Iniciales'!$E$34:$O$64,LB$158,FALSE())*LB80</f>
        <v>0</v>
      </c>
      <c r="LC178" s="196" t="n">
        <f aca="false">VLOOKUP($KY$1,'Datos Iniciales'!$E$34:$O$64,LC$158,FALSE())*LC80</f>
        <v>0</v>
      </c>
      <c r="LD178" s="196" t="n">
        <f aca="false">VLOOKUP($KY$1,'Datos Iniciales'!$E$34:$O$64,LD$158,FALSE())*LD80</f>
        <v>0</v>
      </c>
      <c r="LE178" s="196" t="n">
        <f aca="false">VLOOKUP($KY$1,'Datos Iniciales'!$E$34:$O$64,LE$158,FALSE())*LE80</f>
        <v>0</v>
      </c>
      <c r="LF178" s="196" t="n">
        <f aca="false">VLOOKUP($KY$1,'Datos Iniciales'!$E$34:$O$64,LF$158,FALSE())*LF80</f>
        <v>0</v>
      </c>
      <c r="LG178" s="196" t="n">
        <f aca="false">VLOOKUP($KY$1,'Datos Iniciales'!$E$34:$O$64,LG$158,FALSE())*LG80</f>
        <v>0</v>
      </c>
      <c r="LH178" s="196" t="n">
        <f aca="false">VLOOKUP($KY$1,'Datos Iniciales'!$E$34:$O$64,LH$158,FALSE())*LH80</f>
        <v>0</v>
      </c>
      <c r="LI178" s="197" t="n">
        <f aca="false">VLOOKUP($KY$1,'Datos Iniciales'!$E$34:$O$64,LI$158,FALSE())*LI80</f>
        <v>0</v>
      </c>
      <c r="LJ178" s="194" t="str">
        <f aca="false">KY178</f>
        <v>Alumno19</v>
      </c>
      <c r="LK178" s="208" t="n">
        <f aca="false">VLOOKUP($LJ$1,'Datos Iniciales'!$E$34:$O$64,LK$158,FALSE())*LK80</f>
        <v>0</v>
      </c>
      <c r="LL178" s="196" t="n">
        <f aca="false">VLOOKUP($LJ$1,'Datos Iniciales'!$E$34:$O$64,LL$158,FALSE())*LL80</f>
        <v>0</v>
      </c>
      <c r="LM178" s="196" t="n">
        <f aca="false">VLOOKUP($LJ$1,'Datos Iniciales'!$E$34:$O$64,LM$158,FALSE())*LM80</f>
        <v>0</v>
      </c>
      <c r="LN178" s="196" t="n">
        <f aca="false">VLOOKUP($LJ$1,'Datos Iniciales'!$E$34:$O$64,LN$158,FALSE())*LN80</f>
        <v>0</v>
      </c>
      <c r="LO178" s="196" t="n">
        <f aca="false">VLOOKUP($LJ$1,'Datos Iniciales'!$E$34:$O$64,LO$158,FALSE())*LO80</f>
        <v>0</v>
      </c>
      <c r="LP178" s="196" t="n">
        <f aca="false">VLOOKUP($LJ$1,'Datos Iniciales'!$E$34:$O$64,LP$158,FALSE())*LP80</f>
        <v>0</v>
      </c>
      <c r="LQ178" s="196" t="n">
        <f aca="false">VLOOKUP($LJ$1,'Datos Iniciales'!$E$34:$O$64,LQ$158,FALSE())*LQ80</f>
        <v>0</v>
      </c>
      <c r="LR178" s="196" t="n">
        <f aca="false">VLOOKUP($LJ$1,'Datos Iniciales'!$E$34:$O$64,LR$158,FALSE())*LR80</f>
        <v>0</v>
      </c>
      <c r="LS178" s="196" t="n">
        <f aca="false">VLOOKUP($LJ$1,'Datos Iniciales'!$E$34:$O$64,LS$158,FALSE())*LS80</f>
        <v>0</v>
      </c>
      <c r="LT178" s="197" t="n">
        <f aca="false">VLOOKUP($LJ$1,'Datos Iniciales'!$E$34:$O$64,LT$158,FALSE())*LT80</f>
        <v>0</v>
      </c>
    </row>
    <row r="179" customFormat="false" ht="15" hidden="true" customHeight="false" outlineLevel="0" collapsed="false">
      <c r="C179" s="194" t="str">
        <f aca="false">C130</f>
        <v>Alumno20</v>
      </c>
      <c r="D179" s="208" t="n">
        <f aca="false">VLOOKUP($C$1,'Datos Iniciales'!$E$34:$O$64,D$158,FALSE())*D81</f>
        <v>1.25</v>
      </c>
      <c r="E179" s="196" t="n">
        <f aca="false">VLOOKUP($C$1,'Datos Iniciales'!$E$34:$O$64,E$158,FALSE())*E81</f>
        <v>0</v>
      </c>
      <c r="F179" s="196" t="n">
        <f aca="false">VLOOKUP($C$1,'Datos Iniciales'!$E$34:$O$64,F$158,FALSE())*F81</f>
        <v>0</v>
      </c>
      <c r="G179" s="196" t="n">
        <f aca="false">VLOOKUP($C$1,'Datos Iniciales'!$E$34:$O$64,G$158,FALSE())*G81</f>
        <v>0</v>
      </c>
      <c r="H179" s="196" t="n">
        <f aca="false">VLOOKUP($C$1,'Datos Iniciales'!$E$34:$O$64,H$158,FALSE())*H81</f>
        <v>0</v>
      </c>
      <c r="I179" s="196" t="n">
        <f aca="false">VLOOKUP($C$1,'Datos Iniciales'!$E$34:$O$64,I$158,FALSE())*I81</f>
        <v>0</v>
      </c>
      <c r="J179" s="196" t="n">
        <f aca="false">VLOOKUP($C$1,'Datos Iniciales'!$E$34:$O$64,J$158,FALSE())*J81</f>
        <v>0</v>
      </c>
      <c r="K179" s="196" t="n">
        <f aca="false">VLOOKUP($C$1,'Datos Iniciales'!$E$34:$O$64,K$158,FALSE())*K81</f>
        <v>0</v>
      </c>
      <c r="L179" s="196" t="n">
        <f aca="false">VLOOKUP($C$1,'Datos Iniciales'!$E$34:$O$64,L$158,FALSE())*L81</f>
        <v>0</v>
      </c>
      <c r="M179" s="197" t="n">
        <f aca="false">VLOOKUP($C$1,'Datos Iniciales'!$E$34:$O$64,M$158,FALSE())*M81</f>
        <v>0</v>
      </c>
      <c r="N179" s="194" t="str">
        <f aca="false">C179</f>
        <v>Alumno20</v>
      </c>
      <c r="O179" s="208" t="n">
        <f aca="false">VLOOKUP($N$1,'Datos Iniciales'!$E$34:$O$64,O$158,FALSE())*O81</f>
        <v>1</v>
      </c>
      <c r="P179" s="196" t="n">
        <f aca="false">VLOOKUP($N$1,'Datos Iniciales'!$E$34:$O$64,P$158,FALSE())*P81</f>
        <v>0.6</v>
      </c>
      <c r="Q179" s="196" t="n">
        <f aca="false">VLOOKUP($N$1,'Datos Iniciales'!$E$34:$O$64,Q$158,FALSE())*Q81</f>
        <v>0</v>
      </c>
      <c r="R179" s="196" t="n">
        <f aca="false">VLOOKUP($N$1,'Datos Iniciales'!$E$34:$O$64,R$158,FALSE())*R81</f>
        <v>0</v>
      </c>
      <c r="S179" s="196" t="n">
        <f aca="false">VLOOKUP($N$1,'Datos Iniciales'!$E$34:$O$64,S$158,FALSE())*S81</f>
        <v>0</v>
      </c>
      <c r="T179" s="196" t="n">
        <f aca="false">VLOOKUP($N$1,'Datos Iniciales'!$E$34:$O$64,T$158,FALSE())*T81</f>
        <v>0</v>
      </c>
      <c r="U179" s="196" t="n">
        <f aca="false">VLOOKUP($N$1,'Datos Iniciales'!$E$34:$O$64,U$158,FALSE())*U81</f>
        <v>0</v>
      </c>
      <c r="V179" s="196" t="n">
        <f aca="false">VLOOKUP($N$1,'Datos Iniciales'!$E$34:$O$64,V$158,FALSE())*V81</f>
        <v>0</v>
      </c>
      <c r="W179" s="196" t="n">
        <f aca="false">VLOOKUP($N$1,'Datos Iniciales'!$E$34:$O$64,W$158,FALSE())*W81</f>
        <v>0</v>
      </c>
      <c r="X179" s="197" t="n">
        <f aca="false">VLOOKUP($N$1,'Datos Iniciales'!$E$34:$O$64,X$158,FALSE())*X81</f>
        <v>0</v>
      </c>
      <c r="Y179" s="194" t="str">
        <f aca="false">N179</f>
        <v>Alumno20</v>
      </c>
      <c r="Z179" s="208" t="n">
        <f aca="false">VLOOKUP($Y$1,'Datos Iniciales'!$E$34:$O$64,Z$158,FALSE())*Z81</f>
        <v>2.85</v>
      </c>
      <c r="AA179" s="196" t="n">
        <f aca="false">VLOOKUP($Y$1,'Datos Iniciales'!$E$34:$O$64,AA$158,FALSE())*AA81</f>
        <v>2</v>
      </c>
      <c r="AB179" s="196" t="n">
        <f aca="false">VLOOKUP($Y$1,'Datos Iniciales'!$E$34:$O$64,AB$158,FALSE())*AB81</f>
        <v>0.9</v>
      </c>
      <c r="AC179" s="196" t="n">
        <f aca="false">VLOOKUP($Y$1,'Datos Iniciales'!$E$34:$O$64,AC$158,FALSE())*AC81</f>
        <v>0</v>
      </c>
      <c r="AD179" s="196" t="n">
        <f aca="false">VLOOKUP($Y$1,'Datos Iniciales'!$E$34:$O$64,AD$158,FALSE())*AD81</f>
        <v>0</v>
      </c>
      <c r="AE179" s="196" t="n">
        <f aca="false">VLOOKUP($Y$1,'Datos Iniciales'!$E$34:$O$64,AE$158,FALSE())*AE81</f>
        <v>0</v>
      </c>
      <c r="AF179" s="196" t="n">
        <f aca="false">VLOOKUP($Y$1,'Datos Iniciales'!$E$34:$O$64,AF$158,FALSE())*AF81</f>
        <v>0</v>
      </c>
      <c r="AG179" s="196" t="n">
        <f aca="false">VLOOKUP($Y$1,'Datos Iniciales'!$E$34:$O$64,AG$158,FALSE())*AG81</f>
        <v>0</v>
      </c>
      <c r="AH179" s="196" t="n">
        <f aca="false">VLOOKUP($Y$1,'Datos Iniciales'!$E$34:$O$64,AH$158,FALSE())*AH81</f>
        <v>0</v>
      </c>
      <c r="AI179" s="197" t="n">
        <f aca="false">VLOOKUP($Y$1,'Datos Iniciales'!$E$34:$O$64,AI$158,FALSE())*AI81</f>
        <v>0</v>
      </c>
      <c r="AJ179" s="194" t="str">
        <f aca="false">Y179</f>
        <v>Alumno20</v>
      </c>
      <c r="AK179" s="208" t="n">
        <f aca="false">VLOOKUP($AJ$1,'Datos Iniciales'!$E$34:$O$64,AK$158,FALSE())*AK81</f>
        <v>0.9</v>
      </c>
      <c r="AL179" s="196" t="n">
        <f aca="false">VLOOKUP($AJ$1,'Datos Iniciales'!$E$34:$O$64,AL$158,FALSE())*AL81</f>
        <v>2.85</v>
      </c>
      <c r="AM179" s="196" t="n">
        <f aca="false">VLOOKUP($AJ$1,'Datos Iniciales'!$E$34:$O$64,AM$158,FALSE())*AM81</f>
        <v>3.5</v>
      </c>
      <c r="AN179" s="196" t="n">
        <f aca="false">VLOOKUP($AJ$1,'Datos Iniciales'!$E$34:$O$64,AN$158,FALSE())*AN81</f>
        <v>0</v>
      </c>
      <c r="AO179" s="196" t="n">
        <f aca="false">VLOOKUP($AJ$1,'Datos Iniciales'!$E$34:$O$64,AO$158,FALSE())*AO81</f>
        <v>0</v>
      </c>
      <c r="AP179" s="196" t="n">
        <f aca="false">VLOOKUP($AJ$1,'Datos Iniciales'!$E$34:$O$64,AP$158,FALSE())*AP81</f>
        <v>0</v>
      </c>
      <c r="AQ179" s="196" t="n">
        <f aca="false">VLOOKUP($AJ$1,'Datos Iniciales'!$E$34:$O$64,AQ$158,FALSE())*AQ81</f>
        <v>0</v>
      </c>
      <c r="AR179" s="196" t="n">
        <f aca="false">VLOOKUP($AJ$1,'Datos Iniciales'!$E$34:$O$64,AR$158,FALSE())*AR81</f>
        <v>0</v>
      </c>
      <c r="AS179" s="196" t="n">
        <f aca="false">VLOOKUP($AJ$1,'Datos Iniciales'!$E$34:$O$64,AS$158,FALSE())*AS81</f>
        <v>0</v>
      </c>
      <c r="AT179" s="197" t="n">
        <f aca="false">VLOOKUP($AJ$1,'Datos Iniciales'!$E$34:$O$64,AT$158,FALSE())*AT81</f>
        <v>0</v>
      </c>
      <c r="AU179" s="194" t="str">
        <f aca="false">AJ179</f>
        <v>Alumno20</v>
      </c>
      <c r="AV179" s="208" t="n">
        <f aca="false">VLOOKUP($AU$1,'Datos Iniciales'!$E$34:$O$64,AV$158,FALSE())*AV81</f>
        <v>0.25</v>
      </c>
      <c r="AW179" s="196" t="n">
        <f aca="false">VLOOKUP($AU$1,'Datos Iniciales'!$E$34:$O$64,AW$158,FALSE())*AW81</f>
        <v>0.6</v>
      </c>
      <c r="AX179" s="196" t="n">
        <f aca="false">VLOOKUP($AU$1,'Datos Iniciales'!$E$34:$O$64,AX$158,FALSE())*AX81</f>
        <v>1.08</v>
      </c>
      <c r="AY179" s="196" t="n">
        <f aca="false">VLOOKUP($AU$1,'Datos Iniciales'!$E$34:$O$64,AY$158,FALSE())*AY81</f>
        <v>0.5</v>
      </c>
      <c r="AZ179" s="196" t="n">
        <f aca="false">VLOOKUP($AU$1,'Datos Iniciales'!$E$34:$O$64,AZ$158,FALSE())*AZ81</f>
        <v>0</v>
      </c>
      <c r="BA179" s="196" t="n">
        <f aca="false">VLOOKUP($AU$1,'Datos Iniciales'!$E$34:$O$64,BA$158,FALSE())*BA81</f>
        <v>0</v>
      </c>
      <c r="BB179" s="196" t="n">
        <f aca="false">VLOOKUP($AU$1,'Datos Iniciales'!$E$34:$O$64,BB$158,FALSE())*BB81</f>
        <v>0</v>
      </c>
      <c r="BC179" s="196" t="n">
        <f aca="false">VLOOKUP($AU$1,'Datos Iniciales'!$E$34:$O$64,BC$158,FALSE())*BC81</f>
        <v>0</v>
      </c>
      <c r="BD179" s="196" t="n">
        <f aca="false">VLOOKUP($AU$1,'Datos Iniciales'!$E$34:$O$64,BD$158,FALSE())*BD81</f>
        <v>0</v>
      </c>
      <c r="BE179" s="197" t="n">
        <f aca="false">VLOOKUP($AU$1,'Datos Iniciales'!$E$34:$O$64,BE$158,FALSE())*BE81</f>
        <v>0</v>
      </c>
      <c r="BF179" s="194" t="str">
        <f aca="false">AU179</f>
        <v>Alumno20</v>
      </c>
      <c r="BG179" s="208" t="n">
        <f aca="false">VLOOKUP($BF$1,'Datos Iniciales'!$E$34:$O$64,BG$158,FALSE())*BG81</f>
        <v>0.5</v>
      </c>
      <c r="BH179" s="196" t="n">
        <f aca="false">VLOOKUP($BF$1,'Datos Iniciales'!$E$34:$O$64,BH$158,FALSE())*BH81</f>
        <v>0.9</v>
      </c>
      <c r="BI179" s="196" t="n">
        <f aca="false">VLOOKUP($BF$1,'Datos Iniciales'!$E$34:$O$64,BI$158,FALSE())*BI81</f>
        <v>0.3</v>
      </c>
      <c r="BJ179" s="196" t="n">
        <f aca="false">VLOOKUP($BF$1,'Datos Iniciales'!$E$34:$O$64,BJ$158,FALSE())*BJ81</f>
        <v>1.84</v>
      </c>
      <c r="BK179" s="196" t="n">
        <f aca="false">VLOOKUP($BF$1,'Datos Iniciales'!$E$34:$O$64,BK$158,FALSE())*BK81</f>
        <v>0</v>
      </c>
      <c r="BL179" s="196" t="n">
        <f aca="false">VLOOKUP($BF$1,'Datos Iniciales'!$E$34:$O$64,BL$158,FALSE())*BL81</f>
        <v>0</v>
      </c>
      <c r="BM179" s="196" t="n">
        <f aca="false">VLOOKUP($BF$1,'Datos Iniciales'!$E$34:$O$64,BM$158,FALSE())*BM81</f>
        <v>0</v>
      </c>
      <c r="BN179" s="196" t="n">
        <f aca="false">VLOOKUP($BF$1,'Datos Iniciales'!$E$34:$O$64,BN$158,FALSE())*BN81</f>
        <v>0</v>
      </c>
      <c r="BO179" s="196" t="n">
        <f aca="false">VLOOKUP($BF$1,'Datos Iniciales'!$E$34:$O$64,BO$158,FALSE())*BO81</f>
        <v>0</v>
      </c>
      <c r="BP179" s="197" t="n">
        <f aca="false">VLOOKUP($BF$1,'Datos Iniciales'!$E$34:$O$64,BP$158,FALSE())*BP81</f>
        <v>0</v>
      </c>
      <c r="BQ179" s="194" t="str">
        <f aca="false">BF179</f>
        <v>Alumno20</v>
      </c>
      <c r="BR179" s="208" t="n">
        <f aca="false">VLOOKUP($BQ$1,'Datos Iniciales'!$E$34:$O$64,BR$158,FALSE())*BR81</f>
        <v>0</v>
      </c>
      <c r="BS179" s="196" t="n">
        <f aca="false">VLOOKUP($BQ$1,'Datos Iniciales'!$E$34:$O$64,BS$158,FALSE())*BS81</f>
        <v>0.3</v>
      </c>
      <c r="BT179" s="196" t="n">
        <f aca="false">VLOOKUP($BQ$1,'Datos Iniciales'!$E$34:$O$64,BT$158,FALSE())*BT81</f>
        <v>0.75</v>
      </c>
      <c r="BU179" s="196" t="n">
        <f aca="false">VLOOKUP($BQ$1,'Datos Iniciales'!$E$34:$O$64,BU$158,FALSE())*BU81</f>
        <v>2.3</v>
      </c>
      <c r="BV179" s="196" t="n">
        <f aca="false">VLOOKUP($BQ$1,'Datos Iniciales'!$E$34:$O$64,BV$158,FALSE())*BV81</f>
        <v>0</v>
      </c>
      <c r="BW179" s="196" t="n">
        <f aca="false">VLOOKUP($BQ$1,'Datos Iniciales'!$E$34:$O$64,BW$158,FALSE())*BW81</f>
        <v>0</v>
      </c>
      <c r="BX179" s="196" t="n">
        <f aca="false">VLOOKUP($BQ$1,'Datos Iniciales'!$E$34:$O$64,BX$158,FALSE())*BX81</f>
        <v>0</v>
      </c>
      <c r="BY179" s="196" t="n">
        <f aca="false">VLOOKUP($BQ$1,'Datos Iniciales'!$E$34:$O$64,BY$158,FALSE())*BY81</f>
        <v>0</v>
      </c>
      <c r="BZ179" s="196" t="n">
        <f aca="false">VLOOKUP($BQ$1,'Datos Iniciales'!$E$34:$O$64,BZ$158,FALSE())*BZ81</f>
        <v>0</v>
      </c>
      <c r="CA179" s="197" t="n">
        <f aca="false">VLOOKUP($BQ$1,'Datos Iniciales'!$E$34:$O$64,CA$158,FALSE())*CA81</f>
        <v>0</v>
      </c>
      <c r="CB179" s="194" t="str">
        <f aca="false">BQ179</f>
        <v>Alumno20</v>
      </c>
      <c r="CC179" s="208" t="n">
        <f aca="false">VLOOKUP($CB$1,'Datos Iniciales'!$E$34:$O$64,CC$158,FALSE())*CC81</f>
        <v>0</v>
      </c>
      <c r="CD179" s="196" t="n">
        <f aca="false">VLOOKUP($CB$1,'Datos Iniciales'!$E$34:$O$64,CD$158,FALSE())*CD81</f>
        <v>0</v>
      </c>
      <c r="CE179" s="196" t="n">
        <f aca="false">VLOOKUP($CB$1,'Datos Iniciales'!$E$34:$O$64,CE$158,FALSE())*CE81</f>
        <v>0</v>
      </c>
      <c r="CF179" s="196" t="n">
        <f aca="false">VLOOKUP($CB$1,'Datos Iniciales'!$E$34:$O$64,CF$158,FALSE())*CF81</f>
        <v>0</v>
      </c>
      <c r="CG179" s="196" t="n">
        <f aca="false">VLOOKUP($CB$1,'Datos Iniciales'!$E$34:$O$64,CG$158,FALSE())*CG81</f>
        <v>0</v>
      </c>
      <c r="CH179" s="196" t="n">
        <f aca="false">VLOOKUP($CB$1,'Datos Iniciales'!$E$34:$O$64,CH$158,FALSE())*CH81</f>
        <v>0</v>
      </c>
      <c r="CI179" s="196" t="n">
        <f aca="false">VLOOKUP($CB$1,'Datos Iniciales'!$E$34:$O$64,CI$158,FALSE())*CI81</f>
        <v>0</v>
      </c>
      <c r="CJ179" s="196" t="n">
        <f aca="false">VLOOKUP($CB$1,'Datos Iniciales'!$E$34:$O$64,CJ$158,FALSE())*CJ81</f>
        <v>0</v>
      </c>
      <c r="CK179" s="196" t="n">
        <f aca="false">VLOOKUP($CB$1,'Datos Iniciales'!$E$34:$O$64,CK$158,FALSE())*CK81</f>
        <v>0</v>
      </c>
      <c r="CL179" s="197" t="n">
        <f aca="false">VLOOKUP($CB$1,'Datos Iniciales'!$E$34:$O$64,CL$158,FALSE())*CL81</f>
        <v>0</v>
      </c>
      <c r="CM179" s="194" t="str">
        <f aca="false">CB179</f>
        <v>Alumno20</v>
      </c>
      <c r="CN179" s="208" t="n">
        <f aca="false">VLOOKUP($CM$1,'Datos Iniciales'!$E$34:$O$64,CN$158,FALSE())*CN81</f>
        <v>0</v>
      </c>
      <c r="CO179" s="196" t="n">
        <f aca="false">VLOOKUP($CM$1,'Datos Iniciales'!$E$34:$O$64,CO$158,FALSE())*CO81</f>
        <v>0</v>
      </c>
      <c r="CP179" s="196" t="n">
        <f aca="false">VLOOKUP($CM$1,'Datos Iniciales'!$E$34:$O$64,CP$158,FALSE())*CP81</f>
        <v>0</v>
      </c>
      <c r="CQ179" s="196" t="n">
        <f aca="false">VLOOKUP($CM$1,'Datos Iniciales'!$E$34:$O$64,CQ$158,FALSE())*CQ81</f>
        <v>0</v>
      </c>
      <c r="CR179" s="196" t="n">
        <f aca="false">VLOOKUP($CM$1,'Datos Iniciales'!$E$34:$O$64,CR$158,FALSE())*CR81</f>
        <v>0</v>
      </c>
      <c r="CS179" s="196" t="n">
        <f aca="false">VLOOKUP($CM$1,'Datos Iniciales'!$E$34:$O$64,CS$158,FALSE())*CS81</f>
        <v>0</v>
      </c>
      <c r="CT179" s="196" t="n">
        <f aca="false">VLOOKUP($CM$1,'Datos Iniciales'!$E$34:$O$64,CT$158,FALSE())*CT81</f>
        <v>0</v>
      </c>
      <c r="CU179" s="196" t="n">
        <f aca="false">VLOOKUP($CM$1,'Datos Iniciales'!$E$34:$O$64,CU$158,FALSE())*CU81</f>
        <v>0</v>
      </c>
      <c r="CV179" s="196" t="n">
        <f aca="false">VLOOKUP($CM$1,'Datos Iniciales'!$E$34:$O$64,CV$158,FALSE())*CV81</f>
        <v>0</v>
      </c>
      <c r="CW179" s="197" t="n">
        <f aca="false">VLOOKUP($CM$1,'Datos Iniciales'!$E$34:$O$64,CW$158,FALSE())*CW81</f>
        <v>0</v>
      </c>
      <c r="CX179" s="194" t="str">
        <f aca="false">CM179</f>
        <v>Alumno20</v>
      </c>
      <c r="CY179" s="208" t="n">
        <f aca="false">VLOOKUP($CX$1,'Datos Iniciales'!$E$34:$O$64,CY$158,FALSE())*CY81</f>
        <v>0</v>
      </c>
      <c r="CZ179" s="196" t="n">
        <f aca="false">VLOOKUP($CX$1,'Datos Iniciales'!$E$34:$O$64,CZ$158,FALSE())*CZ81</f>
        <v>0</v>
      </c>
      <c r="DA179" s="196" t="n">
        <f aca="false">VLOOKUP($CX$1,'Datos Iniciales'!$E$34:$O$64,DA$158,FALSE())*DA81</f>
        <v>0</v>
      </c>
      <c r="DB179" s="196" t="n">
        <f aca="false">VLOOKUP($CX$1,'Datos Iniciales'!$E$34:$O$64,DB$158,FALSE())*DB81</f>
        <v>0</v>
      </c>
      <c r="DC179" s="196" t="n">
        <f aca="false">VLOOKUP($CX$1,'Datos Iniciales'!$E$34:$O$64,DC$158,FALSE())*DC81</f>
        <v>0</v>
      </c>
      <c r="DD179" s="196" t="n">
        <f aca="false">VLOOKUP($CX$1,'Datos Iniciales'!$E$34:$O$64,DD$158,FALSE())*DD81</f>
        <v>0</v>
      </c>
      <c r="DE179" s="196" t="n">
        <f aca="false">VLOOKUP($CX$1,'Datos Iniciales'!$E$34:$O$64,DE$158,FALSE())*DE81</f>
        <v>0</v>
      </c>
      <c r="DF179" s="196" t="n">
        <f aca="false">VLOOKUP($CX$1,'Datos Iniciales'!$E$34:$O$64,DF$158,FALSE())*DF81</f>
        <v>0</v>
      </c>
      <c r="DG179" s="196" t="n">
        <f aca="false">VLOOKUP($CX$1,'Datos Iniciales'!$E$34:$O$64,DG$158,FALSE())*DG81</f>
        <v>0</v>
      </c>
      <c r="DH179" s="197" t="n">
        <f aca="false">VLOOKUP($CX$1,'Datos Iniciales'!$E$34:$O$64,DH$158,FALSE())*DH81</f>
        <v>0</v>
      </c>
      <c r="DI179" s="194" t="str">
        <f aca="false">CX179</f>
        <v>Alumno20</v>
      </c>
      <c r="DJ179" s="208" t="n">
        <f aca="false">VLOOKUP($DI$1,'Datos Iniciales'!$E$34:$O$64,DJ$158,FALSE())*DJ81</f>
        <v>0</v>
      </c>
      <c r="DK179" s="196" t="n">
        <f aca="false">VLOOKUP($DI$1,'Datos Iniciales'!$E$34:$O$64,DK$158,FALSE())*DK81</f>
        <v>0</v>
      </c>
      <c r="DL179" s="196" t="n">
        <f aca="false">VLOOKUP($DI$1,'Datos Iniciales'!$E$34:$O$64,DL$158,FALSE())*DL81</f>
        <v>0</v>
      </c>
      <c r="DM179" s="196" t="n">
        <f aca="false">VLOOKUP($DI$1,'Datos Iniciales'!$E$34:$O$64,DM$158,FALSE())*DM81</f>
        <v>0</v>
      </c>
      <c r="DN179" s="196" t="n">
        <f aca="false">VLOOKUP($DI$1,'Datos Iniciales'!$E$34:$O$64,DN$158,FALSE())*DN81</f>
        <v>0</v>
      </c>
      <c r="DO179" s="196" t="n">
        <f aca="false">VLOOKUP($DI$1,'Datos Iniciales'!$E$34:$O$64,DO$158,FALSE())*DO81</f>
        <v>0</v>
      </c>
      <c r="DP179" s="196" t="n">
        <f aca="false">VLOOKUP($DI$1,'Datos Iniciales'!$E$34:$O$64,DP$158,FALSE())*DP81</f>
        <v>0</v>
      </c>
      <c r="DQ179" s="196" t="n">
        <f aca="false">VLOOKUP($DI$1,'Datos Iniciales'!$E$34:$O$64,DQ$158,FALSE())*DQ81</f>
        <v>0</v>
      </c>
      <c r="DR179" s="196" t="n">
        <f aca="false">VLOOKUP($DI$1,'Datos Iniciales'!$E$34:$O$64,DR$158,FALSE())*DR81</f>
        <v>0</v>
      </c>
      <c r="DS179" s="197" t="n">
        <f aca="false">VLOOKUP($DI$1,'Datos Iniciales'!$E$34:$O$64,DS$158,FALSE())*DS81</f>
        <v>0</v>
      </c>
      <c r="DT179" s="194" t="str">
        <f aca="false">DI179</f>
        <v>Alumno20</v>
      </c>
      <c r="DU179" s="208" t="n">
        <f aca="false">VLOOKUP($DT$1,'Datos Iniciales'!$E$34:$O$64,DU$158,FALSE())*DU81</f>
        <v>0</v>
      </c>
      <c r="DV179" s="196" t="n">
        <f aca="false">VLOOKUP($DT$1,'Datos Iniciales'!$E$34:$O$64,DV$158,FALSE())*DV81</f>
        <v>0</v>
      </c>
      <c r="DW179" s="196" t="n">
        <f aca="false">VLOOKUP($DT$1,'Datos Iniciales'!$E$34:$O$64,DW$158,FALSE())*DW81</f>
        <v>0</v>
      </c>
      <c r="DX179" s="196" t="n">
        <f aca="false">VLOOKUP($DT$1,'Datos Iniciales'!$E$34:$O$64,DX$158,FALSE())*DX81</f>
        <v>0</v>
      </c>
      <c r="DY179" s="196" t="n">
        <f aca="false">VLOOKUP($DT$1,'Datos Iniciales'!$E$34:$O$64,DY$158,FALSE())*DY81</f>
        <v>0</v>
      </c>
      <c r="DZ179" s="196" t="n">
        <f aca="false">VLOOKUP($DT$1,'Datos Iniciales'!$E$34:$O$64,DZ$158,FALSE())*DZ81</f>
        <v>0</v>
      </c>
      <c r="EA179" s="196" t="n">
        <f aca="false">VLOOKUP($DT$1,'Datos Iniciales'!$E$34:$O$64,EA$158,FALSE())*EA81</f>
        <v>0</v>
      </c>
      <c r="EB179" s="196" t="n">
        <f aca="false">VLOOKUP($DT$1,'Datos Iniciales'!$E$34:$O$64,EB$158,FALSE())*EB81</f>
        <v>0</v>
      </c>
      <c r="EC179" s="196" t="n">
        <f aca="false">VLOOKUP($DT$1,'Datos Iniciales'!$E$34:$O$64,EC$158,FALSE())*EC81</f>
        <v>0</v>
      </c>
      <c r="ED179" s="197" t="n">
        <f aca="false">VLOOKUP($DT$1,'Datos Iniciales'!$E$34:$O$64,ED$158,FALSE())*ED81</f>
        <v>0</v>
      </c>
      <c r="EE179" s="194" t="str">
        <f aca="false">DT179</f>
        <v>Alumno20</v>
      </c>
      <c r="EF179" s="208" t="n">
        <f aca="false">VLOOKUP($EE$1,'Datos Iniciales'!$E$34:$O$64,EF$158,FALSE())*EF81</f>
        <v>0</v>
      </c>
      <c r="EG179" s="196" t="n">
        <f aca="false">VLOOKUP($EE$1,'Datos Iniciales'!$E$34:$O$64,EG$158,FALSE())*EG81</f>
        <v>0</v>
      </c>
      <c r="EH179" s="196" t="n">
        <f aca="false">VLOOKUP($EE$1,'Datos Iniciales'!$E$34:$O$64,EH$158,FALSE())*EH81</f>
        <v>0</v>
      </c>
      <c r="EI179" s="196" t="n">
        <f aca="false">VLOOKUP($EE$1,'Datos Iniciales'!$E$34:$O$64,EI$158,FALSE())*EI81</f>
        <v>0</v>
      </c>
      <c r="EJ179" s="196" t="n">
        <f aca="false">VLOOKUP($EE$1,'Datos Iniciales'!$E$34:$O$64,EJ$158,FALSE())*EJ81</f>
        <v>0</v>
      </c>
      <c r="EK179" s="196" t="n">
        <f aca="false">VLOOKUP($EE$1,'Datos Iniciales'!$E$34:$O$64,EK$158,FALSE())*EK81</f>
        <v>0</v>
      </c>
      <c r="EL179" s="196" t="n">
        <f aca="false">VLOOKUP($EE$1,'Datos Iniciales'!$E$34:$O$64,EL$158,FALSE())*EL81</f>
        <v>0</v>
      </c>
      <c r="EM179" s="196" t="n">
        <f aca="false">VLOOKUP($EE$1,'Datos Iniciales'!$E$34:$O$64,EM$158,FALSE())*EM81</f>
        <v>0</v>
      </c>
      <c r="EN179" s="196" t="n">
        <f aca="false">VLOOKUP($EE$1,'Datos Iniciales'!$E$34:$O$64,EN$158,FALSE())*EN81</f>
        <v>0</v>
      </c>
      <c r="EO179" s="197" t="n">
        <f aca="false">VLOOKUP($EE$1,'Datos Iniciales'!$E$34:$O$64,EO$158,FALSE())*EO81</f>
        <v>0</v>
      </c>
      <c r="EP179" s="194" t="str">
        <f aca="false">EE179</f>
        <v>Alumno20</v>
      </c>
      <c r="EQ179" s="208" t="n">
        <f aca="false">VLOOKUP($EP$1,'Datos Iniciales'!$E$34:$O$64,EQ$158,FALSE())*EQ81</f>
        <v>0</v>
      </c>
      <c r="ER179" s="196" t="n">
        <f aca="false">VLOOKUP($EP$1,'Datos Iniciales'!$E$34:$O$64,ER$158,FALSE())*ER81</f>
        <v>0</v>
      </c>
      <c r="ES179" s="196" t="n">
        <f aca="false">VLOOKUP($EP$1,'Datos Iniciales'!$E$34:$O$64,ES$158,FALSE())*ES81</f>
        <v>0</v>
      </c>
      <c r="ET179" s="196" t="n">
        <f aca="false">VLOOKUP($EP$1,'Datos Iniciales'!$E$34:$O$64,ET$158,FALSE())*ET81</f>
        <v>0</v>
      </c>
      <c r="EU179" s="196" t="n">
        <f aca="false">VLOOKUP($EP$1,'Datos Iniciales'!$E$34:$O$64,EU$158,FALSE())*EU81</f>
        <v>0</v>
      </c>
      <c r="EV179" s="196" t="n">
        <f aca="false">VLOOKUP($EP$1,'Datos Iniciales'!$E$34:$O$64,EV$158,FALSE())*EV81</f>
        <v>0</v>
      </c>
      <c r="EW179" s="196" t="n">
        <f aca="false">VLOOKUP($EP$1,'Datos Iniciales'!$E$34:$O$64,EW$158,FALSE())*EW81</f>
        <v>0</v>
      </c>
      <c r="EX179" s="196" t="n">
        <f aca="false">VLOOKUP($EP$1,'Datos Iniciales'!$E$34:$O$64,EX$158,FALSE())*EX81</f>
        <v>0</v>
      </c>
      <c r="EY179" s="196" t="n">
        <f aca="false">VLOOKUP($EP$1,'Datos Iniciales'!$E$34:$O$64,EY$158,FALSE())*EY81</f>
        <v>0</v>
      </c>
      <c r="EZ179" s="197" t="n">
        <f aca="false">VLOOKUP($EP$1,'Datos Iniciales'!$E$34:$O$64,EZ$158,FALSE())*EZ81</f>
        <v>0</v>
      </c>
      <c r="FA179" s="194" t="str">
        <f aca="false">EP179</f>
        <v>Alumno20</v>
      </c>
      <c r="FB179" s="208" t="n">
        <f aca="false">VLOOKUP($FA$1,'Datos Iniciales'!$E$34:$O$64,FB$158,FALSE())*FB81</f>
        <v>0</v>
      </c>
      <c r="FC179" s="196" t="n">
        <f aca="false">VLOOKUP($FA$1,'Datos Iniciales'!$E$34:$O$64,FC$158,FALSE())*FC81</f>
        <v>0</v>
      </c>
      <c r="FD179" s="196" t="n">
        <f aca="false">VLOOKUP($FA$1,'Datos Iniciales'!$E$34:$O$64,FD$158,FALSE())*FD81</f>
        <v>0</v>
      </c>
      <c r="FE179" s="196" t="n">
        <f aca="false">VLOOKUP($FA$1,'Datos Iniciales'!$E$34:$O$64,FE$158,FALSE())*FE81</f>
        <v>0</v>
      </c>
      <c r="FF179" s="196" t="n">
        <f aca="false">VLOOKUP($FA$1,'Datos Iniciales'!$E$34:$O$64,FF$158,FALSE())*FF81</f>
        <v>0</v>
      </c>
      <c r="FG179" s="196" t="n">
        <f aca="false">VLOOKUP($FA$1,'Datos Iniciales'!$E$34:$O$64,FG$158,FALSE())*FG81</f>
        <v>0</v>
      </c>
      <c r="FH179" s="196" t="n">
        <f aca="false">VLOOKUP($FA$1,'Datos Iniciales'!$E$34:$O$64,FH$158,FALSE())*FH81</f>
        <v>0</v>
      </c>
      <c r="FI179" s="196" t="n">
        <f aca="false">VLOOKUP($FA$1,'Datos Iniciales'!$E$34:$O$64,FI$158,FALSE())*FI81</f>
        <v>0</v>
      </c>
      <c r="FJ179" s="196" t="n">
        <f aca="false">VLOOKUP($FA$1,'Datos Iniciales'!$E$34:$O$64,FJ$158,FALSE())*FJ81</f>
        <v>0</v>
      </c>
      <c r="FK179" s="197" t="n">
        <f aca="false">VLOOKUP($FA$1,'Datos Iniciales'!$E$34:$O$64,FK$158,FALSE())*FK81</f>
        <v>0</v>
      </c>
      <c r="FL179" s="194" t="str">
        <f aca="false">FA179</f>
        <v>Alumno20</v>
      </c>
      <c r="FM179" s="208" t="n">
        <f aca="false">VLOOKUP($FL$1,'Datos Iniciales'!$E$34:$O$64,FM$158,FALSE())*FM81</f>
        <v>0</v>
      </c>
      <c r="FN179" s="196" t="n">
        <f aca="false">VLOOKUP($FL$1,'Datos Iniciales'!$E$34:$O$64,FN$158,FALSE())*FN81</f>
        <v>0</v>
      </c>
      <c r="FO179" s="196" t="n">
        <f aca="false">VLOOKUP($FL$1,'Datos Iniciales'!$E$34:$O$64,FO$158,FALSE())*FO81</f>
        <v>0</v>
      </c>
      <c r="FP179" s="196" t="n">
        <f aca="false">VLOOKUP($FL$1,'Datos Iniciales'!$E$34:$O$64,FP$158,FALSE())*FP81</f>
        <v>0</v>
      </c>
      <c r="FQ179" s="196" t="n">
        <f aca="false">VLOOKUP($FL$1,'Datos Iniciales'!$E$34:$O$64,FQ$158,FALSE())*FQ81</f>
        <v>0</v>
      </c>
      <c r="FR179" s="196" t="n">
        <f aca="false">VLOOKUP($FL$1,'Datos Iniciales'!$E$34:$O$64,FR$158,FALSE())*FR81</f>
        <v>0</v>
      </c>
      <c r="FS179" s="196" t="n">
        <f aca="false">VLOOKUP($FL$1,'Datos Iniciales'!$E$34:$O$64,FS$158,FALSE())*FS81</f>
        <v>0</v>
      </c>
      <c r="FT179" s="196" t="n">
        <f aca="false">VLOOKUP($FL$1,'Datos Iniciales'!$E$34:$O$64,FT$158,FALSE())*FT81</f>
        <v>0</v>
      </c>
      <c r="FU179" s="196" t="n">
        <f aca="false">VLOOKUP($FL$1,'Datos Iniciales'!$E$34:$O$64,FU$158,FALSE())*FU81</f>
        <v>0</v>
      </c>
      <c r="FV179" s="197" t="n">
        <f aca="false">VLOOKUP($FL$1,'Datos Iniciales'!$E$34:$O$64,FV$158,FALSE())*FV81</f>
        <v>0</v>
      </c>
      <c r="FW179" s="194" t="str">
        <f aca="false">FL179</f>
        <v>Alumno20</v>
      </c>
      <c r="FX179" s="208" t="n">
        <f aca="false">VLOOKUP($FW$1,'Datos Iniciales'!$E$34:$O$64,FX$158,FALSE())*FX81</f>
        <v>0</v>
      </c>
      <c r="FY179" s="196" t="n">
        <f aca="false">VLOOKUP($FW$1,'Datos Iniciales'!$E$34:$O$64,FY$158,FALSE())*FY81</f>
        <v>0</v>
      </c>
      <c r="FZ179" s="196" t="n">
        <f aca="false">VLOOKUP($FW$1,'Datos Iniciales'!$E$34:$O$64,FZ$158,FALSE())*FZ81</f>
        <v>0</v>
      </c>
      <c r="GA179" s="196" t="n">
        <f aca="false">VLOOKUP($FW$1,'Datos Iniciales'!$E$34:$O$64,GA$158,FALSE())*GA81</f>
        <v>0</v>
      </c>
      <c r="GB179" s="196" t="n">
        <f aca="false">VLOOKUP($FW$1,'Datos Iniciales'!$E$34:$O$64,GB$158,FALSE())*GB81</f>
        <v>0</v>
      </c>
      <c r="GC179" s="196" t="n">
        <f aca="false">VLOOKUP($FW$1,'Datos Iniciales'!$E$34:$O$64,GC$158,FALSE())*GC81</f>
        <v>0</v>
      </c>
      <c r="GD179" s="196" t="n">
        <f aca="false">VLOOKUP($FW$1,'Datos Iniciales'!$E$34:$O$64,GD$158,FALSE())*GD81</f>
        <v>0</v>
      </c>
      <c r="GE179" s="196" t="n">
        <f aca="false">VLOOKUP($FW$1,'Datos Iniciales'!$E$34:$O$64,GE$158,FALSE())*GE81</f>
        <v>0</v>
      </c>
      <c r="GF179" s="196" t="n">
        <f aca="false">VLOOKUP($FW$1,'Datos Iniciales'!$E$34:$O$64,GF$158,FALSE())*GF81</f>
        <v>0</v>
      </c>
      <c r="GG179" s="197" t="n">
        <f aca="false">VLOOKUP($FW$1,'Datos Iniciales'!$E$34:$O$64,GG$158,FALSE())*GG81</f>
        <v>0</v>
      </c>
      <c r="GH179" s="194" t="str">
        <f aca="false">FW179</f>
        <v>Alumno20</v>
      </c>
      <c r="GI179" s="208" t="n">
        <f aca="false">VLOOKUP($GH$1,'Datos Iniciales'!$E$34:$O$64,GI$158,FALSE())*GI81</f>
        <v>0</v>
      </c>
      <c r="GJ179" s="196" t="n">
        <f aca="false">VLOOKUP($GH$1,'Datos Iniciales'!$E$34:$O$64,GJ$158,FALSE())*GJ81</f>
        <v>0</v>
      </c>
      <c r="GK179" s="196" t="n">
        <f aca="false">VLOOKUP($GH$1,'Datos Iniciales'!$E$34:$O$64,GK$158,FALSE())*GK81</f>
        <v>0</v>
      </c>
      <c r="GL179" s="196" t="n">
        <f aca="false">VLOOKUP($GH$1,'Datos Iniciales'!$E$34:$O$64,GL$158,FALSE())*GL81</f>
        <v>0</v>
      </c>
      <c r="GM179" s="196" t="n">
        <f aca="false">VLOOKUP($GH$1,'Datos Iniciales'!$E$34:$O$64,GM$158,FALSE())*GM81</f>
        <v>0</v>
      </c>
      <c r="GN179" s="196" t="n">
        <f aca="false">VLOOKUP($GH$1,'Datos Iniciales'!$E$34:$O$64,GN$158,FALSE())*GN81</f>
        <v>0</v>
      </c>
      <c r="GO179" s="196" t="n">
        <f aca="false">VLOOKUP($GH$1,'Datos Iniciales'!$E$34:$O$64,GO$158,FALSE())*GO81</f>
        <v>0</v>
      </c>
      <c r="GP179" s="196" t="n">
        <f aca="false">VLOOKUP($GH$1,'Datos Iniciales'!$E$34:$O$64,GP$158,FALSE())*GP81</f>
        <v>0</v>
      </c>
      <c r="GQ179" s="196" t="n">
        <f aca="false">VLOOKUP($GH$1,'Datos Iniciales'!$E$34:$O$64,GQ$158,FALSE())*GQ81</f>
        <v>0</v>
      </c>
      <c r="GR179" s="197" t="n">
        <f aca="false">VLOOKUP($GH$1,'Datos Iniciales'!$E$34:$O$64,GR$158,FALSE())*GR81</f>
        <v>0</v>
      </c>
      <c r="GS179" s="194" t="str">
        <f aca="false">GH179</f>
        <v>Alumno20</v>
      </c>
      <c r="GT179" s="208" t="n">
        <f aca="false">VLOOKUP($GS$1,'Datos Iniciales'!$E$34:$O$64,GT$158,FALSE())*GT81</f>
        <v>0</v>
      </c>
      <c r="GU179" s="196" t="n">
        <f aca="false">VLOOKUP($GS$1,'Datos Iniciales'!$E$34:$O$64,GU$158,FALSE())*GU81</f>
        <v>0</v>
      </c>
      <c r="GV179" s="196" t="n">
        <f aca="false">VLOOKUP($GS$1,'Datos Iniciales'!$E$34:$O$64,GV$158,FALSE())*GV81</f>
        <v>0</v>
      </c>
      <c r="GW179" s="196" t="n">
        <f aca="false">VLOOKUP($GS$1,'Datos Iniciales'!$E$34:$O$64,GW$158,FALSE())*GW81</f>
        <v>0</v>
      </c>
      <c r="GX179" s="196" t="n">
        <f aca="false">VLOOKUP($GS$1,'Datos Iniciales'!$E$34:$O$64,GX$158,FALSE())*GX81</f>
        <v>0</v>
      </c>
      <c r="GY179" s="196" t="n">
        <f aca="false">VLOOKUP($GS$1,'Datos Iniciales'!$E$34:$O$64,GY$158,FALSE())*GY81</f>
        <v>0</v>
      </c>
      <c r="GZ179" s="196" t="n">
        <f aca="false">VLOOKUP($GS$1,'Datos Iniciales'!$E$34:$O$64,GZ$158,FALSE())*GZ81</f>
        <v>0</v>
      </c>
      <c r="HA179" s="196" t="n">
        <f aca="false">VLOOKUP($GS$1,'Datos Iniciales'!$E$34:$O$64,HA$158,FALSE())*HA81</f>
        <v>0</v>
      </c>
      <c r="HB179" s="196" t="n">
        <f aca="false">VLOOKUP($GS$1,'Datos Iniciales'!$E$34:$O$64,HB$158,FALSE())*HB81</f>
        <v>0</v>
      </c>
      <c r="HC179" s="197" t="n">
        <f aca="false">VLOOKUP($GS$1,'Datos Iniciales'!$E$34:$O$64,HC$158,FALSE())*HC81</f>
        <v>0</v>
      </c>
      <c r="HD179" s="194" t="str">
        <f aca="false">GS179</f>
        <v>Alumno20</v>
      </c>
      <c r="HE179" s="208" t="n">
        <f aca="false">VLOOKUP($HD$1,'Datos Iniciales'!$E$34:$O$64,HE$158,FALSE())*HE81</f>
        <v>0</v>
      </c>
      <c r="HF179" s="196" t="n">
        <f aca="false">VLOOKUP($HD$1,'Datos Iniciales'!$E$34:$O$64,HF$158,FALSE())*HF81</f>
        <v>0</v>
      </c>
      <c r="HG179" s="196" t="n">
        <f aca="false">VLOOKUP($HD$1,'Datos Iniciales'!$E$34:$O$64,HG$158,FALSE())*HG81</f>
        <v>0</v>
      </c>
      <c r="HH179" s="196" t="n">
        <f aca="false">VLOOKUP($HD$1,'Datos Iniciales'!$E$34:$O$64,HH$158,FALSE())*HH81</f>
        <v>0</v>
      </c>
      <c r="HI179" s="196" t="n">
        <f aca="false">VLOOKUP($HD$1,'Datos Iniciales'!$E$34:$O$64,HI$158,FALSE())*HI81</f>
        <v>0</v>
      </c>
      <c r="HJ179" s="196" t="n">
        <f aca="false">VLOOKUP($HD$1,'Datos Iniciales'!$E$34:$O$64,HJ$158,FALSE())*HJ81</f>
        <v>0</v>
      </c>
      <c r="HK179" s="196" t="n">
        <f aca="false">VLOOKUP($HD$1,'Datos Iniciales'!$E$34:$O$64,HK$158,FALSE())*HK81</f>
        <v>0</v>
      </c>
      <c r="HL179" s="196" t="n">
        <f aca="false">VLOOKUP($HD$1,'Datos Iniciales'!$E$34:$O$64,HL$158,FALSE())*HL81</f>
        <v>0</v>
      </c>
      <c r="HM179" s="196" t="n">
        <f aca="false">VLOOKUP($HD$1,'Datos Iniciales'!$E$34:$O$64,HM$158,FALSE())*HM81</f>
        <v>0</v>
      </c>
      <c r="HN179" s="197" t="n">
        <f aca="false">VLOOKUP($HD$1,'Datos Iniciales'!$E$34:$O$64,HN$158,FALSE())*HN81</f>
        <v>0</v>
      </c>
      <c r="HO179" s="194" t="str">
        <f aca="false">HD179</f>
        <v>Alumno20</v>
      </c>
      <c r="HP179" s="208" t="n">
        <f aca="false">VLOOKUP($HO$1,'Datos Iniciales'!$E$34:$O$64,HP$158,FALSE())*HP81</f>
        <v>0</v>
      </c>
      <c r="HQ179" s="196" t="n">
        <f aca="false">VLOOKUP($HO$1,'Datos Iniciales'!$E$34:$O$64,HQ$158,FALSE())*HQ81</f>
        <v>0</v>
      </c>
      <c r="HR179" s="196" t="n">
        <f aca="false">VLOOKUP($HO$1,'Datos Iniciales'!$E$34:$O$64,HR$158,FALSE())*HR81</f>
        <v>0</v>
      </c>
      <c r="HS179" s="196" t="n">
        <f aca="false">VLOOKUP($HO$1,'Datos Iniciales'!$E$34:$O$64,HS$158,FALSE())*HS81</f>
        <v>0</v>
      </c>
      <c r="HT179" s="196" t="n">
        <f aca="false">VLOOKUP($HO$1,'Datos Iniciales'!$E$34:$O$64,HT$158,FALSE())*HT81</f>
        <v>0</v>
      </c>
      <c r="HU179" s="196" t="n">
        <f aca="false">VLOOKUP($HO$1,'Datos Iniciales'!$E$34:$O$64,HU$158,FALSE())*HU81</f>
        <v>0</v>
      </c>
      <c r="HV179" s="196" t="n">
        <f aca="false">VLOOKUP($HO$1,'Datos Iniciales'!$E$34:$O$64,HV$158,FALSE())*HV81</f>
        <v>0</v>
      </c>
      <c r="HW179" s="196" t="n">
        <f aca="false">VLOOKUP($HO$1,'Datos Iniciales'!$E$34:$O$64,HW$158,FALSE())*HW81</f>
        <v>0</v>
      </c>
      <c r="HX179" s="196" t="n">
        <f aca="false">VLOOKUP($HO$1,'Datos Iniciales'!$E$34:$O$64,HX$158,FALSE())*HX81</f>
        <v>0</v>
      </c>
      <c r="HY179" s="197" t="n">
        <f aca="false">VLOOKUP($HO$1,'Datos Iniciales'!$E$34:$O$64,HY$158,FALSE())*HY81</f>
        <v>0</v>
      </c>
      <c r="HZ179" s="194" t="str">
        <f aca="false">HO179</f>
        <v>Alumno20</v>
      </c>
      <c r="IA179" s="208" t="n">
        <f aca="false">VLOOKUP($HZ$1,'Datos Iniciales'!$E$34:$O$64,IA$158,FALSE())*IA81</f>
        <v>0</v>
      </c>
      <c r="IB179" s="196" t="n">
        <f aca="false">VLOOKUP($HZ$1,'Datos Iniciales'!$E$34:$O$64,IB$158,FALSE())*IB81</f>
        <v>0</v>
      </c>
      <c r="IC179" s="196" t="n">
        <f aca="false">VLOOKUP($HZ$1,'Datos Iniciales'!$E$34:$O$64,IC$158,FALSE())*IC81</f>
        <v>0</v>
      </c>
      <c r="ID179" s="196" t="n">
        <f aca="false">VLOOKUP($HZ$1,'Datos Iniciales'!$E$34:$O$64,ID$158,FALSE())*ID81</f>
        <v>0</v>
      </c>
      <c r="IE179" s="196" t="n">
        <f aca="false">VLOOKUP($HZ$1,'Datos Iniciales'!$E$34:$O$64,IE$158,FALSE())*IE81</f>
        <v>0</v>
      </c>
      <c r="IF179" s="196" t="n">
        <f aca="false">VLOOKUP($HZ$1,'Datos Iniciales'!$E$34:$O$64,IF$158,FALSE())*IF81</f>
        <v>0</v>
      </c>
      <c r="IG179" s="196" t="n">
        <f aca="false">VLOOKUP($HZ$1,'Datos Iniciales'!$E$34:$O$64,IG$158,FALSE())*IG81</f>
        <v>0</v>
      </c>
      <c r="IH179" s="196" t="n">
        <f aca="false">VLOOKUP($HZ$1,'Datos Iniciales'!$E$34:$O$64,IH$158,FALSE())*IH81</f>
        <v>0</v>
      </c>
      <c r="II179" s="196" t="n">
        <f aca="false">VLOOKUP($HZ$1,'Datos Iniciales'!$E$34:$O$64,II$158,FALSE())*II81</f>
        <v>0</v>
      </c>
      <c r="IJ179" s="197" t="n">
        <f aca="false">VLOOKUP($HZ$1,'Datos Iniciales'!$E$34:$O$64,IJ$158,FALSE())*IJ81</f>
        <v>0</v>
      </c>
      <c r="IK179" s="194" t="str">
        <f aca="false">HZ179</f>
        <v>Alumno20</v>
      </c>
      <c r="IL179" s="208" t="n">
        <f aca="false">VLOOKUP($IK$1,'Datos Iniciales'!$E$34:$O$64,IL$158,FALSE())*IL81</f>
        <v>0</v>
      </c>
      <c r="IM179" s="196" t="n">
        <f aca="false">VLOOKUP($IK$1,'Datos Iniciales'!$E$34:$O$64,IM$158,FALSE())*IM81</f>
        <v>0</v>
      </c>
      <c r="IN179" s="196" t="n">
        <f aca="false">VLOOKUP($IK$1,'Datos Iniciales'!$E$34:$O$64,IN$158,FALSE())*IN81</f>
        <v>0</v>
      </c>
      <c r="IO179" s="196" t="n">
        <f aca="false">VLOOKUP($IK$1,'Datos Iniciales'!$E$34:$O$64,IO$158,FALSE())*IO81</f>
        <v>0</v>
      </c>
      <c r="IP179" s="196" t="n">
        <f aca="false">VLOOKUP($IK$1,'Datos Iniciales'!$E$34:$O$64,IP$158,FALSE())*IP81</f>
        <v>0</v>
      </c>
      <c r="IQ179" s="196" t="n">
        <f aca="false">VLOOKUP($IK$1,'Datos Iniciales'!$E$34:$O$64,IQ$158,FALSE())*IQ81</f>
        <v>0</v>
      </c>
      <c r="IR179" s="196" t="n">
        <f aca="false">VLOOKUP($IK$1,'Datos Iniciales'!$E$34:$O$64,IR$158,FALSE())*IR81</f>
        <v>0</v>
      </c>
      <c r="IS179" s="196" t="n">
        <f aca="false">VLOOKUP($IK$1,'Datos Iniciales'!$E$34:$O$64,IS$158,FALSE())*IS81</f>
        <v>0</v>
      </c>
      <c r="IT179" s="196" t="n">
        <f aca="false">VLOOKUP($IK$1,'Datos Iniciales'!$E$34:$O$64,IT$158,FALSE())*IT81</f>
        <v>0</v>
      </c>
      <c r="IU179" s="197" t="n">
        <f aca="false">VLOOKUP($IK$1,'Datos Iniciales'!$E$34:$O$64,IU$158,FALSE())*IU81</f>
        <v>0</v>
      </c>
      <c r="IV179" s="194" t="str">
        <f aca="false">IK179</f>
        <v>Alumno20</v>
      </c>
      <c r="IW179" s="208" t="n">
        <f aca="false">VLOOKUP($IV$1,'Datos Iniciales'!$E$34:$O$64,IW$158,FALSE())*IW81</f>
        <v>0</v>
      </c>
      <c r="IX179" s="196" t="n">
        <f aca="false">VLOOKUP($IV$1,'Datos Iniciales'!$E$34:$O$64,IX$158,FALSE())*IX81</f>
        <v>0</v>
      </c>
      <c r="IY179" s="196" t="n">
        <f aca="false">VLOOKUP($IV$1,'Datos Iniciales'!$E$34:$O$64,IY$158,FALSE())*IY81</f>
        <v>0</v>
      </c>
      <c r="IZ179" s="196" t="n">
        <f aca="false">VLOOKUP($IV$1,'Datos Iniciales'!$E$34:$O$64,IZ$158,FALSE())*IZ81</f>
        <v>0</v>
      </c>
      <c r="JA179" s="196" t="n">
        <f aca="false">VLOOKUP($IV$1,'Datos Iniciales'!$E$34:$O$64,JA$158,FALSE())*JA81</f>
        <v>0</v>
      </c>
      <c r="JB179" s="196" t="n">
        <f aca="false">VLOOKUP($IV$1,'Datos Iniciales'!$E$34:$O$64,JB$158,FALSE())*JB81</f>
        <v>0</v>
      </c>
      <c r="JC179" s="196" t="n">
        <f aca="false">VLOOKUP($IV$1,'Datos Iniciales'!$E$34:$O$64,JC$158,FALSE())*JC81</f>
        <v>0</v>
      </c>
      <c r="JD179" s="196" t="n">
        <f aca="false">VLOOKUP($IV$1,'Datos Iniciales'!$E$34:$O$64,JD$158,FALSE())*JD81</f>
        <v>0</v>
      </c>
      <c r="JE179" s="196" t="n">
        <f aca="false">VLOOKUP($IV$1,'Datos Iniciales'!$E$34:$O$64,JE$158,FALSE())*JE81</f>
        <v>0</v>
      </c>
      <c r="JF179" s="197" t="n">
        <f aca="false">VLOOKUP($IV$1,'Datos Iniciales'!$E$34:$O$64,JF$158,FALSE())*JF81</f>
        <v>0</v>
      </c>
      <c r="JG179" s="194" t="str">
        <f aca="false">IV179</f>
        <v>Alumno20</v>
      </c>
      <c r="JH179" s="208" t="n">
        <f aca="false">VLOOKUP($JG$1,'Datos Iniciales'!$E$34:$O$64,JH$158,FALSE())*JH81</f>
        <v>0</v>
      </c>
      <c r="JI179" s="196" t="n">
        <f aca="false">VLOOKUP($JG$1,'Datos Iniciales'!$E$34:$O$64,JI$158,FALSE())*JI81</f>
        <v>0</v>
      </c>
      <c r="JJ179" s="196" t="n">
        <f aca="false">VLOOKUP($JG$1,'Datos Iniciales'!$E$34:$O$64,JJ$158,FALSE())*JJ81</f>
        <v>0</v>
      </c>
      <c r="JK179" s="196" t="n">
        <f aca="false">VLOOKUP($JG$1,'Datos Iniciales'!$E$34:$O$64,JK$158,FALSE())*JK81</f>
        <v>0</v>
      </c>
      <c r="JL179" s="196" t="n">
        <f aca="false">VLOOKUP($JG$1,'Datos Iniciales'!$E$34:$O$64,JL$158,FALSE())*JL81</f>
        <v>0</v>
      </c>
      <c r="JM179" s="196" t="n">
        <f aca="false">VLOOKUP($JG$1,'Datos Iniciales'!$E$34:$O$64,JM$158,FALSE())*JM81</f>
        <v>0</v>
      </c>
      <c r="JN179" s="196" t="n">
        <f aca="false">VLOOKUP($JG$1,'Datos Iniciales'!$E$34:$O$64,JN$158,FALSE())*JN81</f>
        <v>0</v>
      </c>
      <c r="JO179" s="196" t="n">
        <f aca="false">VLOOKUP($JG$1,'Datos Iniciales'!$E$34:$O$64,JO$158,FALSE())*JO81</f>
        <v>0</v>
      </c>
      <c r="JP179" s="196" t="n">
        <f aca="false">VLOOKUP($JG$1,'Datos Iniciales'!$E$34:$O$64,JP$158,FALSE())*JP81</f>
        <v>0</v>
      </c>
      <c r="JQ179" s="197" t="n">
        <f aca="false">VLOOKUP($JG$1,'Datos Iniciales'!$E$34:$O$64,JQ$158,FALSE())*JQ81</f>
        <v>0</v>
      </c>
      <c r="JR179" s="194" t="str">
        <f aca="false">JG179</f>
        <v>Alumno20</v>
      </c>
      <c r="JS179" s="208" t="n">
        <f aca="false">VLOOKUP($JR$1,'Datos Iniciales'!$E$34:$O$64,JS$158,FALSE())*JS81</f>
        <v>0</v>
      </c>
      <c r="JT179" s="196" t="n">
        <f aca="false">VLOOKUP($JR$1,'Datos Iniciales'!$E$34:$O$64,JT$158,FALSE())*JT81</f>
        <v>0</v>
      </c>
      <c r="JU179" s="196" t="n">
        <f aca="false">VLOOKUP($JR$1,'Datos Iniciales'!$E$34:$O$64,JU$158,FALSE())*JU81</f>
        <v>0</v>
      </c>
      <c r="JV179" s="196" t="n">
        <f aca="false">VLOOKUP($JR$1,'Datos Iniciales'!$E$34:$O$64,JV$158,FALSE())*JV81</f>
        <v>0</v>
      </c>
      <c r="JW179" s="196" t="n">
        <f aca="false">VLOOKUP($JR$1,'Datos Iniciales'!$E$34:$O$64,JW$158,FALSE())*JW81</f>
        <v>0</v>
      </c>
      <c r="JX179" s="196" t="n">
        <f aca="false">VLOOKUP($JR$1,'Datos Iniciales'!$E$34:$O$64,JX$158,FALSE())*JX81</f>
        <v>0</v>
      </c>
      <c r="JY179" s="196" t="n">
        <f aca="false">VLOOKUP($JR$1,'Datos Iniciales'!$E$34:$O$64,JY$158,FALSE())*JY81</f>
        <v>0</v>
      </c>
      <c r="JZ179" s="196" t="n">
        <f aca="false">VLOOKUP($JR$1,'Datos Iniciales'!$E$34:$O$64,JZ$158,FALSE())*JZ81</f>
        <v>0</v>
      </c>
      <c r="KA179" s="196" t="n">
        <f aca="false">VLOOKUP($JR$1,'Datos Iniciales'!$E$34:$O$64,KA$158,FALSE())*KA81</f>
        <v>0</v>
      </c>
      <c r="KB179" s="197" t="n">
        <f aca="false">VLOOKUP($JR$1,'Datos Iniciales'!$E$34:$O$64,KB$158,FALSE())*KB81</f>
        <v>0</v>
      </c>
      <c r="KC179" s="194" t="str">
        <f aca="false">JR179</f>
        <v>Alumno20</v>
      </c>
      <c r="KD179" s="208" t="n">
        <f aca="false">VLOOKUP($KC$1,'Datos Iniciales'!$E$34:$O$64,KD$158,FALSE())*KD81</f>
        <v>0</v>
      </c>
      <c r="KE179" s="196" t="n">
        <f aca="false">VLOOKUP($KC$1,'Datos Iniciales'!$E$34:$O$64,KE$158,FALSE())*KE81</f>
        <v>0</v>
      </c>
      <c r="KF179" s="196" t="n">
        <f aca="false">VLOOKUP($KC$1,'Datos Iniciales'!$E$34:$O$64,KF$158,FALSE())*KF81</f>
        <v>0</v>
      </c>
      <c r="KG179" s="196" t="n">
        <f aca="false">VLOOKUP($KC$1,'Datos Iniciales'!$E$34:$O$64,KG$158,FALSE())*KG81</f>
        <v>0</v>
      </c>
      <c r="KH179" s="196" t="n">
        <f aca="false">VLOOKUP($KC$1,'Datos Iniciales'!$E$34:$O$64,KH$158,FALSE())*KH81</f>
        <v>0</v>
      </c>
      <c r="KI179" s="196" t="n">
        <f aca="false">VLOOKUP($KC$1,'Datos Iniciales'!$E$34:$O$64,KI$158,FALSE())*KI81</f>
        <v>0</v>
      </c>
      <c r="KJ179" s="196" t="n">
        <f aca="false">VLOOKUP($KC$1,'Datos Iniciales'!$E$34:$O$64,KJ$158,FALSE())*KJ81</f>
        <v>0</v>
      </c>
      <c r="KK179" s="196" t="n">
        <f aca="false">VLOOKUP($KC$1,'Datos Iniciales'!$E$34:$O$64,KK$158,FALSE())*KK81</f>
        <v>0</v>
      </c>
      <c r="KL179" s="196" t="n">
        <f aca="false">VLOOKUP($KC$1,'Datos Iniciales'!$E$34:$O$64,KL$158,FALSE())*KL81</f>
        <v>0</v>
      </c>
      <c r="KM179" s="197" t="n">
        <f aca="false">VLOOKUP($KC$1,'Datos Iniciales'!$E$34:$O$64,KM$158,FALSE())*KM81</f>
        <v>0</v>
      </c>
      <c r="KN179" s="194" t="str">
        <f aca="false">KC179</f>
        <v>Alumno20</v>
      </c>
      <c r="KO179" s="208" t="n">
        <f aca="false">VLOOKUP($KN$1,'Datos Iniciales'!$E$34:$O$64,KO$158,FALSE())*KO81</f>
        <v>0</v>
      </c>
      <c r="KP179" s="196" t="n">
        <f aca="false">VLOOKUP($KN$1,'Datos Iniciales'!$E$34:$O$64,KP$158,FALSE())*KP81</f>
        <v>0</v>
      </c>
      <c r="KQ179" s="196" t="n">
        <f aca="false">VLOOKUP($KN$1,'Datos Iniciales'!$E$34:$O$64,KQ$158,FALSE())*KQ81</f>
        <v>0</v>
      </c>
      <c r="KR179" s="196" t="n">
        <f aca="false">VLOOKUP($KN$1,'Datos Iniciales'!$E$34:$O$64,KR$158,FALSE())*KR81</f>
        <v>0</v>
      </c>
      <c r="KS179" s="196" t="n">
        <f aca="false">VLOOKUP($KN$1,'Datos Iniciales'!$E$34:$O$64,KS$158,FALSE())*KS81</f>
        <v>0</v>
      </c>
      <c r="KT179" s="196" t="n">
        <f aca="false">VLOOKUP($KN$1,'Datos Iniciales'!$E$34:$O$64,KT$158,FALSE())*KT81</f>
        <v>0</v>
      </c>
      <c r="KU179" s="196" t="n">
        <f aca="false">VLOOKUP($KN$1,'Datos Iniciales'!$E$34:$O$64,KU$158,FALSE())*KU81</f>
        <v>0</v>
      </c>
      <c r="KV179" s="196" t="n">
        <f aca="false">VLOOKUP($KN$1,'Datos Iniciales'!$E$34:$O$64,KV$158,FALSE())*KV81</f>
        <v>0</v>
      </c>
      <c r="KW179" s="196" t="n">
        <f aca="false">VLOOKUP($KN$1,'Datos Iniciales'!$E$34:$O$64,KW$158,FALSE())*KW81</f>
        <v>0</v>
      </c>
      <c r="KX179" s="197" t="n">
        <f aca="false">VLOOKUP($KN$1,'Datos Iniciales'!$E$34:$O$64,KX$158,FALSE())*KX81</f>
        <v>0</v>
      </c>
      <c r="KY179" s="194" t="str">
        <f aca="false">KN179</f>
        <v>Alumno20</v>
      </c>
      <c r="KZ179" s="208" t="n">
        <f aca="false">VLOOKUP($KY$1,'Datos Iniciales'!$E$34:$O$64,KZ$158,FALSE())*KZ81</f>
        <v>0</v>
      </c>
      <c r="LA179" s="196" t="n">
        <f aca="false">VLOOKUP($KY$1,'Datos Iniciales'!$E$34:$O$64,LA$158,FALSE())*LA81</f>
        <v>0</v>
      </c>
      <c r="LB179" s="196" t="n">
        <f aca="false">VLOOKUP($KY$1,'Datos Iniciales'!$E$34:$O$64,LB$158,FALSE())*LB81</f>
        <v>0</v>
      </c>
      <c r="LC179" s="196" t="n">
        <f aca="false">VLOOKUP($KY$1,'Datos Iniciales'!$E$34:$O$64,LC$158,FALSE())*LC81</f>
        <v>0</v>
      </c>
      <c r="LD179" s="196" t="n">
        <f aca="false">VLOOKUP($KY$1,'Datos Iniciales'!$E$34:$O$64,LD$158,FALSE())*LD81</f>
        <v>0</v>
      </c>
      <c r="LE179" s="196" t="n">
        <f aca="false">VLOOKUP($KY$1,'Datos Iniciales'!$E$34:$O$64,LE$158,FALSE())*LE81</f>
        <v>0</v>
      </c>
      <c r="LF179" s="196" t="n">
        <f aca="false">VLOOKUP($KY$1,'Datos Iniciales'!$E$34:$O$64,LF$158,FALSE())*LF81</f>
        <v>0</v>
      </c>
      <c r="LG179" s="196" t="n">
        <f aca="false">VLOOKUP($KY$1,'Datos Iniciales'!$E$34:$O$64,LG$158,FALSE())*LG81</f>
        <v>0</v>
      </c>
      <c r="LH179" s="196" t="n">
        <f aca="false">VLOOKUP($KY$1,'Datos Iniciales'!$E$34:$O$64,LH$158,FALSE())*LH81</f>
        <v>0</v>
      </c>
      <c r="LI179" s="197" t="n">
        <f aca="false">VLOOKUP($KY$1,'Datos Iniciales'!$E$34:$O$64,LI$158,FALSE())*LI81</f>
        <v>0</v>
      </c>
      <c r="LJ179" s="194" t="str">
        <f aca="false">KY179</f>
        <v>Alumno20</v>
      </c>
      <c r="LK179" s="208" t="n">
        <f aca="false">VLOOKUP($LJ$1,'Datos Iniciales'!$E$34:$O$64,LK$158,FALSE())*LK81</f>
        <v>0</v>
      </c>
      <c r="LL179" s="196" t="n">
        <f aca="false">VLOOKUP($LJ$1,'Datos Iniciales'!$E$34:$O$64,LL$158,FALSE())*LL81</f>
        <v>0</v>
      </c>
      <c r="LM179" s="196" t="n">
        <f aca="false">VLOOKUP($LJ$1,'Datos Iniciales'!$E$34:$O$64,LM$158,FALSE())*LM81</f>
        <v>0</v>
      </c>
      <c r="LN179" s="196" t="n">
        <f aca="false">VLOOKUP($LJ$1,'Datos Iniciales'!$E$34:$O$64,LN$158,FALSE())*LN81</f>
        <v>0</v>
      </c>
      <c r="LO179" s="196" t="n">
        <f aca="false">VLOOKUP($LJ$1,'Datos Iniciales'!$E$34:$O$64,LO$158,FALSE())*LO81</f>
        <v>0</v>
      </c>
      <c r="LP179" s="196" t="n">
        <f aca="false">VLOOKUP($LJ$1,'Datos Iniciales'!$E$34:$O$64,LP$158,FALSE())*LP81</f>
        <v>0</v>
      </c>
      <c r="LQ179" s="196" t="n">
        <f aca="false">VLOOKUP($LJ$1,'Datos Iniciales'!$E$34:$O$64,LQ$158,FALSE())*LQ81</f>
        <v>0</v>
      </c>
      <c r="LR179" s="196" t="n">
        <f aca="false">VLOOKUP($LJ$1,'Datos Iniciales'!$E$34:$O$64,LR$158,FALSE())*LR81</f>
        <v>0</v>
      </c>
      <c r="LS179" s="196" t="n">
        <f aca="false">VLOOKUP($LJ$1,'Datos Iniciales'!$E$34:$O$64,LS$158,FALSE())*LS81</f>
        <v>0</v>
      </c>
      <c r="LT179" s="197" t="n">
        <f aca="false">VLOOKUP($LJ$1,'Datos Iniciales'!$E$34:$O$64,LT$158,FALSE())*LT81</f>
        <v>0</v>
      </c>
    </row>
    <row r="180" customFormat="false" ht="15" hidden="true" customHeight="false" outlineLevel="0" collapsed="false">
      <c r="C180" s="194" t="str">
        <f aca="false">C131</f>
        <v>Alumno21</v>
      </c>
      <c r="D180" s="208" t="n">
        <f aca="false">VLOOKUP($C$1,'Datos Iniciales'!$E$34:$O$64,D$158,FALSE())*D82</f>
        <v>1.6</v>
      </c>
      <c r="E180" s="196" t="n">
        <f aca="false">VLOOKUP($C$1,'Datos Iniciales'!$E$34:$O$64,E$158,FALSE())*E82</f>
        <v>0</v>
      </c>
      <c r="F180" s="196" t="n">
        <f aca="false">VLOOKUP($C$1,'Datos Iniciales'!$E$34:$O$64,F$158,FALSE())*F82</f>
        <v>0</v>
      </c>
      <c r="G180" s="196" t="n">
        <f aca="false">VLOOKUP($C$1,'Datos Iniciales'!$E$34:$O$64,G$158,FALSE())*G82</f>
        <v>0</v>
      </c>
      <c r="H180" s="196" t="n">
        <f aca="false">VLOOKUP($C$1,'Datos Iniciales'!$E$34:$O$64,H$158,FALSE())*H82</f>
        <v>0</v>
      </c>
      <c r="I180" s="196" t="n">
        <f aca="false">VLOOKUP($C$1,'Datos Iniciales'!$E$34:$O$64,I$158,FALSE())*I82</f>
        <v>0</v>
      </c>
      <c r="J180" s="196" t="n">
        <f aca="false">VLOOKUP($C$1,'Datos Iniciales'!$E$34:$O$64,J$158,FALSE())*J82</f>
        <v>0</v>
      </c>
      <c r="K180" s="196" t="n">
        <f aca="false">VLOOKUP($C$1,'Datos Iniciales'!$E$34:$O$64,K$158,FALSE())*K82</f>
        <v>0</v>
      </c>
      <c r="L180" s="196" t="n">
        <f aca="false">VLOOKUP($C$1,'Datos Iniciales'!$E$34:$O$64,L$158,FALSE())*L82</f>
        <v>0</v>
      </c>
      <c r="M180" s="197" t="n">
        <f aca="false">VLOOKUP($C$1,'Datos Iniciales'!$E$34:$O$64,M$158,FALSE())*M82</f>
        <v>0</v>
      </c>
      <c r="N180" s="194" t="str">
        <f aca="false">C180</f>
        <v>Alumno21</v>
      </c>
      <c r="O180" s="208" t="n">
        <f aca="false">VLOOKUP($N$1,'Datos Iniciales'!$E$34:$O$64,O$158,FALSE())*O82</f>
        <v>1.35</v>
      </c>
      <c r="P180" s="196" t="n">
        <f aca="false">VLOOKUP($N$1,'Datos Iniciales'!$E$34:$O$64,P$158,FALSE())*P82</f>
        <v>1.6</v>
      </c>
      <c r="Q180" s="196" t="n">
        <f aca="false">VLOOKUP($N$1,'Datos Iniciales'!$E$34:$O$64,Q$158,FALSE())*Q82</f>
        <v>0</v>
      </c>
      <c r="R180" s="196" t="n">
        <f aca="false">VLOOKUP($N$1,'Datos Iniciales'!$E$34:$O$64,R$158,FALSE())*R82</f>
        <v>0</v>
      </c>
      <c r="S180" s="196" t="n">
        <f aca="false">VLOOKUP($N$1,'Datos Iniciales'!$E$34:$O$64,S$158,FALSE())*S82</f>
        <v>0</v>
      </c>
      <c r="T180" s="196" t="n">
        <f aca="false">VLOOKUP($N$1,'Datos Iniciales'!$E$34:$O$64,T$158,FALSE())*T82</f>
        <v>0</v>
      </c>
      <c r="U180" s="196" t="n">
        <f aca="false">VLOOKUP($N$1,'Datos Iniciales'!$E$34:$O$64,U$158,FALSE())*U82</f>
        <v>0</v>
      </c>
      <c r="V180" s="196" t="n">
        <f aca="false">VLOOKUP($N$1,'Datos Iniciales'!$E$34:$O$64,V$158,FALSE())*V82</f>
        <v>0</v>
      </c>
      <c r="W180" s="196" t="n">
        <f aca="false">VLOOKUP($N$1,'Datos Iniciales'!$E$34:$O$64,W$158,FALSE())*W82</f>
        <v>0</v>
      </c>
      <c r="X180" s="197" t="n">
        <f aca="false">VLOOKUP($N$1,'Datos Iniciales'!$E$34:$O$64,X$158,FALSE())*X82</f>
        <v>0</v>
      </c>
      <c r="Y180" s="194" t="str">
        <f aca="false">N180</f>
        <v>Alumno21</v>
      </c>
      <c r="Z180" s="208" t="n">
        <f aca="false">VLOOKUP($Y$1,'Datos Iniciales'!$E$34:$O$64,Z$158,FALSE())*Z82</f>
        <v>2.85</v>
      </c>
      <c r="AA180" s="196" t="n">
        <f aca="false">VLOOKUP($Y$1,'Datos Iniciales'!$E$34:$O$64,AA$158,FALSE())*AA82</f>
        <v>1.9</v>
      </c>
      <c r="AB180" s="196" t="n">
        <f aca="false">VLOOKUP($Y$1,'Datos Iniciales'!$E$34:$O$64,AB$158,FALSE())*AB82</f>
        <v>1</v>
      </c>
      <c r="AC180" s="196" t="n">
        <f aca="false">VLOOKUP($Y$1,'Datos Iniciales'!$E$34:$O$64,AC$158,FALSE())*AC82</f>
        <v>0</v>
      </c>
      <c r="AD180" s="196" t="n">
        <f aca="false">VLOOKUP($Y$1,'Datos Iniciales'!$E$34:$O$64,AD$158,FALSE())*AD82</f>
        <v>0</v>
      </c>
      <c r="AE180" s="196" t="n">
        <f aca="false">VLOOKUP($Y$1,'Datos Iniciales'!$E$34:$O$64,AE$158,FALSE())*AE82</f>
        <v>0</v>
      </c>
      <c r="AF180" s="196" t="n">
        <f aca="false">VLOOKUP($Y$1,'Datos Iniciales'!$E$34:$O$64,AF$158,FALSE())*AF82</f>
        <v>0</v>
      </c>
      <c r="AG180" s="196" t="n">
        <f aca="false">VLOOKUP($Y$1,'Datos Iniciales'!$E$34:$O$64,AG$158,FALSE())*AG82</f>
        <v>0</v>
      </c>
      <c r="AH180" s="196" t="n">
        <f aca="false">VLOOKUP($Y$1,'Datos Iniciales'!$E$34:$O$64,AH$158,FALSE())*AH82</f>
        <v>0</v>
      </c>
      <c r="AI180" s="197" t="n">
        <f aca="false">VLOOKUP($Y$1,'Datos Iniciales'!$E$34:$O$64,AI$158,FALSE())*AI82</f>
        <v>0</v>
      </c>
      <c r="AJ180" s="194" t="str">
        <f aca="false">Y180</f>
        <v>Alumno21</v>
      </c>
      <c r="AK180" s="208" t="n">
        <f aca="false">VLOOKUP($AJ$1,'Datos Iniciales'!$E$34:$O$64,AK$158,FALSE())*AK82</f>
        <v>1</v>
      </c>
      <c r="AL180" s="196" t="n">
        <f aca="false">VLOOKUP($AJ$1,'Datos Iniciales'!$E$34:$O$64,AL$158,FALSE())*AL82</f>
        <v>2.85</v>
      </c>
      <c r="AM180" s="196" t="n">
        <f aca="false">VLOOKUP($AJ$1,'Datos Iniciales'!$E$34:$O$64,AM$158,FALSE())*AM82</f>
        <v>3.325</v>
      </c>
      <c r="AN180" s="196" t="n">
        <f aca="false">VLOOKUP($AJ$1,'Datos Iniciales'!$E$34:$O$64,AN$158,FALSE())*AN82</f>
        <v>0</v>
      </c>
      <c r="AO180" s="196" t="n">
        <f aca="false">VLOOKUP($AJ$1,'Datos Iniciales'!$E$34:$O$64,AO$158,FALSE())*AO82</f>
        <v>0</v>
      </c>
      <c r="AP180" s="196" t="n">
        <f aca="false">VLOOKUP($AJ$1,'Datos Iniciales'!$E$34:$O$64,AP$158,FALSE())*AP82</f>
        <v>0</v>
      </c>
      <c r="AQ180" s="196" t="n">
        <f aca="false">VLOOKUP($AJ$1,'Datos Iniciales'!$E$34:$O$64,AQ$158,FALSE())*AQ82</f>
        <v>0</v>
      </c>
      <c r="AR180" s="196" t="n">
        <f aca="false">VLOOKUP($AJ$1,'Datos Iniciales'!$E$34:$O$64,AR$158,FALSE())*AR82</f>
        <v>0</v>
      </c>
      <c r="AS180" s="196" t="n">
        <f aca="false">VLOOKUP($AJ$1,'Datos Iniciales'!$E$34:$O$64,AS$158,FALSE())*AS82</f>
        <v>0</v>
      </c>
      <c r="AT180" s="197" t="n">
        <f aca="false">VLOOKUP($AJ$1,'Datos Iniciales'!$E$34:$O$64,AT$158,FALSE())*AT82</f>
        <v>0</v>
      </c>
      <c r="AU180" s="194" t="str">
        <f aca="false">AJ180</f>
        <v>Alumno21</v>
      </c>
      <c r="AV180" s="208" t="n">
        <f aca="false">VLOOKUP($AU$1,'Datos Iniciales'!$E$34:$O$64,AV$158,FALSE())*AV82</f>
        <v>0.3</v>
      </c>
      <c r="AW180" s="196" t="n">
        <f aca="false">VLOOKUP($AU$1,'Datos Iniciales'!$E$34:$O$64,AW$158,FALSE())*AW82</f>
        <v>0.7</v>
      </c>
      <c r="AX180" s="196" t="n">
        <f aca="false">VLOOKUP($AU$1,'Datos Iniciales'!$E$34:$O$64,AX$158,FALSE())*AX82</f>
        <v>2.58</v>
      </c>
      <c r="AY180" s="196" t="n">
        <f aca="false">VLOOKUP($AU$1,'Datos Iniciales'!$E$34:$O$64,AY$158,FALSE())*AY82</f>
        <v>0.5</v>
      </c>
      <c r="AZ180" s="196" t="n">
        <f aca="false">VLOOKUP($AU$1,'Datos Iniciales'!$E$34:$O$64,AZ$158,FALSE())*AZ82</f>
        <v>0</v>
      </c>
      <c r="BA180" s="196" t="n">
        <f aca="false">VLOOKUP($AU$1,'Datos Iniciales'!$E$34:$O$64,BA$158,FALSE())*BA82</f>
        <v>0</v>
      </c>
      <c r="BB180" s="196" t="n">
        <f aca="false">VLOOKUP($AU$1,'Datos Iniciales'!$E$34:$O$64,BB$158,FALSE())*BB82</f>
        <v>0</v>
      </c>
      <c r="BC180" s="196" t="n">
        <f aca="false">VLOOKUP($AU$1,'Datos Iniciales'!$E$34:$O$64,BC$158,FALSE())*BC82</f>
        <v>0</v>
      </c>
      <c r="BD180" s="196" t="n">
        <f aca="false">VLOOKUP($AU$1,'Datos Iniciales'!$E$34:$O$64,BD$158,FALSE())*BD82</f>
        <v>0</v>
      </c>
      <c r="BE180" s="197" t="n">
        <f aca="false">VLOOKUP($AU$1,'Datos Iniciales'!$E$34:$O$64,BE$158,FALSE())*BE82</f>
        <v>0</v>
      </c>
      <c r="BF180" s="194" t="str">
        <f aca="false">AU180</f>
        <v>Alumno21</v>
      </c>
      <c r="BG180" s="208" t="n">
        <f aca="false">VLOOKUP($BF$1,'Datos Iniciales'!$E$34:$O$64,BG$158,FALSE())*BG82</f>
        <v>0.6</v>
      </c>
      <c r="BH180" s="196" t="n">
        <f aca="false">VLOOKUP($BF$1,'Datos Iniciales'!$E$34:$O$64,BH$158,FALSE())*BH82</f>
        <v>1.05</v>
      </c>
      <c r="BI180" s="196" t="n">
        <f aca="false">VLOOKUP($BF$1,'Datos Iniciales'!$E$34:$O$64,BI$158,FALSE())*BI82</f>
        <v>0.8</v>
      </c>
      <c r="BJ180" s="196" t="n">
        <f aca="false">VLOOKUP($BF$1,'Datos Iniciales'!$E$34:$O$64,BJ$158,FALSE())*BJ82</f>
        <v>2.64</v>
      </c>
      <c r="BK180" s="196" t="n">
        <f aca="false">VLOOKUP($BF$1,'Datos Iniciales'!$E$34:$O$64,BK$158,FALSE())*BK82</f>
        <v>0</v>
      </c>
      <c r="BL180" s="196" t="n">
        <f aca="false">VLOOKUP($BF$1,'Datos Iniciales'!$E$34:$O$64,BL$158,FALSE())*BL82</f>
        <v>0</v>
      </c>
      <c r="BM180" s="196" t="n">
        <f aca="false">VLOOKUP($BF$1,'Datos Iniciales'!$E$34:$O$64,BM$158,FALSE())*BM82</f>
        <v>0</v>
      </c>
      <c r="BN180" s="196" t="n">
        <f aca="false">VLOOKUP($BF$1,'Datos Iniciales'!$E$34:$O$64,BN$158,FALSE())*BN82</f>
        <v>0</v>
      </c>
      <c r="BO180" s="196" t="n">
        <f aca="false">VLOOKUP($BF$1,'Datos Iniciales'!$E$34:$O$64,BO$158,FALSE())*BO82</f>
        <v>0</v>
      </c>
      <c r="BP180" s="197" t="n">
        <f aca="false">VLOOKUP($BF$1,'Datos Iniciales'!$E$34:$O$64,BP$158,FALSE())*BP82</f>
        <v>0</v>
      </c>
      <c r="BQ180" s="194" t="str">
        <f aca="false">BF180</f>
        <v>Alumno21</v>
      </c>
      <c r="BR180" s="208" t="n">
        <f aca="false">VLOOKUP($BQ$1,'Datos Iniciales'!$E$34:$O$64,BR$158,FALSE())*BR82</f>
        <v>0</v>
      </c>
      <c r="BS180" s="196" t="n">
        <f aca="false">VLOOKUP($BQ$1,'Datos Iniciales'!$E$34:$O$64,BS$158,FALSE())*BS82</f>
        <v>0.2</v>
      </c>
      <c r="BT180" s="196" t="n">
        <f aca="false">VLOOKUP($BQ$1,'Datos Iniciales'!$E$34:$O$64,BT$158,FALSE())*BT82</f>
        <v>0.65</v>
      </c>
      <c r="BU180" s="196" t="n">
        <f aca="false">VLOOKUP($BQ$1,'Datos Iniciales'!$E$34:$O$64,BU$158,FALSE())*BU82</f>
        <v>2.4</v>
      </c>
      <c r="BV180" s="196" t="n">
        <f aca="false">VLOOKUP($BQ$1,'Datos Iniciales'!$E$34:$O$64,BV$158,FALSE())*BV82</f>
        <v>0</v>
      </c>
      <c r="BW180" s="196" t="n">
        <f aca="false">VLOOKUP($BQ$1,'Datos Iniciales'!$E$34:$O$64,BW$158,FALSE())*BW82</f>
        <v>0</v>
      </c>
      <c r="BX180" s="196" t="n">
        <f aca="false">VLOOKUP($BQ$1,'Datos Iniciales'!$E$34:$O$64,BX$158,FALSE())*BX82</f>
        <v>0</v>
      </c>
      <c r="BY180" s="196" t="n">
        <f aca="false">VLOOKUP($BQ$1,'Datos Iniciales'!$E$34:$O$64,BY$158,FALSE())*BY82</f>
        <v>0</v>
      </c>
      <c r="BZ180" s="196" t="n">
        <f aca="false">VLOOKUP($BQ$1,'Datos Iniciales'!$E$34:$O$64,BZ$158,FALSE())*BZ82</f>
        <v>0</v>
      </c>
      <c r="CA180" s="197" t="n">
        <f aca="false">VLOOKUP($BQ$1,'Datos Iniciales'!$E$34:$O$64,CA$158,FALSE())*CA82</f>
        <v>0</v>
      </c>
      <c r="CB180" s="194" t="str">
        <f aca="false">BQ180</f>
        <v>Alumno21</v>
      </c>
      <c r="CC180" s="208" t="n">
        <f aca="false">VLOOKUP($CB$1,'Datos Iniciales'!$E$34:$O$64,CC$158,FALSE())*CC82</f>
        <v>0</v>
      </c>
      <c r="CD180" s="196" t="n">
        <f aca="false">VLOOKUP($CB$1,'Datos Iniciales'!$E$34:$O$64,CD$158,FALSE())*CD82</f>
        <v>0</v>
      </c>
      <c r="CE180" s="196" t="n">
        <f aca="false">VLOOKUP($CB$1,'Datos Iniciales'!$E$34:$O$64,CE$158,FALSE())*CE82</f>
        <v>0</v>
      </c>
      <c r="CF180" s="196" t="n">
        <f aca="false">VLOOKUP($CB$1,'Datos Iniciales'!$E$34:$O$64,CF$158,FALSE())*CF82</f>
        <v>0</v>
      </c>
      <c r="CG180" s="196" t="n">
        <f aca="false">VLOOKUP($CB$1,'Datos Iniciales'!$E$34:$O$64,CG$158,FALSE())*CG82</f>
        <v>0</v>
      </c>
      <c r="CH180" s="196" t="n">
        <f aca="false">VLOOKUP($CB$1,'Datos Iniciales'!$E$34:$O$64,CH$158,FALSE())*CH82</f>
        <v>0</v>
      </c>
      <c r="CI180" s="196" t="n">
        <f aca="false">VLOOKUP($CB$1,'Datos Iniciales'!$E$34:$O$64,CI$158,FALSE())*CI82</f>
        <v>0</v>
      </c>
      <c r="CJ180" s="196" t="n">
        <f aca="false">VLOOKUP($CB$1,'Datos Iniciales'!$E$34:$O$64,CJ$158,FALSE())*CJ82</f>
        <v>0</v>
      </c>
      <c r="CK180" s="196" t="n">
        <f aca="false">VLOOKUP($CB$1,'Datos Iniciales'!$E$34:$O$64,CK$158,FALSE())*CK82</f>
        <v>0</v>
      </c>
      <c r="CL180" s="197" t="n">
        <f aca="false">VLOOKUP($CB$1,'Datos Iniciales'!$E$34:$O$64,CL$158,FALSE())*CL82</f>
        <v>0</v>
      </c>
      <c r="CM180" s="194" t="str">
        <f aca="false">CB180</f>
        <v>Alumno21</v>
      </c>
      <c r="CN180" s="208" t="n">
        <f aca="false">VLOOKUP($CM$1,'Datos Iniciales'!$E$34:$O$64,CN$158,FALSE())*CN82</f>
        <v>0</v>
      </c>
      <c r="CO180" s="196" t="n">
        <f aca="false">VLOOKUP($CM$1,'Datos Iniciales'!$E$34:$O$64,CO$158,FALSE())*CO82</f>
        <v>0</v>
      </c>
      <c r="CP180" s="196" t="n">
        <f aca="false">VLOOKUP($CM$1,'Datos Iniciales'!$E$34:$O$64,CP$158,FALSE())*CP82</f>
        <v>0</v>
      </c>
      <c r="CQ180" s="196" t="n">
        <f aca="false">VLOOKUP($CM$1,'Datos Iniciales'!$E$34:$O$64,CQ$158,FALSE())*CQ82</f>
        <v>0</v>
      </c>
      <c r="CR180" s="196" t="n">
        <f aca="false">VLOOKUP($CM$1,'Datos Iniciales'!$E$34:$O$64,CR$158,FALSE())*CR82</f>
        <v>0</v>
      </c>
      <c r="CS180" s="196" t="n">
        <f aca="false">VLOOKUP($CM$1,'Datos Iniciales'!$E$34:$O$64,CS$158,FALSE())*CS82</f>
        <v>0</v>
      </c>
      <c r="CT180" s="196" t="n">
        <f aca="false">VLOOKUP($CM$1,'Datos Iniciales'!$E$34:$O$64,CT$158,FALSE())*CT82</f>
        <v>0</v>
      </c>
      <c r="CU180" s="196" t="n">
        <f aca="false">VLOOKUP($CM$1,'Datos Iniciales'!$E$34:$O$64,CU$158,FALSE())*CU82</f>
        <v>0</v>
      </c>
      <c r="CV180" s="196" t="n">
        <f aca="false">VLOOKUP($CM$1,'Datos Iniciales'!$E$34:$O$64,CV$158,FALSE())*CV82</f>
        <v>0</v>
      </c>
      <c r="CW180" s="197" t="n">
        <f aca="false">VLOOKUP($CM$1,'Datos Iniciales'!$E$34:$O$64,CW$158,FALSE())*CW82</f>
        <v>0</v>
      </c>
      <c r="CX180" s="194" t="str">
        <f aca="false">CM180</f>
        <v>Alumno21</v>
      </c>
      <c r="CY180" s="208" t="n">
        <f aca="false">VLOOKUP($CX$1,'Datos Iniciales'!$E$34:$O$64,CY$158,FALSE())*CY82</f>
        <v>0</v>
      </c>
      <c r="CZ180" s="196" t="n">
        <f aca="false">VLOOKUP($CX$1,'Datos Iniciales'!$E$34:$O$64,CZ$158,FALSE())*CZ82</f>
        <v>0</v>
      </c>
      <c r="DA180" s="196" t="n">
        <f aca="false">VLOOKUP($CX$1,'Datos Iniciales'!$E$34:$O$64,DA$158,FALSE())*DA82</f>
        <v>0</v>
      </c>
      <c r="DB180" s="196" t="n">
        <f aca="false">VLOOKUP($CX$1,'Datos Iniciales'!$E$34:$O$64,DB$158,FALSE())*DB82</f>
        <v>0</v>
      </c>
      <c r="DC180" s="196" t="n">
        <f aca="false">VLOOKUP($CX$1,'Datos Iniciales'!$E$34:$O$64,DC$158,FALSE())*DC82</f>
        <v>0</v>
      </c>
      <c r="DD180" s="196" t="n">
        <f aca="false">VLOOKUP($CX$1,'Datos Iniciales'!$E$34:$O$64,DD$158,FALSE())*DD82</f>
        <v>0</v>
      </c>
      <c r="DE180" s="196" t="n">
        <f aca="false">VLOOKUP($CX$1,'Datos Iniciales'!$E$34:$O$64,DE$158,FALSE())*DE82</f>
        <v>0</v>
      </c>
      <c r="DF180" s="196" t="n">
        <f aca="false">VLOOKUP($CX$1,'Datos Iniciales'!$E$34:$O$64,DF$158,FALSE())*DF82</f>
        <v>0</v>
      </c>
      <c r="DG180" s="196" t="n">
        <f aca="false">VLOOKUP($CX$1,'Datos Iniciales'!$E$34:$O$64,DG$158,FALSE())*DG82</f>
        <v>0</v>
      </c>
      <c r="DH180" s="197" t="n">
        <f aca="false">VLOOKUP($CX$1,'Datos Iniciales'!$E$34:$O$64,DH$158,FALSE())*DH82</f>
        <v>0</v>
      </c>
      <c r="DI180" s="194" t="str">
        <f aca="false">CX180</f>
        <v>Alumno21</v>
      </c>
      <c r="DJ180" s="208" t="n">
        <f aca="false">VLOOKUP($DI$1,'Datos Iniciales'!$E$34:$O$64,DJ$158,FALSE())*DJ82</f>
        <v>0</v>
      </c>
      <c r="DK180" s="196" t="n">
        <f aca="false">VLOOKUP($DI$1,'Datos Iniciales'!$E$34:$O$64,DK$158,FALSE())*DK82</f>
        <v>0</v>
      </c>
      <c r="DL180" s="196" t="n">
        <f aca="false">VLOOKUP($DI$1,'Datos Iniciales'!$E$34:$O$64,DL$158,FALSE())*DL82</f>
        <v>0</v>
      </c>
      <c r="DM180" s="196" t="n">
        <f aca="false">VLOOKUP($DI$1,'Datos Iniciales'!$E$34:$O$64,DM$158,FALSE())*DM82</f>
        <v>0</v>
      </c>
      <c r="DN180" s="196" t="n">
        <f aca="false">VLOOKUP($DI$1,'Datos Iniciales'!$E$34:$O$64,DN$158,FALSE())*DN82</f>
        <v>0</v>
      </c>
      <c r="DO180" s="196" t="n">
        <f aca="false">VLOOKUP($DI$1,'Datos Iniciales'!$E$34:$O$64,DO$158,FALSE())*DO82</f>
        <v>0</v>
      </c>
      <c r="DP180" s="196" t="n">
        <f aca="false">VLOOKUP($DI$1,'Datos Iniciales'!$E$34:$O$64,DP$158,FALSE())*DP82</f>
        <v>0</v>
      </c>
      <c r="DQ180" s="196" t="n">
        <f aca="false">VLOOKUP($DI$1,'Datos Iniciales'!$E$34:$O$64,DQ$158,FALSE())*DQ82</f>
        <v>0</v>
      </c>
      <c r="DR180" s="196" t="n">
        <f aca="false">VLOOKUP($DI$1,'Datos Iniciales'!$E$34:$O$64,DR$158,FALSE())*DR82</f>
        <v>0</v>
      </c>
      <c r="DS180" s="197" t="n">
        <f aca="false">VLOOKUP($DI$1,'Datos Iniciales'!$E$34:$O$64,DS$158,FALSE())*DS82</f>
        <v>0</v>
      </c>
      <c r="DT180" s="194" t="str">
        <f aca="false">DI180</f>
        <v>Alumno21</v>
      </c>
      <c r="DU180" s="208" t="n">
        <f aca="false">VLOOKUP($DT$1,'Datos Iniciales'!$E$34:$O$64,DU$158,FALSE())*DU82</f>
        <v>0</v>
      </c>
      <c r="DV180" s="196" t="n">
        <f aca="false">VLOOKUP($DT$1,'Datos Iniciales'!$E$34:$O$64,DV$158,FALSE())*DV82</f>
        <v>0</v>
      </c>
      <c r="DW180" s="196" t="n">
        <f aca="false">VLOOKUP($DT$1,'Datos Iniciales'!$E$34:$O$64,DW$158,FALSE())*DW82</f>
        <v>0</v>
      </c>
      <c r="DX180" s="196" t="n">
        <f aca="false">VLOOKUP($DT$1,'Datos Iniciales'!$E$34:$O$64,DX$158,FALSE())*DX82</f>
        <v>0</v>
      </c>
      <c r="DY180" s="196" t="n">
        <f aca="false">VLOOKUP($DT$1,'Datos Iniciales'!$E$34:$O$64,DY$158,FALSE())*DY82</f>
        <v>0</v>
      </c>
      <c r="DZ180" s="196" t="n">
        <f aca="false">VLOOKUP($DT$1,'Datos Iniciales'!$E$34:$O$64,DZ$158,FALSE())*DZ82</f>
        <v>0</v>
      </c>
      <c r="EA180" s="196" t="n">
        <f aca="false">VLOOKUP($DT$1,'Datos Iniciales'!$E$34:$O$64,EA$158,FALSE())*EA82</f>
        <v>0</v>
      </c>
      <c r="EB180" s="196" t="n">
        <f aca="false">VLOOKUP($DT$1,'Datos Iniciales'!$E$34:$O$64,EB$158,FALSE())*EB82</f>
        <v>0</v>
      </c>
      <c r="EC180" s="196" t="n">
        <f aca="false">VLOOKUP($DT$1,'Datos Iniciales'!$E$34:$O$64,EC$158,FALSE())*EC82</f>
        <v>0</v>
      </c>
      <c r="ED180" s="197" t="n">
        <f aca="false">VLOOKUP($DT$1,'Datos Iniciales'!$E$34:$O$64,ED$158,FALSE())*ED82</f>
        <v>0</v>
      </c>
      <c r="EE180" s="194" t="str">
        <f aca="false">DT180</f>
        <v>Alumno21</v>
      </c>
      <c r="EF180" s="208" t="n">
        <f aca="false">VLOOKUP($EE$1,'Datos Iniciales'!$E$34:$O$64,EF$158,FALSE())*EF82</f>
        <v>0</v>
      </c>
      <c r="EG180" s="196" t="n">
        <f aca="false">VLOOKUP($EE$1,'Datos Iniciales'!$E$34:$O$64,EG$158,FALSE())*EG82</f>
        <v>0</v>
      </c>
      <c r="EH180" s="196" t="n">
        <f aca="false">VLOOKUP($EE$1,'Datos Iniciales'!$E$34:$O$64,EH$158,FALSE())*EH82</f>
        <v>0</v>
      </c>
      <c r="EI180" s="196" t="n">
        <f aca="false">VLOOKUP($EE$1,'Datos Iniciales'!$E$34:$O$64,EI$158,FALSE())*EI82</f>
        <v>0</v>
      </c>
      <c r="EJ180" s="196" t="n">
        <f aca="false">VLOOKUP($EE$1,'Datos Iniciales'!$E$34:$O$64,EJ$158,FALSE())*EJ82</f>
        <v>0</v>
      </c>
      <c r="EK180" s="196" t="n">
        <f aca="false">VLOOKUP($EE$1,'Datos Iniciales'!$E$34:$O$64,EK$158,FALSE())*EK82</f>
        <v>0</v>
      </c>
      <c r="EL180" s="196" t="n">
        <f aca="false">VLOOKUP($EE$1,'Datos Iniciales'!$E$34:$O$64,EL$158,FALSE())*EL82</f>
        <v>0</v>
      </c>
      <c r="EM180" s="196" t="n">
        <f aca="false">VLOOKUP($EE$1,'Datos Iniciales'!$E$34:$O$64,EM$158,FALSE())*EM82</f>
        <v>0</v>
      </c>
      <c r="EN180" s="196" t="n">
        <f aca="false">VLOOKUP($EE$1,'Datos Iniciales'!$E$34:$O$64,EN$158,FALSE())*EN82</f>
        <v>0</v>
      </c>
      <c r="EO180" s="197" t="n">
        <f aca="false">VLOOKUP($EE$1,'Datos Iniciales'!$E$34:$O$64,EO$158,FALSE())*EO82</f>
        <v>0</v>
      </c>
      <c r="EP180" s="194" t="str">
        <f aca="false">EE180</f>
        <v>Alumno21</v>
      </c>
      <c r="EQ180" s="208" t="n">
        <f aca="false">VLOOKUP($EP$1,'Datos Iniciales'!$E$34:$O$64,EQ$158,FALSE())*EQ82</f>
        <v>0</v>
      </c>
      <c r="ER180" s="196" t="n">
        <f aca="false">VLOOKUP($EP$1,'Datos Iniciales'!$E$34:$O$64,ER$158,FALSE())*ER82</f>
        <v>0</v>
      </c>
      <c r="ES180" s="196" t="n">
        <f aca="false">VLOOKUP($EP$1,'Datos Iniciales'!$E$34:$O$64,ES$158,FALSE())*ES82</f>
        <v>0</v>
      </c>
      <c r="ET180" s="196" t="n">
        <f aca="false">VLOOKUP($EP$1,'Datos Iniciales'!$E$34:$O$64,ET$158,FALSE())*ET82</f>
        <v>0</v>
      </c>
      <c r="EU180" s="196" t="n">
        <f aca="false">VLOOKUP($EP$1,'Datos Iniciales'!$E$34:$O$64,EU$158,FALSE())*EU82</f>
        <v>0</v>
      </c>
      <c r="EV180" s="196" t="n">
        <f aca="false">VLOOKUP($EP$1,'Datos Iniciales'!$E$34:$O$64,EV$158,FALSE())*EV82</f>
        <v>0</v>
      </c>
      <c r="EW180" s="196" t="n">
        <f aca="false">VLOOKUP($EP$1,'Datos Iniciales'!$E$34:$O$64,EW$158,FALSE())*EW82</f>
        <v>0</v>
      </c>
      <c r="EX180" s="196" t="n">
        <f aca="false">VLOOKUP($EP$1,'Datos Iniciales'!$E$34:$O$64,EX$158,FALSE())*EX82</f>
        <v>0</v>
      </c>
      <c r="EY180" s="196" t="n">
        <f aca="false">VLOOKUP($EP$1,'Datos Iniciales'!$E$34:$O$64,EY$158,FALSE())*EY82</f>
        <v>0</v>
      </c>
      <c r="EZ180" s="197" t="n">
        <f aca="false">VLOOKUP($EP$1,'Datos Iniciales'!$E$34:$O$64,EZ$158,FALSE())*EZ82</f>
        <v>0</v>
      </c>
      <c r="FA180" s="194" t="str">
        <f aca="false">EP180</f>
        <v>Alumno21</v>
      </c>
      <c r="FB180" s="208" t="n">
        <f aca="false">VLOOKUP($FA$1,'Datos Iniciales'!$E$34:$O$64,FB$158,FALSE())*FB82</f>
        <v>0</v>
      </c>
      <c r="FC180" s="196" t="n">
        <f aca="false">VLOOKUP($FA$1,'Datos Iniciales'!$E$34:$O$64,FC$158,FALSE())*FC82</f>
        <v>0</v>
      </c>
      <c r="FD180" s="196" t="n">
        <f aca="false">VLOOKUP($FA$1,'Datos Iniciales'!$E$34:$O$64,FD$158,FALSE())*FD82</f>
        <v>0</v>
      </c>
      <c r="FE180" s="196" t="n">
        <f aca="false">VLOOKUP($FA$1,'Datos Iniciales'!$E$34:$O$64,FE$158,FALSE())*FE82</f>
        <v>0</v>
      </c>
      <c r="FF180" s="196" t="n">
        <f aca="false">VLOOKUP($FA$1,'Datos Iniciales'!$E$34:$O$64,FF$158,FALSE())*FF82</f>
        <v>0</v>
      </c>
      <c r="FG180" s="196" t="n">
        <f aca="false">VLOOKUP($FA$1,'Datos Iniciales'!$E$34:$O$64,FG$158,FALSE())*FG82</f>
        <v>0</v>
      </c>
      <c r="FH180" s="196" t="n">
        <f aca="false">VLOOKUP($FA$1,'Datos Iniciales'!$E$34:$O$64,FH$158,FALSE())*FH82</f>
        <v>0</v>
      </c>
      <c r="FI180" s="196" t="n">
        <f aca="false">VLOOKUP($FA$1,'Datos Iniciales'!$E$34:$O$64,FI$158,FALSE())*FI82</f>
        <v>0</v>
      </c>
      <c r="FJ180" s="196" t="n">
        <f aca="false">VLOOKUP($FA$1,'Datos Iniciales'!$E$34:$O$64,FJ$158,FALSE())*FJ82</f>
        <v>0</v>
      </c>
      <c r="FK180" s="197" t="n">
        <f aca="false">VLOOKUP($FA$1,'Datos Iniciales'!$E$34:$O$64,FK$158,FALSE())*FK82</f>
        <v>0</v>
      </c>
      <c r="FL180" s="194" t="str">
        <f aca="false">FA180</f>
        <v>Alumno21</v>
      </c>
      <c r="FM180" s="208" t="n">
        <f aca="false">VLOOKUP($FL$1,'Datos Iniciales'!$E$34:$O$64,FM$158,FALSE())*FM82</f>
        <v>0</v>
      </c>
      <c r="FN180" s="196" t="n">
        <f aca="false">VLOOKUP($FL$1,'Datos Iniciales'!$E$34:$O$64,FN$158,FALSE())*FN82</f>
        <v>0</v>
      </c>
      <c r="FO180" s="196" t="n">
        <f aca="false">VLOOKUP($FL$1,'Datos Iniciales'!$E$34:$O$64,FO$158,FALSE())*FO82</f>
        <v>0</v>
      </c>
      <c r="FP180" s="196" t="n">
        <f aca="false">VLOOKUP($FL$1,'Datos Iniciales'!$E$34:$O$64,FP$158,FALSE())*FP82</f>
        <v>0</v>
      </c>
      <c r="FQ180" s="196" t="n">
        <f aca="false">VLOOKUP($FL$1,'Datos Iniciales'!$E$34:$O$64,FQ$158,FALSE())*FQ82</f>
        <v>0</v>
      </c>
      <c r="FR180" s="196" t="n">
        <f aca="false">VLOOKUP($FL$1,'Datos Iniciales'!$E$34:$O$64,FR$158,FALSE())*FR82</f>
        <v>0</v>
      </c>
      <c r="FS180" s="196" t="n">
        <f aca="false">VLOOKUP($FL$1,'Datos Iniciales'!$E$34:$O$64,FS$158,FALSE())*FS82</f>
        <v>0</v>
      </c>
      <c r="FT180" s="196" t="n">
        <f aca="false">VLOOKUP($FL$1,'Datos Iniciales'!$E$34:$O$64,FT$158,FALSE())*FT82</f>
        <v>0</v>
      </c>
      <c r="FU180" s="196" t="n">
        <f aca="false">VLOOKUP($FL$1,'Datos Iniciales'!$E$34:$O$64,FU$158,FALSE())*FU82</f>
        <v>0</v>
      </c>
      <c r="FV180" s="197" t="n">
        <f aca="false">VLOOKUP($FL$1,'Datos Iniciales'!$E$34:$O$64,FV$158,FALSE())*FV82</f>
        <v>0</v>
      </c>
      <c r="FW180" s="194" t="str">
        <f aca="false">FL180</f>
        <v>Alumno21</v>
      </c>
      <c r="FX180" s="208" t="n">
        <f aca="false">VLOOKUP($FW$1,'Datos Iniciales'!$E$34:$O$64,FX$158,FALSE())*FX82</f>
        <v>0</v>
      </c>
      <c r="FY180" s="196" t="n">
        <f aca="false">VLOOKUP($FW$1,'Datos Iniciales'!$E$34:$O$64,FY$158,FALSE())*FY82</f>
        <v>0</v>
      </c>
      <c r="FZ180" s="196" t="n">
        <f aca="false">VLOOKUP($FW$1,'Datos Iniciales'!$E$34:$O$64,FZ$158,FALSE())*FZ82</f>
        <v>0</v>
      </c>
      <c r="GA180" s="196" t="n">
        <f aca="false">VLOOKUP($FW$1,'Datos Iniciales'!$E$34:$O$64,GA$158,FALSE())*GA82</f>
        <v>0</v>
      </c>
      <c r="GB180" s="196" t="n">
        <f aca="false">VLOOKUP($FW$1,'Datos Iniciales'!$E$34:$O$64,GB$158,FALSE())*GB82</f>
        <v>0</v>
      </c>
      <c r="GC180" s="196" t="n">
        <f aca="false">VLOOKUP($FW$1,'Datos Iniciales'!$E$34:$O$64,GC$158,FALSE())*GC82</f>
        <v>0</v>
      </c>
      <c r="GD180" s="196" t="n">
        <f aca="false">VLOOKUP($FW$1,'Datos Iniciales'!$E$34:$O$64,GD$158,FALSE())*GD82</f>
        <v>0</v>
      </c>
      <c r="GE180" s="196" t="n">
        <f aca="false">VLOOKUP($FW$1,'Datos Iniciales'!$E$34:$O$64,GE$158,FALSE())*GE82</f>
        <v>0</v>
      </c>
      <c r="GF180" s="196" t="n">
        <f aca="false">VLOOKUP($FW$1,'Datos Iniciales'!$E$34:$O$64,GF$158,FALSE())*GF82</f>
        <v>0</v>
      </c>
      <c r="GG180" s="197" t="n">
        <f aca="false">VLOOKUP($FW$1,'Datos Iniciales'!$E$34:$O$64,GG$158,FALSE())*GG82</f>
        <v>0</v>
      </c>
      <c r="GH180" s="194" t="str">
        <f aca="false">FW180</f>
        <v>Alumno21</v>
      </c>
      <c r="GI180" s="208" t="n">
        <f aca="false">VLOOKUP($GH$1,'Datos Iniciales'!$E$34:$O$64,GI$158,FALSE())*GI82</f>
        <v>0</v>
      </c>
      <c r="GJ180" s="196" t="n">
        <f aca="false">VLOOKUP($GH$1,'Datos Iniciales'!$E$34:$O$64,GJ$158,FALSE())*GJ82</f>
        <v>0</v>
      </c>
      <c r="GK180" s="196" t="n">
        <f aca="false">VLOOKUP($GH$1,'Datos Iniciales'!$E$34:$O$64,GK$158,FALSE())*GK82</f>
        <v>0</v>
      </c>
      <c r="GL180" s="196" t="n">
        <f aca="false">VLOOKUP($GH$1,'Datos Iniciales'!$E$34:$O$64,GL$158,FALSE())*GL82</f>
        <v>0</v>
      </c>
      <c r="GM180" s="196" t="n">
        <f aca="false">VLOOKUP($GH$1,'Datos Iniciales'!$E$34:$O$64,GM$158,FALSE())*GM82</f>
        <v>0</v>
      </c>
      <c r="GN180" s="196" t="n">
        <f aca="false">VLOOKUP($GH$1,'Datos Iniciales'!$E$34:$O$64,GN$158,FALSE())*GN82</f>
        <v>0</v>
      </c>
      <c r="GO180" s="196" t="n">
        <f aca="false">VLOOKUP($GH$1,'Datos Iniciales'!$E$34:$O$64,GO$158,FALSE())*GO82</f>
        <v>0</v>
      </c>
      <c r="GP180" s="196" t="n">
        <f aca="false">VLOOKUP($GH$1,'Datos Iniciales'!$E$34:$O$64,GP$158,FALSE())*GP82</f>
        <v>0</v>
      </c>
      <c r="GQ180" s="196" t="n">
        <f aca="false">VLOOKUP($GH$1,'Datos Iniciales'!$E$34:$O$64,GQ$158,FALSE())*GQ82</f>
        <v>0</v>
      </c>
      <c r="GR180" s="197" t="n">
        <f aca="false">VLOOKUP($GH$1,'Datos Iniciales'!$E$34:$O$64,GR$158,FALSE())*GR82</f>
        <v>0</v>
      </c>
      <c r="GS180" s="194" t="str">
        <f aca="false">GH180</f>
        <v>Alumno21</v>
      </c>
      <c r="GT180" s="208" t="n">
        <f aca="false">VLOOKUP($GS$1,'Datos Iniciales'!$E$34:$O$64,GT$158,FALSE())*GT82</f>
        <v>0</v>
      </c>
      <c r="GU180" s="196" t="n">
        <f aca="false">VLOOKUP($GS$1,'Datos Iniciales'!$E$34:$O$64,GU$158,FALSE())*GU82</f>
        <v>0</v>
      </c>
      <c r="GV180" s="196" t="n">
        <f aca="false">VLOOKUP($GS$1,'Datos Iniciales'!$E$34:$O$64,GV$158,FALSE())*GV82</f>
        <v>0</v>
      </c>
      <c r="GW180" s="196" t="n">
        <f aca="false">VLOOKUP($GS$1,'Datos Iniciales'!$E$34:$O$64,GW$158,FALSE())*GW82</f>
        <v>0</v>
      </c>
      <c r="GX180" s="196" t="n">
        <f aca="false">VLOOKUP($GS$1,'Datos Iniciales'!$E$34:$O$64,GX$158,FALSE())*GX82</f>
        <v>0</v>
      </c>
      <c r="GY180" s="196" t="n">
        <f aca="false">VLOOKUP($GS$1,'Datos Iniciales'!$E$34:$O$64,GY$158,FALSE())*GY82</f>
        <v>0</v>
      </c>
      <c r="GZ180" s="196" t="n">
        <f aca="false">VLOOKUP($GS$1,'Datos Iniciales'!$E$34:$O$64,GZ$158,FALSE())*GZ82</f>
        <v>0</v>
      </c>
      <c r="HA180" s="196" t="n">
        <f aca="false">VLOOKUP($GS$1,'Datos Iniciales'!$E$34:$O$64,HA$158,FALSE())*HA82</f>
        <v>0</v>
      </c>
      <c r="HB180" s="196" t="n">
        <f aca="false">VLOOKUP($GS$1,'Datos Iniciales'!$E$34:$O$64,HB$158,FALSE())*HB82</f>
        <v>0</v>
      </c>
      <c r="HC180" s="197" t="n">
        <f aca="false">VLOOKUP($GS$1,'Datos Iniciales'!$E$34:$O$64,HC$158,FALSE())*HC82</f>
        <v>0</v>
      </c>
      <c r="HD180" s="194" t="str">
        <f aca="false">GS180</f>
        <v>Alumno21</v>
      </c>
      <c r="HE180" s="208" t="n">
        <f aca="false">VLOOKUP($HD$1,'Datos Iniciales'!$E$34:$O$64,HE$158,FALSE())*HE82</f>
        <v>0</v>
      </c>
      <c r="HF180" s="196" t="n">
        <f aca="false">VLOOKUP($HD$1,'Datos Iniciales'!$E$34:$O$64,HF$158,FALSE())*HF82</f>
        <v>0</v>
      </c>
      <c r="HG180" s="196" t="n">
        <f aca="false">VLOOKUP($HD$1,'Datos Iniciales'!$E$34:$O$64,HG$158,FALSE())*HG82</f>
        <v>0</v>
      </c>
      <c r="HH180" s="196" t="n">
        <f aca="false">VLOOKUP($HD$1,'Datos Iniciales'!$E$34:$O$64,HH$158,FALSE())*HH82</f>
        <v>0</v>
      </c>
      <c r="HI180" s="196" t="n">
        <f aca="false">VLOOKUP($HD$1,'Datos Iniciales'!$E$34:$O$64,HI$158,FALSE())*HI82</f>
        <v>0</v>
      </c>
      <c r="HJ180" s="196" t="n">
        <f aca="false">VLOOKUP($HD$1,'Datos Iniciales'!$E$34:$O$64,HJ$158,FALSE())*HJ82</f>
        <v>0</v>
      </c>
      <c r="HK180" s="196" t="n">
        <f aca="false">VLOOKUP($HD$1,'Datos Iniciales'!$E$34:$O$64,HK$158,FALSE())*HK82</f>
        <v>0</v>
      </c>
      <c r="HL180" s="196" t="n">
        <f aca="false">VLOOKUP($HD$1,'Datos Iniciales'!$E$34:$O$64,HL$158,FALSE())*HL82</f>
        <v>0</v>
      </c>
      <c r="HM180" s="196" t="n">
        <f aca="false">VLOOKUP($HD$1,'Datos Iniciales'!$E$34:$O$64,HM$158,FALSE())*HM82</f>
        <v>0</v>
      </c>
      <c r="HN180" s="197" t="n">
        <f aca="false">VLOOKUP($HD$1,'Datos Iniciales'!$E$34:$O$64,HN$158,FALSE())*HN82</f>
        <v>0</v>
      </c>
      <c r="HO180" s="194" t="str">
        <f aca="false">HD180</f>
        <v>Alumno21</v>
      </c>
      <c r="HP180" s="208" t="n">
        <f aca="false">VLOOKUP($HO$1,'Datos Iniciales'!$E$34:$O$64,HP$158,FALSE())*HP82</f>
        <v>0</v>
      </c>
      <c r="HQ180" s="196" t="n">
        <f aca="false">VLOOKUP($HO$1,'Datos Iniciales'!$E$34:$O$64,HQ$158,FALSE())*HQ82</f>
        <v>0</v>
      </c>
      <c r="HR180" s="196" t="n">
        <f aca="false">VLOOKUP($HO$1,'Datos Iniciales'!$E$34:$O$64,HR$158,FALSE())*HR82</f>
        <v>0</v>
      </c>
      <c r="HS180" s="196" t="n">
        <f aca="false">VLOOKUP($HO$1,'Datos Iniciales'!$E$34:$O$64,HS$158,FALSE())*HS82</f>
        <v>0</v>
      </c>
      <c r="HT180" s="196" t="n">
        <f aca="false">VLOOKUP($HO$1,'Datos Iniciales'!$E$34:$O$64,HT$158,FALSE())*HT82</f>
        <v>0</v>
      </c>
      <c r="HU180" s="196" t="n">
        <f aca="false">VLOOKUP($HO$1,'Datos Iniciales'!$E$34:$O$64,HU$158,FALSE())*HU82</f>
        <v>0</v>
      </c>
      <c r="HV180" s="196" t="n">
        <f aca="false">VLOOKUP($HO$1,'Datos Iniciales'!$E$34:$O$64,HV$158,FALSE())*HV82</f>
        <v>0</v>
      </c>
      <c r="HW180" s="196" t="n">
        <f aca="false">VLOOKUP($HO$1,'Datos Iniciales'!$E$34:$O$64,HW$158,FALSE())*HW82</f>
        <v>0</v>
      </c>
      <c r="HX180" s="196" t="n">
        <f aca="false">VLOOKUP($HO$1,'Datos Iniciales'!$E$34:$O$64,HX$158,FALSE())*HX82</f>
        <v>0</v>
      </c>
      <c r="HY180" s="197" t="n">
        <f aca="false">VLOOKUP($HO$1,'Datos Iniciales'!$E$34:$O$64,HY$158,FALSE())*HY82</f>
        <v>0</v>
      </c>
      <c r="HZ180" s="194" t="str">
        <f aca="false">HO180</f>
        <v>Alumno21</v>
      </c>
      <c r="IA180" s="208" t="n">
        <f aca="false">VLOOKUP($HZ$1,'Datos Iniciales'!$E$34:$O$64,IA$158,FALSE())*IA82</f>
        <v>0</v>
      </c>
      <c r="IB180" s="196" t="n">
        <f aca="false">VLOOKUP($HZ$1,'Datos Iniciales'!$E$34:$O$64,IB$158,FALSE())*IB82</f>
        <v>0</v>
      </c>
      <c r="IC180" s="196" t="n">
        <f aca="false">VLOOKUP($HZ$1,'Datos Iniciales'!$E$34:$O$64,IC$158,FALSE())*IC82</f>
        <v>0</v>
      </c>
      <c r="ID180" s="196" t="n">
        <f aca="false">VLOOKUP($HZ$1,'Datos Iniciales'!$E$34:$O$64,ID$158,FALSE())*ID82</f>
        <v>0</v>
      </c>
      <c r="IE180" s="196" t="n">
        <f aca="false">VLOOKUP($HZ$1,'Datos Iniciales'!$E$34:$O$64,IE$158,FALSE())*IE82</f>
        <v>0</v>
      </c>
      <c r="IF180" s="196" t="n">
        <f aca="false">VLOOKUP($HZ$1,'Datos Iniciales'!$E$34:$O$64,IF$158,FALSE())*IF82</f>
        <v>0</v>
      </c>
      <c r="IG180" s="196" t="n">
        <f aca="false">VLOOKUP($HZ$1,'Datos Iniciales'!$E$34:$O$64,IG$158,FALSE())*IG82</f>
        <v>0</v>
      </c>
      <c r="IH180" s="196" t="n">
        <f aca="false">VLOOKUP($HZ$1,'Datos Iniciales'!$E$34:$O$64,IH$158,FALSE())*IH82</f>
        <v>0</v>
      </c>
      <c r="II180" s="196" t="n">
        <f aca="false">VLOOKUP($HZ$1,'Datos Iniciales'!$E$34:$O$64,II$158,FALSE())*II82</f>
        <v>0</v>
      </c>
      <c r="IJ180" s="197" t="n">
        <f aca="false">VLOOKUP($HZ$1,'Datos Iniciales'!$E$34:$O$64,IJ$158,FALSE())*IJ82</f>
        <v>0</v>
      </c>
      <c r="IK180" s="194" t="str">
        <f aca="false">HZ180</f>
        <v>Alumno21</v>
      </c>
      <c r="IL180" s="208" t="n">
        <f aca="false">VLOOKUP($IK$1,'Datos Iniciales'!$E$34:$O$64,IL$158,FALSE())*IL82</f>
        <v>0</v>
      </c>
      <c r="IM180" s="196" t="n">
        <f aca="false">VLOOKUP($IK$1,'Datos Iniciales'!$E$34:$O$64,IM$158,FALSE())*IM82</f>
        <v>0</v>
      </c>
      <c r="IN180" s="196" t="n">
        <f aca="false">VLOOKUP($IK$1,'Datos Iniciales'!$E$34:$O$64,IN$158,FALSE())*IN82</f>
        <v>0</v>
      </c>
      <c r="IO180" s="196" t="n">
        <f aca="false">VLOOKUP($IK$1,'Datos Iniciales'!$E$34:$O$64,IO$158,FALSE())*IO82</f>
        <v>0</v>
      </c>
      <c r="IP180" s="196" t="n">
        <f aca="false">VLOOKUP($IK$1,'Datos Iniciales'!$E$34:$O$64,IP$158,FALSE())*IP82</f>
        <v>0</v>
      </c>
      <c r="IQ180" s="196" t="n">
        <f aca="false">VLOOKUP($IK$1,'Datos Iniciales'!$E$34:$O$64,IQ$158,FALSE())*IQ82</f>
        <v>0</v>
      </c>
      <c r="IR180" s="196" t="n">
        <f aca="false">VLOOKUP($IK$1,'Datos Iniciales'!$E$34:$O$64,IR$158,FALSE())*IR82</f>
        <v>0</v>
      </c>
      <c r="IS180" s="196" t="n">
        <f aca="false">VLOOKUP($IK$1,'Datos Iniciales'!$E$34:$O$64,IS$158,FALSE())*IS82</f>
        <v>0</v>
      </c>
      <c r="IT180" s="196" t="n">
        <f aca="false">VLOOKUP($IK$1,'Datos Iniciales'!$E$34:$O$64,IT$158,FALSE())*IT82</f>
        <v>0</v>
      </c>
      <c r="IU180" s="197" t="n">
        <f aca="false">VLOOKUP($IK$1,'Datos Iniciales'!$E$34:$O$64,IU$158,FALSE())*IU82</f>
        <v>0</v>
      </c>
      <c r="IV180" s="194" t="str">
        <f aca="false">IK180</f>
        <v>Alumno21</v>
      </c>
      <c r="IW180" s="208" t="n">
        <f aca="false">VLOOKUP($IV$1,'Datos Iniciales'!$E$34:$O$64,IW$158,FALSE())*IW82</f>
        <v>0</v>
      </c>
      <c r="IX180" s="196" t="n">
        <f aca="false">VLOOKUP($IV$1,'Datos Iniciales'!$E$34:$O$64,IX$158,FALSE())*IX82</f>
        <v>0</v>
      </c>
      <c r="IY180" s="196" t="n">
        <f aca="false">VLOOKUP($IV$1,'Datos Iniciales'!$E$34:$O$64,IY$158,FALSE())*IY82</f>
        <v>0</v>
      </c>
      <c r="IZ180" s="196" t="n">
        <f aca="false">VLOOKUP($IV$1,'Datos Iniciales'!$E$34:$O$64,IZ$158,FALSE())*IZ82</f>
        <v>0</v>
      </c>
      <c r="JA180" s="196" t="n">
        <f aca="false">VLOOKUP($IV$1,'Datos Iniciales'!$E$34:$O$64,JA$158,FALSE())*JA82</f>
        <v>0</v>
      </c>
      <c r="JB180" s="196" t="n">
        <f aca="false">VLOOKUP($IV$1,'Datos Iniciales'!$E$34:$O$64,JB$158,FALSE())*JB82</f>
        <v>0</v>
      </c>
      <c r="JC180" s="196" t="n">
        <f aca="false">VLOOKUP($IV$1,'Datos Iniciales'!$E$34:$O$64,JC$158,FALSE())*JC82</f>
        <v>0</v>
      </c>
      <c r="JD180" s="196" t="n">
        <f aca="false">VLOOKUP($IV$1,'Datos Iniciales'!$E$34:$O$64,JD$158,FALSE())*JD82</f>
        <v>0</v>
      </c>
      <c r="JE180" s="196" t="n">
        <f aca="false">VLOOKUP($IV$1,'Datos Iniciales'!$E$34:$O$64,JE$158,FALSE())*JE82</f>
        <v>0</v>
      </c>
      <c r="JF180" s="197" t="n">
        <f aca="false">VLOOKUP($IV$1,'Datos Iniciales'!$E$34:$O$64,JF$158,FALSE())*JF82</f>
        <v>0</v>
      </c>
      <c r="JG180" s="194" t="str">
        <f aca="false">IV180</f>
        <v>Alumno21</v>
      </c>
      <c r="JH180" s="208" t="n">
        <f aca="false">VLOOKUP($JG$1,'Datos Iniciales'!$E$34:$O$64,JH$158,FALSE())*JH82</f>
        <v>0</v>
      </c>
      <c r="JI180" s="196" t="n">
        <f aca="false">VLOOKUP($JG$1,'Datos Iniciales'!$E$34:$O$64,JI$158,FALSE())*JI82</f>
        <v>0</v>
      </c>
      <c r="JJ180" s="196" t="n">
        <f aca="false">VLOOKUP($JG$1,'Datos Iniciales'!$E$34:$O$64,JJ$158,FALSE())*JJ82</f>
        <v>0</v>
      </c>
      <c r="JK180" s="196" t="n">
        <f aca="false">VLOOKUP($JG$1,'Datos Iniciales'!$E$34:$O$64,JK$158,FALSE())*JK82</f>
        <v>0</v>
      </c>
      <c r="JL180" s="196" t="n">
        <f aca="false">VLOOKUP($JG$1,'Datos Iniciales'!$E$34:$O$64,JL$158,FALSE())*JL82</f>
        <v>0</v>
      </c>
      <c r="JM180" s="196" t="n">
        <f aca="false">VLOOKUP($JG$1,'Datos Iniciales'!$E$34:$O$64,JM$158,FALSE())*JM82</f>
        <v>0</v>
      </c>
      <c r="JN180" s="196" t="n">
        <f aca="false">VLOOKUP($JG$1,'Datos Iniciales'!$E$34:$O$64,JN$158,FALSE())*JN82</f>
        <v>0</v>
      </c>
      <c r="JO180" s="196" t="n">
        <f aca="false">VLOOKUP($JG$1,'Datos Iniciales'!$E$34:$O$64,JO$158,FALSE())*JO82</f>
        <v>0</v>
      </c>
      <c r="JP180" s="196" t="n">
        <f aca="false">VLOOKUP($JG$1,'Datos Iniciales'!$E$34:$O$64,JP$158,FALSE())*JP82</f>
        <v>0</v>
      </c>
      <c r="JQ180" s="197" t="n">
        <f aca="false">VLOOKUP($JG$1,'Datos Iniciales'!$E$34:$O$64,JQ$158,FALSE())*JQ82</f>
        <v>0</v>
      </c>
      <c r="JR180" s="194" t="str">
        <f aca="false">JG180</f>
        <v>Alumno21</v>
      </c>
      <c r="JS180" s="208" t="n">
        <f aca="false">VLOOKUP($JR$1,'Datos Iniciales'!$E$34:$O$64,JS$158,FALSE())*JS82</f>
        <v>0</v>
      </c>
      <c r="JT180" s="196" t="n">
        <f aca="false">VLOOKUP($JR$1,'Datos Iniciales'!$E$34:$O$64,JT$158,FALSE())*JT82</f>
        <v>0</v>
      </c>
      <c r="JU180" s="196" t="n">
        <f aca="false">VLOOKUP($JR$1,'Datos Iniciales'!$E$34:$O$64,JU$158,FALSE())*JU82</f>
        <v>0</v>
      </c>
      <c r="JV180" s="196" t="n">
        <f aca="false">VLOOKUP($JR$1,'Datos Iniciales'!$E$34:$O$64,JV$158,FALSE())*JV82</f>
        <v>0</v>
      </c>
      <c r="JW180" s="196" t="n">
        <f aca="false">VLOOKUP($JR$1,'Datos Iniciales'!$E$34:$O$64,JW$158,FALSE())*JW82</f>
        <v>0</v>
      </c>
      <c r="JX180" s="196" t="n">
        <f aca="false">VLOOKUP($JR$1,'Datos Iniciales'!$E$34:$O$64,JX$158,FALSE())*JX82</f>
        <v>0</v>
      </c>
      <c r="JY180" s="196" t="n">
        <f aca="false">VLOOKUP($JR$1,'Datos Iniciales'!$E$34:$O$64,JY$158,FALSE())*JY82</f>
        <v>0</v>
      </c>
      <c r="JZ180" s="196" t="n">
        <f aca="false">VLOOKUP($JR$1,'Datos Iniciales'!$E$34:$O$64,JZ$158,FALSE())*JZ82</f>
        <v>0</v>
      </c>
      <c r="KA180" s="196" t="n">
        <f aca="false">VLOOKUP($JR$1,'Datos Iniciales'!$E$34:$O$64,KA$158,FALSE())*KA82</f>
        <v>0</v>
      </c>
      <c r="KB180" s="197" t="n">
        <f aca="false">VLOOKUP($JR$1,'Datos Iniciales'!$E$34:$O$64,KB$158,FALSE())*KB82</f>
        <v>0</v>
      </c>
      <c r="KC180" s="194" t="str">
        <f aca="false">JR180</f>
        <v>Alumno21</v>
      </c>
      <c r="KD180" s="208" t="n">
        <f aca="false">VLOOKUP($KC$1,'Datos Iniciales'!$E$34:$O$64,KD$158,FALSE())*KD82</f>
        <v>0</v>
      </c>
      <c r="KE180" s="196" t="n">
        <f aca="false">VLOOKUP($KC$1,'Datos Iniciales'!$E$34:$O$64,KE$158,FALSE())*KE82</f>
        <v>0</v>
      </c>
      <c r="KF180" s="196" t="n">
        <f aca="false">VLOOKUP($KC$1,'Datos Iniciales'!$E$34:$O$64,KF$158,FALSE())*KF82</f>
        <v>0</v>
      </c>
      <c r="KG180" s="196" t="n">
        <f aca="false">VLOOKUP($KC$1,'Datos Iniciales'!$E$34:$O$64,KG$158,FALSE())*KG82</f>
        <v>0</v>
      </c>
      <c r="KH180" s="196" t="n">
        <f aca="false">VLOOKUP($KC$1,'Datos Iniciales'!$E$34:$O$64,KH$158,FALSE())*KH82</f>
        <v>0</v>
      </c>
      <c r="KI180" s="196" t="n">
        <f aca="false">VLOOKUP($KC$1,'Datos Iniciales'!$E$34:$O$64,KI$158,FALSE())*KI82</f>
        <v>0</v>
      </c>
      <c r="KJ180" s="196" t="n">
        <f aca="false">VLOOKUP($KC$1,'Datos Iniciales'!$E$34:$O$64,KJ$158,FALSE())*KJ82</f>
        <v>0</v>
      </c>
      <c r="KK180" s="196" t="n">
        <f aca="false">VLOOKUP($KC$1,'Datos Iniciales'!$E$34:$O$64,KK$158,FALSE())*KK82</f>
        <v>0</v>
      </c>
      <c r="KL180" s="196" t="n">
        <f aca="false">VLOOKUP($KC$1,'Datos Iniciales'!$E$34:$O$64,KL$158,FALSE())*KL82</f>
        <v>0</v>
      </c>
      <c r="KM180" s="197" t="n">
        <f aca="false">VLOOKUP($KC$1,'Datos Iniciales'!$E$34:$O$64,KM$158,FALSE())*KM82</f>
        <v>0</v>
      </c>
      <c r="KN180" s="194" t="str">
        <f aca="false">KC180</f>
        <v>Alumno21</v>
      </c>
      <c r="KO180" s="208" t="n">
        <f aca="false">VLOOKUP($KN$1,'Datos Iniciales'!$E$34:$O$64,KO$158,FALSE())*KO82</f>
        <v>0</v>
      </c>
      <c r="KP180" s="196" t="n">
        <f aca="false">VLOOKUP($KN$1,'Datos Iniciales'!$E$34:$O$64,KP$158,FALSE())*KP82</f>
        <v>0</v>
      </c>
      <c r="KQ180" s="196" t="n">
        <f aca="false">VLOOKUP($KN$1,'Datos Iniciales'!$E$34:$O$64,KQ$158,FALSE())*KQ82</f>
        <v>0</v>
      </c>
      <c r="KR180" s="196" t="n">
        <f aca="false">VLOOKUP($KN$1,'Datos Iniciales'!$E$34:$O$64,KR$158,FALSE())*KR82</f>
        <v>0</v>
      </c>
      <c r="KS180" s="196" t="n">
        <f aca="false">VLOOKUP($KN$1,'Datos Iniciales'!$E$34:$O$64,KS$158,FALSE())*KS82</f>
        <v>0</v>
      </c>
      <c r="KT180" s="196" t="n">
        <f aca="false">VLOOKUP($KN$1,'Datos Iniciales'!$E$34:$O$64,KT$158,FALSE())*KT82</f>
        <v>0</v>
      </c>
      <c r="KU180" s="196" t="n">
        <f aca="false">VLOOKUP($KN$1,'Datos Iniciales'!$E$34:$O$64,KU$158,FALSE())*KU82</f>
        <v>0</v>
      </c>
      <c r="KV180" s="196" t="n">
        <f aca="false">VLOOKUP($KN$1,'Datos Iniciales'!$E$34:$O$64,KV$158,FALSE())*KV82</f>
        <v>0</v>
      </c>
      <c r="KW180" s="196" t="n">
        <f aca="false">VLOOKUP($KN$1,'Datos Iniciales'!$E$34:$O$64,KW$158,FALSE())*KW82</f>
        <v>0</v>
      </c>
      <c r="KX180" s="197" t="n">
        <f aca="false">VLOOKUP($KN$1,'Datos Iniciales'!$E$34:$O$64,KX$158,FALSE())*KX82</f>
        <v>0</v>
      </c>
      <c r="KY180" s="194" t="str">
        <f aca="false">KN180</f>
        <v>Alumno21</v>
      </c>
      <c r="KZ180" s="208" t="n">
        <f aca="false">VLOOKUP($KY$1,'Datos Iniciales'!$E$34:$O$64,KZ$158,FALSE())*KZ82</f>
        <v>0</v>
      </c>
      <c r="LA180" s="196" t="n">
        <f aca="false">VLOOKUP($KY$1,'Datos Iniciales'!$E$34:$O$64,LA$158,FALSE())*LA82</f>
        <v>0</v>
      </c>
      <c r="LB180" s="196" t="n">
        <f aca="false">VLOOKUP($KY$1,'Datos Iniciales'!$E$34:$O$64,LB$158,FALSE())*LB82</f>
        <v>0</v>
      </c>
      <c r="LC180" s="196" t="n">
        <f aca="false">VLOOKUP($KY$1,'Datos Iniciales'!$E$34:$O$64,LC$158,FALSE())*LC82</f>
        <v>0</v>
      </c>
      <c r="LD180" s="196" t="n">
        <f aca="false">VLOOKUP($KY$1,'Datos Iniciales'!$E$34:$O$64,LD$158,FALSE())*LD82</f>
        <v>0</v>
      </c>
      <c r="LE180" s="196" t="n">
        <f aca="false">VLOOKUP($KY$1,'Datos Iniciales'!$E$34:$O$64,LE$158,FALSE())*LE82</f>
        <v>0</v>
      </c>
      <c r="LF180" s="196" t="n">
        <f aca="false">VLOOKUP($KY$1,'Datos Iniciales'!$E$34:$O$64,LF$158,FALSE())*LF82</f>
        <v>0</v>
      </c>
      <c r="LG180" s="196" t="n">
        <f aca="false">VLOOKUP($KY$1,'Datos Iniciales'!$E$34:$O$64,LG$158,FALSE())*LG82</f>
        <v>0</v>
      </c>
      <c r="LH180" s="196" t="n">
        <f aca="false">VLOOKUP($KY$1,'Datos Iniciales'!$E$34:$O$64,LH$158,FALSE())*LH82</f>
        <v>0</v>
      </c>
      <c r="LI180" s="197" t="n">
        <f aca="false">VLOOKUP($KY$1,'Datos Iniciales'!$E$34:$O$64,LI$158,FALSE())*LI82</f>
        <v>0</v>
      </c>
      <c r="LJ180" s="194" t="str">
        <f aca="false">KY180</f>
        <v>Alumno21</v>
      </c>
      <c r="LK180" s="208" t="n">
        <f aca="false">VLOOKUP($LJ$1,'Datos Iniciales'!$E$34:$O$64,LK$158,FALSE())*LK82</f>
        <v>0</v>
      </c>
      <c r="LL180" s="196" t="n">
        <f aca="false">VLOOKUP($LJ$1,'Datos Iniciales'!$E$34:$O$64,LL$158,FALSE())*LL82</f>
        <v>0</v>
      </c>
      <c r="LM180" s="196" t="n">
        <f aca="false">VLOOKUP($LJ$1,'Datos Iniciales'!$E$34:$O$64,LM$158,FALSE())*LM82</f>
        <v>0</v>
      </c>
      <c r="LN180" s="196" t="n">
        <f aca="false">VLOOKUP($LJ$1,'Datos Iniciales'!$E$34:$O$64,LN$158,FALSE())*LN82</f>
        <v>0</v>
      </c>
      <c r="LO180" s="196" t="n">
        <f aca="false">VLOOKUP($LJ$1,'Datos Iniciales'!$E$34:$O$64,LO$158,FALSE())*LO82</f>
        <v>0</v>
      </c>
      <c r="LP180" s="196" t="n">
        <f aca="false">VLOOKUP($LJ$1,'Datos Iniciales'!$E$34:$O$64,LP$158,FALSE())*LP82</f>
        <v>0</v>
      </c>
      <c r="LQ180" s="196" t="n">
        <f aca="false">VLOOKUP($LJ$1,'Datos Iniciales'!$E$34:$O$64,LQ$158,FALSE())*LQ82</f>
        <v>0</v>
      </c>
      <c r="LR180" s="196" t="n">
        <f aca="false">VLOOKUP($LJ$1,'Datos Iniciales'!$E$34:$O$64,LR$158,FALSE())*LR82</f>
        <v>0</v>
      </c>
      <c r="LS180" s="196" t="n">
        <f aca="false">VLOOKUP($LJ$1,'Datos Iniciales'!$E$34:$O$64,LS$158,FALSE())*LS82</f>
        <v>0</v>
      </c>
      <c r="LT180" s="197" t="n">
        <f aca="false">VLOOKUP($LJ$1,'Datos Iniciales'!$E$34:$O$64,LT$158,FALSE())*LT82</f>
        <v>0</v>
      </c>
    </row>
    <row r="181" customFormat="false" ht="15" hidden="true" customHeight="false" outlineLevel="0" collapsed="false">
      <c r="C181" s="194" t="str">
        <f aca="false">C132</f>
        <v>Alumno22</v>
      </c>
      <c r="D181" s="208" t="n">
        <f aca="false">VLOOKUP($C$1,'Datos Iniciales'!$E$34:$O$64,D$158,FALSE())*D83</f>
        <v>1.25</v>
      </c>
      <c r="E181" s="196" t="n">
        <f aca="false">VLOOKUP($C$1,'Datos Iniciales'!$E$34:$O$64,E$158,FALSE())*E83</f>
        <v>0</v>
      </c>
      <c r="F181" s="196" t="n">
        <f aca="false">VLOOKUP($C$1,'Datos Iniciales'!$E$34:$O$64,F$158,FALSE())*F83</f>
        <v>0</v>
      </c>
      <c r="G181" s="196" t="n">
        <f aca="false">VLOOKUP($C$1,'Datos Iniciales'!$E$34:$O$64,G$158,FALSE())*G83</f>
        <v>0</v>
      </c>
      <c r="H181" s="196" t="n">
        <f aca="false">VLOOKUP($C$1,'Datos Iniciales'!$E$34:$O$64,H$158,FALSE())*H83</f>
        <v>0</v>
      </c>
      <c r="I181" s="196" t="n">
        <f aca="false">VLOOKUP($C$1,'Datos Iniciales'!$E$34:$O$64,I$158,FALSE())*I83</f>
        <v>0</v>
      </c>
      <c r="J181" s="196" t="n">
        <f aca="false">VLOOKUP($C$1,'Datos Iniciales'!$E$34:$O$64,J$158,FALSE())*J83</f>
        <v>0</v>
      </c>
      <c r="K181" s="196" t="n">
        <f aca="false">VLOOKUP($C$1,'Datos Iniciales'!$E$34:$O$64,K$158,FALSE())*K83</f>
        <v>0</v>
      </c>
      <c r="L181" s="196" t="n">
        <f aca="false">VLOOKUP($C$1,'Datos Iniciales'!$E$34:$O$64,L$158,FALSE())*L83</f>
        <v>0</v>
      </c>
      <c r="M181" s="197" t="n">
        <f aca="false">VLOOKUP($C$1,'Datos Iniciales'!$E$34:$O$64,M$158,FALSE())*M83</f>
        <v>0</v>
      </c>
      <c r="N181" s="194" t="str">
        <f aca="false">C181</f>
        <v>Alumno22</v>
      </c>
      <c r="O181" s="208" t="n">
        <f aca="false">VLOOKUP($N$1,'Datos Iniciales'!$E$34:$O$64,O$158,FALSE())*O83</f>
        <v>1</v>
      </c>
      <c r="P181" s="196" t="n">
        <f aca="false">VLOOKUP($N$1,'Datos Iniciales'!$E$34:$O$64,P$158,FALSE())*P83</f>
        <v>1</v>
      </c>
      <c r="Q181" s="196" t="n">
        <f aca="false">VLOOKUP($N$1,'Datos Iniciales'!$E$34:$O$64,Q$158,FALSE())*Q83</f>
        <v>0</v>
      </c>
      <c r="R181" s="196" t="n">
        <f aca="false">VLOOKUP($N$1,'Datos Iniciales'!$E$34:$O$64,R$158,FALSE())*R83</f>
        <v>0</v>
      </c>
      <c r="S181" s="196" t="n">
        <f aca="false">VLOOKUP($N$1,'Datos Iniciales'!$E$34:$O$64,S$158,FALSE())*S83</f>
        <v>0</v>
      </c>
      <c r="T181" s="196" t="n">
        <f aca="false">VLOOKUP($N$1,'Datos Iniciales'!$E$34:$O$64,T$158,FALSE())*T83</f>
        <v>0</v>
      </c>
      <c r="U181" s="196" t="n">
        <f aca="false">VLOOKUP($N$1,'Datos Iniciales'!$E$34:$O$64,U$158,FALSE())*U83</f>
        <v>0</v>
      </c>
      <c r="V181" s="196" t="n">
        <f aca="false">VLOOKUP($N$1,'Datos Iniciales'!$E$34:$O$64,V$158,FALSE())*V83</f>
        <v>0</v>
      </c>
      <c r="W181" s="196" t="n">
        <f aca="false">VLOOKUP($N$1,'Datos Iniciales'!$E$34:$O$64,W$158,FALSE())*W83</f>
        <v>0</v>
      </c>
      <c r="X181" s="197" t="n">
        <f aca="false">VLOOKUP($N$1,'Datos Iniciales'!$E$34:$O$64,X$158,FALSE())*X83</f>
        <v>0</v>
      </c>
      <c r="Y181" s="194" t="str">
        <f aca="false">N181</f>
        <v>Alumno22</v>
      </c>
      <c r="Z181" s="208" t="n">
        <f aca="false">VLOOKUP($Y$1,'Datos Iniciales'!$E$34:$O$64,Z$158,FALSE())*Z83</f>
        <v>1.95</v>
      </c>
      <c r="AA181" s="196" t="n">
        <f aca="false">VLOOKUP($Y$1,'Datos Iniciales'!$E$34:$O$64,AA$158,FALSE())*AA83</f>
        <v>1.7</v>
      </c>
      <c r="AB181" s="196" t="n">
        <f aca="false">VLOOKUP($Y$1,'Datos Iniciales'!$E$34:$O$64,AB$158,FALSE())*AB83</f>
        <v>0.5</v>
      </c>
      <c r="AC181" s="196" t="n">
        <f aca="false">VLOOKUP($Y$1,'Datos Iniciales'!$E$34:$O$64,AC$158,FALSE())*AC83</f>
        <v>0</v>
      </c>
      <c r="AD181" s="196" t="n">
        <f aca="false">VLOOKUP($Y$1,'Datos Iniciales'!$E$34:$O$64,AD$158,FALSE())*AD83</f>
        <v>0</v>
      </c>
      <c r="AE181" s="196" t="n">
        <f aca="false">VLOOKUP($Y$1,'Datos Iniciales'!$E$34:$O$64,AE$158,FALSE())*AE83</f>
        <v>0</v>
      </c>
      <c r="AF181" s="196" t="n">
        <f aca="false">VLOOKUP($Y$1,'Datos Iniciales'!$E$34:$O$64,AF$158,FALSE())*AF83</f>
        <v>0</v>
      </c>
      <c r="AG181" s="196" t="n">
        <f aca="false">VLOOKUP($Y$1,'Datos Iniciales'!$E$34:$O$64,AG$158,FALSE())*AG83</f>
        <v>0</v>
      </c>
      <c r="AH181" s="196" t="n">
        <f aca="false">VLOOKUP($Y$1,'Datos Iniciales'!$E$34:$O$64,AH$158,FALSE())*AH83</f>
        <v>0</v>
      </c>
      <c r="AI181" s="197" t="n">
        <f aca="false">VLOOKUP($Y$1,'Datos Iniciales'!$E$34:$O$64,AI$158,FALSE())*AI83</f>
        <v>0</v>
      </c>
      <c r="AJ181" s="194" t="str">
        <f aca="false">Y181</f>
        <v>Alumno22</v>
      </c>
      <c r="AK181" s="208" t="n">
        <f aca="false">VLOOKUP($AJ$1,'Datos Iniciales'!$E$34:$O$64,AK$158,FALSE())*AK83</f>
        <v>0.6</v>
      </c>
      <c r="AL181" s="196" t="n">
        <f aca="false">VLOOKUP($AJ$1,'Datos Iniciales'!$E$34:$O$64,AL$158,FALSE())*AL83</f>
        <v>1.8</v>
      </c>
      <c r="AM181" s="196" t="n">
        <f aca="false">VLOOKUP($AJ$1,'Datos Iniciales'!$E$34:$O$64,AM$158,FALSE())*AM83</f>
        <v>2.975</v>
      </c>
      <c r="AN181" s="196" t="n">
        <f aca="false">VLOOKUP($AJ$1,'Datos Iniciales'!$E$34:$O$64,AN$158,FALSE())*AN83</f>
        <v>0</v>
      </c>
      <c r="AO181" s="196" t="n">
        <f aca="false">VLOOKUP($AJ$1,'Datos Iniciales'!$E$34:$O$64,AO$158,FALSE())*AO83</f>
        <v>0</v>
      </c>
      <c r="AP181" s="196" t="n">
        <f aca="false">VLOOKUP($AJ$1,'Datos Iniciales'!$E$34:$O$64,AP$158,FALSE())*AP83</f>
        <v>0</v>
      </c>
      <c r="AQ181" s="196" t="n">
        <f aca="false">VLOOKUP($AJ$1,'Datos Iniciales'!$E$34:$O$64,AQ$158,FALSE())*AQ83</f>
        <v>0</v>
      </c>
      <c r="AR181" s="196" t="n">
        <f aca="false">VLOOKUP($AJ$1,'Datos Iniciales'!$E$34:$O$64,AR$158,FALSE())*AR83</f>
        <v>0</v>
      </c>
      <c r="AS181" s="196" t="n">
        <f aca="false">VLOOKUP($AJ$1,'Datos Iniciales'!$E$34:$O$64,AS$158,FALSE())*AS83</f>
        <v>0</v>
      </c>
      <c r="AT181" s="197" t="n">
        <f aca="false">VLOOKUP($AJ$1,'Datos Iniciales'!$E$34:$O$64,AT$158,FALSE())*AT83</f>
        <v>0</v>
      </c>
      <c r="AU181" s="194" t="str">
        <f aca="false">AJ181</f>
        <v>Alumno22</v>
      </c>
      <c r="AV181" s="208" t="n">
        <f aca="false">VLOOKUP($AU$1,'Datos Iniciales'!$E$34:$O$64,AV$158,FALSE())*AV83</f>
        <v>0.25</v>
      </c>
      <c r="AW181" s="196" t="n">
        <f aca="false">VLOOKUP($AU$1,'Datos Iniciales'!$E$34:$O$64,AW$158,FALSE())*AW83</f>
        <v>0.5</v>
      </c>
      <c r="AX181" s="196" t="n">
        <f aca="false">VLOOKUP($AU$1,'Datos Iniciales'!$E$34:$O$64,AX$158,FALSE())*AX83</f>
        <v>1.5</v>
      </c>
      <c r="AY181" s="196" t="n">
        <f aca="false">VLOOKUP($AU$1,'Datos Iniciales'!$E$34:$O$64,AY$158,FALSE())*AY83</f>
        <v>0.5</v>
      </c>
      <c r="AZ181" s="196" t="n">
        <f aca="false">VLOOKUP($AU$1,'Datos Iniciales'!$E$34:$O$64,AZ$158,FALSE())*AZ83</f>
        <v>0</v>
      </c>
      <c r="BA181" s="196" t="n">
        <f aca="false">VLOOKUP($AU$1,'Datos Iniciales'!$E$34:$O$64,BA$158,FALSE())*BA83</f>
        <v>0</v>
      </c>
      <c r="BB181" s="196" t="n">
        <f aca="false">VLOOKUP($AU$1,'Datos Iniciales'!$E$34:$O$64,BB$158,FALSE())*BB83</f>
        <v>0</v>
      </c>
      <c r="BC181" s="196" t="n">
        <f aca="false">VLOOKUP($AU$1,'Datos Iniciales'!$E$34:$O$64,BC$158,FALSE())*BC83</f>
        <v>0</v>
      </c>
      <c r="BD181" s="196" t="n">
        <f aca="false">VLOOKUP($AU$1,'Datos Iniciales'!$E$34:$O$64,BD$158,FALSE())*BD83</f>
        <v>0</v>
      </c>
      <c r="BE181" s="197" t="n">
        <f aca="false">VLOOKUP($AU$1,'Datos Iniciales'!$E$34:$O$64,BE$158,FALSE())*BE83</f>
        <v>0</v>
      </c>
      <c r="BF181" s="194" t="str">
        <f aca="false">AU181</f>
        <v>Alumno22</v>
      </c>
      <c r="BG181" s="208" t="n">
        <f aca="false">VLOOKUP($BF$1,'Datos Iniciales'!$E$34:$O$64,BG$158,FALSE())*BG83</f>
        <v>0.5</v>
      </c>
      <c r="BH181" s="196" t="n">
        <f aca="false">VLOOKUP($BF$1,'Datos Iniciales'!$E$34:$O$64,BH$158,FALSE())*BH83</f>
        <v>0.75</v>
      </c>
      <c r="BI181" s="196" t="n">
        <f aca="false">VLOOKUP($BF$1,'Datos Iniciales'!$E$34:$O$64,BI$158,FALSE())*BI83</f>
        <v>0.5</v>
      </c>
      <c r="BJ181" s="196" t="n">
        <f aca="false">VLOOKUP($BF$1,'Datos Iniciales'!$E$34:$O$64,BJ$158,FALSE())*BJ83</f>
        <v>2</v>
      </c>
      <c r="BK181" s="196" t="n">
        <f aca="false">VLOOKUP($BF$1,'Datos Iniciales'!$E$34:$O$64,BK$158,FALSE())*BK83</f>
        <v>0</v>
      </c>
      <c r="BL181" s="196" t="n">
        <f aca="false">VLOOKUP($BF$1,'Datos Iniciales'!$E$34:$O$64,BL$158,FALSE())*BL83</f>
        <v>0</v>
      </c>
      <c r="BM181" s="196" t="n">
        <f aca="false">VLOOKUP($BF$1,'Datos Iniciales'!$E$34:$O$64,BM$158,FALSE())*BM83</f>
        <v>0</v>
      </c>
      <c r="BN181" s="196" t="n">
        <f aca="false">VLOOKUP($BF$1,'Datos Iniciales'!$E$34:$O$64,BN$158,FALSE())*BN83</f>
        <v>0</v>
      </c>
      <c r="BO181" s="196" t="n">
        <f aca="false">VLOOKUP($BF$1,'Datos Iniciales'!$E$34:$O$64,BO$158,FALSE())*BO83</f>
        <v>0</v>
      </c>
      <c r="BP181" s="197" t="n">
        <f aca="false">VLOOKUP($BF$1,'Datos Iniciales'!$E$34:$O$64,BP$158,FALSE())*BP83</f>
        <v>0</v>
      </c>
      <c r="BQ181" s="194" t="str">
        <f aca="false">BF181</f>
        <v>Alumno22</v>
      </c>
      <c r="BR181" s="208" t="n">
        <f aca="false">VLOOKUP($BQ$1,'Datos Iniciales'!$E$34:$O$64,BR$158,FALSE())*BR83</f>
        <v>0</v>
      </c>
      <c r="BS181" s="196" t="n">
        <f aca="false">VLOOKUP($BQ$1,'Datos Iniciales'!$E$34:$O$64,BS$158,FALSE())*BS83</f>
        <v>0.15</v>
      </c>
      <c r="BT181" s="196" t="n">
        <f aca="false">VLOOKUP($BQ$1,'Datos Iniciales'!$E$34:$O$64,BT$158,FALSE())*BT83</f>
        <v>0.35</v>
      </c>
      <c r="BU181" s="196" t="n">
        <f aca="false">VLOOKUP($BQ$1,'Datos Iniciales'!$E$34:$O$64,BU$158,FALSE())*BU83</f>
        <v>2.3</v>
      </c>
      <c r="BV181" s="196" t="n">
        <f aca="false">VLOOKUP($BQ$1,'Datos Iniciales'!$E$34:$O$64,BV$158,FALSE())*BV83</f>
        <v>0</v>
      </c>
      <c r="BW181" s="196" t="n">
        <f aca="false">VLOOKUP($BQ$1,'Datos Iniciales'!$E$34:$O$64,BW$158,FALSE())*BW83</f>
        <v>0</v>
      </c>
      <c r="BX181" s="196" t="n">
        <f aca="false">VLOOKUP($BQ$1,'Datos Iniciales'!$E$34:$O$64,BX$158,FALSE())*BX83</f>
        <v>0</v>
      </c>
      <c r="BY181" s="196" t="n">
        <f aca="false">VLOOKUP($BQ$1,'Datos Iniciales'!$E$34:$O$64,BY$158,FALSE())*BY83</f>
        <v>0</v>
      </c>
      <c r="BZ181" s="196" t="n">
        <f aca="false">VLOOKUP($BQ$1,'Datos Iniciales'!$E$34:$O$64,BZ$158,FALSE())*BZ83</f>
        <v>0</v>
      </c>
      <c r="CA181" s="197" t="n">
        <f aca="false">VLOOKUP($BQ$1,'Datos Iniciales'!$E$34:$O$64,CA$158,FALSE())*CA83</f>
        <v>0</v>
      </c>
      <c r="CB181" s="194" t="str">
        <f aca="false">BQ181</f>
        <v>Alumno22</v>
      </c>
      <c r="CC181" s="208" t="n">
        <f aca="false">VLOOKUP($CB$1,'Datos Iniciales'!$E$34:$O$64,CC$158,FALSE())*CC83</f>
        <v>0</v>
      </c>
      <c r="CD181" s="196" t="n">
        <f aca="false">VLOOKUP($CB$1,'Datos Iniciales'!$E$34:$O$64,CD$158,FALSE())*CD83</f>
        <v>0</v>
      </c>
      <c r="CE181" s="196" t="n">
        <f aca="false">VLOOKUP($CB$1,'Datos Iniciales'!$E$34:$O$64,CE$158,FALSE())*CE83</f>
        <v>0</v>
      </c>
      <c r="CF181" s="196" t="n">
        <f aca="false">VLOOKUP($CB$1,'Datos Iniciales'!$E$34:$O$64,CF$158,FALSE())*CF83</f>
        <v>0</v>
      </c>
      <c r="CG181" s="196" t="n">
        <f aca="false">VLOOKUP($CB$1,'Datos Iniciales'!$E$34:$O$64,CG$158,FALSE())*CG83</f>
        <v>0</v>
      </c>
      <c r="CH181" s="196" t="n">
        <f aca="false">VLOOKUP($CB$1,'Datos Iniciales'!$E$34:$O$64,CH$158,FALSE())*CH83</f>
        <v>0</v>
      </c>
      <c r="CI181" s="196" t="n">
        <f aca="false">VLOOKUP($CB$1,'Datos Iniciales'!$E$34:$O$64,CI$158,FALSE())*CI83</f>
        <v>0</v>
      </c>
      <c r="CJ181" s="196" t="n">
        <f aca="false">VLOOKUP($CB$1,'Datos Iniciales'!$E$34:$O$64,CJ$158,FALSE())*CJ83</f>
        <v>0</v>
      </c>
      <c r="CK181" s="196" t="n">
        <f aca="false">VLOOKUP($CB$1,'Datos Iniciales'!$E$34:$O$64,CK$158,FALSE())*CK83</f>
        <v>0</v>
      </c>
      <c r="CL181" s="197" t="n">
        <f aca="false">VLOOKUP($CB$1,'Datos Iniciales'!$E$34:$O$64,CL$158,FALSE())*CL83</f>
        <v>0</v>
      </c>
      <c r="CM181" s="194" t="str">
        <f aca="false">CB181</f>
        <v>Alumno22</v>
      </c>
      <c r="CN181" s="208" t="n">
        <f aca="false">VLOOKUP($CM$1,'Datos Iniciales'!$E$34:$O$64,CN$158,FALSE())*CN83</f>
        <v>0</v>
      </c>
      <c r="CO181" s="196" t="n">
        <f aca="false">VLOOKUP($CM$1,'Datos Iniciales'!$E$34:$O$64,CO$158,FALSE())*CO83</f>
        <v>0</v>
      </c>
      <c r="CP181" s="196" t="n">
        <f aca="false">VLOOKUP($CM$1,'Datos Iniciales'!$E$34:$O$64,CP$158,FALSE())*CP83</f>
        <v>0</v>
      </c>
      <c r="CQ181" s="196" t="n">
        <f aca="false">VLOOKUP($CM$1,'Datos Iniciales'!$E$34:$O$64,CQ$158,FALSE())*CQ83</f>
        <v>0</v>
      </c>
      <c r="CR181" s="196" t="n">
        <f aca="false">VLOOKUP($CM$1,'Datos Iniciales'!$E$34:$O$64,CR$158,FALSE())*CR83</f>
        <v>0</v>
      </c>
      <c r="CS181" s="196" t="n">
        <f aca="false">VLOOKUP($CM$1,'Datos Iniciales'!$E$34:$O$64,CS$158,FALSE())*CS83</f>
        <v>0</v>
      </c>
      <c r="CT181" s="196" t="n">
        <f aca="false">VLOOKUP($CM$1,'Datos Iniciales'!$E$34:$O$64,CT$158,FALSE())*CT83</f>
        <v>0</v>
      </c>
      <c r="CU181" s="196" t="n">
        <f aca="false">VLOOKUP($CM$1,'Datos Iniciales'!$E$34:$O$64,CU$158,FALSE())*CU83</f>
        <v>0</v>
      </c>
      <c r="CV181" s="196" t="n">
        <f aca="false">VLOOKUP($CM$1,'Datos Iniciales'!$E$34:$O$64,CV$158,FALSE())*CV83</f>
        <v>0</v>
      </c>
      <c r="CW181" s="197" t="n">
        <f aca="false">VLOOKUP($CM$1,'Datos Iniciales'!$E$34:$O$64,CW$158,FALSE())*CW83</f>
        <v>0</v>
      </c>
      <c r="CX181" s="194" t="str">
        <f aca="false">CM181</f>
        <v>Alumno22</v>
      </c>
      <c r="CY181" s="208" t="n">
        <f aca="false">VLOOKUP($CX$1,'Datos Iniciales'!$E$34:$O$64,CY$158,FALSE())*CY83</f>
        <v>0</v>
      </c>
      <c r="CZ181" s="196" t="n">
        <f aca="false">VLOOKUP($CX$1,'Datos Iniciales'!$E$34:$O$64,CZ$158,FALSE())*CZ83</f>
        <v>0</v>
      </c>
      <c r="DA181" s="196" t="n">
        <f aca="false">VLOOKUP($CX$1,'Datos Iniciales'!$E$34:$O$64,DA$158,FALSE())*DA83</f>
        <v>0</v>
      </c>
      <c r="DB181" s="196" t="n">
        <f aca="false">VLOOKUP($CX$1,'Datos Iniciales'!$E$34:$O$64,DB$158,FALSE())*DB83</f>
        <v>0</v>
      </c>
      <c r="DC181" s="196" t="n">
        <f aca="false">VLOOKUP($CX$1,'Datos Iniciales'!$E$34:$O$64,DC$158,FALSE())*DC83</f>
        <v>0</v>
      </c>
      <c r="DD181" s="196" t="n">
        <f aca="false">VLOOKUP($CX$1,'Datos Iniciales'!$E$34:$O$64,DD$158,FALSE())*DD83</f>
        <v>0</v>
      </c>
      <c r="DE181" s="196" t="n">
        <f aca="false">VLOOKUP($CX$1,'Datos Iniciales'!$E$34:$O$64,DE$158,FALSE())*DE83</f>
        <v>0</v>
      </c>
      <c r="DF181" s="196" t="n">
        <f aca="false">VLOOKUP($CX$1,'Datos Iniciales'!$E$34:$O$64,DF$158,FALSE())*DF83</f>
        <v>0</v>
      </c>
      <c r="DG181" s="196" t="n">
        <f aca="false">VLOOKUP($CX$1,'Datos Iniciales'!$E$34:$O$64,DG$158,FALSE())*DG83</f>
        <v>0</v>
      </c>
      <c r="DH181" s="197" t="n">
        <f aca="false">VLOOKUP($CX$1,'Datos Iniciales'!$E$34:$O$64,DH$158,FALSE())*DH83</f>
        <v>0</v>
      </c>
      <c r="DI181" s="194" t="str">
        <f aca="false">CX181</f>
        <v>Alumno22</v>
      </c>
      <c r="DJ181" s="208" t="n">
        <f aca="false">VLOOKUP($DI$1,'Datos Iniciales'!$E$34:$O$64,DJ$158,FALSE())*DJ83</f>
        <v>0</v>
      </c>
      <c r="DK181" s="196" t="n">
        <f aca="false">VLOOKUP($DI$1,'Datos Iniciales'!$E$34:$O$64,DK$158,FALSE())*DK83</f>
        <v>0</v>
      </c>
      <c r="DL181" s="196" t="n">
        <f aca="false">VLOOKUP($DI$1,'Datos Iniciales'!$E$34:$O$64,DL$158,FALSE())*DL83</f>
        <v>0</v>
      </c>
      <c r="DM181" s="196" t="n">
        <f aca="false">VLOOKUP($DI$1,'Datos Iniciales'!$E$34:$O$64,DM$158,FALSE())*DM83</f>
        <v>0</v>
      </c>
      <c r="DN181" s="196" t="n">
        <f aca="false">VLOOKUP($DI$1,'Datos Iniciales'!$E$34:$O$64,DN$158,FALSE())*DN83</f>
        <v>0</v>
      </c>
      <c r="DO181" s="196" t="n">
        <f aca="false">VLOOKUP($DI$1,'Datos Iniciales'!$E$34:$O$64,DO$158,FALSE())*DO83</f>
        <v>0</v>
      </c>
      <c r="DP181" s="196" t="n">
        <f aca="false">VLOOKUP($DI$1,'Datos Iniciales'!$E$34:$O$64,DP$158,FALSE())*DP83</f>
        <v>0</v>
      </c>
      <c r="DQ181" s="196" t="n">
        <f aca="false">VLOOKUP($DI$1,'Datos Iniciales'!$E$34:$O$64,DQ$158,FALSE())*DQ83</f>
        <v>0</v>
      </c>
      <c r="DR181" s="196" t="n">
        <f aca="false">VLOOKUP($DI$1,'Datos Iniciales'!$E$34:$O$64,DR$158,FALSE())*DR83</f>
        <v>0</v>
      </c>
      <c r="DS181" s="197" t="n">
        <f aca="false">VLOOKUP($DI$1,'Datos Iniciales'!$E$34:$O$64,DS$158,FALSE())*DS83</f>
        <v>0</v>
      </c>
      <c r="DT181" s="194" t="str">
        <f aca="false">DI181</f>
        <v>Alumno22</v>
      </c>
      <c r="DU181" s="208" t="n">
        <f aca="false">VLOOKUP($DT$1,'Datos Iniciales'!$E$34:$O$64,DU$158,FALSE())*DU83</f>
        <v>0</v>
      </c>
      <c r="DV181" s="196" t="n">
        <f aca="false">VLOOKUP($DT$1,'Datos Iniciales'!$E$34:$O$64,DV$158,FALSE())*DV83</f>
        <v>0</v>
      </c>
      <c r="DW181" s="196" t="n">
        <f aca="false">VLOOKUP($DT$1,'Datos Iniciales'!$E$34:$O$64,DW$158,FALSE())*DW83</f>
        <v>0</v>
      </c>
      <c r="DX181" s="196" t="n">
        <f aca="false">VLOOKUP($DT$1,'Datos Iniciales'!$E$34:$O$64,DX$158,FALSE())*DX83</f>
        <v>0</v>
      </c>
      <c r="DY181" s="196" t="n">
        <f aca="false">VLOOKUP($DT$1,'Datos Iniciales'!$E$34:$O$64,DY$158,FALSE())*DY83</f>
        <v>0</v>
      </c>
      <c r="DZ181" s="196" t="n">
        <f aca="false">VLOOKUP($DT$1,'Datos Iniciales'!$E$34:$O$64,DZ$158,FALSE())*DZ83</f>
        <v>0</v>
      </c>
      <c r="EA181" s="196" t="n">
        <f aca="false">VLOOKUP($DT$1,'Datos Iniciales'!$E$34:$O$64,EA$158,FALSE())*EA83</f>
        <v>0</v>
      </c>
      <c r="EB181" s="196" t="n">
        <f aca="false">VLOOKUP($DT$1,'Datos Iniciales'!$E$34:$O$64,EB$158,FALSE())*EB83</f>
        <v>0</v>
      </c>
      <c r="EC181" s="196" t="n">
        <f aca="false">VLOOKUP($DT$1,'Datos Iniciales'!$E$34:$O$64,EC$158,FALSE())*EC83</f>
        <v>0</v>
      </c>
      <c r="ED181" s="197" t="n">
        <f aca="false">VLOOKUP($DT$1,'Datos Iniciales'!$E$34:$O$64,ED$158,FALSE())*ED83</f>
        <v>0</v>
      </c>
      <c r="EE181" s="194" t="str">
        <f aca="false">DT181</f>
        <v>Alumno22</v>
      </c>
      <c r="EF181" s="208" t="n">
        <f aca="false">VLOOKUP($EE$1,'Datos Iniciales'!$E$34:$O$64,EF$158,FALSE())*EF83</f>
        <v>0</v>
      </c>
      <c r="EG181" s="196" t="n">
        <f aca="false">VLOOKUP($EE$1,'Datos Iniciales'!$E$34:$O$64,EG$158,FALSE())*EG83</f>
        <v>0</v>
      </c>
      <c r="EH181" s="196" t="n">
        <f aca="false">VLOOKUP($EE$1,'Datos Iniciales'!$E$34:$O$64,EH$158,FALSE())*EH83</f>
        <v>0</v>
      </c>
      <c r="EI181" s="196" t="n">
        <f aca="false">VLOOKUP($EE$1,'Datos Iniciales'!$E$34:$O$64,EI$158,FALSE())*EI83</f>
        <v>0</v>
      </c>
      <c r="EJ181" s="196" t="n">
        <f aca="false">VLOOKUP($EE$1,'Datos Iniciales'!$E$34:$O$64,EJ$158,FALSE())*EJ83</f>
        <v>0</v>
      </c>
      <c r="EK181" s="196" t="n">
        <f aca="false">VLOOKUP($EE$1,'Datos Iniciales'!$E$34:$O$64,EK$158,FALSE())*EK83</f>
        <v>0</v>
      </c>
      <c r="EL181" s="196" t="n">
        <f aca="false">VLOOKUP($EE$1,'Datos Iniciales'!$E$34:$O$64,EL$158,FALSE())*EL83</f>
        <v>0</v>
      </c>
      <c r="EM181" s="196" t="n">
        <f aca="false">VLOOKUP($EE$1,'Datos Iniciales'!$E$34:$O$64,EM$158,FALSE())*EM83</f>
        <v>0</v>
      </c>
      <c r="EN181" s="196" t="n">
        <f aca="false">VLOOKUP($EE$1,'Datos Iniciales'!$E$34:$O$64,EN$158,FALSE())*EN83</f>
        <v>0</v>
      </c>
      <c r="EO181" s="197" t="n">
        <f aca="false">VLOOKUP($EE$1,'Datos Iniciales'!$E$34:$O$64,EO$158,FALSE())*EO83</f>
        <v>0</v>
      </c>
      <c r="EP181" s="194" t="str">
        <f aca="false">EE181</f>
        <v>Alumno22</v>
      </c>
      <c r="EQ181" s="208" t="n">
        <f aca="false">VLOOKUP($EP$1,'Datos Iniciales'!$E$34:$O$64,EQ$158,FALSE())*EQ83</f>
        <v>0</v>
      </c>
      <c r="ER181" s="196" t="n">
        <f aca="false">VLOOKUP($EP$1,'Datos Iniciales'!$E$34:$O$64,ER$158,FALSE())*ER83</f>
        <v>0</v>
      </c>
      <c r="ES181" s="196" t="n">
        <f aca="false">VLOOKUP($EP$1,'Datos Iniciales'!$E$34:$O$64,ES$158,FALSE())*ES83</f>
        <v>0</v>
      </c>
      <c r="ET181" s="196" t="n">
        <f aca="false">VLOOKUP($EP$1,'Datos Iniciales'!$E$34:$O$64,ET$158,FALSE())*ET83</f>
        <v>0</v>
      </c>
      <c r="EU181" s="196" t="n">
        <f aca="false">VLOOKUP($EP$1,'Datos Iniciales'!$E$34:$O$64,EU$158,FALSE())*EU83</f>
        <v>0</v>
      </c>
      <c r="EV181" s="196" t="n">
        <f aca="false">VLOOKUP($EP$1,'Datos Iniciales'!$E$34:$O$64,EV$158,FALSE())*EV83</f>
        <v>0</v>
      </c>
      <c r="EW181" s="196" t="n">
        <f aca="false">VLOOKUP($EP$1,'Datos Iniciales'!$E$34:$O$64,EW$158,FALSE())*EW83</f>
        <v>0</v>
      </c>
      <c r="EX181" s="196" t="n">
        <f aca="false">VLOOKUP($EP$1,'Datos Iniciales'!$E$34:$O$64,EX$158,FALSE())*EX83</f>
        <v>0</v>
      </c>
      <c r="EY181" s="196" t="n">
        <f aca="false">VLOOKUP($EP$1,'Datos Iniciales'!$E$34:$O$64,EY$158,FALSE())*EY83</f>
        <v>0</v>
      </c>
      <c r="EZ181" s="197" t="n">
        <f aca="false">VLOOKUP($EP$1,'Datos Iniciales'!$E$34:$O$64,EZ$158,FALSE())*EZ83</f>
        <v>0</v>
      </c>
      <c r="FA181" s="194" t="str">
        <f aca="false">EP181</f>
        <v>Alumno22</v>
      </c>
      <c r="FB181" s="208" t="n">
        <f aca="false">VLOOKUP($FA$1,'Datos Iniciales'!$E$34:$O$64,FB$158,FALSE())*FB83</f>
        <v>0</v>
      </c>
      <c r="FC181" s="196" t="n">
        <f aca="false">VLOOKUP($FA$1,'Datos Iniciales'!$E$34:$O$64,FC$158,FALSE())*FC83</f>
        <v>0</v>
      </c>
      <c r="FD181" s="196" t="n">
        <f aca="false">VLOOKUP($FA$1,'Datos Iniciales'!$E$34:$O$64,FD$158,FALSE())*FD83</f>
        <v>0</v>
      </c>
      <c r="FE181" s="196" t="n">
        <f aca="false">VLOOKUP($FA$1,'Datos Iniciales'!$E$34:$O$64,FE$158,FALSE())*FE83</f>
        <v>0</v>
      </c>
      <c r="FF181" s="196" t="n">
        <f aca="false">VLOOKUP($FA$1,'Datos Iniciales'!$E$34:$O$64,FF$158,FALSE())*FF83</f>
        <v>0</v>
      </c>
      <c r="FG181" s="196" t="n">
        <f aca="false">VLOOKUP($FA$1,'Datos Iniciales'!$E$34:$O$64,FG$158,FALSE())*FG83</f>
        <v>0</v>
      </c>
      <c r="FH181" s="196" t="n">
        <f aca="false">VLOOKUP($FA$1,'Datos Iniciales'!$E$34:$O$64,FH$158,FALSE())*FH83</f>
        <v>0</v>
      </c>
      <c r="FI181" s="196" t="n">
        <f aca="false">VLOOKUP($FA$1,'Datos Iniciales'!$E$34:$O$64,FI$158,FALSE())*FI83</f>
        <v>0</v>
      </c>
      <c r="FJ181" s="196" t="n">
        <f aca="false">VLOOKUP($FA$1,'Datos Iniciales'!$E$34:$O$64,FJ$158,FALSE())*FJ83</f>
        <v>0</v>
      </c>
      <c r="FK181" s="197" t="n">
        <f aca="false">VLOOKUP($FA$1,'Datos Iniciales'!$E$34:$O$64,FK$158,FALSE())*FK83</f>
        <v>0</v>
      </c>
      <c r="FL181" s="194" t="str">
        <f aca="false">FA181</f>
        <v>Alumno22</v>
      </c>
      <c r="FM181" s="208" t="n">
        <f aca="false">VLOOKUP($FL$1,'Datos Iniciales'!$E$34:$O$64,FM$158,FALSE())*FM83</f>
        <v>0</v>
      </c>
      <c r="FN181" s="196" t="n">
        <f aca="false">VLOOKUP($FL$1,'Datos Iniciales'!$E$34:$O$64,FN$158,FALSE())*FN83</f>
        <v>0</v>
      </c>
      <c r="FO181" s="196" t="n">
        <f aca="false">VLOOKUP($FL$1,'Datos Iniciales'!$E$34:$O$64,FO$158,FALSE())*FO83</f>
        <v>0</v>
      </c>
      <c r="FP181" s="196" t="n">
        <f aca="false">VLOOKUP($FL$1,'Datos Iniciales'!$E$34:$O$64,FP$158,FALSE())*FP83</f>
        <v>0</v>
      </c>
      <c r="FQ181" s="196" t="n">
        <f aca="false">VLOOKUP($FL$1,'Datos Iniciales'!$E$34:$O$64,FQ$158,FALSE())*FQ83</f>
        <v>0</v>
      </c>
      <c r="FR181" s="196" t="n">
        <f aca="false">VLOOKUP($FL$1,'Datos Iniciales'!$E$34:$O$64,FR$158,FALSE())*FR83</f>
        <v>0</v>
      </c>
      <c r="FS181" s="196" t="n">
        <f aca="false">VLOOKUP($FL$1,'Datos Iniciales'!$E$34:$O$64,FS$158,FALSE())*FS83</f>
        <v>0</v>
      </c>
      <c r="FT181" s="196" t="n">
        <f aca="false">VLOOKUP($FL$1,'Datos Iniciales'!$E$34:$O$64,FT$158,FALSE())*FT83</f>
        <v>0</v>
      </c>
      <c r="FU181" s="196" t="n">
        <f aca="false">VLOOKUP($FL$1,'Datos Iniciales'!$E$34:$O$64,FU$158,FALSE())*FU83</f>
        <v>0</v>
      </c>
      <c r="FV181" s="197" t="n">
        <f aca="false">VLOOKUP($FL$1,'Datos Iniciales'!$E$34:$O$64,FV$158,FALSE())*FV83</f>
        <v>0</v>
      </c>
      <c r="FW181" s="194" t="str">
        <f aca="false">FL181</f>
        <v>Alumno22</v>
      </c>
      <c r="FX181" s="208" t="n">
        <f aca="false">VLOOKUP($FW$1,'Datos Iniciales'!$E$34:$O$64,FX$158,FALSE())*FX83</f>
        <v>0</v>
      </c>
      <c r="FY181" s="196" t="n">
        <f aca="false">VLOOKUP($FW$1,'Datos Iniciales'!$E$34:$O$64,FY$158,FALSE())*FY83</f>
        <v>0</v>
      </c>
      <c r="FZ181" s="196" t="n">
        <f aca="false">VLOOKUP($FW$1,'Datos Iniciales'!$E$34:$O$64,FZ$158,FALSE())*FZ83</f>
        <v>0</v>
      </c>
      <c r="GA181" s="196" t="n">
        <f aca="false">VLOOKUP($FW$1,'Datos Iniciales'!$E$34:$O$64,GA$158,FALSE())*GA83</f>
        <v>0</v>
      </c>
      <c r="GB181" s="196" t="n">
        <f aca="false">VLOOKUP($FW$1,'Datos Iniciales'!$E$34:$O$64,GB$158,FALSE())*GB83</f>
        <v>0</v>
      </c>
      <c r="GC181" s="196" t="n">
        <f aca="false">VLOOKUP($FW$1,'Datos Iniciales'!$E$34:$O$64,GC$158,FALSE())*GC83</f>
        <v>0</v>
      </c>
      <c r="GD181" s="196" t="n">
        <f aca="false">VLOOKUP($FW$1,'Datos Iniciales'!$E$34:$O$64,GD$158,FALSE())*GD83</f>
        <v>0</v>
      </c>
      <c r="GE181" s="196" t="n">
        <f aca="false">VLOOKUP($FW$1,'Datos Iniciales'!$E$34:$O$64,GE$158,FALSE())*GE83</f>
        <v>0</v>
      </c>
      <c r="GF181" s="196" t="n">
        <f aca="false">VLOOKUP($FW$1,'Datos Iniciales'!$E$34:$O$64,GF$158,FALSE())*GF83</f>
        <v>0</v>
      </c>
      <c r="GG181" s="197" t="n">
        <f aca="false">VLOOKUP($FW$1,'Datos Iniciales'!$E$34:$O$64,GG$158,FALSE())*GG83</f>
        <v>0</v>
      </c>
      <c r="GH181" s="194" t="str">
        <f aca="false">FW181</f>
        <v>Alumno22</v>
      </c>
      <c r="GI181" s="208" t="n">
        <f aca="false">VLOOKUP($GH$1,'Datos Iniciales'!$E$34:$O$64,GI$158,FALSE())*GI83</f>
        <v>0</v>
      </c>
      <c r="GJ181" s="196" t="n">
        <f aca="false">VLOOKUP($GH$1,'Datos Iniciales'!$E$34:$O$64,GJ$158,FALSE())*GJ83</f>
        <v>0</v>
      </c>
      <c r="GK181" s="196" t="n">
        <f aca="false">VLOOKUP($GH$1,'Datos Iniciales'!$E$34:$O$64,GK$158,FALSE())*GK83</f>
        <v>0</v>
      </c>
      <c r="GL181" s="196" t="n">
        <f aca="false">VLOOKUP($GH$1,'Datos Iniciales'!$E$34:$O$64,GL$158,FALSE())*GL83</f>
        <v>0</v>
      </c>
      <c r="GM181" s="196" t="n">
        <f aca="false">VLOOKUP($GH$1,'Datos Iniciales'!$E$34:$O$64,GM$158,FALSE())*GM83</f>
        <v>0</v>
      </c>
      <c r="GN181" s="196" t="n">
        <f aca="false">VLOOKUP($GH$1,'Datos Iniciales'!$E$34:$O$64,GN$158,FALSE())*GN83</f>
        <v>0</v>
      </c>
      <c r="GO181" s="196" t="n">
        <f aca="false">VLOOKUP($GH$1,'Datos Iniciales'!$E$34:$O$64,GO$158,FALSE())*GO83</f>
        <v>0</v>
      </c>
      <c r="GP181" s="196" t="n">
        <f aca="false">VLOOKUP($GH$1,'Datos Iniciales'!$E$34:$O$64,GP$158,FALSE())*GP83</f>
        <v>0</v>
      </c>
      <c r="GQ181" s="196" t="n">
        <f aca="false">VLOOKUP($GH$1,'Datos Iniciales'!$E$34:$O$64,GQ$158,FALSE())*GQ83</f>
        <v>0</v>
      </c>
      <c r="GR181" s="197" t="n">
        <f aca="false">VLOOKUP($GH$1,'Datos Iniciales'!$E$34:$O$64,GR$158,FALSE())*GR83</f>
        <v>0</v>
      </c>
      <c r="GS181" s="194" t="str">
        <f aca="false">GH181</f>
        <v>Alumno22</v>
      </c>
      <c r="GT181" s="208" t="n">
        <f aca="false">VLOOKUP($GS$1,'Datos Iniciales'!$E$34:$O$64,GT$158,FALSE())*GT83</f>
        <v>0</v>
      </c>
      <c r="GU181" s="196" t="n">
        <f aca="false">VLOOKUP($GS$1,'Datos Iniciales'!$E$34:$O$64,GU$158,FALSE())*GU83</f>
        <v>0</v>
      </c>
      <c r="GV181" s="196" t="n">
        <f aca="false">VLOOKUP($GS$1,'Datos Iniciales'!$E$34:$O$64,GV$158,FALSE())*GV83</f>
        <v>0</v>
      </c>
      <c r="GW181" s="196" t="n">
        <f aca="false">VLOOKUP($GS$1,'Datos Iniciales'!$E$34:$O$64,GW$158,FALSE())*GW83</f>
        <v>0</v>
      </c>
      <c r="GX181" s="196" t="n">
        <f aca="false">VLOOKUP($GS$1,'Datos Iniciales'!$E$34:$O$64,GX$158,FALSE())*GX83</f>
        <v>0</v>
      </c>
      <c r="GY181" s="196" t="n">
        <f aca="false">VLOOKUP($GS$1,'Datos Iniciales'!$E$34:$O$64,GY$158,FALSE())*GY83</f>
        <v>0</v>
      </c>
      <c r="GZ181" s="196" t="n">
        <f aca="false">VLOOKUP($GS$1,'Datos Iniciales'!$E$34:$O$64,GZ$158,FALSE())*GZ83</f>
        <v>0</v>
      </c>
      <c r="HA181" s="196" t="n">
        <f aca="false">VLOOKUP($GS$1,'Datos Iniciales'!$E$34:$O$64,HA$158,FALSE())*HA83</f>
        <v>0</v>
      </c>
      <c r="HB181" s="196" t="n">
        <f aca="false">VLOOKUP($GS$1,'Datos Iniciales'!$E$34:$O$64,HB$158,FALSE())*HB83</f>
        <v>0</v>
      </c>
      <c r="HC181" s="197" t="n">
        <f aca="false">VLOOKUP($GS$1,'Datos Iniciales'!$E$34:$O$64,HC$158,FALSE())*HC83</f>
        <v>0</v>
      </c>
      <c r="HD181" s="194" t="str">
        <f aca="false">GS181</f>
        <v>Alumno22</v>
      </c>
      <c r="HE181" s="208" t="n">
        <f aca="false">VLOOKUP($HD$1,'Datos Iniciales'!$E$34:$O$64,HE$158,FALSE())*HE83</f>
        <v>0</v>
      </c>
      <c r="HF181" s="196" t="n">
        <f aca="false">VLOOKUP($HD$1,'Datos Iniciales'!$E$34:$O$64,HF$158,FALSE())*HF83</f>
        <v>0</v>
      </c>
      <c r="HG181" s="196" t="n">
        <f aca="false">VLOOKUP($HD$1,'Datos Iniciales'!$E$34:$O$64,HG$158,FALSE())*HG83</f>
        <v>0</v>
      </c>
      <c r="HH181" s="196" t="n">
        <f aca="false">VLOOKUP($HD$1,'Datos Iniciales'!$E$34:$O$64,HH$158,FALSE())*HH83</f>
        <v>0</v>
      </c>
      <c r="HI181" s="196" t="n">
        <f aca="false">VLOOKUP($HD$1,'Datos Iniciales'!$E$34:$O$64,HI$158,FALSE())*HI83</f>
        <v>0</v>
      </c>
      <c r="HJ181" s="196" t="n">
        <f aca="false">VLOOKUP($HD$1,'Datos Iniciales'!$E$34:$O$64,HJ$158,FALSE())*HJ83</f>
        <v>0</v>
      </c>
      <c r="HK181" s="196" t="n">
        <f aca="false">VLOOKUP($HD$1,'Datos Iniciales'!$E$34:$O$64,HK$158,FALSE())*HK83</f>
        <v>0</v>
      </c>
      <c r="HL181" s="196" t="n">
        <f aca="false">VLOOKUP($HD$1,'Datos Iniciales'!$E$34:$O$64,HL$158,FALSE())*HL83</f>
        <v>0</v>
      </c>
      <c r="HM181" s="196" t="n">
        <f aca="false">VLOOKUP($HD$1,'Datos Iniciales'!$E$34:$O$64,HM$158,FALSE())*HM83</f>
        <v>0</v>
      </c>
      <c r="HN181" s="197" t="n">
        <f aca="false">VLOOKUP($HD$1,'Datos Iniciales'!$E$34:$O$64,HN$158,FALSE())*HN83</f>
        <v>0</v>
      </c>
      <c r="HO181" s="194" t="str">
        <f aca="false">HD181</f>
        <v>Alumno22</v>
      </c>
      <c r="HP181" s="208" t="n">
        <f aca="false">VLOOKUP($HO$1,'Datos Iniciales'!$E$34:$O$64,HP$158,FALSE())*HP83</f>
        <v>0</v>
      </c>
      <c r="HQ181" s="196" t="n">
        <f aca="false">VLOOKUP($HO$1,'Datos Iniciales'!$E$34:$O$64,HQ$158,FALSE())*HQ83</f>
        <v>0</v>
      </c>
      <c r="HR181" s="196" t="n">
        <f aca="false">VLOOKUP($HO$1,'Datos Iniciales'!$E$34:$O$64,HR$158,FALSE())*HR83</f>
        <v>0</v>
      </c>
      <c r="HS181" s="196" t="n">
        <f aca="false">VLOOKUP($HO$1,'Datos Iniciales'!$E$34:$O$64,HS$158,FALSE())*HS83</f>
        <v>0</v>
      </c>
      <c r="HT181" s="196" t="n">
        <f aca="false">VLOOKUP($HO$1,'Datos Iniciales'!$E$34:$O$64,HT$158,FALSE())*HT83</f>
        <v>0</v>
      </c>
      <c r="HU181" s="196" t="n">
        <f aca="false">VLOOKUP($HO$1,'Datos Iniciales'!$E$34:$O$64,HU$158,FALSE())*HU83</f>
        <v>0</v>
      </c>
      <c r="HV181" s="196" t="n">
        <f aca="false">VLOOKUP($HO$1,'Datos Iniciales'!$E$34:$O$64,HV$158,FALSE())*HV83</f>
        <v>0</v>
      </c>
      <c r="HW181" s="196" t="n">
        <f aca="false">VLOOKUP($HO$1,'Datos Iniciales'!$E$34:$O$64,HW$158,FALSE())*HW83</f>
        <v>0</v>
      </c>
      <c r="HX181" s="196" t="n">
        <f aca="false">VLOOKUP($HO$1,'Datos Iniciales'!$E$34:$O$64,HX$158,FALSE())*HX83</f>
        <v>0</v>
      </c>
      <c r="HY181" s="197" t="n">
        <f aca="false">VLOOKUP($HO$1,'Datos Iniciales'!$E$34:$O$64,HY$158,FALSE())*HY83</f>
        <v>0</v>
      </c>
      <c r="HZ181" s="194" t="str">
        <f aca="false">HO181</f>
        <v>Alumno22</v>
      </c>
      <c r="IA181" s="208" t="n">
        <f aca="false">VLOOKUP($HZ$1,'Datos Iniciales'!$E$34:$O$64,IA$158,FALSE())*IA83</f>
        <v>0</v>
      </c>
      <c r="IB181" s="196" t="n">
        <f aca="false">VLOOKUP($HZ$1,'Datos Iniciales'!$E$34:$O$64,IB$158,FALSE())*IB83</f>
        <v>0</v>
      </c>
      <c r="IC181" s="196" t="n">
        <f aca="false">VLOOKUP($HZ$1,'Datos Iniciales'!$E$34:$O$64,IC$158,FALSE())*IC83</f>
        <v>0</v>
      </c>
      <c r="ID181" s="196" t="n">
        <f aca="false">VLOOKUP($HZ$1,'Datos Iniciales'!$E$34:$O$64,ID$158,FALSE())*ID83</f>
        <v>0</v>
      </c>
      <c r="IE181" s="196" t="n">
        <f aca="false">VLOOKUP($HZ$1,'Datos Iniciales'!$E$34:$O$64,IE$158,FALSE())*IE83</f>
        <v>0</v>
      </c>
      <c r="IF181" s="196" t="n">
        <f aca="false">VLOOKUP($HZ$1,'Datos Iniciales'!$E$34:$O$64,IF$158,FALSE())*IF83</f>
        <v>0</v>
      </c>
      <c r="IG181" s="196" t="n">
        <f aca="false">VLOOKUP($HZ$1,'Datos Iniciales'!$E$34:$O$64,IG$158,FALSE())*IG83</f>
        <v>0</v>
      </c>
      <c r="IH181" s="196" t="n">
        <f aca="false">VLOOKUP($HZ$1,'Datos Iniciales'!$E$34:$O$64,IH$158,FALSE())*IH83</f>
        <v>0</v>
      </c>
      <c r="II181" s="196" t="n">
        <f aca="false">VLOOKUP($HZ$1,'Datos Iniciales'!$E$34:$O$64,II$158,FALSE())*II83</f>
        <v>0</v>
      </c>
      <c r="IJ181" s="197" t="n">
        <f aca="false">VLOOKUP($HZ$1,'Datos Iniciales'!$E$34:$O$64,IJ$158,FALSE())*IJ83</f>
        <v>0</v>
      </c>
      <c r="IK181" s="194" t="str">
        <f aca="false">HZ181</f>
        <v>Alumno22</v>
      </c>
      <c r="IL181" s="208" t="n">
        <f aca="false">VLOOKUP($IK$1,'Datos Iniciales'!$E$34:$O$64,IL$158,FALSE())*IL83</f>
        <v>0</v>
      </c>
      <c r="IM181" s="196" t="n">
        <f aca="false">VLOOKUP($IK$1,'Datos Iniciales'!$E$34:$O$64,IM$158,FALSE())*IM83</f>
        <v>0</v>
      </c>
      <c r="IN181" s="196" t="n">
        <f aca="false">VLOOKUP($IK$1,'Datos Iniciales'!$E$34:$O$64,IN$158,FALSE())*IN83</f>
        <v>0</v>
      </c>
      <c r="IO181" s="196" t="n">
        <f aca="false">VLOOKUP($IK$1,'Datos Iniciales'!$E$34:$O$64,IO$158,FALSE())*IO83</f>
        <v>0</v>
      </c>
      <c r="IP181" s="196" t="n">
        <f aca="false">VLOOKUP($IK$1,'Datos Iniciales'!$E$34:$O$64,IP$158,FALSE())*IP83</f>
        <v>0</v>
      </c>
      <c r="IQ181" s="196" t="n">
        <f aca="false">VLOOKUP($IK$1,'Datos Iniciales'!$E$34:$O$64,IQ$158,FALSE())*IQ83</f>
        <v>0</v>
      </c>
      <c r="IR181" s="196" t="n">
        <f aca="false">VLOOKUP($IK$1,'Datos Iniciales'!$E$34:$O$64,IR$158,FALSE())*IR83</f>
        <v>0</v>
      </c>
      <c r="IS181" s="196" t="n">
        <f aca="false">VLOOKUP($IK$1,'Datos Iniciales'!$E$34:$O$64,IS$158,FALSE())*IS83</f>
        <v>0</v>
      </c>
      <c r="IT181" s="196" t="n">
        <f aca="false">VLOOKUP($IK$1,'Datos Iniciales'!$E$34:$O$64,IT$158,FALSE())*IT83</f>
        <v>0</v>
      </c>
      <c r="IU181" s="197" t="n">
        <f aca="false">VLOOKUP($IK$1,'Datos Iniciales'!$E$34:$O$64,IU$158,FALSE())*IU83</f>
        <v>0</v>
      </c>
      <c r="IV181" s="194" t="str">
        <f aca="false">IK181</f>
        <v>Alumno22</v>
      </c>
      <c r="IW181" s="208" t="n">
        <f aca="false">VLOOKUP($IV$1,'Datos Iniciales'!$E$34:$O$64,IW$158,FALSE())*IW83</f>
        <v>0</v>
      </c>
      <c r="IX181" s="196" t="n">
        <f aca="false">VLOOKUP($IV$1,'Datos Iniciales'!$E$34:$O$64,IX$158,FALSE())*IX83</f>
        <v>0</v>
      </c>
      <c r="IY181" s="196" t="n">
        <f aca="false">VLOOKUP($IV$1,'Datos Iniciales'!$E$34:$O$64,IY$158,FALSE())*IY83</f>
        <v>0</v>
      </c>
      <c r="IZ181" s="196" t="n">
        <f aca="false">VLOOKUP($IV$1,'Datos Iniciales'!$E$34:$O$64,IZ$158,FALSE())*IZ83</f>
        <v>0</v>
      </c>
      <c r="JA181" s="196" t="n">
        <f aca="false">VLOOKUP($IV$1,'Datos Iniciales'!$E$34:$O$64,JA$158,FALSE())*JA83</f>
        <v>0</v>
      </c>
      <c r="JB181" s="196" t="n">
        <f aca="false">VLOOKUP($IV$1,'Datos Iniciales'!$E$34:$O$64,JB$158,FALSE())*JB83</f>
        <v>0</v>
      </c>
      <c r="JC181" s="196" t="n">
        <f aca="false">VLOOKUP($IV$1,'Datos Iniciales'!$E$34:$O$64,JC$158,FALSE())*JC83</f>
        <v>0</v>
      </c>
      <c r="JD181" s="196" t="n">
        <f aca="false">VLOOKUP($IV$1,'Datos Iniciales'!$E$34:$O$64,JD$158,FALSE())*JD83</f>
        <v>0</v>
      </c>
      <c r="JE181" s="196" t="n">
        <f aca="false">VLOOKUP($IV$1,'Datos Iniciales'!$E$34:$O$64,JE$158,FALSE())*JE83</f>
        <v>0</v>
      </c>
      <c r="JF181" s="197" t="n">
        <f aca="false">VLOOKUP($IV$1,'Datos Iniciales'!$E$34:$O$64,JF$158,FALSE())*JF83</f>
        <v>0</v>
      </c>
      <c r="JG181" s="194" t="str">
        <f aca="false">IV181</f>
        <v>Alumno22</v>
      </c>
      <c r="JH181" s="208" t="n">
        <f aca="false">VLOOKUP($JG$1,'Datos Iniciales'!$E$34:$O$64,JH$158,FALSE())*JH83</f>
        <v>0</v>
      </c>
      <c r="JI181" s="196" t="n">
        <f aca="false">VLOOKUP($JG$1,'Datos Iniciales'!$E$34:$O$64,JI$158,FALSE())*JI83</f>
        <v>0</v>
      </c>
      <c r="JJ181" s="196" t="n">
        <f aca="false">VLOOKUP($JG$1,'Datos Iniciales'!$E$34:$O$64,JJ$158,FALSE())*JJ83</f>
        <v>0</v>
      </c>
      <c r="JK181" s="196" t="n">
        <f aca="false">VLOOKUP($JG$1,'Datos Iniciales'!$E$34:$O$64,JK$158,FALSE())*JK83</f>
        <v>0</v>
      </c>
      <c r="JL181" s="196" t="n">
        <f aca="false">VLOOKUP($JG$1,'Datos Iniciales'!$E$34:$O$64,JL$158,FALSE())*JL83</f>
        <v>0</v>
      </c>
      <c r="JM181" s="196" t="n">
        <f aca="false">VLOOKUP($JG$1,'Datos Iniciales'!$E$34:$O$64,JM$158,FALSE())*JM83</f>
        <v>0</v>
      </c>
      <c r="JN181" s="196" t="n">
        <f aca="false">VLOOKUP($JG$1,'Datos Iniciales'!$E$34:$O$64,JN$158,FALSE())*JN83</f>
        <v>0</v>
      </c>
      <c r="JO181" s="196" t="n">
        <f aca="false">VLOOKUP($JG$1,'Datos Iniciales'!$E$34:$O$64,JO$158,FALSE())*JO83</f>
        <v>0</v>
      </c>
      <c r="JP181" s="196" t="n">
        <f aca="false">VLOOKUP($JG$1,'Datos Iniciales'!$E$34:$O$64,JP$158,FALSE())*JP83</f>
        <v>0</v>
      </c>
      <c r="JQ181" s="197" t="n">
        <f aca="false">VLOOKUP($JG$1,'Datos Iniciales'!$E$34:$O$64,JQ$158,FALSE())*JQ83</f>
        <v>0</v>
      </c>
      <c r="JR181" s="194" t="str">
        <f aca="false">JG181</f>
        <v>Alumno22</v>
      </c>
      <c r="JS181" s="208" t="n">
        <f aca="false">VLOOKUP($JR$1,'Datos Iniciales'!$E$34:$O$64,JS$158,FALSE())*JS83</f>
        <v>0</v>
      </c>
      <c r="JT181" s="196" t="n">
        <f aca="false">VLOOKUP($JR$1,'Datos Iniciales'!$E$34:$O$64,JT$158,FALSE())*JT83</f>
        <v>0</v>
      </c>
      <c r="JU181" s="196" t="n">
        <f aca="false">VLOOKUP($JR$1,'Datos Iniciales'!$E$34:$O$64,JU$158,FALSE())*JU83</f>
        <v>0</v>
      </c>
      <c r="JV181" s="196" t="n">
        <f aca="false">VLOOKUP($JR$1,'Datos Iniciales'!$E$34:$O$64,JV$158,FALSE())*JV83</f>
        <v>0</v>
      </c>
      <c r="JW181" s="196" t="n">
        <f aca="false">VLOOKUP($JR$1,'Datos Iniciales'!$E$34:$O$64,JW$158,FALSE())*JW83</f>
        <v>0</v>
      </c>
      <c r="JX181" s="196" t="n">
        <f aca="false">VLOOKUP($JR$1,'Datos Iniciales'!$E$34:$O$64,JX$158,FALSE())*JX83</f>
        <v>0</v>
      </c>
      <c r="JY181" s="196" t="n">
        <f aca="false">VLOOKUP($JR$1,'Datos Iniciales'!$E$34:$O$64,JY$158,FALSE())*JY83</f>
        <v>0</v>
      </c>
      <c r="JZ181" s="196" t="n">
        <f aca="false">VLOOKUP($JR$1,'Datos Iniciales'!$E$34:$O$64,JZ$158,FALSE())*JZ83</f>
        <v>0</v>
      </c>
      <c r="KA181" s="196" t="n">
        <f aca="false">VLOOKUP($JR$1,'Datos Iniciales'!$E$34:$O$64,KA$158,FALSE())*KA83</f>
        <v>0</v>
      </c>
      <c r="KB181" s="197" t="n">
        <f aca="false">VLOOKUP($JR$1,'Datos Iniciales'!$E$34:$O$64,KB$158,FALSE())*KB83</f>
        <v>0</v>
      </c>
      <c r="KC181" s="194" t="str">
        <f aca="false">JR181</f>
        <v>Alumno22</v>
      </c>
      <c r="KD181" s="208" t="n">
        <f aca="false">VLOOKUP($KC$1,'Datos Iniciales'!$E$34:$O$64,KD$158,FALSE())*KD83</f>
        <v>0</v>
      </c>
      <c r="KE181" s="196" t="n">
        <f aca="false">VLOOKUP($KC$1,'Datos Iniciales'!$E$34:$O$64,KE$158,FALSE())*KE83</f>
        <v>0</v>
      </c>
      <c r="KF181" s="196" t="n">
        <f aca="false">VLOOKUP($KC$1,'Datos Iniciales'!$E$34:$O$64,KF$158,FALSE())*KF83</f>
        <v>0</v>
      </c>
      <c r="KG181" s="196" t="n">
        <f aca="false">VLOOKUP($KC$1,'Datos Iniciales'!$E$34:$O$64,KG$158,FALSE())*KG83</f>
        <v>0</v>
      </c>
      <c r="KH181" s="196" t="n">
        <f aca="false">VLOOKUP($KC$1,'Datos Iniciales'!$E$34:$O$64,KH$158,FALSE())*KH83</f>
        <v>0</v>
      </c>
      <c r="KI181" s="196" t="n">
        <f aca="false">VLOOKUP($KC$1,'Datos Iniciales'!$E$34:$O$64,KI$158,FALSE())*KI83</f>
        <v>0</v>
      </c>
      <c r="KJ181" s="196" t="n">
        <f aca="false">VLOOKUP($KC$1,'Datos Iniciales'!$E$34:$O$64,KJ$158,FALSE())*KJ83</f>
        <v>0</v>
      </c>
      <c r="KK181" s="196" t="n">
        <f aca="false">VLOOKUP($KC$1,'Datos Iniciales'!$E$34:$O$64,KK$158,FALSE())*KK83</f>
        <v>0</v>
      </c>
      <c r="KL181" s="196" t="n">
        <f aca="false">VLOOKUP($KC$1,'Datos Iniciales'!$E$34:$O$64,KL$158,FALSE())*KL83</f>
        <v>0</v>
      </c>
      <c r="KM181" s="197" t="n">
        <f aca="false">VLOOKUP($KC$1,'Datos Iniciales'!$E$34:$O$64,KM$158,FALSE())*KM83</f>
        <v>0</v>
      </c>
      <c r="KN181" s="194" t="str">
        <f aca="false">KC181</f>
        <v>Alumno22</v>
      </c>
      <c r="KO181" s="208" t="n">
        <f aca="false">VLOOKUP($KN$1,'Datos Iniciales'!$E$34:$O$64,KO$158,FALSE())*KO83</f>
        <v>0</v>
      </c>
      <c r="KP181" s="196" t="n">
        <f aca="false">VLOOKUP($KN$1,'Datos Iniciales'!$E$34:$O$64,KP$158,FALSE())*KP83</f>
        <v>0</v>
      </c>
      <c r="KQ181" s="196" t="n">
        <f aca="false">VLOOKUP($KN$1,'Datos Iniciales'!$E$34:$O$64,KQ$158,FALSE())*KQ83</f>
        <v>0</v>
      </c>
      <c r="KR181" s="196" t="n">
        <f aca="false">VLOOKUP($KN$1,'Datos Iniciales'!$E$34:$O$64,KR$158,FALSE())*KR83</f>
        <v>0</v>
      </c>
      <c r="KS181" s="196" t="n">
        <f aca="false">VLOOKUP($KN$1,'Datos Iniciales'!$E$34:$O$64,KS$158,FALSE())*KS83</f>
        <v>0</v>
      </c>
      <c r="KT181" s="196" t="n">
        <f aca="false">VLOOKUP($KN$1,'Datos Iniciales'!$E$34:$O$64,KT$158,FALSE())*KT83</f>
        <v>0</v>
      </c>
      <c r="KU181" s="196" t="n">
        <f aca="false">VLOOKUP($KN$1,'Datos Iniciales'!$E$34:$O$64,KU$158,FALSE())*KU83</f>
        <v>0</v>
      </c>
      <c r="KV181" s="196" t="n">
        <f aca="false">VLOOKUP($KN$1,'Datos Iniciales'!$E$34:$O$64,KV$158,FALSE())*KV83</f>
        <v>0</v>
      </c>
      <c r="KW181" s="196" t="n">
        <f aca="false">VLOOKUP($KN$1,'Datos Iniciales'!$E$34:$O$64,KW$158,FALSE())*KW83</f>
        <v>0</v>
      </c>
      <c r="KX181" s="197" t="n">
        <f aca="false">VLOOKUP($KN$1,'Datos Iniciales'!$E$34:$O$64,KX$158,FALSE())*KX83</f>
        <v>0</v>
      </c>
      <c r="KY181" s="194" t="str">
        <f aca="false">KN181</f>
        <v>Alumno22</v>
      </c>
      <c r="KZ181" s="208" t="n">
        <f aca="false">VLOOKUP($KY$1,'Datos Iniciales'!$E$34:$O$64,KZ$158,FALSE())*KZ83</f>
        <v>0</v>
      </c>
      <c r="LA181" s="196" t="n">
        <f aca="false">VLOOKUP($KY$1,'Datos Iniciales'!$E$34:$O$64,LA$158,FALSE())*LA83</f>
        <v>0</v>
      </c>
      <c r="LB181" s="196" t="n">
        <f aca="false">VLOOKUP($KY$1,'Datos Iniciales'!$E$34:$O$64,LB$158,FALSE())*LB83</f>
        <v>0</v>
      </c>
      <c r="LC181" s="196" t="n">
        <f aca="false">VLOOKUP($KY$1,'Datos Iniciales'!$E$34:$O$64,LC$158,FALSE())*LC83</f>
        <v>0</v>
      </c>
      <c r="LD181" s="196" t="n">
        <f aca="false">VLOOKUP($KY$1,'Datos Iniciales'!$E$34:$O$64,LD$158,FALSE())*LD83</f>
        <v>0</v>
      </c>
      <c r="LE181" s="196" t="n">
        <f aca="false">VLOOKUP($KY$1,'Datos Iniciales'!$E$34:$O$64,LE$158,FALSE())*LE83</f>
        <v>0</v>
      </c>
      <c r="LF181" s="196" t="n">
        <f aca="false">VLOOKUP($KY$1,'Datos Iniciales'!$E$34:$O$64,LF$158,FALSE())*LF83</f>
        <v>0</v>
      </c>
      <c r="LG181" s="196" t="n">
        <f aca="false">VLOOKUP($KY$1,'Datos Iniciales'!$E$34:$O$64,LG$158,FALSE())*LG83</f>
        <v>0</v>
      </c>
      <c r="LH181" s="196" t="n">
        <f aca="false">VLOOKUP($KY$1,'Datos Iniciales'!$E$34:$O$64,LH$158,FALSE())*LH83</f>
        <v>0</v>
      </c>
      <c r="LI181" s="197" t="n">
        <f aca="false">VLOOKUP($KY$1,'Datos Iniciales'!$E$34:$O$64,LI$158,FALSE())*LI83</f>
        <v>0</v>
      </c>
      <c r="LJ181" s="194" t="str">
        <f aca="false">KY181</f>
        <v>Alumno22</v>
      </c>
      <c r="LK181" s="208" t="n">
        <f aca="false">VLOOKUP($LJ$1,'Datos Iniciales'!$E$34:$O$64,LK$158,FALSE())*LK83</f>
        <v>0</v>
      </c>
      <c r="LL181" s="196" t="n">
        <f aca="false">VLOOKUP($LJ$1,'Datos Iniciales'!$E$34:$O$64,LL$158,FALSE())*LL83</f>
        <v>0</v>
      </c>
      <c r="LM181" s="196" t="n">
        <f aca="false">VLOOKUP($LJ$1,'Datos Iniciales'!$E$34:$O$64,LM$158,FALSE())*LM83</f>
        <v>0</v>
      </c>
      <c r="LN181" s="196" t="n">
        <f aca="false">VLOOKUP($LJ$1,'Datos Iniciales'!$E$34:$O$64,LN$158,FALSE())*LN83</f>
        <v>0</v>
      </c>
      <c r="LO181" s="196" t="n">
        <f aca="false">VLOOKUP($LJ$1,'Datos Iniciales'!$E$34:$O$64,LO$158,FALSE())*LO83</f>
        <v>0</v>
      </c>
      <c r="LP181" s="196" t="n">
        <f aca="false">VLOOKUP($LJ$1,'Datos Iniciales'!$E$34:$O$64,LP$158,FALSE())*LP83</f>
        <v>0</v>
      </c>
      <c r="LQ181" s="196" t="n">
        <f aca="false">VLOOKUP($LJ$1,'Datos Iniciales'!$E$34:$O$64,LQ$158,FALSE())*LQ83</f>
        <v>0</v>
      </c>
      <c r="LR181" s="196" t="n">
        <f aca="false">VLOOKUP($LJ$1,'Datos Iniciales'!$E$34:$O$64,LR$158,FALSE())*LR83</f>
        <v>0</v>
      </c>
      <c r="LS181" s="196" t="n">
        <f aca="false">VLOOKUP($LJ$1,'Datos Iniciales'!$E$34:$O$64,LS$158,FALSE())*LS83</f>
        <v>0</v>
      </c>
      <c r="LT181" s="197" t="n">
        <f aca="false">VLOOKUP($LJ$1,'Datos Iniciales'!$E$34:$O$64,LT$158,FALSE())*LT83</f>
        <v>0</v>
      </c>
    </row>
    <row r="182" customFormat="false" ht="15" hidden="true" customHeight="false" outlineLevel="0" collapsed="false">
      <c r="C182" s="194" t="str">
        <f aca="false">C133</f>
        <v>Alumno23</v>
      </c>
      <c r="D182" s="208" t="n">
        <f aca="false">VLOOKUP($C$1,'Datos Iniciales'!$E$34:$O$64,D$158,FALSE())*D84</f>
        <v>1.25</v>
      </c>
      <c r="E182" s="196" t="n">
        <f aca="false">VLOOKUP($C$1,'Datos Iniciales'!$E$34:$O$64,E$158,FALSE())*E84</f>
        <v>0</v>
      </c>
      <c r="F182" s="196" t="n">
        <f aca="false">VLOOKUP($C$1,'Datos Iniciales'!$E$34:$O$64,F$158,FALSE())*F84</f>
        <v>0</v>
      </c>
      <c r="G182" s="196" t="n">
        <f aca="false">VLOOKUP($C$1,'Datos Iniciales'!$E$34:$O$64,G$158,FALSE())*G84</f>
        <v>0</v>
      </c>
      <c r="H182" s="196" t="n">
        <f aca="false">VLOOKUP($C$1,'Datos Iniciales'!$E$34:$O$64,H$158,FALSE())*H84</f>
        <v>0</v>
      </c>
      <c r="I182" s="196" t="n">
        <f aca="false">VLOOKUP($C$1,'Datos Iniciales'!$E$34:$O$64,I$158,FALSE())*I84</f>
        <v>0</v>
      </c>
      <c r="J182" s="196" t="n">
        <f aca="false">VLOOKUP($C$1,'Datos Iniciales'!$E$34:$O$64,J$158,FALSE())*J84</f>
        <v>0</v>
      </c>
      <c r="K182" s="196" t="n">
        <f aca="false">VLOOKUP($C$1,'Datos Iniciales'!$E$34:$O$64,K$158,FALSE())*K84</f>
        <v>0</v>
      </c>
      <c r="L182" s="196" t="n">
        <f aca="false">VLOOKUP($C$1,'Datos Iniciales'!$E$34:$O$64,L$158,FALSE())*L84</f>
        <v>0</v>
      </c>
      <c r="M182" s="197" t="n">
        <f aca="false">VLOOKUP($C$1,'Datos Iniciales'!$E$34:$O$64,M$158,FALSE())*M84</f>
        <v>0</v>
      </c>
      <c r="N182" s="194" t="str">
        <f aca="false">C182</f>
        <v>Alumno23</v>
      </c>
      <c r="O182" s="208" t="n">
        <f aca="false">VLOOKUP($N$1,'Datos Iniciales'!$E$34:$O$64,O$158,FALSE())*O84</f>
        <v>1</v>
      </c>
      <c r="P182" s="196" t="n">
        <f aca="false">VLOOKUP($N$1,'Datos Iniciales'!$E$34:$O$64,P$158,FALSE())*P84</f>
        <v>0.6</v>
      </c>
      <c r="Q182" s="196" t="n">
        <f aca="false">VLOOKUP($N$1,'Datos Iniciales'!$E$34:$O$64,Q$158,FALSE())*Q84</f>
        <v>0</v>
      </c>
      <c r="R182" s="196" t="n">
        <f aca="false">VLOOKUP($N$1,'Datos Iniciales'!$E$34:$O$64,R$158,FALSE())*R84</f>
        <v>0</v>
      </c>
      <c r="S182" s="196" t="n">
        <f aca="false">VLOOKUP($N$1,'Datos Iniciales'!$E$34:$O$64,S$158,FALSE())*S84</f>
        <v>0</v>
      </c>
      <c r="T182" s="196" t="n">
        <f aca="false">VLOOKUP($N$1,'Datos Iniciales'!$E$34:$O$64,T$158,FALSE())*T84</f>
        <v>0</v>
      </c>
      <c r="U182" s="196" t="n">
        <f aca="false">VLOOKUP($N$1,'Datos Iniciales'!$E$34:$O$64,U$158,FALSE())*U84</f>
        <v>0</v>
      </c>
      <c r="V182" s="196" t="n">
        <f aca="false">VLOOKUP($N$1,'Datos Iniciales'!$E$34:$O$64,V$158,FALSE())*V84</f>
        <v>0</v>
      </c>
      <c r="W182" s="196" t="n">
        <f aca="false">VLOOKUP($N$1,'Datos Iniciales'!$E$34:$O$64,W$158,FALSE())*W84</f>
        <v>0</v>
      </c>
      <c r="X182" s="197" t="n">
        <f aca="false">VLOOKUP($N$1,'Datos Iniciales'!$E$34:$O$64,X$158,FALSE())*X84</f>
        <v>0</v>
      </c>
      <c r="Y182" s="194" t="str">
        <f aca="false">N182</f>
        <v>Alumno23</v>
      </c>
      <c r="Z182" s="208" t="n">
        <f aca="false">VLOOKUP($Y$1,'Datos Iniciales'!$E$34:$O$64,Z$158,FALSE())*Z84</f>
        <v>1.65</v>
      </c>
      <c r="AA182" s="196" t="n">
        <f aca="false">VLOOKUP($Y$1,'Datos Iniciales'!$E$34:$O$64,AA$158,FALSE())*AA84</f>
        <v>0.7</v>
      </c>
      <c r="AB182" s="196" t="n">
        <f aca="false">VLOOKUP($Y$1,'Datos Iniciales'!$E$34:$O$64,AB$158,FALSE())*AB84</f>
        <v>0.5</v>
      </c>
      <c r="AC182" s="196" t="n">
        <f aca="false">VLOOKUP($Y$1,'Datos Iniciales'!$E$34:$O$64,AC$158,FALSE())*AC84</f>
        <v>0</v>
      </c>
      <c r="AD182" s="196" t="n">
        <f aca="false">VLOOKUP($Y$1,'Datos Iniciales'!$E$34:$O$64,AD$158,FALSE())*AD84</f>
        <v>0</v>
      </c>
      <c r="AE182" s="196" t="n">
        <f aca="false">VLOOKUP($Y$1,'Datos Iniciales'!$E$34:$O$64,AE$158,FALSE())*AE84</f>
        <v>0</v>
      </c>
      <c r="AF182" s="196" t="n">
        <f aca="false">VLOOKUP($Y$1,'Datos Iniciales'!$E$34:$O$64,AF$158,FALSE())*AF84</f>
        <v>0</v>
      </c>
      <c r="AG182" s="196" t="n">
        <f aca="false">VLOOKUP($Y$1,'Datos Iniciales'!$E$34:$O$64,AG$158,FALSE())*AG84</f>
        <v>0</v>
      </c>
      <c r="AH182" s="196" t="n">
        <f aca="false">VLOOKUP($Y$1,'Datos Iniciales'!$E$34:$O$64,AH$158,FALSE())*AH84</f>
        <v>0</v>
      </c>
      <c r="AI182" s="197" t="n">
        <f aca="false">VLOOKUP($Y$1,'Datos Iniciales'!$E$34:$O$64,AI$158,FALSE())*AI84</f>
        <v>0</v>
      </c>
      <c r="AJ182" s="194" t="str">
        <f aca="false">Y182</f>
        <v>Alumno23</v>
      </c>
      <c r="AK182" s="208" t="n">
        <f aca="false">VLOOKUP($AJ$1,'Datos Iniciales'!$E$34:$O$64,AK$158,FALSE())*AK84</f>
        <v>0.5</v>
      </c>
      <c r="AL182" s="196" t="n">
        <f aca="false">VLOOKUP($AJ$1,'Datos Iniciales'!$E$34:$O$64,AL$158,FALSE())*AL84</f>
        <v>1.65</v>
      </c>
      <c r="AM182" s="196" t="n">
        <f aca="false">VLOOKUP($AJ$1,'Datos Iniciales'!$E$34:$O$64,AM$158,FALSE())*AM84</f>
        <v>1.225</v>
      </c>
      <c r="AN182" s="196" t="n">
        <f aca="false">VLOOKUP($AJ$1,'Datos Iniciales'!$E$34:$O$64,AN$158,FALSE())*AN84</f>
        <v>0</v>
      </c>
      <c r="AO182" s="196" t="n">
        <f aca="false">VLOOKUP($AJ$1,'Datos Iniciales'!$E$34:$O$64,AO$158,FALSE())*AO84</f>
        <v>0</v>
      </c>
      <c r="AP182" s="196" t="n">
        <f aca="false">VLOOKUP($AJ$1,'Datos Iniciales'!$E$34:$O$64,AP$158,FALSE())*AP84</f>
        <v>0</v>
      </c>
      <c r="AQ182" s="196" t="n">
        <f aca="false">VLOOKUP($AJ$1,'Datos Iniciales'!$E$34:$O$64,AQ$158,FALSE())*AQ84</f>
        <v>0</v>
      </c>
      <c r="AR182" s="196" t="n">
        <f aca="false">VLOOKUP($AJ$1,'Datos Iniciales'!$E$34:$O$64,AR$158,FALSE())*AR84</f>
        <v>0</v>
      </c>
      <c r="AS182" s="196" t="n">
        <f aca="false">VLOOKUP($AJ$1,'Datos Iniciales'!$E$34:$O$64,AS$158,FALSE())*AS84</f>
        <v>0</v>
      </c>
      <c r="AT182" s="197" t="n">
        <f aca="false">VLOOKUP($AJ$1,'Datos Iniciales'!$E$34:$O$64,AT$158,FALSE())*AT84</f>
        <v>0</v>
      </c>
      <c r="AU182" s="194" t="str">
        <f aca="false">AJ182</f>
        <v>Alumno23</v>
      </c>
      <c r="AV182" s="208" t="n">
        <f aca="false">VLOOKUP($AU$1,'Datos Iniciales'!$E$34:$O$64,AV$158,FALSE())*AV84</f>
        <v>0.25</v>
      </c>
      <c r="AW182" s="196" t="n">
        <f aca="false">VLOOKUP($AU$1,'Datos Iniciales'!$E$34:$O$64,AW$158,FALSE())*AW84</f>
        <v>0.6</v>
      </c>
      <c r="AX182" s="196" t="n">
        <f aca="false">VLOOKUP($AU$1,'Datos Iniciales'!$E$34:$O$64,AX$158,FALSE())*AX84</f>
        <v>1.08</v>
      </c>
      <c r="AY182" s="196" t="n">
        <f aca="false">VLOOKUP($AU$1,'Datos Iniciales'!$E$34:$O$64,AY$158,FALSE())*AY84</f>
        <v>0.5</v>
      </c>
      <c r="AZ182" s="196" t="n">
        <f aca="false">VLOOKUP($AU$1,'Datos Iniciales'!$E$34:$O$64,AZ$158,FALSE())*AZ84</f>
        <v>0</v>
      </c>
      <c r="BA182" s="196" t="n">
        <f aca="false">VLOOKUP($AU$1,'Datos Iniciales'!$E$34:$O$64,BA$158,FALSE())*BA84</f>
        <v>0</v>
      </c>
      <c r="BB182" s="196" t="n">
        <f aca="false">VLOOKUP($AU$1,'Datos Iniciales'!$E$34:$O$64,BB$158,FALSE())*BB84</f>
        <v>0</v>
      </c>
      <c r="BC182" s="196" t="n">
        <f aca="false">VLOOKUP($AU$1,'Datos Iniciales'!$E$34:$O$64,BC$158,FALSE())*BC84</f>
        <v>0</v>
      </c>
      <c r="BD182" s="196" t="n">
        <f aca="false">VLOOKUP($AU$1,'Datos Iniciales'!$E$34:$O$64,BD$158,FALSE())*BD84</f>
        <v>0</v>
      </c>
      <c r="BE182" s="197" t="n">
        <f aca="false">VLOOKUP($AU$1,'Datos Iniciales'!$E$34:$O$64,BE$158,FALSE())*BE84</f>
        <v>0</v>
      </c>
      <c r="BF182" s="194" t="str">
        <f aca="false">AU182</f>
        <v>Alumno23</v>
      </c>
      <c r="BG182" s="208" t="n">
        <f aca="false">VLOOKUP($BF$1,'Datos Iniciales'!$E$34:$O$64,BG$158,FALSE())*BG84</f>
        <v>0.5</v>
      </c>
      <c r="BH182" s="196" t="n">
        <f aca="false">VLOOKUP($BF$1,'Datos Iniciales'!$E$34:$O$64,BH$158,FALSE())*BH84</f>
        <v>0.9</v>
      </c>
      <c r="BI182" s="196" t="n">
        <f aca="false">VLOOKUP($BF$1,'Datos Iniciales'!$E$34:$O$64,BI$158,FALSE())*BI84</f>
        <v>0.3</v>
      </c>
      <c r="BJ182" s="196" t="n">
        <f aca="false">VLOOKUP($BF$1,'Datos Iniciales'!$E$34:$O$64,BJ$158,FALSE())*BJ84</f>
        <v>1.84</v>
      </c>
      <c r="BK182" s="196" t="n">
        <f aca="false">VLOOKUP($BF$1,'Datos Iniciales'!$E$34:$O$64,BK$158,FALSE())*BK84</f>
        <v>0</v>
      </c>
      <c r="BL182" s="196" t="n">
        <f aca="false">VLOOKUP($BF$1,'Datos Iniciales'!$E$34:$O$64,BL$158,FALSE())*BL84</f>
        <v>0</v>
      </c>
      <c r="BM182" s="196" t="n">
        <f aca="false">VLOOKUP($BF$1,'Datos Iniciales'!$E$34:$O$64,BM$158,FALSE())*BM84</f>
        <v>0</v>
      </c>
      <c r="BN182" s="196" t="n">
        <f aca="false">VLOOKUP($BF$1,'Datos Iniciales'!$E$34:$O$64,BN$158,FALSE())*BN84</f>
        <v>0</v>
      </c>
      <c r="BO182" s="196" t="n">
        <f aca="false">VLOOKUP($BF$1,'Datos Iniciales'!$E$34:$O$64,BO$158,FALSE())*BO84</f>
        <v>0</v>
      </c>
      <c r="BP182" s="197" t="n">
        <f aca="false">VLOOKUP($BF$1,'Datos Iniciales'!$E$34:$O$64,BP$158,FALSE())*BP84</f>
        <v>0</v>
      </c>
      <c r="BQ182" s="194" t="str">
        <f aca="false">BF182</f>
        <v>Alumno23</v>
      </c>
      <c r="BR182" s="208" t="n">
        <f aca="false">VLOOKUP($BQ$1,'Datos Iniciales'!$E$34:$O$64,BR$158,FALSE())*BR84</f>
        <v>0</v>
      </c>
      <c r="BS182" s="196" t="n">
        <f aca="false">VLOOKUP($BQ$1,'Datos Iniciales'!$E$34:$O$64,BS$158,FALSE())*BS84</f>
        <v>0.45</v>
      </c>
      <c r="BT182" s="196" t="n">
        <f aca="false">VLOOKUP($BQ$1,'Datos Iniciales'!$E$34:$O$64,BT$158,FALSE())*BT84</f>
        <v>1.5</v>
      </c>
      <c r="BU182" s="196" t="n">
        <f aca="false">VLOOKUP($BQ$1,'Datos Iniciales'!$E$34:$O$64,BU$158,FALSE())*BU84</f>
        <v>4.7</v>
      </c>
      <c r="BV182" s="196" t="n">
        <f aca="false">VLOOKUP($BQ$1,'Datos Iniciales'!$E$34:$O$64,BV$158,FALSE())*BV84</f>
        <v>0</v>
      </c>
      <c r="BW182" s="196" t="n">
        <f aca="false">VLOOKUP($BQ$1,'Datos Iniciales'!$E$34:$O$64,BW$158,FALSE())*BW84</f>
        <v>0</v>
      </c>
      <c r="BX182" s="196" t="n">
        <f aca="false">VLOOKUP($BQ$1,'Datos Iniciales'!$E$34:$O$64,BX$158,FALSE())*BX84</f>
        <v>0</v>
      </c>
      <c r="BY182" s="196" t="n">
        <f aca="false">VLOOKUP($BQ$1,'Datos Iniciales'!$E$34:$O$64,BY$158,FALSE())*BY84</f>
        <v>0</v>
      </c>
      <c r="BZ182" s="196" t="n">
        <f aca="false">VLOOKUP($BQ$1,'Datos Iniciales'!$E$34:$O$64,BZ$158,FALSE())*BZ84</f>
        <v>0</v>
      </c>
      <c r="CA182" s="197" t="n">
        <f aca="false">VLOOKUP($BQ$1,'Datos Iniciales'!$E$34:$O$64,CA$158,FALSE())*CA84</f>
        <v>0</v>
      </c>
      <c r="CB182" s="194" t="str">
        <f aca="false">BQ182</f>
        <v>Alumno23</v>
      </c>
      <c r="CC182" s="208" t="n">
        <f aca="false">VLOOKUP($CB$1,'Datos Iniciales'!$E$34:$O$64,CC$158,FALSE())*CC84</f>
        <v>0</v>
      </c>
      <c r="CD182" s="196" t="n">
        <f aca="false">VLOOKUP($CB$1,'Datos Iniciales'!$E$34:$O$64,CD$158,FALSE())*CD84</f>
        <v>0</v>
      </c>
      <c r="CE182" s="196" t="n">
        <f aca="false">VLOOKUP($CB$1,'Datos Iniciales'!$E$34:$O$64,CE$158,FALSE())*CE84</f>
        <v>0</v>
      </c>
      <c r="CF182" s="196" t="n">
        <f aca="false">VLOOKUP($CB$1,'Datos Iniciales'!$E$34:$O$64,CF$158,FALSE())*CF84</f>
        <v>0</v>
      </c>
      <c r="CG182" s="196" t="n">
        <f aca="false">VLOOKUP($CB$1,'Datos Iniciales'!$E$34:$O$64,CG$158,FALSE())*CG84</f>
        <v>0</v>
      </c>
      <c r="CH182" s="196" t="n">
        <f aca="false">VLOOKUP($CB$1,'Datos Iniciales'!$E$34:$O$64,CH$158,FALSE())*CH84</f>
        <v>0</v>
      </c>
      <c r="CI182" s="196" t="n">
        <f aca="false">VLOOKUP($CB$1,'Datos Iniciales'!$E$34:$O$64,CI$158,FALSE())*CI84</f>
        <v>0</v>
      </c>
      <c r="CJ182" s="196" t="n">
        <f aca="false">VLOOKUP($CB$1,'Datos Iniciales'!$E$34:$O$64,CJ$158,FALSE())*CJ84</f>
        <v>0</v>
      </c>
      <c r="CK182" s="196" t="n">
        <f aca="false">VLOOKUP($CB$1,'Datos Iniciales'!$E$34:$O$64,CK$158,FALSE())*CK84</f>
        <v>0</v>
      </c>
      <c r="CL182" s="197" t="n">
        <f aca="false">VLOOKUP($CB$1,'Datos Iniciales'!$E$34:$O$64,CL$158,FALSE())*CL84</f>
        <v>0</v>
      </c>
      <c r="CM182" s="194" t="str">
        <f aca="false">CB182</f>
        <v>Alumno23</v>
      </c>
      <c r="CN182" s="208" t="n">
        <f aca="false">VLOOKUP($CM$1,'Datos Iniciales'!$E$34:$O$64,CN$158,FALSE())*CN84</f>
        <v>0</v>
      </c>
      <c r="CO182" s="196" t="n">
        <f aca="false">VLOOKUP($CM$1,'Datos Iniciales'!$E$34:$O$64,CO$158,FALSE())*CO84</f>
        <v>0</v>
      </c>
      <c r="CP182" s="196" t="n">
        <f aca="false">VLOOKUP($CM$1,'Datos Iniciales'!$E$34:$O$64,CP$158,FALSE())*CP84</f>
        <v>0</v>
      </c>
      <c r="CQ182" s="196" t="n">
        <f aca="false">VLOOKUP($CM$1,'Datos Iniciales'!$E$34:$O$64,CQ$158,FALSE())*CQ84</f>
        <v>0</v>
      </c>
      <c r="CR182" s="196" t="n">
        <f aca="false">VLOOKUP($CM$1,'Datos Iniciales'!$E$34:$O$64,CR$158,FALSE())*CR84</f>
        <v>0</v>
      </c>
      <c r="CS182" s="196" t="n">
        <f aca="false">VLOOKUP($CM$1,'Datos Iniciales'!$E$34:$O$64,CS$158,FALSE())*CS84</f>
        <v>0</v>
      </c>
      <c r="CT182" s="196" t="n">
        <f aca="false">VLOOKUP($CM$1,'Datos Iniciales'!$E$34:$O$64,CT$158,FALSE())*CT84</f>
        <v>0</v>
      </c>
      <c r="CU182" s="196" t="n">
        <f aca="false">VLOOKUP($CM$1,'Datos Iniciales'!$E$34:$O$64,CU$158,FALSE())*CU84</f>
        <v>0</v>
      </c>
      <c r="CV182" s="196" t="n">
        <f aca="false">VLOOKUP($CM$1,'Datos Iniciales'!$E$34:$O$64,CV$158,FALSE())*CV84</f>
        <v>0</v>
      </c>
      <c r="CW182" s="197" t="n">
        <f aca="false">VLOOKUP($CM$1,'Datos Iniciales'!$E$34:$O$64,CW$158,FALSE())*CW84</f>
        <v>0</v>
      </c>
      <c r="CX182" s="194" t="str">
        <f aca="false">CM182</f>
        <v>Alumno23</v>
      </c>
      <c r="CY182" s="208" t="n">
        <f aca="false">VLOOKUP($CX$1,'Datos Iniciales'!$E$34:$O$64,CY$158,FALSE())*CY84</f>
        <v>0</v>
      </c>
      <c r="CZ182" s="196" t="n">
        <f aca="false">VLOOKUP($CX$1,'Datos Iniciales'!$E$34:$O$64,CZ$158,FALSE())*CZ84</f>
        <v>0</v>
      </c>
      <c r="DA182" s="196" t="n">
        <f aca="false">VLOOKUP($CX$1,'Datos Iniciales'!$E$34:$O$64,DA$158,FALSE())*DA84</f>
        <v>0</v>
      </c>
      <c r="DB182" s="196" t="n">
        <f aca="false">VLOOKUP($CX$1,'Datos Iniciales'!$E$34:$O$64,DB$158,FALSE())*DB84</f>
        <v>0</v>
      </c>
      <c r="DC182" s="196" t="n">
        <f aca="false">VLOOKUP($CX$1,'Datos Iniciales'!$E$34:$O$64,DC$158,FALSE())*DC84</f>
        <v>0</v>
      </c>
      <c r="DD182" s="196" t="n">
        <f aca="false">VLOOKUP($CX$1,'Datos Iniciales'!$E$34:$O$64,DD$158,FALSE())*DD84</f>
        <v>0</v>
      </c>
      <c r="DE182" s="196" t="n">
        <f aca="false">VLOOKUP($CX$1,'Datos Iniciales'!$E$34:$O$64,DE$158,FALSE())*DE84</f>
        <v>0</v>
      </c>
      <c r="DF182" s="196" t="n">
        <f aca="false">VLOOKUP($CX$1,'Datos Iniciales'!$E$34:$O$64,DF$158,FALSE())*DF84</f>
        <v>0</v>
      </c>
      <c r="DG182" s="196" t="n">
        <f aca="false">VLOOKUP($CX$1,'Datos Iniciales'!$E$34:$O$64,DG$158,FALSE())*DG84</f>
        <v>0</v>
      </c>
      <c r="DH182" s="197" t="n">
        <f aca="false">VLOOKUP($CX$1,'Datos Iniciales'!$E$34:$O$64,DH$158,FALSE())*DH84</f>
        <v>0</v>
      </c>
      <c r="DI182" s="194" t="str">
        <f aca="false">CX182</f>
        <v>Alumno23</v>
      </c>
      <c r="DJ182" s="208" t="n">
        <f aca="false">VLOOKUP($DI$1,'Datos Iniciales'!$E$34:$O$64,DJ$158,FALSE())*DJ84</f>
        <v>0</v>
      </c>
      <c r="DK182" s="196" t="n">
        <f aca="false">VLOOKUP($DI$1,'Datos Iniciales'!$E$34:$O$64,DK$158,FALSE())*DK84</f>
        <v>0</v>
      </c>
      <c r="DL182" s="196" t="n">
        <f aca="false">VLOOKUP($DI$1,'Datos Iniciales'!$E$34:$O$64,DL$158,FALSE())*DL84</f>
        <v>0</v>
      </c>
      <c r="DM182" s="196" t="n">
        <f aca="false">VLOOKUP($DI$1,'Datos Iniciales'!$E$34:$O$64,DM$158,FALSE())*DM84</f>
        <v>0</v>
      </c>
      <c r="DN182" s="196" t="n">
        <f aca="false">VLOOKUP($DI$1,'Datos Iniciales'!$E$34:$O$64,DN$158,FALSE())*DN84</f>
        <v>0</v>
      </c>
      <c r="DO182" s="196" t="n">
        <f aca="false">VLOOKUP($DI$1,'Datos Iniciales'!$E$34:$O$64,DO$158,FALSE())*DO84</f>
        <v>0</v>
      </c>
      <c r="DP182" s="196" t="n">
        <f aca="false">VLOOKUP($DI$1,'Datos Iniciales'!$E$34:$O$64,DP$158,FALSE())*DP84</f>
        <v>0</v>
      </c>
      <c r="DQ182" s="196" t="n">
        <f aca="false">VLOOKUP($DI$1,'Datos Iniciales'!$E$34:$O$64,DQ$158,FALSE())*DQ84</f>
        <v>0</v>
      </c>
      <c r="DR182" s="196" t="n">
        <f aca="false">VLOOKUP($DI$1,'Datos Iniciales'!$E$34:$O$64,DR$158,FALSE())*DR84</f>
        <v>0</v>
      </c>
      <c r="DS182" s="197" t="n">
        <f aca="false">VLOOKUP($DI$1,'Datos Iniciales'!$E$34:$O$64,DS$158,FALSE())*DS84</f>
        <v>0</v>
      </c>
      <c r="DT182" s="194" t="str">
        <f aca="false">DI182</f>
        <v>Alumno23</v>
      </c>
      <c r="DU182" s="208" t="n">
        <f aca="false">VLOOKUP($DT$1,'Datos Iniciales'!$E$34:$O$64,DU$158,FALSE())*DU84</f>
        <v>0</v>
      </c>
      <c r="DV182" s="196" t="n">
        <f aca="false">VLOOKUP($DT$1,'Datos Iniciales'!$E$34:$O$64,DV$158,FALSE())*DV84</f>
        <v>0</v>
      </c>
      <c r="DW182" s="196" t="n">
        <f aca="false">VLOOKUP($DT$1,'Datos Iniciales'!$E$34:$O$64,DW$158,FALSE())*DW84</f>
        <v>0</v>
      </c>
      <c r="DX182" s="196" t="n">
        <f aca="false">VLOOKUP($DT$1,'Datos Iniciales'!$E$34:$O$64,DX$158,FALSE())*DX84</f>
        <v>0</v>
      </c>
      <c r="DY182" s="196" t="n">
        <f aca="false">VLOOKUP($DT$1,'Datos Iniciales'!$E$34:$O$64,DY$158,FALSE())*DY84</f>
        <v>0</v>
      </c>
      <c r="DZ182" s="196" t="n">
        <f aca="false">VLOOKUP($DT$1,'Datos Iniciales'!$E$34:$O$64,DZ$158,FALSE())*DZ84</f>
        <v>0</v>
      </c>
      <c r="EA182" s="196" t="n">
        <f aca="false">VLOOKUP($DT$1,'Datos Iniciales'!$E$34:$O$64,EA$158,FALSE())*EA84</f>
        <v>0</v>
      </c>
      <c r="EB182" s="196" t="n">
        <f aca="false">VLOOKUP($DT$1,'Datos Iniciales'!$E$34:$O$64,EB$158,FALSE())*EB84</f>
        <v>0</v>
      </c>
      <c r="EC182" s="196" t="n">
        <f aca="false">VLOOKUP($DT$1,'Datos Iniciales'!$E$34:$O$64,EC$158,FALSE())*EC84</f>
        <v>0</v>
      </c>
      <c r="ED182" s="197" t="n">
        <f aca="false">VLOOKUP($DT$1,'Datos Iniciales'!$E$34:$O$64,ED$158,FALSE())*ED84</f>
        <v>0</v>
      </c>
      <c r="EE182" s="194" t="str">
        <f aca="false">DT182</f>
        <v>Alumno23</v>
      </c>
      <c r="EF182" s="208" t="n">
        <f aca="false">VLOOKUP($EE$1,'Datos Iniciales'!$E$34:$O$64,EF$158,FALSE())*EF84</f>
        <v>0</v>
      </c>
      <c r="EG182" s="196" t="n">
        <f aca="false">VLOOKUP($EE$1,'Datos Iniciales'!$E$34:$O$64,EG$158,FALSE())*EG84</f>
        <v>0</v>
      </c>
      <c r="EH182" s="196" t="n">
        <f aca="false">VLOOKUP($EE$1,'Datos Iniciales'!$E$34:$O$64,EH$158,FALSE())*EH84</f>
        <v>0</v>
      </c>
      <c r="EI182" s="196" t="n">
        <f aca="false">VLOOKUP($EE$1,'Datos Iniciales'!$E$34:$O$64,EI$158,FALSE())*EI84</f>
        <v>0</v>
      </c>
      <c r="EJ182" s="196" t="n">
        <f aca="false">VLOOKUP($EE$1,'Datos Iniciales'!$E$34:$O$64,EJ$158,FALSE())*EJ84</f>
        <v>0</v>
      </c>
      <c r="EK182" s="196" t="n">
        <f aca="false">VLOOKUP($EE$1,'Datos Iniciales'!$E$34:$O$64,EK$158,FALSE())*EK84</f>
        <v>0</v>
      </c>
      <c r="EL182" s="196" t="n">
        <f aca="false">VLOOKUP($EE$1,'Datos Iniciales'!$E$34:$O$64,EL$158,FALSE())*EL84</f>
        <v>0</v>
      </c>
      <c r="EM182" s="196" t="n">
        <f aca="false">VLOOKUP($EE$1,'Datos Iniciales'!$E$34:$O$64,EM$158,FALSE())*EM84</f>
        <v>0</v>
      </c>
      <c r="EN182" s="196" t="n">
        <f aca="false">VLOOKUP($EE$1,'Datos Iniciales'!$E$34:$O$64,EN$158,FALSE())*EN84</f>
        <v>0</v>
      </c>
      <c r="EO182" s="197" t="n">
        <f aca="false">VLOOKUP($EE$1,'Datos Iniciales'!$E$34:$O$64,EO$158,FALSE())*EO84</f>
        <v>0</v>
      </c>
      <c r="EP182" s="194" t="str">
        <f aca="false">EE182</f>
        <v>Alumno23</v>
      </c>
      <c r="EQ182" s="208" t="n">
        <f aca="false">VLOOKUP($EP$1,'Datos Iniciales'!$E$34:$O$64,EQ$158,FALSE())*EQ84</f>
        <v>0</v>
      </c>
      <c r="ER182" s="196" t="n">
        <f aca="false">VLOOKUP($EP$1,'Datos Iniciales'!$E$34:$O$64,ER$158,FALSE())*ER84</f>
        <v>0</v>
      </c>
      <c r="ES182" s="196" t="n">
        <f aca="false">VLOOKUP($EP$1,'Datos Iniciales'!$E$34:$O$64,ES$158,FALSE())*ES84</f>
        <v>0</v>
      </c>
      <c r="ET182" s="196" t="n">
        <f aca="false">VLOOKUP($EP$1,'Datos Iniciales'!$E$34:$O$64,ET$158,FALSE())*ET84</f>
        <v>0</v>
      </c>
      <c r="EU182" s="196" t="n">
        <f aca="false">VLOOKUP($EP$1,'Datos Iniciales'!$E$34:$O$64,EU$158,FALSE())*EU84</f>
        <v>0</v>
      </c>
      <c r="EV182" s="196" t="n">
        <f aca="false">VLOOKUP($EP$1,'Datos Iniciales'!$E$34:$O$64,EV$158,FALSE())*EV84</f>
        <v>0</v>
      </c>
      <c r="EW182" s="196" t="n">
        <f aca="false">VLOOKUP($EP$1,'Datos Iniciales'!$E$34:$O$64,EW$158,FALSE())*EW84</f>
        <v>0</v>
      </c>
      <c r="EX182" s="196" t="n">
        <f aca="false">VLOOKUP($EP$1,'Datos Iniciales'!$E$34:$O$64,EX$158,FALSE())*EX84</f>
        <v>0</v>
      </c>
      <c r="EY182" s="196" t="n">
        <f aca="false">VLOOKUP($EP$1,'Datos Iniciales'!$E$34:$O$64,EY$158,FALSE())*EY84</f>
        <v>0</v>
      </c>
      <c r="EZ182" s="197" t="n">
        <f aca="false">VLOOKUP($EP$1,'Datos Iniciales'!$E$34:$O$64,EZ$158,FALSE())*EZ84</f>
        <v>0</v>
      </c>
      <c r="FA182" s="194" t="str">
        <f aca="false">EP182</f>
        <v>Alumno23</v>
      </c>
      <c r="FB182" s="208" t="n">
        <f aca="false">VLOOKUP($FA$1,'Datos Iniciales'!$E$34:$O$64,FB$158,FALSE())*FB84</f>
        <v>0</v>
      </c>
      <c r="FC182" s="196" t="n">
        <f aca="false">VLOOKUP($FA$1,'Datos Iniciales'!$E$34:$O$64,FC$158,FALSE())*FC84</f>
        <v>0</v>
      </c>
      <c r="FD182" s="196" t="n">
        <f aca="false">VLOOKUP($FA$1,'Datos Iniciales'!$E$34:$O$64,FD$158,FALSE())*FD84</f>
        <v>0</v>
      </c>
      <c r="FE182" s="196" t="n">
        <f aca="false">VLOOKUP($FA$1,'Datos Iniciales'!$E$34:$O$64,FE$158,FALSE())*FE84</f>
        <v>0</v>
      </c>
      <c r="FF182" s="196" t="n">
        <f aca="false">VLOOKUP($FA$1,'Datos Iniciales'!$E$34:$O$64,FF$158,FALSE())*FF84</f>
        <v>0</v>
      </c>
      <c r="FG182" s="196" t="n">
        <f aca="false">VLOOKUP($FA$1,'Datos Iniciales'!$E$34:$O$64,FG$158,FALSE())*FG84</f>
        <v>0</v>
      </c>
      <c r="FH182" s="196" t="n">
        <f aca="false">VLOOKUP($FA$1,'Datos Iniciales'!$E$34:$O$64,FH$158,FALSE())*FH84</f>
        <v>0</v>
      </c>
      <c r="FI182" s="196" t="n">
        <f aca="false">VLOOKUP($FA$1,'Datos Iniciales'!$E$34:$O$64,FI$158,FALSE())*FI84</f>
        <v>0</v>
      </c>
      <c r="FJ182" s="196" t="n">
        <f aca="false">VLOOKUP($FA$1,'Datos Iniciales'!$E$34:$O$64,FJ$158,FALSE())*FJ84</f>
        <v>0</v>
      </c>
      <c r="FK182" s="197" t="n">
        <f aca="false">VLOOKUP($FA$1,'Datos Iniciales'!$E$34:$O$64,FK$158,FALSE())*FK84</f>
        <v>0</v>
      </c>
      <c r="FL182" s="194" t="str">
        <f aca="false">FA182</f>
        <v>Alumno23</v>
      </c>
      <c r="FM182" s="208" t="n">
        <f aca="false">VLOOKUP($FL$1,'Datos Iniciales'!$E$34:$O$64,FM$158,FALSE())*FM84</f>
        <v>0</v>
      </c>
      <c r="FN182" s="196" t="n">
        <f aca="false">VLOOKUP($FL$1,'Datos Iniciales'!$E$34:$O$64,FN$158,FALSE())*FN84</f>
        <v>0</v>
      </c>
      <c r="FO182" s="196" t="n">
        <f aca="false">VLOOKUP($FL$1,'Datos Iniciales'!$E$34:$O$64,FO$158,FALSE())*FO84</f>
        <v>0</v>
      </c>
      <c r="FP182" s="196" t="n">
        <f aca="false">VLOOKUP($FL$1,'Datos Iniciales'!$E$34:$O$64,FP$158,FALSE())*FP84</f>
        <v>0</v>
      </c>
      <c r="FQ182" s="196" t="n">
        <f aca="false">VLOOKUP($FL$1,'Datos Iniciales'!$E$34:$O$64,FQ$158,FALSE())*FQ84</f>
        <v>0</v>
      </c>
      <c r="FR182" s="196" t="n">
        <f aca="false">VLOOKUP($FL$1,'Datos Iniciales'!$E$34:$O$64,FR$158,FALSE())*FR84</f>
        <v>0</v>
      </c>
      <c r="FS182" s="196" t="n">
        <f aca="false">VLOOKUP($FL$1,'Datos Iniciales'!$E$34:$O$64,FS$158,FALSE())*FS84</f>
        <v>0</v>
      </c>
      <c r="FT182" s="196" t="n">
        <f aca="false">VLOOKUP($FL$1,'Datos Iniciales'!$E$34:$O$64,FT$158,FALSE())*FT84</f>
        <v>0</v>
      </c>
      <c r="FU182" s="196" t="n">
        <f aca="false">VLOOKUP($FL$1,'Datos Iniciales'!$E$34:$O$64,FU$158,FALSE())*FU84</f>
        <v>0</v>
      </c>
      <c r="FV182" s="197" t="n">
        <f aca="false">VLOOKUP($FL$1,'Datos Iniciales'!$E$34:$O$64,FV$158,FALSE())*FV84</f>
        <v>0</v>
      </c>
      <c r="FW182" s="194" t="str">
        <f aca="false">FL182</f>
        <v>Alumno23</v>
      </c>
      <c r="FX182" s="208" t="n">
        <f aca="false">VLOOKUP($FW$1,'Datos Iniciales'!$E$34:$O$64,FX$158,FALSE())*FX84</f>
        <v>0</v>
      </c>
      <c r="FY182" s="196" t="n">
        <f aca="false">VLOOKUP($FW$1,'Datos Iniciales'!$E$34:$O$64,FY$158,FALSE())*FY84</f>
        <v>0</v>
      </c>
      <c r="FZ182" s="196" t="n">
        <f aca="false">VLOOKUP($FW$1,'Datos Iniciales'!$E$34:$O$64,FZ$158,FALSE())*FZ84</f>
        <v>0</v>
      </c>
      <c r="GA182" s="196" t="n">
        <f aca="false">VLOOKUP($FW$1,'Datos Iniciales'!$E$34:$O$64,GA$158,FALSE())*GA84</f>
        <v>0</v>
      </c>
      <c r="GB182" s="196" t="n">
        <f aca="false">VLOOKUP($FW$1,'Datos Iniciales'!$E$34:$O$64,GB$158,FALSE())*GB84</f>
        <v>0</v>
      </c>
      <c r="GC182" s="196" t="n">
        <f aca="false">VLOOKUP($FW$1,'Datos Iniciales'!$E$34:$O$64,GC$158,FALSE())*GC84</f>
        <v>0</v>
      </c>
      <c r="GD182" s="196" t="n">
        <f aca="false">VLOOKUP($FW$1,'Datos Iniciales'!$E$34:$O$64,GD$158,FALSE())*GD84</f>
        <v>0</v>
      </c>
      <c r="GE182" s="196" t="n">
        <f aca="false">VLOOKUP($FW$1,'Datos Iniciales'!$E$34:$O$64,GE$158,FALSE())*GE84</f>
        <v>0</v>
      </c>
      <c r="GF182" s="196" t="n">
        <f aca="false">VLOOKUP($FW$1,'Datos Iniciales'!$E$34:$O$64,GF$158,FALSE())*GF84</f>
        <v>0</v>
      </c>
      <c r="GG182" s="197" t="n">
        <f aca="false">VLOOKUP($FW$1,'Datos Iniciales'!$E$34:$O$64,GG$158,FALSE())*GG84</f>
        <v>0</v>
      </c>
      <c r="GH182" s="194" t="str">
        <f aca="false">FW182</f>
        <v>Alumno23</v>
      </c>
      <c r="GI182" s="208" t="n">
        <f aca="false">VLOOKUP($GH$1,'Datos Iniciales'!$E$34:$O$64,GI$158,FALSE())*GI84</f>
        <v>0</v>
      </c>
      <c r="GJ182" s="196" t="n">
        <f aca="false">VLOOKUP($GH$1,'Datos Iniciales'!$E$34:$O$64,GJ$158,FALSE())*GJ84</f>
        <v>0</v>
      </c>
      <c r="GK182" s="196" t="n">
        <f aca="false">VLOOKUP($GH$1,'Datos Iniciales'!$E$34:$O$64,GK$158,FALSE())*GK84</f>
        <v>0</v>
      </c>
      <c r="GL182" s="196" t="n">
        <f aca="false">VLOOKUP($GH$1,'Datos Iniciales'!$E$34:$O$64,GL$158,FALSE())*GL84</f>
        <v>0</v>
      </c>
      <c r="GM182" s="196" t="n">
        <f aca="false">VLOOKUP($GH$1,'Datos Iniciales'!$E$34:$O$64,GM$158,FALSE())*GM84</f>
        <v>0</v>
      </c>
      <c r="GN182" s="196" t="n">
        <f aca="false">VLOOKUP($GH$1,'Datos Iniciales'!$E$34:$O$64,GN$158,FALSE())*GN84</f>
        <v>0</v>
      </c>
      <c r="GO182" s="196" t="n">
        <f aca="false">VLOOKUP($GH$1,'Datos Iniciales'!$E$34:$O$64,GO$158,FALSE())*GO84</f>
        <v>0</v>
      </c>
      <c r="GP182" s="196" t="n">
        <f aca="false">VLOOKUP($GH$1,'Datos Iniciales'!$E$34:$O$64,GP$158,FALSE())*GP84</f>
        <v>0</v>
      </c>
      <c r="GQ182" s="196" t="n">
        <f aca="false">VLOOKUP($GH$1,'Datos Iniciales'!$E$34:$O$64,GQ$158,FALSE())*GQ84</f>
        <v>0</v>
      </c>
      <c r="GR182" s="197" t="n">
        <f aca="false">VLOOKUP($GH$1,'Datos Iniciales'!$E$34:$O$64,GR$158,FALSE())*GR84</f>
        <v>0</v>
      </c>
      <c r="GS182" s="194" t="str">
        <f aca="false">GH182</f>
        <v>Alumno23</v>
      </c>
      <c r="GT182" s="208" t="n">
        <f aca="false">VLOOKUP($GS$1,'Datos Iniciales'!$E$34:$O$64,GT$158,FALSE())*GT84</f>
        <v>0</v>
      </c>
      <c r="GU182" s="196" t="n">
        <f aca="false">VLOOKUP($GS$1,'Datos Iniciales'!$E$34:$O$64,GU$158,FALSE())*GU84</f>
        <v>0</v>
      </c>
      <c r="GV182" s="196" t="n">
        <f aca="false">VLOOKUP($GS$1,'Datos Iniciales'!$E$34:$O$64,GV$158,FALSE())*GV84</f>
        <v>0</v>
      </c>
      <c r="GW182" s="196" t="n">
        <f aca="false">VLOOKUP($GS$1,'Datos Iniciales'!$E$34:$O$64,GW$158,FALSE())*GW84</f>
        <v>0</v>
      </c>
      <c r="GX182" s="196" t="n">
        <f aca="false">VLOOKUP($GS$1,'Datos Iniciales'!$E$34:$O$64,GX$158,FALSE())*GX84</f>
        <v>0</v>
      </c>
      <c r="GY182" s="196" t="n">
        <f aca="false">VLOOKUP($GS$1,'Datos Iniciales'!$E$34:$O$64,GY$158,FALSE())*GY84</f>
        <v>0</v>
      </c>
      <c r="GZ182" s="196" t="n">
        <f aca="false">VLOOKUP($GS$1,'Datos Iniciales'!$E$34:$O$64,GZ$158,FALSE())*GZ84</f>
        <v>0</v>
      </c>
      <c r="HA182" s="196" t="n">
        <f aca="false">VLOOKUP($GS$1,'Datos Iniciales'!$E$34:$O$64,HA$158,FALSE())*HA84</f>
        <v>0</v>
      </c>
      <c r="HB182" s="196" t="n">
        <f aca="false">VLOOKUP($GS$1,'Datos Iniciales'!$E$34:$O$64,HB$158,FALSE())*HB84</f>
        <v>0</v>
      </c>
      <c r="HC182" s="197" t="n">
        <f aca="false">VLOOKUP($GS$1,'Datos Iniciales'!$E$34:$O$64,HC$158,FALSE())*HC84</f>
        <v>0</v>
      </c>
      <c r="HD182" s="194" t="str">
        <f aca="false">GS182</f>
        <v>Alumno23</v>
      </c>
      <c r="HE182" s="208" t="n">
        <f aca="false">VLOOKUP($HD$1,'Datos Iniciales'!$E$34:$O$64,HE$158,FALSE())*HE84</f>
        <v>0</v>
      </c>
      <c r="HF182" s="196" t="n">
        <f aca="false">VLOOKUP($HD$1,'Datos Iniciales'!$E$34:$O$64,HF$158,FALSE())*HF84</f>
        <v>0</v>
      </c>
      <c r="HG182" s="196" t="n">
        <f aca="false">VLOOKUP($HD$1,'Datos Iniciales'!$E$34:$O$64,HG$158,FALSE())*HG84</f>
        <v>0</v>
      </c>
      <c r="HH182" s="196" t="n">
        <f aca="false">VLOOKUP($HD$1,'Datos Iniciales'!$E$34:$O$64,HH$158,FALSE())*HH84</f>
        <v>0</v>
      </c>
      <c r="HI182" s="196" t="n">
        <f aca="false">VLOOKUP($HD$1,'Datos Iniciales'!$E$34:$O$64,HI$158,FALSE())*HI84</f>
        <v>0</v>
      </c>
      <c r="HJ182" s="196" t="n">
        <f aca="false">VLOOKUP($HD$1,'Datos Iniciales'!$E$34:$O$64,HJ$158,FALSE())*HJ84</f>
        <v>0</v>
      </c>
      <c r="HK182" s="196" t="n">
        <f aca="false">VLOOKUP($HD$1,'Datos Iniciales'!$E$34:$O$64,HK$158,FALSE())*HK84</f>
        <v>0</v>
      </c>
      <c r="HL182" s="196" t="n">
        <f aca="false">VLOOKUP($HD$1,'Datos Iniciales'!$E$34:$O$64,HL$158,FALSE())*HL84</f>
        <v>0</v>
      </c>
      <c r="HM182" s="196" t="n">
        <f aca="false">VLOOKUP($HD$1,'Datos Iniciales'!$E$34:$O$64,HM$158,FALSE())*HM84</f>
        <v>0</v>
      </c>
      <c r="HN182" s="197" t="n">
        <f aca="false">VLOOKUP($HD$1,'Datos Iniciales'!$E$34:$O$64,HN$158,FALSE())*HN84</f>
        <v>0</v>
      </c>
      <c r="HO182" s="194" t="str">
        <f aca="false">HD182</f>
        <v>Alumno23</v>
      </c>
      <c r="HP182" s="208" t="n">
        <f aca="false">VLOOKUP($HO$1,'Datos Iniciales'!$E$34:$O$64,HP$158,FALSE())*HP84</f>
        <v>0</v>
      </c>
      <c r="HQ182" s="196" t="n">
        <f aca="false">VLOOKUP($HO$1,'Datos Iniciales'!$E$34:$O$64,HQ$158,FALSE())*HQ84</f>
        <v>0</v>
      </c>
      <c r="HR182" s="196" t="n">
        <f aca="false">VLOOKUP($HO$1,'Datos Iniciales'!$E$34:$O$64,HR$158,FALSE())*HR84</f>
        <v>0</v>
      </c>
      <c r="HS182" s="196" t="n">
        <f aca="false">VLOOKUP($HO$1,'Datos Iniciales'!$E$34:$O$64,HS$158,FALSE())*HS84</f>
        <v>0</v>
      </c>
      <c r="HT182" s="196" t="n">
        <f aca="false">VLOOKUP($HO$1,'Datos Iniciales'!$E$34:$O$64,HT$158,FALSE())*HT84</f>
        <v>0</v>
      </c>
      <c r="HU182" s="196" t="n">
        <f aca="false">VLOOKUP($HO$1,'Datos Iniciales'!$E$34:$O$64,HU$158,FALSE())*HU84</f>
        <v>0</v>
      </c>
      <c r="HV182" s="196" t="n">
        <f aca="false">VLOOKUP($HO$1,'Datos Iniciales'!$E$34:$O$64,HV$158,FALSE())*HV84</f>
        <v>0</v>
      </c>
      <c r="HW182" s="196" t="n">
        <f aca="false">VLOOKUP($HO$1,'Datos Iniciales'!$E$34:$O$64,HW$158,FALSE())*HW84</f>
        <v>0</v>
      </c>
      <c r="HX182" s="196" t="n">
        <f aca="false">VLOOKUP($HO$1,'Datos Iniciales'!$E$34:$O$64,HX$158,FALSE())*HX84</f>
        <v>0</v>
      </c>
      <c r="HY182" s="197" t="n">
        <f aca="false">VLOOKUP($HO$1,'Datos Iniciales'!$E$34:$O$64,HY$158,FALSE())*HY84</f>
        <v>0</v>
      </c>
      <c r="HZ182" s="194" t="str">
        <f aca="false">HO182</f>
        <v>Alumno23</v>
      </c>
      <c r="IA182" s="208" t="n">
        <f aca="false">VLOOKUP($HZ$1,'Datos Iniciales'!$E$34:$O$64,IA$158,FALSE())*IA84</f>
        <v>0</v>
      </c>
      <c r="IB182" s="196" t="n">
        <f aca="false">VLOOKUP($HZ$1,'Datos Iniciales'!$E$34:$O$64,IB$158,FALSE())*IB84</f>
        <v>0</v>
      </c>
      <c r="IC182" s="196" t="n">
        <f aca="false">VLOOKUP($HZ$1,'Datos Iniciales'!$E$34:$O$64,IC$158,FALSE())*IC84</f>
        <v>0</v>
      </c>
      <c r="ID182" s="196" t="n">
        <f aca="false">VLOOKUP($HZ$1,'Datos Iniciales'!$E$34:$O$64,ID$158,FALSE())*ID84</f>
        <v>0</v>
      </c>
      <c r="IE182" s="196" t="n">
        <f aca="false">VLOOKUP($HZ$1,'Datos Iniciales'!$E$34:$O$64,IE$158,FALSE())*IE84</f>
        <v>0</v>
      </c>
      <c r="IF182" s="196" t="n">
        <f aca="false">VLOOKUP($HZ$1,'Datos Iniciales'!$E$34:$O$64,IF$158,FALSE())*IF84</f>
        <v>0</v>
      </c>
      <c r="IG182" s="196" t="n">
        <f aca="false">VLOOKUP($HZ$1,'Datos Iniciales'!$E$34:$O$64,IG$158,FALSE())*IG84</f>
        <v>0</v>
      </c>
      <c r="IH182" s="196" t="n">
        <f aca="false">VLOOKUP($HZ$1,'Datos Iniciales'!$E$34:$O$64,IH$158,FALSE())*IH84</f>
        <v>0</v>
      </c>
      <c r="II182" s="196" t="n">
        <f aca="false">VLOOKUP($HZ$1,'Datos Iniciales'!$E$34:$O$64,II$158,FALSE())*II84</f>
        <v>0</v>
      </c>
      <c r="IJ182" s="197" t="n">
        <f aca="false">VLOOKUP($HZ$1,'Datos Iniciales'!$E$34:$O$64,IJ$158,FALSE())*IJ84</f>
        <v>0</v>
      </c>
      <c r="IK182" s="194" t="str">
        <f aca="false">HZ182</f>
        <v>Alumno23</v>
      </c>
      <c r="IL182" s="208" t="n">
        <f aca="false">VLOOKUP($IK$1,'Datos Iniciales'!$E$34:$O$64,IL$158,FALSE())*IL84</f>
        <v>0</v>
      </c>
      <c r="IM182" s="196" t="n">
        <f aca="false">VLOOKUP($IK$1,'Datos Iniciales'!$E$34:$O$64,IM$158,FALSE())*IM84</f>
        <v>0</v>
      </c>
      <c r="IN182" s="196" t="n">
        <f aca="false">VLOOKUP($IK$1,'Datos Iniciales'!$E$34:$O$64,IN$158,FALSE())*IN84</f>
        <v>0</v>
      </c>
      <c r="IO182" s="196" t="n">
        <f aca="false">VLOOKUP($IK$1,'Datos Iniciales'!$E$34:$O$64,IO$158,FALSE())*IO84</f>
        <v>0</v>
      </c>
      <c r="IP182" s="196" t="n">
        <f aca="false">VLOOKUP($IK$1,'Datos Iniciales'!$E$34:$O$64,IP$158,FALSE())*IP84</f>
        <v>0</v>
      </c>
      <c r="IQ182" s="196" t="n">
        <f aca="false">VLOOKUP($IK$1,'Datos Iniciales'!$E$34:$O$64,IQ$158,FALSE())*IQ84</f>
        <v>0</v>
      </c>
      <c r="IR182" s="196" t="n">
        <f aca="false">VLOOKUP($IK$1,'Datos Iniciales'!$E$34:$O$64,IR$158,FALSE())*IR84</f>
        <v>0</v>
      </c>
      <c r="IS182" s="196" t="n">
        <f aca="false">VLOOKUP($IK$1,'Datos Iniciales'!$E$34:$O$64,IS$158,FALSE())*IS84</f>
        <v>0</v>
      </c>
      <c r="IT182" s="196" t="n">
        <f aca="false">VLOOKUP($IK$1,'Datos Iniciales'!$E$34:$O$64,IT$158,FALSE())*IT84</f>
        <v>0</v>
      </c>
      <c r="IU182" s="197" t="n">
        <f aca="false">VLOOKUP($IK$1,'Datos Iniciales'!$E$34:$O$64,IU$158,FALSE())*IU84</f>
        <v>0</v>
      </c>
      <c r="IV182" s="194" t="str">
        <f aca="false">IK182</f>
        <v>Alumno23</v>
      </c>
      <c r="IW182" s="208" t="n">
        <f aca="false">VLOOKUP($IV$1,'Datos Iniciales'!$E$34:$O$64,IW$158,FALSE())*IW84</f>
        <v>0</v>
      </c>
      <c r="IX182" s="196" t="n">
        <f aca="false">VLOOKUP($IV$1,'Datos Iniciales'!$E$34:$O$64,IX$158,FALSE())*IX84</f>
        <v>0</v>
      </c>
      <c r="IY182" s="196" t="n">
        <f aca="false">VLOOKUP($IV$1,'Datos Iniciales'!$E$34:$O$64,IY$158,FALSE())*IY84</f>
        <v>0</v>
      </c>
      <c r="IZ182" s="196" t="n">
        <f aca="false">VLOOKUP($IV$1,'Datos Iniciales'!$E$34:$O$64,IZ$158,FALSE())*IZ84</f>
        <v>0</v>
      </c>
      <c r="JA182" s="196" t="n">
        <f aca="false">VLOOKUP($IV$1,'Datos Iniciales'!$E$34:$O$64,JA$158,FALSE())*JA84</f>
        <v>0</v>
      </c>
      <c r="JB182" s="196" t="n">
        <f aca="false">VLOOKUP($IV$1,'Datos Iniciales'!$E$34:$O$64,JB$158,FALSE())*JB84</f>
        <v>0</v>
      </c>
      <c r="JC182" s="196" t="n">
        <f aca="false">VLOOKUP($IV$1,'Datos Iniciales'!$E$34:$O$64,JC$158,FALSE())*JC84</f>
        <v>0</v>
      </c>
      <c r="JD182" s="196" t="n">
        <f aca="false">VLOOKUP($IV$1,'Datos Iniciales'!$E$34:$O$64,JD$158,FALSE())*JD84</f>
        <v>0</v>
      </c>
      <c r="JE182" s="196" t="n">
        <f aca="false">VLOOKUP($IV$1,'Datos Iniciales'!$E$34:$O$64,JE$158,FALSE())*JE84</f>
        <v>0</v>
      </c>
      <c r="JF182" s="197" t="n">
        <f aca="false">VLOOKUP($IV$1,'Datos Iniciales'!$E$34:$O$64,JF$158,FALSE())*JF84</f>
        <v>0</v>
      </c>
      <c r="JG182" s="194" t="str">
        <f aca="false">IV182</f>
        <v>Alumno23</v>
      </c>
      <c r="JH182" s="208" t="n">
        <f aca="false">VLOOKUP($JG$1,'Datos Iniciales'!$E$34:$O$64,JH$158,FALSE())*JH84</f>
        <v>0</v>
      </c>
      <c r="JI182" s="196" t="n">
        <f aca="false">VLOOKUP($JG$1,'Datos Iniciales'!$E$34:$O$64,JI$158,FALSE())*JI84</f>
        <v>0</v>
      </c>
      <c r="JJ182" s="196" t="n">
        <f aca="false">VLOOKUP($JG$1,'Datos Iniciales'!$E$34:$O$64,JJ$158,FALSE())*JJ84</f>
        <v>0</v>
      </c>
      <c r="JK182" s="196" t="n">
        <f aca="false">VLOOKUP($JG$1,'Datos Iniciales'!$E$34:$O$64,JK$158,FALSE())*JK84</f>
        <v>0</v>
      </c>
      <c r="JL182" s="196" t="n">
        <f aca="false">VLOOKUP($JG$1,'Datos Iniciales'!$E$34:$O$64,JL$158,FALSE())*JL84</f>
        <v>0</v>
      </c>
      <c r="JM182" s="196" t="n">
        <f aca="false">VLOOKUP($JG$1,'Datos Iniciales'!$E$34:$O$64,JM$158,FALSE())*JM84</f>
        <v>0</v>
      </c>
      <c r="JN182" s="196" t="n">
        <f aca="false">VLOOKUP($JG$1,'Datos Iniciales'!$E$34:$O$64,JN$158,FALSE())*JN84</f>
        <v>0</v>
      </c>
      <c r="JO182" s="196" t="n">
        <f aca="false">VLOOKUP($JG$1,'Datos Iniciales'!$E$34:$O$64,JO$158,FALSE())*JO84</f>
        <v>0</v>
      </c>
      <c r="JP182" s="196" t="n">
        <f aca="false">VLOOKUP($JG$1,'Datos Iniciales'!$E$34:$O$64,JP$158,FALSE())*JP84</f>
        <v>0</v>
      </c>
      <c r="JQ182" s="197" t="n">
        <f aca="false">VLOOKUP($JG$1,'Datos Iniciales'!$E$34:$O$64,JQ$158,FALSE())*JQ84</f>
        <v>0</v>
      </c>
      <c r="JR182" s="194" t="str">
        <f aca="false">JG182</f>
        <v>Alumno23</v>
      </c>
      <c r="JS182" s="208" t="n">
        <f aca="false">VLOOKUP($JR$1,'Datos Iniciales'!$E$34:$O$64,JS$158,FALSE())*JS84</f>
        <v>0</v>
      </c>
      <c r="JT182" s="196" t="n">
        <f aca="false">VLOOKUP($JR$1,'Datos Iniciales'!$E$34:$O$64,JT$158,FALSE())*JT84</f>
        <v>0</v>
      </c>
      <c r="JU182" s="196" t="n">
        <f aca="false">VLOOKUP($JR$1,'Datos Iniciales'!$E$34:$O$64,JU$158,FALSE())*JU84</f>
        <v>0</v>
      </c>
      <c r="JV182" s="196" t="n">
        <f aca="false">VLOOKUP($JR$1,'Datos Iniciales'!$E$34:$O$64,JV$158,FALSE())*JV84</f>
        <v>0</v>
      </c>
      <c r="JW182" s="196" t="n">
        <f aca="false">VLOOKUP($JR$1,'Datos Iniciales'!$E$34:$O$64,JW$158,FALSE())*JW84</f>
        <v>0</v>
      </c>
      <c r="JX182" s="196" t="n">
        <f aca="false">VLOOKUP($JR$1,'Datos Iniciales'!$E$34:$O$64,JX$158,FALSE())*JX84</f>
        <v>0</v>
      </c>
      <c r="JY182" s="196" t="n">
        <f aca="false">VLOOKUP($JR$1,'Datos Iniciales'!$E$34:$O$64,JY$158,FALSE())*JY84</f>
        <v>0</v>
      </c>
      <c r="JZ182" s="196" t="n">
        <f aca="false">VLOOKUP($JR$1,'Datos Iniciales'!$E$34:$O$64,JZ$158,FALSE())*JZ84</f>
        <v>0</v>
      </c>
      <c r="KA182" s="196" t="n">
        <f aca="false">VLOOKUP($JR$1,'Datos Iniciales'!$E$34:$O$64,KA$158,FALSE())*KA84</f>
        <v>0</v>
      </c>
      <c r="KB182" s="197" t="n">
        <f aca="false">VLOOKUP($JR$1,'Datos Iniciales'!$E$34:$O$64,KB$158,FALSE())*KB84</f>
        <v>0</v>
      </c>
      <c r="KC182" s="194" t="str">
        <f aca="false">JR182</f>
        <v>Alumno23</v>
      </c>
      <c r="KD182" s="208" t="n">
        <f aca="false">VLOOKUP($KC$1,'Datos Iniciales'!$E$34:$O$64,KD$158,FALSE())*KD84</f>
        <v>0</v>
      </c>
      <c r="KE182" s="196" t="n">
        <f aca="false">VLOOKUP($KC$1,'Datos Iniciales'!$E$34:$O$64,KE$158,FALSE())*KE84</f>
        <v>0</v>
      </c>
      <c r="KF182" s="196" t="n">
        <f aca="false">VLOOKUP($KC$1,'Datos Iniciales'!$E$34:$O$64,KF$158,FALSE())*KF84</f>
        <v>0</v>
      </c>
      <c r="KG182" s="196" t="n">
        <f aca="false">VLOOKUP($KC$1,'Datos Iniciales'!$E$34:$O$64,KG$158,FALSE())*KG84</f>
        <v>0</v>
      </c>
      <c r="KH182" s="196" t="n">
        <f aca="false">VLOOKUP($KC$1,'Datos Iniciales'!$E$34:$O$64,KH$158,FALSE())*KH84</f>
        <v>0</v>
      </c>
      <c r="KI182" s="196" t="n">
        <f aca="false">VLOOKUP($KC$1,'Datos Iniciales'!$E$34:$O$64,KI$158,FALSE())*KI84</f>
        <v>0</v>
      </c>
      <c r="KJ182" s="196" t="n">
        <f aca="false">VLOOKUP($KC$1,'Datos Iniciales'!$E$34:$O$64,KJ$158,FALSE())*KJ84</f>
        <v>0</v>
      </c>
      <c r="KK182" s="196" t="n">
        <f aca="false">VLOOKUP($KC$1,'Datos Iniciales'!$E$34:$O$64,KK$158,FALSE())*KK84</f>
        <v>0</v>
      </c>
      <c r="KL182" s="196" t="n">
        <f aca="false">VLOOKUP($KC$1,'Datos Iniciales'!$E$34:$O$64,KL$158,FALSE())*KL84</f>
        <v>0</v>
      </c>
      <c r="KM182" s="197" t="n">
        <f aca="false">VLOOKUP($KC$1,'Datos Iniciales'!$E$34:$O$64,KM$158,FALSE())*KM84</f>
        <v>0</v>
      </c>
      <c r="KN182" s="194" t="str">
        <f aca="false">KC182</f>
        <v>Alumno23</v>
      </c>
      <c r="KO182" s="208" t="n">
        <f aca="false">VLOOKUP($KN$1,'Datos Iniciales'!$E$34:$O$64,KO$158,FALSE())*KO84</f>
        <v>0</v>
      </c>
      <c r="KP182" s="196" t="n">
        <f aca="false">VLOOKUP($KN$1,'Datos Iniciales'!$E$34:$O$64,KP$158,FALSE())*KP84</f>
        <v>0</v>
      </c>
      <c r="KQ182" s="196" t="n">
        <f aca="false">VLOOKUP($KN$1,'Datos Iniciales'!$E$34:$O$64,KQ$158,FALSE())*KQ84</f>
        <v>0</v>
      </c>
      <c r="KR182" s="196" t="n">
        <f aca="false">VLOOKUP($KN$1,'Datos Iniciales'!$E$34:$O$64,KR$158,FALSE())*KR84</f>
        <v>0</v>
      </c>
      <c r="KS182" s="196" t="n">
        <f aca="false">VLOOKUP($KN$1,'Datos Iniciales'!$E$34:$O$64,KS$158,FALSE())*KS84</f>
        <v>0</v>
      </c>
      <c r="KT182" s="196" t="n">
        <f aca="false">VLOOKUP($KN$1,'Datos Iniciales'!$E$34:$O$64,KT$158,FALSE())*KT84</f>
        <v>0</v>
      </c>
      <c r="KU182" s="196" t="n">
        <f aca="false">VLOOKUP($KN$1,'Datos Iniciales'!$E$34:$O$64,KU$158,FALSE())*KU84</f>
        <v>0</v>
      </c>
      <c r="KV182" s="196" t="n">
        <f aca="false">VLOOKUP($KN$1,'Datos Iniciales'!$E$34:$O$64,KV$158,FALSE())*KV84</f>
        <v>0</v>
      </c>
      <c r="KW182" s="196" t="n">
        <f aca="false">VLOOKUP($KN$1,'Datos Iniciales'!$E$34:$O$64,KW$158,FALSE())*KW84</f>
        <v>0</v>
      </c>
      <c r="KX182" s="197" t="n">
        <f aca="false">VLOOKUP($KN$1,'Datos Iniciales'!$E$34:$O$64,KX$158,FALSE())*KX84</f>
        <v>0</v>
      </c>
      <c r="KY182" s="194" t="str">
        <f aca="false">KN182</f>
        <v>Alumno23</v>
      </c>
      <c r="KZ182" s="208" t="n">
        <f aca="false">VLOOKUP($KY$1,'Datos Iniciales'!$E$34:$O$64,KZ$158,FALSE())*KZ84</f>
        <v>0</v>
      </c>
      <c r="LA182" s="196" t="n">
        <f aca="false">VLOOKUP($KY$1,'Datos Iniciales'!$E$34:$O$64,LA$158,FALSE())*LA84</f>
        <v>0</v>
      </c>
      <c r="LB182" s="196" t="n">
        <f aca="false">VLOOKUP($KY$1,'Datos Iniciales'!$E$34:$O$64,LB$158,FALSE())*LB84</f>
        <v>0</v>
      </c>
      <c r="LC182" s="196" t="n">
        <f aca="false">VLOOKUP($KY$1,'Datos Iniciales'!$E$34:$O$64,LC$158,FALSE())*LC84</f>
        <v>0</v>
      </c>
      <c r="LD182" s="196" t="n">
        <f aca="false">VLOOKUP($KY$1,'Datos Iniciales'!$E$34:$O$64,LD$158,FALSE())*LD84</f>
        <v>0</v>
      </c>
      <c r="LE182" s="196" t="n">
        <f aca="false">VLOOKUP($KY$1,'Datos Iniciales'!$E$34:$O$64,LE$158,FALSE())*LE84</f>
        <v>0</v>
      </c>
      <c r="LF182" s="196" t="n">
        <f aca="false">VLOOKUP($KY$1,'Datos Iniciales'!$E$34:$O$64,LF$158,FALSE())*LF84</f>
        <v>0</v>
      </c>
      <c r="LG182" s="196" t="n">
        <f aca="false">VLOOKUP($KY$1,'Datos Iniciales'!$E$34:$O$64,LG$158,FALSE())*LG84</f>
        <v>0</v>
      </c>
      <c r="LH182" s="196" t="n">
        <f aca="false">VLOOKUP($KY$1,'Datos Iniciales'!$E$34:$O$64,LH$158,FALSE())*LH84</f>
        <v>0</v>
      </c>
      <c r="LI182" s="197" t="n">
        <f aca="false">VLOOKUP($KY$1,'Datos Iniciales'!$E$34:$O$64,LI$158,FALSE())*LI84</f>
        <v>0</v>
      </c>
      <c r="LJ182" s="194" t="str">
        <f aca="false">KY182</f>
        <v>Alumno23</v>
      </c>
      <c r="LK182" s="208" t="n">
        <f aca="false">VLOOKUP($LJ$1,'Datos Iniciales'!$E$34:$O$64,LK$158,FALSE())*LK84</f>
        <v>0</v>
      </c>
      <c r="LL182" s="196" t="n">
        <f aca="false">VLOOKUP($LJ$1,'Datos Iniciales'!$E$34:$O$64,LL$158,FALSE())*LL84</f>
        <v>0</v>
      </c>
      <c r="LM182" s="196" t="n">
        <f aca="false">VLOOKUP($LJ$1,'Datos Iniciales'!$E$34:$O$64,LM$158,FALSE())*LM84</f>
        <v>0</v>
      </c>
      <c r="LN182" s="196" t="n">
        <f aca="false">VLOOKUP($LJ$1,'Datos Iniciales'!$E$34:$O$64,LN$158,FALSE())*LN84</f>
        <v>0</v>
      </c>
      <c r="LO182" s="196" t="n">
        <f aca="false">VLOOKUP($LJ$1,'Datos Iniciales'!$E$34:$O$64,LO$158,FALSE())*LO84</f>
        <v>0</v>
      </c>
      <c r="LP182" s="196" t="n">
        <f aca="false">VLOOKUP($LJ$1,'Datos Iniciales'!$E$34:$O$64,LP$158,FALSE())*LP84</f>
        <v>0</v>
      </c>
      <c r="LQ182" s="196" t="n">
        <f aca="false">VLOOKUP($LJ$1,'Datos Iniciales'!$E$34:$O$64,LQ$158,FALSE())*LQ84</f>
        <v>0</v>
      </c>
      <c r="LR182" s="196" t="n">
        <f aca="false">VLOOKUP($LJ$1,'Datos Iniciales'!$E$34:$O$64,LR$158,FALSE())*LR84</f>
        <v>0</v>
      </c>
      <c r="LS182" s="196" t="n">
        <f aca="false">VLOOKUP($LJ$1,'Datos Iniciales'!$E$34:$O$64,LS$158,FALSE())*LS84</f>
        <v>0</v>
      </c>
      <c r="LT182" s="197" t="n">
        <f aca="false">VLOOKUP($LJ$1,'Datos Iniciales'!$E$34:$O$64,LT$158,FALSE())*LT84</f>
        <v>0</v>
      </c>
    </row>
    <row r="183" customFormat="false" ht="15" hidden="true" customHeight="false" outlineLevel="0" collapsed="false">
      <c r="C183" s="194" t="str">
        <f aca="false">C134</f>
        <v>Alumno24</v>
      </c>
      <c r="D183" s="208" t="n">
        <f aca="false">VLOOKUP($C$1,'Datos Iniciales'!$E$34:$O$64,D$158,FALSE())*D85</f>
        <v>1.25</v>
      </c>
      <c r="E183" s="196" t="n">
        <f aca="false">VLOOKUP($C$1,'Datos Iniciales'!$E$34:$O$64,E$158,FALSE())*E85</f>
        <v>0</v>
      </c>
      <c r="F183" s="196" t="n">
        <f aca="false">VLOOKUP($C$1,'Datos Iniciales'!$E$34:$O$64,F$158,FALSE())*F85</f>
        <v>0</v>
      </c>
      <c r="G183" s="196" t="n">
        <f aca="false">VLOOKUP($C$1,'Datos Iniciales'!$E$34:$O$64,G$158,FALSE())*G85</f>
        <v>0</v>
      </c>
      <c r="H183" s="196" t="n">
        <f aca="false">VLOOKUP($C$1,'Datos Iniciales'!$E$34:$O$64,H$158,FALSE())*H85</f>
        <v>0</v>
      </c>
      <c r="I183" s="196" t="n">
        <f aca="false">VLOOKUP($C$1,'Datos Iniciales'!$E$34:$O$64,I$158,FALSE())*I85</f>
        <v>0</v>
      </c>
      <c r="J183" s="196" t="n">
        <f aca="false">VLOOKUP($C$1,'Datos Iniciales'!$E$34:$O$64,J$158,FALSE())*J85</f>
        <v>0</v>
      </c>
      <c r="K183" s="196" t="n">
        <f aca="false">VLOOKUP($C$1,'Datos Iniciales'!$E$34:$O$64,K$158,FALSE())*K85</f>
        <v>0</v>
      </c>
      <c r="L183" s="196" t="n">
        <f aca="false">VLOOKUP($C$1,'Datos Iniciales'!$E$34:$O$64,L$158,FALSE())*L85</f>
        <v>0</v>
      </c>
      <c r="M183" s="197" t="n">
        <f aca="false">VLOOKUP($C$1,'Datos Iniciales'!$E$34:$O$64,M$158,FALSE())*M85</f>
        <v>0</v>
      </c>
      <c r="N183" s="194" t="str">
        <f aca="false">C183</f>
        <v>Alumno24</v>
      </c>
      <c r="O183" s="208" t="n">
        <f aca="false">VLOOKUP($N$1,'Datos Iniciales'!$E$34:$O$64,O$158,FALSE())*O85</f>
        <v>1</v>
      </c>
      <c r="P183" s="196" t="n">
        <f aca="false">VLOOKUP($N$1,'Datos Iniciales'!$E$34:$O$64,P$158,FALSE())*P85</f>
        <v>1</v>
      </c>
      <c r="Q183" s="196" t="n">
        <f aca="false">VLOOKUP($N$1,'Datos Iniciales'!$E$34:$O$64,Q$158,FALSE())*Q85</f>
        <v>0</v>
      </c>
      <c r="R183" s="196" t="n">
        <f aca="false">VLOOKUP($N$1,'Datos Iniciales'!$E$34:$O$64,R$158,FALSE())*R85</f>
        <v>0</v>
      </c>
      <c r="S183" s="196" t="n">
        <f aca="false">VLOOKUP($N$1,'Datos Iniciales'!$E$34:$O$64,S$158,FALSE())*S85</f>
        <v>0</v>
      </c>
      <c r="T183" s="196" t="n">
        <f aca="false">VLOOKUP($N$1,'Datos Iniciales'!$E$34:$O$64,T$158,FALSE())*T85</f>
        <v>0</v>
      </c>
      <c r="U183" s="196" t="n">
        <f aca="false">VLOOKUP($N$1,'Datos Iniciales'!$E$34:$O$64,U$158,FALSE())*U85</f>
        <v>0</v>
      </c>
      <c r="V183" s="196" t="n">
        <f aca="false">VLOOKUP($N$1,'Datos Iniciales'!$E$34:$O$64,V$158,FALSE())*V85</f>
        <v>0</v>
      </c>
      <c r="W183" s="196" t="n">
        <f aca="false">VLOOKUP($N$1,'Datos Iniciales'!$E$34:$O$64,W$158,FALSE())*W85</f>
        <v>0</v>
      </c>
      <c r="X183" s="197" t="n">
        <f aca="false">VLOOKUP($N$1,'Datos Iniciales'!$E$34:$O$64,X$158,FALSE())*X85</f>
        <v>0</v>
      </c>
      <c r="Y183" s="194" t="str">
        <f aca="false">N183</f>
        <v>Alumno24</v>
      </c>
      <c r="Z183" s="208" t="n">
        <f aca="false">VLOOKUP($Y$1,'Datos Iniciales'!$E$34:$O$64,Z$158,FALSE())*Z85</f>
        <v>1.95</v>
      </c>
      <c r="AA183" s="196" t="n">
        <f aca="false">VLOOKUP($Y$1,'Datos Iniciales'!$E$34:$O$64,AA$158,FALSE())*AA85</f>
        <v>1.7</v>
      </c>
      <c r="AB183" s="196" t="n">
        <f aca="false">VLOOKUP($Y$1,'Datos Iniciales'!$E$34:$O$64,AB$158,FALSE())*AB85</f>
        <v>0.5</v>
      </c>
      <c r="AC183" s="196" t="n">
        <f aca="false">VLOOKUP($Y$1,'Datos Iniciales'!$E$34:$O$64,AC$158,FALSE())*AC85</f>
        <v>0</v>
      </c>
      <c r="AD183" s="196" t="n">
        <f aca="false">VLOOKUP($Y$1,'Datos Iniciales'!$E$34:$O$64,AD$158,FALSE())*AD85</f>
        <v>0</v>
      </c>
      <c r="AE183" s="196" t="n">
        <f aca="false">VLOOKUP($Y$1,'Datos Iniciales'!$E$34:$O$64,AE$158,FALSE())*AE85</f>
        <v>0</v>
      </c>
      <c r="AF183" s="196" t="n">
        <f aca="false">VLOOKUP($Y$1,'Datos Iniciales'!$E$34:$O$64,AF$158,FALSE())*AF85</f>
        <v>0</v>
      </c>
      <c r="AG183" s="196" t="n">
        <f aca="false">VLOOKUP($Y$1,'Datos Iniciales'!$E$34:$O$64,AG$158,FALSE())*AG85</f>
        <v>0</v>
      </c>
      <c r="AH183" s="196" t="n">
        <f aca="false">VLOOKUP($Y$1,'Datos Iniciales'!$E$34:$O$64,AH$158,FALSE())*AH85</f>
        <v>0</v>
      </c>
      <c r="AI183" s="197" t="n">
        <f aca="false">VLOOKUP($Y$1,'Datos Iniciales'!$E$34:$O$64,AI$158,FALSE())*AI85</f>
        <v>0</v>
      </c>
      <c r="AJ183" s="194" t="str">
        <f aca="false">Y183</f>
        <v>Alumno24</v>
      </c>
      <c r="AK183" s="208" t="n">
        <f aca="false">VLOOKUP($AJ$1,'Datos Iniciales'!$E$34:$O$64,AK$158,FALSE())*AK85</f>
        <v>0.6</v>
      </c>
      <c r="AL183" s="196" t="n">
        <f aca="false">VLOOKUP($AJ$1,'Datos Iniciales'!$E$34:$O$64,AL$158,FALSE())*AL85</f>
        <v>1.8</v>
      </c>
      <c r="AM183" s="196" t="n">
        <f aca="false">VLOOKUP($AJ$1,'Datos Iniciales'!$E$34:$O$64,AM$158,FALSE())*AM85</f>
        <v>2.975</v>
      </c>
      <c r="AN183" s="196" t="n">
        <f aca="false">VLOOKUP($AJ$1,'Datos Iniciales'!$E$34:$O$64,AN$158,FALSE())*AN85</f>
        <v>0</v>
      </c>
      <c r="AO183" s="196" t="n">
        <f aca="false">VLOOKUP($AJ$1,'Datos Iniciales'!$E$34:$O$64,AO$158,FALSE())*AO85</f>
        <v>0</v>
      </c>
      <c r="AP183" s="196" t="n">
        <f aca="false">VLOOKUP($AJ$1,'Datos Iniciales'!$E$34:$O$64,AP$158,FALSE())*AP85</f>
        <v>0</v>
      </c>
      <c r="AQ183" s="196" t="n">
        <f aca="false">VLOOKUP($AJ$1,'Datos Iniciales'!$E$34:$O$64,AQ$158,FALSE())*AQ85</f>
        <v>0</v>
      </c>
      <c r="AR183" s="196" t="n">
        <f aca="false">VLOOKUP($AJ$1,'Datos Iniciales'!$E$34:$O$64,AR$158,FALSE())*AR85</f>
        <v>0</v>
      </c>
      <c r="AS183" s="196" t="n">
        <f aca="false">VLOOKUP($AJ$1,'Datos Iniciales'!$E$34:$O$64,AS$158,FALSE())*AS85</f>
        <v>0</v>
      </c>
      <c r="AT183" s="197" t="n">
        <f aca="false">VLOOKUP($AJ$1,'Datos Iniciales'!$E$34:$O$64,AT$158,FALSE())*AT85</f>
        <v>0</v>
      </c>
      <c r="AU183" s="194" t="str">
        <f aca="false">AJ183</f>
        <v>Alumno24</v>
      </c>
      <c r="AV183" s="208" t="n">
        <f aca="false">VLOOKUP($AU$1,'Datos Iniciales'!$E$34:$O$64,AV$158,FALSE())*AV85</f>
        <v>0.25</v>
      </c>
      <c r="AW183" s="196" t="n">
        <f aca="false">VLOOKUP($AU$1,'Datos Iniciales'!$E$34:$O$64,AW$158,FALSE())*AW85</f>
        <v>0.5</v>
      </c>
      <c r="AX183" s="196" t="n">
        <f aca="false">VLOOKUP($AU$1,'Datos Iniciales'!$E$34:$O$64,AX$158,FALSE())*AX85</f>
        <v>1.5</v>
      </c>
      <c r="AY183" s="196" t="n">
        <f aca="false">VLOOKUP($AU$1,'Datos Iniciales'!$E$34:$O$64,AY$158,FALSE())*AY85</f>
        <v>0.5</v>
      </c>
      <c r="AZ183" s="196" t="n">
        <f aca="false">VLOOKUP($AU$1,'Datos Iniciales'!$E$34:$O$64,AZ$158,FALSE())*AZ85</f>
        <v>0</v>
      </c>
      <c r="BA183" s="196" t="n">
        <f aca="false">VLOOKUP($AU$1,'Datos Iniciales'!$E$34:$O$64,BA$158,FALSE())*BA85</f>
        <v>0</v>
      </c>
      <c r="BB183" s="196" t="n">
        <f aca="false">VLOOKUP($AU$1,'Datos Iniciales'!$E$34:$O$64,BB$158,FALSE())*BB85</f>
        <v>0</v>
      </c>
      <c r="BC183" s="196" t="n">
        <f aca="false">VLOOKUP($AU$1,'Datos Iniciales'!$E$34:$O$64,BC$158,FALSE())*BC85</f>
        <v>0</v>
      </c>
      <c r="BD183" s="196" t="n">
        <f aca="false">VLOOKUP($AU$1,'Datos Iniciales'!$E$34:$O$64,BD$158,FALSE())*BD85</f>
        <v>0</v>
      </c>
      <c r="BE183" s="197" t="n">
        <f aca="false">VLOOKUP($AU$1,'Datos Iniciales'!$E$34:$O$64,BE$158,FALSE())*BE85</f>
        <v>0</v>
      </c>
      <c r="BF183" s="194" t="str">
        <f aca="false">AU183</f>
        <v>Alumno24</v>
      </c>
      <c r="BG183" s="208" t="n">
        <f aca="false">VLOOKUP($BF$1,'Datos Iniciales'!$E$34:$O$64,BG$158,FALSE())*BG85</f>
        <v>0.5</v>
      </c>
      <c r="BH183" s="196" t="n">
        <f aca="false">VLOOKUP($BF$1,'Datos Iniciales'!$E$34:$O$64,BH$158,FALSE())*BH85</f>
        <v>0.75</v>
      </c>
      <c r="BI183" s="196" t="n">
        <f aca="false">VLOOKUP($BF$1,'Datos Iniciales'!$E$34:$O$64,BI$158,FALSE())*BI85</f>
        <v>0.5</v>
      </c>
      <c r="BJ183" s="196" t="n">
        <f aca="false">VLOOKUP($BF$1,'Datos Iniciales'!$E$34:$O$64,BJ$158,FALSE())*BJ85</f>
        <v>2</v>
      </c>
      <c r="BK183" s="196" t="n">
        <f aca="false">VLOOKUP($BF$1,'Datos Iniciales'!$E$34:$O$64,BK$158,FALSE())*BK85</f>
        <v>0</v>
      </c>
      <c r="BL183" s="196" t="n">
        <f aca="false">VLOOKUP($BF$1,'Datos Iniciales'!$E$34:$O$64,BL$158,FALSE())*BL85</f>
        <v>0</v>
      </c>
      <c r="BM183" s="196" t="n">
        <f aca="false">VLOOKUP($BF$1,'Datos Iniciales'!$E$34:$O$64,BM$158,FALSE())*BM85</f>
        <v>0</v>
      </c>
      <c r="BN183" s="196" t="n">
        <f aca="false">VLOOKUP($BF$1,'Datos Iniciales'!$E$34:$O$64,BN$158,FALSE())*BN85</f>
        <v>0</v>
      </c>
      <c r="BO183" s="196" t="n">
        <f aca="false">VLOOKUP($BF$1,'Datos Iniciales'!$E$34:$O$64,BO$158,FALSE())*BO85</f>
        <v>0</v>
      </c>
      <c r="BP183" s="197" t="n">
        <f aca="false">VLOOKUP($BF$1,'Datos Iniciales'!$E$34:$O$64,BP$158,FALSE())*BP85</f>
        <v>0</v>
      </c>
      <c r="BQ183" s="194" t="str">
        <f aca="false">BF183</f>
        <v>Alumno24</v>
      </c>
      <c r="BR183" s="208" t="n">
        <f aca="false">VLOOKUP($BQ$1,'Datos Iniciales'!$E$34:$O$64,BR$158,FALSE())*BR85</f>
        <v>0</v>
      </c>
      <c r="BS183" s="196" t="n">
        <f aca="false">VLOOKUP($BQ$1,'Datos Iniciales'!$E$34:$O$64,BS$158,FALSE())*BS85</f>
        <v>0.45</v>
      </c>
      <c r="BT183" s="196" t="n">
        <f aca="false">VLOOKUP($BQ$1,'Datos Iniciales'!$E$34:$O$64,BT$158,FALSE())*BT85</f>
        <v>1.35</v>
      </c>
      <c r="BU183" s="196" t="n">
        <f aca="false">VLOOKUP($BQ$1,'Datos Iniciales'!$E$34:$O$64,BU$158,FALSE())*BU85</f>
        <v>4.5</v>
      </c>
      <c r="BV183" s="196" t="n">
        <f aca="false">VLOOKUP($BQ$1,'Datos Iniciales'!$E$34:$O$64,BV$158,FALSE())*BV85</f>
        <v>0</v>
      </c>
      <c r="BW183" s="196" t="n">
        <f aca="false">VLOOKUP($BQ$1,'Datos Iniciales'!$E$34:$O$64,BW$158,FALSE())*BW85</f>
        <v>0</v>
      </c>
      <c r="BX183" s="196" t="n">
        <f aca="false">VLOOKUP($BQ$1,'Datos Iniciales'!$E$34:$O$64,BX$158,FALSE())*BX85</f>
        <v>0</v>
      </c>
      <c r="BY183" s="196" t="n">
        <f aca="false">VLOOKUP($BQ$1,'Datos Iniciales'!$E$34:$O$64,BY$158,FALSE())*BY85</f>
        <v>0</v>
      </c>
      <c r="BZ183" s="196" t="n">
        <f aca="false">VLOOKUP($BQ$1,'Datos Iniciales'!$E$34:$O$64,BZ$158,FALSE())*BZ85</f>
        <v>0</v>
      </c>
      <c r="CA183" s="197" t="n">
        <f aca="false">VLOOKUP($BQ$1,'Datos Iniciales'!$E$34:$O$64,CA$158,FALSE())*CA85</f>
        <v>0</v>
      </c>
      <c r="CB183" s="194" t="str">
        <f aca="false">BQ183</f>
        <v>Alumno24</v>
      </c>
      <c r="CC183" s="208" t="n">
        <f aca="false">VLOOKUP($CB$1,'Datos Iniciales'!$E$34:$O$64,CC$158,FALSE())*CC85</f>
        <v>0</v>
      </c>
      <c r="CD183" s="196" t="n">
        <f aca="false">VLOOKUP($CB$1,'Datos Iniciales'!$E$34:$O$64,CD$158,FALSE())*CD85</f>
        <v>0</v>
      </c>
      <c r="CE183" s="196" t="n">
        <f aca="false">VLOOKUP($CB$1,'Datos Iniciales'!$E$34:$O$64,CE$158,FALSE())*CE85</f>
        <v>0</v>
      </c>
      <c r="CF183" s="196" t="n">
        <f aca="false">VLOOKUP($CB$1,'Datos Iniciales'!$E$34:$O$64,CF$158,FALSE())*CF85</f>
        <v>0</v>
      </c>
      <c r="CG183" s="196" t="n">
        <f aca="false">VLOOKUP($CB$1,'Datos Iniciales'!$E$34:$O$64,CG$158,FALSE())*CG85</f>
        <v>0</v>
      </c>
      <c r="CH183" s="196" t="n">
        <f aca="false">VLOOKUP($CB$1,'Datos Iniciales'!$E$34:$O$64,CH$158,FALSE())*CH85</f>
        <v>0</v>
      </c>
      <c r="CI183" s="196" t="n">
        <f aca="false">VLOOKUP($CB$1,'Datos Iniciales'!$E$34:$O$64,CI$158,FALSE())*CI85</f>
        <v>0</v>
      </c>
      <c r="CJ183" s="196" t="n">
        <f aca="false">VLOOKUP($CB$1,'Datos Iniciales'!$E$34:$O$64,CJ$158,FALSE())*CJ85</f>
        <v>0</v>
      </c>
      <c r="CK183" s="196" t="n">
        <f aca="false">VLOOKUP($CB$1,'Datos Iniciales'!$E$34:$O$64,CK$158,FALSE())*CK85</f>
        <v>0</v>
      </c>
      <c r="CL183" s="197" t="n">
        <f aca="false">VLOOKUP($CB$1,'Datos Iniciales'!$E$34:$O$64,CL$158,FALSE())*CL85</f>
        <v>0</v>
      </c>
      <c r="CM183" s="194" t="str">
        <f aca="false">CB183</f>
        <v>Alumno24</v>
      </c>
      <c r="CN183" s="208" t="n">
        <f aca="false">VLOOKUP($CM$1,'Datos Iniciales'!$E$34:$O$64,CN$158,FALSE())*CN85</f>
        <v>0</v>
      </c>
      <c r="CO183" s="196" t="n">
        <f aca="false">VLOOKUP($CM$1,'Datos Iniciales'!$E$34:$O$64,CO$158,FALSE())*CO85</f>
        <v>0</v>
      </c>
      <c r="CP183" s="196" t="n">
        <f aca="false">VLOOKUP($CM$1,'Datos Iniciales'!$E$34:$O$64,CP$158,FALSE())*CP85</f>
        <v>0</v>
      </c>
      <c r="CQ183" s="196" t="n">
        <f aca="false">VLOOKUP($CM$1,'Datos Iniciales'!$E$34:$O$64,CQ$158,FALSE())*CQ85</f>
        <v>0</v>
      </c>
      <c r="CR183" s="196" t="n">
        <f aca="false">VLOOKUP($CM$1,'Datos Iniciales'!$E$34:$O$64,CR$158,FALSE())*CR85</f>
        <v>0</v>
      </c>
      <c r="CS183" s="196" t="n">
        <f aca="false">VLOOKUP($CM$1,'Datos Iniciales'!$E$34:$O$64,CS$158,FALSE())*CS85</f>
        <v>0</v>
      </c>
      <c r="CT183" s="196" t="n">
        <f aca="false">VLOOKUP($CM$1,'Datos Iniciales'!$E$34:$O$64,CT$158,FALSE())*CT85</f>
        <v>0</v>
      </c>
      <c r="CU183" s="196" t="n">
        <f aca="false">VLOOKUP($CM$1,'Datos Iniciales'!$E$34:$O$64,CU$158,FALSE())*CU85</f>
        <v>0</v>
      </c>
      <c r="CV183" s="196" t="n">
        <f aca="false">VLOOKUP($CM$1,'Datos Iniciales'!$E$34:$O$64,CV$158,FALSE())*CV85</f>
        <v>0</v>
      </c>
      <c r="CW183" s="197" t="n">
        <f aca="false">VLOOKUP($CM$1,'Datos Iniciales'!$E$34:$O$64,CW$158,FALSE())*CW85</f>
        <v>0</v>
      </c>
      <c r="CX183" s="194" t="str">
        <f aca="false">CM183</f>
        <v>Alumno24</v>
      </c>
      <c r="CY183" s="208" t="n">
        <f aca="false">VLOOKUP($CX$1,'Datos Iniciales'!$E$34:$O$64,CY$158,FALSE())*CY85</f>
        <v>0</v>
      </c>
      <c r="CZ183" s="196" t="n">
        <f aca="false">VLOOKUP($CX$1,'Datos Iniciales'!$E$34:$O$64,CZ$158,FALSE())*CZ85</f>
        <v>0</v>
      </c>
      <c r="DA183" s="196" t="n">
        <f aca="false">VLOOKUP($CX$1,'Datos Iniciales'!$E$34:$O$64,DA$158,FALSE())*DA85</f>
        <v>0</v>
      </c>
      <c r="DB183" s="196" t="n">
        <f aca="false">VLOOKUP($CX$1,'Datos Iniciales'!$E$34:$O$64,DB$158,FALSE())*DB85</f>
        <v>0</v>
      </c>
      <c r="DC183" s="196" t="n">
        <f aca="false">VLOOKUP($CX$1,'Datos Iniciales'!$E$34:$O$64,DC$158,FALSE())*DC85</f>
        <v>0</v>
      </c>
      <c r="DD183" s="196" t="n">
        <f aca="false">VLOOKUP($CX$1,'Datos Iniciales'!$E$34:$O$64,DD$158,FALSE())*DD85</f>
        <v>0</v>
      </c>
      <c r="DE183" s="196" t="n">
        <f aca="false">VLOOKUP($CX$1,'Datos Iniciales'!$E$34:$O$64,DE$158,FALSE())*DE85</f>
        <v>0</v>
      </c>
      <c r="DF183" s="196" t="n">
        <f aca="false">VLOOKUP($CX$1,'Datos Iniciales'!$E$34:$O$64,DF$158,FALSE())*DF85</f>
        <v>0</v>
      </c>
      <c r="DG183" s="196" t="n">
        <f aca="false">VLOOKUP($CX$1,'Datos Iniciales'!$E$34:$O$64,DG$158,FALSE())*DG85</f>
        <v>0</v>
      </c>
      <c r="DH183" s="197" t="n">
        <f aca="false">VLOOKUP($CX$1,'Datos Iniciales'!$E$34:$O$64,DH$158,FALSE())*DH85</f>
        <v>0</v>
      </c>
      <c r="DI183" s="194" t="str">
        <f aca="false">CX183</f>
        <v>Alumno24</v>
      </c>
      <c r="DJ183" s="208" t="n">
        <f aca="false">VLOOKUP($DI$1,'Datos Iniciales'!$E$34:$O$64,DJ$158,FALSE())*DJ85</f>
        <v>0</v>
      </c>
      <c r="DK183" s="196" t="n">
        <f aca="false">VLOOKUP($DI$1,'Datos Iniciales'!$E$34:$O$64,DK$158,FALSE())*DK85</f>
        <v>0</v>
      </c>
      <c r="DL183" s="196" t="n">
        <f aca="false">VLOOKUP($DI$1,'Datos Iniciales'!$E$34:$O$64,DL$158,FALSE())*DL85</f>
        <v>0</v>
      </c>
      <c r="DM183" s="196" t="n">
        <f aca="false">VLOOKUP($DI$1,'Datos Iniciales'!$E$34:$O$64,DM$158,FALSE())*DM85</f>
        <v>0</v>
      </c>
      <c r="DN183" s="196" t="n">
        <f aca="false">VLOOKUP($DI$1,'Datos Iniciales'!$E$34:$O$64,DN$158,FALSE())*DN85</f>
        <v>0</v>
      </c>
      <c r="DO183" s="196" t="n">
        <f aca="false">VLOOKUP($DI$1,'Datos Iniciales'!$E$34:$O$64,DO$158,FALSE())*DO85</f>
        <v>0</v>
      </c>
      <c r="DP183" s="196" t="n">
        <f aca="false">VLOOKUP($DI$1,'Datos Iniciales'!$E$34:$O$64,DP$158,FALSE())*DP85</f>
        <v>0</v>
      </c>
      <c r="DQ183" s="196" t="n">
        <f aca="false">VLOOKUP($DI$1,'Datos Iniciales'!$E$34:$O$64,DQ$158,FALSE())*DQ85</f>
        <v>0</v>
      </c>
      <c r="DR183" s="196" t="n">
        <f aca="false">VLOOKUP($DI$1,'Datos Iniciales'!$E$34:$O$64,DR$158,FALSE())*DR85</f>
        <v>0</v>
      </c>
      <c r="DS183" s="197" t="n">
        <f aca="false">VLOOKUP($DI$1,'Datos Iniciales'!$E$34:$O$64,DS$158,FALSE())*DS85</f>
        <v>0</v>
      </c>
      <c r="DT183" s="194" t="str">
        <f aca="false">DI183</f>
        <v>Alumno24</v>
      </c>
      <c r="DU183" s="208" t="n">
        <f aca="false">VLOOKUP($DT$1,'Datos Iniciales'!$E$34:$O$64,DU$158,FALSE())*DU85</f>
        <v>0</v>
      </c>
      <c r="DV183" s="196" t="n">
        <f aca="false">VLOOKUP($DT$1,'Datos Iniciales'!$E$34:$O$64,DV$158,FALSE())*DV85</f>
        <v>0</v>
      </c>
      <c r="DW183" s="196" t="n">
        <f aca="false">VLOOKUP($DT$1,'Datos Iniciales'!$E$34:$O$64,DW$158,FALSE())*DW85</f>
        <v>0</v>
      </c>
      <c r="DX183" s="196" t="n">
        <f aca="false">VLOOKUP($DT$1,'Datos Iniciales'!$E$34:$O$64,DX$158,FALSE())*DX85</f>
        <v>0</v>
      </c>
      <c r="DY183" s="196" t="n">
        <f aca="false">VLOOKUP($DT$1,'Datos Iniciales'!$E$34:$O$64,DY$158,FALSE())*DY85</f>
        <v>0</v>
      </c>
      <c r="DZ183" s="196" t="n">
        <f aca="false">VLOOKUP($DT$1,'Datos Iniciales'!$E$34:$O$64,DZ$158,FALSE())*DZ85</f>
        <v>0</v>
      </c>
      <c r="EA183" s="196" t="n">
        <f aca="false">VLOOKUP($DT$1,'Datos Iniciales'!$E$34:$O$64,EA$158,FALSE())*EA85</f>
        <v>0</v>
      </c>
      <c r="EB183" s="196" t="n">
        <f aca="false">VLOOKUP($DT$1,'Datos Iniciales'!$E$34:$O$64,EB$158,FALSE())*EB85</f>
        <v>0</v>
      </c>
      <c r="EC183" s="196" t="n">
        <f aca="false">VLOOKUP($DT$1,'Datos Iniciales'!$E$34:$O$64,EC$158,FALSE())*EC85</f>
        <v>0</v>
      </c>
      <c r="ED183" s="197" t="n">
        <f aca="false">VLOOKUP($DT$1,'Datos Iniciales'!$E$34:$O$64,ED$158,FALSE())*ED85</f>
        <v>0</v>
      </c>
      <c r="EE183" s="194" t="str">
        <f aca="false">DT183</f>
        <v>Alumno24</v>
      </c>
      <c r="EF183" s="208" t="n">
        <f aca="false">VLOOKUP($EE$1,'Datos Iniciales'!$E$34:$O$64,EF$158,FALSE())*EF85</f>
        <v>0</v>
      </c>
      <c r="EG183" s="196" t="n">
        <f aca="false">VLOOKUP($EE$1,'Datos Iniciales'!$E$34:$O$64,EG$158,FALSE())*EG85</f>
        <v>0</v>
      </c>
      <c r="EH183" s="196" t="n">
        <f aca="false">VLOOKUP($EE$1,'Datos Iniciales'!$E$34:$O$64,EH$158,FALSE())*EH85</f>
        <v>0</v>
      </c>
      <c r="EI183" s="196" t="n">
        <f aca="false">VLOOKUP($EE$1,'Datos Iniciales'!$E$34:$O$64,EI$158,FALSE())*EI85</f>
        <v>0</v>
      </c>
      <c r="EJ183" s="196" t="n">
        <f aca="false">VLOOKUP($EE$1,'Datos Iniciales'!$E$34:$O$64,EJ$158,FALSE())*EJ85</f>
        <v>0</v>
      </c>
      <c r="EK183" s="196" t="n">
        <f aca="false">VLOOKUP($EE$1,'Datos Iniciales'!$E$34:$O$64,EK$158,FALSE())*EK85</f>
        <v>0</v>
      </c>
      <c r="EL183" s="196" t="n">
        <f aca="false">VLOOKUP($EE$1,'Datos Iniciales'!$E$34:$O$64,EL$158,FALSE())*EL85</f>
        <v>0</v>
      </c>
      <c r="EM183" s="196" t="n">
        <f aca="false">VLOOKUP($EE$1,'Datos Iniciales'!$E$34:$O$64,EM$158,FALSE())*EM85</f>
        <v>0</v>
      </c>
      <c r="EN183" s="196" t="n">
        <f aca="false">VLOOKUP($EE$1,'Datos Iniciales'!$E$34:$O$64,EN$158,FALSE())*EN85</f>
        <v>0</v>
      </c>
      <c r="EO183" s="197" t="n">
        <f aca="false">VLOOKUP($EE$1,'Datos Iniciales'!$E$34:$O$64,EO$158,FALSE())*EO85</f>
        <v>0</v>
      </c>
      <c r="EP183" s="194" t="str">
        <f aca="false">EE183</f>
        <v>Alumno24</v>
      </c>
      <c r="EQ183" s="208" t="n">
        <f aca="false">VLOOKUP($EP$1,'Datos Iniciales'!$E$34:$O$64,EQ$158,FALSE())*EQ85</f>
        <v>0</v>
      </c>
      <c r="ER183" s="196" t="n">
        <f aca="false">VLOOKUP($EP$1,'Datos Iniciales'!$E$34:$O$64,ER$158,FALSE())*ER85</f>
        <v>0</v>
      </c>
      <c r="ES183" s="196" t="n">
        <f aca="false">VLOOKUP($EP$1,'Datos Iniciales'!$E$34:$O$64,ES$158,FALSE())*ES85</f>
        <v>0</v>
      </c>
      <c r="ET183" s="196" t="n">
        <f aca="false">VLOOKUP($EP$1,'Datos Iniciales'!$E$34:$O$64,ET$158,FALSE())*ET85</f>
        <v>0</v>
      </c>
      <c r="EU183" s="196" t="n">
        <f aca="false">VLOOKUP($EP$1,'Datos Iniciales'!$E$34:$O$64,EU$158,FALSE())*EU85</f>
        <v>0</v>
      </c>
      <c r="EV183" s="196" t="n">
        <f aca="false">VLOOKUP($EP$1,'Datos Iniciales'!$E$34:$O$64,EV$158,FALSE())*EV85</f>
        <v>0</v>
      </c>
      <c r="EW183" s="196" t="n">
        <f aca="false">VLOOKUP($EP$1,'Datos Iniciales'!$E$34:$O$64,EW$158,FALSE())*EW85</f>
        <v>0</v>
      </c>
      <c r="EX183" s="196" t="n">
        <f aca="false">VLOOKUP($EP$1,'Datos Iniciales'!$E$34:$O$64,EX$158,FALSE())*EX85</f>
        <v>0</v>
      </c>
      <c r="EY183" s="196" t="n">
        <f aca="false">VLOOKUP($EP$1,'Datos Iniciales'!$E$34:$O$64,EY$158,FALSE())*EY85</f>
        <v>0</v>
      </c>
      <c r="EZ183" s="197" t="n">
        <f aca="false">VLOOKUP($EP$1,'Datos Iniciales'!$E$34:$O$64,EZ$158,FALSE())*EZ85</f>
        <v>0</v>
      </c>
      <c r="FA183" s="194" t="str">
        <f aca="false">EP183</f>
        <v>Alumno24</v>
      </c>
      <c r="FB183" s="208" t="n">
        <f aca="false">VLOOKUP($FA$1,'Datos Iniciales'!$E$34:$O$64,FB$158,FALSE())*FB85</f>
        <v>0</v>
      </c>
      <c r="FC183" s="196" t="n">
        <f aca="false">VLOOKUP($FA$1,'Datos Iniciales'!$E$34:$O$64,FC$158,FALSE())*FC85</f>
        <v>0</v>
      </c>
      <c r="FD183" s="196" t="n">
        <f aca="false">VLOOKUP($FA$1,'Datos Iniciales'!$E$34:$O$64,FD$158,FALSE())*FD85</f>
        <v>0</v>
      </c>
      <c r="FE183" s="196" t="n">
        <f aca="false">VLOOKUP($FA$1,'Datos Iniciales'!$E$34:$O$64,FE$158,FALSE())*FE85</f>
        <v>0</v>
      </c>
      <c r="FF183" s="196" t="n">
        <f aca="false">VLOOKUP($FA$1,'Datos Iniciales'!$E$34:$O$64,FF$158,FALSE())*FF85</f>
        <v>0</v>
      </c>
      <c r="FG183" s="196" t="n">
        <f aca="false">VLOOKUP($FA$1,'Datos Iniciales'!$E$34:$O$64,FG$158,FALSE())*FG85</f>
        <v>0</v>
      </c>
      <c r="FH183" s="196" t="n">
        <f aca="false">VLOOKUP($FA$1,'Datos Iniciales'!$E$34:$O$64,FH$158,FALSE())*FH85</f>
        <v>0</v>
      </c>
      <c r="FI183" s="196" t="n">
        <f aca="false">VLOOKUP($FA$1,'Datos Iniciales'!$E$34:$O$64,FI$158,FALSE())*FI85</f>
        <v>0</v>
      </c>
      <c r="FJ183" s="196" t="n">
        <f aca="false">VLOOKUP($FA$1,'Datos Iniciales'!$E$34:$O$64,FJ$158,FALSE())*FJ85</f>
        <v>0</v>
      </c>
      <c r="FK183" s="197" t="n">
        <f aca="false">VLOOKUP($FA$1,'Datos Iniciales'!$E$34:$O$64,FK$158,FALSE())*FK85</f>
        <v>0</v>
      </c>
      <c r="FL183" s="194" t="str">
        <f aca="false">FA183</f>
        <v>Alumno24</v>
      </c>
      <c r="FM183" s="208" t="n">
        <f aca="false">VLOOKUP($FL$1,'Datos Iniciales'!$E$34:$O$64,FM$158,FALSE())*FM85</f>
        <v>0</v>
      </c>
      <c r="FN183" s="196" t="n">
        <f aca="false">VLOOKUP($FL$1,'Datos Iniciales'!$E$34:$O$64,FN$158,FALSE())*FN85</f>
        <v>0</v>
      </c>
      <c r="FO183" s="196" t="n">
        <f aca="false">VLOOKUP($FL$1,'Datos Iniciales'!$E$34:$O$64,FO$158,FALSE())*FO85</f>
        <v>0</v>
      </c>
      <c r="FP183" s="196" t="n">
        <f aca="false">VLOOKUP($FL$1,'Datos Iniciales'!$E$34:$O$64,FP$158,FALSE())*FP85</f>
        <v>0</v>
      </c>
      <c r="FQ183" s="196" t="n">
        <f aca="false">VLOOKUP($FL$1,'Datos Iniciales'!$E$34:$O$64,FQ$158,FALSE())*FQ85</f>
        <v>0</v>
      </c>
      <c r="FR183" s="196" t="n">
        <f aca="false">VLOOKUP($FL$1,'Datos Iniciales'!$E$34:$O$64,FR$158,FALSE())*FR85</f>
        <v>0</v>
      </c>
      <c r="FS183" s="196" t="n">
        <f aca="false">VLOOKUP($FL$1,'Datos Iniciales'!$E$34:$O$64,FS$158,FALSE())*FS85</f>
        <v>0</v>
      </c>
      <c r="FT183" s="196" t="n">
        <f aca="false">VLOOKUP($FL$1,'Datos Iniciales'!$E$34:$O$64,FT$158,FALSE())*FT85</f>
        <v>0</v>
      </c>
      <c r="FU183" s="196" t="n">
        <f aca="false">VLOOKUP($FL$1,'Datos Iniciales'!$E$34:$O$64,FU$158,FALSE())*FU85</f>
        <v>0</v>
      </c>
      <c r="FV183" s="197" t="n">
        <f aca="false">VLOOKUP($FL$1,'Datos Iniciales'!$E$34:$O$64,FV$158,FALSE())*FV85</f>
        <v>0</v>
      </c>
      <c r="FW183" s="194" t="str">
        <f aca="false">FL183</f>
        <v>Alumno24</v>
      </c>
      <c r="FX183" s="208" t="n">
        <f aca="false">VLOOKUP($FW$1,'Datos Iniciales'!$E$34:$O$64,FX$158,FALSE())*FX85</f>
        <v>0</v>
      </c>
      <c r="FY183" s="196" t="n">
        <f aca="false">VLOOKUP($FW$1,'Datos Iniciales'!$E$34:$O$64,FY$158,FALSE())*FY85</f>
        <v>0</v>
      </c>
      <c r="FZ183" s="196" t="n">
        <f aca="false">VLOOKUP($FW$1,'Datos Iniciales'!$E$34:$O$64,FZ$158,FALSE())*FZ85</f>
        <v>0</v>
      </c>
      <c r="GA183" s="196" t="n">
        <f aca="false">VLOOKUP($FW$1,'Datos Iniciales'!$E$34:$O$64,GA$158,FALSE())*GA85</f>
        <v>0</v>
      </c>
      <c r="GB183" s="196" t="n">
        <f aca="false">VLOOKUP($FW$1,'Datos Iniciales'!$E$34:$O$64,GB$158,FALSE())*GB85</f>
        <v>0</v>
      </c>
      <c r="GC183" s="196" t="n">
        <f aca="false">VLOOKUP($FW$1,'Datos Iniciales'!$E$34:$O$64,GC$158,FALSE())*GC85</f>
        <v>0</v>
      </c>
      <c r="GD183" s="196" t="n">
        <f aca="false">VLOOKUP($FW$1,'Datos Iniciales'!$E$34:$O$64,GD$158,FALSE())*GD85</f>
        <v>0</v>
      </c>
      <c r="GE183" s="196" t="n">
        <f aca="false">VLOOKUP($FW$1,'Datos Iniciales'!$E$34:$O$64,GE$158,FALSE())*GE85</f>
        <v>0</v>
      </c>
      <c r="GF183" s="196" t="n">
        <f aca="false">VLOOKUP($FW$1,'Datos Iniciales'!$E$34:$O$64,GF$158,FALSE())*GF85</f>
        <v>0</v>
      </c>
      <c r="GG183" s="197" t="n">
        <f aca="false">VLOOKUP($FW$1,'Datos Iniciales'!$E$34:$O$64,GG$158,FALSE())*GG85</f>
        <v>0</v>
      </c>
      <c r="GH183" s="194" t="str">
        <f aca="false">FW183</f>
        <v>Alumno24</v>
      </c>
      <c r="GI183" s="208" t="n">
        <f aca="false">VLOOKUP($GH$1,'Datos Iniciales'!$E$34:$O$64,GI$158,FALSE())*GI85</f>
        <v>0</v>
      </c>
      <c r="GJ183" s="196" t="n">
        <f aca="false">VLOOKUP($GH$1,'Datos Iniciales'!$E$34:$O$64,GJ$158,FALSE())*GJ85</f>
        <v>0</v>
      </c>
      <c r="GK183" s="196" t="n">
        <f aca="false">VLOOKUP($GH$1,'Datos Iniciales'!$E$34:$O$64,GK$158,FALSE())*GK85</f>
        <v>0</v>
      </c>
      <c r="GL183" s="196" t="n">
        <f aca="false">VLOOKUP($GH$1,'Datos Iniciales'!$E$34:$O$64,GL$158,FALSE())*GL85</f>
        <v>0</v>
      </c>
      <c r="GM183" s="196" t="n">
        <f aca="false">VLOOKUP($GH$1,'Datos Iniciales'!$E$34:$O$64,GM$158,FALSE())*GM85</f>
        <v>0</v>
      </c>
      <c r="GN183" s="196" t="n">
        <f aca="false">VLOOKUP($GH$1,'Datos Iniciales'!$E$34:$O$64,GN$158,FALSE())*GN85</f>
        <v>0</v>
      </c>
      <c r="GO183" s="196" t="n">
        <f aca="false">VLOOKUP($GH$1,'Datos Iniciales'!$E$34:$O$64,GO$158,FALSE())*GO85</f>
        <v>0</v>
      </c>
      <c r="GP183" s="196" t="n">
        <f aca="false">VLOOKUP($GH$1,'Datos Iniciales'!$E$34:$O$64,GP$158,FALSE())*GP85</f>
        <v>0</v>
      </c>
      <c r="GQ183" s="196" t="n">
        <f aca="false">VLOOKUP($GH$1,'Datos Iniciales'!$E$34:$O$64,GQ$158,FALSE())*GQ85</f>
        <v>0</v>
      </c>
      <c r="GR183" s="197" t="n">
        <f aca="false">VLOOKUP($GH$1,'Datos Iniciales'!$E$34:$O$64,GR$158,FALSE())*GR85</f>
        <v>0</v>
      </c>
      <c r="GS183" s="194" t="str">
        <f aca="false">GH183</f>
        <v>Alumno24</v>
      </c>
      <c r="GT183" s="208" t="n">
        <f aca="false">VLOOKUP($GS$1,'Datos Iniciales'!$E$34:$O$64,GT$158,FALSE())*GT85</f>
        <v>0</v>
      </c>
      <c r="GU183" s="196" t="n">
        <f aca="false">VLOOKUP($GS$1,'Datos Iniciales'!$E$34:$O$64,GU$158,FALSE())*GU85</f>
        <v>0</v>
      </c>
      <c r="GV183" s="196" t="n">
        <f aca="false">VLOOKUP($GS$1,'Datos Iniciales'!$E$34:$O$64,GV$158,FALSE())*GV85</f>
        <v>0</v>
      </c>
      <c r="GW183" s="196" t="n">
        <f aca="false">VLOOKUP($GS$1,'Datos Iniciales'!$E$34:$O$64,GW$158,FALSE())*GW85</f>
        <v>0</v>
      </c>
      <c r="GX183" s="196" t="n">
        <f aca="false">VLOOKUP($GS$1,'Datos Iniciales'!$E$34:$O$64,GX$158,FALSE())*GX85</f>
        <v>0</v>
      </c>
      <c r="GY183" s="196" t="n">
        <f aca="false">VLOOKUP($GS$1,'Datos Iniciales'!$E$34:$O$64,GY$158,FALSE())*GY85</f>
        <v>0</v>
      </c>
      <c r="GZ183" s="196" t="n">
        <f aca="false">VLOOKUP($GS$1,'Datos Iniciales'!$E$34:$O$64,GZ$158,FALSE())*GZ85</f>
        <v>0</v>
      </c>
      <c r="HA183" s="196" t="n">
        <f aca="false">VLOOKUP($GS$1,'Datos Iniciales'!$E$34:$O$64,HA$158,FALSE())*HA85</f>
        <v>0</v>
      </c>
      <c r="HB183" s="196" t="n">
        <f aca="false">VLOOKUP($GS$1,'Datos Iniciales'!$E$34:$O$64,HB$158,FALSE())*HB85</f>
        <v>0</v>
      </c>
      <c r="HC183" s="197" t="n">
        <f aca="false">VLOOKUP($GS$1,'Datos Iniciales'!$E$34:$O$64,HC$158,FALSE())*HC85</f>
        <v>0</v>
      </c>
      <c r="HD183" s="194" t="str">
        <f aca="false">GS183</f>
        <v>Alumno24</v>
      </c>
      <c r="HE183" s="208" t="n">
        <f aca="false">VLOOKUP($HD$1,'Datos Iniciales'!$E$34:$O$64,HE$158,FALSE())*HE85</f>
        <v>0</v>
      </c>
      <c r="HF183" s="196" t="n">
        <f aca="false">VLOOKUP($HD$1,'Datos Iniciales'!$E$34:$O$64,HF$158,FALSE())*HF85</f>
        <v>0</v>
      </c>
      <c r="HG183" s="196" t="n">
        <f aca="false">VLOOKUP($HD$1,'Datos Iniciales'!$E$34:$O$64,HG$158,FALSE())*HG85</f>
        <v>0</v>
      </c>
      <c r="HH183" s="196" t="n">
        <f aca="false">VLOOKUP($HD$1,'Datos Iniciales'!$E$34:$O$64,HH$158,FALSE())*HH85</f>
        <v>0</v>
      </c>
      <c r="HI183" s="196" t="n">
        <f aca="false">VLOOKUP($HD$1,'Datos Iniciales'!$E$34:$O$64,HI$158,FALSE())*HI85</f>
        <v>0</v>
      </c>
      <c r="HJ183" s="196" t="n">
        <f aca="false">VLOOKUP($HD$1,'Datos Iniciales'!$E$34:$O$64,HJ$158,FALSE())*HJ85</f>
        <v>0</v>
      </c>
      <c r="HK183" s="196" t="n">
        <f aca="false">VLOOKUP($HD$1,'Datos Iniciales'!$E$34:$O$64,HK$158,FALSE())*HK85</f>
        <v>0</v>
      </c>
      <c r="HL183" s="196" t="n">
        <f aca="false">VLOOKUP($HD$1,'Datos Iniciales'!$E$34:$O$64,HL$158,FALSE())*HL85</f>
        <v>0</v>
      </c>
      <c r="HM183" s="196" t="n">
        <f aca="false">VLOOKUP($HD$1,'Datos Iniciales'!$E$34:$O$64,HM$158,FALSE())*HM85</f>
        <v>0</v>
      </c>
      <c r="HN183" s="197" t="n">
        <f aca="false">VLOOKUP($HD$1,'Datos Iniciales'!$E$34:$O$64,HN$158,FALSE())*HN85</f>
        <v>0</v>
      </c>
      <c r="HO183" s="194" t="str">
        <f aca="false">HD183</f>
        <v>Alumno24</v>
      </c>
      <c r="HP183" s="208" t="n">
        <f aca="false">VLOOKUP($HO$1,'Datos Iniciales'!$E$34:$O$64,HP$158,FALSE())*HP85</f>
        <v>0</v>
      </c>
      <c r="HQ183" s="196" t="n">
        <f aca="false">VLOOKUP($HO$1,'Datos Iniciales'!$E$34:$O$64,HQ$158,FALSE())*HQ85</f>
        <v>0</v>
      </c>
      <c r="HR183" s="196" t="n">
        <f aca="false">VLOOKUP($HO$1,'Datos Iniciales'!$E$34:$O$64,HR$158,FALSE())*HR85</f>
        <v>0</v>
      </c>
      <c r="HS183" s="196" t="n">
        <f aca="false">VLOOKUP($HO$1,'Datos Iniciales'!$E$34:$O$64,HS$158,FALSE())*HS85</f>
        <v>0</v>
      </c>
      <c r="HT183" s="196" t="n">
        <f aca="false">VLOOKUP($HO$1,'Datos Iniciales'!$E$34:$O$64,HT$158,FALSE())*HT85</f>
        <v>0</v>
      </c>
      <c r="HU183" s="196" t="n">
        <f aca="false">VLOOKUP($HO$1,'Datos Iniciales'!$E$34:$O$64,HU$158,FALSE())*HU85</f>
        <v>0</v>
      </c>
      <c r="HV183" s="196" t="n">
        <f aca="false">VLOOKUP($HO$1,'Datos Iniciales'!$E$34:$O$64,HV$158,FALSE())*HV85</f>
        <v>0</v>
      </c>
      <c r="HW183" s="196" t="n">
        <f aca="false">VLOOKUP($HO$1,'Datos Iniciales'!$E$34:$O$64,HW$158,FALSE())*HW85</f>
        <v>0</v>
      </c>
      <c r="HX183" s="196" t="n">
        <f aca="false">VLOOKUP($HO$1,'Datos Iniciales'!$E$34:$O$64,HX$158,FALSE())*HX85</f>
        <v>0</v>
      </c>
      <c r="HY183" s="197" t="n">
        <f aca="false">VLOOKUP($HO$1,'Datos Iniciales'!$E$34:$O$64,HY$158,FALSE())*HY85</f>
        <v>0</v>
      </c>
      <c r="HZ183" s="194" t="str">
        <f aca="false">HO183</f>
        <v>Alumno24</v>
      </c>
      <c r="IA183" s="208" t="n">
        <f aca="false">VLOOKUP($HZ$1,'Datos Iniciales'!$E$34:$O$64,IA$158,FALSE())*IA85</f>
        <v>0</v>
      </c>
      <c r="IB183" s="196" t="n">
        <f aca="false">VLOOKUP($HZ$1,'Datos Iniciales'!$E$34:$O$64,IB$158,FALSE())*IB85</f>
        <v>0</v>
      </c>
      <c r="IC183" s="196" t="n">
        <f aca="false">VLOOKUP($HZ$1,'Datos Iniciales'!$E$34:$O$64,IC$158,FALSE())*IC85</f>
        <v>0</v>
      </c>
      <c r="ID183" s="196" t="n">
        <f aca="false">VLOOKUP($HZ$1,'Datos Iniciales'!$E$34:$O$64,ID$158,FALSE())*ID85</f>
        <v>0</v>
      </c>
      <c r="IE183" s="196" t="n">
        <f aca="false">VLOOKUP($HZ$1,'Datos Iniciales'!$E$34:$O$64,IE$158,FALSE())*IE85</f>
        <v>0</v>
      </c>
      <c r="IF183" s="196" t="n">
        <f aca="false">VLOOKUP($HZ$1,'Datos Iniciales'!$E$34:$O$64,IF$158,FALSE())*IF85</f>
        <v>0</v>
      </c>
      <c r="IG183" s="196" t="n">
        <f aca="false">VLOOKUP($HZ$1,'Datos Iniciales'!$E$34:$O$64,IG$158,FALSE())*IG85</f>
        <v>0</v>
      </c>
      <c r="IH183" s="196" t="n">
        <f aca="false">VLOOKUP($HZ$1,'Datos Iniciales'!$E$34:$O$64,IH$158,FALSE())*IH85</f>
        <v>0</v>
      </c>
      <c r="II183" s="196" t="n">
        <f aca="false">VLOOKUP($HZ$1,'Datos Iniciales'!$E$34:$O$64,II$158,FALSE())*II85</f>
        <v>0</v>
      </c>
      <c r="IJ183" s="197" t="n">
        <f aca="false">VLOOKUP($HZ$1,'Datos Iniciales'!$E$34:$O$64,IJ$158,FALSE())*IJ85</f>
        <v>0</v>
      </c>
      <c r="IK183" s="194" t="str">
        <f aca="false">HZ183</f>
        <v>Alumno24</v>
      </c>
      <c r="IL183" s="208" t="n">
        <f aca="false">VLOOKUP($IK$1,'Datos Iniciales'!$E$34:$O$64,IL$158,FALSE())*IL85</f>
        <v>0</v>
      </c>
      <c r="IM183" s="196" t="n">
        <f aca="false">VLOOKUP($IK$1,'Datos Iniciales'!$E$34:$O$64,IM$158,FALSE())*IM85</f>
        <v>0</v>
      </c>
      <c r="IN183" s="196" t="n">
        <f aca="false">VLOOKUP($IK$1,'Datos Iniciales'!$E$34:$O$64,IN$158,FALSE())*IN85</f>
        <v>0</v>
      </c>
      <c r="IO183" s="196" t="n">
        <f aca="false">VLOOKUP($IK$1,'Datos Iniciales'!$E$34:$O$64,IO$158,FALSE())*IO85</f>
        <v>0</v>
      </c>
      <c r="IP183" s="196" t="n">
        <f aca="false">VLOOKUP($IK$1,'Datos Iniciales'!$E$34:$O$64,IP$158,FALSE())*IP85</f>
        <v>0</v>
      </c>
      <c r="IQ183" s="196" t="n">
        <f aca="false">VLOOKUP($IK$1,'Datos Iniciales'!$E$34:$O$64,IQ$158,FALSE())*IQ85</f>
        <v>0</v>
      </c>
      <c r="IR183" s="196" t="n">
        <f aca="false">VLOOKUP($IK$1,'Datos Iniciales'!$E$34:$O$64,IR$158,FALSE())*IR85</f>
        <v>0</v>
      </c>
      <c r="IS183" s="196" t="n">
        <f aca="false">VLOOKUP($IK$1,'Datos Iniciales'!$E$34:$O$64,IS$158,FALSE())*IS85</f>
        <v>0</v>
      </c>
      <c r="IT183" s="196" t="n">
        <f aca="false">VLOOKUP($IK$1,'Datos Iniciales'!$E$34:$O$64,IT$158,FALSE())*IT85</f>
        <v>0</v>
      </c>
      <c r="IU183" s="197" t="n">
        <f aca="false">VLOOKUP($IK$1,'Datos Iniciales'!$E$34:$O$64,IU$158,FALSE())*IU85</f>
        <v>0</v>
      </c>
      <c r="IV183" s="194" t="str">
        <f aca="false">IK183</f>
        <v>Alumno24</v>
      </c>
      <c r="IW183" s="208" t="n">
        <f aca="false">VLOOKUP($IV$1,'Datos Iniciales'!$E$34:$O$64,IW$158,FALSE())*IW85</f>
        <v>0</v>
      </c>
      <c r="IX183" s="196" t="n">
        <f aca="false">VLOOKUP($IV$1,'Datos Iniciales'!$E$34:$O$64,IX$158,FALSE())*IX85</f>
        <v>0</v>
      </c>
      <c r="IY183" s="196" t="n">
        <f aca="false">VLOOKUP($IV$1,'Datos Iniciales'!$E$34:$O$64,IY$158,FALSE())*IY85</f>
        <v>0</v>
      </c>
      <c r="IZ183" s="196" t="n">
        <f aca="false">VLOOKUP($IV$1,'Datos Iniciales'!$E$34:$O$64,IZ$158,FALSE())*IZ85</f>
        <v>0</v>
      </c>
      <c r="JA183" s="196" t="n">
        <f aca="false">VLOOKUP($IV$1,'Datos Iniciales'!$E$34:$O$64,JA$158,FALSE())*JA85</f>
        <v>0</v>
      </c>
      <c r="JB183" s="196" t="n">
        <f aca="false">VLOOKUP($IV$1,'Datos Iniciales'!$E$34:$O$64,JB$158,FALSE())*JB85</f>
        <v>0</v>
      </c>
      <c r="JC183" s="196" t="n">
        <f aca="false">VLOOKUP($IV$1,'Datos Iniciales'!$E$34:$O$64,JC$158,FALSE())*JC85</f>
        <v>0</v>
      </c>
      <c r="JD183" s="196" t="n">
        <f aca="false">VLOOKUP($IV$1,'Datos Iniciales'!$E$34:$O$64,JD$158,FALSE())*JD85</f>
        <v>0</v>
      </c>
      <c r="JE183" s="196" t="n">
        <f aca="false">VLOOKUP($IV$1,'Datos Iniciales'!$E$34:$O$64,JE$158,FALSE())*JE85</f>
        <v>0</v>
      </c>
      <c r="JF183" s="197" t="n">
        <f aca="false">VLOOKUP($IV$1,'Datos Iniciales'!$E$34:$O$64,JF$158,FALSE())*JF85</f>
        <v>0</v>
      </c>
      <c r="JG183" s="194" t="str">
        <f aca="false">IV183</f>
        <v>Alumno24</v>
      </c>
      <c r="JH183" s="208" t="n">
        <f aca="false">VLOOKUP($JG$1,'Datos Iniciales'!$E$34:$O$64,JH$158,FALSE())*JH85</f>
        <v>0</v>
      </c>
      <c r="JI183" s="196" t="n">
        <f aca="false">VLOOKUP($JG$1,'Datos Iniciales'!$E$34:$O$64,JI$158,FALSE())*JI85</f>
        <v>0</v>
      </c>
      <c r="JJ183" s="196" t="n">
        <f aca="false">VLOOKUP($JG$1,'Datos Iniciales'!$E$34:$O$64,JJ$158,FALSE())*JJ85</f>
        <v>0</v>
      </c>
      <c r="JK183" s="196" t="n">
        <f aca="false">VLOOKUP($JG$1,'Datos Iniciales'!$E$34:$O$64,JK$158,FALSE())*JK85</f>
        <v>0</v>
      </c>
      <c r="JL183" s="196" t="n">
        <f aca="false">VLOOKUP($JG$1,'Datos Iniciales'!$E$34:$O$64,JL$158,FALSE())*JL85</f>
        <v>0</v>
      </c>
      <c r="JM183" s="196" t="n">
        <f aca="false">VLOOKUP($JG$1,'Datos Iniciales'!$E$34:$O$64,JM$158,FALSE())*JM85</f>
        <v>0</v>
      </c>
      <c r="JN183" s="196" t="n">
        <f aca="false">VLOOKUP($JG$1,'Datos Iniciales'!$E$34:$O$64,JN$158,FALSE())*JN85</f>
        <v>0</v>
      </c>
      <c r="JO183" s="196" t="n">
        <f aca="false">VLOOKUP($JG$1,'Datos Iniciales'!$E$34:$O$64,JO$158,FALSE())*JO85</f>
        <v>0</v>
      </c>
      <c r="JP183" s="196" t="n">
        <f aca="false">VLOOKUP($JG$1,'Datos Iniciales'!$E$34:$O$64,JP$158,FALSE())*JP85</f>
        <v>0</v>
      </c>
      <c r="JQ183" s="197" t="n">
        <f aca="false">VLOOKUP($JG$1,'Datos Iniciales'!$E$34:$O$64,JQ$158,FALSE())*JQ85</f>
        <v>0</v>
      </c>
      <c r="JR183" s="194" t="str">
        <f aca="false">JG183</f>
        <v>Alumno24</v>
      </c>
      <c r="JS183" s="208" t="n">
        <f aca="false">VLOOKUP($JR$1,'Datos Iniciales'!$E$34:$O$64,JS$158,FALSE())*JS85</f>
        <v>0</v>
      </c>
      <c r="JT183" s="196" t="n">
        <f aca="false">VLOOKUP($JR$1,'Datos Iniciales'!$E$34:$O$64,JT$158,FALSE())*JT85</f>
        <v>0</v>
      </c>
      <c r="JU183" s="196" t="n">
        <f aca="false">VLOOKUP($JR$1,'Datos Iniciales'!$E$34:$O$64,JU$158,FALSE())*JU85</f>
        <v>0</v>
      </c>
      <c r="JV183" s="196" t="n">
        <f aca="false">VLOOKUP($JR$1,'Datos Iniciales'!$E$34:$O$64,JV$158,FALSE())*JV85</f>
        <v>0</v>
      </c>
      <c r="JW183" s="196" t="n">
        <f aca="false">VLOOKUP($JR$1,'Datos Iniciales'!$E$34:$O$64,JW$158,FALSE())*JW85</f>
        <v>0</v>
      </c>
      <c r="JX183" s="196" t="n">
        <f aca="false">VLOOKUP($JR$1,'Datos Iniciales'!$E$34:$O$64,JX$158,FALSE())*JX85</f>
        <v>0</v>
      </c>
      <c r="JY183" s="196" t="n">
        <f aca="false">VLOOKUP($JR$1,'Datos Iniciales'!$E$34:$O$64,JY$158,FALSE())*JY85</f>
        <v>0</v>
      </c>
      <c r="JZ183" s="196" t="n">
        <f aca="false">VLOOKUP($JR$1,'Datos Iniciales'!$E$34:$O$64,JZ$158,FALSE())*JZ85</f>
        <v>0</v>
      </c>
      <c r="KA183" s="196" t="n">
        <f aca="false">VLOOKUP($JR$1,'Datos Iniciales'!$E$34:$O$64,KA$158,FALSE())*KA85</f>
        <v>0</v>
      </c>
      <c r="KB183" s="197" t="n">
        <f aca="false">VLOOKUP($JR$1,'Datos Iniciales'!$E$34:$O$64,KB$158,FALSE())*KB85</f>
        <v>0</v>
      </c>
      <c r="KC183" s="194" t="str">
        <f aca="false">JR183</f>
        <v>Alumno24</v>
      </c>
      <c r="KD183" s="208" t="n">
        <f aca="false">VLOOKUP($KC$1,'Datos Iniciales'!$E$34:$O$64,KD$158,FALSE())*KD85</f>
        <v>0</v>
      </c>
      <c r="KE183" s="196" t="n">
        <f aca="false">VLOOKUP($KC$1,'Datos Iniciales'!$E$34:$O$64,KE$158,FALSE())*KE85</f>
        <v>0</v>
      </c>
      <c r="KF183" s="196" t="n">
        <f aca="false">VLOOKUP($KC$1,'Datos Iniciales'!$E$34:$O$64,KF$158,FALSE())*KF85</f>
        <v>0</v>
      </c>
      <c r="KG183" s="196" t="n">
        <f aca="false">VLOOKUP($KC$1,'Datos Iniciales'!$E$34:$O$64,KG$158,FALSE())*KG85</f>
        <v>0</v>
      </c>
      <c r="KH183" s="196" t="n">
        <f aca="false">VLOOKUP($KC$1,'Datos Iniciales'!$E$34:$O$64,KH$158,FALSE())*KH85</f>
        <v>0</v>
      </c>
      <c r="KI183" s="196" t="n">
        <f aca="false">VLOOKUP($KC$1,'Datos Iniciales'!$E$34:$O$64,KI$158,FALSE())*KI85</f>
        <v>0</v>
      </c>
      <c r="KJ183" s="196" t="n">
        <f aca="false">VLOOKUP($KC$1,'Datos Iniciales'!$E$34:$O$64,KJ$158,FALSE())*KJ85</f>
        <v>0</v>
      </c>
      <c r="KK183" s="196" t="n">
        <f aca="false">VLOOKUP($KC$1,'Datos Iniciales'!$E$34:$O$64,KK$158,FALSE())*KK85</f>
        <v>0</v>
      </c>
      <c r="KL183" s="196" t="n">
        <f aca="false">VLOOKUP($KC$1,'Datos Iniciales'!$E$34:$O$64,KL$158,FALSE())*KL85</f>
        <v>0</v>
      </c>
      <c r="KM183" s="197" t="n">
        <f aca="false">VLOOKUP($KC$1,'Datos Iniciales'!$E$34:$O$64,KM$158,FALSE())*KM85</f>
        <v>0</v>
      </c>
      <c r="KN183" s="194" t="str">
        <f aca="false">KC183</f>
        <v>Alumno24</v>
      </c>
      <c r="KO183" s="208" t="n">
        <f aca="false">VLOOKUP($KN$1,'Datos Iniciales'!$E$34:$O$64,KO$158,FALSE())*KO85</f>
        <v>0</v>
      </c>
      <c r="KP183" s="196" t="n">
        <f aca="false">VLOOKUP($KN$1,'Datos Iniciales'!$E$34:$O$64,KP$158,FALSE())*KP85</f>
        <v>0</v>
      </c>
      <c r="KQ183" s="196" t="n">
        <f aca="false">VLOOKUP($KN$1,'Datos Iniciales'!$E$34:$O$64,KQ$158,FALSE())*KQ85</f>
        <v>0</v>
      </c>
      <c r="KR183" s="196" t="n">
        <f aca="false">VLOOKUP($KN$1,'Datos Iniciales'!$E$34:$O$64,KR$158,FALSE())*KR85</f>
        <v>0</v>
      </c>
      <c r="KS183" s="196" t="n">
        <f aca="false">VLOOKUP($KN$1,'Datos Iniciales'!$E$34:$O$64,KS$158,FALSE())*KS85</f>
        <v>0</v>
      </c>
      <c r="KT183" s="196" t="n">
        <f aca="false">VLOOKUP($KN$1,'Datos Iniciales'!$E$34:$O$64,KT$158,FALSE())*KT85</f>
        <v>0</v>
      </c>
      <c r="KU183" s="196" t="n">
        <f aca="false">VLOOKUP($KN$1,'Datos Iniciales'!$E$34:$O$64,KU$158,FALSE())*KU85</f>
        <v>0</v>
      </c>
      <c r="KV183" s="196" t="n">
        <f aca="false">VLOOKUP($KN$1,'Datos Iniciales'!$E$34:$O$64,KV$158,FALSE())*KV85</f>
        <v>0</v>
      </c>
      <c r="KW183" s="196" t="n">
        <f aca="false">VLOOKUP($KN$1,'Datos Iniciales'!$E$34:$O$64,KW$158,FALSE())*KW85</f>
        <v>0</v>
      </c>
      <c r="KX183" s="197" t="n">
        <f aca="false">VLOOKUP($KN$1,'Datos Iniciales'!$E$34:$O$64,KX$158,FALSE())*KX85</f>
        <v>0</v>
      </c>
      <c r="KY183" s="194" t="str">
        <f aca="false">KN183</f>
        <v>Alumno24</v>
      </c>
      <c r="KZ183" s="208" t="n">
        <f aca="false">VLOOKUP($KY$1,'Datos Iniciales'!$E$34:$O$64,KZ$158,FALSE())*KZ85</f>
        <v>0</v>
      </c>
      <c r="LA183" s="196" t="n">
        <f aca="false">VLOOKUP($KY$1,'Datos Iniciales'!$E$34:$O$64,LA$158,FALSE())*LA85</f>
        <v>0</v>
      </c>
      <c r="LB183" s="196" t="n">
        <f aca="false">VLOOKUP($KY$1,'Datos Iniciales'!$E$34:$O$64,LB$158,FALSE())*LB85</f>
        <v>0</v>
      </c>
      <c r="LC183" s="196" t="n">
        <f aca="false">VLOOKUP($KY$1,'Datos Iniciales'!$E$34:$O$64,LC$158,FALSE())*LC85</f>
        <v>0</v>
      </c>
      <c r="LD183" s="196" t="n">
        <f aca="false">VLOOKUP($KY$1,'Datos Iniciales'!$E$34:$O$64,LD$158,FALSE())*LD85</f>
        <v>0</v>
      </c>
      <c r="LE183" s="196" t="n">
        <f aca="false">VLOOKUP($KY$1,'Datos Iniciales'!$E$34:$O$64,LE$158,FALSE())*LE85</f>
        <v>0</v>
      </c>
      <c r="LF183" s="196" t="n">
        <f aca="false">VLOOKUP($KY$1,'Datos Iniciales'!$E$34:$O$64,LF$158,FALSE())*LF85</f>
        <v>0</v>
      </c>
      <c r="LG183" s="196" t="n">
        <f aca="false">VLOOKUP($KY$1,'Datos Iniciales'!$E$34:$O$64,LG$158,FALSE())*LG85</f>
        <v>0</v>
      </c>
      <c r="LH183" s="196" t="n">
        <f aca="false">VLOOKUP($KY$1,'Datos Iniciales'!$E$34:$O$64,LH$158,FALSE())*LH85</f>
        <v>0</v>
      </c>
      <c r="LI183" s="197" t="n">
        <f aca="false">VLOOKUP($KY$1,'Datos Iniciales'!$E$34:$O$64,LI$158,FALSE())*LI85</f>
        <v>0</v>
      </c>
      <c r="LJ183" s="194" t="str">
        <f aca="false">KY183</f>
        <v>Alumno24</v>
      </c>
      <c r="LK183" s="208" t="n">
        <f aca="false">VLOOKUP($LJ$1,'Datos Iniciales'!$E$34:$O$64,LK$158,FALSE())*LK85</f>
        <v>0</v>
      </c>
      <c r="LL183" s="196" t="n">
        <f aca="false">VLOOKUP($LJ$1,'Datos Iniciales'!$E$34:$O$64,LL$158,FALSE())*LL85</f>
        <v>0</v>
      </c>
      <c r="LM183" s="196" t="n">
        <f aca="false">VLOOKUP($LJ$1,'Datos Iniciales'!$E$34:$O$64,LM$158,FALSE())*LM85</f>
        <v>0</v>
      </c>
      <c r="LN183" s="196" t="n">
        <f aca="false">VLOOKUP($LJ$1,'Datos Iniciales'!$E$34:$O$64,LN$158,FALSE())*LN85</f>
        <v>0</v>
      </c>
      <c r="LO183" s="196" t="n">
        <f aca="false">VLOOKUP($LJ$1,'Datos Iniciales'!$E$34:$O$64,LO$158,FALSE())*LO85</f>
        <v>0</v>
      </c>
      <c r="LP183" s="196" t="n">
        <f aca="false">VLOOKUP($LJ$1,'Datos Iniciales'!$E$34:$O$64,LP$158,FALSE())*LP85</f>
        <v>0</v>
      </c>
      <c r="LQ183" s="196" t="n">
        <f aca="false">VLOOKUP($LJ$1,'Datos Iniciales'!$E$34:$O$64,LQ$158,FALSE())*LQ85</f>
        <v>0</v>
      </c>
      <c r="LR183" s="196" t="n">
        <f aca="false">VLOOKUP($LJ$1,'Datos Iniciales'!$E$34:$O$64,LR$158,FALSE())*LR85</f>
        <v>0</v>
      </c>
      <c r="LS183" s="196" t="n">
        <f aca="false">VLOOKUP($LJ$1,'Datos Iniciales'!$E$34:$O$64,LS$158,FALSE())*LS85</f>
        <v>0</v>
      </c>
      <c r="LT183" s="197" t="n">
        <f aca="false">VLOOKUP($LJ$1,'Datos Iniciales'!$E$34:$O$64,LT$158,FALSE())*LT85</f>
        <v>0</v>
      </c>
    </row>
    <row r="184" customFormat="false" ht="15" hidden="true" customHeight="false" outlineLevel="0" collapsed="false">
      <c r="C184" s="194" t="str">
        <f aca="false">C135</f>
        <v>Alumno25</v>
      </c>
      <c r="D184" s="208" t="n">
        <f aca="false">VLOOKUP($C$1,'Datos Iniciales'!$E$34:$O$64,D$158,FALSE())*D86</f>
        <v>2.2125</v>
      </c>
      <c r="E184" s="196" t="n">
        <f aca="false">VLOOKUP($C$1,'Datos Iniciales'!$E$34:$O$64,E$158,FALSE())*E86</f>
        <v>0</v>
      </c>
      <c r="F184" s="196" t="n">
        <f aca="false">VLOOKUP($C$1,'Datos Iniciales'!$E$34:$O$64,F$158,FALSE())*F86</f>
        <v>0</v>
      </c>
      <c r="G184" s="196" t="n">
        <f aca="false">VLOOKUP($C$1,'Datos Iniciales'!$E$34:$O$64,G$158,FALSE())*G86</f>
        <v>0</v>
      </c>
      <c r="H184" s="196" t="n">
        <f aca="false">VLOOKUP($C$1,'Datos Iniciales'!$E$34:$O$64,H$158,FALSE())*H86</f>
        <v>0</v>
      </c>
      <c r="I184" s="196" t="n">
        <f aca="false">VLOOKUP($C$1,'Datos Iniciales'!$E$34:$O$64,I$158,FALSE())*I86</f>
        <v>0</v>
      </c>
      <c r="J184" s="196" t="n">
        <f aca="false">VLOOKUP($C$1,'Datos Iniciales'!$E$34:$O$64,J$158,FALSE())*J86</f>
        <v>0</v>
      </c>
      <c r="K184" s="196" t="n">
        <f aca="false">VLOOKUP($C$1,'Datos Iniciales'!$E$34:$O$64,K$158,FALSE())*K86</f>
        <v>0</v>
      </c>
      <c r="L184" s="196" t="n">
        <f aca="false">VLOOKUP($C$1,'Datos Iniciales'!$E$34:$O$64,L$158,FALSE())*L86</f>
        <v>0</v>
      </c>
      <c r="M184" s="197" t="n">
        <f aca="false">VLOOKUP($C$1,'Datos Iniciales'!$E$34:$O$64,M$158,FALSE())*M86</f>
        <v>0</v>
      </c>
      <c r="N184" s="194" t="str">
        <f aca="false">C184</f>
        <v>Alumno25</v>
      </c>
      <c r="O184" s="208" t="n">
        <f aca="false">VLOOKUP($N$1,'Datos Iniciales'!$E$34:$O$64,O$158,FALSE())*O86</f>
        <v>1.8</v>
      </c>
      <c r="P184" s="196" t="n">
        <f aca="false">VLOOKUP($N$1,'Datos Iniciales'!$E$34:$O$64,P$158,FALSE())*P86</f>
        <v>1.8</v>
      </c>
      <c r="Q184" s="196" t="n">
        <f aca="false">VLOOKUP($N$1,'Datos Iniciales'!$E$34:$O$64,Q$158,FALSE())*Q86</f>
        <v>0</v>
      </c>
      <c r="R184" s="196" t="n">
        <f aca="false">VLOOKUP($N$1,'Datos Iniciales'!$E$34:$O$64,R$158,FALSE())*R86</f>
        <v>0</v>
      </c>
      <c r="S184" s="196" t="n">
        <f aca="false">VLOOKUP($N$1,'Datos Iniciales'!$E$34:$O$64,S$158,FALSE())*S86</f>
        <v>0</v>
      </c>
      <c r="T184" s="196" t="n">
        <f aca="false">VLOOKUP($N$1,'Datos Iniciales'!$E$34:$O$64,T$158,FALSE())*T86</f>
        <v>0</v>
      </c>
      <c r="U184" s="196" t="n">
        <f aca="false">VLOOKUP($N$1,'Datos Iniciales'!$E$34:$O$64,U$158,FALSE())*U86</f>
        <v>0</v>
      </c>
      <c r="V184" s="196" t="n">
        <f aca="false">VLOOKUP($N$1,'Datos Iniciales'!$E$34:$O$64,V$158,FALSE())*V86</f>
        <v>0</v>
      </c>
      <c r="W184" s="196" t="n">
        <f aca="false">VLOOKUP($N$1,'Datos Iniciales'!$E$34:$O$64,W$158,FALSE())*W86</f>
        <v>0</v>
      </c>
      <c r="X184" s="197" t="n">
        <f aca="false">VLOOKUP($N$1,'Datos Iniciales'!$E$34:$O$64,X$158,FALSE())*X86</f>
        <v>0</v>
      </c>
      <c r="Y184" s="194" t="str">
        <f aca="false">N184</f>
        <v>Alumno25</v>
      </c>
      <c r="Z184" s="208" t="n">
        <f aca="false">VLOOKUP($Y$1,'Datos Iniciales'!$E$34:$O$64,Z$158,FALSE())*Z86</f>
        <v>1.5</v>
      </c>
      <c r="AA184" s="196" t="n">
        <f aca="false">VLOOKUP($Y$1,'Datos Iniciales'!$E$34:$O$64,AA$158,FALSE())*AA86</f>
        <v>1</v>
      </c>
      <c r="AB184" s="196" t="n">
        <f aca="false">VLOOKUP($Y$1,'Datos Iniciales'!$E$34:$O$64,AB$158,FALSE())*AB86</f>
        <v>0.5</v>
      </c>
      <c r="AC184" s="196" t="n">
        <f aca="false">VLOOKUP($Y$1,'Datos Iniciales'!$E$34:$O$64,AC$158,FALSE())*AC86</f>
        <v>0</v>
      </c>
      <c r="AD184" s="196" t="n">
        <f aca="false">VLOOKUP($Y$1,'Datos Iniciales'!$E$34:$O$64,AD$158,FALSE())*AD86</f>
        <v>0</v>
      </c>
      <c r="AE184" s="196" t="n">
        <f aca="false">VLOOKUP($Y$1,'Datos Iniciales'!$E$34:$O$64,AE$158,FALSE())*AE86</f>
        <v>0</v>
      </c>
      <c r="AF184" s="196" t="n">
        <f aca="false">VLOOKUP($Y$1,'Datos Iniciales'!$E$34:$O$64,AF$158,FALSE())*AF86</f>
        <v>0</v>
      </c>
      <c r="AG184" s="196" t="n">
        <f aca="false">VLOOKUP($Y$1,'Datos Iniciales'!$E$34:$O$64,AG$158,FALSE())*AG86</f>
        <v>0</v>
      </c>
      <c r="AH184" s="196" t="n">
        <f aca="false">VLOOKUP($Y$1,'Datos Iniciales'!$E$34:$O$64,AH$158,FALSE())*AH86</f>
        <v>0</v>
      </c>
      <c r="AI184" s="197" t="n">
        <f aca="false">VLOOKUP($Y$1,'Datos Iniciales'!$E$34:$O$64,AI$158,FALSE())*AI86</f>
        <v>0</v>
      </c>
      <c r="AJ184" s="194" t="str">
        <f aca="false">Y184</f>
        <v>Alumno25</v>
      </c>
      <c r="AK184" s="208" t="n">
        <f aca="false">VLOOKUP($AJ$1,'Datos Iniciales'!$E$34:$O$64,AK$158,FALSE())*AK86</f>
        <v>0.5</v>
      </c>
      <c r="AL184" s="196" t="n">
        <f aca="false">VLOOKUP($AJ$1,'Datos Iniciales'!$E$34:$O$64,AL$158,FALSE())*AL86</f>
        <v>1.5</v>
      </c>
      <c r="AM184" s="196" t="n">
        <f aca="false">VLOOKUP($AJ$1,'Datos Iniciales'!$E$34:$O$64,AM$158,FALSE())*AM86</f>
        <v>1.75</v>
      </c>
      <c r="AN184" s="196" t="n">
        <f aca="false">VLOOKUP($AJ$1,'Datos Iniciales'!$E$34:$O$64,AN$158,FALSE())*AN86</f>
        <v>0</v>
      </c>
      <c r="AO184" s="196" t="n">
        <f aca="false">VLOOKUP($AJ$1,'Datos Iniciales'!$E$34:$O$64,AO$158,FALSE())*AO86</f>
        <v>0</v>
      </c>
      <c r="AP184" s="196" t="n">
        <f aca="false">VLOOKUP($AJ$1,'Datos Iniciales'!$E$34:$O$64,AP$158,FALSE())*AP86</f>
        <v>0</v>
      </c>
      <c r="AQ184" s="196" t="n">
        <f aca="false">VLOOKUP($AJ$1,'Datos Iniciales'!$E$34:$O$64,AQ$158,FALSE())*AQ86</f>
        <v>0</v>
      </c>
      <c r="AR184" s="196" t="n">
        <f aca="false">VLOOKUP($AJ$1,'Datos Iniciales'!$E$34:$O$64,AR$158,FALSE())*AR86</f>
        <v>0</v>
      </c>
      <c r="AS184" s="196" t="n">
        <f aca="false">VLOOKUP($AJ$1,'Datos Iniciales'!$E$34:$O$64,AS$158,FALSE())*AS86</f>
        <v>0</v>
      </c>
      <c r="AT184" s="197" t="n">
        <f aca="false">VLOOKUP($AJ$1,'Datos Iniciales'!$E$34:$O$64,AT$158,FALSE())*AT86</f>
        <v>0</v>
      </c>
      <c r="AU184" s="194" t="str">
        <f aca="false">AJ184</f>
        <v>Alumno25</v>
      </c>
      <c r="AV184" s="208" t="n">
        <f aca="false">VLOOKUP($AU$1,'Datos Iniciales'!$E$34:$O$64,AV$158,FALSE())*AV86</f>
        <v>0.45</v>
      </c>
      <c r="AW184" s="196" t="n">
        <f aca="false">VLOOKUP($AU$1,'Datos Iniciales'!$E$34:$O$64,AW$158,FALSE())*AW86</f>
        <v>0.9</v>
      </c>
      <c r="AX184" s="196" t="n">
        <f aca="false">VLOOKUP($AU$1,'Datos Iniciales'!$E$34:$O$64,AX$158,FALSE())*AX86</f>
        <v>2.7</v>
      </c>
      <c r="AY184" s="196" t="n">
        <f aca="false">VLOOKUP($AU$1,'Datos Iniciales'!$E$34:$O$64,AY$158,FALSE())*AY86</f>
        <v>0.9</v>
      </c>
      <c r="AZ184" s="196" t="n">
        <f aca="false">VLOOKUP($AU$1,'Datos Iniciales'!$E$34:$O$64,AZ$158,FALSE())*AZ86</f>
        <v>0</v>
      </c>
      <c r="BA184" s="196" t="n">
        <f aca="false">VLOOKUP($AU$1,'Datos Iniciales'!$E$34:$O$64,BA$158,FALSE())*BA86</f>
        <v>0</v>
      </c>
      <c r="BB184" s="196" t="n">
        <f aca="false">VLOOKUP($AU$1,'Datos Iniciales'!$E$34:$O$64,BB$158,FALSE())*BB86</f>
        <v>0</v>
      </c>
      <c r="BC184" s="196" t="n">
        <f aca="false">VLOOKUP($AU$1,'Datos Iniciales'!$E$34:$O$64,BC$158,FALSE())*BC86</f>
        <v>0</v>
      </c>
      <c r="BD184" s="196" t="n">
        <f aca="false">VLOOKUP($AU$1,'Datos Iniciales'!$E$34:$O$64,BD$158,FALSE())*BD86</f>
        <v>0</v>
      </c>
      <c r="BE184" s="197" t="n">
        <f aca="false">VLOOKUP($AU$1,'Datos Iniciales'!$E$34:$O$64,BE$158,FALSE())*BE86</f>
        <v>0</v>
      </c>
      <c r="BF184" s="194" t="str">
        <f aca="false">AU184</f>
        <v>Alumno25</v>
      </c>
      <c r="BG184" s="208" t="n">
        <f aca="false">VLOOKUP($BF$1,'Datos Iniciales'!$E$34:$O$64,BG$158,FALSE())*BG86</f>
        <v>0.9</v>
      </c>
      <c r="BH184" s="196" t="n">
        <f aca="false">VLOOKUP($BF$1,'Datos Iniciales'!$E$34:$O$64,BH$158,FALSE())*BH86</f>
        <v>1.35</v>
      </c>
      <c r="BI184" s="196" t="n">
        <f aca="false">VLOOKUP($BF$1,'Datos Iniciales'!$E$34:$O$64,BI$158,FALSE())*BI86</f>
        <v>0.9</v>
      </c>
      <c r="BJ184" s="196" t="n">
        <f aca="false">VLOOKUP($BF$1,'Datos Iniciales'!$E$34:$O$64,BJ$158,FALSE())*BJ86</f>
        <v>3.6</v>
      </c>
      <c r="BK184" s="196" t="n">
        <f aca="false">VLOOKUP($BF$1,'Datos Iniciales'!$E$34:$O$64,BK$158,FALSE())*BK86</f>
        <v>0</v>
      </c>
      <c r="BL184" s="196" t="n">
        <f aca="false">VLOOKUP($BF$1,'Datos Iniciales'!$E$34:$O$64,BL$158,FALSE())*BL86</f>
        <v>0</v>
      </c>
      <c r="BM184" s="196" t="n">
        <f aca="false">VLOOKUP($BF$1,'Datos Iniciales'!$E$34:$O$64,BM$158,FALSE())*BM86</f>
        <v>0</v>
      </c>
      <c r="BN184" s="196" t="n">
        <f aca="false">VLOOKUP($BF$1,'Datos Iniciales'!$E$34:$O$64,BN$158,FALSE())*BN86</f>
        <v>0</v>
      </c>
      <c r="BO184" s="196" t="n">
        <f aca="false">VLOOKUP($BF$1,'Datos Iniciales'!$E$34:$O$64,BO$158,FALSE())*BO86</f>
        <v>0</v>
      </c>
      <c r="BP184" s="197" t="n">
        <f aca="false">VLOOKUP($BF$1,'Datos Iniciales'!$E$34:$O$64,BP$158,FALSE())*BP86</f>
        <v>0</v>
      </c>
      <c r="BQ184" s="194" t="str">
        <f aca="false">BF184</f>
        <v>Alumno25</v>
      </c>
      <c r="BR184" s="208" t="n">
        <f aca="false">VLOOKUP($BQ$1,'Datos Iniciales'!$E$34:$O$64,BR$158,FALSE())*BR86</f>
        <v>0</v>
      </c>
      <c r="BS184" s="196" t="n">
        <f aca="false">VLOOKUP($BQ$1,'Datos Iniciales'!$E$34:$O$64,BS$158,FALSE())*BS86</f>
        <v>0.5</v>
      </c>
      <c r="BT184" s="196" t="n">
        <f aca="false">VLOOKUP($BQ$1,'Datos Iniciales'!$E$34:$O$64,BT$158,FALSE())*BT86</f>
        <v>1.45</v>
      </c>
      <c r="BU184" s="196" t="n">
        <f aca="false">VLOOKUP($BQ$1,'Datos Iniciales'!$E$34:$O$64,BU$158,FALSE())*BU86</f>
        <v>4.8</v>
      </c>
      <c r="BV184" s="196" t="n">
        <f aca="false">VLOOKUP($BQ$1,'Datos Iniciales'!$E$34:$O$64,BV$158,FALSE())*BV86</f>
        <v>0</v>
      </c>
      <c r="BW184" s="196" t="n">
        <f aca="false">VLOOKUP($BQ$1,'Datos Iniciales'!$E$34:$O$64,BW$158,FALSE())*BW86</f>
        <v>0</v>
      </c>
      <c r="BX184" s="196" t="n">
        <f aca="false">VLOOKUP($BQ$1,'Datos Iniciales'!$E$34:$O$64,BX$158,FALSE())*BX86</f>
        <v>0</v>
      </c>
      <c r="BY184" s="196" t="n">
        <f aca="false">VLOOKUP($BQ$1,'Datos Iniciales'!$E$34:$O$64,BY$158,FALSE())*BY86</f>
        <v>0</v>
      </c>
      <c r="BZ184" s="196" t="n">
        <f aca="false">VLOOKUP($BQ$1,'Datos Iniciales'!$E$34:$O$64,BZ$158,FALSE())*BZ86</f>
        <v>0</v>
      </c>
      <c r="CA184" s="197" t="n">
        <f aca="false">VLOOKUP($BQ$1,'Datos Iniciales'!$E$34:$O$64,CA$158,FALSE())*CA86</f>
        <v>0</v>
      </c>
      <c r="CB184" s="194" t="str">
        <f aca="false">BQ184</f>
        <v>Alumno25</v>
      </c>
      <c r="CC184" s="208" t="n">
        <f aca="false">VLOOKUP($CB$1,'Datos Iniciales'!$E$34:$O$64,CC$158,FALSE())*CC86</f>
        <v>0</v>
      </c>
      <c r="CD184" s="196" t="n">
        <f aca="false">VLOOKUP($CB$1,'Datos Iniciales'!$E$34:$O$64,CD$158,FALSE())*CD86</f>
        <v>0</v>
      </c>
      <c r="CE184" s="196" t="n">
        <f aca="false">VLOOKUP($CB$1,'Datos Iniciales'!$E$34:$O$64,CE$158,FALSE())*CE86</f>
        <v>0</v>
      </c>
      <c r="CF184" s="196" t="n">
        <f aca="false">VLOOKUP($CB$1,'Datos Iniciales'!$E$34:$O$64,CF$158,FALSE())*CF86</f>
        <v>0</v>
      </c>
      <c r="CG184" s="196" t="n">
        <f aca="false">VLOOKUP($CB$1,'Datos Iniciales'!$E$34:$O$64,CG$158,FALSE())*CG86</f>
        <v>0</v>
      </c>
      <c r="CH184" s="196" t="n">
        <f aca="false">VLOOKUP($CB$1,'Datos Iniciales'!$E$34:$O$64,CH$158,FALSE())*CH86</f>
        <v>0</v>
      </c>
      <c r="CI184" s="196" t="n">
        <f aca="false">VLOOKUP($CB$1,'Datos Iniciales'!$E$34:$O$64,CI$158,FALSE())*CI86</f>
        <v>0</v>
      </c>
      <c r="CJ184" s="196" t="n">
        <f aca="false">VLOOKUP($CB$1,'Datos Iniciales'!$E$34:$O$64,CJ$158,FALSE())*CJ86</f>
        <v>0</v>
      </c>
      <c r="CK184" s="196" t="n">
        <f aca="false">VLOOKUP($CB$1,'Datos Iniciales'!$E$34:$O$64,CK$158,FALSE())*CK86</f>
        <v>0</v>
      </c>
      <c r="CL184" s="197" t="n">
        <f aca="false">VLOOKUP($CB$1,'Datos Iniciales'!$E$34:$O$64,CL$158,FALSE())*CL86</f>
        <v>0</v>
      </c>
      <c r="CM184" s="194" t="str">
        <f aca="false">CB184</f>
        <v>Alumno25</v>
      </c>
      <c r="CN184" s="208" t="n">
        <f aca="false">VLOOKUP($CM$1,'Datos Iniciales'!$E$34:$O$64,CN$158,FALSE())*CN86</f>
        <v>0</v>
      </c>
      <c r="CO184" s="196" t="n">
        <f aca="false">VLOOKUP($CM$1,'Datos Iniciales'!$E$34:$O$64,CO$158,FALSE())*CO86</f>
        <v>0</v>
      </c>
      <c r="CP184" s="196" t="n">
        <f aca="false">VLOOKUP($CM$1,'Datos Iniciales'!$E$34:$O$64,CP$158,FALSE())*CP86</f>
        <v>0</v>
      </c>
      <c r="CQ184" s="196" t="n">
        <f aca="false">VLOOKUP($CM$1,'Datos Iniciales'!$E$34:$O$64,CQ$158,FALSE())*CQ86</f>
        <v>0</v>
      </c>
      <c r="CR184" s="196" t="n">
        <f aca="false">VLOOKUP($CM$1,'Datos Iniciales'!$E$34:$O$64,CR$158,FALSE())*CR86</f>
        <v>0</v>
      </c>
      <c r="CS184" s="196" t="n">
        <f aca="false">VLOOKUP($CM$1,'Datos Iniciales'!$E$34:$O$64,CS$158,FALSE())*CS86</f>
        <v>0</v>
      </c>
      <c r="CT184" s="196" t="n">
        <f aca="false">VLOOKUP($CM$1,'Datos Iniciales'!$E$34:$O$64,CT$158,FALSE())*CT86</f>
        <v>0</v>
      </c>
      <c r="CU184" s="196" t="n">
        <f aca="false">VLOOKUP($CM$1,'Datos Iniciales'!$E$34:$O$64,CU$158,FALSE())*CU86</f>
        <v>0</v>
      </c>
      <c r="CV184" s="196" t="n">
        <f aca="false">VLOOKUP($CM$1,'Datos Iniciales'!$E$34:$O$64,CV$158,FALSE())*CV86</f>
        <v>0</v>
      </c>
      <c r="CW184" s="197" t="n">
        <f aca="false">VLOOKUP($CM$1,'Datos Iniciales'!$E$34:$O$64,CW$158,FALSE())*CW86</f>
        <v>0</v>
      </c>
      <c r="CX184" s="194" t="str">
        <f aca="false">CM184</f>
        <v>Alumno25</v>
      </c>
      <c r="CY184" s="208" t="n">
        <f aca="false">VLOOKUP($CX$1,'Datos Iniciales'!$E$34:$O$64,CY$158,FALSE())*CY86</f>
        <v>0</v>
      </c>
      <c r="CZ184" s="196" t="n">
        <f aca="false">VLOOKUP($CX$1,'Datos Iniciales'!$E$34:$O$64,CZ$158,FALSE())*CZ86</f>
        <v>0</v>
      </c>
      <c r="DA184" s="196" t="n">
        <f aca="false">VLOOKUP($CX$1,'Datos Iniciales'!$E$34:$O$64,DA$158,FALSE())*DA86</f>
        <v>0</v>
      </c>
      <c r="DB184" s="196" t="n">
        <f aca="false">VLOOKUP($CX$1,'Datos Iniciales'!$E$34:$O$64,DB$158,FALSE())*DB86</f>
        <v>0</v>
      </c>
      <c r="DC184" s="196" t="n">
        <f aca="false">VLOOKUP($CX$1,'Datos Iniciales'!$E$34:$O$64,DC$158,FALSE())*DC86</f>
        <v>0</v>
      </c>
      <c r="DD184" s="196" t="n">
        <f aca="false">VLOOKUP($CX$1,'Datos Iniciales'!$E$34:$O$64,DD$158,FALSE())*DD86</f>
        <v>0</v>
      </c>
      <c r="DE184" s="196" t="n">
        <f aca="false">VLOOKUP($CX$1,'Datos Iniciales'!$E$34:$O$64,DE$158,FALSE())*DE86</f>
        <v>0</v>
      </c>
      <c r="DF184" s="196" t="n">
        <f aca="false">VLOOKUP($CX$1,'Datos Iniciales'!$E$34:$O$64,DF$158,FALSE())*DF86</f>
        <v>0</v>
      </c>
      <c r="DG184" s="196" t="n">
        <f aca="false">VLOOKUP($CX$1,'Datos Iniciales'!$E$34:$O$64,DG$158,FALSE())*DG86</f>
        <v>0</v>
      </c>
      <c r="DH184" s="197" t="n">
        <f aca="false">VLOOKUP($CX$1,'Datos Iniciales'!$E$34:$O$64,DH$158,FALSE())*DH86</f>
        <v>0</v>
      </c>
      <c r="DI184" s="194" t="str">
        <f aca="false">CX184</f>
        <v>Alumno25</v>
      </c>
      <c r="DJ184" s="208" t="n">
        <f aca="false">VLOOKUP($DI$1,'Datos Iniciales'!$E$34:$O$64,DJ$158,FALSE())*DJ86</f>
        <v>0</v>
      </c>
      <c r="DK184" s="196" t="n">
        <f aca="false">VLOOKUP($DI$1,'Datos Iniciales'!$E$34:$O$64,DK$158,FALSE())*DK86</f>
        <v>0</v>
      </c>
      <c r="DL184" s="196" t="n">
        <f aca="false">VLOOKUP($DI$1,'Datos Iniciales'!$E$34:$O$64,DL$158,FALSE())*DL86</f>
        <v>0</v>
      </c>
      <c r="DM184" s="196" t="n">
        <f aca="false">VLOOKUP($DI$1,'Datos Iniciales'!$E$34:$O$64,DM$158,FALSE())*DM86</f>
        <v>0</v>
      </c>
      <c r="DN184" s="196" t="n">
        <f aca="false">VLOOKUP($DI$1,'Datos Iniciales'!$E$34:$O$64,DN$158,FALSE())*DN86</f>
        <v>0</v>
      </c>
      <c r="DO184" s="196" t="n">
        <f aca="false">VLOOKUP($DI$1,'Datos Iniciales'!$E$34:$O$64,DO$158,FALSE())*DO86</f>
        <v>0</v>
      </c>
      <c r="DP184" s="196" t="n">
        <f aca="false">VLOOKUP($DI$1,'Datos Iniciales'!$E$34:$O$64,DP$158,FALSE())*DP86</f>
        <v>0</v>
      </c>
      <c r="DQ184" s="196" t="n">
        <f aca="false">VLOOKUP($DI$1,'Datos Iniciales'!$E$34:$O$64,DQ$158,FALSE())*DQ86</f>
        <v>0</v>
      </c>
      <c r="DR184" s="196" t="n">
        <f aca="false">VLOOKUP($DI$1,'Datos Iniciales'!$E$34:$O$64,DR$158,FALSE())*DR86</f>
        <v>0</v>
      </c>
      <c r="DS184" s="197" t="n">
        <f aca="false">VLOOKUP($DI$1,'Datos Iniciales'!$E$34:$O$64,DS$158,FALSE())*DS86</f>
        <v>0</v>
      </c>
      <c r="DT184" s="194" t="str">
        <f aca="false">DI184</f>
        <v>Alumno25</v>
      </c>
      <c r="DU184" s="208" t="n">
        <f aca="false">VLOOKUP($DT$1,'Datos Iniciales'!$E$34:$O$64,DU$158,FALSE())*DU86</f>
        <v>0</v>
      </c>
      <c r="DV184" s="196" t="n">
        <f aca="false">VLOOKUP($DT$1,'Datos Iniciales'!$E$34:$O$64,DV$158,FALSE())*DV86</f>
        <v>0</v>
      </c>
      <c r="DW184" s="196" t="n">
        <f aca="false">VLOOKUP($DT$1,'Datos Iniciales'!$E$34:$O$64,DW$158,FALSE())*DW86</f>
        <v>0</v>
      </c>
      <c r="DX184" s="196" t="n">
        <f aca="false">VLOOKUP($DT$1,'Datos Iniciales'!$E$34:$O$64,DX$158,FALSE())*DX86</f>
        <v>0</v>
      </c>
      <c r="DY184" s="196" t="n">
        <f aca="false">VLOOKUP($DT$1,'Datos Iniciales'!$E$34:$O$64,DY$158,FALSE())*DY86</f>
        <v>0</v>
      </c>
      <c r="DZ184" s="196" t="n">
        <f aca="false">VLOOKUP($DT$1,'Datos Iniciales'!$E$34:$O$64,DZ$158,FALSE())*DZ86</f>
        <v>0</v>
      </c>
      <c r="EA184" s="196" t="n">
        <f aca="false">VLOOKUP($DT$1,'Datos Iniciales'!$E$34:$O$64,EA$158,FALSE())*EA86</f>
        <v>0</v>
      </c>
      <c r="EB184" s="196" t="n">
        <f aca="false">VLOOKUP($DT$1,'Datos Iniciales'!$E$34:$O$64,EB$158,FALSE())*EB86</f>
        <v>0</v>
      </c>
      <c r="EC184" s="196" t="n">
        <f aca="false">VLOOKUP($DT$1,'Datos Iniciales'!$E$34:$O$64,EC$158,FALSE())*EC86</f>
        <v>0</v>
      </c>
      <c r="ED184" s="197" t="n">
        <f aca="false">VLOOKUP($DT$1,'Datos Iniciales'!$E$34:$O$64,ED$158,FALSE())*ED86</f>
        <v>0</v>
      </c>
      <c r="EE184" s="194" t="str">
        <f aca="false">DT184</f>
        <v>Alumno25</v>
      </c>
      <c r="EF184" s="208" t="n">
        <f aca="false">VLOOKUP($EE$1,'Datos Iniciales'!$E$34:$O$64,EF$158,FALSE())*EF86</f>
        <v>0</v>
      </c>
      <c r="EG184" s="196" t="n">
        <f aca="false">VLOOKUP($EE$1,'Datos Iniciales'!$E$34:$O$64,EG$158,FALSE())*EG86</f>
        <v>0</v>
      </c>
      <c r="EH184" s="196" t="n">
        <f aca="false">VLOOKUP($EE$1,'Datos Iniciales'!$E$34:$O$64,EH$158,FALSE())*EH86</f>
        <v>0</v>
      </c>
      <c r="EI184" s="196" t="n">
        <f aca="false">VLOOKUP($EE$1,'Datos Iniciales'!$E$34:$O$64,EI$158,FALSE())*EI86</f>
        <v>0</v>
      </c>
      <c r="EJ184" s="196" t="n">
        <f aca="false">VLOOKUP($EE$1,'Datos Iniciales'!$E$34:$O$64,EJ$158,FALSE())*EJ86</f>
        <v>0</v>
      </c>
      <c r="EK184" s="196" t="n">
        <f aca="false">VLOOKUP($EE$1,'Datos Iniciales'!$E$34:$O$64,EK$158,FALSE())*EK86</f>
        <v>0</v>
      </c>
      <c r="EL184" s="196" t="n">
        <f aca="false">VLOOKUP($EE$1,'Datos Iniciales'!$E$34:$O$64,EL$158,FALSE())*EL86</f>
        <v>0</v>
      </c>
      <c r="EM184" s="196" t="n">
        <f aca="false">VLOOKUP($EE$1,'Datos Iniciales'!$E$34:$O$64,EM$158,FALSE())*EM86</f>
        <v>0</v>
      </c>
      <c r="EN184" s="196" t="n">
        <f aca="false">VLOOKUP($EE$1,'Datos Iniciales'!$E$34:$O$64,EN$158,FALSE())*EN86</f>
        <v>0</v>
      </c>
      <c r="EO184" s="197" t="n">
        <f aca="false">VLOOKUP($EE$1,'Datos Iniciales'!$E$34:$O$64,EO$158,FALSE())*EO86</f>
        <v>0</v>
      </c>
      <c r="EP184" s="194" t="str">
        <f aca="false">EE184</f>
        <v>Alumno25</v>
      </c>
      <c r="EQ184" s="208" t="n">
        <f aca="false">VLOOKUP($EP$1,'Datos Iniciales'!$E$34:$O$64,EQ$158,FALSE())*EQ86</f>
        <v>0</v>
      </c>
      <c r="ER184" s="196" t="n">
        <f aca="false">VLOOKUP($EP$1,'Datos Iniciales'!$E$34:$O$64,ER$158,FALSE())*ER86</f>
        <v>0</v>
      </c>
      <c r="ES184" s="196" t="n">
        <f aca="false">VLOOKUP($EP$1,'Datos Iniciales'!$E$34:$O$64,ES$158,FALSE())*ES86</f>
        <v>0</v>
      </c>
      <c r="ET184" s="196" t="n">
        <f aca="false">VLOOKUP($EP$1,'Datos Iniciales'!$E$34:$O$64,ET$158,FALSE())*ET86</f>
        <v>0</v>
      </c>
      <c r="EU184" s="196" t="n">
        <f aca="false">VLOOKUP($EP$1,'Datos Iniciales'!$E$34:$O$64,EU$158,FALSE())*EU86</f>
        <v>0</v>
      </c>
      <c r="EV184" s="196" t="n">
        <f aca="false">VLOOKUP($EP$1,'Datos Iniciales'!$E$34:$O$64,EV$158,FALSE())*EV86</f>
        <v>0</v>
      </c>
      <c r="EW184" s="196" t="n">
        <f aca="false">VLOOKUP($EP$1,'Datos Iniciales'!$E$34:$O$64,EW$158,FALSE())*EW86</f>
        <v>0</v>
      </c>
      <c r="EX184" s="196" t="n">
        <f aca="false">VLOOKUP($EP$1,'Datos Iniciales'!$E$34:$O$64,EX$158,FALSE())*EX86</f>
        <v>0</v>
      </c>
      <c r="EY184" s="196" t="n">
        <f aca="false">VLOOKUP($EP$1,'Datos Iniciales'!$E$34:$O$64,EY$158,FALSE())*EY86</f>
        <v>0</v>
      </c>
      <c r="EZ184" s="197" t="n">
        <f aca="false">VLOOKUP($EP$1,'Datos Iniciales'!$E$34:$O$64,EZ$158,FALSE())*EZ86</f>
        <v>0</v>
      </c>
      <c r="FA184" s="194" t="str">
        <f aca="false">EP184</f>
        <v>Alumno25</v>
      </c>
      <c r="FB184" s="208" t="n">
        <f aca="false">VLOOKUP($FA$1,'Datos Iniciales'!$E$34:$O$64,FB$158,FALSE())*FB86</f>
        <v>0</v>
      </c>
      <c r="FC184" s="196" t="n">
        <f aca="false">VLOOKUP($FA$1,'Datos Iniciales'!$E$34:$O$64,FC$158,FALSE())*FC86</f>
        <v>0</v>
      </c>
      <c r="FD184" s="196" t="n">
        <f aca="false">VLOOKUP($FA$1,'Datos Iniciales'!$E$34:$O$64,FD$158,FALSE())*FD86</f>
        <v>0</v>
      </c>
      <c r="FE184" s="196" t="n">
        <f aca="false">VLOOKUP($FA$1,'Datos Iniciales'!$E$34:$O$64,FE$158,FALSE())*FE86</f>
        <v>0</v>
      </c>
      <c r="FF184" s="196" t="n">
        <f aca="false">VLOOKUP($FA$1,'Datos Iniciales'!$E$34:$O$64,FF$158,FALSE())*FF86</f>
        <v>0</v>
      </c>
      <c r="FG184" s="196" t="n">
        <f aca="false">VLOOKUP($FA$1,'Datos Iniciales'!$E$34:$O$64,FG$158,FALSE())*FG86</f>
        <v>0</v>
      </c>
      <c r="FH184" s="196" t="n">
        <f aca="false">VLOOKUP($FA$1,'Datos Iniciales'!$E$34:$O$64,FH$158,FALSE())*FH86</f>
        <v>0</v>
      </c>
      <c r="FI184" s="196" t="n">
        <f aca="false">VLOOKUP($FA$1,'Datos Iniciales'!$E$34:$O$64,FI$158,FALSE())*FI86</f>
        <v>0</v>
      </c>
      <c r="FJ184" s="196" t="n">
        <f aca="false">VLOOKUP($FA$1,'Datos Iniciales'!$E$34:$O$64,FJ$158,FALSE())*FJ86</f>
        <v>0</v>
      </c>
      <c r="FK184" s="197" t="n">
        <f aca="false">VLOOKUP($FA$1,'Datos Iniciales'!$E$34:$O$64,FK$158,FALSE())*FK86</f>
        <v>0</v>
      </c>
      <c r="FL184" s="194" t="str">
        <f aca="false">FA184</f>
        <v>Alumno25</v>
      </c>
      <c r="FM184" s="208" t="n">
        <f aca="false">VLOOKUP($FL$1,'Datos Iniciales'!$E$34:$O$64,FM$158,FALSE())*FM86</f>
        <v>0</v>
      </c>
      <c r="FN184" s="196" t="n">
        <f aca="false">VLOOKUP($FL$1,'Datos Iniciales'!$E$34:$O$64,FN$158,FALSE())*FN86</f>
        <v>0</v>
      </c>
      <c r="FO184" s="196" t="n">
        <f aca="false">VLOOKUP($FL$1,'Datos Iniciales'!$E$34:$O$64,FO$158,FALSE())*FO86</f>
        <v>0</v>
      </c>
      <c r="FP184" s="196" t="n">
        <f aca="false">VLOOKUP($FL$1,'Datos Iniciales'!$E$34:$O$64,FP$158,FALSE())*FP86</f>
        <v>0</v>
      </c>
      <c r="FQ184" s="196" t="n">
        <f aca="false">VLOOKUP($FL$1,'Datos Iniciales'!$E$34:$O$64,FQ$158,FALSE())*FQ86</f>
        <v>0</v>
      </c>
      <c r="FR184" s="196" t="n">
        <f aca="false">VLOOKUP($FL$1,'Datos Iniciales'!$E$34:$O$64,FR$158,FALSE())*FR86</f>
        <v>0</v>
      </c>
      <c r="FS184" s="196" t="n">
        <f aca="false">VLOOKUP($FL$1,'Datos Iniciales'!$E$34:$O$64,FS$158,FALSE())*FS86</f>
        <v>0</v>
      </c>
      <c r="FT184" s="196" t="n">
        <f aca="false">VLOOKUP($FL$1,'Datos Iniciales'!$E$34:$O$64,FT$158,FALSE())*FT86</f>
        <v>0</v>
      </c>
      <c r="FU184" s="196" t="n">
        <f aca="false">VLOOKUP($FL$1,'Datos Iniciales'!$E$34:$O$64,FU$158,FALSE())*FU86</f>
        <v>0</v>
      </c>
      <c r="FV184" s="197" t="n">
        <f aca="false">VLOOKUP($FL$1,'Datos Iniciales'!$E$34:$O$64,FV$158,FALSE())*FV86</f>
        <v>0</v>
      </c>
      <c r="FW184" s="194" t="str">
        <f aca="false">FL184</f>
        <v>Alumno25</v>
      </c>
      <c r="FX184" s="208" t="n">
        <f aca="false">VLOOKUP($FW$1,'Datos Iniciales'!$E$34:$O$64,FX$158,FALSE())*FX86</f>
        <v>0</v>
      </c>
      <c r="FY184" s="196" t="n">
        <f aca="false">VLOOKUP($FW$1,'Datos Iniciales'!$E$34:$O$64,FY$158,FALSE())*FY86</f>
        <v>0</v>
      </c>
      <c r="FZ184" s="196" t="n">
        <f aca="false">VLOOKUP($FW$1,'Datos Iniciales'!$E$34:$O$64,FZ$158,FALSE())*FZ86</f>
        <v>0</v>
      </c>
      <c r="GA184" s="196" t="n">
        <f aca="false">VLOOKUP($FW$1,'Datos Iniciales'!$E$34:$O$64,GA$158,FALSE())*GA86</f>
        <v>0</v>
      </c>
      <c r="GB184" s="196" t="n">
        <f aca="false">VLOOKUP($FW$1,'Datos Iniciales'!$E$34:$O$64,GB$158,FALSE())*GB86</f>
        <v>0</v>
      </c>
      <c r="GC184" s="196" t="n">
        <f aca="false">VLOOKUP($FW$1,'Datos Iniciales'!$E$34:$O$64,GC$158,FALSE())*GC86</f>
        <v>0</v>
      </c>
      <c r="GD184" s="196" t="n">
        <f aca="false">VLOOKUP($FW$1,'Datos Iniciales'!$E$34:$O$64,GD$158,FALSE())*GD86</f>
        <v>0</v>
      </c>
      <c r="GE184" s="196" t="n">
        <f aca="false">VLOOKUP($FW$1,'Datos Iniciales'!$E$34:$O$64,GE$158,FALSE())*GE86</f>
        <v>0</v>
      </c>
      <c r="GF184" s="196" t="n">
        <f aca="false">VLOOKUP($FW$1,'Datos Iniciales'!$E$34:$O$64,GF$158,FALSE())*GF86</f>
        <v>0</v>
      </c>
      <c r="GG184" s="197" t="n">
        <f aca="false">VLOOKUP($FW$1,'Datos Iniciales'!$E$34:$O$64,GG$158,FALSE())*GG86</f>
        <v>0</v>
      </c>
      <c r="GH184" s="194" t="str">
        <f aca="false">FW184</f>
        <v>Alumno25</v>
      </c>
      <c r="GI184" s="208" t="n">
        <f aca="false">VLOOKUP($GH$1,'Datos Iniciales'!$E$34:$O$64,GI$158,FALSE())*GI86</f>
        <v>0</v>
      </c>
      <c r="GJ184" s="196" t="n">
        <f aca="false">VLOOKUP($GH$1,'Datos Iniciales'!$E$34:$O$64,GJ$158,FALSE())*GJ86</f>
        <v>0</v>
      </c>
      <c r="GK184" s="196" t="n">
        <f aca="false">VLOOKUP($GH$1,'Datos Iniciales'!$E$34:$O$64,GK$158,FALSE())*GK86</f>
        <v>0</v>
      </c>
      <c r="GL184" s="196" t="n">
        <f aca="false">VLOOKUP($GH$1,'Datos Iniciales'!$E$34:$O$64,GL$158,FALSE())*GL86</f>
        <v>0</v>
      </c>
      <c r="GM184" s="196" t="n">
        <f aca="false">VLOOKUP($GH$1,'Datos Iniciales'!$E$34:$O$64,GM$158,FALSE())*GM86</f>
        <v>0</v>
      </c>
      <c r="GN184" s="196" t="n">
        <f aca="false">VLOOKUP($GH$1,'Datos Iniciales'!$E$34:$O$64,GN$158,FALSE())*GN86</f>
        <v>0</v>
      </c>
      <c r="GO184" s="196" t="n">
        <f aca="false">VLOOKUP($GH$1,'Datos Iniciales'!$E$34:$O$64,GO$158,FALSE())*GO86</f>
        <v>0</v>
      </c>
      <c r="GP184" s="196" t="n">
        <f aca="false">VLOOKUP($GH$1,'Datos Iniciales'!$E$34:$O$64,GP$158,FALSE())*GP86</f>
        <v>0</v>
      </c>
      <c r="GQ184" s="196" t="n">
        <f aca="false">VLOOKUP($GH$1,'Datos Iniciales'!$E$34:$O$64,GQ$158,FALSE())*GQ86</f>
        <v>0</v>
      </c>
      <c r="GR184" s="197" t="n">
        <f aca="false">VLOOKUP($GH$1,'Datos Iniciales'!$E$34:$O$64,GR$158,FALSE())*GR86</f>
        <v>0</v>
      </c>
      <c r="GS184" s="194" t="str">
        <f aca="false">GH184</f>
        <v>Alumno25</v>
      </c>
      <c r="GT184" s="208" t="n">
        <f aca="false">VLOOKUP($GS$1,'Datos Iniciales'!$E$34:$O$64,GT$158,FALSE())*GT86</f>
        <v>0</v>
      </c>
      <c r="GU184" s="196" t="n">
        <f aca="false">VLOOKUP($GS$1,'Datos Iniciales'!$E$34:$O$64,GU$158,FALSE())*GU86</f>
        <v>0</v>
      </c>
      <c r="GV184" s="196" t="n">
        <f aca="false">VLOOKUP($GS$1,'Datos Iniciales'!$E$34:$O$64,GV$158,FALSE())*GV86</f>
        <v>0</v>
      </c>
      <c r="GW184" s="196" t="n">
        <f aca="false">VLOOKUP($GS$1,'Datos Iniciales'!$E$34:$O$64,GW$158,FALSE())*GW86</f>
        <v>0</v>
      </c>
      <c r="GX184" s="196" t="n">
        <f aca="false">VLOOKUP($GS$1,'Datos Iniciales'!$E$34:$O$64,GX$158,FALSE())*GX86</f>
        <v>0</v>
      </c>
      <c r="GY184" s="196" t="n">
        <f aca="false">VLOOKUP($GS$1,'Datos Iniciales'!$E$34:$O$64,GY$158,FALSE())*GY86</f>
        <v>0</v>
      </c>
      <c r="GZ184" s="196" t="n">
        <f aca="false">VLOOKUP($GS$1,'Datos Iniciales'!$E$34:$O$64,GZ$158,FALSE())*GZ86</f>
        <v>0</v>
      </c>
      <c r="HA184" s="196" t="n">
        <f aca="false">VLOOKUP($GS$1,'Datos Iniciales'!$E$34:$O$64,HA$158,FALSE())*HA86</f>
        <v>0</v>
      </c>
      <c r="HB184" s="196" t="n">
        <f aca="false">VLOOKUP($GS$1,'Datos Iniciales'!$E$34:$O$64,HB$158,FALSE())*HB86</f>
        <v>0</v>
      </c>
      <c r="HC184" s="197" t="n">
        <f aca="false">VLOOKUP($GS$1,'Datos Iniciales'!$E$34:$O$64,HC$158,FALSE())*HC86</f>
        <v>0</v>
      </c>
      <c r="HD184" s="194" t="str">
        <f aca="false">GS184</f>
        <v>Alumno25</v>
      </c>
      <c r="HE184" s="208" t="n">
        <f aca="false">VLOOKUP($HD$1,'Datos Iniciales'!$E$34:$O$64,HE$158,FALSE())*HE86</f>
        <v>0</v>
      </c>
      <c r="HF184" s="196" t="n">
        <f aca="false">VLOOKUP($HD$1,'Datos Iniciales'!$E$34:$O$64,HF$158,FALSE())*HF86</f>
        <v>0</v>
      </c>
      <c r="HG184" s="196" t="n">
        <f aca="false">VLOOKUP($HD$1,'Datos Iniciales'!$E$34:$O$64,HG$158,FALSE())*HG86</f>
        <v>0</v>
      </c>
      <c r="HH184" s="196" t="n">
        <f aca="false">VLOOKUP($HD$1,'Datos Iniciales'!$E$34:$O$64,HH$158,FALSE())*HH86</f>
        <v>0</v>
      </c>
      <c r="HI184" s="196" t="n">
        <f aca="false">VLOOKUP($HD$1,'Datos Iniciales'!$E$34:$O$64,HI$158,FALSE())*HI86</f>
        <v>0</v>
      </c>
      <c r="HJ184" s="196" t="n">
        <f aca="false">VLOOKUP($HD$1,'Datos Iniciales'!$E$34:$O$64,HJ$158,FALSE())*HJ86</f>
        <v>0</v>
      </c>
      <c r="HK184" s="196" t="n">
        <f aca="false">VLOOKUP($HD$1,'Datos Iniciales'!$E$34:$O$64,HK$158,FALSE())*HK86</f>
        <v>0</v>
      </c>
      <c r="HL184" s="196" t="n">
        <f aca="false">VLOOKUP($HD$1,'Datos Iniciales'!$E$34:$O$64,HL$158,FALSE())*HL86</f>
        <v>0</v>
      </c>
      <c r="HM184" s="196" t="n">
        <f aca="false">VLOOKUP($HD$1,'Datos Iniciales'!$E$34:$O$64,HM$158,FALSE())*HM86</f>
        <v>0</v>
      </c>
      <c r="HN184" s="197" t="n">
        <f aca="false">VLOOKUP($HD$1,'Datos Iniciales'!$E$34:$O$64,HN$158,FALSE())*HN86</f>
        <v>0</v>
      </c>
      <c r="HO184" s="194" t="str">
        <f aca="false">HD184</f>
        <v>Alumno25</v>
      </c>
      <c r="HP184" s="208" t="n">
        <f aca="false">VLOOKUP($HO$1,'Datos Iniciales'!$E$34:$O$64,HP$158,FALSE())*HP86</f>
        <v>0</v>
      </c>
      <c r="HQ184" s="196" t="n">
        <f aca="false">VLOOKUP($HO$1,'Datos Iniciales'!$E$34:$O$64,HQ$158,FALSE())*HQ86</f>
        <v>0</v>
      </c>
      <c r="HR184" s="196" t="n">
        <f aca="false">VLOOKUP($HO$1,'Datos Iniciales'!$E$34:$O$64,HR$158,FALSE())*HR86</f>
        <v>0</v>
      </c>
      <c r="HS184" s="196" t="n">
        <f aca="false">VLOOKUP($HO$1,'Datos Iniciales'!$E$34:$O$64,HS$158,FALSE())*HS86</f>
        <v>0</v>
      </c>
      <c r="HT184" s="196" t="n">
        <f aca="false">VLOOKUP($HO$1,'Datos Iniciales'!$E$34:$O$64,HT$158,FALSE())*HT86</f>
        <v>0</v>
      </c>
      <c r="HU184" s="196" t="n">
        <f aca="false">VLOOKUP($HO$1,'Datos Iniciales'!$E$34:$O$64,HU$158,FALSE())*HU86</f>
        <v>0</v>
      </c>
      <c r="HV184" s="196" t="n">
        <f aca="false">VLOOKUP($HO$1,'Datos Iniciales'!$E$34:$O$64,HV$158,FALSE())*HV86</f>
        <v>0</v>
      </c>
      <c r="HW184" s="196" t="n">
        <f aca="false">VLOOKUP($HO$1,'Datos Iniciales'!$E$34:$O$64,HW$158,FALSE())*HW86</f>
        <v>0</v>
      </c>
      <c r="HX184" s="196" t="n">
        <f aca="false">VLOOKUP($HO$1,'Datos Iniciales'!$E$34:$O$64,HX$158,FALSE())*HX86</f>
        <v>0</v>
      </c>
      <c r="HY184" s="197" t="n">
        <f aca="false">VLOOKUP($HO$1,'Datos Iniciales'!$E$34:$O$64,HY$158,FALSE())*HY86</f>
        <v>0</v>
      </c>
      <c r="HZ184" s="194" t="str">
        <f aca="false">HO184</f>
        <v>Alumno25</v>
      </c>
      <c r="IA184" s="208" t="n">
        <f aca="false">VLOOKUP($HZ$1,'Datos Iniciales'!$E$34:$O$64,IA$158,FALSE())*IA86</f>
        <v>0</v>
      </c>
      <c r="IB184" s="196" t="n">
        <f aca="false">VLOOKUP($HZ$1,'Datos Iniciales'!$E$34:$O$64,IB$158,FALSE())*IB86</f>
        <v>0</v>
      </c>
      <c r="IC184" s="196" t="n">
        <f aca="false">VLOOKUP($HZ$1,'Datos Iniciales'!$E$34:$O$64,IC$158,FALSE())*IC86</f>
        <v>0</v>
      </c>
      <c r="ID184" s="196" t="n">
        <f aca="false">VLOOKUP($HZ$1,'Datos Iniciales'!$E$34:$O$64,ID$158,FALSE())*ID86</f>
        <v>0</v>
      </c>
      <c r="IE184" s="196" t="n">
        <f aca="false">VLOOKUP($HZ$1,'Datos Iniciales'!$E$34:$O$64,IE$158,FALSE())*IE86</f>
        <v>0</v>
      </c>
      <c r="IF184" s="196" t="n">
        <f aca="false">VLOOKUP($HZ$1,'Datos Iniciales'!$E$34:$O$64,IF$158,FALSE())*IF86</f>
        <v>0</v>
      </c>
      <c r="IG184" s="196" t="n">
        <f aca="false">VLOOKUP($HZ$1,'Datos Iniciales'!$E$34:$O$64,IG$158,FALSE())*IG86</f>
        <v>0</v>
      </c>
      <c r="IH184" s="196" t="n">
        <f aca="false">VLOOKUP($HZ$1,'Datos Iniciales'!$E$34:$O$64,IH$158,FALSE())*IH86</f>
        <v>0</v>
      </c>
      <c r="II184" s="196" t="n">
        <f aca="false">VLOOKUP($HZ$1,'Datos Iniciales'!$E$34:$O$64,II$158,FALSE())*II86</f>
        <v>0</v>
      </c>
      <c r="IJ184" s="197" t="n">
        <f aca="false">VLOOKUP($HZ$1,'Datos Iniciales'!$E$34:$O$64,IJ$158,FALSE())*IJ86</f>
        <v>0</v>
      </c>
      <c r="IK184" s="194" t="str">
        <f aca="false">HZ184</f>
        <v>Alumno25</v>
      </c>
      <c r="IL184" s="208" t="n">
        <f aca="false">VLOOKUP($IK$1,'Datos Iniciales'!$E$34:$O$64,IL$158,FALSE())*IL86</f>
        <v>0</v>
      </c>
      <c r="IM184" s="196" t="n">
        <f aca="false">VLOOKUP($IK$1,'Datos Iniciales'!$E$34:$O$64,IM$158,FALSE())*IM86</f>
        <v>0</v>
      </c>
      <c r="IN184" s="196" t="n">
        <f aca="false">VLOOKUP($IK$1,'Datos Iniciales'!$E$34:$O$64,IN$158,FALSE())*IN86</f>
        <v>0</v>
      </c>
      <c r="IO184" s="196" t="n">
        <f aca="false">VLOOKUP($IK$1,'Datos Iniciales'!$E$34:$O$64,IO$158,FALSE())*IO86</f>
        <v>0</v>
      </c>
      <c r="IP184" s="196" t="n">
        <f aca="false">VLOOKUP($IK$1,'Datos Iniciales'!$E$34:$O$64,IP$158,FALSE())*IP86</f>
        <v>0</v>
      </c>
      <c r="IQ184" s="196" t="n">
        <f aca="false">VLOOKUP($IK$1,'Datos Iniciales'!$E$34:$O$64,IQ$158,FALSE())*IQ86</f>
        <v>0</v>
      </c>
      <c r="IR184" s="196" t="n">
        <f aca="false">VLOOKUP($IK$1,'Datos Iniciales'!$E$34:$O$64,IR$158,FALSE())*IR86</f>
        <v>0</v>
      </c>
      <c r="IS184" s="196" t="n">
        <f aca="false">VLOOKUP($IK$1,'Datos Iniciales'!$E$34:$O$64,IS$158,FALSE())*IS86</f>
        <v>0</v>
      </c>
      <c r="IT184" s="196" t="n">
        <f aca="false">VLOOKUP($IK$1,'Datos Iniciales'!$E$34:$O$64,IT$158,FALSE())*IT86</f>
        <v>0</v>
      </c>
      <c r="IU184" s="197" t="n">
        <f aca="false">VLOOKUP($IK$1,'Datos Iniciales'!$E$34:$O$64,IU$158,FALSE())*IU86</f>
        <v>0</v>
      </c>
      <c r="IV184" s="194" t="str">
        <f aca="false">IK184</f>
        <v>Alumno25</v>
      </c>
      <c r="IW184" s="208" t="n">
        <f aca="false">VLOOKUP($IV$1,'Datos Iniciales'!$E$34:$O$64,IW$158,FALSE())*IW86</f>
        <v>0</v>
      </c>
      <c r="IX184" s="196" t="n">
        <f aca="false">VLOOKUP($IV$1,'Datos Iniciales'!$E$34:$O$64,IX$158,FALSE())*IX86</f>
        <v>0</v>
      </c>
      <c r="IY184" s="196" t="n">
        <f aca="false">VLOOKUP($IV$1,'Datos Iniciales'!$E$34:$O$64,IY$158,FALSE())*IY86</f>
        <v>0</v>
      </c>
      <c r="IZ184" s="196" t="n">
        <f aca="false">VLOOKUP($IV$1,'Datos Iniciales'!$E$34:$O$64,IZ$158,FALSE())*IZ86</f>
        <v>0</v>
      </c>
      <c r="JA184" s="196" t="n">
        <f aca="false">VLOOKUP($IV$1,'Datos Iniciales'!$E$34:$O$64,JA$158,FALSE())*JA86</f>
        <v>0</v>
      </c>
      <c r="JB184" s="196" t="n">
        <f aca="false">VLOOKUP($IV$1,'Datos Iniciales'!$E$34:$O$64,JB$158,FALSE())*JB86</f>
        <v>0</v>
      </c>
      <c r="JC184" s="196" t="n">
        <f aca="false">VLOOKUP($IV$1,'Datos Iniciales'!$E$34:$O$64,JC$158,FALSE())*JC86</f>
        <v>0</v>
      </c>
      <c r="JD184" s="196" t="n">
        <f aca="false">VLOOKUP($IV$1,'Datos Iniciales'!$E$34:$O$64,JD$158,FALSE())*JD86</f>
        <v>0</v>
      </c>
      <c r="JE184" s="196" t="n">
        <f aca="false">VLOOKUP($IV$1,'Datos Iniciales'!$E$34:$O$64,JE$158,FALSE())*JE86</f>
        <v>0</v>
      </c>
      <c r="JF184" s="197" t="n">
        <f aca="false">VLOOKUP($IV$1,'Datos Iniciales'!$E$34:$O$64,JF$158,FALSE())*JF86</f>
        <v>0</v>
      </c>
      <c r="JG184" s="194" t="str">
        <f aca="false">IV184</f>
        <v>Alumno25</v>
      </c>
      <c r="JH184" s="208" t="n">
        <f aca="false">VLOOKUP($JG$1,'Datos Iniciales'!$E$34:$O$64,JH$158,FALSE())*JH86</f>
        <v>0</v>
      </c>
      <c r="JI184" s="196" t="n">
        <f aca="false">VLOOKUP($JG$1,'Datos Iniciales'!$E$34:$O$64,JI$158,FALSE())*JI86</f>
        <v>0</v>
      </c>
      <c r="JJ184" s="196" t="n">
        <f aca="false">VLOOKUP($JG$1,'Datos Iniciales'!$E$34:$O$64,JJ$158,FALSE())*JJ86</f>
        <v>0</v>
      </c>
      <c r="JK184" s="196" t="n">
        <f aca="false">VLOOKUP($JG$1,'Datos Iniciales'!$E$34:$O$64,JK$158,FALSE())*JK86</f>
        <v>0</v>
      </c>
      <c r="JL184" s="196" t="n">
        <f aca="false">VLOOKUP($JG$1,'Datos Iniciales'!$E$34:$O$64,JL$158,FALSE())*JL86</f>
        <v>0</v>
      </c>
      <c r="JM184" s="196" t="n">
        <f aca="false">VLOOKUP($JG$1,'Datos Iniciales'!$E$34:$O$64,JM$158,FALSE())*JM86</f>
        <v>0</v>
      </c>
      <c r="JN184" s="196" t="n">
        <f aca="false">VLOOKUP($JG$1,'Datos Iniciales'!$E$34:$O$64,JN$158,FALSE())*JN86</f>
        <v>0</v>
      </c>
      <c r="JO184" s="196" t="n">
        <f aca="false">VLOOKUP($JG$1,'Datos Iniciales'!$E$34:$O$64,JO$158,FALSE())*JO86</f>
        <v>0</v>
      </c>
      <c r="JP184" s="196" t="n">
        <f aca="false">VLOOKUP($JG$1,'Datos Iniciales'!$E$34:$O$64,JP$158,FALSE())*JP86</f>
        <v>0</v>
      </c>
      <c r="JQ184" s="197" t="n">
        <f aca="false">VLOOKUP($JG$1,'Datos Iniciales'!$E$34:$O$64,JQ$158,FALSE())*JQ86</f>
        <v>0</v>
      </c>
      <c r="JR184" s="194" t="str">
        <f aca="false">JG184</f>
        <v>Alumno25</v>
      </c>
      <c r="JS184" s="208" t="n">
        <f aca="false">VLOOKUP($JR$1,'Datos Iniciales'!$E$34:$O$64,JS$158,FALSE())*JS86</f>
        <v>0</v>
      </c>
      <c r="JT184" s="196" t="n">
        <f aca="false">VLOOKUP($JR$1,'Datos Iniciales'!$E$34:$O$64,JT$158,FALSE())*JT86</f>
        <v>0</v>
      </c>
      <c r="JU184" s="196" t="n">
        <f aca="false">VLOOKUP($JR$1,'Datos Iniciales'!$E$34:$O$64,JU$158,FALSE())*JU86</f>
        <v>0</v>
      </c>
      <c r="JV184" s="196" t="n">
        <f aca="false">VLOOKUP($JR$1,'Datos Iniciales'!$E$34:$O$64,JV$158,FALSE())*JV86</f>
        <v>0</v>
      </c>
      <c r="JW184" s="196" t="n">
        <f aca="false">VLOOKUP($JR$1,'Datos Iniciales'!$E$34:$O$64,JW$158,FALSE())*JW86</f>
        <v>0</v>
      </c>
      <c r="JX184" s="196" t="n">
        <f aca="false">VLOOKUP($JR$1,'Datos Iniciales'!$E$34:$O$64,JX$158,FALSE())*JX86</f>
        <v>0</v>
      </c>
      <c r="JY184" s="196" t="n">
        <f aca="false">VLOOKUP($JR$1,'Datos Iniciales'!$E$34:$O$64,JY$158,FALSE())*JY86</f>
        <v>0</v>
      </c>
      <c r="JZ184" s="196" t="n">
        <f aca="false">VLOOKUP($JR$1,'Datos Iniciales'!$E$34:$O$64,JZ$158,FALSE())*JZ86</f>
        <v>0</v>
      </c>
      <c r="KA184" s="196" t="n">
        <f aca="false">VLOOKUP($JR$1,'Datos Iniciales'!$E$34:$O$64,KA$158,FALSE())*KA86</f>
        <v>0</v>
      </c>
      <c r="KB184" s="197" t="n">
        <f aca="false">VLOOKUP($JR$1,'Datos Iniciales'!$E$34:$O$64,KB$158,FALSE())*KB86</f>
        <v>0</v>
      </c>
      <c r="KC184" s="194" t="str">
        <f aca="false">JR184</f>
        <v>Alumno25</v>
      </c>
      <c r="KD184" s="208" t="n">
        <f aca="false">VLOOKUP($KC$1,'Datos Iniciales'!$E$34:$O$64,KD$158,FALSE())*KD86</f>
        <v>0</v>
      </c>
      <c r="KE184" s="196" t="n">
        <f aca="false">VLOOKUP($KC$1,'Datos Iniciales'!$E$34:$O$64,KE$158,FALSE())*KE86</f>
        <v>0</v>
      </c>
      <c r="KF184" s="196" t="n">
        <f aca="false">VLOOKUP($KC$1,'Datos Iniciales'!$E$34:$O$64,KF$158,FALSE())*KF86</f>
        <v>0</v>
      </c>
      <c r="KG184" s="196" t="n">
        <f aca="false">VLOOKUP($KC$1,'Datos Iniciales'!$E$34:$O$64,KG$158,FALSE())*KG86</f>
        <v>0</v>
      </c>
      <c r="KH184" s="196" t="n">
        <f aca="false">VLOOKUP($KC$1,'Datos Iniciales'!$E$34:$O$64,KH$158,FALSE())*KH86</f>
        <v>0</v>
      </c>
      <c r="KI184" s="196" t="n">
        <f aca="false">VLOOKUP($KC$1,'Datos Iniciales'!$E$34:$O$64,KI$158,FALSE())*KI86</f>
        <v>0</v>
      </c>
      <c r="KJ184" s="196" t="n">
        <f aca="false">VLOOKUP($KC$1,'Datos Iniciales'!$E$34:$O$64,KJ$158,FALSE())*KJ86</f>
        <v>0</v>
      </c>
      <c r="KK184" s="196" t="n">
        <f aca="false">VLOOKUP($KC$1,'Datos Iniciales'!$E$34:$O$64,KK$158,FALSE())*KK86</f>
        <v>0</v>
      </c>
      <c r="KL184" s="196" t="n">
        <f aca="false">VLOOKUP($KC$1,'Datos Iniciales'!$E$34:$O$64,KL$158,FALSE())*KL86</f>
        <v>0</v>
      </c>
      <c r="KM184" s="197" t="n">
        <f aca="false">VLOOKUP($KC$1,'Datos Iniciales'!$E$34:$O$64,KM$158,FALSE())*KM86</f>
        <v>0</v>
      </c>
      <c r="KN184" s="194" t="str">
        <f aca="false">KC184</f>
        <v>Alumno25</v>
      </c>
      <c r="KO184" s="208" t="n">
        <f aca="false">VLOOKUP($KN$1,'Datos Iniciales'!$E$34:$O$64,KO$158,FALSE())*KO86</f>
        <v>0</v>
      </c>
      <c r="KP184" s="196" t="n">
        <f aca="false">VLOOKUP($KN$1,'Datos Iniciales'!$E$34:$O$64,KP$158,FALSE())*KP86</f>
        <v>0</v>
      </c>
      <c r="KQ184" s="196" t="n">
        <f aca="false">VLOOKUP($KN$1,'Datos Iniciales'!$E$34:$O$64,KQ$158,FALSE())*KQ86</f>
        <v>0</v>
      </c>
      <c r="KR184" s="196" t="n">
        <f aca="false">VLOOKUP($KN$1,'Datos Iniciales'!$E$34:$O$64,KR$158,FALSE())*KR86</f>
        <v>0</v>
      </c>
      <c r="KS184" s="196" t="n">
        <f aca="false">VLOOKUP($KN$1,'Datos Iniciales'!$E$34:$O$64,KS$158,FALSE())*KS86</f>
        <v>0</v>
      </c>
      <c r="KT184" s="196" t="n">
        <f aca="false">VLOOKUP($KN$1,'Datos Iniciales'!$E$34:$O$64,KT$158,FALSE())*KT86</f>
        <v>0</v>
      </c>
      <c r="KU184" s="196" t="n">
        <f aca="false">VLOOKUP($KN$1,'Datos Iniciales'!$E$34:$O$64,KU$158,FALSE())*KU86</f>
        <v>0</v>
      </c>
      <c r="KV184" s="196" t="n">
        <f aca="false">VLOOKUP($KN$1,'Datos Iniciales'!$E$34:$O$64,KV$158,FALSE())*KV86</f>
        <v>0</v>
      </c>
      <c r="KW184" s="196" t="n">
        <f aca="false">VLOOKUP($KN$1,'Datos Iniciales'!$E$34:$O$64,KW$158,FALSE())*KW86</f>
        <v>0</v>
      </c>
      <c r="KX184" s="197" t="n">
        <f aca="false">VLOOKUP($KN$1,'Datos Iniciales'!$E$34:$O$64,KX$158,FALSE())*KX86</f>
        <v>0</v>
      </c>
      <c r="KY184" s="194" t="str">
        <f aca="false">KN184</f>
        <v>Alumno25</v>
      </c>
      <c r="KZ184" s="208" t="n">
        <f aca="false">VLOOKUP($KY$1,'Datos Iniciales'!$E$34:$O$64,KZ$158,FALSE())*KZ86</f>
        <v>0</v>
      </c>
      <c r="LA184" s="196" t="n">
        <f aca="false">VLOOKUP($KY$1,'Datos Iniciales'!$E$34:$O$64,LA$158,FALSE())*LA86</f>
        <v>0</v>
      </c>
      <c r="LB184" s="196" t="n">
        <f aca="false">VLOOKUP($KY$1,'Datos Iniciales'!$E$34:$O$64,LB$158,FALSE())*LB86</f>
        <v>0</v>
      </c>
      <c r="LC184" s="196" t="n">
        <f aca="false">VLOOKUP($KY$1,'Datos Iniciales'!$E$34:$O$64,LC$158,FALSE())*LC86</f>
        <v>0</v>
      </c>
      <c r="LD184" s="196" t="n">
        <f aca="false">VLOOKUP($KY$1,'Datos Iniciales'!$E$34:$O$64,LD$158,FALSE())*LD86</f>
        <v>0</v>
      </c>
      <c r="LE184" s="196" t="n">
        <f aca="false">VLOOKUP($KY$1,'Datos Iniciales'!$E$34:$O$64,LE$158,FALSE())*LE86</f>
        <v>0</v>
      </c>
      <c r="LF184" s="196" t="n">
        <f aca="false">VLOOKUP($KY$1,'Datos Iniciales'!$E$34:$O$64,LF$158,FALSE())*LF86</f>
        <v>0</v>
      </c>
      <c r="LG184" s="196" t="n">
        <f aca="false">VLOOKUP($KY$1,'Datos Iniciales'!$E$34:$O$64,LG$158,FALSE())*LG86</f>
        <v>0</v>
      </c>
      <c r="LH184" s="196" t="n">
        <f aca="false">VLOOKUP($KY$1,'Datos Iniciales'!$E$34:$O$64,LH$158,FALSE())*LH86</f>
        <v>0</v>
      </c>
      <c r="LI184" s="197" t="n">
        <f aca="false">VLOOKUP($KY$1,'Datos Iniciales'!$E$34:$O$64,LI$158,FALSE())*LI86</f>
        <v>0</v>
      </c>
      <c r="LJ184" s="194" t="str">
        <f aca="false">KY184</f>
        <v>Alumno25</v>
      </c>
      <c r="LK184" s="208" t="n">
        <f aca="false">VLOOKUP($LJ$1,'Datos Iniciales'!$E$34:$O$64,LK$158,FALSE())*LK86</f>
        <v>0</v>
      </c>
      <c r="LL184" s="196" t="n">
        <f aca="false">VLOOKUP($LJ$1,'Datos Iniciales'!$E$34:$O$64,LL$158,FALSE())*LL86</f>
        <v>0</v>
      </c>
      <c r="LM184" s="196" t="n">
        <f aca="false">VLOOKUP($LJ$1,'Datos Iniciales'!$E$34:$O$64,LM$158,FALSE())*LM86</f>
        <v>0</v>
      </c>
      <c r="LN184" s="196" t="n">
        <f aca="false">VLOOKUP($LJ$1,'Datos Iniciales'!$E$34:$O$64,LN$158,FALSE())*LN86</f>
        <v>0</v>
      </c>
      <c r="LO184" s="196" t="n">
        <f aca="false">VLOOKUP($LJ$1,'Datos Iniciales'!$E$34:$O$64,LO$158,FALSE())*LO86</f>
        <v>0</v>
      </c>
      <c r="LP184" s="196" t="n">
        <f aca="false">VLOOKUP($LJ$1,'Datos Iniciales'!$E$34:$O$64,LP$158,FALSE())*LP86</f>
        <v>0</v>
      </c>
      <c r="LQ184" s="196" t="n">
        <f aca="false">VLOOKUP($LJ$1,'Datos Iniciales'!$E$34:$O$64,LQ$158,FALSE())*LQ86</f>
        <v>0</v>
      </c>
      <c r="LR184" s="196" t="n">
        <f aca="false">VLOOKUP($LJ$1,'Datos Iniciales'!$E$34:$O$64,LR$158,FALSE())*LR86</f>
        <v>0</v>
      </c>
      <c r="LS184" s="196" t="n">
        <f aca="false">VLOOKUP($LJ$1,'Datos Iniciales'!$E$34:$O$64,LS$158,FALSE())*LS86</f>
        <v>0</v>
      </c>
      <c r="LT184" s="197" t="n">
        <f aca="false">VLOOKUP($LJ$1,'Datos Iniciales'!$E$34:$O$64,LT$158,FALSE())*LT86</f>
        <v>0</v>
      </c>
    </row>
    <row r="185" customFormat="false" ht="15" hidden="true" customHeight="false" outlineLevel="0" collapsed="false">
      <c r="C185" s="194" t="str">
        <f aca="false">C136</f>
        <v>Alumno26</v>
      </c>
      <c r="D185" s="208" t="n">
        <f aca="false">VLOOKUP($C$1,'Datos Iniciales'!$E$34:$O$64,D$158,FALSE())*D87</f>
        <v>2.4125</v>
      </c>
      <c r="E185" s="196" t="n">
        <f aca="false">VLOOKUP($C$1,'Datos Iniciales'!$E$34:$O$64,E$158,FALSE())*E87</f>
        <v>0</v>
      </c>
      <c r="F185" s="196" t="n">
        <f aca="false">VLOOKUP($C$1,'Datos Iniciales'!$E$34:$O$64,F$158,FALSE())*F87</f>
        <v>0</v>
      </c>
      <c r="G185" s="196" t="n">
        <f aca="false">VLOOKUP($C$1,'Datos Iniciales'!$E$34:$O$64,G$158,FALSE())*G87</f>
        <v>0</v>
      </c>
      <c r="H185" s="196" t="n">
        <f aca="false">VLOOKUP($C$1,'Datos Iniciales'!$E$34:$O$64,H$158,FALSE())*H87</f>
        <v>0</v>
      </c>
      <c r="I185" s="196" t="n">
        <f aca="false">VLOOKUP($C$1,'Datos Iniciales'!$E$34:$O$64,I$158,FALSE())*I87</f>
        <v>0</v>
      </c>
      <c r="J185" s="196" t="n">
        <f aca="false">VLOOKUP($C$1,'Datos Iniciales'!$E$34:$O$64,J$158,FALSE())*J87</f>
        <v>0</v>
      </c>
      <c r="K185" s="196" t="n">
        <f aca="false">VLOOKUP($C$1,'Datos Iniciales'!$E$34:$O$64,K$158,FALSE())*K87</f>
        <v>0</v>
      </c>
      <c r="L185" s="196" t="n">
        <f aca="false">VLOOKUP($C$1,'Datos Iniciales'!$E$34:$O$64,L$158,FALSE())*L87</f>
        <v>0</v>
      </c>
      <c r="M185" s="197" t="n">
        <f aca="false">VLOOKUP($C$1,'Datos Iniciales'!$E$34:$O$64,M$158,FALSE())*M87</f>
        <v>0</v>
      </c>
      <c r="N185" s="194" t="str">
        <f aca="false">C185</f>
        <v>Alumno26</v>
      </c>
      <c r="O185" s="208" t="n">
        <f aca="false">VLOOKUP($N$1,'Datos Iniciales'!$E$34:$O$64,O$158,FALSE())*O87</f>
        <v>1.9</v>
      </c>
      <c r="P185" s="196" t="n">
        <f aca="false">VLOOKUP($N$1,'Datos Iniciales'!$E$34:$O$64,P$158,FALSE())*P87</f>
        <v>2</v>
      </c>
      <c r="Q185" s="196" t="n">
        <f aca="false">VLOOKUP($N$1,'Datos Iniciales'!$E$34:$O$64,Q$158,FALSE())*Q87</f>
        <v>0</v>
      </c>
      <c r="R185" s="196" t="n">
        <f aca="false">VLOOKUP($N$1,'Datos Iniciales'!$E$34:$O$64,R$158,FALSE())*R87</f>
        <v>0</v>
      </c>
      <c r="S185" s="196" t="n">
        <f aca="false">VLOOKUP($N$1,'Datos Iniciales'!$E$34:$O$64,S$158,FALSE())*S87</f>
        <v>0</v>
      </c>
      <c r="T185" s="196" t="n">
        <f aca="false">VLOOKUP($N$1,'Datos Iniciales'!$E$34:$O$64,T$158,FALSE())*T87</f>
        <v>0</v>
      </c>
      <c r="U185" s="196" t="n">
        <f aca="false">VLOOKUP($N$1,'Datos Iniciales'!$E$34:$O$64,U$158,FALSE())*U87</f>
        <v>0</v>
      </c>
      <c r="V185" s="196" t="n">
        <f aca="false">VLOOKUP($N$1,'Datos Iniciales'!$E$34:$O$64,V$158,FALSE())*V87</f>
        <v>0</v>
      </c>
      <c r="W185" s="196" t="n">
        <f aca="false">VLOOKUP($N$1,'Datos Iniciales'!$E$34:$O$64,W$158,FALSE())*W87</f>
        <v>0</v>
      </c>
      <c r="X185" s="197" t="n">
        <f aca="false">VLOOKUP($N$1,'Datos Iniciales'!$E$34:$O$64,X$158,FALSE())*X87</f>
        <v>0</v>
      </c>
      <c r="Y185" s="194" t="str">
        <f aca="false">N185</f>
        <v>Alumno26</v>
      </c>
      <c r="Z185" s="208" t="n">
        <f aca="false">VLOOKUP($Y$1,'Datos Iniciales'!$E$34:$O$64,Z$158,FALSE())*Z87</f>
        <v>1.65</v>
      </c>
      <c r="AA185" s="196" t="n">
        <f aca="false">VLOOKUP($Y$1,'Datos Iniciales'!$E$34:$O$64,AA$158,FALSE())*AA87</f>
        <v>0.7</v>
      </c>
      <c r="AB185" s="196" t="n">
        <f aca="false">VLOOKUP($Y$1,'Datos Iniciales'!$E$34:$O$64,AB$158,FALSE())*AB87</f>
        <v>0.5</v>
      </c>
      <c r="AC185" s="196" t="n">
        <f aca="false">VLOOKUP($Y$1,'Datos Iniciales'!$E$34:$O$64,AC$158,FALSE())*AC87</f>
        <v>0</v>
      </c>
      <c r="AD185" s="196" t="n">
        <f aca="false">VLOOKUP($Y$1,'Datos Iniciales'!$E$34:$O$64,AD$158,FALSE())*AD87</f>
        <v>0</v>
      </c>
      <c r="AE185" s="196" t="n">
        <f aca="false">VLOOKUP($Y$1,'Datos Iniciales'!$E$34:$O$64,AE$158,FALSE())*AE87</f>
        <v>0</v>
      </c>
      <c r="AF185" s="196" t="n">
        <f aca="false">VLOOKUP($Y$1,'Datos Iniciales'!$E$34:$O$64,AF$158,FALSE())*AF87</f>
        <v>0</v>
      </c>
      <c r="AG185" s="196" t="n">
        <f aca="false">VLOOKUP($Y$1,'Datos Iniciales'!$E$34:$O$64,AG$158,FALSE())*AG87</f>
        <v>0</v>
      </c>
      <c r="AH185" s="196" t="n">
        <f aca="false">VLOOKUP($Y$1,'Datos Iniciales'!$E$34:$O$64,AH$158,FALSE())*AH87</f>
        <v>0</v>
      </c>
      <c r="AI185" s="197" t="n">
        <f aca="false">VLOOKUP($Y$1,'Datos Iniciales'!$E$34:$O$64,AI$158,FALSE())*AI87</f>
        <v>0</v>
      </c>
      <c r="AJ185" s="194" t="str">
        <f aca="false">Y185</f>
        <v>Alumno26</v>
      </c>
      <c r="AK185" s="208" t="n">
        <f aca="false">VLOOKUP($AJ$1,'Datos Iniciales'!$E$34:$O$64,AK$158,FALSE())*AK87</f>
        <v>0.5</v>
      </c>
      <c r="AL185" s="196" t="n">
        <f aca="false">VLOOKUP($AJ$1,'Datos Iniciales'!$E$34:$O$64,AL$158,FALSE())*AL87</f>
        <v>1.65</v>
      </c>
      <c r="AM185" s="196" t="n">
        <f aca="false">VLOOKUP($AJ$1,'Datos Iniciales'!$E$34:$O$64,AM$158,FALSE())*AM87</f>
        <v>1.225</v>
      </c>
      <c r="AN185" s="196" t="n">
        <f aca="false">VLOOKUP($AJ$1,'Datos Iniciales'!$E$34:$O$64,AN$158,FALSE())*AN87</f>
        <v>0</v>
      </c>
      <c r="AO185" s="196" t="n">
        <f aca="false">VLOOKUP($AJ$1,'Datos Iniciales'!$E$34:$O$64,AO$158,FALSE())*AO87</f>
        <v>0</v>
      </c>
      <c r="AP185" s="196" t="n">
        <f aca="false">VLOOKUP($AJ$1,'Datos Iniciales'!$E$34:$O$64,AP$158,FALSE())*AP87</f>
        <v>0</v>
      </c>
      <c r="AQ185" s="196" t="n">
        <f aca="false">VLOOKUP($AJ$1,'Datos Iniciales'!$E$34:$O$64,AQ$158,FALSE())*AQ87</f>
        <v>0</v>
      </c>
      <c r="AR185" s="196" t="n">
        <f aca="false">VLOOKUP($AJ$1,'Datos Iniciales'!$E$34:$O$64,AR$158,FALSE())*AR87</f>
        <v>0</v>
      </c>
      <c r="AS185" s="196" t="n">
        <f aca="false">VLOOKUP($AJ$1,'Datos Iniciales'!$E$34:$O$64,AS$158,FALSE())*AS87</f>
        <v>0</v>
      </c>
      <c r="AT185" s="197" t="n">
        <f aca="false">VLOOKUP($AJ$1,'Datos Iniciales'!$E$34:$O$64,AT$158,FALSE())*AT87</f>
        <v>0</v>
      </c>
      <c r="AU185" s="194" t="str">
        <f aca="false">AJ185</f>
        <v>Alumno26</v>
      </c>
      <c r="AV185" s="208" t="n">
        <f aca="false">VLOOKUP($AU$1,'Datos Iniciales'!$E$34:$O$64,AV$158,FALSE())*AV87</f>
        <v>0.5</v>
      </c>
      <c r="AW185" s="196" t="n">
        <f aca="false">VLOOKUP($AU$1,'Datos Iniciales'!$E$34:$O$64,AW$158,FALSE())*AW87</f>
        <v>0.9</v>
      </c>
      <c r="AX185" s="196" t="n">
        <f aca="false">VLOOKUP($AU$1,'Datos Iniciales'!$E$34:$O$64,AX$158,FALSE())*AX87</f>
        <v>2.82</v>
      </c>
      <c r="AY185" s="196" t="n">
        <f aca="false">VLOOKUP($AU$1,'Datos Iniciales'!$E$34:$O$64,AY$158,FALSE())*AY87</f>
        <v>1</v>
      </c>
      <c r="AZ185" s="196" t="n">
        <f aca="false">VLOOKUP($AU$1,'Datos Iniciales'!$E$34:$O$64,AZ$158,FALSE())*AZ87</f>
        <v>0</v>
      </c>
      <c r="BA185" s="196" t="n">
        <f aca="false">VLOOKUP($AU$1,'Datos Iniciales'!$E$34:$O$64,BA$158,FALSE())*BA87</f>
        <v>0</v>
      </c>
      <c r="BB185" s="196" t="n">
        <f aca="false">VLOOKUP($AU$1,'Datos Iniciales'!$E$34:$O$64,BB$158,FALSE())*BB87</f>
        <v>0</v>
      </c>
      <c r="BC185" s="196" t="n">
        <f aca="false">VLOOKUP($AU$1,'Datos Iniciales'!$E$34:$O$64,BC$158,FALSE())*BC87</f>
        <v>0</v>
      </c>
      <c r="BD185" s="196" t="n">
        <f aca="false">VLOOKUP($AU$1,'Datos Iniciales'!$E$34:$O$64,BD$158,FALSE())*BD87</f>
        <v>0</v>
      </c>
      <c r="BE185" s="197" t="n">
        <f aca="false">VLOOKUP($AU$1,'Datos Iniciales'!$E$34:$O$64,BE$158,FALSE())*BE87</f>
        <v>0</v>
      </c>
      <c r="BF185" s="194" t="str">
        <f aca="false">AU185</f>
        <v>Alumno26</v>
      </c>
      <c r="BG185" s="208" t="n">
        <f aca="false">VLOOKUP($BF$1,'Datos Iniciales'!$E$34:$O$64,BG$158,FALSE())*BG87</f>
        <v>1</v>
      </c>
      <c r="BH185" s="196" t="n">
        <f aca="false">VLOOKUP($BF$1,'Datos Iniciales'!$E$34:$O$64,BH$158,FALSE())*BH87</f>
        <v>1.35</v>
      </c>
      <c r="BI185" s="196" t="n">
        <f aca="false">VLOOKUP($BF$1,'Datos Iniciales'!$E$34:$O$64,BI$158,FALSE())*BI87</f>
        <v>1</v>
      </c>
      <c r="BJ185" s="196" t="n">
        <f aca="false">VLOOKUP($BF$1,'Datos Iniciales'!$E$34:$O$64,BJ$158,FALSE())*BJ87</f>
        <v>3.84</v>
      </c>
      <c r="BK185" s="196" t="n">
        <f aca="false">VLOOKUP($BF$1,'Datos Iniciales'!$E$34:$O$64,BK$158,FALSE())*BK87</f>
        <v>0</v>
      </c>
      <c r="BL185" s="196" t="n">
        <f aca="false">VLOOKUP($BF$1,'Datos Iniciales'!$E$34:$O$64,BL$158,FALSE())*BL87</f>
        <v>0</v>
      </c>
      <c r="BM185" s="196" t="n">
        <f aca="false">VLOOKUP($BF$1,'Datos Iniciales'!$E$34:$O$64,BM$158,FALSE())*BM87</f>
        <v>0</v>
      </c>
      <c r="BN185" s="196" t="n">
        <f aca="false">VLOOKUP($BF$1,'Datos Iniciales'!$E$34:$O$64,BN$158,FALSE())*BN87</f>
        <v>0</v>
      </c>
      <c r="BO185" s="196" t="n">
        <f aca="false">VLOOKUP($BF$1,'Datos Iniciales'!$E$34:$O$64,BO$158,FALSE())*BO87</f>
        <v>0</v>
      </c>
      <c r="BP185" s="197" t="n">
        <f aca="false">VLOOKUP($BF$1,'Datos Iniciales'!$E$34:$O$64,BP$158,FALSE())*BP87</f>
        <v>0</v>
      </c>
      <c r="BQ185" s="194" t="str">
        <f aca="false">BF185</f>
        <v>Alumno26</v>
      </c>
      <c r="BR185" s="208" t="n">
        <f aca="false">VLOOKUP($BQ$1,'Datos Iniciales'!$E$34:$O$64,BR$158,FALSE())*BR87</f>
        <v>0</v>
      </c>
      <c r="BS185" s="196" t="n">
        <f aca="false">VLOOKUP($BQ$1,'Datos Iniciales'!$E$34:$O$64,BS$158,FALSE())*BS87</f>
        <v>0.3</v>
      </c>
      <c r="BT185" s="196" t="n">
        <f aca="false">VLOOKUP($BQ$1,'Datos Iniciales'!$E$34:$O$64,BT$158,FALSE())*BT87</f>
        <v>1.15</v>
      </c>
      <c r="BU185" s="196" t="n">
        <f aca="false">VLOOKUP($BQ$1,'Datos Iniciales'!$E$34:$O$64,BU$158,FALSE())*BU87</f>
        <v>3.3</v>
      </c>
      <c r="BV185" s="196" t="n">
        <f aca="false">VLOOKUP($BQ$1,'Datos Iniciales'!$E$34:$O$64,BV$158,FALSE())*BV87</f>
        <v>0</v>
      </c>
      <c r="BW185" s="196" t="n">
        <f aca="false">VLOOKUP($BQ$1,'Datos Iniciales'!$E$34:$O$64,BW$158,FALSE())*BW87</f>
        <v>0</v>
      </c>
      <c r="BX185" s="196" t="n">
        <f aca="false">VLOOKUP($BQ$1,'Datos Iniciales'!$E$34:$O$64,BX$158,FALSE())*BX87</f>
        <v>0</v>
      </c>
      <c r="BY185" s="196" t="n">
        <f aca="false">VLOOKUP($BQ$1,'Datos Iniciales'!$E$34:$O$64,BY$158,FALSE())*BY87</f>
        <v>0</v>
      </c>
      <c r="BZ185" s="196" t="n">
        <f aca="false">VLOOKUP($BQ$1,'Datos Iniciales'!$E$34:$O$64,BZ$158,FALSE())*BZ87</f>
        <v>0</v>
      </c>
      <c r="CA185" s="197" t="n">
        <f aca="false">VLOOKUP($BQ$1,'Datos Iniciales'!$E$34:$O$64,CA$158,FALSE())*CA87</f>
        <v>0</v>
      </c>
      <c r="CB185" s="194" t="str">
        <f aca="false">BQ185</f>
        <v>Alumno26</v>
      </c>
      <c r="CC185" s="208" t="n">
        <f aca="false">VLOOKUP($CB$1,'Datos Iniciales'!$E$34:$O$64,CC$158,FALSE())*CC87</f>
        <v>0</v>
      </c>
      <c r="CD185" s="196" t="n">
        <f aca="false">VLOOKUP($CB$1,'Datos Iniciales'!$E$34:$O$64,CD$158,FALSE())*CD87</f>
        <v>0</v>
      </c>
      <c r="CE185" s="196" t="n">
        <f aca="false">VLOOKUP($CB$1,'Datos Iniciales'!$E$34:$O$64,CE$158,FALSE())*CE87</f>
        <v>0</v>
      </c>
      <c r="CF185" s="196" t="n">
        <f aca="false">VLOOKUP($CB$1,'Datos Iniciales'!$E$34:$O$64,CF$158,FALSE())*CF87</f>
        <v>0</v>
      </c>
      <c r="CG185" s="196" t="n">
        <f aca="false">VLOOKUP($CB$1,'Datos Iniciales'!$E$34:$O$64,CG$158,FALSE())*CG87</f>
        <v>0</v>
      </c>
      <c r="CH185" s="196" t="n">
        <f aca="false">VLOOKUP($CB$1,'Datos Iniciales'!$E$34:$O$64,CH$158,FALSE())*CH87</f>
        <v>0</v>
      </c>
      <c r="CI185" s="196" t="n">
        <f aca="false">VLOOKUP($CB$1,'Datos Iniciales'!$E$34:$O$64,CI$158,FALSE())*CI87</f>
        <v>0</v>
      </c>
      <c r="CJ185" s="196" t="n">
        <f aca="false">VLOOKUP($CB$1,'Datos Iniciales'!$E$34:$O$64,CJ$158,FALSE())*CJ87</f>
        <v>0</v>
      </c>
      <c r="CK185" s="196" t="n">
        <f aca="false">VLOOKUP($CB$1,'Datos Iniciales'!$E$34:$O$64,CK$158,FALSE())*CK87</f>
        <v>0</v>
      </c>
      <c r="CL185" s="197" t="n">
        <f aca="false">VLOOKUP($CB$1,'Datos Iniciales'!$E$34:$O$64,CL$158,FALSE())*CL87</f>
        <v>0</v>
      </c>
      <c r="CM185" s="194" t="str">
        <f aca="false">CB185</f>
        <v>Alumno26</v>
      </c>
      <c r="CN185" s="208" t="n">
        <f aca="false">VLOOKUP($CM$1,'Datos Iniciales'!$E$34:$O$64,CN$158,FALSE())*CN87</f>
        <v>0</v>
      </c>
      <c r="CO185" s="196" t="n">
        <f aca="false">VLOOKUP($CM$1,'Datos Iniciales'!$E$34:$O$64,CO$158,FALSE())*CO87</f>
        <v>0</v>
      </c>
      <c r="CP185" s="196" t="n">
        <f aca="false">VLOOKUP($CM$1,'Datos Iniciales'!$E$34:$O$64,CP$158,FALSE())*CP87</f>
        <v>0</v>
      </c>
      <c r="CQ185" s="196" t="n">
        <f aca="false">VLOOKUP($CM$1,'Datos Iniciales'!$E$34:$O$64,CQ$158,FALSE())*CQ87</f>
        <v>0</v>
      </c>
      <c r="CR185" s="196" t="n">
        <f aca="false">VLOOKUP($CM$1,'Datos Iniciales'!$E$34:$O$64,CR$158,FALSE())*CR87</f>
        <v>0</v>
      </c>
      <c r="CS185" s="196" t="n">
        <f aca="false">VLOOKUP($CM$1,'Datos Iniciales'!$E$34:$O$64,CS$158,FALSE())*CS87</f>
        <v>0</v>
      </c>
      <c r="CT185" s="196" t="n">
        <f aca="false">VLOOKUP($CM$1,'Datos Iniciales'!$E$34:$O$64,CT$158,FALSE())*CT87</f>
        <v>0</v>
      </c>
      <c r="CU185" s="196" t="n">
        <f aca="false">VLOOKUP($CM$1,'Datos Iniciales'!$E$34:$O$64,CU$158,FALSE())*CU87</f>
        <v>0</v>
      </c>
      <c r="CV185" s="196" t="n">
        <f aca="false">VLOOKUP($CM$1,'Datos Iniciales'!$E$34:$O$64,CV$158,FALSE())*CV87</f>
        <v>0</v>
      </c>
      <c r="CW185" s="197" t="n">
        <f aca="false">VLOOKUP($CM$1,'Datos Iniciales'!$E$34:$O$64,CW$158,FALSE())*CW87</f>
        <v>0</v>
      </c>
      <c r="CX185" s="194" t="str">
        <f aca="false">CM185</f>
        <v>Alumno26</v>
      </c>
      <c r="CY185" s="208" t="n">
        <f aca="false">VLOOKUP($CX$1,'Datos Iniciales'!$E$34:$O$64,CY$158,FALSE())*CY87</f>
        <v>0</v>
      </c>
      <c r="CZ185" s="196" t="n">
        <f aca="false">VLOOKUP($CX$1,'Datos Iniciales'!$E$34:$O$64,CZ$158,FALSE())*CZ87</f>
        <v>0</v>
      </c>
      <c r="DA185" s="196" t="n">
        <f aca="false">VLOOKUP($CX$1,'Datos Iniciales'!$E$34:$O$64,DA$158,FALSE())*DA87</f>
        <v>0</v>
      </c>
      <c r="DB185" s="196" t="n">
        <f aca="false">VLOOKUP($CX$1,'Datos Iniciales'!$E$34:$O$64,DB$158,FALSE())*DB87</f>
        <v>0</v>
      </c>
      <c r="DC185" s="196" t="n">
        <f aca="false">VLOOKUP($CX$1,'Datos Iniciales'!$E$34:$O$64,DC$158,FALSE())*DC87</f>
        <v>0</v>
      </c>
      <c r="DD185" s="196" t="n">
        <f aca="false">VLOOKUP($CX$1,'Datos Iniciales'!$E$34:$O$64,DD$158,FALSE())*DD87</f>
        <v>0</v>
      </c>
      <c r="DE185" s="196" t="n">
        <f aca="false">VLOOKUP($CX$1,'Datos Iniciales'!$E$34:$O$64,DE$158,FALSE())*DE87</f>
        <v>0</v>
      </c>
      <c r="DF185" s="196" t="n">
        <f aca="false">VLOOKUP($CX$1,'Datos Iniciales'!$E$34:$O$64,DF$158,FALSE())*DF87</f>
        <v>0</v>
      </c>
      <c r="DG185" s="196" t="n">
        <f aca="false">VLOOKUP($CX$1,'Datos Iniciales'!$E$34:$O$64,DG$158,FALSE())*DG87</f>
        <v>0</v>
      </c>
      <c r="DH185" s="197" t="n">
        <f aca="false">VLOOKUP($CX$1,'Datos Iniciales'!$E$34:$O$64,DH$158,FALSE())*DH87</f>
        <v>0</v>
      </c>
      <c r="DI185" s="194" t="str">
        <f aca="false">CX185</f>
        <v>Alumno26</v>
      </c>
      <c r="DJ185" s="208" t="n">
        <f aca="false">VLOOKUP($DI$1,'Datos Iniciales'!$E$34:$O$64,DJ$158,FALSE())*DJ87</f>
        <v>0</v>
      </c>
      <c r="DK185" s="196" t="n">
        <f aca="false">VLOOKUP($DI$1,'Datos Iniciales'!$E$34:$O$64,DK$158,FALSE())*DK87</f>
        <v>0</v>
      </c>
      <c r="DL185" s="196" t="n">
        <f aca="false">VLOOKUP($DI$1,'Datos Iniciales'!$E$34:$O$64,DL$158,FALSE())*DL87</f>
        <v>0</v>
      </c>
      <c r="DM185" s="196" t="n">
        <f aca="false">VLOOKUP($DI$1,'Datos Iniciales'!$E$34:$O$64,DM$158,FALSE())*DM87</f>
        <v>0</v>
      </c>
      <c r="DN185" s="196" t="n">
        <f aca="false">VLOOKUP($DI$1,'Datos Iniciales'!$E$34:$O$64,DN$158,FALSE())*DN87</f>
        <v>0</v>
      </c>
      <c r="DO185" s="196" t="n">
        <f aca="false">VLOOKUP($DI$1,'Datos Iniciales'!$E$34:$O$64,DO$158,FALSE())*DO87</f>
        <v>0</v>
      </c>
      <c r="DP185" s="196" t="n">
        <f aca="false">VLOOKUP($DI$1,'Datos Iniciales'!$E$34:$O$64,DP$158,FALSE())*DP87</f>
        <v>0</v>
      </c>
      <c r="DQ185" s="196" t="n">
        <f aca="false">VLOOKUP($DI$1,'Datos Iniciales'!$E$34:$O$64,DQ$158,FALSE())*DQ87</f>
        <v>0</v>
      </c>
      <c r="DR185" s="196" t="n">
        <f aca="false">VLOOKUP($DI$1,'Datos Iniciales'!$E$34:$O$64,DR$158,FALSE())*DR87</f>
        <v>0</v>
      </c>
      <c r="DS185" s="197" t="n">
        <f aca="false">VLOOKUP($DI$1,'Datos Iniciales'!$E$34:$O$64,DS$158,FALSE())*DS87</f>
        <v>0</v>
      </c>
      <c r="DT185" s="194" t="str">
        <f aca="false">DI185</f>
        <v>Alumno26</v>
      </c>
      <c r="DU185" s="208" t="n">
        <f aca="false">VLOOKUP($DT$1,'Datos Iniciales'!$E$34:$O$64,DU$158,FALSE())*DU87</f>
        <v>0</v>
      </c>
      <c r="DV185" s="196" t="n">
        <f aca="false">VLOOKUP($DT$1,'Datos Iniciales'!$E$34:$O$64,DV$158,FALSE())*DV87</f>
        <v>0</v>
      </c>
      <c r="DW185" s="196" t="n">
        <f aca="false">VLOOKUP($DT$1,'Datos Iniciales'!$E$34:$O$64,DW$158,FALSE())*DW87</f>
        <v>0</v>
      </c>
      <c r="DX185" s="196" t="n">
        <f aca="false">VLOOKUP($DT$1,'Datos Iniciales'!$E$34:$O$64,DX$158,FALSE())*DX87</f>
        <v>0</v>
      </c>
      <c r="DY185" s="196" t="n">
        <f aca="false">VLOOKUP($DT$1,'Datos Iniciales'!$E$34:$O$64,DY$158,FALSE())*DY87</f>
        <v>0</v>
      </c>
      <c r="DZ185" s="196" t="n">
        <f aca="false">VLOOKUP($DT$1,'Datos Iniciales'!$E$34:$O$64,DZ$158,FALSE())*DZ87</f>
        <v>0</v>
      </c>
      <c r="EA185" s="196" t="n">
        <f aca="false">VLOOKUP($DT$1,'Datos Iniciales'!$E$34:$O$64,EA$158,FALSE())*EA87</f>
        <v>0</v>
      </c>
      <c r="EB185" s="196" t="n">
        <f aca="false">VLOOKUP($DT$1,'Datos Iniciales'!$E$34:$O$64,EB$158,FALSE())*EB87</f>
        <v>0</v>
      </c>
      <c r="EC185" s="196" t="n">
        <f aca="false">VLOOKUP($DT$1,'Datos Iniciales'!$E$34:$O$64,EC$158,FALSE())*EC87</f>
        <v>0</v>
      </c>
      <c r="ED185" s="197" t="n">
        <f aca="false">VLOOKUP($DT$1,'Datos Iniciales'!$E$34:$O$64,ED$158,FALSE())*ED87</f>
        <v>0</v>
      </c>
      <c r="EE185" s="194" t="str">
        <f aca="false">DT185</f>
        <v>Alumno26</v>
      </c>
      <c r="EF185" s="208" t="n">
        <f aca="false">VLOOKUP($EE$1,'Datos Iniciales'!$E$34:$O$64,EF$158,FALSE())*EF87</f>
        <v>0</v>
      </c>
      <c r="EG185" s="196" t="n">
        <f aca="false">VLOOKUP($EE$1,'Datos Iniciales'!$E$34:$O$64,EG$158,FALSE())*EG87</f>
        <v>0</v>
      </c>
      <c r="EH185" s="196" t="n">
        <f aca="false">VLOOKUP($EE$1,'Datos Iniciales'!$E$34:$O$64,EH$158,FALSE())*EH87</f>
        <v>0</v>
      </c>
      <c r="EI185" s="196" t="n">
        <f aca="false">VLOOKUP($EE$1,'Datos Iniciales'!$E$34:$O$64,EI$158,FALSE())*EI87</f>
        <v>0</v>
      </c>
      <c r="EJ185" s="196" t="n">
        <f aca="false">VLOOKUP($EE$1,'Datos Iniciales'!$E$34:$O$64,EJ$158,FALSE())*EJ87</f>
        <v>0</v>
      </c>
      <c r="EK185" s="196" t="n">
        <f aca="false">VLOOKUP($EE$1,'Datos Iniciales'!$E$34:$O$64,EK$158,FALSE())*EK87</f>
        <v>0</v>
      </c>
      <c r="EL185" s="196" t="n">
        <f aca="false">VLOOKUP($EE$1,'Datos Iniciales'!$E$34:$O$64,EL$158,FALSE())*EL87</f>
        <v>0</v>
      </c>
      <c r="EM185" s="196" t="n">
        <f aca="false">VLOOKUP($EE$1,'Datos Iniciales'!$E$34:$O$64,EM$158,FALSE())*EM87</f>
        <v>0</v>
      </c>
      <c r="EN185" s="196" t="n">
        <f aca="false">VLOOKUP($EE$1,'Datos Iniciales'!$E$34:$O$64,EN$158,FALSE())*EN87</f>
        <v>0</v>
      </c>
      <c r="EO185" s="197" t="n">
        <f aca="false">VLOOKUP($EE$1,'Datos Iniciales'!$E$34:$O$64,EO$158,FALSE())*EO87</f>
        <v>0</v>
      </c>
      <c r="EP185" s="194" t="str">
        <f aca="false">EE185</f>
        <v>Alumno26</v>
      </c>
      <c r="EQ185" s="208" t="n">
        <f aca="false">VLOOKUP($EP$1,'Datos Iniciales'!$E$34:$O$64,EQ$158,FALSE())*EQ87</f>
        <v>0</v>
      </c>
      <c r="ER185" s="196" t="n">
        <f aca="false">VLOOKUP($EP$1,'Datos Iniciales'!$E$34:$O$64,ER$158,FALSE())*ER87</f>
        <v>0</v>
      </c>
      <c r="ES185" s="196" t="n">
        <f aca="false">VLOOKUP($EP$1,'Datos Iniciales'!$E$34:$O$64,ES$158,FALSE())*ES87</f>
        <v>0</v>
      </c>
      <c r="ET185" s="196" t="n">
        <f aca="false">VLOOKUP($EP$1,'Datos Iniciales'!$E$34:$O$64,ET$158,FALSE())*ET87</f>
        <v>0</v>
      </c>
      <c r="EU185" s="196" t="n">
        <f aca="false">VLOOKUP($EP$1,'Datos Iniciales'!$E$34:$O$64,EU$158,FALSE())*EU87</f>
        <v>0</v>
      </c>
      <c r="EV185" s="196" t="n">
        <f aca="false">VLOOKUP($EP$1,'Datos Iniciales'!$E$34:$O$64,EV$158,FALSE())*EV87</f>
        <v>0</v>
      </c>
      <c r="EW185" s="196" t="n">
        <f aca="false">VLOOKUP($EP$1,'Datos Iniciales'!$E$34:$O$64,EW$158,FALSE())*EW87</f>
        <v>0</v>
      </c>
      <c r="EX185" s="196" t="n">
        <f aca="false">VLOOKUP($EP$1,'Datos Iniciales'!$E$34:$O$64,EX$158,FALSE())*EX87</f>
        <v>0</v>
      </c>
      <c r="EY185" s="196" t="n">
        <f aca="false">VLOOKUP($EP$1,'Datos Iniciales'!$E$34:$O$64,EY$158,FALSE())*EY87</f>
        <v>0</v>
      </c>
      <c r="EZ185" s="197" t="n">
        <f aca="false">VLOOKUP($EP$1,'Datos Iniciales'!$E$34:$O$64,EZ$158,FALSE())*EZ87</f>
        <v>0</v>
      </c>
      <c r="FA185" s="194" t="str">
        <f aca="false">EP185</f>
        <v>Alumno26</v>
      </c>
      <c r="FB185" s="208" t="n">
        <f aca="false">VLOOKUP($FA$1,'Datos Iniciales'!$E$34:$O$64,FB$158,FALSE())*FB87</f>
        <v>0</v>
      </c>
      <c r="FC185" s="196" t="n">
        <f aca="false">VLOOKUP($FA$1,'Datos Iniciales'!$E$34:$O$64,FC$158,FALSE())*FC87</f>
        <v>0</v>
      </c>
      <c r="FD185" s="196" t="n">
        <f aca="false">VLOOKUP($FA$1,'Datos Iniciales'!$E$34:$O$64,FD$158,FALSE())*FD87</f>
        <v>0</v>
      </c>
      <c r="FE185" s="196" t="n">
        <f aca="false">VLOOKUP($FA$1,'Datos Iniciales'!$E$34:$O$64,FE$158,FALSE())*FE87</f>
        <v>0</v>
      </c>
      <c r="FF185" s="196" t="n">
        <f aca="false">VLOOKUP($FA$1,'Datos Iniciales'!$E$34:$O$64,FF$158,FALSE())*FF87</f>
        <v>0</v>
      </c>
      <c r="FG185" s="196" t="n">
        <f aca="false">VLOOKUP($FA$1,'Datos Iniciales'!$E$34:$O$64,FG$158,FALSE())*FG87</f>
        <v>0</v>
      </c>
      <c r="FH185" s="196" t="n">
        <f aca="false">VLOOKUP($FA$1,'Datos Iniciales'!$E$34:$O$64,FH$158,FALSE())*FH87</f>
        <v>0</v>
      </c>
      <c r="FI185" s="196" t="n">
        <f aca="false">VLOOKUP($FA$1,'Datos Iniciales'!$E$34:$O$64,FI$158,FALSE())*FI87</f>
        <v>0</v>
      </c>
      <c r="FJ185" s="196" t="n">
        <f aca="false">VLOOKUP($FA$1,'Datos Iniciales'!$E$34:$O$64,FJ$158,FALSE())*FJ87</f>
        <v>0</v>
      </c>
      <c r="FK185" s="197" t="n">
        <f aca="false">VLOOKUP($FA$1,'Datos Iniciales'!$E$34:$O$64,FK$158,FALSE())*FK87</f>
        <v>0</v>
      </c>
      <c r="FL185" s="194" t="str">
        <f aca="false">FA185</f>
        <v>Alumno26</v>
      </c>
      <c r="FM185" s="208" t="n">
        <f aca="false">VLOOKUP($FL$1,'Datos Iniciales'!$E$34:$O$64,FM$158,FALSE())*FM87</f>
        <v>0</v>
      </c>
      <c r="FN185" s="196" t="n">
        <f aca="false">VLOOKUP($FL$1,'Datos Iniciales'!$E$34:$O$64,FN$158,FALSE())*FN87</f>
        <v>0</v>
      </c>
      <c r="FO185" s="196" t="n">
        <f aca="false">VLOOKUP($FL$1,'Datos Iniciales'!$E$34:$O$64,FO$158,FALSE())*FO87</f>
        <v>0</v>
      </c>
      <c r="FP185" s="196" t="n">
        <f aca="false">VLOOKUP($FL$1,'Datos Iniciales'!$E$34:$O$64,FP$158,FALSE())*FP87</f>
        <v>0</v>
      </c>
      <c r="FQ185" s="196" t="n">
        <f aca="false">VLOOKUP($FL$1,'Datos Iniciales'!$E$34:$O$64,FQ$158,FALSE())*FQ87</f>
        <v>0</v>
      </c>
      <c r="FR185" s="196" t="n">
        <f aca="false">VLOOKUP($FL$1,'Datos Iniciales'!$E$34:$O$64,FR$158,FALSE())*FR87</f>
        <v>0</v>
      </c>
      <c r="FS185" s="196" t="n">
        <f aca="false">VLOOKUP($FL$1,'Datos Iniciales'!$E$34:$O$64,FS$158,FALSE())*FS87</f>
        <v>0</v>
      </c>
      <c r="FT185" s="196" t="n">
        <f aca="false">VLOOKUP($FL$1,'Datos Iniciales'!$E$34:$O$64,FT$158,FALSE())*FT87</f>
        <v>0</v>
      </c>
      <c r="FU185" s="196" t="n">
        <f aca="false">VLOOKUP($FL$1,'Datos Iniciales'!$E$34:$O$64,FU$158,FALSE())*FU87</f>
        <v>0</v>
      </c>
      <c r="FV185" s="197" t="n">
        <f aca="false">VLOOKUP($FL$1,'Datos Iniciales'!$E$34:$O$64,FV$158,FALSE())*FV87</f>
        <v>0</v>
      </c>
      <c r="FW185" s="194" t="str">
        <f aca="false">FL185</f>
        <v>Alumno26</v>
      </c>
      <c r="FX185" s="208" t="n">
        <f aca="false">VLOOKUP($FW$1,'Datos Iniciales'!$E$34:$O$64,FX$158,FALSE())*FX87</f>
        <v>0</v>
      </c>
      <c r="FY185" s="196" t="n">
        <f aca="false">VLOOKUP($FW$1,'Datos Iniciales'!$E$34:$O$64,FY$158,FALSE())*FY87</f>
        <v>0</v>
      </c>
      <c r="FZ185" s="196" t="n">
        <f aca="false">VLOOKUP($FW$1,'Datos Iniciales'!$E$34:$O$64,FZ$158,FALSE())*FZ87</f>
        <v>0</v>
      </c>
      <c r="GA185" s="196" t="n">
        <f aca="false">VLOOKUP($FW$1,'Datos Iniciales'!$E$34:$O$64,GA$158,FALSE())*GA87</f>
        <v>0</v>
      </c>
      <c r="GB185" s="196" t="n">
        <f aca="false">VLOOKUP($FW$1,'Datos Iniciales'!$E$34:$O$64,GB$158,FALSE())*GB87</f>
        <v>0</v>
      </c>
      <c r="GC185" s="196" t="n">
        <f aca="false">VLOOKUP($FW$1,'Datos Iniciales'!$E$34:$O$64,GC$158,FALSE())*GC87</f>
        <v>0</v>
      </c>
      <c r="GD185" s="196" t="n">
        <f aca="false">VLOOKUP($FW$1,'Datos Iniciales'!$E$34:$O$64,GD$158,FALSE())*GD87</f>
        <v>0</v>
      </c>
      <c r="GE185" s="196" t="n">
        <f aca="false">VLOOKUP($FW$1,'Datos Iniciales'!$E$34:$O$64,GE$158,FALSE())*GE87</f>
        <v>0</v>
      </c>
      <c r="GF185" s="196" t="n">
        <f aca="false">VLOOKUP($FW$1,'Datos Iniciales'!$E$34:$O$64,GF$158,FALSE())*GF87</f>
        <v>0</v>
      </c>
      <c r="GG185" s="197" t="n">
        <f aca="false">VLOOKUP($FW$1,'Datos Iniciales'!$E$34:$O$64,GG$158,FALSE())*GG87</f>
        <v>0</v>
      </c>
      <c r="GH185" s="194" t="str">
        <f aca="false">FW185</f>
        <v>Alumno26</v>
      </c>
      <c r="GI185" s="208" t="n">
        <f aca="false">VLOOKUP($GH$1,'Datos Iniciales'!$E$34:$O$64,GI$158,FALSE())*GI87</f>
        <v>0</v>
      </c>
      <c r="GJ185" s="196" t="n">
        <f aca="false">VLOOKUP($GH$1,'Datos Iniciales'!$E$34:$O$64,GJ$158,FALSE())*GJ87</f>
        <v>0</v>
      </c>
      <c r="GK185" s="196" t="n">
        <f aca="false">VLOOKUP($GH$1,'Datos Iniciales'!$E$34:$O$64,GK$158,FALSE())*GK87</f>
        <v>0</v>
      </c>
      <c r="GL185" s="196" t="n">
        <f aca="false">VLOOKUP($GH$1,'Datos Iniciales'!$E$34:$O$64,GL$158,FALSE())*GL87</f>
        <v>0</v>
      </c>
      <c r="GM185" s="196" t="n">
        <f aca="false">VLOOKUP($GH$1,'Datos Iniciales'!$E$34:$O$64,GM$158,FALSE())*GM87</f>
        <v>0</v>
      </c>
      <c r="GN185" s="196" t="n">
        <f aca="false">VLOOKUP($GH$1,'Datos Iniciales'!$E$34:$O$64,GN$158,FALSE())*GN87</f>
        <v>0</v>
      </c>
      <c r="GO185" s="196" t="n">
        <f aca="false">VLOOKUP($GH$1,'Datos Iniciales'!$E$34:$O$64,GO$158,FALSE())*GO87</f>
        <v>0</v>
      </c>
      <c r="GP185" s="196" t="n">
        <f aca="false">VLOOKUP($GH$1,'Datos Iniciales'!$E$34:$O$64,GP$158,FALSE())*GP87</f>
        <v>0</v>
      </c>
      <c r="GQ185" s="196" t="n">
        <f aca="false">VLOOKUP($GH$1,'Datos Iniciales'!$E$34:$O$64,GQ$158,FALSE())*GQ87</f>
        <v>0</v>
      </c>
      <c r="GR185" s="197" t="n">
        <f aca="false">VLOOKUP($GH$1,'Datos Iniciales'!$E$34:$O$64,GR$158,FALSE())*GR87</f>
        <v>0</v>
      </c>
      <c r="GS185" s="194" t="str">
        <f aca="false">GH185</f>
        <v>Alumno26</v>
      </c>
      <c r="GT185" s="208" t="n">
        <f aca="false">VLOOKUP($GS$1,'Datos Iniciales'!$E$34:$O$64,GT$158,FALSE())*GT87</f>
        <v>0</v>
      </c>
      <c r="GU185" s="196" t="n">
        <f aca="false">VLOOKUP($GS$1,'Datos Iniciales'!$E$34:$O$64,GU$158,FALSE())*GU87</f>
        <v>0</v>
      </c>
      <c r="GV185" s="196" t="n">
        <f aca="false">VLOOKUP($GS$1,'Datos Iniciales'!$E$34:$O$64,GV$158,FALSE())*GV87</f>
        <v>0</v>
      </c>
      <c r="GW185" s="196" t="n">
        <f aca="false">VLOOKUP($GS$1,'Datos Iniciales'!$E$34:$O$64,GW$158,FALSE())*GW87</f>
        <v>0</v>
      </c>
      <c r="GX185" s="196" t="n">
        <f aca="false">VLOOKUP($GS$1,'Datos Iniciales'!$E$34:$O$64,GX$158,FALSE())*GX87</f>
        <v>0</v>
      </c>
      <c r="GY185" s="196" t="n">
        <f aca="false">VLOOKUP($GS$1,'Datos Iniciales'!$E$34:$O$64,GY$158,FALSE())*GY87</f>
        <v>0</v>
      </c>
      <c r="GZ185" s="196" t="n">
        <f aca="false">VLOOKUP($GS$1,'Datos Iniciales'!$E$34:$O$64,GZ$158,FALSE())*GZ87</f>
        <v>0</v>
      </c>
      <c r="HA185" s="196" t="n">
        <f aca="false">VLOOKUP($GS$1,'Datos Iniciales'!$E$34:$O$64,HA$158,FALSE())*HA87</f>
        <v>0</v>
      </c>
      <c r="HB185" s="196" t="n">
        <f aca="false">VLOOKUP($GS$1,'Datos Iniciales'!$E$34:$O$64,HB$158,FALSE())*HB87</f>
        <v>0</v>
      </c>
      <c r="HC185" s="197" t="n">
        <f aca="false">VLOOKUP($GS$1,'Datos Iniciales'!$E$34:$O$64,HC$158,FALSE())*HC87</f>
        <v>0</v>
      </c>
      <c r="HD185" s="194" t="str">
        <f aca="false">GS185</f>
        <v>Alumno26</v>
      </c>
      <c r="HE185" s="208" t="n">
        <f aca="false">VLOOKUP($HD$1,'Datos Iniciales'!$E$34:$O$64,HE$158,FALSE())*HE87</f>
        <v>0</v>
      </c>
      <c r="HF185" s="196" t="n">
        <f aca="false">VLOOKUP($HD$1,'Datos Iniciales'!$E$34:$O$64,HF$158,FALSE())*HF87</f>
        <v>0</v>
      </c>
      <c r="HG185" s="196" t="n">
        <f aca="false">VLOOKUP($HD$1,'Datos Iniciales'!$E$34:$O$64,HG$158,FALSE())*HG87</f>
        <v>0</v>
      </c>
      <c r="HH185" s="196" t="n">
        <f aca="false">VLOOKUP($HD$1,'Datos Iniciales'!$E$34:$O$64,HH$158,FALSE())*HH87</f>
        <v>0</v>
      </c>
      <c r="HI185" s="196" t="n">
        <f aca="false">VLOOKUP($HD$1,'Datos Iniciales'!$E$34:$O$64,HI$158,FALSE())*HI87</f>
        <v>0</v>
      </c>
      <c r="HJ185" s="196" t="n">
        <f aca="false">VLOOKUP($HD$1,'Datos Iniciales'!$E$34:$O$64,HJ$158,FALSE())*HJ87</f>
        <v>0</v>
      </c>
      <c r="HK185" s="196" t="n">
        <f aca="false">VLOOKUP($HD$1,'Datos Iniciales'!$E$34:$O$64,HK$158,FALSE())*HK87</f>
        <v>0</v>
      </c>
      <c r="HL185" s="196" t="n">
        <f aca="false">VLOOKUP($HD$1,'Datos Iniciales'!$E$34:$O$64,HL$158,FALSE())*HL87</f>
        <v>0</v>
      </c>
      <c r="HM185" s="196" t="n">
        <f aca="false">VLOOKUP($HD$1,'Datos Iniciales'!$E$34:$O$64,HM$158,FALSE())*HM87</f>
        <v>0</v>
      </c>
      <c r="HN185" s="197" t="n">
        <f aca="false">VLOOKUP($HD$1,'Datos Iniciales'!$E$34:$O$64,HN$158,FALSE())*HN87</f>
        <v>0</v>
      </c>
      <c r="HO185" s="194" t="str">
        <f aca="false">HD185</f>
        <v>Alumno26</v>
      </c>
      <c r="HP185" s="208" t="n">
        <f aca="false">VLOOKUP($HO$1,'Datos Iniciales'!$E$34:$O$64,HP$158,FALSE())*HP87</f>
        <v>0</v>
      </c>
      <c r="HQ185" s="196" t="n">
        <f aca="false">VLOOKUP($HO$1,'Datos Iniciales'!$E$34:$O$64,HQ$158,FALSE())*HQ87</f>
        <v>0</v>
      </c>
      <c r="HR185" s="196" t="n">
        <f aca="false">VLOOKUP($HO$1,'Datos Iniciales'!$E$34:$O$64,HR$158,FALSE())*HR87</f>
        <v>0</v>
      </c>
      <c r="HS185" s="196" t="n">
        <f aca="false">VLOOKUP($HO$1,'Datos Iniciales'!$E$34:$O$64,HS$158,FALSE())*HS87</f>
        <v>0</v>
      </c>
      <c r="HT185" s="196" t="n">
        <f aca="false">VLOOKUP($HO$1,'Datos Iniciales'!$E$34:$O$64,HT$158,FALSE())*HT87</f>
        <v>0</v>
      </c>
      <c r="HU185" s="196" t="n">
        <f aca="false">VLOOKUP($HO$1,'Datos Iniciales'!$E$34:$O$64,HU$158,FALSE())*HU87</f>
        <v>0</v>
      </c>
      <c r="HV185" s="196" t="n">
        <f aca="false">VLOOKUP($HO$1,'Datos Iniciales'!$E$34:$O$64,HV$158,FALSE())*HV87</f>
        <v>0</v>
      </c>
      <c r="HW185" s="196" t="n">
        <f aca="false">VLOOKUP($HO$1,'Datos Iniciales'!$E$34:$O$64,HW$158,FALSE())*HW87</f>
        <v>0</v>
      </c>
      <c r="HX185" s="196" t="n">
        <f aca="false">VLOOKUP($HO$1,'Datos Iniciales'!$E$34:$O$64,HX$158,FALSE())*HX87</f>
        <v>0</v>
      </c>
      <c r="HY185" s="197" t="n">
        <f aca="false">VLOOKUP($HO$1,'Datos Iniciales'!$E$34:$O$64,HY$158,FALSE())*HY87</f>
        <v>0</v>
      </c>
      <c r="HZ185" s="194" t="str">
        <f aca="false">HO185</f>
        <v>Alumno26</v>
      </c>
      <c r="IA185" s="208" t="n">
        <f aca="false">VLOOKUP($HZ$1,'Datos Iniciales'!$E$34:$O$64,IA$158,FALSE())*IA87</f>
        <v>0</v>
      </c>
      <c r="IB185" s="196" t="n">
        <f aca="false">VLOOKUP($HZ$1,'Datos Iniciales'!$E$34:$O$64,IB$158,FALSE())*IB87</f>
        <v>0</v>
      </c>
      <c r="IC185" s="196" t="n">
        <f aca="false">VLOOKUP($HZ$1,'Datos Iniciales'!$E$34:$O$64,IC$158,FALSE())*IC87</f>
        <v>0</v>
      </c>
      <c r="ID185" s="196" t="n">
        <f aca="false">VLOOKUP($HZ$1,'Datos Iniciales'!$E$34:$O$64,ID$158,FALSE())*ID87</f>
        <v>0</v>
      </c>
      <c r="IE185" s="196" t="n">
        <f aca="false">VLOOKUP($HZ$1,'Datos Iniciales'!$E$34:$O$64,IE$158,FALSE())*IE87</f>
        <v>0</v>
      </c>
      <c r="IF185" s="196" t="n">
        <f aca="false">VLOOKUP($HZ$1,'Datos Iniciales'!$E$34:$O$64,IF$158,FALSE())*IF87</f>
        <v>0</v>
      </c>
      <c r="IG185" s="196" t="n">
        <f aca="false">VLOOKUP($HZ$1,'Datos Iniciales'!$E$34:$O$64,IG$158,FALSE())*IG87</f>
        <v>0</v>
      </c>
      <c r="IH185" s="196" t="n">
        <f aca="false">VLOOKUP($HZ$1,'Datos Iniciales'!$E$34:$O$64,IH$158,FALSE())*IH87</f>
        <v>0</v>
      </c>
      <c r="II185" s="196" t="n">
        <f aca="false">VLOOKUP($HZ$1,'Datos Iniciales'!$E$34:$O$64,II$158,FALSE())*II87</f>
        <v>0</v>
      </c>
      <c r="IJ185" s="197" t="n">
        <f aca="false">VLOOKUP($HZ$1,'Datos Iniciales'!$E$34:$O$64,IJ$158,FALSE())*IJ87</f>
        <v>0</v>
      </c>
      <c r="IK185" s="194" t="str">
        <f aca="false">HZ185</f>
        <v>Alumno26</v>
      </c>
      <c r="IL185" s="208" t="n">
        <f aca="false">VLOOKUP($IK$1,'Datos Iniciales'!$E$34:$O$64,IL$158,FALSE())*IL87</f>
        <v>0</v>
      </c>
      <c r="IM185" s="196" t="n">
        <f aca="false">VLOOKUP($IK$1,'Datos Iniciales'!$E$34:$O$64,IM$158,FALSE())*IM87</f>
        <v>0</v>
      </c>
      <c r="IN185" s="196" t="n">
        <f aca="false">VLOOKUP($IK$1,'Datos Iniciales'!$E$34:$O$64,IN$158,FALSE())*IN87</f>
        <v>0</v>
      </c>
      <c r="IO185" s="196" t="n">
        <f aca="false">VLOOKUP($IK$1,'Datos Iniciales'!$E$34:$O$64,IO$158,FALSE())*IO87</f>
        <v>0</v>
      </c>
      <c r="IP185" s="196" t="n">
        <f aca="false">VLOOKUP($IK$1,'Datos Iniciales'!$E$34:$O$64,IP$158,FALSE())*IP87</f>
        <v>0</v>
      </c>
      <c r="IQ185" s="196" t="n">
        <f aca="false">VLOOKUP($IK$1,'Datos Iniciales'!$E$34:$O$64,IQ$158,FALSE())*IQ87</f>
        <v>0</v>
      </c>
      <c r="IR185" s="196" t="n">
        <f aca="false">VLOOKUP($IK$1,'Datos Iniciales'!$E$34:$O$64,IR$158,FALSE())*IR87</f>
        <v>0</v>
      </c>
      <c r="IS185" s="196" t="n">
        <f aca="false">VLOOKUP($IK$1,'Datos Iniciales'!$E$34:$O$64,IS$158,FALSE())*IS87</f>
        <v>0</v>
      </c>
      <c r="IT185" s="196" t="n">
        <f aca="false">VLOOKUP($IK$1,'Datos Iniciales'!$E$34:$O$64,IT$158,FALSE())*IT87</f>
        <v>0</v>
      </c>
      <c r="IU185" s="197" t="n">
        <f aca="false">VLOOKUP($IK$1,'Datos Iniciales'!$E$34:$O$64,IU$158,FALSE())*IU87</f>
        <v>0</v>
      </c>
      <c r="IV185" s="194" t="str">
        <f aca="false">IK185</f>
        <v>Alumno26</v>
      </c>
      <c r="IW185" s="208" t="n">
        <f aca="false">VLOOKUP($IV$1,'Datos Iniciales'!$E$34:$O$64,IW$158,FALSE())*IW87</f>
        <v>0</v>
      </c>
      <c r="IX185" s="196" t="n">
        <f aca="false">VLOOKUP($IV$1,'Datos Iniciales'!$E$34:$O$64,IX$158,FALSE())*IX87</f>
        <v>0</v>
      </c>
      <c r="IY185" s="196" t="n">
        <f aca="false">VLOOKUP($IV$1,'Datos Iniciales'!$E$34:$O$64,IY$158,FALSE())*IY87</f>
        <v>0</v>
      </c>
      <c r="IZ185" s="196" t="n">
        <f aca="false">VLOOKUP($IV$1,'Datos Iniciales'!$E$34:$O$64,IZ$158,FALSE())*IZ87</f>
        <v>0</v>
      </c>
      <c r="JA185" s="196" t="n">
        <f aca="false">VLOOKUP($IV$1,'Datos Iniciales'!$E$34:$O$64,JA$158,FALSE())*JA87</f>
        <v>0</v>
      </c>
      <c r="JB185" s="196" t="n">
        <f aca="false">VLOOKUP($IV$1,'Datos Iniciales'!$E$34:$O$64,JB$158,FALSE())*JB87</f>
        <v>0</v>
      </c>
      <c r="JC185" s="196" t="n">
        <f aca="false">VLOOKUP($IV$1,'Datos Iniciales'!$E$34:$O$64,JC$158,FALSE())*JC87</f>
        <v>0</v>
      </c>
      <c r="JD185" s="196" t="n">
        <f aca="false">VLOOKUP($IV$1,'Datos Iniciales'!$E$34:$O$64,JD$158,FALSE())*JD87</f>
        <v>0</v>
      </c>
      <c r="JE185" s="196" t="n">
        <f aca="false">VLOOKUP($IV$1,'Datos Iniciales'!$E$34:$O$64,JE$158,FALSE())*JE87</f>
        <v>0</v>
      </c>
      <c r="JF185" s="197" t="n">
        <f aca="false">VLOOKUP($IV$1,'Datos Iniciales'!$E$34:$O$64,JF$158,FALSE())*JF87</f>
        <v>0</v>
      </c>
      <c r="JG185" s="194" t="str">
        <f aca="false">IV185</f>
        <v>Alumno26</v>
      </c>
      <c r="JH185" s="208" t="n">
        <f aca="false">VLOOKUP($JG$1,'Datos Iniciales'!$E$34:$O$64,JH$158,FALSE())*JH87</f>
        <v>0</v>
      </c>
      <c r="JI185" s="196" t="n">
        <f aca="false">VLOOKUP($JG$1,'Datos Iniciales'!$E$34:$O$64,JI$158,FALSE())*JI87</f>
        <v>0</v>
      </c>
      <c r="JJ185" s="196" t="n">
        <f aca="false">VLOOKUP($JG$1,'Datos Iniciales'!$E$34:$O$64,JJ$158,FALSE())*JJ87</f>
        <v>0</v>
      </c>
      <c r="JK185" s="196" t="n">
        <f aca="false">VLOOKUP($JG$1,'Datos Iniciales'!$E$34:$O$64,JK$158,FALSE())*JK87</f>
        <v>0</v>
      </c>
      <c r="JL185" s="196" t="n">
        <f aca="false">VLOOKUP($JG$1,'Datos Iniciales'!$E$34:$O$64,JL$158,FALSE())*JL87</f>
        <v>0</v>
      </c>
      <c r="JM185" s="196" t="n">
        <f aca="false">VLOOKUP($JG$1,'Datos Iniciales'!$E$34:$O$64,JM$158,FALSE())*JM87</f>
        <v>0</v>
      </c>
      <c r="JN185" s="196" t="n">
        <f aca="false">VLOOKUP($JG$1,'Datos Iniciales'!$E$34:$O$64,JN$158,FALSE())*JN87</f>
        <v>0</v>
      </c>
      <c r="JO185" s="196" t="n">
        <f aca="false">VLOOKUP($JG$1,'Datos Iniciales'!$E$34:$O$64,JO$158,FALSE())*JO87</f>
        <v>0</v>
      </c>
      <c r="JP185" s="196" t="n">
        <f aca="false">VLOOKUP($JG$1,'Datos Iniciales'!$E$34:$O$64,JP$158,FALSE())*JP87</f>
        <v>0</v>
      </c>
      <c r="JQ185" s="197" t="n">
        <f aca="false">VLOOKUP($JG$1,'Datos Iniciales'!$E$34:$O$64,JQ$158,FALSE())*JQ87</f>
        <v>0</v>
      </c>
      <c r="JR185" s="194" t="str">
        <f aca="false">JG185</f>
        <v>Alumno26</v>
      </c>
      <c r="JS185" s="208" t="n">
        <f aca="false">VLOOKUP($JR$1,'Datos Iniciales'!$E$34:$O$64,JS$158,FALSE())*JS87</f>
        <v>0</v>
      </c>
      <c r="JT185" s="196" t="n">
        <f aca="false">VLOOKUP($JR$1,'Datos Iniciales'!$E$34:$O$64,JT$158,FALSE())*JT87</f>
        <v>0</v>
      </c>
      <c r="JU185" s="196" t="n">
        <f aca="false">VLOOKUP($JR$1,'Datos Iniciales'!$E$34:$O$64,JU$158,FALSE())*JU87</f>
        <v>0</v>
      </c>
      <c r="JV185" s="196" t="n">
        <f aca="false">VLOOKUP($JR$1,'Datos Iniciales'!$E$34:$O$64,JV$158,FALSE())*JV87</f>
        <v>0</v>
      </c>
      <c r="JW185" s="196" t="n">
        <f aca="false">VLOOKUP($JR$1,'Datos Iniciales'!$E$34:$O$64,JW$158,FALSE())*JW87</f>
        <v>0</v>
      </c>
      <c r="JX185" s="196" t="n">
        <f aca="false">VLOOKUP($JR$1,'Datos Iniciales'!$E$34:$O$64,JX$158,FALSE())*JX87</f>
        <v>0</v>
      </c>
      <c r="JY185" s="196" t="n">
        <f aca="false">VLOOKUP($JR$1,'Datos Iniciales'!$E$34:$O$64,JY$158,FALSE())*JY87</f>
        <v>0</v>
      </c>
      <c r="JZ185" s="196" t="n">
        <f aca="false">VLOOKUP($JR$1,'Datos Iniciales'!$E$34:$O$64,JZ$158,FALSE())*JZ87</f>
        <v>0</v>
      </c>
      <c r="KA185" s="196" t="n">
        <f aca="false">VLOOKUP($JR$1,'Datos Iniciales'!$E$34:$O$64,KA$158,FALSE())*KA87</f>
        <v>0</v>
      </c>
      <c r="KB185" s="197" t="n">
        <f aca="false">VLOOKUP($JR$1,'Datos Iniciales'!$E$34:$O$64,KB$158,FALSE())*KB87</f>
        <v>0</v>
      </c>
      <c r="KC185" s="194" t="str">
        <f aca="false">JR185</f>
        <v>Alumno26</v>
      </c>
      <c r="KD185" s="208" t="n">
        <f aca="false">VLOOKUP($KC$1,'Datos Iniciales'!$E$34:$O$64,KD$158,FALSE())*KD87</f>
        <v>0</v>
      </c>
      <c r="KE185" s="196" t="n">
        <f aca="false">VLOOKUP($KC$1,'Datos Iniciales'!$E$34:$O$64,KE$158,FALSE())*KE87</f>
        <v>0</v>
      </c>
      <c r="KF185" s="196" t="n">
        <f aca="false">VLOOKUP($KC$1,'Datos Iniciales'!$E$34:$O$64,KF$158,FALSE())*KF87</f>
        <v>0</v>
      </c>
      <c r="KG185" s="196" t="n">
        <f aca="false">VLOOKUP($KC$1,'Datos Iniciales'!$E$34:$O$64,KG$158,FALSE())*KG87</f>
        <v>0</v>
      </c>
      <c r="KH185" s="196" t="n">
        <f aca="false">VLOOKUP($KC$1,'Datos Iniciales'!$E$34:$O$64,KH$158,FALSE())*KH87</f>
        <v>0</v>
      </c>
      <c r="KI185" s="196" t="n">
        <f aca="false">VLOOKUP($KC$1,'Datos Iniciales'!$E$34:$O$64,KI$158,FALSE())*KI87</f>
        <v>0</v>
      </c>
      <c r="KJ185" s="196" t="n">
        <f aca="false">VLOOKUP($KC$1,'Datos Iniciales'!$E$34:$O$64,KJ$158,FALSE())*KJ87</f>
        <v>0</v>
      </c>
      <c r="KK185" s="196" t="n">
        <f aca="false">VLOOKUP($KC$1,'Datos Iniciales'!$E$34:$O$64,KK$158,FALSE())*KK87</f>
        <v>0</v>
      </c>
      <c r="KL185" s="196" t="n">
        <f aca="false">VLOOKUP($KC$1,'Datos Iniciales'!$E$34:$O$64,KL$158,FALSE())*KL87</f>
        <v>0</v>
      </c>
      <c r="KM185" s="197" t="n">
        <f aca="false">VLOOKUP($KC$1,'Datos Iniciales'!$E$34:$O$64,KM$158,FALSE())*KM87</f>
        <v>0</v>
      </c>
      <c r="KN185" s="194" t="str">
        <f aca="false">KC185</f>
        <v>Alumno26</v>
      </c>
      <c r="KO185" s="208" t="n">
        <f aca="false">VLOOKUP($KN$1,'Datos Iniciales'!$E$34:$O$64,KO$158,FALSE())*KO87</f>
        <v>0</v>
      </c>
      <c r="KP185" s="196" t="n">
        <f aca="false">VLOOKUP($KN$1,'Datos Iniciales'!$E$34:$O$64,KP$158,FALSE())*KP87</f>
        <v>0</v>
      </c>
      <c r="KQ185" s="196" t="n">
        <f aca="false">VLOOKUP($KN$1,'Datos Iniciales'!$E$34:$O$64,KQ$158,FALSE())*KQ87</f>
        <v>0</v>
      </c>
      <c r="KR185" s="196" t="n">
        <f aca="false">VLOOKUP($KN$1,'Datos Iniciales'!$E$34:$O$64,KR$158,FALSE())*KR87</f>
        <v>0</v>
      </c>
      <c r="KS185" s="196" t="n">
        <f aca="false">VLOOKUP($KN$1,'Datos Iniciales'!$E$34:$O$64,KS$158,FALSE())*KS87</f>
        <v>0</v>
      </c>
      <c r="KT185" s="196" t="n">
        <f aca="false">VLOOKUP($KN$1,'Datos Iniciales'!$E$34:$O$64,KT$158,FALSE())*KT87</f>
        <v>0</v>
      </c>
      <c r="KU185" s="196" t="n">
        <f aca="false">VLOOKUP($KN$1,'Datos Iniciales'!$E$34:$O$64,KU$158,FALSE())*KU87</f>
        <v>0</v>
      </c>
      <c r="KV185" s="196" t="n">
        <f aca="false">VLOOKUP($KN$1,'Datos Iniciales'!$E$34:$O$64,KV$158,FALSE())*KV87</f>
        <v>0</v>
      </c>
      <c r="KW185" s="196" t="n">
        <f aca="false">VLOOKUP($KN$1,'Datos Iniciales'!$E$34:$O$64,KW$158,FALSE())*KW87</f>
        <v>0</v>
      </c>
      <c r="KX185" s="197" t="n">
        <f aca="false">VLOOKUP($KN$1,'Datos Iniciales'!$E$34:$O$64,KX$158,FALSE())*KX87</f>
        <v>0</v>
      </c>
      <c r="KY185" s="194" t="str">
        <f aca="false">KN185</f>
        <v>Alumno26</v>
      </c>
      <c r="KZ185" s="208" t="n">
        <f aca="false">VLOOKUP($KY$1,'Datos Iniciales'!$E$34:$O$64,KZ$158,FALSE())*KZ87</f>
        <v>0</v>
      </c>
      <c r="LA185" s="196" t="n">
        <f aca="false">VLOOKUP($KY$1,'Datos Iniciales'!$E$34:$O$64,LA$158,FALSE())*LA87</f>
        <v>0</v>
      </c>
      <c r="LB185" s="196" t="n">
        <f aca="false">VLOOKUP($KY$1,'Datos Iniciales'!$E$34:$O$64,LB$158,FALSE())*LB87</f>
        <v>0</v>
      </c>
      <c r="LC185" s="196" t="n">
        <f aca="false">VLOOKUP($KY$1,'Datos Iniciales'!$E$34:$O$64,LC$158,FALSE())*LC87</f>
        <v>0</v>
      </c>
      <c r="LD185" s="196" t="n">
        <f aca="false">VLOOKUP($KY$1,'Datos Iniciales'!$E$34:$O$64,LD$158,FALSE())*LD87</f>
        <v>0</v>
      </c>
      <c r="LE185" s="196" t="n">
        <f aca="false">VLOOKUP($KY$1,'Datos Iniciales'!$E$34:$O$64,LE$158,FALSE())*LE87</f>
        <v>0</v>
      </c>
      <c r="LF185" s="196" t="n">
        <f aca="false">VLOOKUP($KY$1,'Datos Iniciales'!$E$34:$O$64,LF$158,FALSE())*LF87</f>
        <v>0</v>
      </c>
      <c r="LG185" s="196" t="n">
        <f aca="false">VLOOKUP($KY$1,'Datos Iniciales'!$E$34:$O$64,LG$158,FALSE())*LG87</f>
        <v>0</v>
      </c>
      <c r="LH185" s="196" t="n">
        <f aca="false">VLOOKUP($KY$1,'Datos Iniciales'!$E$34:$O$64,LH$158,FALSE())*LH87</f>
        <v>0</v>
      </c>
      <c r="LI185" s="197" t="n">
        <f aca="false">VLOOKUP($KY$1,'Datos Iniciales'!$E$34:$O$64,LI$158,FALSE())*LI87</f>
        <v>0</v>
      </c>
      <c r="LJ185" s="194" t="str">
        <f aca="false">KY185</f>
        <v>Alumno26</v>
      </c>
      <c r="LK185" s="208" t="n">
        <f aca="false">VLOOKUP($LJ$1,'Datos Iniciales'!$E$34:$O$64,LK$158,FALSE())*LK87</f>
        <v>0</v>
      </c>
      <c r="LL185" s="196" t="n">
        <f aca="false">VLOOKUP($LJ$1,'Datos Iniciales'!$E$34:$O$64,LL$158,FALSE())*LL87</f>
        <v>0</v>
      </c>
      <c r="LM185" s="196" t="n">
        <f aca="false">VLOOKUP($LJ$1,'Datos Iniciales'!$E$34:$O$64,LM$158,FALSE())*LM87</f>
        <v>0</v>
      </c>
      <c r="LN185" s="196" t="n">
        <f aca="false">VLOOKUP($LJ$1,'Datos Iniciales'!$E$34:$O$64,LN$158,FALSE())*LN87</f>
        <v>0</v>
      </c>
      <c r="LO185" s="196" t="n">
        <f aca="false">VLOOKUP($LJ$1,'Datos Iniciales'!$E$34:$O$64,LO$158,FALSE())*LO87</f>
        <v>0</v>
      </c>
      <c r="LP185" s="196" t="n">
        <f aca="false">VLOOKUP($LJ$1,'Datos Iniciales'!$E$34:$O$64,LP$158,FALSE())*LP87</f>
        <v>0</v>
      </c>
      <c r="LQ185" s="196" t="n">
        <f aca="false">VLOOKUP($LJ$1,'Datos Iniciales'!$E$34:$O$64,LQ$158,FALSE())*LQ87</f>
        <v>0</v>
      </c>
      <c r="LR185" s="196" t="n">
        <f aca="false">VLOOKUP($LJ$1,'Datos Iniciales'!$E$34:$O$64,LR$158,FALSE())*LR87</f>
        <v>0</v>
      </c>
      <c r="LS185" s="196" t="n">
        <f aca="false">VLOOKUP($LJ$1,'Datos Iniciales'!$E$34:$O$64,LS$158,FALSE())*LS87</f>
        <v>0</v>
      </c>
      <c r="LT185" s="197" t="n">
        <f aca="false">VLOOKUP($LJ$1,'Datos Iniciales'!$E$34:$O$64,LT$158,FALSE())*LT87</f>
        <v>0</v>
      </c>
    </row>
    <row r="186" customFormat="false" ht="15" hidden="true" customHeight="false" outlineLevel="0" collapsed="false">
      <c r="C186" s="194" t="str">
        <f aca="false">C137</f>
        <v>Alumno27</v>
      </c>
      <c r="D186" s="208" t="n">
        <f aca="false">VLOOKUP($C$1,'Datos Iniciales'!$E$34:$O$64,D$158,FALSE())*D88</f>
        <v>2.2125</v>
      </c>
      <c r="E186" s="196" t="n">
        <f aca="false">VLOOKUP($C$1,'Datos Iniciales'!$E$34:$O$64,E$158,FALSE())*E88</f>
        <v>0</v>
      </c>
      <c r="F186" s="196" t="n">
        <f aca="false">VLOOKUP($C$1,'Datos Iniciales'!$E$34:$O$64,F$158,FALSE())*F88</f>
        <v>0</v>
      </c>
      <c r="G186" s="196" t="n">
        <f aca="false">VLOOKUP($C$1,'Datos Iniciales'!$E$34:$O$64,G$158,FALSE())*G88</f>
        <v>0</v>
      </c>
      <c r="H186" s="196" t="n">
        <f aca="false">VLOOKUP($C$1,'Datos Iniciales'!$E$34:$O$64,H$158,FALSE())*H88</f>
        <v>0</v>
      </c>
      <c r="I186" s="196" t="n">
        <f aca="false">VLOOKUP($C$1,'Datos Iniciales'!$E$34:$O$64,I$158,FALSE())*I88</f>
        <v>0</v>
      </c>
      <c r="J186" s="196" t="n">
        <f aca="false">VLOOKUP($C$1,'Datos Iniciales'!$E$34:$O$64,J$158,FALSE())*J88</f>
        <v>0</v>
      </c>
      <c r="K186" s="196" t="n">
        <f aca="false">VLOOKUP($C$1,'Datos Iniciales'!$E$34:$O$64,K$158,FALSE())*K88</f>
        <v>0</v>
      </c>
      <c r="L186" s="196" t="n">
        <f aca="false">VLOOKUP($C$1,'Datos Iniciales'!$E$34:$O$64,L$158,FALSE())*L88</f>
        <v>0</v>
      </c>
      <c r="M186" s="197" t="n">
        <f aca="false">VLOOKUP($C$1,'Datos Iniciales'!$E$34:$O$64,M$158,FALSE())*M88</f>
        <v>0</v>
      </c>
      <c r="N186" s="194" t="str">
        <f aca="false">C186</f>
        <v>Alumno27</v>
      </c>
      <c r="O186" s="208" t="n">
        <f aca="false">VLOOKUP($N$1,'Datos Iniciales'!$E$34:$O$64,O$158,FALSE())*O88</f>
        <v>1.8</v>
      </c>
      <c r="P186" s="196" t="n">
        <f aca="false">VLOOKUP($N$1,'Datos Iniciales'!$E$34:$O$64,P$158,FALSE())*P88</f>
        <v>1.8</v>
      </c>
      <c r="Q186" s="196" t="n">
        <f aca="false">VLOOKUP($N$1,'Datos Iniciales'!$E$34:$O$64,Q$158,FALSE())*Q88</f>
        <v>0</v>
      </c>
      <c r="R186" s="196" t="n">
        <f aca="false">VLOOKUP($N$1,'Datos Iniciales'!$E$34:$O$64,R$158,FALSE())*R88</f>
        <v>0</v>
      </c>
      <c r="S186" s="196" t="n">
        <f aca="false">VLOOKUP($N$1,'Datos Iniciales'!$E$34:$O$64,S$158,FALSE())*S88</f>
        <v>0</v>
      </c>
      <c r="T186" s="196" t="n">
        <f aca="false">VLOOKUP($N$1,'Datos Iniciales'!$E$34:$O$64,T$158,FALSE())*T88</f>
        <v>0</v>
      </c>
      <c r="U186" s="196" t="n">
        <f aca="false">VLOOKUP($N$1,'Datos Iniciales'!$E$34:$O$64,U$158,FALSE())*U88</f>
        <v>0</v>
      </c>
      <c r="V186" s="196" t="n">
        <f aca="false">VLOOKUP($N$1,'Datos Iniciales'!$E$34:$O$64,V$158,FALSE())*V88</f>
        <v>0</v>
      </c>
      <c r="W186" s="196" t="n">
        <f aca="false">VLOOKUP($N$1,'Datos Iniciales'!$E$34:$O$64,W$158,FALSE())*W88</f>
        <v>0</v>
      </c>
      <c r="X186" s="197" t="n">
        <f aca="false">VLOOKUP($N$1,'Datos Iniciales'!$E$34:$O$64,X$158,FALSE())*X88</f>
        <v>0</v>
      </c>
      <c r="Y186" s="194" t="str">
        <f aca="false">N186</f>
        <v>Alumno27</v>
      </c>
      <c r="Z186" s="208" t="n">
        <f aca="false">VLOOKUP($Y$1,'Datos Iniciales'!$E$34:$O$64,Z$158,FALSE())*Z88</f>
        <v>1.5</v>
      </c>
      <c r="AA186" s="196" t="n">
        <f aca="false">VLOOKUP($Y$1,'Datos Iniciales'!$E$34:$O$64,AA$158,FALSE())*AA88</f>
        <v>1</v>
      </c>
      <c r="AB186" s="196" t="n">
        <f aca="false">VLOOKUP($Y$1,'Datos Iniciales'!$E$34:$O$64,AB$158,FALSE())*AB88</f>
        <v>0.5</v>
      </c>
      <c r="AC186" s="196" t="n">
        <f aca="false">VLOOKUP($Y$1,'Datos Iniciales'!$E$34:$O$64,AC$158,FALSE())*AC88</f>
        <v>0</v>
      </c>
      <c r="AD186" s="196" t="n">
        <f aca="false">VLOOKUP($Y$1,'Datos Iniciales'!$E$34:$O$64,AD$158,FALSE())*AD88</f>
        <v>0</v>
      </c>
      <c r="AE186" s="196" t="n">
        <f aca="false">VLOOKUP($Y$1,'Datos Iniciales'!$E$34:$O$64,AE$158,FALSE())*AE88</f>
        <v>0</v>
      </c>
      <c r="AF186" s="196" t="n">
        <f aca="false">VLOOKUP($Y$1,'Datos Iniciales'!$E$34:$O$64,AF$158,FALSE())*AF88</f>
        <v>0</v>
      </c>
      <c r="AG186" s="196" t="n">
        <f aca="false">VLOOKUP($Y$1,'Datos Iniciales'!$E$34:$O$64,AG$158,FALSE())*AG88</f>
        <v>0</v>
      </c>
      <c r="AH186" s="196" t="n">
        <f aca="false">VLOOKUP($Y$1,'Datos Iniciales'!$E$34:$O$64,AH$158,FALSE())*AH88</f>
        <v>0</v>
      </c>
      <c r="AI186" s="197" t="n">
        <f aca="false">VLOOKUP($Y$1,'Datos Iniciales'!$E$34:$O$64,AI$158,FALSE())*AI88</f>
        <v>0</v>
      </c>
      <c r="AJ186" s="194" t="str">
        <f aca="false">Y186</f>
        <v>Alumno27</v>
      </c>
      <c r="AK186" s="208" t="n">
        <f aca="false">VLOOKUP($AJ$1,'Datos Iniciales'!$E$34:$O$64,AK$158,FALSE())*AK88</f>
        <v>0.5</v>
      </c>
      <c r="AL186" s="196" t="n">
        <f aca="false">VLOOKUP($AJ$1,'Datos Iniciales'!$E$34:$O$64,AL$158,FALSE())*AL88</f>
        <v>1.5</v>
      </c>
      <c r="AM186" s="196" t="n">
        <f aca="false">VLOOKUP($AJ$1,'Datos Iniciales'!$E$34:$O$64,AM$158,FALSE())*AM88</f>
        <v>1.75</v>
      </c>
      <c r="AN186" s="196" t="n">
        <f aca="false">VLOOKUP($AJ$1,'Datos Iniciales'!$E$34:$O$64,AN$158,FALSE())*AN88</f>
        <v>0</v>
      </c>
      <c r="AO186" s="196" t="n">
        <f aca="false">VLOOKUP($AJ$1,'Datos Iniciales'!$E$34:$O$64,AO$158,FALSE())*AO88</f>
        <v>0</v>
      </c>
      <c r="AP186" s="196" t="n">
        <f aca="false">VLOOKUP($AJ$1,'Datos Iniciales'!$E$34:$O$64,AP$158,FALSE())*AP88</f>
        <v>0</v>
      </c>
      <c r="AQ186" s="196" t="n">
        <f aca="false">VLOOKUP($AJ$1,'Datos Iniciales'!$E$34:$O$64,AQ$158,FALSE())*AQ88</f>
        <v>0</v>
      </c>
      <c r="AR186" s="196" t="n">
        <f aca="false">VLOOKUP($AJ$1,'Datos Iniciales'!$E$34:$O$64,AR$158,FALSE())*AR88</f>
        <v>0</v>
      </c>
      <c r="AS186" s="196" t="n">
        <f aca="false">VLOOKUP($AJ$1,'Datos Iniciales'!$E$34:$O$64,AS$158,FALSE())*AS88</f>
        <v>0</v>
      </c>
      <c r="AT186" s="197" t="n">
        <f aca="false">VLOOKUP($AJ$1,'Datos Iniciales'!$E$34:$O$64,AT$158,FALSE())*AT88</f>
        <v>0</v>
      </c>
      <c r="AU186" s="194" t="str">
        <f aca="false">AJ186</f>
        <v>Alumno27</v>
      </c>
      <c r="AV186" s="208" t="n">
        <f aca="false">VLOOKUP($AU$1,'Datos Iniciales'!$E$34:$O$64,AV$158,FALSE())*AV88</f>
        <v>0.45</v>
      </c>
      <c r="AW186" s="196" t="n">
        <f aca="false">VLOOKUP($AU$1,'Datos Iniciales'!$E$34:$O$64,AW$158,FALSE())*AW88</f>
        <v>0.9</v>
      </c>
      <c r="AX186" s="196" t="n">
        <f aca="false">VLOOKUP($AU$1,'Datos Iniciales'!$E$34:$O$64,AX$158,FALSE())*AX88</f>
        <v>2.7</v>
      </c>
      <c r="AY186" s="196" t="n">
        <f aca="false">VLOOKUP($AU$1,'Datos Iniciales'!$E$34:$O$64,AY$158,FALSE())*AY88</f>
        <v>0.9</v>
      </c>
      <c r="AZ186" s="196" t="n">
        <f aca="false">VLOOKUP($AU$1,'Datos Iniciales'!$E$34:$O$64,AZ$158,FALSE())*AZ88</f>
        <v>0</v>
      </c>
      <c r="BA186" s="196" t="n">
        <f aca="false">VLOOKUP($AU$1,'Datos Iniciales'!$E$34:$O$64,BA$158,FALSE())*BA88</f>
        <v>0</v>
      </c>
      <c r="BB186" s="196" t="n">
        <f aca="false">VLOOKUP($AU$1,'Datos Iniciales'!$E$34:$O$64,BB$158,FALSE())*BB88</f>
        <v>0</v>
      </c>
      <c r="BC186" s="196" t="n">
        <f aca="false">VLOOKUP($AU$1,'Datos Iniciales'!$E$34:$O$64,BC$158,FALSE())*BC88</f>
        <v>0</v>
      </c>
      <c r="BD186" s="196" t="n">
        <f aca="false">VLOOKUP($AU$1,'Datos Iniciales'!$E$34:$O$64,BD$158,FALSE())*BD88</f>
        <v>0</v>
      </c>
      <c r="BE186" s="197" t="n">
        <f aca="false">VLOOKUP($AU$1,'Datos Iniciales'!$E$34:$O$64,BE$158,FALSE())*BE88</f>
        <v>0</v>
      </c>
      <c r="BF186" s="194" t="str">
        <f aca="false">AU186</f>
        <v>Alumno27</v>
      </c>
      <c r="BG186" s="208" t="n">
        <f aca="false">VLOOKUP($BF$1,'Datos Iniciales'!$E$34:$O$64,BG$158,FALSE())*BG88</f>
        <v>0.9</v>
      </c>
      <c r="BH186" s="196" t="n">
        <f aca="false">VLOOKUP($BF$1,'Datos Iniciales'!$E$34:$O$64,BH$158,FALSE())*BH88</f>
        <v>1.35</v>
      </c>
      <c r="BI186" s="196" t="n">
        <f aca="false">VLOOKUP($BF$1,'Datos Iniciales'!$E$34:$O$64,BI$158,FALSE())*BI88</f>
        <v>0.9</v>
      </c>
      <c r="BJ186" s="196" t="n">
        <f aca="false">VLOOKUP($BF$1,'Datos Iniciales'!$E$34:$O$64,BJ$158,FALSE())*BJ88</f>
        <v>3.6</v>
      </c>
      <c r="BK186" s="196" t="n">
        <f aca="false">VLOOKUP($BF$1,'Datos Iniciales'!$E$34:$O$64,BK$158,FALSE())*BK88</f>
        <v>0</v>
      </c>
      <c r="BL186" s="196" t="n">
        <f aca="false">VLOOKUP($BF$1,'Datos Iniciales'!$E$34:$O$64,BL$158,FALSE())*BL88</f>
        <v>0</v>
      </c>
      <c r="BM186" s="196" t="n">
        <f aca="false">VLOOKUP($BF$1,'Datos Iniciales'!$E$34:$O$64,BM$158,FALSE())*BM88</f>
        <v>0</v>
      </c>
      <c r="BN186" s="196" t="n">
        <f aca="false">VLOOKUP($BF$1,'Datos Iniciales'!$E$34:$O$64,BN$158,FALSE())*BN88</f>
        <v>0</v>
      </c>
      <c r="BO186" s="196" t="n">
        <f aca="false">VLOOKUP($BF$1,'Datos Iniciales'!$E$34:$O$64,BO$158,FALSE())*BO88</f>
        <v>0</v>
      </c>
      <c r="BP186" s="197" t="n">
        <f aca="false">VLOOKUP($BF$1,'Datos Iniciales'!$E$34:$O$64,BP$158,FALSE())*BP88</f>
        <v>0</v>
      </c>
      <c r="BQ186" s="194" t="str">
        <f aca="false">BF186</f>
        <v>Alumno27</v>
      </c>
      <c r="BR186" s="208" t="n">
        <f aca="false">VLOOKUP($BQ$1,'Datos Iniciales'!$E$34:$O$64,BR$158,FALSE())*BR88</f>
        <v>0</v>
      </c>
      <c r="BS186" s="196" t="n">
        <f aca="false">VLOOKUP($BQ$1,'Datos Iniciales'!$E$34:$O$64,BS$158,FALSE())*BS88</f>
        <v>0.25</v>
      </c>
      <c r="BT186" s="196" t="n">
        <f aca="false">VLOOKUP($BQ$1,'Datos Iniciales'!$E$34:$O$64,BT$158,FALSE())*BT88</f>
        <v>0.6</v>
      </c>
      <c r="BU186" s="196" t="n">
        <f aca="false">VLOOKUP($BQ$1,'Datos Iniciales'!$E$34:$O$64,BU$158,FALSE())*BU88</f>
        <v>2.3</v>
      </c>
      <c r="BV186" s="196" t="n">
        <f aca="false">VLOOKUP($BQ$1,'Datos Iniciales'!$E$34:$O$64,BV$158,FALSE())*BV88</f>
        <v>0</v>
      </c>
      <c r="BW186" s="196" t="n">
        <f aca="false">VLOOKUP($BQ$1,'Datos Iniciales'!$E$34:$O$64,BW$158,FALSE())*BW88</f>
        <v>0</v>
      </c>
      <c r="BX186" s="196" t="n">
        <f aca="false">VLOOKUP($BQ$1,'Datos Iniciales'!$E$34:$O$64,BX$158,FALSE())*BX88</f>
        <v>0</v>
      </c>
      <c r="BY186" s="196" t="n">
        <f aca="false">VLOOKUP($BQ$1,'Datos Iniciales'!$E$34:$O$64,BY$158,FALSE())*BY88</f>
        <v>0</v>
      </c>
      <c r="BZ186" s="196" t="n">
        <f aca="false">VLOOKUP($BQ$1,'Datos Iniciales'!$E$34:$O$64,BZ$158,FALSE())*BZ88</f>
        <v>0</v>
      </c>
      <c r="CA186" s="197" t="n">
        <f aca="false">VLOOKUP($BQ$1,'Datos Iniciales'!$E$34:$O$64,CA$158,FALSE())*CA88</f>
        <v>0</v>
      </c>
      <c r="CB186" s="194" t="str">
        <f aca="false">BQ186</f>
        <v>Alumno27</v>
      </c>
      <c r="CC186" s="208" t="n">
        <f aca="false">VLOOKUP($CB$1,'Datos Iniciales'!$E$34:$O$64,CC$158,FALSE())*CC88</f>
        <v>0</v>
      </c>
      <c r="CD186" s="196" t="n">
        <f aca="false">VLOOKUP($CB$1,'Datos Iniciales'!$E$34:$O$64,CD$158,FALSE())*CD88</f>
        <v>0</v>
      </c>
      <c r="CE186" s="196" t="n">
        <f aca="false">VLOOKUP($CB$1,'Datos Iniciales'!$E$34:$O$64,CE$158,FALSE())*CE88</f>
        <v>0</v>
      </c>
      <c r="CF186" s="196" t="n">
        <f aca="false">VLOOKUP($CB$1,'Datos Iniciales'!$E$34:$O$64,CF$158,FALSE())*CF88</f>
        <v>0</v>
      </c>
      <c r="CG186" s="196" t="n">
        <f aca="false">VLOOKUP($CB$1,'Datos Iniciales'!$E$34:$O$64,CG$158,FALSE())*CG88</f>
        <v>0</v>
      </c>
      <c r="CH186" s="196" t="n">
        <f aca="false">VLOOKUP($CB$1,'Datos Iniciales'!$E$34:$O$64,CH$158,FALSE())*CH88</f>
        <v>0</v>
      </c>
      <c r="CI186" s="196" t="n">
        <f aca="false">VLOOKUP($CB$1,'Datos Iniciales'!$E$34:$O$64,CI$158,FALSE())*CI88</f>
        <v>0</v>
      </c>
      <c r="CJ186" s="196" t="n">
        <f aca="false">VLOOKUP($CB$1,'Datos Iniciales'!$E$34:$O$64,CJ$158,FALSE())*CJ88</f>
        <v>0</v>
      </c>
      <c r="CK186" s="196" t="n">
        <f aca="false">VLOOKUP($CB$1,'Datos Iniciales'!$E$34:$O$64,CK$158,FALSE())*CK88</f>
        <v>0</v>
      </c>
      <c r="CL186" s="197" t="n">
        <f aca="false">VLOOKUP($CB$1,'Datos Iniciales'!$E$34:$O$64,CL$158,FALSE())*CL88</f>
        <v>0</v>
      </c>
      <c r="CM186" s="194" t="str">
        <f aca="false">CB186</f>
        <v>Alumno27</v>
      </c>
      <c r="CN186" s="208" t="n">
        <f aca="false">VLOOKUP($CM$1,'Datos Iniciales'!$E$34:$O$64,CN$158,FALSE())*CN88</f>
        <v>0</v>
      </c>
      <c r="CO186" s="196" t="n">
        <f aca="false">VLOOKUP($CM$1,'Datos Iniciales'!$E$34:$O$64,CO$158,FALSE())*CO88</f>
        <v>0</v>
      </c>
      <c r="CP186" s="196" t="n">
        <f aca="false">VLOOKUP($CM$1,'Datos Iniciales'!$E$34:$O$64,CP$158,FALSE())*CP88</f>
        <v>0</v>
      </c>
      <c r="CQ186" s="196" t="n">
        <f aca="false">VLOOKUP($CM$1,'Datos Iniciales'!$E$34:$O$64,CQ$158,FALSE())*CQ88</f>
        <v>0</v>
      </c>
      <c r="CR186" s="196" t="n">
        <f aca="false">VLOOKUP($CM$1,'Datos Iniciales'!$E$34:$O$64,CR$158,FALSE())*CR88</f>
        <v>0</v>
      </c>
      <c r="CS186" s="196" t="n">
        <f aca="false">VLOOKUP($CM$1,'Datos Iniciales'!$E$34:$O$64,CS$158,FALSE())*CS88</f>
        <v>0</v>
      </c>
      <c r="CT186" s="196" t="n">
        <f aca="false">VLOOKUP($CM$1,'Datos Iniciales'!$E$34:$O$64,CT$158,FALSE())*CT88</f>
        <v>0</v>
      </c>
      <c r="CU186" s="196" t="n">
        <f aca="false">VLOOKUP($CM$1,'Datos Iniciales'!$E$34:$O$64,CU$158,FALSE())*CU88</f>
        <v>0</v>
      </c>
      <c r="CV186" s="196" t="n">
        <f aca="false">VLOOKUP($CM$1,'Datos Iniciales'!$E$34:$O$64,CV$158,FALSE())*CV88</f>
        <v>0</v>
      </c>
      <c r="CW186" s="197" t="n">
        <f aca="false">VLOOKUP($CM$1,'Datos Iniciales'!$E$34:$O$64,CW$158,FALSE())*CW88</f>
        <v>0</v>
      </c>
      <c r="CX186" s="194" t="str">
        <f aca="false">CM186</f>
        <v>Alumno27</v>
      </c>
      <c r="CY186" s="208" t="n">
        <f aca="false">VLOOKUP($CX$1,'Datos Iniciales'!$E$34:$O$64,CY$158,FALSE())*CY88</f>
        <v>0</v>
      </c>
      <c r="CZ186" s="196" t="n">
        <f aca="false">VLOOKUP($CX$1,'Datos Iniciales'!$E$34:$O$64,CZ$158,FALSE())*CZ88</f>
        <v>0</v>
      </c>
      <c r="DA186" s="196" t="n">
        <f aca="false">VLOOKUP($CX$1,'Datos Iniciales'!$E$34:$O$64,DA$158,FALSE())*DA88</f>
        <v>0</v>
      </c>
      <c r="DB186" s="196" t="n">
        <f aca="false">VLOOKUP($CX$1,'Datos Iniciales'!$E$34:$O$64,DB$158,FALSE())*DB88</f>
        <v>0</v>
      </c>
      <c r="DC186" s="196" t="n">
        <f aca="false">VLOOKUP($CX$1,'Datos Iniciales'!$E$34:$O$64,DC$158,FALSE())*DC88</f>
        <v>0</v>
      </c>
      <c r="DD186" s="196" t="n">
        <f aca="false">VLOOKUP($CX$1,'Datos Iniciales'!$E$34:$O$64,DD$158,FALSE())*DD88</f>
        <v>0</v>
      </c>
      <c r="DE186" s="196" t="n">
        <f aca="false">VLOOKUP($CX$1,'Datos Iniciales'!$E$34:$O$64,DE$158,FALSE())*DE88</f>
        <v>0</v>
      </c>
      <c r="DF186" s="196" t="n">
        <f aca="false">VLOOKUP($CX$1,'Datos Iniciales'!$E$34:$O$64,DF$158,FALSE())*DF88</f>
        <v>0</v>
      </c>
      <c r="DG186" s="196" t="n">
        <f aca="false">VLOOKUP($CX$1,'Datos Iniciales'!$E$34:$O$64,DG$158,FALSE())*DG88</f>
        <v>0</v>
      </c>
      <c r="DH186" s="197" t="n">
        <f aca="false">VLOOKUP($CX$1,'Datos Iniciales'!$E$34:$O$64,DH$158,FALSE())*DH88</f>
        <v>0</v>
      </c>
      <c r="DI186" s="194" t="str">
        <f aca="false">CX186</f>
        <v>Alumno27</v>
      </c>
      <c r="DJ186" s="208" t="n">
        <f aca="false">VLOOKUP($DI$1,'Datos Iniciales'!$E$34:$O$64,DJ$158,FALSE())*DJ88</f>
        <v>0</v>
      </c>
      <c r="DK186" s="196" t="n">
        <f aca="false">VLOOKUP($DI$1,'Datos Iniciales'!$E$34:$O$64,DK$158,FALSE())*DK88</f>
        <v>0</v>
      </c>
      <c r="DL186" s="196" t="n">
        <f aca="false">VLOOKUP($DI$1,'Datos Iniciales'!$E$34:$O$64,DL$158,FALSE())*DL88</f>
        <v>0</v>
      </c>
      <c r="DM186" s="196" t="n">
        <f aca="false">VLOOKUP($DI$1,'Datos Iniciales'!$E$34:$O$64,DM$158,FALSE())*DM88</f>
        <v>0</v>
      </c>
      <c r="DN186" s="196" t="n">
        <f aca="false">VLOOKUP($DI$1,'Datos Iniciales'!$E$34:$O$64,DN$158,FALSE())*DN88</f>
        <v>0</v>
      </c>
      <c r="DO186" s="196" t="n">
        <f aca="false">VLOOKUP($DI$1,'Datos Iniciales'!$E$34:$O$64,DO$158,FALSE())*DO88</f>
        <v>0</v>
      </c>
      <c r="DP186" s="196" t="n">
        <f aca="false">VLOOKUP($DI$1,'Datos Iniciales'!$E$34:$O$64,DP$158,FALSE())*DP88</f>
        <v>0</v>
      </c>
      <c r="DQ186" s="196" t="n">
        <f aca="false">VLOOKUP($DI$1,'Datos Iniciales'!$E$34:$O$64,DQ$158,FALSE())*DQ88</f>
        <v>0</v>
      </c>
      <c r="DR186" s="196" t="n">
        <f aca="false">VLOOKUP($DI$1,'Datos Iniciales'!$E$34:$O$64,DR$158,FALSE())*DR88</f>
        <v>0</v>
      </c>
      <c r="DS186" s="197" t="n">
        <f aca="false">VLOOKUP($DI$1,'Datos Iniciales'!$E$34:$O$64,DS$158,FALSE())*DS88</f>
        <v>0</v>
      </c>
      <c r="DT186" s="194" t="str">
        <f aca="false">DI186</f>
        <v>Alumno27</v>
      </c>
      <c r="DU186" s="208" t="n">
        <f aca="false">VLOOKUP($DT$1,'Datos Iniciales'!$E$34:$O$64,DU$158,FALSE())*DU88</f>
        <v>0</v>
      </c>
      <c r="DV186" s="196" t="n">
        <f aca="false">VLOOKUP($DT$1,'Datos Iniciales'!$E$34:$O$64,DV$158,FALSE())*DV88</f>
        <v>0</v>
      </c>
      <c r="DW186" s="196" t="n">
        <f aca="false">VLOOKUP($DT$1,'Datos Iniciales'!$E$34:$O$64,DW$158,FALSE())*DW88</f>
        <v>0</v>
      </c>
      <c r="DX186" s="196" t="n">
        <f aca="false">VLOOKUP($DT$1,'Datos Iniciales'!$E$34:$O$64,DX$158,FALSE())*DX88</f>
        <v>0</v>
      </c>
      <c r="DY186" s="196" t="n">
        <f aca="false">VLOOKUP($DT$1,'Datos Iniciales'!$E$34:$O$64,DY$158,FALSE())*DY88</f>
        <v>0</v>
      </c>
      <c r="DZ186" s="196" t="n">
        <f aca="false">VLOOKUP($DT$1,'Datos Iniciales'!$E$34:$O$64,DZ$158,FALSE())*DZ88</f>
        <v>0</v>
      </c>
      <c r="EA186" s="196" t="n">
        <f aca="false">VLOOKUP($DT$1,'Datos Iniciales'!$E$34:$O$64,EA$158,FALSE())*EA88</f>
        <v>0</v>
      </c>
      <c r="EB186" s="196" t="n">
        <f aca="false">VLOOKUP($DT$1,'Datos Iniciales'!$E$34:$O$64,EB$158,FALSE())*EB88</f>
        <v>0</v>
      </c>
      <c r="EC186" s="196" t="n">
        <f aca="false">VLOOKUP($DT$1,'Datos Iniciales'!$E$34:$O$64,EC$158,FALSE())*EC88</f>
        <v>0</v>
      </c>
      <c r="ED186" s="197" t="n">
        <f aca="false">VLOOKUP($DT$1,'Datos Iniciales'!$E$34:$O$64,ED$158,FALSE())*ED88</f>
        <v>0</v>
      </c>
      <c r="EE186" s="194" t="str">
        <f aca="false">DT186</f>
        <v>Alumno27</v>
      </c>
      <c r="EF186" s="208" t="n">
        <f aca="false">VLOOKUP($EE$1,'Datos Iniciales'!$E$34:$O$64,EF$158,FALSE())*EF88</f>
        <v>0</v>
      </c>
      <c r="EG186" s="196" t="n">
        <f aca="false">VLOOKUP($EE$1,'Datos Iniciales'!$E$34:$O$64,EG$158,FALSE())*EG88</f>
        <v>0</v>
      </c>
      <c r="EH186" s="196" t="n">
        <f aca="false">VLOOKUP($EE$1,'Datos Iniciales'!$E$34:$O$64,EH$158,FALSE())*EH88</f>
        <v>0</v>
      </c>
      <c r="EI186" s="196" t="n">
        <f aca="false">VLOOKUP($EE$1,'Datos Iniciales'!$E$34:$O$64,EI$158,FALSE())*EI88</f>
        <v>0</v>
      </c>
      <c r="EJ186" s="196" t="n">
        <f aca="false">VLOOKUP($EE$1,'Datos Iniciales'!$E$34:$O$64,EJ$158,FALSE())*EJ88</f>
        <v>0</v>
      </c>
      <c r="EK186" s="196" t="n">
        <f aca="false">VLOOKUP($EE$1,'Datos Iniciales'!$E$34:$O$64,EK$158,FALSE())*EK88</f>
        <v>0</v>
      </c>
      <c r="EL186" s="196" t="n">
        <f aca="false">VLOOKUP($EE$1,'Datos Iniciales'!$E$34:$O$64,EL$158,FALSE())*EL88</f>
        <v>0</v>
      </c>
      <c r="EM186" s="196" t="n">
        <f aca="false">VLOOKUP($EE$1,'Datos Iniciales'!$E$34:$O$64,EM$158,FALSE())*EM88</f>
        <v>0</v>
      </c>
      <c r="EN186" s="196" t="n">
        <f aca="false">VLOOKUP($EE$1,'Datos Iniciales'!$E$34:$O$64,EN$158,FALSE())*EN88</f>
        <v>0</v>
      </c>
      <c r="EO186" s="197" t="n">
        <f aca="false">VLOOKUP($EE$1,'Datos Iniciales'!$E$34:$O$64,EO$158,FALSE())*EO88</f>
        <v>0</v>
      </c>
      <c r="EP186" s="194" t="str">
        <f aca="false">EE186</f>
        <v>Alumno27</v>
      </c>
      <c r="EQ186" s="208" t="n">
        <f aca="false">VLOOKUP($EP$1,'Datos Iniciales'!$E$34:$O$64,EQ$158,FALSE())*EQ88</f>
        <v>0</v>
      </c>
      <c r="ER186" s="196" t="n">
        <f aca="false">VLOOKUP($EP$1,'Datos Iniciales'!$E$34:$O$64,ER$158,FALSE())*ER88</f>
        <v>0</v>
      </c>
      <c r="ES186" s="196" t="n">
        <f aca="false">VLOOKUP($EP$1,'Datos Iniciales'!$E$34:$O$64,ES$158,FALSE())*ES88</f>
        <v>0</v>
      </c>
      <c r="ET186" s="196" t="n">
        <f aca="false">VLOOKUP($EP$1,'Datos Iniciales'!$E$34:$O$64,ET$158,FALSE())*ET88</f>
        <v>0</v>
      </c>
      <c r="EU186" s="196" t="n">
        <f aca="false">VLOOKUP($EP$1,'Datos Iniciales'!$E$34:$O$64,EU$158,FALSE())*EU88</f>
        <v>0</v>
      </c>
      <c r="EV186" s="196" t="n">
        <f aca="false">VLOOKUP($EP$1,'Datos Iniciales'!$E$34:$O$64,EV$158,FALSE())*EV88</f>
        <v>0</v>
      </c>
      <c r="EW186" s="196" t="n">
        <f aca="false">VLOOKUP($EP$1,'Datos Iniciales'!$E$34:$O$64,EW$158,FALSE())*EW88</f>
        <v>0</v>
      </c>
      <c r="EX186" s="196" t="n">
        <f aca="false">VLOOKUP($EP$1,'Datos Iniciales'!$E$34:$O$64,EX$158,FALSE())*EX88</f>
        <v>0</v>
      </c>
      <c r="EY186" s="196" t="n">
        <f aca="false">VLOOKUP($EP$1,'Datos Iniciales'!$E$34:$O$64,EY$158,FALSE())*EY88</f>
        <v>0</v>
      </c>
      <c r="EZ186" s="197" t="n">
        <f aca="false">VLOOKUP($EP$1,'Datos Iniciales'!$E$34:$O$64,EZ$158,FALSE())*EZ88</f>
        <v>0</v>
      </c>
      <c r="FA186" s="194" t="str">
        <f aca="false">EP186</f>
        <v>Alumno27</v>
      </c>
      <c r="FB186" s="208" t="n">
        <f aca="false">VLOOKUP($FA$1,'Datos Iniciales'!$E$34:$O$64,FB$158,FALSE())*FB88</f>
        <v>0</v>
      </c>
      <c r="FC186" s="196" t="n">
        <f aca="false">VLOOKUP($FA$1,'Datos Iniciales'!$E$34:$O$64,FC$158,FALSE())*FC88</f>
        <v>0</v>
      </c>
      <c r="FD186" s="196" t="n">
        <f aca="false">VLOOKUP($FA$1,'Datos Iniciales'!$E$34:$O$64,FD$158,FALSE())*FD88</f>
        <v>0</v>
      </c>
      <c r="FE186" s="196" t="n">
        <f aca="false">VLOOKUP($FA$1,'Datos Iniciales'!$E$34:$O$64,FE$158,FALSE())*FE88</f>
        <v>0</v>
      </c>
      <c r="FF186" s="196" t="n">
        <f aca="false">VLOOKUP($FA$1,'Datos Iniciales'!$E$34:$O$64,FF$158,FALSE())*FF88</f>
        <v>0</v>
      </c>
      <c r="FG186" s="196" t="n">
        <f aca="false">VLOOKUP($FA$1,'Datos Iniciales'!$E$34:$O$64,FG$158,FALSE())*FG88</f>
        <v>0</v>
      </c>
      <c r="FH186" s="196" t="n">
        <f aca="false">VLOOKUP($FA$1,'Datos Iniciales'!$E$34:$O$64,FH$158,FALSE())*FH88</f>
        <v>0</v>
      </c>
      <c r="FI186" s="196" t="n">
        <f aca="false">VLOOKUP($FA$1,'Datos Iniciales'!$E$34:$O$64,FI$158,FALSE())*FI88</f>
        <v>0</v>
      </c>
      <c r="FJ186" s="196" t="n">
        <f aca="false">VLOOKUP($FA$1,'Datos Iniciales'!$E$34:$O$64,FJ$158,FALSE())*FJ88</f>
        <v>0</v>
      </c>
      <c r="FK186" s="197" t="n">
        <f aca="false">VLOOKUP($FA$1,'Datos Iniciales'!$E$34:$O$64,FK$158,FALSE())*FK88</f>
        <v>0</v>
      </c>
      <c r="FL186" s="194" t="str">
        <f aca="false">FA186</f>
        <v>Alumno27</v>
      </c>
      <c r="FM186" s="208" t="n">
        <f aca="false">VLOOKUP($FL$1,'Datos Iniciales'!$E$34:$O$64,FM$158,FALSE())*FM88</f>
        <v>0</v>
      </c>
      <c r="FN186" s="196" t="n">
        <f aca="false">VLOOKUP($FL$1,'Datos Iniciales'!$E$34:$O$64,FN$158,FALSE())*FN88</f>
        <v>0</v>
      </c>
      <c r="FO186" s="196" t="n">
        <f aca="false">VLOOKUP($FL$1,'Datos Iniciales'!$E$34:$O$64,FO$158,FALSE())*FO88</f>
        <v>0</v>
      </c>
      <c r="FP186" s="196" t="n">
        <f aca="false">VLOOKUP($FL$1,'Datos Iniciales'!$E$34:$O$64,FP$158,FALSE())*FP88</f>
        <v>0</v>
      </c>
      <c r="FQ186" s="196" t="n">
        <f aca="false">VLOOKUP($FL$1,'Datos Iniciales'!$E$34:$O$64,FQ$158,FALSE())*FQ88</f>
        <v>0</v>
      </c>
      <c r="FR186" s="196" t="n">
        <f aca="false">VLOOKUP($FL$1,'Datos Iniciales'!$E$34:$O$64,FR$158,FALSE())*FR88</f>
        <v>0</v>
      </c>
      <c r="FS186" s="196" t="n">
        <f aca="false">VLOOKUP($FL$1,'Datos Iniciales'!$E$34:$O$64,FS$158,FALSE())*FS88</f>
        <v>0</v>
      </c>
      <c r="FT186" s="196" t="n">
        <f aca="false">VLOOKUP($FL$1,'Datos Iniciales'!$E$34:$O$64,FT$158,FALSE())*FT88</f>
        <v>0</v>
      </c>
      <c r="FU186" s="196" t="n">
        <f aca="false">VLOOKUP($FL$1,'Datos Iniciales'!$E$34:$O$64,FU$158,FALSE())*FU88</f>
        <v>0</v>
      </c>
      <c r="FV186" s="197" t="n">
        <f aca="false">VLOOKUP($FL$1,'Datos Iniciales'!$E$34:$O$64,FV$158,FALSE())*FV88</f>
        <v>0</v>
      </c>
      <c r="FW186" s="194" t="str">
        <f aca="false">FL186</f>
        <v>Alumno27</v>
      </c>
      <c r="FX186" s="208" t="n">
        <f aca="false">VLOOKUP($FW$1,'Datos Iniciales'!$E$34:$O$64,FX$158,FALSE())*FX88</f>
        <v>0</v>
      </c>
      <c r="FY186" s="196" t="n">
        <f aca="false">VLOOKUP($FW$1,'Datos Iniciales'!$E$34:$O$64,FY$158,FALSE())*FY88</f>
        <v>0</v>
      </c>
      <c r="FZ186" s="196" t="n">
        <f aca="false">VLOOKUP($FW$1,'Datos Iniciales'!$E$34:$O$64,FZ$158,FALSE())*FZ88</f>
        <v>0</v>
      </c>
      <c r="GA186" s="196" t="n">
        <f aca="false">VLOOKUP($FW$1,'Datos Iniciales'!$E$34:$O$64,GA$158,FALSE())*GA88</f>
        <v>0</v>
      </c>
      <c r="GB186" s="196" t="n">
        <f aca="false">VLOOKUP($FW$1,'Datos Iniciales'!$E$34:$O$64,GB$158,FALSE())*GB88</f>
        <v>0</v>
      </c>
      <c r="GC186" s="196" t="n">
        <f aca="false">VLOOKUP($FW$1,'Datos Iniciales'!$E$34:$O$64,GC$158,FALSE())*GC88</f>
        <v>0</v>
      </c>
      <c r="GD186" s="196" t="n">
        <f aca="false">VLOOKUP($FW$1,'Datos Iniciales'!$E$34:$O$64,GD$158,FALSE())*GD88</f>
        <v>0</v>
      </c>
      <c r="GE186" s="196" t="n">
        <f aca="false">VLOOKUP($FW$1,'Datos Iniciales'!$E$34:$O$64,GE$158,FALSE())*GE88</f>
        <v>0</v>
      </c>
      <c r="GF186" s="196" t="n">
        <f aca="false">VLOOKUP($FW$1,'Datos Iniciales'!$E$34:$O$64,GF$158,FALSE())*GF88</f>
        <v>0</v>
      </c>
      <c r="GG186" s="197" t="n">
        <f aca="false">VLOOKUP($FW$1,'Datos Iniciales'!$E$34:$O$64,GG$158,FALSE())*GG88</f>
        <v>0</v>
      </c>
      <c r="GH186" s="194" t="str">
        <f aca="false">FW186</f>
        <v>Alumno27</v>
      </c>
      <c r="GI186" s="208" t="n">
        <f aca="false">VLOOKUP($GH$1,'Datos Iniciales'!$E$34:$O$64,GI$158,FALSE())*GI88</f>
        <v>0</v>
      </c>
      <c r="GJ186" s="196" t="n">
        <f aca="false">VLOOKUP($GH$1,'Datos Iniciales'!$E$34:$O$64,GJ$158,FALSE())*GJ88</f>
        <v>0</v>
      </c>
      <c r="GK186" s="196" t="n">
        <f aca="false">VLOOKUP($GH$1,'Datos Iniciales'!$E$34:$O$64,GK$158,FALSE())*GK88</f>
        <v>0</v>
      </c>
      <c r="GL186" s="196" t="n">
        <f aca="false">VLOOKUP($GH$1,'Datos Iniciales'!$E$34:$O$64,GL$158,FALSE())*GL88</f>
        <v>0</v>
      </c>
      <c r="GM186" s="196" t="n">
        <f aca="false">VLOOKUP($GH$1,'Datos Iniciales'!$E$34:$O$64,GM$158,FALSE())*GM88</f>
        <v>0</v>
      </c>
      <c r="GN186" s="196" t="n">
        <f aca="false">VLOOKUP($GH$1,'Datos Iniciales'!$E$34:$O$64,GN$158,FALSE())*GN88</f>
        <v>0</v>
      </c>
      <c r="GO186" s="196" t="n">
        <f aca="false">VLOOKUP($GH$1,'Datos Iniciales'!$E$34:$O$64,GO$158,FALSE())*GO88</f>
        <v>0</v>
      </c>
      <c r="GP186" s="196" t="n">
        <f aca="false">VLOOKUP($GH$1,'Datos Iniciales'!$E$34:$O$64,GP$158,FALSE())*GP88</f>
        <v>0</v>
      </c>
      <c r="GQ186" s="196" t="n">
        <f aca="false">VLOOKUP($GH$1,'Datos Iniciales'!$E$34:$O$64,GQ$158,FALSE())*GQ88</f>
        <v>0</v>
      </c>
      <c r="GR186" s="197" t="n">
        <f aca="false">VLOOKUP($GH$1,'Datos Iniciales'!$E$34:$O$64,GR$158,FALSE())*GR88</f>
        <v>0</v>
      </c>
      <c r="GS186" s="194" t="str">
        <f aca="false">GH186</f>
        <v>Alumno27</v>
      </c>
      <c r="GT186" s="208" t="n">
        <f aca="false">VLOOKUP($GS$1,'Datos Iniciales'!$E$34:$O$64,GT$158,FALSE())*GT88</f>
        <v>0</v>
      </c>
      <c r="GU186" s="196" t="n">
        <f aca="false">VLOOKUP($GS$1,'Datos Iniciales'!$E$34:$O$64,GU$158,FALSE())*GU88</f>
        <v>0</v>
      </c>
      <c r="GV186" s="196" t="n">
        <f aca="false">VLOOKUP($GS$1,'Datos Iniciales'!$E$34:$O$64,GV$158,FALSE())*GV88</f>
        <v>0</v>
      </c>
      <c r="GW186" s="196" t="n">
        <f aca="false">VLOOKUP($GS$1,'Datos Iniciales'!$E$34:$O$64,GW$158,FALSE())*GW88</f>
        <v>0</v>
      </c>
      <c r="GX186" s="196" t="n">
        <f aca="false">VLOOKUP($GS$1,'Datos Iniciales'!$E$34:$O$64,GX$158,FALSE())*GX88</f>
        <v>0</v>
      </c>
      <c r="GY186" s="196" t="n">
        <f aca="false">VLOOKUP($GS$1,'Datos Iniciales'!$E$34:$O$64,GY$158,FALSE())*GY88</f>
        <v>0</v>
      </c>
      <c r="GZ186" s="196" t="n">
        <f aca="false">VLOOKUP($GS$1,'Datos Iniciales'!$E$34:$O$64,GZ$158,FALSE())*GZ88</f>
        <v>0</v>
      </c>
      <c r="HA186" s="196" t="n">
        <f aca="false">VLOOKUP($GS$1,'Datos Iniciales'!$E$34:$O$64,HA$158,FALSE())*HA88</f>
        <v>0</v>
      </c>
      <c r="HB186" s="196" t="n">
        <f aca="false">VLOOKUP($GS$1,'Datos Iniciales'!$E$34:$O$64,HB$158,FALSE())*HB88</f>
        <v>0</v>
      </c>
      <c r="HC186" s="197" t="n">
        <f aca="false">VLOOKUP($GS$1,'Datos Iniciales'!$E$34:$O$64,HC$158,FALSE())*HC88</f>
        <v>0</v>
      </c>
      <c r="HD186" s="194" t="str">
        <f aca="false">GS186</f>
        <v>Alumno27</v>
      </c>
      <c r="HE186" s="208" t="n">
        <f aca="false">VLOOKUP($HD$1,'Datos Iniciales'!$E$34:$O$64,HE$158,FALSE())*HE88</f>
        <v>0</v>
      </c>
      <c r="HF186" s="196" t="n">
        <f aca="false">VLOOKUP($HD$1,'Datos Iniciales'!$E$34:$O$64,HF$158,FALSE())*HF88</f>
        <v>0</v>
      </c>
      <c r="HG186" s="196" t="n">
        <f aca="false">VLOOKUP($HD$1,'Datos Iniciales'!$E$34:$O$64,HG$158,FALSE())*HG88</f>
        <v>0</v>
      </c>
      <c r="HH186" s="196" t="n">
        <f aca="false">VLOOKUP($HD$1,'Datos Iniciales'!$E$34:$O$64,HH$158,FALSE())*HH88</f>
        <v>0</v>
      </c>
      <c r="HI186" s="196" t="n">
        <f aca="false">VLOOKUP($HD$1,'Datos Iniciales'!$E$34:$O$64,HI$158,FALSE())*HI88</f>
        <v>0</v>
      </c>
      <c r="HJ186" s="196" t="n">
        <f aca="false">VLOOKUP($HD$1,'Datos Iniciales'!$E$34:$O$64,HJ$158,FALSE())*HJ88</f>
        <v>0</v>
      </c>
      <c r="HK186" s="196" t="n">
        <f aca="false">VLOOKUP($HD$1,'Datos Iniciales'!$E$34:$O$64,HK$158,FALSE())*HK88</f>
        <v>0</v>
      </c>
      <c r="HL186" s="196" t="n">
        <f aca="false">VLOOKUP($HD$1,'Datos Iniciales'!$E$34:$O$64,HL$158,FALSE())*HL88</f>
        <v>0</v>
      </c>
      <c r="HM186" s="196" t="n">
        <f aca="false">VLOOKUP($HD$1,'Datos Iniciales'!$E$34:$O$64,HM$158,FALSE())*HM88</f>
        <v>0</v>
      </c>
      <c r="HN186" s="197" t="n">
        <f aca="false">VLOOKUP($HD$1,'Datos Iniciales'!$E$34:$O$64,HN$158,FALSE())*HN88</f>
        <v>0</v>
      </c>
      <c r="HO186" s="194" t="str">
        <f aca="false">HD186</f>
        <v>Alumno27</v>
      </c>
      <c r="HP186" s="208" t="n">
        <f aca="false">VLOOKUP($HO$1,'Datos Iniciales'!$E$34:$O$64,HP$158,FALSE())*HP88</f>
        <v>0</v>
      </c>
      <c r="HQ186" s="196" t="n">
        <f aca="false">VLOOKUP($HO$1,'Datos Iniciales'!$E$34:$O$64,HQ$158,FALSE())*HQ88</f>
        <v>0</v>
      </c>
      <c r="HR186" s="196" t="n">
        <f aca="false">VLOOKUP($HO$1,'Datos Iniciales'!$E$34:$O$64,HR$158,FALSE())*HR88</f>
        <v>0</v>
      </c>
      <c r="HS186" s="196" t="n">
        <f aca="false">VLOOKUP($HO$1,'Datos Iniciales'!$E$34:$O$64,HS$158,FALSE())*HS88</f>
        <v>0</v>
      </c>
      <c r="HT186" s="196" t="n">
        <f aca="false">VLOOKUP($HO$1,'Datos Iniciales'!$E$34:$O$64,HT$158,FALSE())*HT88</f>
        <v>0</v>
      </c>
      <c r="HU186" s="196" t="n">
        <f aca="false">VLOOKUP($HO$1,'Datos Iniciales'!$E$34:$O$64,HU$158,FALSE())*HU88</f>
        <v>0</v>
      </c>
      <c r="HV186" s="196" t="n">
        <f aca="false">VLOOKUP($HO$1,'Datos Iniciales'!$E$34:$O$64,HV$158,FALSE())*HV88</f>
        <v>0</v>
      </c>
      <c r="HW186" s="196" t="n">
        <f aca="false">VLOOKUP($HO$1,'Datos Iniciales'!$E$34:$O$64,HW$158,FALSE())*HW88</f>
        <v>0</v>
      </c>
      <c r="HX186" s="196" t="n">
        <f aca="false">VLOOKUP($HO$1,'Datos Iniciales'!$E$34:$O$64,HX$158,FALSE())*HX88</f>
        <v>0</v>
      </c>
      <c r="HY186" s="197" t="n">
        <f aca="false">VLOOKUP($HO$1,'Datos Iniciales'!$E$34:$O$64,HY$158,FALSE())*HY88</f>
        <v>0</v>
      </c>
      <c r="HZ186" s="194" t="str">
        <f aca="false">HO186</f>
        <v>Alumno27</v>
      </c>
      <c r="IA186" s="208" t="n">
        <f aca="false">VLOOKUP($HZ$1,'Datos Iniciales'!$E$34:$O$64,IA$158,FALSE())*IA88</f>
        <v>0</v>
      </c>
      <c r="IB186" s="196" t="n">
        <f aca="false">VLOOKUP($HZ$1,'Datos Iniciales'!$E$34:$O$64,IB$158,FALSE())*IB88</f>
        <v>0</v>
      </c>
      <c r="IC186" s="196" t="n">
        <f aca="false">VLOOKUP($HZ$1,'Datos Iniciales'!$E$34:$O$64,IC$158,FALSE())*IC88</f>
        <v>0</v>
      </c>
      <c r="ID186" s="196" t="n">
        <f aca="false">VLOOKUP($HZ$1,'Datos Iniciales'!$E$34:$O$64,ID$158,FALSE())*ID88</f>
        <v>0</v>
      </c>
      <c r="IE186" s="196" t="n">
        <f aca="false">VLOOKUP($HZ$1,'Datos Iniciales'!$E$34:$O$64,IE$158,FALSE())*IE88</f>
        <v>0</v>
      </c>
      <c r="IF186" s="196" t="n">
        <f aca="false">VLOOKUP($HZ$1,'Datos Iniciales'!$E$34:$O$64,IF$158,FALSE())*IF88</f>
        <v>0</v>
      </c>
      <c r="IG186" s="196" t="n">
        <f aca="false">VLOOKUP($HZ$1,'Datos Iniciales'!$E$34:$O$64,IG$158,FALSE())*IG88</f>
        <v>0</v>
      </c>
      <c r="IH186" s="196" t="n">
        <f aca="false">VLOOKUP($HZ$1,'Datos Iniciales'!$E$34:$O$64,IH$158,FALSE())*IH88</f>
        <v>0</v>
      </c>
      <c r="II186" s="196" t="n">
        <f aca="false">VLOOKUP($HZ$1,'Datos Iniciales'!$E$34:$O$64,II$158,FALSE())*II88</f>
        <v>0</v>
      </c>
      <c r="IJ186" s="197" t="n">
        <f aca="false">VLOOKUP($HZ$1,'Datos Iniciales'!$E$34:$O$64,IJ$158,FALSE())*IJ88</f>
        <v>0</v>
      </c>
      <c r="IK186" s="194" t="str">
        <f aca="false">HZ186</f>
        <v>Alumno27</v>
      </c>
      <c r="IL186" s="208" t="n">
        <f aca="false">VLOOKUP($IK$1,'Datos Iniciales'!$E$34:$O$64,IL$158,FALSE())*IL88</f>
        <v>0</v>
      </c>
      <c r="IM186" s="196" t="n">
        <f aca="false">VLOOKUP($IK$1,'Datos Iniciales'!$E$34:$O$64,IM$158,FALSE())*IM88</f>
        <v>0</v>
      </c>
      <c r="IN186" s="196" t="n">
        <f aca="false">VLOOKUP($IK$1,'Datos Iniciales'!$E$34:$O$64,IN$158,FALSE())*IN88</f>
        <v>0</v>
      </c>
      <c r="IO186" s="196" t="n">
        <f aca="false">VLOOKUP($IK$1,'Datos Iniciales'!$E$34:$O$64,IO$158,FALSE())*IO88</f>
        <v>0</v>
      </c>
      <c r="IP186" s="196" t="n">
        <f aca="false">VLOOKUP($IK$1,'Datos Iniciales'!$E$34:$O$64,IP$158,FALSE())*IP88</f>
        <v>0</v>
      </c>
      <c r="IQ186" s="196" t="n">
        <f aca="false">VLOOKUP($IK$1,'Datos Iniciales'!$E$34:$O$64,IQ$158,FALSE())*IQ88</f>
        <v>0</v>
      </c>
      <c r="IR186" s="196" t="n">
        <f aca="false">VLOOKUP($IK$1,'Datos Iniciales'!$E$34:$O$64,IR$158,FALSE())*IR88</f>
        <v>0</v>
      </c>
      <c r="IS186" s="196" t="n">
        <f aca="false">VLOOKUP($IK$1,'Datos Iniciales'!$E$34:$O$64,IS$158,FALSE())*IS88</f>
        <v>0</v>
      </c>
      <c r="IT186" s="196" t="n">
        <f aca="false">VLOOKUP($IK$1,'Datos Iniciales'!$E$34:$O$64,IT$158,FALSE())*IT88</f>
        <v>0</v>
      </c>
      <c r="IU186" s="197" t="n">
        <f aca="false">VLOOKUP($IK$1,'Datos Iniciales'!$E$34:$O$64,IU$158,FALSE())*IU88</f>
        <v>0</v>
      </c>
      <c r="IV186" s="194" t="str">
        <f aca="false">IK186</f>
        <v>Alumno27</v>
      </c>
      <c r="IW186" s="208" t="n">
        <f aca="false">VLOOKUP($IV$1,'Datos Iniciales'!$E$34:$O$64,IW$158,FALSE())*IW88</f>
        <v>0</v>
      </c>
      <c r="IX186" s="196" t="n">
        <f aca="false">VLOOKUP($IV$1,'Datos Iniciales'!$E$34:$O$64,IX$158,FALSE())*IX88</f>
        <v>0</v>
      </c>
      <c r="IY186" s="196" t="n">
        <f aca="false">VLOOKUP($IV$1,'Datos Iniciales'!$E$34:$O$64,IY$158,FALSE())*IY88</f>
        <v>0</v>
      </c>
      <c r="IZ186" s="196" t="n">
        <f aca="false">VLOOKUP($IV$1,'Datos Iniciales'!$E$34:$O$64,IZ$158,FALSE())*IZ88</f>
        <v>0</v>
      </c>
      <c r="JA186" s="196" t="n">
        <f aca="false">VLOOKUP($IV$1,'Datos Iniciales'!$E$34:$O$64,JA$158,FALSE())*JA88</f>
        <v>0</v>
      </c>
      <c r="JB186" s="196" t="n">
        <f aca="false">VLOOKUP($IV$1,'Datos Iniciales'!$E$34:$O$64,JB$158,FALSE())*JB88</f>
        <v>0</v>
      </c>
      <c r="JC186" s="196" t="n">
        <f aca="false">VLOOKUP($IV$1,'Datos Iniciales'!$E$34:$O$64,JC$158,FALSE())*JC88</f>
        <v>0</v>
      </c>
      <c r="JD186" s="196" t="n">
        <f aca="false">VLOOKUP($IV$1,'Datos Iniciales'!$E$34:$O$64,JD$158,FALSE())*JD88</f>
        <v>0</v>
      </c>
      <c r="JE186" s="196" t="n">
        <f aca="false">VLOOKUP($IV$1,'Datos Iniciales'!$E$34:$O$64,JE$158,FALSE())*JE88</f>
        <v>0</v>
      </c>
      <c r="JF186" s="197" t="n">
        <f aca="false">VLOOKUP($IV$1,'Datos Iniciales'!$E$34:$O$64,JF$158,FALSE())*JF88</f>
        <v>0</v>
      </c>
      <c r="JG186" s="194" t="str">
        <f aca="false">IV186</f>
        <v>Alumno27</v>
      </c>
      <c r="JH186" s="208" t="n">
        <f aca="false">VLOOKUP($JG$1,'Datos Iniciales'!$E$34:$O$64,JH$158,FALSE())*JH88</f>
        <v>0</v>
      </c>
      <c r="JI186" s="196" t="n">
        <f aca="false">VLOOKUP($JG$1,'Datos Iniciales'!$E$34:$O$64,JI$158,FALSE())*JI88</f>
        <v>0</v>
      </c>
      <c r="JJ186" s="196" t="n">
        <f aca="false">VLOOKUP($JG$1,'Datos Iniciales'!$E$34:$O$64,JJ$158,FALSE())*JJ88</f>
        <v>0</v>
      </c>
      <c r="JK186" s="196" t="n">
        <f aca="false">VLOOKUP($JG$1,'Datos Iniciales'!$E$34:$O$64,JK$158,FALSE())*JK88</f>
        <v>0</v>
      </c>
      <c r="JL186" s="196" t="n">
        <f aca="false">VLOOKUP($JG$1,'Datos Iniciales'!$E$34:$O$64,JL$158,FALSE())*JL88</f>
        <v>0</v>
      </c>
      <c r="JM186" s="196" t="n">
        <f aca="false">VLOOKUP($JG$1,'Datos Iniciales'!$E$34:$O$64,JM$158,FALSE())*JM88</f>
        <v>0</v>
      </c>
      <c r="JN186" s="196" t="n">
        <f aca="false">VLOOKUP($JG$1,'Datos Iniciales'!$E$34:$O$64,JN$158,FALSE())*JN88</f>
        <v>0</v>
      </c>
      <c r="JO186" s="196" t="n">
        <f aca="false">VLOOKUP($JG$1,'Datos Iniciales'!$E$34:$O$64,JO$158,FALSE())*JO88</f>
        <v>0</v>
      </c>
      <c r="JP186" s="196" t="n">
        <f aca="false">VLOOKUP($JG$1,'Datos Iniciales'!$E$34:$O$64,JP$158,FALSE())*JP88</f>
        <v>0</v>
      </c>
      <c r="JQ186" s="197" t="n">
        <f aca="false">VLOOKUP($JG$1,'Datos Iniciales'!$E$34:$O$64,JQ$158,FALSE())*JQ88</f>
        <v>0</v>
      </c>
      <c r="JR186" s="194" t="str">
        <f aca="false">JG186</f>
        <v>Alumno27</v>
      </c>
      <c r="JS186" s="208" t="n">
        <f aca="false">VLOOKUP($JR$1,'Datos Iniciales'!$E$34:$O$64,JS$158,FALSE())*JS88</f>
        <v>0</v>
      </c>
      <c r="JT186" s="196" t="n">
        <f aca="false">VLOOKUP($JR$1,'Datos Iniciales'!$E$34:$O$64,JT$158,FALSE())*JT88</f>
        <v>0</v>
      </c>
      <c r="JU186" s="196" t="n">
        <f aca="false">VLOOKUP($JR$1,'Datos Iniciales'!$E$34:$O$64,JU$158,FALSE())*JU88</f>
        <v>0</v>
      </c>
      <c r="JV186" s="196" t="n">
        <f aca="false">VLOOKUP($JR$1,'Datos Iniciales'!$E$34:$O$64,JV$158,FALSE())*JV88</f>
        <v>0</v>
      </c>
      <c r="JW186" s="196" t="n">
        <f aca="false">VLOOKUP($JR$1,'Datos Iniciales'!$E$34:$O$64,JW$158,FALSE())*JW88</f>
        <v>0</v>
      </c>
      <c r="JX186" s="196" t="n">
        <f aca="false">VLOOKUP($JR$1,'Datos Iniciales'!$E$34:$O$64,JX$158,FALSE())*JX88</f>
        <v>0</v>
      </c>
      <c r="JY186" s="196" t="n">
        <f aca="false">VLOOKUP($JR$1,'Datos Iniciales'!$E$34:$O$64,JY$158,FALSE())*JY88</f>
        <v>0</v>
      </c>
      <c r="JZ186" s="196" t="n">
        <f aca="false">VLOOKUP($JR$1,'Datos Iniciales'!$E$34:$O$64,JZ$158,FALSE())*JZ88</f>
        <v>0</v>
      </c>
      <c r="KA186" s="196" t="n">
        <f aca="false">VLOOKUP($JR$1,'Datos Iniciales'!$E$34:$O$64,KA$158,FALSE())*KA88</f>
        <v>0</v>
      </c>
      <c r="KB186" s="197" t="n">
        <f aca="false">VLOOKUP($JR$1,'Datos Iniciales'!$E$34:$O$64,KB$158,FALSE())*KB88</f>
        <v>0</v>
      </c>
      <c r="KC186" s="194" t="str">
        <f aca="false">JR186</f>
        <v>Alumno27</v>
      </c>
      <c r="KD186" s="208" t="n">
        <f aca="false">VLOOKUP($KC$1,'Datos Iniciales'!$E$34:$O$64,KD$158,FALSE())*KD88</f>
        <v>0</v>
      </c>
      <c r="KE186" s="196" t="n">
        <f aca="false">VLOOKUP($KC$1,'Datos Iniciales'!$E$34:$O$64,KE$158,FALSE())*KE88</f>
        <v>0</v>
      </c>
      <c r="KF186" s="196" t="n">
        <f aca="false">VLOOKUP($KC$1,'Datos Iniciales'!$E$34:$O$64,KF$158,FALSE())*KF88</f>
        <v>0</v>
      </c>
      <c r="KG186" s="196" t="n">
        <f aca="false">VLOOKUP($KC$1,'Datos Iniciales'!$E$34:$O$64,KG$158,FALSE())*KG88</f>
        <v>0</v>
      </c>
      <c r="KH186" s="196" t="n">
        <f aca="false">VLOOKUP($KC$1,'Datos Iniciales'!$E$34:$O$64,KH$158,FALSE())*KH88</f>
        <v>0</v>
      </c>
      <c r="KI186" s="196" t="n">
        <f aca="false">VLOOKUP($KC$1,'Datos Iniciales'!$E$34:$O$64,KI$158,FALSE())*KI88</f>
        <v>0</v>
      </c>
      <c r="KJ186" s="196" t="n">
        <f aca="false">VLOOKUP($KC$1,'Datos Iniciales'!$E$34:$O$64,KJ$158,FALSE())*KJ88</f>
        <v>0</v>
      </c>
      <c r="KK186" s="196" t="n">
        <f aca="false">VLOOKUP($KC$1,'Datos Iniciales'!$E$34:$O$64,KK$158,FALSE())*KK88</f>
        <v>0</v>
      </c>
      <c r="KL186" s="196" t="n">
        <f aca="false">VLOOKUP($KC$1,'Datos Iniciales'!$E$34:$O$64,KL$158,FALSE())*KL88</f>
        <v>0</v>
      </c>
      <c r="KM186" s="197" t="n">
        <f aca="false">VLOOKUP($KC$1,'Datos Iniciales'!$E$34:$O$64,KM$158,FALSE())*KM88</f>
        <v>0</v>
      </c>
      <c r="KN186" s="194" t="str">
        <f aca="false">KC186</f>
        <v>Alumno27</v>
      </c>
      <c r="KO186" s="208" t="n">
        <f aca="false">VLOOKUP($KN$1,'Datos Iniciales'!$E$34:$O$64,KO$158,FALSE())*KO88</f>
        <v>0</v>
      </c>
      <c r="KP186" s="196" t="n">
        <f aca="false">VLOOKUP($KN$1,'Datos Iniciales'!$E$34:$O$64,KP$158,FALSE())*KP88</f>
        <v>0</v>
      </c>
      <c r="KQ186" s="196" t="n">
        <f aca="false">VLOOKUP($KN$1,'Datos Iniciales'!$E$34:$O$64,KQ$158,FALSE())*KQ88</f>
        <v>0</v>
      </c>
      <c r="KR186" s="196" t="n">
        <f aca="false">VLOOKUP($KN$1,'Datos Iniciales'!$E$34:$O$64,KR$158,FALSE())*KR88</f>
        <v>0</v>
      </c>
      <c r="KS186" s="196" t="n">
        <f aca="false">VLOOKUP($KN$1,'Datos Iniciales'!$E$34:$O$64,KS$158,FALSE())*KS88</f>
        <v>0</v>
      </c>
      <c r="KT186" s="196" t="n">
        <f aca="false">VLOOKUP($KN$1,'Datos Iniciales'!$E$34:$O$64,KT$158,FALSE())*KT88</f>
        <v>0</v>
      </c>
      <c r="KU186" s="196" t="n">
        <f aca="false">VLOOKUP($KN$1,'Datos Iniciales'!$E$34:$O$64,KU$158,FALSE())*KU88</f>
        <v>0</v>
      </c>
      <c r="KV186" s="196" t="n">
        <f aca="false">VLOOKUP($KN$1,'Datos Iniciales'!$E$34:$O$64,KV$158,FALSE())*KV88</f>
        <v>0</v>
      </c>
      <c r="KW186" s="196" t="n">
        <f aca="false">VLOOKUP($KN$1,'Datos Iniciales'!$E$34:$O$64,KW$158,FALSE())*KW88</f>
        <v>0</v>
      </c>
      <c r="KX186" s="197" t="n">
        <f aca="false">VLOOKUP($KN$1,'Datos Iniciales'!$E$34:$O$64,KX$158,FALSE())*KX88</f>
        <v>0</v>
      </c>
      <c r="KY186" s="194" t="str">
        <f aca="false">KN186</f>
        <v>Alumno27</v>
      </c>
      <c r="KZ186" s="208" t="n">
        <f aca="false">VLOOKUP($KY$1,'Datos Iniciales'!$E$34:$O$64,KZ$158,FALSE())*KZ88</f>
        <v>0</v>
      </c>
      <c r="LA186" s="196" t="n">
        <f aca="false">VLOOKUP($KY$1,'Datos Iniciales'!$E$34:$O$64,LA$158,FALSE())*LA88</f>
        <v>0</v>
      </c>
      <c r="LB186" s="196" t="n">
        <f aca="false">VLOOKUP($KY$1,'Datos Iniciales'!$E$34:$O$64,LB$158,FALSE())*LB88</f>
        <v>0</v>
      </c>
      <c r="LC186" s="196" t="n">
        <f aca="false">VLOOKUP($KY$1,'Datos Iniciales'!$E$34:$O$64,LC$158,FALSE())*LC88</f>
        <v>0</v>
      </c>
      <c r="LD186" s="196" t="n">
        <f aca="false">VLOOKUP($KY$1,'Datos Iniciales'!$E$34:$O$64,LD$158,FALSE())*LD88</f>
        <v>0</v>
      </c>
      <c r="LE186" s="196" t="n">
        <f aca="false">VLOOKUP($KY$1,'Datos Iniciales'!$E$34:$O$64,LE$158,FALSE())*LE88</f>
        <v>0</v>
      </c>
      <c r="LF186" s="196" t="n">
        <f aca="false">VLOOKUP($KY$1,'Datos Iniciales'!$E$34:$O$64,LF$158,FALSE())*LF88</f>
        <v>0</v>
      </c>
      <c r="LG186" s="196" t="n">
        <f aca="false">VLOOKUP($KY$1,'Datos Iniciales'!$E$34:$O$64,LG$158,FALSE())*LG88</f>
        <v>0</v>
      </c>
      <c r="LH186" s="196" t="n">
        <f aca="false">VLOOKUP($KY$1,'Datos Iniciales'!$E$34:$O$64,LH$158,FALSE())*LH88</f>
        <v>0</v>
      </c>
      <c r="LI186" s="197" t="n">
        <f aca="false">VLOOKUP($KY$1,'Datos Iniciales'!$E$34:$O$64,LI$158,FALSE())*LI88</f>
        <v>0</v>
      </c>
      <c r="LJ186" s="194" t="str">
        <f aca="false">KY186</f>
        <v>Alumno27</v>
      </c>
      <c r="LK186" s="208" t="n">
        <f aca="false">VLOOKUP($LJ$1,'Datos Iniciales'!$E$34:$O$64,LK$158,FALSE())*LK88</f>
        <v>0</v>
      </c>
      <c r="LL186" s="196" t="n">
        <f aca="false">VLOOKUP($LJ$1,'Datos Iniciales'!$E$34:$O$64,LL$158,FALSE())*LL88</f>
        <v>0</v>
      </c>
      <c r="LM186" s="196" t="n">
        <f aca="false">VLOOKUP($LJ$1,'Datos Iniciales'!$E$34:$O$64,LM$158,FALSE())*LM88</f>
        <v>0</v>
      </c>
      <c r="LN186" s="196" t="n">
        <f aca="false">VLOOKUP($LJ$1,'Datos Iniciales'!$E$34:$O$64,LN$158,FALSE())*LN88</f>
        <v>0</v>
      </c>
      <c r="LO186" s="196" t="n">
        <f aca="false">VLOOKUP($LJ$1,'Datos Iniciales'!$E$34:$O$64,LO$158,FALSE())*LO88</f>
        <v>0</v>
      </c>
      <c r="LP186" s="196" t="n">
        <f aca="false">VLOOKUP($LJ$1,'Datos Iniciales'!$E$34:$O$64,LP$158,FALSE())*LP88</f>
        <v>0</v>
      </c>
      <c r="LQ186" s="196" t="n">
        <f aca="false">VLOOKUP($LJ$1,'Datos Iniciales'!$E$34:$O$64,LQ$158,FALSE())*LQ88</f>
        <v>0</v>
      </c>
      <c r="LR186" s="196" t="n">
        <f aca="false">VLOOKUP($LJ$1,'Datos Iniciales'!$E$34:$O$64,LR$158,FALSE())*LR88</f>
        <v>0</v>
      </c>
      <c r="LS186" s="196" t="n">
        <f aca="false">VLOOKUP($LJ$1,'Datos Iniciales'!$E$34:$O$64,LS$158,FALSE())*LS88</f>
        <v>0</v>
      </c>
      <c r="LT186" s="197" t="n">
        <f aca="false">VLOOKUP($LJ$1,'Datos Iniciales'!$E$34:$O$64,LT$158,FALSE())*LT88</f>
        <v>0</v>
      </c>
    </row>
    <row r="187" customFormat="false" ht="15" hidden="true" customHeight="false" outlineLevel="0" collapsed="false">
      <c r="C187" s="194" t="str">
        <f aca="false">C138</f>
        <v>Alumno28</v>
      </c>
      <c r="D187" s="208" t="n">
        <f aca="false">VLOOKUP($C$1,'Datos Iniciales'!$E$34:$O$64,D$158,FALSE())*D89</f>
        <v>1.25</v>
      </c>
      <c r="E187" s="196" t="n">
        <f aca="false">VLOOKUP($C$1,'Datos Iniciales'!$E$34:$O$64,E$158,FALSE())*E89</f>
        <v>0</v>
      </c>
      <c r="F187" s="196" t="n">
        <f aca="false">VLOOKUP($C$1,'Datos Iniciales'!$E$34:$O$64,F$158,FALSE())*F89</f>
        <v>0</v>
      </c>
      <c r="G187" s="196" t="n">
        <f aca="false">VLOOKUP($C$1,'Datos Iniciales'!$E$34:$O$64,G$158,FALSE())*G89</f>
        <v>0</v>
      </c>
      <c r="H187" s="196" t="n">
        <f aca="false">VLOOKUP($C$1,'Datos Iniciales'!$E$34:$O$64,H$158,FALSE())*H89</f>
        <v>0</v>
      </c>
      <c r="I187" s="196" t="n">
        <f aca="false">VLOOKUP($C$1,'Datos Iniciales'!$E$34:$O$64,I$158,FALSE())*I89</f>
        <v>0</v>
      </c>
      <c r="J187" s="196" t="n">
        <f aca="false">VLOOKUP($C$1,'Datos Iniciales'!$E$34:$O$64,J$158,FALSE())*J89</f>
        <v>0</v>
      </c>
      <c r="K187" s="196" t="n">
        <f aca="false">VLOOKUP($C$1,'Datos Iniciales'!$E$34:$O$64,K$158,FALSE())*K89</f>
        <v>0</v>
      </c>
      <c r="L187" s="196" t="n">
        <f aca="false">VLOOKUP($C$1,'Datos Iniciales'!$E$34:$O$64,L$158,FALSE())*L89</f>
        <v>0</v>
      </c>
      <c r="M187" s="197" t="n">
        <f aca="false">VLOOKUP($C$1,'Datos Iniciales'!$E$34:$O$64,M$158,FALSE())*M89</f>
        <v>0</v>
      </c>
      <c r="N187" s="194" t="str">
        <f aca="false">C187</f>
        <v>Alumno28</v>
      </c>
      <c r="O187" s="208" t="n">
        <f aca="false">VLOOKUP($N$1,'Datos Iniciales'!$E$34:$O$64,O$158,FALSE())*O89</f>
        <v>1</v>
      </c>
      <c r="P187" s="196" t="n">
        <f aca="false">VLOOKUP($N$1,'Datos Iniciales'!$E$34:$O$64,P$158,FALSE())*P89</f>
        <v>1</v>
      </c>
      <c r="Q187" s="196" t="n">
        <f aca="false">VLOOKUP($N$1,'Datos Iniciales'!$E$34:$O$64,Q$158,FALSE())*Q89</f>
        <v>0</v>
      </c>
      <c r="R187" s="196" t="n">
        <f aca="false">VLOOKUP($N$1,'Datos Iniciales'!$E$34:$O$64,R$158,FALSE())*R89</f>
        <v>0</v>
      </c>
      <c r="S187" s="196" t="n">
        <f aca="false">VLOOKUP($N$1,'Datos Iniciales'!$E$34:$O$64,S$158,FALSE())*S89</f>
        <v>0</v>
      </c>
      <c r="T187" s="196" t="n">
        <f aca="false">VLOOKUP($N$1,'Datos Iniciales'!$E$34:$O$64,T$158,FALSE())*T89</f>
        <v>0</v>
      </c>
      <c r="U187" s="196" t="n">
        <f aca="false">VLOOKUP($N$1,'Datos Iniciales'!$E$34:$O$64,U$158,FALSE())*U89</f>
        <v>0</v>
      </c>
      <c r="V187" s="196" t="n">
        <f aca="false">VLOOKUP($N$1,'Datos Iniciales'!$E$34:$O$64,V$158,FALSE())*V89</f>
        <v>0</v>
      </c>
      <c r="W187" s="196" t="n">
        <f aca="false">VLOOKUP($N$1,'Datos Iniciales'!$E$34:$O$64,W$158,FALSE())*W89</f>
        <v>0</v>
      </c>
      <c r="X187" s="197" t="n">
        <f aca="false">VLOOKUP($N$1,'Datos Iniciales'!$E$34:$O$64,X$158,FALSE())*X89</f>
        <v>0</v>
      </c>
      <c r="Y187" s="194" t="str">
        <f aca="false">N187</f>
        <v>Alumno28</v>
      </c>
      <c r="Z187" s="208" t="n">
        <f aca="false">VLOOKUP($Y$1,'Datos Iniciales'!$E$34:$O$64,Z$158,FALSE())*Z89</f>
        <v>2.7</v>
      </c>
      <c r="AA187" s="196" t="n">
        <f aca="false">VLOOKUP($Y$1,'Datos Iniciales'!$E$34:$O$64,AA$158,FALSE())*AA89</f>
        <v>1.8</v>
      </c>
      <c r="AB187" s="196" t="n">
        <f aca="false">VLOOKUP($Y$1,'Datos Iniciales'!$E$34:$O$64,AB$158,FALSE())*AB89</f>
        <v>0.9</v>
      </c>
      <c r="AC187" s="196" t="n">
        <f aca="false">VLOOKUP($Y$1,'Datos Iniciales'!$E$34:$O$64,AC$158,FALSE())*AC89</f>
        <v>0</v>
      </c>
      <c r="AD187" s="196" t="n">
        <f aca="false">VLOOKUP($Y$1,'Datos Iniciales'!$E$34:$O$64,AD$158,FALSE())*AD89</f>
        <v>0</v>
      </c>
      <c r="AE187" s="196" t="n">
        <f aca="false">VLOOKUP($Y$1,'Datos Iniciales'!$E$34:$O$64,AE$158,FALSE())*AE89</f>
        <v>0</v>
      </c>
      <c r="AF187" s="196" t="n">
        <f aca="false">VLOOKUP($Y$1,'Datos Iniciales'!$E$34:$O$64,AF$158,FALSE())*AF89</f>
        <v>0</v>
      </c>
      <c r="AG187" s="196" t="n">
        <f aca="false">VLOOKUP($Y$1,'Datos Iniciales'!$E$34:$O$64,AG$158,FALSE())*AG89</f>
        <v>0</v>
      </c>
      <c r="AH187" s="196" t="n">
        <f aca="false">VLOOKUP($Y$1,'Datos Iniciales'!$E$34:$O$64,AH$158,FALSE())*AH89</f>
        <v>0</v>
      </c>
      <c r="AI187" s="197" t="n">
        <f aca="false">VLOOKUP($Y$1,'Datos Iniciales'!$E$34:$O$64,AI$158,FALSE())*AI89</f>
        <v>0</v>
      </c>
      <c r="AJ187" s="194" t="str">
        <f aca="false">Y187</f>
        <v>Alumno28</v>
      </c>
      <c r="AK187" s="208" t="n">
        <f aca="false">VLOOKUP($AJ$1,'Datos Iniciales'!$E$34:$O$64,AK$158,FALSE())*AK89</f>
        <v>0.9</v>
      </c>
      <c r="AL187" s="196" t="n">
        <f aca="false">VLOOKUP($AJ$1,'Datos Iniciales'!$E$34:$O$64,AL$158,FALSE())*AL89</f>
        <v>2.7</v>
      </c>
      <c r="AM187" s="196" t="n">
        <f aca="false">VLOOKUP($AJ$1,'Datos Iniciales'!$E$34:$O$64,AM$158,FALSE())*AM89</f>
        <v>3.15</v>
      </c>
      <c r="AN187" s="196" t="n">
        <f aca="false">VLOOKUP($AJ$1,'Datos Iniciales'!$E$34:$O$64,AN$158,FALSE())*AN89</f>
        <v>0</v>
      </c>
      <c r="AO187" s="196" t="n">
        <f aca="false">VLOOKUP($AJ$1,'Datos Iniciales'!$E$34:$O$64,AO$158,FALSE())*AO89</f>
        <v>0</v>
      </c>
      <c r="AP187" s="196" t="n">
        <f aca="false">VLOOKUP($AJ$1,'Datos Iniciales'!$E$34:$O$64,AP$158,FALSE())*AP89</f>
        <v>0</v>
      </c>
      <c r="AQ187" s="196" t="n">
        <f aca="false">VLOOKUP($AJ$1,'Datos Iniciales'!$E$34:$O$64,AQ$158,FALSE())*AQ89</f>
        <v>0</v>
      </c>
      <c r="AR187" s="196" t="n">
        <f aca="false">VLOOKUP($AJ$1,'Datos Iniciales'!$E$34:$O$64,AR$158,FALSE())*AR89</f>
        <v>0</v>
      </c>
      <c r="AS187" s="196" t="n">
        <f aca="false">VLOOKUP($AJ$1,'Datos Iniciales'!$E$34:$O$64,AS$158,FALSE())*AS89</f>
        <v>0</v>
      </c>
      <c r="AT187" s="197" t="n">
        <f aca="false">VLOOKUP($AJ$1,'Datos Iniciales'!$E$34:$O$64,AT$158,FALSE())*AT89</f>
        <v>0</v>
      </c>
      <c r="AU187" s="194" t="str">
        <f aca="false">AJ187</f>
        <v>Alumno28</v>
      </c>
      <c r="AV187" s="208" t="n">
        <f aca="false">VLOOKUP($AU$1,'Datos Iniciales'!$E$34:$O$64,AV$158,FALSE())*AV89</f>
        <v>0.25</v>
      </c>
      <c r="AW187" s="196" t="n">
        <f aca="false">VLOOKUP($AU$1,'Datos Iniciales'!$E$34:$O$64,AW$158,FALSE())*AW89</f>
        <v>0.5</v>
      </c>
      <c r="AX187" s="196" t="n">
        <f aca="false">VLOOKUP($AU$1,'Datos Iniciales'!$E$34:$O$64,AX$158,FALSE())*AX89</f>
        <v>1.5</v>
      </c>
      <c r="AY187" s="196" t="n">
        <f aca="false">VLOOKUP($AU$1,'Datos Iniciales'!$E$34:$O$64,AY$158,FALSE())*AY89</f>
        <v>0.5</v>
      </c>
      <c r="AZ187" s="196" t="n">
        <f aca="false">VLOOKUP($AU$1,'Datos Iniciales'!$E$34:$O$64,AZ$158,FALSE())*AZ89</f>
        <v>0</v>
      </c>
      <c r="BA187" s="196" t="n">
        <f aca="false">VLOOKUP($AU$1,'Datos Iniciales'!$E$34:$O$64,BA$158,FALSE())*BA89</f>
        <v>0</v>
      </c>
      <c r="BB187" s="196" t="n">
        <f aca="false">VLOOKUP($AU$1,'Datos Iniciales'!$E$34:$O$64,BB$158,FALSE())*BB89</f>
        <v>0</v>
      </c>
      <c r="BC187" s="196" t="n">
        <f aca="false">VLOOKUP($AU$1,'Datos Iniciales'!$E$34:$O$64,BC$158,FALSE())*BC89</f>
        <v>0</v>
      </c>
      <c r="BD187" s="196" t="n">
        <f aca="false">VLOOKUP($AU$1,'Datos Iniciales'!$E$34:$O$64,BD$158,FALSE())*BD89</f>
        <v>0</v>
      </c>
      <c r="BE187" s="197" t="n">
        <f aca="false">VLOOKUP($AU$1,'Datos Iniciales'!$E$34:$O$64,BE$158,FALSE())*BE89</f>
        <v>0</v>
      </c>
      <c r="BF187" s="194" t="str">
        <f aca="false">AU187</f>
        <v>Alumno28</v>
      </c>
      <c r="BG187" s="208" t="n">
        <f aca="false">VLOOKUP($BF$1,'Datos Iniciales'!$E$34:$O$64,BG$158,FALSE())*BG89</f>
        <v>0.5</v>
      </c>
      <c r="BH187" s="196" t="n">
        <f aca="false">VLOOKUP($BF$1,'Datos Iniciales'!$E$34:$O$64,BH$158,FALSE())*BH89</f>
        <v>0.75</v>
      </c>
      <c r="BI187" s="196" t="n">
        <f aca="false">VLOOKUP($BF$1,'Datos Iniciales'!$E$34:$O$64,BI$158,FALSE())*BI89</f>
        <v>0.5</v>
      </c>
      <c r="BJ187" s="196" t="n">
        <f aca="false">VLOOKUP($BF$1,'Datos Iniciales'!$E$34:$O$64,BJ$158,FALSE())*BJ89</f>
        <v>2</v>
      </c>
      <c r="BK187" s="196" t="n">
        <f aca="false">VLOOKUP($BF$1,'Datos Iniciales'!$E$34:$O$64,BK$158,FALSE())*BK89</f>
        <v>0</v>
      </c>
      <c r="BL187" s="196" t="n">
        <f aca="false">VLOOKUP($BF$1,'Datos Iniciales'!$E$34:$O$64,BL$158,FALSE())*BL89</f>
        <v>0</v>
      </c>
      <c r="BM187" s="196" t="n">
        <f aca="false">VLOOKUP($BF$1,'Datos Iniciales'!$E$34:$O$64,BM$158,FALSE())*BM89</f>
        <v>0</v>
      </c>
      <c r="BN187" s="196" t="n">
        <f aca="false">VLOOKUP($BF$1,'Datos Iniciales'!$E$34:$O$64,BN$158,FALSE())*BN89</f>
        <v>0</v>
      </c>
      <c r="BO187" s="196" t="n">
        <f aca="false">VLOOKUP($BF$1,'Datos Iniciales'!$E$34:$O$64,BO$158,FALSE())*BO89</f>
        <v>0</v>
      </c>
      <c r="BP187" s="197" t="n">
        <f aca="false">VLOOKUP($BF$1,'Datos Iniciales'!$E$34:$O$64,BP$158,FALSE())*BP89</f>
        <v>0</v>
      </c>
      <c r="BQ187" s="194" t="str">
        <f aca="false">BF187</f>
        <v>Alumno28</v>
      </c>
      <c r="BR187" s="208" t="n">
        <f aca="false">VLOOKUP($BQ$1,'Datos Iniciales'!$E$34:$O$64,BR$158,FALSE())*BR89</f>
        <v>0</v>
      </c>
      <c r="BS187" s="196" t="n">
        <f aca="false">VLOOKUP($BQ$1,'Datos Iniciales'!$E$34:$O$64,BS$158,FALSE())*BS89</f>
        <v>0.4</v>
      </c>
      <c r="BT187" s="196" t="n">
        <f aca="false">VLOOKUP($BQ$1,'Datos Iniciales'!$E$34:$O$64,BT$158,FALSE())*BT89</f>
        <v>0.95</v>
      </c>
      <c r="BU187" s="196" t="n">
        <f aca="false">VLOOKUP($BQ$1,'Datos Iniciales'!$E$34:$O$64,BU$158,FALSE())*BU89</f>
        <v>3.5</v>
      </c>
      <c r="BV187" s="196" t="n">
        <f aca="false">VLOOKUP($BQ$1,'Datos Iniciales'!$E$34:$O$64,BV$158,FALSE())*BV89</f>
        <v>0</v>
      </c>
      <c r="BW187" s="196" t="n">
        <f aca="false">VLOOKUP($BQ$1,'Datos Iniciales'!$E$34:$O$64,BW$158,FALSE())*BW89</f>
        <v>0</v>
      </c>
      <c r="BX187" s="196" t="n">
        <f aca="false">VLOOKUP($BQ$1,'Datos Iniciales'!$E$34:$O$64,BX$158,FALSE())*BX89</f>
        <v>0</v>
      </c>
      <c r="BY187" s="196" t="n">
        <f aca="false">VLOOKUP($BQ$1,'Datos Iniciales'!$E$34:$O$64,BY$158,FALSE())*BY89</f>
        <v>0</v>
      </c>
      <c r="BZ187" s="196" t="n">
        <f aca="false">VLOOKUP($BQ$1,'Datos Iniciales'!$E$34:$O$64,BZ$158,FALSE())*BZ89</f>
        <v>0</v>
      </c>
      <c r="CA187" s="197" t="n">
        <f aca="false">VLOOKUP($BQ$1,'Datos Iniciales'!$E$34:$O$64,CA$158,FALSE())*CA89</f>
        <v>0</v>
      </c>
      <c r="CB187" s="194" t="str">
        <f aca="false">BQ187</f>
        <v>Alumno28</v>
      </c>
      <c r="CC187" s="208" t="n">
        <f aca="false">VLOOKUP($CB$1,'Datos Iniciales'!$E$34:$O$64,CC$158,FALSE())*CC89</f>
        <v>0</v>
      </c>
      <c r="CD187" s="196" t="n">
        <f aca="false">VLOOKUP($CB$1,'Datos Iniciales'!$E$34:$O$64,CD$158,FALSE())*CD89</f>
        <v>0</v>
      </c>
      <c r="CE187" s="196" t="n">
        <f aca="false">VLOOKUP($CB$1,'Datos Iniciales'!$E$34:$O$64,CE$158,FALSE())*CE89</f>
        <v>0</v>
      </c>
      <c r="CF187" s="196" t="n">
        <f aca="false">VLOOKUP($CB$1,'Datos Iniciales'!$E$34:$O$64,CF$158,FALSE())*CF89</f>
        <v>0</v>
      </c>
      <c r="CG187" s="196" t="n">
        <f aca="false">VLOOKUP($CB$1,'Datos Iniciales'!$E$34:$O$64,CG$158,FALSE())*CG89</f>
        <v>0</v>
      </c>
      <c r="CH187" s="196" t="n">
        <f aca="false">VLOOKUP($CB$1,'Datos Iniciales'!$E$34:$O$64,CH$158,FALSE())*CH89</f>
        <v>0</v>
      </c>
      <c r="CI187" s="196" t="n">
        <f aca="false">VLOOKUP($CB$1,'Datos Iniciales'!$E$34:$O$64,CI$158,FALSE())*CI89</f>
        <v>0</v>
      </c>
      <c r="CJ187" s="196" t="n">
        <f aca="false">VLOOKUP($CB$1,'Datos Iniciales'!$E$34:$O$64,CJ$158,FALSE())*CJ89</f>
        <v>0</v>
      </c>
      <c r="CK187" s="196" t="n">
        <f aca="false">VLOOKUP($CB$1,'Datos Iniciales'!$E$34:$O$64,CK$158,FALSE())*CK89</f>
        <v>0</v>
      </c>
      <c r="CL187" s="197" t="n">
        <f aca="false">VLOOKUP($CB$1,'Datos Iniciales'!$E$34:$O$64,CL$158,FALSE())*CL89</f>
        <v>0</v>
      </c>
      <c r="CM187" s="194" t="str">
        <f aca="false">CB187</f>
        <v>Alumno28</v>
      </c>
      <c r="CN187" s="208" t="n">
        <f aca="false">VLOOKUP($CM$1,'Datos Iniciales'!$E$34:$O$64,CN$158,FALSE())*CN89</f>
        <v>0</v>
      </c>
      <c r="CO187" s="196" t="n">
        <f aca="false">VLOOKUP($CM$1,'Datos Iniciales'!$E$34:$O$64,CO$158,FALSE())*CO89</f>
        <v>0</v>
      </c>
      <c r="CP187" s="196" t="n">
        <f aca="false">VLOOKUP($CM$1,'Datos Iniciales'!$E$34:$O$64,CP$158,FALSE())*CP89</f>
        <v>0</v>
      </c>
      <c r="CQ187" s="196" t="n">
        <f aca="false">VLOOKUP($CM$1,'Datos Iniciales'!$E$34:$O$64,CQ$158,FALSE())*CQ89</f>
        <v>0</v>
      </c>
      <c r="CR187" s="196" t="n">
        <f aca="false">VLOOKUP($CM$1,'Datos Iniciales'!$E$34:$O$64,CR$158,FALSE())*CR89</f>
        <v>0</v>
      </c>
      <c r="CS187" s="196" t="n">
        <f aca="false">VLOOKUP($CM$1,'Datos Iniciales'!$E$34:$O$64,CS$158,FALSE())*CS89</f>
        <v>0</v>
      </c>
      <c r="CT187" s="196" t="n">
        <f aca="false">VLOOKUP($CM$1,'Datos Iniciales'!$E$34:$O$64,CT$158,FALSE())*CT89</f>
        <v>0</v>
      </c>
      <c r="CU187" s="196" t="n">
        <f aca="false">VLOOKUP($CM$1,'Datos Iniciales'!$E$34:$O$64,CU$158,FALSE())*CU89</f>
        <v>0</v>
      </c>
      <c r="CV187" s="196" t="n">
        <f aca="false">VLOOKUP($CM$1,'Datos Iniciales'!$E$34:$O$64,CV$158,FALSE())*CV89</f>
        <v>0</v>
      </c>
      <c r="CW187" s="197" t="n">
        <f aca="false">VLOOKUP($CM$1,'Datos Iniciales'!$E$34:$O$64,CW$158,FALSE())*CW89</f>
        <v>0</v>
      </c>
      <c r="CX187" s="194" t="str">
        <f aca="false">CM187</f>
        <v>Alumno28</v>
      </c>
      <c r="CY187" s="208" t="n">
        <f aca="false">VLOOKUP($CX$1,'Datos Iniciales'!$E$34:$O$64,CY$158,FALSE())*CY89</f>
        <v>0</v>
      </c>
      <c r="CZ187" s="196" t="n">
        <f aca="false">VLOOKUP($CX$1,'Datos Iniciales'!$E$34:$O$64,CZ$158,FALSE())*CZ89</f>
        <v>0</v>
      </c>
      <c r="DA187" s="196" t="n">
        <f aca="false">VLOOKUP($CX$1,'Datos Iniciales'!$E$34:$O$64,DA$158,FALSE())*DA89</f>
        <v>0</v>
      </c>
      <c r="DB187" s="196" t="n">
        <f aca="false">VLOOKUP($CX$1,'Datos Iniciales'!$E$34:$O$64,DB$158,FALSE())*DB89</f>
        <v>0</v>
      </c>
      <c r="DC187" s="196" t="n">
        <f aca="false">VLOOKUP($CX$1,'Datos Iniciales'!$E$34:$O$64,DC$158,FALSE())*DC89</f>
        <v>0</v>
      </c>
      <c r="DD187" s="196" t="n">
        <f aca="false">VLOOKUP($CX$1,'Datos Iniciales'!$E$34:$O$64,DD$158,FALSE())*DD89</f>
        <v>0</v>
      </c>
      <c r="DE187" s="196" t="n">
        <f aca="false">VLOOKUP($CX$1,'Datos Iniciales'!$E$34:$O$64,DE$158,FALSE())*DE89</f>
        <v>0</v>
      </c>
      <c r="DF187" s="196" t="n">
        <f aca="false">VLOOKUP($CX$1,'Datos Iniciales'!$E$34:$O$64,DF$158,FALSE())*DF89</f>
        <v>0</v>
      </c>
      <c r="DG187" s="196" t="n">
        <f aca="false">VLOOKUP($CX$1,'Datos Iniciales'!$E$34:$O$64,DG$158,FALSE())*DG89</f>
        <v>0</v>
      </c>
      <c r="DH187" s="197" t="n">
        <f aca="false">VLOOKUP($CX$1,'Datos Iniciales'!$E$34:$O$64,DH$158,FALSE())*DH89</f>
        <v>0</v>
      </c>
      <c r="DI187" s="194" t="str">
        <f aca="false">CX187</f>
        <v>Alumno28</v>
      </c>
      <c r="DJ187" s="208" t="n">
        <f aca="false">VLOOKUP($DI$1,'Datos Iniciales'!$E$34:$O$64,DJ$158,FALSE())*DJ89</f>
        <v>0</v>
      </c>
      <c r="DK187" s="196" t="n">
        <f aca="false">VLOOKUP($DI$1,'Datos Iniciales'!$E$34:$O$64,DK$158,FALSE())*DK89</f>
        <v>0</v>
      </c>
      <c r="DL187" s="196" t="n">
        <f aca="false">VLOOKUP($DI$1,'Datos Iniciales'!$E$34:$O$64,DL$158,FALSE())*DL89</f>
        <v>0</v>
      </c>
      <c r="DM187" s="196" t="n">
        <f aca="false">VLOOKUP($DI$1,'Datos Iniciales'!$E$34:$O$64,DM$158,FALSE())*DM89</f>
        <v>0</v>
      </c>
      <c r="DN187" s="196" t="n">
        <f aca="false">VLOOKUP($DI$1,'Datos Iniciales'!$E$34:$O$64,DN$158,FALSE())*DN89</f>
        <v>0</v>
      </c>
      <c r="DO187" s="196" t="n">
        <f aca="false">VLOOKUP($DI$1,'Datos Iniciales'!$E$34:$O$64,DO$158,FALSE())*DO89</f>
        <v>0</v>
      </c>
      <c r="DP187" s="196" t="n">
        <f aca="false">VLOOKUP($DI$1,'Datos Iniciales'!$E$34:$O$64,DP$158,FALSE())*DP89</f>
        <v>0</v>
      </c>
      <c r="DQ187" s="196" t="n">
        <f aca="false">VLOOKUP($DI$1,'Datos Iniciales'!$E$34:$O$64,DQ$158,FALSE())*DQ89</f>
        <v>0</v>
      </c>
      <c r="DR187" s="196" t="n">
        <f aca="false">VLOOKUP($DI$1,'Datos Iniciales'!$E$34:$O$64,DR$158,FALSE())*DR89</f>
        <v>0</v>
      </c>
      <c r="DS187" s="197" t="n">
        <f aca="false">VLOOKUP($DI$1,'Datos Iniciales'!$E$34:$O$64,DS$158,FALSE())*DS89</f>
        <v>0</v>
      </c>
      <c r="DT187" s="194" t="str">
        <f aca="false">DI187</f>
        <v>Alumno28</v>
      </c>
      <c r="DU187" s="208" t="n">
        <f aca="false">VLOOKUP($DT$1,'Datos Iniciales'!$E$34:$O$64,DU$158,FALSE())*DU89</f>
        <v>0</v>
      </c>
      <c r="DV187" s="196" t="n">
        <f aca="false">VLOOKUP($DT$1,'Datos Iniciales'!$E$34:$O$64,DV$158,FALSE())*DV89</f>
        <v>0</v>
      </c>
      <c r="DW187" s="196" t="n">
        <f aca="false">VLOOKUP($DT$1,'Datos Iniciales'!$E$34:$O$64,DW$158,FALSE())*DW89</f>
        <v>0</v>
      </c>
      <c r="DX187" s="196" t="n">
        <f aca="false">VLOOKUP($DT$1,'Datos Iniciales'!$E$34:$O$64,DX$158,FALSE())*DX89</f>
        <v>0</v>
      </c>
      <c r="DY187" s="196" t="n">
        <f aca="false">VLOOKUP($DT$1,'Datos Iniciales'!$E$34:$O$64,DY$158,FALSE())*DY89</f>
        <v>0</v>
      </c>
      <c r="DZ187" s="196" t="n">
        <f aca="false">VLOOKUP($DT$1,'Datos Iniciales'!$E$34:$O$64,DZ$158,FALSE())*DZ89</f>
        <v>0</v>
      </c>
      <c r="EA187" s="196" t="n">
        <f aca="false">VLOOKUP($DT$1,'Datos Iniciales'!$E$34:$O$64,EA$158,FALSE())*EA89</f>
        <v>0</v>
      </c>
      <c r="EB187" s="196" t="n">
        <f aca="false">VLOOKUP($DT$1,'Datos Iniciales'!$E$34:$O$64,EB$158,FALSE())*EB89</f>
        <v>0</v>
      </c>
      <c r="EC187" s="196" t="n">
        <f aca="false">VLOOKUP($DT$1,'Datos Iniciales'!$E$34:$O$64,EC$158,FALSE())*EC89</f>
        <v>0</v>
      </c>
      <c r="ED187" s="197" t="n">
        <f aca="false">VLOOKUP($DT$1,'Datos Iniciales'!$E$34:$O$64,ED$158,FALSE())*ED89</f>
        <v>0</v>
      </c>
      <c r="EE187" s="194" t="str">
        <f aca="false">DT187</f>
        <v>Alumno28</v>
      </c>
      <c r="EF187" s="208" t="n">
        <f aca="false">VLOOKUP($EE$1,'Datos Iniciales'!$E$34:$O$64,EF$158,FALSE())*EF89</f>
        <v>0</v>
      </c>
      <c r="EG187" s="196" t="n">
        <f aca="false">VLOOKUP($EE$1,'Datos Iniciales'!$E$34:$O$64,EG$158,FALSE())*EG89</f>
        <v>0</v>
      </c>
      <c r="EH187" s="196" t="n">
        <f aca="false">VLOOKUP($EE$1,'Datos Iniciales'!$E$34:$O$64,EH$158,FALSE())*EH89</f>
        <v>0</v>
      </c>
      <c r="EI187" s="196" t="n">
        <f aca="false">VLOOKUP($EE$1,'Datos Iniciales'!$E$34:$O$64,EI$158,FALSE())*EI89</f>
        <v>0</v>
      </c>
      <c r="EJ187" s="196" t="n">
        <f aca="false">VLOOKUP($EE$1,'Datos Iniciales'!$E$34:$O$64,EJ$158,FALSE())*EJ89</f>
        <v>0</v>
      </c>
      <c r="EK187" s="196" t="n">
        <f aca="false">VLOOKUP($EE$1,'Datos Iniciales'!$E$34:$O$64,EK$158,FALSE())*EK89</f>
        <v>0</v>
      </c>
      <c r="EL187" s="196" t="n">
        <f aca="false">VLOOKUP($EE$1,'Datos Iniciales'!$E$34:$O$64,EL$158,FALSE())*EL89</f>
        <v>0</v>
      </c>
      <c r="EM187" s="196" t="n">
        <f aca="false">VLOOKUP($EE$1,'Datos Iniciales'!$E$34:$O$64,EM$158,FALSE())*EM89</f>
        <v>0</v>
      </c>
      <c r="EN187" s="196" t="n">
        <f aca="false">VLOOKUP($EE$1,'Datos Iniciales'!$E$34:$O$64,EN$158,FALSE())*EN89</f>
        <v>0</v>
      </c>
      <c r="EO187" s="197" t="n">
        <f aca="false">VLOOKUP($EE$1,'Datos Iniciales'!$E$34:$O$64,EO$158,FALSE())*EO89</f>
        <v>0</v>
      </c>
      <c r="EP187" s="194" t="str">
        <f aca="false">EE187</f>
        <v>Alumno28</v>
      </c>
      <c r="EQ187" s="208" t="n">
        <f aca="false">VLOOKUP($EP$1,'Datos Iniciales'!$E$34:$O$64,EQ$158,FALSE())*EQ89</f>
        <v>0</v>
      </c>
      <c r="ER187" s="196" t="n">
        <f aca="false">VLOOKUP($EP$1,'Datos Iniciales'!$E$34:$O$64,ER$158,FALSE())*ER89</f>
        <v>0</v>
      </c>
      <c r="ES187" s="196" t="n">
        <f aca="false">VLOOKUP($EP$1,'Datos Iniciales'!$E$34:$O$64,ES$158,FALSE())*ES89</f>
        <v>0</v>
      </c>
      <c r="ET187" s="196" t="n">
        <f aca="false">VLOOKUP($EP$1,'Datos Iniciales'!$E$34:$O$64,ET$158,FALSE())*ET89</f>
        <v>0</v>
      </c>
      <c r="EU187" s="196" t="n">
        <f aca="false">VLOOKUP($EP$1,'Datos Iniciales'!$E$34:$O$64,EU$158,FALSE())*EU89</f>
        <v>0</v>
      </c>
      <c r="EV187" s="196" t="n">
        <f aca="false">VLOOKUP($EP$1,'Datos Iniciales'!$E$34:$O$64,EV$158,FALSE())*EV89</f>
        <v>0</v>
      </c>
      <c r="EW187" s="196" t="n">
        <f aca="false">VLOOKUP($EP$1,'Datos Iniciales'!$E$34:$O$64,EW$158,FALSE())*EW89</f>
        <v>0</v>
      </c>
      <c r="EX187" s="196" t="n">
        <f aca="false">VLOOKUP($EP$1,'Datos Iniciales'!$E$34:$O$64,EX$158,FALSE())*EX89</f>
        <v>0</v>
      </c>
      <c r="EY187" s="196" t="n">
        <f aca="false">VLOOKUP($EP$1,'Datos Iniciales'!$E$34:$O$64,EY$158,FALSE())*EY89</f>
        <v>0</v>
      </c>
      <c r="EZ187" s="197" t="n">
        <f aca="false">VLOOKUP($EP$1,'Datos Iniciales'!$E$34:$O$64,EZ$158,FALSE())*EZ89</f>
        <v>0</v>
      </c>
      <c r="FA187" s="194" t="str">
        <f aca="false">EP187</f>
        <v>Alumno28</v>
      </c>
      <c r="FB187" s="208" t="n">
        <f aca="false">VLOOKUP($FA$1,'Datos Iniciales'!$E$34:$O$64,FB$158,FALSE())*FB89</f>
        <v>0</v>
      </c>
      <c r="FC187" s="196" t="n">
        <f aca="false">VLOOKUP($FA$1,'Datos Iniciales'!$E$34:$O$64,FC$158,FALSE())*FC89</f>
        <v>0</v>
      </c>
      <c r="FD187" s="196" t="n">
        <f aca="false">VLOOKUP($FA$1,'Datos Iniciales'!$E$34:$O$64,FD$158,FALSE())*FD89</f>
        <v>0</v>
      </c>
      <c r="FE187" s="196" t="n">
        <f aca="false">VLOOKUP($FA$1,'Datos Iniciales'!$E$34:$O$64,FE$158,FALSE())*FE89</f>
        <v>0</v>
      </c>
      <c r="FF187" s="196" t="n">
        <f aca="false">VLOOKUP($FA$1,'Datos Iniciales'!$E$34:$O$64,FF$158,FALSE())*FF89</f>
        <v>0</v>
      </c>
      <c r="FG187" s="196" t="n">
        <f aca="false">VLOOKUP($FA$1,'Datos Iniciales'!$E$34:$O$64,FG$158,FALSE())*FG89</f>
        <v>0</v>
      </c>
      <c r="FH187" s="196" t="n">
        <f aca="false">VLOOKUP($FA$1,'Datos Iniciales'!$E$34:$O$64,FH$158,FALSE())*FH89</f>
        <v>0</v>
      </c>
      <c r="FI187" s="196" t="n">
        <f aca="false">VLOOKUP($FA$1,'Datos Iniciales'!$E$34:$O$64,FI$158,FALSE())*FI89</f>
        <v>0</v>
      </c>
      <c r="FJ187" s="196" t="n">
        <f aca="false">VLOOKUP($FA$1,'Datos Iniciales'!$E$34:$O$64,FJ$158,FALSE())*FJ89</f>
        <v>0</v>
      </c>
      <c r="FK187" s="197" t="n">
        <f aca="false">VLOOKUP($FA$1,'Datos Iniciales'!$E$34:$O$64,FK$158,FALSE())*FK89</f>
        <v>0</v>
      </c>
      <c r="FL187" s="194" t="str">
        <f aca="false">FA187</f>
        <v>Alumno28</v>
      </c>
      <c r="FM187" s="208" t="n">
        <f aca="false">VLOOKUP($FL$1,'Datos Iniciales'!$E$34:$O$64,FM$158,FALSE())*FM89</f>
        <v>0</v>
      </c>
      <c r="FN187" s="196" t="n">
        <f aca="false">VLOOKUP($FL$1,'Datos Iniciales'!$E$34:$O$64,FN$158,FALSE())*FN89</f>
        <v>0</v>
      </c>
      <c r="FO187" s="196" t="n">
        <f aca="false">VLOOKUP($FL$1,'Datos Iniciales'!$E$34:$O$64,FO$158,FALSE())*FO89</f>
        <v>0</v>
      </c>
      <c r="FP187" s="196" t="n">
        <f aca="false">VLOOKUP($FL$1,'Datos Iniciales'!$E$34:$O$64,FP$158,FALSE())*FP89</f>
        <v>0</v>
      </c>
      <c r="FQ187" s="196" t="n">
        <f aca="false">VLOOKUP($FL$1,'Datos Iniciales'!$E$34:$O$64,FQ$158,FALSE())*FQ89</f>
        <v>0</v>
      </c>
      <c r="FR187" s="196" t="n">
        <f aca="false">VLOOKUP($FL$1,'Datos Iniciales'!$E$34:$O$64,FR$158,FALSE())*FR89</f>
        <v>0</v>
      </c>
      <c r="FS187" s="196" t="n">
        <f aca="false">VLOOKUP($FL$1,'Datos Iniciales'!$E$34:$O$64,FS$158,FALSE())*FS89</f>
        <v>0</v>
      </c>
      <c r="FT187" s="196" t="n">
        <f aca="false">VLOOKUP($FL$1,'Datos Iniciales'!$E$34:$O$64,FT$158,FALSE())*FT89</f>
        <v>0</v>
      </c>
      <c r="FU187" s="196" t="n">
        <f aca="false">VLOOKUP($FL$1,'Datos Iniciales'!$E$34:$O$64,FU$158,FALSE())*FU89</f>
        <v>0</v>
      </c>
      <c r="FV187" s="197" t="n">
        <f aca="false">VLOOKUP($FL$1,'Datos Iniciales'!$E$34:$O$64,FV$158,FALSE())*FV89</f>
        <v>0</v>
      </c>
      <c r="FW187" s="194" t="str">
        <f aca="false">FL187</f>
        <v>Alumno28</v>
      </c>
      <c r="FX187" s="208" t="n">
        <f aca="false">VLOOKUP($FW$1,'Datos Iniciales'!$E$34:$O$64,FX$158,FALSE())*FX89</f>
        <v>0</v>
      </c>
      <c r="FY187" s="196" t="n">
        <f aca="false">VLOOKUP($FW$1,'Datos Iniciales'!$E$34:$O$64,FY$158,FALSE())*FY89</f>
        <v>0</v>
      </c>
      <c r="FZ187" s="196" t="n">
        <f aca="false">VLOOKUP($FW$1,'Datos Iniciales'!$E$34:$O$64,FZ$158,FALSE())*FZ89</f>
        <v>0</v>
      </c>
      <c r="GA187" s="196" t="n">
        <f aca="false">VLOOKUP($FW$1,'Datos Iniciales'!$E$34:$O$64,GA$158,FALSE())*GA89</f>
        <v>0</v>
      </c>
      <c r="GB187" s="196" t="n">
        <f aca="false">VLOOKUP($FW$1,'Datos Iniciales'!$E$34:$O$64,GB$158,FALSE())*GB89</f>
        <v>0</v>
      </c>
      <c r="GC187" s="196" t="n">
        <f aca="false">VLOOKUP($FW$1,'Datos Iniciales'!$E$34:$O$64,GC$158,FALSE())*GC89</f>
        <v>0</v>
      </c>
      <c r="GD187" s="196" t="n">
        <f aca="false">VLOOKUP($FW$1,'Datos Iniciales'!$E$34:$O$64,GD$158,FALSE())*GD89</f>
        <v>0</v>
      </c>
      <c r="GE187" s="196" t="n">
        <f aca="false">VLOOKUP($FW$1,'Datos Iniciales'!$E$34:$O$64,GE$158,FALSE())*GE89</f>
        <v>0</v>
      </c>
      <c r="GF187" s="196" t="n">
        <f aca="false">VLOOKUP($FW$1,'Datos Iniciales'!$E$34:$O$64,GF$158,FALSE())*GF89</f>
        <v>0</v>
      </c>
      <c r="GG187" s="197" t="n">
        <f aca="false">VLOOKUP($FW$1,'Datos Iniciales'!$E$34:$O$64,GG$158,FALSE())*GG89</f>
        <v>0</v>
      </c>
      <c r="GH187" s="194" t="str">
        <f aca="false">FW187</f>
        <v>Alumno28</v>
      </c>
      <c r="GI187" s="208" t="n">
        <f aca="false">VLOOKUP($GH$1,'Datos Iniciales'!$E$34:$O$64,GI$158,FALSE())*GI89</f>
        <v>0</v>
      </c>
      <c r="GJ187" s="196" t="n">
        <f aca="false">VLOOKUP($GH$1,'Datos Iniciales'!$E$34:$O$64,GJ$158,FALSE())*GJ89</f>
        <v>0</v>
      </c>
      <c r="GK187" s="196" t="n">
        <f aca="false">VLOOKUP($GH$1,'Datos Iniciales'!$E$34:$O$64,GK$158,FALSE())*GK89</f>
        <v>0</v>
      </c>
      <c r="GL187" s="196" t="n">
        <f aca="false">VLOOKUP($GH$1,'Datos Iniciales'!$E$34:$O$64,GL$158,FALSE())*GL89</f>
        <v>0</v>
      </c>
      <c r="GM187" s="196" t="n">
        <f aca="false">VLOOKUP($GH$1,'Datos Iniciales'!$E$34:$O$64,GM$158,FALSE())*GM89</f>
        <v>0</v>
      </c>
      <c r="GN187" s="196" t="n">
        <f aca="false">VLOOKUP($GH$1,'Datos Iniciales'!$E$34:$O$64,GN$158,FALSE())*GN89</f>
        <v>0</v>
      </c>
      <c r="GO187" s="196" t="n">
        <f aca="false">VLOOKUP($GH$1,'Datos Iniciales'!$E$34:$O$64,GO$158,FALSE())*GO89</f>
        <v>0</v>
      </c>
      <c r="GP187" s="196" t="n">
        <f aca="false">VLOOKUP($GH$1,'Datos Iniciales'!$E$34:$O$64,GP$158,FALSE())*GP89</f>
        <v>0</v>
      </c>
      <c r="GQ187" s="196" t="n">
        <f aca="false">VLOOKUP($GH$1,'Datos Iniciales'!$E$34:$O$64,GQ$158,FALSE())*GQ89</f>
        <v>0</v>
      </c>
      <c r="GR187" s="197" t="n">
        <f aca="false">VLOOKUP($GH$1,'Datos Iniciales'!$E$34:$O$64,GR$158,FALSE())*GR89</f>
        <v>0</v>
      </c>
      <c r="GS187" s="194" t="str">
        <f aca="false">GH187</f>
        <v>Alumno28</v>
      </c>
      <c r="GT187" s="208" t="n">
        <f aca="false">VLOOKUP($GS$1,'Datos Iniciales'!$E$34:$O$64,GT$158,FALSE())*GT89</f>
        <v>0</v>
      </c>
      <c r="GU187" s="196" t="n">
        <f aca="false">VLOOKUP($GS$1,'Datos Iniciales'!$E$34:$O$64,GU$158,FALSE())*GU89</f>
        <v>0</v>
      </c>
      <c r="GV187" s="196" t="n">
        <f aca="false">VLOOKUP($GS$1,'Datos Iniciales'!$E$34:$O$64,GV$158,FALSE())*GV89</f>
        <v>0</v>
      </c>
      <c r="GW187" s="196" t="n">
        <f aca="false">VLOOKUP($GS$1,'Datos Iniciales'!$E$34:$O$64,GW$158,FALSE())*GW89</f>
        <v>0</v>
      </c>
      <c r="GX187" s="196" t="n">
        <f aca="false">VLOOKUP($GS$1,'Datos Iniciales'!$E$34:$O$64,GX$158,FALSE())*GX89</f>
        <v>0</v>
      </c>
      <c r="GY187" s="196" t="n">
        <f aca="false">VLOOKUP($GS$1,'Datos Iniciales'!$E$34:$O$64,GY$158,FALSE())*GY89</f>
        <v>0</v>
      </c>
      <c r="GZ187" s="196" t="n">
        <f aca="false">VLOOKUP($GS$1,'Datos Iniciales'!$E$34:$O$64,GZ$158,FALSE())*GZ89</f>
        <v>0</v>
      </c>
      <c r="HA187" s="196" t="n">
        <f aca="false">VLOOKUP($GS$1,'Datos Iniciales'!$E$34:$O$64,HA$158,FALSE())*HA89</f>
        <v>0</v>
      </c>
      <c r="HB187" s="196" t="n">
        <f aca="false">VLOOKUP($GS$1,'Datos Iniciales'!$E$34:$O$64,HB$158,FALSE())*HB89</f>
        <v>0</v>
      </c>
      <c r="HC187" s="197" t="n">
        <f aca="false">VLOOKUP($GS$1,'Datos Iniciales'!$E$34:$O$64,HC$158,FALSE())*HC89</f>
        <v>0</v>
      </c>
      <c r="HD187" s="194" t="str">
        <f aca="false">GS187</f>
        <v>Alumno28</v>
      </c>
      <c r="HE187" s="208" t="n">
        <f aca="false">VLOOKUP($HD$1,'Datos Iniciales'!$E$34:$O$64,HE$158,FALSE())*HE89</f>
        <v>0</v>
      </c>
      <c r="HF187" s="196" t="n">
        <f aca="false">VLOOKUP($HD$1,'Datos Iniciales'!$E$34:$O$64,HF$158,FALSE())*HF89</f>
        <v>0</v>
      </c>
      <c r="HG187" s="196" t="n">
        <f aca="false">VLOOKUP($HD$1,'Datos Iniciales'!$E$34:$O$64,HG$158,FALSE())*HG89</f>
        <v>0</v>
      </c>
      <c r="HH187" s="196" t="n">
        <f aca="false">VLOOKUP($HD$1,'Datos Iniciales'!$E$34:$O$64,HH$158,FALSE())*HH89</f>
        <v>0</v>
      </c>
      <c r="HI187" s="196" t="n">
        <f aca="false">VLOOKUP($HD$1,'Datos Iniciales'!$E$34:$O$64,HI$158,FALSE())*HI89</f>
        <v>0</v>
      </c>
      <c r="HJ187" s="196" t="n">
        <f aca="false">VLOOKUP($HD$1,'Datos Iniciales'!$E$34:$O$64,HJ$158,FALSE())*HJ89</f>
        <v>0</v>
      </c>
      <c r="HK187" s="196" t="n">
        <f aca="false">VLOOKUP($HD$1,'Datos Iniciales'!$E$34:$O$64,HK$158,FALSE())*HK89</f>
        <v>0</v>
      </c>
      <c r="HL187" s="196" t="n">
        <f aca="false">VLOOKUP($HD$1,'Datos Iniciales'!$E$34:$O$64,HL$158,FALSE())*HL89</f>
        <v>0</v>
      </c>
      <c r="HM187" s="196" t="n">
        <f aca="false">VLOOKUP($HD$1,'Datos Iniciales'!$E$34:$O$64,HM$158,FALSE())*HM89</f>
        <v>0</v>
      </c>
      <c r="HN187" s="197" t="n">
        <f aca="false">VLOOKUP($HD$1,'Datos Iniciales'!$E$34:$O$64,HN$158,FALSE())*HN89</f>
        <v>0</v>
      </c>
      <c r="HO187" s="194" t="str">
        <f aca="false">HD187</f>
        <v>Alumno28</v>
      </c>
      <c r="HP187" s="208" t="n">
        <f aca="false">VLOOKUP($HO$1,'Datos Iniciales'!$E$34:$O$64,HP$158,FALSE())*HP89</f>
        <v>0</v>
      </c>
      <c r="HQ187" s="196" t="n">
        <f aca="false">VLOOKUP($HO$1,'Datos Iniciales'!$E$34:$O$64,HQ$158,FALSE())*HQ89</f>
        <v>0</v>
      </c>
      <c r="HR187" s="196" t="n">
        <f aca="false">VLOOKUP($HO$1,'Datos Iniciales'!$E$34:$O$64,HR$158,FALSE())*HR89</f>
        <v>0</v>
      </c>
      <c r="HS187" s="196" t="n">
        <f aca="false">VLOOKUP($HO$1,'Datos Iniciales'!$E$34:$O$64,HS$158,FALSE())*HS89</f>
        <v>0</v>
      </c>
      <c r="HT187" s="196" t="n">
        <f aca="false">VLOOKUP($HO$1,'Datos Iniciales'!$E$34:$O$64,HT$158,FALSE())*HT89</f>
        <v>0</v>
      </c>
      <c r="HU187" s="196" t="n">
        <f aca="false">VLOOKUP($HO$1,'Datos Iniciales'!$E$34:$O$64,HU$158,FALSE())*HU89</f>
        <v>0</v>
      </c>
      <c r="HV187" s="196" t="n">
        <f aca="false">VLOOKUP($HO$1,'Datos Iniciales'!$E$34:$O$64,HV$158,FALSE())*HV89</f>
        <v>0</v>
      </c>
      <c r="HW187" s="196" t="n">
        <f aca="false">VLOOKUP($HO$1,'Datos Iniciales'!$E$34:$O$64,HW$158,FALSE())*HW89</f>
        <v>0</v>
      </c>
      <c r="HX187" s="196" t="n">
        <f aca="false">VLOOKUP($HO$1,'Datos Iniciales'!$E$34:$O$64,HX$158,FALSE())*HX89</f>
        <v>0</v>
      </c>
      <c r="HY187" s="197" t="n">
        <f aca="false">VLOOKUP($HO$1,'Datos Iniciales'!$E$34:$O$64,HY$158,FALSE())*HY89</f>
        <v>0</v>
      </c>
      <c r="HZ187" s="194" t="str">
        <f aca="false">HO187</f>
        <v>Alumno28</v>
      </c>
      <c r="IA187" s="208" t="n">
        <f aca="false">VLOOKUP($HZ$1,'Datos Iniciales'!$E$34:$O$64,IA$158,FALSE())*IA89</f>
        <v>0</v>
      </c>
      <c r="IB187" s="196" t="n">
        <f aca="false">VLOOKUP($HZ$1,'Datos Iniciales'!$E$34:$O$64,IB$158,FALSE())*IB89</f>
        <v>0</v>
      </c>
      <c r="IC187" s="196" t="n">
        <f aca="false">VLOOKUP($HZ$1,'Datos Iniciales'!$E$34:$O$64,IC$158,FALSE())*IC89</f>
        <v>0</v>
      </c>
      <c r="ID187" s="196" t="n">
        <f aca="false">VLOOKUP($HZ$1,'Datos Iniciales'!$E$34:$O$64,ID$158,FALSE())*ID89</f>
        <v>0</v>
      </c>
      <c r="IE187" s="196" t="n">
        <f aca="false">VLOOKUP($HZ$1,'Datos Iniciales'!$E$34:$O$64,IE$158,FALSE())*IE89</f>
        <v>0</v>
      </c>
      <c r="IF187" s="196" t="n">
        <f aca="false">VLOOKUP($HZ$1,'Datos Iniciales'!$E$34:$O$64,IF$158,FALSE())*IF89</f>
        <v>0</v>
      </c>
      <c r="IG187" s="196" t="n">
        <f aca="false">VLOOKUP($HZ$1,'Datos Iniciales'!$E$34:$O$64,IG$158,FALSE())*IG89</f>
        <v>0</v>
      </c>
      <c r="IH187" s="196" t="n">
        <f aca="false">VLOOKUP($HZ$1,'Datos Iniciales'!$E$34:$O$64,IH$158,FALSE())*IH89</f>
        <v>0</v>
      </c>
      <c r="II187" s="196" t="n">
        <f aca="false">VLOOKUP($HZ$1,'Datos Iniciales'!$E$34:$O$64,II$158,FALSE())*II89</f>
        <v>0</v>
      </c>
      <c r="IJ187" s="197" t="n">
        <f aca="false">VLOOKUP($HZ$1,'Datos Iniciales'!$E$34:$O$64,IJ$158,FALSE())*IJ89</f>
        <v>0</v>
      </c>
      <c r="IK187" s="194" t="str">
        <f aca="false">HZ187</f>
        <v>Alumno28</v>
      </c>
      <c r="IL187" s="208" t="n">
        <f aca="false">VLOOKUP($IK$1,'Datos Iniciales'!$E$34:$O$64,IL$158,FALSE())*IL89</f>
        <v>0</v>
      </c>
      <c r="IM187" s="196" t="n">
        <f aca="false">VLOOKUP($IK$1,'Datos Iniciales'!$E$34:$O$64,IM$158,FALSE())*IM89</f>
        <v>0</v>
      </c>
      <c r="IN187" s="196" t="n">
        <f aca="false">VLOOKUP($IK$1,'Datos Iniciales'!$E$34:$O$64,IN$158,FALSE())*IN89</f>
        <v>0</v>
      </c>
      <c r="IO187" s="196" t="n">
        <f aca="false">VLOOKUP($IK$1,'Datos Iniciales'!$E$34:$O$64,IO$158,FALSE())*IO89</f>
        <v>0</v>
      </c>
      <c r="IP187" s="196" t="n">
        <f aca="false">VLOOKUP($IK$1,'Datos Iniciales'!$E$34:$O$64,IP$158,FALSE())*IP89</f>
        <v>0</v>
      </c>
      <c r="IQ187" s="196" t="n">
        <f aca="false">VLOOKUP($IK$1,'Datos Iniciales'!$E$34:$O$64,IQ$158,FALSE())*IQ89</f>
        <v>0</v>
      </c>
      <c r="IR187" s="196" t="n">
        <f aca="false">VLOOKUP($IK$1,'Datos Iniciales'!$E$34:$O$64,IR$158,FALSE())*IR89</f>
        <v>0</v>
      </c>
      <c r="IS187" s="196" t="n">
        <f aca="false">VLOOKUP($IK$1,'Datos Iniciales'!$E$34:$O$64,IS$158,FALSE())*IS89</f>
        <v>0</v>
      </c>
      <c r="IT187" s="196" t="n">
        <f aca="false">VLOOKUP($IK$1,'Datos Iniciales'!$E$34:$O$64,IT$158,FALSE())*IT89</f>
        <v>0</v>
      </c>
      <c r="IU187" s="197" t="n">
        <f aca="false">VLOOKUP($IK$1,'Datos Iniciales'!$E$34:$O$64,IU$158,FALSE())*IU89</f>
        <v>0</v>
      </c>
      <c r="IV187" s="194" t="str">
        <f aca="false">IK187</f>
        <v>Alumno28</v>
      </c>
      <c r="IW187" s="208" t="n">
        <f aca="false">VLOOKUP($IV$1,'Datos Iniciales'!$E$34:$O$64,IW$158,FALSE())*IW89</f>
        <v>0</v>
      </c>
      <c r="IX187" s="196" t="n">
        <f aca="false">VLOOKUP($IV$1,'Datos Iniciales'!$E$34:$O$64,IX$158,FALSE())*IX89</f>
        <v>0</v>
      </c>
      <c r="IY187" s="196" t="n">
        <f aca="false">VLOOKUP($IV$1,'Datos Iniciales'!$E$34:$O$64,IY$158,FALSE())*IY89</f>
        <v>0</v>
      </c>
      <c r="IZ187" s="196" t="n">
        <f aca="false">VLOOKUP($IV$1,'Datos Iniciales'!$E$34:$O$64,IZ$158,FALSE())*IZ89</f>
        <v>0</v>
      </c>
      <c r="JA187" s="196" t="n">
        <f aca="false">VLOOKUP($IV$1,'Datos Iniciales'!$E$34:$O$64,JA$158,FALSE())*JA89</f>
        <v>0</v>
      </c>
      <c r="JB187" s="196" t="n">
        <f aca="false">VLOOKUP($IV$1,'Datos Iniciales'!$E$34:$O$64,JB$158,FALSE())*JB89</f>
        <v>0</v>
      </c>
      <c r="JC187" s="196" t="n">
        <f aca="false">VLOOKUP($IV$1,'Datos Iniciales'!$E$34:$O$64,JC$158,FALSE())*JC89</f>
        <v>0</v>
      </c>
      <c r="JD187" s="196" t="n">
        <f aca="false">VLOOKUP($IV$1,'Datos Iniciales'!$E$34:$O$64,JD$158,FALSE())*JD89</f>
        <v>0</v>
      </c>
      <c r="JE187" s="196" t="n">
        <f aca="false">VLOOKUP($IV$1,'Datos Iniciales'!$E$34:$O$64,JE$158,FALSE())*JE89</f>
        <v>0</v>
      </c>
      <c r="JF187" s="197" t="n">
        <f aca="false">VLOOKUP($IV$1,'Datos Iniciales'!$E$34:$O$64,JF$158,FALSE())*JF89</f>
        <v>0</v>
      </c>
      <c r="JG187" s="194" t="str">
        <f aca="false">IV187</f>
        <v>Alumno28</v>
      </c>
      <c r="JH187" s="208" t="n">
        <f aca="false">VLOOKUP($JG$1,'Datos Iniciales'!$E$34:$O$64,JH$158,FALSE())*JH89</f>
        <v>0</v>
      </c>
      <c r="JI187" s="196" t="n">
        <f aca="false">VLOOKUP($JG$1,'Datos Iniciales'!$E$34:$O$64,JI$158,FALSE())*JI89</f>
        <v>0</v>
      </c>
      <c r="JJ187" s="196" t="n">
        <f aca="false">VLOOKUP($JG$1,'Datos Iniciales'!$E$34:$O$64,JJ$158,FALSE())*JJ89</f>
        <v>0</v>
      </c>
      <c r="JK187" s="196" t="n">
        <f aca="false">VLOOKUP($JG$1,'Datos Iniciales'!$E$34:$O$64,JK$158,FALSE())*JK89</f>
        <v>0</v>
      </c>
      <c r="JL187" s="196" t="n">
        <f aca="false">VLOOKUP($JG$1,'Datos Iniciales'!$E$34:$O$64,JL$158,FALSE())*JL89</f>
        <v>0</v>
      </c>
      <c r="JM187" s="196" t="n">
        <f aca="false">VLOOKUP($JG$1,'Datos Iniciales'!$E$34:$O$64,JM$158,FALSE())*JM89</f>
        <v>0</v>
      </c>
      <c r="JN187" s="196" t="n">
        <f aca="false">VLOOKUP($JG$1,'Datos Iniciales'!$E$34:$O$64,JN$158,FALSE())*JN89</f>
        <v>0</v>
      </c>
      <c r="JO187" s="196" t="n">
        <f aca="false">VLOOKUP($JG$1,'Datos Iniciales'!$E$34:$O$64,JO$158,FALSE())*JO89</f>
        <v>0</v>
      </c>
      <c r="JP187" s="196" t="n">
        <f aca="false">VLOOKUP($JG$1,'Datos Iniciales'!$E$34:$O$64,JP$158,FALSE())*JP89</f>
        <v>0</v>
      </c>
      <c r="JQ187" s="197" t="n">
        <f aca="false">VLOOKUP($JG$1,'Datos Iniciales'!$E$34:$O$64,JQ$158,FALSE())*JQ89</f>
        <v>0</v>
      </c>
      <c r="JR187" s="194" t="str">
        <f aca="false">JG187</f>
        <v>Alumno28</v>
      </c>
      <c r="JS187" s="208" t="n">
        <f aca="false">VLOOKUP($JR$1,'Datos Iniciales'!$E$34:$O$64,JS$158,FALSE())*JS89</f>
        <v>0</v>
      </c>
      <c r="JT187" s="196" t="n">
        <f aca="false">VLOOKUP($JR$1,'Datos Iniciales'!$E$34:$O$64,JT$158,FALSE())*JT89</f>
        <v>0</v>
      </c>
      <c r="JU187" s="196" t="n">
        <f aca="false">VLOOKUP($JR$1,'Datos Iniciales'!$E$34:$O$64,JU$158,FALSE())*JU89</f>
        <v>0</v>
      </c>
      <c r="JV187" s="196" t="n">
        <f aca="false">VLOOKUP($JR$1,'Datos Iniciales'!$E$34:$O$64,JV$158,FALSE())*JV89</f>
        <v>0</v>
      </c>
      <c r="JW187" s="196" t="n">
        <f aca="false">VLOOKUP($JR$1,'Datos Iniciales'!$E$34:$O$64,JW$158,FALSE())*JW89</f>
        <v>0</v>
      </c>
      <c r="JX187" s="196" t="n">
        <f aca="false">VLOOKUP($JR$1,'Datos Iniciales'!$E$34:$O$64,JX$158,FALSE())*JX89</f>
        <v>0</v>
      </c>
      <c r="JY187" s="196" t="n">
        <f aca="false">VLOOKUP($JR$1,'Datos Iniciales'!$E$34:$O$64,JY$158,FALSE())*JY89</f>
        <v>0</v>
      </c>
      <c r="JZ187" s="196" t="n">
        <f aca="false">VLOOKUP($JR$1,'Datos Iniciales'!$E$34:$O$64,JZ$158,FALSE())*JZ89</f>
        <v>0</v>
      </c>
      <c r="KA187" s="196" t="n">
        <f aca="false">VLOOKUP($JR$1,'Datos Iniciales'!$E$34:$O$64,KA$158,FALSE())*KA89</f>
        <v>0</v>
      </c>
      <c r="KB187" s="197" t="n">
        <f aca="false">VLOOKUP($JR$1,'Datos Iniciales'!$E$34:$O$64,KB$158,FALSE())*KB89</f>
        <v>0</v>
      </c>
      <c r="KC187" s="194" t="str">
        <f aca="false">JR187</f>
        <v>Alumno28</v>
      </c>
      <c r="KD187" s="208" t="n">
        <f aca="false">VLOOKUP($KC$1,'Datos Iniciales'!$E$34:$O$64,KD$158,FALSE())*KD89</f>
        <v>0</v>
      </c>
      <c r="KE187" s="196" t="n">
        <f aca="false">VLOOKUP($KC$1,'Datos Iniciales'!$E$34:$O$64,KE$158,FALSE())*KE89</f>
        <v>0</v>
      </c>
      <c r="KF187" s="196" t="n">
        <f aca="false">VLOOKUP($KC$1,'Datos Iniciales'!$E$34:$O$64,KF$158,FALSE())*KF89</f>
        <v>0</v>
      </c>
      <c r="KG187" s="196" t="n">
        <f aca="false">VLOOKUP($KC$1,'Datos Iniciales'!$E$34:$O$64,KG$158,FALSE())*KG89</f>
        <v>0</v>
      </c>
      <c r="KH187" s="196" t="n">
        <f aca="false">VLOOKUP($KC$1,'Datos Iniciales'!$E$34:$O$64,KH$158,FALSE())*KH89</f>
        <v>0</v>
      </c>
      <c r="KI187" s="196" t="n">
        <f aca="false">VLOOKUP($KC$1,'Datos Iniciales'!$E$34:$O$64,KI$158,FALSE())*KI89</f>
        <v>0</v>
      </c>
      <c r="KJ187" s="196" t="n">
        <f aca="false">VLOOKUP($KC$1,'Datos Iniciales'!$E$34:$O$64,KJ$158,FALSE())*KJ89</f>
        <v>0</v>
      </c>
      <c r="KK187" s="196" t="n">
        <f aca="false">VLOOKUP($KC$1,'Datos Iniciales'!$E$34:$O$64,KK$158,FALSE())*KK89</f>
        <v>0</v>
      </c>
      <c r="KL187" s="196" t="n">
        <f aca="false">VLOOKUP($KC$1,'Datos Iniciales'!$E$34:$O$64,KL$158,FALSE())*KL89</f>
        <v>0</v>
      </c>
      <c r="KM187" s="197" t="n">
        <f aca="false">VLOOKUP($KC$1,'Datos Iniciales'!$E$34:$O$64,KM$158,FALSE())*KM89</f>
        <v>0</v>
      </c>
      <c r="KN187" s="194" t="str">
        <f aca="false">KC187</f>
        <v>Alumno28</v>
      </c>
      <c r="KO187" s="208" t="n">
        <f aca="false">VLOOKUP($KN$1,'Datos Iniciales'!$E$34:$O$64,KO$158,FALSE())*KO89</f>
        <v>0</v>
      </c>
      <c r="KP187" s="196" t="n">
        <f aca="false">VLOOKUP($KN$1,'Datos Iniciales'!$E$34:$O$64,KP$158,FALSE())*KP89</f>
        <v>0</v>
      </c>
      <c r="KQ187" s="196" t="n">
        <f aca="false">VLOOKUP($KN$1,'Datos Iniciales'!$E$34:$O$64,KQ$158,FALSE())*KQ89</f>
        <v>0</v>
      </c>
      <c r="KR187" s="196" t="n">
        <f aca="false">VLOOKUP($KN$1,'Datos Iniciales'!$E$34:$O$64,KR$158,FALSE())*KR89</f>
        <v>0</v>
      </c>
      <c r="KS187" s="196" t="n">
        <f aca="false">VLOOKUP($KN$1,'Datos Iniciales'!$E$34:$O$64,KS$158,FALSE())*KS89</f>
        <v>0</v>
      </c>
      <c r="KT187" s="196" t="n">
        <f aca="false">VLOOKUP($KN$1,'Datos Iniciales'!$E$34:$O$64,KT$158,FALSE())*KT89</f>
        <v>0</v>
      </c>
      <c r="KU187" s="196" t="n">
        <f aca="false">VLOOKUP($KN$1,'Datos Iniciales'!$E$34:$O$64,KU$158,FALSE())*KU89</f>
        <v>0</v>
      </c>
      <c r="KV187" s="196" t="n">
        <f aca="false">VLOOKUP($KN$1,'Datos Iniciales'!$E$34:$O$64,KV$158,FALSE())*KV89</f>
        <v>0</v>
      </c>
      <c r="KW187" s="196" t="n">
        <f aca="false">VLOOKUP($KN$1,'Datos Iniciales'!$E$34:$O$64,KW$158,FALSE())*KW89</f>
        <v>0</v>
      </c>
      <c r="KX187" s="197" t="n">
        <f aca="false">VLOOKUP($KN$1,'Datos Iniciales'!$E$34:$O$64,KX$158,FALSE())*KX89</f>
        <v>0</v>
      </c>
      <c r="KY187" s="194" t="str">
        <f aca="false">KN187</f>
        <v>Alumno28</v>
      </c>
      <c r="KZ187" s="208" t="n">
        <f aca="false">VLOOKUP($KY$1,'Datos Iniciales'!$E$34:$O$64,KZ$158,FALSE())*KZ89</f>
        <v>0</v>
      </c>
      <c r="LA187" s="196" t="n">
        <f aca="false">VLOOKUP($KY$1,'Datos Iniciales'!$E$34:$O$64,LA$158,FALSE())*LA89</f>
        <v>0</v>
      </c>
      <c r="LB187" s="196" t="n">
        <f aca="false">VLOOKUP($KY$1,'Datos Iniciales'!$E$34:$O$64,LB$158,FALSE())*LB89</f>
        <v>0</v>
      </c>
      <c r="LC187" s="196" t="n">
        <f aca="false">VLOOKUP($KY$1,'Datos Iniciales'!$E$34:$O$64,LC$158,FALSE())*LC89</f>
        <v>0</v>
      </c>
      <c r="LD187" s="196" t="n">
        <f aca="false">VLOOKUP($KY$1,'Datos Iniciales'!$E$34:$O$64,LD$158,FALSE())*LD89</f>
        <v>0</v>
      </c>
      <c r="LE187" s="196" t="n">
        <f aca="false">VLOOKUP($KY$1,'Datos Iniciales'!$E$34:$O$64,LE$158,FALSE())*LE89</f>
        <v>0</v>
      </c>
      <c r="LF187" s="196" t="n">
        <f aca="false">VLOOKUP($KY$1,'Datos Iniciales'!$E$34:$O$64,LF$158,FALSE())*LF89</f>
        <v>0</v>
      </c>
      <c r="LG187" s="196" t="n">
        <f aca="false">VLOOKUP($KY$1,'Datos Iniciales'!$E$34:$O$64,LG$158,FALSE())*LG89</f>
        <v>0</v>
      </c>
      <c r="LH187" s="196" t="n">
        <f aca="false">VLOOKUP($KY$1,'Datos Iniciales'!$E$34:$O$64,LH$158,FALSE())*LH89</f>
        <v>0</v>
      </c>
      <c r="LI187" s="197" t="n">
        <f aca="false">VLOOKUP($KY$1,'Datos Iniciales'!$E$34:$O$64,LI$158,FALSE())*LI89</f>
        <v>0</v>
      </c>
      <c r="LJ187" s="194" t="str">
        <f aca="false">KY187</f>
        <v>Alumno28</v>
      </c>
      <c r="LK187" s="208" t="n">
        <f aca="false">VLOOKUP($LJ$1,'Datos Iniciales'!$E$34:$O$64,LK$158,FALSE())*LK89</f>
        <v>0</v>
      </c>
      <c r="LL187" s="196" t="n">
        <f aca="false">VLOOKUP($LJ$1,'Datos Iniciales'!$E$34:$O$64,LL$158,FALSE())*LL89</f>
        <v>0</v>
      </c>
      <c r="LM187" s="196" t="n">
        <f aca="false">VLOOKUP($LJ$1,'Datos Iniciales'!$E$34:$O$64,LM$158,FALSE())*LM89</f>
        <v>0</v>
      </c>
      <c r="LN187" s="196" t="n">
        <f aca="false">VLOOKUP($LJ$1,'Datos Iniciales'!$E$34:$O$64,LN$158,FALSE())*LN89</f>
        <v>0</v>
      </c>
      <c r="LO187" s="196" t="n">
        <f aca="false">VLOOKUP($LJ$1,'Datos Iniciales'!$E$34:$O$64,LO$158,FALSE())*LO89</f>
        <v>0</v>
      </c>
      <c r="LP187" s="196" t="n">
        <f aca="false">VLOOKUP($LJ$1,'Datos Iniciales'!$E$34:$O$64,LP$158,FALSE())*LP89</f>
        <v>0</v>
      </c>
      <c r="LQ187" s="196" t="n">
        <f aca="false">VLOOKUP($LJ$1,'Datos Iniciales'!$E$34:$O$64,LQ$158,FALSE())*LQ89</f>
        <v>0</v>
      </c>
      <c r="LR187" s="196" t="n">
        <f aca="false">VLOOKUP($LJ$1,'Datos Iniciales'!$E$34:$O$64,LR$158,FALSE())*LR89</f>
        <v>0</v>
      </c>
      <c r="LS187" s="196" t="n">
        <f aca="false">VLOOKUP($LJ$1,'Datos Iniciales'!$E$34:$O$64,LS$158,FALSE())*LS89</f>
        <v>0</v>
      </c>
      <c r="LT187" s="197" t="n">
        <f aca="false">VLOOKUP($LJ$1,'Datos Iniciales'!$E$34:$O$64,LT$158,FALSE())*LT89</f>
        <v>0</v>
      </c>
    </row>
    <row r="188" customFormat="false" ht="15" hidden="true" customHeight="false" outlineLevel="0" collapsed="false">
      <c r="C188" s="194" t="str">
        <f aca="false">C139</f>
        <v>Alumno29</v>
      </c>
      <c r="D188" s="208" t="n">
        <f aca="false">VLOOKUP($C$1,'Datos Iniciales'!$E$34:$O$64,D$158,FALSE())*D90</f>
        <v>1.25</v>
      </c>
      <c r="E188" s="196" t="n">
        <f aca="false">VLOOKUP($C$1,'Datos Iniciales'!$E$34:$O$64,E$158,FALSE())*E90</f>
        <v>0</v>
      </c>
      <c r="F188" s="196" t="n">
        <f aca="false">VLOOKUP($C$1,'Datos Iniciales'!$E$34:$O$64,F$158,FALSE())*F90</f>
        <v>0</v>
      </c>
      <c r="G188" s="196" t="n">
        <f aca="false">VLOOKUP($C$1,'Datos Iniciales'!$E$34:$O$64,G$158,FALSE())*G90</f>
        <v>0</v>
      </c>
      <c r="H188" s="196" t="n">
        <f aca="false">VLOOKUP($C$1,'Datos Iniciales'!$E$34:$O$64,H$158,FALSE())*H90</f>
        <v>0</v>
      </c>
      <c r="I188" s="196" t="n">
        <f aca="false">VLOOKUP($C$1,'Datos Iniciales'!$E$34:$O$64,I$158,FALSE())*I90</f>
        <v>0</v>
      </c>
      <c r="J188" s="196" t="n">
        <f aca="false">VLOOKUP($C$1,'Datos Iniciales'!$E$34:$O$64,J$158,FALSE())*J90</f>
        <v>0</v>
      </c>
      <c r="K188" s="196" t="n">
        <f aca="false">VLOOKUP($C$1,'Datos Iniciales'!$E$34:$O$64,K$158,FALSE())*K90</f>
        <v>0</v>
      </c>
      <c r="L188" s="196" t="n">
        <f aca="false">VLOOKUP($C$1,'Datos Iniciales'!$E$34:$O$64,L$158,FALSE())*L90</f>
        <v>0</v>
      </c>
      <c r="M188" s="197" t="n">
        <f aca="false">VLOOKUP($C$1,'Datos Iniciales'!$E$34:$O$64,M$158,FALSE())*M90</f>
        <v>0</v>
      </c>
      <c r="N188" s="194" t="str">
        <f aca="false">C188</f>
        <v>Alumno29</v>
      </c>
      <c r="O188" s="208" t="n">
        <f aca="false">VLOOKUP($N$1,'Datos Iniciales'!$E$34:$O$64,O$158,FALSE())*O90</f>
        <v>1</v>
      </c>
      <c r="P188" s="196" t="n">
        <f aca="false">VLOOKUP($N$1,'Datos Iniciales'!$E$34:$O$64,P$158,FALSE())*P90</f>
        <v>0.6</v>
      </c>
      <c r="Q188" s="196" t="n">
        <f aca="false">VLOOKUP($N$1,'Datos Iniciales'!$E$34:$O$64,Q$158,FALSE())*Q90</f>
        <v>0</v>
      </c>
      <c r="R188" s="196" t="n">
        <f aca="false">VLOOKUP($N$1,'Datos Iniciales'!$E$34:$O$64,R$158,FALSE())*R90</f>
        <v>0</v>
      </c>
      <c r="S188" s="196" t="n">
        <f aca="false">VLOOKUP($N$1,'Datos Iniciales'!$E$34:$O$64,S$158,FALSE())*S90</f>
        <v>0</v>
      </c>
      <c r="T188" s="196" t="n">
        <f aca="false">VLOOKUP($N$1,'Datos Iniciales'!$E$34:$O$64,T$158,FALSE())*T90</f>
        <v>0</v>
      </c>
      <c r="U188" s="196" t="n">
        <f aca="false">VLOOKUP($N$1,'Datos Iniciales'!$E$34:$O$64,U$158,FALSE())*U90</f>
        <v>0</v>
      </c>
      <c r="V188" s="196" t="n">
        <f aca="false">VLOOKUP($N$1,'Datos Iniciales'!$E$34:$O$64,V$158,FALSE())*V90</f>
        <v>0</v>
      </c>
      <c r="W188" s="196" t="n">
        <f aca="false">VLOOKUP($N$1,'Datos Iniciales'!$E$34:$O$64,W$158,FALSE())*W90</f>
        <v>0</v>
      </c>
      <c r="X188" s="197" t="n">
        <f aca="false">VLOOKUP($N$1,'Datos Iniciales'!$E$34:$O$64,X$158,FALSE())*X90</f>
        <v>0</v>
      </c>
      <c r="Y188" s="194" t="str">
        <f aca="false">N188</f>
        <v>Alumno29</v>
      </c>
      <c r="Z188" s="208" t="n">
        <f aca="false">VLOOKUP($Y$1,'Datos Iniciales'!$E$34:$O$64,Z$158,FALSE())*Z90</f>
        <v>2.85</v>
      </c>
      <c r="AA188" s="196" t="n">
        <f aca="false">VLOOKUP($Y$1,'Datos Iniciales'!$E$34:$O$64,AA$158,FALSE())*AA90</f>
        <v>1.9</v>
      </c>
      <c r="AB188" s="196" t="n">
        <f aca="false">VLOOKUP($Y$1,'Datos Iniciales'!$E$34:$O$64,AB$158,FALSE())*AB90</f>
        <v>1</v>
      </c>
      <c r="AC188" s="196" t="n">
        <f aca="false">VLOOKUP($Y$1,'Datos Iniciales'!$E$34:$O$64,AC$158,FALSE())*AC90</f>
        <v>0</v>
      </c>
      <c r="AD188" s="196" t="n">
        <f aca="false">VLOOKUP($Y$1,'Datos Iniciales'!$E$34:$O$64,AD$158,FALSE())*AD90</f>
        <v>0</v>
      </c>
      <c r="AE188" s="196" t="n">
        <f aca="false">VLOOKUP($Y$1,'Datos Iniciales'!$E$34:$O$64,AE$158,FALSE())*AE90</f>
        <v>0</v>
      </c>
      <c r="AF188" s="196" t="n">
        <f aca="false">VLOOKUP($Y$1,'Datos Iniciales'!$E$34:$O$64,AF$158,FALSE())*AF90</f>
        <v>0</v>
      </c>
      <c r="AG188" s="196" t="n">
        <f aca="false">VLOOKUP($Y$1,'Datos Iniciales'!$E$34:$O$64,AG$158,FALSE())*AG90</f>
        <v>0</v>
      </c>
      <c r="AH188" s="196" t="n">
        <f aca="false">VLOOKUP($Y$1,'Datos Iniciales'!$E$34:$O$64,AH$158,FALSE())*AH90</f>
        <v>0</v>
      </c>
      <c r="AI188" s="197" t="n">
        <f aca="false">VLOOKUP($Y$1,'Datos Iniciales'!$E$34:$O$64,AI$158,FALSE())*AI90</f>
        <v>0</v>
      </c>
      <c r="AJ188" s="194" t="str">
        <f aca="false">Y188</f>
        <v>Alumno29</v>
      </c>
      <c r="AK188" s="208" t="n">
        <f aca="false">VLOOKUP($AJ$1,'Datos Iniciales'!$E$34:$O$64,AK$158,FALSE())*AK90</f>
        <v>1</v>
      </c>
      <c r="AL188" s="196" t="n">
        <f aca="false">VLOOKUP($AJ$1,'Datos Iniciales'!$E$34:$O$64,AL$158,FALSE())*AL90</f>
        <v>2.85</v>
      </c>
      <c r="AM188" s="196" t="n">
        <f aca="false">VLOOKUP($AJ$1,'Datos Iniciales'!$E$34:$O$64,AM$158,FALSE())*AM90</f>
        <v>3.325</v>
      </c>
      <c r="AN188" s="196" t="n">
        <f aca="false">VLOOKUP($AJ$1,'Datos Iniciales'!$E$34:$O$64,AN$158,FALSE())*AN90</f>
        <v>0</v>
      </c>
      <c r="AO188" s="196" t="n">
        <f aca="false">VLOOKUP($AJ$1,'Datos Iniciales'!$E$34:$O$64,AO$158,FALSE())*AO90</f>
        <v>0</v>
      </c>
      <c r="AP188" s="196" t="n">
        <f aca="false">VLOOKUP($AJ$1,'Datos Iniciales'!$E$34:$O$64,AP$158,FALSE())*AP90</f>
        <v>0</v>
      </c>
      <c r="AQ188" s="196" t="n">
        <f aca="false">VLOOKUP($AJ$1,'Datos Iniciales'!$E$34:$O$64,AQ$158,FALSE())*AQ90</f>
        <v>0</v>
      </c>
      <c r="AR188" s="196" t="n">
        <f aca="false">VLOOKUP($AJ$1,'Datos Iniciales'!$E$34:$O$64,AR$158,FALSE())*AR90</f>
        <v>0</v>
      </c>
      <c r="AS188" s="196" t="n">
        <f aca="false">VLOOKUP($AJ$1,'Datos Iniciales'!$E$34:$O$64,AS$158,FALSE())*AS90</f>
        <v>0</v>
      </c>
      <c r="AT188" s="197" t="n">
        <f aca="false">VLOOKUP($AJ$1,'Datos Iniciales'!$E$34:$O$64,AT$158,FALSE())*AT90</f>
        <v>0</v>
      </c>
      <c r="AU188" s="194" t="str">
        <f aca="false">AJ188</f>
        <v>Alumno29</v>
      </c>
      <c r="AV188" s="208" t="n">
        <f aca="false">VLOOKUP($AU$1,'Datos Iniciales'!$E$34:$O$64,AV$158,FALSE())*AV90</f>
        <v>0.25</v>
      </c>
      <c r="AW188" s="196" t="n">
        <f aca="false">VLOOKUP($AU$1,'Datos Iniciales'!$E$34:$O$64,AW$158,FALSE())*AW90</f>
        <v>0.6</v>
      </c>
      <c r="AX188" s="196" t="n">
        <f aca="false">VLOOKUP($AU$1,'Datos Iniciales'!$E$34:$O$64,AX$158,FALSE())*AX90</f>
        <v>1.08</v>
      </c>
      <c r="AY188" s="196" t="n">
        <f aca="false">VLOOKUP($AU$1,'Datos Iniciales'!$E$34:$O$64,AY$158,FALSE())*AY90</f>
        <v>0.5</v>
      </c>
      <c r="AZ188" s="196" t="n">
        <f aca="false">VLOOKUP($AU$1,'Datos Iniciales'!$E$34:$O$64,AZ$158,FALSE())*AZ90</f>
        <v>0</v>
      </c>
      <c r="BA188" s="196" t="n">
        <f aca="false">VLOOKUP($AU$1,'Datos Iniciales'!$E$34:$O$64,BA$158,FALSE())*BA90</f>
        <v>0</v>
      </c>
      <c r="BB188" s="196" t="n">
        <f aca="false">VLOOKUP($AU$1,'Datos Iniciales'!$E$34:$O$64,BB$158,FALSE())*BB90</f>
        <v>0</v>
      </c>
      <c r="BC188" s="196" t="n">
        <f aca="false">VLOOKUP($AU$1,'Datos Iniciales'!$E$34:$O$64,BC$158,FALSE())*BC90</f>
        <v>0</v>
      </c>
      <c r="BD188" s="196" t="n">
        <f aca="false">VLOOKUP($AU$1,'Datos Iniciales'!$E$34:$O$64,BD$158,FALSE())*BD90</f>
        <v>0</v>
      </c>
      <c r="BE188" s="197" t="n">
        <f aca="false">VLOOKUP($AU$1,'Datos Iniciales'!$E$34:$O$64,BE$158,FALSE())*BE90</f>
        <v>0</v>
      </c>
      <c r="BF188" s="194" t="str">
        <f aca="false">AU188</f>
        <v>Alumno29</v>
      </c>
      <c r="BG188" s="208" t="n">
        <f aca="false">VLOOKUP($BF$1,'Datos Iniciales'!$E$34:$O$64,BG$158,FALSE())*BG90</f>
        <v>0.5</v>
      </c>
      <c r="BH188" s="196" t="n">
        <f aca="false">VLOOKUP($BF$1,'Datos Iniciales'!$E$34:$O$64,BH$158,FALSE())*BH90</f>
        <v>0.9</v>
      </c>
      <c r="BI188" s="196" t="n">
        <f aca="false">VLOOKUP($BF$1,'Datos Iniciales'!$E$34:$O$64,BI$158,FALSE())*BI90</f>
        <v>0.3</v>
      </c>
      <c r="BJ188" s="196" t="n">
        <f aca="false">VLOOKUP($BF$1,'Datos Iniciales'!$E$34:$O$64,BJ$158,FALSE())*BJ90</f>
        <v>1.84</v>
      </c>
      <c r="BK188" s="196" t="n">
        <f aca="false">VLOOKUP($BF$1,'Datos Iniciales'!$E$34:$O$64,BK$158,FALSE())*BK90</f>
        <v>0</v>
      </c>
      <c r="BL188" s="196" t="n">
        <f aca="false">VLOOKUP($BF$1,'Datos Iniciales'!$E$34:$O$64,BL$158,FALSE())*BL90</f>
        <v>0</v>
      </c>
      <c r="BM188" s="196" t="n">
        <f aca="false">VLOOKUP($BF$1,'Datos Iniciales'!$E$34:$O$64,BM$158,FALSE())*BM90</f>
        <v>0</v>
      </c>
      <c r="BN188" s="196" t="n">
        <f aca="false">VLOOKUP($BF$1,'Datos Iniciales'!$E$34:$O$64,BN$158,FALSE())*BN90</f>
        <v>0</v>
      </c>
      <c r="BO188" s="196" t="n">
        <f aca="false">VLOOKUP($BF$1,'Datos Iniciales'!$E$34:$O$64,BO$158,FALSE())*BO90</f>
        <v>0</v>
      </c>
      <c r="BP188" s="197" t="n">
        <f aca="false">VLOOKUP($BF$1,'Datos Iniciales'!$E$34:$O$64,BP$158,FALSE())*BP90</f>
        <v>0</v>
      </c>
      <c r="BQ188" s="194" t="str">
        <f aca="false">BF188</f>
        <v>Alumno29</v>
      </c>
      <c r="BR188" s="208" t="n">
        <f aca="false">VLOOKUP($BQ$1,'Datos Iniciales'!$E$34:$O$64,BR$158,FALSE())*BR90</f>
        <v>0</v>
      </c>
      <c r="BS188" s="196" t="n">
        <f aca="false">VLOOKUP($BQ$1,'Datos Iniciales'!$E$34:$O$64,BS$158,FALSE())*BS90</f>
        <v>0.25</v>
      </c>
      <c r="BT188" s="196" t="n">
        <f aca="false">VLOOKUP($BQ$1,'Datos Iniciales'!$E$34:$O$64,BT$158,FALSE())*BT90</f>
        <v>0.75</v>
      </c>
      <c r="BU188" s="196" t="n">
        <f aca="false">VLOOKUP($BQ$1,'Datos Iniciales'!$E$34:$O$64,BU$158,FALSE())*BU90</f>
        <v>2.5</v>
      </c>
      <c r="BV188" s="196" t="n">
        <f aca="false">VLOOKUP($BQ$1,'Datos Iniciales'!$E$34:$O$64,BV$158,FALSE())*BV90</f>
        <v>0</v>
      </c>
      <c r="BW188" s="196" t="n">
        <f aca="false">VLOOKUP($BQ$1,'Datos Iniciales'!$E$34:$O$64,BW$158,FALSE())*BW90</f>
        <v>0</v>
      </c>
      <c r="BX188" s="196" t="n">
        <f aca="false">VLOOKUP($BQ$1,'Datos Iniciales'!$E$34:$O$64,BX$158,FALSE())*BX90</f>
        <v>0</v>
      </c>
      <c r="BY188" s="196" t="n">
        <f aca="false">VLOOKUP($BQ$1,'Datos Iniciales'!$E$34:$O$64,BY$158,FALSE())*BY90</f>
        <v>0</v>
      </c>
      <c r="BZ188" s="196" t="n">
        <f aca="false">VLOOKUP($BQ$1,'Datos Iniciales'!$E$34:$O$64,BZ$158,FALSE())*BZ90</f>
        <v>0</v>
      </c>
      <c r="CA188" s="197" t="n">
        <f aca="false">VLOOKUP($BQ$1,'Datos Iniciales'!$E$34:$O$64,CA$158,FALSE())*CA90</f>
        <v>0</v>
      </c>
      <c r="CB188" s="194" t="str">
        <f aca="false">BQ188</f>
        <v>Alumno29</v>
      </c>
      <c r="CC188" s="208" t="n">
        <f aca="false">VLOOKUP($CB$1,'Datos Iniciales'!$E$34:$O$64,CC$158,FALSE())*CC90</f>
        <v>0</v>
      </c>
      <c r="CD188" s="196" t="n">
        <f aca="false">VLOOKUP($CB$1,'Datos Iniciales'!$E$34:$O$64,CD$158,FALSE())*CD90</f>
        <v>0</v>
      </c>
      <c r="CE188" s="196" t="n">
        <f aca="false">VLOOKUP($CB$1,'Datos Iniciales'!$E$34:$O$64,CE$158,FALSE())*CE90</f>
        <v>0</v>
      </c>
      <c r="CF188" s="196" t="n">
        <f aca="false">VLOOKUP($CB$1,'Datos Iniciales'!$E$34:$O$64,CF$158,FALSE())*CF90</f>
        <v>0</v>
      </c>
      <c r="CG188" s="196" t="n">
        <f aca="false">VLOOKUP($CB$1,'Datos Iniciales'!$E$34:$O$64,CG$158,FALSE())*CG90</f>
        <v>0</v>
      </c>
      <c r="CH188" s="196" t="n">
        <f aca="false">VLOOKUP($CB$1,'Datos Iniciales'!$E$34:$O$64,CH$158,FALSE())*CH90</f>
        <v>0</v>
      </c>
      <c r="CI188" s="196" t="n">
        <f aca="false">VLOOKUP($CB$1,'Datos Iniciales'!$E$34:$O$64,CI$158,FALSE())*CI90</f>
        <v>0</v>
      </c>
      <c r="CJ188" s="196" t="n">
        <f aca="false">VLOOKUP($CB$1,'Datos Iniciales'!$E$34:$O$64,CJ$158,FALSE())*CJ90</f>
        <v>0</v>
      </c>
      <c r="CK188" s="196" t="n">
        <f aca="false">VLOOKUP($CB$1,'Datos Iniciales'!$E$34:$O$64,CK$158,FALSE())*CK90</f>
        <v>0</v>
      </c>
      <c r="CL188" s="197" t="n">
        <f aca="false">VLOOKUP($CB$1,'Datos Iniciales'!$E$34:$O$64,CL$158,FALSE())*CL90</f>
        <v>0</v>
      </c>
      <c r="CM188" s="194" t="str">
        <f aca="false">CB188</f>
        <v>Alumno29</v>
      </c>
      <c r="CN188" s="208" t="n">
        <f aca="false">VLOOKUP($CM$1,'Datos Iniciales'!$E$34:$O$64,CN$158,FALSE())*CN90</f>
        <v>0</v>
      </c>
      <c r="CO188" s="196" t="n">
        <f aca="false">VLOOKUP($CM$1,'Datos Iniciales'!$E$34:$O$64,CO$158,FALSE())*CO90</f>
        <v>0</v>
      </c>
      <c r="CP188" s="196" t="n">
        <f aca="false">VLOOKUP($CM$1,'Datos Iniciales'!$E$34:$O$64,CP$158,FALSE())*CP90</f>
        <v>0</v>
      </c>
      <c r="CQ188" s="196" t="n">
        <f aca="false">VLOOKUP($CM$1,'Datos Iniciales'!$E$34:$O$64,CQ$158,FALSE())*CQ90</f>
        <v>0</v>
      </c>
      <c r="CR188" s="196" t="n">
        <f aca="false">VLOOKUP($CM$1,'Datos Iniciales'!$E$34:$O$64,CR$158,FALSE())*CR90</f>
        <v>0</v>
      </c>
      <c r="CS188" s="196" t="n">
        <f aca="false">VLOOKUP($CM$1,'Datos Iniciales'!$E$34:$O$64,CS$158,FALSE())*CS90</f>
        <v>0</v>
      </c>
      <c r="CT188" s="196" t="n">
        <f aca="false">VLOOKUP($CM$1,'Datos Iniciales'!$E$34:$O$64,CT$158,FALSE())*CT90</f>
        <v>0</v>
      </c>
      <c r="CU188" s="196" t="n">
        <f aca="false">VLOOKUP($CM$1,'Datos Iniciales'!$E$34:$O$64,CU$158,FALSE())*CU90</f>
        <v>0</v>
      </c>
      <c r="CV188" s="196" t="n">
        <f aca="false">VLOOKUP($CM$1,'Datos Iniciales'!$E$34:$O$64,CV$158,FALSE())*CV90</f>
        <v>0</v>
      </c>
      <c r="CW188" s="197" t="n">
        <f aca="false">VLOOKUP($CM$1,'Datos Iniciales'!$E$34:$O$64,CW$158,FALSE())*CW90</f>
        <v>0</v>
      </c>
      <c r="CX188" s="194" t="str">
        <f aca="false">CM188</f>
        <v>Alumno29</v>
      </c>
      <c r="CY188" s="208" t="n">
        <f aca="false">VLOOKUP($CX$1,'Datos Iniciales'!$E$34:$O$64,CY$158,FALSE())*CY90</f>
        <v>0</v>
      </c>
      <c r="CZ188" s="196" t="n">
        <f aca="false">VLOOKUP($CX$1,'Datos Iniciales'!$E$34:$O$64,CZ$158,FALSE())*CZ90</f>
        <v>0</v>
      </c>
      <c r="DA188" s="196" t="n">
        <f aca="false">VLOOKUP($CX$1,'Datos Iniciales'!$E$34:$O$64,DA$158,FALSE())*DA90</f>
        <v>0</v>
      </c>
      <c r="DB188" s="196" t="n">
        <f aca="false">VLOOKUP($CX$1,'Datos Iniciales'!$E$34:$O$64,DB$158,FALSE())*DB90</f>
        <v>0</v>
      </c>
      <c r="DC188" s="196" t="n">
        <f aca="false">VLOOKUP($CX$1,'Datos Iniciales'!$E$34:$O$64,DC$158,FALSE())*DC90</f>
        <v>0</v>
      </c>
      <c r="DD188" s="196" t="n">
        <f aca="false">VLOOKUP($CX$1,'Datos Iniciales'!$E$34:$O$64,DD$158,FALSE())*DD90</f>
        <v>0</v>
      </c>
      <c r="DE188" s="196" t="n">
        <f aca="false">VLOOKUP($CX$1,'Datos Iniciales'!$E$34:$O$64,DE$158,FALSE())*DE90</f>
        <v>0</v>
      </c>
      <c r="DF188" s="196" t="n">
        <f aca="false">VLOOKUP($CX$1,'Datos Iniciales'!$E$34:$O$64,DF$158,FALSE())*DF90</f>
        <v>0</v>
      </c>
      <c r="DG188" s="196" t="n">
        <f aca="false">VLOOKUP($CX$1,'Datos Iniciales'!$E$34:$O$64,DG$158,FALSE())*DG90</f>
        <v>0</v>
      </c>
      <c r="DH188" s="197" t="n">
        <f aca="false">VLOOKUP($CX$1,'Datos Iniciales'!$E$34:$O$64,DH$158,FALSE())*DH90</f>
        <v>0</v>
      </c>
      <c r="DI188" s="194" t="str">
        <f aca="false">CX188</f>
        <v>Alumno29</v>
      </c>
      <c r="DJ188" s="208" t="n">
        <f aca="false">VLOOKUP($DI$1,'Datos Iniciales'!$E$34:$O$64,DJ$158,FALSE())*DJ90</f>
        <v>0</v>
      </c>
      <c r="DK188" s="196" t="n">
        <f aca="false">VLOOKUP($DI$1,'Datos Iniciales'!$E$34:$O$64,DK$158,FALSE())*DK90</f>
        <v>0</v>
      </c>
      <c r="DL188" s="196" t="n">
        <f aca="false">VLOOKUP($DI$1,'Datos Iniciales'!$E$34:$O$64,DL$158,FALSE())*DL90</f>
        <v>0</v>
      </c>
      <c r="DM188" s="196" t="n">
        <f aca="false">VLOOKUP($DI$1,'Datos Iniciales'!$E$34:$O$64,DM$158,FALSE())*DM90</f>
        <v>0</v>
      </c>
      <c r="DN188" s="196" t="n">
        <f aca="false">VLOOKUP($DI$1,'Datos Iniciales'!$E$34:$O$64,DN$158,FALSE())*DN90</f>
        <v>0</v>
      </c>
      <c r="DO188" s="196" t="n">
        <f aca="false">VLOOKUP($DI$1,'Datos Iniciales'!$E$34:$O$64,DO$158,FALSE())*DO90</f>
        <v>0</v>
      </c>
      <c r="DP188" s="196" t="n">
        <f aca="false">VLOOKUP($DI$1,'Datos Iniciales'!$E$34:$O$64,DP$158,FALSE())*DP90</f>
        <v>0</v>
      </c>
      <c r="DQ188" s="196" t="n">
        <f aca="false">VLOOKUP($DI$1,'Datos Iniciales'!$E$34:$O$64,DQ$158,FALSE())*DQ90</f>
        <v>0</v>
      </c>
      <c r="DR188" s="196" t="n">
        <f aca="false">VLOOKUP($DI$1,'Datos Iniciales'!$E$34:$O$64,DR$158,FALSE())*DR90</f>
        <v>0</v>
      </c>
      <c r="DS188" s="197" t="n">
        <f aca="false">VLOOKUP($DI$1,'Datos Iniciales'!$E$34:$O$64,DS$158,FALSE())*DS90</f>
        <v>0</v>
      </c>
      <c r="DT188" s="194" t="str">
        <f aca="false">DI188</f>
        <v>Alumno29</v>
      </c>
      <c r="DU188" s="208" t="n">
        <f aca="false">VLOOKUP($DT$1,'Datos Iniciales'!$E$34:$O$64,DU$158,FALSE())*DU90</f>
        <v>0</v>
      </c>
      <c r="DV188" s="196" t="n">
        <f aca="false">VLOOKUP($DT$1,'Datos Iniciales'!$E$34:$O$64,DV$158,FALSE())*DV90</f>
        <v>0</v>
      </c>
      <c r="DW188" s="196" t="n">
        <f aca="false">VLOOKUP($DT$1,'Datos Iniciales'!$E$34:$O$64,DW$158,FALSE())*DW90</f>
        <v>0</v>
      </c>
      <c r="DX188" s="196" t="n">
        <f aca="false">VLOOKUP($DT$1,'Datos Iniciales'!$E$34:$O$64,DX$158,FALSE())*DX90</f>
        <v>0</v>
      </c>
      <c r="DY188" s="196" t="n">
        <f aca="false">VLOOKUP($DT$1,'Datos Iniciales'!$E$34:$O$64,DY$158,FALSE())*DY90</f>
        <v>0</v>
      </c>
      <c r="DZ188" s="196" t="n">
        <f aca="false">VLOOKUP($DT$1,'Datos Iniciales'!$E$34:$O$64,DZ$158,FALSE())*DZ90</f>
        <v>0</v>
      </c>
      <c r="EA188" s="196" t="n">
        <f aca="false">VLOOKUP($DT$1,'Datos Iniciales'!$E$34:$O$64,EA$158,FALSE())*EA90</f>
        <v>0</v>
      </c>
      <c r="EB188" s="196" t="n">
        <f aca="false">VLOOKUP($DT$1,'Datos Iniciales'!$E$34:$O$64,EB$158,FALSE())*EB90</f>
        <v>0</v>
      </c>
      <c r="EC188" s="196" t="n">
        <f aca="false">VLOOKUP($DT$1,'Datos Iniciales'!$E$34:$O$64,EC$158,FALSE())*EC90</f>
        <v>0</v>
      </c>
      <c r="ED188" s="197" t="n">
        <f aca="false">VLOOKUP($DT$1,'Datos Iniciales'!$E$34:$O$64,ED$158,FALSE())*ED90</f>
        <v>0</v>
      </c>
      <c r="EE188" s="194" t="str">
        <f aca="false">DT188</f>
        <v>Alumno29</v>
      </c>
      <c r="EF188" s="208" t="n">
        <f aca="false">VLOOKUP($EE$1,'Datos Iniciales'!$E$34:$O$64,EF$158,FALSE())*EF90</f>
        <v>0</v>
      </c>
      <c r="EG188" s="196" t="n">
        <f aca="false">VLOOKUP($EE$1,'Datos Iniciales'!$E$34:$O$64,EG$158,FALSE())*EG90</f>
        <v>0</v>
      </c>
      <c r="EH188" s="196" t="n">
        <f aca="false">VLOOKUP($EE$1,'Datos Iniciales'!$E$34:$O$64,EH$158,FALSE())*EH90</f>
        <v>0</v>
      </c>
      <c r="EI188" s="196" t="n">
        <f aca="false">VLOOKUP($EE$1,'Datos Iniciales'!$E$34:$O$64,EI$158,FALSE())*EI90</f>
        <v>0</v>
      </c>
      <c r="EJ188" s="196" t="n">
        <f aca="false">VLOOKUP($EE$1,'Datos Iniciales'!$E$34:$O$64,EJ$158,FALSE())*EJ90</f>
        <v>0</v>
      </c>
      <c r="EK188" s="196" t="n">
        <f aca="false">VLOOKUP($EE$1,'Datos Iniciales'!$E$34:$O$64,EK$158,FALSE())*EK90</f>
        <v>0</v>
      </c>
      <c r="EL188" s="196" t="n">
        <f aca="false">VLOOKUP($EE$1,'Datos Iniciales'!$E$34:$O$64,EL$158,FALSE())*EL90</f>
        <v>0</v>
      </c>
      <c r="EM188" s="196" t="n">
        <f aca="false">VLOOKUP($EE$1,'Datos Iniciales'!$E$34:$O$64,EM$158,FALSE())*EM90</f>
        <v>0</v>
      </c>
      <c r="EN188" s="196" t="n">
        <f aca="false">VLOOKUP($EE$1,'Datos Iniciales'!$E$34:$O$64,EN$158,FALSE())*EN90</f>
        <v>0</v>
      </c>
      <c r="EO188" s="197" t="n">
        <f aca="false">VLOOKUP($EE$1,'Datos Iniciales'!$E$34:$O$64,EO$158,FALSE())*EO90</f>
        <v>0</v>
      </c>
      <c r="EP188" s="194" t="str">
        <f aca="false">EE188</f>
        <v>Alumno29</v>
      </c>
      <c r="EQ188" s="208" t="n">
        <f aca="false">VLOOKUP($EP$1,'Datos Iniciales'!$E$34:$O$64,EQ$158,FALSE())*EQ90</f>
        <v>0</v>
      </c>
      <c r="ER188" s="196" t="n">
        <f aca="false">VLOOKUP($EP$1,'Datos Iniciales'!$E$34:$O$64,ER$158,FALSE())*ER90</f>
        <v>0</v>
      </c>
      <c r="ES188" s="196" t="n">
        <f aca="false">VLOOKUP($EP$1,'Datos Iniciales'!$E$34:$O$64,ES$158,FALSE())*ES90</f>
        <v>0</v>
      </c>
      <c r="ET188" s="196" t="n">
        <f aca="false">VLOOKUP($EP$1,'Datos Iniciales'!$E$34:$O$64,ET$158,FALSE())*ET90</f>
        <v>0</v>
      </c>
      <c r="EU188" s="196" t="n">
        <f aca="false">VLOOKUP($EP$1,'Datos Iniciales'!$E$34:$O$64,EU$158,FALSE())*EU90</f>
        <v>0</v>
      </c>
      <c r="EV188" s="196" t="n">
        <f aca="false">VLOOKUP($EP$1,'Datos Iniciales'!$E$34:$O$64,EV$158,FALSE())*EV90</f>
        <v>0</v>
      </c>
      <c r="EW188" s="196" t="n">
        <f aca="false">VLOOKUP($EP$1,'Datos Iniciales'!$E$34:$O$64,EW$158,FALSE())*EW90</f>
        <v>0</v>
      </c>
      <c r="EX188" s="196" t="n">
        <f aca="false">VLOOKUP($EP$1,'Datos Iniciales'!$E$34:$O$64,EX$158,FALSE())*EX90</f>
        <v>0</v>
      </c>
      <c r="EY188" s="196" t="n">
        <f aca="false">VLOOKUP($EP$1,'Datos Iniciales'!$E$34:$O$64,EY$158,FALSE())*EY90</f>
        <v>0</v>
      </c>
      <c r="EZ188" s="197" t="n">
        <f aca="false">VLOOKUP($EP$1,'Datos Iniciales'!$E$34:$O$64,EZ$158,FALSE())*EZ90</f>
        <v>0</v>
      </c>
      <c r="FA188" s="194" t="str">
        <f aca="false">EP188</f>
        <v>Alumno29</v>
      </c>
      <c r="FB188" s="208" t="n">
        <f aca="false">VLOOKUP($FA$1,'Datos Iniciales'!$E$34:$O$64,FB$158,FALSE())*FB90</f>
        <v>0</v>
      </c>
      <c r="FC188" s="196" t="n">
        <f aca="false">VLOOKUP($FA$1,'Datos Iniciales'!$E$34:$O$64,FC$158,FALSE())*FC90</f>
        <v>0</v>
      </c>
      <c r="FD188" s="196" t="n">
        <f aca="false">VLOOKUP($FA$1,'Datos Iniciales'!$E$34:$O$64,FD$158,FALSE())*FD90</f>
        <v>0</v>
      </c>
      <c r="FE188" s="196" t="n">
        <f aca="false">VLOOKUP($FA$1,'Datos Iniciales'!$E$34:$O$64,FE$158,FALSE())*FE90</f>
        <v>0</v>
      </c>
      <c r="FF188" s="196" t="n">
        <f aca="false">VLOOKUP($FA$1,'Datos Iniciales'!$E$34:$O$64,FF$158,FALSE())*FF90</f>
        <v>0</v>
      </c>
      <c r="FG188" s="196" t="n">
        <f aca="false">VLOOKUP($FA$1,'Datos Iniciales'!$E$34:$O$64,FG$158,FALSE())*FG90</f>
        <v>0</v>
      </c>
      <c r="FH188" s="196" t="n">
        <f aca="false">VLOOKUP($FA$1,'Datos Iniciales'!$E$34:$O$64,FH$158,FALSE())*FH90</f>
        <v>0</v>
      </c>
      <c r="FI188" s="196" t="n">
        <f aca="false">VLOOKUP($FA$1,'Datos Iniciales'!$E$34:$O$64,FI$158,FALSE())*FI90</f>
        <v>0</v>
      </c>
      <c r="FJ188" s="196" t="n">
        <f aca="false">VLOOKUP($FA$1,'Datos Iniciales'!$E$34:$O$64,FJ$158,FALSE())*FJ90</f>
        <v>0</v>
      </c>
      <c r="FK188" s="197" t="n">
        <f aca="false">VLOOKUP($FA$1,'Datos Iniciales'!$E$34:$O$64,FK$158,FALSE())*FK90</f>
        <v>0</v>
      </c>
      <c r="FL188" s="194" t="str">
        <f aca="false">FA188</f>
        <v>Alumno29</v>
      </c>
      <c r="FM188" s="208" t="n">
        <f aca="false">VLOOKUP($FL$1,'Datos Iniciales'!$E$34:$O$64,FM$158,FALSE())*FM90</f>
        <v>0</v>
      </c>
      <c r="FN188" s="196" t="n">
        <f aca="false">VLOOKUP($FL$1,'Datos Iniciales'!$E$34:$O$64,FN$158,FALSE())*FN90</f>
        <v>0</v>
      </c>
      <c r="FO188" s="196" t="n">
        <f aca="false">VLOOKUP($FL$1,'Datos Iniciales'!$E$34:$O$64,FO$158,FALSE())*FO90</f>
        <v>0</v>
      </c>
      <c r="FP188" s="196" t="n">
        <f aca="false">VLOOKUP($FL$1,'Datos Iniciales'!$E$34:$O$64,FP$158,FALSE())*FP90</f>
        <v>0</v>
      </c>
      <c r="FQ188" s="196" t="n">
        <f aca="false">VLOOKUP($FL$1,'Datos Iniciales'!$E$34:$O$64,FQ$158,FALSE())*FQ90</f>
        <v>0</v>
      </c>
      <c r="FR188" s="196" t="n">
        <f aca="false">VLOOKUP($FL$1,'Datos Iniciales'!$E$34:$O$64,FR$158,FALSE())*FR90</f>
        <v>0</v>
      </c>
      <c r="FS188" s="196" t="n">
        <f aca="false">VLOOKUP($FL$1,'Datos Iniciales'!$E$34:$O$64,FS$158,FALSE())*FS90</f>
        <v>0</v>
      </c>
      <c r="FT188" s="196" t="n">
        <f aca="false">VLOOKUP($FL$1,'Datos Iniciales'!$E$34:$O$64,FT$158,FALSE())*FT90</f>
        <v>0</v>
      </c>
      <c r="FU188" s="196" t="n">
        <f aca="false">VLOOKUP($FL$1,'Datos Iniciales'!$E$34:$O$64,FU$158,FALSE())*FU90</f>
        <v>0</v>
      </c>
      <c r="FV188" s="197" t="n">
        <f aca="false">VLOOKUP($FL$1,'Datos Iniciales'!$E$34:$O$64,FV$158,FALSE())*FV90</f>
        <v>0</v>
      </c>
      <c r="FW188" s="194" t="str">
        <f aca="false">FL188</f>
        <v>Alumno29</v>
      </c>
      <c r="FX188" s="208" t="n">
        <f aca="false">VLOOKUP($FW$1,'Datos Iniciales'!$E$34:$O$64,FX$158,FALSE())*FX90</f>
        <v>0</v>
      </c>
      <c r="FY188" s="196" t="n">
        <f aca="false">VLOOKUP($FW$1,'Datos Iniciales'!$E$34:$O$64,FY$158,FALSE())*FY90</f>
        <v>0</v>
      </c>
      <c r="FZ188" s="196" t="n">
        <f aca="false">VLOOKUP($FW$1,'Datos Iniciales'!$E$34:$O$64,FZ$158,FALSE())*FZ90</f>
        <v>0</v>
      </c>
      <c r="GA188" s="196" t="n">
        <f aca="false">VLOOKUP($FW$1,'Datos Iniciales'!$E$34:$O$64,GA$158,FALSE())*GA90</f>
        <v>0</v>
      </c>
      <c r="GB188" s="196" t="n">
        <f aca="false">VLOOKUP($FW$1,'Datos Iniciales'!$E$34:$O$64,GB$158,FALSE())*GB90</f>
        <v>0</v>
      </c>
      <c r="GC188" s="196" t="n">
        <f aca="false">VLOOKUP($FW$1,'Datos Iniciales'!$E$34:$O$64,GC$158,FALSE())*GC90</f>
        <v>0</v>
      </c>
      <c r="GD188" s="196" t="n">
        <f aca="false">VLOOKUP($FW$1,'Datos Iniciales'!$E$34:$O$64,GD$158,FALSE())*GD90</f>
        <v>0</v>
      </c>
      <c r="GE188" s="196" t="n">
        <f aca="false">VLOOKUP($FW$1,'Datos Iniciales'!$E$34:$O$64,GE$158,FALSE())*GE90</f>
        <v>0</v>
      </c>
      <c r="GF188" s="196" t="n">
        <f aca="false">VLOOKUP($FW$1,'Datos Iniciales'!$E$34:$O$64,GF$158,FALSE())*GF90</f>
        <v>0</v>
      </c>
      <c r="GG188" s="197" t="n">
        <f aca="false">VLOOKUP($FW$1,'Datos Iniciales'!$E$34:$O$64,GG$158,FALSE())*GG90</f>
        <v>0</v>
      </c>
      <c r="GH188" s="194" t="str">
        <f aca="false">FW188</f>
        <v>Alumno29</v>
      </c>
      <c r="GI188" s="208" t="n">
        <f aca="false">VLOOKUP($GH$1,'Datos Iniciales'!$E$34:$O$64,GI$158,FALSE())*GI90</f>
        <v>0</v>
      </c>
      <c r="GJ188" s="196" t="n">
        <f aca="false">VLOOKUP($GH$1,'Datos Iniciales'!$E$34:$O$64,GJ$158,FALSE())*GJ90</f>
        <v>0</v>
      </c>
      <c r="GK188" s="196" t="n">
        <f aca="false">VLOOKUP($GH$1,'Datos Iniciales'!$E$34:$O$64,GK$158,FALSE())*GK90</f>
        <v>0</v>
      </c>
      <c r="GL188" s="196" t="n">
        <f aca="false">VLOOKUP($GH$1,'Datos Iniciales'!$E$34:$O$64,GL$158,FALSE())*GL90</f>
        <v>0</v>
      </c>
      <c r="GM188" s="196" t="n">
        <f aca="false">VLOOKUP($GH$1,'Datos Iniciales'!$E$34:$O$64,GM$158,FALSE())*GM90</f>
        <v>0</v>
      </c>
      <c r="GN188" s="196" t="n">
        <f aca="false">VLOOKUP($GH$1,'Datos Iniciales'!$E$34:$O$64,GN$158,FALSE())*GN90</f>
        <v>0</v>
      </c>
      <c r="GO188" s="196" t="n">
        <f aca="false">VLOOKUP($GH$1,'Datos Iniciales'!$E$34:$O$64,GO$158,FALSE())*GO90</f>
        <v>0</v>
      </c>
      <c r="GP188" s="196" t="n">
        <f aca="false">VLOOKUP($GH$1,'Datos Iniciales'!$E$34:$O$64,GP$158,FALSE())*GP90</f>
        <v>0</v>
      </c>
      <c r="GQ188" s="196" t="n">
        <f aca="false">VLOOKUP($GH$1,'Datos Iniciales'!$E$34:$O$64,GQ$158,FALSE())*GQ90</f>
        <v>0</v>
      </c>
      <c r="GR188" s="197" t="n">
        <f aca="false">VLOOKUP($GH$1,'Datos Iniciales'!$E$34:$O$64,GR$158,FALSE())*GR90</f>
        <v>0</v>
      </c>
      <c r="GS188" s="194" t="str">
        <f aca="false">GH188</f>
        <v>Alumno29</v>
      </c>
      <c r="GT188" s="208" t="n">
        <f aca="false">VLOOKUP($GS$1,'Datos Iniciales'!$E$34:$O$64,GT$158,FALSE())*GT90</f>
        <v>0</v>
      </c>
      <c r="GU188" s="196" t="n">
        <f aca="false">VLOOKUP($GS$1,'Datos Iniciales'!$E$34:$O$64,GU$158,FALSE())*GU90</f>
        <v>0</v>
      </c>
      <c r="GV188" s="196" t="n">
        <f aca="false">VLOOKUP($GS$1,'Datos Iniciales'!$E$34:$O$64,GV$158,FALSE())*GV90</f>
        <v>0</v>
      </c>
      <c r="GW188" s="196" t="n">
        <f aca="false">VLOOKUP($GS$1,'Datos Iniciales'!$E$34:$O$64,GW$158,FALSE())*GW90</f>
        <v>0</v>
      </c>
      <c r="GX188" s="196" t="n">
        <f aca="false">VLOOKUP($GS$1,'Datos Iniciales'!$E$34:$O$64,GX$158,FALSE())*GX90</f>
        <v>0</v>
      </c>
      <c r="GY188" s="196" t="n">
        <f aca="false">VLOOKUP($GS$1,'Datos Iniciales'!$E$34:$O$64,GY$158,FALSE())*GY90</f>
        <v>0</v>
      </c>
      <c r="GZ188" s="196" t="n">
        <f aca="false">VLOOKUP($GS$1,'Datos Iniciales'!$E$34:$O$64,GZ$158,FALSE())*GZ90</f>
        <v>0</v>
      </c>
      <c r="HA188" s="196" t="n">
        <f aca="false">VLOOKUP($GS$1,'Datos Iniciales'!$E$34:$O$64,HA$158,FALSE())*HA90</f>
        <v>0</v>
      </c>
      <c r="HB188" s="196" t="n">
        <f aca="false">VLOOKUP($GS$1,'Datos Iniciales'!$E$34:$O$64,HB$158,FALSE())*HB90</f>
        <v>0</v>
      </c>
      <c r="HC188" s="197" t="n">
        <f aca="false">VLOOKUP($GS$1,'Datos Iniciales'!$E$34:$O$64,HC$158,FALSE())*HC90</f>
        <v>0</v>
      </c>
      <c r="HD188" s="194" t="str">
        <f aca="false">GS188</f>
        <v>Alumno29</v>
      </c>
      <c r="HE188" s="208" t="n">
        <f aca="false">VLOOKUP($HD$1,'Datos Iniciales'!$E$34:$O$64,HE$158,FALSE())*HE90</f>
        <v>0</v>
      </c>
      <c r="HF188" s="196" t="n">
        <f aca="false">VLOOKUP($HD$1,'Datos Iniciales'!$E$34:$O$64,HF$158,FALSE())*HF90</f>
        <v>0</v>
      </c>
      <c r="HG188" s="196" t="n">
        <f aca="false">VLOOKUP($HD$1,'Datos Iniciales'!$E$34:$O$64,HG$158,FALSE())*HG90</f>
        <v>0</v>
      </c>
      <c r="HH188" s="196" t="n">
        <f aca="false">VLOOKUP($HD$1,'Datos Iniciales'!$E$34:$O$64,HH$158,FALSE())*HH90</f>
        <v>0</v>
      </c>
      <c r="HI188" s="196" t="n">
        <f aca="false">VLOOKUP($HD$1,'Datos Iniciales'!$E$34:$O$64,HI$158,FALSE())*HI90</f>
        <v>0</v>
      </c>
      <c r="HJ188" s="196" t="n">
        <f aca="false">VLOOKUP($HD$1,'Datos Iniciales'!$E$34:$O$64,HJ$158,FALSE())*HJ90</f>
        <v>0</v>
      </c>
      <c r="HK188" s="196" t="n">
        <f aca="false">VLOOKUP($HD$1,'Datos Iniciales'!$E$34:$O$64,HK$158,FALSE())*HK90</f>
        <v>0</v>
      </c>
      <c r="HL188" s="196" t="n">
        <f aca="false">VLOOKUP($HD$1,'Datos Iniciales'!$E$34:$O$64,HL$158,FALSE())*HL90</f>
        <v>0</v>
      </c>
      <c r="HM188" s="196" t="n">
        <f aca="false">VLOOKUP($HD$1,'Datos Iniciales'!$E$34:$O$64,HM$158,FALSE())*HM90</f>
        <v>0</v>
      </c>
      <c r="HN188" s="197" t="n">
        <f aca="false">VLOOKUP($HD$1,'Datos Iniciales'!$E$34:$O$64,HN$158,FALSE())*HN90</f>
        <v>0</v>
      </c>
      <c r="HO188" s="194" t="str">
        <f aca="false">HD188</f>
        <v>Alumno29</v>
      </c>
      <c r="HP188" s="208" t="n">
        <f aca="false">VLOOKUP($HO$1,'Datos Iniciales'!$E$34:$O$64,HP$158,FALSE())*HP90</f>
        <v>0</v>
      </c>
      <c r="HQ188" s="196" t="n">
        <f aca="false">VLOOKUP($HO$1,'Datos Iniciales'!$E$34:$O$64,HQ$158,FALSE())*HQ90</f>
        <v>0</v>
      </c>
      <c r="HR188" s="196" t="n">
        <f aca="false">VLOOKUP($HO$1,'Datos Iniciales'!$E$34:$O$64,HR$158,FALSE())*HR90</f>
        <v>0</v>
      </c>
      <c r="HS188" s="196" t="n">
        <f aca="false">VLOOKUP($HO$1,'Datos Iniciales'!$E$34:$O$64,HS$158,FALSE())*HS90</f>
        <v>0</v>
      </c>
      <c r="HT188" s="196" t="n">
        <f aca="false">VLOOKUP($HO$1,'Datos Iniciales'!$E$34:$O$64,HT$158,FALSE())*HT90</f>
        <v>0</v>
      </c>
      <c r="HU188" s="196" t="n">
        <f aca="false">VLOOKUP($HO$1,'Datos Iniciales'!$E$34:$O$64,HU$158,FALSE())*HU90</f>
        <v>0</v>
      </c>
      <c r="HV188" s="196" t="n">
        <f aca="false">VLOOKUP($HO$1,'Datos Iniciales'!$E$34:$O$64,HV$158,FALSE())*HV90</f>
        <v>0</v>
      </c>
      <c r="HW188" s="196" t="n">
        <f aca="false">VLOOKUP($HO$1,'Datos Iniciales'!$E$34:$O$64,HW$158,FALSE())*HW90</f>
        <v>0</v>
      </c>
      <c r="HX188" s="196" t="n">
        <f aca="false">VLOOKUP($HO$1,'Datos Iniciales'!$E$34:$O$64,HX$158,FALSE())*HX90</f>
        <v>0</v>
      </c>
      <c r="HY188" s="197" t="n">
        <f aca="false">VLOOKUP($HO$1,'Datos Iniciales'!$E$34:$O$64,HY$158,FALSE())*HY90</f>
        <v>0</v>
      </c>
      <c r="HZ188" s="194" t="str">
        <f aca="false">HO188</f>
        <v>Alumno29</v>
      </c>
      <c r="IA188" s="208" t="n">
        <f aca="false">VLOOKUP($HZ$1,'Datos Iniciales'!$E$34:$O$64,IA$158,FALSE())*IA90</f>
        <v>0</v>
      </c>
      <c r="IB188" s="196" t="n">
        <f aca="false">VLOOKUP($HZ$1,'Datos Iniciales'!$E$34:$O$64,IB$158,FALSE())*IB90</f>
        <v>0</v>
      </c>
      <c r="IC188" s="196" t="n">
        <f aca="false">VLOOKUP($HZ$1,'Datos Iniciales'!$E$34:$O$64,IC$158,FALSE())*IC90</f>
        <v>0</v>
      </c>
      <c r="ID188" s="196" t="n">
        <f aca="false">VLOOKUP($HZ$1,'Datos Iniciales'!$E$34:$O$64,ID$158,FALSE())*ID90</f>
        <v>0</v>
      </c>
      <c r="IE188" s="196" t="n">
        <f aca="false">VLOOKUP($HZ$1,'Datos Iniciales'!$E$34:$O$64,IE$158,FALSE())*IE90</f>
        <v>0</v>
      </c>
      <c r="IF188" s="196" t="n">
        <f aca="false">VLOOKUP($HZ$1,'Datos Iniciales'!$E$34:$O$64,IF$158,FALSE())*IF90</f>
        <v>0</v>
      </c>
      <c r="IG188" s="196" t="n">
        <f aca="false">VLOOKUP($HZ$1,'Datos Iniciales'!$E$34:$O$64,IG$158,FALSE())*IG90</f>
        <v>0</v>
      </c>
      <c r="IH188" s="196" t="n">
        <f aca="false">VLOOKUP($HZ$1,'Datos Iniciales'!$E$34:$O$64,IH$158,FALSE())*IH90</f>
        <v>0</v>
      </c>
      <c r="II188" s="196" t="n">
        <f aca="false">VLOOKUP($HZ$1,'Datos Iniciales'!$E$34:$O$64,II$158,FALSE())*II90</f>
        <v>0</v>
      </c>
      <c r="IJ188" s="197" t="n">
        <f aca="false">VLOOKUP($HZ$1,'Datos Iniciales'!$E$34:$O$64,IJ$158,FALSE())*IJ90</f>
        <v>0</v>
      </c>
      <c r="IK188" s="194" t="str">
        <f aca="false">HZ188</f>
        <v>Alumno29</v>
      </c>
      <c r="IL188" s="208" t="n">
        <f aca="false">VLOOKUP($IK$1,'Datos Iniciales'!$E$34:$O$64,IL$158,FALSE())*IL90</f>
        <v>0</v>
      </c>
      <c r="IM188" s="196" t="n">
        <f aca="false">VLOOKUP($IK$1,'Datos Iniciales'!$E$34:$O$64,IM$158,FALSE())*IM90</f>
        <v>0</v>
      </c>
      <c r="IN188" s="196" t="n">
        <f aca="false">VLOOKUP($IK$1,'Datos Iniciales'!$E$34:$O$64,IN$158,FALSE())*IN90</f>
        <v>0</v>
      </c>
      <c r="IO188" s="196" t="n">
        <f aca="false">VLOOKUP($IK$1,'Datos Iniciales'!$E$34:$O$64,IO$158,FALSE())*IO90</f>
        <v>0</v>
      </c>
      <c r="IP188" s="196" t="n">
        <f aca="false">VLOOKUP($IK$1,'Datos Iniciales'!$E$34:$O$64,IP$158,FALSE())*IP90</f>
        <v>0</v>
      </c>
      <c r="IQ188" s="196" t="n">
        <f aca="false">VLOOKUP($IK$1,'Datos Iniciales'!$E$34:$O$64,IQ$158,FALSE())*IQ90</f>
        <v>0</v>
      </c>
      <c r="IR188" s="196" t="n">
        <f aca="false">VLOOKUP($IK$1,'Datos Iniciales'!$E$34:$O$64,IR$158,FALSE())*IR90</f>
        <v>0</v>
      </c>
      <c r="IS188" s="196" t="n">
        <f aca="false">VLOOKUP($IK$1,'Datos Iniciales'!$E$34:$O$64,IS$158,FALSE())*IS90</f>
        <v>0</v>
      </c>
      <c r="IT188" s="196" t="n">
        <f aca="false">VLOOKUP($IK$1,'Datos Iniciales'!$E$34:$O$64,IT$158,FALSE())*IT90</f>
        <v>0</v>
      </c>
      <c r="IU188" s="197" t="n">
        <f aca="false">VLOOKUP($IK$1,'Datos Iniciales'!$E$34:$O$64,IU$158,FALSE())*IU90</f>
        <v>0</v>
      </c>
      <c r="IV188" s="194" t="str">
        <f aca="false">IK188</f>
        <v>Alumno29</v>
      </c>
      <c r="IW188" s="208" t="n">
        <f aca="false">VLOOKUP($IV$1,'Datos Iniciales'!$E$34:$O$64,IW$158,FALSE())*IW90</f>
        <v>0</v>
      </c>
      <c r="IX188" s="196" t="n">
        <f aca="false">VLOOKUP($IV$1,'Datos Iniciales'!$E$34:$O$64,IX$158,FALSE())*IX90</f>
        <v>0</v>
      </c>
      <c r="IY188" s="196" t="n">
        <f aca="false">VLOOKUP($IV$1,'Datos Iniciales'!$E$34:$O$64,IY$158,FALSE())*IY90</f>
        <v>0</v>
      </c>
      <c r="IZ188" s="196" t="n">
        <f aca="false">VLOOKUP($IV$1,'Datos Iniciales'!$E$34:$O$64,IZ$158,FALSE())*IZ90</f>
        <v>0</v>
      </c>
      <c r="JA188" s="196" t="n">
        <f aca="false">VLOOKUP($IV$1,'Datos Iniciales'!$E$34:$O$64,JA$158,FALSE())*JA90</f>
        <v>0</v>
      </c>
      <c r="JB188" s="196" t="n">
        <f aca="false">VLOOKUP($IV$1,'Datos Iniciales'!$E$34:$O$64,JB$158,FALSE())*JB90</f>
        <v>0</v>
      </c>
      <c r="JC188" s="196" t="n">
        <f aca="false">VLOOKUP($IV$1,'Datos Iniciales'!$E$34:$O$64,JC$158,FALSE())*JC90</f>
        <v>0</v>
      </c>
      <c r="JD188" s="196" t="n">
        <f aca="false">VLOOKUP($IV$1,'Datos Iniciales'!$E$34:$O$64,JD$158,FALSE())*JD90</f>
        <v>0</v>
      </c>
      <c r="JE188" s="196" t="n">
        <f aca="false">VLOOKUP($IV$1,'Datos Iniciales'!$E$34:$O$64,JE$158,FALSE())*JE90</f>
        <v>0</v>
      </c>
      <c r="JF188" s="197" t="n">
        <f aca="false">VLOOKUP($IV$1,'Datos Iniciales'!$E$34:$O$64,JF$158,FALSE())*JF90</f>
        <v>0</v>
      </c>
      <c r="JG188" s="194" t="str">
        <f aca="false">IV188</f>
        <v>Alumno29</v>
      </c>
      <c r="JH188" s="208" t="n">
        <f aca="false">VLOOKUP($JG$1,'Datos Iniciales'!$E$34:$O$64,JH$158,FALSE())*JH90</f>
        <v>0</v>
      </c>
      <c r="JI188" s="196" t="n">
        <f aca="false">VLOOKUP($JG$1,'Datos Iniciales'!$E$34:$O$64,JI$158,FALSE())*JI90</f>
        <v>0</v>
      </c>
      <c r="JJ188" s="196" t="n">
        <f aca="false">VLOOKUP($JG$1,'Datos Iniciales'!$E$34:$O$64,JJ$158,FALSE())*JJ90</f>
        <v>0</v>
      </c>
      <c r="JK188" s="196" t="n">
        <f aca="false">VLOOKUP($JG$1,'Datos Iniciales'!$E$34:$O$64,JK$158,FALSE())*JK90</f>
        <v>0</v>
      </c>
      <c r="JL188" s="196" t="n">
        <f aca="false">VLOOKUP($JG$1,'Datos Iniciales'!$E$34:$O$64,JL$158,FALSE())*JL90</f>
        <v>0</v>
      </c>
      <c r="JM188" s="196" t="n">
        <f aca="false">VLOOKUP($JG$1,'Datos Iniciales'!$E$34:$O$64,JM$158,FALSE())*JM90</f>
        <v>0</v>
      </c>
      <c r="JN188" s="196" t="n">
        <f aca="false">VLOOKUP($JG$1,'Datos Iniciales'!$E$34:$O$64,JN$158,FALSE())*JN90</f>
        <v>0</v>
      </c>
      <c r="JO188" s="196" t="n">
        <f aca="false">VLOOKUP($JG$1,'Datos Iniciales'!$E$34:$O$64,JO$158,FALSE())*JO90</f>
        <v>0</v>
      </c>
      <c r="JP188" s="196" t="n">
        <f aca="false">VLOOKUP($JG$1,'Datos Iniciales'!$E$34:$O$64,JP$158,FALSE())*JP90</f>
        <v>0</v>
      </c>
      <c r="JQ188" s="197" t="n">
        <f aca="false">VLOOKUP($JG$1,'Datos Iniciales'!$E$34:$O$64,JQ$158,FALSE())*JQ90</f>
        <v>0</v>
      </c>
      <c r="JR188" s="194" t="str">
        <f aca="false">JG188</f>
        <v>Alumno29</v>
      </c>
      <c r="JS188" s="208" t="n">
        <f aca="false">VLOOKUP($JR$1,'Datos Iniciales'!$E$34:$O$64,JS$158,FALSE())*JS90</f>
        <v>0</v>
      </c>
      <c r="JT188" s="196" t="n">
        <f aca="false">VLOOKUP($JR$1,'Datos Iniciales'!$E$34:$O$64,JT$158,FALSE())*JT90</f>
        <v>0</v>
      </c>
      <c r="JU188" s="196" t="n">
        <f aca="false">VLOOKUP($JR$1,'Datos Iniciales'!$E$34:$O$64,JU$158,FALSE())*JU90</f>
        <v>0</v>
      </c>
      <c r="JV188" s="196" t="n">
        <f aca="false">VLOOKUP($JR$1,'Datos Iniciales'!$E$34:$O$64,JV$158,FALSE())*JV90</f>
        <v>0</v>
      </c>
      <c r="JW188" s="196" t="n">
        <f aca="false">VLOOKUP($JR$1,'Datos Iniciales'!$E$34:$O$64,JW$158,FALSE())*JW90</f>
        <v>0</v>
      </c>
      <c r="JX188" s="196" t="n">
        <f aca="false">VLOOKUP($JR$1,'Datos Iniciales'!$E$34:$O$64,JX$158,FALSE())*JX90</f>
        <v>0</v>
      </c>
      <c r="JY188" s="196" t="n">
        <f aca="false">VLOOKUP($JR$1,'Datos Iniciales'!$E$34:$O$64,JY$158,FALSE())*JY90</f>
        <v>0</v>
      </c>
      <c r="JZ188" s="196" t="n">
        <f aca="false">VLOOKUP($JR$1,'Datos Iniciales'!$E$34:$O$64,JZ$158,FALSE())*JZ90</f>
        <v>0</v>
      </c>
      <c r="KA188" s="196" t="n">
        <f aca="false">VLOOKUP($JR$1,'Datos Iniciales'!$E$34:$O$64,KA$158,FALSE())*KA90</f>
        <v>0</v>
      </c>
      <c r="KB188" s="197" t="n">
        <f aca="false">VLOOKUP($JR$1,'Datos Iniciales'!$E$34:$O$64,KB$158,FALSE())*KB90</f>
        <v>0</v>
      </c>
      <c r="KC188" s="194" t="str">
        <f aca="false">JR188</f>
        <v>Alumno29</v>
      </c>
      <c r="KD188" s="208" t="n">
        <f aca="false">VLOOKUP($KC$1,'Datos Iniciales'!$E$34:$O$64,KD$158,FALSE())*KD90</f>
        <v>0</v>
      </c>
      <c r="KE188" s="196" t="n">
        <f aca="false">VLOOKUP($KC$1,'Datos Iniciales'!$E$34:$O$64,KE$158,FALSE())*KE90</f>
        <v>0</v>
      </c>
      <c r="KF188" s="196" t="n">
        <f aca="false">VLOOKUP($KC$1,'Datos Iniciales'!$E$34:$O$64,KF$158,FALSE())*KF90</f>
        <v>0</v>
      </c>
      <c r="KG188" s="196" t="n">
        <f aca="false">VLOOKUP($KC$1,'Datos Iniciales'!$E$34:$O$64,KG$158,FALSE())*KG90</f>
        <v>0</v>
      </c>
      <c r="KH188" s="196" t="n">
        <f aca="false">VLOOKUP($KC$1,'Datos Iniciales'!$E$34:$O$64,KH$158,FALSE())*KH90</f>
        <v>0</v>
      </c>
      <c r="KI188" s="196" t="n">
        <f aca="false">VLOOKUP($KC$1,'Datos Iniciales'!$E$34:$O$64,KI$158,FALSE())*KI90</f>
        <v>0</v>
      </c>
      <c r="KJ188" s="196" t="n">
        <f aca="false">VLOOKUP($KC$1,'Datos Iniciales'!$E$34:$O$64,KJ$158,FALSE())*KJ90</f>
        <v>0</v>
      </c>
      <c r="KK188" s="196" t="n">
        <f aca="false">VLOOKUP($KC$1,'Datos Iniciales'!$E$34:$O$64,KK$158,FALSE())*KK90</f>
        <v>0</v>
      </c>
      <c r="KL188" s="196" t="n">
        <f aca="false">VLOOKUP($KC$1,'Datos Iniciales'!$E$34:$O$64,KL$158,FALSE())*KL90</f>
        <v>0</v>
      </c>
      <c r="KM188" s="197" t="n">
        <f aca="false">VLOOKUP($KC$1,'Datos Iniciales'!$E$34:$O$64,KM$158,FALSE())*KM90</f>
        <v>0</v>
      </c>
      <c r="KN188" s="194" t="str">
        <f aca="false">KC188</f>
        <v>Alumno29</v>
      </c>
      <c r="KO188" s="208" t="n">
        <f aca="false">VLOOKUP($KN$1,'Datos Iniciales'!$E$34:$O$64,KO$158,FALSE())*KO90</f>
        <v>0</v>
      </c>
      <c r="KP188" s="196" t="n">
        <f aca="false">VLOOKUP($KN$1,'Datos Iniciales'!$E$34:$O$64,KP$158,FALSE())*KP90</f>
        <v>0</v>
      </c>
      <c r="KQ188" s="196" t="n">
        <f aca="false">VLOOKUP($KN$1,'Datos Iniciales'!$E$34:$O$64,KQ$158,FALSE())*KQ90</f>
        <v>0</v>
      </c>
      <c r="KR188" s="196" t="n">
        <f aca="false">VLOOKUP($KN$1,'Datos Iniciales'!$E$34:$O$64,KR$158,FALSE())*KR90</f>
        <v>0</v>
      </c>
      <c r="KS188" s="196" t="n">
        <f aca="false">VLOOKUP($KN$1,'Datos Iniciales'!$E$34:$O$64,KS$158,FALSE())*KS90</f>
        <v>0</v>
      </c>
      <c r="KT188" s="196" t="n">
        <f aca="false">VLOOKUP($KN$1,'Datos Iniciales'!$E$34:$O$64,KT$158,FALSE())*KT90</f>
        <v>0</v>
      </c>
      <c r="KU188" s="196" t="n">
        <f aca="false">VLOOKUP($KN$1,'Datos Iniciales'!$E$34:$O$64,KU$158,FALSE())*KU90</f>
        <v>0</v>
      </c>
      <c r="KV188" s="196" t="n">
        <f aca="false">VLOOKUP($KN$1,'Datos Iniciales'!$E$34:$O$64,KV$158,FALSE())*KV90</f>
        <v>0</v>
      </c>
      <c r="KW188" s="196" t="n">
        <f aca="false">VLOOKUP($KN$1,'Datos Iniciales'!$E$34:$O$64,KW$158,FALSE())*KW90</f>
        <v>0</v>
      </c>
      <c r="KX188" s="197" t="n">
        <f aca="false">VLOOKUP($KN$1,'Datos Iniciales'!$E$34:$O$64,KX$158,FALSE())*KX90</f>
        <v>0</v>
      </c>
      <c r="KY188" s="194" t="str">
        <f aca="false">KN188</f>
        <v>Alumno29</v>
      </c>
      <c r="KZ188" s="208" t="n">
        <f aca="false">VLOOKUP($KY$1,'Datos Iniciales'!$E$34:$O$64,KZ$158,FALSE())*KZ90</f>
        <v>0</v>
      </c>
      <c r="LA188" s="196" t="n">
        <f aca="false">VLOOKUP($KY$1,'Datos Iniciales'!$E$34:$O$64,LA$158,FALSE())*LA90</f>
        <v>0</v>
      </c>
      <c r="LB188" s="196" t="n">
        <f aca="false">VLOOKUP($KY$1,'Datos Iniciales'!$E$34:$O$64,LB$158,FALSE())*LB90</f>
        <v>0</v>
      </c>
      <c r="LC188" s="196" t="n">
        <f aca="false">VLOOKUP($KY$1,'Datos Iniciales'!$E$34:$O$64,LC$158,FALSE())*LC90</f>
        <v>0</v>
      </c>
      <c r="LD188" s="196" t="n">
        <f aca="false">VLOOKUP($KY$1,'Datos Iniciales'!$E$34:$O$64,LD$158,FALSE())*LD90</f>
        <v>0</v>
      </c>
      <c r="LE188" s="196" t="n">
        <f aca="false">VLOOKUP($KY$1,'Datos Iniciales'!$E$34:$O$64,LE$158,FALSE())*LE90</f>
        <v>0</v>
      </c>
      <c r="LF188" s="196" t="n">
        <f aca="false">VLOOKUP($KY$1,'Datos Iniciales'!$E$34:$O$64,LF$158,FALSE())*LF90</f>
        <v>0</v>
      </c>
      <c r="LG188" s="196" t="n">
        <f aca="false">VLOOKUP($KY$1,'Datos Iniciales'!$E$34:$O$64,LG$158,FALSE())*LG90</f>
        <v>0</v>
      </c>
      <c r="LH188" s="196" t="n">
        <f aca="false">VLOOKUP($KY$1,'Datos Iniciales'!$E$34:$O$64,LH$158,FALSE())*LH90</f>
        <v>0</v>
      </c>
      <c r="LI188" s="197" t="n">
        <f aca="false">VLOOKUP($KY$1,'Datos Iniciales'!$E$34:$O$64,LI$158,FALSE())*LI90</f>
        <v>0</v>
      </c>
      <c r="LJ188" s="194" t="str">
        <f aca="false">KY188</f>
        <v>Alumno29</v>
      </c>
      <c r="LK188" s="208" t="n">
        <f aca="false">VLOOKUP($LJ$1,'Datos Iniciales'!$E$34:$O$64,LK$158,FALSE())*LK90</f>
        <v>0</v>
      </c>
      <c r="LL188" s="196" t="n">
        <f aca="false">VLOOKUP($LJ$1,'Datos Iniciales'!$E$34:$O$64,LL$158,FALSE())*LL90</f>
        <v>0</v>
      </c>
      <c r="LM188" s="196" t="n">
        <f aca="false">VLOOKUP($LJ$1,'Datos Iniciales'!$E$34:$O$64,LM$158,FALSE())*LM90</f>
        <v>0</v>
      </c>
      <c r="LN188" s="196" t="n">
        <f aca="false">VLOOKUP($LJ$1,'Datos Iniciales'!$E$34:$O$64,LN$158,FALSE())*LN90</f>
        <v>0</v>
      </c>
      <c r="LO188" s="196" t="n">
        <f aca="false">VLOOKUP($LJ$1,'Datos Iniciales'!$E$34:$O$64,LO$158,FALSE())*LO90</f>
        <v>0</v>
      </c>
      <c r="LP188" s="196" t="n">
        <f aca="false">VLOOKUP($LJ$1,'Datos Iniciales'!$E$34:$O$64,LP$158,FALSE())*LP90</f>
        <v>0</v>
      </c>
      <c r="LQ188" s="196" t="n">
        <f aca="false">VLOOKUP($LJ$1,'Datos Iniciales'!$E$34:$O$64,LQ$158,FALSE())*LQ90</f>
        <v>0</v>
      </c>
      <c r="LR188" s="196" t="n">
        <f aca="false">VLOOKUP($LJ$1,'Datos Iniciales'!$E$34:$O$64,LR$158,FALSE())*LR90</f>
        <v>0</v>
      </c>
      <c r="LS188" s="196" t="n">
        <f aca="false">VLOOKUP($LJ$1,'Datos Iniciales'!$E$34:$O$64,LS$158,FALSE())*LS90</f>
        <v>0</v>
      </c>
      <c r="LT188" s="197" t="n">
        <f aca="false">VLOOKUP($LJ$1,'Datos Iniciales'!$E$34:$O$64,LT$158,FALSE())*LT90</f>
        <v>0</v>
      </c>
    </row>
    <row r="189" customFormat="false" ht="15" hidden="true" customHeight="false" outlineLevel="0" collapsed="false">
      <c r="C189" s="194" t="str">
        <f aca="false">C140</f>
        <v>Alumno30</v>
      </c>
      <c r="D189" s="208" t="n">
        <f aca="false">VLOOKUP($C$1,'Datos Iniciales'!$E$34:$O$64,D$158,FALSE())*D91</f>
        <v>1.25</v>
      </c>
      <c r="E189" s="196" t="n">
        <f aca="false">VLOOKUP($C$1,'Datos Iniciales'!$E$34:$O$64,E$158,FALSE())*E91</f>
        <v>0</v>
      </c>
      <c r="F189" s="196" t="n">
        <f aca="false">VLOOKUP($C$1,'Datos Iniciales'!$E$34:$O$64,F$158,FALSE())*F91</f>
        <v>0</v>
      </c>
      <c r="G189" s="196" t="n">
        <f aca="false">VLOOKUP($C$1,'Datos Iniciales'!$E$34:$O$64,G$158,FALSE())*G91</f>
        <v>0</v>
      </c>
      <c r="H189" s="196" t="n">
        <f aca="false">VLOOKUP($C$1,'Datos Iniciales'!$E$34:$O$64,H$158,FALSE())*H91</f>
        <v>0</v>
      </c>
      <c r="I189" s="196" t="n">
        <f aca="false">VLOOKUP($C$1,'Datos Iniciales'!$E$34:$O$64,I$158,FALSE())*I91</f>
        <v>0</v>
      </c>
      <c r="J189" s="196" t="n">
        <f aca="false">VLOOKUP($C$1,'Datos Iniciales'!$E$34:$O$64,J$158,FALSE())*J91</f>
        <v>0</v>
      </c>
      <c r="K189" s="196" t="n">
        <f aca="false">VLOOKUP($C$1,'Datos Iniciales'!$E$34:$O$64,K$158,FALSE())*K91</f>
        <v>0</v>
      </c>
      <c r="L189" s="196" t="n">
        <f aca="false">VLOOKUP($C$1,'Datos Iniciales'!$E$34:$O$64,L$158,FALSE())*L91</f>
        <v>0</v>
      </c>
      <c r="M189" s="197" t="n">
        <f aca="false">VLOOKUP($C$1,'Datos Iniciales'!$E$34:$O$64,M$158,FALSE())*M91</f>
        <v>0</v>
      </c>
      <c r="N189" s="194" t="str">
        <f aca="false">C189</f>
        <v>Alumno30</v>
      </c>
      <c r="O189" s="208" t="n">
        <f aca="false">VLOOKUP($N$1,'Datos Iniciales'!$E$34:$O$64,O$158,FALSE())*O91</f>
        <v>1</v>
      </c>
      <c r="P189" s="196" t="n">
        <f aca="false">VLOOKUP($N$1,'Datos Iniciales'!$E$34:$O$64,P$158,FALSE())*P91</f>
        <v>1</v>
      </c>
      <c r="Q189" s="196" t="n">
        <f aca="false">VLOOKUP($N$1,'Datos Iniciales'!$E$34:$O$64,Q$158,FALSE())*Q91</f>
        <v>0</v>
      </c>
      <c r="R189" s="196" t="n">
        <f aca="false">VLOOKUP($N$1,'Datos Iniciales'!$E$34:$O$64,R$158,FALSE())*R91</f>
        <v>0</v>
      </c>
      <c r="S189" s="196" t="n">
        <f aca="false">VLOOKUP($N$1,'Datos Iniciales'!$E$34:$O$64,S$158,FALSE())*S91</f>
        <v>0</v>
      </c>
      <c r="T189" s="196" t="n">
        <f aca="false">VLOOKUP($N$1,'Datos Iniciales'!$E$34:$O$64,T$158,FALSE())*T91</f>
        <v>0</v>
      </c>
      <c r="U189" s="196" t="n">
        <f aca="false">VLOOKUP($N$1,'Datos Iniciales'!$E$34:$O$64,U$158,FALSE())*U91</f>
        <v>0</v>
      </c>
      <c r="V189" s="196" t="n">
        <f aca="false">VLOOKUP($N$1,'Datos Iniciales'!$E$34:$O$64,V$158,FALSE())*V91</f>
        <v>0</v>
      </c>
      <c r="W189" s="196" t="n">
        <f aca="false">VLOOKUP($N$1,'Datos Iniciales'!$E$34:$O$64,W$158,FALSE())*W91</f>
        <v>0</v>
      </c>
      <c r="X189" s="197" t="n">
        <f aca="false">VLOOKUP($N$1,'Datos Iniciales'!$E$34:$O$64,X$158,FALSE())*X91</f>
        <v>0</v>
      </c>
      <c r="Y189" s="194" t="str">
        <f aca="false">N189</f>
        <v>Alumno30</v>
      </c>
      <c r="Z189" s="208" t="n">
        <f aca="false">VLOOKUP($Y$1,'Datos Iniciales'!$E$34:$O$64,Z$158,FALSE())*Z91</f>
        <v>2.7</v>
      </c>
      <c r="AA189" s="196" t="n">
        <f aca="false">VLOOKUP($Y$1,'Datos Iniciales'!$E$34:$O$64,AA$158,FALSE())*AA91</f>
        <v>1.8</v>
      </c>
      <c r="AB189" s="196" t="n">
        <f aca="false">VLOOKUP($Y$1,'Datos Iniciales'!$E$34:$O$64,AB$158,FALSE())*AB91</f>
        <v>0.9</v>
      </c>
      <c r="AC189" s="196" t="n">
        <f aca="false">VLOOKUP($Y$1,'Datos Iniciales'!$E$34:$O$64,AC$158,FALSE())*AC91</f>
        <v>0</v>
      </c>
      <c r="AD189" s="196" t="n">
        <f aca="false">VLOOKUP($Y$1,'Datos Iniciales'!$E$34:$O$64,AD$158,FALSE())*AD91</f>
        <v>0</v>
      </c>
      <c r="AE189" s="196" t="n">
        <f aca="false">VLOOKUP($Y$1,'Datos Iniciales'!$E$34:$O$64,AE$158,FALSE())*AE91</f>
        <v>0</v>
      </c>
      <c r="AF189" s="196" t="n">
        <f aca="false">VLOOKUP($Y$1,'Datos Iniciales'!$E$34:$O$64,AF$158,FALSE())*AF91</f>
        <v>0</v>
      </c>
      <c r="AG189" s="196" t="n">
        <f aca="false">VLOOKUP($Y$1,'Datos Iniciales'!$E$34:$O$64,AG$158,FALSE())*AG91</f>
        <v>0</v>
      </c>
      <c r="AH189" s="196" t="n">
        <f aca="false">VLOOKUP($Y$1,'Datos Iniciales'!$E$34:$O$64,AH$158,FALSE())*AH91</f>
        <v>0</v>
      </c>
      <c r="AI189" s="197" t="n">
        <f aca="false">VLOOKUP($Y$1,'Datos Iniciales'!$E$34:$O$64,AI$158,FALSE())*AI91</f>
        <v>0</v>
      </c>
      <c r="AJ189" s="194" t="str">
        <f aca="false">Y189</f>
        <v>Alumno30</v>
      </c>
      <c r="AK189" s="208" t="n">
        <f aca="false">VLOOKUP($AJ$1,'Datos Iniciales'!$E$34:$O$64,AK$158,FALSE())*AK91</f>
        <v>0.9</v>
      </c>
      <c r="AL189" s="196" t="n">
        <f aca="false">VLOOKUP($AJ$1,'Datos Iniciales'!$E$34:$O$64,AL$158,FALSE())*AL91</f>
        <v>2.7</v>
      </c>
      <c r="AM189" s="196" t="n">
        <f aca="false">VLOOKUP($AJ$1,'Datos Iniciales'!$E$34:$O$64,AM$158,FALSE())*AM91</f>
        <v>3.15</v>
      </c>
      <c r="AN189" s="196" t="n">
        <f aca="false">VLOOKUP($AJ$1,'Datos Iniciales'!$E$34:$O$64,AN$158,FALSE())*AN91</f>
        <v>0</v>
      </c>
      <c r="AO189" s="196" t="n">
        <f aca="false">VLOOKUP($AJ$1,'Datos Iniciales'!$E$34:$O$64,AO$158,FALSE())*AO91</f>
        <v>0</v>
      </c>
      <c r="AP189" s="196" t="n">
        <f aca="false">VLOOKUP($AJ$1,'Datos Iniciales'!$E$34:$O$64,AP$158,FALSE())*AP91</f>
        <v>0</v>
      </c>
      <c r="AQ189" s="196" t="n">
        <f aca="false">VLOOKUP($AJ$1,'Datos Iniciales'!$E$34:$O$64,AQ$158,FALSE())*AQ91</f>
        <v>0</v>
      </c>
      <c r="AR189" s="196" t="n">
        <f aca="false">VLOOKUP($AJ$1,'Datos Iniciales'!$E$34:$O$64,AR$158,FALSE())*AR91</f>
        <v>0</v>
      </c>
      <c r="AS189" s="196" t="n">
        <f aca="false">VLOOKUP($AJ$1,'Datos Iniciales'!$E$34:$O$64,AS$158,FALSE())*AS91</f>
        <v>0</v>
      </c>
      <c r="AT189" s="197" t="n">
        <f aca="false">VLOOKUP($AJ$1,'Datos Iniciales'!$E$34:$O$64,AT$158,FALSE())*AT91</f>
        <v>0</v>
      </c>
      <c r="AU189" s="194" t="str">
        <f aca="false">AJ189</f>
        <v>Alumno30</v>
      </c>
      <c r="AV189" s="208" t="n">
        <f aca="false">VLOOKUP($AU$1,'Datos Iniciales'!$E$34:$O$64,AV$158,FALSE())*AV91</f>
        <v>0.25</v>
      </c>
      <c r="AW189" s="196" t="n">
        <f aca="false">VLOOKUP($AU$1,'Datos Iniciales'!$E$34:$O$64,AW$158,FALSE())*AW91</f>
        <v>0.5</v>
      </c>
      <c r="AX189" s="196" t="n">
        <f aca="false">VLOOKUP($AU$1,'Datos Iniciales'!$E$34:$O$64,AX$158,FALSE())*AX91</f>
        <v>1.5</v>
      </c>
      <c r="AY189" s="196" t="n">
        <f aca="false">VLOOKUP($AU$1,'Datos Iniciales'!$E$34:$O$64,AY$158,FALSE())*AY91</f>
        <v>0.5</v>
      </c>
      <c r="AZ189" s="196" t="n">
        <f aca="false">VLOOKUP($AU$1,'Datos Iniciales'!$E$34:$O$64,AZ$158,FALSE())*AZ91</f>
        <v>0</v>
      </c>
      <c r="BA189" s="196" t="n">
        <f aca="false">VLOOKUP($AU$1,'Datos Iniciales'!$E$34:$O$64,BA$158,FALSE())*BA91</f>
        <v>0</v>
      </c>
      <c r="BB189" s="196" t="n">
        <f aca="false">VLOOKUP($AU$1,'Datos Iniciales'!$E$34:$O$64,BB$158,FALSE())*BB91</f>
        <v>0</v>
      </c>
      <c r="BC189" s="196" t="n">
        <f aca="false">VLOOKUP($AU$1,'Datos Iniciales'!$E$34:$O$64,BC$158,FALSE())*BC91</f>
        <v>0</v>
      </c>
      <c r="BD189" s="196" t="n">
        <f aca="false">VLOOKUP($AU$1,'Datos Iniciales'!$E$34:$O$64,BD$158,FALSE())*BD91</f>
        <v>0</v>
      </c>
      <c r="BE189" s="197" t="n">
        <f aca="false">VLOOKUP($AU$1,'Datos Iniciales'!$E$34:$O$64,BE$158,FALSE())*BE91</f>
        <v>0</v>
      </c>
      <c r="BF189" s="194" t="str">
        <f aca="false">AU189</f>
        <v>Alumno30</v>
      </c>
      <c r="BG189" s="208" t="n">
        <f aca="false">VLOOKUP($BF$1,'Datos Iniciales'!$E$34:$O$64,BG$158,FALSE())*BG91</f>
        <v>0.5</v>
      </c>
      <c r="BH189" s="196" t="n">
        <f aca="false">VLOOKUP($BF$1,'Datos Iniciales'!$E$34:$O$64,BH$158,FALSE())*BH91</f>
        <v>0.75</v>
      </c>
      <c r="BI189" s="196" t="n">
        <f aca="false">VLOOKUP($BF$1,'Datos Iniciales'!$E$34:$O$64,BI$158,FALSE())*BI91</f>
        <v>0.5</v>
      </c>
      <c r="BJ189" s="196" t="n">
        <f aca="false">VLOOKUP($BF$1,'Datos Iniciales'!$E$34:$O$64,BJ$158,FALSE())*BJ91</f>
        <v>2</v>
      </c>
      <c r="BK189" s="196" t="n">
        <f aca="false">VLOOKUP($BF$1,'Datos Iniciales'!$E$34:$O$64,BK$158,FALSE())*BK91</f>
        <v>0</v>
      </c>
      <c r="BL189" s="196" t="n">
        <f aca="false">VLOOKUP($BF$1,'Datos Iniciales'!$E$34:$O$64,BL$158,FALSE())*BL91</f>
        <v>0</v>
      </c>
      <c r="BM189" s="196" t="n">
        <f aca="false">VLOOKUP($BF$1,'Datos Iniciales'!$E$34:$O$64,BM$158,FALSE())*BM91</f>
        <v>0</v>
      </c>
      <c r="BN189" s="196" t="n">
        <f aca="false">VLOOKUP($BF$1,'Datos Iniciales'!$E$34:$O$64,BN$158,FALSE())*BN91</f>
        <v>0</v>
      </c>
      <c r="BO189" s="196" t="n">
        <f aca="false">VLOOKUP($BF$1,'Datos Iniciales'!$E$34:$O$64,BO$158,FALSE())*BO91</f>
        <v>0</v>
      </c>
      <c r="BP189" s="197" t="n">
        <f aca="false">VLOOKUP($BF$1,'Datos Iniciales'!$E$34:$O$64,BP$158,FALSE())*BP91</f>
        <v>0</v>
      </c>
      <c r="BQ189" s="194" t="str">
        <f aca="false">BF189</f>
        <v>Alumno30</v>
      </c>
      <c r="BR189" s="208" t="n">
        <f aca="false">VLOOKUP($BQ$1,'Datos Iniciales'!$E$34:$O$64,BR$158,FALSE())*BR91</f>
        <v>0</v>
      </c>
      <c r="BS189" s="196" t="n">
        <f aca="false">VLOOKUP($BQ$1,'Datos Iniciales'!$E$34:$O$64,BS$158,FALSE())*BS91</f>
        <v>0.3</v>
      </c>
      <c r="BT189" s="196" t="n">
        <f aca="false">VLOOKUP($BQ$1,'Datos Iniciales'!$E$34:$O$64,BT$158,FALSE())*BT91</f>
        <v>0.75</v>
      </c>
      <c r="BU189" s="196" t="n">
        <f aca="false">VLOOKUP($BQ$1,'Datos Iniciales'!$E$34:$O$64,BU$158,FALSE())*BU91</f>
        <v>2.3</v>
      </c>
      <c r="BV189" s="196" t="n">
        <f aca="false">VLOOKUP($BQ$1,'Datos Iniciales'!$E$34:$O$64,BV$158,FALSE())*BV91</f>
        <v>0</v>
      </c>
      <c r="BW189" s="196" t="n">
        <f aca="false">VLOOKUP($BQ$1,'Datos Iniciales'!$E$34:$O$64,BW$158,FALSE())*BW91</f>
        <v>0</v>
      </c>
      <c r="BX189" s="196" t="n">
        <f aca="false">VLOOKUP($BQ$1,'Datos Iniciales'!$E$34:$O$64,BX$158,FALSE())*BX91</f>
        <v>0</v>
      </c>
      <c r="BY189" s="196" t="n">
        <f aca="false">VLOOKUP($BQ$1,'Datos Iniciales'!$E$34:$O$64,BY$158,FALSE())*BY91</f>
        <v>0</v>
      </c>
      <c r="BZ189" s="196" t="n">
        <f aca="false">VLOOKUP($BQ$1,'Datos Iniciales'!$E$34:$O$64,BZ$158,FALSE())*BZ91</f>
        <v>0</v>
      </c>
      <c r="CA189" s="197" t="n">
        <f aca="false">VLOOKUP($BQ$1,'Datos Iniciales'!$E$34:$O$64,CA$158,FALSE())*CA91</f>
        <v>0</v>
      </c>
      <c r="CB189" s="194" t="str">
        <f aca="false">BQ189</f>
        <v>Alumno30</v>
      </c>
      <c r="CC189" s="208" t="n">
        <f aca="false">VLOOKUP($CB$1,'Datos Iniciales'!$E$34:$O$64,CC$158,FALSE())*CC91</f>
        <v>0</v>
      </c>
      <c r="CD189" s="196" t="n">
        <f aca="false">VLOOKUP($CB$1,'Datos Iniciales'!$E$34:$O$64,CD$158,FALSE())*CD91</f>
        <v>0</v>
      </c>
      <c r="CE189" s="196" t="n">
        <f aca="false">VLOOKUP($CB$1,'Datos Iniciales'!$E$34:$O$64,CE$158,FALSE())*CE91</f>
        <v>0</v>
      </c>
      <c r="CF189" s="196" t="n">
        <f aca="false">VLOOKUP($CB$1,'Datos Iniciales'!$E$34:$O$64,CF$158,FALSE())*CF91</f>
        <v>0</v>
      </c>
      <c r="CG189" s="196" t="n">
        <f aca="false">VLOOKUP($CB$1,'Datos Iniciales'!$E$34:$O$64,CG$158,FALSE())*CG91</f>
        <v>0</v>
      </c>
      <c r="CH189" s="196" t="n">
        <f aca="false">VLOOKUP($CB$1,'Datos Iniciales'!$E$34:$O$64,CH$158,FALSE())*CH91</f>
        <v>0</v>
      </c>
      <c r="CI189" s="196" t="n">
        <f aca="false">VLOOKUP($CB$1,'Datos Iniciales'!$E$34:$O$64,CI$158,FALSE())*CI91</f>
        <v>0</v>
      </c>
      <c r="CJ189" s="196" t="n">
        <f aca="false">VLOOKUP($CB$1,'Datos Iniciales'!$E$34:$O$64,CJ$158,FALSE())*CJ91</f>
        <v>0</v>
      </c>
      <c r="CK189" s="196" t="n">
        <f aca="false">VLOOKUP($CB$1,'Datos Iniciales'!$E$34:$O$64,CK$158,FALSE())*CK91</f>
        <v>0</v>
      </c>
      <c r="CL189" s="197" t="n">
        <f aca="false">VLOOKUP($CB$1,'Datos Iniciales'!$E$34:$O$64,CL$158,FALSE())*CL91</f>
        <v>0</v>
      </c>
      <c r="CM189" s="194" t="str">
        <f aca="false">CB189</f>
        <v>Alumno30</v>
      </c>
      <c r="CN189" s="208" t="n">
        <f aca="false">VLOOKUP($CM$1,'Datos Iniciales'!$E$34:$O$64,CN$158,FALSE())*CN91</f>
        <v>0</v>
      </c>
      <c r="CO189" s="196" t="n">
        <f aca="false">VLOOKUP($CM$1,'Datos Iniciales'!$E$34:$O$64,CO$158,FALSE())*CO91</f>
        <v>0</v>
      </c>
      <c r="CP189" s="196" t="n">
        <f aca="false">VLOOKUP($CM$1,'Datos Iniciales'!$E$34:$O$64,CP$158,FALSE())*CP91</f>
        <v>0</v>
      </c>
      <c r="CQ189" s="196" t="n">
        <f aca="false">VLOOKUP($CM$1,'Datos Iniciales'!$E$34:$O$64,CQ$158,FALSE())*CQ91</f>
        <v>0</v>
      </c>
      <c r="CR189" s="196" t="n">
        <f aca="false">VLOOKUP($CM$1,'Datos Iniciales'!$E$34:$O$64,CR$158,FALSE())*CR91</f>
        <v>0</v>
      </c>
      <c r="CS189" s="196" t="n">
        <f aca="false">VLOOKUP($CM$1,'Datos Iniciales'!$E$34:$O$64,CS$158,FALSE())*CS91</f>
        <v>0</v>
      </c>
      <c r="CT189" s="196" t="n">
        <f aca="false">VLOOKUP($CM$1,'Datos Iniciales'!$E$34:$O$64,CT$158,FALSE())*CT91</f>
        <v>0</v>
      </c>
      <c r="CU189" s="196" t="n">
        <f aca="false">VLOOKUP($CM$1,'Datos Iniciales'!$E$34:$O$64,CU$158,FALSE())*CU91</f>
        <v>0</v>
      </c>
      <c r="CV189" s="196" t="n">
        <f aca="false">VLOOKUP($CM$1,'Datos Iniciales'!$E$34:$O$64,CV$158,FALSE())*CV91</f>
        <v>0</v>
      </c>
      <c r="CW189" s="197" t="n">
        <f aca="false">VLOOKUP($CM$1,'Datos Iniciales'!$E$34:$O$64,CW$158,FALSE())*CW91</f>
        <v>0</v>
      </c>
      <c r="CX189" s="194" t="str">
        <f aca="false">CM189</f>
        <v>Alumno30</v>
      </c>
      <c r="CY189" s="208" t="n">
        <f aca="false">VLOOKUP($CX$1,'Datos Iniciales'!$E$34:$O$64,CY$158,FALSE())*CY91</f>
        <v>0</v>
      </c>
      <c r="CZ189" s="196" t="n">
        <f aca="false">VLOOKUP($CX$1,'Datos Iniciales'!$E$34:$O$64,CZ$158,FALSE())*CZ91</f>
        <v>0</v>
      </c>
      <c r="DA189" s="196" t="n">
        <f aca="false">VLOOKUP($CX$1,'Datos Iniciales'!$E$34:$O$64,DA$158,FALSE())*DA91</f>
        <v>0</v>
      </c>
      <c r="DB189" s="196" t="n">
        <f aca="false">VLOOKUP($CX$1,'Datos Iniciales'!$E$34:$O$64,DB$158,FALSE())*DB91</f>
        <v>0</v>
      </c>
      <c r="DC189" s="196" t="n">
        <f aca="false">VLOOKUP($CX$1,'Datos Iniciales'!$E$34:$O$64,DC$158,FALSE())*DC91</f>
        <v>0</v>
      </c>
      <c r="DD189" s="196" t="n">
        <f aca="false">VLOOKUP($CX$1,'Datos Iniciales'!$E$34:$O$64,DD$158,FALSE())*DD91</f>
        <v>0</v>
      </c>
      <c r="DE189" s="196" t="n">
        <f aca="false">VLOOKUP($CX$1,'Datos Iniciales'!$E$34:$O$64,DE$158,FALSE())*DE91</f>
        <v>0</v>
      </c>
      <c r="DF189" s="196" t="n">
        <f aca="false">VLOOKUP($CX$1,'Datos Iniciales'!$E$34:$O$64,DF$158,FALSE())*DF91</f>
        <v>0</v>
      </c>
      <c r="DG189" s="196" t="n">
        <f aca="false">VLOOKUP($CX$1,'Datos Iniciales'!$E$34:$O$64,DG$158,FALSE())*DG91</f>
        <v>0</v>
      </c>
      <c r="DH189" s="197" t="n">
        <f aca="false">VLOOKUP($CX$1,'Datos Iniciales'!$E$34:$O$64,DH$158,FALSE())*DH91</f>
        <v>0</v>
      </c>
      <c r="DI189" s="194" t="str">
        <f aca="false">CX189</f>
        <v>Alumno30</v>
      </c>
      <c r="DJ189" s="208" t="n">
        <f aca="false">VLOOKUP($DI$1,'Datos Iniciales'!$E$34:$O$64,DJ$158,FALSE())*DJ91</f>
        <v>0</v>
      </c>
      <c r="DK189" s="196" t="n">
        <f aca="false">VLOOKUP($DI$1,'Datos Iniciales'!$E$34:$O$64,DK$158,FALSE())*DK91</f>
        <v>0</v>
      </c>
      <c r="DL189" s="196" t="n">
        <f aca="false">VLOOKUP($DI$1,'Datos Iniciales'!$E$34:$O$64,DL$158,FALSE())*DL91</f>
        <v>0</v>
      </c>
      <c r="DM189" s="196" t="n">
        <f aca="false">VLOOKUP($DI$1,'Datos Iniciales'!$E$34:$O$64,DM$158,FALSE())*DM91</f>
        <v>0</v>
      </c>
      <c r="DN189" s="196" t="n">
        <f aca="false">VLOOKUP($DI$1,'Datos Iniciales'!$E$34:$O$64,DN$158,FALSE())*DN91</f>
        <v>0</v>
      </c>
      <c r="DO189" s="196" t="n">
        <f aca="false">VLOOKUP($DI$1,'Datos Iniciales'!$E$34:$O$64,DO$158,FALSE())*DO91</f>
        <v>0</v>
      </c>
      <c r="DP189" s="196" t="n">
        <f aca="false">VLOOKUP($DI$1,'Datos Iniciales'!$E$34:$O$64,DP$158,FALSE())*DP91</f>
        <v>0</v>
      </c>
      <c r="DQ189" s="196" t="n">
        <f aca="false">VLOOKUP($DI$1,'Datos Iniciales'!$E$34:$O$64,DQ$158,FALSE())*DQ91</f>
        <v>0</v>
      </c>
      <c r="DR189" s="196" t="n">
        <f aca="false">VLOOKUP($DI$1,'Datos Iniciales'!$E$34:$O$64,DR$158,FALSE())*DR91</f>
        <v>0</v>
      </c>
      <c r="DS189" s="197" t="n">
        <f aca="false">VLOOKUP($DI$1,'Datos Iniciales'!$E$34:$O$64,DS$158,FALSE())*DS91</f>
        <v>0</v>
      </c>
      <c r="DT189" s="194" t="str">
        <f aca="false">DI189</f>
        <v>Alumno30</v>
      </c>
      <c r="DU189" s="208" t="n">
        <f aca="false">VLOOKUP($DT$1,'Datos Iniciales'!$E$34:$O$64,DU$158,FALSE())*DU91</f>
        <v>0</v>
      </c>
      <c r="DV189" s="196" t="n">
        <f aca="false">VLOOKUP($DT$1,'Datos Iniciales'!$E$34:$O$64,DV$158,FALSE())*DV91</f>
        <v>0</v>
      </c>
      <c r="DW189" s="196" t="n">
        <f aca="false">VLOOKUP($DT$1,'Datos Iniciales'!$E$34:$O$64,DW$158,FALSE())*DW91</f>
        <v>0</v>
      </c>
      <c r="DX189" s="196" t="n">
        <f aca="false">VLOOKUP($DT$1,'Datos Iniciales'!$E$34:$O$64,DX$158,FALSE())*DX91</f>
        <v>0</v>
      </c>
      <c r="DY189" s="196" t="n">
        <f aca="false">VLOOKUP($DT$1,'Datos Iniciales'!$E$34:$O$64,DY$158,FALSE())*DY91</f>
        <v>0</v>
      </c>
      <c r="DZ189" s="196" t="n">
        <f aca="false">VLOOKUP($DT$1,'Datos Iniciales'!$E$34:$O$64,DZ$158,FALSE())*DZ91</f>
        <v>0</v>
      </c>
      <c r="EA189" s="196" t="n">
        <f aca="false">VLOOKUP($DT$1,'Datos Iniciales'!$E$34:$O$64,EA$158,FALSE())*EA91</f>
        <v>0</v>
      </c>
      <c r="EB189" s="196" t="n">
        <f aca="false">VLOOKUP($DT$1,'Datos Iniciales'!$E$34:$O$64,EB$158,FALSE())*EB91</f>
        <v>0</v>
      </c>
      <c r="EC189" s="196" t="n">
        <f aca="false">VLOOKUP($DT$1,'Datos Iniciales'!$E$34:$O$64,EC$158,FALSE())*EC91</f>
        <v>0</v>
      </c>
      <c r="ED189" s="197" t="n">
        <f aca="false">VLOOKUP($DT$1,'Datos Iniciales'!$E$34:$O$64,ED$158,FALSE())*ED91</f>
        <v>0</v>
      </c>
      <c r="EE189" s="194" t="str">
        <f aca="false">DT189</f>
        <v>Alumno30</v>
      </c>
      <c r="EF189" s="208" t="n">
        <f aca="false">VLOOKUP($EE$1,'Datos Iniciales'!$E$34:$O$64,EF$158,FALSE())*EF91</f>
        <v>0</v>
      </c>
      <c r="EG189" s="196" t="n">
        <f aca="false">VLOOKUP($EE$1,'Datos Iniciales'!$E$34:$O$64,EG$158,FALSE())*EG91</f>
        <v>0</v>
      </c>
      <c r="EH189" s="196" t="n">
        <f aca="false">VLOOKUP($EE$1,'Datos Iniciales'!$E$34:$O$64,EH$158,FALSE())*EH91</f>
        <v>0</v>
      </c>
      <c r="EI189" s="196" t="n">
        <f aca="false">VLOOKUP($EE$1,'Datos Iniciales'!$E$34:$O$64,EI$158,FALSE())*EI91</f>
        <v>0</v>
      </c>
      <c r="EJ189" s="196" t="n">
        <f aca="false">VLOOKUP($EE$1,'Datos Iniciales'!$E$34:$O$64,EJ$158,FALSE())*EJ91</f>
        <v>0</v>
      </c>
      <c r="EK189" s="196" t="n">
        <f aca="false">VLOOKUP($EE$1,'Datos Iniciales'!$E$34:$O$64,EK$158,FALSE())*EK91</f>
        <v>0</v>
      </c>
      <c r="EL189" s="196" t="n">
        <f aca="false">VLOOKUP($EE$1,'Datos Iniciales'!$E$34:$O$64,EL$158,FALSE())*EL91</f>
        <v>0</v>
      </c>
      <c r="EM189" s="196" t="n">
        <f aca="false">VLOOKUP($EE$1,'Datos Iniciales'!$E$34:$O$64,EM$158,FALSE())*EM91</f>
        <v>0</v>
      </c>
      <c r="EN189" s="196" t="n">
        <f aca="false">VLOOKUP($EE$1,'Datos Iniciales'!$E$34:$O$64,EN$158,FALSE())*EN91</f>
        <v>0</v>
      </c>
      <c r="EO189" s="197" t="n">
        <f aca="false">VLOOKUP($EE$1,'Datos Iniciales'!$E$34:$O$64,EO$158,FALSE())*EO91</f>
        <v>0</v>
      </c>
      <c r="EP189" s="194" t="str">
        <f aca="false">EE189</f>
        <v>Alumno30</v>
      </c>
      <c r="EQ189" s="208" t="n">
        <f aca="false">VLOOKUP($EP$1,'Datos Iniciales'!$E$34:$O$64,EQ$158,FALSE())*EQ91</f>
        <v>0</v>
      </c>
      <c r="ER189" s="196" t="n">
        <f aca="false">VLOOKUP($EP$1,'Datos Iniciales'!$E$34:$O$64,ER$158,FALSE())*ER91</f>
        <v>0</v>
      </c>
      <c r="ES189" s="196" t="n">
        <f aca="false">VLOOKUP($EP$1,'Datos Iniciales'!$E$34:$O$64,ES$158,FALSE())*ES91</f>
        <v>0</v>
      </c>
      <c r="ET189" s="196" t="n">
        <f aca="false">VLOOKUP($EP$1,'Datos Iniciales'!$E$34:$O$64,ET$158,FALSE())*ET91</f>
        <v>0</v>
      </c>
      <c r="EU189" s="196" t="n">
        <f aca="false">VLOOKUP($EP$1,'Datos Iniciales'!$E$34:$O$64,EU$158,FALSE())*EU91</f>
        <v>0</v>
      </c>
      <c r="EV189" s="196" t="n">
        <f aca="false">VLOOKUP($EP$1,'Datos Iniciales'!$E$34:$O$64,EV$158,FALSE())*EV91</f>
        <v>0</v>
      </c>
      <c r="EW189" s="196" t="n">
        <f aca="false">VLOOKUP($EP$1,'Datos Iniciales'!$E$34:$O$64,EW$158,FALSE())*EW91</f>
        <v>0</v>
      </c>
      <c r="EX189" s="196" t="n">
        <f aca="false">VLOOKUP($EP$1,'Datos Iniciales'!$E$34:$O$64,EX$158,FALSE())*EX91</f>
        <v>0</v>
      </c>
      <c r="EY189" s="196" t="n">
        <f aca="false">VLOOKUP($EP$1,'Datos Iniciales'!$E$34:$O$64,EY$158,FALSE())*EY91</f>
        <v>0</v>
      </c>
      <c r="EZ189" s="197" t="n">
        <f aca="false">VLOOKUP($EP$1,'Datos Iniciales'!$E$34:$O$64,EZ$158,FALSE())*EZ91</f>
        <v>0</v>
      </c>
      <c r="FA189" s="194" t="str">
        <f aca="false">EP189</f>
        <v>Alumno30</v>
      </c>
      <c r="FB189" s="208" t="n">
        <f aca="false">VLOOKUP($FA$1,'Datos Iniciales'!$E$34:$O$64,FB$158,FALSE())*FB91</f>
        <v>0</v>
      </c>
      <c r="FC189" s="196" t="n">
        <f aca="false">VLOOKUP($FA$1,'Datos Iniciales'!$E$34:$O$64,FC$158,FALSE())*FC91</f>
        <v>0</v>
      </c>
      <c r="FD189" s="196" t="n">
        <f aca="false">VLOOKUP($FA$1,'Datos Iniciales'!$E$34:$O$64,FD$158,FALSE())*FD91</f>
        <v>0</v>
      </c>
      <c r="FE189" s="196" t="n">
        <f aca="false">VLOOKUP($FA$1,'Datos Iniciales'!$E$34:$O$64,FE$158,FALSE())*FE91</f>
        <v>0</v>
      </c>
      <c r="FF189" s="196" t="n">
        <f aca="false">VLOOKUP($FA$1,'Datos Iniciales'!$E$34:$O$64,FF$158,FALSE())*FF91</f>
        <v>0</v>
      </c>
      <c r="FG189" s="196" t="n">
        <f aca="false">VLOOKUP($FA$1,'Datos Iniciales'!$E$34:$O$64,FG$158,FALSE())*FG91</f>
        <v>0</v>
      </c>
      <c r="FH189" s="196" t="n">
        <f aca="false">VLOOKUP($FA$1,'Datos Iniciales'!$E$34:$O$64,FH$158,FALSE())*FH91</f>
        <v>0</v>
      </c>
      <c r="FI189" s="196" t="n">
        <f aca="false">VLOOKUP($FA$1,'Datos Iniciales'!$E$34:$O$64,FI$158,FALSE())*FI91</f>
        <v>0</v>
      </c>
      <c r="FJ189" s="196" t="n">
        <f aca="false">VLOOKUP($FA$1,'Datos Iniciales'!$E$34:$O$64,FJ$158,FALSE())*FJ91</f>
        <v>0</v>
      </c>
      <c r="FK189" s="197" t="n">
        <f aca="false">VLOOKUP($FA$1,'Datos Iniciales'!$E$34:$O$64,FK$158,FALSE())*FK91</f>
        <v>0</v>
      </c>
      <c r="FL189" s="194" t="str">
        <f aca="false">FA189</f>
        <v>Alumno30</v>
      </c>
      <c r="FM189" s="208" t="n">
        <f aca="false">VLOOKUP($FL$1,'Datos Iniciales'!$E$34:$O$64,FM$158,FALSE())*FM91</f>
        <v>0</v>
      </c>
      <c r="FN189" s="196" t="n">
        <f aca="false">VLOOKUP($FL$1,'Datos Iniciales'!$E$34:$O$64,FN$158,FALSE())*FN91</f>
        <v>0</v>
      </c>
      <c r="FO189" s="196" t="n">
        <f aca="false">VLOOKUP($FL$1,'Datos Iniciales'!$E$34:$O$64,FO$158,FALSE())*FO91</f>
        <v>0</v>
      </c>
      <c r="FP189" s="196" t="n">
        <f aca="false">VLOOKUP($FL$1,'Datos Iniciales'!$E$34:$O$64,FP$158,FALSE())*FP91</f>
        <v>0</v>
      </c>
      <c r="FQ189" s="196" t="n">
        <f aca="false">VLOOKUP($FL$1,'Datos Iniciales'!$E$34:$O$64,FQ$158,FALSE())*FQ91</f>
        <v>0</v>
      </c>
      <c r="FR189" s="196" t="n">
        <f aca="false">VLOOKUP($FL$1,'Datos Iniciales'!$E$34:$O$64,FR$158,FALSE())*FR91</f>
        <v>0</v>
      </c>
      <c r="FS189" s="196" t="n">
        <f aca="false">VLOOKUP($FL$1,'Datos Iniciales'!$E$34:$O$64,FS$158,FALSE())*FS91</f>
        <v>0</v>
      </c>
      <c r="FT189" s="196" t="n">
        <f aca="false">VLOOKUP($FL$1,'Datos Iniciales'!$E$34:$O$64,FT$158,FALSE())*FT91</f>
        <v>0</v>
      </c>
      <c r="FU189" s="196" t="n">
        <f aca="false">VLOOKUP($FL$1,'Datos Iniciales'!$E$34:$O$64,FU$158,FALSE())*FU91</f>
        <v>0</v>
      </c>
      <c r="FV189" s="197" t="n">
        <f aca="false">VLOOKUP($FL$1,'Datos Iniciales'!$E$34:$O$64,FV$158,FALSE())*FV91</f>
        <v>0</v>
      </c>
      <c r="FW189" s="194" t="str">
        <f aca="false">FL189</f>
        <v>Alumno30</v>
      </c>
      <c r="FX189" s="208" t="n">
        <f aca="false">VLOOKUP($FW$1,'Datos Iniciales'!$E$34:$O$64,FX$158,FALSE())*FX91</f>
        <v>0</v>
      </c>
      <c r="FY189" s="196" t="n">
        <f aca="false">VLOOKUP($FW$1,'Datos Iniciales'!$E$34:$O$64,FY$158,FALSE())*FY91</f>
        <v>0</v>
      </c>
      <c r="FZ189" s="196" t="n">
        <f aca="false">VLOOKUP($FW$1,'Datos Iniciales'!$E$34:$O$64,FZ$158,FALSE())*FZ91</f>
        <v>0</v>
      </c>
      <c r="GA189" s="196" t="n">
        <f aca="false">VLOOKUP($FW$1,'Datos Iniciales'!$E$34:$O$64,GA$158,FALSE())*GA91</f>
        <v>0</v>
      </c>
      <c r="GB189" s="196" t="n">
        <f aca="false">VLOOKUP($FW$1,'Datos Iniciales'!$E$34:$O$64,GB$158,FALSE())*GB91</f>
        <v>0</v>
      </c>
      <c r="GC189" s="196" t="n">
        <f aca="false">VLOOKUP($FW$1,'Datos Iniciales'!$E$34:$O$64,GC$158,FALSE())*GC91</f>
        <v>0</v>
      </c>
      <c r="GD189" s="196" t="n">
        <f aca="false">VLOOKUP($FW$1,'Datos Iniciales'!$E$34:$O$64,GD$158,FALSE())*GD91</f>
        <v>0</v>
      </c>
      <c r="GE189" s="196" t="n">
        <f aca="false">VLOOKUP($FW$1,'Datos Iniciales'!$E$34:$O$64,GE$158,FALSE())*GE91</f>
        <v>0</v>
      </c>
      <c r="GF189" s="196" t="n">
        <f aca="false">VLOOKUP($FW$1,'Datos Iniciales'!$E$34:$O$64,GF$158,FALSE())*GF91</f>
        <v>0</v>
      </c>
      <c r="GG189" s="197" t="n">
        <f aca="false">VLOOKUP($FW$1,'Datos Iniciales'!$E$34:$O$64,GG$158,FALSE())*GG91</f>
        <v>0</v>
      </c>
      <c r="GH189" s="194" t="str">
        <f aca="false">FW189</f>
        <v>Alumno30</v>
      </c>
      <c r="GI189" s="208" t="n">
        <f aca="false">VLOOKUP($GH$1,'Datos Iniciales'!$E$34:$O$64,GI$158,FALSE())*GI91</f>
        <v>0</v>
      </c>
      <c r="GJ189" s="196" t="n">
        <f aca="false">VLOOKUP($GH$1,'Datos Iniciales'!$E$34:$O$64,GJ$158,FALSE())*GJ91</f>
        <v>0</v>
      </c>
      <c r="GK189" s="196" t="n">
        <f aca="false">VLOOKUP($GH$1,'Datos Iniciales'!$E$34:$O$64,GK$158,FALSE())*GK91</f>
        <v>0</v>
      </c>
      <c r="GL189" s="196" t="n">
        <f aca="false">VLOOKUP($GH$1,'Datos Iniciales'!$E$34:$O$64,GL$158,FALSE())*GL91</f>
        <v>0</v>
      </c>
      <c r="GM189" s="196" t="n">
        <f aca="false">VLOOKUP($GH$1,'Datos Iniciales'!$E$34:$O$64,GM$158,FALSE())*GM91</f>
        <v>0</v>
      </c>
      <c r="GN189" s="196" t="n">
        <f aca="false">VLOOKUP($GH$1,'Datos Iniciales'!$E$34:$O$64,GN$158,FALSE())*GN91</f>
        <v>0</v>
      </c>
      <c r="GO189" s="196" t="n">
        <f aca="false">VLOOKUP($GH$1,'Datos Iniciales'!$E$34:$O$64,GO$158,FALSE())*GO91</f>
        <v>0</v>
      </c>
      <c r="GP189" s="196" t="n">
        <f aca="false">VLOOKUP($GH$1,'Datos Iniciales'!$E$34:$O$64,GP$158,FALSE())*GP91</f>
        <v>0</v>
      </c>
      <c r="GQ189" s="196" t="n">
        <f aca="false">VLOOKUP($GH$1,'Datos Iniciales'!$E$34:$O$64,GQ$158,FALSE())*GQ91</f>
        <v>0</v>
      </c>
      <c r="GR189" s="197" t="n">
        <f aca="false">VLOOKUP($GH$1,'Datos Iniciales'!$E$34:$O$64,GR$158,FALSE())*GR91</f>
        <v>0</v>
      </c>
      <c r="GS189" s="194" t="str">
        <f aca="false">GH189</f>
        <v>Alumno30</v>
      </c>
      <c r="GT189" s="208" t="n">
        <f aca="false">VLOOKUP($GS$1,'Datos Iniciales'!$E$34:$O$64,GT$158,FALSE())*GT91</f>
        <v>0</v>
      </c>
      <c r="GU189" s="196" t="n">
        <f aca="false">VLOOKUP($GS$1,'Datos Iniciales'!$E$34:$O$64,GU$158,FALSE())*GU91</f>
        <v>0</v>
      </c>
      <c r="GV189" s="196" t="n">
        <f aca="false">VLOOKUP($GS$1,'Datos Iniciales'!$E$34:$O$64,GV$158,FALSE())*GV91</f>
        <v>0</v>
      </c>
      <c r="GW189" s="196" t="n">
        <f aca="false">VLOOKUP($GS$1,'Datos Iniciales'!$E$34:$O$64,GW$158,FALSE())*GW91</f>
        <v>0</v>
      </c>
      <c r="GX189" s="196" t="n">
        <f aca="false">VLOOKUP($GS$1,'Datos Iniciales'!$E$34:$O$64,GX$158,FALSE())*GX91</f>
        <v>0</v>
      </c>
      <c r="GY189" s="196" t="n">
        <f aca="false">VLOOKUP($GS$1,'Datos Iniciales'!$E$34:$O$64,GY$158,FALSE())*GY91</f>
        <v>0</v>
      </c>
      <c r="GZ189" s="196" t="n">
        <f aca="false">VLOOKUP($GS$1,'Datos Iniciales'!$E$34:$O$64,GZ$158,FALSE())*GZ91</f>
        <v>0</v>
      </c>
      <c r="HA189" s="196" t="n">
        <f aca="false">VLOOKUP($GS$1,'Datos Iniciales'!$E$34:$O$64,HA$158,FALSE())*HA91</f>
        <v>0</v>
      </c>
      <c r="HB189" s="196" t="n">
        <f aca="false">VLOOKUP($GS$1,'Datos Iniciales'!$E$34:$O$64,HB$158,FALSE())*HB91</f>
        <v>0</v>
      </c>
      <c r="HC189" s="197" t="n">
        <f aca="false">VLOOKUP($GS$1,'Datos Iniciales'!$E$34:$O$64,HC$158,FALSE())*HC91</f>
        <v>0</v>
      </c>
      <c r="HD189" s="194" t="str">
        <f aca="false">GS189</f>
        <v>Alumno30</v>
      </c>
      <c r="HE189" s="208" t="n">
        <f aca="false">VLOOKUP($HD$1,'Datos Iniciales'!$E$34:$O$64,HE$158,FALSE())*HE91</f>
        <v>0</v>
      </c>
      <c r="HF189" s="196" t="n">
        <f aca="false">VLOOKUP($HD$1,'Datos Iniciales'!$E$34:$O$64,HF$158,FALSE())*HF91</f>
        <v>0</v>
      </c>
      <c r="HG189" s="196" t="n">
        <f aca="false">VLOOKUP($HD$1,'Datos Iniciales'!$E$34:$O$64,HG$158,FALSE())*HG91</f>
        <v>0</v>
      </c>
      <c r="HH189" s="196" t="n">
        <f aca="false">VLOOKUP($HD$1,'Datos Iniciales'!$E$34:$O$64,HH$158,FALSE())*HH91</f>
        <v>0</v>
      </c>
      <c r="HI189" s="196" t="n">
        <f aca="false">VLOOKUP($HD$1,'Datos Iniciales'!$E$34:$O$64,HI$158,FALSE())*HI91</f>
        <v>0</v>
      </c>
      <c r="HJ189" s="196" t="n">
        <f aca="false">VLOOKUP($HD$1,'Datos Iniciales'!$E$34:$O$64,HJ$158,FALSE())*HJ91</f>
        <v>0</v>
      </c>
      <c r="HK189" s="196" t="n">
        <f aca="false">VLOOKUP($HD$1,'Datos Iniciales'!$E$34:$O$64,HK$158,FALSE())*HK91</f>
        <v>0</v>
      </c>
      <c r="HL189" s="196" t="n">
        <f aca="false">VLOOKUP($HD$1,'Datos Iniciales'!$E$34:$O$64,HL$158,FALSE())*HL91</f>
        <v>0</v>
      </c>
      <c r="HM189" s="196" t="n">
        <f aca="false">VLOOKUP($HD$1,'Datos Iniciales'!$E$34:$O$64,HM$158,FALSE())*HM91</f>
        <v>0</v>
      </c>
      <c r="HN189" s="197" t="n">
        <f aca="false">VLOOKUP($HD$1,'Datos Iniciales'!$E$34:$O$64,HN$158,FALSE())*HN91</f>
        <v>0</v>
      </c>
      <c r="HO189" s="194" t="str">
        <f aca="false">HD189</f>
        <v>Alumno30</v>
      </c>
      <c r="HP189" s="208" t="n">
        <f aca="false">VLOOKUP($HO$1,'Datos Iniciales'!$E$34:$O$64,HP$158,FALSE())*HP91</f>
        <v>0</v>
      </c>
      <c r="HQ189" s="196" t="n">
        <f aca="false">VLOOKUP($HO$1,'Datos Iniciales'!$E$34:$O$64,HQ$158,FALSE())*HQ91</f>
        <v>0</v>
      </c>
      <c r="HR189" s="196" t="n">
        <f aca="false">VLOOKUP($HO$1,'Datos Iniciales'!$E$34:$O$64,HR$158,FALSE())*HR91</f>
        <v>0</v>
      </c>
      <c r="HS189" s="196" t="n">
        <f aca="false">VLOOKUP($HO$1,'Datos Iniciales'!$E$34:$O$64,HS$158,FALSE())*HS91</f>
        <v>0</v>
      </c>
      <c r="HT189" s="196" t="n">
        <f aca="false">VLOOKUP($HO$1,'Datos Iniciales'!$E$34:$O$64,HT$158,FALSE())*HT91</f>
        <v>0</v>
      </c>
      <c r="HU189" s="196" t="n">
        <f aca="false">VLOOKUP($HO$1,'Datos Iniciales'!$E$34:$O$64,HU$158,FALSE())*HU91</f>
        <v>0</v>
      </c>
      <c r="HV189" s="196" t="n">
        <f aca="false">VLOOKUP($HO$1,'Datos Iniciales'!$E$34:$O$64,HV$158,FALSE())*HV91</f>
        <v>0</v>
      </c>
      <c r="HW189" s="196" t="n">
        <f aca="false">VLOOKUP($HO$1,'Datos Iniciales'!$E$34:$O$64,HW$158,FALSE())*HW91</f>
        <v>0</v>
      </c>
      <c r="HX189" s="196" t="n">
        <f aca="false">VLOOKUP($HO$1,'Datos Iniciales'!$E$34:$O$64,HX$158,FALSE())*HX91</f>
        <v>0</v>
      </c>
      <c r="HY189" s="197" t="n">
        <f aca="false">VLOOKUP($HO$1,'Datos Iniciales'!$E$34:$O$64,HY$158,FALSE())*HY91</f>
        <v>0</v>
      </c>
      <c r="HZ189" s="194" t="str">
        <f aca="false">HO189</f>
        <v>Alumno30</v>
      </c>
      <c r="IA189" s="208" t="n">
        <f aca="false">VLOOKUP($HZ$1,'Datos Iniciales'!$E$34:$O$64,IA$158,FALSE())*IA91</f>
        <v>0</v>
      </c>
      <c r="IB189" s="196" t="n">
        <f aca="false">VLOOKUP($HZ$1,'Datos Iniciales'!$E$34:$O$64,IB$158,FALSE())*IB91</f>
        <v>0</v>
      </c>
      <c r="IC189" s="196" t="n">
        <f aca="false">VLOOKUP($HZ$1,'Datos Iniciales'!$E$34:$O$64,IC$158,FALSE())*IC91</f>
        <v>0</v>
      </c>
      <c r="ID189" s="196" t="n">
        <f aca="false">VLOOKUP($HZ$1,'Datos Iniciales'!$E$34:$O$64,ID$158,FALSE())*ID91</f>
        <v>0</v>
      </c>
      <c r="IE189" s="196" t="n">
        <f aca="false">VLOOKUP($HZ$1,'Datos Iniciales'!$E$34:$O$64,IE$158,FALSE())*IE91</f>
        <v>0</v>
      </c>
      <c r="IF189" s="196" t="n">
        <f aca="false">VLOOKUP($HZ$1,'Datos Iniciales'!$E$34:$O$64,IF$158,FALSE())*IF91</f>
        <v>0</v>
      </c>
      <c r="IG189" s="196" t="n">
        <f aca="false">VLOOKUP($HZ$1,'Datos Iniciales'!$E$34:$O$64,IG$158,FALSE())*IG91</f>
        <v>0</v>
      </c>
      <c r="IH189" s="196" t="n">
        <f aca="false">VLOOKUP($HZ$1,'Datos Iniciales'!$E$34:$O$64,IH$158,FALSE())*IH91</f>
        <v>0</v>
      </c>
      <c r="II189" s="196" t="n">
        <f aca="false">VLOOKUP($HZ$1,'Datos Iniciales'!$E$34:$O$64,II$158,FALSE())*II91</f>
        <v>0</v>
      </c>
      <c r="IJ189" s="197" t="n">
        <f aca="false">VLOOKUP($HZ$1,'Datos Iniciales'!$E$34:$O$64,IJ$158,FALSE())*IJ91</f>
        <v>0</v>
      </c>
      <c r="IK189" s="194" t="str">
        <f aca="false">HZ189</f>
        <v>Alumno30</v>
      </c>
      <c r="IL189" s="208" t="n">
        <f aca="false">VLOOKUP($IK$1,'Datos Iniciales'!$E$34:$O$64,IL$158,FALSE())*IL91</f>
        <v>0</v>
      </c>
      <c r="IM189" s="196" t="n">
        <f aca="false">VLOOKUP($IK$1,'Datos Iniciales'!$E$34:$O$64,IM$158,FALSE())*IM91</f>
        <v>0</v>
      </c>
      <c r="IN189" s="196" t="n">
        <f aca="false">VLOOKUP($IK$1,'Datos Iniciales'!$E$34:$O$64,IN$158,FALSE())*IN91</f>
        <v>0</v>
      </c>
      <c r="IO189" s="196" t="n">
        <f aca="false">VLOOKUP($IK$1,'Datos Iniciales'!$E$34:$O$64,IO$158,FALSE())*IO91</f>
        <v>0</v>
      </c>
      <c r="IP189" s="196" t="n">
        <f aca="false">VLOOKUP($IK$1,'Datos Iniciales'!$E$34:$O$64,IP$158,FALSE())*IP91</f>
        <v>0</v>
      </c>
      <c r="IQ189" s="196" t="n">
        <f aca="false">VLOOKUP($IK$1,'Datos Iniciales'!$E$34:$O$64,IQ$158,FALSE())*IQ91</f>
        <v>0</v>
      </c>
      <c r="IR189" s="196" t="n">
        <f aca="false">VLOOKUP($IK$1,'Datos Iniciales'!$E$34:$O$64,IR$158,FALSE())*IR91</f>
        <v>0</v>
      </c>
      <c r="IS189" s="196" t="n">
        <f aca="false">VLOOKUP($IK$1,'Datos Iniciales'!$E$34:$O$64,IS$158,FALSE())*IS91</f>
        <v>0</v>
      </c>
      <c r="IT189" s="196" t="n">
        <f aca="false">VLOOKUP($IK$1,'Datos Iniciales'!$E$34:$O$64,IT$158,FALSE())*IT91</f>
        <v>0</v>
      </c>
      <c r="IU189" s="197" t="n">
        <f aca="false">VLOOKUP($IK$1,'Datos Iniciales'!$E$34:$O$64,IU$158,FALSE())*IU91</f>
        <v>0</v>
      </c>
      <c r="IV189" s="194" t="str">
        <f aca="false">IK189</f>
        <v>Alumno30</v>
      </c>
      <c r="IW189" s="208" t="n">
        <f aca="false">VLOOKUP($IV$1,'Datos Iniciales'!$E$34:$O$64,IW$158,FALSE())*IW91</f>
        <v>0</v>
      </c>
      <c r="IX189" s="196" t="n">
        <f aca="false">VLOOKUP($IV$1,'Datos Iniciales'!$E$34:$O$64,IX$158,FALSE())*IX91</f>
        <v>0</v>
      </c>
      <c r="IY189" s="196" t="n">
        <f aca="false">VLOOKUP($IV$1,'Datos Iniciales'!$E$34:$O$64,IY$158,FALSE())*IY91</f>
        <v>0</v>
      </c>
      <c r="IZ189" s="196" t="n">
        <f aca="false">VLOOKUP($IV$1,'Datos Iniciales'!$E$34:$O$64,IZ$158,FALSE())*IZ91</f>
        <v>0</v>
      </c>
      <c r="JA189" s="196" t="n">
        <f aca="false">VLOOKUP($IV$1,'Datos Iniciales'!$E$34:$O$64,JA$158,FALSE())*JA91</f>
        <v>0</v>
      </c>
      <c r="JB189" s="196" t="n">
        <f aca="false">VLOOKUP($IV$1,'Datos Iniciales'!$E$34:$O$64,JB$158,FALSE())*JB91</f>
        <v>0</v>
      </c>
      <c r="JC189" s="196" t="n">
        <f aca="false">VLOOKUP($IV$1,'Datos Iniciales'!$E$34:$O$64,JC$158,FALSE())*JC91</f>
        <v>0</v>
      </c>
      <c r="JD189" s="196" t="n">
        <f aca="false">VLOOKUP($IV$1,'Datos Iniciales'!$E$34:$O$64,JD$158,FALSE())*JD91</f>
        <v>0</v>
      </c>
      <c r="JE189" s="196" t="n">
        <f aca="false">VLOOKUP($IV$1,'Datos Iniciales'!$E$34:$O$64,JE$158,FALSE())*JE91</f>
        <v>0</v>
      </c>
      <c r="JF189" s="197" t="n">
        <f aca="false">VLOOKUP($IV$1,'Datos Iniciales'!$E$34:$O$64,JF$158,FALSE())*JF91</f>
        <v>0</v>
      </c>
      <c r="JG189" s="194" t="str">
        <f aca="false">IV189</f>
        <v>Alumno30</v>
      </c>
      <c r="JH189" s="208" t="n">
        <f aca="false">VLOOKUP($JG$1,'Datos Iniciales'!$E$34:$O$64,JH$158,FALSE())*JH91</f>
        <v>0</v>
      </c>
      <c r="JI189" s="196" t="n">
        <f aca="false">VLOOKUP($JG$1,'Datos Iniciales'!$E$34:$O$64,JI$158,FALSE())*JI91</f>
        <v>0</v>
      </c>
      <c r="JJ189" s="196" t="n">
        <f aca="false">VLOOKUP($JG$1,'Datos Iniciales'!$E$34:$O$64,JJ$158,FALSE())*JJ91</f>
        <v>0</v>
      </c>
      <c r="JK189" s="196" t="n">
        <f aca="false">VLOOKUP($JG$1,'Datos Iniciales'!$E$34:$O$64,JK$158,FALSE())*JK91</f>
        <v>0</v>
      </c>
      <c r="JL189" s="196" t="n">
        <f aca="false">VLOOKUP($JG$1,'Datos Iniciales'!$E$34:$O$64,JL$158,FALSE())*JL91</f>
        <v>0</v>
      </c>
      <c r="JM189" s="196" t="n">
        <f aca="false">VLOOKUP($JG$1,'Datos Iniciales'!$E$34:$O$64,JM$158,FALSE())*JM91</f>
        <v>0</v>
      </c>
      <c r="JN189" s="196" t="n">
        <f aca="false">VLOOKUP($JG$1,'Datos Iniciales'!$E$34:$O$64,JN$158,FALSE())*JN91</f>
        <v>0</v>
      </c>
      <c r="JO189" s="196" t="n">
        <f aca="false">VLOOKUP($JG$1,'Datos Iniciales'!$E$34:$O$64,JO$158,FALSE())*JO91</f>
        <v>0</v>
      </c>
      <c r="JP189" s="196" t="n">
        <f aca="false">VLOOKUP($JG$1,'Datos Iniciales'!$E$34:$O$64,JP$158,FALSE())*JP91</f>
        <v>0</v>
      </c>
      <c r="JQ189" s="197" t="n">
        <f aca="false">VLOOKUP($JG$1,'Datos Iniciales'!$E$34:$O$64,JQ$158,FALSE())*JQ91</f>
        <v>0</v>
      </c>
      <c r="JR189" s="194" t="str">
        <f aca="false">JG189</f>
        <v>Alumno30</v>
      </c>
      <c r="JS189" s="208" t="n">
        <f aca="false">VLOOKUP($JR$1,'Datos Iniciales'!$E$34:$O$64,JS$158,FALSE())*JS91</f>
        <v>0</v>
      </c>
      <c r="JT189" s="196" t="n">
        <f aca="false">VLOOKUP($JR$1,'Datos Iniciales'!$E$34:$O$64,JT$158,FALSE())*JT91</f>
        <v>0</v>
      </c>
      <c r="JU189" s="196" t="n">
        <f aca="false">VLOOKUP($JR$1,'Datos Iniciales'!$E$34:$O$64,JU$158,FALSE())*JU91</f>
        <v>0</v>
      </c>
      <c r="JV189" s="196" t="n">
        <f aca="false">VLOOKUP($JR$1,'Datos Iniciales'!$E$34:$O$64,JV$158,FALSE())*JV91</f>
        <v>0</v>
      </c>
      <c r="JW189" s="196" t="n">
        <f aca="false">VLOOKUP($JR$1,'Datos Iniciales'!$E$34:$O$64,JW$158,FALSE())*JW91</f>
        <v>0</v>
      </c>
      <c r="JX189" s="196" t="n">
        <f aca="false">VLOOKUP($JR$1,'Datos Iniciales'!$E$34:$O$64,JX$158,FALSE())*JX91</f>
        <v>0</v>
      </c>
      <c r="JY189" s="196" t="n">
        <f aca="false">VLOOKUP($JR$1,'Datos Iniciales'!$E$34:$O$64,JY$158,FALSE())*JY91</f>
        <v>0</v>
      </c>
      <c r="JZ189" s="196" t="n">
        <f aca="false">VLOOKUP($JR$1,'Datos Iniciales'!$E$34:$O$64,JZ$158,FALSE())*JZ91</f>
        <v>0</v>
      </c>
      <c r="KA189" s="196" t="n">
        <f aca="false">VLOOKUP($JR$1,'Datos Iniciales'!$E$34:$O$64,KA$158,FALSE())*KA91</f>
        <v>0</v>
      </c>
      <c r="KB189" s="197" t="n">
        <f aca="false">VLOOKUP($JR$1,'Datos Iniciales'!$E$34:$O$64,KB$158,FALSE())*KB91</f>
        <v>0</v>
      </c>
      <c r="KC189" s="194" t="str">
        <f aca="false">JR189</f>
        <v>Alumno30</v>
      </c>
      <c r="KD189" s="208" t="n">
        <f aca="false">VLOOKUP($KC$1,'Datos Iniciales'!$E$34:$O$64,KD$158,FALSE())*KD91</f>
        <v>0</v>
      </c>
      <c r="KE189" s="196" t="n">
        <f aca="false">VLOOKUP($KC$1,'Datos Iniciales'!$E$34:$O$64,KE$158,FALSE())*KE91</f>
        <v>0</v>
      </c>
      <c r="KF189" s="196" t="n">
        <f aca="false">VLOOKUP($KC$1,'Datos Iniciales'!$E$34:$O$64,KF$158,FALSE())*KF91</f>
        <v>0</v>
      </c>
      <c r="KG189" s="196" t="n">
        <f aca="false">VLOOKUP($KC$1,'Datos Iniciales'!$E$34:$O$64,KG$158,FALSE())*KG91</f>
        <v>0</v>
      </c>
      <c r="KH189" s="196" t="n">
        <f aca="false">VLOOKUP($KC$1,'Datos Iniciales'!$E$34:$O$64,KH$158,FALSE())*KH91</f>
        <v>0</v>
      </c>
      <c r="KI189" s="196" t="n">
        <f aca="false">VLOOKUP($KC$1,'Datos Iniciales'!$E$34:$O$64,KI$158,FALSE())*KI91</f>
        <v>0</v>
      </c>
      <c r="KJ189" s="196" t="n">
        <f aca="false">VLOOKUP($KC$1,'Datos Iniciales'!$E$34:$O$64,KJ$158,FALSE())*KJ91</f>
        <v>0</v>
      </c>
      <c r="KK189" s="196" t="n">
        <f aca="false">VLOOKUP($KC$1,'Datos Iniciales'!$E$34:$O$64,KK$158,FALSE())*KK91</f>
        <v>0</v>
      </c>
      <c r="KL189" s="196" t="n">
        <f aca="false">VLOOKUP($KC$1,'Datos Iniciales'!$E$34:$O$64,KL$158,FALSE())*KL91</f>
        <v>0</v>
      </c>
      <c r="KM189" s="197" t="n">
        <f aca="false">VLOOKUP($KC$1,'Datos Iniciales'!$E$34:$O$64,KM$158,FALSE())*KM91</f>
        <v>0</v>
      </c>
      <c r="KN189" s="194" t="str">
        <f aca="false">KC189</f>
        <v>Alumno30</v>
      </c>
      <c r="KO189" s="208" t="n">
        <f aca="false">VLOOKUP($KN$1,'Datos Iniciales'!$E$34:$O$64,KO$158,FALSE())*KO91</f>
        <v>0</v>
      </c>
      <c r="KP189" s="196" t="n">
        <f aca="false">VLOOKUP($KN$1,'Datos Iniciales'!$E$34:$O$64,KP$158,FALSE())*KP91</f>
        <v>0</v>
      </c>
      <c r="KQ189" s="196" t="n">
        <f aca="false">VLOOKUP($KN$1,'Datos Iniciales'!$E$34:$O$64,KQ$158,FALSE())*KQ91</f>
        <v>0</v>
      </c>
      <c r="KR189" s="196" t="n">
        <f aca="false">VLOOKUP($KN$1,'Datos Iniciales'!$E$34:$O$64,KR$158,FALSE())*KR91</f>
        <v>0</v>
      </c>
      <c r="KS189" s="196" t="n">
        <f aca="false">VLOOKUP($KN$1,'Datos Iniciales'!$E$34:$O$64,KS$158,FALSE())*KS91</f>
        <v>0</v>
      </c>
      <c r="KT189" s="196" t="n">
        <f aca="false">VLOOKUP($KN$1,'Datos Iniciales'!$E$34:$O$64,KT$158,FALSE())*KT91</f>
        <v>0</v>
      </c>
      <c r="KU189" s="196" t="n">
        <f aca="false">VLOOKUP($KN$1,'Datos Iniciales'!$E$34:$O$64,KU$158,FALSE())*KU91</f>
        <v>0</v>
      </c>
      <c r="KV189" s="196" t="n">
        <f aca="false">VLOOKUP($KN$1,'Datos Iniciales'!$E$34:$O$64,KV$158,FALSE())*KV91</f>
        <v>0</v>
      </c>
      <c r="KW189" s="196" t="n">
        <f aca="false">VLOOKUP($KN$1,'Datos Iniciales'!$E$34:$O$64,KW$158,FALSE())*KW91</f>
        <v>0</v>
      </c>
      <c r="KX189" s="197" t="n">
        <f aca="false">VLOOKUP($KN$1,'Datos Iniciales'!$E$34:$O$64,KX$158,FALSE())*KX91</f>
        <v>0</v>
      </c>
      <c r="KY189" s="194" t="str">
        <f aca="false">KN189</f>
        <v>Alumno30</v>
      </c>
      <c r="KZ189" s="208" t="n">
        <f aca="false">VLOOKUP($KY$1,'Datos Iniciales'!$E$34:$O$64,KZ$158,FALSE())*KZ91</f>
        <v>0</v>
      </c>
      <c r="LA189" s="196" t="n">
        <f aca="false">VLOOKUP($KY$1,'Datos Iniciales'!$E$34:$O$64,LA$158,FALSE())*LA91</f>
        <v>0</v>
      </c>
      <c r="LB189" s="196" t="n">
        <f aca="false">VLOOKUP($KY$1,'Datos Iniciales'!$E$34:$O$64,LB$158,FALSE())*LB91</f>
        <v>0</v>
      </c>
      <c r="LC189" s="196" t="n">
        <f aca="false">VLOOKUP($KY$1,'Datos Iniciales'!$E$34:$O$64,LC$158,FALSE())*LC91</f>
        <v>0</v>
      </c>
      <c r="LD189" s="196" t="n">
        <f aca="false">VLOOKUP($KY$1,'Datos Iniciales'!$E$34:$O$64,LD$158,FALSE())*LD91</f>
        <v>0</v>
      </c>
      <c r="LE189" s="196" t="n">
        <f aca="false">VLOOKUP($KY$1,'Datos Iniciales'!$E$34:$O$64,LE$158,FALSE())*LE91</f>
        <v>0</v>
      </c>
      <c r="LF189" s="196" t="n">
        <f aca="false">VLOOKUP($KY$1,'Datos Iniciales'!$E$34:$O$64,LF$158,FALSE())*LF91</f>
        <v>0</v>
      </c>
      <c r="LG189" s="196" t="n">
        <f aca="false">VLOOKUP($KY$1,'Datos Iniciales'!$E$34:$O$64,LG$158,FALSE())*LG91</f>
        <v>0</v>
      </c>
      <c r="LH189" s="196" t="n">
        <f aca="false">VLOOKUP($KY$1,'Datos Iniciales'!$E$34:$O$64,LH$158,FALSE())*LH91</f>
        <v>0</v>
      </c>
      <c r="LI189" s="197" t="n">
        <f aca="false">VLOOKUP($KY$1,'Datos Iniciales'!$E$34:$O$64,LI$158,FALSE())*LI91</f>
        <v>0</v>
      </c>
      <c r="LJ189" s="194" t="str">
        <f aca="false">KY189</f>
        <v>Alumno30</v>
      </c>
      <c r="LK189" s="208" t="n">
        <f aca="false">VLOOKUP($LJ$1,'Datos Iniciales'!$E$34:$O$64,LK$158,FALSE())*LK91</f>
        <v>0</v>
      </c>
      <c r="LL189" s="196" t="n">
        <f aca="false">VLOOKUP($LJ$1,'Datos Iniciales'!$E$34:$O$64,LL$158,FALSE())*LL91</f>
        <v>0</v>
      </c>
      <c r="LM189" s="196" t="n">
        <f aca="false">VLOOKUP($LJ$1,'Datos Iniciales'!$E$34:$O$64,LM$158,FALSE())*LM91</f>
        <v>0</v>
      </c>
      <c r="LN189" s="196" t="n">
        <f aca="false">VLOOKUP($LJ$1,'Datos Iniciales'!$E$34:$O$64,LN$158,FALSE())*LN91</f>
        <v>0</v>
      </c>
      <c r="LO189" s="196" t="n">
        <f aca="false">VLOOKUP($LJ$1,'Datos Iniciales'!$E$34:$O$64,LO$158,FALSE())*LO91</f>
        <v>0</v>
      </c>
      <c r="LP189" s="196" t="n">
        <f aca="false">VLOOKUP($LJ$1,'Datos Iniciales'!$E$34:$O$64,LP$158,FALSE())*LP91</f>
        <v>0</v>
      </c>
      <c r="LQ189" s="196" t="n">
        <f aca="false">VLOOKUP($LJ$1,'Datos Iniciales'!$E$34:$O$64,LQ$158,FALSE())*LQ91</f>
        <v>0</v>
      </c>
      <c r="LR189" s="196" t="n">
        <f aca="false">VLOOKUP($LJ$1,'Datos Iniciales'!$E$34:$O$64,LR$158,FALSE())*LR91</f>
        <v>0</v>
      </c>
      <c r="LS189" s="196" t="n">
        <f aca="false">VLOOKUP($LJ$1,'Datos Iniciales'!$E$34:$O$64,LS$158,FALSE())*LS91</f>
        <v>0</v>
      </c>
      <c r="LT189" s="197" t="n">
        <f aca="false">VLOOKUP($LJ$1,'Datos Iniciales'!$E$34:$O$64,LT$158,FALSE())*LT91</f>
        <v>0</v>
      </c>
    </row>
    <row r="190" customFormat="false" ht="15" hidden="true" customHeight="false" outlineLevel="0" collapsed="false">
      <c r="C190" s="194" t="str">
        <f aca="false">C141</f>
        <v>Alumno31</v>
      </c>
      <c r="D190" s="208" t="n">
        <f aca="false">VLOOKUP($C$1,'Datos Iniciales'!$E$34:$O$64,D$158,FALSE())*D92</f>
        <v>0</v>
      </c>
      <c r="E190" s="196" t="n">
        <f aca="false">VLOOKUP($C$1,'Datos Iniciales'!$E$34:$O$64,E$158,FALSE())*E92</f>
        <v>0</v>
      </c>
      <c r="F190" s="196" t="n">
        <f aca="false">VLOOKUP($C$1,'Datos Iniciales'!$E$34:$O$64,F$158,FALSE())*F92</f>
        <v>0</v>
      </c>
      <c r="G190" s="196" t="n">
        <f aca="false">VLOOKUP($C$1,'Datos Iniciales'!$E$34:$O$64,G$158,FALSE())*G92</f>
        <v>0</v>
      </c>
      <c r="H190" s="196" t="n">
        <f aca="false">VLOOKUP($C$1,'Datos Iniciales'!$E$34:$O$64,H$158,FALSE())*H92</f>
        <v>0</v>
      </c>
      <c r="I190" s="196" t="n">
        <f aca="false">VLOOKUP($C$1,'Datos Iniciales'!$E$34:$O$64,I$158,FALSE())*I92</f>
        <v>0</v>
      </c>
      <c r="J190" s="196" t="n">
        <f aca="false">VLOOKUP($C$1,'Datos Iniciales'!$E$34:$O$64,J$158,FALSE())*J92</f>
        <v>0</v>
      </c>
      <c r="K190" s="196" t="n">
        <f aca="false">VLOOKUP($C$1,'Datos Iniciales'!$E$34:$O$64,K$158,FALSE())*K92</f>
        <v>0</v>
      </c>
      <c r="L190" s="196" t="n">
        <f aca="false">VLOOKUP($C$1,'Datos Iniciales'!$E$34:$O$64,L$158,FALSE())*L92</f>
        <v>0</v>
      </c>
      <c r="M190" s="197" t="n">
        <f aca="false">VLOOKUP($C$1,'Datos Iniciales'!$E$34:$O$64,M$158,FALSE())*M92</f>
        <v>0</v>
      </c>
      <c r="N190" s="194" t="str">
        <f aca="false">C190</f>
        <v>Alumno31</v>
      </c>
      <c r="O190" s="208" t="n">
        <f aca="false">VLOOKUP($N$1,'Datos Iniciales'!$E$34:$O$64,O$158,FALSE())*O92</f>
        <v>0</v>
      </c>
      <c r="P190" s="196" t="n">
        <f aca="false">VLOOKUP($N$1,'Datos Iniciales'!$E$34:$O$64,P$158,FALSE())*P92</f>
        <v>0</v>
      </c>
      <c r="Q190" s="196" t="n">
        <f aca="false">VLOOKUP($N$1,'Datos Iniciales'!$E$34:$O$64,Q$158,FALSE())*Q92</f>
        <v>0</v>
      </c>
      <c r="R190" s="196" t="n">
        <f aca="false">VLOOKUP($N$1,'Datos Iniciales'!$E$34:$O$64,R$158,FALSE())*R92</f>
        <v>0</v>
      </c>
      <c r="S190" s="196" t="n">
        <f aca="false">VLOOKUP($N$1,'Datos Iniciales'!$E$34:$O$64,S$158,FALSE())*S92</f>
        <v>0</v>
      </c>
      <c r="T190" s="196" t="n">
        <f aca="false">VLOOKUP($N$1,'Datos Iniciales'!$E$34:$O$64,T$158,FALSE())*T92</f>
        <v>0</v>
      </c>
      <c r="U190" s="196" t="n">
        <f aca="false">VLOOKUP($N$1,'Datos Iniciales'!$E$34:$O$64,U$158,FALSE())*U92</f>
        <v>0</v>
      </c>
      <c r="V190" s="196" t="n">
        <f aca="false">VLOOKUP($N$1,'Datos Iniciales'!$E$34:$O$64,V$158,FALSE())*V92</f>
        <v>0</v>
      </c>
      <c r="W190" s="196" t="n">
        <f aca="false">VLOOKUP($N$1,'Datos Iniciales'!$E$34:$O$64,W$158,FALSE())*W92</f>
        <v>0</v>
      </c>
      <c r="X190" s="197" t="n">
        <f aca="false">VLOOKUP($N$1,'Datos Iniciales'!$E$34:$O$64,X$158,FALSE())*X92</f>
        <v>0</v>
      </c>
      <c r="Y190" s="194" t="str">
        <f aca="false">N190</f>
        <v>Alumno31</v>
      </c>
      <c r="Z190" s="208" t="n">
        <f aca="false">VLOOKUP($Y$1,'Datos Iniciales'!$E$34:$O$64,Z$158,FALSE())*Z92</f>
        <v>0</v>
      </c>
      <c r="AA190" s="196" t="n">
        <f aca="false">VLOOKUP($Y$1,'Datos Iniciales'!$E$34:$O$64,AA$158,FALSE())*AA92</f>
        <v>0</v>
      </c>
      <c r="AB190" s="196" t="n">
        <f aca="false">VLOOKUP($Y$1,'Datos Iniciales'!$E$34:$O$64,AB$158,FALSE())*AB92</f>
        <v>0</v>
      </c>
      <c r="AC190" s="196" t="n">
        <f aca="false">VLOOKUP($Y$1,'Datos Iniciales'!$E$34:$O$64,AC$158,FALSE())*AC92</f>
        <v>0</v>
      </c>
      <c r="AD190" s="196" t="n">
        <f aca="false">VLOOKUP($Y$1,'Datos Iniciales'!$E$34:$O$64,AD$158,FALSE())*AD92</f>
        <v>0</v>
      </c>
      <c r="AE190" s="196" t="n">
        <f aca="false">VLOOKUP($Y$1,'Datos Iniciales'!$E$34:$O$64,AE$158,FALSE())*AE92</f>
        <v>0</v>
      </c>
      <c r="AF190" s="196" t="n">
        <f aca="false">VLOOKUP($Y$1,'Datos Iniciales'!$E$34:$O$64,AF$158,FALSE())*AF92</f>
        <v>0</v>
      </c>
      <c r="AG190" s="196" t="n">
        <f aca="false">VLOOKUP($Y$1,'Datos Iniciales'!$E$34:$O$64,AG$158,FALSE())*AG92</f>
        <v>0</v>
      </c>
      <c r="AH190" s="196" t="n">
        <f aca="false">VLOOKUP($Y$1,'Datos Iniciales'!$E$34:$O$64,AH$158,FALSE())*AH92</f>
        <v>0</v>
      </c>
      <c r="AI190" s="197" t="n">
        <f aca="false">VLOOKUP($Y$1,'Datos Iniciales'!$E$34:$O$64,AI$158,FALSE())*AI92</f>
        <v>0</v>
      </c>
      <c r="AJ190" s="194" t="str">
        <f aca="false">Y190</f>
        <v>Alumno31</v>
      </c>
      <c r="AK190" s="208" t="n">
        <f aca="false">VLOOKUP($AJ$1,'Datos Iniciales'!$E$34:$O$64,AK$158,FALSE())*AK92</f>
        <v>0</v>
      </c>
      <c r="AL190" s="196" t="n">
        <f aca="false">VLOOKUP($AJ$1,'Datos Iniciales'!$E$34:$O$64,AL$158,FALSE())*AL92</f>
        <v>0</v>
      </c>
      <c r="AM190" s="196" t="n">
        <f aca="false">VLOOKUP($AJ$1,'Datos Iniciales'!$E$34:$O$64,AM$158,FALSE())*AM92</f>
        <v>0</v>
      </c>
      <c r="AN190" s="196" t="n">
        <f aca="false">VLOOKUP($AJ$1,'Datos Iniciales'!$E$34:$O$64,AN$158,FALSE())*AN92</f>
        <v>0</v>
      </c>
      <c r="AO190" s="196" t="n">
        <f aca="false">VLOOKUP($AJ$1,'Datos Iniciales'!$E$34:$O$64,AO$158,FALSE())*AO92</f>
        <v>0</v>
      </c>
      <c r="AP190" s="196" t="n">
        <f aca="false">VLOOKUP($AJ$1,'Datos Iniciales'!$E$34:$O$64,AP$158,FALSE())*AP92</f>
        <v>0</v>
      </c>
      <c r="AQ190" s="196" t="n">
        <f aca="false">VLOOKUP($AJ$1,'Datos Iniciales'!$E$34:$O$64,AQ$158,FALSE())*AQ92</f>
        <v>0</v>
      </c>
      <c r="AR190" s="196" t="n">
        <f aca="false">VLOOKUP($AJ$1,'Datos Iniciales'!$E$34:$O$64,AR$158,FALSE())*AR92</f>
        <v>0</v>
      </c>
      <c r="AS190" s="196" t="n">
        <f aca="false">VLOOKUP($AJ$1,'Datos Iniciales'!$E$34:$O$64,AS$158,FALSE())*AS92</f>
        <v>0</v>
      </c>
      <c r="AT190" s="197" t="n">
        <f aca="false">VLOOKUP($AJ$1,'Datos Iniciales'!$E$34:$O$64,AT$158,FALSE())*AT92</f>
        <v>0</v>
      </c>
      <c r="AU190" s="194" t="str">
        <f aca="false">AJ190</f>
        <v>Alumno31</v>
      </c>
      <c r="AV190" s="208" t="n">
        <f aca="false">VLOOKUP($AU$1,'Datos Iniciales'!$E$34:$O$64,AV$158,FALSE())*AV92</f>
        <v>0</v>
      </c>
      <c r="AW190" s="196" t="n">
        <f aca="false">VLOOKUP($AU$1,'Datos Iniciales'!$E$34:$O$64,AW$158,FALSE())*AW92</f>
        <v>0</v>
      </c>
      <c r="AX190" s="196" t="n">
        <f aca="false">VLOOKUP($AU$1,'Datos Iniciales'!$E$34:$O$64,AX$158,FALSE())*AX92</f>
        <v>0</v>
      </c>
      <c r="AY190" s="196" t="n">
        <f aca="false">VLOOKUP($AU$1,'Datos Iniciales'!$E$34:$O$64,AY$158,FALSE())*AY92</f>
        <v>0</v>
      </c>
      <c r="AZ190" s="196" t="n">
        <f aca="false">VLOOKUP($AU$1,'Datos Iniciales'!$E$34:$O$64,AZ$158,FALSE())*AZ92</f>
        <v>0</v>
      </c>
      <c r="BA190" s="196" t="n">
        <f aca="false">VLOOKUP($AU$1,'Datos Iniciales'!$E$34:$O$64,BA$158,FALSE())*BA92</f>
        <v>0</v>
      </c>
      <c r="BB190" s="196" t="n">
        <f aca="false">VLOOKUP($AU$1,'Datos Iniciales'!$E$34:$O$64,BB$158,FALSE())*BB92</f>
        <v>0</v>
      </c>
      <c r="BC190" s="196" t="n">
        <f aca="false">VLOOKUP($AU$1,'Datos Iniciales'!$E$34:$O$64,BC$158,FALSE())*BC92</f>
        <v>0</v>
      </c>
      <c r="BD190" s="196" t="n">
        <f aca="false">VLOOKUP($AU$1,'Datos Iniciales'!$E$34:$O$64,BD$158,FALSE())*BD92</f>
        <v>0</v>
      </c>
      <c r="BE190" s="197" t="n">
        <f aca="false">VLOOKUP($AU$1,'Datos Iniciales'!$E$34:$O$64,BE$158,FALSE())*BE92</f>
        <v>0</v>
      </c>
      <c r="BF190" s="194" t="str">
        <f aca="false">AU190</f>
        <v>Alumno31</v>
      </c>
      <c r="BG190" s="208" t="n">
        <f aca="false">VLOOKUP($BF$1,'Datos Iniciales'!$E$34:$O$64,BG$158,FALSE())*BG92</f>
        <v>0</v>
      </c>
      <c r="BH190" s="196" t="n">
        <f aca="false">VLOOKUP($BF$1,'Datos Iniciales'!$E$34:$O$64,BH$158,FALSE())*BH92</f>
        <v>0</v>
      </c>
      <c r="BI190" s="196" t="n">
        <f aca="false">VLOOKUP($BF$1,'Datos Iniciales'!$E$34:$O$64,BI$158,FALSE())*BI92</f>
        <v>0</v>
      </c>
      <c r="BJ190" s="196" t="n">
        <f aca="false">VLOOKUP($BF$1,'Datos Iniciales'!$E$34:$O$64,BJ$158,FALSE())*BJ92</f>
        <v>0</v>
      </c>
      <c r="BK190" s="196" t="n">
        <f aca="false">VLOOKUP($BF$1,'Datos Iniciales'!$E$34:$O$64,BK$158,FALSE())*BK92</f>
        <v>0</v>
      </c>
      <c r="BL190" s="196" t="n">
        <f aca="false">VLOOKUP($BF$1,'Datos Iniciales'!$E$34:$O$64,BL$158,FALSE())*BL92</f>
        <v>0</v>
      </c>
      <c r="BM190" s="196" t="n">
        <f aca="false">VLOOKUP($BF$1,'Datos Iniciales'!$E$34:$O$64,BM$158,FALSE())*BM92</f>
        <v>0</v>
      </c>
      <c r="BN190" s="196" t="n">
        <f aca="false">VLOOKUP($BF$1,'Datos Iniciales'!$E$34:$O$64,BN$158,FALSE())*BN92</f>
        <v>0</v>
      </c>
      <c r="BO190" s="196" t="n">
        <f aca="false">VLOOKUP($BF$1,'Datos Iniciales'!$E$34:$O$64,BO$158,FALSE())*BO92</f>
        <v>0</v>
      </c>
      <c r="BP190" s="197" t="n">
        <f aca="false">VLOOKUP($BF$1,'Datos Iniciales'!$E$34:$O$64,BP$158,FALSE())*BP92</f>
        <v>0</v>
      </c>
      <c r="BQ190" s="194" t="str">
        <f aca="false">BF190</f>
        <v>Alumno31</v>
      </c>
      <c r="BR190" s="208" t="n">
        <f aca="false">VLOOKUP($BQ$1,'Datos Iniciales'!$E$34:$O$64,BR$158,FALSE())*BR92</f>
        <v>0</v>
      </c>
      <c r="BS190" s="196" t="n">
        <f aca="false">VLOOKUP($BQ$1,'Datos Iniciales'!$E$34:$O$64,BS$158,FALSE())*BS92</f>
        <v>0</v>
      </c>
      <c r="BT190" s="196" t="n">
        <f aca="false">VLOOKUP($BQ$1,'Datos Iniciales'!$E$34:$O$64,BT$158,FALSE())*BT92</f>
        <v>0</v>
      </c>
      <c r="BU190" s="196" t="n">
        <f aca="false">VLOOKUP($BQ$1,'Datos Iniciales'!$E$34:$O$64,BU$158,FALSE())*BU92</f>
        <v>0</v>
      </c>
      <c r="BV190" s="196" t="n">
        <f aca="false">VLOOKUP($BQ$1,'Datos Iniciales'!$E$34:$O$64,BV$158,FALSE())*BV92</f>
        <v>0</v>
      </c>
      <c r="BW190" s="196" t="n">
        <f aca="false">VLOOKUP($BQ$1,'Datos Iniciales'!$E$34:$O$64,BW$158,FALSE())*BW92</f>
        <v>0</v>
      </c>
      <c r="BX190" s="196" t="n">
        <f aca="false">VLOOKUP($BQ$1,'Datos Iniciales'!$E$34:$O$64,BX$158,FALSE())*BX92</f>
        <v>0</v>
      </c>
      <c r="BY190" s="196" t="n">
        <f aca="false">VLOOKUP($BQ$1,'Datos Iniciales'!$E$34:$O$64,BY$158,FALSE())*BY92</f>
        <v>0</v>
      </c>
      <c r="BZ190" s="196" t="n">
        <f aca="false">VLOOKUP($BQ$1,'Datos Iniciales'!$E$34:$O$64,BZ$158,FALSE())*BZ92</f>
        <v>0</v>
      </c>
      <c r="CA190" s="197" t="n">
        <f aca="false">VLOOKUP($BQ$1,'Datos Iniciales'!$E$34:$O$64,CA$158,FALSE())*CA92</f>
        <v>0</v>
      </c>
      <c r="CB190" s="194" t="str">
        <f aca="false">BQ190</f>
        <v>Alumno31</v>
      </c>
      <c r="CC190" s="208" t="n">
        <f aca="false">VLOOKUP($CB$1,'Datos Iniciales'!$E$34:$O$64,CC$158,FALSE())*CC92</f>
        <v>0</v>
      </c>
      <c r="CD190" s="196" t="n">
        <f aca="false">VLOOKUP($CB$1,'Datos Iniciales'!$E$34:$O$64,CD$158,FALSE())*CD92</f>
        <v>0</v>
      </c>
      <c r="CE190" s="196" t="n">
        <f aca="false">VLOOKUP($CB$1,'Datos Iniciales'!$E$34:$O$64,CE$158,FALSE())*CE92</f>
        <v>0</v>
      </c>
      <c r="CF190" s="196" t="n">
        <f aca="false">VLOOKUP($CB$1,'Datos Iniciales'!$E$34:$O$64,CF$158,FALSE())*CF92</f>
        <v>0</v>
      </c>
      <c r="CG190" s="196" t="n">
        <f aca="false">VLOOKUP($CB$1,'Datos Iniciales'!$E$34:$O$64,CG$158,FALSE())*CG92</f>
        <v>0</v>
      </c>
      <c r="CH190" s="196" t="n">
        <f aca="false">VLOOKUP($CB$1,'Datos Iniciales'!$E$34:$O$64,CH$158,FALSE())*CH92</f>
        <v>0</v>
      </c>
      <c r="CI190" s="196" t="n">
        <f aca="false">VLOOKUP($CB$1,'Datos Iniciales'!$E$34:$O$64,CI$158,FALSE())*CI92</f>
        <v>0</v>
      </c>
      <c r="CJ190" s="196" t="n">
        <f aca="false">VLOOKUP($CB$1,'Datos Iniciales'!$E$34:$O$64,CJ$158,FALSE())*CJ92</f>
        <v>0</v>
      </c>
      <c r="CK190" s="196" t="n">
        <f aca="false">VLOOKUP($CB$1,'Datos Iniciales'!$E$34:$O$64,CK$158,FALSE())*CK92</f>
        <v>0</v>
      </c>
      <c r="CL190" s="197" t="n">
        <f aca="false">VLOOKUP($CB$1,'Datos Iniciales'!$E$34:$O$64,CL$158,FALSE())*CL92</f>
        <v>0</v>
      </c>
      <c r="CM190" s="194" t="str">
        <f aca="false">CB190</f>
        <v>Alumno31</v>
      </c>
      <c r="CN190" s="208" t="n">
        <f aca="false">VLOOKUP($CM$1,'Datos Iniciales'!$E$34:$O$64,CN$158,FALSE())*CN92</f>
        <v>0</v>
      </c>
      <c r="CO190" s="196" t="n">
        <f aca="false">VLOOKUP($CM$1,'Datos Iniciales'!$E$34:$O$64,CO$158,FALSE())*CO92</f>
        <v>0</v>
      </c>
      <c r="CP190" s="196" t="n">
        <f aca="false">VLOOKUP($CM$1,'Datos Iniciales'!$E$34:$O$64,CP$158,FALSE())*CP92</f>
        <v>0</v>
      </c>
      <c r="CQ190" s="196" t="n">
        <f aca="false">VLOOKUP($CM$1,'Datos Iniciales'!$E$34:$O$64,CQ$158,FALSE())*CQ92</f>
        <v>0</v>
      </c>
      <c r="CR190" s="196" t="n">
        <f aca="false">VLOOKUP($CM$1,'Datos Iniciales'!$E$34:$O$64,CR$158,FALSE())*CR92</f>
        <v>0</v>
      </c>
      <c r="CS190" s="196" t="n">
        <f aca="false">VLOOKUP($CM$1,'Datos Iniciales'!$E$34:$O$64,CS$158,FALSE())*CS92</f>
        <v>0</v>
      </c>
      <c r="CT190" s="196" t="n">
        <f aca="false">VLOOKUP($CM$1,'Datos Iniciales'!$E$34:$O$64,CT$158,FALSE())*CT92</f>
        <v>0</v>
      </c>
      <c r="CU190" s="196" t="n">
        <f aca="false">VLOOKUP($CM$1,'Datos Iniciales'!$E$34:$O$64,CU$158,FALSE())*CU92</f>
        <v>0</v>
      </c>
      <c r="CV190" s="196" t="n">
        <f aca="false">VLOOKUP($CM$1,'Datos Iniciales'!$E$34:$O$64,CV$158,FALSE())*CV92</f>
        <v>0</v>
      </c>
      <c r="CW190" s="197" t="n">
        <f aca="false">VLOOKUP($CM$1,'Datos Iniciales'!$E$34:$O$64,CW$158,FALSE())*CW92</f>
        <v>0</v>
      </c>
      <c r="CX190" s="194" t="str">
        <f aca="false">CM190</f>
        <v>Alumno31</v>
      </c>
      <c r="CY190" s="208" t="n">
        <f aca="false">VLOOKUP($CX$1,'Datos Iniciales'!$E$34:$O$64,CY$158,FALSE())*CY92</f>
        <v>0</v>
      </c>
      <c r="CZ190" s="196" t="n">
        <f aca="false">VLOOKUP($CX$1,'Datos Iniciales'!$E$34:$O$64,CZ$158,FALSE())*CZ92</f>
        <v>0</v>
      </c>
      <c r="DA190" s="196" t="n">
        <f aca="false">VLOOKUP($CX$1,'Datos Iniciales'!$E$34:$O$64,DA$158,FALSE())*DA92</f>
        <v>0</v>
      </c>
      <c r="DB190" s="196" t="n">
        <f aca="false">VLOOKUP($CX$1,'Datos Iniciales'!$E$34:$O$64,DB$158,FALSE())*DB92</f>
        <v>0</v>
      </c>
      <c r="DC190" s="196" t="n">
        <f aca="false">VLOOKUP($CX$1,'Datos Iniciales'!$E$34:$O$64,DC$158,FALSE())*DC92</f>
        <v>0</v>
      </c>
      <c r="DD190" s="196" t="n">
        <f aca="false">VLOOKUP($CX$1,'Datos Iniciales'!$E$34:$O$64,DD$158,FALSE())*DD92</f>
        <v>0</v>
      </c>
      <c r="DE190" s="196" t="n">
        <f aca="false">VLOOKUP($CX$1,'Datos Iniciales'!$E$34:$O$64,DE$158,FALSE())*DE92</f>
        <v>0</v>
      </c>
      <c r="DF190" s="196" t="n">
        <f aca="false">VLOOKUP($CX$1,'Datos Iniciales'!$E$34:$O$64,DF$158,FALSE())*DF92</f>
        <v>0</v>
      </c>
      <c r="DG190" s="196" t="n">
        <f aca="false">VLOOKUP($CX$1,'Datos Iniciales'!$E$34:$O$64,DG$158,FALSE())*DG92</f>
        <v>0</v>
      </c>
      <c r="DH190" s="197" t="n">
        <f aca="false">VLOOKUP($CX$1,'Datos Iniciales'!$E$34:$O$64,DH$158,FALSE())*DH92</f>
        <v>0</v>
      </c>
      <c r="DI190" s="194" t="str">
        <f aca="false">CX190</f>
        <v>Alumno31</v>
      </c>
      <c r="DJ190" s="208" t="n">
        <f aca="false">VLOOKUP($DI$1,'Datos Iniciales'!$E$34:$O$64,DJ$158,FALSE())*DJ92</f>
        <v>0</v>
      </c>
      <c r="DK190" s="196" t="n">
        <f aca="false">VLOOKUP($DI$1,'Datos Iniciales'!$E$34:$O$64,DK$158,FALSE())*DK92</f>
        <v>0</v>
      </c>
      <c r="DL190" s="196" t="n">
        <f aca="false">VLOOKUP($DI$1,'Datos Iniciales'!$E$34:$O$64,DL$158,FALSE())*DL92</f>
        <v>0</v>
      </c>
      <c r="DM190" s="196" t="n">
        <f aca="false">VLOOKUP($DI$1,'Datos Iniciales'!$E$34:$O$64,DM$158,FALSE())*DM92</f>
        <v>0</v>
      </c>
      <c r="DN190" s="196" t="n">
        <f aca="false">VLOOKUP($DI$1,'Datos Iniciales'!$E$34:$O$64,DN$158,FALSE())*DN92</f>
        <v>0</v>
      </c>
      <c r="DO190" s="196" t="n">
        <f aca="false">VLOOKUP($DI$1,'Datos Iniciales'!$E$34:$O$64,DO$158,FALSE())*DO92</f>
        <v>0</v>
      </c>
      <c r="DP190" s="196" t="n">
        <f aca="false">VLOOKUP($DI$1,'Datos Iniciales'!$E$34:$O$64,DP$158,FALSE())*DP92</f>
        <v>0</v>
      </c>
      <c r="DQ190" s="196" t="n">
        <f aca="false">VLOOKUP($DI$1,'Datos Iniciales'!$E$34:$O$64,DQ$158,FALSE())*DQ92</f>
        <v>0</v>
      </c>
      <c r="DR190" s="196" t="n">
        <f aca="false">VLOOKUP($DI$1,'Datos Iniciales'!$E$34:$O$64,DR$158,FALSE())*DR92</f>
        <v>0</v>
      </c>
      <c r="DS190" s="197" t="n">
        <f aca="false">VLOOKUP($DI$1,'Datos Iniciales'!$E$34:$O$64,DS$158,FALSE())*DS92</f>
        <v>0</v>
      </c>
      <c r="DT190" s="194" t="str">
        <f aca="false">DI190</f>
        <v>Alumno31</v>
      </c>
      <c r="DU190" s="208" t="n">
        <f aca="false">VLOOKUP($DT$1,'Datos Iniciales'!$E$34:$O$64,DU$158,FALSE())*DU92</f>
        <v>0</v>
      </c>
      <c r="DV190" s="196" t="n">
        <f aca="false">VLOOKUP($DT$1,'Datos Iniciales'!$E$34:$O$64,DV$158,FALSE())*DV92</f>
        <v>0</v>
      </c>
      <c r="DW190" s="196" t="n">
        <f aca="false">VLOOKUP($DT$1,'Datos Iniciales'!$E$34:$O$64,DW$158,FALSE())*DW92</f>
        <v>0</v>
      </c>
      <c r="DX190" s="196" t="n">
        <f aca="false">VLOOKUP($DT$1,'Datos Iniciales'!$E$34:$O$64,DX$158,FALSE())*DX92</f>
        <v>0</v>
      </c>
      <c r="DY190" s="196" t="n">
        <f aca="false">VLOOKUP($DT$1,'Datos Iniciales'!$E$34:$O$64,DY$158,FALSE())*DY92</f>
        <v>0</v>
      </c>
      <c r="DZ190" s="196" t="n">
        <f aca="false">VLOOKUP($DT$1,'Datos Iniciales'!$E$34:$O$64,DZ$158,FALSE())*DZ92</f>
        <v>0</v>
      </c>
      <c r="EA190" s="196" t="n">
        <f aca="false">VLOOKUP($DT$1,'Datos Iniciales'!$E$34:$O$64,EA$158,FALSE())*EA92</f>
        <v>0</v>
      </c>
      <c r="EB190" s="196" t="n">
        <f aca="false">VLOOKUP($DT$1,'Datos Iniciales'!$E$34:$O$64,EB$158,FALSE())*EB92</f>
        <v>0</v>
      </c>
      <c r="EC190" s="196" t="n">
        <f aca="false">VLOOKUP($DT$1,'Datos Iniciales'!$E$34:$O$64,EC$158,FALSE())*EC92</f>
        <v>0</v>
      </c>
      <c r="ED190" s="197" t="n">
        <f aca="false">VLOOKUP($DT$1,'Datos Iniciales'!$E$34:$O$64,ED$158,FALSE())*ED92</f>
        <v>0</v>
      </c>
      <c r="EE190" s="194" t="str">
        <f aca="false">DT190</f>
        <v>Alumno31</v>
      </c>
      <c r="EF190" s="208" t="n">
        <f aca="false">VLOOKUP($EE$1,'Datos Iniciales'!$E$34:$O$64,EF$158,FALSE())*EF92</f>
        <v>0</v>
      </c>
      <c r="EG190" s="196" t="n">
        <f aca="false">VLOOKUP($EE$1,'Datos Iniciales'!$E$34:$O$64,EG$158,FALSE())*EG92</f>
        <v>0</v>
      </c>
      <c r="EH190" s="196" t="n">
        <f aca="false">VLOOKUP($EE$1,'Datos Iniciales'!$E$34:$O$64,EH$158,FALSE())*EH92</f>
        <v>0</v>
      </c>
      <c r="EI190" s="196" t="n">
        <f aca="false">VLOOKUP($EE$1,'Datos Iniciales'!$E$34:$O$64,EI$158,FALSE())*EI92</f>
        <v>0</v>
      </c>
      <c r="EJ190" s="196" t="n">
        <f aca="false">VLOOKUP($EE$1,'Datos Iniciales'!$E$34:$O$64,EJ$158,FALSE())*EJ92</f>
        <v>0</v>
      </c>
      <c r="EK190" s="196" t="n">
        <f aca="false">VLOOKUP($EE$1,'Datos Iniciales'!$E$34:$O$64,EK$158,FALSE())*EK92</f>
        <v>0</v>
      </c>
      <c r="EL190" s="196" t="n">
        <f aca="false">VLOOKUP($EE$1,'Datos Iniciales'!$E$34:$O$64,EL$158,FALSE())*EL92</f>
        <v>0</v>
      </c>
      <c r="EM190" s="196" t="n">
        <f aca="false">VLOOKUP($EE$1,'Datos Iniciales'!$E$34:$O$64,EM$158,FALSE())*EM92</f>
        <v>0</v>
      </c>
      <c r="EN190" s="196" t="n">
        <f aca="false">VLOOKUP($EE$1,'Datos Iniciales'!$E$34:$O$64,EN$158,FALSE())*EN92</f>
        <v>0</v>
      </c>
      <c r="EO190" s="197" t="n">
        <f aca="false">VLOOKUP($EE$1,'Datos Iniciales'!$E$34:$O$64,EO$158,FALSE())*EO92</f>
        <v>0</v>
      </c>
      <c r="EP190" s="194" t="str">
        <f aca="false">EE190</f>
        <v>Alumno31</v>
      </c>
      <c r="EQ190" s="208" t="n">
        <f aca="false">VLOOKUP($EP$1,'Datos Iniciales'!$E$34:$O$64,EQ$158,FALSE())*EQ92</f>
        <v>0</v>
      </c>
      <c r="ER190" s="196" t="n">
        <f aca="false">VLOOKUP($EP$1,'Datos Iniciales'!$E$34:$O$64,ER$158,FALSE())*ER92</f>
        <v>0</v>
      </c>
      <c r="ES190" s="196" t="n">
        <f aca="false">VLOOKUP($EP$1,'Datos Iniciales'!$E$34:$O$64,ES$158,FALSE())*ES92</f>
        <v>0</v>
      </c>
      <c r="ET190" s="196" t="n">
        <f aca="false">VLOOKUP($EP$1,'Datos Iniciales'!$E$34:$O$64,ET$158,FALSE())*ET92</f>
        <v>0</v>
      </c>
      <c r="EU190" s="196" t="n">
        <f aca="false">VLOOKUP($EP$1,'Datos Iniciales'!$E$34:$O$64,EU$158,FALSE())*EU92</f>
        <v>0</v>
      </c>
      <c r="EV190" s="196" t="n">
        <f aca="false">VLOOKUP($EP$1,'Datos Iniciales'!$E$34:$O$64,EV$158,FALSE())*EV92</f>
        <v>0</v>
      </c>
      <c r="EW190" s="196" t="n">
        <f aca="false">VLOOKUP($EP$1,'Datos Iniciales'!$E$34:$O$64,EW$158,FALSE())*EW92</f>
        <v>0</v>
      </c>
      <c r="EX190" s="196" t="n">
        <f aca="false">VLOOKUP($EP$1,'Datos Iniciales'!$E$34:$O$64,EX$158,FALSE())*EX92</f>
        <v>0</v>
      </c>
      <c r="EY190" s="196" t="n">
        <f aca="false">VLOOKUP($EP$1,'Datos Iniciales'!$E$34:$O$64,EY$158,FALSE())*EY92</f>
        <v>0</v>
      </c>
      <c r="EZ190" s="197" t="n">
        <f aca="false">VLOOKUP($EP$1,'Datos Iniciales'!$E$34:$O$64,EZ$158,FALSE())*EZ92</f>
        <v>0</v>
      </c>
      <c r="FA190" s="194" t="str">
        <f aca="false">EP190</f>
        <v>Alumno31</v>
      </c>
      <c r="FB190" s="208" t="n">
        <f aca="false">VLOOKUP($FA$1,'Datos Iniciales'!$E$34:$O$64,FB$158,FALSE())*FB92</f>
        <v>0</v>
      </c>
      <c r="FC190" s="196" t="n">
        <f aca="false">VLOOKUP($FA$1,'Datos Iniciales'!$E$34:$O$64,FC$158,FALSE())*FC92</f>
        <v>0</v>
      </c>
      <c r="FD190" s="196" t="n">
        <f aca="false">VLOOKUP($FA$1,'Datos Iniciales'!$E$34:$O$64,FD$158,FALSE())*FD92</f>
        <v>0</v>
      </c>
      <c r="FE190" s="196" t="n">
        <f aca="false">VLOOKUP($FA$1,'Datos Iniciales'!$E$34:$O$64,FE$158,FALSE())*FE92</f>
        <v>0</v>
      </c>
      <c r="FF190" s="196" t="n">
        <f aca="false">VLOOKUP($FA$1,'Datos Iniciales'!$E$34:$O$64,FF$158,FALSE())*FF92</f>
        <v>0</v>
      </c>
      <c r="FG190" s="196" t="n">
        <f aca="false">VLOOKUP($FA$1,'Datos Iniciales'!$E$34:$O$64,FG$158,FALSE())*FG92</f>
        <v>0</v>
      </c>
      <c r="FH190" s="196" t="n">
        <f aca="false">VLOOKUP($FA$1,'Datos Iniciales'!$E$34:$O$64,FH$158,FALSE())*FH92</f>
        <v>0</v>
      </c>
      <c r="FI190" s="196" t="n">
        <f aca="false">VLOOKUP($FA$1,'Datos Iniciales'!$E$34:$O$64,FI$158,FALSE())*FI92</f>
        <v>0</v>
      </c>
      <c r="FJ190" s="196" t="n">
        <f aca="false">VLOOKUP($FA$1,'Datos Iniciales'!$E$34:$O$64,FJ$158,FALSE())*FJ92</f>
        <v>0</v>
      </c>
      <c r="FK190" s="197" t="n">
        <f aca="false">VLOOKUP($FA$1,'Datos Iniciales'!$E$34:$O$64,FK$158,FALSE())*FK92</f>
        <v>0</v>
      </c>
      <c r="FL190" s="194" t="str">
        <f aca="false">FA190</f>
        <v>Alumno31</v>
      </c>
      <c r="FM190" s="208" t="n">
        <f aca="false">VLOOKUP($FL$1,'Datos Iniciales'!$E$34:$O$64,FM$158,FALSE())*FM92</f>
        <v>0</v>
      </c>
      <c r="FN190" s="196" t="n">
        <f aca="false">VLOOKUP($FL$1,'Datos Iniciales'!$E$34:$O$64,FN$158,FALSE())*FN92</f>
        <v>0</v>
      </c>
      <c r="FO190" s="196" t="n">
        <f aca="false">VLOOKUP($FL$1,'Datos Iniciales'!$E$34:$O$64,FO$158,FALSE())*FO92</f>
        <v>0</v>
      </c>
      <c r="FP190" s="196" t="n">
        <f aca="false">VLOOKUP($FL$1,'Datos Iniciales'!$E$34:$O$64,FP$158,FALSE())*FP92</f>
        <v>0</v>
      </c>
      <c r="FQ190" s="196" t="n">
        <f aca="false">VLOOKUP($FL$1,'Datos Iniciales'!$E$34:$O$64,FQ$158,FALSE())*FQ92</f>
        <v>0</v>
      </c>
      <c r="FR190" s="196" t="n">
        <f aca="false">VLOOKUP($FL$1,'Datos Iniciales'!$E$34:$O$64,FR$158,FALSE())*FR92</f>
        <v>0</v>
      </c>
      <c r="FS190" s="196" t="n">
        <f aca="false">VLOOKUP($FL$1,'Datos Iniciales'!$E$34:$O$64,FS$158,FALSE())*FS92</f>
        <v>0</v>
      </c>
      <c r="FT190" s="196" t="n">
        <f aca="false">VLOOKUP($FL$1,'Datos Iniciales'!$E$34:$O$64,FT$158,FALSE())*FT92</f>
        <v>0</v>
      </c>
      <c r="FU190" s="196" t="n">
        <f aca="false">VLOOKUP($FL$1,'Datos Iniciales'!$E$34:$O$64,FU$158,FALSE())*FU92</f>
        <v>0</v>
      </c>
      <c r="FV190" s="197" t="n">
        <f aca="false">VLOOKUP($FL$1,'Datos Iniciales'!$E$34:$O$64,FV$158,FALSE())*FV92</f>
        <v>0</v>
      </c>
      <c r="FW190" s="194" t="str">
        <f aca="false">FL190</f>
        <v>Alumno31</v>
      </c>
      <c r="FX190" s="208" t="n">
        <f aca="false">VLOOKUP($FW$1,'Datos Iniciales'!$E$34:$O$64,FX$158,FALSE())*FX92</f>
        <v>0</v>
      </c>
      <c r="FY190" s="196" t="n">
        <f aca="false">VLOOKUP($FW$1,'Datos Iniciales'!$E$34:$O$64,FY$158,FALSE())*FY92</f>
        <v>0</v>
      </c>
      <c r="FZ190" s="196" t="n">
        <f aca="false">VLOOKUP($FW$1,'Datos Iniciales'!$E$34:$O$64,FZ$158,FALSE())*FZ92</f>
        <v>0</v>
      </c>
      <c r="GA190" s="196" t="n">
        <f aca="false">VLOOKUP($FW$1,'Datos Iniciales'!$E$34:$O$64,GA$158,FALSE())*GA92</f>
        <v>0</v>
      </c>
      <c r="GB190" s="196" t="n">
        <f aca="false">VLOOKUP($FW$1,'Datos Iniciales'!$E$34:$O$64,GB$158,FALSE())*GB92</f>
        <v>0</v>
      </c>
      <c r="GC190" s="196" t="n">
        <f aca="false">VLOOKUP($FW$1,'Datos Iniciales'!$E$34:$O$64,GC$158,FALSE())*GC92</f>
        <v>0</v>
      </c>
      <c r="GD190" s="196" t="n">
        <f aca="false">VLOOKUP($FW$1,'Datos Iniciales'!$E$34:$O$64,GD$158,FALSE())*GD92</f>
        <v>0</v>
      </c>
      <c r="GE190" s="196" t="n">
        <f aca="false">VLOOKUP($FW$1,'Datos Iniciales'!$E$34:$O$64,GE$158,FALSE())*GE92</f>
        <v>0</v>
      </c>
      <c r="GF190" s="196" t="n">
        <f aca="false">VLOOKUP($FW$1,'Datos Iniciales'!$E$34:$O$64,GF$158,FALSE())*GF92</f>
        <v>0</v>
      </c>
      <c r="GG190" s="197" t="n">
        <f aca="false">VLOOKUP($FW$1,'Datos Iniciales'!$E$34:$O$64,GG$158,FALSE())*GG92</f>
        <v>0</v>
      </c>
      <c r="GH190" s="194" t="str">
        <f aca="false">FW190</f>
        <v>Alumno31</v>
      </c>
      <c r="GI190" s="208" t="n">
        <f aca="false">VLOOKUP($GH$1,'Datos Iniciales'!$E$34:$O$64,GI$158,FALSE())*GI92</f>
        <v>0</v>
      </c>
      <c r="GJ190" s="196" t="n">
        <f aca="false">VLOOKUP($GH$1,'Datos Iniciales'!$E$34:$O$64,GJ$158,FALSE())*GJ92</f>
        <v>0</v>
      </c>
      <c r="GK190" s="196" t="n">
        <f aca="false">VLOOKUP($GH$1,'Datos Iniciales'!$E$34:$O$64,GK$158,FALSE())*GK92</f>
        <v>0</v>
      </c>
      <c r="GL190" s="196" t="n">
        <f aca="false">VLOOKUP($GH$1,'Datos Iniciales'!$E$34:$O$64,GL$158,FALSE())*GL92</f>
        <v>0</v>
      </c>
      <c r="GM190" s="196" t="n">
        <f aca="false">VLOOKUP($GH$1,'Datos Iniciales'!$E$34:$O$64,GM$158,FALSE())*GM92</f>
        <v>0</v>
      </c>
      <c r="GN190" s="196" t="n">
        <f aca="false">VLOOKUP($GH$1,'Datos Iniciales'!$E$34:$O$64,GN$158,FALSE())*GN92</f>
        <v>0</v>
      </c>
      <c r="GO190" s="196" t="n">
        <f aca="false">VLOOKUP($GH$1,'Datos Iniciales'!$E$34:$O$64,GO$158,FALSE())*GO92</f>
        <v>0</v>
      </c>
      <c r="GP190" s="196" t="n">
        <f aca="false">VLOOKUP($GH$1,'Datos Iniciales'!$E$34:$O$64,GP$158,FALSE())*GP92</f>
        <v>0</v>
      </c>
      <c r="GQ190" s="196" t="n">
        <f aca="false">VLOOKUP($GH$1,'Datos Iniciales'!$E$34:$O$64,GQ$158,FALSE())*GQ92</f>
        <v>0</v>
      </c>
      <c r="GR190" s="197" t="n">
        <f aca="false">VLOOKUP($GH$1,'Datos Iniciales'!$E$34:$O$64,GR$158,FALSE())*GR92</f>
        <v>0</v>
      </c>
      <c r="GS190" s="194" t="str">
        <f aca="false">GH190</f>
        <v>Alumno31</v>
      </c>
      <c r="GT190" s="208" t="n">
        <f aca="false">VLOOKUP($GS$1,'Datos Iniciales'!$E$34:$O$64,GT$158,FALSE())*GT92</f>
        <v>0</v>
      </c>
      <c r="GU190" s="196" t="n">
        <f aca="false">VLOOKUP($GS$1,'Datos Iniciales'!$E$34:$O$64,GU$158,FALSE())*GU92</f>
        <v>0</v>
      </c>
      <c r="GV190" s="196" t="n">
        <f aca="false">VLOOKUP($GS$1,'Datos Iniciales'!$E$34:$O$64,GV$158,FALSE())*GV92</f>
        <v>0</v>
      </c>
      <c r="GW190" s="196" t="n">
        <f aca="false">VLOOKUP($GS$1,'Datos Iniciales'!$E$34:$O$64,GW$158,FALSE())*GW92</f>
        <v>0</v>
      </c>
      <c r="GX190" s="196" t="n">
        <f aca="false">VLOOKUP($GS$1,'Datos Iniciales'!$E$34:$O$64,GX$158,FALSE())*GX92</f>
        <v>0</v>
      </c>
      <c r="GY190" s="196" t="n">
        <f aca="false">VLOOKUP($GS$1,'Datos Iniciales'!$E$34:$O$64,GY$158,FALSE())*GY92</f>
        <v>0</v>
      </c>
      <c r="GZ190" s="196" t="n">
        <f aca="false">VLOOKUP($GS$1,'Datos Iniciales'!$E$34:$O$64,GZ$158,FALSE())*GZ92</f>
        <v>0</v>
      </c>
      <c r="HA190" s="196" t="n">
        <f aca="false">VLOOKUP($GS$1,'Datos Iniciales'!$E$34:$O$64,HA$158,FALSE())*HA92</f>
        <v>0</v>
      </c>
      <c r="HB190" s="196" t="n">
        <f aca="false">VLOOKUP($GS$1,'Datos Iniciales'!$E$34:$O$64,HB$158,FALSE())*HB92</f>
        <v>0</v>
      </c>
      <c r="HC190" s="197" t="n">
        <f aca="false">VLOOKUP($GS$1,'Datos Iniciales'!$E$34:$O$64,HC$158,FALSE())*HC92</f>
        <v>0</v>
      </c>
      <c r="HD190" s="194" t="str">
        <f aca="false">GS190</f>
        <v>Alumno31</v>
      </c>
      <c r="HE190" s="208" t="n">
        <f aca="false">VLOOKUP($HD$1,'Datos Iniciales'!$E$34:$O$64,HE$158,FALSE())*HE92</f>
        <v>0</v>
      </c>
      <c r="HF190" s="196" t="n">
        <f aca="false">VLOOKUP($HD$1,'Datos Iniciales'!$E$34:$O$64,HF$158,FALSE())*HF92</f>
        <v>0</v>
      </c>
      <c r="HG190" s="196" t="n">
        <f aca="false">VLOOKUP($HD$1,'Datos Iniciales'!$E$34:$O$64,HG$158,FALSE())*HG92</f>
        <v>0</v>
      </c>
      <c r="HH190" s="196" t="n">
        <f aca="false">VLOOKUP($HD$1,'Datos Iniciales'!$E$34:$O$64,HH$158,FALSE())*HH92</f>
        <v>0</v>
      </c>
      <c r="HI190" s="196" t="n">
        <f aca="false">VLOOKUP($HD$1,'Datos Iniciales'!$E$34:$O$64,HI$158,FALSE())*HI92</f>
        <v>0</v>
      </c>
      <c r="HJ190" s="196" t="n">
        <f aca="false">VLOOKUP($HD$1,'Datos Iniciales'!$E$34:$O$64,HJ$158,FALSE())*HJ92</f>
        <v>0</v>
      </c>
      <c r="HK190" s="196" t="n">
        <f aca="false">VLOOKUP($HD$1,'Datos Iniciales'!$E$34:$O$64,HK$158,FALSE())*HK92</f>
        <v>0</v>
      </c>
      <c r="HL190" s="196" t="n">
        <f aca="false">VLOOKUP($HD$1,'Datos Iniciales'!$E$34:$O$64,HL$158,FALSE())*HL92</f>
        <v>0</v>
      </c>
      <c r="HM190" s="196" t="n">
        <f aca="false">VLOOKUP($HD$1,'Datos Iniciales'!$E$34:$O$64,HM$158,FALSE())*HM92</f>
        <v>0</v>
      </c>
      <c r="HN190" s="197" t="n">
        <f aca="false">VLOOKUP($HD$1,'Datos Iniciales'!$E$34:$O$64,HN$158,FALSE())*HN92</f>
        <v>0</v>
      </c>
      <c r="HO190" s="194" t="str">
        <f aca="false">HD190</f>
        <v>Alumno31</v>
      </c>
      <c r="HP190" s="208" t="n">
        <f aca="false">VLOOKUP($HO$1,'Datos Iniciales'!$E$34:$O$64,HP$158,FALSE())*HP92</f>
        <v>0</v>
      </c>
      <c r="HQ190" s="196" t="n">
        <f aca="false">VLOOKUP($HO$1,'Datos Iniciales'!$E$34:$O$64,HQ$158,FALSE())*HQ92</f>
        <v>0</v>
      </c>
      <c r="HR190" s="196" t="n">
        <f aca="false">VLOOKUP($HO$1,'Datos Iniciales'!$E$34:$O$64,HR$158,FALSE())*HR92</f>
        <v>0</v>
      </c>
      <c r="HS190" s="196" t="n">
        <f aca="false">VLOOKUP($HO$1,'Datos Iniciales'!$E$34:$O$64,HS$158,FALSE())*HS92</f>
        <v>0</v>
      </c>
      <c r="HT190" s="196" t="n">
        <f aca="false">VLOOKUP($HO$1,'Datos Iniciales'!$E$34:$O$64,HT$158,FALSE())*HT92</f>
        <v>0</v>
      </c>
      <c r="HU190" s="196" t="n">
        <f aca="false">VLOOKUP($HO$1,'Datos Iniciales'!$E$34:$O$64,HU$158,FALSE())*HU92</f>
        <v>0</v>
      </c>
      <c r="HV190" s="196" t="n">
        <f aca="false">VLOOKUP($HO$1,'Datos Iniciales'!$E$34:$O$64,HV$158,FALSE())*HV92</f>
        <v>0</v>
      </c>
      <c r="HW190" s="196" t="n">
        <f aca="false">VLOOKUP($HO$1,'Datos Iniciales'!$E$34:$O$64,HW$158,FALSE())*HW92</f>
        <v>0</v>
      </c>
      <c r="HX190" s="196" t="n">
        <f aca="false">VLOOKUP($HO$1,'Datos Iniciales'!$E$34:$O$64,HX$158,FALSE())*HX92</f>
        <v>0</v>
      </c>
      <c r="HY190" s="197" t="n">
        <f aca="false">VLOOKUP($HO$1,'Datos Iniciales'!$E$34:$O$64,HY$158,FALSE())*HY92</f>
        <v>0</v>
      </c>
      <c r="HZ190" s="194" t="str">
        <f aca="false">HO190</f>
        <v>Alumno31</v>
      </c>
      <c r="IA190" s="208" t="n">
        <f aca="false">VLOOKUP($HZ$1,'Datos Iniciales'!$E$34:$O$64,IA$158,FALSE())*IA92</f>
        <v>0</v>
      </c>
      <c r="IB190" s="196" t="n">
        <f aca="false">VLOOKUP($HZ$1,'Datos Iniciales'!$E$34:$O$64,IB$158,FALSE())*IB92</f>
        <v>0</v>
      </c>
      <c r="IC190" s="196" t="n">
        <f aca="false">VLOOKUP($HZ$1,'Datos Iniciales'!$E$34:$O$64,IC$158,FALSE())*IC92</f>
        <v>0</v>
      </c>
      <c r="ID190" s="196" t="n">
        <f aca="false">VLOOKUP($HZ$1,'Datos Iniciales'!$E$34:$O$64,ID$158,FALSE())*ID92</f>
        <v>0</v>
      </c>
      <c r="IE190" s="196" t="n">
        <f aca="false">VLOOKUP($HZ$1,'Datos Iniciales'!$E$34:$O$64,IE$158,FALSE())*IE92</f>
        <v>0</v>
      </c>
      <c r="IF190" s="196" t="n">
        <f aca="false">VLOOKUP($HZ$1,'Datos Iniciales'!$E$34:$O$64,IF$158,FALSE())*IF92</f>
        <v>0</v>
      </c>
      <c r="IG190" s="196" t="n">
        <f aca="false">VLOOKUP($HZ$1,'Datos Iniciales'!$E$34:$O$64,IG$158,FALSE())*IG92</f>
        <v>0</v>
      </c>
      <c r="IH190" s="196" t="n">
        <f aca="false">VLOOKUP($HZ$1,'Datos Iniciales'!$E$34:$O$64,IH$158,FALSE())*IH92</f>
        <v>0</v>
      </c>
      <c r="II190" s="196" t="n">
        <f aca="false">VLOOKUP($HZ$1,'Datos Iniciales'!$E$34:$O$64,II$158,FALSE())*II92</f>
        <v>0</v>
      </c>
      <c r="IJ190" s="197" t="n">
        <f aca="false">VLOOKUP($HZ$1,'Datos Iniciales'!$E$34:$O$64,IJ$158,FALSE())*IJ92</f>
        <v>0</v>
      </c>
      <c r="IK190" s="194" t="str">
        <f aca="false">HZ190</f>
        <v>Alumno31</v>
      </c>
      <c r="IL190" s="208" t="n">
        <f aca="false">VLOOKUP($IK$1,'Datos Iniciales'!$E$34:$O$64,IL$158,FALSE())*IL92</f>
        <v>0</v>
      </c>
      <c r="IM190" s="196" t="n">
        <f aca="false">VLOOKUP($IK$1,'Datos Iniciales'!$E$34:$O$64,IM$158,FALSE())*IM92</f>
        <v>0</v>
      </c>
      <c r="IN190" s="196" t="n">
        <f aca="false">VLOOKUP($IK$1,'Datos Iniciales'!$E$34:$O$64,IN$158,FALSE())*IN92</f>
        <v>0</v>
      </c>
      <c r="IO190" s="196" t="n">
        <f aca="false">VLOOKUP($IK$1,'Datos Iniciales'!$E$34:$O$64,IO$158,FALSE())*IO92</f>
        <v>0</v>
      </c>
      <c r="IP190" s="196" t="n">
        <f aca="false">VLOOKUP($IK$1,'Datos Iniciales'!$E$34:$O$64,IP$158,FALSE())*IP92</f>
        <v>0</v>
      </c>
      <c r="IQ190" s="196" t="n">
        <f aca="false">VLOOKUP($IK$1,'Datos Iniciales'!$E$34:$O$64,IQ$158,FALSE())*IQ92</f>
        <v>0</v>
      </c>
      <c r="IR190" s="196" t="n">
        <f aca="false">VLOOKUP($IK$1,'Datos Iniciales'!$E$34:$O$64,IR$158,FALSE())*IR92</f>
        <v>0</v>
      </c>
      <c r="IS190" s="196" t="n">
        <f aca="false">VLOOKUP($IK$1,'Datos Iniciales'!$E$34:$O$64,IS$158,FALSE())*IS92</f>
        <v>0</v>
      </c>
      <c r="IT190" s="196" t="n">
        <f aca="false">VLOOKUP($IK$1,'Datos Iniciales'!$E$34:$O$64,IT$158,FALSE())*IT92</f>
        <v>0</v>
      </c>
      <c r="IU190" s="197" t="n">
        <f aca="false">VLOOKUP($IK$1,'Datos Iniciales'!$E$34:$O$64,IU$158,FALSE())*IU92</f>
        <v>0</v>
      </c>
      <c r="IV190" s="194" t="str">
        <f aca="false">IK190</f>
        <v>Alumno31</v>
      </c>
      <c r="IW190" s="208" t="n">
        <f aca="false">VLOOKUP($IV$1,'Datos Iniciales'!$E$34:$O$64,IW$158,FALSE())*IW92</f>
        <v>0</v>
      </c>
      <c r="IX190" s="196" t="n">
        <f aca="false">VLOOKUP($IV$1,'Datos Iniciales'!$E$34:$O$64,IX$158,FALSE())*IX92</f>
        <v>0</v>
      </c>
      <c r="IY190" s="196" t="n">
        <f aca="false">VLOOKUP($IV$1,'Datos Iniciales'!$E$34:$O$64,IY$158,FALSE())*IY92</f>
        <v>0</v>
      </c>
      <c r="IZ190" s="196" t="n">
        <f aca="false">VLOOKUP($IV$1,'Datos Iniciales'!$E$34:$O$64,IZ$158,FALSE())*IZ92</f>
        <v>0</v>
      </c>
      <c r="JA190" s="196" t="n">
        <f aca="false">VLOOKUP($IV$1,'Datos Iniciales'!$E$34:$O$64,JA$158,FALSE())*JA92</f>
        <v>0</v>
      </c>
      <c r="JB190" s="196" t="n">
        <f aca="false">VLOOKUP($IV$1,'Datos Iniciales'!$E$34:$O$64,JB$158,FALSE())*JB92</f>
        <v>0</v>
      </c>
      <c r="JC190" s="196" t="n">
        <f aca="false">VLOOKUP($IV$1,'Datos Iniciales'!$E$34:$O$64,JC$158,FALSE())*JC92</f>
        <v>0</v>
      </c>
      <c r="JD190" s="196" t="n">
        <f aca="false">VLOOKUP($IV$1,'Datos Iniciales'!$E$34:$O$64,JD$158,FALSE())*JD92</f>
        <v>0</v>
      </c>
      <c r="JE190" s="196" t="n">
        <f aca="false">VLOOKUP($IV$1,'Datos Iniciales'!$E$34:$O$64,JE$158,FALSE())*JE92</f>
        <v>0</v>
      </c>
      <c r="JF190" s="197" t="n">
        <f aca="false">VLOOKUP($IV$1,'Datos Iniciales'!$E$34:$O$64,JF$158,FALSE())*JF92</f>
        <v>0</v>
      </c>
      <c r="JG190" s="194" t="str">
        <f aca="false">IV190</f>
        <v>Alumno31</v>
      </c>
      <c r="JH190" s="208" t="n">
        <f aca="false">VLOOKUP($JG$1,'Datos Iniciales'!$E$34:$O$64,JH$158,FALSE())*JH92</f>
        <v>0</v>
      </c>
      <c r="JI190" s="196" t="n">
        <f aca="false">VLOOKUP($JG$1,'Datos Iniciales'!$E$34:$O$64,JI$158,FALSE())*JI92</f>
        <v>0</v>
      </c>
      <c r="JJ190" s="196" t="n">
        <f aca="false">VLOOKUP($JG$1,'Datos Iniciales'!$E$34:$O$64,JJ$158,FALSE())*JJ92</f>
        <v>0</v>
      </c>
      <c r="JK190" s="196" t="n">
        <f aca="false">VLOOKUP($JG$1,'Datos Iniciales'!$E$34:$O$64,JK$158,FALSE())*JK92</f>
        <v>0</v>
      </c>
      <c r="JL190" s="196" t="n">
        <f aca="false">VLOOKUP($JG$1,'Datos Iniciales'!$E$34:$O$64,JL$158,FALSE())*JL92</f>
        <v>0</v>
      </c>
      <c r="JM190" s="196" t="n">
        <f aca="false">VLOOKUP($JG$1,'Datos Iniciales'!$E$34:$O$64,JM$158,FALSE())*JM92</f>
        <v>0</v>
      </c>
      <c r="JN190" s="196" t="n">
        <f aca="false">VLOOKUP($JG$1,'Datos Iniciales'!$E$34:$O$64,JN$158,FALSE())*JN92</f>
        <v>0</v>
      </c>
      <c r="JO190" s="196" t="n">
        <f aca="false">VLOOKUP($JG$1,'Datos Iniciales'!$E$34:$O$64,JO$158,FALSE())*JO92</f>
        <v>0</v>
      </c>
      <c r="JP190" s="196" t="n">
        <f aca="false">VLOOKUP($JG$1,'Datos Iniciales'!$E$34:$O$64,JP$158,FALSE())*JP92</f>
        <v>0</v>
      </c>
      <c r="JQ190" s="197" t="n">
        <f aca="false">VLOOKUP($JG$1,'Datos Iniciales'!$E$34:$O$64,JQ$158,FALSE())*JQ92</f>
        <v>0</v>
      </c>
      <c r="JR190" s="194" t="str">
        <f aca="false">JG190</f>
        <v>Alumno31</v>
      </c>
      <c r="JS190" s="208" t="n">
        <f aca="false">VLOOKUP($JR$1,'Datos Iniciales'!$E$34:$O$64,JS$158,FALSE())*JS92</f>
        <v>0</v>
      </c>
      <c r="JT190" s="196" t="n">
        <f aca="false">VLOOKUP($JR$1,'Datos Iniciales'!$E$34:$O$64,JT$158,FALSE())*JT92</f>
        <v>0</v>
      </c>
      <c r="JU190" s="196" t="n">
        <f aca="false">VLOOKUP($JR$1,'Datos Iniciales'!$E$34:$O$64,JU$158,FALSE())*JU92</f>
        <v>0</v>
      </c>
      <c r="JV190" s="196" t="n">
        <f aca="false">VLOOKUP($JR$1,'Datos Iniciales'!$E$34:$O$64,JV$158,FALSE())*JV92</f>
        <v>0</v>
      </c>
      <c r="JW190" s="196" t="n">
        <f aca="false">VLOOKUP($JR$1,'Datos Iniciales'!$E$34:$O$64,JW$158,FALSE())*JW92</f>
        <v>0</v>
      </c>
      <c r="JX190" s="196" t="n">
        <f aca="false">VLOOKUP($JR$1,'Datos Iniciales'!$E$34:$O$64,JX$158,FALSE())*JX92</f>
        <v>0</v>
      </c>
      <c r="JY190" s="196" t="n">
        <f aca="false">VLOOKUP($JR$1,'Datos Iniciales'!$E$34:$O$64,JY$158,FALSE())*JY92</f>
        <v>0</v>
      </c>
      <c r="JZ190" s="196" t="n">
        <f aca="false">VLOOKUP($JR$1,'Datos Iniciales'!$E$34:$O$64,JZ$158,FALSE())*JZ92</f>
        <v>0</v>
      </c>
      <c r="KA190" s="196" t="n">
        <f aca="false">VLOOKUP($JR$1,'Datos Iniciales'!$E$34:$O$64,KA$158,FALSE())*KA92</f>
        <v>0</v>
      </c>
      <c r="KB190" s="197" t="n">
        <f aca="false">VLOOKUP($JR$1,'Datos Iniciales'!$E$34:$O$64,KB$158,FALSE())*KB92</f>
        <v>0</v>
      </c>
      <c r="KC190" s="194" t="str">
        <f aca="false">JR190</f>
        <v>Alumno31</v>
      </c>
      <c r="KD190" s="208" t="n">
        <f aca="false">VLOOKUP($KC$1,'Datos Iniciales'!$E$34:$O$64,KD$158,FALSE())*KD92</f>
        <v>0</v>
      </c>
      <c r="KE190" s="196" t="n">
        <f aca="false">VLOOKUP($KC$1,'Datos Iniciales'!$E$34:$O$64,KE$158,FALSE())*KE92</f>
        <v>0</v>
      </c>
      <c r="KF190" s="196" t="n">
        <f aca="false">VLOOKUP($KC$1,'Datos Iniciales'!$E$34:$O$64,KF$158,FALSE())*KF92</f>
        <v>0</v>
      </c>
      <c r="KG190" s="196" t="n">
        <f aca="false">VLOOKUP($KC$1,'Datos Iniciales'!$E$34:$O$64,KG$158,FALSE())*KG92</f>
        <v>0</v>
      </c>
      <c r="KH190" s="196" t="n">
        <f aca="false">VLOOKUP($KC$1,'Datos Iniciales'!$E$34:$O$64,KH$158,FALSE())*KH92</f>
        <v>0</v>
      </c>
      <c r="KI190" s="196" t="n">
        <f aca="false">VLOOKUP($KC$1,'Datos Iniciales'!$E$34:$O$64,KI$158,FALSE())*KI92</f>
        <v>0</v>
      </c>
      <c r="KJ190" s="196" t="n">
        <f aca="false">VLOOKUP($KC$1,'Datos Iniciales'!$E$34:$O$64,KJ$158,FALSE())*KJ92</f>
        <v>0</v>
      </c>
      <c r="KK190" s="196" t="n">
        <f aca="false">VLOOKUP($KC$1,'Datos Iniciales'!$E$34:$O$64,KK$158,FALSE())*KK92</f>
        <v>0</v>
      </c>
      <c r="KL190" s="196" t="n">
        <f aca="false">VLOOKUP($KC$1,'Datos Iniciales'!$E$34:$O$64,KL$158,FALSE())*KL92</f>
        <v>0</v>
      </c>
      <c r="KM190" s="197" t="n">
        <f aca="false">VLOOKUP($KC$1,'Datos Iniciales'!$E$34:$O$64,KM$158,FALSE())*KM92</f>
        <v>0</v>
      </c>
      <c r="KN190" s="194" t="str">
        <f aca="false">KC190</f>
        <v>Alumno31</v>
      </c>
      <c r="KO190" s="208" t="n">
        <f aca="false">VLOOKUP($KN$1,'Datos Iniciales'!$E$34:$O$64,KO$158,FALSE())*KO92</f>
        <v>0</v>
      </c>
      <c r="KP190" s="196" t="n">
        <f aca="false">VLOOKUP($KN$1,'Datos Iniciales'!$E$34:$O$64,KP$158,FALSE())*KP92</f>
        <v>0</v>
      </c>
      <c r="KQ190" s="196" t="n">
        <f aca="false">VLOOKUP($KN$1,'Datos Iniciales'!$E$34:$O$64,KQ$158,FALSE())*KQ92</f>
        <v>0</v>
      </c>
      <c r="KR190" s="196" t="n">
        <f aca="false">VLOOKUP($KN$1,'Datos Iniciales'!$E$34:$O$64,KR$158,FALSE())*KR92</f>
        <v>0</v>
      </c>
      <c r="KS190" s="196" t="n">
        <f aca="false">VLOOKUP($KN$1,'Datos Iniciales'!$E$34:$O$64,KS$158,FALSE())*KS92</f>
        <v>0</v>
      </c>
      <c r="KT190" s="196" t="n">
        <f aca="false">VLOOKUP($KN$1,'Datos Iniciales'!$E$34:$O$64,KT$158,FALSE())*KT92</f>
        <v>0</v>
      </c>
      <c r="KU190" s="196" t="n">
        <f aca="false">VLOOKUP($KN$1,'Datos Iniciales'!$E$34:$O$64,KU$158,FALSE())*KU92</f>
        <v>0</v>
      </c>
      <c r="KV190" s="196" t="n">
        <f aca="false">VLOOKUP($KN$1,'Datos Iniciales'!$E$34:$O$64,KV$158,FALSE())*KV92</f>
        <v>0</v>
      </c>
      <c r="KW190" s="196" t="n">
        <f aca="false">VLOOKUP($KN$1,'Datos Iniciales'!$E$34:$O$64,KW$158,FALSE())*KW92</f>
        <v>0</v>
      </c>
      <c r="KX190" s="197" t="n">
        <f aca="false">VLOOKUP($KN$1,'Datos Iniciales'!$E$34:$O$64,KX$158,FALSE())*KX92</f>
        <v>0</v>
      </c>
      <c r="KY190" s="194" t="str">
        <f aca="false">KN190</f>
        <v>Alumno31</v>
      </c>
      <c r="KZ190" s="208" t="n">
        <f aca="false">VLOOKUP($KY$1,'Datos Iniciales'!$E$34:$O$64,KZ$158,FALSE())*KZ92</f>
        <v>0</v>
      </c>
      <c r="LA190" s="196" t="n">
        <f aca="false">VLOOKUP($KY$1,'Datos Iniciales'!$E$34:$O$64,LA$158,FALSE())*LA92</f>
        <v>0</v>
      </c>
      <c r="LB190" s="196" t="n">
        <f aca="false">VLOOKUP($KY$1,'Datos Iniciales'!$E$34:$O$64,LB$158,FALSE())*LB92</f>
        <v>0</v>
      </c>
      <c r="LC190" s="196" t="n">
        <f aca="false">VLOOKUP($KY$1,'Datos Iniciales'!$E$34:$O$64,LC$158,FALSE())*LC92</f>
        <v>0</v>
      </c>
      <c r="LD190" s="196" t="n">
        <f aca="false">VLOOKUP($KY$1,'Datos Iniciales'!$E$34:$O$64,LD$158,FALSE())*LD92</f>
        <v>0</v>
      </c>
      <c r="LE190" s="196" t="n">
        <f aca="false">VLOOKUP($KY$1,'Datos Iniciales'!$E$34:$O$64,LE$158,FALSE())*LE92</f>
        <v>0</v>
      </c>
      <c r="LF190" s="196" t="n">
        <f aca="false">VLOOKUP($KY$1,'Datos Iniciales'!$E$34:$O$64,LF$158,FALSE())*LF92</f>
        <v>0</v>
      </c>
      <c r="LG190" s="196" t="n">
        <f aca="false">VLOOKUP($KY$1,'Datos Iniciales'!$E$34:$O$64,LG$158,FALSE())*LG92</f>
        <v>0</v>
      </c>
      <c r="LH190" s="196" t="n">
        <f aca="false">VLOOKUP($KY$1,'Datos Iniciales'!$E$34:$O$64,LH$158,FALSE())*LH92</f>
        <v>0</v>
      </c>
      <c r="LI190" s="197" t="n">
        <f aca="false">VLOOKUP($KY$1,'Datos Iniciales'!$E$34:$O$64,LI$158,FALSE())*LI92</f>
        <v>0</v>
      </c>
      <c r="LJ190" s="194" t="str">
        <f aca="false">KY190</f>
        <v>Alumno31</v>
      </c>
      <c r="LK190" s="208" t="n">
        <f aca="false">VLOOKUP($LJ$1,'Datos Iniciales'!$E$34:$O$64,LK$158,FALSE())*LK92</f>
        <v>0</v>
      </c>
      <c r="LL190" s="196" t="n">
        <f aca="false">VLOOKUP($LJ$1,'Datos Iniciales'!$E$34:$O$64,LL$158,FALSE())*LL92</f>
        <v>0</v>
      </c>
      <c r="LM190" s="196" t="n">
        <f aca="false">VLOOKUP($LJ$1,'Datos Iniciales'!$E$34:$O$64,LM$158,FALSE())*LM92</f>
        <v>0</v>
      </c>
      <c r="LN190" s="196" t="n">
        <f aca="false">VLOOKUP($LJ$1,'Datos Iniciales'!$E$34:$O$64,LN$158,FALSE())*LN92</f>
        <v>0</v>
      </c>
      <c r="LO190" s="196" t="n">
        <f aca="false">VLOOKUP($LJ$1,'Datos Iniciales'!$E$34:$O$64,LO$158,FALSE())*LO92</f>
        <v>0</v>
      </c>
      <c r="LP190" s="196" t="n">
        <f aca="false">VLOOKUP($LJ$1,'Datos Iniciales'!$E$34:$O$64,LP$158,FALSE())*LP92</f>
        <v>0</v>
      </c>
      <c r="LQ190" s="196" t="n">
        <f aca="false">VLOOKUP($LJ$1,'Datos Iniciales'!$E$34:$O$64,LQ$158,FALSE())*LQ92</f>
        <v>0</v>
      </c>
      <c r="LR190" s="196" t="n">
        <f aca="false">VLOOKUP($LJ$1,'Datos Iniciales'!$E$34:$O$64,LR$158,FALSE())*LR92</f>
        <v>0</v>
      </c>
      <c r="LS190" s="196" t="n">
        <f aca="false">VLOOKUP($LJ$1,'Datos Iniciales'!$E$34:$O$64,LS$158,FALSE())*LS92</f>
        <v>0</v>
      </c>
      <c r="LT190" s="197" t="n">
        <f aca="false">VLOOKUP($LJ$1,'Datos Iniciales'!$E$34:$O$64,LT$158,FALSE())*LT92</f>
        <v>0</v>
      </c>
    </row>
    <row r="191" customFormat="false" ht="15" hidden="true" customHeight="false" outlineLevel="0" collapsed="false">
      <c r="C191" s="194" t="str">
        <f aca="false">C142</f>
        <v>Alumno32</v>
      </c>
      <c r="D191" s="208" t="n">
        <f aca="false">VLOOKUP($C$1,'Datos Iniciales'!$E$34:$O$64,D$158,FALSE())*D93</f>
        <v>0</v>
      </c>
      <c r="E191" s="196" t="n">
        <f aca="false">VLOOKUP($C$1,'Datos Iniciales'!$E$34:$O$64,E$158,FALSE())*E93</f>
        <v>0</v>
      </c>
      <c r="F191" s="196" t="n">
        <f aca="false">VLOOKUP($C$1,'Datos Iniciales'!$E$34:$O$64,F$158,FALSE())*F93</f>
        <v>0</v>
      </c>
      <c r="G191" s="196" t="n">
        <f aca="false">VLOOKUP($C$1,'Datos Iniciales'!$E$34:$O$64,G$158,FALSE())*G93</f>
        <v>0</v>
      </c>
      <c r="H191" s="196" t="n">
        <f aca="false">VLOOKUP($C$1,'Datos Iniciales'!$E$34:$O$64,H$158,FALSE())*H93</f>
        <v>0</v>
      </c>
      <c r="I191" s="196" t="n">
        <f aca="false">VLOOKUP($C$1,'Datos Iniciales'!$E$34:$O$64,I$158,FALSE())*I93</f>
        <v>0</v>
      </c>
      <c r="J191" s="196" t="n">
        <f aca="false">VLOOKUP($C$1,'Datos Iniciales'!$E$34:$O$64,J$158,FALSE())*J93</f>
        <v>0</v>
      </c>
      <c r="K191" s="196" t="n">
        <f aca="false">VLOOKUP($C$1,'Datos Iniciales'!$E$34:$O$64,K$158,FALSE())*K93</f>
        <v>0</v>
      </c>
      <c r="L191" s="196" t="n">
        <f aca="false">VLOOKUP($C$1,'Datos Iniciales'!$E$34:$O$64,L$158,FALSE())*L93</f>
        <v>0</v>
      </c>
      <c r="M191" s="197" t="n">
        <f aca="false">VLOOKUP($C$1,'Datos Iniciales'!$E$34:$O$64,M$158,FALSE())*M93</f>
        <v>0</v>
      </c>
      <c r="N191" s="194" t="str">
        <f aca="false">C191</f>
        <v>Alumno32</v>
      </c>
      <c r="O191" s="208" t="n">
        <f aca="false">VLOOKUP($N$1,'Datos Iniciales'!$E$34:$O$64,O$158,FALSE())*O93</f>
        <v>0</v>
      </c>
      <c r="P191" s="196" t="n">
        <f aca="false">VLOOKUP($N$1,'Datos Iniciales'!$E$34:$O$64,P$158,FALSE())*P93</f>
        <v>0</v>
      </c>
      <c r="Q191" s="196" t="n">
        <f aca="false">VLOOKUP($N$1,'Datos Iniciales'!$E$34:$O$64,Q$158,FALSE())*Q93</f>
        <v>0</v>
      </c>
      <c r="R191" s="196" t="n">
        <f aca="false">VLOOKUP($N$1,'Datos Iniciales'!$E$34:$O$64,R$158,FALSE())*R93</f>
        <v>0</v>
      </c>
      <c r="S191" s="196" t="n">
        <f aca="false">VLOOKUP($N$1,'Datos Iniciales'!$E$34:$O$64,S$158,FALSE())*S93</f>
        <v>0</v>
      </c>
      <c r="T191" s="196" t="n">
        <f aca="false">VLOOKUP($N$1,'Datos Iniciales'!$E$34:$O$64,T$158,FALSE())*T93</f>
        <v>0</v>
      </c>
      <c r="U191" s="196" t="n">
        <f aca="false">VLOOKUP($N$1,'Datos Iniciales'!$E$34:$O$64,U$158,FALSE())*U93</f>
        <v>0</v>
      </c>
      <c r="V191" s="196" t="n">
        <f aca="false">VLOOKUP($N$1,'Datos Iniciales'!$E$34:$O$64,V$158,FALSE())*V93</f>
        <v>0</v>
      </c>
      <c r="W191" s="196" t="n">
        <f aca="false">VLOOKUP($N$1,'Datos Iniciales'!$E$34:$O$64,W$158,FALSE())*W93</f>
        <v>0</v>
      </c>
      <c r="X191" s="197" t="n">
        <f aca="false">VLOOKUP($N$1,'Datos Iniciales'!$E$34:$O$64,X$158,FALSE())*X93</f>
        <v>0</v>
      </c>
      <c r="Y191" s="194" t="str">
        <f aca="false">N191</f>
        <v>Alumno32</v>
      </c>
      <c r="Z191" s="208" t="n">
        <f aca="false">VLOOKUP($Y$1,'Datos Iniciales'!$E$34:$O$64,Z$158,FALSE())*Z93</f>
        <v>0</v>
      </c>
      <c r="AA191" s="196" t="n">
        <f aca="false">VLOOKUP($Y$1,'Datos Iniciales'!$E$34:$O$64,AA$158,FALSE())*AA93</f>
        <v>0</v>
      </c>
      <c r="AB191" s="196" t="n">
        <f aca="false">VLOOKUP($Y$1,'Datos Iniciales'!$E$34:$O$64,AB$158,FALSE())*AB93</f>
        <v>0</v>
      </c>
      <c r="AC191" s="196" t="n">
        <f aca="false">VLOOKUP($Y$1,'Datos Iniciales'!$E$34:$O$64,AC$158,FALSE())*AC93</f>
        <v>0</v>
      </c>
      <c r="AD191" s="196" t="n">
        <f aca="false">VLOOKUP($Y$1,'Datos Iniciales'!$E$34:$O$64,AD$158,FALSE())*AD93</f>
        <v>0</v>
      </c>
      <c r="AE191" s="196" t="n">
        <f aca="false">VLOOKUP($Y$1,'Datos Iniciales'!$E$34:$O$64,AE$158,FALSE())*AE93</f>
        <v>0</v>
      </c>
      <c r="AF191" s="196" t="n">
        <f aca="false">VLOOKUP($Y$1,'Datos Iniciales'!$E$34:$O$64,AF$158,FALSE())*AF93</f>
        <v>0</v>
      </c>
      <c r="AG191" s="196" t="n">
        <f aca="false">VLOOKUP($Y$1,'Datos Iniciales'!$E$34:$O$64,AG$158,FALSE())*AG93</f>
        <v>0</v>
      </c>
      <c r="AH191" s="196" t="n">
        <f aca="false">VLOOKUP($Y$1,'Datos Iniciales'!$E$34:$O$64,AH$158,FALSE())*AH93</f>
        <v>0</v>
      </c>
      <c r="AI191" s="197" t="n">
        <f aca="false">VLOOKUP($Y$1,'Datos Iniciales'!$E$34:$O$64,AI$158,FALSE())*AI93</f>
        <v>0</v>
      </c>
      <c r="AJ191" s="194" t="str">
        <f aca="false">Y191</f>
        <v>Alumno32</v>
      </c>
      <c r="AK191" s="208" t="n">
        <f aca="false">VLOOKUP($AJ$1,'Datos Iniciales'!$E$34:$O$64,AK$158,FALSE())*AK93</f>
        <v>0</v>
      </c>
      <c r="AL191" s="196" t="n">
        <f aca="false">VLOOKUP($AJ$1,'Datos Iniciales'!$E$34:$O$64,AL$158,FALSE())*AL93</f>
        <v>0</v>
      </c>
      <c r="AM191" s="196" t="n">
        <f aca="false">VLOOKUP($AJ$1,'Datos Iniciales'!$E$34:$O$64,AM$158,FALSE())*AM93</f>
        <v>0</v>
      </c>
      <c r="AN191" s="196" t="n">
        <f aca="false">VLOOKUP($AJ$1,'Datos Iniciales'!$E$34:$O$64,AN$158,FALSE())*AN93</f>
        <v>0</v>
      </c>
      <c r="AO191" s="196" t="n">
        <f aca="false">VLOOKUP($AJ$1,'Datos Iniciales'!$E$34:$O$64,AO$158,FALSE())*AO93</f>
        <v>0</v>
      </c>
      <c r="AP191" s="196" t="n">
        <f aca="false">VLOOKUP($AJ$1,'Datos Iniciales'!$E$34:$O$64,AP$158,FALSE())*AP93</f>
        <v>0</v>
      </c>
      <c r="AQ191" s="196" t="n">
        <f aca="false">VLOOKUP($AJ$1,'Datos Iniciales'!$E$34:$O$64,AQ$158,FALSE())*AQ93</f>
        <v>0</v>
      </c>
      <c r="AR191" s="196" t="n">
        <f aca="false">VLOOKUP($AJ$1,'Datos Iniciales'!$E$34:$O$64,AR$158,FALSE())*AR93</f>
        <v>0</v>
      </c>
      <c r="AS191" s="196" t="n">
        <f aca="false">VLOOKUP($AJ$1,'Datos Iniciales'!$E$34:$O$64,AS$158,FALSE())*AS93</f>
        <v>0</v>
      </c>
      <c r="AT191" s="197" t="n">
        <f aca="false">VLOOKUP($AJ$1,'Datos Iniciales'!$E$34:$O$64,AT$158,FALSE())*AT93</f>
        <v>0</v>
      </c>
      <c r="AU191" s="194" t="str">
        <f aca="false">AJ191</f>
        <v>Alumno32</v>
      </c>
      <c r="AV191" s="208" t="n">
        <f aca="false">VLOOKUP($AU$1,'Datos Iniciales'!$E$34:$O$64,AV$158,FALSE())*AV93</f>
        <v>0</v>
      </c>
      <c r="AW191" s="196" t="n">
        <f aca="false">VLOOKUP($AU$1,'Datos Iniciales'!$E$34:$O$64,AW$158,FALSE())*AW93</f>
        <v>0</v>
      </c>
      <c r="AX191" s="196" t="n">
        <f aca="false">VLOOKUP($AU$1,'Datos Iniciales'!$E$34:$O$64,AX$158,FALSE())*AX93</f>
        <v>0</v>
      </c>
      <c r="AY191" s="196" t="n">
        <f aca="false">VLOOKUP($AU$1,'Datos Iniciales'!$E$34:$O$64,AY$158,FALSE())*AY93</f>
        <v>0</v>
      </c>
      <c r="AZ191" s="196" t="n">
        <f aca="false">VLOOKUP($AU$1,'Datos Iniciales'!$E$34:$O$64,AZ$158,FALSE())*AZ93</f>
        <v>0</v>
      </c>
      <c r="BA191" s="196" t="n">
        <f aca="false">VLOOKUP($AU$1,'Datos Iniciales'!$E$34:$O$64,BA$158,FALSE())*BA93</f>
        <v>0</v>
      </c>
      <c r="BB191" s="196" t="n">
        <f aca="false">VLOOKUP($AU$1,'Datos Iniciales'!$E$34:$O$64,BB$158,FALSE())*BB93</f>
        <v>0</v>
      </c>
      <c r="BC191" s="196" t="n">
        <f aca="false">VLOOKUP($AU$1,'Datos Iniciales'!$E$34:$O$64,BC$158,FALSE())*BC93</f>
        <v>0</v>
      </c>
      <c r="BD191" s="196" t="n">
        <f aca="false">VLOOKUP($AU$1,'Datos Iniciales'!$E$34:$O$64,BD$158,FALSE())*BD93</f>
        <v>0</v>
      </c>
      <c r="BE191" s="197" t="n">
        <f aca="false">VLOOKUP($AU$1,'Datos Iniciales'!$E$34:$O$64,BE$158,FALSE())*BE93</f>
        <v>0</v>
      </c>
      <c r="BF191" s="194" t="str">
        <f aca="false">AU191</f>
        <v>Alumno32</v>
      </c>
      <c r="BG191" s="208" t="n">
        <f aca="false">VLOOKUP($BF$1,'Datos Iniciales'!$E$34:$O$64,BG$158,FALSE())*BG93</f>
        <v>0</v>
      </c>
      <c r="BH191" s="196" t="n">
        <f aca="false">VLOOKUP($BF$1,'Datos Iniciales'!$E$34:$O$64,BH$158,FALSE())*BH93</f>
        <v>0</v>
      </c>
      <c r="BI191" s="196" t="n">
        <f aca="false">VLOOKUP($BF$1,'Datos Iniciales'!$E$34:$O$64,BI$158,FALSE())*BI93</f>
        <v>0</v>
      </c>
      <c r="BJ191" s="196" t="n">
        <f aca="false">VLOOKUP($BF$1,'Datos Iniciales'!$E$34:$O$64,BJ$158,FALSE())*BJ93</f>
        <v>0</v>
      </c>
      <c r="BK191" s="196" t="n">
        <f aca="false">VLOOKUP($BF$1,'Datos Iniciales'!$E$34:$O$64,BK$158,FALSE())*BK93</f>
        <v>0</v>
      </c>
      <c r="BL191" s="196" t="n">
        <f aca="false">VLOOKUP($BF$1,'Datos Iniciales'!$E$34:$O$64,BL$158,FALSE())*BL93</f>
        <v>0</v>
      </c>
      <c r="BM191" s="196" t="n">
        <f aca="false">VLOOKUP($BF$1,'Datos Iniciales'!$E$34:$O$64,BM$158,FALSE())*BM93</f>
        <v>0</v>
      </c>
      <c r="BN191" s="196" t="n">
        <f aca="false">VLOOKUP($BF$1,'Datos Iniciales'!$E$34:$O$64,BN$158,FALSE())*BN93</f>
        <v>0</v>
      </c>
      <c r="BO191" s="196" t="n">
        <f aca="false">VLOOKUP($BF$1,'Datos Iniciales'!$E$34:$O$64,BO$158,FALSE())*BO93</f>
        <v>0</v>
      </c>
      <c r="BP191" s="197" t="n">
        <f aca="false">VLOOKUP($BF$1,'Datos Iniciales'!$E$34:$O$64,BP$158,FALSE())*BP93</f>
        <v>0</v>
      </c>
      <c r="BQ191" s="194" t="str">
        <f aca="false">BF191</f>
        <v>Alumno32</v>
      </c>
      <c r="BR191" s="208" t="n">
        <f aca="false">VLOOKUP($BQ$1,'Datos Iniciales'!$E$34:$O$64,BR$158,FALSE())*BR93</f>
        <v>0</v>
      </c>
      <c r="BS191" s="196" t="n">
        <f aca="false">VLOOKUP($BQ$1,'Datos Iniciales'!$E$34:$O$64,BS$158,FALSE())*BS93</f>
        <v>0</v>
      </c>
      <c r="BT191" s="196" t="n">
        <f aca="false">VLOOKUP($BQ$1,'Datos Iniciales'!$E$34:$O$64,BT$158,FALSE())*BT93</f>
        <v>0</v>
      </c>
      <c r="BU191" s="196" t="n">
        <f aca="false">VLOOKUP($BQ$1,'Datos Iniciales'!$E$34:$O$64,BU$158,FALSE())*BU93</f>
        <v>0</v>
      </c>
      <c r="BV191" s="196" t="n">
        <f aca="false">VLOOKUP($BQ$1,'Datos Iniciales'!$E$34:$O$64,BV$158,FALSE())*BV93</f>
        <v>0</v>
      </c>
      <c r="BW191" s="196" t="n">
        <f aca="false">VLOOKUP($BQ$1,'Datos Iniciales'!$E$34:$O$64,BW$158,FALSE())*BW93</f>
        <v>0</v>
      </c>
      <c r="BX191" s="196" t="n">
        <f aca="false">VLOOKUP($BQ$1,'Datos Iniciales'!$E$34:$O$64,BX$158,FALSE())*BX93</f>
        <v>0</v>
      </c>
      <c r="BY191" s="196" t="n">
        <f aca="false">VLOOKUP($BQ$1,'Datos Iniciales'!$E$34:$O$64,BY$158,FALSE())*BY93</f>
        <v>0</v>
      </c>
      <c r="BZ191" s="196" t="n">
        <f aca="false">VLOOKUP($BQ$1,'Datos Iniciales'!$E$34:$O$64,BZ$158,FALSE())*BZ93</f>
        <v>0</v>
      </c>
      <c r="CA191" s="197" t="n">
        <f aca="false">VLOOKUP($BQ$1,'Datos Iniciales'!$E$34:$O$64,CA$158,FALSE())*CA93</f>
        <v>0</v>
      </c>
      <c r="CB191" s="194" t="str">
        <f aca="false">BQ191</f>
        <v>Alumno32</v>
      </c>
      <c r="CC191" s="208" t="n">
        <f aca="false">VLOOKUP($CB$1,'Datos Iniciales'!$E$34:$O$64,CC$158,FALSE())*CC93</f>
        <v>0</v>
      </c>
      <c r="CD191" s="196" t="n">
        <f aca="false">VLOOKUP($CB$1,'Datos Iniciales'!$E$34:$O$64,CD$158,FALSE())*CD93</f>
        <v>0</v>
      </c>
      <c r="CE191" s="196" t="n">
        <f aca="false">VLOOKUP($CB$1,'Datos Iniciales'!$E$34:$O$64,CE$158,FALSE())*CE93</f>
        <v>0</v>
      </c>
      <c r="CF191" s="196" t="n">
        <f aca="false">VLOOKUP($CB$1,'Datos Iniciales'!$E$34:$O$64,CF$158,FALSE())*CF93</f>
        <v>0</v>
      </c>
      <c r="CG191" s="196" t="n">
        <f aca="false">VLOOKUP($CB$1,'Datos Iniciales'!$E$34:$O$64,CG$158,FALSE())*CG93</f>
        <v>0</v>
      </c>
      <c r="CH191" s="196" t="n">
        <f aca="false">VLOOKUP($CB$1,'Datos Iniciales'!$E$34:$O$64,CH$158,FALSE())*CH93</f>
        <v>0</v>
      </c>
      <c r="CI191" s="196" t="n">
        <f aca="false">VLOOKUP($CB$1,'Datos Iniciales'!$E$34:$O$64,CI$158,FALSE())*CI93</f>
        <v>0</v>
      </c>
      <c r="CJ191" s="196" t="n">
        <f aca="false">VLOOKUP($CB$1,'Datos Iniciales'!$E$34:$O$64,CJ$158,FALSE())*CJ93</f>
        <v>0</v>
      </c>
      <c r="CK191" s="196" t="n">
        <f aca="false">VLOOKUP($CB$1,'Datos Iniciales'!$E$34:$O$64,CK$158,FALSE())*CK93</f>
        <v>0</v>
      </c>
      <c r="CL191" s="197" t="n">
        <f aca="false">VLOOKUP($CB$1,'Datos Iniciales'!$E$34:$O$64,CL$158,FALSE())*CL93</f>
        <v>0</v>
      </c>
      <c r="CM191" s="194" t="str">
        <f aca="false">CB191</f>
        <v>Alumno32</v>
      </c>
      <c r="CN191" s="208" t="n">
        <f aca="false">VLOOKUP($CM$1,'Datos Iniciales'!$E$34:$O$64,CN$158,FALSE())*CN93</f>
        <v>0</v>
      </c>
      <c r="CO191" s="196" t="n">
        <f aca="false">VLOOKUP($CM$1,'Datos Iniciales'!$E$34:$O$64,CO$158,FALSE())*CO93</f>
        <v>0</v>
      </c>
      <c r="CP191" s="196" t="n">
        <f aca="false">VLOOKUP($CM$1,'Datos Iniciales'!$E$34:$O$64,CP$158,FALSE())*CP93</f>
        <v>0</v>
      </c>
      <c r="CQ191" s="196" t="n">
        <f aca="false">VLOOKUP($CM$1,'Datos Iniciales'!$E$34:$O$64,CQ$158,FALSE())*CQ93</f>
        <v>0</v>
      </c>
      <c r="CR191" s="196" t="n">
        <f aca="false">VLOOKUP($CM$1,'Datos Iniciales'!$E$34:$O$64,CR$158,FALSE())*CR93</f>
        <v>0</v>
      </c>
      <c r="CS191" s="196" t="n">
        <f aca="false">VLOOKUP($CM$1,'Datos Iniciales'!$E$34:$O$64,CS$158,FALSE())*CS93</f>
        <v>0</v>
      </c>
      <c r="CT191" s="196" t="n">
        <f aca="false">VLOOKUP($CM$1,'Datos Iniciales'!$E$34:$O$64,CT$158,FALSE())*CT93</f>
        <v>0</v>
      </c>
      <c r="CU191" s="196" t="n">
        <f aca="false">VLOOKUP($CM$1,'Datos Iniciales'!$E$34:$O$64,CU$158,FALSE())*CU93</f>
        <v>0</v>
      </c>
      <c r="CV191" s="196" t="n">
        <f aca="false">VLOOKUP($CM$1,'Datos Iniciales'!$E$34:$O$64,CV$158,FALSE())*CV93</f>
        <v>0</v>
      </c>
      <c r="CW191" s="197" t="n">
        <f aca="false">VLOOKUP($CM$1,'Datos Iniciales'!$E$34:$O$64,CW$158,FALSE())*CW93</f>
        <v>0</v>
      </c>
      <c r="CX191" s="194" t="str">
        <f aca="false">CM191</f>
        <v>Alumno32</v>
      </c>
      <c r="CY191" s="208" t="n">
        <f aca="false">VLOOKUP($CX$1,'Datos Iniciales'!$E$34:$O$64,CY$158,FALSE())*CY93</f>
        <v>0</v>
      </c>
      <c r="CZ191" s="196" t="n">
        <f aca="false">VLOOKUP($CX$1,'Datos Iniciales'!$E$34:$O$64,CZ$158,FALSE())*CZ93</f>
        <v>0</v>
      </c>
      <c r="DA191" s="196" t="n">
        <f aca="false">VLOOKUP($CX$1,'Datos Iniciales'!$E$34:$O$64,DA$158,FALSE())*DA93</f>
        <v>0</v>
      </c>
      <c r="DB191" s="196" t="n">
        <f aca="false">VLOOKUP($CX$1,'Datos Iniciales'!$E$34:$O$64,DB$158,FALSE())*DB93</f>
        <v>0</v>
      </c>
      <c r="DC191" s="196" t="n">
        <f aca="false">VLOOKUP($CX$1,'Datos Iniciales'!$E$34:$O$64,DC$158,FALSE())*DC93</f>
        <v>0</v>
      </c>
      <c r="DD191" s="196" t="n">
        <f aca="false">VLOOKUP($CX$1,'Datos Iniciales'!$E$34:$O$64,DD$158,FALSE())*DD93</f>
        <v>0</v>
      </c>
      <c r="DE191" s="196" t="n">
        <f aca="false">VLOOKUP($CX$1,'Datos Iniciales'!$E$34:$O$64,DE$158,FALSE())*DE93</f>
        <v>0</v>
      </c>
      <c r="DF191" s="196" t="n">
        <f aca="false">VLOOKUP($CX$1,'Datos Iniciales'!$E$34:$O$64,DF$158,FALSE())*DF93</f>
        <v>0</v>
      </c>
      <c r="DG191" s="196" t="n">
        <f aca="false">VLOOKUP($CX$1,'Datos Iniciales'!$E$34:$O$64,DG$158,FALSE())*DG93</f>
        <v>0</v>
      </c>
      <c r="DH191" s="197" t="n">
        <f aca="false">VLOOKUP($CX$1,'Datos Iniciales'!$E$34:$O$64,DH$158,FALSE())*DH93</f>
        <v>0</v>
      </c>
      <c r="DI191" s="194" t="str">
        <f aca="false">CX191</f>
        <v>Alumno32</v>
      </c>
      <c r="DJ191" s="208" t="n">
        <f aca="false">VLOOKUP($DI$1,'Datos Iniciales'!$E$34:$O$64,DJ$158,FALSE())*DJ93</f>
        <v>0</v>
      </c>
      <c r="DK191" s="196" t="n">
        <f aca="false">VLOOKUP($DI$1,'Datos Iniciales'!$E$34:$O$64,DK$158,FALSE())*DK93</f>
        <v>0</v>
      </c>
      <c r="DL191" s="196" t="n">
        <f aca="false">VLOOKUP($DI$1,'Datos Iniciales'!$E$34:$O$64,DL$158,FALSE())*DL93</f>
        <v>0</v>
      </c>
      <c r="DM191" s="196" t="n">
        <f aca="false">VLOOKUP($DI$1,'Datos Iniciales'!$E$34:$O$64,DM$158,FALSE())*DM93</f>
        <v>0</v>
      </c>
      <c r="DN191" s="196" t="n">
        <f aca="false">VLOOKUP($DI$1,'Datos Iniciales'!$E$34:$O$64,DN$158,FALSE())*DN93</f>
        <v>0</v>
      </c>
      <c r="DO191" s="196" t="n">
        <f aca="false">VLOOKUP($DI$1,'Datos Iniciales'!$E$34:$O$64,DO$158,FALSE())*DO93</f>
        <v>0</v>
      </c>
      <c r="DP191" s="196" t="n">
        <f aca="false">VLOOKUP($DI$1,'Datos Iniciales'!$E$34:$O$64,DP$158,FALSE())*DP93</f>
        <v>0</v>
      </c>
      <c r="DQ191" s="196" t="n">
        <f aca="false">VLOOKUP($DI$1,'Datos Iniciales'!$E$34:$O$64,DQ$158,FALSE())*DQ93</f>
        <v>0</v>
      </c>
      <c r="DR191" s="196" t="n">
        <f aca="false">VLOOKUP($DI$1,'Datos Iniciales'!$E$34:$O$64,DR$158,FALSE())*DR93</f>
        <v>0</v>
      </c>
      <c r="DS191" s="197" t="n">
        <f aca="false">VLOOKUP($DI$1,'Datos Iniciales'!$E$34:$O$64,DS$158,FALSE())*DS93</f>
        <v>0</v>
      </c>
      <c r="DT191" s="194" t="str">
        <f aca="false">DI191</f>
        <v>Alumno32</v>
      </c>
      <c r="DU191" s="208" t="n">
        <f aca="false">VLOOKUP($DT$1,'Datos Iniciales'!$E$34:$O$64,DU$158,FALSE())*DU93</f>
        <v>0</v>
      </c>
      <c r="DV191" s="196" t="n">
        <f aca="false">VLOOKUP($DT$1,'Datos Iniciales'!$E$34:$O$64,DV$158,FALSE())*DV93</f>
        <v>0</v>
      </c>
      <c r="DW191" s="196" t="n">
        <f aca="false">VLOOKUP($DT$1,'Datos Iniciales'!$E$34:$O$64,DW$158,FALSE())*DW93</f>
        <v>0</v>
      </c>
      <c r="DX191" s="196" t="n">
        <f aca="false">VLOOKUP($DT$1,'Datos Iniciales'!$E$34:$O$64,DX$158,FALSE())*DX93</f>
        <v>0</v>
      </c>
      <c r="DY191" s="196" t="n">
        <f aca="false">VLOOKUP($DT$1,'Datos Iniciales'!$E$34:$O$64,DY$158,FALSE())*DY93</f>
        <v>0</v>
      </c>
      <c r="DZ191" s="196" t="n">
        <f aca="false">VLOOKUP($DT$1,'Datos Iniciales'!$E$34:$O$64,DZ$158,FALSE())*DZ93</f>
        <v>0</v>
      </c>
      <c r="EA191" s="196" t="n">
        <f aca="false">VLOOKUP($DT$1,'Datos Iniciales'!$E$34:$O$64,EA$158,FALSE())*EA93</f>
        <v>0</v>
      </c>
      <c r="EB191" s="196" t="n">
        <f aca="false">VLOOKUP($DT$1,'Datos Iniciales'!$E$34:$O$64,EB$158,FALSE())*EB93</f>
        <v>0</v>
      </c>
      <c r="EC191" s="196" t="n">
        <f aca="false">VLOOKUP($DT$1,'Datos Iniciales'!$E$34:$O$64,EC$158,FALSE())*EC93</f>
        <v>0</v>
      </c>
      <c r="ED191" s="197" t="n">
        <f aca="false">VLOOKUP($DT$1,'Datos Iniciales'!$E$34:$O$64,ED$158,FALSE())*ED93</f>
        <v>0</v>
      </c>
      <c r="EE191" s="194" t="str">
        <f aca="false">DT191</f>
        <v>Alumno32</v>
      </c>
      <c r="EF191" s="208" t="n">
        <f aca="false">VLOOKUP($EE$1,'Datos Iniciales'!$E$34:$O$64,EF$158,FALSE())*EF93</f>
        <v>0</v>
      </c>
      <c r="EG191" s="196" t="n">
        <f aca="false">VLOOKUP($EE$1,'Datos Iniciales'!$E$34:$O$64,EG$158,FALSE())*EG93</f>
        <v>0</v>
      </c>
      <c r="EH191" s="196" t="n">
        <f aca="false">VLOOKUP($EE$1,'Datos Iniciales'!$E$34:$O$64,EH$158,FALSE())*EH93</f>
        <v>0</v>
      </c>
      <c r="EI191" s="196" t="n">
        <f aca="false">VLOOKUP($EE$1,'Datos Iniciales'!$E$34:$O$64,EI$158,FALSE())*EI93</f>
        <v>0</v>
      </c>
      <c r="EJ191" s="196" t="n">
        <f aca="false">VLOOKUP($EE$1,'Datos Iniciales'!$E$34:$O$64,EJ$158,FALSE())*EJ93</f>
        <v>0</v>
      </c>
      <c r="EK191" s="196" t="n">
        <f aca="false">VLOOKUP($EE$1,'Datos Iniciales'!$E$34:$O$64,EK$158,FALSE())*EK93</f>
        <v>0</v>
      </c>
      <c r="EL191" s="196" t="n">
        <f aca="false">VLOOKUP($EE$1,'Datos Iniciales'!$E$34:$O$64,EL$158,FALSE())*EL93</f>
        <v>0</v>
      </c>
      <c r="EM191" s="196" t="n">
        <f aca="false">VLOOKUP($EE$1,'Datos Iniciales'!$E$34:$O$64,EM$158,FALSE())*EM93</f>
        <v>0</v>
      </c>
      <c r="EN191" s="196" t="n">
        <f aca="false">VLOOKUP($EE$1,'Datos Iniciales'!$E$34:$O$64,EN$158,FALSE())*EN93</f>
        <v>0</v>
      </c>
      <c r="EO191" s="197" t="n">
        <f aca="false">VLOOKUP($EE$1,'Datos Iniciales'!$E$34:$O$64,EO$158,FALSE())*EO93</f>
        <v>0</v>
      </c>
      <c r="EP191" s="194" t="str">
        <f aca="false">EE191</f>
        <v>Alumno32</v>
      </c>
      <c r="EQ191" s="208" t="n">
        <f aca="false">VLOOKUP($EP$1,'Datos Iniciales'!$E$34:$O$64,EQ$158,FALSE())*EQ93</f>
        <v>0</v>
      </c>
      <c r="ER191" s="196" t="n">
        <f aca="false">VLOOKUP($EP$1,'Datos Iniciales'!$E$34:$O$64,ER$158,FALSE())*ER93</f>
        <v>0</v>
      </c>
      <c r="ES191" s="196" t="n">
        <f aca="false">VLOOKUP($EP$1,'Datos Iniciales'!$E$34:$O$64,ES$158,FALSE())*ES93</f>
        <v>0</v>
      </c>
      <c r="ET191" s="196" t="n">
        <f aca="false">VLOOKUP($EP$1,'Datos Iniciales'!$E$34:$O$64,ET$158,FALSE())*ET93</f>
        <v>0</v>
      </c>
      <c r="EU191" s="196" t="n">
        <f aca="false">VLOOKUP($EP$1,'Datos Iniciales'!$E$34:$O$64,EU$158,FALSE())*EU93</f>
        <v>0</v>
      </c>
      <c r="EV191" s="196" t="n">
        <f aca="false">VLOOKUP($EP$1,'Datos Iniciales'!$E$34:$O$64,EV$158,FALSE())*EV93</f>
        <v>0</v>
      </c>
      <c r="EW191" s="196" t="n">
        <f aca="false">VLOOKUP($EP$1,'Datos Iniciales'!$E$34:$O$64,EW$158,FALSE())*EW93</f>
        <v>0</v>
      </c>
      <c r="EX191" s="196" t="n">
        <f aca="false">VLOOKUP($EP$1,'Datos Iniciales'!$E$34:$O$64,EX$158,FALSE())*EX93</f>
        <v>0</v>
      </c>
      <c r="EY191" s="196" t="n">
        <f aca="false">VLOOKUP($EP$1,'Datos Iniciales'!$E$34:$O$64,EY$158,FALSE())*EY93</f>
        <v>0</v>
      </c>
      <c r="EZ191" s="197" t="n">
        <f aca="false">VLOOKUP($EP$1,'Datos Iniciales'!$E$34:$O$64,EZ$158,FALSE())*EZ93</f>
        <v>0</v>
      </c>
      <c r="FA191" s="194" t="str">
        <f aca="false">EP191</f>
        <v>Alumno32</v>
      </c>
      <c r="FB191" s="208" t="n">
        <f aca="false">VLOOKUP($FA$1,'Datos Iniciales'!$E$34:$O$64,FB$158,FALSE())*FB93</f>
        <v>0</v>
      </c>
      <c r="FC191" s="196" t="n">
        <f aca="false">VLOOKUP($FA$1,'Datos Iniciales'!$E$34:$O$64,FC$158,FALSE())*FC93</f>
        <v>0</v>
      </c>
      <c r="FD191" s="196" t="n">
        <f aca="false">VLOOKUP($FA$1,'Datos Iniciales'!$E$34:$O$64,FD$158,FALSE())*FD93</f>
        <v>0</v>
      </c>
      <c r="FE191" s="196" t="n">
        <f aca="false">VLOOKUP($FA$1,'Datos Iniciales'!$E$34:$O$64,FE$158,FALSE())*FE93</f>
        <v>0</v>
      </c>
      <c r="FF191" s="196" t="n">
        <f aca="false">VLOOKUP($FA$1,'Datos Iniciales'!$E$34:$O$64,FF$158,FALSE())*FF93</f>
        <v>0</v>
      </c>
      <c r="FG191" s="196" t="n">
        <f aca="false">VLOOKUP($FA$1,'Datos Iniciales'!$E$34:$O$64,FG$158,FALSE())*FG93</f>
        <v>0</v>
      </c>
      <c r="FH191" s="196" t="n">
        <f aca="false">VLOOKUP($FA$1,'Datos Iniciales'!$E$34:$O$64,FH$158,FALSE())*FH93</f>
        <v>0</v>
      </c>
      <c r="FI191" s="196" t="n">
        <f aca="false">VLOOKUP($FA$1,'Datos Iniciales'!$E$34:$O$64,FI$158,FALSE())*FI93</f>
        <v>0</v>
      </c>
      <c r="FJ191" s="196" t="n">
        <f aca="false">VLOOKUP($FA$1,'Datos Iniciales'!$E$34:$O$64,FJ$158,FALSE())*FJ93</f>
        <v>0</v>
      </c>
      <c r="FK191" s="197" t="n">
        <f aca="false">VLOOKUP($FA$1,'Datos Iniciales'!$E$34:$O$64,FK$158,FALSE())*FK93</f>
        <v>0</v>
      </c>
      <c r="FL191" s="194" t="str">
        <f aca="false">FA191</f>
        <v>Alumno32</v>
      </c>
      <c r="FM191" s="208" t="n">
        <f aca="false">VLOOKUP($FL$1,'Datos Iniciales'!$E$34:$O$64,FM$158,FALSE())*FM93</f>
        <v>0</v>
      </c>
      <c r="FN191" s="196" t="n">
        <f aca="false">VLOOKUP($FL$1,'Datos Iniciales'!$E$34:$O$64,FN$158,FALSE())*FN93</f>
        <v>0</v>
      </c>
      <c r="FO191" s="196" t="n">
        <f aca="false">VLOOKUP($FL$1,'Datos Iniciales'!$E$34:$O$64,FO$158,FALSE())*FO93</f>
        <v>0</v>
      </c>
      <c r="FP191" s="196" t="n">
        <f aca="false">VLOOKUP($FL$1,'Datos Iniciales'!$E$34:$O$64,FP$158,FALSE())*FP93</f>
        <v>0</v>
      </c>
      <c r="FQ191" s="196" t="n">
        <f aca="false">VLOOKUP($FL$1,'Datos Iniciales'!$E$34:$O$64,FQ$158,FALSE())*FQ93</f>
        <v>0</v>
      </c>
      <c r="FR191" s="196" t="n">
        <f aca="false">VLOOKUP($FL$1,'Datos Iniciales'!$E$34:$O$64,FR$158,FALSE())*FR93</f>
        <v>0</v>
      </c>
      <c r="FS191" s="196" t="n">
        <f aca="false">VLOOKUP($FL$1,'Datos Iniciales'!$E$34:$O$64,FS$158,FALSE())*FS93</f>
        <v>0</v>
      </c>
      <c r="FT191" s="196" t="n">
        <f aca="false">VLOOKUP($FL$1,'Datos Iniciales'!$E$34:$O$64,FT$158,FALSE())*FT93</f>
        <v>0</v>
      </c>
      <c r="FU191" s="196" t="n">
        <f aca="false">VLOOKUP($FL$1,'Datos Iniciales'!$E$34:$O$64,FU$158,FALSE())*FU93</f>
        <v>0</v>
      </c>
      <c r="FV191" s="197" t="n">
        <f aca="false">VLOOKUP($FL$1,'Datos Iniciales'!$E$34:$O$64,FV$158,FALSE())*FV93</f>
        <v>0</v>
      </c>
      <c r="FW191" s="194" t="str">
        <f aca="false">FL191</f>
        <v>Alumno32</v>
      </c>
      <c r="FX191" s="208" t="n">
        <f aca="false">VLOOKUP($FW$1,'Datos Iniciales'!$E$34:$O$64,FX$158,FALSE())*FX93</f>
        <v>0</v>
      </c>
      <c r="FY191" s="196" t="n">
        <f aca="false">VLOOKUP($FW$1,'Datos Iniciales'!$E$34:$O$64,FY$158,FALSE())*FY93</f>
        <v>0</v>
      </c>
      <c r="FZ191" s="196" t="n">
        <f aca="false">VLOOKUP($FW$1,'Datos Iniciales'!$E$34:$O$64,FZ$158,FALSE())*FZ93</f>
        <v>0</v>
      </c>
      <c r="GA191" s="196" t="n">
        <f aca="false">VLOOKUP($FW$1,'Datos Iniciales'!$E$34:$O$64,GA$158,FALSE())*GA93</f>
        <v>0</v>
      </c>
      <c r="GB191" s="196" t="n">
        <f aca="false">VLOOKUP($FW$1,'Datos Iniciales'!$E$34:$O$64,GB$158,FALSE())*GB93</f>
        <v>0</v>
      </c>
      <c r="GC191" s="196" t="n">
        <f aca="false">VLOOKUP($FW$1,'Datos Iniciales'!$E$34:$O$64,GC$158,FALSE())*GC93</f>
        <v>0</v>
      </c>
      <c r="GD191" s="196" t="n">
        <f aca="false">VLOOKUP($FW$1,'Datos Iniciales'!$E$34:$O$64,GD$158,FALSE())*GD93</f>
        <v>0</v>
      </c>
      <c r="GE191" s="196" t="n">
        <f aca="false">VLOOKUP($FW$1,'Datos Iniciales'!$E$34:$O$64,GE$158,FALSE())*GE93</f>
        <v>0</v>
      </c>
      <c r="GF191" s="196" t="n">
        <f aca="false">VLOOKUP($FW$1,'Datos Iniciales'!$E$34:$O$64,GF$158,FALSE())*GF93</f>
        <v>0</v>
      </c>
      <c r="GG191" s="197" t="n">
        <f aca="false">VLOOKUP($FW$1,'Datos Iniciales'!$E$34:$O$64,GG$158,FALSE())*GG93</f>
        <v>0</v>
      </c>
      <c r="GH191" s="194" t="str">
        <f aca="false">FW191</f>
        <v>Alumno32</v>
      </c>
      <c r="GI191" s="208" t="n">
        <f aca="false">VLOOKUP($GH$1,'Datos Iniciales'!$E$34:$O$64,GI$158,FALSE())*GI93</f>
        <v>0</v>
      </c>
      <c r="GJ191" s="196" t="n">
        <f aca="false">VLOOKUP($GH$1,'Datos Iniciales'!$E$34:$O$64,GJ$158,FALSE())*GJ93</f>
        <v>0</v>
      </c>
      <c r="GK191" s="196" t="n">
        <f aca="false">VLOOKUP($GH$1,'Datos Iniciales'!$E$34:$O$64,GK$158,FALSE())*GK93</f>
        <v>0</v>
      </c>
      <c r="GL191" s="196" t="n">
        <f aca="false">VLOOKUP($GH$1,'Datos Iniciales'!$E$34:$O$64,GL$158,FALSE())*GL93</f>
        <v>0</v>
      </c>
      <c r="GM191" s="196" t="n">
        <f aca="false">VLOOKUP($GH$1,'Datos Iniciales'!$E$34:$O$64,GM$158,FALSE())*GM93</f>
        <v>0</v>
      </c>
      <c r="GN191" s="196" t="n">
        <f aca="false">VLOOKUP($GH$1,'Datos Iniciales'!$E$34:$O$64,GN$158,FALSE())*GN93</f>
        <v>0</v>
      </c>
      <c r="GO191" s="196" t="n">
        <f aca="false">VLOOKUP($GH$1,'Datos Iniciales'!$E$34:$O$64,GO$158,FALSE())*GO93</f>
        <v>0</v>
      </c>
      <c r="GP191" s="196" t="n">
        <f aca="false">VLOOKUP($GH$1,'Datos Iniciales'!$E$34:$O$64,GP$158,FALSE())*GP93</f>
        <v>0</v>
      </c>
      <c r="GQ191" s="196" t="n">
        <f aca="false">VLOOKUP($GH$1,'Datos Iniciales'!$E$34:$O$64,GQ$158,FALSE())*GQ93</f>
        <v>0</v>
      </c>
      <c r="GR191" s="197" t="n">
        <f aca="false">VLOOKUP($GH$1,'Datos Iniciales'!$E$34:$O$64,GR$158,FALSE())*GR93</f>
        <v>0</v>
      </c>
      <c r="GS191" s="194" t="str">
        <f aca="false">GH191</f>
        <v>Alumno32</v>
      </c>
      <c r="GT191" s="208" t="n">
        <f aca="false">VLOOKUP($GS$1,'Datos Iniciales'!$E$34:$O$64,GT$158,FALSE())*GT93</f>
        <v>0</v>
      </c>
      <c r="GU191" s="196" t="n">
        <f aca="false">VLOOKUP($GS$1,'Datos Iniciales'!$E$34:$O$64,GU$158,FALSE())*GU93</f>
        <v>0</v>
      </c>
      <c r="GV191" s="196" t="n">
        <f aca="false">VLOOKUP($GS$1,'Datos Iniciales'!$E$34:$O$64,GV$158,FALSE())*GV93</f>
        <v>0</v>
      </c>
      <c r="GW191" s="196" t="n">
        <f aca="false">VLOOKUP($GS$1,'Datos Iniciales'!$E$34:$O$64,GW$158,FALSE())*GW93</f>
        <v>0</v>
      </c>
      <c r="GX191" s="196" t="n">
        <f aca="false">VLOOKUP($GS$1,'Datos Iniciales'!$E$34:$O$64,GX$158,FALSE())*GX93</f>
        <v>0</v>
      </c>
      <c r="GY191" s="196" t="n">
        <f aca="false">VLOOKUP($GS$1,'Datos Iniciales'!$E$34:$O$64,GY$158,FALSE())*GY93</f>
        <v>0</v>
      </c>
      <c r="GZ191" s="196" t="n">
        <f aca="false">VLOOKUP($GS$1,'Datos Iniciales'!$E$34:$O$64,GZ$158,FALSE())*GZ93</f>
        <v>0</v>
      </c>
      <c r="HA191" s="196" t="n">
        <f aca="false">VLOOKUP($GS$1,'Datos Iniciales'!$E$34:$O$64,HA$158,FALSE())*HA93</f>
        <v>0</v>
      </c>
      <c r="HB191" s="196" t="n">
        <f aca="false">VLOOKUP($GS$1,'Datos Iniciales'!$E$34:$O$64,HB$158,FALSE())*HB93</f>
        <v>0</v>
      </c>
      <c r="HC191" s="197" t="n">
        <f aca="false">VLOOKUP($GS$1,'Datos Iniciales'!$E$34:$O$64,HC$158,FALSE())*HC93</f>
        <v>0</v>
      </c>
      <c r="HD191" s="194" t="str">
        <f aca="false">GS191</f>
        <v>Alumno32</v>
      </c>
      <c r="HE191" s="208" t="n">
        <f aca="false">VLOOKUP($HD$1,'Datos Iniciales'!$E$34:$O$64,HE$158,FALSE())*HE93</f>
        <v>0</v>
      </c>
      <c r="HF191" s="196" t="n">
        <f aca="false">VLOOKUP($HD$1,'Datos Iniciales'!$E$34:$O$64,HF$158,FALSE())*HF93</f>
        <v>0</v>
      </c>
      <c r="HG191" s="196" t="n">
        <f aca="false">VLOOKUP($HD$1,'Datos Iniciales'!$E$34:$O$64,HG$158,FALSE())*HG93</f>
        <v>0</v>
      </c>
      <c r="HH191" s="196" t="n">
        <f aca="false">VLOOKUP($HD$1,'Datos Iniciales'!$E$34:$O$64,HH$158,FALSE())*HH93</f>
        <v>0</v>
      </c>
      <c r="HI191" s="196" t="n">
        <f aca="false">VLOOKUP($HD$1,'Datos Iniciales'!$E$34:$O$64,HI$158,FALSE())*HI93</f>
        <v>0</v>
      </c>
      <c r="HJ191" s="196" t="n">
        <f aca="false">VLOOKUP($HD$1,'Datos Iniciales'!$E$34:$O$64,HJ$158,FALSE())*HJ93</f>
        <v>0</v>
      </c>
      <c r="HK191" s="196" t="n">
        <f aca="false">VLOOKUP($HD$1,'Datos Iniciales'!$E$34:$O$64,HK$158,FALSE())*HK93</f>
        <v>0</v>
      </c>
      <c r="HL191" s="196" t="n">
        <f aca="false">VLOOKUP($HD$1,'Datos Iniciales'!$E$34:$O$64,HL$158,FALSE())*HL93</f>
        <v>0</v>
      </c>
      <c r="HM191" s="196" t="n">
        <f aca="false">VLOOKUP($HD$1,'Datos Iniciales'!$E$34:$O$64,HM$158,FALSE())*HM93</f>
        <v>0</v>
      </c>
      <c r="HN191" s="197" t="n">
        <f aca="false">VLOOKUP($HD$1,'Datos Iniciales'!$E$34:$O$64,HN$158,FALSE())*HN93</f>
        <v>0</v>
      </c>
      <c r="HO191" s="194" t="str">
        <f aca="false">HD191</f>
        <v>Alumno32</v>
      </c>
      <c r="HP191" s="208" t="n">
        <f aca="false">VLOOKUP($HO$1,'Datos Iniciales'!$E$34:$O$64,HP$158,FALSE())*HP93</f>
        <v>0</v>
      </c>
      <c r="HQ191" s="196" t="n">
        <f aca="false">VLOOKUP($HO$1,'Datos Iniciales'!$E$34:$O$64,HQ$158,FALSE())*HQ93</f>
        <v>0</v>
      </c>
      <c r="HR191" s="196" t="n">
        <f aca="false">VLOOKUP($HO$1,'Datos Iniciales'!$E$34:$O$64,HR$158,FALSE())*HR93</f>
        <v>0</v>
      </c>
      <c r="HS191" s="196" t="n">
        <f aca="false">VLOOKUP($HO$1,'Datos Iniciales'!$E$34:$O$64,HS$158,FALSE())*HS93</f>
        <v>0</v>
      </c>
      <c r="HT191" s="196" t="n">
        <f aca="false">VLOOKUP($HO$1,'Datos Iniciales'!$E$34:$O$64,HT$158,FALSE())*HT93</f>
        <v>0</v>
      </c>
      <c r="HU191" s="196" t="n">
        <f aca="false">VLOOKUP($HO$1,'Datos Iniciales'!$E$34:$O$64,HU$158,FALSE())*HU93</f>
        <v>0</v>
      </c>
      <c r="HV191" s="196" t="n">
        <f aca="false">VLOOKUP($HO$1,'Datos Iniciales'!$E$34:$O$64,HV$158,FALSE())*HV93</f>
        <v>0</v>
      </c>
      <c r="HW191" s="196" t="n">
        <f aca="false">VLOOKUP($HO$1,'Datos Iniciales'!$E$34:$O$64,HW$158,FALSE())*HW93</f>
        <v>0</v>
      </c>
      <c r="HX191" s="196" t="n">
        <f aca="false">VLOOKUP($HO$1,'Datos Iniciales'!$E$34:$O$64,HX$158,FALSE())*HX93</f>
        <v>0</v>
      </c>
      <c r="HY191" s="197" t="n">
        <f aca="false">VLOOKUP($HO$1,'Datos Iniciales'!$E$34:$O$64,HY$158,FALSE())*HY93</f>
        <v>0</v>
      </c>
      <c r="HZ191" s="194" t="str">
        <f aca="false">HO191</f>
        <v>Alumno32</v>
      </c>
      <c r="IA191" s="208" t="n">
        <f aca="false">VLOOKUP($HZ$1,'Datos Iniciales'!$E$34:$O$64,IA$158,FALSE())*IA93</f>
        <v>0</v>
      </c>
      <c r="IB191" s="196" t="n">
        <f aca="false">VLOOKUP($HZ$1,'Datos Iniciales'!$E$34:$O$64,IB$158,FALSE())*IB93</f>
        <v>0</v>
      </c>
      <c r="IC191" s="196" t="n">
        <f aca="false">VLOOKUP($HZ$1,'Datos Iniciales'!$E$34:$O$64,IC$158,FALSE())*IC93</f>
        <v>0</v>
      </c>
      <c r="ID191" s="196" t="n">
        <f aca="false">VLOOKUP($HZ$1,'Datos Iniciales'!$E$34:$O$64,ID$158,FALSE())*ID93</f>
        <v>0</v>
      </c>
      <c r="IE191" s="196" t="n">
        <f aca="false">VLOOKUP($HZ$1,'Datos Iniciales'!$E$34:$O$64,IE$158,FALSE())*IE93</f>
        <v>0</v>
      </c>
      <c r="IF191" s="196" t="n">
        <f aca="false">VLOOKUP($HZ$1,'Datos Iniciales'!$E$34:$O$64,IF$158,FALSE())*IF93</f>
        <v>0</v>
      </c>
      <c r="IG191" s="196" t="n">
        <f aca="false">VLOOKUP($HZ$1,'Datos Iniciales'!$E$34:$O$64,IG$158,FALSE())*IG93</f>
        <v>0</v>
      </c>
      <c r="IH191" s="196" t="n">
        <f aca="false">VLOOKUP($HZ$1,'Datos Iniciales'!$E$34:$O$64,IH$158,FALSE())*IH93</f>
        <v>0</v>
      </c>
      <c r="II191" s="196" t="n">
        <f aca="false">VLOOKUP($HZ$1,'Datos Iniciales'!$E$34:$O$64,II$158,FALSE())*II93</f>
        <v>0</v>
      </c>
      <c r="IJ191" s="197" t="n">
        <f aca="false">VLOOKUP($HZ$1,'Datos Iniciales'!$E$34:$O$64,IJ$158,FALSE())*IJ93</f>
        <v>0</v>
      </c>
      <c r="IK191" s="194" t="str">
        <f aca="false">HZ191</f>
        <v>Alumno32</v>
      </c>
      <c r="IL191" s="208" t="n">
        <f aca="false">VLOOKUP($IK$1,'Datos Iniciales'!$E$34:$O$64,IL$158,FALSE())*IL93</f>
        <v>0</v>
      </c>
      <c r="IM191" s="196" t="n">
        <f aca="false">VLOOKUP($IK$1,'Datos Iniciales'!$E$34:$O$64,IM$158,FALSE())*IM93</f>
        <v>0</v>
      </c>
      <c r="IN191" s="196" t="n">
        <f aca="false">VLOOKUP($IK$1,'Datos Iniciales'!$E$34:$O$64,IN$158,FALSE())*IN93</f>
        <v>0</v>
      </c>
      <c r="IO191" s="196" t="n">
        <f aca="false">VLOOKUP($IK$1,'Datos Iniciales'!$E$34:$O$64,IO$158,FALSE())*IO93</f>
        <v>0</v>
      </c>
      <c r="IP191" s="196" t="n">
        <f aca="false">VLOOKUP($IK$1,'Datos Iniciales'!$E$34:$O$64,IP$158,FALSE())*IP93</f>
        <v>0</v>
      </c>
      <c r="IQ191" s="196" t="n">
        <f aca="false">VLOOKUP($IK$1,'Datos Iniciales'!$E$34:$O$64,IQ$158,FALSE())*IQ93</f>
        <v>0</v>
      </c>
      <c r="IR191" s="196" t="n">
        <f aca="false">VLOOKUP($IK$1,'Datos Iniciales'!$E$34:$O$64,IR$158,FALSE())*IR93</f>
        <v>0</v>
      </c>
      <c r="IS191" s="196" t="n">
        <f aca="false">VLOOKUP($IK$1,'Datos Iniciales'!$E$34:$O$64,IS$158,FALSE())*IS93</f>
        <v>0</v>
      </c>
      <c r="IT191" s="196" t="n">
        <f aca="false">VLOOKUP($IK$1,'Datos Iniciales'!$E$34:$O$64,IT$158,FALSE())*IT93</f>
        <v>0</v>
      </c>
      <c r="IU191" s="197" t="n">
        <f aca="false">VLOOKUP($IK$1,'Datos Iniciales'!$E$34:$O$64,IU$158,FALSE())*IU93</f>
        <v>0</v>
      </c>
      <c r="IV191" s="194" t="str">
        <f aca="false">IK191</f>
        <v>Alumno32</v>
      </c>
      <c r="IW191" s="208" t="n">
        <f aca="false">VLOOKUP($IV$1,'Datos Iniciales'!$E$34:$O$64,IW$158,FALSE())*IW93</f>
        <v>0</v>
      </c>
      <c r="IX191" s="196" t="n">
        <f aca="false">VLOOKUP($IV$1,'Datos Iniciales'!$E$34:$O$64,IX$158,FALSE())*IX93</f>
        <v>0</v>
      </c>
      <c r="IY191" s="196" t="n">
        <f aca="false">VLOOKUP($IV$1,'Datos Iniciales'!$E$34:$O$64,IY$158,FALSE())*IY93</f>
        <v>0</v>
      </c>
      <c r="IZ191" s="196" t="n">
        <f aca="false">VLOOKUP($IV$1,'Datos Iniciales'!$E$34:$O$64,IZ$158,FALSE())*IZ93</f>
        <v>0</v>
      </c>
      <c r="JA191" s="196" t="n">
        <f aca="false">VLOOKUP($IV$1,'Datos Iniciales'!$E$34:$O$64,JA$158,FALSE())*JA93</f>
        <v>0</v>
      </c>
      <c r="JB191" s="196" t="n">
        <f aca="false">VLOOKUP($IV$1,'Datos Iniciales'!$E$34:$O$64,JB$158,FALSE())*JB93</f>
        <v>0</v>
      </c>
      <c r="JC191" s="196" t="n">
        <f aca="false">VLOOKUP($IV$1,'Datos Iniciales'!$E$34:$O$64,JC$158,FALSE())*JC93</f>
        <v>0</v>
      </c>
      <c r="JD191" s="196" t="n">
        <f aca="false">VLOOKUP($IV$1,'Datos Iniciales'!$E$34:$O$64,JD$158,FALSE())*JD93</f>
        <v>0</v>
      </c>
      <c r="JE191" s="196" t="n">
        <f aca="false">VLOOKUP($IV$1,'Datos Iniciales'!$E$34:$O$64,JE$158,FALSE())*JE93</f>
        <v>0</v>
      </c>
      <c r="JF191" s="197" t="n">
        <f aca="false">VLOOKUP($IV$1,'Datos Iniciales'!$E$34:$O$64,JF$158,FALSE())*JF93</f>
        <v>0</v>
      </c>
      <c r="JG191" s="194" t="str">
        <f aca="false">IV191</f>
        <v>Alumno32</v>
      </c>
      <c r="JH191" s="208" t="n">
        <f aca="false">VLOOKUP($JG$1,'Datos Iniciales'!$E$34:$O$64,JH$158,FALSE())*JH93</f>
        <v>0</v>
      </c>
      <c r="JI191" s="196" t="n">
        <f aca="false">VLOOKUP($JG$1,'Datos Iniciales'!$E$34:$O$64,JI$158,FALSE())*JI93</f>
        <v>0</v>
      </c>
      <c r="JJ191" s="196" t="n">
        <f aca="false">VLOOKUP($JG$1,'Datos Iniciales'!$E$34:$O$64,JJ$158,FALSE())*JJ93</f>
        <v>0</v>
      </c>
      <c r="JK191" s="196" t="n">
        <f aca="false">VLOOKUP($JG$1,'Datos Iniciales'!$E$34:$O$64,JK$158,FALSE())*JK93</f>
        <v>0</v>
      </c>
      <c r="JL191" s="196" t="n">
        <f aca="false">VLOOKUP($JG$1,'Datos Iniciales'!$E$34:$O$64,JL$158,FALSE())*JL93</f>
        <v>0</v>
      </c>
      <c r="JM191" s="196" t="n">
        <f aca="false">VLOOKUP($JG$1,'Datos Iniciales'!$E$34:$O$64,JM$158,FALSE())*JM93</f>
        <v>0</v>
      </c>
      <c r="JN191" s="196" t="n">
        <f aca="false">VLOOKUP($JG$1,'Datos Iniciales'!$E$34:$O$64,JN$158,FALSE())*JN93</f>
        <v>0</v>
      </c>
      <c r="JO191" s="196" t="n">
        <f aca="false">VLOOKUP($JG$1,'Datos Iniciales'!$E$34:$O$64,JO$158,FALSE())*JO93</f>
        <v>0</v>
      </c>
      <c r="JP191" s="196" t="n">
        <f aca="false">VLOOKUP($JG$1,'Datos Iniciales'!$E$34:$O$64,JP$158,FALSE())*JP93</f>
        <v>0</v>
      </c>
      <c r="JQ191" s="197" t="n">
        <f aca="false">VLOOKUP($JG$1,'Datos Iniciales'!$E$34:$O$64,JQ$158,FALSE())*JQ93</f>
        <v>0</v>
      </c>
      <c r="JR191" s="194" t="str">
        <f aca="false">JG191</f>
        <v>Alumno32</v>
      </c>
      <c r="JS191" s="208" t="n">
        <f aca="false">VLOOKUP($JR$1,'Datos Iniciales'!$E$34:$O$64,JS$158,FALSE())*JS93</f>
        <v>0</v>
      </c>
      <c r="JT191" s="196" t="n">
        <f aca="false">VLOOKUP($JR$1,'Datos Iniciales'!$E$34:$O$64,JT$158,FALSE())*JT93</f>
        <v>0</v>
      </c>
      <c r="JU191" s="196" t="n">
        <f aca="false">VLOOKUP($JR$1,'Datos Iniciales'!$E$34:$O$64,JU$158,FALSE())*JU93</f>
        <v>0</v>
      </c>
      <c r="JV191" s="196" t="n">
        <f aca="false">VLOOKUP($JR$1,'Datos Iniciales'!$E$34:$O$64,JV$158,FALSE())*JV93</f>
        <v>0</v>
      </c>
      <c r="JW191" s="196" t="n">
        <f aca="false">VLOOKUP($JR$1,'Datos Iniciales'!$E$34:$O$64,JW$158,FALSE())*JW93</f>
        <v>0</v>
      </c>
      <c r="JX191" s="196" t="n">
        <f aca="false">VLOOKUP($JR$1,'Datos Iniciales'!$E$34:$O$64,JX$158,FALSE())*JX93</f>
        <v>0</v>
      </c>
      <c r="JY191" s="196" t="n">
        <f aca="false">VLOOKUP($JR$1,'Datos Iniciales'!$E$34:$O$64,JY$158,FALSE())*JY93</f>
        <v>0</v>
      </c>
      <c r="JZ191" s="196" t="n">
        <f aca="false">VLOOKUP($JR$1,'Datos Iniciales'!$E$34:$O$64,JZ$158,FALSE())*JZ93</f>
        <v>0</v>
      </c>
      <c r="KA191" s="196" t="n">
        <f aca="false">VLOOKUP($JR$1,'Datos Iniciales'!$E$34:$O$64,KA$158,FALSE())*KA93</f>
        <v>0</v>
      </c>
      <c r="KB191" s="197" t="n">
        <f aca="false">VLOOKUP($JR$1,'Datos Iniciales'!$E$34:$O$64,KB$158,FALSE())*KB93</f>
        <v>0</v>
      </c>
      <c r="KC191" s="194" t="str">
        <f aca="false">JR191</f>
        <v>Alumno32</v>
      </c>
      <c r="KD191" s="208" t="n">
        <f aca="false">VLOOKUP($KC$1,'Datos Iniciales'!$E$34:$O$64,KD$158,FALSE())*KD93</f>
        <v>0</v>
      </c>
      <c r="KE191" s="196" t="n">
        <f aca="false">VLOOKUP($KC$1,'Datos Iniciales'!$E$34:$O$64,KE$158,FALSE())*KE93</f>
        <v>0</v>
      </c>
      <c r="KF191" s="196" t="n">
        <f aca="false">VLOOKUP($KC$1,'Datos Iniciales'!$E$34:$O$64,KF$158,FALSE())*KF93</f>
        <v>0</v>
      </c>
      <c r="KG191" s="196" t="n">
        <f aca="false">VLOOKUP($KC$1,'Datos Iniciales'!$E$34:$O$64,KG$158,FALSE())*KG93</f>
        <v>0</v>
      </c>
      <c r="KH191" s="196" t="n">
        <f aca="false">VLOOKUP($KC$1,'Datos Iniciales'!$E$34:$O$64,KH$158,FALSE())*KH93</f>
        <v>0</v>
      </c>
      <c r="KI191" s="196" t="n">
        <f aca="false">VLOOKUP($KC$1,'Datos Iniciales'!$E$34:$O$64,KI$158,FALSE())*KI93</f>
        <v>0</v>
      </c>
      <c r="KJ191" s="196" t="n">
        <f aca="false">VLOOKUP($KC$1,'Datos Iniciales'!$E$34:$O$64,KJ$158,FALSE())*KJ93</f>
        <v>0</v>
      </c>
      <c r="KK191" s="196" t="n">
        <f aca="false">VLOOKUP($KC$1,'Datos Iniciales'!$E$34:$O$64,KK$158,FALSE())*KK93</f>
        <v>0</v>
      </c>
      <c r="KL191" s="196" t="n">
        <f aca="false">VLOOKUP($KC$1,'Datos Iniciales'!$E$34:$O$64,KL$158,FALSE())*KL93</f>
        <v>0</v>
      </c>
      <c r="KM191" s="197" t="n">
        <f aca="false">VLOOKUP($KC$1,'Datos Iniciales'!$E$34:$O$64,KM$158,FALSE())*KM93</f>
        <v>0</v>
      </c>
      <c r="KN191" s="194" t="str">
        <f aca="false">KC191</f>
        <v>Alumno32</v>
      </c>
      <c r="KO191" s="208" t="n">
        <f aca="false">VLOOKUP($KN$1,'Datos Iniciales'!$E$34:$O$64,KO$158,FALSE())*KO93</f>
        <v>0</v>
      </c>
      <c r="KP191" s="196" t="n">
        <f aca="false">VLOOKUP($KN$1,'Datos Iniciales'!$E$34:$O$64,KP$158,FALSE())*KP93</f>
        <v>0</v>
      </c>
      <c r="KQ191" s="196" t="n">
        <f aca="false">VLOOKUP($KN$1,'Datos Iniciales'!$E$34:$O$64,KQ$158,FALSE())*KQ93</f>
        <v>0</v>
      </c>
      <c r="KR191" s="196" t="n">
        <f aca="false">VLOOKUP($KN$1,'Datos Iniciales'!$E$34:$O$64,KR$158,FALSE())*KR93</f>
        <v>0</v>
      </c>
      <c r="KS191" s="196" t="n">
        <f aca="false">VLOOKUP($KN$1,'Datos Iniciales'!$E$34:$O$64,KS$158,FALSE())*KS93</f>
        <v>0</v>
      </c>
      <c r="KT191" s="196" t="n">
        <f aca="false">VLOOKUP($KN$1,'Datos Iniciales'!$E$34:$O$64,KT$158,FALSE())*KT93</f>
        <v>0</v>
      </c>
      <c r="KU191" s="196" t="n">
        <f aca="false">VLOOKUP($KN$1,'Datos Iniciales'!$E$34:$O$64,KU$158,FALSE())*KU93</f>
        <v>0</v>
      </c>
      <c r="KV191" s="196" t="n">
        <f aca="false">VLOOKUP($KN$1,'Datos Iniciales'!$E$34:$O$64,KV$158,FALSE())*KV93</f>
        <v>0</v>
      </c>
      <c r="KW191" s="196" t="n">
        <f aca="false">VLOOKUP($KN$1,'Datos Iniciales'!$E$34:$O$64,KW$158,FALSE())*KW93</f>
        <v>0</v>
      </c>
      <c r="KX191" s="197" t="n">
        <f aca="false">VLOOKUP($KN$1,'Datos Iniciales'!$E$34:$O$64,KX$158,FALSE())*KX93</f>
        <v>0</v>
      </c>
      <c r="KY191" s="194" t="str">
        <f aca="false">KN191</f>
        <v>Alumno32</v>
      </c>
      <c r="KZ191" s="208" t="n">
        <f aca="false">VLOOKUP($KY$1,'Datos Iniciales'!$E$34:$O$64,KZ$158,FALSE())*KZ93</f>
        <v>0</v>
      </c>
      <c r="LA191" s="196" t="n">
        <f aca="false">VLOOKUP($KY$1,'Datos Iniciales'!$E$34:$O$64,LA$158,FALSE())*LA93</f>
        <v>0</v>
      </c>
      <c r="LB191" s="196" t="n">
        <f aca="false">VLOOKUP($KY$1,'Datos Iniciales'!$E$34:$O$64,LB$158,FALSE())*LB93</f>
        <v>0</v>
      </c>
      <c r="LC191" s="196" t="n">
        <f aca="false">VLOOKUP($KY$1,'Datos Iniciales'!$E$34:$O$64,LC$158,FALSE())*LC93</f>
        <v>0</v>
      </c>
      <c r="LD191" s="196" t="n">
        <f aca="false">VLOOKUP($KY$1,'Datos Iniciales'!$E$34:$O$64,LD$158,FALSE())*LD93</f>
        <v>0</v>
      </c>
      <c r="LE191" s="196" t="n">
        <f aca="false">VLOOKUP($KY$1,'Datos Iniciales'!$E$34:$O$64,LE$158,FALSE())*LE93</f>
        <v>0</v>
      </c>
      <c r="LF191" s="196" t="n">
        <f aca="false">VLOOKUP($KY$1,'Datos Iniciales'!$E$34:$O$64,LF$158,FALSE())*LF93</f>
        <v>0</v>
      </c>
      <c r="LG191" s="196" t="n">
        <f aca="false">VLOOKUP($KY$1,'Datos Iniciales'!$E$34:$O$64,LG$158,FALSE())*LG93</f>
        <v>0</v>
      </c>
      <c r="LH191" s="196" t="n">
        <f aca="false">VLOOKUP($KY$1,'Datos Iniciales'!$E$34:$O$64,LH$158,FALSE())*LH93</f>
        <v>0</v>
      </c>
      <c r="LI191" s="197" t="n">
        <f aca="false">VLOOKUP($KY$1,'Datos Iniciales'!$E$34:$O$64,LI$158,FALSE())*LI93</f>
        <v>0</v>
      </c>
      <c r="LJ191" s="194" t="str">
        <f aca="false">KY191</f>
        <v>Alumno32</v>
      </c>
      <c r="LK191" s="208" t="n">
        <f aca="false">VLOOKUP($LJ$1,'Datos Iniciales'!$E$34:$O$64,LK$158,FALSE())*LK93</f>
        <v>0</v>
      </c>
      <c r="LL191" s="196" t="n">
        <f aca="false">VLOOKUP($LJ$1,'Datos Iniciales'!$E$34:$O$64,LL$158,FALSE())*LL93</f>
        <v>0</v>
      </c>
      <c r="LM191" s="196" t="n">
        <f aca="false">VLOOKUP($LJ$1,'Datos Iniciales'!$E$34:$O$64,LM$158,FALSE())*LM93</f>
        <v>0</v>
      </c>
      <c r="LN191" s="196" t="n">
        <f aca="false">VLOOKUP($LJ$1,'Datos Iniciales'!$E$34:$O$64,LN$158,FALSE())*LN93</f>
        <v>0</v>
      </c>
      <c r="LO191" s="196" t="n">
        <f aca="false">VLOOKUP($LJ$1,'Datos Iniciales'!$E$34:$O$64,LO$158,FALSE())*LO93</f>
        <v>0</v>
      </c>
      <c r="LP191" s="196" t="n">
        <f aca="false">VLOOKUP($LJ$1,'Datos Iniciales'!$E$34:$O$64,LP$158,FALSE())*LP93</f>
        <v>0</v>
      </c>
      <c r="LQ191" s="196" t="n">
        <f aca="false">VLOOKUP($LJ$1,'Datos Iniciales'!$E$34:$O$64,LQ$158,FALSE())*LQ93</f>
        <v>0</v>
      </c>
      <c r="LR191" s="196" t="n">
        <f aca="false">VLOOKUP($LJ$1,'Datos Iniciales'!$E$34:$O$64,LR$158,FALSE())*LR93</f>
        <v>0</v>
      </c>
      <c r="LS191" s="196" t="n">
        <f aca="false">VLOOKUP($LJ$1,'Datos Iniciales'!$E$34:$O$64,LS$158,FALSE())*LS93</f>
        <v>0</v>
      </c>
      <c r="LT191" s="197" t="n">
        <f aca="false">VLOOKUP($LJ$1,'Datos Iniciales'!$E$34:$O$64,LT$158,FALSE())*LT93</f>
        <v>0</v>
      </c>
    </row>
    <row r="192" customFormat="false" ht="15" hidden="true" customHeight="false" outlineLevel="0" collapsed="false">
      <c r="C192" s="194" t="str">
        <f aca="false">C143</f>
        <v>Alumno33</v>
      </c>
      <c r="D192" s="208" t="n">
        <f aca="false">VLOOKUP($C$1,'Datos Iniciales'!$E$34:$O$64,D$158,FALSE())*D94</f>
        <v>0</v>
      </c>
      <c r="E192" s="196" t="n">
        <f aca="false">VLOOKUP($C$1,'Datos Iniciales'!$E$34:$O$64,E$158,FALSE())*E94</f>
        <v>0</v>
      </c>
      <c r="F192" s="196" t="n">
        <f aca="false">VLOOKUP($C$1,'Datos Iniciales'!$E$34:$O$64,F$158,FALSE())*F94</f>
        <v>0</v>
      </c>
      <c r="G192" s="196" t="n">
        <f aca="false">VLOOKUP($C$1,'Datos Iniciales'!$E$34:$O$64,G$158,FALSE())*G94</f>
        <v>0</v>
      </c>
      <c r="H192" s="196" t="n">
        <f aca="false">VLOOKUP($C$1,'Datos Iniciales'!$E$34:$O$64,H$158,FALSE())*H94</f>
        <v>0</v>
      </c>
      <c r="I192" s="196" t="n">
        <f aca="false">VLOOKUP($C$1,'Datos Iniciales'!$E$34:$O$64,I$158,FALSE())*I94</f>
        <v>0</v>
      </c>
      <c r="J192" s="196" t="n">
        <f aca="false">VLOOKUP($C$1,'Datos Iniciales'!$E$34:$O$64,J$158,FALSE())*J94</f>
        <v>0</v>
      </c>
      <c r="K192" s="196" t="n">
        <f aca="false">VLOOKUP($C$1,'Datos Iniciales'!$E$34:$O$64,K$158,FALSE())*K94</f>
        <v>0</v>
      </c>
      <c r="L192" s="196" t="n">
        <f aca="false">VLOOKUP($C$1,'Datos Iniciales'!$E$34:$O$64,L$158,FALSE())*L94</f>
        <v>0</v>
      </c>
      <c r="M192" s="197" t="n">
        <f aca="false">VLOOKUP($C$1,'Datos Iniciales'!$E$34:$O$64,M$158,FALSE())*M94</f>
        <v>0</v>
      </c>
      <c r="N192" s="194" t="str">
        <f aca="false">C192</f>
        <v>Alumno33</v>
      </c>
      <c r="O192" s="208" t="n">
        <f aca="false">VLOOKUP($N$1,'Datos Iniciales'!$E$34:$O$64,O$158,FALSE())*O94</f>
        <v>0</v>
      </c>
      <c r="P192" s="196" t="n">
        <f aca="false">VLOOKUP($N$1,'Datos Iniciales'!$E$34:$O$64,P$158,FALSE())*P94</f>
        <v>0</v>
      </c>
      <c r="Q192" s="196" t="n">
        <f aca="false">VLOOKUP($N$1,'Datos Iniciales'!$E$34:$O$64,Q$158,FALSE())*Q94</f>
        <v>0</v>
      </c>
      <c r="R192" s="196" t="n">
        <f aca="false">VLOOKUP($N$1,'Datos Iniciales'!$E$34:$O$64,R$158,FALSE())*R94</f>
        <v>0</v>
      </c>
      <c r="S192" s="196" t="n">
        <f aca="false">VLOOKUP($N$1,'Datos Iniciales'!$E$34:$O$64,S$158,FALSE())*S94</f>
        <v>0</v>
      </c>
      <c r="T192" s="196" t="n">
        <f aca="false">VLOOKUP($N$1,'Datos Iniciales'!$E$34:$O$64,T$158,FALSE())*T94</f>
        <v>0</v>
      </c>
      <c r="U192" s="196" t="n">
        <f aca="false">VLOOKUP($N$1,'Datos Iniciales'!$E$34:$O$64,U$158,FALSE())*U94</f>
        <v>0</v>
      </c>
      <c r="V192" s="196" t="n">
        <f aca="false">VLOOKUP($N$1,'Datos Iniciales'!$E$34:$O$64,V$158,FALSE())*V94</f>
        <v>0</v>
      </c>
      <c r="W192" s="196" t="n">
        <f aca="false">VLOOKUP($N$1,'Datos Iniciales'!$E$34:$O$64,W$158,FALSE())*W94</f>
        <v>0</v>
      </c>
      <c r="X192" s="197" t="n">
        <f aca="false">VLOOKUP($N$1,'Datos Iniciales'!$E$34:$O$64,X$158,FALSE())*X94</f>
        <v>0</v>
      </c>
      <c r="Y192" s="194" t="str">
        <f aca="false">N192</f>
        <v>Alumno33</v>
      </c>
      <c r="Z192" s="208" t="n">
        <f aca="false">VLOOKUP($Y$1,'Datos Iniciales'!$E$34:$O$64,Z$158,FALSE())*Z94</f>
        <v>0</v>
      </c>
      <c r="AA192" s="196" t="n">
        <f aca="false">VLOOKUP($Y$1,'Datos Iniciales'!$E$34:$O$64,AA$158,FALSE())*AA94</f>
        <v>0</v>
      </c>
      <c r="AB192" s="196" t="n">
        <f aca="false">VLOOKUP($Y$1,'Datos Iniciales'!$E$34:$O$64,AB$158,FALSE())*AB94</f>
        <v>0</v>
      </c>
      <c r="AC192" s="196" t="n">
        <f aca="false">VLOOKUP($Y$1,'Datos Iniciales'!$E$34:$O$64,AC$158,FALSE())*AC94</f>
        <v>0</v>
      </c>
      <c r="AD192" s="196" t="n">
        <f aca="false">VLOOKUP($Y$1,'Datos Iniciales'!$E$34:$O$64,AD$158,FALSE())*AD94</f>
        <v>0</v>
      </c>
      <c r="AE192" s="196" t="n">
        <f aca="false">VLOOKUP($Y$1,'Datos Iniciales'!$E$34:$O$64,AE$158,FALSE())*AE94</f>
        <v>0</v>
      </c>
      <c r="AF192" s="196" t="n">
        <f aca="false">VLOOKUP($Y$1,'Datos Iniciales'!$E$34:$O$64,AF$158,FALSE())*AF94</f>
        <v>0</v>
      </c>
      <c r="AG192" s="196" t="n">
        <f aca="false">VLOOKUP($Y$1,'Datos Iniciales'!$E$34:$O$64,AG$158,FALSE())*AG94</f>
        <v>0</v>
      </c>
      <c r="AH192" s="196" t="n">
        <f aca="false">VLOOKUP($Y$1,'Datos Iniciales'!$E$34:$O$64,AH$158,FALSE())*AH94</f>
        <v>0</v>
      </c>
      <c r="AI192" s="197" t="n">
        <f aca="false">VLOOKUP($Y$1,'Datos Iniciales'!$E$34:$O$64,AI$158,FALSE())*AI94</f>
        <v>0</v>
      </c>
      <c r="AJ192" s="194" t="str">
        <f aca="false">Y192</f>
        <v>Alumno33</v>
      </c>
      <c r="AK192" s="208" t="n">
        <f aca="false">VLOOKUP($AJ$1,'Datos Iniciales'!$E$34:$O$64,AK$158,FALSE())*AK94</f>
        <v>0</v>
      </c>
      <c r="AL192" s="196" t="n">
        <f aca="false">VLOOKUP($AJ$1,'Datos Iniciales'!$E$34:$O$64,AL$158,FALSE())*AL94</f>
        <v>0</v>
      </c>
      <c r="AM192" s="196" t="n">
        <f aca="false">VLOOKUP($AJ$1,'Datos Iniciales'!$E$34:$O$64,AM$158,FALSE())*AM94</f>
        <v>0</v>
      </c>
      <c r="AN192" s="196" t="n">
        <f aca="false">VLOOKUP($AJ$1,'Datos Iniciales'!$E$34:$O$64,AN$158,FALSE())*AN94</f>
        <v>0</v>
      </c>
      <c r="AO192" s="196" t="n">
        <f aca="false">VLOOKUP($AJ$1,'Datos Iniciales'!$E$34:$O$64,AO$158,FALSE())*AO94</f>
        <v>0</v>
      </c>
      <c r="AP192" s="196" t="n">
        <f aca="false">VLOOKUP($AJ$1,'Datos Iniciales'!$E$34:$O$64,AP$158,FALSE())*AP94</f>
        <v>0</v>
      </c>
      <c r="AQ192" s="196" t="n">
        <f aca="false">VLOOKUP($AJ$1,'Datos Iniciales'!$E$34:$O$64,AQ$158,FALSE())*AQ94</f>
        <v>0</v>
      </c>
      <c r="AR192" s="196" t="n">
        <f aca="false">VLOOKUP($AJ$1,'Datos Iniciales'!$E$34:$O$64,AR$158,FALSE())*AR94</f>
        <v>0</v>
      </c>
      <c r="AS192" s="196" t="n">
        <f aca="false">VLOOKUP($AJ$1,'Datos Iniciales'!$E$34:$O$64,AS$158,FALSE())*AS94</f>
        <v>0</v>
      </c>
      <c r="AT192" s="197" t="n">
        <f aca="false">VLOOKUP($AJ$1,'Datos Iniciales'!$E$34:$O$64,AT$158,FALSE())*AT94</f>
        <v>0</v>
      </c>
      <c r="AU192" s="194" t="str">
        <f aca="false">AJ192</f>
        <v>Alumno33</v>
      </c>
      <c r="AV192" s="208" t="n">
        <f aca="false">VLOOKUP($AU$1,'Datos Iniciales'!$E$34:$O$64,AV$158,FALSE())*AV94</f>
        <v>0</v>
      </c>
      <c r="AW192" s="196" t="n">
        <f aca="false">VLOOKUP($AU$1,'Datos Iniciales'!$E$34:$O$64,AW$158,FALSE())*AW94</f>
        <v>0</v>
      </c>
      <c r="AX192" s="196" t="n">
        <f aca="false">VLOOKUP($AU$1,'Datos Iniciales'!$E$34:$O$64,AX$158,FALSE())*AX94</f>
        <v>0</v>
      </c>
      <c r="AY192" s="196" t="n">
        <f aca="false">VLOOKUP($AU$1,'Datos Iniciales'!$E$34:$O$64,AY$158,FALSE())*AY94</f>
        <v>0</v>
      </c>
      <c r="AZ192" s="196" t="n">
        <f aca="false">VLOOKUP($AU$1,'Datos Iniciales'!$E$34:$O$64,AZ$158,FALSE())*AZ94</f>
        <v>0</v>
      </c>
      <c r="BA192" s="196" t="n">
        <f aca="false">VLOOKUP($AU$1,'Datos Iniciales'!$E$34:$O$64,BA$158,FALSE())*BA94</f>
        <v>0</v>
      </c>
      <c r="BB192" s="196" t="n">
        <f aca="false">VLOOKUP($AU$1,'Datos Iniciales'!$E$34:$O$64,BB$158,FALSE())*BB94</f>
        <v>0</v>
      </c>
      <c r="BC192" s="196" t="n">
        <f aca="false">VLOOKUP($AU$1,'Datos Iniciales'!$E$34:$O$64,BC$158,FALSE())*BC94</f>
        <v>0</v>
      </c>
      <c r="BD192" s="196" t="n">
        <f aca="false">VLOOKUP($AU$1,'Datos Iniciales'!$E$34:$O$64,BD$158,FALSE())*BD94</f>
        <v>0</v>
      </c>
      <c r="BE192" s="197" t="n">
        <f aca="false">VLOOKUP($AU$1,'Datos Iniciales'!$E$34:$O$64,BE$158,FALSE())*BE94</f>
        <v>0</v>
      </c>
      <c r="BF192" s="194" t="str">
        <f aca="false">AU192</f>
        <v>Alumno33</v>
      </c>
      <c r="BG192" s="208" t="n">
        <f aca="false">VLOOKUP($BF$1,'Datos Iniciales'!$E$34:$O$64,BG$158,FALSE())*BG94</f>
        <v>0</v>
      </c>
      <c r="BH192" s="196" t="n">
        <f aca="false">VLOOKUP($BF$1,'Datos Iniciales'!$E$34:$O$64,BH$158,FALSE())*BH94</f>
        <v>0</v>
      </c>
      <c r="BI192" s="196" t="n">
        <f aca="false">VLOOKUP($BF$1,'Datos Iniciales'!$E$34:$O$64,BI$158,FALSE())*BI94</f>
        <v>0</v>
      </c>
      <c r="BJ192" s="196" t="n">
        <f aca="false">VLOOKUP($BF$1,'Datos Iniciales'!$E$34:$O$64,BJ$158,FALSE())*BJ94</f>
        <v>0</v>
      </c>
      <c r="BK192" s="196" t="n">
        <f aca="false">VLOOKUP($BF$1,'Datos Iniciales'!$E$34:$O$64,BK$158,FALSE())*BK94</f>
        <v>0</v>
      </c>
      <c r="BL192" s="196" t="n">
        <f aca="false">VLOOKUP($BF$1,'Datos Iniciales'!$E$34:$O$64,BL$158,FALSE())*BL94</f>
        <v>0</v>
      </c>
      <c r="BM192" s="196" t="n">
        <f aca="false">VLOOKUP($BF$1,'Datos Iniciales'!$E$34:$O$64,BM$158,FALSE())*BM94</f>
        <v>0</v>
      </c>
      <c r="BN192" s="196" t="n">
        <f aca="false">VLOOKUP($BF$1,'Datos Iniciales'!$E$34:$O$64,BN$158,FALSE())*BN94</f>
        <v>0</v>
      </c>
      <c r="BO192" s="196" t="n">
        <f aca="false">VLOOKUP($BF$1,'Datos Iniciales'!$E$34:$O$64,BO$158,FALSE())*BO94</f>
        <v>0</v>
      </c>
      <c r="BP192" s="197" t="n">
        <f aca="false">VLOOKUP($BF$1,'Datos Iniciales'!$E$34:$O$64,BP$158,FALSE())*BP94</f>
        <v>0</v>
      </c>
      <c r="BQ192" s="194" t="str">
        <f aca="false">BF192</f>
        <v>Alumno33</v>
      </c>
      <c r="BR192" s="208" t="n">
        <f aca="false">VLOOKUP($BQ$1,'Datos Iniciales'!$E$34:$O$64,BR$158,FALSE())*BR94</f>
        <v>0</v>
      </c>
      <c r="BS192" s="196" t="n">
        <f aca="false">VLOOKUP($BQ$1,'Datos Iniciales'!$E$34:$O$64,BS$158,FALSE())*BS94</f>
        <v>0</v>
      </c>
      <c r="BT192" s="196" t="n">
        <f aca="false">VLOOKUP($BQ$1,'Datos Iniciales'!$E$34:$O$64,BT$158,FALSE())*BT94</f>
        <v>0</v>
      </c>
      <c r="BU192" s="196" t="n">
        <f aca="false">VLOOKUP($BQ$1,'Datos Iniciales'!$E$34:$O$64,BU$158,FALSE())*BU94</f>
        <v>0</v>
      </c>
      <c r="BV192" s="196" t="n">
        <f aca="false">VLOOKUP($BQ$1,'Datos Iniciales'!$E$34:$O$64,BV$158,FALSE())*BV94</f>
        <v>0</v>
      </c>
      <c r="BW192" s="196" t="n">
        <f aca="false">VLOOKUP($BQ$1,'Datos Iniciales'!$E$34:$O$64,BW$158,FALSE())*BW94</f>
        <v>0</v>
      </c>
      <c r="BX192" s="196" t="n">
        <f aca="false">VLOOKUP($BQ$1,'Datos Iniciales'!$E$34:$O$64,BX$158,FALSE())*BX94</f>
        <v>0</v>
      </c>
      <c r="BY192" s="196" t="n">
        <f aca="false">VLOOKUP($BQ$1,'Datos Iniciales'!$E$34:$O$64,BY$158,FALSE())*BY94</f>
        <v>0</v>
      </c>
      <c r="BZ192" s="196" t="n">
        <f aca="false">VLOOKUP($BQ$1,'Datos Iniciales'!$E$34:$O$64,BZ$158,FALSE())*BZ94</f>
        <v>0</v>
      </c>
      <c r="CA192" s="197" t="n">
        <f aca="false">VLOOKUP($BQ$1,'Datos Iniciales'!$E$34:$O$64,CA$158,FALSE())*CA94</f>
        <v>0</v>
      </c>
      <c r="CB192" s="194" t="str">
        <f aca="false">BQ192</f>
        <v>Alumno33</v>
      </c>
      <c r="CC192" s="208" t="n">
        <f aca="false">VLOOKUP($CB$1,'Datos Iniciales'!$E$34:$O$64,CC$158,FALSE())*CC94</f>
        <v>0</v>
      </c>
      <c r="CD192" s="196" t="n">
        <f aca="false">VLOOKUP($CB$1,'Datos Iniciales'!$E$34:$O$64,CD$158,FALSE())*CD94</f>
        <v>0</v>
      </c>
      <c r="CE192" s="196" t="n">
        <f aca="false">VLOOKUP($CB$1,'Datos Iniciales'!$E$34:$O$64,CE$158,FALSE())*CE94</f>
        <v>0</v>
      </c>
      <c r="CF192" s="196" t="n">
        <f aca="false">VLOOKUP($CB$1,'Datos Iniciales'!$E$34:$O$64,CF$158,FALSE())*CF94</f>
        <v>0</v>
      </c>
      <c r="CG192" s="196" t="n">
        <f aca="false">VLOOKUP($CB$1,'Datos Iniciales'!$E$34:$O$64,CG$158,FALSE())*CG94</f>
        <v>0</v>
      </c>
      <c r="CH192" s="196" t="n">
        <f aca="false">VLOOKUP($CB$1,'Datos Iniciales'!$E$34:$O$64,CH$158,FALSE())*CH94</f>
        <v>0</v>
      </c>
      <c r="CI192" s="196" t="n">
        <f aca="false">VLOOKUP($CB$1,'Datos Iniciales'!$E$34:$O$64,CI$158,FALSE())*CI94</f>
        <v>0</v>
      </c>
      <c r="CJ192" s="196" t="n">
        <f aca="false">VLOOKUP($CB$1,'Datos Iniciales'!$E$34:$O$64,CJ$158,FALSE())*CJ94</f>
        <v>0</v>
      </c>
      <c r="CK192" s="196" t="n">
        <f aca="false">VLOOKUP($CB$1,'Datos Iniciales'!$E$34:$O$64,CK$158,FALSE())*CK94</f>
        <v>0</v>
      </c>
      <c r="CL192" s="197" t="n">
        <f aca="false">VLOOKUP($CB$1,'Datos Iniciales'!$E$34:$O$64,CL$158,FALSE())*CL94</f>
        <v>0</v>
      </c>
      <c r="CM192" s="194" t="str">
        <f aca="false">CB192</f>
        <v>Alumno33</v>
      </c>
      <c r="CN192" s="208" t="n">
        <f aca="false">VLOOKUP($CM$1,'Datos Iniciales'!$E$34:$O$64,CN$158,FALSE())*CN94</f>
        <v>0</v>
      </c>
      <c r="CO192" s="196" t="n">
        <f aca="false">VLOOKUP($CM$1,'Datos Iniciales'!$E$34:$O$64,CO$158,FALSE())*CO94</f>
        <v>0</v>
      </c>
      <c r="CP192" s="196" t="n">
        <f aca="false">VLOOKUP($CM$1,'Datos Iniciales'!$E$34:$O$64,CP$158,FALSE())*CP94</f>
        <v>0</v>
      </c>
      <c r="CQ192" s="196" t="n">
        <f aca="false">VLOOKUP($CM$1,'Datos Iniciales'!$E$34:$O$64,CQ$158,FALSE())*CQ94</f>
        <v>0</v>
      </c>
      <c r="CR192" s="196" t="n">
        <f aca="false">VLOOKUP($CM$1,'Datos Iniciales'!$E$34:$O$64,CR$158,FALSE())*CR94</f>
        <v>0</v>
      </c>
      <c r="CS192" s="196" t="n">
        <f aca="false">VLOOKUP($CM$1,'Datos Iniciales'!$E$34:$O$64,CS$158,FALSE())*CS94</f>
        <v>0</v>
      </c>
      <c r="CT192" s="196" t="n">
        <f aca="false">VLOOKUP($CM$1,'Datos Iniciales'!$E$34:$O$64,CT$158,FALSE())*CT94</f>
        <v>0</v>
      </c>
      <c r="CU192" s="196" t="n">
        <f aca="false">VLOOKUP($CM$1,'Datos Iniciales'!$E$34:$O$64,CU$158,FALSE())*CU94</f>
        <v>0</v>
      </c>
      <c r="CV192" s="196" t="n">
        <f aca="false">VLOOKUP($CM$1,'Datos Iniciales'!$E$34:$O$64,CV$158,FALSE())*CV94</f>
        <v>0</v>
      </c>
      <c r="CW192" s="197" t="n">
        <f aca="false">VLOOKUP($CM$1,'Datos Iniciales'!$E$34:$O$64,CW$158,FALSE())*CW94</f>
        <v>0</v>
      </c>
      <c r="CX192" s="194" t="str">
        <f aca="false">CM192</f>
        <v>Alumno33</v>
      </c>
      <c r="CY192" s="208" t="n">
        <f aca="false">VLOOKUP($CX$1,'Datos Iniciales'!$E$34:$O$64,CY$158,FALSE())*CY94</f>
        <v>0</v>
      </c>
      <c r="CZ192" s="196" t="n">
        <f aca="false">VLOOKUP($CX$1,'Datos Iniciales'!$E$34:$O$64,CZ$158,FALSE())*CZ94</f>
        <v>0</v>
      </c>
      <c r="DA192" s="196" t="n">
        <f aca="false">VLOOKUP($CX$1,'Datos Iniciales'!$E$34:$O$64,DA$158,FALSE())*DA94</f>
        <v>0</v>
      </c>
      <c r="DB192" s="196" t="n">
        <f aca="false">VLOOKUP($CX$1,'Datos Iniciales'!$E$34:$O$64,DB$158,FALSE())*DB94</f>
        <v>0</v>
      </c>
      <c r="DC192" s="196" t="n">
        <f aca="false">VLOOKUP($CX$1,'Datos Iniciales'!$E$34:$O$64,DC$158,FALSE())*DC94</f>
        <v>0</v>
      </c>
      <c r="DD192" s="196" t="n">
        <f aca="false">VLOOKUP($CX$1,'Datos Iniciales'!$E$34:$O$64,DD$158,FALSE())*DD94</f>
        <v>0</v>
      </c>
      <c r="DE192" s="196" t="n">
        <f aca="false">VLOOKUP($CX$1,'Datos Iniciales'!$E$34:$O$64,DE$158,FALSE())*DE94</f>
        <v>0</v>
      </c>
      <c r="DF192" s="196" t="n">
        <f aca="false">VLOOKUP($CX$1,'Datos Iniciales'!$E$34:$O$64,DF$158,FALSE())*DF94</f>
        <v>0</v>
      </c>
      <c r="DG192" s="196" t="n">
        <f aca="false">VLOOKUP($CX$1,'Datos Iniciales'!$E$34:$O$64,DG$158,FALSE())*DG94</f>
        <v>0</v>
      </c>
      <c r="DH192" s="197" t="n">
        <f aca="false">VLOOKUP($CX$1,'Datos Iniciales'!$E$34:$O$64,DH$158,FALSE())*DH94</f>
        <v>0</v>
      </c>
      <c r="DI192" s="194" t="str">
        <f aca="false">CX192</f>
        <v>Alumno33</v>
      </c>
      <c r="DJ192" s="208" t="n">
        <f aca="false">VLOOKUP($DI$1,'Datos Iniciales'!$E$34:$O$64,DJ$158,FALSE())*DJ94</f>
        <v>0</v>
      </c>
      <c r="DK192" s="196" t="n">
        <f aca="false">VLOOKUP($DI$1,'Datos Iniciales'!$E$34:$O$64,DK$158,FALSE())*DK94</f>
        <v>0</v>
      </c>
      <c r="DL192" s="196" t="n">
        <f aca="false">VLOOKUP($DI$1,'Datos Iniciales'!$E$34:$O$64,DL$158,FALSE())*DL94</f>
        <v>0</v>
      </c>
      <c r="DM192" s="196" t="n">
        <f aca="false">VLOOKUP($DI$1,'Datos Iniciales'!$E$34:$O$64,DM$158,FALSE())*DM94</f>
        <v>0</v>
      </c>
      <c r="DN192" s="196" t="n">
        <f aca="false">VLOOKUP($DI$1,'Datos Iniciales'!$E$34:$O$64,DN$158,FALSE())*DN94</f>
        <v>0</v>
      </c>
      <c r="DO192" s="196" t="n">
        <f aca="false">VLOOKUP($DI$1,'Datos Iniciales'!$E$34:$O$64,DO$158,FALSE())*DO94</f>
        <v>0</v>
      </c>
      <c r="DP192" s="196" t="n">
        <f aca="false">VLOOKUP($DI$1,'Datos Iniciales'!$E$34:$O$64,DP$158,FALSE())*DP94</f>
        <v>0</v>
      </c>
      <c r="DQ192" s="196" t="n">
        <f aca="false">VLOOKUP($DI$1,'Datos Iniciales'!$E$34:$O$64,DQ$158,FALSE())*DQ94</f>
        <v>0</v>
      </c>
      <c r="DR192" s="196" t="n">
        <f aca="false">VLOOKUP($DI$1,'Datos Iniciales'!$E$34:$O$64,DR$158,FALSE())*DR94</f>
        <v>0</v>
      </c>
      <c r="DS192" s="197" t="n">
        <f aca="false">VLOOKUP($DI$1,'Datos Iniciales'!$E$34:$O$64,DS$158,FALSE())*DS94</f>
        <v>0</v>
      </c>
      <c r="DT192" s="194" t="str">
        <f aca="false">DI192</f>
        <v>Alumno33</v>
      </c>
      <c r="DU192" s="208" t="n">
        <f aca="false">VLOOKUP($DT$1,'Datos Iniciales'!$E$34:$O$64,DU$158,FALSE())*DU94</f>
        <v>0</v>
      </c>
      <c r="DV192" s="196" t="n">
        <f aca="false">VLOOKUP($DT$1,'Datos Iniciales'!$E$34:$O$64,DV$158,FALSE())*DV94</f>
        <v>0</v>
      </c>
      <c r="DW192" s="196" t="n">
        <f aca="false">VLOOKUP($DT$1,'Datos Iniciales'!$E$34:$O$64,DW$158,FALSE())*DW94</f>
        <v>0</v>
      </c>
      <c r="DX192" s="196" t="n">
        <f aca="false">VLOOKUP($DT$1,'Datos Iniciales'!$E$34:$O$64,DX$158,FALSE())*DX94</f>
        <v>0</v>
      </c>
      <c r="DY192" s="196" t="n">
        <f aca="false">VLOOKUP($DT$1,'Datos Iniciales'!$E$34:$O$64,DY$158,FALSE())*DY94</f>
        <v>0</v>
      </c>
      <c r="DZ192" s="196" t="n">
        <f aca="false">VLOOKUP($DT$1,'Datos Iniciales'!$E$34:$O$64,DZ$158,FALSE())*DZ94</f>
        <v>0</v>
      </c>
      <c r="EA192" s="196" t="n">
        <f aca="false">VLOOKUP($DT$1,'Datos Iniciales'!$E$34:$O$64,EA$158,FALSE())*EA94</f>
        <v>0</v>
      </c>
      <c r="EB192" s="196" t="n">
        <f aca="false">VLOOKUP($DT$1,'Datos Iniciales'!$E$34:$O$64,EB$158,FALSE())*EB94</f>
        <v>0</v>
      </c>
      <c r="EC192" s="196" t="n">
        <f aca="false">VLOOKUP($DT$1,'Datos Iniciales'!$E$34:$O$64,EC$158,FALSE())*EC94</f>
        <v>0</v>
      </c>
      <c r="ED192" s="197" t="n">
        <f aca="false">VLOOKUP($DT$1,'Datos Iniciales'!$E$34:$O$64,ED$158,FALSE())*ED94</f>
        <v>0</v>
      </c>
      <c r="EE192" s="194" t="str">
        <f aca="false">DT192</f>
        <v>Alumno33</v>
      </c>
      <c r="EF192" s="208" t="n">
        <f aca="false">VLOOKUP($EE$1,'Datos Iniciales'!$E$34:$O$64,EF$158,FALSE())*EF94</f>
        <v>0</v>
      </c>
      <c r="EG192" s="196" t="n">
        <f aca="false">VLOOKUP($EE$1,'Datos Iniciales'!$E$34:$O$64,EG$158,FALSE())*EG94</f>
        <v>0</v>
      </c>
      <c r="EH192" s="196" t="n">
        <f aca="false">VLOOKUP($EE$1,'Datos Iniciales'!$E$34:$O$64,EH$158,FALSE())*EH94</f>
        <v>0</v>
      </c>
      <c r="EI192" s="196" t="n">
        <f aca="false">VLOOKUP($EE$1,'Datos Iniciales'!$E$34:$O$64,EI$158,FALSE())*EI94</f>
        <v>0</v>
      </c>
      <c r="EJ192" s="196" t="n">
        <f aca="false">VLOOKUP($EE$1,'Datos Iniciales'!$E$34:$O$64,EJ$158,FALSE())*EJ94</f>
        <v>0</v>
      </c>
      <c r="EK192" s="196" t="n">
        <f aca="false">VLOOKUP($EE$1,'Datos Iniciales'!$E$34:$O$64,EK$158,FALSE())*EK94</f>
        <v>0</v>
      </c>
      <c r="EL192" s="196" t="n">
        <f aca="false">VLOOKUP($EE$1,'Datos Iniciales'!$E$34:$O$64,EL$158,FALSE())*EL94</f>
        <v>0</v>
      </c>
      <c r="EM192" s="196" t="n">
        <f aca="false">VLOOKUP($EE$1,'Datos Iniciales'!$E$34:$O$64,EM$158,FALSE())*EM94</f>
        <v>0</v>
      </c>
      <c r="EN192" s="196" t="n">
        <f aca="false">VLOOKUP($EE$1,'Datos Iniciales'!$E$34:$O$64,EN$158,FALSE())*EN94</f>
        <v>0</v>
      </c>
      <c r="EO192" s="197" t="n">
        <f aca="false">VLOOKUP($EE$1,'Datos Iniciales'!$E$34:$O$64,EO$158,FALSE())*EO94</f>
        <v>0</v>
      </c>
      <c r="EP192" s="194" t="str">
        <f aca="false">EE192</f>
        <v>Alumno33</v>
      </c>
      <c r="EQ192" s="208" t="n">
        <f aca="false">VLOOKUP($EP$1,'Datos Iniciales'!$E$34:$O$64,EQ$158,FALSE())*EQ94</f>
        <v>0</v>
      </c>
      <c r="ER192" s="196" t="n">
        <f aca="false">VLOOKUP($EP$1,'Datos Iniciales'!$E$34:$O$64,ER$158,FALSE())*ER94</f>
        <v>0</v>
      </c>
      <c r="ES192" s="196" t="n">
        <f aca="false">VLOOKUP($EP$1,'Datos Iniciales'!$E$34:$O$64,ES$158,FALSE())*ES94</f>
        <v>0</v>
      </c>
      <c r="ET192" s="196" t="n">
        <f aca="false">VLOOKUP($EP$1,'Datos Iniciales'!$E$34:$O$64,ET$158,FALSE())*ET94</f>
        <v>0</v>
      </c>
      <c r="EU192" s="196" t="n">
        <f aca="false">VLOOKUP($EP$1,'Datos Iniciales'!$E$34:$O$64,EU$158,FALSE())*EU94</f>
        <v>0</v>
      </c>
      <c r="EV192" s="196" t="n">
        <f aca="false">VLOOKUP($EP$1,'Datos Iniciales'!$E$34:$O$64,EV$158,FALSE())*EV94</f>
        <v>0</v>
      </c>
      <c r="EW192" s="196" t="n">
        <f aca="false">VLOOKUP($EP$1,'Datos Iniciales'!$E$34:$O$64,EW$158,FALSE())*EW94</f>
        <v>0</v>
      </c>
      <c r="EX192" s="196" t="n">
        <f aca="false">VLOOKUP($EP$1,'Datos Iniciales'!$E$34:$O$64,EX$158,FALSE())*EX94</f>
        <v>0</v>
      </c>
      <c r="EY192" s="196" t="n">
        <f aca="false">VLOOKUP($EP$1,'Datos Iniciales'!$E$34:$O$64,EY$158,FALSE())*EY94</f>
        <v>0</v>
      </c>
      <c r="EZ192" s="197" t="n">
        <f aca="false">VLOOKUP($EP$1,'Datos Iniciales'!$E$34:$O$64,EZ$158,FALSE())*EZ94</f>
        <v>0</v>
      </c>
      <c r="FA192" s="194" t="str">
        <f aca="false">EP192</f>
        <v>Alumno33</v>
      </c>
      <c r="FB192" s="208" t="n">
        <f aca="false">VLOOKUP($FA$1,'Datos Iniciales'!$E$34:$O$64,FB$158,FALSE())*FB94</f>
        <v>0</v>
      </c>
      <c r="FC192" s="196" t="n">
        <f aca="false">VLOOKUP($FA$1,'Datos Iniciales'!$E$34:$O$64,FC$158,FALSE())*FC94</f>
        <v>0</v>
      </c>
      <c r="FD192" s="196" t="n">
        <f aca="false">VLOOKUP($FA$1,'Datos Iniciales'!$E$34:$O$64,FD$158,FALSE())*FD94</f>
        <v>0</v>
      </c>
      <c r="FE192" s="196" t="n">
        <f aca="false">VLOOKUP($FA$1,'Datos Iniciales'!$E$34:$O$64,FE$158,FALSE())*FE94</f>
        <v>0</v>
      </c>
      <c r="FF192" s="196" t="n">
        <f aca="false">VLOOKUP($FA$1,'Datos Iniciales'!$E$34:$O$64,FF$158,FALSE())*FF94</f>
        <v>0</v>
      </c>
      <c r="FG192" s="196" t="n">
        <f aca="false">VLOOKUP($FA$1,'Datos Iniciales'!$E$34:$O$64,FG$158,FALSE())*FG94</f>
        <v>0</v>
      </c>
      <c r="FH192" s="196" t="n">
        <f aca="false">VLOOKUP($FA$1,'Datos Iniciales'!$E$34:$O$64,FH$158,FALSE())*FH94</f>
        <v>0</v>
      </c>
      <c r="FI192" s="196" t="n">
        <f aca="false">VLOOKUP($FA$1,'Datos Iniciales'!$E$34:$O$64,FI$158,FALSE())*FI94</f>
        <v>0</v>
      </c>
      <c r="FJ192" s="196" t="n">
        <f aca="false">VLOOKUP($FA$1,'Datos Iniciales'!$E$34:$O$64,FJ$158,FALSE())*FJ94</f>
        <v>0</v>
      </c>
      <c r="FK192" s="197" t="n">
        <f aca="false">VLOOKUP($FA$1,'Datos Iniciales'!$E$34:$O$64,FK$158,FALSE())*FK94</f>
        <v>0</v>
      </c>
      <c r="FL192" s="194" t="str">
        <f aca="false">FA192</f>
        <v>Alumno33</v>
      </c>
      <c r="FM192" s="208" t="n">
        <f aca="false">VLOOKUP($FL$1,'Datos Iniciales'!$E$34:$O$64,FM$158,FALSE())*FM94</f>
        <v>0</v>
      </c>
      <c r="FN192" s="196" t="n">
        <f aca="false">VLOOKUP($FL$1,'Datos Iniciales'!$E$34:$O$64,FN$158,FALSE())*FN94</f>
        <v>0</v>
      </c>
      <c r="FO192" s="196" t="n">
        <f aca="false">VLOOKUP($FL$1,'Datos Iniciales'!$E$34:$O$64,FO$158,FALSE())*FO94</f>
        <v>0</v>
      </c>
      <c r="FP192" s="196" t="n">
        <f aca="false">VLOOKUP($FL$1,'Datos Iniciales'!$E$34:$O$64,FP$158,FALSE())*FP94</f>
        <v>0</v>
      </c>
      <c r="FQ192" s="196" t="n">
        <f aca="false">VLOOKUP($FL$1,'Datos Iniciales'!$E$34:$O$64,FQ$158,FALSE())*FQ94</f>
        <v>0</v>
      </c>
      <c r="FR192" s="196" t="n">
        <f aca="false">VLOOKUP($FL$1,'Datos Iniciales'!$E$34:$O$64,FR$158,FALSE())*FR94</f>
        <v>0</v>
      </c>
      <c r="FS192" s="196" t="n">
        <f aca="false">VLOOKUP($FL$1,'Datos Iniciales'!$E$34:$O$64,FS$158,FALSE())*FS94</f>
        <v>0</v>
      </c>
      <c r="FT192" s="196" t="n">
        <f aca="false">VLOOKUP($FL$1,'Datos Iniciales'!$E$34:$O$64,FT$158,FALSE())*FT94</f>
        <v>0</v>
      </c>
      <c r="FU192" s="196" t="n">
        <f aca="false">VLOOKUP($FL$1,'Datos Iniciales'!$E$34:$O$64,FU$158,FALSE())*FU94</f>
        <v>0</v>
      </c>
      <c r="FV192" s="197" t="n">
        <f aca="false">VLOOKUP($FL$1,'Datos Iniciales'!$E$34:$O$64,FV$158,FALSE())*FV94</f>
        <v>0</v>
      </c>
      <c r="FW192" s="194" t="str">
        <f aca="false">FL192</f>
        <v>Alumno33</v>
      </c>
      <c r="FX192" s="208" t="n">
        <f aca="false">VLOOKUP($FW$1,'Datos Iniciales'!$E$34:$O$64,FX$158,FALSE())*FX94</f>
        <v>0</v>
      </c>
      <c r="FY192" s="196" t="n">
        <f aca="false">VLOOKUP($FW$1,'Datos Iniciales'!$E$34:$O$64,FY$158,FALSE())*FY94</f>
        <v>0</v>
      </c>
      <c r="FZ192" s="196" t="n">
        <f aca="false">VLOOKUP($FW$1,'Datos Iniciales'!$E$34:$O$64,FZ$158,FALSE())*FZ94</f>
        <v>0</v>
      </c>
      <c r="GA192" s="196" t="n">
        <f aca="false">VLOOKUP($FW$1,'Datos Iniciales'!$E$34:$O$64,GA$158,FALSE())*GA94</f>
        <v>0</v>
      </c>
      <c r="GB192" s="196" t="n">
        <f aca="false">VLOOKUP($FW$1,'Datos Iniciales'!$E$34:$O$64,GB$158,FALSE())*GB94</f>
        <v>0</v>
      </c>
      <c r="GC192" s="196" t="n">
        <f aca="false">VLOOKUP($FW$1,'Datos Iniciales'!$E$34:$O$64,GC$158,FALSE())*GC94</f>
        <v>0</v>
      </c>
      <c r="GD192" s="196" t="n">
        <f aca="false">VLOOKUP($FW$1,'Datos Iniciales'!$E$34:$O$64,GD$158,FALSE())*GD94</f>
        <v>0</v>
      </c>
      <c r="GE192" s="196" t="n">
        <f aca="false">VLOOKUP($FW$1,'Datos Iniciales'!$E$34:$O$64,GE$158,FALSE())*GE94</f>
        <v>0</v>
      </c>
      <c r="GF192" s="196" t="n">
        <f aca="false">VLOOKUP($FW$1,'Datos Iniciales'!$E$34:$O$64,GF$158,FALSE())*GF94</f>
        <v>0</v>
      </c>
      <c r="GG192" s="197" t="n">
        <f aca="false">VLOOKUP($FW$1,'Datos Iniciales'!$E$34:$O$64,GG$158,FALSE())*GG94</f>
        <v>0</v>
      </c>
      <c r="GH192" s="194" t="str">
        <f aca="false">FW192</f>
        <v>Alumno33</v>
      </c>
      <c r="GI192" s="208" t="n">
        <f aca="false">VLOOKUP($GH$1,'Datos Iniciales'!$E$34:$O$64,GI$158,FALSE())*GI94</f>
        <v>0</v>
      </c>
      <c r="GJ192" s="196" t="n">
        <f aca="false">VLOOKUP($GH$1,'Datos Iniciales'!$E$34:$O$64,GJ$158,FALSE())*GJ94</f>
        <v>0</v>
      </c>
      <c r="GK192" s="196" t="n">
        <f aca="false">VLOOKUP($GH$1,'Datos Iniciales'!$E$34:$O$64,GK$158,FALSE())*GK94</f>
        <v>0</v>
      </c>
      <c r="GL192" s="196" t="n">
        <f aca="false">VLOOKUP($GH$1,'Datos Iniciales'!$E$34:$O$64,GL$158,FALSE())*GL94</f>
        <v>0</v>
      </c>
      <c r="GM192" s="196" t="n">
        <f aca="false">VLOOKUP($GH$1,'Datos Iniciales'!$E$34:$O$64,GM$158,FALSE())*GM94</f>
        <v>0</v>
      </c>
      <c r="GN192" s="196" t="n">
        <f aca="false">VLOOKUP($GH$1,'Datos Iniciales'!$E$34:$O$64,GN$158,FALSE())*GN94</f>
        <v>0</v>
      </c>
      <c r="GO192" s="196" t="n">
        <f aca="false">VLOOKUP($GH$1,'Datos Iniciales'!$E$34:$O$64,GO$158,FALSE())*GO94</f>
        <v>0</v>
      </c>
      <c r="GP192" s="196" t="n">
        <f aca="false">VLOOKUP($GH$1,'Datos Iniciales'!$E$34:$O$64,GP$158,FALSE())*GP94</f>
        <v>0</v>
      </c>
      <c r="GQ192" s="196" t="n">
        <f aca="false">VLOOKUP($GH$1,'Datos Iniciales'!$E$34:$O$64,GQ$158,FALSE())*GQ94</f>
        <v>0</v>
      </c>
      <c r="GR192" s="197" t="n">
        <f aca="false">VLOOKUP($GH$1,'Datos Iniciales'!$E$34:$O$64,GR$158,FALSE())*GR94</f>
        <v>0</v>
      </c>
      <c r="GS192" s="194" t="str">
        <f aca="false">GH192</f>
        <v>Alumno33</v>
      </c>
      <c r="GT192" s="208" t="n">
        <f aca="false">VLOOKUP($GS$1,'Datos Iniciales'!$E$34:$O$64,GT$158,FALSE())*GT94</f>
        <v>0</v>
      </c>
      <c r="GU192" s="196" t="n">
        <f aca="false">VLOOKUP($GS$1,'Datos Iniciales'!$E$34:$O$64,GU$158,FALSE())*GU94</f>
        <v>0</v>
      </c>
      <c r="GV192" s="196" t="n">
        <f aca="false">VLOOKUP($GS$1,'Datos Iniciales'!$E$34:$O$64,GV$158,FALSE())*GV94</f>
        <v>0</v>
      </c>
      <c r="GW192" s="196" t="n">
        <f aca="false">VLOOKUP($GS$1,'Datos Iniciales'!$E$34:$O$64,GW$158,FALSE())*GW94</f>
        <v>0</v>
      </c>
      <c r="GX192" s="196" t="n">
        <f aca="false">VLOOKUP($GS$1,'Datos Iniciales'!$E$34:$O$64,GX$158,FALSE())*GX94</f>
        <v>0</v>
      </c>
      <c r="GY192" s="196" t="n">
        <f aca="false">VLOOKUP($GS$1,'Datos Iniciales'!$E$34:$O$64,GY$158,FALSE())*GY94</f>
        <v>0</v>
      </c>
      <c r="GZ192" s="196" t="n">
        <f aca="false">VLOOKUP($GS$1,'Datos Iniciales'!$E$34:$O$64,GZ$158,FALSE())*GZ94</f>
        <v>0</v>
      </c>
      <c r="HA192" s="196" t="n">
        <f aca="false">VLOOKUP($GS$1,'Datos Iniciales'!$E$34:$O$64,HA$158,FALSE())*HA94</f>
        <v>0</v>
      </c>
      <c r="HB192" s="196" t="n">
        <f aca="false">VLOOKUP($GS$1,'Datos Iniciales'!$E$34:$O$64,HB$158,FALSE())*HB94</f>
        <v>0</v>
      </c>
      <c r="HC192" s="197" t="n">
        <f aca="false">VLOOKUP($GS$1,'Datos Iniciales'!$E$34:$O$64,HC$158,FALSE())*HC94</f>
        <v>0</v>
      </c>
      <c r="HD192" s="194" t="str">
        <f aca="false">GS192</f>
        <v>Alumno33</v>
      </c>
      <c r="HE192" s="208" t="n">
        <f aca="false">VLOOKUP($HD$1,'Datos Iniciales'!$E$34:$O$64,HE$158,FALSE())*HE94</f>
        <v>0</v>
      </c>
      <c r="HF192" s="196" t="n">
        <f aca="false">VLOOKUP($HD$1,'Datos Iniciales'!$E$34:$O$64,HF$158,FALSE())*HF94</f>
        <v>0</v>
      </c>
      <c r="HG192" s="196" t="n">
        <f aca="false">VLOOKUP($HD$1,'Datos Iniciales'!$E$34:$O$64,HG$158,FALSE())*HG94</f>
        <v>0</v>
      </c>
      <c r="HH192" s="196" t="n">
        <f aca="false">VLOOKUP($HD$1,'Datos Iniciales'!$E$34:$O$64,HH$158,FALSE())*HH94</f>
        <v>0</v>
      </c>
      <c r="HI192" s="196" t="n">
        <f aca="false">VLOOKUP($HD$1,'Datos Iniciales'!$E$34:$O$64,HI$158,FALSE())*HI94</f>
        <v>0</v>
      </c>
      <c r="HJ192" s="196" t="n">
        <f aca="false">VLOOKUP($HD$1,'Datos Iniciales'!$E$34:$O$64,HJ$158,FALSE())*HJ94</f>
        <v>0</v>
      </c>
      <c r="HK192" s="196" t="n">
        <f aca="false">VLOOKUP($HD$1,'Datos Iniciales'!$E$34:$O$64,HK$158,FALSE())*HK94</f>
        <v>0</v>
      </c>
      <c r="HL192" s="196" t="n">
        <f aca="false">VLOOKUP($HD$1,'Datos Iniciales'!$E$34:$O$64,HL$158,FALSE())*HL94</f>
        <v>0</v>
      </c>
      <c r="HM192" s="196" t="n">
        <f aca="false">VLOOKUP($HD$1,'Datos Iniciales'!$E$34:$O$64,HM$158,FALSE())*HM94</f>
        <v>0</v>
      </c>
      <c r="HN192" s="197" t="n">
        <f aca="false">VLOOKUP($HD$1,'Datos Iniciales'!$E$34:$O$64,HN$158,FALSE())*HN94</f>
        <v>0</v>
      </c>
      <c r="HO192" s="194" t="str">
        <f aca="false">HD192</f>
        <v>Alumno33</v>
      </c>
      <c r="HP192" s="208" t="n">
        <f aca="false">VLOOKUP($HO$1,'Datos Iniciales'!$E$34:$O$64,HP$158,FALSE())*HP94</f>
        <v>0</v>
      </c>
      <c r="HQ192" s="196" t="n">
        <f aca="false">VLOOKUP($HO$1,'Datos Iniciales'!$E$34:$O$64,HQ$158,FALSE())*HQ94</f>
        <v>0</v>
      </c>
      <c r="HR192" s="196" t="n">
        <f aca="false">VLOOKUP($HO$1,'Datos Iniciales'!$E$34:$O$64,HR$158,FALSE())*HR94</f>
        <v>0</v>
      </c>
      <c r="HS192" s="196" t="n">
        <f aca="false">VLOOKUP($HO$1,'Datos Iniciales'!$E$34:$O$64,HS$158,FALSE())*HS94</f>
        <v>0</v>
      </c>
      <c r="HT192" s="196" t="n">
        <f aca="false">VLOOKUP($HO$1,'Datos Iniciales'!$E$34:$O$64,HT$158,FALSE())*HT94</f>
        <v>0</v>
      </c>
      <c r="HU192" s="196" t="n">
        <f aca="false">VLOOKUP($HO$1,'Datos Iniciales'!$E$34:$O$64,HU$158,FALSE())*HU94</f>
        <v>0</v>
      </c>
      <c r="HV192" s="196" t="n">
        <f aca="false">VLOOKUP($HO$1,'Datos Iniciales'!$E$34:$O$64,HV$158,FALSE())*HV94</f>
        <v>0</v>
      </c>
      <c r="HW192" s="196" t="n">
        <f aca="false">VLOOKUP($HO$1,'Datos Iniciales'!$E$34:$O$64,HW$158,FALSE())*HW94</f>
        <v>0</v>
      </c>
      <c r="HX192" s="196" t="n">
        <f aca="false">VLOOKUP($HO$1,'Datos Iniciales'!$E$34:$O$64,HX$158,FALSE())*HX94</f>
        <v>0</v>
      </c>
      <c r="HY192" s="197" t="n">
        <f aca="false">VLOOKUP($HO$1,'Datos Iniciales'!$E$34:$O$64,HY$158,FALSE())*HY94</f>
        <v>0</v>
      </c>
      <c r="HZ192" s="194" t="str">
        <f aca="false">HO192</f>
        <v>Alumno33</v>
      </c>
      <c r="IA192" s="208" t="n">
        <f aca="false">VLOOKUP($HZ$1,'Datos Iniciales'!$E$34:$O$64,IA$158,FALSE())*IA94</f>
        <v>0</v>
      </c>
      <c r="IB192" s="196" t="n">
        <f aca="false">VLOOKUP($HZ$1,'Datos Iniciales'!$E$34:$O$64,IB$158,FALSE())*IB94</f>
        <v>0</v>
      </c>
      <c r="IC192" s="196" t="n">
        <f aca="false">VLOOKUP($HZ$1,'Datos Iniciales'!$E$34:$O$64,IC$158,FALSE())*IC94</f>
        <v>0</v>
      </c>
      <c r="ID192" s="196" t="n">
        <f aca="false">VLOOKUP($HZ$1,'Datos Iniciales'!$E$34:$O$64,ID$158,FALSE())*ID94</f>
        <v>0</v>
      </c>
      <c r="IE192" s="196" t="n">
        <f aca="false">VLOOKUP($HZ$1,'Datos Iniciales'!$E$34:$O$64,IE$158,FALSE())*IE94</f>
        <v>0</v>
      </c>
      <c r="IF192" s="196" t="n">
        <f aca="false">VLOOKUP($HZ$1,'Datos Iniciales'!$E$34:$O$64,IF$158,FALSE())*IF94</f>
        <v>0</v>
      </c>
      <c r="IG192" s="196" t="n">
        <f aca="false">VLOOKUP($HZ$1,'Datos Iniciales'!$E$34:$O$64,IG$158,FALSE())*IG94</f>
        <v>0</v>
      </c>
      <c r="IH192" s="196" t="n">
        <f aca="false">VLOOKUP($HZ$1,'Datos Iniciales'!$E$34:$O$64,IH$158,FALSE())*IH94</f>
        <v>0</v>
      </c>
      <c r="II192" s="196" t="n">
        <f aca="false">VLOOKUP($HZ$1,'Datos Iniciales'!$E$34:$O$64,II$158,FALSE())*II94</f>
        <v>0</v>
      </c>
      <c r="IJ192" s="197" t="n">
        <f aca="false">VLOOKUP($HZ$1,'Datos Iniciales'!$E$34:$O$64,IJ$158,FALSE())*IJ94</f>
        <v>0</v>
      </c>
      <c r="IK192" s="194" t="str">
        <f aca="false">HZ192</f>
        <v>Alumno33</v>
      </c>
      <c r="IL192" s="208" t="n">
        <f aca="false">VLOOKUP($IK$1,'Datos Iniciales'!$E$34:$O$64,IL$158,FALSE())*IL94</f>
        <v>0</v>
      </c>
      <c r="IM192" s="196" t="n">
        <f aca="false">VLOOKUP($IK$1,'Datos Iniciales'!$E$34:$O$64,IM$158,FALSE())*IM94</f>
        <v>0</v>
      </c>
      <c r="IN192" s="196" t="n">
        <f aca="false">VLOOKUP($IK$1,'Datos Iniciales'!$E$34:$O$64,IN$158,FALSE())*IN94</f>
        <v>0</v>
      </c>
      <c r="IO192" s="196" t="n">
        <f aca="false">VLOOKUP($IK$1,'Datos Iniciales'!$E$34:$O$64,IO$158,FALSE())*IO94</f>
        <v>0</v>
      </c>
      <c r="IP192" s="196" t="n">
        <f aca="false">VLOOKUP($IK$1,'Datos Iniciales'!$E$34:$O$64,IP$158,FALSE())*IP94</f>
        <v>0</v>
      </c>
      <c r="IQ192" s="196" t="n">
        <f aca="false">VLOOKUP($IK$1,'Datos Iniciales'!$E$34:$O$64,IQ$158,FALSE())*IQ94</f>
        <v>0</v>
      </c>
      <c r="IR192" s="196" t="n">
        <f aca="false">VLOOKUP($IK$1,'Datos Iniciales'!$E$34:$O$64,IR$158,FALSE())*IR94</f>
        <v>0</v>
      </c>
      <c r="IS192" s="196" t="n">
        <f aca="false">VLOOKUP($IK$1,'Datos Iniciales'!$E$34:$O$64,IS$158,FALSE())*IS94</f>
        <v>0</v>
      </c>
      <c r="IT192" s="196" t="n">
        <f aca="false">VLOOKUP($IK$1,'Datos Iniciales'!$E$34:$O$64,IT$158,FALSE())*IT94</f>
        <v>0</v>
      </c>
      <c r="IU192" s="197" t="n">
        <f aca="false">VLOOKUP($IK$1,'Datos Iniciales'!$E$34:$O$64,IU$158,FALSE())*IU94</f>
        <v>0</v>
      </c>
      <c r="IV192" s="194" t="str">
        <f aca="false">IK192</f>
        <v>Alumno33</v>
      </c>
      <c r="IW192" s="208" t="n">
        <f aca="false">VLOOKUP($IV$1,'Datos Iniciales'!$E$34:$O$64,IW$158,FALSE())*IW94</f>
        <v>0</v>
      </c>
      <c r="IX192" s="196" t="n">
        <f aca="false">VLOOKUP($IV$1,'Datos Iniciales'!$E$34:$O$64,IX$158,FALSE())*IX94</f>
        <v>0</v>
      </c>
      <c r="IY192" s="196" t="n">
        <f aca="false">VLOOKUP($IV$1,'Datos Iniciales'!$E$34:$O$64,IY$158,FALSE())*IY94</f>
        <v>0</v>
      </c>
      <c r="IZ192" s="196" t="n">
        <f aca="false">VLOOKUP($IV$1,'Datos Iniciales'!$E$34:$O$64,IZ$158,FALSE())*IZ94</f>
        <v>0</v>
      </c>
      <c r="JA192" s="196" t="n">
        <f aca="false">VLOOKUP($IV$1,'Datos Iniciales'!$E$34:$O$64,JA$158,FALSE())*JA94</f>
        <v>0</v>
      </c>
      <c r="JB192" s="196" t="n">
        <f aca="false">VLOOKUP($IV$1,'Datos Iniciales'!$E$34:$O$64,JB$158,FALSE())*JB94</f>
        <v>0</v>
      </c>
      <c r="JC192" s="196" t="n">
        <f aca="false">VLOOKUP($IV$1,'Datos Iniciales'!$E$34:$O$64,JC$158,FALSE())*JC94</f>
        <v>0</v>
      </c>
      <c r="JD192" s="196" t="n">
        <f aca="false">VLOOKUP($IV$1,'Datos Iniciales'!$E$34:$O$64,JD$158,FALSE())*JD94</f>
        <v>0</v>
      </c>
      <c r="JE192" s="196" t="n">
        <f aca="false">VLOOKUP($IV$1,'Datos Iniciales'!$E$34:$O$64,JE$158,FALSE())*JE94</f>
        <v>0</v>
      </c>
      <c r="JF192" s="197" t="n">
        <f aca="false">VLOOKUP($IV$1,'Datos Iniciales'!$E$34:$O$64,JF$158,FALSE())*JF94</f>
        <v>0</v>
      </c>
      <c r="JG192" s="194" t="str">
        <f aca="false">IV192</f>
        <v>Alumno33</v>
      </c>
      <c r="JH192" s="208" t="n">
        <f aca="false">VLOOKUP($JG$1,'Datos Iniciales'!$E$34:$O$64,JH$158,FALSE())*JH94</f>
        <v>0</v>
      </c>
      <c r="JI192" s="196" t="n">
        <f aca="false">VLOOKUP($JG$1,'Datos Iniciales'!$E$34:$O$64,JI$158,FALSE())*JI94</f>
        <v>0</v>
      </c>
      <c r="JJ192" s="196" t="n">
        <f aca="false">VLOOKUP($JG$1,'Datos Iniciales'!$E$34:$O$64,JJ$158,FALSE())*JJ94</f>
        <v>0</v>
      </c>
      <c r="JK192" s="196" t="n">
        <f aca="false">VLOOKUP($JG$1,'Datos Iniciales'!$E$34:$O$64,JK$158,FALSE())*JK94</f>
        <v>0</v>
      </c>
      <c r="JL192" s="196" t="n">
        <f aca="false">VLOOKUP($JG$1,'Datos Iniciales'!$E$34:$O$64,JL$158,FALSE())*JL94</f>
        <v>0</v>
      </c>
      <c r="JM192" s="196" t="n">
        <f aca="false">VLOOKUP($JG$1,'Datos Iniciales'!$E$34:$O$64,JM$158,FALSE())*JM94</f>
        <v>0</v>
      </c>
      <c r="JN192" s="196" t="n">
        <f aca="false">VLOOKUP($JG$1,'Datos Iniciales'!$E$34:$O$64,JN$158,FALSE())*JN94</f>
        <v>0</v>
      </c>
      <c r="JO192" s="196" t="n">
        <f aca="false">VLOOKUP($JG$1,'Datos Iniciales'!$E$34:$O$64,JO$158,FALSE())*JO94</f>
        <v>0</v>
      </c>
      <c r="JP192" s="196" t="n">
        <f aca="false">VLOOKUP($JG$1,'Datos Iniciales'!$E$34:$O$64,JP$158,FALSE())*JP94</f>
        <v>0</v>
      </c>
      <c r="JQ192" s="197" t="n">
        <f aca="false">VLOOKUP($JG$1,'Datos Iniciales'!$E$34:$O$64,JQ$158,FALSE())*JQ94</f>
        <v>0</v>
      </c>
      <c r="JR192" s="194" t="str">
        <f aca="false">JG192</f>
        <v>Alumno33</v>
      </c>
      <c r="JS192" s="208" t="n">
        <f aca="false">VLOOKUP($JR$1,'Datos Iniciales'!$E$34:$O$64,JS$158,FALSE())*JS94</f>
        <v>0</v>
      </c>
      <c r="JT192" s="196" t="n">
        <f aca="false">VLOOKUP($JR$1,'Datos Iniciales'!$E$34:$O$64,JT$158,FALSE())*JT94</f>
        <v>0</v>
      </c>
      <c r="JU192" s="196" t="n">
        <f aca="false">VLOOKUP($JR$1,'Datos Iniciales'!$E$34:$O$64,JU$158,FALSE())*JU94</f>
        <v>0</v>
      </c>
      <c r="JV192" s="196" t="n">
        <f aca="false">VLOOKUP($JR$1,'Datos Iniciales'!$E$34:$O$64,JV$158,FALSE())*JV94</f>
        <v>0</v>
      </c>
      <c r="JW192" s="196" t="n">
        <f aca="false">VLOOKUP($JR$1,'Datos Iniciales'!$E$34:$O$64,JW$158,FALSE())*JW94</f>
        <v>0</v>
      </c>
      <c r="JX192" s="196" t="n">
        <f aca="false">VLOOKUP($JR$1,'Datos Iniciales'!$E$34:$O$64,JX$158,FALSE())*JX94</f>
        <v>0</v>
      </c>
      <c r="JY192" s="196" t="n">
        <f aca="false">VLOOKUP($JR$1,'Datos Iniciales'!$E$34:$O$64,JY$158,FALSE())*JY94</f>
        <v>0</v>
      </c>
      <c r="JZ192" s="196" t="n">
        <f aca="false">VLOOKUP($JR$1,'Datos Iniciales'!$E$34:$O$64,JZ$158,FALSE())*JZ94</f>
        <v>0</v>
      </c>
      <c r="KA192" s="196" t="n">
        <f aca="false">VLOOKUP($JR$1,'Datos Iniciales'!$E$34:$O$64,KA$158,FALSE())*KA94</f>
        <v>0</v>
      </c>
      <c r="KB192" s="197" t="n">
        <f aca="false">VLOOKUP($JR$1,'Datos Iniciales'!$E$34:$O$64,KB$158,FALSE())*KB94</f>
        <v>0</v>
      </c>
      <c r="KC192" s="194" t="str">
        <f aca="false">JR192</f>
        <v>Alumno33</v>
      </c>
      <c r="KD192" s="208" t="n">
        <f aca="false">VLOOKUP($KC$1,'Datos Iniciales'!$E$34:$O$64,KD$158,FALSE())*KD94</f>
        <v>0</v>
      </c>
      <c r="KE192" s="196" t="n">
        <f aca="false">VLOOKUP($KC$1,'Datos Iniciales'!$E$34:$O$64,KE$158,FALSE())*KE94</f>
        <v>0</v>
      </c>
      <c r="KF192" s="196" t="n">
        <f aca="false">VLOOKUP($KC$1,'Datos Iniciales'!$E$34:$O$64,KF$158,FALSE())*KF94</f>
        <v>0</v>
      </c>
      <c r="KG192" s="196" t="n">
        <f aca="false">VLOOKUP($KC$1,'Datos Iniciales'!$E$34:$O$64,KG$158,FALSE())*KG94</f>
        <v>0</v>
      </c>
      <c r="KH192" s="196" t="n">
        <f aca="false">VLOOKUP($KC$1,'Datos Iniciales'!$E$34:$O$64,KH$158,FALSE())*KH94</f>
        <v>0</v>
      </c>
      <c r="KI192" s="196" t="n">
        <f aca="false">VLOOKUP($KC$1,'Datos Iniciales'!$E$34:$O$64,KI$158,FALSE())*KI94</f>
        <v>0</v>
      </c>
      <c r="KJ192" s="196" t="n">
        <f aca="false">VLOOKUP($KC$1,'Datos Iniciales'!$E$34:$O$64,KJ$158,FALSE())*KJ94</f>
        <v>0</v>
      </c>
      <c r="KK192" s="196" t="n">
        <f aca="false">VLOOKUP($KC$1,'Datos Iniciales'!$E$34:$O$64,KK$158,FALSE())*KK94</f>
        <v>0</v>
      </c>
      <c r="KL192" s="196" t="n">
        <f aca="false">VLOOKUP($KC$1,'Datos Iniciales'!$E$34:$O$64,KL$158,FALSE())*KL94</f>
        <v>0</v>
      </c>
      <c r="KM192" s="197" t="n">
        <f aca="false">VLOOKUP($KC$1,'Datos Iniciales'!$E$34:$O$64,KM$158,FALSE())*KM94</f>
        <v>0</v>
      </c>
      <c r="KN192" s="194" t="str">
        <f aca="false">KC192</f>
        <v>Alumno33</v>
      </c>
      <c r="KO192" s="208" t="n">
        <f aca="false">VLOOKUP($KN$1,'Datos Iniciales'!$E$34:$O$64,KO$158,FALSE())*KO94</f>
        <v>0</v>
      </c>
      <c r="KP192" s="196" t="n">
        <f aca="false">VLOOKUP($KN$1,'Datos Iniciales'!$E$34:$O$64,KP$158,FALSE())*KP94</f>
        <v>0</v>
      </c>
      <c r="KQ192" s="196" t="n">
        <f aca="false">VLOOKUP($KN$1,'Datos Iniciales'!$E$34:$O$64,KQ$158,FALSE())*KQ94</f>
        <v>0</v>
      </c>
      <c r="KR192" s="196" t="n">
        <f aca="false">VLOOKUP($KN$1,'Datos Iniciales'!$E$34:$O$64,KR$158,FALSE())*KR94</f>
        <v>0</v>
      </c>
      <c r="KS192" s="196" t="n">
        <f aca="false">VLOOKUP($KN$1,'Datos Iniciales'!$E$34:$O$64,KS$158,FALSE())*KS94</f>
        <v>0</v>
      </c>
      <c r="KT192" s="196" t="n">
        <f aca="false">VLOOKUP($KN$1,'Datos Iniciales'!$E$34:$O$64,KT$158,FALSE())*KT94</f>
        <v>0</v>
      </c>
      <c r="KU192" s="196" t="n">
        <f aca="false">VLOOKUP($KN$1,'Datos Iniciales'!$E$34:$O$64,KU$158,FALSE())*KU94</f>
        <v>0</v>
      </c>
      <c r="KV192" s="196" t="n">
        <f aca="false">VLOOKUP($KN$1,'Datos Iniciales'!$E$34:$O$64,KV$158,FALSE())*KV94</f>
        <v>0</v>
      </c>
      <c r="KW192" s="196" t="n">
        <f aca="false">VLOOKUP($KN$1,'Datos Iniciales'!$E$34:$O$64,KW$158,FALSE())*KW94</f>
        <v>0</v>
      </c>
      <c r="KX192" s="197" t="n">
        <f aca="false">VLOOKUP($KN$1,'Datos Iniciales'!$E$34:$O$64,KX$158,FALSE())*KX94</f>
        <v>0</v>
      </c>
      <c r="KY192" s="194" t="str">
        <f aca="false">KN192</f>
        <v>Alumno33</v>
      </c>
      <c r="KZ192" s="208" t="n">
        <f aca="false">VLOOKUP($KY$1,'Datos Iniciales'!$E$34:$O$64,KZ$158,FALSE())*KZ94</f>
        <v>0</v>
      </c>
      <c r="LA192" s="196" t="n">
        <f aca="false">VLOOKUP($KY$1,'Datos Iniciales'!$E$34:$O$64,LA$158,FALSE())*LA94</f>
        <v>0</v>
      </c>
      <c r="LB192" s="196" t="n">
        <f aca="false">VLOOKUP($KY$1,'Datos Iniciales'!$E$34:$O$64,LB$158,FALSE())*LB94</f>
        <v>0</v>
      </c>
      <c r="LC192" s="196" t="n">
        <f aca="false">VLOOKUP($KY$1,'Datos Iniciales'!$E$34:$O$64,LC$158,FALSE())*LC94</f>
        <v>0</v>
      </c>
      <c r="LD192" s="196" t="n">
        <f aca="false">VLOOKUP($KY$1,'Datos Iniciales'!$E$34:$O$64,LD$158,FALSE())*LD94</f>
        <v>0</v>
      </c>
      <c r="LE192" s="196" t="n">
        <f aca="false">VLOOKUP($KY$1,'Datos Iniciales'!$E$34:$O$64,LE$158,FALSE())*LE94</f>
        <v>0</v>
      </c>
      <c r="LF192" s="196" t="n">
        <f aca="false">VLOOKUP($KY$1,'Datos Iniciales'!$E$34:$O$64,LF$158,FALSE())*LF94</f>
        <v>0</v>
      </c>
      <c r="LG192" s="196" t="n">
        <f aca="false">VLOOKUP($KY$1,'Datos Iniciales'!$E$34:$O$64,LG$158,FALSE())*LG94</f>
        <v>0</v>
      </c>
      <c r="LH192" s="196" t="n">
        <f aca="false">VLOOKUP($KY$1,'Datos Iniciales'!$E$34:$O$64,LH$158,FALSE())*LH94</f>
        <v>0</v>
      </c>
      <c r="LI192" s="197" t="n">
        <f aca="false">VLOOKUP($KY$1,'Datos Iniciales'!$E$34:$O$64,LI$158,FALSE())*LI94</f>
        <v>0</v>
      </c>
      <c r="LJ192" s="194" t="str">
        <f aca="false">KY192</f>
        <v>Alumno33</v>
      </c>
      <c r="LK192" s="208" t="n">
        <f aca="false">VLOOKUP($LJ$1,'Datos Iniciales'!$E$34:$O$64,LK$158,FALSE())*LK94</f>
        <v>0</v>
      </c>
      <c r="LL192" s="196" t="n">
        <f aca="false">VLOOKUP($LJ$1,'Datos Iniciales'!$E$34:$O$64,LL$158,FALSE())*LL94</f>
        <v>0</v>
      </c>
      <c r="LM192" s="196" t="n">
        <f aca="false">VLOOKUP($LJ$1,'Datos Iniciales'!$E$34:$O$64,LM$158,FALSE())*LM94</f>
        <v>0</v>
      </c>
      <c r="LN192" s="196" t="n">
        <f aca="false">VLOOKUP($LJ$1,'Datos Iniciales'!$E$34:$O$64,LN$158,FALSE())*LN94</f>
        <v>0</v>
      </c>
      <c r="LO192" s="196" t="n">
        <f aca="false">VLOOKUP($LJ$1,'Datos Iniciales'!$E$34:$O$64,LO$158,FALSE())*LO94</f>
        <v>0</v>
      </c>
      <c r="LP192" s="196" t="n">
        <f aca="false">VLOOKUP($LJ$1,'Datos Iniciales'!$E$34:$O$64,LP$158,FALSE())*LP94</f>
        <v>0</v>
      </c>
      <c r="LQ192" s="196" t="n">
        <f aca="false">VLOOKUP($LJ$1,'Datos Iniciales'!$E$34:$O$64,LQ$158,FALSE())*LQ94</f>
        <v>0</v>
      </c>
      <c r="LR192" s="196" t="n">
        <f aca="false">VLOOKUP($LJ$1,'Datos Iniciales'!$E$34:$O$64,LR$158,FALSE())*LR94</f>
        <v>0</v>
      </c>
      <c r="LS192" s="196" t="n">
        <f aca="false">VLOOKUP($LJ$1,'Datos Iniciales'!$E$34:$O$64,LS$158,FALSE())*LS94</f>
        <v>0</v>
      </c>
      <c r="LT192" s="197" t="n">
        <f aca="false">VLOOKUP($LJ$1,'Datos Iniciales'!$E$34:$O$64,LT$158,FALSE())*LT94</f>
        <v>0</v>
      </c>
    </row>
    <row r="193" customFormat="false" ht="15" hidden="true" customHeight="false" outlineLevel="0" collapsed="false">
      <c r="C193" s="194" t="str">
        <f aca="false">C144</f>
        <v>Alumno34</v>
      </c>
      <c r="D193" s="208" t="n">
        <f aca="false">VLOOKUP($C$1,'Datos Iniciales'!$E$34:$O$64,D$158,FALSE())*D95</f>
        <v>0</v>
      </c>
      <c r="E193" s="196" t="n">
        <f aca="false">VLOOKUP($C$1,'Datos Iniciales'!$E$34:$O$64,E$158,FALSE())*E95</f>
        <v>0</v>
      </c>
      <c r="F193" s="196" t="n">
        <f aca="false">VLOOKUP($C$1,'Datos Iniciales'!$E$34:$O$64,F$158,FALSE())*F95</f>
        <v>0</v>
      </c>
      <c r="G193" s="196" t="n">
        <f aca="false">VLOOKUP($C$1,'Datos Iniciales'!$E$34:$O$64,G$158,FALSE())*G95</f>
        <v>0</v>
      </c>
      <c r="H193" s="196" t="n">
        <f aca="false">VLOOKUP($C$1,'Datos Iniciales'!$E$34:$O$64,H$158,FALSE())*H95</f>
        <v>0</v>
      </c>
      <c r="I193" s="196" t="n">
        <f aca="false">VLOOKUP($C$1,'Datos Iniciales'!$E$34:$O$64,I$158,FALSE())*I95</f>
        <v>0</v>
      </c>
      <c r="J193" s="196" t="n">
        <f aca="false">VLOOKUP($C$1,'Datos Iniciales'!$E$34:$O$64,J$158,FALSE())*J95</f>
        <v>0</v>
      </c>
      <c r="K193" s="196" t="n">
        <f aca="false">VLOOKUP($C$1,'Datos Iniciales'!$E$34:$O$64,K$158,FALSE())*K95</f>
        <v>0</v>
      </c>
      <c r="L193" s="196" t="n">
        <f aca="false">VLOOKUP($C$1,'Datos Iniciales'!$E$34:$O$64,L$158,FALSE())*L95</f>
        <v>0</v>
      </c>
      <c r="M193" s="197" t="n">
        <f aca="false">VLOOKUP($C$1,'Datos Iniciales'!$E$34:$O$64,M$158,FALSE())*M95</f>
        <v>0</v>
      </c>
      <c r="N193" s="194" t="str">
        <f aca="false">C193</f>
        <v>Alumno34</v>
      </c>
      <c r="O193" s="208" t="n">
        <f aca="false">VLOOKUP($N$1,'Datos Iniciales'!$E$34:$O$64,O$158,FALSE())*O95</f>
        <v>0</v>
      </c>
      <c r="P193" s="196" t="n">
        <f aca="false">VLOOKUP($N$1,'Datos Iniciales'!$E$34:$O$64,P$158,FALSE())*P95</f>
        <v>0</v>
      </c>
      <c r="Q193" s="196" t="n">
        <f aca="false">VLOOKUP($N$1,'Datos Iniciales'!$E$34:$O$64,Q$158,FALSE())*Q95</f>
        <v>0</v>
      </c>
      <c r="R193" s="196" t="n">
        <f aca="false">VLOOKUP($N$1,'Datos Iniciales'!$E$34:$O$64,R$158,FALSE())*R95</f>
        <v>0</v>
      </c>
      <c r="S193" s="196" t="n">
        <f aca="false">VLOOKUP($N$1,'Datos Iniciales'!$E$34:$O$64,S$158,FALSE())*S95</f>
        <v>0</v>
      </c>
      <c r="T193" s="196" t="n">
        <f aca="false">VLOOKUP($N$1,'Datos Iniciales'!$E$34:$O$64,T$158,FALSE())*T95</f>
        <v>0</v>
      </c>
      <c r="U193" s="196" t="n">
        <f aca="false">VLOOKUP($N$1,'Datos Iniciales'!$E$34:$O$64,U$158,FALSE())*U95</f>
        <v>0</v>
      </c>
      <c r="V193" s="196" t="n">
        <f aca="false">VLOOKUP($N$1,'Datos Iniciales'!$E$34:$O$64,V$158,FALSE())*V95</f>
        <v>0</v>
      </c>
      <c r="W193" s="196" t="n">
        <f aca="false">VLOOKUP($N$1,'Datos Iniciales'!$E$34:$O$64,W$158,FALSE())*W95</f>
        <v>0</v>
      </c>
      <c r="X193" s="197" t="n">
        <f aca="false">VLOOKUP($N$1,'Datos Iniciales'!$E$34:$O$64,X$158,FALSE())*X95</f>
        <v>0</v>
      </c>
      <c r="Y193" s="194" t="str">
        <f aca="false">N193</f>
        <v>Alumno34</v>
      </c>
      <c r="Z193" s="208" t="n">
        <f aca="false">VLOOKUP($Y$1,'Datos Iniciales'!$E$34:$O$64,Z$158,FALSE())*Z95</f>
        <v>0</v>
      </c>
      <c r="AA193" s="196" t="n">
        <f aca="false">VLOOKUP($Y$1,'Datos Iniciales'!$E$34:$O$64,AA$158,FALSE())*AA95</f>
        <v>0</v>
      </c>
      <c r="AB193" s="196" t="n">
        <f aca="false">VLOOKUP($Y$1,'Datos Iniciales'!$E$34:$O$64,AB$158,FALSE())*AB95</f>
        <v>0</v>
      </c>
      <c r="AC193" s="196" t="n">
        <f aca="false">VLOOKUP($Y$1,'Datos Iniciales'!$E$34:$O$64,AC$158,FALSE())*AC95</f>
        <v>0</v>
      </c>
      <c r="AD193" s="196" t="n">
        <f aca="false">VLOOKUP($Y$1,'Datos Iniciales'!$E$34:$O$64,AD$158,FALSE())*AD95</f>
        <v>0</v>
      </c>
      <c r="AE193" s="196" t="n">
        <f aca="false">VLOOKUP($Y$1,'Datos Iniciales'!$E$34:$O$64,AE$158,FALSE())*AE95</f>
        <v>0</v>
      </c>
      <c r="AF193" s="196" t="n">
        <f aca="false">VLOOKUP($Y$1,'Datos Iniciales'!$E$34:$O$64,AF$158,FALSE())*AF95</f>
        <v>0</v>
      </c>
      <c r="AG193" s="196" t="n">
        <f aca="false">VLOOKUP($Y$1,'Datos Iniciales'!$E$34:$O$64,AG$158,FALSE())*AG95</f>
        <v>0</v>
      </c>
      <c r="AH193" s="196" t="n">
        <f aca="false">VLOOKUP($Y$1,'Datos Iniciales'!$E$34:$O$64,AH$158,FALSE())*AH95</f>
        <v>0</v>
      </c>
      <c r="AI193" s="197" t="n">
        <f aca="false">VLOOKUP($Y$1,'Datos Iniciales'!$E$34:$O$64,AI$158,FALSE())*AI95</f>
        <v>0</v>
      </c>
      <c r="AJ193" s="194" t="str">
        <f aca="false">Y193</f>
        <v>Alumno34</v>
      </c>
      <c r="AK193" s="208" t="n">
        <f aca="false">VLOOKUP($AJ$1,'Datos Iniciales'!$E$34:$O$64,AK$158,FALSE())*AK95</f>
        <v>0</v>
      </c>
      <c r="AL193" s="196" t="n">
        <f aca="false">VLOOKUP($AJ$1,'Datos Iniciales'!$E$34:$O$64,AL$158,FALSE())*AL95</f>
        <v>0</v>
      </c>
      <c r="AM193" s="196" t="n">
        <f aca="false">VLOOKUP($AJ$1,'Datos Iniciales'!$E$34:$O$64,AM$158,FALSE())*AM95</f>
        <v>0</v>
      </c>
      <c r="AN193" s="196" t="n">
        <f aca="false">VLOOKUP($AJ$1,'Datos Iniciales'!$E$34:$O$64,AN$158,FALSE())*AN95</f>
        <v>0</v>
      </c>
      <c r="AO193" s="196" t="n">
        <f aca="false">VLOOKUP($AJ$1,'Datos Iniciales'!$E$34:$O$64,AO$158,FALSE())*AO95</f>
        <v>0</v>
      </c>
      <c r="AP193" s="196" t="n">
        <f aca="false">VLOOKUP($AJ$1,'Datos Iniciales'!$E$34:$O$64,AP$158,FALSE())*AP95</f>
        <v>0</v>
      </c>
      <c r="AQ193" s="196" t="n">
        <f aca="false">VLOOKUP($AJ$1,'Datos Iniciales'!$E$34:$O$64,AQ$158,FALSE())*AQ95</f>
        <v>0</v>
      </c>
      <c r="AR193" s="196" t="n">
        <f aca="false">VLOOKUP($AJ$1,'Datos Iniciales'!$E$34:$O$64,AR$158,FALSE())*AR95</f>
        <v>0</v>
      </c>
      <c r="AS193" s="196" t="n">
        <f aca="false">VLOOKUP($AJ$1,'Datos Iniciales'!$E$34:$O$64,AS$158,FALSE())*AS95</f>
        <v>0</v>
      </c>
      <c r="AT193" s="197" t="n">
        <f aca="false">VLOOKUP($AJ$1,'Datos Iniciales'!$E$34:$O$64,AT$158,FALSE())*AT95</f>
        <v>0</v>
      </c>
      <c r="AU193" s="194" t="str">
        <f aca="false">AJ193</f>
        <v>Alumno34</v>
      </c>
      <c r="AV193" s="208" t="n">
        <f aca="false">VLOOKUP($AU$1,'Datos Iniciales'!$E$34:$O$64,AV$158,FALSE())*AV95</f>
        <v>0</v>
      </c>
      <c r="AW193" s="196" t="n">
        <f aca="false">VLOOKUP($AU$1,'Datos Iniciales'!$E$34:$O$64,AW$158,FALSE())*AW95</f>
        <v>0</v>
      </c>
      <c r="AX193" s="196" t="n">
        <f aca="false">VLOOKUP($AU$1,'Datos Iniciales'!$E$34:$O$64,AX$158,FALSE())*AX95</f>
        <v>0</v>
      </c>
      <c r="AY193" s="196" t="n">
        <f aca="false">VLOOKUP($AU$1,'Datos Iniciales'!$E$34:$O$64,AY$158,FALSE())*AY95</f>
        <v>0</v>
      </c>
      <c r="AZ193" s="196" t="n">
        <f aca="false">VLOOKUP($AU$1,'Datos Iniciales'!$E$34:$O$64,AZ$158,FALSE())*AZ95</f>
        <v>0</v>
      </c>
      <c r="BA193" s="196" t="n">
        <f aca="false">VLOOKUP($AU$1,'Datos Iniciales'!$E$34:$O$64,BA$158,FALSE())*BA95</f>
        <v>0</v>
      </c>
      <c r="BB193" s="196" t="n">
        <f aca="false">VLOOKUP($AU$1,'Datos Iniciales'!$E$34:$O$64,BB$158,FALSE())*BB95</f>
        <v>0</v>
      </c>
      <c r="BC193" s="196" t="n">
        <f aca="false">VLOOKUP($AU$1,'Datos Iniciales'!$E$34:$O$64,BC$158,FALSE())*BC95</f>
        <v>0</v>
      </c>
      <c r="BD193" s="196" t="n">
        <f aca="false">VLOOKUP($AU$1,'Datos Iniciales'!$E$34:$O$64,BD$158,FALSE())*BD95</f>
        <v>0</v>
      </c>
      <c r="BE193" s="197" t="n">
        <f aca="false">VLOOKUP($AU$1,'Datos Iniciales'!$E$34:$O$64,BE$158,FALSE())*BE95</f>
        <v>0</v>
      </c>
      <c r="BF193" s="194" t="str">
        <f aca="false">AU193</f>
        <v>Alumno34</v>
      </c>
      <c r="BG193" s="208" t="n">
        <f aca="false">VLOOKUP($BF$1,'Datos Iniciales'!$E$34:$O$64,BG$158,FALSE())*BG95</f>
        <v>0</v>
      </c>
      <c r="BH193" s="196" t="n">
        <f aca="false">VLOOKUP($BF$1,'Datos Iniciales'!$E$34:$O$64,BH$158,FALSE())*BH95</f>
        <v>0</v>
      </c>
      <c r="BI193" s="196" t="n">
        <f aca="false">VLOOKUP($BF$1,'Datos Iniciales'!$E$34:$O$64,BI$158,FALSE())*BI95</f>
        <v>0</v>
      </c>
      <c r="BJ193" s="196" t="n">
        <f aca="false">VLOOKUP($BF$1,'Datos Iniciales'!$E$34:$O$64,BJ$158,FALSE())*BJ95</f>
        <v>0</v>
      </c>
      <c r="BK193" s="196" t="n">
        <f aca="false">VLOOKUP($BF$1,'Datos Iniciales'!$E$34:$O$64,BK$158,FALSE())*BK95</f>
        <v>0</v>
      </c>
      <c r="BL193" s="196" t="n">
        <f aca="false">VLOOKUP($BF$1,'Datos Iniciales'!$E$34:$O$64,BL$158,FALSE())*BL95</f>
        <v>0</v>
      </c>
      <c r="BM193" s="196" t="n">
        <f aca="false">VLOOKUP($BF$1,'Datos Iniciales'!$E$34:$O$64,BM$158,FALSE())*BM95</f>
        <v>0</v>
      </c>
      <c r="BN193" s="196" t="n">
        <f aca="false">VLOOKUP($BF$1,'Datos Iniciales'!$E$34:$O$64,BN$158,FALSE())*BN95</f>
        <v>0</v>
      </c>
      <c r="BO193" s="196" t="n">
        <f aca="false">VLOOKUP($BF$1,'Datos Iniciales'!$E$34:$O$64,BO$158,FALSE())*BO95</f>
        <v>0</v>
      </c>
      <c r="BP193" s="197" t="n">
        <f aca="false">VLOOKUP($BF$1,'Datos Iniciales'!$E$34:$O$64,BP$158,FALSE())*BP95</f>
        <v>0</v>
      </c>
      <c r="BQ193" s="194" t="str">
        <f aca="false">BF193</f>
        <v>Alumno34</v>
      </c>
      <c r="BR193" s="208" t="n">
        <f aca="false">VLOOKUP($BQ$1,'Datos Iniciales'!$E$34:$O$64,BR$158,FALSE())*BR95</f>
        <v>0</v>
      </c>
      <c r="BS193" s="196" t="n">
        <f aca="false">VLOOKUP($BQ$1,'Datos Iniciales'!$E$34:$O$64,BS$158,FALSE())*BS95</f>
        <v>0</v>
      </c>
      <c r="BT193" s="196" t="n">
        <f aca="false">VLOOKUP($BQ$1,'Datos Iniciales'!$E$34:$O$64,BT$158,FALSE())*BT95</f>
        <v>0</v>
      </c>
      <c r="BU193" s="196" t="n">
        <f aca="false">VLOOKUP($BQ$1,'Datos Iniciales'!$E$34:$O$64,BU$158,FALSE())*BU95</f>
        <v>0</v>
      </c>
      <c r="BV193" s="196" t="n">
        <f aca="false">VLOOKUP($BQ$1,'Datos Iniciales'!$E$34:$O$64,BV$158,FALSE())*BV95</f>
        <v>0</v>
      </c>
      <c r="BW193" s="196" t="n">
        <f aca="false">VLOOKUP($BQ$1,'Datos Iniciales'!$E$34:$O$64,BW$158,FALSE())*BW95</f>
        <v>0</v>
      </c>
      <c r="BX193" s="196" t="n">
        <f aca="false">VLOOKUP($BQ$1,'Datos Iniciales'!$E$34:$O$64,BX$158,FALSE())*BX95</f>
        <v>0</v>
      </c>
      <c r="BY193" s="196" t="n">
        <f aca="false">VLOOKUP($BQ$1,'Datos Iniciales'!$E$34:$O$64,BY$158,FALSE())*BY95</f>
        <v>0</v>
      </c>
      <c r="BZ193" s="196" t="n">
        <f aca="false">VLOOKUP($BQ$1,'Datos Iniciales'!$E$34:$O$64,BZ$158,FALSE())*BZ95</f>
        <v>0</v>
      </c>
      <c r="CA193" s="197" t="n">
        <f aca="false">VLOOKUP($BQ$1,'Datos Iniciales'!$E$34:$O$64,CA$158,FALSE())*CA95</f>
        <v>0</v>
      </c>
      <c r="CB193" s="194" t="str">
        <f aca="false">BQ193</f>
        <v>Alumno34</v>
      </c>
      <c r="CC193" s="208" t="n">
        <f aca="false">VLOOKUP($CB$1,'Datos Iniciales'!$E$34:$O$64,CC$158,FALSE())*CC95</f>
        <v>0</v>
      </c>
      <c r="CD193" s="196" t="n">
        <f aca="false">VLOOKUP($CB$1,'Datos Iniciales'!$E$34:$O$64,CD$158,FALSE())*CD95</f>
        <v>0</v>
      </c>
      <c r="CE193" s="196" t="n">
        <f aca="false">VLOOKUP($CB$1,'Datos Iniciales'!$E$34:$O$64,CE$158,FALSE())*CE95</f>
        <v>0</v>
      </c>
      <c r="CF193" s="196" t="n">
        <f aca="false">VLOOKUP($CB$1,'Datos Iniciales'!$E$34:$O$64,CF$158,FALSE())*CF95</f>
        <v>0</v>
      </c>
      <c r="CG193" s="196" t="n">
        <f aca="false">VLOOKUP($CB$1,'Datos Iniciales'!$E$34:$O$64,CG$158,FALSE())*CG95</f>
        <v>0</v>
      </c>
      <c r="CH193" s="196" t="n">
        <f aca="false">VLOOKUP($CB$1,'Datos Iniciales'!$E$34:$O$64,CH$158,FALSE())*CH95</f>
        <v>0</v>
      </c>
      <c r="CI193" s="196" t="n">
        <f aca="false">VLOOKUP($CB$1,'Datos Iniciales'!$E$34:$O$64,CI$158,FALSE())*CI95</f>
        <v>0</v>
      </c>
      <c r="CJ193" s="196" t="n">
        <f aca="false">VLOOKUP($CB$1,'Datos Iniciales'!$E$34:$O$64,CJ$158,FALSE())*CJ95</f>
        <v>0</v>
      </c>
      <c r="CK193" s="196" t="n">
        <f aca="false">VLOOKUP($CB$1,'Datos Iniciales'!$E$34:$O$64,CK$158,FALSE())*CK95</f>
        <v>0</v>
      </c>
      <c r="CL193" s="197" t="n">
        <f aca="false">VLOOKUP($CB$1,'Datos Iniciales'!$E$34:$O$64,CL$158,FALSE())*CL95</f>
        <v>0</v>
      </c>
      <c r="CM193" s="194" t="str">
        <f aca="false">CB193</f>
        <v>Alumno34</v>
      </c>
      <c r="CN193" s="208" t="n">
        <f aca="false">VLOOKUP($CM$1,'Datos Iniciales'!$E$34:$O$64,CN$158,FALSE())*CN95</f>
        <v>0</v>
      </c>
      <c r="CO193" s="196" t="n">
        <f aca="false">VLOOKUP($CM$1,'Datos Iniciales'!$E$34:$O$64,CO$158,FALSE())*CO95</f>
        <v>0</v>
      </c>
      <c r="CP193" s="196" t="n">
        <f aca="false">VLOOKUP($CM$1,'Datos Iniciales'!$E$34:$O$64,CP$158,FALSE())*CP95</f>
        <v>0</v>
      </c>
      <c r="CQ193" s="196" t="n">
        <f aca="false">VLOOKUP($CM$1,'Datos Iniciales'!$E$34:$O$64,CQ$158,FALSE())*CQ95</f>
        <v>0</v>
      </c>
      <c r="CR193" s="196" t="n">
        <f aca="false">VLOOKUP($CM$1,'Datos Iniciales'!$E$34:$O$64,CR$158,FALSE())*CR95</f>
        <v>0</v>
      </c>
      <c r="CS193" s="196" t="n">
        <f aca="false">VLOOKUP($CM$1,'Datos Iniciales'!$E$34:$O$64,CS$158,FALSE())*CS95</f>
        <v>0</v>
      </c>
      <c r="CT193" s="196" t="n">
        <f aca="false">VLOOKUP($CM$1,'Datos Iniciales'!$E$34:$O$64,CT$158,FALSE())*CT95</f>
        <v>0</v>
      </c>
      <c r="CU193" s="196" t="n">
        <f aca="false">VLOOKUP($CM$1,'Datos Iniciales'!$E$34:$O$64,CU$158,FALSE())*CU95</f>
        <v>0</v>
      </c>
      <c r="CV193" s="196" t="n">
        <f aca="false">VLOOKUP($CM$1,'Datos Iniciales'!$E$34:$O$64,CV$158,FALSE())*CV95</f>
        <v>0</v>
      </c>
      <c r="CW193" s="197" t="n">
        <f aca="false">VLOOKUP($CM$1,'Datos Iniciales'!$E$34:$O$64,CW$158,FALSE())*CW95</f>
        <v>0</v>
      </c>
      <c r="CX193" s="194" t="str">
        <f aca="false">CM193</f>
        <v>Alumno34</v>
      </c>
      <c r="CY193" s="208" t="n">
        <f aca="false">VLOOKUP($CX$1,'Datos Iniciales'!$E$34:$O$64,CY$158,FALSE())*CY95</f>
        <v>0</v>
      </c>
      <c r="CZ193" s="196" t="n">
        <f aca="false">VLOOKUP($CX$1,'Datos Iniciales'!$E$34:$O$64,CZ$158,FALSE())*CZ95</f>
        <v>0</v>
      </c>
      <c r="DA193" s="196" t="n">
        <f aca="false">VLOOKUP($CX$1,'Datos Iniciales'!$E$34:$O$64,DA$158,FALSE())*DA95</f>
        <v>0</v>
      </c>
      <c r="DB193" s="196" t="n">
        <f aca="false">VLOOKUP($CX$1,'Datos Iniciales'!$E$34:$O$64,DB$158,FALSE())*DB95</f>
        <v>0</v>
      </c>
      <c r="DC193" s="196" t="n">
        <f aca="false">VLOOKUP($CX$1,'Datos Iniciales'!$E$34:$O$64,DC$158,FALSE())*DC95</f>
        <v>0</v>
      </c>
      <c r="DD193" s="196" t="n">
        <f aca="false">VLOOKUP($CX$1,'Datos Iniciales'!$E$34:$O$64,DD$158,FALSE())*DD95</f>
        <v>0</v>
      </c>
      <c r="DE193" s="196" t="n">
        <f aca="false">VLOOKUP($CX$1,'Datos Iniciales'!$E$34:$O$64,DE$158,FALSE())*DE95</f>
        <v>0</v>
      </c>
      <c r="DF193" s="196" t="n">
        <f aca="false">VLOOKUP($CX$1,'Datos Iniciales'!$E$34:$O$64,DF$158,FALSE())*DF95</f>
        <v>0</v>
      </c>
      <c r="DG193" s="196" t="n">
        <f aca="false">VLOOKUP($CX$1,'Datos Iniciales'!$E$34:$O$64,DG$158,FALSE())*DG95</f>
        <v>0</v>
      </c>
      <c r="DH193" s="197" t="n">
        <f aca="false">VLOOKUP($CX$1,'Datos Iniciales'!$E$34:$O$64,DH$158,FALSE())*DH95</f>
        <v>0</v>
      </c>
      <c r="DI193" s="194" t="str">
        <f aca="false">CX193</f>
        <v>Alumno34</v>
      </c>
      <c r="DJ193" s="208" t="n">
        <f aca="false">VLOOKUP($DI$1,'Datos Iniciales'!$E$34:$O$64,DJ$158,FALSE())*DJ95</f>
        <v>0</v>
      </c>
      <c r="DK193" s="196" t="n">
        <f aca="false">VLOOKUP($DI$1,'Datos Iniciales'!$E$34:$O$64,DK$158,FALSE())*DK95</f>
        <v>0</v>
      </c>
      <c r="DL193" s="196" t="n">
        <f aca="false">VLOOKUP($DI$1,'Datos Iniciales'!$E$34:$O$64,DL$158,FALSE())*DL95</f>
        <v>0</v>
      </c>
      <c r="DM193" s="196" t="n">
        <f aca="false">VLOOKUP($DI$1,'Datos Iniciales'!$E$34:$O$64,DM$158,FALSE())*DM95</f>
        <v>0</v>
      </c>
      <c r="DN193" s="196" t="n">
        <f aca="false">VLOOKUP($DI$1,'Datos Iniciales'!$E$34:$O$64,DN$158,FALSE())*DN95</f>
        <v>0</v>
      </c>
      <c r="DO193" s="196" t="n">
        <f aca="false">VLOOKUP($DI$1,'Datos Iniciales'!$E$34:$O$64,DO$158,FALSE())*DO95</f>
        <v>0</v>
      </c>
      <c r="DP193" s="196" t="n">
        <f aca="false">VLOOKUP($DI$1,'Datos Iniciales'!$E$34:$O$64,DP$158,FALSE())*DP95</f>
        <v>0</v>
      </c>
      <c r="DQ193" s="196" t="n">
        <f aca="false">VLOOKUP($DI$1,'Datos Iniciales'!$E$34:$O$64,DQ$158,FALSE())*DQ95</f>
        <v>0</v>
      </c>
      <c r="DR193" s="196" t="n">
        <f aca="false">VLOOKUP($DI$1,'Datos Iniciales'!$E$34:$O$64,DR$158,FALSE())*DR95</f>
        <v>0</v>
      </c>
      <c r="DS193" s="197" t="n">
        <f aca="false">VLOOKUP($DI$1,'Datos Iniciales'!$E$34:$O$64,DS$158,FALSE())*DS95</f>
        <v>0</v>
      </c>
      <c r="DT193" s="194" t="str">
        <f aca="false">DI193</f>
        <v>Alumno34</v>
      </c>
      <c r="DU193" s="208" t="n">
        <f aca="false">VLOOKUP($DT$1,'Datos Iniciales'!$E$34:$O$64,DU$158,FALSE())*DU95</f>
        <v>0</v>
      </c>
      <c r="DV193" s="196" t="n">
        <f aca="false">VLOOKUP($DT$1,'Datos Iniciales'!$E$34:$O$64,DV$158,FALSE())*DV95</f>
        <v>0</v>
      </c>
      <c r="DW193" s="196" t="n">
        <f aca="false">VLOOKUP($DT$1,'Datos Iniciales'!$E$34:$O$64,DW$158,FALSE())*DW95</f>
        <v>0</v>
      </c>
      <c r="DX193" s="196" t="n">
        <f aca="false">VLOOKUP($DT$1,'Datos Iniciales'!$E$34:$O$64,DX$158,FALSE())*DX95</f>
        <v>0</v>
      </c>
      <c r="DY193" s="196" t="n">
        <f aca="false">VLOOKUP($DT$1,'Datos Iniciales'!$E$34:$O$64,DY$158,FALSE())*DY95</f>
        <v>0</v>
      </c>
      <c r="DZ193" s="196" t="n">
        <f aca="false">VLOOKUP($DT$1,'Datos Iniciales'!$E$34:$O$64,DZ$158,FALSE())*DZ95</f>
        <v>0</v>
      </c>
      <c r="EA193" s="196" t="n">
        <f aca="false">VLOOKUP($DT$1,'Datos Iniciales'!$E$34:$O$64,EA$158,FALSE())*EA95</f>
        <v>0</v>
      </c>
      <c r="EB193" s="196" t="n">
        <f aca="false">VLOOKUP($DT$1,'Datos Iniciales'!$E$34:$O$64,EB$158,FALSE())*EB95</f>
        <v>0</v>
      </c>
      <c r="EC193" s="196" t="n">
        <f aca="false">VLOOKUP($DT$1,'Datos Iniciales'!$E$34:$O$64,EC$158,FALSE())*EC95</f>
        <v>0</v>
      </c>
      <c r="ED193" s="197" t="n">
        <f aca="false">VLOOKUP($DT$1,'Datos Iniciales'!$E$34:$O$64,ED$158,FALSE())*ED95</f>
        <v>0</v>
      </c>
      <c r="EE193" s="194" t="str">
        <f aca="false">DT193</f>
        <v>Alumno34</v>
      </c>
      <c r="EF193" s="208" t="n">
        <f aca="false">VLOOKUP($EE$1,'Datos Iniciales'!$E$34:$O$64,EF$158,FALSE())*EF95</f>
        <v>0</v>
      </c>
      <c r="EG193" s="196" t="n">
        <f aca="false">VLOOKUP($EE$1,'Datos Iniciales'!$E$34:$O$64,EG$158,FALSE())*EG95</f>
        <v>0</v>
      </c>
      <c r="EH193" s="196" t="n">
        <f aca="false">VLOOKUP($EE$1,'Datos Iniciales'!$E$34:$O$64,EH$158,FALSE())*EH95</f>
        <v>0</v>
      </c>
      <c r="EI193" s="196" t="n">
        <f aca="false">VLOOKUP($EE$1,'Datos Iniciales'!$E$34:$O$64,EI$158,FALSE())*EI95</f>
        <v>0</v>
      </c>
      <c r="EJ193" s="196" t="n">
        <f aca="false">VLOOKUP($EE$1,'Datos Iniciales'!$E$34:$O$64,EJ$158,FALSE())*EJ95</f>
        <v>0</v>
      </c>
      <c r="EK193" s="196" t="n">
        <f aca="false">VLOOKUP($EE$1,'Datos Iniciales'!$E$34:$O$64,EK$158,FALSE())*EK95</f>
        <v>0</v>
      </c>
      <c r="EL193" s="196" t="n">
        <f aca="false">VLOOKUP($EE$1,'Datos Iniciales'!$E$34:$O$64,EL$158,FALSE())*EL95</f>
        <v>0</v>
      </c>
      <c r="EM193" s="196" t="n">
        <f aca="false">VLOOKUP($EE$1,'Datos Iniciales'!$E$34:$O$64,EM$158,FALSE())*EM95</f>
        <v>0</v>
      </c>
      <c r="EN193" s="196" t="n">
        <f aca="false">VLOOKUP($EE$1,'Datos Iniciales'!$E$34:$O$64,EN$158,FALSE())*EN95</f>
        <v>0</v>
      </c>
      <c r="EO193" s="197" t="n">
        <f aca="false">VLOOKUP($EE$1,'Datos Iniciales'!$E$34:$O$64,EO$158,FALSE())*EO95</f>
        <v>0</v>
      </c>
      <c r="EP193" s="194" t="str">
        <f aca="false">EE193</f>
        <v>Alumno34</v>
      </c>
      <c r="EQ193" s="208" t="n">
        <f aca="false">VLOOKUP($EP$1,'Datos Iniciales'!$E$34:$O$64,EQ$158,FALSE())*EQ95</f>
        <v>0</v>
      </c>
      <c r="ER193" s="196" t="n">
        <f aca="false">VLOOKUP($EP$1,'Datos Iniciales'!$E$34:$O$64,ER$158,FALSE())*ER95</f>
        <v>0</v>
      </c>
      <c r="ES193" s="196" t="n">
        <f aca="false">VLOOKUP($EP$1,'Datos Iniciales'!$E$34:$O$64,ES$158,FALSE())*ES95</f>
        <v>0</v>
      </c>
      <c r="ET193" s="196" t="n">
        <f aca="false">VLOOKUP($EP$1,'Datos Iniciales'!$E$34:$O$64,ET$158,FALSE())*ET95</f>
        <v>0</v>
      </c>
      <c r="EU193" s="196" t="n">
        <f aca="false">VLOOKUP($EP$1,'Datos Iniciales'!$E$34:$O$64,EU$158,FALSE())*EU95</f>
        <v>0</v>
      </c>
      <c r="EV193" s="196" t="n">
        <f aca="false">VLOOKUP($EP$1,'Datos Iniciales'!$E$34:$O$64,EV$158,FALSE())*EV95</f>
        <v>0</v>
      </c>
      <c r="EW193" s="196" t="n">
        <f aca="false">VLOOKUP($EP$1,'Datos Iniciales'!$E$34:$O$64,EW$158,FALSE())*EW95</f>
        <v>0</v>
      </c>
      <c r="EX193" s="196" t="n">
        <f aca="false">VLOOKUP($EP$1,'Datos Iniciales'!$E$34:$O$64,EX$158,FALSE())*EX95</f>
        <v>0</v>
      </c>
      <c r="EY193" s="196" t="n">
        <f aca="false">VLOOKUP($EP$1,'Datos Iniciales'!$E$34:$O$64,EY$158,FALSE())*EY95</f>
        <v>0</v>
      </c>
      <c r="EZ193" s="197" t="n">
        <f aca="false">VLOOKUP($EP$1,'Datos Iniciales'!$E$34:$O$64,EZ$158,FALSE())*EZ95</f>
        <v>0</v>
      </c>
      <c r="FA193" s="194" t="str">
        <f aca="false">EP193</f>
        <v>Alumno34</v>
      </c>
      <c r="FB193" s="208" t="n">
        <f aca="false">VLOOKUP($FA$1,'Datos Iniciales'!$E$34:$O$64,FB$158,FALSE())*FB95</f>
        <v>0</v>
      </c>
      <c r="FC193" s="196" t="n">
        <f aca="false">VLOOKUP($FA$1,'Datos Iniciales'!$E$34:$O$64,FC$158,FALSE())*FC95</f>
        <v>0</v>
      </c>
      <c r="FD193" s="196" t="n">
        <f aca="false">VLOOKUP($FA$1,'Datos Iniciales'!$E$34:$O$64,FD$158,FALSE())*FD95</f>
        <v>0</v>
      </c>
      <c r="FE193" s="196" t="n">
        <f aca="false">VLOOKUP($FA$1,'Datos Iniciales'!$E$34:$O$64,FE$158,FALSE())*FE95</f>
        <v>0</v>
      </c>
      <c r="FF193" s="196" t="n">
        <f aca="false">VLOOKUP($FA$1,'Datos Iniciales'!$E$34:$O$64,FF$158,FALSE())*FF95</f>
        <v>0</v>
      </c>
      <c r="FG193" s="196" t="n">
        <f aca="false">VLOOKUP($FA$1,'Datos Iniciales'!$E$34:$O$64,FG$158,FALSE())*FG95</f>
        <v>0</v>
      </c>
      <c r="FH193" s="196" t="n">
        <f aca="false">VLOOKUP($FA$1,'Datos Iniciales'!$E$34:$O$64,FH$158,FALSE())*FH95</f>
        <v>0</v>
      </c>
      <c r="FI193" s="196" t="n">
        <f aca="false">VLOOKUP($FA$1,'Datos Iniciales'!$E$34:$O$64,FI$158,FALSE())*FI95</f>
        <v>0</v>
      </c>
      <c r="FJ193" s="196" t="n">
        <f aca="false">VLOOKUP($FA$1,'Datos Iniciales'!$E$34:$O$64,FJ$158,FALSE())*FJ95</f>
        <v>0</v>
      </c>
      <c r="FK193" s="197" t="n">
        <f aca="false">VLOOKUP($FA$1,'Datos Iniciales'!$E$34:$O$64,FK$158,FALSE())*FK95</f>
        <v>0</v>
      </c>
      <c r="FL193" s="194" t="str">
        <f aca="false">FA193</f>
        <v>Alumno34</v>
      </c>
      <c r="FM193" s="208" t="n">
        <f aca="false">VLOOKUP($FL$1,'Datos Iniciales'!$E$34:$O$64,FM$158,FALSE())*FM95</f>
        <v>0</v>
      </c>
      <c r="FN193" s="196" t="n">
        <f aca="false">VLOOKUP($FL$1,'Datos Iniciales'!$E$34:$O$64,FN$158,FALSE())*FN95</f>
        <v>0</v>
      </c>
      <c r="FO193" s="196" t="n">
        <f aca="false">VLOOKUP($FL$1,'Datos Iniciales'!$E$34:$O$64,FO$158,FALSE())*FO95</f>
        <v>0</v>
      </c>
      <c r="FP193" s="196" t="n">
        <f aca="false">VLOOKUP($FL$1,'Datos Iniciales'!$E$34:$O$64,FP$158,FALSE())*FP95</f>
        <v>0</v>
      </c>
      <c r="FQ193" s="196" t="n">
        <f aca="false">VLOOKUP($FL$1,'Datos Iniciales'!$E$34:$O$64,FQ$158,FALSE())*FQ95</f>
        <v>0</v>
      </c>
      <c r="FR193" s="196" t="n">
        <f aca="false">VLOOKUP($FL$1,'Datos Iniciales'!$E$34:$O$64,FR$158,FALSE())*FR95</f>
        <v>0</v>
      </c>
      <c r="FS193" s="196" t="n">
        <f aca="false">VLOOKUP($FL$1,'Datos Iniciales'!$E$34:$O$64,FS$158,FALSE())*FS95</f>
        <v>0</v>
      </c>
      <c r="FT193" s="196" t="n">
        <f aca="false">VLOOKUP($FL$1,'Datos Iniciales'!$E$34:$O$64,FT$158,FALSE())*FT95</f>
        <v>0</v>
      </c>
      <c r="FU193" s="196" t="n">
        <f aca="false">VLOOKUP($FL$1,'Datos Iniciales'!$E$34:$O$64,FU$158,FALSE())*FU95</f>
        <v>0</v>
      </c>
      <c r="FV193" s="197" t="n">
        <f aca="false">VLOOKUP($FL$1,'Datos Iniciales'!$E$34:$O$64,FV$158,FALSE())*FV95</f>
        <v>0</v>
      </c>
      <c r="FW193" s="194" t="str">
        <f aca="false">FL193</f>
        <v>Alumno34</v>
      </c>
      <c r="FX193" s="208" t="n">
        <f aca="false">VLOOKUP($FW$1,'Datos Iniciales'!$E$34:$O$64,FX$158,FALSE())*FX95</f>
        <v>0</v>
      </c>
      <c r="FY193" s="196" t="n">
        <f aca="false">VLOOKUP($FW$1,'Datos Iniciales'!$E$34:$O$64,FY$158,FALSE())*FY95</f>
        <v>0</v>
      </c>
      <c r="FZ193" s="196" t="n">
        <f aca="false">VLOOKUP($FW$1,'Datos Iniciales'!$E$34:$O$64,FZ$158,FALSE())*FZ95</f>
        <v>0</v>
      </c>
      <c r="GA193" s="196" t="n">
        <f aca="false">VLOOKUP($FW$1,'Datos Iniciales'!$E$34:$O$64,GA$158,FALSE())*GA95</f>
        <v>0</v>
      </c>
      <c r="GB193" s="196" t="n">
        <f aca="false">VLOOKUP($FW$1,'Datos Iniciales'!$E$34:$O$64,GB$158,FALSE())*GB95</f>
        <v>0</v>
      </c>
      <c r="GC193" s="196" t="n">
        <f aca="false">VLOOKUP($FW$1,'Datos Iniciales'!$E$34:$O$64,GC$158,FALSE())*GC95</f>
        <v>0</v>
      </c>
      <c r="GD193" s="196" t="n">
        <f aca="false">VLOOKUP($FW$1,'Datos Iniciales'!$E$34:$O$64,GD$158,FALSE())*GD95</f>
        <v>0</v>
      </c>
      <c r="GE193" s="196" t="n">
        <f aca="false">VLOOKUP($FW$1,'Datos Iniciales'!$E$34:$O$64,GE$158,FALSE())*GE95</f>
        <v>0</v>
      </c>
      <c r="GF193" s="196" t="n">
        <f aca="false">VLOOKUP($FW$1,'Datos Iniciales'!$E$34:$O$64,GF$158,FALSE())*GF95</f>
        <v>0</v>
      </c>
      <c r="GG193" s="197" t="n">
        <f aca="false">VLOOKUP($FW$1,'Datos Iniciales'!$E$34:$O$64,GG$158,FALSE())*GG95</f>
        <v>0</v>
      </c>
      <c r="GH193" s="194" t="str">
        <f aca="false">FW193</f>
        <v>Alumno34</v>
      </c>
      <c r="GI193" s="208" t="n">
        <f aca="false">VLOOKUP($GH$1,'Datos Iniciales'!$E$34:$O$64,GI$158,FALSE())*GI95</f>
        <v>0</v>
      </c>
      <c r="GJ193" s="196" t="n">
        <f aca="false">VLOOKUP($GH$1,'Datos Iniciales'!$E$34:$O$64,GJ$158,FALSE())*GJ95</f>
        <v>0</v>
      </c>
      <c r="GK193" s="196" t="n">
        <f aca="false">VLOOKUP($GH$1,'Datos Iniciales'!$E$34:$O$64,GK$158,FALSE())*GK95</f>
        <v>0</v>
      </c>
      <c r="GL193" s="196" t="n">
        <f aca="false">VLOOKUP($GH$1,'Datos Iniciales'!$E$34:$O$64,GL$158,FALSE())*GL95</f>
        <v>0</v>
      </c>
      <c r="GM193" s="196" t="n">
        <f aca="false">VLOOKUP($GH$1,'Datos Iniciales'!$E$34:$O$64,GM$158,FALSE())*GM95</f>
        <v>0</v>
      </c>
      <c r="GN193" s="196" t="n">
        <f aca="false">VLOOKUP($GH$1,'Datos Iniciales'!$E$34:$O$64,GN$158,FALSE())*GN95</f>
        <v>0</v>
      </c>
      <c r="GO193" s="196" t="n">
        <f aca="false">VLOOKUP($GH$1,'Datos Iniciales'!$E$34:$O$64,GO$158,FALSE())*GO95</f>
        <v>0</v>
      </c>
      <c r="GP193" s="196" t="n">
        <f aca="false">VLOOKUP($GH$1,'Datos Iniciales'!$E$34:$O$64,GP$158,FALSE())*GP95</f>
        <v>0</v>
      </c>
      <c r="GQ193" s="196" t="n">
        <f aca="false">VLOOKUP($GH$1,'Datos Iniciales'!$E$34:$O$64,GQ$158,FALSE())*GQ95</f>
        <v>0</v>
      </c>
      <c r="GR193" s="197" t="n">
        <f aca="false">VLOOKUP($GH$1,'Datos Iniciales'!$E$34:$O$64,GR$158,FALSE())*GR95</f>
        <v>0</v>
      </c>
      <c r="GS193" s="194" t="str">
        <f aca="false">GH193</f>
        <v>Alumno34</v>
      </c>
      <c r="GT193" s="208" t="n">
        <f aca="false">VLOOKUP($GS$1,'Datos Iniciales'!$E$34:$O$64,GT$158,FALSE())*GT95</f>
        <v>0</v>
      </c>
      <c r="GU193" s="196" t="n">
        <f aca="false">VLOOKUP($GS$1,'Datos Iniciales'!$E$34:$O$64,GU$158,FALSE())*GU95</f>
        <v>0</v>
      </c>
      <c r="GV193" s="196" t="n">
        <f aca="false">VLOOKUP($GS$1,'Datos Iniciales'!$E$34:$O$64,GV$158,FALSE())*GV95</f>
        <v>0</v>
      </c>
      <c r="GW193" s="196" t="n">
        <f aca="false">VLOOKUP($GS$1,'Datos Iniciales'!$E$34:$O$64,GW$158,FALSE())*GW95</f>
        <v>0</v>
      </c>
      <c r="GX193" s="196" t="n">
        <f aca="false">VLOOKUP($GS$1,'Datos Iniciales'!$E$34:$O$64,GX$158,FALSE())*GX95</f>
        <v>0</v>
      </c>
      <c r="GY193" s="196" t="n">
        <f aca="false">VLOOKUP($GS$1,'Datos Iniciales'!$E$34:$O$64,GY$158,FALSE())*GY95</f>
        <v>0</v>
      </c>
      <c r="GZ193" s="196" t="n">
        <f aca="false">VLOOKUP($GS$1,'Datos Iniciales'!$E$34:$O$64,GZ$158,FALSE())*GZ95</f>
        <v>0</v>
      </c>
      <c r="HA193" s="196" t="n">
        <f aca="false">VLOOKUP($GS$1,'Datos Iniciales'!$E$34:$O$64,HA$158,FALSE())*HA95</f>
        <v>0</v>
      </c>
      <c r="HB193" s="196" t="n">
        <f aca="false">VLOOKUP($GS$1,'Datos Iniciales'!$E$34:$O$64,HB$158,FALSE())*HB95</f>
        <v>0</v>
      </c>
      <c r="HC193" s="197" t="n">
        <f aca="false">VLOOKUP($GS$1,'Datos Iniciales'!$E$34:$O$64,HC$158,FALSE())*HC95</f>
        <v>0</v>
      </c>
      <c r="HD193" s="194" t="str">
        <f aca="false">GS193</f>
        <v>Alumno34</v>
      </c>
      <c r="HE193" s="208" t="n">
        <f aca="false">VLOOKUP($HD$1,'Datos Iniciales'!$E$34:$O$64,HE$158,FALSE())*HE95</f>
        <v>0</v>
      </c>
      <c r="HF193" s="196" t="n">
        <f aca="false">VLOOKUP($HD$1,'Datos Iniciales'!$E$34:$O$64,HF$158,FALSE())*HF95</f>
        <v>0</v>
      </c>
      <c r="HG193" s="196" t="n">
        <f aca="false">VLOOKUP($HD$1,'Datos Iniciales'!$E$34:$O$64,HG$158,FALSE())*HG95</f>
        <v>0</v>
      </c>
      <c r="HH193" s="196" t="n">
        <f aca="false">VLOOKUP($HD$1,'Datos Iniciales'!$E$34:$O$64,HH$158,FALSE())*HH95</f>
        <v>0</v>
      </c>
      <c r="HI193" s="196" t="n">
        <f aca="false">VLOOKUP($HD$1,'Datos Iniciales'!$E$34:$O$64,HI$158,FALSE())*HI95</f>
        <v>0</v>
      </c>
      <c r="HJ193" s="196" t="n">
        <f aca="false">VLOOKUP($HD$1,'Datos Iniciales'!$E$34:$O$64,HJ$158,FALSE())*HJ95</f>
        <v>0</v>
      </c>
      <c r="HK193" s="196" t="n">
        <f aca="false">VLOOKUP($HD$1,'Datos Iniciales'!$E$34:$O$64,HK$158,FALSE())*HK95</f>
        <v>0</v>
      </c>
      <c r="HL193" s="196" t="n">
        <f aca="false">VLOOKUP($HD$1,'Datos Iniciales'!$E$34:$O$64,HL$158,FALSE())*HL95</f>
        <v>0</v>
      </c>
      <c r="HM193" s="196" t="n">
        <f aca="false">VLOOKUP($HD$1,'Datos Iniciales'!$E$34:$O$64,HM$158,FALSE())*HM95</f>
        <v>0</v>
      </c>
      <c r="HN193" s="197" t="n">
        <f aca="false">VLOOKUP($HD$1,'Datos Iniciales'!$E$34:$O$64,HN$158,FALSE())*HN95</f>
        <v>0</v>
      </c>
      <c r="HO193" s="194" t="str">
        <f aca="false">HD193</f>
        <v>Alumno34</v>
      </c>
      <c r="HP193" s="208" t="n">
        <f aca="false">VLOOKUP($HO$1,'Datos Iniciales'!$E$34:$O$64,HP$158,FALSE())*HP95</f>
        <v>0</v>
      </c>
      <c r="HQ193" s="196" t="n">
        <f aca="false">VLOOKUP($HO$1,'Datos Iniciales'!$E$34:$O$64,HQ$158,FALSE())*HQ95</f>
        <v>0</v>
      </c>
      <c r="HR193" s="196" t="n">
        <f aca="false">VLOOKUP($HO$1,'Datos Iniciales'!$E$34:$O$64,HR$158,FALSE())*HR95</f>
        <v>0</v>
      </c>
      <c r="HS193" s="196" t="n">
        <f aca="false">VLOOKUP($HO$1,'Datos Iniciales'!$E$34:$O$64,HS$158,FALSE())*HS95</f>
        <v>0</v>
      </c>
      <c r="HT193" s="196" t="n">
        <f aca="false">VLOOKUP($HO$1,'Datos Iniciales'!$E$34:$O$64,HT$158,FALSE())*HT95</f>
        <v>0</v>
      </c>
      <c r="HU193" s="196" t="n">
        <f aca="false">VLOOKUP($HO$1,'Datos Iniciales'!$E$34:$O$64,HU$158,FALSE())*HU95</f>
        <v>0</v>
      </c>
      <c r="HV193" s="196" t="n">
        <f aca="false">VLOOKUP($HO$1,'Datos Iniciales'!$E$34:$O$64,HV$158,FALSE())*HV95</f>
        <v>0</v>
      </c>
      <c r="HW193" s="196" t="n">
        <f aca="false">VLOOKUP($HO$1,'Datos Iniciales'!$E$34:$O$64,HW$158,FALSE())*HW95</f>
        <v>0</v>
      </c>
      <c r="HX193" s="196" t="n">
        <f aca="false">VLOOKUP($HO$1,'Datos Iniciales'!$E$34:$O$64,HX$158,FALSE())*HX95</f>
        <v>0</v>
      </c>
      <c r="HY193" s="197" t="n">
        <f aca="false">VLOOKUP($HO$1,'Datos Iniciales'!$E$34:$O$64,HY$158,FALSE())*HY95</f>
        <v>0</v>
      </c>
      <c r="HZ193" s="194" t="str">
        <f aca="false">HO193</f>
        <v>Alumno34</v>
      </c>
      <c r="IA193" s="208" t="n">
        <f aca="false">VLOOKUP($HZ$1,'Datos Iniciales'!$E$34:$O$64,IA$158,FALSE())*IA95</f>
        <v>0</v>
      </c>
      <c r="IB193" s="196" t="n">
        <f aca="false">VLOOKUP($HZ$1,'Datos Iniciales'!$E$34:$O$64,IB$158,FALSE())*IB95</f>
        <v>0</v>
      </c>
      <c r="IC193" s="196" t="n">
        <f aca="false">VLOOKUP($HZ$1,'Datos Iniciales'!$E$34:$O$64,IC$158,FALSE())*IC95</f>
        <v>0</v>
      </c>
      <c r="ID193" s="196" t="n">
        <f aca="false">VLOOKUP($HZ$1,'Datos Iniciales'!$E$34:$O$64,ID$158,FALSE())*ID95</f>
        <v>0</v>
      </c>
      <c r="IE193" s="196" t="n">
        <f aca="false">VLOOKUP($HZ$1,'Datos Iniciales'!$E$34:$O$64,IE$158,FALSE())*IE95</f>
        <v>0</v>
      </c>
      <c r="IF193" s="196" t="n">
        <f aca="false">VLOOKUP($HZ$1,'Datos Iniciales'!$E$34:$O$64,IF$158,FALSE())*IF95</f>
        <v>0</v>
      </c>
      <c r="IG193" s="196" t="n">
        <f aca="false">VLOOKUP($HZ$1,'Datos Iniciales'!$E$34:$O$64,IG$158,FALSE())*IG95</f>
        <v>0</v>
      </c>
      <c r="IH193" s="196" t="n">
        <f aca="false">VLOOKUP($HZ$1,'Datos Iniciales'!$E$34:$O$64,IH$158,FALSE())*IH95</f>
        <v>0</v>
      </c>
      <c r="II193" s="196" t="n">
        <f aca="false">VLOOKUP($HZ$1,'Datos Iniciales'!$E$34:$O$64,II$158,FALSE())*II95</f>
        <v>0</v>
      </c>
      <c r="IJ193" s="197" t="n">
        <f aca="false">VLOOKUP($HZ$1,'Datos Iniciales'!$E$34:$O$64,IJ$158,FALSE())*IJ95</f>
        <v>0</v>
      </c>
      <c r="IK193" s="194" t="str">
        <f aca="false">HZ193</f>
        <v>Alumno34</v>
      </c>
      <c r="IL193" s="208" t="n">
        <f aca="false">VLOOKUP($IK$1,'Datos Iniciales'!$E$34:$O$64,IL$158,FALSE())*IL95</f>
        <v>0</v>
      </c>
      <c r="IM193" s="196" t="n">
        <f aca="false">VLOOKUP($IK$1,'Datos Iniciales'!$E$34:$O$64,IM$158,FALSE())*IM95</f>
        <v>0</v>
      </c>
      <c r="IN193" s="196" t="n">
        <f aca="false">VLOOKUP($IK$1,'Datos Iniciales'!$E$34:$O$64,IN$158,FALSE())*IN95</f>
        <v>0</v>
      </c>
      <c r="IO193" s="196" t="n">
        <f aca="false">VLOOKUP($IK$1,'Datos Iniciales'!$E$34:$O$64,IO$158,FALSE())*IO95</f>
        <v>0</v>
      </c>
      <c r="IP193" s="196" t="n">
        <f aca="false">VLOOKUP($IK$1,'Datos Iniciales'!$E$34:$O$64,IP$158,FALSE())*IP95</f>
        <v>0</v>
      </c>
      <c r="IQ193" s="196" t="n">
        <f aca="false">VLOOKUP($IK$1,'Datos Iniciales'!$E$34:$O$64,IQ$158,FALSE())*IQ95</f>
        <v>0</v>
      </c>
      <c r="IR193" s="196" t="n">
        <f aca="false">VLOOKUP($IK$1,'Datos Iniciales'!$E$34:$O$64,IR$158,FALSE())*IR95</f>
        <v>0</v>
      </c>
      <c r="IS193" s="196" t="n">
        <f aca="false">VLOOKUP($IK$1,'Datos Iniciales'!$E$34:$O$64,IS$158,FALSE())*IS95</f>
        <v>0</v>
      </c>
      <c r="IT193" s="196" t="n">
        <f aca="false">VLOOKUP($IK$1,'Datos Iniciales'!$E$34:$O$64,IT$158,FALSE())*IT95</f>
        <v>0</v>
      </c>
      <c r="IU193" s="197" t="n">
        <f aca="false">VLOOKUP($IK$1,'Datos Iniciales'!$E$34:$O$64,IU$158,FALSE())*IU95</f>
        <v>0</v>
      </c>
      <c r="IV193" s="194" t="str">
        <f aca="false">IK193</f>
        <v>Alumno34</v>
      </c>
      <c r="IW193" s="208" t="n">
        <f aca="false">VLOOKUP($IV$1,'Datos Iniciales'!$E$34:$O$64,IW$158,FALSE())*IW95</f>
        <v>0</v>
      </c>
      <c r="IX193" s="196" t="n">
        <f aca="false">VLOOKUP($IV$1,'Datos Iniciales'!$E$34:$O$64,IX$158,FALSE())*IX95</f>
        <v>0</v>
      </c>
      <c r="IY193" s="196" t="n">
        <f aca="false">VLOOKUP($IV$1,'Datos Iniciales'!$E$34:$O$64,IY$158,FALSE())*IY95</f>
        <v>0</v>
      </c>
      <c r="IZ193" s="196" t="n">
        <f aca="false">VLOOKUP($IV$1,'Datos Iniciales'!$E$34:$O$64,IZ$158,FALSE())*IZ95</f>
        <v>0</v>
      </c>
      <c r="JA193" s="196" t="n">
        <f aca="false">VLOOKUP($IV$1,'Datos Iniciales'!$E$34:$O$64,JA$158,FALSE())*JA95</f>
        <v>0</v>
      </c>
      <c r="JB193" s="196" t="n">
        <f aca="false">VLOOKUP($IV$1,'Datos Iniciales'!$E$34:$O$64,JB$158,FALSE())*JB95</f>
        <v>0</v>
      </c>
      <c r="JC193" s="196" t="n">
        <f aca="false">VLOOKUP($IV$1,'Datos Iniciales'!$E$34:$O$64,JC$158,FALSE())*JC95</f>
        <v>0</v>
      </c>
      <c r="JD193" s="196" t="n">
        <f aca="false">VLOOKUP($IV$1,'Datos Iniciales'!$E$34:$O$64,JD$158,FALSE())*JD95</f>
        <v>0</v>
      </c>
      <c r="JE193" s="196" t="n">
        <f aca="false">VLOOKUP($IV$1,'Datos Iniciales'!$E$34:$O$64,JE$158,FALSE())*JE95</f>
        <v>0</v>
      </c>
      <c r="JF193" s="197" t="n">
        <f aca="false">VLOOKUP($IV$1,'Datos Iniciales'!$E$34:$O$64,JF$158,FALSE())*JF95</f>
        <v>0</v>
      </c>
      <c r="JG193" s="194" t="str">
        <f aca="false">IV193</f>
        <v>Alumno34</v>
      </c>
      <c r="JH193" s="208" t="n">
        <f aca="false">VLOOKUP($JG$1,'Datos Iniciales'!$E$34:$O$64,JH$158,FALSE())*JH95</f>
        <v>0</v>
      </c>
      <c r="JI193" s="196" t="n">
        <f aca="false">VLOOKUP($JG$1,'Datos Iniciales'!$E$34:$O$64,JI$158,FALSE())*JI95</f>
        <v>0</v>
      </c>
      <c r="JJ193" s="196" t="n">
        <f aca="false">VLOOKUP($JG$1,'Datos Iniciales'!$E$34:$O$64,JJ$158,FALSE())*JJ95</f>
        <v>0</v>
      </c>
      <c r="JK193" s="196" t="n">
        <f aca="false">VLOOKUP($JG$1,'Datos Iniciales'!$E$34:$O$64,JK$158,FALSE())*JK95</f>
        <v>0</v>
      </c>
      <c r="JL193" s="196" t="n">
        <f aca="false">VLOOKUP($JG$1,'Datos Iniciales'!$E$34:$O$64,JL$158,FALSE())*JL95</f>
        <v>0</v>
      </c>
      <c r="JM193" s="196" t="n">
        <f aca="false">VLOOKUP($JG$1,'Datos Iniciales'!$E$34:$O$64,JM$158,FALSE())*JM95</f>
        <v>0</v>
      </c>
      <c r="JN193" s="196" t="n">
        <f aca="false">VLOOKUP($JG$1,'Datos Iniciales'!$E$34:$O$64,JN$158,FALSE())*JN95</f>
        <v>0</v>
      </c>
      <c r="JO193" s="196" t="n">
        <f aca="false">VLOOKUP($JG$1,'Datos Iniciales'!$E$34:$O$64,JO$158,FALSE())*JO95</f>
        <v>0</v>
      </c>
      <c r="JP193" s="196" t="n">
        <f aca="false">VLOOKUP($JG$1,'Datos Iniciales'!$E$34:$O$64,JP$158,FALSE())*JP95</f>
        <v>0</v>
      </c>
      <c r="JQ193" s="197" t="n">
        <f aca="false">VLOOKUP($JG$1,'Datos Iniciales'!$E$34:$O$64,JQ$158,FALSE())*JQ95</f>
        <v>0</v>
      </c>
      <c r="JR193" s="194" t="str">
        <f aca="false">JG193</f>
        <v>Alumno34</v>
      </c>
      <c r="JS193" s="208" t="n">
        <f aca="false">VLOOKUP($JR$1,'Datos Iniciales'!$E$34:$O$64,JS$158,FALSE())*JS95</f>
        <v>0</v>
      </c>
      <c r="JT193" s="196" t="n">
        <f aca="false">VLOOKUP($JR$1,'Datos Iniciales'!$E$34:$O$64,JT$158,FALSE())*JT95</f>
        <v>0</v>
      </c>
      <c r="JU193" s="196" t="n">
        <f aca="false">VLOOKUP($JR$1,'Datos Iniciales'!$E$34:$O$64,JU$158,FALSE())*JU95</f>
        <v>0</v>
      </c>
      <c r="JV193" s="196" t="n">
        <f aca="false">VLOOKUP($JR$1,'Datos Iniciales'!$E$34:$O$64,JV$158,FALSE())*JV95</f>
        <v>0</v>
      </c>
      <c r="JW193" s="196" t="n">
        <f aca="false">VLOOKUP($JR$1,'Datos Iniciales'!$E$34:$O$64,JW$158,FALSE())*JW95</f>
        <v>0</v>
      </c>
      <c r="JX193" s="196" t="n">
        <f aca="false">VLOOKUP($JR$1,'Datos Iniciales'!$E$34:$O$64,JX$158,FALSE())*JX95</f>
        <v>0</v>
      </c>
      <c r="JY193" s="196" t="n">
        <f aca="false">VLOOKUP($JR$1,'Datos Iniciales'!$E$34:$O$64,JY$158,FALSE())*JY95</f>
        <v>0</v>
      </c>
      <c r="JZ193" s="196" t="n">
        <f aca="false">VLOOKUP($JR$1,'Datos Iniciales'!$E$34:$O$64,JZ$158,FALSE())*JZ95</f>
        <v>0</v>
      </c>
      <c r="KA193" s="196" t="n">
        <f aca="false">VLOOKUP($JR$1,'Datos Iniciales'!$E$34:$O$64,KA$158,FALSE())*KA95</f>
        <v>0</v>
      </c>
      <c r="KB193" s="197" t="n">
        <f aca="false">VLOOKUP($JR$1,'Datos Iniciales'!$E$34:$O$64,KB$158,FALSE())*KB95</f>
        <v>0</v>
      </c>
      <c r="KC193" s="194" t="str">
        <f aca="false">JR193</f>
        <v>Alumno34</v>
      </c>
      <c r="KD193" s="208" t="n">
        <f aca="false">VLOOKUP($KC$1,'Datos Iniciales'!$E$34:$O$64,KD$158,FALSE())*KD95</f>
        <v>0</v>
      </c>
      <c r="KE193" s="196" t="n">
        <f aca="false">VLOOKUP($KC$1,'Datos Iniciales'!$E$34:$O$64,KE$158,FALSE())*KE95</f>
        <v>0</v>
      </c>
      <c r="KF193" s="196" t="n">
        <f aca="false">VLOOKUP($KC$1,'Datos Iniciales'!$E$34:$O$64,KF$158,FALSE())*KF95</f>
        <v>0</v>
      </c>
      <c r="KG193" s="196" t="n">
        <f aca="false">VLOOKUP($KC$1,'Datos Iniciales'!$E$34:$O$64,KG$158,FALSE())*KG95</f>
        <v>0</v>
      </c>
      <c r="KH193" s="196" t="n">
        <f aca="false">VLOOKUP($KC$1,'Datos Iniciales'!$E$34:$O$64,KH$158,FALSE())*KH95</f>
        <v>0</v>
      </c>
      <c r="KI193" s="196" t="n">
        <f aca="false">VLOOKUP($KC$1,'Datos Iniciales'!$E$34:$O$64,KI$158,FALSE())*KI95</f>
        <v>0</v>
      </c>
      <c r="KJ193" s="196" t="n">
        <f aca="false">VLOOKUP($KC$1,'Datos Iniciales'!$E$34:$O$64,KJ$158,FALSE())*KJ95</f>
        <v>0</v>
      </c>
      <c r="KK193" s="196" t="n">
        <f aca="false">VLOOKUP($KC$1,'Datos Iniciales'!$E$34:$O$64,KK$158,FALSE())*KK95</f>
        <v>0</v>
      </c>
      <c r="KL193" s="196" t="n">
        <f aca="false">VLOOKUP($KC$1,'Datos Iniciales'!$E$34:$O$64,KL$158,FALSE())*KL95</f>
        <v>0</v>
      </c>
      <c r="KM193" s="197" t="n">
        <f aca="false">VLOOKUP($KC$1,'Datos Iniciales'!$E$34:$O$64,KM$158,FALSE())*KM95</f>
        <v>0</v>
      </c>
      <c r="KN193" s="194" t="str">
        <f aca="false">KC193</f>
        <v>Alumno34</v>
      </c>
      <c r="KO193" s="208" t="n">
        <f aca="false">VLOOKUP($KN$1,'Datos Iniciales'!$E$34:$O$64,KO$158,FALSE())*KO95</f>
        <v>0</v>
      </c>
      <c r="KP193" s="196" t="n">
        <f aca="false">VLOOKUP($KN$1,'Datos Iniciales'!$E$34:$O$64,KP$158,FALSE())*KP95</f>
        <v>0</v>
      </c>
      <c r="KQ193" s="196" t="n">
        <f aca="false">VLOOKUP($KN$1,'Datos Iniciales'!$E$34:$O$64,KQ$158,FALSE())*KQ95</f>
        <v>0</v>
      </c>
      <c r="KR193" s="196" t="n">
        <f aca="false">VLOOKUP($KN$1,'Datos Iniciales'!$E$34:$O$64,KR$158,FALSE())*KR95</f>
        <v>0</v>
      </c>
      <c r="KS193" s="196" t="n">
        <f aca="false">VLOOKUP($KN$1,'Datos Iniciales'!$E$34:$O$64,KS$158,FALSE())*KS95</f>
        <v>0</v>
      </c>
      <c r="KT193" s="196" t="n">
        <f aca="false">VLOOKUP($KN$1,'Datos Iniciales'!$E$34:$O$64,KT$158,FALSE())*KT95</f>
        <v>0</v>
      </c>
      <c r="KU193" s="196" t="n">
        <f aca="false">VLOOKUP($KN$1,'Datos Iniciales'!$E$34:$O$64,KU$158,FALSE())*KU95</f>
        <v>0</v>
      </c>
      <c r="KV193" s="196" t="n">
        <f aca="false">VLOOKUP($KN$1,'Datos Iniciales'!$E$34:$O$64,KV$158,FALSE())*KV95</f>
        <v>0</v>
      </c>
      <c r="KW193" s="196" t="n">
        <f aca="false">VLOOKUP($KN$1,'Datos Iniciales'!$E$34:$O$64,KW$158,FALSE())*KW95</f>
        <v>0</v>
      </c>
      <c r="KX193" s="197" t="n">
        <f aca="false">VLOOKUP($KN$1,'Datos Iniciales'!$E$34:$O$64,KX$158,FALSE())*KX95</f>
        <v>0</v>
      </c>
      <c r="KY193" s="194" t="str">
        <f aca="false">KN193</f>
        <v>Alumno34</v>
      </c>
      <c r="KZ193" s="208" t="n">
        <f aca="false">VLOOKUP($KY$1,'Datos Iniciales'!$E$34:$O$64,KZ$158,FALSE())*KZ95</f>
        <v>0</v>
      </c>
      <c r="LA193" s="196" t="n">
        <f aca="false">VLOOKUP($KY$1,'Datos Iniciales'!$E$34:$O$64,LA$158,FALSE())*LA95</f>
        <v>0</v>
      </c>
      <c r="LB193" s="196" t="n">
        <f aca="false">VLOOKUP($KY$1,'Datos Iniciales'!$E$34:$O$64,LB$158,FALSE())*LB95</f>
        <v>0</v>
      </c>
      <c r="LC193" s="196" t="n">
        <f aca="false">VLOOKUP($KY$1,'Datos Iniciales'!$E$34:$O$64,LC$158,FALSE())*LC95</f>
        <v>0</v>
      </c>
      <c r="LD193" s="196" t="n">
        <f aca="false">VLOOKUP($KY$1,'Datos Iniciales'!$E$34:$O$64,LD$158,FALSE())*LD95</f>
        <v>0</v>
      </c>
      <c r="LE193" s="196" t="n">
        <f aca="false">VLOOKUP($KY$1,'Datos Iniciales'!$E$34:$O$64,LE$158,FALSE())*LE95</f>
        <v>0</v>
      </c>
      <c r="LF193" s="196" t="n">
        <f aca="false">VLOOKUP($KY$1,'Datos Iniciales'!$E$34:$O$64,LF$158,FALSE())*LF95</f>
        <v>0</v>
      </c>
      <c r="LG193" s="196" t="n">
        <f aca="false">VLOOKUP($KY$1,'Datos Iniciales'!$E$34:$O$64,LG$158,FALSE())*LG95</f>
        <v>0</v>
      </c>
      <c r="LH193" s="196" t="n">
        <f aca="false">VLOOKUP($KY$1,'Datos Iniciales'!$E$34:$O$64,LH$158,FALSE())*LH95</f>
        <v>0</v>
      </c>
      <c r="LI193" s="197" t="n">
        <f aca="false">VLOOKUP($KY$1,'Datos Iniciales'!$E$34:$O$64,LI$158,FALSE())*LI95</f>
        <v>0</v>
      </c>
      <c r="LJ193" s="194" t="str">
        <f aca="false">KY193</f>
        <v>Alumno34</v>
      </c>
      <c r="LK193" s="208" t="n">
        <f aca="false">VLOOKUP($LJ$1,'Datos Iniciales'!$E$34:$O$64,LK$158,FALSE())*LK95</f>
        <v>0</v>
      </c>
      <c r="LL193" s="196" t="n">
        <f aca="false">VLOOKUP($LJ$1,'Datos Iniciales'!$E$34:$O$64,LL$158,FALSE())*LL95</f>
        <v>0</v>
      </c>
      <c r="LM193" s="196" t="n">
        <f aca="false">VLOOKUP($LJ$1,'Datos Iniciales'!$E$34:$O$64,LM$158,FALSE())*LM95</f>
        <v>0</v>
      </c>
      <c r="LN193" s="196" t="n">
        <f aca="false">VLOOKUP($LJ$1,'Datos Iniciales'!$E$34:$O$64,LN$158,FALSE())*LN95</f>
        <v>0</v>
      </c>
      <c r="LO193" s="196" t="n">
        <f aca="false">VLOOKUP($LJ$1,'Datos Iniciales'!$E$34:$O$64,LO$158,FALSE())*LO95</f>
        <v>0</v>
      </c>
      <c r="LP193" s="196" t="n">
        <f aca="false">VLOOKUP($LJ$1,'Datos Iniciales'!$E$34:$O$64,LP$158,FALSE())*LP95</f>
        <v>0</v>
      </c>
      <c r="LQ193" s="196" t="n">
        <f aca="false">VLOOKUP($LJ$1,'Datos Iniciales'!$E$34:$O$64,LQ$158,FALSE())*LQ95</f>
        <v>0</v>
      </c>
      <c r="LR193" s="196" t="n">
        <f aca="false">VLOOKUP($LJ$1,'Datos Iniciales'!$E$34:$O$64,LR$158,FALSE())*LR95</f>
        <v>0</v>
      </c>
      <c r="LS193" s="196" t="n">
        <f aca="false">VLOOKUP($LJ$1,'Datos Iniciales'!$E$34:$O$64,LS$158,FALSE())*LS95</f>
        <v>0</v>
      </c>
      <c r="LT193" s="197" t="n">
        <f aca="false">VLOOKUP($LJ$1,'Datos Iniciales'!$E$34:$O$64,LT$158,FALSE())*LT95</f>
        <v>0</v>
      </c>
    </row>
    <row r="194" customFormat="false" ht="15" hidden="true" customHeight="false" outlineLevel="0" collapsed="false">
      <c r="C194" s="194" t="str">
        <f aca="false">C145</f>
        <v>Alumno35</v>
      </c>
      <c r="D194" s="208" t="n">
        <f aca="false">VLOOKUP($C$1,'Datos Iniciales'!$E$34:$O$64,D$158,FALSE())*D96</f>
        <v>0</v>
      </c>
      <c r="E194" s="196" t="n">
        <f aca="false">VLOOKUP($C$1,'Datos Iniciales'!$E$34:$O$64,E$158,FALSE())*E96</f>
        <v>0</v>
      </c>
      <c r="F194" s="196" t="n">
        <f aca="false">VLOOKUP($C$1,'Datos Iniciales'!$E$34:$O$64,F$158,FALSE())*F96</f>
        <v>0</v>
      </c>
      <c r="G194" s="196" t="n">
        <f aca="false">VLOOKUP($C$1,'Datos Iniciales'!$E$34:$O$64,G$158,FALSE())*G96</f>
        <v>0</v>
      </c>
      <c r="H194" s="196" t="n">
        <f aca="false">VLOOKUP($C$1,'Datos Iniciales'!$E$34:$O$64,H$158,FALSE())*H96</f>
        <v>0</v>
      </c>
      <c r="I194" s="196" t="n">
        <f aca="false">VLOOKUP($C$1,'Datos Iniciales'!$E$34:$O$64,I$158,FALSE())*I96</f>
        <v>0</v>
      </c>
      <c r="J194" s="196" t="n">
        <f aca="false">VLOOKUP($C$1,'Datos Iniciales'!$E$34:$O$64,J$158,FALSE())*J96</f>
        <v>0</v>
      </c>
      <c r="K194" s="196" t="n">
        <f aca="false">VLOOKUP($C$1,'Datos Iniciales'!$E$34:$O$64,K$158,FALSE())*K96</f>
        <v>0</v>
      </c>
      <c r="L194" s="196" t="n">
        <f aca="false">VLOOKUP($C$1,'Datos Iniciales'!$E$34:$O$64,L$158,FALSE())*L96</f>
        <v>0</v>
      </c>
      <c r="M194" s="197" t="n">
        <f aca="false">VLOOKUP($C$1,'Datos Iniciales'!$E$34:$O$64,M$158,FALSE())*M96</f>
        <v>0</v>
      </c>
      <c r="N194" s="194" t="str">
        <f aca="false">C194</f>
        <v>Alumno35</v>
      </c>
      <c r="O194" s="208" t="n">
        <f aca="false">VLOOKUP($N$1,'Datos Iniciales'!$E$34:$O$64,O$158,FALSE())*O96</f>
        <v>0</v>
      </c>
      <c r="P194" s="196" t="n">
        <f aca="false">VLOOKUP($N$1,'Datos Iniciales'!$E$34:$O$64,P$158,FALSE())*P96</f>
        <v>0</v>
      </c>
      <c r="Q194" s="196" t="n">
        <f aca="false">VLOOKUP($N$1,'Datos Iniciales'!$E$34:$O$64,Q$158,FALSE())*Q96</f>
        <v>0</v>
      </c>
      <c r="R194" s="196" t="n">
        <f aca="false">VLOOKUP($N$1,'Datos Iniciales'!$E$34:$O$64,R$158,FALSE())*R96</f>
        <v>0</v>
      </c>
      <c r="S194" s="196" t="n">
        <f aca="false">VLOOKUP($N$1,'Datos Iniciales'!$E$34:$O$64,S$158,FALSE())*S96</f>
        <v>0</v>
      </c>
      <c r="T194" s="196" t="n">
        <f aca="false">VLOOKUP($N$1,'Datos Iniciales'!$E$34:$O$64,T$158,FALSE())*T96</f>
        <v>0</v>
      </c>
      <c r="U194" s="196" t="n">
        <f aca="false">VLOOKUP($N$1,'Datos Iniciales'!$E$34:$O$64,U$158,FALSE())*U96</f>
        <v>0</v>
      </c>
      <c r="V194" s="196" t="n">
        <f aca="false">VLOOKUP($N$1,'Datos Iniciales'!$E$34:$O$64,V$158,FALSE())*V96</f>
        <v>0</v>
      </c>
      <c r="W194" s="196" t="n">
        <f aca="false">VLOOKUP($N$1,'Datos Iniciales'!$E$34:$O$64,W$158,FALSE())*W96</f>
        <v>0</v>
      </c>
      <c r="X194" s="197" t="n">
        <f aca="false">VLOOKUP($N$1,'Datos Iniciales'!$E$34:$O$64,X$158,FALSE())*X96</f>
        <v>0</v>
      </c>
      <c r="Y194" s="194" t="str">
        <f aca="false">N194</f>
        <v>Alumno35</v>
      </c>
      <c r="Z194" s="208" t="n">
        <f aca="false">VLOOKUP($Y$1,'Datos Iniciales'!$E$34:$O$64,Z$158,FALSE())*Z96</f>
        <v>0</v>
      </c>
      <c r="AA194" s="196" t="n">
        <f aca="false">VLOOKUP($Y$1,'Datos Iniciales'!$E$34:$O$64,AA$158,FALSE())*AA96</f>
        <v>0</v>
      </c>
      <c r="AB194" s="196" t="n">
        <f aca="false">VLOOKUP($Y$1,'Datos Iniciales'!$E$34:$O$64,AB$158,FALSE())*AB96</f>
        <v>0</v>
      </c>
      <c r="AC194" s="196" t="n">
        <f aca="false">VLOOKUP($Y$1,'Datos Iniciales'!$E$34:$O$64,AC$158,FALSE())*AC96</f>
        <v>0</v>
      </c>
      <c r="AD194" s="196" t="n">
        <f aca="false">VLOOKUP($Y$1,'Datos Iniciales'!$E$34:$O$64,AD$158,FALSE())*AD96</f>
        <v>0</v>
      </c>
      <c r="AE194" s="196" t="n">
        <f aca="false">VLOOKUP($Y$1,'Datos Iniciales'!$E$34:$O$64,AE$158,FALSE())*AE96</f>
        <v>0</v>
      </c>
      <c r="AF194" s="196" t="n">
        <f aca="false">VLOOKUP($Y$1,'Datos Iniciales'!$E$34:$O$64,AF$158,FALSE())*AF96</f>
        <v>0</v>
      </c>
      <c r="AG194" s="196" t="n">
        <f aca="false">VLOOKUP($Y$1,'Datos Iniciales'!$E$34:$O$64,AG$158,FALSE())*AG96</f>
        <v>0</v>
      </c>
      <c r="AH194" s="196" t="n">
        <f aca="false">VLOOKUP($Y$1,'Datos Iniciales'!$E$34:$O$64,AH$158,FALSE())*AH96</f>
        <v>0</v>
      </c>
      <c r="AI194" s="197" t="n">
        <f aca="false">VLOOKUP($Y$1,'Datos Iniciales'!$E$34:$O$64,AI$158,FALSE())*AI96</f>
        <v>0</v>
      </c>
      <c r="AJ194" s="194" t="str">
        <f aca="false">Y194</f>
        <v>Alumno35</v>
      </c>
      <c r="AK194" s="208" t="n">
        <f aca="false">VLOOKUP($AJ$1,'Datos Iniciales'!$E$34:$O$64,AK$158,FALSE())*AK96</f>
        <v>0</v>
      </c>
      <c r="AL194" s="196" t="n">
        <f aca="false">VLOOKUP($AJ$1,'Datos Iniciales'!$E$34:$O$64,AL$158,FALSE())*AL96</f>
        <v>0</v>
      </c>
      <c r="AM194" s="196" t="n">
        <f aca="false">VLOOKUP($AJ$1,'Datos Iniciales'!$E$34:$O$64,AM$158,FALSE())*AM96</f>
        <v>0</v>
      </c>
      <c r="AN194" s="196" t="n">
        <f aca="false">VLOOKUP($AJ$1,'Datos Iniciales'!$E$34:$O$64,AN$158,FALSE())*AN96</f>
        <v>0</v>
      </c>
      <c r="AO194" s="196" t="n">
        <f aca="false">VLOOKUP($AJ$1,'Datos Iniciales'!$E$34:$O$64,AO$158,FALSE())*AO96</f>
        <v>0</v>
      </c>
      <c r="AP194" s="196" t="n">
        <f aca="false">VLOOKUP($AJ$1,'Datos Iniciales'!$E$34:$O$64,AP$158,FALSE())*AP96</f>
        <v>0</v>
      </c>
      <c r="AQ194" s="196" t="n">
        <f aca="false">VLOOKUP($AJ$1,'Datos Iniciales'!$E$34:$O$64,AQ$158,FALSE())*AQ96</f>
        <v>0</v>
      </c>
      <c r="AR194" s="196" t="n">
        <f aca="false">VLOOKUP($AJ$1,'Datos Iniciales'!$E$34:$O$64,AR$158,FALSE())*AR96</f>
        <v>0</v>
      </c>
      <c r="AS194" s="196" t="n">
        <f aca="false">VLOOKUP($AJ$1,'Datos Iniciales'!$E$34:$O$64,AS$158,FALSE())*AS96</f>
        <v>0</v>
      </c>
      <c r="AT194" s="197" t="n">
        <f aca="false">VLOOKUP($AJ$1,'Datos Iniciales'!$E$34:$O$64,AT$158,FALSE())*AT96</f>
        <v>0</v>
      </c>
      <c r="AU194" s="194" t="str">
        <f aca="false">AJ194</f>
        <v>Alumno35</v>
      </c>
      <c r="AV194" s="208" t="n">
        <f aca="false">VLOOKUP($AU$1,'Datos Iniciales'!$E$34:$O$64,AV$158,FALSE())*AV96</f>
        <v>0</v>
      </c>
      <c r="AW194" s="196" t="n">
        <f aca="false">VLOOKUP($AU$1,'Datos Iniciales'!$E$34:$O$64,AW$158,FALSE())*AW96</f>
        <v>0</v>
      </c>
      <c r="AX194" s="196" t="n">
        <f aca="false">VLOOKUP($AU$1,'Datos Iniciales'!$E$34:$O$64,AX$158,FALSE())*AX96</f>
        <v>0</v>
      </c>
      <c r="AY194" s="196" t="n">
        <f aca="false">VLOOKUP($AU$1,'Datos Iniciales'!$E$34:$O$64,AY$158,FALSE())*AY96</f>
        <v>0</v>
      </c>
      <c r="AZ194" s="196" t="n">
        <f aca="false">VLOOKUP($AU$1,'Datos Iniciales'!$E$34:$O$64,AZ$158,FALSE())*AZ96</f>
        <v>0</v>
      </c>
      <c r="BA194" s="196" t="n">
        <f aca="false">VLOOKUP($AU$1,'Datos Iniciales'!$E$34:$O$64,BA$158,FALSE())*BA96</f>
        <v>0</v>
      </c>
      <c r="BB194" s="196" t="n">
        <f aca="false">VLOOKUP($AU$1,'Datos Iniciales'!$E$34:$O$64,BB$158,FALSE())*BB96</f>
        <v>0</v>
      </c>
      <c r="BC194" s="196" t="n">
        <f aca="false">VLOOKUP($AU$1,'Datos Iniciales'!$E$34:$O$64,BC$158,FALSE())*BC96</f>
        <v>0</v>
      </c>
      <c r="BD194" s="196" t="n">
        <f aca="false">VLOOKUP($AU$1,'Datos Iniciales'!$E$34:$O$64,BD$158,FALSE())*BD96</f>
        <v>0</v>
      </c>
      <c r="BE194" s="197" t="n">
        <f aca="false">VLOOKUP($AU$1,'Datos Iniciales'!$E$34:$O$64,BE$158,FALSE())*BE96</f>
        <v>0</v>
      </c>
      <c r="BF194" s="194" t="str">
        <f aca="false">AU194</f>
        <v>Alumno35</v>
      </c>
      <c r="BG194" s="208" t="n">
        <f aca="false">VLOOKUP($BF$1,'Datos Iniciales'!$E$34:$O$64,BG$158,FALSE())*BG96</f>
        <v>0</v>
      </c>
      <c r="BH194" s="196" t="n">
        <f aca="false">VLOOKUP($BF$1,'Datos Iniciales'!$E$34:$O$64,BH$158,FALSE())*BH96</f>
        <v>0</v>
      </c>
      <c r="BI194" s="196" t="n">
        <f aca="false">VLOOKUP($BF$1,'Datos Iniciales'!$E$34:$O$64,BI$158,FALSE())*BI96</f>
        <v>0</v>
      </c>
      <c r="BJ194" s="196" t="n">
        <f aca="false">VLOOKUP($BF$1,'Datos Iniciales'!$E$34:$O$64,BJ$158,FALSE())*BJ96</f>
        <v>0</v>
      </c>
      <c r="BK194" s="196" t="n">
        <f aca="false">VLOOKUP($BF$1,'Datos Iniciales'!$E$34:$O$64,BK$158,FALSE())*BK96</f>
        <v>0</v>
      </c>
      <c r="BL194" s="196" t="n">
        <f aca="false">VLOOKUP($BF$1,'Datos Iniciales'!$E$34:$O$64,BL$158,FALSE())*BL96</f>
        <v>0</v>
      </c>
      <c r="BM194" s="196" t="n">
        <f aca="false">VLOOKUP($BF$1,'Datos Iniciales'!$E$34:$O$64,BM$158,FALSE())*BM96</f>
        <v>0</v>
      </c>
      <c r="BN194" s="196" t="n">
        <f aca="false">VLOOKUP($BF$1,'Datos Iniciales'!$E$34:$O$64,BN$158,FALSE())*BN96</f>
        <v>0</v>
      </c>
      <c r="BO194" s="196" t="n">
        <f aca="false">VLOOKUP($BF$1,'Datos Iniciales'!$E$34:$O$64,BO$158,FALSE())*BO96</f>
        <v>0</v>
      </c>
      <c r="BP194" s="197" t="n">
        <f aca="false">VLOOKUP($BF$1,'Datos Iniciales'!$E$34:$O$64,BP$158,FALSE())*BP96</f>
        <v>0</v>
      </c>
      <c r="BQ194" s="194" t="str">
        <f aca="false">BF194</f>
        <v>Alumno35</v>
      </c>
      <c r="BR194" s="208" t="n">
        <f aca="false">VLOOKUP($BQ$1,'Datos Iniciales'!$E$34:$O$64,BR$158,FALSE())*BR96</f>
        <v>0</v>
      </c>
      <c r="BS194" s="196" t="n">
        <f aca="false">VLOOKUP($BQ$1,'Datos Iniciales'!$E$34:$O$64,BS$158,FALSE())*BS96</f>
        <v>0</v>
      </c>
      <c r="BT194" s="196" t="n">
        <f aca="false">VLOOKUP($BQ$1,'Datos Iniciales'!$E$34:$O$64,BT$158,FALSE())*BT96</f>
        <v>0</v>
      </c>
      <c r="BU194" s="196" t="n">
        <f aca="false">VLOOKUP($BQ$1,'Datos Iniciales'!$E$34:$O$64,BU$158,FALSE())*BU96</f>
        <v>0</v>
      </c>
      <c r="BV194" s="196" t="n">
        <f aca="false">VLOOKUP($BQ$1,'Datos Iniciales'!$E$34:$O$64,BV$158,FALSE())*BV96</f>
        <v>0</v>
      </c>
      <c r="BW194" s="196" t="n">
        <f aca="false">VLOOKUP($BQ$1,'Datos Iniciales'!$E$34:$O$64,BW$158,FALSE())*BW96</f>
        <v>0</v>
      </c>
      <c r="BX194" s="196" t="n">
        <f aca="false">VLOOKUP($BQ$1,'Datos Iniciales'!$E$34:$O$64,BX$158,FALSE())*BX96</f>
        <v>0</v>
      </c>
      <c r="BY194" s="196" t="n">
        <f aca="false">VLOOKUP($BQ$1,'Datos Iniciales'!$E$34:$O$64,BY$158,FALSE())*BY96</f>
        <v>0</v>
      </c>
      <c r="BZ194" s="196" t="n">
        <f aca="false">VLOOKUP($BQ$1,'Datos Iniciales'!$E$34:$O$64,BZ$158,FALSE())*BZ96</f>
        <v>0</v>
      </c>
      <c r="CA194" s="197" t="n">
        <f aca="false">VLOOKUP($BQ$1,'Datos Iniciales'!$E$34:$O$64,CA$158,FALSE())*CA96</f>
        <v>0</v>
      </c>
      <c r="CB194" s="194" t="str">
        <f aca="false">BQ194</f>
        <v>Alumno35</v>
      </c>
      <c r="CC194" s="208" t="n">
        <f aca="false">VLOOKUP($CB$1,'Datos Iniciales'!$E$34:$O$64,CC$158,FALSE())*CC96</f>
        <v>0</v>
      </c>
      <c r="CD194" s="196" t="n">
        <f aca="false">VLOOKUP($CB$1,'Datos Iniciales'!$E$34:$O$64,CD$158,FALSE())*CD96</f>
        <v>0</v>
      </c>
      <c r="CE194" s="196" t="n">
        <f aca="false">VLOOKUP($CB$1,'Datos Iniciales'!$E$34:$O$64,CE$158,FALSE())*CE96</f>
        <v>0</v>
      </c>
      <c r="CF194" s="196" t="n">
        <f aca="false">VLOOKUP($CB$1,'Datos Iniciales'!$E$34:$O$64,CF$158,FALSE())*CF96</f>
        <v>0</v>
      </c>
      <c r="CG194" s="196" t="n">
        <f aca="false">VLOOKUP($CB$1,'Datos Iniciales'!$E$34:$O$64,CG$158,FALSE())*CG96</f>
        <v>0</v>
      </c>
      <c r="CH194" s="196" t="n">
        <f aca="false">VLOOKUP($CB$1,'Datos Iniciales'!$E$34:$O$64,CH$158,FALSE())*CH96</f>
        <v>0</v>
      </c>
      <c r="CI194" s="196" t="n">
        <f aca="false">VLOOKUP($CB$1,'Datos Iniciales'!$E$34:$O$64,CI$158,FALSE())*CI96</f>
        <v>0</v>
      </c>
      <c r="CJ194" s="196" t="n">
        <f aca="false">VLOOKUP($CB$1,'Datos Iniciales'!$E$34:$O$64,CJ$158,FALSE())*CJ96</f>
        <v>0</v>
      </c>
      <c r="CK194" s="196" t="n">
        <f aca="false">VLOOKUP($CB$1,'Datos Iniciales'!$E$34:$O$64,CK$158,FALSE())*CK96</f>
        <v>0</v>
      </c>
      <c r="CL194" s="197" t="n">
        <f aca="false">VLOOKUP($CB$1,'Datos Iniciales'!$E$34:$O$64,CL$158,FALSE())*CL96</f>
        <v>0</v>
      </c>
      <c r="CM194" s="194" t="str">
        <f aca="false">CB194</f>
        <v>Alumno35</v>
      </c>
      <c r="CN194" s="208" t="n">
        <f aca="false">VLOOKUP($CM$1,'Datos Iniciales'!$E$34:$O$64,CN$158,FALSE())*CN96</f>
        <v>0</v>
      </c>
      <c r="CO194" s="196" t="n">
        <f aca="false">VLOOKUP($CM$1,'Datos Iniciales'!$E$34:$O$64,CO$158,FALSE())*CO96</f>
        <v>0</v>
      </c>
      <c r="CP194" s="196" t="n">
        <f aca="false">VLOOKUP($CM$1,'Datos Iniciales'!$E$34:$O$64,CP$158,FALSE())*CP96</f>
        <v>0</v>
      </c>
      <c r="CQ194" s="196" t="n">
        <f aca="false">VLOOKUP($CM$1,'Datos Iniciales'!$E$34:$O$64,CQ$158,FALSE())*CQ96</f>
        <v>0</v>
      </c>
      <c r="CR194" s="196" t="n">
        <f aca="false">VLOOKUP($CM$1,'Datos Iniciales'!$E$34:$O$64,CR$158,FALSE())*CR96</f>
        <v>0</v>
      </c>
      <c r="CS194" s="196" t="n">
        <f aca="false">VLOOKUP($CM$1,'Datos Iniciales'!$E$34:$O$64,CS$158,FALSE())*CS96</f>
        <v>0</v>
      </c>
      <c r="CT194" s="196" t="n">
        <f aca="false">VLOOKUP($CM$1,'Datos Iniciales'!$E$34:$O$64,CT$158,FALSE())*CT96</f>
        <v>0</v>
      </c>
      <c r="CU194" s="196" t="n">
        <f aca="false">VLOOKUP($CM$1,'Datos Iniciales'!$E$34:$O$64,CU$158,FALSE())*CU96</f>
        <v>0</v>
      </c>
      <c r="CV194" s="196" t="n">
        <f aca="false">VLOOKUP($CM$1,'Datos Iniciales'!$E$34:$O$64,CV$158,FALSE())*CV96</f>
        <v>0</v>
      </c>
      <c r="CW194" s="197" t="n">
        <f aca="false">VLOOKUP($CM$1,'Datos Iniciales'!$E$34:$O$64,CW$158,FALSE())*CW96</f>
        <v>0</v>
      </c>
      <c r="CX194" s="194" t="str">
        <f aca="false">CM194</f>
        <v>Alumno35</v>
      </c>
      <c r="CY194" s="208" t="n">
        <f aca="false">VLOOKUP($CX$1,'Datos Iniciales'!$E$34:$O$64,CY$158,FALSE())*CY96</f>
        <v>0</v>
      </c>
      <c r="CZ194" s="196" t="n">
        <f aca="false">VLOOKUP($CX$1,'Datos Iniciales'!$E$34:$O$64,CZ$158,FALSE())*CZ96</f>
        <v>0</v>
      </c>
      <c r="DA194" s="196" t="n">
        <f aca="false">VLOOKUP($CX$1,'Datos Iniciales'!$E$34:$O$64,DA$158,FALSE())*DA96</f>
        <v>0</v>
      </c>
      <c r="DB194" s="196" t="n">
        <f aca="false">VLOOKUP($CX$1,'Datos Iniciales'!$E$34:$O$64,DB$158,FALSE())*DB96</f>
        <v>0</v>
      </c>
      <c r="DC194" s="196" t="n">
        <f aca="false">VLOOKUP($CX$1,'Datos Iniciales'!$E$34:$O$64,DC$158,FALSE())*DC96</f>
        <v>0</v>
      </c>
      <c r="DD194" s="196" t="n">
        <f aca="false">VLOOKUP($CX$1,'Datos Iniciales'!$E$34:$O$64,DD$158,FALSE())*DD96</f>
        <v>0</v>
      </c>
      <c r="DE194" s="196" t="n">
        <f aca="false">VLOOKUP($CX$1,'Datos Iniciales'!$E$34:$O$64,DE$158,FALSE())*DE96</f>
        <v>0</v>
      </c>
      <c r="DF194" s="196" t="n">
        <f aca="false">VLOOKUP($CX$1,'Datos Iniciales'!$E$34:$O$64,DF$158,FALSE())*DF96</f>
        <v>0</v>
      </c>
      <c r="DG194" s="196" t="n">
        <f aca="false">VLOOKUP($CX$1,'Datos Iniciales'!$E$34:$O$64,DG$158,FALSE())*DG96</f>
        <v>0</v>
      </c>
      <c r="DH194" s="197" t="n">
        <f aca="false">VLOOKUP($CX$1,'Datos Iniciales'!$E$34:$O$64,DH$158,FALSE())*DH96</f>
        <v>0</v>
      </c>
      <c r="DI194" s="194" t="str">
        <f aca="false">CX194</f>
        <v>Alumno35</v>
      </c>
      <c r="DJ194" s="208" t="n">
        <f aca="false">VLOOKUP($DI$1,'Datos Iniciales'!$E$34:$O$64,DJ$158,FALSE())*DJ96</f>
        <v>0</v>
      </c>
      <c r="DK194" s="196" t="n">
        <f aca="false">VLOOKUP($DI$1,'Datos Iniciales'!$E$34:$O$64,DK$158,FALSE())*DK96</f>
        <v>0</v>
      </c>
      <c r="DL194" s="196" t="n">
        <f aca="false">VLOOKUP($DI$1,'Datos Iniciales'!$E$34:$O$64,DL$158,FALSE())*DL96</f>
        <v>0</v>
      </c>
      <c r="DM194" s="196" t="n">
        <f aca="false">VLOOKUP($DI$1,'Datos Iniciales'!$E$34:$O$64,DM$158,FALSE())*DM96</f>
        <v>0</v>
      </c>
      <c r="DN194" s="196" t="n">
        <f aca="false">VLOOKUP($DI$1,'Datos Iniciales'!$E$34:$O$64,DN$158,FALSE())*DN96</f>
        <v>0</v>
      </c>
      <c r="DO194" s="196" t="n">
        <f aca="false">VLOOKUP($DI$1,'Datos Iniciales'!$E$34:$O$64,DO$158,FALSE())*DO96</f>
        <v>0</v>
      </c>
      <c r="DP194" s="196" t="n">
        <f aca="false">VLOOKUP($DI$1,'Datos Iniciales'!$E$34:$O$64,DP$158,FALSE())*DP96</f>
        <v>0</v>
      </c>
      <c r="DQ194" s="196" t="n">
        <f aca="false">VLOOKUP($DI$1,'Datos Iniciales'!$E$34:$O$64,DQ$158,FALSE())*DQ96</f>
        <v>0</v>
      </c>
      <c r="DR194" s="196" t="n">
        <f aca="false">VLOOKUP($DI$1,'Datos Iniciales'!$E$34:$O$64,DR$158,FALSE())*DR96</f>
        <v>0</v>
      </c>
      <c r="DS194" s="197" t="n">
        <f aca="false">VLOOKUP($DI$1,'Datos Iniciales'!$E$34:$O$64,DS$158,FALSE())*DS96</f>
        <v>0</v>
      </c>
      <c r="DT194" s="194" t="str">
        <f aca="false">DI194</f>
        <v>Alumno35</v>
      </c>
      <c r="DU194" s="208" t="n">
        <f aca="false">VLOOKUP($DT$1,'Datos Iniciales'!$E$34:$O$64,DU$158,FALSE())*DU96</f>
        <v>0</v>
      </c>
      <c r="DV194" s="196" t="n">
        <f aca="false">VLOOKUP($DT$1,'Datos Iniciales'!$E$34:$O$64,DV$158,FALSE())*DV96</f>
        <v>0</v>
      </c>
      <c r="DW194" s="196" t="n">
        <f aca="false">VLOOKUP($DT$1,'Datos Iniciales'!$E$34:$O$64,DW$158,FALSE())*DW96</f>
        <v>0</v>
      </c>
      <c r="DX194" s="196" t="n">
        <f aca="false">VLOOKUP($DT$1,'Datos Iniciales'!$E$34:$O$64,DX$158,FALSE())*DX96</f>
        <v>0</v>
      </c>
      <c r="DY194" s="196" t="n">
        <f aca="false">VLOOKUP($DT$1,'Datos Iniciales'!$E$34:$O$64,DY$158,FALSE())*DY96</f>
        <v>0</v>
      </c>
      <c r="DZ194" s="196" t="n">
        <f aca="false">VLOOKUP($DT$1,'Datos Iniciales'!$E$34:$O$64,DZ$158,FALSE())*DZ96</f>
        <v>0</v>
      </c>
      <c r="EA194" s="196" t="n">
        <f aca="false">VLOOKUP($DT$1,'Datos Iniciales'!$E$34:$O$64,EA$158,FALSE())*EA96</f>
        <v>0</v>
      </c>
      <c r="EB194" s="196" t="n">
        <f aca="false">VLOOKUP($DT$1,'Datos Iniciales'!$E$34:$O$64,EB$158,FALSE())*EB96</f>
        <v>0</v>
      </c>
      <c r="EC194" s="196" t="n">
        <f aca="false">VLOOKUP($DT$1,'Datos Iniciales'!$E$34:$O$64,EC$158,FALSE())*EC96</f>
        <v>0</v>
      </c>
      <c r="ED194" s="197" t="n">
        <f aca="false">VLOOKUP($DT$1,'Datos Iniciales'!$E$34:$O$64,ED$158,FALSE())*ED96</f>
        <v>0</v>
      </c>
      <c r="EE194" s="194" t="str">
        <f aca="false">DT194</f>
        <v>Alumno35</v>
      </c>
      <c r="EF194" s="208" t="n">
        <f aca="false">VLOOKUP($EE$1,'Datos Iniciales'!$E$34:$O$64,EF$158,FALSE())*EF96</f>
        <v>0</v>
      </c>
      <c r="EG194" s="196" t="n">
        <f aca="false">VLOOKUP($EE$1,'Datos Iniciales'!$E$34:$O$64,EG$158,FALSE())*EG96</f>
        <v>0</v>
      </c>
      <c r="EH194" s="196" t="n">
        <f aca="false">VLOOKUP($EE$1,'Datos Iniciales'!$E$34:$O$64,EH$158,FALSE())*EH96</f>
        <v>0</v>
      </c>
      <c r="EI194" s="196" t="n">
        <f aca="false">VLOOKUP($EE$1,'Datos Iniciales'!$E$34:$O$64,EI$158,FALSE())*EI96</f>
        <v>0</v>
      </c>
      <c r="EJ194" s="196" t="n">
        <f aca="false">VLOOKUP($EE$1,'Datos Iniciales'!$E$34:$O$64,EJ$158,FALSE())*EJ96</f>
        <v>0</v>
      </c>
      <c r="EK194" s="196" t="n">
        <f aca="false">VLOOKUP($EE$1,'Datos Iniciales'!$E$34:$O$64,EK$158,FALSE())*EK96</f>
        <v>0</v>
      </c>
      <c r="EL194" s="196" t="n">
        <f aca="false">VLOOKUP($EE$1,'Datos Iniciales'!$E$34:$O$64,EL$158,FALSE())*EL96</f>
        <v>0</v>
      </c>
      <c r="EM194" s="196" t="n">
        <f aca="false">VLOOKUP($EE$1,'Datos Iniciales'!$E$34:$O$64,EM$158,FALSE())*EM96</f>
        <v>0</v>
      </c>
      <c r="EN194" s="196" t="n">
        <f aca="false">VLOOKUP($EE$1,'Datos Iniciales'!$E$34:$O$64,EN$158,FALSE())*EN96</f>
        <v>0</v>
      </c>
      <c r="EO194" s="197" t="n">
        <f aca="false">VLOOKUP($EE$1,'Datos Iniciales'!$E$34:$O$64,EO$158,FALSE())*EO96</f>
        <v>0</v>
      </c>
      <c r="EP194" s="194" t="str">
        <f aca="false">EE194</f>
        <v>Alumno35</v>
      </c>
      <c r="EQ194" s="208" t="n">
        <f aca="false">VLOOKUP($EP$1,'Datos Iniciales'!$E$34:$O$64,EQ$158,FALSE())*EQ96</f>
        <v>0</v>
      </c>
      <c r="ER194" s="196" t="n">
        <f aca="false">VLOOKUP($EP$1,'Datos Iniciales'!$E$34:$O$64,ER$158,FALSE())*ER96</f>
        <v>0</v>
      </c>
      <c r="ES194" s="196" t="n">
        <f aca="false">VLOOKUP($EP$1,'Datos Iniciales'!$E$34:$O$64,ES$158,FALSE())*ES96</f>
        <v>0</v>
      </c>
      <c r="ET194" s="196" t="n">
        <f aca="false">VLOOKUP($EP$1,'Datos Iniciales'!$E$34:$O$64,ET$158,FALSE())*ET96</f>
        <v>0</v>
      </c>
      <c r="EU194" s="196" t="n">
        <f aca="false">VLOOKUP($EP$1,'Datos Iniciales'!$E$34:$O$64,EU$158,FALSE())*EU96</f>
        <v>0</v>
      </c>
      <c r="EV194" s="196" t="n">
        <f aca="false">VLOOKUP($EP$1,'Datos Iniciales'!$E$34:$O$64,EV$158,FALSE())*EV96</f>
        <v>0</v>
      </c>
      <c r="EW194" s="196" t="n">
        <f aca="false">VLOOKUP($EP$1,'Datos Iniciales'!$E$34:$O$64,EW$158,FALSE())*EW96</f>
        <v>0</v>
      </c>
      <c r="EX194" s="196" t="n">
        <f aca="false">VLOOKUP($EP$1,'Datos Iniciales'!$E$34:$O$64,EX$158,FALSE())*EX96</f>
        <v>0</v>
      </c>
      <c r="EY194" s="196" t="n">
        <f aca="false">VLOOKUP($EP$1,'Datos Iniciales'!$E$34:$O$64,EY$158,FALSE())*EY96</f>
        <v>0</v>
      </c>
      <c r="EZ194" s="197" t="n">
        <f aca="false">VLOOKUP($EP$1,'Datos Iniciales'!$E$34:$O$64,EZ$158,FALSE())*EZ96</f>
        <v>0</v>
      </c>
      <c r="FA194" s="194" t="str">
        <f aca="false">EP194</f>
        <v>Alumno35</v>
      </c>
      <c r="FB194" s="208" t="n">
        <f aca="false">VLOOKUP($FA$1,'Datos Iniciales'!$E$34:$O$64,FB$158,FALSE())*FB96</f>
        <v>0</v>
      </c>
      <c r="FC194" s="196" t="n">
        <f aca="false">VLOOKUP($FA$1,'Datos Iniciales'!$E$34:$O$64,FC$158,FALSE())*FC96</f>
        <v>0</v>
      </c>
      <c r="FD194" s="196" t="n">
        <f aca="false">VLOOKUP($FA$1,'Datos Iniciales'!$E$34:$O$64,FD$158,FALSE())*FD96</f>
        <v>0</v>
      </c>
      <c r="FE194" s="196" t="n">
        <f aca="false">VLOOKUP($FA$1,'Datos Iniciales'!$E$34:$O$64,FE$158,FALSE())*FE96</f>
        <v>0</v>
      </c>
      <c r="FF194" s="196" t="n">
        <f aca="false">VLOOKUP($FA$1,'Datos Iniciales'!$E$34:$O$64,FF$158,FALSE())*FF96</f>
        <v>0</v>
      </c>
      <c r="FG194" s="196" t="n">
        <f aca="false">VLOOKUP($FA$1,'Datos Iniciales'!$E$34:$O$64,FG$158,FALSE())*FG96</f>
        <v>0</v>
      </c>
      <c r="FH194" s="196" t="n">
        <f aca="false">VLOOKUP($FA$1,'Datos Iniciales'!$E$34:$O$64,FH$158,FALSE())*FH96</f>
        <v>0</v>
      </c>
      <c r="FI194" s="196" t="n">
        <f aca="false">VLOOKUP($FA$1,'Datos Iniciales'!$E$34:$O$64,FI$158,FALSE())*FI96</f>
        <v>0</v>
      </c>
      <c r="FJ194" s="196" t="n">
        <f aca="false">VLOOKUP($FA$1,'Datos Iniciales'!$E$34:$O$64,FJ$158,FALSE())*FJ96</f>
        <v>0</v>
      </c>
      <c r="FK194" s="197" t="n">
        <f aca="false">VLOOKUP($FA$1,'Datos Iniciales'!$E$34:$O$64,FK$158,FALSE())*FK96</f>
        <v>0</v>
      </c>
      <c r="FL194" s="194" t="str">
        <f aca="false">FA194</f>
        <v>Alumno35</v>
      </c>
      <c r="FM194" s="208" t="n">
        <f aca="false">VLOOKUP($FL$1,'Datos Iniciales'!$E$34:$O$64,FM$158,FALSE())*FM96</f>
        <v>0</v>
      </c>
      <c r="FN194" s="196" t="n">
        <f aca="false">VLOOKUP($FL$1,'Datos Iniciales'!$E$34:$O$64,FN$158,FALSE())*FN96</f>
        <v>0</v>
      </c>
      <c r="FO194" s="196" t="n">
        <f aca="false">VLOOKUP($FL$1,'Datos Iniciales'!$E$34:$O$64,FO$158,FALSE())*FO96</f>
        <v>0</v>
      </c>
      <c r="FP194" s="196" t="n">
        <f aca="false">VLOOKUP($FL$1,'Datos Iniciales'!$E$34:$O$64,FP$158,FALSE())*FP96</f>
        <v>0</v>
      </c>
      <c r="FQ194" s="196" t="n">
        <f aca="false">VLOOKUP($FL$1,'Datos Iniciales'!$E$34:$O$64,FQ$158,FALSE())*FQ96</f>
        <v>0</v>
      </c>
      <c r="FR194" s="196" t="n">
        <f aca="false">VLOOKUP($FL$1,'Datos Iniciales'!$E$34:$O$64,FR$158,FALSE())*FR96</f>
        <v>0</v>
      </c>
      <c r="FS194" s="196" t="n">
        <f aca="false">VLOOKUP($FL$1,'Datos Iniciales'!$E$34:$O$64,FS$158,FALSE())*FS96</f>
        <v>0</v>
      </c>
      <c r="FT194" s="196" t="n">
        <f aca="false">VLOOKUP($FL$1,'Datos Iniciales'!$E$34:$O$64,FT$158,FALSE())*FT96</f>
        <v>0</v>
      </c>
      <c r="FU194" s="196" t="n">
        <f aca="false">VLOOKUP($FL$1,'Datos Iniciales'!$E$34:$O$64,FU$158,FALSE())*FU96</f>
        <v>0</v>
      </c>
      <c r="FV194" s="197" t="n">
        <f aca="false">VLOOKUP($FL$1,'Datos Iniciales'!$E$34:$O$64,FV$158,FALSE())*FV96</f>
        <v>0</v>
      </c>
      <c r="FW194" s="194" t="str">
        <f aca="false">FL194</f>
        <v>Alumno35</v>
      </c>
      <c r="FX194" s="208" t="n">
        <f aca="false">VLOOKUP($FW$1,'Datos Iniciales'!$E$34:$O$64,FX$158,FALSE())*FX96</f>
        <v>0</v>
      </c>
      <c r="FY194" s="196" t="n">
        <f aca="false">VLOOKUP($FW$1,'Datos Iniciales'!$E$34:$O$64,FY$158,FALSE())*FY96</f>
        <v>0</v>
      </c>
      <c r="FZ194" s="196" t="n">
        <f aca="false">VLOOKUP($FW$1,'Datos Iniciales'!$E$34:$O$64,FZ$158,FALSE())*FZ96</f>
        <v>0</v>
      </c>
      <c r="GA194" s="196" t="n">
        <f aca="false">VLOOKUP($FW$1,'Datos Iniciales'!$E$34:$O$64,GA$158,FALSE())*GA96</f>
        <v>0</v>
      </c>
      <c r="GB194" s="196" t="n">
        <f aca="false">VLOOKUP($FW$1,'Datos Iniciales'!$E$34:$O$64,GB$158,FALSE())*GB96</f>
        <v>0</v>
      </c>
      <c r="GC194" s="196" t="n">
        <f aca="false">VLOOKUP($FW$1,'Datos Iniciales'!$E$34:$O$64,GC$158,FALSE())*GC96</f>
        <v>0</v>
      </c>
      <c r="GD194" s="196" t="n">
        <f aca="false">VLOOKUP($FW$1,'Datos Iniciales'!$E$34:$O$64,GD$158,FALSE())*GD96</f>
        <v>0</v>
      </c>
      <c r="GE194" s="196" t="n">
        <f aca="false">VLOOKUP($FW$1,'Datos Iniciales'!$E$34:$O$64,GE$158,FALSE())*GE96</f>
        <v>0</v>
      </c>
      <c r="GF194" s="196" t="n">
        <f aca="false">VLOOKUP($FW$1,'Datos Iniciales'!$E$34:$O$64,GF$158,FALSE())*GF96</f>
        <v>0</v>
      </c>
      <c r="GG194" s="197" t="n">
        <f aca="false">VLOOKUP($FW$1,'Datos Iniciales'!$E$34:$O$64,GG$158,FALSE())*GG96</f>
        <v>0</v>
      </c>
      <c r="GH194" s="194" t="str">
        <f aca="false">FW194</f>
        <v>Alumno35</v>
      </c>
      <c r="GI194" s="208" t="n">
        <f aca="false">VLOOKUP($GH$1,'Datos Iniciales'!$E$34:$O$64,GI$158,FALSE())*GI96</f>
        <v>0</v>
      </c>
      <c r="GJ194" s="196" t="n">
        <f aca="false">VLOOKUP($GH$1,'Datos Iniciales'!$E$34:$O$64,GJ$158,FALSE())*GJ96</f>
        <v>0</v>
      </c>
      <c r="GK194" s="196" t="n">
        <f aca="false">VLOOKUP($GH$1,'Datos Iniciales'!$E$34:$O$64,GK$158,FALSE())*GK96</f>
        <v>0</v>
      </c>
      <c r="GL194" s="196" t="n">
        <f aca="false">VLOOKUP($GH$1,'Datos Iniciales'!$E$34:$O$64,GL$158,FALSE())*GL96</f>
        <v>0</v>
      </c>
      <c r="GM194" s="196" t="n">
        <f aca="false">VLOOKUP($GH$1,'Datos Iniciales'!$E$34:$O$64,GM$158,FALSE())*GM96</f>
        <v>0</v>
      </c>
      <c r="GN194" s="196" t="n">
        <f aca="false">VLOOKUP($GH$1,'Datos Iniciales'!$E$34:$O$64,GN$158,FALSE())*GN96</f>
        <v>0</v>
      </c>
      <c r="GO194" s="196" t="n">
        <f aca="false">VLOOKUP($GH$1,'Datos Iniciales'!$E$34:$O$64,GO$158,FALSE())*GO96</f>
        <v>0</v>
      </c>
      <c r="GP194" s="196" t="n">
        <f aca="false">VLOOKUP($GH$1,'Datos Iniciales'!$E$34:$O$64,GP$158,FALSE())*GP96</f>
        <v>0</v>
      </c>
      <c r="GQ194" s="196" t="n">
        <f aca="false">VLOOKUP($GH$1,'Datos Iniciales'!$E$34:$O$64,GQ$158,FALSE())*GQ96</f>
        <v>0</v>
      </c>
      <c r="GR194" s="197" t="n">
        <f aca="false">VLOOKUP($GH$1,'Datos Iniciales'!$E$34:$O$64,GR$158,FALSE())*GR96</f>
        <v>0</v>
      </c>
      <c r="GS194" s="194" t="str">
        <f aca="false">GH194</f>
        <v>Alumno35</v>
      </c>
      <c r="GT194" s="208" t="n">
        <f aca="false">VLOOKUP($GS$1,'Datos Iniciales'!$E$34:$O$64,GT$158,FALSE())*GT96</f>
        <v>0</v>
      </c>
      <c r="GU194" s="196" t="n">
        <f aca="false">VLOOKUP($GS$1,'Datos Iniciales'!$E$34:$O$64,GU$158,FALSE())*GU96</f>
        <v>0</v>
      </c>
      <c r="GV194" s="196" t="n">
        <f aca="false">VLOOKUP($GS$1,'Datos Iniciales'!$E$34:$O$64,GV$158,FALSE())*GV96</f>
        <v>0</v>
      </c>
      <c r="GW194" s="196" t="n">
        <f aca="false">VLOOKUP($GS$1,'Datos Iniciales'!$E$34:$O$64,GW$158,FALSE())*GW96</f>
        <v>0</v>
      </c>
      <c r="GX194" s="196" t="n">
        <f aca="false">VLOOKUP($GS$1,'Datos Iniciales'!$E$34:$O$64,GX$158,FALSE())*GX96</f>
        <v>0</v>
      </c>
      <c r="GY194" s="196" t="n">
        <f aca="false">VLOOKUP($GS$1,'Datos Iniciales'!$E$34:$O$64,GY$158,FALSE())*GY96</f>
        <v>0</v>
      </c>
      <c r="GZ194" s="196" t="n">
        <f aca="false">VLOOKUP($GS$1,'Datos Iniciales'!$E$34:$O$64,GZ$158,FALSE())*GZ96</f>
        <v>0</v>
      </c>
      <c r="HA194" s="196" t="n">
        <f aca="false">VLOOKUP($GS$1,'Datos Iniciales'!$E$34:$O$64,HA$158,FALSE())*HA96</f>
        <v>0</v>
      </c>
      <c r="HB194" s="196" t="n">
        <f aca="false">VLOOKUP($GS$1,'Datos Iniciales'!$E$34:$O$64,HB$158,FALSE())*HB96</f>
        <v>0</v>
      </c>
      <c r="HC194" s="197" t="n">
        <f aca="false">VLOOKUP($GS$1,'Datos Iniciales'!$E$34:$O$64,HC$158,FALSE())*HC96</f>
        <v>0</v>
      </c>
      <c r="HD194" s="194" t="str">
        <f aca="false">GS194</f>
        <v>Alumno35</v>
      </c>
      <c r="HE194" s="208" t="n">
        <f aca="false">VLOOKUP($HD$1,'Datos Iniciales'!$E$34:$O$64,HE$158,FALSE())*HE96</f>
        <v>0</v>
      </c>
      <c r="HF194" s="196" t="n">
        <f aca="false">VLOOKUP($HD$1,'Datos Iniciales'!$E$34:$O$64,HF$158,FALSE())*HF96</f>
        <v>0</v>
      </c>
      <c r="HG194" s="196" t="n">
        <f aca="false">VLOOKUP($HD$1,'Datos Iniciales'!$E$34:$O$64,HG$158,FALSE())*HG96</f>
        <v>0</v>
      </c>
      <c r="HH194" s="196" t="n">
        <f aca="false">VLOOKUP($HD$1,'Datos Iniciales'!$E$34:$O$64,HH$158,FALSE())*HH96</f>
        <v>0</v>
      </c>
      <c r="HI194" s="196" t="n">
        <f aca="false">VLOOKUP($HD$1,'Datos Iniciales'!$E$34:$O$64,HI$158,FALSE())*HI96</f>
        <v>0</v>
      </c>
      <c r="HJ194" s="196" t="n">
        <f aca="false">VLOOKUP($HD$1,'Datos Iniciales'!$E$34:$O$64,HJ$158,FALSE())*HJ96</f>
        <v>0</v>
      </c>
      <c r="HK194" s="196" t="n">
        <f aca="false">VLOOKUP($HD$1,'Datos Iniciales'!$E$34:$O$64,HK$158,FALSE())*HK96</f>
        <v>0</v>
      </c>
      <c r="HL194" s="196" t="n">
        <f aca="false">VLOOKUP($HD$1,'Datos Iniciales'!$E$34:$O$64,HL$158,FALSE())*HL96</f>
        <v>0</v>
      </c>
      <c r="HM194" s="196" t="n">
        <f aca="false">VLOOKUP($HD$1,'Datos Iniciales'!$E$34:$O$64,HM$158,FALSE())*HM96</f>
        <v>0</v>
      </c>
      <c r="HN194" s="197" t="n">
        <f aca="false">VLOOKUP($HD$1,'Datos Iniciales'!$E$34:$O$64,HN$158,FALSE())*HN96</f>
        <v>0</v>
      </c>
      <c r="HO194" s="194" t="str">
        <f aca="false">HD194</f>
        <v>Alumno35</v>
      </c>
      <c r="HP194" s="208" t="n">
        <f aca="false">VLOOKUP($HO$1,'Datos Iniciales'!$E$34:$O$64,HP$158,FALSE())*HP96</f>
        <v>0</v>
      </c>
      <c r="HQ194" s="196" t="n">
        <f aca="false">VLOOKUP($HO$1,'Datos Iniciales'!$E$34:$O$64,HQ$158,FALSE())*HQ96</f>
        <v>0</v>
      </c>
      <c r="HR194" s="196" t="n">
        <f aca="false">VLOOKUP($HO$1,'Datos Iniciales'!$E$34:$O$64,HR$158,FALSE())*HR96</f>
        <v>0</v>
      </c>
      <c r="HS194" s="196" t="n">
        <f aca="false">VLOOKUP($HO$1,'Datos Iniciales'!$E$34:$O$64,HS$158,FALSE())*HS96</f>
        <v>0</v>
      </c>
      <c r="HT194" s="196" t="n">
        <f aca="false">VLOOKUP($HO$1,'Datos Iniciales'!$E$34:$O$64,HT$158,FALSE())*HT96</f>
        <v>0</v>
      </c>
      <c r="HU194" s="196" t="n">
        <f aca="false">VLOOKUP($HO$1,'Datos Iniciales'!$E$34:$O$64,HU$158,FALSE())*HU96</f>
        <v>0</v>
      </c>
      <c r="HV194" s="196" t="n">
        <f aca="false">VLOOKUP($HO$1,'Datos Iniciales'!$E$34:$O$64,HV$158,FALSE())*HV96</f>
        <v>0</v>
      </c>
      <c r="HW194" s="196" t="n">
        <f aca="false">VLOOKUP($HO$1,'Datos Iniciales'!$E$34:$O$64,HW$158,FALSE())*HW96</f>
        <v>0</v>
      </c>
      <c r="HX194" s="196" t="n">
        <f aca="false">VLOOKUP($HO$1,'Datos Iniciales'!$E$34:$O$64,HX$158,FALSE())*HX96</f>
        <v>0</v>
      </c>
      <c r="HY194" s="197" t="n">
        <f aca="false">VLOOKUP($HO$1,'Datos Iniciales'!$E$34:$O$64,HY$158,FALSE())*HY96</f>
        <v>0</v>
      </c>
      <c r="HZ194" s="194" t="str">
        <f aca="false">HO194</f>
        <v>Alumno35</v>
      </c>
      <c r="IA194" s="208" t="n">
        <f aca="false">VLOOKUP($HZ$1,'Datos Iniciales'!$E$34:$O$64,IA$158,FALSE())*IA96</f>
        <v>0</v>
      </c>
      <c r="IB194" s="196" t="n">
        <f aca="false">VLOOKUP($HZ$1,'Datos Iniciales'!$E$34:$O$64,IB$158,FALSE())*IB96</f>
        <v>0</v>
      </c>
      <c r="IC194" s="196" t="n">
        <f aca="false">VLOOKUP($HZ$1,'Datos Iniciales'!$E$34:$O$64,IC$158,FALSE())*IC96</f>
        <v>0</v>
      </c>
      <c r="ID194" s="196" t="n">
        <f aca="false">VLOOKUP($HZ$1,'Datos Iniciales'!$E$34:$O$64,ID$158,FALSE())*ID96</f>
        <v>0</v>
      </c>
      <c r="IE194" s="196" t="n">
        <f aca="false">VLOOKUP($HZ$1,'Datos Iniciales'!$E$34:$O$64,IE$158,FALSE())*IE96</f>
        <v>0</v>
      </c>
      <c r="IF194" s="196" t="n">
        <f aca="false">VLOOKUP($HZ$1,'Datos Iniciales'!$E$34:$O$64,IF$158,FALSE())*IF96</f>
        <v>0</v>
      </c>
      <c r="IG194" s="196" t="n">
        <f aca="false">VLOOKUP($HZ$1,'Datos Iniciales'!$E$34:$O$64,IG$158,FALSE())*IG96</f>
        <v>0</v>
      </c>
      <c r="IH194" s="196" t="n">
        <f aca="false">VLOOKUP($HZ$1,'Datos Iniciales'!$E$34:$O$64,IH$158,FALSE())*IH96</f>
        <v>0</v>
      </c>
      <c r="II194" s="196" t="n">
        <f aca="false">VLOOKUP($HZ$1,'Datos Iniciales'!$E$34:$O$64,II$158,FALSE())*II96</f>
        <v>0</v>
      </c>
      <c r="IJ194" s="197" t="n">
        <f aca="false">VLOOKUP($HZ$1,'Datos Iniciales'!$E$34:$O$64,IJ$158,FALSE())*IJ96</f>
        <v>0</v>
      </c>
      <c r="IK194" s="194" t="str">
        <f aca="false">HZ194</f>
        <v>Alumno35</v>
      </c>
      <c r="IL194" s="208" t="n">
        <f aca="false">VLOOKUP($IK$1,'Datos Iniciales'!$E$34:$O$64,IL$158,FALSE())*IL96</f>
        <v>0</v>
      </c>
      <c r="IM194" s="196" t="n">
        <f aca="false">VLOOKUP($IK$1,'Datos Iniciales'!$E$34:$O$64,IM$158,FALSE())*IM96</f>
        <v>0</v>
      </c>
      <c r="IN194" s="196" t="n">
        <f aca="false">VLOOKUP($IK$1,'Datos Iniciales'!$E$34:$O$64,IN$158,FALSE())*IN96</f>
        <v>0</v>
      </c>
      <c r="IO194" s="196" t="n">
        <f aca="false">VLOOKUP($IK$1,'Datos Iniciales'!$E$34:$O$64,IO$158,FALSE())*IO96</f>
        <v>0</v>
      </c>
      <c r="IP194" s="196" t="n">
        <f aca="false">VLOOKUP($IK$1,'Datos Iniciales'!$E$34:$O$64,IP$158,FALSE())*IP96</f>
        <v>0</v>
      </c>
      <c r="IQ194" s="196" t="n">
        <f aca="false">VLOOKUP($IK$1,'Datos Iniciales'!$E$34:$O$64,IQ$158,FALSE())*IQ96</f>
        <v>0</v>
      </c>
      <c r="IR194" s="196" t="n">
        <f aca="false">VLOOKUP($IK$1,'Datos Iniciales'!$E$34:$O$64,IR$158,FALSE())*IR96</f>
        <v>0</v>
      </c>
      <c r="IS194" s="196" t="n">
        <f aca="false">VLOOKUP($IK$1,'Datos Iniciales'!$E$34:$O$64,IS$158,FALSE())*IS96</f>
        <v>0</v>
      </c>
      <c r="IT194" s="196" t="n">
        <f aca="false">VLOOKUP($IK$1,'Datos Iniciales'!$E$34:$O$64,IT$158,FALSE())*IT96</f>
        <v>0</v>
      </c>
      <c r="IU194" s="197" t="n">
        <f aca="false">VLOOKUP($IK$1,'Datos Iniciales'!$E$34:$O$64,IU$158,FALSE())*IU96</f>
        <v>0</v>
      </c>
      <c r="IV194" s="194" t="str">
        <f aca="false">IK194</f>
        <v>Alumno35</v>
      </c>
      <c r="IW194" s="208" t="n">
        <f aca="false">VLOOKUP($IV$1,'Datos Iniciales'!$E$34:$O$64,IW$158,FALSE())*IW96</f>
        <v>0</v>
      </c>
      <c r="IX194" s="196" t="n">
        <f aca="false">VLOOKUP($IV$1,'Datos Iniciales'!$E$34:$O$64,IX$158,FALSE())*IX96</f>
        <v>0</v>
      </c>
      <c r="IY194" s="196" t="n">
        <f aca="false">VLOOKUP($IV$1,'Datos Iniciales'!$E$34:$O$64,IY$158,FALSE())*IY96</f>
        <v>0</v>
      </c>
      <c r="IZ194" s="196" t="n">
        <f aca="false">VLOOKUP($IV$1,'Datos Iniciales'!$E$34:$O$64,IZ$158,FALSE())*IZ96</f>
        <v>0</v>
      </c>
      <c r="JA194" s="196" t="n">
        <f aca="false">VLOOKUP($IV$1,'Datos Iniciales'!$E$34:$O$64,JA$158,FALSE())*JA96</f>
        <v>0</v>
      </c>
      <c r="JB194" s="196" t="n">
        <f aca="false">VLOOKUP($IV$1,'Datos Iniciales'!$E$34:$O$64,JB$158,FALSE())*JB96</f>
        <v>0</v>
      </c>
      <c r="JC194" s="196" t="n">
        <f aca="false">VLOOKUP($IV$1,'Datos Iniciales'!$E$34:$O$64,JC$158,FALSE())*JC96</f>
        <v>0</v>
      </c>
      <c r="JD194" s="196" t="n">
        <f aca="false">VLOOKUP($IV$1,'Datos Iniciales'!$E$34:$O$64,JD$158,FALSE())*JD96</f>
        <v>0</v>
      </c>
      <c r="JE194" s="196" t="n">
        <f aca="false">VLOOKUP($IV$1,'Datos Iniciales'!$E$34:$O$64,JE$158,FALSE())*JE96</f>
        <v>0</v>
      </c>
      <c r="JF194" s="197" t="n">
        <f aca="false">VLOOKUP($IV$1,'Datos Iniciales'!$E$34:$O$64,JF$158,FALSE())*JF96</f>
        <v>0</v>
      </c>
      <c r="JG194" s="194" t="str">
        <f aca="false">IV194</f>
        <v>Alumno35</v>
      </c>
      <c r="JH194" s="208" t="n">
        <f aca="false">VLOOKUP($JG$1,'Datos Iniciales'!$E$34:$O$64,JH$158,FALSE())*JH96</f>
        <v>0</v>
      </c>
      <c r="JI194" s="196" t="n">
        <f aca="false">VLOOKUP($JG$1,'Datos Iniciales'!$E$34:$O$64,JI$158,FALSE())*JI96</f>
        <v>0</v>
      </c>
      <c r="JJ194" s="196" t="n">
        <f aca="false">VLOOKUP($JG$1,'Datos Iniciales'!$E$34:$O$64,JJ$158,FALSE())*JJ96</f>
        <v>0</v>
      </c>
      <c r="JK194" s="196" t="n">
        <f aca="false">VLOOKUP($JG$1,'Datos Iniciales'!$E$34:$O$64,JK$158,FALSE())*JK96</f>
        <v>0</v>
      </c>
      <c r="JL194" s="196" t="n">
        <f aca="false">VLOOKUP($JG$1,'Datos Iniciales'!$E$34:$O$64,JL$158,FALSE())*JL96</f>
        <v>0</v>
      </c>
      <c r="JM194" s="196" t="n">
        <f aca="false">VLOOKUP($JG$1,'Datos Iniciales'!$E$34:$O$64,JM$158,FALSE())*JM96</f>
        <v>0</v>
      </c>
      <c r="JN194" s="196" t="n">
        <f aca="false">VLOOKUP($JG$1,'Datos Iniciales'!$E$34:$O$64,JN$158,FALSE())*JN96</f>
        <v>0</v>
      </c>
      <c r="JO194" s="196" t="n">
        <f aca="false">VLOOKUP($JG$1,'Datos Iniciales'!$E$34:$O$64,JO$158,FALSE())*JO96</f>
        <v>0</v>
      </c>
      <c r="JP194" s="196" t="n">
        <f aca="false">VLOOKUP($JG$1,'Datos Iniciales'!$E$34:$O$64,JP$158,FALSE())*JP96</f>
        <v>0</v>
      </c>
      <c r="JQ194" s="197" t="n">
        <f aca="false">VLOOKUP($JG$1,'Datos Iniciales'!$E$34:$O$64,JQ$158,FALSE())*JQ96</f>
        <v>0</v>
      </c>
      <c r="JR194" s="194" t="str">
        <f aca="false">JG194</f>
        <v>Alumno35</v>
      </c>
      <c r="JS194" s="208" t="n">
        <f aca="false">VLOOKUP($JR$1,'Datos Iniciales'!$E$34:$O$64,JS$158,FALSE())*JS96</f>
        <v>0</v>
      </c>
      <c r="JT194" s="196" t="n">
        <f aca="false">VLOOKUP($JR$1,'Datos Iniciales'!$E$34:$O$64,JT$158,FALSE())*JT96</f>
        <v>0</v>
      </c>
      <c r="JU194" s="196" t="n">
        <f aca="false">VLOOKUP($JR$1,'Datos Iniciales'!$E$34:$O$64,JU$158,FALSE())*JU96</f>
        <v>0</v>
      </c>
      <c r="JV194" s="196" t="n">
        <f aca="false">VLOOKUP($JR$1,'Datos Iniciales'!$E$34:$O$64,JV$158,FALSE())*JV96</f>
        <v>0</v>
      </c>
      <c r="JW194" s="196" t="n">
        <f aca="false">VLOOKUP($JR$1,'Datos Iniciales'!$E$34:$O$64,JW$158,FALSE())*JW96</f>
        <v>0</v>
      </c>
      <c r="JX194" s="196" t="n">
        <f aca="false">VLOOKUP($JR$1,'Datos Iniciales'!$E$34:$O$64,JX$158,FALSE())*JX96</f>
        <v>0</v>
      </c>
      <c r="JY194" s="196" t="n">
        <f aca="false">VLOOKUP($JR$1,'Datos Iniciales'!$E$34:$O$64,JY$158,FALSE())*JY96</f>
        <v>0</v>
      </c>
      <c r="JZ194" s="196" t="n">
        <f aca="false">VLOOKUP($JR$1,'Datos Iniciales'!$E$34:$O$64,JZ$158,FALSE())*JZ96</f>
        <v>0</v>
      </c>
      <c r="KA194" s="196" t="n">
        <f aca="false">VLOOKUP($JR$1,'Datos Iniciales'!$E$34:$O$64,KA$158,FALSE())*KA96</f>
        <v>0</v>
      </c>
      <c r="KB194" s="197" t="n">
        <f aca="false">VLOOKUP($JR$1,'Datos Iniciales'!$E$34:$O$64,KB$158,FALSE())*KB96</f>
        <v>0</v>
      </c>
      <c r="KC194" s="194" t="str">
        <f aca="false">JR194</f>
        <v>Alumno35</v>
      </c>
      <c r="KD194" s="208" t="n">
        <f aca="false">VLOOKUP($KC$1,'Datos Iniciales'!$E$34:$O$64,KD$158,FALSE())*KD96</f>
        <v>0</v>
      </c>
      <c r="KE194" s="196" t="n">
        <f aca="false">VLOOKUP($KC$1,'Datos Iniciales'!$E$34:$O$64,KE$158,FALSE())*KE96</f>
        <v>0</v>
      </c>
      <c r="KF194" s="196" t="n">
        <f aca="false">VLOOKUP($KC$1,'Datos Iniciales'!$E$34:$O$64,KF$158,FALSE())*KF96</f>
        <v>0</v>
      </c>
      <c r="KG194" s="196" t="n">
        <f aca="false">VLOOKUP($KC$1,'Datos Iniciales'!$E$34:$O$64,KG$158,FALSE())*KG96</f>
        <v>0</v>
      </c>
      <c r="KH194" s="196" t="n">
        <f aca="false">VLOOKUP($KC$1,'Datos Iniciales'!$E$34:$O$64,KH$158,FALSE())*KH96</f>
        <v>0</v>
      </c>
      <c r="KI194" s="196" t="n">
        <f aca="false">VLOOKUP($KC$1,'Datos Iniciales'!$E$34:$O$64,KI$158,FALSE())*KI96</f>
        <v>0</v>
      </c>
      <c r="KJ194" s="196" t="n">
        <f aca="false">VLOOKUP($KC$1,'Datos Iniciales'!$E$34:$O$64,KJ$158,FALSE())*KJ96</f>
        <v>0</v>
      </c>
      <c r="KK194" s="196" t="n">
        <f aca="false">VLOOKUP($KC$1,'Datos Iniciales'!$E$34:$O$64,KK$158,FALSE())*KK96</f>
        <v>0</v>
      </c>
      <c r="KL194" s="196" t="n">
        <f aca="false">VLOOKUP($KC$1,'Datos Iniciales'!$E$34:$O$64,KL$158,FALSE())*KL96</f>
        <v>0</v>
      </c>
      <c r="KM194" s="197" t="n">
        <f aca="false">VLOOKUP($KC$1,'Datos Iniciales'!$E$34:$O$64,KM$158,FALSE())*KM96</f>
        <v>0</v>
      </c>
      <c r="KN194" s="194" t="str">
        <f aca="false">KC194</f>
        <v>Alumno35</v>
      </c>
      <c r="KO194" s="208" t="n">
        <f aca="false">VLOOKUP($KN$1,'Datos Iniciales'!$E$34:$O$64,KO$158,FALSE())*KO96</f>
        <v>0</v>
      </c>
      <c r="KP194" s="196" t="n">
        <f aca="false">VLOOKUP($KN$1,'Datos Iniciales'!$E$34:$O$64,KP$158,FALSE())*KP96</f>
        <v>0</v>
      </c>
      <c r="KQ194" s="196" t="n">
        <f aca="false">VLOOKUP($KN$1,'Datos Iniciales'!$E$34:$O$64,KQ$158,FALSE())*KQ96</f>
        <v>0</v>
      </c>
      <c r="KR194" s="196" t="n">
        <f aca="false">VLOOKUP($KN$1,'Datos Iniciales'!$E$34:$O$64,KR$158,FALSE())*KR96</f>
        <v>0</v>
      </c>
      <c r="KS194" s="196" t="n">
        <f aca="false">VLOOKUP($KN$1,'Datos Iniciales'!$E$34:$O$64,KS$158,FALSE())*KS96</f>
        <v>0</v>
      </c>
      <c r="KT194" s="196" t="n">
        <f aca="false">VLOOKUP($KN$1,'Datos Iniciales'!$E$34:$O$64,KT$158,FALSE())*KT96</f>
        <v>0</v>
      </c>
      <c r="KU194" s="196" t="n">
        <f aca="false">VLOOKUP($KN$1,'Datos Iniciales'!$E$34:$O$64,KU$158,FALSE())*KU96</f>
        <v>0</v>
      </c>
      <c r="KV194" s="196" t="n">
        <f aca="false">VLOOKUP($KN$1,'Datos Iniciales'!$E$34:$O$64,KV$158,FALSE())*KV96</f>
        <v>0</v>
      </c>
      <c r="KW194" s="196" t="n">
        <f aca="false">VLOOKUP($KN$1,'Datos Iniciales'!$E$34:$O$64,KW$158,FALSE())*KW96</f>
        <v>0</v>
      </c>
      <c r="KX194" s="197" t="n">
        <f aca="false">VLOOKUP($KN$1,'Datos Iniciales'!$E$34:$O$64,KX$158,FALSE())*KX96</f>
        <v>0</v>
      </c>
      <c r="KY194" s="194" t="str">
        <f aca="false">KN194</f>
        <v>Alumno35</v>
      </c>
      <c r="KZ194" s="208" t="n">
        <f aca="false">VLOOKUP($KY$1,'Datos Iniciales'!$E$34:$O$64,KZ$158,FALSE())*KZ96</f>
        <v>0</v>
      </c>
      <c r="LA194" s="196" t="n">
        <f aca="false">VLOOKUP($KY$1,'Datos Iniciales'!$E$34:$O$64,LA$158,FALSE())*LA96</f>
        <v>0</v>
      </c>
      <c r="LB194" s="196" t="n">
        <f aca="false">VLOOKUP($KY$1,'Datos Iniciales'!$E$34:$O$64,LB$158,FALSE())*LB96</f>
        <v>0</v>
      </c>
      <c r="LC194" s="196" t="n">
        <f aca="false">VLOOKUP($KY$1,'Datos Iniciales'!$E$34:$O$64,LC$158,FALSE())*LC96</f>
        <v>0</v>
      </c>
      <c r="LD194" s="196" t="n">
        <f aca="false">VLOOKUP($KY$1,'Datos Iniciales'!$E$34:$O$64,LD$158,FALSE())*LD96</f>
        <v>0</v>
      </c>
      <c r="LE194" s="196" t="n">
        <f aca="false">VLOOKUP($KY$1,'Datos Iniciales'!$E$34:$O$64,LE$158,FALSE())*LE96</f>
        <v>0</v>
      </c>
      <c r="LF194" s="196" t="n">
        <f aca="false">VLOOKUP($KY$1,'Datos Iniciales'!$E$34:$O$64,LF$158,FALSE())*LF96</f>
        <v>0</v>
      </c>
      <c r="LG194" s="196" t="n">
        <f aca="false">VLOOKUP($KY$1,'Datos Iniciales'!$E$34:$O$64,LG$158,FALSE())*LG96</f>
        <v>0</v>
      </c>
      <c r="LH194" s="196" t="n">
        <f aca="false">VLOOKUP($KY$1,'Datos Iniciales'!$E$34:$O$64,LH$158,FALSE())*LH96</f>
        <v>0</v>
      </c>
      <c r="LI194" s="197" t="n">
        <f aca="false">VLOOKUP($KY$1,'Datos Iniciales'!$E$34:$O$64,LI$158,FALSE())*LI96</f>
        <v>0</v>
      </c>
      <c r="LJ194" s="194" t="str">
        <f aca="false">KY194</f>
        <v>Alumno35</v>
      </c>
      <c r="LK194" s="208" t="n">
        <f aca="false">VLOOKUP($LJ$1,'Datos Iniciales'!$E$34:$O$64,LK$158,FALSE())*LK96</f>
        <v>0</v>
      </c>
      <c r="LL194" s="196" t="n">
        <f aca="false">VLOOKUP($LJ$1,'Datos Iniciales'!$E$34:$O$64,LL$158,FALSE())*LL96</f>
        <v>0</v>
      </c>
      <c r="LM194" s="196" t="n">
        <f aca="false">VLOOKUP($LJ$1,'Datos Iniciales'!$E$34:$O$64,LM$158,FALSE())*LM96</f>
        <v>0</v>
      </c>
      <c r="LN194" s="196" t="n">
        <f aca="false">VLOOKUP($LJ$1,'Datos Iniciales'!$E$34:$O$64,LN$158,FALSE())*LN96</f>
        <v>0</v>
      </c>
      <c r="LO194" s="196" t="n">
        <f aca="false">VLOOKUP($LJ$1,'Datos Iniciales'!$E$34:$O$64,LO$158,FALSE())*LO96</f>
        <v>0</v>
      </c>
      <c r="LP194" s="196" t="n">
        <f aca="false">VLOOKUP($LJ$1,'Datos Iniciales'!$E$34:$O$64,LP$158,FALSE())*LP96</f>
        <v>0</v>
      </c>
      <c r="LQ194" s="196" t="n">
        <f aca="false">VLOOKUP($LJ$1,'Datos Iniciales'!$E$34:$O$64,LQ$158,FALSE())*LQ96</f>
        <v>0</v>
      </c>
      <c r="LR194" s="196" t="n">
        <f aca="false">VLOOKUP($LJ$1,'Datos Iniciales'!$E$34:$O$64,LR$158,FALSE())*LR96</f>
        <v>0</v>
      </c>
      <c r="LS194" s="196" t="n">
        <f aca="false">VLOOKUP($LJ$1,'Datos Iniciales'!$E$34:$O$64,LS$158,FALSE())*LS96</f>
        <v>0</v>
      </c>
      <c r="LT194" s="197" t="n">
        <f aca="false">VLOOKUP($LJ$1,'Datos Iniciales'!$E$34:$O$64,LT$158,FALSE())*LT96</f>
        <v>0</v>
      </c>
    </row>
    <row r="195" customFormat="false" ht="15" hidden="true" customHeight="false" outlineLevel="0" collapsed="false">
      <c r="C195" s="194" t="str">
        <f aca="false">C146</f>
        <v>Alumno36</v>
      </c>
      <c r="D195" s="208" t="n">
        <f aca="false">VLOOKUP($C$1,'Datos Iniciales'!$E$34:$O$64,D$158,FALSE())*D97</f>
        <v>0</v>
      </c>
      <c r="E195" s="196" t="n">
        <f aca="false">VLOOKUP($C$1,'Datos Iniciales'!$E$34:$O$64,E$158,FALSE())*E97</f>
        <v>0</v>
      </c>
      <c r="F195" s="196" t="n">
        <f aca="false">VLOOKUP($C$1,'Datos Iniciales'!$E$34:$O$64,F$158,FALSE())*F97</f>
        <v>0</v>
      </c>
      <c r="G195" s="196" t="n">
        <f aca="false">VLOOKUP($C$1,'Datos Iniciales'!$E$34:$O$64,G$158,FALSE())*G97</f>
        <v>0</v>
      </c>
      <c r="H195" s="196" t="n">
        <f aca="false">VLOOKUP($C$1,'Datos Iniciales'!$E$34:$O$64,H$158,FALSE())*H97</f>
        <v>0</v>
      </c>
      <c r="I195" s="196" t="n">
        <f aca="false">VLOOKUP($C$1,'Datos Iniciales'!$E$34:$O$64,I$158,FALSE())*I97</f>
        <v>0</v>
      </c>
      <c r="J195" s="196" t="n">
        <f aca="false">VLOOKUP($C$1,'Datos Iniciales'!$E$34:$O$64,J$158,FALSE())*J97</f>
        <v>0</v>
      </c>
      <c r="K195" s="196" t="n">
        <f aca="false">VLOOKUP($C$1,'Datos Iniciales'!$E$34:$O$64,K$158,FALSE())*K97</f>
        <v>0</v>
      </c>
      <c r="L195" s="196" t="n">
        <f aca="false">VLOOKUP($C$1,'Datos Iniciales'!$E$34:$O$64,L$158,FALSE())*L97</f>
        <v>0</v>
      </c>
      <c r="M195" s="197" t="n">
        <f aca="false">VLOOKUP($C$1,'Datos Iniciales'!$E$34:$O$64,M$158,FALSE())*M97</f>
        <v>0</v>
      </c>
      <c r="N195" s="194" t="str">
        <f aca="false">C195</f>
        <v>Alumno36</v>
      </c>
      <c r="O195" s="208" t="n">
        <f aca="false">VLOOKUP($N$1,'Datos Iniciales'!$E$34:$O$64,O$158,FALSE())*O97</f>
        <v>0</v>
      </c>
      <c r="P195" s="196" t="n">
        <f aca="false">VLOOKUP($N$1,'Datos Iniciales'!$E$34:$O$64,P$158,FALSE())*P97</f>
        <v>0</v>
      </c>
      <c r="Q195" s="196" t="n">
        <f aca="false">VLOOKUP($N$1,'Datos Iniciales'!$E$34:$O$64,Q$158,FALSE())*Q97</f>
        <v>0</v>
      </c>
      <c r="R195" s="196" t="n">
        <f aca="false">VLOOKUP($N$1,'Datos Iniciales'!$E$34:$O$64,R$158,FALSE())*R97</f>
        <v>0</v>
      </c>
      <c r="S195" s="196" t="n">
        <f aca="false">VLOOKUP($N$1,'Datos Iniciales'!$E$34:$O$64,S$158,FALSE())*S97</f>
        <v>0</v>
      </c>
      <c r="T195" s="196" t="n">
        <f aca="false">VLOOKUP($N$1,'Datos Iniciales'!$E$34:$O$64,T$158,FALSE())*T97</f>
        <v>0</v>
      </c>
      <c r="U195" s="196" t="n">
        <f aca="false">VLOOKUP($N$1,'Datos Iniciales'!$E$34:$O$64,U$158,FALSE())*U97</f>
        <v>0</v>
      </c>
      <c r="V195" s="196" t="n">
        <f aca="false">VLOOKUP($N$1,'Datos Iniciales'!$E$34:$O$64,V$158,FALSE())*V97</f>
        <v>0</v>
      </c>
      <c r="W195" s="196" t="n">
        <f aca="false">VLOOKUP($N$1,'Datos Iniciales'!$E$34:$O$64,W$158,FALSE())*W97</f>
        <v>0</v>
      </c>
      <c r="X195" s="197" t="n">
        <f aca="false">VLOOKUP($N$1,'Datos Iniciales'!$E$34:$O$64,X$158,FALSE())*X97</f>
        <v>0</v>
      </c>
      <c r="Y195" s="194" t="str">
        <f aca="false">N195</f>
        <v>Alumno36</v>
      </c>
      <c r="Z195" s="208" t="n">
        <f aca="false">VLOOKUP($Y$1,'Datos Iniciales'!$E$34:$O$64,Z$158,FALSE())*Z97</f>
        <v>0</v>
      </c>
      <c r="AA195" s="196" t="n">
        <f aca="false">VLOOKUP($Y$1,'Datos Iniciales'!$E$34:$O$64,AA$158,FALSE())*AA97</f>
        <v>0</v>
      </c>
      <c r="AB195" s="196" t="n">
        <f aca="false">VLOOKUP($Y$1,'Datos Iniciales'!$E$34:$O$64,AB$158,FALSE())*AB97</f>
        <v>0</v>
      </c>
      <c r="AC195" s="196" t="n">
        <f aca="false">VLOOKUP($Y$1,'Datos Iniciales'!$E$34:$O$64,AC$158,FALSE())*AC97</f>
        <v>0</v>
      </c>
      <c r="AD195" s="196" t="n">
        <f aca="false">VLOOKUP($Y$1,'Datos Iniciales'!$E$34:$O$64,AD$158,FALSE())*AD97</f>
        <v>0</v>
      </c>
      <c r="AE195" s="196" t="n">
        <f aca="false">VLOOKUP($Y$1,'Datos Iniciales'!$E$34:$O$64,AE$158,FALSE())*AE97</f>
        <v>0</v>
      </c>
      <c r="AF195" s="196" t="n">
        <f aca="false">VLOOKUP($Y$1,'Datos Iniciales'!$E$34:$O$64,AF$158,FALSE())*AF97</f>
        <v>0</v>
      </c>
      <c r="AG195" s="196" t="n">
        <f aca="false">VLOOKUP($Y$1,'Datos Iniciales'!$E$34:$O$64,AG$158,FALSE())*AG97</f>
        <v>0</v>
      </c>
      <c r="AH195" s="196" t="n">
        <f aca="false">VLOOKUP($Y$1,'Datos Iniciales'!$E$34:$O$64,AH$158,FALSE())*AH97</f>
        <v>0</v>
      </c>
      <c r="AI195" s="197" t="n">
        <f aca="false">VLOOKUP($Y$1,'Datos Iniciales'!$E$34:$O$64,AI$158,FALSE())*AI97</f>
        <v>0</v>
      </c>
      <c r="AJ195" s="194" t="str">
        <f aca="false">Y195</f>
        <v>Alumno36</v>
      </c>
      <c r="AK195" s="208" t="n">
        <f aca="false">VLOOKUP($AJ$1,'Datos Iniciales'!$E$34:$O$64,AK$158,FALSE())*AK97</f>
        <v>0</v>
      </c>
      <c r="AL195" s="196" t="n">
        <f aca="false">VLOOKUP($AJ$1,'Datos Iniciales'!$E$34:$O$64,AL$158,FALSE())*AL97</f>
        <v>0</v>
      </c>
      <c r="AM195" s="196" t="n">
        <f aca="false">VLOOKUP($AJ$1,'Datos Iniciales'!$E$34:$O$64,AM$158,FALSE())*AM97</f>
        <v>0</v>
      </c>
      <c r="AN195" s="196" t="n">
        <f aca="false">VLOOKUP($AJ$1,'Datos Iniciales'!$E$34:$O$64,AN$158,FALSE())*AN97</f>
        <v>0</v>
      </c>
      <c r="AO195" s="196" t="n">
        <f aca="false">VLOOKUP($AJ$1,'Datos Iniciales'!$E$34:$O$64,AO$158,FALSE())*AO97</f>
        <v>0</v>
      </c>
      <c r="AP195" s="196" t="n">
        <f aca="false">VLOOKUP($AJ$1,'Datos Iniciales'!$E$34:$O$64,AP$158,FALSE())*AP97</f>
        <v>0</v>
      </c>
      <c r="AQ195" s="196" t="n">
        <f aca="false">VLOOKUP($AJ$1,'Datos Iniciales'!$E$34:$O$64,AQ$158,FALSE())*AQ97</f>
        <v>0</v>
      </c>
      <c r="AR195" s="196" t="n">
        <f aca="false">VLOOKUP($AJ$1,'Datos Iniciales'!$E$34:$O$64,AR$158,FALSE())*AR97</f>
        <v>0</v>
      </c>
      <c r="AS195" s="196" t="n">
        <f aca="false">VLOOKUP($AJ$1,'Datos Iniciales'!$E$34:$O$64,AS$158,FALSE())*AS97</f>
        <v>0</v>
      </c>
      <c r="AT195" s="197" t="n">
        <f aca="false">VLOOKUP($AJ$1,'Datos Iniciales'!$E$34:$O$64,AT$158,FALSE())*AT97</f>
        <v>0</v>
      </c>
      <c r="AU195" s="194" t="str">
        <f aca="false">AJ195</f>
        <v>Alumno36</v>
      </c>
      <c r="AV195" s="208" t="n">
        <f aca="false">VLOOKUP($AU$1,'Datos Iniciales'!$E$34:$O$64,AV$158,FALSE())*AV97</f>
        <v>0</v>
      </c>
      <c r="AW195" s="196" t="n">
        <f aca="false">VLOOKUP($AU$1,'Datos Iniciales'!$E$34:$O$64,AW$158,FALSE())*AW97</f>
        <v>0</v>
      </c>
      <c r="AX195" s="196" t="n">
        <f aca="false">VLOOKUP($AU$1,'Datos Iniciales'!$E$34:$O$64,AX$158,FALSE())*AX97</f>
        <v>0</v>
      </c>
      <c r="AY195" s="196" t="n">
        <f aca="false">VLOOKUP($AU$1,'Datos Iniciales'!$E$34:$O$64,AY$158,FALSE())*AY97</f>
        <v>0</v>
      </c>
      <c r="AZ195" s="196" t="n">
        <f aca="false">VLOOKUP($AU$1,'Datos Iniciales'!$E$34:$O$64,AZ$158,FALSE())*AZ97</f>
        <v>0</v>
      </c>
      <c r="BA195" s="196" t="n">
        <f aca="false">VLOOKUP($AU$1,'Datos Iniciales'!$E$34:$O$64,BA$158,FALSE())*BA97</f>
        <v>0</v>
      </c>
      <c r="BB195" s="196" t="n">
        <f aca="false">VLOOKUP($AU$1,'Datos Iniciales'!$E$34:$O$64,BB$158,FALSE())*BB97</f>
        <v>0</v>
      </c>
      <c r="BC195" s="196" t="n">
        <f aca="false">VLOOKUP($AU$1,'Datos Iniciales'!$E$34:$O$64,BC$158,FALSE())*BC97</f>
        <v>0</v>
      </c>
      <c r="BD195" s="196" t="n">
        <f aca="false">VLOOKUP($AU$1,'Datos Iniciales'!$E$34:$O$64,BD$158,FALSE())*BD97</f>
        <v>0</v>
      </c>
      <c r="BE195" s="197" t="n">
        <f aca="false">VLOOKUP($AU$1,'Datos Iniciales'!$E$34:$O$64,BE$158,FALSE())*BE97</f>
        <v>0</v>
      </c>
      <c r="BF195" s="194" t="str">
        <f aca="false">AU195</f>
        <v>Alumno36</v>
      </c>
      <c r="BG195" s="208" t="n">
        <f aca="false">VLOOKUP($BF$1,'Datos Iniciales'!$E$34:$O$64,BG$158,FALSE())*BG97</f>
        <v>0</v>
      </c>
      <c r="BH195" s="196" t="n">
        <f aca="false">VLOOKUP($BF$1,'Datos Iniciales'!$E$34:$O$64,BH$158,FALSE())*BH97</f>
        <v>0</v>
      </c>
      <c r="BI195" s="196" t="n">
        <f aca="false">VLOOKUP($BF$1,'Datos Iniciales'!$E$34:$O$64,BI$158,FALSE())*BI97</f>
        <v>0</v>
      </c>
      <c r="BJ195" s="196" t="n">
        <f aca="false">VLOOKUP($BF$1,'Datos Iniciales'!$E$34:$O$64,BJ$158,FALSE())*BJ97</f>
        <v>0</v>
      </c>
      <c r="BK195" s="196" t="n">
        <f aca="false">VLOOKUP($BF$1,'Datos Iniciales'!$E$34:$O$64,BK$158,FALSE())*BK97</f>
        <v>0</v>
      </c>
      <c r="BL195" s="196" t="n">
        <f aca="false">VLOOKUP($BF$1,'Datos Iniciales'!$E$34:$O$64,BL$158,FALSE())*BL97</f>
        <v>0</v>
      </c>
      <c r="BM195" s="196" t="n">
        <f aca="false">VLOOKUP($BF$1,'Datos Iniciales'!$E$34:$O$64,BM$158,FALSE())*BM97</f>
        <v>0</v>
      </c>
      <c r="BN195" s="196" t="n">
        <f aca="false">VLOOKUP($BF$1,'Datos Iniciales'!$E$34:$O$64,BN$158,FALSE())*BN97</f>
        <v>0</v>
      </c>
      <c r="BO195" s="196" t="n">
        <f aca="false">VLOOKUP($BF$1,'Datos Iniciales'!$E$34:$O$64,BO$158,FALSE())*BO97</f>
        <v>0</v>
      </c>
      <c r="BP195" s="197" t="n">
        <f aca="false">VLOOKUP($BF$1,'Datos Iniciales'!$E$34:$O$64,BP$158,FALSE())*BP97</f>
        <v>0</v>
      </c>
      <c r="BQ195" s="194" t="str">
        <f aca="false">BF195</f>
        <v>Alumno36</v>
      </c>
      <c r="BR195" s="208" t="n">
        <f aca="false">VLOOKUP($BQ$1,'Datos Iniciales'!$E$34:$O$64,BR$158,FALSE())*BR97</f>
        <v>0</v>
      </c>
      <c r="BS195" s="196" t="n">
        <f aca="false">VLOOKUP($BQ$1,'Datos Iniciales'!$E$34:$O$64,BS$158,FALSE())*BS97</f>
        <v>0</v>
      </c>
      <c r="BT195" s="196" t="n">
        <f aca="false">VLOOKUP($BQ$1,'Datos Iniciales'!$E$34:$O$64,BT$158,FALSE())*BT97</f>
        <v>0</v>
      </c>
      <c r="BU195" s="196" t="n">
        <f aca="false">VLOOKUP($BQ$1,'Datos Iniciales'!$E$34:$O$64,BU$158,FALSE())*BU97</f>
        <v>0</v>
      </c>
      <c r="BV195" s="196" t="n">
        <f aca="false">VLOOKUP($BQ$1,'Datos Iniciales'!$E$34:$O$64,BV$158,FALSE())*BV97</f>
        <v>0</v>
      </c>
      <c r="BW195" s="196" t="n">
        <f aca="false">VLOOKUP($BQ$1,'Datos Iniciales'!$E$34:$O$64,BW$158,FALSE())*BW97</f>
        <v>0</v>
      </c>
      <c r="BX195" s="196" t="n">
        <f aca="false">VLOOKUP($BQ$1,'Datos Iniciales'!$E$34:$O$64,BX$158,FALSE())*BX97</f>
        <v>0</v>
      </c>
      <c r="BY195" s="196" t="n">
        <f aca="false">VLOOKUP($BQ$1,'Datos Iniciales'!$E$34:$O$64,BY$158,FALSE())*BY97</f>
        <v>0</v>
      </c>
      <c r="BZ195" s="196" t="n">
        <f aca="false">VLOOKUP($BQ$1,'Datos Iniciales'!$E$34:$O$64,BZ$158,FALSE())*BZ97</f>
        <v>0</v>
      </c>
      <c r="CA195" s="197" t="n">
        <f aca="false">VLOOKUP($BQ$1,'Datos Iniciales'!$E$34:$O$64,CA$158,FALSE())*CA97</f>
        <v>0</v>
      </c>
      <c r="CB195" s="194" t="str">
        <f aca="false">BQ195</f>
        <v>Alumno36</v>
      </c>
      <c r="CC195" s="208" t="n">
        <f aca="false">VLOOKUP($CB$1,'Datos Iniciales'!$E$34:$O$64,CC$158,FALSE())*CC97</f>
        <v>0</v>
      </c>
      <c r="CD195" s="196" t="n">
        <f aca="false">VLOOKUP($CB$1,'Datos Iniciales'!$E$34:$O$64,CD$158,FALSE())*CD97</f>
        <v>0</v>
      </c>
      <c r="CE195" s="196" t="n">
        <f aca="false">VLOOKUP($CB$1,'Datos Iniciales'!$E$34:$O$64,CE$158,FALSE())*CE97</f>
        <v>0</v>
      </c>
      <c r="CF195" s="196" t="n">
        <f aca="false">VLOOKUP($CB$1,'Datos Iniciales'!$E$34:$O$64,CF$158,FALSE())*CF97</f>
        <v>0</v>
      </c>
      <c r="CG195" s="196" t="n">
        <f aca="false">VLOOKUP($CB$1,'Datos Iniciales'!$E$34:$O$64,CG$158,FALSE())*CG97</f>
        <v>0</v>
      </c>
      <c r="CH195" s="196" t="n">
        <f aca="false">VLOOKUP($CB$1,'Datos Iniciales'!$E$34:$O$64,CH$158,FALSE())*CH97</f>
        <v>0</v>
      </c>
      <c r="CI195" s="196" t="n">
        <f aca="false">VLOOKUP($CB$1,'Datos Iniciales'!$E$34:$O$64,CI$158,FALSE())*CI97</f>
        <v>0</v>
      </c>
      <c r="CJ195" s="196" t="n">
        <f aca="false">VLOOKUP($CB$1,'Datos Iniciales'!$E$34:$O$64,CJ$158,FALSE())*CJ97</f>
        <v>0</v>
      </c>
      <c r="CK195" s="196" t="n">
        <f aca="false">VLOOKUP($CB$1,'Datos Iniciales'!$E$34:$O$64,CK$158,FALSE())*CK97</f>
        <v>0</v>
      </c>
      <c r="CL195" s="197" t="n">
        <f aca="false">VLOOKUP($CB$1,'Datos Iniciales'!$E$34:$O$64,CL$158,FALSE())*CL97</f>
        <v>0</v>
      </c>
      <c r="CM195" s="194" t="str">
        <f aca="false">CB195</f>
        <v>Alumno36</v>
      </c>
      <c r="CN195" s="208" t="n">
        <f aca="false">VLOOKUP($CM$1,'Datos Iniciales'!$E$34:$O$64,CN$158,FALSE())*CN97</f>
        <v>0</v>
      </c>
      <c r="CO195" s="196" t="n">
        <f aca="false">VLOOKUP($CM$1,'Datos Iniciales'!$E$34:$O$64,CO$158,FALSE())*CO97</f>
        <v>0</v>
      </c>
      <c r="CP195" s="196" t="n">
        <f aca="false">VLOOKUP($CM$1,'Datos Iniciales'!$E$34:$O$64,CP$158,FALSE())*CP97</f>
        <v>0</v>
      </c>
      <c r="CQ195" s="196" t="n">
        <f aca="false">VLOOKUP($CM$1,'Datos Iniciales'!$E$34:$O$64,CQ$158,FALSE())*CQ97</f>
        <v>0</v>
      </c>
      <c r="CR195" s="196" t="n">
        <f aca="false">VLOOKUP($CM$1,'Datos Iniciales'!$E$34:$O$64,CR$158,FALSE())*CR97</f>
        <v>0</v>
      </c>
      <c r="CS195" s="196" t="n">
        <f aca="false">VLOOKUP($CM$1,'Datos Iniciales'!$E$34:$O$64,CS$158,FALSE())*CS97</f>
        <v>0</v>
      </c>
      <c r="CT195" s="196" t="n">
        <f aca="false">VLOOKUP($CM$1,'Datos Iniciales'!$E$34:$O$64,CT$158,FALSE())*CT97</f>
        <v>0</v>
      </c>
      <c r="CU195" s="196" t="n">
        <f aca="false">VLOOKUP($CM$1,'Datos Iniciales'!$E$34:$O$64,CU$158,FALSE())*CU97</f>
        <v>0</v>
      </c>
      <c r="CV195" s="196" t="n">
        <f aca="false">VLOOKUP($CM$1,'Datos Iniciales'!$E$34:$O$64,CV$158,FALSE())*CV97</f>
        <v>0</v>
      </c>
      <c r="CW195" s="197" t="n">
        <f aca="false">VLOOKUP($CM$1,'Datos Iniciales'!$E$34:$O$64,CW$158,FALSE())*CW97</f>
        <v>0</v>
      </c>
      <c r="CX195" s="194" t="str">
        <f aca="false">CM195</f>
        <v>Alumno36</v>
      </c>
      <c r="CY195" s="208" t="n">
        <f aca="false">VLOOKUP($CX$1,'Datos Iniciales'!$E$34:$O$64,CY$158,FALSE())*CY97</f>
        <v>0</v>
      </c>
      <c r="CZ195" s="196" t="n">
        <f aca="false">VLOOKUP($CX$1,'Datos Iniciales'!$E$34:$O$64,CZ$158,FALSE())*CZ97</f>
        <v>0</v>
      </c>
      <c r="DA195" s="196" t="n">
        <f aca="false">VLOOKUP($CX$1,'Datos Iniciales'!$E$34:$O$64,DA$158,FALSE())*DA97</f>
        <v>0</v>
      </c>
      <c r="DB195" s="196" t="n">
        <f aca="false">VLOOKUP($CX$1,'Datos Iniciales'!$E$34:$O$64,DB$158,FALSE())*DB97</f>
        <v>0</v>
      </c>
      <c r="DC195" s="196" t="n">
        <f aca="false">VLOOKUP($CX$1,'Datos Iniciales'!$E$34:$O$64,DC$158,FALSE())*DC97</f>
        <v>0</v>
      </c>
      <c r="DD195" s="196" t="n">
        <f aca="false">VLOOKUP($CX$1,'Datos Iniciales'!$E$34:$O$64,DD$158,FALSE())*DD97</f>
        <v>0</v>
      </c>
      <c r="DE195" s="196" t="n">
        <f aca="false">VLOOKUP($CX$1,'Datos Iniciales'!$E$34:$O$64,DE$158,FALSE())*DE97</f>
        <v>0</v>
      </c>
      <c r="DF195" s="196" t="n">
        <f aca="false">VLOOKUP($CX$1,'Datos Iniciales'!$E$34:$O$64,DF$158,FALSE())*DF97</f>
        <v>0</v>
      </c>
      <c r="DG195" s="196" t="n">
        <f aca="false">VLOOKUP($CX$1,'Datos Iniciales'!$E$34:$O$64,DG$158,FALSE())*DG97</f>
        <v>0</v>
      </c>
      <c r="DH195" s="197" t="n">
        <f aca="false">VLOOKUP($CX$1,'Datos Iniciales'!$E$34:$O$64,DH$158,FALSE())*DH97</f>
        <v>0</v>
      </c>
      <c r="DI195" s="194" t="str">
        <f aca="false">CX195</f>
        <v>Alumno36</v>
      </c>
      <c r="DJ195" s="208" t="n">
        <f aca="false">VLOOKUP($DI$1,'Datos Iniciales'!$E$34:$O$64,DJ$158,FALSE())*DJ97</f>
        <v>0</v>
      </c>
      <c r="DK195" s="196" t="n">
        <f aca="false">VLOOKUP($DI$1,'Datos Iniciales'!$E$34:$O$64,DK$158,FALSE())*DK97</f>
        <v>0</v>
      </c>
      <c r="DL195" s="196" t="n">
        <f aca="false">VLOOKUP($DI$1,'Datos Iniciales'!$E$34:$O$64,DL$158,FALSE())*DL97</f>
        <v>0</v>
      </c>
      <c r="DM195" s="196" t="n">
        <f aca="false">VLOOKUP($DI$1,'Datos Iniciales'!$E$34:$O$64,DM$158,FALSE())*DM97</f>
        <v>0</v>
      </c>
      <c r="DN195" s="196" t="n">
        <f aca="false">VLOOKUP($DI$1,'Datos Iniciales'!$E$34:$O$64,DN$158,FALSE())*DN97</f>
        <v>0</v>
      </c>
      <c r="DO195" s="196" t="n">
        <f aca="false">VLOOKUP($DI$1,'Datos Iniciales'!$E$34:$O$64,DO$158,FALSE())*DO97</f>
        <v>0</v>
      </c>
      <c r="DP195" s="196" t="n">
        <f aca="false">VLOOKUP($DI$1,'Datos Iniciales'!$E$34:$O$64,DP$158,FALSE())*DP97</f>
        <v>0</v>
      </c>
      <c r="DQ195" s="196" t="n">
        <f aca="false">VLOOKUP($DI$1,'Datos Iniciales'!$E$34:$O$64,DQ$158,FALSE())*DQ97</f>
        <v>0</v>
      </c>
      <c r="DR195" s="196" t="n">
        <f aca="false">VLOOKUP($DI$1,'Datos Iniciales'!$E$34:$O$64,DR$158,FALSE())*DR97</f>
        <v>0</v>
      </c>
      <c r="DS195" s="197" t="n">
        <f aca="false">VLOOKUP($DI$1,'Datos Iniciales'!$E$34:$O$64,DS$158,FALSE())*DS97</f>
        <v>0</v>
      </c>
      <c r="DT195" s="194" t="str">
        <f aca="false">DI195</f>
        <v>Alumno36</v>
      </c>
      <c r="DU195" s="208" t="n">
        <f aca="false">VLOOKUP($DT$1,'Datos Iniciales'!$E$34:$O$64,DU$158,FALSE())*DU97</f>
        <v>0</v>
      </c>
      <c r="DV195" s="196" t="n">
        <f aca="false">VLOOKUP($DT$1,'Datos Iniciales'!$E$34:$O$64,DV$158,FALSE())*DV97</f>
        <v>0</v>
      </c>
      <c r="DW195" s="196" t="n">
        <f aca="false">VLOOKUP($DT$1,'Datos Iniciales'!$E$34:$O$64,DW$158,FALSE())*DW97</f>
        <v>0</v>
      </c>
      <c r="DX195" s="196" t="n">
        <f aca="false">VLOOKUP($DT$1,'Datos Iniciales'!$E$34:$O$64,DX$158,FALSE())*DX97</f>
        <v>0</v>
      </c>
      <c r="DY195" s="196" t="n">
        <f aca="false">VLOOKUP($DT$1,'Datos Iniciales'!$E$34:$O$64,DY$158,FALSE())*DY97</f>
        <v>0</v>
      </c>
      <c r="DZ195" s="196" t="n">
        <f aca="false">VLOOKUP($DT$1,'Datos Iniciales'!$E$34:$O$64,DZ$158,FALSE())*DZ97</f>
        <v>0</v>
      </c>
      <c r="EA195" s="196" t="n">
        <f aca="false">VLOOKUP($DT$1,'Datos Iniciales'!$E$34:$O$64,EA$158,FALSE())*EA97</f>
        <v>0</v>
      </c>
      <c r="EB195" s="196" t="n">
        <f aca="false">VLOOKUP($DT$1,'Datos Iniciales'!$E$34:$O$64,EB$158,FALSE())*EB97</f>
        <v>0</v>
      </c>
      <c r="EC195" s="196" t="n">
        <f aca="false">VLOOKUP($DT$1,'Datos Iniciales'!$E$34:$O$64,EC$158,FALSE())*EC97</f>
        <v>0</v>
      </c>
      <c r="ED195" s="197" t="n">
        <f aca="false">VLOOKUP($DT$1,'Datos Iniciales'!$E$34:$O$64,ED$158,FALSE())*ED97</f>
        <v>0</v>
      </c>
      <c r="EE195" s="194" t="str">
        <f aca="false">DT195</f>
        <v>Alumno36</v>
      </c>
      <c r="EF195" s="208" t="n">
        <f aca="false">VLOOKUP($EE$1,'Datos Iniciales'!$E$34:$O$64,EF$158,FALSE())*EF97</f>
        <v>0</v>
      </c>
      <c r="EG195" s="196" t="n">
        <f aca="false">VLOOKUP($EE$1,'Datos Iniciales'!$E$34:$O$64,EG$158,FALSE())*EG97</f>
        <v>0</v>
      </c>
      <c r="EH195" s="196" t="n">
        <f aca="false">VLOOKUP($EE$1,'Datos Iniciales'!$E$34:$O$64,EH$158,FALSE())*EH97</f>
        <v>0</v>
      </c>
      <c r="EI195" s="196" t="n">
        <f aca="false">VLOOKUP($EE$1,'Datos Iniciales'!$E$34:$O$64,EI$158,FALSE())*EI97</f>
        <v>0</v>
      </c>
      <c r="EJ195" s="196" t="n">
        <f aca="false">VLOOKUP($EE$1,'Datos Iniciales'!$E$34:$O$64,EJ$158,FALSE())*EJ97</f>
        <v>0</v>
      </c>
      <c r="EK195" s="196" t="n">
        <f aca="false">VLOOKUP($EE$1,'Datos Iniciales'!$E$34:$O$64,EK$158,FALSE())*EK97</f>
        <v>0</v>
      </c>
      <c r="EL195" s="196" t="n">
        <f aca="false">VLOOKUP($EE$1,'Datos Iniciales'!$E$34:$O$64,EL$158,FALSE())*EL97</f>
        <v>0</v>
      </c>
      <c r="EM195" s="196" t="n">
        <f aca="false">VLOOKUP($EE$1,'Datos Iniciales'!$E$34:$O$64,EM$158,FALSE())*EM97</f>
        <v>0</v>
      </c>
      <c r="EN195" s="196" t="n">
        <f aca="false">VLOOKUP($EE$1,'Datos Iniciales'!$E$34:$O$64,EN$158,FALSE())*EN97</f>
        <v>0</v>
      </c>
      <c r="EO195" s="197" t="n">
        <f aca="false">VLOOKUP($EE$1,'Datos Iniciales'!$E$34:$O$64,EO$158,FALSE())*EO97</f>
        <v>0</v>
      </c>
      <c r="EP195" s="194" t="str">
        <f aca="false">EE195</f>
        <v>Alumno36</v>
      </c>
      <c r="EQ195" s="208" t="n">
        <f aca="false">VLOOKUP($EP$1,'Datos Iniciales'!$E$34:$O$64,EQ$158,FALSE())*EQ97</f>
        <v>0</v>
      </c>
      <c r="ER195" s="196" t="n">
        <f aca="false">VLOOKUP($EP$1,'Datos Iniciales'!$E$34:$O$64,ER$158,FALSE())*ER97</f>
        <v>0</v>
      </c>
      <c r="ES195" s="196" t="n">
        <f aca="false">VLOOKUP($EP$1,'Datos Iniciales'!$E$34:$O$64,ES$158,FALSE())*ES97</f>
        <v>0</v>
      </c>
      <c r="ET195" s="196" t="n">
        <f aca="false">VLOOKUP($EP$1,'Datos Iniciales'!$E$34:$O$64,ET$158,FALSE())*ET97</f>
        <v>0</v>
      </c>
      <c r="EU195" s="196" t="n">
        <f aca="false">VLOOKUP($EP$1,'Datos Iniciales'!$E$34:$O$64,EU$158,FALSE())*EU97</f>
        <v>0</v>
      </c>
      <c r="EV195" s="196" t="n">
        <f aca="false">VLOOKUP($EP$1,'Datos Iniciales'!$E$34:$O$64,EV$158,FALSE())*EV97</f>
        <v>0</v>
      </c>
      <c r="EW195" s="196" t="n">
        <f aca="false">VLOOKUP($EP$1,'Datos Iniciales'!$E$34:$O$64,EW$158,FALSE())*EW97</f>
        <v>0</v>
      </c>
      <c r="EX195" s="196" t="n">
        <f aca="false">VLOOKUP($EP$1,'Datos Iniciales'!$E$34:$O$64,EX$158,FALSE())*EX97</f>
        <v>0</v>
      </c>
      <c r="EY195" s="196" t="n">
        <f aca="false">VLOOKUP($EP$1,'Datos Iniciales'!$E$34:$O$64,EY$158,FALSE())*EY97</f>
        <v>0</v>
      </c>
      <c r="EZ195" s="197" t="n">
        <f aca="false">VLOOKUP($EP$1,'Datos Iniciales'!$E$34:$O$64,EZ$158,FALSE())*EZ97</f>
        <v>0</v>
      </c>
      <c r="FA195" s="194" t="str">
        <f aca="false">EP195</f>
        <v>Alumno36</v>
      </c>
      <c r="FB195" s="208" t="n">
        <f aca="false">VLOOKUP($FA$1,'Datos Iniciales'!$E$34:$O$64,FB$158,FALSE())*FB97</f>
        <v>0</v>
      </c>
      <c r="FC195" s="196" t="n">
        <f aca="false">VLOOKUP($FA$1,'Datos Iniciales'!$E$34:$O$64,FC$158,FALSE())*FC97</f>
        <v>0</v>
      </c>
      <c r="FD195" s="196" t="n">
        <f aca="false">VLOOKUP($FA$1,'Datos Iniciales'!$E$34:$O$64,FD$158,FALSE())*FD97</f>
        <v>0</v>
      </c>
      <c r="FE195" s="196" t="n">
        <f aca="false">VLOOKUP($FA$1,'Datos Iniciales'!$E$34:$O$64,FE$158,FALSE())*FE97</f>
        <v>0</v>
      </c>
      <c r="FF195" s="196" t="n">
        <f aca="false">VLOOKUP($FA$1,'Datos Iniciales'!$E$34:$O$64,FF$158,FALSE())*FF97</f>
        <v>0</v>
      </c>
      <c r="FG195" s="196" t="n">
        <f aca="false">VLOOKUP($FA$1,'Datos Iniciales'!$E$34:$O$64,FG$158,FALSE())*FG97</f>
        <v>0</v>
      </c>
      <c r="FH195" s="196" t="n">
        <f aca="false">VLOOKUP($FA$1,'Datos Iniciales'!$E$34:$O$64,FH$158,FALSE())*FH97</f>
        <v>0</v>
      </c>
      <c r="FI195" s="196" t="n">
        <f aca="false">VLOOKUP($FA$1,'Datos Iniciales'!$E$34:$O$64,FI$158,FALSE())*FI97</f>
        <v>0</v>
      </c>
      <c r="FJ195" s="196" t="n">
        <f aca="false">VLOOKUP($FA$1,'Datos Iniciales'!$E$34:$O$64,FJ$158,FALSE())*FJ97</f>
        <v>0</v>
      </c>
      <c r="FK195" s="197" t="n">
        <f aca="false">VLOOKUP($FA$1,'Datos Iniciales'!$E$34:$O$64,FK$158,FALSE())*FK97</f>
        <v>0</v>
      </c>
      <c r="FL195" s="194" t="str">
        <f aca="false">FA195</f>
        <v>Alumno36</v>
      </c>
      <c r="FM195" s="208" t="n">
        <f aca="false">VLOOKUP($FL$1,'Datos Iniciales'!$E$34:$O$64,FM$158,FALSE())*FM97</f>
        <v>0</v>
      </c>
      <c r="FN195" s="196" t="n">
        <f aca="false">VLOOKUP($FL$1,'Datos Iniciales'!$E$34:$O$64,FN$158,FALSE())*FN97</f>
        <v>0</v>
      </c>
      <c r="FO195" s="196" t="n">
        <f aca="false">VLOOKUP($FL$1,'Datos Iniciales'!$E$34:$O$64,FO$158,FALSE())*FO97</f>
        <v>0</v>
      </c>
      <c r="FP195" s="196" t="n">
        <f aca="false">VLOOKUP($FL$1,'Datos Iniciales'!$E$34:$O$64,FP$158,FALSE())*FP97</f>
        <v>0</v>
      </c>
      <c r="FQ195" s="196" t="n">
        <f aca="false">VLOOKUP($FL$1,'Datos Iniciales'!$E$34:$O$64,FQ$158,FALSE())*FQ97</f>
        <v>0</v>
      </c>
      <c r="FR195" s="196" t="n">
        <f aca="false">VLOOKUP($FL$1,'Datos Iniciales'!$E$34:$O$64,FR$158,FALSE())*FR97</f>
        <v>0</v>
      </c>
      <c r="FS195" s="196" t="n">
        <f aca="false">VLOOKUP($FL$1,'Datos Iniciales'!$E$34:$O$64,FS$158,FALSE())*FS97</f>
        <v>0</v>
      </c>
      <c r="FT195" s="196" t="n">
        <f aca="false">VLOOKUP($FL$1,'Datos Iniciales'!$E$34:$O$64,FT$158,FALSE())*FT97</f>
        <v>0</v>
      </c>
      <c r="FU195" s="196" t="n">
        <f aca="false">VLOOKUP($FL$1,'Datos Iniciales'!$E$34:$O$64,FU$158,FALSE())*FU97</f>
        <v>0</v>
      </c>
      <c r="FV195" s="197" t="n">
        <f aca="false">VLOOKUP($FL$1,'Datos Iniciales'!$E$34:$O$64,FV$158,FALSE())*FV97</f>
        <v>0</v>
      </c>
      <c r="FW195" s="194" t="str">
        <f aca="false">FL195</f>
        <v>Alumno36</v>
      </c>
      <c r="FX195" s="208" t="n">
        <f aca="false">VLOOKUP($FW$1,'Datos Iniciales'!$E$34:$O$64,FX$158,FALSE())*FX97</f>
        <v>0</v>
      </c>
      <c r="FY195" s="196" t="n">
        <f aca="false">VLOOKUP($FW$1,'Datos Iniciales'!$E$34:$O$64,FY$158,FALSE())*FY97</f>
        <v>0</v>
      </c>
      <c r="FZ195" s="196" t="n">
        <f aca="false">VLOOKUP($FW$1,'Datos Iniciales'!$E$34:$O$64,FZ$158,FALSE())*FZ97</f>
        <v>0</v>
      </c>
      <c r="GA195" s="196" t="n">
        <f aca="false">VLOOKUP($FW$1,'Datos Iniciales'!$E$34:$O$64,GA$158,FALSE())*GA97</f>
        <v>0</v>
      </c>
      <c r="GB195" s="196" t="n">
        <f aca="false">VLOOKUP($FW$1,'Datos Iniciales'!$E$34:$O$64,GB$158,FALSE())*GB97</f>
        <v>0</v>
      </c>
      <c r="GC195" s="196" t="n">
        <f aca="false">VLOOKUP($FW$1,'Datos Iniciales'!$E$34:$O$64,GC$158,FALSE())*GC97</f>
        <v>0</v>
      </c>
      <c r="GD195" s="196" t="n">
        <f aca="false">VLOOKUP($FW$1,'Datos Iniciales'!$E$34:$O$64,GD$158,FALSE())*GD97</f>
        <v>0</v>
      </c>
      <c r="GE195" s="196" t="n">
        <f aca="false">VLOOKUP($FW$1,'Datos Iniciales'!$E$34:$O$64,GE$158,FALSE())*GE97</f>
        <v>0</v>
      </c>
      <c r="GF195" s="196" t="n">
        <f aca="false">VLOOKUP($FW$1,'Datos Iniciales'!$E$34:$O$64,GF$158,FALSE())*GF97</f>
        <v>0</v>
      </c>
      <c r="GG195" s="197" t="n">
        <f aca="false">VLOOKUP($FW$1,'Datos Iniciales'!$E$34:$O$64,GG$158,FALSE())*GG97</f>
        <v>0</v>
      </c>
      <c r="GH195" s="194" t="str">
        <f aca="false">FW195</f>
        <v>Alumno36</v>
      </c>
      <c r="GI195" s="208" t="n">
        <f aca="false">VLOOKUP($GH$1,'Datos Iniciales'!$E$34:$O$64,GI$158,FALSE())*GI97</f>
        <v>0</v>
      </c>
      <c r="GJ195" s="196" t="n">
        <f aca="false">VLOOKUP($GH$1,'Datos Iniciales'!$E$34:$O$64,GJ$158,FALSE())*GJ97</f>
        <v>0</v>
      </c>
      <c r="GK195" s="196" t="n">
        <f aca="false">VLOOKUP($GH$1,'Datos Iniciales'!$E$34:$O$64,GK$158,FALSE())*GK97</f>
        <v>0</v>
      </c>
      <c r="GL195" s="196" t="n">
        <f aca="false">VLOOKUP($GH$1,'Datos Iniciales'!$E$34:$O$64,GL$158,FALSE())*GL97</f>
        <v>0</v>
      </c>
      <c r="GM195" s="196" t="n">
        <f aca="false">VLOOKUP($GH$1,'Datos Iniciales'!$E$34:$O$64,GM$158,FALSE())*GM97</f>
        <v>0</v>
      </c>
      <c r="GN195" s="196" t="n">
        <f aca="false">VLOOKUP($GH$1,'Datos Iniciales'!$E$34:$O$64,GN$158,FALSE())*GN97</f>
        <v>0</v>
      </c>
      <c r="GO195" s="196" t="n">
        <f aca="false">VLOOKUP($GH$1,'Datos Iniciales'!$E$34:$O$64,GO$158,FALSE())*GO97</f>
        <v>0</v>
      </c>
      <c r="GP195" s="196" t="n">
        <f aca="false">VLOOKUP($GH$1,'Datos Iniciales'!$E$34:$O$64,GP$158,FALSE())*GP97</f>
        <v>0</v>
      </c>
      <c r="GQ195" s="196" t="n">
        <f aca="false">VLOOKUP($GH$1,'Datos Iniciales'!$E$34:$O$64,GQ$158,FALSE())*GQ97</f>
        <v>0</v>
      </c>
      <c r="GR195" s="197" t="n">
        <f aca="false">VLOOKUP($GH$1,'Datos Iniciales'!$E$34:$O$64,GR$158,FALSE())*GR97</f>
        <v>0</v>
      </c>
      <c r="GS195" s="194" t="str">
        <f aca="false">GH195</f>
        <v>Alumno36</v>
      </c>
      <c r="GT195" s="208" t="n">
        <f aca="false">VLOOKUP($GS$1,'Datos Iniciales'!$E$34:$O$64,GT$158,FALSE())*GT97</f>
        <v>0</v>
      </c>
      <c r="GU195" s="196" t="n">
        <f aca="false">VLOOKUP($GS$1,'Datos Iniciales'!$E$34:$O$64,GU$158,FALSE())*GU97</f>
        <v>0</v>
      </c>
      <c r="GV195" s="196" t="n">
        <f aca="false">VLOOKUP($GS$1,'Datos Iniciales'!$E$34:$O$64,GV$158,FALSE())*GV97</f>
        <v>0</v>
      </c>
      <c r="GW195" s="196" t="n">
        <f aca="false">VLOOKUP($GS$1,'Datos Iniciales'!$E$34:$O$64,GW$158,FALSE())*GW97</f>
        <v>0</v>
      </c>
      <c r="GX195" s="196" t="n">
        <f aca="false">VLOOKUP($GS$1,'Datos Iniciales'!$E$34:$O$64,GX$158,FALSE())*GX97</f>
        <v>0</v>
      </c>
      <c r="GY195" s="196" t="n">
        <f aca="false">VLOOKUP($GS$1,'Datos Iniciales'!$E$34:$O$64,GY$158,FALSE())*GY97</f>
        <v>0</v>
      </c>
      <c r="GZ195" s="196" t="n">
        <f aca="false">VLOOKUP($GS$1,'Datos Iniciales'!$E$34:$O$64,GZ$158,FALSE())*GZ97</f>
        <v>0</v>
      </c>
      <c r="HA195" s="196" t="n">
        <f aca="false">VLOOKUP($GS$1,'Datos Iniciales'!$E$34:$O$64,HA$158,FALSE())*HA97</f>
        <v>0</v>
      </c>
      <c r="HB195" s="196" t="n">
        <f aca="false">VLOOKUP($GS$1,'Datos Iniciales'!$E$34:$O$64,HB$158,FALSE())*HB97</f>
        <v>0</v>
      </c>
      <c r="HC195" s="197" t="n">
        <f aca="false">VLOOKUP($GS$1,'Datos Iniciales'!$E$34:$O$64,HC$158,FALSE())*HC97</f>
        <v>0</v>
      </c>
      <c r="HD195" s="194" t="str">
        <f aca="false">GS195</f>
        <v>Alumno36</v>
      </c>
      <c r="HE195" s="208" t="n">
        <f aca="false">VLOOKUP($HD$1,'Datos Iniciales'!$E$34:$O$64,HE$158,FALSE())*HE97</f>
        <v>0</v>
      </c>
      <c r="HF195" s="196" t="n">
        <f aca="false">VLOOKUP($HD$1,'Datos Iniciales'!$E$34:$O$64,HF$158,FALSE())*HF97</f>
        <v>0</v>
      </c>
      <c r="HG195" s="196" t="n">
        <f aca="false">VLOOKUP($HD$1,'Datos Iniciales'!$E$34:$O$64,HG$158,FALSE())*HG97</f>
        <v>0</v>
      </c>
      <c r="HH195" s="196" t="n">
        <f aca="false">VLOOKUP($HD$1,'Datos Iniciales'!$E$34:$O$64,HH$158,FALSE())*HH97</f>
        <v>0</v>
      </c>
      <c r="HI195" s="196" t="n">
        <f aca="false">VLOOKUP($HD$1,'Datos Iniciales'!$E$34:$O$64,HI$158,FALSE())*HI97</f>
        <v>0</v>
      </c>
      <c r="HJ195" s="196" t="n">
        <f aca="false">VLOOKUP($HD$1,'Datos Iniciales'!$E$34:$O$64,HJ$158,FALSE())*HJ97</f>
        <v>0</v>
      </c>
      <c r="HK195" s="196" t="n">
        <f aca="false">VLOOKUP($HD$1,'Datos Iniciales'!$E$34:$O$64,HK$158,FALSE())*HK97</f>
        <v>0</v>
      </c>
      <c r="HL195" s="196" t="n">
        <f aca="false">VLOOKUP($HD$1,'Datos Iniciales'!$E$34:$O$64,HL$158,FALSE())*HL97</f>
        <v>0</v>
      </c>
      <c r="HM195" s="196" t="n">
        <f aca="false">VLOOKUP($HD$1,'Datos Iniciales'!$E$34:$O$64,HM$158,FALSE())*HM97</f>
        <v>0</v>
      </c>
      <c r="HN195" s="197" t="n">
        <f aca="false">VLOOKUP($HD$1,'Datos Iniciales'!$E$34:$O$64,HN$158,FALSE())*HN97</f>
        <v>0</v>
      </c>
      <c r="HO195" s="194" t="str">
        <f aca="false">HD195</f>
        <v>Alumno36</v>
      </c>
      <c r="HP195" s="208" t="n">
        <f aca="false">VLOOKUP($HO$1,'Datos Iniciales'!$E$34:$O$64,HP$158,FALSE())*HP97</f>
        <v>0</v>
      </c>
      <c r="HQ195" s="196" t="n">
        <f aca="false">VLOOKUP($HO$1,'Datos Iniciales'!$E$34:$O$64,HQ$158,FALSE())*HQ97</f>
        <v>0</v>
      </c>
      <c r="HR195" s="196" t="n">
        <f aca="false">VLOOKUP($HO$1,'Datos Iniciales'!$E$34:$O$64,HR$158,FALSE())*HR97</f>
        <v>0</v>
      </c>
      <c r="HS195" s="196" t="n">
        <f aca="false">VLOOKUP($HO$1,'Datos Iniciales'!$E$34:$O$64,HS$158,FALSE())*HS97</f>
        <v>0</v>
      </c>
      <c r="HT195" s="196" t="n">
        <f aca="false">VLOOKUP($HO$1,'Datos Iniciales'!$E$34:$O$64,HT$158,FALSE())*HT97</f>
        <v>0</v>
      </c>
      <c r="HU195" s="196" t="n">
        <f aca="false">VLOOKUP($HO$1,'Datos Iniciales'!$E$34:$O$64,HU$158,FALSE())*HU97</f>
        <v>0</v>
      </c>
      <c r="HV195" s="196" t="n">
        <f aca="false">VLOOKUP($HO$1,'Datos Iniciales'!$E$34:$O$64,HV$158,FALSE())*HV97</f>
        <v>0</v>
      </c>
      <c r="HW195" s="196" t="n">
        <f aca="false">VLOOKUP($HO$1,'Datos Iniciales'!$E$34:$O$64,HW$158,FALSE())*HW97</f>
        <v>0</v>
      </c>
      <c r="HX195" s="196" t="n">
        <f aca="false">VLOOKUP($HO$1,'Datos Iniciales'!$E$34:$O$64,HX$158,FALSE())*HX97</f>
        <v>0</v>
      </c>
      <c r="HY195" s="197" t="n">
        <f aca="false">VLOOKUP($HO$1,'Datos Iniciales'!$E$34:$O$64,HY$158,FALSE())*HY97</f>
        <v>0</v>
      </c>
      <c r="HZ195" s="194" t="str">
        <f aca="false">HO195</f>
        <v>Alumno36</v>
      </c>
      <c r="IA195" s="208" t="n">
        <f aca="false">VLOOKUP($HZ$1,'Datos Iniciales'!$E$34:$O$64,IA$158,FALSE())*IA97</f>
        <v>0</v>
      </c>
      <c r="IB195" s="196" t="n">
        <f aca="false">VLOOKUP($HZ$1,'Datos Iniciales'!$E$34:$O$64,IB$158,FALSE())*IB97</f>
        <v>0</v>
      </c>
      <c r="IC195" s="196" t="n">
        <f aca="false">VLOOKUP($HZ$1,'Datos Iniciales'!$E$34:$O$64,IC$158,FALSE())*IC97</f>
        <v>0</v>
      </c>
      <c r="ID195" s="196" t="n">
        <f aca="false">VLOOKUP($HZ$1,'Datos Iniciales'!$E$34:$O$64,ID$158,FALSE())*ID97</f>
        <v>0</v>
      </c>
      <c r="IE195" s="196" t="n">
        <f aca="false">VLOOKUP($HZ$1,'Datos Iniciales'!$E$34:$O$64,IE$158,FALSE())*IE97</f>
        <v>0</v>
      </c>
      <c r="IF195" s="196" t="n">
        <f aca="false">VLOOKUP($HZ$1,'Datos Iniciales'!$E$34:$O$64,IF$158,FALSE())*IF97</f>
        <v>0</v>
      </c>
      <c r="IG195" s="196" t="n">
        <f aca="false">VLOOKUP($HZ$1,'Datos Iniciales'!$E$34:$O$64,IG$158,FALSE())*IG97</f>
        <v>0</v>
      </c>
      <c r="IH195" s="196" t="n">
        <f aca="false">VLOOKUP($HZ$1,'Datos Iniciales'!$E$34:$O$64,IH$158,FALSE())*IH97</f>
        <v>0</v>
      </c>
      <c r="II195" s="196" t="n">
        <f aca="false">VLOOKUP($HZ$1,'Datos Iniciales'!$E$34:$O$64,II$158,FALSE())*II97</f>
        <v>0</v>
      </c>
      <c r="IJ195" s="197" t="n">
        <f aca="false">VLOOKUP($HZ$1,'Datos Iniciales'!$E$34:$O$64,IJ$158,FALSE())*IJ97</f>
        <v>0</v>
      </c>
      <c r="IK195" s="194" t="str">
        <f aca="false">HZ195</f>
        <v>Alumno36</v>
      </c>
      <c r="IL195" s="208" t="n">
        <f aca="false">VLOOKUP($IK$1,'Datos Iniciales'!$E$34:$O$64,IL$158,FALSE())*IL97</f>
        <v>0</v>
      </c>
      <c r="IM195" s="196" t="n">
        <f aca="false">VLOOKUP($IK$1,'Datos Iniciales'!$E$34:$O$64,IM$158,FALSE())*IM97</f>
        <v>0</v>
      </c>
      <c r="IN195" s="196" t="n">
        <f aca="false">VLOOKUP($IK$1,'Datos Iniciales'!$E$34:$O$64,IN$158,FALSE())*IN97</f>
        <v>0</v>
      </c>
      <c r="IO195" s="196" t="n">
        <f aca="false">VLOOKUP($IK$1,'Datos Iniciales'!$E$34:$O$64,IO$158,FALSE())*IO97</f>
        <v>0</v>
      </c>
      <c r="IP195" s="196" t="n">
        <f aca="false">VLOOKUP($IK$1,'Datos Iniciales'!$E$34:$O$64,IP$158,FALSE())*IP97</f>
        <v>0</v>
      </c>
      <c r="IQ195" s="196" t="n">
        <f aca="false">VLOOKUP($IK$1,'Datos Iniciales'!$E$34:$O$64,IQ$158,FALSE())*IQ97</f>
        <v>0</v>
      </c>
      <c r="IR195" s="196" t="n">
        <f aca="false">VLOOKUP($IK$1,'Datos Iniciales'!$E$34:$O$64,IR$158,FALSE())*IR97</f>
        <v>0</v>
      </c>
      <c r="IS195" s="196" t="n">
        <f aca="false">VLOOKUP($IK$1,'Datos Iniciales'!$E$34:$O$64,IS$158,FALSE())*IS97</f>
        <v>0</v>
      </c>
      <c r="IT195" s="196" t="n">
        <f aca="false">VLOOKUP($IK$1,'Datos Iniciales'!$E$34:$O$64,IT$158,FALSE())*IT97</f>
        <v>0</v>
      </c>
      <c r="IU195" s="197" t="n">
        <f aca="false">VLOOKUP($IK$1,'Datos Iniciales'!$E$34:$O$64,IU$158,FALSE())*IU97</f>
        <v>0</v>
      </c>
      <c r="IV195" s="194" t="str">
        <f aca="false">IK195</f>
        <v>Alumno36</v>
      </c>
      <c r="IW195" s="208" t="n">
        <f aca="false">VLOOKUP($IV$1,'Datos Iniciales'!$E$34:$O$64,IW$158,FALSE())*IW97</f>
        <v>0</v>
      </c>
      <c r="IX195" s="196" t="n">
        <f aca="false">VLOOKUP($IV$1,'Datos Iniciales'!$E$34:$O$64,IX$158,FALSE())*IX97</f>
        <v>0</v>
      </c>
      <c r="IY195" s="196" t="n">
        <f aca="false">VLOOKUP($IV$1,'Datos Iniciales'!$E$34:$O$64,IY$158,FALSE())*IY97</f>
        <v>0</v>
      </c>
      <c r="IZ195" s="196" t="n">
        <f aca="false">VLOOKUP($IV$1,'Datos Iniciales'!$E$34:$O$64,IZ$158,FALSE())*IZ97</f>
        <v>0</v>
      </c>
      <c r="JA195" s="196" t="n">
        <f aca="false">VLOOKUP($IV$1,'Datos Iniciales'!$E$34:$O$64,JA$158,FALSE())*JA97</f>
        <v>0</v>
      </c>
      <c r="JB195" s="196" t="n">
        <f aca="false">VLOOKUP($IV$1,'Datos Iniciales'!$E$34:$O$64,JB$158,FALSE())*JB97</f>
        <v>0</v>
      </c>
      <c r="JC195" s="196" t="n">
        <f aca="false">VLOOKUP($IV$1,'Datos Iniciales'!$E$34:$O$64,JC$158,FALSE())*JC97</f>
        <v>0</v>
      </c>
      <c r="JD195" s="196" t="n">
        <f aca="false">VLOOKUP($IV$1,'Datos Iniciales'!$E$34:$O$64,JD$158,FALSE())*JD97</f>
        <v>0</v>
      </c>
      <c r="JE195" s="196" t="n">
        <f aca="false">VLOOKUP($IV$1,'Datos Iniciales'!$E$34:$O$64,JE$158,FALSE())*JE97</f>
        <v>0</v>
      </c>
      <c r="JF195" s="197" t="n">
        <f aca="false">VLOOKUP($IV$1,'Datos Iniciales'!$E$34:$O$64,JF$158,FALSE())*JF97</f>
        <v>0</v>
      </c>
      <c r="JG195" s="194" t="str">
        <f aca="false">IV195</f>
        <v>Alumno36</v>
      </c>
      <c r="JH195" s="208" t="n">
        <f aca="false">VLOOKUP($JG$1,'Datos Iniciales'!$E$34:$O$64,JH$158,FALSE())*JH97</f>
        <v>0</v>
      </c>
      <c r="JI195" s="196" t="n">
        <f aca="false">VLOOKUP($JG$1,'Datos Iniciales'!$E$34:$O$64,JI$158,FALSE())*JI97</f>
        <v>0</v>
      </c>
      <c r="JJ195" s="196" t="n">
        <f aca="false">VLOOKUP($JG$1,'Datos Iniciales'!$E$34:$O$64,JJ$158,FALSE())*JJ97</f>
        <v>0</v>
      </c>
      <c r="JK195" s="196" t="n">
        <f aca="false">VLOOKUP($JG$1,'Datos Iniciales'!$E$34:$O$64,JK$158,FALSE())*JK97</f>
        <v>0</v>
      </c>
      <c r="JL195" s="196" t="n">
        <f aca="false">VLOOKUP($JG$1,'Datos Iniciales'!$E$34:$O$64,JL$158,FALSE())*JL97</f>
        <v>0</v>
      </c>
      <c r="JM195" s="196" t="n">
        <f aca="false">VLOOKUP($JG$1,'Datos Iniciales'!$E$34:$O$64,JM$158,FALSE())*JM97</f>
        <v>0</v>
      </c>
      <c r="JN195" s="196" t="n">
        <f aca="false">VLOOKUP($JG$1,'Datos Iniciales'!$E$34:$O$64,JN$158,FALSE())*JN97</f>
        <v>0</v>
      </c>
      <c r="JO195" s="196" t="n">
        <f aca="false">VLOOKUP($JG$1,'Datos Iniciales'!$E$34:$O$64,JO$158,FALSE())*JO97</f>
        <v>0</v>
      </c>
      <c r="JP195" s="196" t="n">
        <f aca="false">VLOOKUP($JG$1,'Datos Iniciales'!$E$34:$O$64,JP$158,FALSE())*JP97</f>
        <v>0</v>
      </c>
      <c r="JQ195" s="197" t="n">
        <f aca="false">VLOOKUP($JG$1,'Datos Iniciales'!$E$34:$O$64,JQ$158,FALSE())*JQ97</f>
        <v>0</v>
      </c>
      <c r="JR195" s="194" t="str">
        <f aca="false">JG195</f>
        <v>Alumno36</v>
      </c>
      <c r="JS195" s="208" t="n">
        <f aca="false">VLOOKUP($JR$1,'Datos Iniciales'!$E$34:$O$64,JS$158,FALSE())*JS97</f>
        <v>0</v>
      </c>
      <c r="JT195" s="196" t="n">
        <f aca="false">VLOOKUP($JR$1,'Datos Iniciales'!$E$34:$O$64,JT$158,FALSE())*JT97</f>
        <v>0</v>
      </c>
      <c r="JU195" s="196" t="n">
        <f aca="false">VLOOKUP($JR$1,'Datos Iniciales'!$E$34:$O$64,JU$158,FALSE())*JU97</f>
        <v>0</v>
      </c>
      <c r="JV195" s="196" t="n">
        <f aca="false">VLOOKUP($JR$1,'Datos Iniciales'!$E$34:$O$64,JV$158,FALSE())*JV97</f>
        <v>0</v>
      </c>
      <c r="JW195" s="196" t="n">
        <f aca="false">VLOOKUP($JR$1,'Datos Iniciales'!$E$34:$O$64,JW$158,FALSE())*JW97</f>
        <v>0</v>
      </c>
      <c r="JX195" s="196" t="n">
        <f aca="false">VLOOKUP($JR$1,'Datos Iniciales'!$E$34:$O$64,JX$158,FALSE())*JX97</f>
        <v>0</v>
      </c>
      <c r="JY195" s="196" t="n">
        <f aca="false">VLOOKUP($JR$1,'Datos Iniciales'!$E$34:$O$64,JY$158,FALSE())*JY97</f>
        <v>0</v>
      </c>
      <c r="JZ195" s="196" t="n">
        <f aca="false">VLOOKUP($JR$1,'Datos Iniciales'!$E$34:$O$64,JZ$158,FALSE())*JZ97</f>
        <v>0</v>
      </c>
      <c r="KA195" s="196" t="n">
        <f aca="false">VLOOKUP($JR$1,'Datos Iniciales'!$E$34:$O$64,KA$158,FALSE())*KA97</f>
        <v>0</v>
      </c>
      <c r="KB195" s="197" t="n">
        <f aca="false">VLOOKUP($JR$1,'Datos Iniciales'!$E$34:$O$64,KB$158,FALSE())*KB97</f>
        <v>0</v>
      </c>
      <c r="KC195" s="194" t="str">
        <f aca="false">JR195</f>
        <v>Alumno36</v>
      </c>
      <c r="KD195" s="208" t="n">
        <f aca="false">VLOOKUP($KC$1,'Datos Iniciales'!$E$34:$O$64,KD$158,FALSE())*KD97</f>
        <v>0</v>
      </c>
      <c r="KE195" s="196" t="n">
        <f aca="false">VLOOKUP($KC$1,'Datos Iniciales'!$E$34:$O$64,KE$158,FALSE())*KE97</f>
        <v>0</v>
      </c>
      <c r="KF195" s="196" t="n">
        <f aca="false">VLOOKUP($KC$1,'Datos Iniciales'!$E$34:$O$64,KF$158,FALSE())*KF97</f>
        <v>0</v>
      </c>
      <c r="KG195" s="196" t="n">
        <f aca="false">VLOOKUP($KC$1,'Datos Iniciales'!$E$34:$O$64,KG$158,FALSE())*KG97</f>
        <v>0</v>
      </c>
      <c r="KH195" s="196" t="n">
        <f aca="false">VLOOKUP($KC$1,'Datos Iniciales'!$E$34:$O$64,KH$158,FALSE())*KH97</f>
        <v>0</v>
      </c>
      <c r="KI195" s="196" t="n">
        <f aca="false">VLOOKUP($KC$1,'Datos Iniciales'!$E$34:$O$64,KI$158,FALSE())*KI97</f>
        <v>0</v>
      </c>
      <c r="KJ195" s="196" t="n">
        <f aca="false">VLOOKUP($KC$1,'Datos Iniciales'!$E$34:$O$64,KJ$158,FALSE())*KJ97</f>
        <v>0</v>
      </c>
      <c r="KK195" s="196" t="n">
        <f aca="false">VLOOKUP($KC$1,'Datos Iniciales'!$E$34:$O$64,KK$158,FALSE())*KK97</f>
        <v>0</v>
      </c>
      <c r="KL195" s="196" t="n">
        <f aca="false">VLOOKUP($KC$1,'Datos Iniciales'!$E$34:$O$64,KL$158,FALSE())*KL97</f>
        <v>0</v>
      </c>
      <c r="KM195" s="197" t="n">
        <f aca="false">VLOOKUP($KC$1,'Datos Iniciales'!$E$34:$O$64,KM$158,FALSE())*KM97</f>
        <v>0</v>
      </c>
      <c r="KN195" s="194" t="str">
        <f aca="false">KC195</f>
        <v>Alumno36</v>
      </c>
      <c r="KO195" s="208" t="n">
        <f aca="false">VLOOKUP($KN$1,'Datos Iniciales'!$E$34:$O$64,KO$158,FALSE())*KO97</f>
        <v>0</v>
      </c>
      <c r="KP195" s="196" t="n">
        <f aca="false">VLOOKUP($KN$1,'Datos Iniciales'!$E$34:$O$64,KP$158,FALSE())*KP97</f>
        <v>0</v>
      </c>
      <c r="KQ195" s="196" t="n">
        <f aca="false">VLOOKUP($KN$1,'Datos Iniciales'!$E$34:$O$64,KQ$158,FALSE())*KQ97</f>
        <v>0</v>
      </c>
      <c r="KR195" s="196" t="n">
        <f aca="false">VLOOKUP($KN$1,'Datos Iniciales'!$E$34:$O$64,KR$158,FALSE())*KR97</f>
        <v>0</v>
      </c>
      <c r="KS195" s="196" t="n">
        <f aca="false">VLOOKUP($KN$1,'Datos Iniciales'!$E$34:$O$64,KS$158,FALSE())*KS97</f>
        <v>0</v>
      </c>
      <c r="KT195" s="196" t="n">
        <f aca="false">VLOOKUP($KN$1,'Datos Iniciales'!$E$34:$O$64,KT$158,FALSE())*KT97</f>
        <v>0</v>
      </c>
      <c r="KU195" s="196" t="n">
        <f aca="false">VLOOKUP($KN$1,'Datos Iniciales'!$E$34:$O$64,KU$158,FALSE())*KU97</f>
        <v>0</v>
      </c>
      <c r="KV195" s="196" t="n">
        <f aca="false">VLOOKUP($KN$1,'Datos Iniciales'!$E$34:$O$64,KV$158,FALSE())*KV97</f>
        <v>0</v>
      </c>
      <c r="KW195" s="196" t="n">
        <f aca="false">VLOOKUP($KN$1,'Datos Iniciales'!$E$34:$O$64,KW$158,FALSE())*KW97</f>
        <v>0</v>
      </c>
      <c r="KX195" s="197" t="n">
        <f aca="false">VLOOKUP($KN$1,'Datos Iniciales'!$E$34:$O$64,KX$158,FALSE())*KX97</f>
        <v>0</v>
      </c>
      <c r="KY195" s="194" t="str">
        <f aca="false">KN195</f>
        <v>Alumno36</v>
      </c>
      <c r="KZ195" s="208" t="n">
        <f aca="false">VLOOKUP($KY$1,'Datos Iniciales'!$E$34:$O$64,KZ$158,FALSE())*KZ97</f>
        <v>0</v>
      </c>
      <c r="LA195" s="196" t="n">
        <f aca="false">VLOOKUP($KY$1,'Datos Iniciales'!$E$34:$O$64,LA$158,FALSE())*LA97</f>
        <v>0</v>
      </c>
      <c r="LB195" s="196" t="n">
        <f aca="false">VLOOKUP($KY$1,'Datos Iniciales'!$E$34:$O$64,LB$158,FALSE())*LB97</f>
        <v>0</v>
      </c>
      <c r="LC195" s="196" t="n">
        <f aca="false">VLOOKUP($KY$1,'Datos Iniciales'!$E$34:$O$64,LC$158,FALSE())*LC97</f>
        <v>0</v>
      </c>
      <c r="LD195" s="196" t="n">
        <f aca="false">VLOOKUP($KY$1,'Datos Iniciales'!$E$34:$O$64,LD$158,FALSE())*LD97</f>
        <v>0</v>
      </c>
      <c r="LE195" s="196" t="n">
        <f aca="false">VLOOKUP($KY$1,'Datos Iniciales'!$E$34:$O$64,LE$158,FALSE())*LE97</f>
        <v>0</v>
      </c>
      <c r="LF195" s="196" t="n">
        <f aca="false">VLOOKUP($KY$1,'Datos Iniciales'!$E$34:$O$64,LF$158,FALSE())*LF97</f>
        <v>0</v>
      </c>
      <c r="LG195" s="196" t="n">
        <f aca="false">VLOOKUP($KY$1,'Datos Iniciales'!$E$34:$O$64,LG$158,FALSE())*LG97</f>
        <v>0</v>
      </c>
      <c r="LH195" s="196" t="n">
        <f aca="false">VLOOKUP($KY$1,'Datos Iniciales'!$E$34:$O$64,LH$158,FALSE())*LH97</f>
        <v>0</v>
      </c>
      <c r="LI195" s="197" t="n">
        <f aca="false">VLOOKUP($KY$1,'Datos Iniciales'!$E$34:$O$64,LI$158,FALSE())*LI97</f>
        <v>0</v>
      </c>
      <c r="LJ195" s="194" t="str">
        <f aca="false">KY195</f>
        <v>Alumno36</v>
      </c>
      <c r="LK195" s="208" t="n">
        <f aca="false">VLOOKUP($LJ$1,'Datos Iniciales'!$E$34:$O$64,LK$158,FALSE())*LK97</f>
        <v>0</v>
      </c>
      <c r="LL195" s="196" t="n">
        <f aca="false">VLOOKUP($LJ$1,'Datos Iniciales'!$E$34:$O$64,LL$158,FALSE())*LL97</f>
        <v>0</v>
      </c>
      <c r="LM195" s="196" t="n">
        <f aca="false">VLOOKUP($LJ$1,'Datos Iniciales'!$E$34:$O$64,LM$158,FALSE())*LM97</f>
        <v>0</v>
      </c>
      <c r="LN195" s="196" t="n">
        <f aca="false">VLOOKUP($LJ$1,'Datos Iniciales'!$E$34:$O$64,LN$158,FALSE())*LN97</f>
        <v>0</v>
      </c>
      <c r="LO195" s="196" t="n">
        <f aca="false">VLOOKUP($LJ$1,'Datos Iniciales'!$E$34:$O$64,LO$158,FALSE())*LO97</f>
        <v>0</v>
      </c>
      <c r="LP195" s="196" t="n">
        <f aca="false">VLOOKUP($LJ$1,'Datos Iniciales'!$E$34:$O$64,LP$158,FALSE())*LP97</f>
        <v>0</v>
      </c>
      <c r="LQ195" s="196" t="n">
        <f aca="false">VLOOKUP($LJ$1,'Datos Iniciales'!$E$34:$O$64,LQ$158,FALSE())*LQ97</f>
        <v>0</v>
      </c>
      <c r="LR195" s="196" t="n">
        <f aca="false">VLOOKUP($LJ$1,'Datos Iniciales'!$E$34:$O$64,LR$158,FALSE())*LR97</f>
        <v>0</v>
      </c>
      <c r="LS195" s="196" t="n">
        <f aca="false">VLOOKUP($LJ$1,'Datos Iniciales'!$E$34:$O$64,LS$158,FALSE())*LS97</f>
        <v>0</v>
      </c>
      <c r="LT195" s="197" t="n">
        <f aca="false">VLOOKUP($LJ$1,'Datos Iniciales'!$E$34:$O$64,LT$158,FALSE())*LT97</f>
        <v>0</v>
      </c>
    </row>
    <row r="196" customFormat="false" ht="15" hidden="true" customHeight="false" outlineLevel="0" collapsed="false">
      <c r="C196" s="194" t="str">
        <f aca="false">C147</f>
        <v>Alumno37</v>
      </c>
      <c r="D196" s="208" t="n">
        <f aca="false">VLOOKUP($C$1,'Datos Iniciales'!$E$34:$O$64,D$158,FALSE())*D98</f>
        <v>0</v>
      </c>
      <c r="E196" s="196" t="n">
        <f aca="false">VLOOKUP($C$1,'Datos Iniciales'!$E$34:$O$64,E$158,FALSE())*E98</f>
        <v>0</v>
      </c>
      <c r="F196" s="196" t="n">
        <f aca="false">VLOOKUP($C$1,'Datos Iniciales'!$E$34:$O$64,F$158,FALSE())*F98</f>
        <v>0</v>
      </c>
      <c r="G196" s="196" t="n">
        <f aca="false">VLOOKUP($C$1,'Datos Iniciales'!$E$34:$O$64,G$158,FALSE())*G98</f>
        <v>0</v>
      </c>
      <c r="H196" s="196" t="n">
        <f aca="false">VLOOKUP($C$1,'Datos Iniciales'!$E$34:$O$64,H$158,FALSE())*H98</f>
        <v>0</v>
      </c>
      <c r="I196" s="196" t="n">
        <f aca="false">VLOOKUP($C$1,'Datos Iniciales'!$E$34:$O$64,I$158,FALSE())*I98</f>
        <v>0</v>
      </c>
      <c r="J196" s="196" t="n">
        <f aca="false">VLOOKUP($C$1,'Datos Iniciales'!$E$34:$O$64,J$158,FALSE())*J98</f>
        <v>0</v>
      </c>
      <c r="K196" s="196" t="n">
        <f aca="false">VLOOKUP($C$1,'Datos Iniciales'!$E$34:$O$64,K$158,FALSE())*K98</f>
        <v>0</v>
      </c>
      <c r="L196" s="196" t="n">
        <f aca="false">VLOOKUP($C$1,'Datos Iniciales'!$E$34:$O$64,L$158,FALSE())*L98</f>
        <v>0</v>
      </c>
      <c r="M196" s="197" t="n">
        <f aca="false">VLOOKUP($C$1,'Datos Iniciales'!$E$34:$O$64,M$158,FALSE())*M98</f>
        <v>0</v>
      </c>
      <c r="N196" s="194" t="str">
        <f aca="false">C196</f>
        <v>Alumno37</v>
      </c>
      <c r="O196" s="208" t="n">
        <f aca="false">VLOOKUP($N$1,'Datos Iniciales'!$E$34:$O$64,O$158,FALSE())*O98</f>
        <v>0</v>
      </c>
      <c r="P196" s="196" t="n">
        <f aca="false">VLOOKUP($N$1,'Datos Iniciales'!$E$34:$O$64,P$158,FALSE())*P98</f>
        <v>0</v>
      </c>
      <c r="Q196" s="196" t="n">
        <f aca="false">VLOOKUP($N$1,'Datos Iniciales'!$E$34:$O$64,Q$158,FALSE())*Q98</f>
        <v>0</v>
      </c>
      <c r="R196" s="196" t="n">
        <f aca="false">VLOOKUP($N$1,'Datos Iniciales'!$E$34:$O$64,R$158,FALSE())*R98</f>
        <v>0</v>
      </c>
      <c r="S196" s="196" t="n">
        <f aca="false">VLOOKUP($N$1,'Datos Iniciales'!$E$34:$O$64,S$158,FALSE())*S98</f>
        <v>0</v>
      </c>
      <c r="T196" s="196" t="n">
        <f aca="false">VLOOKUP($N$1,'Datos Iniciales'!$E$34:$O$64,T$158,FALSE())*T98</f>
        <v>0</v>
      </c>
      <c r="U196" s="196" t="n">
        <f aca="false">VLOOKUP($N$1,'Datos Iniciales'!$E$34:$O$64,U$158,FALSE())*U98</f>
        <v>0</v>
      </c>
      <c r="V196" s="196" t="n">
        <f aca="false">VLOOKUP($N$1,'Datos Iniciales'!$E$34:$O$64,V$158,FALSE())*V98</f>
        <v>0</v>
      </c>
      <c r="W196" s="196" t="n">
        <f aca="false">VLOOKUP($N$1,'Datos Iniciales'!$E$34:$O$64,W$158,FALSE())*W98</f>
        <v>0</v>
      </c>
      <c r="X196" s="197" t="n">
        <f aca="false">VLOOKUP($N$1,'Datos Iniciales'!$E$34:$O$64,X$158,FALSE())*X98</f>
        <v>0</v>
      </c>
      <c r="Y196" s="194" t="str">
        <f aca="false">N196</f>
        <v>Alumno37</v>
      </c>
      <c r="Z196" s="208" t="n">
        <f aca="false">VLOOKUP($Y$1,'Datos Iniciales'!$E$34:$O$64,Z$158,FALSE())*Z98</f>
        <v>0</v>
      </c>
      <c r="AA196" s="196" t="n">
        <f aca="false">VLOOKUP($Y$1,'Datos Iniciales'!$E$34:$O$64,AA$158,FALSE())*AA98</f>
        <v>0</v>
      </c>
      <c r="AB196" s="196" t="n">
        <f aca="false">VLOOKUP($Y$1,'Datos Iniciales'!$E$34:$O$64,AB$158,FALSE())*AB98</f>
        <v>0</v>
      </c>
      <c r="AC196" s="196" t="n">
        <f aca="false">VLOOKUP($Y$1,'Datos Iniciales'!$E$34:$O$64,AC$158,FALSE())*AC98</f>
        <v>0</v>
      </c>
      <c r="AD196" s="196" t="n">
        <f aca="false">VLOOKUP($Y$1,'Datos Iniciales'!$E$34:$O$64,AD$158,FALSE())*AD98</f>
        <v>0</v>
      </c>
      <c r="AE196" s="196" t="n">
        <f aca="false">VLOOKUP($Y$1,'Datos Iniciales'!$E$34:$O$64,AE$158,FALSE())*AE98</f>
        <v>0</v>
      </c>
      <c r="AF196" s="196" t="n">
        <f aca="false">VLOOKUP($Y$1,'Datos Iniciales'!$E$34:$O$64,AF$158,FALSE())*AF98</f>
        <v>0</v>
      </c>
      <c r="AG196" s="196" t="n">
        <f aca="false">VLOOKUP($Y$1,'Datos Iniciales'!$E$34:$O$64,AG$158,FALSE())*AG98</f>
        <v>0</v>
      </c>
      <c r="AH196" s="196" t="n">
        <f aca="false">VLOOKUP($Y$1,'Datos Iniciales'!$E$34:$O$64,AH$158,FALSE())*AH98</f>
        <v>0</v>
      </c>
      <c r="AI196" s="197" t="n">
        <f aca="false">VLOOKUP($Y$1,'Datos Iniciales'!$E$34:$O$64,AI$158,FALSE())*AI98</f>
        <v>0</v>
      </c>
      <c r="AJ196" s="194" t="str">
        <f aca="false">Y196</f>
        <v>Alumno37</v>
      </c>
      <c r="AK196" s="208" t="n">
        <f aca="false">VLOOKUP($AJ$1,'Datos Iniciales'!$E$34:$O$64,AK$158,FALSE())*AK98</f>
        <v>0</v>
      </c>
      <c r="AL196" s="196" t="n">
        <f aca="false">VLOOKUP($AJ$1,'Datos Iniciales'!$E$34:$O$64,AL$158,FALSE())*AL98</f>
        <v>0</v>
      </c>
      <c r="AM196" s="196" t="n">
        <f aca="false">VLOOKUP($AJ$1,'Datos Iniciales'!$E$34:$O$64,AM$158,FALSE())*AM98</f>
        <v>0</v>
      </c>
      <c r="AN196" s="196" t="n">
        <f aca="false">VLOOKUP($AJ$1,'Datos Iniciales'!$E$34:$O$64,AN$158,FALSE())*AN98</f>
        <v>0</v>
      </c>
      <c r="AO196" s="196" t="n">
        <f aca="false">VLOOKUP($AJ$1,'Datos Iniciales'!$E$34:$O$64,AO$158,FALSE())*AO98</f>
        <v>0</v>
      </c>
      <c r="AP196" s="196" t="n">
        <f aca="false">VLOOKUP($AJ$1,'Datos Iniciales'!$E$34:$O$64,AP$158,FALSE())*AP98</f>
        <v>0</v>
      </c>
      <c r="AQ196" s="196" t="n">
        <f aca="false">VLOOKUP($AJ$1,'Datos Iniciales'!$E$34:$O$64,AQ$158,FALSE())*AQ98</f>
        <v>0</v>
      </c>
      <c r="AR196" s="196" t="n">
        <f aca="false">VLOOKUP($AJ$1,'Datos Iniciales'!$E$34:$O$64,AR$158,FALSE())*AR98</f>
        <v>0</v>
      </c>
      <c r="AS196" s="196" t="n">
        <f aca="false">VLOOKUP($AJ$1,'Datos Iniciales'!$E$34:$O$64,AS$158,FALSE())*AS98</f>
        <v>0</v>
      </c>
      <c r="AT196" s="197" t="n">
        <f aca="false">VLOOKUP($AJ$1,'Datos Iniciales'!$E$34:$O$64,AT$158,FALSE())*AT98</f>
        <v>0</v>
      </c>
      <c r="AU196" s="194" t="str">
        <f aca="false">AJ196</f>
        <v>Alumno37</v>
      </c>
      <c r="AV196" s="208" t="n">
        <f aca="false">VLOOKUP($AU$1,'Datos Iniciales'!$E$34:$O$64,AV$158,FALSE())*AV98</f>
        <v>0</v>
      </c>
      <c r="AW196" s="196" t="n">
        <f aca="false">VLOOKUP($AU$1,'Datos Iniciales'!$E$34:$O$64,AW$158,FALSE())*AW98</f>
        <v>0</v>
      </c>
      <c r="AX196" s="196" t="n">
        <f aca="false">VLOOKUP($AU$1,'Datos Iniciales'!$E$34:$O$64,AX$158,FALSE())*AX98</f>
        <v>0</v>
      </c>
      <c r="AY196" s="196" t="n">
        <f aca="false">VLOOKUP($AU$1,'Datos Iniciales'!$E$34:$O$64,AY$158,FALSE())*AY98</f>
        <v>0</v>
      </c>
      <c r="AZ196" s="196" t="n">
        <f aca="false">VLOOKUP($AU$1,'Datos Iniciales'!$E$34:$O$64,AZ$158,FALSE())*AZ98</f>
        <v>0</v>
      </c>
      <c r="BA196" s="196" t="n">
        <f aca="false">VLOOKUP($AU$1,'Datos Iniciales'!$E$34:$O$64,BA$158,FALSE())*BA98</f>
        <v>0</v>
      </c>
      <c r="BB196" s="196" t="n">
        <f aca="false">VLOOKUP($AU$1,'Datos Iniciales'!$E$34:$O$64,BB$158,FALSE())*BB98</f>
        <v>0</v>
      </c>
      <c r="BC196" s="196" t="n">
        <f aca="false">VLOOKUP($AU$1,'Datos Iniciales'!$E$34:$O$64,BC$158,FALSE())*BC98</f>
        <v>0</v>
      </c>
      <c r="BD196" s="196" t="n">
        <f aca="false">VLOOKUP($AU$1,'Datos Iniciales'!$E$34:$O$64,BD$158,FALSE())*BD98</f>
        <v>0</v>
      </c>
      <c r="BE196" s="197" t="n">
        <f aca="false">VLOOKUP($AU$1,'Datos Iniciales'!$E$34:$O$64,BE$158,FALSE())*BE98</f>
        <v>0</v>
      </c>
      <c r="BF196" s="194" t="str">
        <f aca="false">AU196</f>
        <v>Alumno37</v>
      </c>
      <c r="BG196" s="208" t="n">
        <f aca="false">VLOOKUP($BF$1,'Datos Iniciales'!$E$34:$O$64,BG$158,FALSE())*BG98</f>
        <v>0</v>
      </c>
      <c r="BH196" s="196" t="n">
        <f aca="false">VLOOKUP($BF$1,'Datos Iniciales'!$E$34:$O$64,BH$158,FALSE())*BH98</f>
        <v>0</v>
      </c>
      <c r="BI196" s="196" t="n">
        <f aca="false">VLOOKUP($BF$1,'Datos Iniciales'!$E$34:$O$64,BI$158,FALSE())*BI98</f>
        <v>0</v>
      </c>
      <c r="BJ196" s="196" t="n">
        <f aca="false">VLOOKUP($BF$1,'Datos Iniciales'!$E$34:$O$64,BJ$158,FALSE())*BJ98</f>
        <v>0</v>
      </c>
      <c r="BK196" s="196" t="n">
        <f aca="false">VLOOKUP($BF$1,'Datos Iniciales'!$E$34:$O$64,BK$158,FALSE())*BK98</f>
        <v>0</v>
      </c>
      <c r="BL196" s="196" t="n">
        <f aca="false">VLOOKUP($BF$1,'Datos Iniciales'!$E$34:$O$64,BL$158,FALSE())*BL98</f>
        <v>0</v>
      </c>
      <c r="BM196" s="196" t="n">
        <f aca="false">VLOOKUP($BF$1,'Datos Iniciales'!$E$34:$O$64,BM$158,FALSE())*BM98</f>
        <v>0</v>
      </c>
      <c r="BN196" s="196" t="n">
        <f aca="false">VLOOKUP($BF$1,'Datos Iniciales'!$E$34:$O$64,BN$158,FALSE())*BN98</f>
        <v>0</v>
      </c>
      <c r="BO196" s="196" t="n">
        <f aca="false">VLOOKUP($BF$1,'Datos Iniciales'!$E$34:$O$64,BO$158,FALSE())*BO98</f>
        <v>0</v>
      </c>
      <c r="BP196" s="197" t="n">
        <f aca="false">VLOOKUP($BF$1,'Datos Iniciales'!$E$34:$O$64,BP$158,FALSE())*BP98</f>
        <v>0</v>
      </c>
      <c r="BQ196" s="194" t="str">
        <f aca="false">BF196</f>
        <v>Alumno37</v>
      </c>
      <c r="BR196" s="208" t="n">
        <f aca="false">VLOOKUP($BQ$1,'Datos Iniciales'!$E$34:$O$64,BR$158,FALSE())*BR98</f>
        <v>0</v>
      </c>
      <c r="BS196" s="196" t="n">
        <f aca="false">VLOOKUP($BQ$1,'Datos Iniciales'!$E$34:$O$64,BS$158,FALSE())*BS98</f>
        <v>0</v>
      </c>
      <c r="BT196" s="196" t="n">
        <f aca="false">VLOOKUP($BQ$1,'Datos Iniciales'!$E$34:$O$64,BT$158,FALSE())*BT98</f>
        <v>0</v>
      </c>
      <c r="BU196" s="196" t="n">
        <f aca="false">VLOOKUP($BQ$1,'Datos Iniciales'!$E$34:$O$64,BU$158,FALSE())*BU98</f>
        <v>0</v>
      </c>
      <c r="BV196" s="196" t="n">
        <f aca="false">VLOOKUP($BQ$1,'Datos Iniciales'!$E$34:$O$64,BV$158,FALSE())*BV98</f>
        <v>0</v>
      </c>
      <c r="BW196" s="196" t="n">
        <f aca="false">VLOOKUP($BQ$1,'Datos Iniciales'!$E$34:$O$64,BW$158,FALSE())*BW98</f>
        <v>0</v>
      </c>
      <c r="BX196" s="196" t="n">
        <f aca="false">VLOOKUP($BQ$1,'Datos Iniciales'!$E$34:$O$64,BX$158,FALSE())*BX98</f>
        <v>0</v>
      </c>
      <c r="BY196" s="196" t="n">
        <f aca="false">VLOOKUP($BQ$1,'Datos Iniciales'!$E$34:$O$64,BY$158,FALSE())*BY98</f>
        <v>0</v>
      </c>
      <c r="BZ196" s="196" t="n">
        <f aca="false">VLOOKUP($BQ$1,'Datos Iniciales'!$E$34:$O$64,BZ$158,FALSE())*BZ98</f>
        <v>0</v>
      </c>
      <c r="CA196" s="197" t="n">
        <f aca="false">VLOOKUP($BQ$1,'Datos Iniciales'!$E$34:$O$64,CA$158,FALSE())*CA98</f>
        <v>0</v>
      </c>
      <c r="CB196" s="194" t="str">
        <f aca="false">BQ196</f>
        <v>Alumno37</v>
      </c>
      <c r="CC196" s="208" t="n">
        <f aca="false">VLOOKUP($CB$1,'Datos Iniciales'!$E$34:$O$64,CC$158,FALSE())*CC98</f>
        <v>0</v>
      </c>
      <c r="CD196" s="196" t="n">
        <f aca="false">VLOOKUP($CB$1,'Datos Iniciales'!$E$34:$O$64,CD$158,FALSE())*CD98</f>
        <v>0</v>
      </c>
      <c r="CE196" s="196" t="n">
        <f aca="false">VLOOKUP($CB$1,'Datos Iniciales'!$E$34:$O$64,CE$158,FALSE())*CE98</f>
        <v>0</v>
      </c>
      <c r="CF196" s="196" t="n">
        <f aca="false">VLOOKUP($CB$1,'Datos Iniciales'!$E$34:$O$64,CF$158,FALSE())*CF98</f>
        <v>0</v>
      </c>
      <c r="CG196" s="196" t="n">
        <f aca="false">VLOOKUP($CB$1,'Datos Iniciales'!$E$34:$O$64,CG$158,FALSE())*CG98</f>
        <v>0</v>
      </c>
      <c r="CH196" s="196" t="n">
        <f aca="false">VLOOKUP($CB$1,'Datos Iniciales'!$E$34:$O$64,CH$158,FALSE())*CH98</f>
        <v>0</v>
      </c>
      <c r="CI196" s="196" t="n">
        <f aca="false">VLOOKUP($CB$1,'Datos Iniciales'!$E$34:$O$64,CI$158,FALSE())*CI98</f>
        <v>0</v>
      </c>
      <c r="CJ196" s="196" t="n">
        <f aca="false">VLOOKUP($CB$1,'Datos Iniciales'!$E$34:$O$64,CJ$158,FALSE())*CJ98</f>
        <v>0</v>
      </c>
      <c r="CK196" s="196" t="n">
        <f aca="false">VLOOKUP($CB$1,'Datos Iniciales'!$E$34:$O$64,CK$158,FALSE())*CK98</f>
        <v>0</v>
      </c>
      <c r="CL196" s="197" t="n">
        <f aca="false">VLOOKUP($CB$1,'Datos Iniciales'!$E$34:$O$64,CL$158,FALSE())*CL98</f>
        <v>0</v>
      </c>
      <c r="CM196" s="194" t="str">
        <f aca="false">CB196</f>
        <v>Alumno37</v>
      </c>
      <c r="CN196" s="208" t="n">
        <f aca="false">VLOOKUP($CM$1,'Datos Iniciales'!$E$34:$O$64,CN$158,FALSE())*CN98</f>
        <v>0</v>
      </c>
      <c r="CO196" s="196" t="n">
        <f aca="false">VLOOKUP($CM$1,'Datos Iniciales'!$E$34:$O$64,CO$158,FALSE())*CO98</f>
        <v>0</v>
      </c>
      <c r="CP196" s="196" t="n">
        <f aca="false">VLOOKUP($CM$1,'Datos Iniciales'!$E$34:$O$64,CP$158,FALSE())*CP98</f>
        <v>0</v>
      </c>
      <c r="CQ196" s="196" t="n">
        <f aca="false">VLOOKUP($CM$1,'Datos Iniciales'!$E$34:$O$64,CQ$158,FALSE())*CQ98</f>
        <v>0</v>
      </c>
      <c r="CR196" s="196" t="n">
        <f aca="false">VLOOKUP($CM$1,'Datos Iniciales'!$E$34:$O$64,CR$158,FALSE())*CR98</f>
        <v>0</v>
      </c>
      <c r="CS196" s="196" t="n">
        <f aca="false">VLOOKUP($CM$1,'Datos Iniciales'!$E$34:$O$64,CS$158,FALSE())*CS98</f>
        <v>0</v>
      </c>
      <c r="CT196" s="196" t="n">
        <f aca="false">VLOOKUP($CM$1,'Datos Iniciales'!$E$34:$O$64,CT$158,FALSE())*CT98</f>
        <v>0</v>
      </c>
      <c r="CU196" s="196" t="n">
        <f aca="false">VLOOKUP($CM$1,'Datos Iniciales'!$E$34:$O$64,CU$158,FALSE())*CU98</f>
        <v>0</v>
      </c>
      <c r="CV196" s="196" t="n">
        <f aca="false">VLOOKUP($CM$1,'Datos Iniciales'!$E$34:$O$64,CV$158,FALSE())*CV98</f>
        <v>0</v>
      </c>
      <c r="CW196" s="197" t="n">
        <f aca="false">VLOOKUP($CM$1,'Datos Iniciales'!$E$34:$O$64,CW$158,FALSE())*CW98</f>
        <v>0</v>
      </c>
      <c r="CX196" s="194" t="str">
        <f aca="false">CM196</f>
        <v>Alumno37</v>
      </c>
      <c r="CY196" s="208" t="n">
        <f aca="false">VLOOKUP($CX$1,'Datos Iniciales'!$E$34:$O$64,CY$158,FALSE())*CY98</f>
        <v>0</v>
      </c>
      <c r="CZ196" s="196" t="n">
        <f aca="false">VLOOKUP($CX$1,'Datos Iniciales'!$E$34:$O$64,CZ$158,FALSE())*CZ98</f>
        <v>0</v>
      </c>
      <c r="DA196" s="196" t="n">
        <f aca="false">VLOOKUP($CX$1,'Datos Iniciales'!$E$34:$O$64,DA$158,FALSE())*DA98</f>
        <v>0</v>
      </c>
      <c r="DB196" s="196" t="n">
        <f aca="false">VLOOKUP($CX$1,'Datos Iniciales'!$E$34:$O$64,DB$158,FALSE())*DB98</f>
        <v>0</v>
      </c>
      <c r="DC196" s="196" t="n">
        <f aca="false">VLOOKUP($CX$1,'Datos Iniciales'!$E$34:$O$64,DC$158,FALSE())*DC98</f>
        <v>0</v>
      </c>
      <c r="DD196" s="196" t="n">
        <f aca="false">VLOOKUP($CX$1,'Datos Iniciales'!$E$34:$O$64,DD$158,FALSE())*DD98</f>
        <v>0</v>
      </c>
      <c r="DE196" s="196" t="n">
        <f aca="false">VLOOKUP($CX$1,'Datos Iniciales'!$E$34:$O$64,DE$158,FALSE())*DE98</f>
        <v>0</v>
      </c>
      <c r="DF196" s="196" t="n">
        <f aca="false">VLOOKUP($CX$1,'Datos Iniciales'!$E$34:$O$64,DF$158,FALSE())*DF98</f>
        <v>0</v>
      </c>
      <c r="DG196" s="196" t="n">
        <f aca="false">VLOOKUP($CX$1,'Datos Iniciales'!$E$34:$O$64,DG$158,FALSE())*DG98</f>
        <v>0</v>
      </c>
      <c r="DH196" s="197" t="n">
        <f aca="false">VLOOKUP($CX$1,'Datos Iniciales'!$E$34:$O$64,DH$158,FALSE())*DH98</f>
        <v>0</v>
      </c>
      <c r="DI196" s="194" t="str">
        <f aca="false">CX196</f>
        <v>Alumno37</v>
      </c>
      <c r="DJ196" s="208" t="n">
        <f aca="false">VLOOKUP($DI$1,'Datos Iniciales'!$E$34:$O$64,DJ$158,FALSE())*DJ98</f>
        <v>0</v>
      </c>
      <c r="DK196" s="196" t="n">
        <f aca="false">VLOOKUP($DI$1,'Datos Iniciales'!$E$34:$O$64,DK$158,FALSE())*DK98</f>
        <v>0</v>
      </c>
      <c r="DL196" s="196" t="n">
        <f aca="false">VLOOKUP($DI$1,'Datos Iniciales'!$E$34:$O$64,DL$158,FALSE())*DL98</f>
        <v>0</v>
      </c>
      <c r="DM196" s="196" t="n">
        <f aca="false">VLOOKUP($DI$1,'Datos Iniciales'!$E$34:$O$64,DM$158,FALSE())*DM98</f>
        <v>0</v>
      </c>
      <c r="DN196" s="196" t="n">
        <f aca="false">VLOOKUP($DI$1,'Datos Iniciales'!$E$34:$O$64,DN$158,FALSE())*DN98</f>
        <v>0</v>
      </c>
      <c r="DO196" s="196" t="n">
        <f aca="false">VLOOKUP($DI$1,'Datos Iniciales'!$E$34:$O$64,DO$158,FALSE())*DO98</f>
        <v>0</v>
      </c>
      <c r="DP196" s="196" t="n">
        <f aca="false">VLOOKUP($DI$1,'Datos Iniciales'!$E$34:$O$64,DP$158,FALSE())*DP98</f>
        <v>0</v>
      </c>
      <c r="DQ196" s="196" t="n">
        <f aca="false">VLOOKUP($DI$1,'Datos Iniciales'!$E$34:$O$64,DQ$158,FALSE())*DQ98</f>
        <v>0</v>
      </c>
      <c r="DR196" s="196" t="n">
        <f aca="false">VLOOKUP($DI$1,'Datos Iniciales'!$E$34:$O$64,DR$158,FALSE())*DR98</f>
        <v>0</v>
      </c>
      <c r="DS196" s="197" t="n">
        <f aca="false">VLOOKUP($DI$1,'Datos Iniciales'!$E$34:$O$64,DS$158,FALSE())*DS98</f>
        <v>0</v>
      </c>
      <c r="DT196" s="194" t="str">
        <f aca="false">DI196</f>
        <v>Alumno37</v>
      </c>
      <c r="DU196" s="208" t="n">
        <f aca="false">VLOOKUP($DT$1,'Datos Iniciales'!$E$34:$O$64,DU$158,FALSE())*DU98</f>
        <v>0</v>
      </c>
      <c r="DV196" s="196" t="n">
        <f aca="false">VLOOKUP($DT$1,'Datos Iniciales'!$E$34:$O$64,DV$158,FALSE())*DV98</f>
        <v>0</v>
      </c>
      <c r="DW196" s="196" t="n">
        <f aca="false">VLOOKUP($DT$1,'Datos Iniciales'!$E$34:$O$64,DW$158,FALSE())*DW98</f>
        <v>0</v>
      </c>
      <c r="DX196" s="196" t="n">
        <f aca="false">VLOOKUP($DT$1,'Datos Iniciales'!$E$34:$O$64,DX$158,FALSE())*DX98</f>
        <v>0</v>
      </c>
      <c r="DY196" s="196" t="n">
        <f aca="false">VLOOKUP($DT$1,'Datos Iniciales'!$E$34:$O$64,DY$158,FALSE())*DY98</f>
        <v>0</v>
      </c>
      <c r="DZ196" s="196" t="n">
        <f aca="false">VLOOKUP($DT$1,'Datos Iniciales'!$E$34:$O$64,DZ$158,FALSE())*DZ98</f>
        <v>0</v>
      </c>
      <c r="EA196" s="196" t="n">
        <f aca="false">VLOOKUP($DT$1,'Datos Iniciales'!$E$34:$O$64,EA$158,FALSE())*EA98</f>
        <v>0</v>
      </c>
      <c r="EB196" s="196" t="n">
        <f aca="false">VLOOKUP($DT$1,'Datos Iniciales'!$E$34:$O$64,EB$158,FALSE())*EB98</f>
        <v>0</v>
      </c>
      <c r="EC196" s="196" t="n">
        <f aca="false">VLOOKUP($DT$1,'Datos Iniciales'!$E$34:$O$64,EC$158,FALSE())*EC98</f>
        <v>0</v>
      </c>
      <c r="ED196" s="197" t="n">
        <f aca="false">VLOOKUP($DT$1,'Datos Iniciales'!$E$34:$O$64,ED$158,FALSE())*ED98</f>
        <v>0</v>
      </c>
      <c r="EE196" s="194" t="str">
        <f aca="false">DT196</f>
        <v>Alumno37</v>
      </c>
      <c r="EF196" s="208" t="n">
        <f aca="false">VLOOKUP($EE$1,'Datos Iniciales'!$E$34:$O$64,EF$158,FALSE())*EF98</f>
        <v>0</v>
      </c>
      <c r="EG196" s="196" t="n">
        <f aca="false">VLOOKUP($EE$1,'Datos Iniciales'!$E$34:$O$64,EG$158,FALSE())*EG98</f>
        <v>0</v>
      </c>
      <c r="EH196" s="196" t="n">
        <f aca="false">VLOOKUP($EE$1,'Datos Iniciales'!$E$34:$O$64,EH$158,FALSE())*EH98</f>
        <v>0</v>
      </c>
      <c r="EI196" s="196" t="n">
        <f aca="false">VLOOKUP($EE$1,'Datos Iniciales'!$E$34:$O$64,EI$158,FALSE())*EI98</f>
        <v>0</v>
      </c>
      <c r="EJ196" s="196" t="n">
        <f aca="false">VLOOKUP($EE$1,'Datos Iniciales'!$E$34:$O$64,EJ$158,FALSE())*EJ98</f>
        <v>0</v>
      </c>
      <c r="EK196" s="196" t="n">
        <f aca="false">VLOOKUP($EE$1,'Datos Iniciales'!$E$34:$O$64,EK$158,FALSE())*EK98</f>
        <v>0</v>
      </c>
      <c r="EL196" s="196" t="n">
        <f aca="false">VLOOKUP($EE$1,'Datos Iniciales'!$E$34:$O$64,EL$158,FALSE())*EL98</f>
        <v>0</v>
      </c>
      <c r="EM196" s="196" t="n">
        <f aca="false">VLOOKUP($EE$1,'Datos Iniciales'!$E$34:$O$64,EM$158,FALSE())*EM98</f>
        <v>0</v>
      </c>
      <c r="EN196" s="196" t="n">
        <f aca="false">VLOOKUP($EE$1,'Datos Iniciales'!$E$34:$O$64,EN$158,FALSE())*EN98</f>
        <v>0</v>
      </c>
      <c r="EO196" s="197" t="n">
        <f aca="false">VLOOKUP($EE$1,'Datos Iniciales'!$E$34:$O$64,EO$158,FALSE())*EO98</f>
        <v>0</v>
      </c>
      <c r="EP196" s="194" t="str">
        <f aca="false">EE196</f>
        <v>Alumno37</v>
      </c>
      <c r="EQ196" s="208" t="n">
        <f aca="false">VLOOKUP($EP$1,'Datos Iniciales'!$E$34:$O$64,EQ$158,FALSE())*EQ98</f>
        <v>0</v>
      </c>
      <c r="ER196" s="196" t="n">
        <f aca="false">VLOOKUP($EP$1,'Datos Iniciales'!$E$34:$O$64,ER$158,FALSE())*ER98</f>
        <v>0</v>
      </c>
      <c r="ES196" s="196" t="n">
        <f aca="false">VLOOKUP($EP$1,'Datos Iniciales'!$E$34:$O$64,ES$158,FALSE())*ES98</f>
        <v>0</v>
      </c>
      <c r="ET196" s="196" t="n">
        <f aca="false">VLOOKUP($EP$1,'Datos Iniciales'!$E$34:$O$64,ET$158,FALSE())*ET98</f>
        <v>0</v>
      </c>
      <c r="EU196" s="196" t="n">
        <f aca="false">VLOOKUP($EP$1,'Datos Iniciales'!$E$34:$O$64,EU$158,FALSE())*EU98</f>
        <v>0</v>
      </c>
      <c r="EV196" s="196" t="n">
        <f aca="false">VLOOKUP($EP$1,'Datos Iniciales'!$E$34:$O$64,EV$158,FALSE())*EV98</f>
        <v>0</v>
      </c>
      <c r="EW196" s="196" t="n">
        <f aca="false">VLOOKUP($EP$1,'Datos Iniciales'!$E$34:$O$64,EW$158,FALSE())*EW98</f>
        <v>0</v>
      </c>
      <c r="EX196" s="196" t="n">
        <f aca="false">VLOOKUP($EP$1,'Datos Iniciales'!$E$34:$O$64,EX$158,FALSE())*EX98</f>
        <v>0</v>
      </c>
      <c r="EY196" s="196" t="n">
        <f aca="false">VLOOKUP($EP$1,'Datos Iniciales'!$E$34:$O$64,EY$158,FALSE())*EY98</f>
        <v>0</v>
      </c>
      <c r="EZ196" s="197" t="n">
        <f aca="false">VLOOKUP($EP$1,'Datos Iniciales'!$E$34:$O$64,EZ$158,FALSE())*EZ98</f>
        <v>0</v>
      </c>
      <c r="FA196" s="194" t="str">
        <f aca="false">EP196</f>
        <v>Alumno37</v>
      </c>
      <c r="FB196" s="208" t="n">
        <f aca="false">VLOOKUP($FA$1,'Datos Iniciales'!$E$34:$O$64,FB$158,FALSE())*FB98</f>
        <v>0</v>
      </c>
      <c r="FC196" s="196" t="n">
        <f aca="false">VLOOKUP($FA$1,'Datos Iniciales'!$E$34:$O$64,FC$158,FALSE())*FC98</f>
        <v>0</v>
      </c>
      <c r="FD196" s="196" t="n">
        <f aca="false">VLOOKUP($FA$1,'Datos Iniciales'!$E$34:$O$64,FD$158,FALSE())*FD98</f>
        <v>0</v>
      </c>
      <c r="FE196" s="196" t="n">
        <f aca="false">VLOOKUP($FA$1,'Datos Iniciales'!$E$34:$O$64,FE$158,FALSE())*FE98</f>
        <v>0</v>
      </c>
      <c r="FF196" s="196" t="n">
        <f aca="false">VLOOKUP($FA$1,'Datos Iniciales'!$E$34:$O$64,FF$158,FALSE())*FF98</f>
        <v>0</v>
      </c>
      <c r="FG196" s="196" t="n">
        <f aca="false">VLOOKUP($FA$1,'Datos Iniciales'!$E$34:$O$64,FG$158,FALSE())*FG98</f>
        <v>0</v>
      </c>
      <c r="FH196" s="196" t="n">
        <f aca="false">VLOOKUP($FA$1,'Datos Iniciales'!$E$34:$O$64,FH$158,FALSE())*FH98</f>
        <v>0</v>
      </c>
      <c r="FI196" s="196" t="n">
        <f aca="false">VLOOKUP($FA$1,'Datos Iniciales'!$E$34:$O$64,FI$158,FALSE())*FI98</f>
        <v>0</v>
      </c>
      <c r="FJ196" s="196" t="n">
        <f aca="false">VLOOKUP($FA$1,'Datos Iniciales'!$E$34:$O$64,FJ$158,FALSE())*FJ98</f>
        <v>0</v>
      </c>
      <c r="FK196" s="197" t="n">
        <f aca="false">VLOOKUP($FA$1,'Datos Iniciales'!$E$34:$O$64,FK$158,FALSE())*FK98</f>
        <v>0</v>
      </c>
      <c r="FL196" s="194" t="str">
        <f aca="false">FA196</f>
        <v>Alumno37</v>
      </c>
      <c r="FM196" s="208" t="n">
        <f aca="false">VLOOKUP($FL$1,'Datos Iniciales'!$E$34:$O$64,FM$158,FALSE())*FM98</f>
        <v>0</v>
      </c>
      <c r="FN196" s="196" t="n">
        <f aca="false">VLOOKUP($FL$1,'Datos Iniciales'!$E$34:$O$64,FN$158,FALSE())*FN98</f>
        <v>0</v>
      </c>
      <c r="FO196" s="196" t="n">
        <f aca="false">VLOOKUP($FL$1,'Datos Iniciales'!$E$34:$O$64,FO$158,FALSE())*FO98</f>
        <v>0</v>
      </c>
      <c r="FP196" s="196" t="n">
        <f aca="false">VLOOKUP($FL$1,'Datos Iniciales'!$E$34:$O$64,FP$158,FALSE())*FP98</f>
        <v>0</v>
      </c>
      <c r="FQ196" s="196" t="n">
        <f aca="false">VLOOKUP($FL$1,'Datos Iniciales'!$E$34:$O$64,FQ$158,FALSE())*FQ98</f>
        <v>0</v>
      </c>
      <c r="FR196" s="196" t="n">
        <f aca="false">VLOOKUP($FL$1,'Datos Iniciales'!$E$34:$O$64,FR$158,FALSE())*FR98</f>
        <v>0</v>
      </c>
      <c r="FS196" s="196" t="n">
        <f aca="false">VLOOKUP($FL$1,'Datos Iniciales'!$E$34:$O$64,FS$158,FALSE())*FS98</f>
        <v>0</v>
      </c>
      <c r="FT196" s="196" t="n">
        <f aca="false">VLOOKUP($FL$1,'Datos Iniciales'!$E$34:$O$64,FT$158,FALSE())*FT98</f>
        <v>0</v>
      </c>
      <c r="FU196" s="196" t="n">
        <f aca="false">VLOOKUP($FL$1,'Datos Iniciales'!$E$34:$O$64,FU$158,FALSE())*FU98</f>
        <v>0</v>
      </c>
      <c r="FV196" s="197" t="n">
        <f aca="false">VLOOKUP($FL$1,'Datos Iniciales'!$E$34:$O$64,FV$158,FALSE())*FV98</f>
        <v>0</v>
      </c>
      <c r="FW196" s="194" t="str">
        <f aca="false">FL196</f>
        <v>Alumno37</v>
      </c>
      <c r="FX196" s="208" t="n">
        <f aca="false">VLOOKUP($FW$1,'Datos Iniciales'!$E$34:$O$64,FX$158,FALSE())*FX98</f>
        <v>0</v>
      </c>
      <c r="FY196" s="196" t="n">
        <f aca="false">VLOOKUP($FW$1,'Datos Iniciales'!$E$34:$O$64,FY$158,FALSE())*FY98</f>
        <v>0</v>
      </c>
      <c r="FZ196" s="196" t="n">
        <f aca="false">VLOOKUP($FW$1,'Datos Iniciales'!$E$34:$O$64,FZ$158,FALSE())*FZ98</f>
        <v>0</v>
      </c>
      <c r="GA196" s="196" t="n">
        <f aca="false">VLOOKUP($FW$1,'Datos Iniciales'!$E$34:$O$64,GA$158,FALSE())*GA98</f>
        <v>0</v>
      </c>
      <c r="GB196" s="196" t="n">
        <f aca="false">VLOOKUP($FW$1,'Datos Iniciales'!$E$34:$O$64,GB$158,FALSE())*GB98</f>
        <v>0</v>
      </c>
      <c r="GC196" s="196" t="n">
        <f aca="false">VLOOKUP($FW$1,'Datos Iniciales'!$E$34:$O$64,GC$158,FALSE())*GC98</f>
        <v>0</v>
      </c>
      <c r="GD196" s="196" t="n">
        <f aca="false">VLOOKUP($FW$1,'Datos Iniciales'!$E$34:$O$64,GD$158,FALSE())*GD98</f>
        <v>0</v>
      </c>
      <c r="GE196" s="196" t="n">
        <f aca="false">VLOOKUP($FW$1,'Datos Iniciales'!$E$34:$O$64,GE$158,FALSE())*GE98</f>
        <v>0</v>
      </c>
      <c r="GF196" s="196" t="n">
        <f aca="false">VLOOKUP($FW$1,'Datos Iniciales'!$E$34:$O$64,GF$158,FALSE())*GF98</f>
        <v>0</v>
      </c>
      <c r="GG196" s="197" t="n">
        <f aca="false">VLOOKUP($FW$1,'Datos Iniciales'!$E$34:$O$64,GG$158,FALSE())*GG98</f>
        <v>0</v>
      </c>
      <c r="GH196" s="194" t="str">
        <f aca="false">FW196</f>
        <v>Alumno37</v>
      </c>
      <c r="GI196" s="208" t="n">
        <f aca="false">VLOOKUP($GH$1,'Datos Iniciales'!$E$34:$O$64,GI$158,FALSE())*GI98</f>
        <v>0</v>
      </c>
      <c r="GJ196" s="196" t="n">
        <f aca="false">VLOOKUP($GH$1,'Datos Iniciales'!$E$34:$O$64,GJ$158,FALSE())*GJ98</f>
        <v>0</v>
      </c>
      <c r="GK196" s="196" t="n">
        <f aca="false">VLOOKUP($GH$1,'Datos Iniciales'!$E$34:$O$64,GK$158,FALSE())*GK98</f>
        <v>0</v>
      </c>
      <c r="GL196" s="196" t="n">
        <f aca="false">VLOOKUP($GH$1,'Datos Iniciales'!$E$34:$O$64,GL$158,FALSE())*GL98</f>
        <v>0</v>
      </c>
      <c r="GM196" s="196" t="n">
        <f aca="false">VLOOKUP($GH$1,'Datos Iniciales'!$E$34:$O$64,GM$158,FALSE())*GM98</f>
        <v>0</v>
      </c>
      <c r="GN196" s="196" t="n">
        <f aca="false">VLOOKUP($GH$1,'Datos Iniciales'!$E$34:$O$64,GN$158,FALSE())*GN98</f>
        <v>0</v>
      </c>
      <c r="GO196" s="196" t="n">
        <f aca="false">VLOOKUP($GH$1,'Datos Iniciales'!$E$34:$O$64,GO$158,FALSE())*GO98</f>
        <v>0</v>
      </c>
      <c r="GP196" s="196" t="n">
        <f aca="false">VLOOKUP($GH$1,'Datos Iniciales'!$E$34:$O$64,GP$158,FALSE())*GP98</f>
        <v>0</v>
      </c>
      <c r="GQ196" s="196" t="n">
        <f aca="false">VLOOKUP($GH$1,'Datos Iniciales'!$E$34:$O$64,GQ$158,FALSE())*GQ98</f>
        <v>0</v>
      </c>
      <c r="GR196" s="197" t="n">
        <f aca="false">VLOOKUP($GH$1,'Datos Iniciales'!$E$34:$O$64,GR$158,FALSE())*GR98</f>
        <v>0</v>
      </c>
      <c r="GS196" s="194" t="str">
        <f aca="false">GH196</f>
        <v>Alumno37</v>
      </c>
      <c r="GT196" s="208" t="n">
        <f aca="false">VLOOKUP($GS$1,'Datos Iniciales'!$E$34:$O$64,GT$158,FALSE())*GT98</f>
        <v>0</v>
      </c>
      <c r="GU196" s="196" t="n">
        <f aca="false">VLOOKUP($GS$1,'Datos Iniciales'!$E$34:$O$64,GU$158,FALSE())*GU98</f>
        <v>0</v>
      </c>
      <c r="GV196" s="196" t="n">
        <f aca="false">VLOOKUP($GS$1,'Datos Iniciales'!$E$34:$O$64,GV$158,FALSE())*GV98</f>
        <v>0</v>
      </c>
      <c r="GW196" s="196" t="n">
        <f aca="false">VLOOKUP($GS$1,'Datos Iniciales'!$E$34:$O$64,GW$158,FALSE())*GW98</f>
        <v>0</v>
      </c>
      <c r="GX196" s="196" t="n">
        <f aca="false">VLOOKUP($GS$1,'Datos Iniciales'!$E$34:$O$64,GX$158,FALSE())*GX98</f>
        <v>0</v>
      </c>
      <c r="GY196" s="196" t="n">
        <f aca="false">VLOOKUP($GS$1,'Datos Iniciales'!$E$34:$O$64,GY$158,FALSE())*GY98</f>
        <v>0</v>
      </c>
      <c r="GZ196" s="196" t="n">
        <f aca="false">VLOOKUP($GS$1,'Datos Iniciales'!$E$34:$O$64,GZ$158,FALSE())*GZ98</f>
        <v>0</v>
      </c>
      <c r="HA196" s="196" t="n">
        <f aca="false">VLOOKUP($GS$1,'Datos Iniciales'!$E$34:$O$64,HA$158,FALSE())*HA98</f>
        <v>0</v>
      </c>
      <c r="HB196" s="196" t="n">
        <f aca="false">VLOOKUP($GS$1,'Datos Iniciales'!$E$34:$O$64,HB$158,FALSE())*HB98</f>
        <v>0</v>
      </c>
      <c r="HC196" s="197" t="n">
        <f aca="false">VLOOKUP($GS$1,'Datos Iniciales'!$E$34:$O$64,HC$158,FALSE())*HC98</f>
        <v>0</v>
      </c>
      <c r="HD196" s="194" t="str">
        <f aca="false">GS196</f>
        <v>Alumno37</v>
      </c>
      <c r="HE196" s="208" t="n">
        <f aca="false">VLOOKUP($HD$1,'Datos Iniciales'!$E$34:$O$64,HE$158,FALSE())*HE98</f>
        <v>0</v>
      </c>
      <c r="HF196" s="196" t="n">
        <f aca="false">VLOOKUP($HD$1,'Datos Iniciales'!$E$34:$O$64,HF$158,FALSE())*HF98</f>
        <v>0</v>
      </c>
      <c r="HG196" s="196" t="n">
        <f aca="false">VLOOKUP($HD$1,'Datos Iniciales'!$E$34:$O$64,HG$158,FALSE())*HG98</f>
        <v>0</v>
      </c>
      <c r="HH196" s="196" t="n">
        <f aca="false">VLOOKUP($HD$1,'Datos Iniciales'!$E$34:$O$64,HH$158,FALSE())*HH98</f>
        <v>0</v>
      </c>
      <c r="HI196" s="196" t="n">
        <f aca="false">VLOOKUP($HD$1,'Datos Iniciales'!$E$34:$O$64,HI$158,FALSE())*HI98</f>
        <v>0</v>
      </c>
      <c r="HJ196" s="196" t="n">
        <f aca="false">VLOOKUP($HD$1,'Datos Iniciales'!$E$34:$O$64,HJ$158,FALSE())*HJ98</f>
        <v>0</v>
      </c>
      <c r="HK196" s="196" t="n">
        <f aca="false">VLOOKUP($HD$1,'Datos Iniciales'!$E$34:$O$64,HK$158,FALSE())*HK98</f>
        <v>0</v>
      </c>
      <c r="HL196" s="196" t="n">
        <f aca="false">VLOOKUP($HD$1,'Datos Iniciales'!$E$34:$O$64,HL$158,FALSE())*HL98</f>
        <v>0</v>
      </c>
      <c r="HM196" s="196" t="n">
        <f aca="false">VLOOKUP($HD$1,'Datos Iniciales'!$E$34:$O$64,HM$158,FALSE())*HM98</f>
        <v>0</v>
      </c>
      <c r="HN196" s="197" t="n">
        <f aca="false">VLOOKUP($HD$1,'Datos Iniciales'!$E$34:$O$64,HN$158,FALSE())*HN98</f>
        <v>0</v>
      </c>
      <c r="HO196" s="194" t="str">
        <f aca="false">HD196</f>
        <v>Alumno37</v>
      </c>
      <c r="HP196" s="208" t="n">
        <f aca="false">VLOOKUP($HO$1,'Datos Iniciales'!$E$34:$O$64,HP$158,FALSE())*HP98</f>
        <v>0</v>
      </c>
      <c r="HQ196" s="196" t="n">
        <f aca="false">VLOOKUP($HO$1,'Datos Iniciales'!$E$34:$O$64,HQ$158,FALSE())*HQ98</f>
        <v>0</v>
      </c>
      <c r="HR196" s="196" t="n">
        <f aca="false">VLOOKUP($HO$1,'Datos Iniciales'!$E$34:$O$64,HR$158,FALSE())*HR98</f>
        <v>0</v>
      </c>
      <c r="HS196" s="196" t="n">
        <f aca="false">VLOOKUP($HO$1,'Datos Iniciales'!$E$34:$O$64,HS$158,FALSE())*HS98</f>
        <v>0</v>
      </c>
      <c r="HT196" s="196" t="n">
        <f aca="false">VLOOKUP($HO$1,'Datos Iniciales'!$E$34:$O$64,HT$158,FALSE())*HT98</f>
        <v>0</v>
      </c>
      <c r="HU196" s="196" t="n">
        <f aca="false">VLOOKUP($HO$1,'Datos Iniciales'!$E$34:$O$64,HU$158,FALSE())*HU98</f>
        <v>0</v>
      </c>
      <c r="HV196" s="196" t="n">
        <f aca="false">VLOOKUP($HO$1,'Datos Iniciales'!$E$34:$O$64,HV$158,FALSE())*HV98</f>
        <v>0</v>
      </c>
      <c r="HW196" s="196" t="n">
        <f aca="false">VLOOKUP($HO$1,'Datos Iniciales'!$E$34:$O$64,HW$158,FALSE())*HW98</f>
        <v>0</v>
      </c>
      <c r="HX196" s="196" t="n">
        <f aca="false">VLOOKUP($HO$1,'Datos Iniciales'!$E$34:$O$64,HX$158,FALSE())*HX98</f>
        <v>0</v>
      </c>
      <c r="HY196" s="197" t="n">
        <f aca="false">VLOOKUP($HO$1,'Datos Iniciales'!$E$34:$O$64,HY$158,FALSE())*HY98</f>
        <v>0</v>
      </c>
      <c r="HZ196" s="194" t="str">
        <f aca="false">HO196</f>
        <v>Alumno37</v>
      </c>
      <c r="IA196" s="208" t="n">
        <f aca="false">VLOOKUP($HZ$1,'Datos Iniciales'!$E$34:$O$64,IA$158,FALSE())*IA98</f>
        <v>0</v>
      </c>
      <c r="IB196" s="196" t="n">
        <f aca="false">VLOOKUP($HZ$1,'Datos Iniciales'!$E$34:$O$64,IB$158,FALSE())*IB98</f>
        <v>0</v>
      </c>
      <c r="IC196" s="196" t="n">
        <f aca="false">VLOOKUP($HZ$1,'Datos Iniciales'!$E$34:$O$64,IC$158,FALSE())*IC98</f>
        <v>0</v>
      </c>
      <c r="ID196" s="196" t="n">
        <f aca="false">VLOOKUP($HZ$1,'Datos Iniciales'!$E$34:$O$64,ID$158,FALSE())*ID98</f>
        <v>0</v>
      </c>
      <c r="IE196" s="196" t="n">
        <f aca="false">VLOOKUP($HZ$1,'Datos Iniciales'!$E$34:$O$64,IE$158,FALSE())*IE98</f>
        <v>0</v>
      </c>
      <c r="IF196" s="196" t="n">
        <f aca="false">VLOOKUP($HZ$1,'Datos Iniciales'!$E$34:$O$64,IF$158,FALSE())*IF98</f>
        <v>0</v>
      </c>
      <c r="IG196" s="196" t="n">
        <f aca="false">VLOOKUP($HZ$1,'Datos Iniciales'!$E$34:$O$64,IG$158,FALSE())*IG98</f>
        <v>0</v>
      </c>
      <c r="IH196" s="196" t="n">
        <f aca="false">VLOOKUP($HZ$1,'Datos Iniciales'!$E$34:$O$64,IH$158,FALSE())*IH98</f>
        <v>0</v>
      </c>
      <c r="II196" s="196" t="n">
        <f aca="false">VLOOKUP($HZ$1,'Datos Iniciales'!$E$34:$O$64,II$158,FALSE())*II98</f>
        <v>0</v>
      </c>
      <c r="IJ196" s="197" t="n">
        <f aca="false">VLOOKUP($HZ$1,'Datos Iniciales'!$E$34:$O$64,IJ$158,FALSE())*IJ98</f>
        <v>0</v>
      </c>
      <c r="IK196" s="194" t="str">
        <f aca="false">HZ196</f>
        <v>Alumno37</v>
      </c>
      <c r="IL196" s="208" t="n">
        <f aca="false">VLOOKUP($IK$1,'Datos Iniciales'!$E$34:$O$64,IL$158,FALSE())*IL98</f>
        <v>0</v>
      </c>
      <c r="IM196" s="196" t="n">
        <f aca="false">VLOOKUP($IK$1,'Datos Iniciales'!$E$34:$O$64,IM$158,FALSE())*IM98</f>
        <v>0</v>
      </c>
      <c r="IN196" s="196" t="n">
        <f aca="false">VLOOKUP($IK$1,'Datos Iniciales'!$E$34:$O$64,IN$158,FALSE())*IN98</f>
        <v>0</v>
      </c>
      <c r="IO196" s="196" t="n">
        <f aca="false">VLOOKUP($IK$1,'Datos Iniciales'!$E$34:$O$64,IO$158,FALSE())*IO98</f>
        <v>0</v>
      </c>
      <c r="IP196" s="196" t="n">
        <f aca="false">VLOOKUP($IK$1,'Datos Iniciales'!$E$34:$O$64,IP$158,FALSE())*IP98</f>
        <v>0</v>
      </c>
      <c r="IQ196" s="196" t="n">
        <f aca="false">VLOOKUP($IK$1,'Datos Iniciales'!$E$34:$O$64,IQ$158,FALSE())*IQ98</f>
        <v>0</v>
      </c>
      <c r="IR196" s="196" t="n">
        <f aca="false">VLOOKUP($IK$1,'Datos Iniciales'!$E$34:$O$64,IR$158,FALSE())*IR98</f>
        <v>0</v>
      </c>
      <c r="IS196" s="196" t="n">
        <f aca="false">VLOOKUP($IK$1,'Datos Iniciales'!$E$34:$O$64,IS$158,FALSE())*IS98</f>
        <v>0</v>
      </c>
      <c r="IT196" s="196" t="n">
        <f aca="false">VLOOKUP($IK$1,'Datos Iniciales'!$E$34:$O$64,IT$158,FALSE())*IT98</f>
        <v>0</v>
      </c>
      <c r="IU196" s="197" t="n">
        <f aca="false">VLOOKUP($IK$1,'Datos Iniciales'!$E$34:$O$64,IU$158,FALSE())*IU98</f>
        <v>0</v>
      </c>
      <c r="IV196" s="194" t="str">
        <f aca="false">IK196</f>
        <v>Alumno37</v>
      </c>
      <c r="IW196" s="208" t="n">
        <f aca="false">VLOOKUP($IV$1,'Datos Iniciales'!$E$34:$O$64,IW$158,FALSE())*IW98</f>
        <v>0</v>
      </c>
      <c r="IX196" s="196" t="n">
        <f aca="false">VLOOKUP($IV$1,'Datos Iniciales'!$E$34:$O$64,IX$158,FALSE())*IX98</f>
        <v>0</v>
      </c>
      <c r="IY196" s="196" t="n">
        <f aca="false">VLOOKUP($IV$1,'Datos Iniciales'!$E$34:$O$64,IY$158,FALSE())*IY98</f>
        <v>0</v>
      </c>
      <c r="IZ196" s="196" t="n">
        <f aca="false">VLOOKUP($IV$1,'Datos Iniciales'!$E$34:$O$64,IZ$158,FALSE())*IZ98</f>
        <v>0</v>
      </c>
      <c r="JA196" s="196" t="n">
        <f aca="false">VLOOKUP($IV$1,'Datos Iniciales'!$E$34:$O$64,JA$158,FALSE())*JA98</f>
        <v>0</v>
      </c>
      <c r="JB196" s="196" t="n">
        <f aca="false">VLOOKUP($IV$1,'Datos Iniciales'!$E$34:$O$64,JB$158,FALSE())*JB98</f>
        <v>0</v>
      </c>
      <c r="JC196" s="196" t="n">
        <f aca="false">VLOOKUP($IV$1,'Datos Iniciales'!$E$34:$O$64,JC$158,FALSE())*JC98</f>
        <v>0</v>
      </c>
      <c r="JD196" s="196" t="n">
        <f aca="false">VLOOKUP($IV$1,'Datos Iniciales'!$E$34:$O$64,JD$158,FALSE())*JD98</f>
        <v>0</v>
      </c>
      <c r="JE196" s="196" t="n">
        <f aca="false">VLOOKUP($IV$1,'Datos Iniciales'!$E$34:$O$64,JE$158,FALSE())*JE98</f>
        <v>0</v>
      </c>
      <c r="JF196" s="197" t="n">
        <f aca="false">VLOOKUP($IV$1,'Datos Iniciales'!$E$34:$O$64,JF$158,FALSE())*JF98</f>
        <v>0</v>
      </c>
      <c r="JG196" s="194" t="str">
        <f aca="false">IV196</f>
        <v>Alumno37</v>
      </c>
      <c r="JH196" s="208" t="n">
        <f aca="false">VLOOKUP($JG$1,'Datos Iniciales'!$E$34:$O$64,JH$158,FALSE())*JH98</f>
        <v>0</v>
      </c>
      <c r="JI196" s="196" t="n">
        <f aca="false">VLOOKUP($JG$1,'Datos Iniciales'!$E$34:$O$64,JI$158,FALSE())*JI98</f>
        <v>0</v>
      </c>
      <c r="JJ196" s="196" t="n">
        <f aca="false">VLOOKUP($JG$1,'Datos Iniciales'!$E$34:$O$64,JJ$158,FALSE())*JJ98</f>
        <v>0</v>
      </c>
      <c r="JK196" s="196" t="n">
        <f aca="false">VLOOKUP($JG$1,'Datos Iniciales'!$E$34:$O$64,JK$158,FALSE())*JK98</f>
        <v>0</v>
      </c>
      <c r="JL196" s="196" t="n">
        <f aca="false">VLOOKUP($JG$1,'Datos Iniciales'!$E$34:$O$64,JL$158,FALSE())*JL98</f>
        <v>0</v>
      </c>
      <c r="JM196" s="196" t="n">
        <f aca="false">VLOOKUP($JG$1,'Datos Iniciales'!$E$34:$O$64,JM$158,FALSE())*JM98</f>
        <v>0</v>
      </c>
      <c r="JN196" s="196" t="n">
        <f aca="false">VLOOKUP($JG$1,'Datos Iniciales'!$E$34:$O$64,JN$158,FALSE())*JN98</f>
        <v>0</v>
      </c>
      <c r="JO196" s="196" t="n">
        <f aca="false">VLOOKUP($JG$1,'Datos Iniciales'!$E$34:$O$64,JO$158,FALSE())*JO98</f>
        <v>0</v>
      </c>
      <c r="JP196" s="196" t="n">
        <f aca="false">VLOOKUP($JG$1,'Datos Iniciales'!$E$34:$O$64,JP$158,FALSE())*JP98</f>
        <v>0</v>
      </c>
      <c r="JQ196" s="197" t="n">
        <f aca="false">VLOOKUP($JG$1,'Datos Iniciales'!$E$34:$O$64,JQ$158,FALSE())*JQ98</f>
        <v>0</v>
      </c>
      <c r="JR196" s="194" t="str">
        <f aca="false">JG196</f>
        <v>Alumno37</v>
      </c>
      <c r="JS196" s="208" t="n">
        <f aca="false">VLOOKUP($JR$1,'Datos Iniciales'!$E$34:$O$64,JS$158,FALSE())*JS98</f>
        <v>0</v>
      </c>
      <c r="JT196" s="196" t="n">
        <f aca="false">VLOOKUP($JR$1,'Datos Iniciales'!$E$34:$O$64,JT$158,FALSE())*JT98</f>
        <v>0</v>
      </c>
      <c r="JU196" s="196" t="n">
        <f aca="false">VLOOKUP($JR$1,'Datos Iniciales'!$E$34:$O$64,JU$158,FALSE())*JU98</f>
        <v>0</v>
      </c>
      <c r="JV196" s="196" t="n">
        <f aca="false">VLOOKUP($JR$1,'Datos Iniciales'!$E$34:$O$64,JV$158,FALSE())*JV98</f>
        <v>0</v>
      </c>
      <c r="JW196" s="196" t="n">
        <f aca="false">VLOOKUP($JR$1,'Datos Iniciales'!$E$34:$O$64,JW$158,FALSE())*JW98</f>
        <v>0</v>
      </c>
      <c r="JX196" s="196" t="n">
        <f aca="false">VLOOKUP($JR$1,'Datos Iniciales'!$E$34:$O$64,JX$158,FALSE())*JX98</f>
        <v>0</v>
      </c>
      <c r="JY196" s="196" t="n">
        <f aca="false">VLOOKUP($JR$1,'Datos Iniciales'!$E$34:$O$64,JY$158,FALSE())*JY98</f>
        <v>0</v>
      </c>
      <c r="JZ196" s="196" t="n">
        <f aca="false">VLOOKUP($JR$1,'Datos Iniciales'!$E$34:$O$64,JZ$158,FALSE())*JZ98</f>
        <v>0</v>
      </c>
      <c r="KA196" s="196" t="n">
        <f aca="false">VLOOKUP($JR$1,'Datos Iniciales'!$E$34:$O$64,KA$158,FALSE())*KA98</f>
        <v>0</v>
      </c>
      <c r="KB196" s="197" t="n">
        <f aca="false">VLOOKUP($JR$1,'Datos Iniciales'!$E$34:$O$64,KB$158,FALSE())*KB98</f>
        <v>0</v>
      </c>
      <c r="KC196" s="194" t="str">
        <f aca="false">JR196</f>
        <v>Alumno37</v>
      </c>
      <c r="KD196" s="208" t="n">
        <f aca="false">VLOOKUP($KC$1,'Datos Iniciales'!$E$34:$O$64,KD$158,FALSE())*KD98</f>
        <v>0</v>
      </c>
      <c r="KE196" s="196" t="n">
        <f aca="false">VLOOKUP($KC$1,'Datos Iniciales'!$E$34:$O$64,KE$158,FALSE())*KE98</f>
        <v>0</v>
      </c>
      <c r="KF196" s="196" t="n">
        <f aca="false">VLOOKUP($KC$1,'Datos Iniciales'!$E$34:$O$64,KF$158,FALSE())*KF98</f>
        <v>0</v>
      </c>
      <c r="KG196" s="196" t="n">
        <f aca="false">VLOOKUP($KC$1,'Datos Iniciales'!$E$34:$O$64,KG$158,FALSE())*KG98</f>
        <v>0</v>
      </c>
      <c r="KH196" s="196" t="n">
        <f aca="false">VLOOKUP($KC$1,'Datos Iniciales'!$E$34:$O$64,KH$158,FALSE())*KH98</f>
        <v>0</v>
      </c>
      <c r="KI196" s="196" t="n">
        <f aca="false">VLOOKUP($KC$1,'Datos Iniciales'!$E$34:$O$64,KI$158,FALSE())*KI98</f>
        <v>0</v>
      </c>
      <c r="KJ196" s="196" t="n">
        <f aca="false">VLOOKUP($KC$1,'Datos Iniciales'!$E$34:$O$64,KJ$158,FALSE())*KJ98</f>
        <v>0</v>
      </c>
      <c r="KK196" s="196" t="n">
        <f aca="false">VLOOKUP($KC$1,'Datos Iniciales'!$E$34:$O$64,KK$158,FALSE())*KK98</f>
        <v>0</v>
      </c>
      <c r="KL196" s="196" t="n">
        <f aca="false">VLOOKUP($KC$1,'Datos Iniciales'!$E$34:$O$64,KL$158,FALSE())*KL98</f>
        <v>0</v>
      </c>
      <c r="KM196" s="197" t="n">
        <f aca="false">VLOOKUP($KC$1,'Datos Iniciales'!$E$34:$O$64,KM$158,FALSE())*KM98</f>
        <v>0</v>
      </c>
      <c r="KN196" s="194" t="str">
        <f aca="false">KC196</f>
        <v>Alumno37</v>
      </c>
      <c r="KO196" s="208" t="n">
        <f aca="false">VLOOKUP($KN$1,'Datos Iniciales'!$E$34:$O$64,KO$158,FALSE())*KO98</f>
        <v>0</v>
      </c>
      <c r="KP196" s="196" t="n">
        <f aca="false">VLOOKUP($KN$1,'Datos Iniciales'!$E$34:$O$64,KP$158,FALSE())*KP98</f>
        <v>0</v>
      </c>
      <c r="KQ196" s="196" t="n">
        <f aca="false">VLOOKUP($KN$1,'Datos Iniciales'!$E$34:$O$64,KQ$158,FALSE())*KQ98</f>
        <v>0</v>
      </c>
      <c r="KR196" s="196" t="n">
        <f aca="false">VLOOKUP($KN$1,'Datos Iniciales'!$E$34:$O$64,KR$158,FALSE())*KR98</f>
        <v>0</v>
      </c>
      <c r="KS196" s="196" t="n">
        <f aca="false">VLOOKUP($KN$1,'Datos Iniciales'!$E$34:$O$64,KS$158,FALSE())*KS98</f>
        <v>0</v>
      </c>
      <c r="KT196" s="196" t="n">
        <f aca="false">VLOOKUP($KN$1,'Datos Iniciales'!$E$34:$O$64,KT$158,FALSE())*KT98</f>
        <v>0</v>
      </c>
      <c r="KU196" s="196" t="n">
        <f aca="false">VLOOKUP($KN$1,'Datos Iniciales'!$E$34:$O$64,KU$158,FALSE())*KU98</f>
        <v>0</v>
      </c>
      <c r="KV196" s="196" t="n">
        <f aca="false">VLOOKUP($KN$1,'Datos Iniciales'!$E$34:$O$64,KV$158,FALSE())*KV98</f>
        <v>0</v>
      </c>
      <c r="KW196" s="196" t="n">
        <f aca="false">VLOOKUP($KN$1,'Datos Iniciales'!$E$34:$O$64,KW$158,FALSE())*KW98</f>
        <v>0</v>
      </c>
      <c r="KX196" s="197" t="n">
        <f aca="false">VLOOKUP($KN$1,'Datos Iniciales'!$E$34:$O$64,KX$158,FALSE())*KX98</f>
        <v>0</v>
      </c>
      <c r="KY196" s="194" t="str">
        <f aca="false">KN196</f>
        <v>Alumno37</v>
      </c>
      <c r="KZ196" s="208" t="n">
        <f aca="false">VLOOKUP($KY$1,'Datos Iniciales'!$E$34:$O$64,KZ$158,FALSE())*KZ98</f>
        <v>0</v>
      </c>
      <c r="LA196" s="196" t="n">
        <f aca="false">VLOOKUP($KY$1,'Datos Iniciales'!$E$34:$O$64,LA$158,FALSE())*LA98</f>
        <v>0</v>
      </c>
      <c r="LB196" s="196" t="n">
        <f aca="false">VLOOKUP($KY$1,'Datos Iniciales'!$E$34:$O$64,LB$158,FALSE())*LB98</f>
        <v>0</v>
      </c>
      <c r="LC196" s="196" t="n">
        <f aca="false">VLOOKUP($KY$1,'Datos Iniciales'!$E$34:$O$64,LC$158,FALSE())*LC98</f>
        <v>0</v>
      </c>
      <c r="LD196" s="196" t="n">
        <f aca="false">VLOOKUP($KY$1,'Datos Iniciales'!$E$34:$O$64,LD$158,FALSE())*LD98</f>
        <v>0</v>
      </c>
      <c r="LE196" s="196" t="n">
        <f aca="false">VLOOKUP($KY$1,'Datos Iniciales'!$E$34:$O$64,LE$158,FALSE())*LE98</f>
        <v>0</v>
      </c>
      <c r="LF196" s="196" t="n">
        <f aca="false">VLOOKUP($KY$1,'Datos Iniciales'!$E$34:$O$64,LF$158,FALSE())*LF98</f>
        <v>0</v>
      </c>
      <c r="LG196" s="196" t="n">
        <f aca="false">VLOOKUP($KY$1,'Datos Iniciales'!$E$34:$O$64,LG$158,FALSE())*LG98</f>
        <v>0</v>
      </c>
      <c r="LH196" s="196" t="n">
        <f aca="false">VLOOKUP($KY$1,'Datos Iniciales'!$E$34:$O$64,LH$158,FALSE())*LH98</f>
        <v>0</v>
      </c>
      <c r="LI196" s="197" t="n">
        <f aca="false">VLOOKUP($KY$1,'Datos Iniciales'!$E$34:$O$64,LI$158,FALSE())*LI98</f>
        <v>0</v>
      </c>
      <c r="LJ196" s="194" t="str">
        <f aca="false">KY196</f>
        <v>Alumno37</v>
      </c>
      <c r="LK196" s="208" t="n">
        <f aca="false">VLOOKUP($LJ$1,'Datos Iniciales'!$E$34:$O$64,LK$158,FALSE())*LK98</f>
        <v>0</v>
      </c>
      <c r="LL196" s="196" t="n">
        <f aca="false">VLOOKUP($LJ$1,'Datos Iniciales'!$E$34:$O$64,LL$158,FALSE())*LL98</f>
        <v>0</v>
      </c>
      <c r="LM196" s="196" t="n">
        <f aca="false">VLOOKUP($LJ$1,'Datos Iniciales'!$E$34:$O$64,LM$158,FALSE())*LM98</f>
        <v>0</v>
      </c>
      <c r="LN196" s="196" t="n">
        <f aca="false">VLOOKUP($LJ$1,'Datos Iniciales'!$E$34:$O$64,LN$158,FALSE())*LN98</f>
        <v>0</v>
      </c>
      <c r="LO196" s="196" t="n">
        <f aca="false">VLOOKUP($LJ$1,'Datos Iniciales'!$E$34:$O$64,LO$158,FALSE())*LO98</f>
        <v>0</v>
      </c>
      <c r="LP196" s="196" t="n">
        <f aca="false">VLOOKUP($LJ$1,'Datos Iniciales'!$E$34:$O$64,LP$158,FALSE())*LP98</f>
        <v>0</v>
      </c>
      <c r="LQ196" s="196" t="n">
        <f aca="false">VLOOKUP($LJ$1,'Datos Iniciales'!$E$34:$O$64,LQ$158,FALSE())*LQ98</f>
        <v>0</v>
      </c>
      <c r="LR196" s="196" t="n">
        <f aca="false">VLOOKUP($LJ$1,'Datos Iniciales'!$E$34:$O$64,LR$158,FALSE())*LR98</f>
        <v>0</v>
      </c>
      <c r="LS196" s="196" t="n">
        <f aca="false">VLOOKUP($LJ$1,'Datos Iniciales'!$E$34:$O$64,LS$158,FALSE())*LS98</f>
        <v>0</v>
      </c>
      <c r="LT196" s="197" t="n">
        <f aca="false">VLOOKUP($LJ$1,'Datos Iniciales'!$E$34:$O$64,LT$158,FALSE())*LT98</f>
        <v>0</v>
      </c>
    </row>
    <row r="197" customFormat="false" ht="15" hidden="true" customHeight="false" outlineLevel="0" collapsed="false">
      <c r="C197" s="194" t="str">
        <f aca="false">C148</f>
        <v>Alumno38</v>
      </c>
      <c r="D197" s="208" t="n">
        <f aca="false">VLOOKUP($C$1,'Datos Iniciales'!$E$34:$O$64,D$158,FALSE())*D99</f>
        <v>0</v>
      </c>
      <c r="E197" s="196" t="n">
        <f aca="false">VLOOKUP($C$1,'Datos Iniciales'!$E$34:$O$64,E$158,FALSE())*E99</f>
        <v>0</v>
      </c>
      <c r="F197" s="196" t="n">
        <f aca="false">VLOOKUP($C$1,'Datos Iniciales'!$E$34:$O$64,F$158,FALSE())*F99</f>
        <v>0</v>
      </c>
      <c r="G197" s="196" t="n">
        <f aca="false">VLOOKUP($C$1,'Datos Iniciales'!$E$34:$O$64,G$158,FALSE())*G99</f>
        <v>0</v>
      </c>
      <c r="H197" s="196" t="n">
        <f aca="false">VLOOKUP($C$1,'Datos Iniciales'!$E$34:$O$64,H$158,FALSE())*H99</f>
        <v>0</v>
      </c>
      <c r="I197" s="196" t="n">
        <f aca="false">VLOOKUP($C$1,'Datos Iniciales'!$E$34:$O$64,I$158,FALSE())*I99</f>
        <v>0</v>
      </c>
      <c r="J197" s="196" t="n">
        <f aca="false">VLOOKUP($C$1,'Datos Iniciales'!$E$34:$O$64,J$158,FALSE())*J99</f>
        <v>0</v>
      </c>
      <c r="K197" s="196" t="n">
        <f aca="false">VLOOKUP($C$1,'Datos Iniciales'!$E$34:$O$64,K$158,FALSE())*K99</f>
        <v>0</v>
      </c>
      <c r="L197" s="196" t="n">
        <f aca="false">VLOOKUP($C$1,'Datos Iniciales'!$E$34:$O$64,L$158,FALSE())*L99</f>
        <v>0</v>
      </c>
      <c r="M197" s="197" t="n">
        <f aca="false">VLOOKUP($C$1,'Datos Iniciales'!$E$34:$O$64,M$158,FALSE())*M99</f>
        <v>0</v>
      </c>
      <c r="N197" s="194" t="str">
        <f aca="false">C197</f>
        <v>Alumno38</v>
      </c>
      <c r="O197" s="208" t="n">
        <f aca="false">VLOOKUP($N$1,'Datos Iniciales'!$E$34:$O$64,O$158,FALSE())*O99</f>
        <v>0</v>
      </c>
      <c r="P197" s="196" t="n">
        <f aca="false">VLOOKUP($N$1,'Datos Iniciales'!$E$34:$O$64,P$158,FALSE())*P99</f>
        <v>0</v>
      </c>
      <c r="Q197" s="196" t="n">
        <f aca="false">VLOOKUP($N$1,'Datos Iniciales'!$E$34:$O$64,Q$158,FALSE())*Q99</f>
        <v>0</v>
      </c>
      <c r="R197" s="196" t="n">
        <f aca="false">VLOOKUP($N$1,'Datos Iniciales'!$E$34:$O$64,R$158,FALSE())*R99</f>
        <v>0</v>
      </c>
      <c r="S197" s="196" t="n">
        <f aca="false">VLOOKUP($N$1,'Datos Iniciales'!$E$34:$O$64,S$158,FALSE())*S99</f>
        <v>0</v>
      </c>
      <c r="T197" s="196" t="n">
        <f aca="false">VLOOKUP($N$1,'Datos Iniciales'!$E$34:$O$64,T$158,FALSE())*T99</f>
        <v>0</v>
      </c>
      <c r="U197" s="196" t="n">
        <f aca="false">VLOOKUP($N$1,'Datos Iniciales'!$E$34:$O$64,U$158,FALSE())*U99</f>
        <v>0</v>
      </c>
      <c r="V197" s="196" t="n">
        <f aca="false">VLOOKUP($N$1,'Datos Iniciales'!$E$34:$O$64,V$158,FALSE())*V99</f>
        <v>0</v>
      </c>
      <c r="W197" s="196" t="n">
        <f aca="false">VLOOKUP($N$1,'Datos Iniciales'!$E$34:$O$64,W$158,FALSE())*W99</f>
        <v>0</v>
      </c>
      <c r="X197" s="197" t="n">
        <f aca="false">VLOOKUP($N$1,'Datos Iniciales'!$E$34:$O$64,X$158,FALSE())*X99</f>
        <v>0</v>
      </c>
      <c r="Y197" s="194" t="str">
        <f aca="false">N197</f>
        <v>Alumno38</v>
      </c>
      <c r="Z197" s="208" t="n">
        <f aca="false">VLOOKUP($Y$1,'Datos Iniciales'!$E$34:$O$64,Z$158,FALSE())*Z99</f>
        <v>0</v>
      </c>
      <c r="AA197" s="196" t="n">
        <f aca="false">VLOOKUP($Y$1,'Datos Iniciales'!$E$34:$O$64,AA$158,FALSE())*AA99</f>
        <v>0</v>
      </c>
      <c r="AB197" s="196" t="n">
        <f aca="false">VLOOKUP($Y$1,'Datos Iniciales'!$E$34:$O$64,AB$158,FALSE())*AB99</f>
        <v>0</v>
      </c>
      <c r="AC197" s="196" t="n">
        <f aca="false">VLOOKUP($Y$1,'Datos Iniciales'!$E$34:$O$64,AC$158,FALSE())*AC99</f>
        <v>0</v>
      </c>
      <c r="AD197" s="196" t="n">
        <f aca="false">VLOOKUP($Y$1,'Datos Iniciales'!$E$34:$O$64,AD$158,FALSE())*AD99</f>
        <v>0</v>
      </c>
      <c r="AE197" s="196" t="n">
        <f aca="false">VLOOKUP($Y$1,'Datos Iniciales'!$E$34:$O$64,AE$158,FALSE())*AE99</f>
        <v>0</v>
      </c>
      <c r="AF197" s="196" t="n">
        <f aca="false">VLOOKUP($Y$1,'Datos Iniciales'!$E$34:$O$64,AF$158,FALSE())*AF99</f>
        <v>0</v>
      </c>
      <c r="AG197" s="196" t="n">
        <f aca="false">VLOOKUP($Y$1,'Datos Iniciales'!$E$34:$O$64,AG$158,FALSE())*AG99</f>
        <v>0</v>
      </c>
      <c r="AH197" s="196" t="n">
        <f aca="false">VLOOKUP($Y$1,'Datos Iniciales'!$E$34:$O$64,AH$158,FALSE())*AH99</f>
        <v>0</v>
      </c>
      <c r="AI197" s="197" t="n">
        <f aca="false">VLOOKUP($Y$1,'Datos Iniciales'!$E$34:$O$64,AI$158,FALSE())*AI99</f>
        <v>0</v>
      </c>
      <c r="AJ197" s="194" t="str">
        <f aca="false">Y197</f>
        <v>Alumno38</v>
      </c>
      <c r="AK197" s="208" t="n">
        <f aca="false">VLOOKUP($AJ$1,'Datos Iniciales'!$E$34:$O$64,AK$158,FALSE())*AK99</f>
        <v>0</v>
      </c>
      <c r="AL197" s="196" t="n">
        <f aca="false">VLOOKUP($AJ$1,'Datos Iniciales'!$E$34:$O$64,AL$158,FALSE())*AL99</f>
        <v>0</v>
      </c>
      <c r="AM197" s="196" t="n">
        <f aca="false">VLOOKUP($AJ$1,'Datos Iniciales'!$E$34:$O$64,AM$158,FALSE())*AM99</f>
        <v>0</v>
      </c>
      <c r="AN197" s="196" t="n">
        <f aca="false">VLOOKUP($AJ$1,'Datos Iniciales'!$E$34:$O$64,AN$158,FALSE())*AN99</f>
        <v>0</v>
      </c>
      <c r="AO197" s="196" t="n">
        <f aca="false">VLOOKUP($AJ$1,'Datos Iniciales'!$E$34:$O$64,AO$158,FALSE())*AO99</f>
        <v>0</v>
      </c>
      <c r="AP197" s="196" t="n">
        <f aca="false">VLOOKUP($AJ$1,'Datos Iniciales'!$E$34:$O$64,AP$158,FALSE())*AP99</f>
        <v>0</v>
      </c>
      <c r="AQ197" s="196" t="n">
        <f aca="false">VLOOKUP($AJ$1,'Datos Iniciales'!$E$34:$O$64,AQ$158,FALSE())*AQ99</f>
        <v>0</v>
      </c>
      <c r="AR197" s="196" t="n">
        <f aca="false">VLOOKUP($AJ$1,'Datos Iniciales'!$E$34:$O$64,AR$158,FALSE())*AR99</f>
        <v>0</v>
      </c>
      <c r="AS197" s="196" t="n">
        <f aca="false">VLOOKUP($AJ$1,'Datos Iniciales'!$E$34:$O$64,AS$158,FALSE())*AS99</f>
        <v>0</v>
      </c>
      <c r="AT197" s="197" t="n">
        <f aca="false">VLOOKUP($AJ$1,'Datos Iniciales'!$E$34:$O$64,AT$158,FALSE())*AT99</f>
        <v>0</v>
      </c>
      <c r="AU197" s="194" t="str">
        <f aca="false">AJ197</f>
        <v>Alumno38</v>
      </c>
      <c r="AV197" s="208" t="n">
        <f aca="false">VLOOKUP($AU$1,'Datos Iniciales'!$E$34:$O$64,AV$158,FALSE())*AV99</f>
        <v>0</v>
      </c>
      <c r="AW197" s="196" t="n">
        <f aca="false">VLOOKUP($AU$1,'Datos Iniciales'!$E$34:$O$64,AW$158,FALSE())*AW99</f>
        <v>0</v>
      </c>
      <c r="AX197" s="196" t="n">
        <f aca="false">VLOOKUP($AU$1,'Datos Iniciales'!$E$34:$O$64,AX$158,FALSE())*AX99</f>
        <v>0</v>
      </c>
      <c r="AY197" s="196" t="n">
        <f aca="false">VLOOKUP($AU$1,'Datos Iniciales'!$E$34:$O$64,AY$158,FALSE())*AY99</f>
        <v>0</v>
      </c>
      <c r="AZ197" s="196" t="n">
        <f aca="false">VLOOKUP($AU$1,'Datos Iniciales'!$E$34:$O$64,AZ$158,FALSE())*AZ99</f>
        <v>0</v>
      </c>
      <c r="BA197" s="196" t="n">
        <f aca="false">VLOOKUP($AU$1,'Datos Iniciales'!$E$34:$O$64,BA$158,FALSE())*BA99</f>
        <v>0</v>
      </c>
      <c r="BB197" s="196" t="n">
        <f aca="false">VLOOKUP($AU$1,'Datos Iniciales'!$E$34:$O$64,BB$158,FALSE())*BB99</f>
        <v>0</v>
      </c>
      <c r="BC197" s="196" t="n">
        <f aca="false">VLOOKUP($AU$1,'Datos Iniciales'!$E$34:$O$64,BC$158,FALSE())*BC99</f>
        <v>0</v>
      </c>
      <c r="BD197" s="196" t="n">
        <f aca="false">VLOOKUP($AU$1,'Datos Iniciales'!$E$34:$O$64,BD$158,FALSE())*BD99</f>
        <v>0</v>
      </c>
      <c r="BE197" s="197" t="n">
        <f aca="false">VLOOKUP($AU$1,'Datos Iniciales'!$E$34:$O$64,BE$158,FALSE())*BE99</f>
        <v>0</v>
      </c>
      <c r="BF197" s="194" t="str">
        <f aca="false">AU197</f>
        <v>Alumno38</v>
      </c>
      <c r="BG197" s="208" t="n">
        <f aca="false">VLOOKUP($BF$1,'Datos Iniciales'!$E$34:$O$64,BG$158,FALSE())*BG99</f>
        <v>0</v>
      </c>
      <c r="BH197" s="196" t="n">
        <f aca="false">VLOOKUP($BF$1,'Datos Iniciales'!$E$34:$O$64,BH$158,FALSE())*BH99</f>
        <v>0</v>
      </c>
      <c r="BI197" s="196" t="n">
        <f aca="false">VLOOKUP($BF$1,'Datos Iniciales'!$E$34:$O$64,BI$158,FALSE())*BI99</f>
        <v>0</v>
      </c>
      <c r="BJ197" s="196" t="n">
        <f aca="false">VLOOKUP($BF$1,'Datos Iniciales'!$E$34:$O$64,BJ$158,FALSE())*BJ99</f>
        <v>0</v>
      </c>
      <c r="BK197" s="196" t="n">
        <f aca="false">VLOOKUP($BF$1,'Datos Iniciales'!$E$34:$O$64,BK$158,FALSE())*BK99</f>
        <v>0</v>
      </c>
      <c r="BL197" s="196" t="n">
        <f aca="false">VLOOKUP($BF$1,'Datos Iniciales'!$E$34:$O$64,BL$158,FALSE())*BL99</f>
        <v>0</v>
      </c>
      <c r="BM197" s="196" t="n">
        <f aca="false">VLOOKUP($BF$1,'Datos Iniciales'!$E$34:$O$64,BM$158,FALSE())*BM99</f>
        <v>0</v>
      </c>
      <c r="BN197" s="196" t="n">
        <f aca="false">VLOOKUP($BF$1,'Datos Iniciales'!$E$34:$O$64,BN$158,FALSE())*BN99</f>
        <v>0</v>
      </c>
      <c r="BO197" s="196" t="n">
        <f aca="false">VLOOKUP($BF$1,'Datos Iniciales'!$E$34:$O$64,BO$158,FALSE())*BO99</f>
        <v>0</v>
      </c>
      <c r="BP197" s="197" t="n">
        <f aca="false">VLOOKUP($BF$1,'Datos Iniciales'!$E$34:$O$64,BP$158,FALSE())*BP99</f>
        <v>0</v>
      </c>
      <c r="BQ197" s="194" t="str">
        <f aca="false">BF197</f>
        <v>Alumno38</v>
      </c>
      <c r="BR197" s="208" t="n">
        <f aca="false">VLOOKUP($BQ$1,'Datos Iniciales'!$E$34:$O$64,BR$158,FALSE())*BR99</f>
        <v>0</v>
      </c>
      <c r="BS197" s="196" t="n">
        <f aca="false">VLOOKUP($BQ$1,'Datos Iniciales'!$E$34:$O$64,BS$158,FALSE())*BS99</f>
        <v>0</v>
      </c>
      <c r="BT197" s="196" t="n">
        <f aca="false">VLOOKUP($BQ$1,'Datos Iniciales'!$E$34:$O$64,BT$158,FALSE())*BT99</f>
        <v>0</v>
      </c>
      <c r="BU197" s="196" t="n">
        <f aca="false">VLOOKUP($BQ$1,'Datos Iniciales'!$E$34:$O$64,BU$158,FALSE())*BU99</f>
        <v>0</v>
      </c>
      <c r="BV197" s="196" t="n">
        <f aca="false">VLOOKUP($BQ$1,'Datos Iniciales'!$E$34:$O$64,BV$158,FALSE())*BV99</f>
        <v>0</v>
      </c>
      <c r="BW197" s="196" t="n">
        <f aca="false">VLOOKUP($BQ$1,'Datos Iniciales'!$E$34:$O$64,BW$158,FALSE())*BW99</f>
        <v>0</v>
      </c>
      <c r="BX197" s="196" t="n">
        <f aca="false">VLOOKUP($BQ$1,'Datos Iniciales'!$E$34:$O$64,BX$158,FALSE())*BX99</f>
        <v>0</v>
      </c>
      <c r="BY197" s="196" t="n">
        <f aca="false">VLOOKUP($BQ$1,'Datos Iniciales'!$E$34:$O$64,BY$158,FALSE())*BY99</f>
        <v>0</v>
      </c>
      <c r="BZ197" s="196" t="n">
        <f aca="false">VLOOKUP($BQ$1,'Datos Iniciales'!$E$34:$O$64,BZ$158,FALSE())*BZ99</f>
        <v>0</v>
      </c>
      <c r="CA197" s="197" t="n">
        <f aca="false">VLOOKUP($BQ$1,'Datos Iniciales'!$E$34:$O$64,CA$158,FALSE())*CA99</f>
        <v>0</v>
      </c>
      <c r="CB197" s="194" t="str">
        <f aca="false">BQ197</f>
        <v>Alumno38</v>
      </c>
      <c r="CC197" s="208" t="n">
        <f aca="false">VLOOKUP($CB$1,'Datos Iniciales'!$E$34:$O$64,CC$158,FALSE())*CC99</f>
        <v>0</v>
      </c>
      <c r="CD197" s="196" t="n">
        <f aca="false">VLOOKUP($CB$1,'Datos Iniciales'!$E$34:$O$64,CD$158,FALSE())*CD99</f>
        <v>0</v>
      </c>
      <c r="CE197" s="196" t="n">
        <f aca="false">VLOOKUP($CB$1,'Datos Iniciales'!$E$34:$O$64,CE$158,FALSE())*CE99</f>
        <v>0</v>
      </c>
      <c r="CF197" s="196" t="n">
        <f aca="false">VLOOKUP($CB$1,'Datos Iniciales'!$E$34:$O$64,CF$158,FALSE())*CF99</f>
        <v>0</v>
      </c>
      <c r="CG197" s="196" t="n">
        <f aca="false">VLOOKUP($CB$1,'Datos Iniciales'!$E$34:$O$64,CG$158,FALSE())*CG99</f>
        <v>0</v>
      </c>
      <c r="CH197" s="196" t="n">
        <f aca="false">VLOOKUP($CB$1,'Datos Iniciales'!$E$34:$O$64,CH$158,FALSE())*CH99</f>
        <v>0</v>
      </c>
      <c r="CI197" s="196" t="n">
        <f aca="false">VLOOKUP($CB$1,'Datos Iniciales'!$E$34:$O$64,CI$158,FALSE())*CI99</f>
        <v>0</v>
      </c>
      <c r="CJ197" s="196" t="n">
        <f aca="false">VLOOKUP($CB$1,'Datos Iniciales'!$E$34:$O$64,CJ$158,FALSE())*CJ99</f>
        <v>0</v>
      </c>
      <c r="CK197" s="196" t="n">
        <f aca="false">VLOOKUP($CB$1,'Datos Iniciales'!$E$34:$O$64,CK$158,FALSE())*CK99</f>
        <v>0</v>
      </c>
      <c r="CL197" s="197" t="n">
        <f aca="false">VLOOKUP($CB$1,'Datos Iniciales'!$E$34:$O$64,CL$158,FALSE())*CL99</f>
        <v>0</v>
      </c>
      <c r="CM197" s="194" t="str">
        <f aca="false">CB197</f>
        <v>Alumno38</v>
      </c>
      <c r="CN197" s="208" t="n">
        <f aca="false">VLOOKUP($CM$1,'Datos Iniciales'!$E$34:$O$64,CN$158,FALSE())*CN99</f>
        <v>0</v>
      </c>
      <c r="CO197" s="196" t="n">
        <f aca="false">VLOOKUP($CM$1,'Datos Iniciales'!$E$34:$O$64,CO$158,FALSE())*CO99</f>
        <v>0</v>
      </c>
      <c r="CP197" s="196" t="n">
        <f aca="false">VLOOKUP($CM$1,'Datos Iniciales'!$E$34:$O$64,CP$158,FALSE())*CP99</f>
        <v>0</v>
      </c>
      <c r="CQ197" s="196" t="n">
        <f aca="false">VLOOKUP($CM$1,'Datos Iniciales'!$E$34:$O$64,CQ$158,FALSE())*CQ99</f>
        <v>0</v>
      </c>
      <c r="CR197" s="196" t="n">
        <f aca="false">VLOOKUP($CM$1,'Datos Iniciales'!$E$34:$O$64,CR$158,FALSE())*CR99</f>
        <v>0</v>
      </c>
      <c r="CS197" s="196" t="n">
        <f aca="false">VLOOKUP($CM$1,'Datos Iniciales'!$E$34:$O$64,CS$158,FALSE())*CS99</f>
        <v>0</v>
      </c>
      <c r="CT197" s="196" t="n">
        <f aca="false">VLOOKUP($CM$1,'Datos Iniciales'!$E$34:$O$64,CT$158,FALSE())*CT99</f>
        <v>0</v>
      </c>
      <c r="CU197" s="196" t="n">
        <f aca="false">VLOOKUP($CM$1,'Datos Iniciales'!$E$34:$O$64,CU$158,FALSE())*CU99</f>
        <v>0</v>
      </c>
      <c r="CV197" s="196" t="n">
        <f aca="false">VLOOKUP($CM$1,'Datos Iniciales'!$E$34:$O$64,CV$158,FALSE())*CV99</f>
        <v>0</v>
      </c>
      <c r="CW197" s="197" t="n">
        <f aca="false">VLOOKUP($CM$1,'Datos Iniciales'!$E$34:$O$64,CW$158,FALSE())*CW99</f>
        <v>0</v>
      </c>
      <c r="CX197" s="194" t="str">
        <f aca="false">CM197</f>
        <v>Alumno38</v>
      </c>
      <c r="CY197" s="208" t="n">
        <f aca="false">VLOOKUP($CX$1,'Datos Iniciales'!$E$34:$O$64,CY$158,FALSE())*CY99</f>
        <v>0</v>
      </c>
      <c r="CZ197" s="196" t="n">
        <f aca="false">VLOOKUP($CX$1,'Datos Iniciales'!$E$34:$O$64,CZ$158,FALSE())*CZ99</f>
        <v>0</v>
      </c>
      <c r="DA197" s="196" t="n">
        <f aca="false">VLOOKUP($CX$1,'Datos Iniciales'!$E$34:$O$64,DA$158,FALSE())*DA99</f>
        <v>0</v>
      </c>
      <c r="DB197" s="196" t="n">
        <f aca="false">VLOOKUP($CX$1,'Datos Iniciales'!$E$34:$O$64,DB$158,FALSE())*DB99</f>
        <v>0</v>
      </c>
      <c r="DC197" s="196" t="n">
        <f aca="false">VLOOKUP($CX$1,'Datos Iniciales'!$E$34:$O$64,DC$158,FALSE())*DC99</f>
        <v>0</v>
      </c>
      <c r="DD197" s="196" t="n">
        <f aca="false">VLOOKUP($CX$1,'Datos Iniciales'!$E$34:$O$64,DD$158,FALSE())*DD99</f>
        <v>0</v>
      </c>
      <c r="DE197" s="196" t="n">
        <f aca="false">VLOOKUP($CX$1,'Datos Iniciales'!$E$34:$O$64,DE$158,FALSE())*DE99</f>
        <v>0</v>
      </c>
      <c r="DF197" s="196" t="n">
        <f aca="false">VLOOKUP($CX$1,'Datos Iniciales'!$E$34:$O$64,DF$158,FALSE())*DF99</f>
        <v>0</v>
      </c>
      <c r="DG197" s="196" t="n">
        <f aca="false">VLOOKUP($CX$1,'Datos Iniciales'!$E$34:$O$64,DG$158,FALSE())*DG99</f>
        <v>0</v>
      </c>
      <c r="DH197" s="197" t="n">
        <f aca="false">VLOOKUP($CX$1,'Datos Iniciales'!$E$34:$O$64,DH$158,FALSE())*DH99</f>
        <v>0</v>
      </c>
      <c r="DI197" s="194" t="str">
        <f aca="false">CX197</f>
        <v>Alumno38</v>
      </c>
      <c r="DJ197" s="208" t="n">
        <f aca="false">VLOOKUP($DI$1,'Datos Iniciales'!$E$34:$O$64,DJ$158,FALSE())*DJ99</f>
        <v>0</v>
      </c>
      <c r="DK197" s="196" t="n">
        <f aca="false">VLOOKUP($DI$1,'Datos Iniciales'!$E$34:$O$64,DK$158,FALSE())*DK99</f>
        <v>0</v>
      </c>
      <c r="DL197" s="196" t="n">
        <f aca="false">VLOOKUP($DI$1,'Datos Iniciales'!$E$34:$O$64,DL$158,FALSE())*DL99</f>
        <v>0</v>
      </c>
      <c r="DM197" s="196" t="n">
        <f aca="false">VLOOKUP($DI$1,'Datos Iniciales'!$E$34:$O$64,DM$158,FALSE())*DM99</f>
        <v>0</v>
      </c>
      <c r="DN197" s="196" t="n">
        <f aca="false">VLOOKUP($DI$1,'Datos Iniciales'!$E$34:$O$64,DN$158,FALSE())*DN99</f>
        <v>0</v>
      </c>
      <c r="DO197" s="196" t="n">
        <f aca="false">VLOOKUP($DI$1,'Datos Iniciales'!$E$34:$O$64,DO$158,FALSE())*DO99</f>
        <v>0</v>
      </c>
      <c r="DP197" s="196" t="n">
        <f aca="false">VLOOKUP($DI$1,'Datos Iniciales'!$E$34:$O$64,DP$158,FALSE())*DP99</f>
        <v>0</v>
      </c>
      <c r="DQ197" s="196" t="n">
        <f aca="false">VLOOKUP($DI$1,'Datos Iniciales'!$E$34:$O$64,DQ$158,FALSE())*DQ99</f>
        <v>0</v>
      </c>
      <c r="DR197" s="196" t="n">
        <f aca="false">VLOOKUP($DI$1,'Datos Iniciales'!$E$34:$O$64,DR$158,FALSE())*DR99</f>
        <v>0</v>
      </c>
      <c r="DS197" s="197" t="n">
        <f aca="false">VLOOKUP($DI$1,'Datos Iniciales'!$E$34:$O$64,DS$158,FALSE())*DS99</f>
        <v>0</v>
      </c>
      <c r="DT197" s="194" t="str">
        <f aca="false">DI197</f>
        <v>Alumno38</v>
      </c>
      <c r="DU197" s="208" t="n">
        <f aca="false">VLOOKUP($DT$1,'Datos Iniciales'!$E$34:$O$64,DU$158,FALSE())*DU99</f>
        <v>0</v>
      </c>
      <c r="DV197" s="196" t="n">
        <f aca="false">VLOOKUP($DT$1,'Datos Iniciales'!$E$34:$O$64,DV$158,FALSE())*DV99</f>
        <v>0</v>
      </c>
      <c r="DW197" s="196" t="n">
        <f aca="false">VLOOKUP($DT$1,'Datos Iniciales'!$E$34:$O$64,DW$158,FALSE())*DW99</f>
        <v>0</v>
      </c>
      <c r="DX197" s="196" t="n">
        <f aca="false">VLOOKUP($DT$1,'Datos Iniciales'!$E$34:$O$64,DX$158,FALSE())*DX99</f>
        <v>0</v>
      </c>
      <c r="DY197" s="196" t="n">
        <f aca="false">VLOOKUP($DT$1,'Datos Iniciales'!$E$34:$O$64,DY$158,FALSE())*DY99</f>
        <v>0</v>
      </c>
      <c r="DZ197" s="196" t="n">
        <f aca="false">VLOOKUP($DT$1,'Datos Iniciales'!$E$34:$O$64,DZ$158,FALSE())*DZ99</f>
        <v>0</v>
      </c>
      <c r="EA197" s="196" t="n">
        <f aca="false">VLOOKUP($DT$1,'Datos Iniciales'!$E$34:$O$64,EA$158,FALSE())*EA99</f>
        <v>0</v>
      </c>
      <c r="EB197" s="196" t="n">
        <f aca="false">VLOOKUP($DT$1,'Datos Iniciales'!$E$34:$O$64,EB$158,FALSE())*EB99</f>
        <v>0</v>
      </c>
      <c r="EC197" s="196" t="n">
        <f aca="false">VLOOKUP($DT$1,'Datos Iniciales'!$E$34:$O$64,EC$158,FALSE())*EC99</f>
        <v>0</v>
      </c>
      <c r="ED197" s="197" t="n">
        <f aca="false">VLOOKUP($DT$1,'Datos Iniciales'!$E$34:$O$64,ED$158,FALSE())*ED99</f>
        <v>0</v>
      </c>
      <c r="EE197" s="194" t="str">
        <f aca="false">DT197</f>
        <v>Alumno38</v>
      </c>
      <c r="EF197" s="208" t="n">
        <f aca="false">VLOOKUP($EE$1,'Datos Iniciales'!$E$34:$O$64,EF$158,FALSE())*EF99</f>
        <v>0</v>
      </c>
      <c r="EG197" s="196" t="n">
        <f aca="false">VLOOKUP($EE$1,'Datos Iniciales'!$E$34:$O$64,EG$158,FALSE())*EG99</f>
        <v>0</v>
      </c>
      <c r="EH197" s="196" t="n">
        <f aca="false">VLOOKUP($EE$1,'Datos Iniciales'!$E$34:$O$64,EH$158,FALSE())*EH99</f>
        <v>0</v>
      </c>
      <c r="EI197" s="196" t="n">
        <f aca="false">VLOOKUP($EE$1,'Datos Iniciales'!$E$34:$O$64,EI$158,FALSE())*EI99</f>
        <v>0</v>
      </c>
      <c r="EJ197" s="196" t="n">
        <f aca="false">VLOOKUP($EE$1,'Datos Iniciales'!$E$34:$O$64,EJ$158,FALSE())*EJ99</f>
        <v>0</v>
      </c>
      <c r="EK197" s="196" t="n">
        <f aca="false">VLOOKUP($EE$1,'Datos Iniciales'!$E$34:$O$64,EK$158,FALSE())*EK99</f>
        <v>0</v>
      </c>
      <c r="EL197" s="196" t="n">
        <f aca="false">VLOOKUP($EE$1,'Datos Iniciales'!$E$34:$O$64,EL$158,FALSE())*EL99</f>
        <v>0</v>
      </c>
      <c r="EM197" s="196" t="n">
        <f aca="false">VLOOKUP($EE$1,'Datos Iniciales'!$E$34:$O$64,EM$158,FALSE())*EM99</f>
        <v>0</v>
      </c>
      <c r="EN197" s="196" t="n">
        <f aca="false">VLOOKUP($EE$1,'Datos Iniciales'!$E$34:$O$64,EN$158,FALSE())*EN99</f>
        <v>0</v>
      </c>
      <c r="EO197" s="197" t="n">
        <f aca="false">VLOOKUP($EE$1,'Datos Iniciales'!$E$34:$O$64,EO$158,FALSE())*EO99</f>
        <v>0</v>
      </c>
      <c r="EP197" s="194" t="str">
        <f aca="false">EE197</f>
        <v>Alumno38</v>
      </c>
      <c r="EQ197" s="208" t="n">
        <f aca="false">VLOOKUP($EP$1,'Datos Iniciales'!$E$34:$O$64,EQ$158,FALSE())*EQ99</f>
        <v>0</v>
      </c>
      <c r="ER197" s="196" t="n">
        <f aca="false">VLOOKUP($EP$1,'Datos Iniciales'!$E$34:$O$64,ER$158,FALSE())*ER99</f>
        <v>0</v>
      </c>
      <c r="ES197" s="196" t="n">
        <f aca="false">VLOOKUP($EP$1,'Datos Iniciales'!$E$34:$O$64,ES$158,FALSE())*ES99</f>
        <v>0</v>
      </c>
      <c r="ET197" s="196" t="n">
        <f aca="false">VLOOKUP($EP$1,'Datos Iniciales'!$E$34:$O$64,ET$158,FALSE())*ET99</f>
        <v>0</v>
      </c>
      <c r="EU197" s="196" t="n">
        <f aca="false">VLOOKUP($EP$1,'Datos Iniciales'!$E$34:$O$64,EU$158,FALSE())*EU99</f>
        <v>0</v>
      </c>
      <c r="EV197" s="196" t="n">
        <f aca="false">VLOOKUP($EP$1,'Datos Iniciales'!$E$34:$O$64,EV$158,FALSE())*EV99</f>
        <v>0</v>
      </c>
      <c r="EW197" s="196" t="n">
        <f aca="false">VLOOKUP($EP$1,'Datos Iniciales'!$E$34:$O$64,EW$158,FALSE())*EW99</f>
        <v>0</v>
      </c>
      <c r="EX197" s="196" t="n">
        <f aca="false">VLOOKUP($EP$1,'Datos Iniciales'!$E$34:$O$64,EX$158,FALSE())*EX99</f>
        <v>0</v>
      </c>
      <c r="EY197" s="196" t="n">
        <f aca="false">VLOOKUP($EP$1,'Datos Iniciales'!$E$34:$O$64,EY$158,FALSE())*EY99</f>
        <v>0</v>
      </c>
      <c r="EZ197" s="197" t="n">
        <f aca="false">VLOOKUP($EP$1,'Datos Iniciales'!$E$34:$O$64,EZ$158,FALSE())*EZ99</f>
        <v>0</v>
      </c>
      <c r="FA197" s="194" t="str">
        <f aca="false">EP197</f>
        <v>Alumno38</v>
      </c>
      <c r="FB197" s="208" t="n">
        <f aca="false">VLOOKUP($FA$1,'Datos Iniciales'!$E$34:$O$64,FB$158,FALSE())*FB99</f>
        <v>0</v>
      </c>
      <c r="FC197" s="196" t="n">
        <f aca="false">VLOOKUP($FA$1,'Datos Iniciales'!$E$34:$O$64,FC$158,FALSE())*FC99</f>
        <v>0</v>
      </c>
      <c r="FD197" s="196" t="n">
        <f aca="false">VLOOKUP($FA$1,'Datos Iniciales'!$E$34:$O$64,FD$158,FALSE())*FD99</f>
        <v>0</v>
      </c>
      <c r="FE197" s="196" t="n">
        <f aca="false">VLOOKUP($FA$1,'Datos Iniciales'!$E$34:$O$64,FE$158,FALSE())*FE99</f>
        <v>0</v>
      </c>
      <c r="FF197" s="196" t="n">
        <f aca="false">VLOOKUP($FA$1,'Datos Iniciales'!$E$34:$O$64,FF$158,FALSE())*FF99</f>
        <v>0</v>
      </c>
      <c r="FG197" s="196" t="n">
        <f aca="false">VLOOKUP($FA$1,'Datos Iniciales'!$E$34:$O$64,FG$158,FALSE())*FG99</f>
        <v>0</v>
      </c>
      <c r="FH197" s="196" t="n">
        <f aca="false">VLOOKUP($FA$1,'Datos Iniciales'!$E$34:$O$64,FH$158,FALSE())*FH99</f>
        <v>0</v>
      </c>
      <c r="FI197" s="196" t="n">
        <f aca="false">VLOOKUP($FA$1,'Datos Iniciales'!$E$34:$O$64,FI$158,FALSE())*FI99</f>
        <v>0</v>
      </c>
      <c r="FJ197" s="196" t="n">
        <f aca="false">VLOOKUP($FA$1,'Datos Iniciales'!$E$34:$O$64,FJ$158,FALSE())*FJ99</f>
        <v>0</v>
      </c>
      <c r="FK197" s="197" t="n">
        <f aca="false">VLOOKUP($FA$1,'Datos Iniciales'!$E$34:$O$64,FK$158,FALSE())*FK99</f>
        <v>0</v>
      </c>
      <c r="FL197" s="194" t="str">
        <f aca="false">FA197</f>
        <v>Alumno38</v>
      </c>
      <c r="FM197" s="208" t="n">
        <f aca="false">VLOOKUP($FL$1,'Datos Iniciales'!$E$34:$O$64,FM$158,FALSE())*FM99</f>
        <v>0</v>
      </c>
      <c r="FN197" s="196" t="n">
        <f aca="false">VLOOKUP($FL$1,'Datos Iniciales'!$E$34:$O$64,FN$158,FALSE())*FN99</f>
        <v>0</v>
      </c>
      <c r="FO197" s="196" t="n">
        <f aca="false">VLOOKUP($FL$1,'Datos Iniciales'!$E$34:$O$64,FO$158,FALSE())*FO99</f>
        <v>0</v>
      </c>
      <c r="FP197" s="196" t="n">
        <f aca="false">VLOOKUP($FL$1,'Datos Iniciales'!$E$34:$O$64,FP$158,FALSE())*FP99</f>
        <v>0</v>
      </c>
      <c r="FQ197" s="196" t="n">
        <f aca="false">VLOOKUP($FL$1,'Datos Iniciales'!$E$34:$O$64,FQ$158,FALSE())*FQ99</f>
        <v>0</v>
      </c>
      <c r="FR197" s="196" t="n">
        <f aca="false">VLOOKUP($FL$1,'Datos Iniciales'!$E$34:$O$64,FR$158,FALSE())*FR99</f>
        <v>0</v>
      </c>
      <c r="FS197" s="196" t="n">
        <f aca="false">VLOOKUP($FL$1,'Datos Iniciales'!$E$34:$O$64,FS$158,FALSE())*FS99</f>
        <v>0</v>
      </c>
      <c r="FT197" s="196" t="n">
        <f aca="false">VLOOKUP($FL$1,'Datos Iniciales'!$E$34:$O$64,FT$158,FALSE())*FT99</f>
        <v>0</v>
      </c>
      <c r="FU197" s="196" t="n">
        <f aca="false">VLOOKUP($FL$1,'Datos Iniciales'!$E$34:$O$64,FU$158,FALSE())*FU99</f>
        <v>0</v>
      </c>
      <c r="FV197" s="197" t="n">
        <f aca="false">VLOOKUP($FL$1,'Datos Iniciales'!$E$34:$O$64,FV$158,FALSE())*FV99</f>
        <v>0</v>
      </c>
      <c r="FW197" s="194" t="str">
        <f aca="false">FL197</f>
        <v>Alumno38</v>
      </c>
      <c r="FX197" s="208" t="n">
        <f aca="false">VLOOKUP($FW$1,'Datos Iniciales'!$E$34:$O$64,FX$158,FALSE())*FX99</f>
        <v>0</v>
      </c>
      <c r="FY197" s="196" t="n">
        <f aca="false">VLOOKUP($FW$1,'Datos Iniciales'!$E$34:$O$64,FY$158,FALSE())*FY99</f>
        <v>0</v>
      </c>
      <c r="FZ197" s="196" t="n">
        <f aca="false">VLOOKUP($FW$1,'Datos Iniciales'!$E$34:$O$64,FZ$158,FALSE())*FZ99</f>
        <v>0</v>
      </c>
      <c r="GA197" s="196" t="n">
        <f aca="false">VLOOKUP($FW$1,'Datos Iniciales'!$E$34:$O$64,GA$158,FALSE())*GA99</f>
        <v>0</v>
      </c>
      <c r="GB197" s="196" t="n">
        <f aca="false">VLOOKUP($FW$1,'Datos Iniciales'!$E$34:$O$64,GB$158,FALSE())*GB99</f>
        <v>0</v>
      </c>
      <c r="GC197" s="196" t="n">
        <f aca="false">VLOOKUP($FW$1,'Datos Iniciales'!$E$34:$O$64,GC$158,FALSE())*GC99</f>
        <v>0</v>
      </c>
      <c r="GD197" s="196" t="n">
        <f aca="false">VLOOKUP($FW$1,'Datos Iniciales'!$E$34:$O$64,GD$158,FALSE())*GD99</f>
        <v>0</v>
      </c>
      <c r="GE197" s="196" t="n">
        <f aca="false">VLOOKUP($FW$1,'Datos Iniciales'!$E$34:$O$64,GE$158,FALSE())*GE99</f>
        <v>0</v>
      </c>
      <c r="GF197" s="196" t="n">
        <f aca="false">VLOOKUP($FW$1,'Datos Iniciales'!$E$34:$O$64,GF$158,FALSE())*GF99</f>
        <v>0</v>
      </c>
      <c r="GG197" s="197" t="n">
        <f aca="false">VLOOKUP($FW$1,'Datos Iniciales'!$E$34:$O$64,GG$158,FALSE())*GG99</f>
        <v>0</v>
      </c>
      <c r="GH197" s="194" t="str">
        <f aca="false">FW197</f>
        <v>Alumno38</v>
      </c>
      <c r="GI197" s="208" t="n">
        <f aca="false">VLOOKUP($GH$1,'Datos Iniciales'!$E$34:$O$64,GI$158,FALSE())*GI99</f>
        <v>0</v>
      </c>
      <c r="GJ197" s="196" t="n">
        <f aca="false">VLOOKUP($GH$1,'Datos Iniciales'!$E$34:$O$64,GJ$158,FALSE())*GJ99</f>
        <v>0</v>
      </c>
      <c r="GK197" s="196" t="n">
        <f aca="false">VLOOKUP($GH$1,'Datos Iniciales'!$E$34:$O$64,GK$158,FALSE())*GK99</f>
        <v>0</v>
      </c>
      <c r="GL197" s="196" t="n">
        <f aca="false">VLOOKUP($GH$1,'Datos Iniciales'!$E$34:$O$64,GL$158,FALSE())*GL99</f>
        <v>0</v>
      </c>
      <c r="GM197" s="196" t="n">
        <f aca="false">VLOOKUP($GH$1,'Datos Iniciales'!$E$34:$O$64,GM$158,FALSE())*GM99</f>
        <v>0</v>
      </c>
      <c r="GN197" s="196" t="n">
        <f aca="false">VLOOKUP($GH$1,'Datos Iniciales'!$E$34:$O$64,GN$158,FALSE())*GN99</f>
        <v>0</v>
      </c>
      <c r="GO197" s="196" t="n">
        <f aca="false">VLOOKUP($GH$1,'Datos Iniciales'!$E$34:$O$64,GO$158,FALSE())*GO99</f>
        <v>0</v>
      </c>
      <c r="GP197" s="196" t="n">
        <f aca="false">VLOOKUP($GH$1,'Datos Iniciales'!$E$34:$O$64,GP$158,FALSE())*GP99</f>
        <v>0</v>
      </c>
      <c r="GQ197" s="196" t="n">
        <f aca="false">VLOOKUP($GH$1,'Datos Iniciales'!$E$34:$O$64,GQ$158,FALSE())*GQ99</f>
        <v>0</v>
      </c>
      <c r="GR197" s="197" t="n">
        <f aca="false">VLOOKUP($GH$1,'Datos Iniciales'!$E$34:$O$64,GR$158,FALSE())*GR99</f>
        <v>0</v>
      </c>
      <c r="GS197" s="194" t="str">
        <f aca="false">GH197</f>
        <v>Alumno38</v>
      </c>
      <c r="GT197" s="208" t="n">
        <f aca="false">VLOOKUP($GS$1,'Datos Iniciales'!$E$34:$O$64,GT$158,FALSE())*GT99</f>
        <v>0</v>
      </c>
      <c r="GU197" s="196" t="n">
        <f aca="false">VLOOKUP($GS$1,'Datos Iniciales'!$E$34:$O$64,GU$158,FALSE())*GU99</f>
        <v>0</v>
      </c>
      <c r="GV197" s="196" t="n">
        <f aca="false">VLOOKUP($GS$1,'Datos Iniciales'!$E$34:$O$64,GV$158,FALSE())*GV99</f>
        <v>0</v>
      </c>
      <c r="GW197" s="196" t="n">
        <f aca="false">VLOOKUP($GS$1,'Datos Iniciales'!$E$34:$O$64,GW$158,FALSE())*GW99</f>
        <v>0</v>
      </c>
      <c r="GX197" s="196" t="n">
        <f aca="false">VLOOKUP($GS$1,'Datos Iniciales'!$E$34:$O$64,GX$158,FALSE())*GX99</f>
        <v>0</v>
      </c>
      <c r="GY197" s="196" t="n">
        <f aca="false">VLOOKUP($GS$1,'Datos Iniciales'!$E$34:$O$64,GY$158,FALSE())*GY99</f>
        <v>0</v>
      </c>
      <c r="GZ197" s="196" t="n">
        <f aca="false">VLOOKUP($GS$1,'Datos Iniciales'!$E$34:$O$64,GZ$158,FALSE())*GZ99</f>
        <v>0</v>
      </c>
      <c r="HA197" s="196" t="n">
        <f aca="false">VLOOKUP($GS$1,'Datos Iniciales'!$E$34:$O$64,HA$158,FALSE())*HA99</f>
        <v>0</v>
      </c>
      <c r="HB197" s="196" t="n">
        <f aca="false">VLOOKUP($GS$1,'Datos Iniciales'!$E$34:$O$64,HB$158,FALSE())*HB99</f>
        <v>0</v>
      </c>
      <c r="HC197" s="197" t="n">
        <f aca="false">VLOOKUP($GS$1,'Datos Iniciales'!$E$34:$O$64,HC$158,FALSE())*HC99</f>
        <v>0</v>
      </c>
      <c r="HD197" s="194" t="str">
        <f aca="false">GS197</f>
        <v>Alumno38</v>
      </c>
      <c r="HE197" s="208" t="n">
        <f aca="false">VLOOKUP($HD$1,'Datos Iniciales'!$E$34:$O$64,HE$158,FALSE())*HE99</f>
        <v>0</v>
      </c>
      <c r="HF197" s="196" t="n">
        <f aca="false">VLOOKUP($HD$1,'Datos Iniciales'!$E$34:$O$64,HF$158,FALSE())*HF99</f>
        <v>0</v>
      </c>
      <c r="HG197" s="196" t="n">
        <f aca="false">VLOOKUP($HD$1,'Datos Iniciales'!$E$34:$O$64,HG$158,FALSE())*HG99</f>
        <v>0</v>
      </c>
      <c r="HH197" s="196" t="n">
        <f aca="false">VLOOKUP($HD$1,'Datos Iniciales'!$E$34:$O$64,HH$158,FALSE())*HH99</f>
        <v>0</v>
      </c>
      <c r="HI197" s="196" t="n">
        <f aca="false">VLOOKUP($HD$1,'Datos Iniciales'!$E$34:$O$64,HI$158,FALSE())*HI99</f>
        <v>0</v>
      </c>
      <c r="HJ197" s="196" t="n">
        <f aca="false">VLOOKUP($HD$1,'Datos Iniciales'!$E$34:$O$64,HJ$158,FALSE())*HJ99</f>
        <v>0</v>
      </c>
      <c r="HK197" s="196" t="n">
        <f aca="false">VLOOKUP($HD$1,'Datos Iniciales'!$E$34:$O$64,HK$158,FALSE())*HK99</f>
        <v>0</v>
      </c>
      <c r="HL197" s="196" t="n">
        <f aca="false">VLOOKUP($HD$1,'Datos Iniciales'!$E$34:$O$64,HL$158,FALSE())*HL99</f>
        <v>0</v>
      </c>
      <c r="HM197" s="196" t="n">
        <f aca="false">VLOOKUP($HD$1,'Datos Iniciales'!$E$34:$O$64,HM$158,FALSE())*HM99</f>
        <v>0</v>
      </c>
      <c r="HN197" s="197" t="n">
        <f aca="false">VLOOKUP($HD$1,'Datos Iniciales'!$E$34:$O$64,HN$158,FALSE())*HN99</f>
        <v>0</v>
      </c>
      <c r="HO197" s="194" t="str">
        <f aca="false">HD197</f>
        <v>Alumno38</v>
      </c>
      <c r="HP197" s="208" t="n">
        <f aca="false">VLOOKUP($HO$1,'Datos Iniciales'!$E$34:$O$64,HP$158,FALSE())*HP99</f>
        <v>0</v>
      </c>
      <c r="HQ197" s="196" t="n">
        <f aca="false">VLOOKUP($HO$1,'Datos Iniciales'!$E$34:$O$64,HQ$158,FALSE())*HQ99</f>
        <v>0</v>
      </c>
      <c r="HR197" s="196" t="n">
        <f aca="false">VLOOKUP($HO$1,'Datos Iniciales'!$E$34:$O$64,HR$158,FALSE())*HR99</f>
        <v>0</v>
      </c>
      <c r="HS197" s="196" t="n">
        <f aca="false">VLOOKUP($HO$1,'Datos Iniciales'!$E$34:$O$64,HS$158,FALSE())*HS99</f>
        <v>0</v>
      </c>
      <c r="HT197" s="196" t="n">
        <f aca="false">VLOOKUP($HO$1,'Datos Iniciales'!$E$34:$O$64,HT$158,FALSE())*HT99</f>
        <v>0</v>
      </c>
      <c r="HU197" s="196" t="n">
        <f aca="false">VLOOKUP($HO$1,'Datos Iniciales'!$E$34:$O$64,HU$158,FALSE())*HU99</f>
        <v>0</v>
      </c>
      <c r="HV197" s="196" t="n">
        <f aca="false">VLOOKUP($HO$1,'Datos Iniciales'!$E$34:$O$64,HV$158,FALSE())*HV99</f>
        <v>0</v>
      </c>
      <c r="HW197" s="196" t="n">
        <f aca="false">VLOOKUP($HO$1,'Datos Iniciales'!$E$34:$O$64,HW$158,FALSE())*HW99</f>
        <v>0</v>
      </c>
      <c r="HX197" s="196" t="n">
        <f aca="false">VLOOKUP($HO$1,'Datos Iniciales'!$E$34:$O$64,HX$158,FALSE())*HX99</f>
        <v>0</v>
      </c>
      <c r="HY197" s="197" t="n">
        <f aca="false">VLOOKUP($HO$1,'Datos Iniciales'!$E$34:$O$64,HY$158,FALSE())*HY99</f>
        <v>0</v>
      </c>
      <c r="HZ197" s="194" t="str">
        <f aca="false">HO197</f>
        <v>Alumno38</v>
      </c>
      <c r="IA197" s="208" t="n">
        <f aca="false">VLOOKUP($HZ$1,'Datos Iniciales'!$E$34:$O$64,IA$158,FALSE())*IA99</f>
        <v>0</v>
      </c>
      <c r="IB197" s="196" t="n">
        <f aca="false">VLOOKUP($HZ$1,'Datos Iniciales'!$E$34:$O$64,IB$158,FALSE())*IB99</f>
        <v>0</v>
      </c>
      <c r="IC197" s="196" t="n">
        <f aca="false">VLOOKUP($HZ$1,'Datos Iniciales'!$E$34:$O$64,IC$158,FALSE())*IC99</f>
        <v>0</v>
      </c>
      <c r="ID197" s="196" t="n">
        <f aca="false">VLOOKUP($HZ$1,'Datos Iniciales'!$E$34:$O$64,ID$158,FALSE())*ID99</f>
        <v>0</v>
      </c>
      <c r="IE197" s="196" t="n">
        <f aca="false">VLOOKUP($HZ$1,'Datos Iniciales'!$E$34:$O$64,IE$158,FALSE())*IE99</f>
        <v>0</v>
      </c>
      <c r="IF197" s="196" t="n">
        <f aca="false">VLOOKUP($HZ$1,'Datos Iniciales'!$E$34:$O$64,IF$158,FALSE())*IF99</f>
        <v>0</v>
      </c>
      <c r="IG197" s="196" t="n">
        <f aca="false">VLOOKUP($HZ$1,'Datos Iniciales'!$E$34:$O$64,IG$158,FALSE())*IG99</f>
        <v>0</v>
      </c>
      <c r="IH197" s="196" t="n">
        <f aca="false">VLOOKUP($HZ$1,'Datos Iniciales'!$E$34:$O$64,IH$158,FALSE())*IH99</f>
        <v>0</v>
      </c>
      <c r="II197" s="196" t="n">
        <f aca="false">VLOOKUP($HZ$1,'Datos Iniciales'!$E$34:$O$64,II$158,FALSE())*II99</f>
        <v>0</v>
      </c>
      <c r="IJ197" s="197" t="n">
        <f aca="false">VLOOKUP($HZ$1,'Datos Iniciales'!$E$34:$O$64,IJ$158,FALSE())*IJ99</f>
        <v>0</v>
      </c>
      <c r="IK197" s="194" t="str">
        <f aca="false">HZ197</f>
        <v>Alumno38</v>
      </c>
      <c r="IL197" s="208" t="n">
        <f aca="false">VLOOKUP($IK$1,'Datos Iniciales'!$E$34:$O$64,IL$158,FALSE())*IL99</f>
        <v>0</v>
      </c>
      <c r="IM197" s="196" t="n">
        <f aca="false">VLOOKUP($IK$1,'Datos Iniciales'!$E$34:$O$64,IM$158,FALSE())*IM99</f>
        <v>0</v>
      </c>
      <c r="IN197" s="196" t="n">
        <f aca="false">VLOOKUP($IK$1,'Datos Iniciales'!$E$34:$O$64,IN$158,FALSE())*IN99</f>
        <v>0</v>
      </c>
      <c r="IO197" s="196" t="n">
        <f aca="false">VLOOKUP($IK$1,'Datos Iniciales'!$E$34:$O$64,IO$158,FALSE())*IO99</f>
        <v>0</v>
      </c>
      <c r="IP197" s="196" t="n">
        <f aca="false">VLOOKUP($IK$1,'Datos Iniciales'!$E$34:$O$64,IP$158,FALSE())*IP99</f>
        <v>0</v>
      </c>
      <c r="IQ197" s="196" t="n">
        <f aca="false">VLOOKUP($IK$1,'Datos Iniciales'!$E$34:$O$64,IQ$158,FALSE())*IQ99</f>
        <v>0</v>
      </c>
      <c r="IR197" s="196" t="n">
        <f aca="false">VLOOKUP($IK$1,'Datos Iniciales'!$E$34:$O$64,IR$158,FALSE())*IR99</f>
        <v>0</v>
      </c>
      <c r="IS197" s="196" t="n">
        <f aca="false">VLOOKUP($IK$1,'Datos Iniciales'!$E$34:$O$64,IS$158,FALSE())*IS99</f>
        <v>0</v>
      </c>
      <c r="IT197" s="196" t="n">
        <f aca="false">VLOOKUP($IK$1,'Datos Iniciales'!$E$34:$O$64,IT$158,FALSE())*IT99</f>
        <v>0</v>
      </c>
      <c r="IU197" s="197" t="n">
        <f aca="false">VLOOKUP($IK$1,'Datos Iniciales'!$E$34:$O$64,IU$158,FALSE())*IU99</f>
        <v>0</v>
      </c>
      <c r="IV197" s="194" t="str">
        <f aca="false">IK197</f>
        <v>Alumno38</v>
      </c>
      <c r="IW197" s="208" t="n">
        <f aca="false">VLOOKUP($IV$1,'Datos Iniciales'!$E$34:$O$64,IW$158,FALSE())*IW99</f>
        <v>0</v>
      </c>
      <c r="IX197" s="196" t="n">
        <f aca="false">VLOOKUP($IV$1,'Datos Iniciales'!$E$34:$O$64,IX$158,FALSE())*IX99</f>
        <v>0</v>
      </c>
      <c r="IY197" s="196" t="n">
        <f aca="false">VLOOKUP($IV$1,'Datos Iniciales'!$E$34:$O$64,IY$158,FALSE())*IY99</f>
        <v>0</v>
      </c>
      <c r="IZ197" s="196" t="n">
        <f aca="false">VLOOKUP($IV$1,'Datos Iniciales'!$E$34:$O$64,IZ$158,FALSE())*IZ99</f>
        <v>0</v>
      </c>
      <c r="JA197" s="196" t="n">
        <f aca="false">VLOOKUP($IV$1,'Datos Iniciales'!$E$34:$O$64,JA$158,FALSE())*JA99</f>
        <v>0</v>
      </c>
      <c r="JB197" s="196" t="n">
        <f aca="false">VLOOKUP($IV$1,'Datos Iniciales'!$E$34:$O$64,JB$158,FALSE())*JB99</f>
        <v>0</v>
      </c>
      <c r="JC197" s="196" t="n">
        <f aca="false">VLOOKUP($IV$1,'Datos Iniciales'!$E$34:$O$64,JC$158,FALSE())*JC99</f>
        <v>0</v>
      </c>
      <c r="JD197" s="196" t="n">
        <f aca="false">VLOOKUP($IV$1,'Datos Iniciales'!$E$34:$O$64,JD$158,FALSE())*JD99</f>
        <v>0</v>
      </c>
      <c r="JE197" s="196" t="n">
        <f aca="false">VLOOKUP($IV$1,'Datos Iniciales'!$E$34:$O$64,JE$158,FALSE())*JE99</f>
        <v>0</v>
      </c>
      <c r="JF197" s="197" t="n">
        <f aca="false">VLOOKUP($IV$1,'Datos Iniciales'!$E$34:$O$64,JF$158,FALSE())*JF99</f>
        <v>0</v>
      </c>
      <c r="JG197" s="194" t="str">
        <f aca="false">IV197</f>
        <v>Alumno38</v>
      </c>
      <c r="JH197" s="208" t="n">
        <f aca="false">VLOOKUP($JG$1,'Datos Iniciales'!$E$34:$O$64,JH$158,FALSE())*JH99</f>
        <v>0</v>
      </c>
      <c r="JI197" s="196" t="n">
        <f aca="false">VLOOKUP($JG$1,'Datos Iniciales'!$E$34:$O$64,JI$158,FALSE())*JI99</f>
        <v>0</v>
      </c>
      <c r="JJ197" s="196" t="n">
        <f aca="false">VLOOKUP($JG$1,'Datos Iniciales'!$E$34:$O$64,JJ$158,FALSE())*JJ99</f>
        <v>0</v>
      </c>
      <c r="JK197" s="196" t="n">
        <f aca="false">VLOOKUP($JG$1,'Datos Iniciales'!$E$34:$O$64,JK$158,FALSE())*JK99</f>
        <v>0</v>
      </c>
      <c r="JL197" s="196" t="n">
        <f aca="false">VLOOKUP($JG$1,'Datos Iniciales'!$E$34:$O$64,JL$158,FALSE())*JL99</f>
        <v>0</v>
      </c>
      <c r="JM197" s="196" t="n">
        <f aca="false">VLOOKUP($JG$1,'Datos Iniciales'!$E$34:$O$64,JM$158,FALSE())*JM99</f>
        <v>0</v>
      </c>
      <c r="JN197" s="196" t="n">
        <f aca="false">VLOOKUP($JG$1,'Datos Iniciales'!$E$34:$O$64,JN$158,FALSE())*JN99</f>
        <v>0</v>
      </c>
      <c r="JO197" s="196" t="n">
        <f aca="false">VLOOKUP($JG$1,'Datos Iniciales'!$E$34:$O$64,JO$158,FALSE())*JO99</f>
        <v>0</v>
      </c>
      <c r="JP197" s="196" t="n">
        <f aca="false">VLOOKUP($JG$1,'Datos Iniciales'!$E$34:$O$64,JP$158,FALSE())*JP99</f>
        <v>0</v>
      </c>
      <c r="JQ197" s="197" t="n">
        <f aca="false">VLOOKUP($JG$1,'Datos Iniciales'!$E$34:$O$64,JQ$158,FALSE())*JQ99</f>
        <v>0</v>
      </c>
      <c r="JR197" s="194" t="str">
        <f aca="false">JG197</f>
        <v>Alumno38</v>
      </c>
      <c r="JS197" s="208" t="n">
        <f aca="false">VLOOKUP($JR$1,'Datos Iniciales'!$E$34:$O$64,JS$158,FALSE())*JS99</f>
        <v>0</v>
      </c>
      <c r="JT197" s="196" t="n">
        <f aca="false">VLOOKUP($JR$1,'Datos Iniciales'!$E$34:$O$64,JT$158,FALSE())*JT99</f>
        <v>0</v>
      </c>
      <c r="JU197" s="196" t="n">
        <f aca="false">VLOOKUP($JR$1,'Datos Iniciales'!$E$34:$O$64,JU$158,FALSE())*JU99</f>
        <v>0</v>
      </c>
      <c r="JV197" s="196" t="n">
        <f aca="false">VLOOKUP($JR$1,'Datos Iniciales'!$E$34:$O$64,JV$158,FALSE())*JV99</f>
        <v>0</v>
      </c>
      <c r="JW197" s="196" t="n">
        <f aca="false">VLOOKUP($JR$1,'Datos Iniciales'!$E$34:$O$64,JW$158,FALSE())*JW99</f>
        <v>0</v>
      </c>
      <c r="JX197" s="196" t="n">
        <f aca="false">VLOOKUP($JR$1,'Datos Iniciales'!$E$34:$O$64,JX$158,FALSE())*JX99</f>
        <v>0</v>
      </c>
      <c r="JY197" s="196" t="n">
        <f aca="false">VLOOKUP($JR$1,'Datos Iniciales'!$E$34:$O$64,JY$158,FALSE())*JY99</f>
        <v>0</v>
      </c>
      <c r="JZ197" s="196" t="n">
        <f aca="false">VLOOKUP($JR$1,'Datos Iniciales'!$E$34:$O$64,JZ$158,FALSE())*JZ99</f>
        <v>0</v>
      </c>
      <c r="KA197" s="196" t="n">
        <f aca="false">VLOOKUP($JR$1,'Datos Iniciales'!$E$34:$O$64,KA$158,FALSE())*KA99</f>
        <v>0</v>
      </c>
      <c r="KB197" s="197" t="n">
        <f aca="false">VLOOKUP($JR$1,'Datos Iniciales'!$E$34:$O$64,KB$158,FALSE())*KB99</f>
        <v>0</v>
      </c>
      <c r="KC197" s="194" t="str">
        <f aca="false">JR197</f>
        <v>Alumno38</v>
      </c>
      <c r="KD197" s="208" t="n">
        <f aca="false">VLOOKUP($KC$1,'Datos Iniciales'!$E$34:$O$64,KD$158,FALSE())*KD99</f>
        <v>0</v>
      </c>
      <c r="KE197" s="196" t="n">
        <f aca="false">VLOOKUP($KC$1,'Datos Iniciales'!$E$34:$O$64,KE$158,FALSE())*KE99</f>
        <v>0</v>
      </c>
      <c r="KF197" s="196" t="n">
        <f aca="false">VLOOKUP($KC$1,'Datos Iniciales'!$E$34:$O$64,KF$158,FALSE())*KF99</f>
        <v>0</v>
      </c>
      <c r="KG197" s="196" t="n">
        <f aca="false">VLOOKUP($KC$1,'Datos Iniciales'!$E$34:$O$64,KG$158,FALSE())*KG99</f>
        <v>0</v>
      </c>
      <c r="KH197" s="196" t="n">
        <f aca="false">VLOOKUP($KC$1,'Datos Iniciales'!$E$34:$O$64,KH$158,FALSE())*KH99</f>
        <v>0</v>
      </c>
      <c r="KI197" s="196" t="n">
        <f aca="false">VLOOKUP($KC$1,'Datos Iniciales'!$E$34:$O$64,KI$158,FALSE())*KI99</f>
        <v>0</v>
      </c>
      <c r="KJ197" s="196" t="n">
        <f aca="false">VLOOKUP($KC$1,'Datos Iniciales'!$E$34:$O$64,KJ$158,FALSE())*KJ99</f>
        <v>0</v>
      </c>
      <c r="KK197" s="196" t="n">
        <f aca="false">VLOOKUP($KC$1,'Datos Iniciales'!$E$34:$O$64,KK$158,FALSE())*KK99</f>
        <v>0</v>
      </c>
      <c r="KL197" s="196" t="n">
        <f aca="false">VLOOKUP($KC$1,'Datos Iniciales'!$E$34:$O$64,KL$158,FALSE())*KL99</f>
        <v>0</v>
      </c>
      <c r="KM197" s="197" t="n">
        <f aca="false">VLOOKUP($KC$1,'Datos Iniciales'!$E$34:$O$64,KM$158,FALSE())*KM99</f>
        <v>0</v>
      </c>
      <c r="KN197" s="194" t="str">
        <f aca="false">KC197</f>
        <v>Alumno38</v>
      </c>
      <c r="KO197" s="208" t="n">
        <f aca="false">VLOOKUP($KN$1,'Datos Iniciales'!$E$34:$O$64,KO$158,FALSE())*KO99</f>
        <v>0</v>
      </c>
      <c r="KP197" s="196" t="n">
        <f aca="false">VLOOKUP($KN$1,'Datos Iniciales'!$E$34:$O$64,KP$158,FALSE())*KP99</f>
        <v>0</v>
      </c>
      <c r="KQ197" s="196" t="n">
        <f aca="false">VLOOKUP($KN$1,'Datos Iniciales'!$E$34:$O$64,KQ$158,FALSE())*KQ99</f>
        <v>0</v>
      </c>
      <c r="KR197" s="196" t="n">
        <f aca="false">VLOOKUP($KN$1,'Datos Iniciales'!$E$34:$O$64,KR$158,FALSE())*KR99</f>
        <v>0</v>
      </c>
      <c r="KS197" s="196" t="n">
        <f aca="false">VLOOKUP($KN$1,'Datos Iniciales'!$E$34:$O$64,KS$158,FALSE())*KS99</f>
        <v>0</v>
      </c>
      <c r="KT197" s="196" t="n">
        <f aca="false">VLOOKUP($KN$1,'Datos Iniciales'!$E$34:$O$64,KT$158,FALSE())*KT99</f>
        <v>0</v>
      </c>
      <c r="KU197" s="196" t="n">
        <f aca="false">VLOOKUP($KN$1,'Datos Iniciales'!$E$34:$O$64,KU$158,FALSE())*KU99</f>
        <v>0</v>
      </c>
      <c r="KV197" s="196" t="n">
        <f aca="false">VLOOKUP($KN$1,'Datos Iniciales'!$E$34:$O$64,KV$158,FALSE())*KV99</f>
        <v>0</v>
      </c>
      <c r="KW197" s="196" t="n">
        <f aca="false">VLOOKUP($KN$1,'Datos Iniciales'!$E$34:$O$64,KW$158,FALSE())*KW99</f>
        <v>0</v>
      </c>
      <c r="KX197" s="197" t="n">
        <f aca="false">VLOOKUP($KN$1,'Datos Iniciales'!$E$34:$O$64,KX$158,FALSE())*KX99</f>
        <v>0</v>
      </c>
      <c r="KY197" s="194" t="str">
        <f aca="false">KN197</f>
        <v>Alumno38</v>
      </c>
      <c r="KZ197" s="208" t="n">
        <f aca="false">VLOOKUP($KY$1,'Datos Iniciales'!$E$34:$O$64,KZ$158,FALSE())*KZ99</f>
        <v>0</v>
      </c>
      <c r="LA197" s="196" t="n">
        <f aca="false">VLOOKUP($KY$1,'Datos Iniciales'!$E$34:$O$64,LA$158,FALSE())*LA99</f>
        <v>0</v>
      </c>
      <c r="LB197" s="196" t="n">
        <f aca="false">VLOOKUP($KY$1,'Datos Iniciales'!$E$34:$O$64,LB$158,FALSE())*LB99</f>
        <v>0</v>
      </c>
      <c r="LC197" s="196" t="n">
        <f aca="false">VLOOKUP($KY$1,'Datos Iniciales'!$E$34:$O$64,LC$158,FALSE())*LC99</f>
        <v>0</v>
      </c>
      <c r="LD197" s="196" t="n">
        <f aca="false">VLOOKUP($KY$1,'Datos Iniciales'!$E$34:$O$64,LD$158,FALSE())*LD99</f>
        <v>0</v>
      </c>
      <c r="LE197" s="196" t="n">
        <f aca="false">VLOOKUP($KY$1,'Datos Iniciales'!$E$34:$O$64,LE$158,FALSE())*LE99</f>
        <v>0</v>
      </c>
      <c r="LF197" s="196" t="n">
        <f aca="false">VLOOKUP($KY$1,'Datos Iniciales'!$E$34:$O$64,LF$158,FALSE())*LF99</f>
        <v>0</v>
      </c>
      <c r="LG197" s="196" t="n">
        <f aca="false">VLOOKUP($KY$1,'Datos Iniciales'!$E$34:$O$64,LG$158,FALSE())*LG99</f>
        <v>0</v>
      </c>
      <c r="LH197" s="196" t="n">
        <f aca="false">VLOOKUP($KY$1,'Datos Iniciales'!$E$34:$O$64,LH$158,FALSE())*LH99</f>
        <v>0</v>
      </c>
      <c r="LI197" s="197" t="n">
        <f aca="false">VLOOKUP($KY$1,'Datos Iniciales'!$E$34:$O$64,LI$158,FALSE())*LI99</f>
        <v>0</v>
      </c>
      <c r="LJ197" s="194" t="str">
        <f aca="false">KY197</f>
        <v>Alumno38</v>
      </c>
      <c r="LK197" s="208" t="n">
        <f aca="false">VLOOKUP($LJ$1,'Datos Iniciales'!$E$34:$O$64,LK$158,FALSE())*LK99</f>
        <v>0</v>
      </c>
      <c r="LL197" s="196" t="n">
        <f aca="false">VLOOKUP($LJ$1,'Datos Iniciales'!$E$34:$O$64,LL$158,FALSE())*LL99</f>
        <v>0</v>
      </c>
      <c r="LM197" s="196" t="n">
        <f aca="false">VLOOKUP($LJ$1,'Datos Iniciales'!$E$34:$O$64,LM$158,FALSE())*LM99</f>
        <v>0</v>
      </c>
      <c r="LN197" s="196" t="n">
        <f aca="false">VLOOKUP($LJ$1,'Datos Iniciales'!$E$34:$O$64,LN$158,FALSE())*LN99</f>
        <v>0</v>
      </c>
      <c r="LO197" s="196" t="n">
        <f aca="false">VLOOKUP($LJ$1,'Datos Iniciales'!$E$34:$O$64,LO$158,FALSE())*LO99</f>
        <v>0</v>
      </c>
      <c r="LP197" s="196" t="n">
        <f aca="false">VLOOKUP($LJ$1,'Datos Iniciales'!$E$34:$O$64,LP$158,FALSE())*LP99</f>
        <v>0</v>
      </c>
      <c r="LQ197" s="196" t="n">
        <f aca="false">VLOOKUP($LJ$1,'Datos Iniciales'!$E$34:$O$64,LQ$158,FALSE())*LQ99</f>
        <v>0</v>
      </c>
      <c r="LR197" s="196" t="n">
        <f aca="false">VLOOKUP($LJ$1,'Datos Iniciales'!$E$34:$O$64,LR$158,FALSE())*LR99</f>
        <v>0</v>
      </c>
      <c r="LS197" s="196" t="n">
        <f aca="false">VLOOKUP($LJ$1,'Datos Iniciales'!$E$34:$O$64,LS$158,FALSE())*LS99</f>
        <v>0</v>
      </c>
      <c r="LT197" s="197" t="n">
        <f aca="false">VLOOKUP($LJ$1,'Datos Iniciales'!$E$34:$O$64,LT$158,FALSE())*LT99</f>
        <v>0</v>
      </c>
    </row>
    <row r="198" customFormat="false" ht="15" hidden="true" customHeight="false" outlineLevel="0" collapsed="false">
      <c r="C198" s="194" t="str">
        <f aca="false">C149</f>
        <v>Alumno39</v>
      </c>
      <c r="D198" s="208" t="n">
        <f aca="false">VLOOKUP($C$1,'Datos Iniciales'!$E$34:$O$64,D$158,FALSE())*D100</f>
        <v>0</v>
      </c>
      <c r="E198" s="196" t="n">
        <f aca="false">VLOOKUP($C$1,'Datos Iniciales'!$E$34:$O$64,E$158,FALSE())*E100</f>
        <v>0</v>
      </c>
      <c r="F198" s="196" t="n">
        <f aca="false">VLOOKUP($C$1,'Datos Iniciales'!$E$34:$O$64,F$158,FALSE())*F100</f>
        <v>0</v>
      </c>
      <c r="G198" s="196" t="n">
        <f aca="false">VLOOKUP($C$1,'Datos Iniciales'!$E$34:$O$64,G$158,FALSE())*G100</f>
        <v>0</v>
      </c>
      <c r="H198" s="196" t="n">
        <f aca="false">VLOOKUP($C$1,'Datos Iniciales'!$E$34:$O$64,H$158,FALSE())*H100</f>
        <v>0</v>
      </c>
      <c r="I198" s="196" t="n">
        <f aca="false">VLOOKUP($C$1,'Datos Iniciales'!$E$34:$O$64,I$158,FALSE())*I100</f>
        <v>0</v>
      </c>
      <c r="J198" s="196" t="n">
        <f aca="false">VLOOKUP($C$1,'Datos Iniciales'!$E$34:$O$64,J$158,FALSE())*J100</f>
        <v>0</v>
      </c>
      <c r="K198" s="196" t="n">
        <f aca="false">VLOOKUP($C$1,'Datos Iniciales'!$E$34:$O$64,K$158,FALSE())*K100</f>
        <v>0</v>
      </c>
      <c r="L198" s="196" t="n">
        <f aca="false">VLOOKUP($C$1,'Datos Iniciales'!$E$34:$O$64,L$158,FALSE())*L100</f>
        <v>0</v>
      </c>
      <c r="M198" s="197" t="n">
        <f aca="false">VLOOKUP($C$1,'Datos Iniciales'!$E$34:$O$64,M$158,FALSE())*M100</f>
        <v>0</v>
      </c>
      <c r="N198" s="194" t="str">
        <f aca="false">C198</f>
        <v>Alumno39</v>
      </c>
      <c r="O198" s="208" t="n">
        <f aca="false">VLOOKUP($N$1,'Datos Iniciales'!$E$34:$O$64,O$158,FALSE())*O100</f>
        <v>0</v>
      </c>
      <c r="P198" s="196" t="n">
        <f aca="false">VLOOKUP($N$1,'Datos Iniciales'!$E$34:$O$64,P$158,FALSE())*P100</f>
        <v>0</v>
      </c>
      <c r="Q198" s="196" t="n">
        <f aca="false">VLOOKUP($N$1,'Datos Iniciales'!$E$34:$O$64,Q$158,FALSE())*Q100</f>
        <v>0</v>
      </c>
      <c r="R198" s="196" t="n">
        <f aca="false">VLOOKUP($N$1,'Datos Iniciales'!$E$34:$O$64,R$158,FALSE())*R100</f>
        <v>0</v>
      </c>
      <c r="S198" s="196" t="n">
        <f aca="false">VLOOKUP($N$1,'Datos Iniciales'!$E$34:$O$64,S$158,FALSE())*S100</f>
        <v>0</v>
      </c>
      <c r="T198" s="196" t="n">
        <f aca="false">VLOOKUP($N$1,'Datos Iniciales'!$E$34:$O$64,T$158,FALSE())*T100</f>
        <v>0</v>
      </c>
      <c r="U198" s="196" t="n">
        <f aca="false">VLOOKUP($N$1,'Datos Iniciales'!$E$34:$O$64,U$158,FALSE())*U100</f>
        <v>0</v>
      </c>
      <c r="V198" s="196" t="n">
        <f aca="false">VLOOKUP($N$1,'Datos Iniciales'!$E$34:$O$64,V$158,FALSE())*V100</f>
        <v>0</v>
      </c>
      <c r="W198" s="196" t="n">
        <f aca="false">VLOOKUP($N$1,'Datos Iniciales'!$E$34:$O$64,W$158,FALSE())*W100</f>
        <v>0</v>
      </c>
      <c r="X198" s="197" t="n">
        <f aca="false">VLOOKUP($N$1,'Datos Iniciales'!$E$34:$O$64,X$158,FALSE())*X100</f>
        <v>0</v>
      </c>
      <c r="Y198" s="194" t="str">
        <f aca="false">N198</f>
        <v>Alumno39</v>
      </c>
      <c r="Z198" s="208" t="n">
        <f aca="false">VLOOKUP($Y$1,'Datos Iniciales'!$E$34:$O$64,Z$158,FALSE())*Z100</f>
        <v>0</v>
      </c>
      <c r="AA198" s="196" t="n">
        <f aca="false">VLOOKUP($Y$1,'Datos Iniciales'!$E$34:$O$64,AA$158,FALSE())*AA100</f>
        <v>0</v>
      </c>
      <c r="AB198" s="196" t="n">
        <f aca="false">VLOOKUP($Y$1,'Datos Iniciales'!$E$34:$O$64,AB$158,FALSE())*AB100</f>
        <v>0</v>
      </c>
      <c r="AC198" s="196" t="n">
        <f aca="false">VLOOKUP($Y$1,'Datos Iniciales'!$E$34:$O$64,AC$158,FALSE())*AC100</f>
        <v>0</v>
      </c>
      <c r="AD198" s="196" t="n">
        <f aca="false">VLOOKUP($Y$1,'Datos Iniciales'!$E$34:$O$64,AD$158,FALSE())*AD100</f>
        <v>0</v>
      </c>
      <c r="AE198" s="196" t="n">
        <f aca="false">VLOOKUP($Y$1,'Datos Iniciales'!$E$34:$O$64,AE$158,FALSE())*AE100</f>
        <v>0</v>
      </c>
      <c r="AF198" s="196" t="n">
        <f aca="false">VLOOKUP($Y$1,'Datos Iniciales'!$E$34:$O$64,AF$158,FALSE())*AF100</f>
        <v>0</v>
      </c>
      <c r="AG198" s="196" t="n">
        <f aca="false">VLOOKUP($Y$1,'Datos Iniciales'!$E$34:$O$64,AG$158,FALSE())*AG100</f>
        <v>0</v>
      </c>
      <c r="AH198" s="196" t="n">
        <f aca="false">VLOOKUP($Y$1,'Datos Iniciales'!$E$34:$O$64,AH$158,FALSE())*AH100</f>
        <v>0</v>
      </c>
      <c r="AI198" s="197" t="n">
        <f aca="false">VLOOKUP($Y$1,'Datos Iniciales'!$E$34:$O$64,AI$158,FALSE())*AI100</f>
        <v>0</v>
      </c>
      <c r="AJ198" s="194" t="str">
        <f aca="false">Y198</f>
        <v>Alumno39</v>
      </c>
      <c r="AK198" s="208" t="n">
        <f aca="false">VLOOKUP($AJ$1,'Datos Iniciales'!$E$34:$O$64,AK$158,FALSE())*AK100</f>
        <v>0</v>
      </c>
      <c r="AL198" s="196" t="n">
        <f aca="false">VLOOKUP($AJ$1,'Datos Iniciales'!$E$34:$O$64,AL$158,FALSE())*AL100</f>
        <v>0</v>
      </c>
      <c r="AM198" s="196" t="n">
        <f aca="false">VLOOKUP($AJ$1,'Datos Iniciales'!$E$34:$O$64,AM$158,FALSE())*AM100</f>
        <v>0</v>
      </c>
      <c r="AN198" s="196" t="n">
        <f aca="false">VLOOKUP($AJ$1,'Datos Iniciales'!$E$34:$O$64,AN$158,FALSE())*AN100</f>
        <v>0</v>
      </c>
      <c r="AO198" s="196" t="n">
        <f aca="false">VLOOKUP($AJ$1,'Datos Iniciales'!$E$34:$O$64,AO$158,FALSE())*AO100</f>
        <v>0</v>
      </c>
      <c r="AP198" s="196" t="n">
        <f aca="false">VLOOKUP($AJ$1,'Datos Iniciales'!$E$34:$O$64,AP$158,FALSE())*AP100</f>
        <v>0</v>
      </c>
      <c r="AQ198" s="196" t="n">
        <f aca="false">VLOOKUP($AJ$1,'Datos Iniciales'!$E$34:$O$64,AQ$158,FALSE())*AQ100</f>
        <v>0</v>
      </c>
      <c r="AR198" s="196" t="n">
        <f aca="false">VLOOKUP($AJ$1,'Datos Iniciales'!$E$34:$O$64,AR$158,FALSE())*AR100</f>
        <v>0</v>
      </c>
      <c r="AS198" s="196" t="n">
        <f aca="false">VLOOKUP($AJ$1,'Datos Iniciales'!$E$34:$O$64,AS$158,FALSE())*AS100</f>
        <v>0</v>
      </c>
      <c r="AT198" s="197" t="n">
        <f aca="false">VLOOKUP($AJ$1,'Datos Iniciales'!$E$34:$O$64,AT$158,FALSE())*AT100</f>
        <v>0</v>
      </c>
      <c r="AU198" s="194" t="str">
        <f aca="false">AJ198</f>
        <v>Alumno39</v>
      </c>
      <c r="AV198" s="208" t="n">
        <f aca="false">VLOOKUP($AU$1,'Datos Iniciales'!$E$34:$O$64,AV$158,FALSE())*AV100</f>
        <v>0</v>
      </c>
      <c r="AW198" s="196" t="n">
        <f aca="false">VLOOKUP($AU$1,'Datos Iniciales'!$E$34:$O$64,AW$158,FALSE())*AW100</f>
        <v>0</v>
      </c>
      <c r="AX198" s="196" t="n">
        <f aca="false">VLOOKUP($AU$1,'Datos Iniciales'!$E$34:$O$64,AX$158,FALSE())*AX100</f>
        <v>0</v>
      </c>
      <c r="AY198" s="196" t="n">
        <f aca="false">VLOOKUP($AU$1,'Datos Iniciales'!$E$34:$O$64,AY$158,FALSE())*AY100</f>
        <v>0</v>
      </c>
      <c r="AZ198" s="196" t="n">
        <f aca="false">VLOOKUP($AU$1,'Datos Iniciales'!$E$34:$O$64,AZ$158,FALSE())*AZ100</f>
        <v>0</v>
      </c>
      <c r="BA198" s="196" t="n">
        <f aca="false">VLOOKUP($AU$1,'Datos Iniciales'!$E$34:$O$64,BA$158,FALSE())*BA100</f>
        <v>0</v>
      </c>
      <c r="BB198" s="196" t="n">
        <f aca="false">VLOOKUP($AU$1,'Datos Iniciales'!$E$34:$O$64,BB$158,FALSE())*BB100</f>
        <v>0</v>
      </c>
      <c r="BC198" s="196" t="n">
        <f aca="false">VLOOKUP($AU$1,'Datos Iniciales'!$E$34:$O$64,BC$158,FALSE())*BC100</f>
        <v>0</v>
      </c>
      <c r="BD198" s="196" t="n">
        <f aca="false">VLOOKUP($AU$1,'Datos Iniciales'!$E$34:$O$64,BD$158,FALSE())*BD100</f>
        <v>0</v>
      </c>
      <c r="BE198" s="197" t="n">
        <f aca="false">VLOOKUP($AU$1,'Datos Iniciales'!$E$34:$O$64,BE$158,FALSE())*BE100</f>
        <v>0</v>
      </c>
      <c r="BF198" s="194" t="str">
        <f aca="false">AU198</f>
        <v>Alumno39</v>
      </c>
      <c r="BG198" s="208" t="n">
        <f aca="false">VLOOKUP($BF$1,'Datos Iniciales'!$E$34:$O$64,BG$158,FALSE())*BG100</f>
        <v>0</v>
      </c>
      <c r="BH198" s="196" t="n">
        <f aca="false">VLOOKUP($BF$1,'Datos Iniciales'!$E$34:$O$64,BH$158,FALSE())*BH100</f>
        <v>0</v>
      </c>
      <c r="BI198" s="196" t="n">
        <f aca="false">VLOOKUP($BF$1,'Datos Iniciales'!$E$34:$O$64,BI$158,FALSE())*BI100</f>
        <v>0</v>
      </c>
      <c r="BJ198" s="196" t="n">
        <f aca="false">VLOOKUP($BF$1,'Datos Iniciales'!$E$34:$O$64,BJ$158,FALSE())*BJ100</f>
        <v>0</v>
      </c>
      <c r="BK198" s="196" t="n">
        <f aca="false">VLOOKUP($BF$1,'Datos Iniciales'!$E$34:$O$64,BK$158,FALSE())*BK100</f>
        <v>0</v>
      </c>
      <c r="BL198" s="196" t="n">
        <f aca="false">VLOOKUP($BF$1,'Datos Iniciales'!$E$34:$O$64,BL$158,FALSE())*BL100</f>
        <v>0</v>
      </c>
      <c r="BM198" s="196" t="n">
        <f aca="false">VLOOKUP($BF$1,'Datos Iniciales'!$E$34:$O$64,BM$158,FALSE())*BM100</f>
        <v>0</v>
      </c>
      <c r="BN198" s="196" t="n">
        <f aca="false">VLOOKUP($BF$1,'Datos Iniciales'!$E$34:$O$64,BN$158,FALSE())*BN100</f>
        <v>0</v>
      </c>
      <c r="BO198" s="196" t="n">
        <f aca="false">VLOOKUP($BF$1,'Datos Iniciales'!$E$34:$O$64,BO$158,FALSE())*BO100</f>
        <v>0</v>
      </c>
      <c r="BP198" s="197" t="n">
        <f aca="false">VLOOKUP($BF$1,'Datos Iniciales'!$E$34:$O$64,BP$158,FALSE())*BP100</f>
        <v>0</v>
      </c>
      <c r="BQ198" s="194" t="str">
        <f aca="false">BF198</f>
        <v>Alumno39</v>
      </c>
      <c r="BR198" s="208" t="n">
        <f aca="false">VLOOKUP($BQ$1,'Datos Iniciales'!$E$34:$O$64,BR$158,FALSE())*BR100</f>
        <v>0</v>
      </c>
      <c r="BS198" s="196" t="n">
        <f aca="false">VLOOKUP($BQ$1,'Datos Iniciales'!$E$34:$O$64,BS$158,FALSE())*BS100</f>
        <v>0</v>
      </c>
      <c r="BT198" s="196" t="n">
        <f aca="false">VLOOKUP($BQ$1,'Datos Iniciales'!$E$34:$O$64,BT$158,FALSE())*BT100</f>
        <v>0</v>
      </c>
      <c r="BU198" s="196" t="n">
        <f aca="false">VLOOKUP($BQ$1,'Datos Iniciales'!$E$34:$O$64,BU$158,FALSE())*BU100</f>
        <v>0</v>
      </c>
      <c r="BV198" s="196" t="n">
        <f aca="false">VLOOKUP($BQ$1,'Datos Iniciales'!$E$34:$O$64,BV$158,FALSE())*BV100</f>
        <v>0</v>
      </c>
      <c r="BW198" s="196" t="n">
        <f aca="false">VLOOKUP($BQ$1,'Datos Iniciales'!$E$34:$O$64,BW$158,FALSE())*BW100</f>
        <v>0</v>
      </c>
      <c r="BX198" s="196" t="n">
        <f aca="false">VLOOKUP($BQ$1,'Datos Iniciales'!$E$34:$O$64,BX$158,FALSE())*BX100</f>
        <v>0</v>
      </c>
      <c r="BY198" s="196" t="n">
        <f aca="false">VLOOKUP($BQ$1,'Datos Iniciales'!$E$34:$O$64,BY$158,FALSE())*BY100</f>
        <v>0</v>
      </c>
      <c r="BZ198" s="196" t="n">
        <f aca="false">VLOOKUP($BQ$1,'Datos Iniciales'!$E$34:$O$64,BZ$158,FALSE())*BZ100</f>
        <v>0</v>
      </c>
      <c r="CA198" s="197" t="n">
        <f aca="false">VLOOKUP($BQ$1,'Datos Iniciales'!$E$34:$O$64,CA$158,FALSE())*CA100</f>
        <v>0</v>
      </c>
      <c r="CB198" s="194" t="str">
        <f aca="false">BQ198</f>
        <v>Alumno39</v>
      </c>
      <c r="CC198" s="208" t="n">
        <f aca="false">VLOOKUP($CB$1,'Datos Iniciales'!$E$34:$O$64,CC$158,FALSE())*CC100</f>
        <v>0</v>
      </c>
      <c r="CD198" s="196" t="n">
        <f aca="false">VLOOKUP($CB$1,'Datos Iniciales'!$E$34:$O$64,CD$158,FALSE())*CD100</f>
        <v>0</v>
      </c>
      <c r="CE198" s="196" t="n">
        <f aca="false">VLOOKUP($CB$1,'Datos Iniciales'!$E$34:$O$64,CE$158,FALSE())*CE100</f>
        <v>0</v>
      </c>
      <c r="CF198" s="196" t="n">
        <f aca="false">VLOOKUP($CB$1,'Datos Iniciales'!$E$34:$O$64,CF$158,FALSE())*CF100</f>
        <v>0</v>
      </c>
      <c r="CG198" s="196" t="n">
        <f aca="false">VLOOKUP($CB$1,'Datos Iniciales'!$E$34:$O$64,CG$158,FALSE())*CG100</f>
        <v>0</v>
      </c>
      <c r="CH198" s="196" t="n">
        <f aca="false">VLOOKUP($CB$1,'Datos Iniciales'!$E$34:$O$64,CH$158,FALSE())*CH100</f>
        <v>0</v>
      </c>
      <c r="CI198" s="196" t="n">
        <f aca="false">VLOOKUP($CB$1,'Datos Iniciales'!$E$34:$O$64,CI$158,FALSE())*CI100</f>
        <v>0</v>
      </c>
      <c r="CJ198" s="196" t="n">
        <f aca="false">VLOOKUP($CB$1,'Datos Iniciales'!$E$34:$O$64,CJ$158,FALSE())*CJ100</f>
        <v>0</v>
      </c>
      <c r="CK198" s="196" t="n">
        <f aca="false">VLOOKUP($CB$1,'Datos Iniciales'!$E$34:$O$64,CK$158,FALSE())*CK100</f>
        <v>0</v>
      </c>
      <c r="CL198" s="197" t="n">
        <f aca="false">VLOOKUP($CB$1,'Datos Iniciales'!$E$34:$O$64,CL$158,FALSE())*CL100</f>
        <v>0</v>
      </c>
      <c r="CM198" s="194" t="str">
        <f aca="false">CB198</f>
        <v>Alumno39</v>
      </c>
      <c r="CN198" s="208" t="n">
        <f aca="false">VLOOKUP($CM$1,'Datos Iniciales'!$E$34:$O$64,CN$158,FALSE())*CN100</f>
        <v>0</v>
      </c>
      <c r="CO198" s="196" t="n">
        <f aca="false">VLOOKUP($CM$1,'Datos Iniciales'!$E$34:$O$64,CO$158,FALSE())*CO100</f>
        <v>0</v>
      </c>
      <c r="CP198" s="196" t="n">
        <f aca="false">VLOOKUP($CM$1,'Datos Iniciales'!$E$34:$O$64,CP$158,FALSE())*CP100</f>
        <v>0</v>
      </c>
      <c r="CQ198" s="196" t="n">
        <f aca="false">VLOOKUP($CM$1,'Datos Iniciales'!$E$34:$O$64,CQ$158,FALSE())*CQ100</f>
        <v>0</v>
      </c>
      <c r="CR198" s="196" t="n">
        <f aca="false">VLOOKUP($CM$1,'Datos Iniciales'!$E$34:$O$64,CR$158,FALSE())*CR100</f>
        <v>0</v>
      </c>
      <c r="CS198" s="196" t="n">
        <f aca="false">VLOOKUP($CM$1,'Datos Iniciales'!$E$34:$O$64,CS$158,FALSE())*CS100</f>
        <v>0</v>
      </c>
      <c r="CT198" s="196" t="n">
        <f aca="false">VLOOKUP($CM$1,'Datos Iniciales'!$E$34:$O$64,CT$158,FALSE())*CT100</f>
        <v>0</v>
      </c>
      <c r="CU198" s="196" t="n">
        <f aca="false">VLOOKUP($CM$1,'Datos Iniciales'!$E$34:$O$64,CU$158,FALSE())*CU100</f>
        <v>0</v>
      </c>
      <c r="CV198" s="196" t="n">
        <f aca="false">VLOOKUP($CM$1,'Datos Iniciales'!$E$34:$O$64,CV$158,FALSE())*CV100</f>
        <v>0</v>
      </c>
      <c r="CW198" s="197" t="n">
        <f aca="false">VLOOKUP($CM$1,'Datos Iniciales'!$E$34:$O$64,CW$158,FALSE())*CW100</f>
        <v>0</v>
      </c>
      <c r="CX198" s="194" t="str">
        <f aca="false">CM198</f>
        <v>Alumno39</v>
      </c>
      <c r="CY198" s="208" t="n">
        <f aca="false">VLOOKUP($CX$1,'Datos Iniciales'!$E$34:$O$64,CY$158,FALSE())*CY100</f>
        <v>0</v>
      </c>
      <c r="CZ198" s="196" t="n">
        <f aca="false">VLOOKUP($CX$1,'Datos Iniciales'!$E$34:$O$64,CZ$158,FALSE())*CZ100</f>
        <v>0</v>
      </c>
      <c r="DA198" s="196" t="n">
        <f aca="false">VLOOKUP($CX$1,'Datos Iniciales'!$E$34:$O$64,DA$158,FALSE())*DA100</f>
        <v>0</v>
      </c>
      <c r="DB198" s="196" t="n">
        <f aca="false">VLOOKUP($CX$1,'Datos Iniciales'!$E$34:$O$64,DB$158,FALSE())*DB100</f>
        <v>0</v>
      </c>
      <c r="DC198" s="196" t="n">
        <f aca="false">VLOOKUP($CX$1,'Datos Iniciales'!$E$34:$O$64,DC$158,FALSE())*DC100</f>
        <v>0</v>
      </c>
      <c r="DD198" s="196" t="n">
        <f aca="false">VLOOKUP($CX$1,'Datos Iniciales'!$E$34:$O$64,DD$158,FALSE())*DD100</f>
        <v>0</v>
      </c>
      <c r="DE198" s="196" t="n">
        <f aca="false">VLOOKUP($CX$1,'Datos Iniciales'!$E$34:$O$64,DE$158,FALSE())*DE100</f>
        <v>0</v>
      </c>
      <c r="DF198" s="196" t="n">
        <f aca="false">VLOOKUP($CX$1,'Datos Iniciales'!$E$34:$O$64,DF$158,FALSE())*DF100</f>
        <v>0</v>
      </c>
      <c r="DG198" s="196" t="n">
        <f aca="false">VLOOKUP($CX$1,'Datos Iniciales'!$E$34:$O$64,DG$158,FALSE())*DG100</f>
        <v>0</v>
      </c>
      <c r="DH198" s="197" t="n">
        <f aca="false">VLOOKUP($CX$1,'Datos Iniciales'!$E$34:$O$64,DH$158,FALSE())*DH100</f>
        <v>0</v>
      </c>
      <c r="DI198" s="194" t="str">
        <f aca="false">CX198</f>
        <v>Alumno39</v>
      </c>
      <c r="DJ198" s="208" t="n">
        <f aca="false">VLOOKUP($DI$1,'Datos Iniciales'!$E$34:$O$64,DJ$158,FALSE())*DJ100</f>
        <v>0</v>
      </c>
      <c r="DK198" s="196" t="n">
        <f aca="false">VLOOKUP($DI$1,'Datos Iniciales'!$E$34:$O$64,DK$158,FALSE())*DK100</f>
        <v>0</v>
      </c>
      <c r="DL198" s="196" t="n">
        <f aca="false">VLOOKUP($DI$1,'Datos Iniciales'!$E$34:$O$64,DL$158,FALSE())*DL100</f>
        <v>0</v>
      </c>
      <c r="DM198" s="196" t="n">
        <f aca="false">VLOOKUP($DI$1,'Datos Iniciales'!$E$34:$O$64,DM$158,FALSE())*DM100</f>
        <v>0</v>
      </c>
      <c r="DN198" s="196" t="n">
        <f aca="false">VLOOKUP($DI$1,'Datos Iniciales'!$E$34:$O$64,DN$158,FALSE())*DN100</f>
        <v>0</v>
      </c>
      <c r="DO198" s="196" t="n">
        <f aca="false">VLOOKUP($DI$1,'Datos Iniciales'!$E$34:$O$64,DO$158,FALSE())*DO100</f>
        <v>0</v>
      </c>
      <c r="DP198" s="196" t="n">
        <f aca="false">VLOOKUP($DI$1,'Datos Iniciales'!$E$34:$O$64,DP$158,FALSE())*DP100</f>
        <v>0</v>
      </c>
      <c r="DQ198" s="196" t="n">
        <f aca="false">VLOOKUP($DI$1,'Datos Iniciales'!$E$34:$O$64,DQ$158,FALSE())*DQ100</f>
        <v>0</v>
      </c>
      <c r="DR198" s="196" t="n">
        <f aca="false">VLOOKUP($DI$1,'Datos Iniciales'!$E$34:$O$64,DR$158,FALSE())*DR100</f>
        <v>0</v>
      </c>
      <c r="DS198" s="197" t="n">
        <f aca="false">VLOOKUP($DI$1,'Datos Iniciales'!$E$34:$O$64,DS$158,FALSE())*DS100</f>
        <v>0</v>
      </c>
      <c r="DT198" s="194" t="str">
        <f aca="false">DI198</f>
        <v>Alumno39</v>
      </c>
      <c r="DU198" s="208" t="n">
        <f aca="false">VLOOKUP($DT$1,'Datos Iniciales'!$E$34:$O$64,DU$158,FALSE())*DU100</f>
        <v>0</v>
      </c>
      <c r="DV198" s="196" t="n">
        <f aca="false">VLOOKUP($DT$1,'Datos Iniciales'!$E$34:$O$64,DV$158,FALSE())*DV100</f>
        <v>0</v>
      </c>
      <c r="DW198" s="196" t="n">
        <f aca="false">VLOOKUP($DT$1,'Datos Iniciales'!$E$34:$O$64,DW$158,FALSE())*DW100</f>
        <v>0</v>
      </c>
      <c r="DX198" s="196" t="n">
        <f aca="false">VLOOKUP($DT$1,'Datos Iniciales'!$E$34:$O$64,DX$158,FALSE())*DX100</f>
        <v>0</v>
      </c>
      <c r="DY198" s="196" t="n">
        <f aca="false">VLOOKUP($DT$1,'Datos Iniciales'!$E$34:$O$64,DY$158,FALSE())*DY100</f>
        <v>0</v>
      </c>
      <c r="DZ198" s="196" t="n">
        <f aca="false">VLOOKUP($DT$1,'Datos Iniciales'!$E$34:$O$64,DZ$158,FALSE())*DZ100</f>
        <v>0</v>
      </c>
      <c r="EA198" s="196" t="n">
        <f aca="false">VLOOKUP($DT$1,'Datos Iniciales'!$E$34:$O$64,EA$158,FALSE())*EA100</f>
        <v>0</v>
      </c>
      <c r="EB198" s="196" t="n">
        <f aca="false">VLOOKUP($DT$1,'Datos Iniciales'!$E$34:$O$64,EB$158,FALSE())*EB100</f>
        <v>0</v>
      </c>
      <c r="EC198" s="196" t="n">
        <f aca="false">VLOOKUP($DT$1,'Datos Iniciales'!$E$34:$O$64,EC$158,FALSE())*EC100</f>
        <v>0</v>
      </c>
      <c r="ED198" s="197" t="n">
        <f aca="false">VLOOKUP($DT$1,'Datos Iniciales'!$E$34:$O$64,ED$158,FALSE())*ED100</f>
        <v>0</v>
      </c>
      <c r="EE198" s="194" t="str">
        <f aca="false">DT198</f>
        <v>Alumno39</v>
      </c>
      <c r="EF198" s="208" t="n">
        <f aca="false">VLOOKUP($EE$1,'Datos Iniciales'!$E$34:$O$64,EF$158,FALSE())*EF100</f>
        <v>0</v>
      </c>
      <c r="EG198" s="196" t="n">
        <f aca="false">VLOOKUP($EE$1,'Datos Iniciales'!$E$34:$O$64,EG$158,FALSE())*EG100</f>
        <v>0</v>
      </c>
      <c r="EH198" s="196" t="n">
        <f aca="false">VLOOKUP($EE$1,'Datos Iniciales'!$E$34:$O$64,EH$158,FALSE())*EH100</f>
        <v>0</v>
      </c>
      <c r="EI198" s="196" t="n">
        <f aca="false">VLOOKUP($EE$1,'Datos Iniciales'!$E$34:$O$64,EI$158,FALSE())*EI100</f>
        <v>0</v>
      </c>
      <c r="EJ198" s="196" t="n">
        <f aca="false">VLOOKUP($EE$1,'Datos Iniciales'!$E$34:$O$64,EJ$158,FALSE())*EJ100</f>
        <v>0</v>
      </c>
      <c r="EK198" s="196" t="n">
        <f aca="false">VLOOKUP($EE$1,'Datos Iniciales'!$E$34:$O$64,EK$158,FALSE())*EK100</f>
        <v>0</v>
      </c>
      <c r="EL198" s="196" t="n">
        <f aca="false">VLOOKUP($EE$1,'Datos Iniciales'!$E$34:$O$64,EL$158,FALSE())*EL100</f>
        <v>0</v>
      </c>
      <c r="EM198" s="196" t="n">
        <f aca="false">VLOOKUP($EE$1,'Datos Iniciales'!$E$34:$O$64,EM$158,FALSE())*EM100</f>
        <v>0</v>
      </c>
      <c r="EN198" s="196" t="n">
        <f aca="false">VLOOKUP($EE$1,'Datos Iniciales'!$E$34:$O$64,EN$158,FALSE())*EN100</f>
        <v>0</v>
      </c>
      <c r="EO198" s="197" t="n">
        <f aca="false">VLOOKUP($EE$1,'Datos Iniciales'!$E$34:$O$64,EO$158,FALSE())*EO100</f>
        <v>0</v>
      </c>
      <c r="EP198" s="194" t="str">
        <f aca="false">EE198</f>
        <v>Alumno39</v>
      </c>
      <c r="EQ198" s="208" t="n">
        <f aca="false">VLOOKUP($EP$1,'Datos Iniciales'!$E$34:$O$64,EQ$158,FALSE())*EQ100</f>
        <v>0</v>
      </c>
      <c r="ER198" s="196" t="n">
        <f aca="false">VLOOKUP($EP$1,'Datos Iniciales'!$E$34:$O$64,ER$158,FALSE())*ER100</f>
        <v>0</v>
      </c>
      <c r="ES198" s="196" t="n">
        <f aca="false">VLOOKUP($EP$1,'Datos Iniciales'!$E$34:$O$64,ES$158,FALSE())*ES100</f>
        <v>0</v>
      </c>
      <c r="ET198" s="196" t="n">
        <f aca="false">VLOOKUP($EP$1,'Datos Iniciales'!$E$34:$O$64,ET$158,FALSE())*ET100</f>
        <v>0</v>
      </c>
      <c r="EU198" s="196" t="n">
        <f aca="false">VLOOKUP($EP$1,'Datos Iniciales'!$E$34:$O$64,EU$158,FALSE())*EU100</f>
        <v>0</v>
      </c>
      <c r="EV198" s="196" t="n">
        <f aca="false">VLOOKUP($EP$1,'Datos Iniciales'!$E$34:$O$64,EV$158,FALSE())*EV100</f>
        <v>0</v>
      </c>
      <c r="EW198" s="196" t="n">
        <f aca="false">VLOOKUP($EP$1,'Datos Iniciales'!$E$34:$O$64,EW$158,FALSE())*EW100</f>
        <v>0</v>
      </c>
      <c r="EX198" s="196" t="n">
        <f aca="false">VLOOKUP($EP$1,'Datos Iniciales'!$E$34:$O$64,EX$158,FALSE())*EX100</f>
        <v>0</v>
      </c>
      <c r="EY198" s="196" t="n">
        <f aca="false">VLOOKUP($EP$1,'Datos Iniciales'!$E$34:$O$64,EY$158,FALSE())*EY100</f>
        <v>0</v>
      </c>
      <c r="EZ198" s="197" t="n">
        <f aca="false">VLOOKUP($EP$1,'Datos Iniciales'!$E$34:$O$64,EZ$158,FALSE())*EZ100</f>
        <v>0</v>
      </c>
      <c r="FA198" s="194" t="str">
        <f aca="false">EP198</f>
        <v>Alumno39</v>
      </c>
      <c r="FB198" s="208" t="n">
        <f aca="false">VLOOKUP($FA$1,'Datos Iniciales'!$E$34:$O$64,FB$158,FALSE())*FB100</f>
        <v>0</v>
      </c>
      <c r="FC198" s="196" t="n">
        <f aca="false">VLOOKUP($FA$1,'Datos Iniciales'!$E$34:$O$64,FC$158,FALSE())*FC100</f>
        <v>0</v>
      </c>
      <c r="FD198" s="196" t="n">
        <f aca="false">VLOOKUP($FA$1,'Datos Iniciales'!$E$34:$O$64,FD$158,FALSE())*FD100</f>
        <v>0</v>
      </c>
      <c r="FE198" s="196" t="n">
        <f aca="false">VLOOKUP($FA$1,'Datos Iniciales'!$E$34:$O$64,FE$158,FALSE())*FE100</f>
        <v>0</v>
      </c>
      <c r="FF198" s="196" t="n">
        <f aca="false">VLOOKUP($FA$1,'Datos Iniciales'!$E$34:$O$64,FF$158,FALSE())*FF100</f>
        <v>0</v>
      </c>
      <c r="FG198" s="196" t="n">
        <f aca="false">VLOOKUP($FA$1,'Datos Iniciales'!$E$34:$O$64,FG$158,FALSE())*FG100</f>
        <v>0</v>
      </c>
      <c r="FH198" s="196" t="n">
        <f aca="false">VLOOKUP($FA$1,'Datos Iniciales'!$E$34:$O$64,FH$158,FALSE())*FH100</f>
        <v>0</v>
      </c>
      <c r="FI198" s="196" t="n">
        <f aca="false">VLOOKUP($FA$1,'Datos Iniciales'!$E$34:$O$64,FI$158,FALSE())*FI100</f>
        <v>0</v>
      </c>
      <c r="FJ198" s="196" t="n">
        <f aca="false">VLOOKUP($FA$1,'Datos Iniciales'!$E$34:$O$64,FJ$158,FALSE())*FJ100</f>
        <v>0</v>
      </c>
      <c r="FK198" s="197" t="n">
        <f aca="false">VLOOKUP($FA$1,'Datos Iniciales'!$E$34:$O$64,FK$158,FALSE())*FK100</f>
        <v>0</v>
      </c>
      <c r="FL198" s="194" t="str">
        <f aca="false">FA198</f>
        <v>Alumno39</v>
      </c>
      <c r="FM198" s="208" t="n">
        <f aca="false">VLOOKUP($FL$1,'Datos Iniciales'!$E$34:$O$64,FM$158,FALSE())*FM100</f>
        <v>0</v>
      </c>
      <c r="FN198" s="196" t="n">
        <f aca="false">VLOOKUP($FL$1,'Datos Iniciales'!$E$34:$O$64,FN$158,FALSE())*FN100</f>
        <v>0</v>
      </c>
      <c r="FO198" s="196" t="n">
        <f aca="false">VLOOKUP($FL$1,'Datos Iniciales'!$E$34:$O$64,FO$158,FALSE())*FO100</f>
        <v>0</v>
      </c>
      <c r="FP198" s="196" t="n">
        <f aca="false">VLOOKUP($FL$1,'Datos Iniciales'!$E$34:$O$64,FP$158,FALSE())*FP100</f>
        <v>0</v>
      </c>
      <c r="FQ198" s="196" t="n">
        <f aca="false">VLOOKUP($FL$1,'Datos Iniciales'!$E$34:$O$64,FQ$158,FALSE())*FQ100</f>
        <v>0</v>
      </c>
      <c r="FR198" s="196" t="n">
        <f aca="false">VLOOKUP($FL$1,'Datos Iniciales'!$E$34:$O$64,FR$158,FALSE())*FR100</f>
        <v>0</v>
      </c>
      <c r="FS198" s="196" t="n">
        <f aca="false">VLOOKUP($FL$1,'Datos Iniciales'!$E$34:$O$64,FS$158,FALSE())*FS100</f>
        <v>0</v>
      </c>
      <c r="FT198" s="196" t="n">
        <f aca="false">VLOOKUP($FL$1,'Datos Iniciales'!$E$34:$O$64,FT$158,FALSE())*FT100</f>
        <v>0</v>
      </c>
      <c r="FU198" s="196" t="n">
        <f aca="false">VLOOKUP($FL$1,'Datos Iniciales'!$E$34:$O$64,FU$158,FALSE())*FU100</f>
        <v>0</v>
      </c>
      <c r="FV198" s="197" t="n">
        <f aca="false">VLOOKUP($FL$1,'Datos Iniciales'!$E$34:$O$64,FV$158,FALSE())*FV100</f>
        <v>0</v>
      </c>
      <c r="FW198" s="194" t="str">
        <f aca="false">FL198</f>
        <v>Alumno39</v>
      </c>
      <c r="FX198" s="208" t="n">
        <f aca="false">VLOOKUP($FW$1,'Datos Iniciales'!$E$34:$O$64,FX$158,FALSE())*FX100</f>
        <v>0</v>
      </c>
      <c r="FY198" s="196" t="n">
        <f aca="false">VLOOKUP($FW$1,'Datos Iniciales'!$E$34:$O$64,FY$158,FALSE())*FY100</f>
        <v>0</v>
      </c>
      <c r="FZ198" s="196" t="n">
        <f aca="false">VLOOKUP($FW$1,'Datos Iniciales'!$E$34:$O$64,FZ$158,FALSE())*FZ100</f>
        <v>0</v>
      </c>
      <c r="GA198" s="196" t="n">
        <f aca="false">VLOOKUP($FW$1,'Datos Iniciales'!$E$34:$O$64,GA$158,FALSE())*GA100</f>
        <v>0</v>
      </c>
      <c r="GB198" s="196" t="n">
        <f aca="false">VLOOKUP($FW$1,'Datos Iniciales'!$E$34:$O$64,GB$158,FALSE())*GB100</f>
        <v>0</v>
      </c>
      <c r="GC198" s="196" t="n">
        <f aca="false">VLOOKUP($FW$1,'Datos Iniciales'!$E$34:$O$64,GC$158,FALSE())*GC100</f>
        <v>0</v>
      </c>
      <c r="GD198" s="196" t="n">
        <f aca="false">VLOOKUP($FW$1,'Datos Iniciales'!$E$34:$O$64,GD$158,FALSE())*GD100</f>
        <v>0</v>
      </c>
      <c r="GE198" s="196" t="n">
        <f aca="false">VLOOKUP($FW$1,'Datos Iniciales'!$E$34:$O$64,GE$158,FALSE())*GE100</f>
        <v>0</v>
      </c>
      <c r="GF198" s="196" t="n">
        <f aca="false">VLOOKUP($FW$1,'Datos Iniciales'!$E$34:$O$64,GF$158,FALSE())*GF100</f>
        <v>0</v>
      </c>
      <c r="GG198" s="197" t="n">
        <f aca="false">VLOOKUP($FW$1,'Datos Iniciales'!$E$34:$O$64,GG$158,FALSE())*GG100</f>
        <v>0</v>
      </c>
      <c r="GH198" s="194" t="str">
        <f aca="false">FW198</f>
        <v>Alumno39</v>
      </c>
      <c r="GI198" s="208" t="n">
        <f aca="false">VLOOKUP($GH$1,'Datos Iniciales'!$E$34:$O$64,GI$158,FALSE())*GI100</f>
        <v>0</v>
      </c>
      <c r="GJ198" s="196" t="n">
        <f aca="false">VLOOKUP($GH$1,'Datos Iniciales'!$E$34:$O$64,GJ$158,FALSE())*GJ100</f>
        <v>0</v>
      </c>
      <c r="GK198" s="196" t="n">
        <f aca="false">VLOOKUP($GH$1,'Datos Iniciales'!$E$34:$O$64,GK$158,FALSE())*GK100</f>
        <v>0</v>
      </c>
      <c r="GL198" s="196" t="n">
        <f aca="false">VLOOKUP($GH$1,'Datos Iniciales'!$E$34:$O$64,GL$158,FALSE())*GL100</f>
        <v>0</v>
      </c>
      <c r="GM198" s="196" t="n">
        <f aca="false">VLOOKUP($GH$1,'Datos Iniciales'!$E$34:$O$64,GM$158,FALSE())*GM100</f>
        <v>0</v>
      </c>
      <c r="GN198" s="196" t="n">
        <f aca="false">VLOOKUP($GH$1,'Datos Iniciales'!$E$34:$O$64,GN$158,FALSE())*GN100</f>
        <v>0</v>
      </c>
      <c r="GO198" s="196" t="n">
        <f aca="false">VLOOKUP($GH$1,'Datos Iniciales'!$E$34:$O$64,GO$158,FALSE())*GO100</f>
        <v>0</v>
      </c>
      <c r="GP198" s="196" t="n">
        <f aca="false">VLOOKUP($GH$1,'Datos Iniciales'!$E$34:$O$64,GP$158,FALSE())*GP100</f>
        <v>0</v>
      </c>
      <c r="GQ198" s="196" t="n">
        <f aca="false">VLOOKUP($GH$1,'Datos Iniciales'!$E$34:$O$64,GQ$158,FALSE())*GQ100</f>
        <v>0</v>
      </c>
      <c r="GR198" s="197" t="n">
        <f aca="false">VLOOKUP($GH$1,'Datos Iniciales'!$E$34:$O$64,GR$158,FALSE())*GR100</f>
        <v>0</v>
      </c>
      <c r="GS198" s="194" t="str">
        <f aca="false">GH198</f>
        <v>Alumno39</v>
      </c>
      <c r="GT198" s="208" t="n">
        <f aca="false">VLOOKUP($GS$1,'Datos Iniciales'!$E$34:$O$64,GT$158,FALSE())*GT100</f>
        <v>0</v>
      </c>
      <c r="GU198" s="196" t="n">
        <f aca="false">VLOOKUP($GS$1,'Datos Iniciales'!$E$34:$O$64,GU$158,FALSE())*GU100</f>
        <v>0</v>
      </c>
      <c r="GV198" s="196" t="n">
        <f aca="false">VLOOKUP($GS$1,'Datos Iniciales'!$E$34:$O$64,GV$158,FALSE())*GV100</f>
        <v>0</v>
      </c>
      <c r="GW198" s="196" t="n">
        <f aca="false">VLOOKUP($GS$1,'Datos Iniciales'!$E$34:$O$64,GW$158,FALSE())*GW100</f>
        <v>0</v>
      </c>
      <c r="GX198" s="196" t="n">
        <f aca="false">VLOOKUP($GS$1,'Datos Iniciales'!$E$34:$O$64,GX$158,FALSE())*GX100</f>
        <v>0</v>
      </c>
      <c r="GY198" s="196" t="n">
        <f aca="false">VLOOKUP($GS$1,'Datos Iniciales'!$E$34:$O$64,GY$158,FALSE())*GY100</f>
        <v>0</v>
      </c>
      <c r="GZ198" s="196" t="n">
        <f aca="false">VLOOKUP($GS$1,'Datos Iniciales'!$E$34:$O$64,GZ$158,FALSE())*GZ100</f>
        <v>0</v>
      </c>
      <c r="HA198" s="196" t="n">
        <f aca="false">VLOOKUP($GS$1,'Datos Iniciales'!$E$34:$O$64,HA$158,FALSE())*HA100</f>
        <v>0</v>
      </c>
      <c r="HB198" s="196" t="n">
        <f aca="false">VLOOKUP($GS$1,'Datos Iniciales'!$E$34:$O$64,HB$158,FALSE())*HB100</f>
        <v>0</v>
      </c>
      <c r="HC198" s="197" t="n">
        <f aca="false">VLOOKUP($GS$1,'Datos Iniciales'!$E$34:$O$64,HC$158,FALSE())*HC100</f>
        <v>0</v>
      </c>
      <c r="HD198" s="194" t="str">
        <f aca="false">GS198</f>
        <v>Alumno39</v>
      </c>
      <c r="HE198" s="208" t="n">
        <f aca="false">VLOOKUP($HD$1,'Datos Iniciales'!$E$34:$O$64,HE$158,FALSE())*HE100</f>
        <v>0</v>
      </c>
      <c r="HF198" s="196" t="n">
        <f aca="false">VLOOKUP($HD$1,'Datos Iniciales'!$E$34:$O$64,HF$158,FALSE())*HF100</f>
        <v>0</v>
      </c>
      <c r="HG198" s="196" t="n">
        <f aca="false">VLOOKUP($HD$1,'Datos Iniciales'!$E$34:$O$64,HG$158,FALSE())*HG100</f>
        <v>0</v>
      </c>
      <c r="HH198" s="196" t="n">
        <f aca="false">VLOOKUP($HD$1,'Datos Iniciales'!$E$34:$O$64,HH$158,FALSE())*HH100</f>
        <v>0</v>
      </c>
      <c r="HI198" s="196" t="n">
        <f aca="false">VLOOKUP($HD$1,'Datos Iniciales'!$E$34:$O$64,HI$158,FALSE())*HI100</f>
        <v>0</v>
      </c>
      <c r="HJ198" s="196" t="n">
        <f aca="false">VLOOKUP($HD$1,'Datos Iniciales'!$E$34:$O$64,HJ$158,FALSE())*HJ100</f>
        <v>0</v>
      </c>
      <c r="HK198" s="196" t="n">
        <f aca="false">VLOOKUP($HD$1,'Datos Iniciales'!$E$34:$O$64,HK$158,FALSE())*HK100</f>
        <v>0</v>
      </c>
      <c r="HL198" s="196" t="n">
        <f aca="false">VLOOKUP($HD$1,'Datos Iniciales'!$E$34:$O$64,HL$158,FALSE())*HL100</f>
        <v>0</v>
      </c>
      <c r="HM198" s="196" t="n">
        <f aca="false">VLOOKUP($HD$1,'Datos Iniciales'!$E$34:$O$64,HM$158,FALSE())*HM100</f>
        <v>0</v>
      </c>
      <c r="HN198" s="197" t="n">
        <f aca="false">VLOOKUP($HD$1,'Datos Iniciales'!$E$34:$O$64,HN$158,FALSE())*HN100</f>
        <v>0</v>
      </c>
      <c r="HO198" s="194" t="str">
        <f aca="false">HD198</f>
        <v>Alumno39</v>
      </c>
      <c r="HP198" s="208" t="n">
        <f aca="false">VLOOKUP($HO$1,'Datos Iniciales'!$E$34:$O$64,HP$158,FALSE())*HP100</f>
        <v>0</v>
      </c>
      <c r="HQ198" s="196" t="n">
        <f aca="false">VLOOKUP($HO$1,'Datos Iniciales'!$E$34:$O$64,HQ$158,FALSE())*HQ100</f>
        <v>0</v>
      </c>
      <c r="HR198" s="196" t="n">
        <f aca="false">VLOOKUP($HO$1,'Datos Iniciales'!$E$34:$O$64,HR$158,FALSE())*HR100</f>
        <v>0</v>
      </c>
      <c r="HS198" s="196" t="n">
        <f aca="false">VLOOKUP($HO$1,'Datos Iniciales'!$E$34:$O$64,HS$158,FALSE())*HS100</f>
        <v>0</v>
      </c>
      <c r="HT198" s="196" t="n">
        <f aca="false">VLOOKUP($HO$1,'Datos Iniciales'!$E$34:$O$64,HT$158,FALSE())*HT100</f>
        <v>0</v>
      </c>
      <c r="HU198" s="196" t="n">
        <f aca="false">VLOOKUP($HO$1,'Datos Iniciales'!$E$34:$O$64,HU$158,FALSE())*HU100</f>
        <v>0</v>
      </c>
      <c r="HV198" s="196" t="n">
        <f aca="false">VLOOKUP($HO$1,'Datos Iniciales'!$E$34:$O$64,HV$158,FALSE())*HV100</f>
        <v>0</v>
      </c>
      <c r="HW198" s="196" t="n">
        <f aca="false">VLOOKUP($HO$1,'Datos Iniciales'!$E$34:$O$64,HW$158,FALSE())*HW100</f>
        <v>0</v>
      </c>
      <c r="HX198" s="196" t="n">
        <f aca="false">VLOOKUP($HO$1,'Datos Iniciales'!$E$34:$O$64,HX$158,FALSE())*HX100</f>
        <v>0</v>
      </c>
      <c r="HY198" s="197" t="n">
        <f aca="false">VLOOKUP($HO$1,'Datos Iniciales'!$E$34:$O$64,HY$158,FALSE())*HY100</f>
        <v>0</v>
      </c>
      <c r="HZ198" s="194" t="str">
        <f aca="false">HO198</f>
        <v>Alumno39</v>
      </c>
      <c r="IA198" s="208" t="n">
        <f aca="false">VLOOKUP($HZ$1,'Datos Iniciales'!$E$34:$O$64,IA$158,FALSE())*IA100</f>
        <v>0</v>
      </c>
      <c r="IB198" s="196" t="n">
        <f aca="false">VLOOKUP($HZ$1,'Datos Iniciales'!$E$34:$O$64,IB$158,FALSE())*IB100</f>
        <v>0</v>
      </c>
      <c r="IC198" s="196" t="n">
        <f aca="false">VLOOKUP($HZ$1,'Datos Iniciales'!$E$34:$O$64,IC$158,FALSE())*IC100</f>
        <v>0</v>
      </c>
      <c r="ID198" s="196" t="n">
        <f aca="false">VLOOKUP($HZ$1,'Datos Iniciales'!$E$34:$O$64,ID$158,FALSE())*ID100</f>
        <v>0</v>
      </c>
      <c r="IE198" s="196" t="n">
        <f aca="false">VLOOKUP($HZ$1,'Datos Iniciales'!$E$34:$O$64,IE$158,FALSE())*IE100</f>
        <v>0</v>
      </c>
      <c r="IF198" s="196" t="n">
        <f aca="false">VLOOKUP($HZ$1,'Datos Iniciales'!$E$34:$O$64,IF$158,FALSE())*IF100</f>
        <v>0</v>
      </c>
      <c r="IG198" s="196" t="n">
        <f aca="false">VLOOKUP($HZ$1,'Datos Iniciales'!$E$34:$O$64,IG$158,FALSE())*IG100</f>
        <v>0</v>
      </c>
      <c r="IH198" s="196" t="n">
        <f aca="false">VLOOKUP($HZ$1,'Datos Iniciales'!$E$34:$O$64,IH$158,FALSE())*IH100</f>
        <v>0</v>
      </c>
      <c r="II198" s="196" t="n">
        <f aca="false">VLOOKUP($HZ$1,'Datos Iniciales'!$E$34:$O$64,II$158,FALSE())*II100</f>
        <v>0</v>
      </c>
      <c r="IJ198" s="197" t="n">
        <f aca="false">VLOOKUP($HZ$1,'Datos Iniciales'!$E$34:$O$64,IJ$158,FALSE())*IJ100</f>
        <v>0</v>
      </c>
      <c r="IK198" s="194" t="str">
        <f aca="false">HZ198</f>
        <v>Alumno39</v>
      </c>
      <c r="IL198" s="208" t="n">
        <f aca="false">VLOOKUP($IK$1,'Datos Iniciales'!$E$34:$O$64,IL$158,FALSE())*IL100</f>
        <v>0</v>
      </c>
      <c r="IM198" s="196" t="n">
        <f aca="false">VLOOKUP($IK$1,'Datos Iniciales'!$E$34:$O$64,IM$158,FALSE())*IM100</f>
        <v>0</v>
      </c>
      <c r="IN198" s="196" t="n">
        <f aca="false">VLOOKUP($IK$1,'Datos Iniciales'!$E$34:$O$64,IN$158,FALSE())*IN100</f>
        <v>0</v>
      </c>
      <c r="IO198" s="196" t="n">
        <f aca="false">VLOOKUP($IK$1,'Datos Iniciales'!$E$34:$O$64,IO$158,FALSE())*IO100</f>
        <v>0</v>
      </c>
      <c r="IP198" s="196" t="n">
        <f aca="false">VLOOKUP($IK$1,'Datos Iniciales'!$E$34:$O$64,IP$158,FALSE())*IP100</f>
        <v>0</v>
      </c>
      <c r="IQ198" s="196" t="n">
        <f aca="false">VLOOKUP($IK$1,'Datos Iniciales'!$E$34:$O$64,IQ$158,FALSE())*IQ100</f>
        <v>0</v>
      </c>
      <c r="IR198" s="196" t="n">
        <f aca="false">VLOOKUP($IK$1,'Datos Iniciales'!$E$34:$O$64,IR$158,FALSE())*IR100</f>
        <v>0</v>
      </c>
      <c r="IS198" s="196" t="n">
        <f aca="false">VLOOKUP($IK$1,'Datos Iniciales'!$E$34:$O$64,IS$158,FALSE())*IS100</f>
        <v>0</v>
      </c>
      <c r="IT198" s="196" t="n">
        <f aca="false">VLOOKUP($IK$1,'Datos Iniciales'!$E$34:$O$64,IT$158,FALSE())*IT100</f>
        <v>0</v>
      </c>
      <c r="IU198" s="197" t="n">
        <f aca="false">VLOOKUP($IK$1,'Datos Iniciales'!$E$34:$O$64,IU$158,FALSE())*IU100</f>
        <v>0</v>
      </c>
      <c r="IV198" s="194" t="str">
        <f aca="false">IK198</f>
        <v>Alumno39</v>
      </c>
      <c r="IW198" s="208" t="n">
        <f aca="false">VLOOKUP($IV$1,'Datos Iniciales'!$E$34:$O$64,IW$158,FALSE())*IW100</f>
        <v>0</v>
      </c>
      <c r="IX198" s="196" t="n">
        <f aca="false">VLOOKUP($IV$1,'Datos Iniciales'!$E$34:$O$64,IX$158,FALSE())*IX100</f>
        <v>0</v>
      </c>
      <c r="IY198" s="196" t="n">
        <f aca="false">VLOOKUP($IV$1,'Datos Iniciales'!$E$34:$O$64,IY$158,FALSE())*IY100</f>
        <v>0</v>
      </c>
      <c r="IZ198" s="196" t="n">
        <f aca="false">VLOOKUP($IV$1,'Datos Iniciales'!$E$34:$O$64,IZ$158,FALSE())*IZ100</f>
        <v>0</v>
      </c>
      <c r="JA198" s="196" t="n">
        <f aca="false">VLOOKUP($IV$1,'Datos Iniciales'!$E$34:$O$64,JA$158,FALSE())*JA100</f>
        <v>0</v>
      </c>
      <c r="JB198" s="196" t="n">
        <f aca="false">VLOOKUP($IV$1,'Datos Iniciales'!$E$34:$O$64,JB$158,FALSE())*JB100</f>
        <v>0</v>
      </c>
      <c r="JC198" s="196" t="n">
        <f aca="false">VLOOKUP($IV$1,'Datos Iniciales'!$E$34:$O$64,JC$158,FALSE())*JC100</f>
        <v>0</v>
      </c>
      <c r="JD198" s="196" t="n">
        <f aca="false">VLOOKUP($IV$1,'Datos Iniciales'!$E$34:$O$64,JD$158,FALSE())*JD100</f>
        <v>0</v>
      </c>
      <c r="JE198" s="196" t="n">
        <f aca="false">VLOOKUP($IV$1,'Datos Iniciales'!$E$34:$O$64,JE$158,FALSE())*JE100</f>
        <v>0</v>
      </c>
      <c r="JF198" s="197" t="n">
        <f aca="false">VLOOKUP($IV$1,'Datos Iniciales'!$E$34:$O$64,JF$158,FALSE())*JF100</f>
        <v>0</v>
      </c>
      <c r="JG198" s="194" t="str">
        <f aca="false">IV198</f>
        <v>Alumno39</v>
      </c>
      <c r="JH198" s="208" t="n">
        <f aca="false">VLOOKUP($JG$1,'Datos Iniciales'!$E$34:$O$64,JH$158,FALSE())*JH100</f>
        <v>0</v>
      </c>
      <c r="JI198" s="196" t="n">
        <f aca="false">VLOOKUP($JG$1,'Datos Iniciales'!$E$34:$O$64,JI$158,FALSE())*JI100</f>
        <v>0</v>
      </c>
      <c r="JJ198" s="196" t="n">
        <f aca="false">VLOOKUP($JG$1,'Datos Iniciales'!$E$34:$O$64,JJ$158,FALSE())*JJ100</f>
        <v>0</v>
      </c>
      <c r="JK198" s="196" t="n">
        <f aca="false">VLOOKUP($JG$1,'Datos Iniciales'!$E$34:$O$64,JK$158,FALSE())*JK100</f>
        <v>0</v>
      </c>
      <c r="JL198" s="196" t="n">
        <f aca="false">VLOOKUP($JG$1,'Datos Iniciales'!$E$34:$O$64,JL$158,FALSE())*JL100</f>
        <v>0</v>
      </c>
      <c r="JM198" s="196" t="n">
        <f aca="false">VLOOKUP($JG$1,'Datos Iniciales'!$E$34:$O$64,JM$158,FALSE())*JM100</f>
        <v>0</v>
      </c>
      <c r="JN198" s="196" t="n">
        <f aca="false">VLOOKUP($JG$1,'Datos Iniciales'!$E$34:$O$64,JN$158,FALSE())*JN100</f>
        <v>0</v>
      </c>
      <c r="JO198" s="196" t="n">
        <f aca="false">VLOOKUP($JG$1,'Datos Iniciales'!$E$34:$O$64,JO$158,FALSE())*JO100</f>
        <v>0</v>
      </c>
      <c r="JP198" s="196" t="n">
        <f aca="false">VLOOKUP($JG$1,'Datos Iniciales'!$E$34:$O$64,JP$158,FALSE())*JP100</f>
        <v>0</v>
      </c>
      <c r="JQ198" s="197" t="n">
        <f aca="false">VLOOKUP($JG$1,'Datos Iniciales'!$E$34:$O$64,JQ$158,FALSE())*JQ100</f>
        <v>0</v>
      </c>
      <c r="JR198" s="194" t="str">
        <f aca="false">JG198</f>
        <v>Alumno39</v>
      </c>
      <c r="JS198" s="208" t="n">
        <f aca="false">VLOOKUP($JR$1,'Datos Iniciales'!$E$34:$O$64,JS$158,FALSE())*JS100</f>
        <v>0</v>
      </c>
      <c r="JT198" s="196" t="n">
        <f aca="false">VLOOKUP($JR$1,'Datos Iniciales'!$E$34:$O$64,JT$158,FALSE())*JT100</f>
        <v>0</v>
      </c>
      <c r="JU198" s="196" t="n">
        <f aca="false">VLOOKUP($JR$1,'Datos Iniciales'!$E$34:$O$64,JU$158,FALSE())*JU100</f>
        <v>0</v>
      </c>
      <c r="JV198" s="196" t="n">
        <f aca="false">VLOOKUP($JR$1,'Datos Iniciales'!$E$34:$O$64,JV$158,FALSE())*JV100</f>
        <v>0</v>
      </c>
      <c r="JW198" s="196" t="n">
        <f aca="false">VLOOKUP($JR$1,'Datos Iniciales'!$E$34:$O$64,JW$158,FALSE())*JW100</f>
        <v>0</v>
      </c>
      <c r="JX198" s="196" t="n">
        <f aca="false">VLOOKUP($JR$1,'Datos Iniciales'!$E$34:$O$64,JX$158,FALSE())*JX100</f>
        <v>0</v>
      </c>
      <c r="JY198" s="196" t="n">
        <f aca="false">VLOOKUP($JR$1,'Datos Iniciales'!$E$34:$O$64,JY$158,FALSE())*JY100</f>
        <v>0</v>
      </c>
      <c r="JZ198" s="196" t="n">
        <f aca="false">VLOOKUP($JR$1,'Datos Iniciales'!$E$34:$O$64,JZ$158,FALSE())*JZ100</f>
        <v>0</v>
      </c>
      <c r="KA198" s="196" t="n">
        <f aca="false">VLOOKUP($JR$1,'Datos Iniciales'!$E$34:$O$64,KA$158,FALSE())*KA100</f>
        <v>0</v>
      </c>
      <c r="KB198" s="197" t="n">
        <f aca="false">VLOOKUP($JR$1,'Datos Iniciales'!$E$34:$O$64,KB$158,FALSE())*KB100</f>
        <v>0</v>
      </c>
      <c r="KC198" s="194" t="str">
        <f aca="false">JR198</f>
        <v>Alumno39</v>
      </c>
      <c r="KD198" s="208" t="n">
        <f aca="false">VLOOKUP($KC$1,'Datos Iniciales'!$E$34:$O$64,KD$158,FALSE())*KD100</f>
        <v>0</v>
      </c>
      <c r="KE198" s="196" t="n">
        <f aca="false">VLOOKUP($KC$1,'Datos Iniciales'!$E$34:$O$64,KE$158,FALSE())*KE100</f>
        <v>0</v>
      </c>
      <c r="KF198" s="196" t="n">
        <f aca="false">VLOOKUP($KC$1,'Datos Iniciales'!$E$34:$O$64,KF$158,FALSE())*KF100</f>
        <v>0</v>
      </c>
      <c r="KG198" s="196" t="n">
        <f aca="false">VLOOKUP($KC$1,'Datos Iniciales'!$E$34:$O$64,KG$158,FALSE())*KG100</f>
        <v>0</v>
      </c>
      <c r="KH198" s="196" t="n">
        <f aca="false">VLOOKUP($KC$1,'Datos Iniciales'!$E$34:$O$64,KH$158,FALSE())*KH100</f>
        <v>0</v>
      </c>
      <c r="KI198" s="196" t="n">
        <f aca="false">VLOOKUP($KC$1,'Datos Iniciales'!$E$34:$O$64,KI$158,FALSE())*KI100</f>
        <v>0</v>
      </c>
      <c r="KJ198" s="196" t="n">
        <f aca="false">VLOOKUP($KC$1,'Datos Iniciales'!$E$34:$O$64,KJ$158,FALSE())*KJ100</f>
        <v>0</v>
      </c>
      <c r="KK198" s="196" t="n">
        <f aca="false">VLOOKUP($KC$1,'Datos Iniciales'!$E$34:$O$64,KK$158,FALSE())*KK100</f>
        <v>0</v>
      </c>
      <c r="KL198" s="196" t="n">
        <f aca="false">VLOOKUP($KC$1,'Datos Iniciales'!$E$34:$O$64,KL$158,FALSE())*KL100</f>
        <v>0</v>
      </c>
      <c r="KM198" s="197" t="n">
        <f aca="false">VLOOKUP($KC$1,'Datos Iniciales'!$E$34:$O$64,KM$158,FALSE())*KM100</f>
        <v>0</v>
      </c>
      <c r="KN198" s="194" t="str">
        <f aca="false">KC198</f>
        <v>Alumno39</v>
      </c>
      <c r="KO198" s="208" t="n">
        <f aca="false">VLOOKUP($KN$1,'Datos Iniciales'!$E$34:$O$64,KO$158,FALSE())*KO100</f>
        <v>0</v>
      </c>
      <c r="KP198" s="196" t="n">
        <f aca="false">VLOOKUP($KN$1,'Datos Iniciales'!$E$34:$O$64,KP$158,FALSE())*KP100</f>
        <v>0</v>
      </c>
      <c r="KQ198" s="196" t="n">
        <f aca="false">VLOOKUP($KN$1,'Datos Iniciales'!$E$34:$O$64,KQ$158,FALSE())*KQ100</f>
        <v>0</v>
      </c>
      <c r="KR198" s="196" t="n">
        <f aca="false">VLOOKUP($KN$1,'Datos Iniciales'!$E$34:$O$64,KR$158,FALSE())*KR100</f>
        <v>0</v>
      </c>
      <c r="KS198" s="196" t="n">
        <f aca="false">VLOOKUP($KN$1,'Datos Iniciales'!$E$34:$O$64,KS$158,FALSE())*KS100</f>
        <v>0</v>
      </c>
      <c r="KT198" s="196" t="n">
        <f aca="false">VLOOKUP($KN$1,'Datos Iniciales'!$E$34:$O$64,KT$158,FALSE())*KT100</f>
        <v>0</v>
      </c>
      <c r="KU198" s="196" t="n">
        <f aca="false">VLOOKUP($KN$1,'Datos Iniciales'!$E$34:$O$64,KU$158,FALSE())*KU100</f>
        <v>0</v>
      </c>
      <c r="KV198" s="196" t="n">
        <f aca="false">VLOOKUP($KN$1,'Datos Iniciales'!$E$34:$O$64,KV$158,FALSE())*KV100</f>
        <v>0</v>
      </c>
      <c r="KW198" s="196" t="n">
        <f aca="false">VLOOKUP($KN$1,'Datos Iniciales'!$E$34:$O$64,KW$158,FALSE())*KW100</f>
        <v>0</v>
      </c>
      <c r="KX198" s="197" t="n">
        <f aca="false">VLOOKUP($KN$1,'Datos Iniciales'!$E$34:$O$64,KX$158,FALSE())*KX100</f>
        <v>0</v>
      </c>
      <c r="KY198" s="194" t="str">
        <f aca="false">KN198</f>
        <v>Alumno39</v>
      </c>
      <c r="KZ198" s="208" t="n">
        <f aca="false">VLOOKUP($KY$1,'Datos Iniciales'!$E$34:$O$64,KZ$158,FALSE())*KZ100</f>
        <v>0</v>
      </c>
      <c r="LA198" s="196" t="n">
        <f aca="false">VLOOKUP($KY$1,'Datos Iniciales'!$E$34:$O$64,LA$158,FALSE())*LA100</f>
        <v>0</v>
      </c>
      <c r="LB198" s="196" t="n">
        <f aca="false">VLOOKUP($KY$1,'Datos Iniciales'!$E$34:$O$64,LB$158,FALSE())*LB100</f>
        <v>0</v>
      </c>
      <c r="LC198" s="196" t="n">
        <f aca="false">VLOOKUP($KY$1,'Datos Iniciales'!$E$34:$O$64,LC$158,FALSE())*LC100</f>
        <v>0</v>
      </c>
      <c r="LD198" s="196" t="n">
        <f aca="false">VLOOKUP($KY$1,'Datos Iniciales'!$E$34:$O$64,LD$158,FALSE())*LD100</f>
        <v>0</v>
      </c>
      <c r="LE198" s="196" t="n">
        <f aca="false">VLOOKUP($KY$1,'Datos Iniciales'!$E$34:$O$64,LE$158,FALSE())*LE100</f>
        <v>0</v>
      </c>
      <c r="LF198" s="196" t="n">
        <f aca="false">VLOOKUP($KY$1,'Datos Iniciales'!$E$34:$O$64,LF$158,FALSE())*LF100</f>
        <v>0</v>
      </c>
      <c r="LG198" s="196" t="n">
        <f aca="false">VLOOKUP($KY$1,'Datos Iniciales'!$E$34:$O$64,LG$158,FALSE())*LG100</f>
        <v>0</v>
      </c>
      <c r="LH198" s="196" t="n">
        <f aca="false">VLOOKUP($KY$1,'Datos Iniciales'!$E$34:$O$64,LH$158,FALSE())*LH100</f>
        <v>0</v>
      </c>
      <c r="LI198" s="197" t="n">
        <f aca="false">VLOOKUP($KY$1,'Datos Iniciales'!$E$34:$O$64,LI$158,FALSE())*LI100</f>
        <v>0</v>
      </c>
      <c r="LJ198" s="194" t="str">
        <f aca="false">KY198</f>
        <v>Alumno39</v>
      </c>
      <c r="LK198" s="208" t="n">
        <f aca="false">VLOOKUP($LJ$1,'Datos Iniciales'!$E$34:$O$64,LK$158,FALSE())*LK100</f>
        <v>0</v>
      </c>
      <c r="LL198" s="196" t="n">
        <f aca="false">VLOOKUP($LJ$1,'Datos Iniciales'!$E$34:$O$64,LL$158,FALSE())*LL100</f>
        <v>0</v>
      </c>
      <c r="LM198" s="196" t="n">
        <f aca="false">VLOOKUP($LJ$1,'Datos Iniciales'!$E$34:$O$64,LM$158,FALSE())*LM100</f>
        <v>0</v>
      </c>
      <c r="LN198" s="196" t="n">
        <f aca="false">VLOOKUP($LJ$1,'Datos Iniciales'!$E$34:$O$64,LN$158,FALSE())*LN100</f>
        <v>0</v>
      </c>
      <c r="LO198" s="196" t="n">
        <f aca="false">VLOOKUP($LJ$1,'Datos Iniciales'!$E$34:$O$64,LO$158,FALSE())*LO100</f>
        <v>0</v>
      </c>
      <c r="LP198" s="196" t="n">
        <f aca="false">VLOOKUP($LJ$1,'Datos Iniciales'!$E$34:$O$64,LP$158,FALSE())*LP100</f>
        <v>0</v>
      </c>
      <c r="LQ198" s="196" t="n">
        <f aca="false">VLOOKUP($LJ$1,'Datos Iniciales'!$E$34:$O$64,LQ$158,FALSE())*LQ100</f>
        <v>0</v>
      </c>
      <c r="LR198" s="196" t="n">
        <f aca="false">VLOOKUP($LJ$1,'Datos Iniciales'!$E$34:$O$64,LR$158,FALSE())*LR100</f>
        <v>0</v>
      </c>
      <c r="LS198" s="196" t="n">
        <f aca="false">VLOOKUP($LJ$1,'Datos Iniciales'!$E$34:$O$64,LS$158,FALSE())*LS100</f>
        <v>0</v>
      </c>
      <c r="LT198" s="197" t="n">
        <f aca="false">VLOOKUP($LJ$1,'Datos Iniciales'!$E$34:$O$64,LT$158,FALSE())*LT100</f>
        <v>0</v>
      </c>
    </row>
    <row r="199" customFormat="false" ht="15" hidden="true" customHeight="false" outlineLevel="0" collapsed="false">
      <c r="C199" s="194" t="str">
        <f aca="false">C150</f>
        <v>Alumno40</v>
      </c>
      <c r="D199" s="208" t="n">
        <f aca="false">VLOOKUP($C$1,'Datos Iniciales'!$E$34:$O$64,D$158,FALSE())*D101</f>
        <v>0</v>
      </c>
      <c r="E199" s="196" t="n">
        <f aca="false">VLOOKUP($C$1,'Datos Iniciales'!$E$34:$O$64,E$158,FALSE())*E101</f>
        <v>0</v>
      </c>
      <c r="F199" s="196" t="n">
        <f aca="false">VLOOKUP($C$1,'Datos Iniciales'!$E$34:$O$64,F$158,FALSE())*F101</f>
        <v>0</v>
      </c>
      <c r="G199" s="196" t="n">
        <f aca="false">VLOOKUP($C$1,'Datos Iniciales'!$E$34:$O$64,G$158,FALSE())*G101</f>
        <v>0</v>
      </c>
      <c r="H199" s="196" t="n">
        <f aca="false">VLOOKUP($C$1,'Datos Iniciales'!$E$34:$O$64,H$158,FALSE())*H101</f>
        <v>0</v>
      </c>
      <c r="I199" s="196" t="n">
        <f aca="false">VLOOKUP($C$1,'Datos Iniciales'!$E$34:$O$64,I$158,FALSE())*I101</f>
        <v>0</v>
      </c>
      <c r="J199" s="196" t="n">
        <f aca="false">VLOOKUP($C$1,'Datos Iniciales'!$E$34:$O$64,J$158,FALSE())*J101</f>
        <v>0</v>
      </c>
      <c r="K199" s="196" t="n">
        <f aca="false">VLOOKUP($C$1,'Datos Iniciales'!$E$34:$O$64,K$158,FALSE())*K101</f>
        <v>0</v>
      </c>
      <c r="L199" s="196" t="n">
        <f aca="false">VLOOKUP($C$1,'Datos Iniciales'!$E$34:$O$64,L$158,FALSE())*L101</f>
        <v>0</v>
      </c>
      <c r="M199" s="197" t="n">
        <f aca="false">VLOOKUP($C$1,'Datos Iniciales'!$E$34:$O$64,M$158,FALSE())*M101</f>
        <v>0</v>
      </c>
      <c r="N199" s="194" t="str">
        <f aca="false">C199</f>
        <v>Alumno40</v>
      </c>
      <c r="O199" s="208" t="n">
        <f aca="false">VLOOKUP($N$1,'Datos Iniciales'!$E$34:$O$64,O$158,FALSE())*O101</f>
        <v>0</v>
      </c>
      <c r="P199" s="196" t="n">
        <f aca="false">VLOOKUP($N$1,'Datos Iniciales'!$E$34:$O$64,P$158,FALSE())*P101</f>
        <v>0</v>
      </c>
      <c r="Q199" s="196" t="n">
        <f aca="false">VLOOKUP($N$1,'Datos Iniciales'!$E$34:$O$64,Q$158,FALSE())*Q101</f>
        <v>0</v>
      </c>
      <c r="R199" s="196" t="n">
        <f aca="false">VLOOKUP($N$1,'Datos Iniciales'!$E$34:$O$64,R$158,FALSE())*R101</f>
        <v>0</v>
      </c>
      <c r="S199" s="196" t="n">
        <f aca="false">VLOOKUP($N$1,'Datos Iniciales'!$E$34:$O$64,S$158,FALSE())*S101</f>
        <v>0</v>
      </c>
      <c r="T199" s="196" t="n">
        <f aca="false">VLOOKUP($N$1,'Datos Iniciales'!$E$34:$O$64,T$158,FALSE())*T101</f>
        <v>0</v>
      </c>
      <c r="U199" s="196" t="n">
        <f aca="false">VLOOKUP($N$1,'Datos Iniciales'!$E$34:$O$64,U$158,FALSE())*U101</f>
        <v>0</v>
      </c>
      <c r="V199" s="196" t="n">
        <f aca="false">VLOOKUP($N$1,'Datos Iniciales'!$E$34:$O$64,V$158,FALSE())*V101</f>
        <v>0</v>
      </c>
      <c r="W199" s="196" t="n">
        <f aca="false">VLOOKUP($N$1,'Datos Iniciales'!$E$34:$O$64,W$158,FALSE())*W101</f>
        <v>0</v>
      </c>
      <c r="X199" s="197" t="n">
        <f aca="false">VLOOKUP($N$1,'Datos Iniciales'!$E$34:$O$64,X$158,FALSE())*X101</f>
        <v>0</v>
      </c>
      <c r="Y199" s="194" t="str">
        <f aca="false">N199</f>
        <v>Alumno40</v>
      </c>
      <c r="Z199" s="208" t="n">
        <f aca="false">VLOOKUP($Y$1,'Datos Iniciales'!$E$34:$O$64,Z$158,FALSE())*Z101</f>
        <v>0</v>
      </c>
      <c r="AA199" s="196" t="n">
        <f aca="false">VLOOKUP($Y$1,'Datos Iniciales'!$E$34:$O$64,AA$158,FALSE())*AA101</f>
        <v>0</v>
      </c>
      <c r="AB199" s="196" t="n">
        <f aca="false">VLOOKUP($Y$1,'Datos Iniciales'!$E$34:$O$64,AB$158,FALSE())*AB101</f>
        <v>0</v>
      </c>
      <c r="AC199" s="196" t="n">
        <f aca="false">VLOOKUP($Y$1,'Datos Iniciales'!$E$34:$O$64,AC$158,FALSE())*AC101</f>
        <v>0</v>
      </c>
      <c r="AD199" s="196" t="n">
        <f aca="false">VLOOKUP($Y$1,'Datos Iniciales'!$E$34:$O$64,AD$158,FALSE())*AD101</f>
        <v>0</v>
      </c>
      <c r="AE199" s="196" t="n">
        <f aca="false">VLOOKUP($Y$1,'Datos Iniciales'!$E$34:$O$64,AE$158,FALSE())*AE101</f>
        <v>0</v>
      </c>
      <c r="AF199" s="196" t="n">
        <f aca="false">VLOOKUP($Y$1,'Datos Iniciales'!$E$34:$O$64,AF$158,FALSE())*AF101</f>
        <v>0</v>
      </c>
      <c r="AG199" s="196" t="n">
        <f aca="false">VLOOKUP($Y$1,'Datos Iniciales'!$E$34:$O$64,AG$158,FALSE())*AG101</f>
        <v>0</v>
      </c>
      <c r="AH199" s="196" t="n">
        <f aca="false">VLOOKUP($Y$1,'Datos Iniciales'!$E$34:$O$64,AH$158,FALSE())*AH101</f>
        <v>0</v>
      </c>
      <c r="AI199" s="197" t="n">
        <f aca="false">VLOOKUP($Y$1,'Datos Iniciales'!$E$34:$O$64,AI$158,FALSE())*AI101</f>
        <v>0</v>
      </c>
      <c r="AJ199" s="194" t="str">
        <f aca="false">Y199</f>
        <v>Alumno40</v>
      </c>
      <c r="AK199" s="208" t="n">
        <f aca="false">VLOOKUP($AJ$1,'Datos Iniciales'!$E$34:$O$64,AK$158,FALSE())*AK101</f>
        <v>0</v>
      </c>
      <c r="AL199" s="196" t="n">
        <f aca="false">VLOOKUP($AJ$1,'Datos Iniciales'!$E$34:$O$64,AL$158,FALSE())*AL101</f>
        <v>0</v>
      </c>
      <c r="AM199" s="196" t="n">
        <f aca="false">VLOOKUP($AJ$1,'Datos Iniciales'!$E$34:$O$64,AM$158,FALSE())*AM101</f>
        <v>0</v>
      </c>
      <c r="AN199" s="196" t="n">
        <f aca="false">VLOOKUP($AJ$1,'Datos Iniciales'!$E$34:$O$64,AN$158,FALSE())*AN101</f>
        <v>0</v>
      </c>
      <c r="AO199" s="196" t="n">
        <f aca="false">VLOOKUP($AJ$1,'Datos Iniciales'!$E$34:$O$64,AO$158,FALSE())*AO101</f>
        <v>0</v>
      </c>
      <c r="AP199" s="196" t="n">
        <f aca="false">VLOOKUP($AJ$1,'Datos Iniciales'!$E$34:$O$64,AP$158,FALSE())*AP101</f>
        <v>0</v>
      </c>
      <c r="AQ199" s="196" t="n">
        <f aca="false">VLOOKUP($AJ$1,'Datos Iniciales'!$E$34:$O$64,AQ$158,FALSE())*AQ101</f>
        <v>0</v>
      </c>
      <c r="AR199" s="196" t="n">
        <f aca="false">VLOOKUP($AJ$1,'Datos Iniciales'!$E$34:$O$64,AR$158,FALSE())*AR101</f>
        <v>0</v>
      </c>
      <c r="AS199" s="196" t="n">
        <f aca="false">VLOOKUP($AJ$1,'Datos Iniciales'!$E$34:$O$64,AS$158,FALSE())*AS101</f>
        <v>0</v>
      </c>
      <c r="AT199" s="197" t="n">
        <f aca="false">VLOOKUP($AJ$1,'Datos Iniciales'!$E$34:$O$64,AT$158,FALSE())*AT101</f>
        <v>0</v>
      </c>
      <c r="AU199" s="194" t="str">
        <f aca="false">AJ199</f>
        <v>Alumno40</v>
      </c>
      <c r="AV199" s="208" t="n">
        <f aca="false">VLOOKUP($AU$1,'Datos Iniciales'!$E$34:$O$64,AV$158,FALSE())*AV101</f>
        <v>0</v>
      </c>
      <c r="AW199" s="196" t="n">
        <f aca="false">VLOOKUP($AU$1,'Datos Iniciales'!$E$34:$O$64,AW$158,FALSE())*AW101</f>
        <v>0</v>
      </c>
      <c r="AX199" s="196" t="n">
        <f aca="false">VLOOKUP($AU$1,'Datos Iniciales'!$E$34:$O$64,AX$158,FALSE())*AX101</f>
        <v>0</v>
      </c>
      <c r="AY199" s="196" t="n">
        <f aca="false">VLOOKUP($AU$1,'Datos Iniciales'!$E$34:$O$64,AY$158,FALSE())*AY101</f>
        <v>0</v>
      </c>
      <c r="AZ199" s="196" t="n">
        <f aca="false">VLOOKUP($AU$1,'Datos Iniciales'!$E$34:$O$64,AZ$158,FALSE())*AZ101</f>
        <v>0</v>
      </c>
      <c r="BA199" s="196" t="n">
        <f aca="false">VLOOKUP($AU$1,'Datos Iniciales'!$E$34:$O$64,BA$158,FALSE())*BA101</f>
        <v>0</v>
      </c>
      <c r="BB199" s="196" t="n">
        <f aca="false">VLOOKUP($AU$1,'Datos Iniciales'!$E$34:$O$64,BB$158,FALSE())*BB101</f>
        <v>0</v>
      </c>
      <c r="BC199" s="196" t="n">
        <f aca="false">VLOOKUP($AU$1,'Datos Iniciales'!$E$34:$O$64,BC$158,FALSE())*BC101</f>
        <v>0</v>
      </c>
      <c r="BD199" s="196" t="n">
        <f aca="false">VLOOKUP($AU$1,'Datos Iniciales'!$E$34:$O$64,BD$158,FALSE())*BD101</f>
        <v>0</v>
      </c>
      <c r="BE199" s="197" t="n">
        <f aca="false">VLOOKUP($AU$1,'Datos Iniciales'!$E$34:$O$64,BE$158,FALSE())*BE101</f>
        <v>0</v>
      </c>
      <c r="BF199" s="194" t="str">
        <f aca="false">AU199</f>
        <v>Alumno40</v>
      </c>
      <c r="BG199" s="208" t="n">
        <f aca="false">VLOOKUP($BF$1,'Datos Iniciales'!$E$34:$O$64,BG$158,FALSE())*BG101</f>
        <v>0</v>
      </c>
      <c r="BH199" s="196" t="n">
        <f aca="false">VLOOKUP($BF$1,'Datos Iniciales'!$E$34:$O$64,BH$158,FALSE())*BH101</f>
        <v>0</v>
      </c>
      <c r="BI199" s="196" t="n">
        <f aca="false">VLOOKUP($BF$1,'Datos Iniciales'!$E$34:$O$64,BI$158,FALSE())*BI101</f>
        <v>0</v>
      </c>
      <c r="BJ199" s="196" t="n">
        <f aca="false">VLOOKUP($BF$1,'Datos Iniciales'!$E$34:$O$64,BJ$158,FALSE())*BJ101</f>
        <v>0</v>
      </c>
      <c r="BK199" s="196" t="n">
        <f aca="false">VLOOKUP($BF$1,'Datos Iniciales'!$E$34:$O$64,BK$158,FALSE())*BK101</f>
        <v>0</v>
      </c>
      <c r="BL199" s="196" t="n">
        <f aca="false">VLOOKUP($BF$1,'Datos Iniciales'!$E$34:$O$64,BL$158,FALSE())*BL101</f>
        <v>0</v>
      </c>
      <c r="BM199" s="196" t="n">
        <f aca="false">VLOOKUP($BF$1,'Datos Iniciales'!$E$34:$O$64,BM$158,FALSE())*BM101</f>
        <v>0</v>
      </c>
      <c r="BN199" s="196" t="n">
        <f aca="false">VLOOKUP($BF$1,'Datos Iniciales'!$E$34:$O$64,BN$158,FALSE())*BN101</f>
        <v>0</v>
      </c>
      <c r="BO199" s="196" t="n">
        <f aca="false">VLOOKUP($BF$1,'Datos Iniciales'!$E$34:$O$64,BO$158,FALSE())*BO101</f>
        <v>0</v>
      </c>
      <c r="BP199" s="197" t="n">
        <f aca="false">VLOOKUP($BF$1,'Datos Iniciales'!$E$34:$O$64,BP$158,FALSE())*BP101</f>
        <v>0</v>
      </c>
      <c r="BQ199" s="194" t="str">
        <f aca="false">BF199</f>
        <v>Alumno40</v>
      </c>
      <c r="BR199" s="208" t="n">
        <f aca="false">VLOOKUP($BQ$1,'Datos Iniciales'!$E$34:$O$64,BR$158,FALSE())*BR101</f>
        <v>0</v>
      </c>
      <c r="BS199" s="196" t="n">
        <f aca="false">VLOOKUP($BQ$1,'Datos Iniciales'!$E$34:$O$64,BS$158,FALSE())*BS101</f>
        <v>0</v>
      </c>
      <c r="BT199" s="196" t="n">
        <f aca="false">VLOOKUP($BQ$1,'Datos Iniciales'!$E$34:$O$64,BT$158,FALSE())*BT101</f>
        <v>0</v>
      </c>
      <c r="BU199" s="196" t="n">
        <f aca="false">VLOOKUP($BQ$1,'Datos Iniciales'!$E$34:$O$64,BU$158,FALSE())*BU101</f>
        <v>0</v>
      </c>
      <c r="BV199" s="196" t="n">
        <f aca="false">VLOOKUP($BQ$1,'Datos Iniciales'!$E$34:$O$64,BV$158,FALSE())*BV101</f>
        <v>0</v>
      </c>
      <c r="BW199" s="196" t="n">
        <f aca="false">VLOOKUP($BQ$1,'Datos Iniciales'!$E$34:$O$64,BW$158,FALSE())*BW101</f>
        <v>0</v>
      </c>
      <c r="BX199" s="196" t="n">
        <f aca="false">VLOOKUP($BQ$1,'Datos Iniciales'!$E$34:$O$64,BX$158,FALSE())*BX101</f>
        <v>0</v>
      </c>
      <c r="BY199" s="196" t="n">
        <f aca="false">VLOOKUP($BQ$1,'Datos Iniciales'!$E$34:$O$64,BY$158,FALSE())*BY101</f>
        <v>0</v>
      </c>
      <c r="BZ199" s="196" t="n">
        <f aca="false">VLOOKUP($BQ$1,'Datos Iniciales'!$E$34:$O$64,BZ$158,FALSE())*BZ101</f>
        <v>0</v>
      </c>
      <c r="CA199" s="197" t="n">
        <f aca="false">VLOOKUP($BQ$1,'Datos Iniciales'!$E$34:$O$64,CA$158,FALSE())*CA101</f>
        <v>0</v>
      </c>
      <c r="CB199" s="194" t="str">
        <f aca="false">BQ199</f>
        <v>Alumno40</v>
      </c>
      <c r="CC199" s="208" t="n">
        <f aca="false">VLOOKUP($CB$1,'Datos Iniciales'!$E$34:$O$64,CC$158,FALSE())*CC101</f>
        <v>0</v>
      </c>
      <c r="CD199" s="196" t="n">
        <f aca="false">VLOOKUP($CB$1,'Datos Iniciales'!$E$34:$O$64,CD$158,FALSE())*CD101</f>
        <v>0</v>
      </c>
      <c r="CE199" s="196" t="n">
        <f aca="false">VLOOKUP($CB$1,'Datos Iniciales'!$E$34:$O$64,CE$158,FALSE())*CE101</f>
        <v>0</v>
      </c>
      <c r="CF199" s="196" t="n">
        <f aca="false">VLOOKUP($CB$1,'Datos Iniciales'!$E$34:$O$64,CF$158,FALSE())*CF101</f>
        <v>0</v>
      </c>
      <c r="CG199" s="196" t="n">
        <f aca="false">VLOOKUP($CB$1,'Datos Iniciales'!$E$34:$O$64,CG$158,FALSE())*CG101</f>
        <v>0</v>
      </c>
      <c r="CH199" s="196" t="n">
        <f aca="false">VLOOKUP($CB$1,'Datos Iniciales'!$E$34:$O$64,CH$158,FALSE())*CH101</f>
        <v>0</v>
      </c>
      <c r="CI199" s="196" t="n">
        <f aca="false">VLOOKUP($CB$1,'Datos Iniciales'!$E$34:$O$64,CI$158,FALSE())*CI101</f>
        <v>0</v>
      </c>
      <c r="CJ199" s="196" t="n">
        <f aca="false">VLOOKUP($CB$1,'Datos Iniciales'!$E$34:$O$64,CJ$158,FALSE())*CJ101</f>
        <v>0</v>
      </c>
      <c r="CK199" s="196" t="n">
        <f aca="false">VLOOKUP($CB$1,'Datos Iniciales'!$E$34:$O$64,CK$158,FALSE())*CK101</f>
        <v>0</v>
      </c>
      <c r="CL199" s="197" t="n">
        <f aca="false">VLOOKUP($CB$1,'Datos Iniciales'!$E$34:$O$64,CL$158,FALSE())*CL101</f>
        <v>0</v>
      </c>
      <c r="CM199" s="194" t="str">
        <f aca="false">CB199</f>
        <v>Alumno40</v>
      </c>
      <c r="CN199" s="208" t="n">
        <f aca="false">VLOOKUP($CM$1,'Datos Iniciales'!$E$34:$O$64,CN$158,FALSE())*CN101</f>
        <v>0</v>
      </c>
      <c r="CO199" s="196" t="n">
        <f aca="false">VLOOKUP($CM$1,'Datos Iniciales'!$E$34:$O$64,CO$158,FALSE())*CO101</f>
        <v>0</v>
      </c>
      <c r="CP199" s="196" t="n">
        <f aca="false">VLOOKUP($CM$1,'Datos Iniciales'!$E$34:$O$64,CP$158,FALSE())*CP101</f>
        <v>0</v>
      </c>
      <c r="CQ199" s="196" t="n">
        <f aca="false">VLOOKUP($CM$1,'Datos Iniciales'!$E$34:$O$64,CQ$158,FALSE())*CQ101</f>
        <v>0</v>
      </c>
      <c r="CR199" s="196" t="n">
        <f aca="false">VLOOKUP($CM$1,'Datos Iniciales'!$E$34:$O$64,CR$158,FALSE())*CR101</f>
        <v>0</v>
      </c>
      <c r="CS199" s="196" t="n">
        <f aca="false">VLOOKUP($CM$1,'Datos Iniciales'!$E$34:$O$64,CS$158,FALSE())*CS101</f>
        <v>0</v>
      </c>
      <c r="CT199" s="196" t="n">
        <f aca="false">VLOOKUP($CM$1,'Datos Iniciales'!$E$34:$O$64,CT$158,FALSE())*CT101</f>
        <v>0</v>
      </c>
      <c r="CU199" s="196" t="n">
        <f aca="false">VLOOKUP($CM$1,'Datos Iniciales'!$E$34:$O$64,CU$158,FALSE())*CU101</f>
        <v>0</v>
      </c>
      <c r="CV199" s="196" t="n">
        <f aca="false">VLOOKUP($CM$1,'Datos Iniciales'!$E$34:$O$64,CV$158,FALSE())*CV101</f>
        <v>0</v>
      </c>
      <c r="CW199" s="197" t="n">
        <f aca="false">VLOOKUP($CM$1,'Datos Iniciales'!$E$34:$O$64,CW$158,FALSE())*CW101</f>
        <v>0</v>
      </c>
      <c r="CX199" s="194" t="str">
        <f aca="false">CM199</f>
        <v>Alumno40</v>
      </c>
      <c r="CY199" s="208" t="n">
        <f aca="false">VLOOKUP($CX$1,'Datos Iniciales'!$E$34:$O$64,CY$158,FALSE())*CY101</f>
        <v>0</v>
      </c>
      <c r="CZ199" s="196" t="n">
        <f aca="false">VLOOKUP($CX$1,'Datos Iniciales'!$E$34:$O$64,CZ$158,FALSE())*CZ101</f>
        <v>0</v>
      </c>
      <c r="DA199" s="196" t="n">
        <f aca="false">VLOOKUP($CX$1,'Datos Iniciales'!$E$34:$O$64,DA$158,FALSE())*DA101</f>
        <v>0</v>
      </c>
      <c r="DB199" s="196" t="n">
        <f aca="false">VLOOKUP($CX$1,'Datos Iniciales'!$E$34:$O$64,DB$158,FALSE())*DB101</f>
        <v>0</v>
      </c>
      <c r="DC199" s="196" t="n">
        <f aca="false">VLOOKUP($CX$1,'Datos Iniciales'!$E$34:$O$64,DC$158,FALSE())*DC101</f>
        <v>0</v>
      </c>
      <c r="DD199" s="196" t="n">
        <f aca="false">VLOOKUP($CX$1,'Datos Iniciales'!$E$34:$O$64,DD$158,FALSE())*DD101</f>
        <v>0</v>
      </c>
      <c r="DE199" s="196" t="n">
        <f aca="false">VLOOKUP($CX$1,'Datos Iniciales'!$E$34:$O$64,DE$158,FALSE())*DE101</f>
        <v>0</v>
      </c>
      <c r="DF199" s="196" t="n">
        <f aca="false">VLOOKUP($CX$1,'Datos Iniciales'!$E$34:$O$64,DF$158,FALSE())*DF101</f>
        <v>0</v>
      </c>
      <c r="DG199" s="196" t="n">
        <f aca="false">VLOOKUP($CX$1,'Datos Iniciales'!$E$34:$O$64,DG$158,FALSE())*DG101</f>
        <v>0</v>
      </c>
      <c r="DH199" s="197" t="n">
        <f aca="false">VLOOKUP($CX$1,'Datos Iniciales'!$E$34:$O$64,DH$158,FALSE())*DH101</f>
        <v>0</v>
      </c>
      <c r="DI199" s="194" t="str">
        <f aca="false">CX199</f>
        <v>Alumno40</v>
      </c>
      <c r="DJ199" s="208" t="n">
        <f aca="false">VLOOKUP($DI$1,'Datos Iniciales'!$E$34:$O$64,DJ$158,FALSE())*DJ101</f>
        <v>0</v>
      </c>
      <c r="DK199" s="196" t="n">
        <f aca="false">VLOOKUP($DI$1,'Datos Iniciales'!$E$34:$O$64,DK$158,FALSE())*DK101</f>
        <v>0</v>
      </c>
      <c r="DL199" s="196" t="n">
        <f aca="false">VLOOKUP($DI$1,'Datos Iniciales'!$E$34:$O$64,DL$158,FALSE())*DL101</f>
        <v>0</v>
      </c>
      <c r="DM199" s="196" t="n">
        <f aca="false">VLOOKUP($DI$1,'Datos Iniciales'!$E$34:$O$64,DM$158,FALSE())*DM101</f>
        <v>0</v>
      </c>
      <c r="DN199" s="196" t="n">
        <f aca="false">VLOOKUP($DI$1,'Datos Iniciales'!$E$34:$O$64,DN$158,FALSE())*DN101</f>
        <v>0</v>
      </c>
      <c r="DO199" s="196" t="n">
        <f aca="false">VLOOKUP($DI$1,'Datos Iniciales'!$E$34:$O$64,DO$158,FALSE())*DO101</f>
        <v>0</v>
      </c>
      <c r="DP199" s="196" t="n">
        <f aca="false">VLOOKUP($DI$1,'Datos Iniciales'!$E$34:$O$64,DP$158,FALSE())*DP101</f>
        <v>0</v>
      </c>
      <c r="DQ199" s="196" t="n">
        <f aca="false">VLOOKUP($DI$1,'Datos Iniciales'!$E$34:$O$64,DQ$158,FALSE())*DQ101</f>
        <v>0</v>
      </c>
      <c r="DR199" s="196" t="n">
        <f aca="false">VLOOKUP($DI$1,'Datos Iniciales'!$E$34:$O$64,DR$158,FALSE())*DR101</f>
        <v>0</v>
      </c>
      <c r="DS199" s="197" t="n">
        <f aca="false">VLOOKUP($DI$1,'Datos Iniciales'!$E$34:$O$64,DS$158,FALSE())*DS101</f>
        <v>0</v>
      </c>
      <c r="DT199" s="194" t="str">
        <f aca="false">DI199</f>
        <v>Alumno40</v>
      </c>
      <c r="DU199" s="208" t="n">
        <f aca="false">VLOOKUP($DT$1,'Datos Iniciales'!$E$34:$O$64,DU$158,FALSE())*DU101</f>
        <v>0</v>
      </c>
      <c r="DV199" s="196" t="n">
        <f aca="false">VLOOKUP($DT$1,'Datos Iniciales'!$E$34:$O$64,DV$158,FALSE())*DV101</f>
        <v>0</v>
      </c>
      <c r="DW199" s="196" t="n">
        <f aca="false">VLOOKUP($DT$1,'Datos Iniciales'!$E$34:$O$64,DW$158,FALSE())*DW101</f>
        <v>0</v>
      </c>
      <c r="DX199" s="196" t="n">
        <f aca="false">VLOOKUP($DT$1,'Datos Iniciales'!$E$34:$O$64,DX$158,FALSE())*DX101</f>
        <v>0</v>
      </c>
      <c r="DY199" s="196" t="n">
        <f aca="false">VLOOKUP($DT$1,'Datos Iniciales'!$E$34:$O$64,DY$158,FALSE())*DY101</f>
        <v>0</v>
      </c>
      <c r="DZ199" s="196" t="n">
        <f aca="false">VLOOKUP($DT$1,'Datos Iniciales'!$E$34:$O$64,DZ$158,FALSE())*DZ101</f>
        <v>0</v>
      </c>
      <c r="EA199" s="196" t="n">
        <f aca="false">VLOOKUP($DT$1,'Datos Iniciales'!$E$34:$O$64,EA$158,FALSE())*EA101</f>
        <v>0</v>
      </c>
      <c r="EB199" s="196" t="n">
        <f aca="false">VLOOKUP($DT$1,'Datos Iniciales'!$E$34:$O$64,EB$158,FALSE())*EB101</f>
        <v>0</v>
      </c>
      <c r="EC199" s="196" t="n">
        <f aca="false">VLOOKUP($DT$1,'Datos Iniciales'!$E$34:$O$64,EC$158,FALSE())*EC101</f>
        <v>0</v>
      </c>
      <c r="ED199" s="197" t="n">
        <f aca="false">VLOOKUP($DT$1,'Datos Iniciales'!$E$34:$O$64,ED$158,FALSE())*ED101</f>
        <v>0</v>
      </c>
      <c r="EE199" s="194" t="str">
        <f aca="false">DT199</f>
        <v>Alumno40</v>
      </c>
      <c r="EF199" s="208" t="n">
        <f aca="false">VLOOKUP($EE$1,'Datos Iniciales'!$E$34:$O$64,EF$158,FALSE())*EF101</f>
        <v>0</v>
      </c>
      <c r="EG199" s="196" t="n">
        <f aca="false">VLOOKUP($EE$1,'Datos Iniciales'!$E$34:$O$64,EG$158,FALSE())*EG101</f>
        <v>0</v>
      </c>
      <c r="EH199" s="196" t="n">
        <f aca="false">VLOOKUP($EE$1,'Datos Iniciales'!$E$34:$O$64,EH$158,FALSE())*EH101</f>
        <v>0</v>
      </c>
      <c r="EI199" s="196" t="n">
        <f aca="false">VLOOKUP($EE$1,'Datos Iniciales'!$E$34:$O$64,EI$158,FALSE())*EI101</f>
        <v>0</v>
      </c>
      <c r="EJ199" s="196" t="n">
        <f aca="false">VLOOKUP($EE$1,'Datos Iniciales'!$E$34:$O$64,EJ$158,FALSE())*EJ101</f>
        <v>0</v>
      </c>
      <c r="EK199" s="196" t="n">
        <f aca="false">VLOOKUP($EE$1,'Datos Iniciales'!$E$34:$O$64,EK$158,FALSE())*EK101</f>
        <v>0</v>
      </c>
      <c r="EL199" s="196" t="n">
        <f aca="false">VLOOKUP($EE$1,'Datos Iniciales'!$E$34:$O$64,EL$158,FALSE())*EL101</f>
        <v>0</v>
      </c>
      <c r="EM199" s="196" t="n">
        <f aca="false">VLOOKUP($EE$1,'Datos Iniciales'!$E$34:$O$64,EM$158,FALSE())*EM101</f>
        <v>0</v>
      </c>
      <c r="EN199" s="196" t="n">
        <f aca="false">VLOOKUP($EE$1,'Datos Iniciales'!$E$34:$O$64,EN$158,FALSE())*EN101</f>
        <v>0</v>
      </c>
      <c r="EO199" s="197" t="n">
        <f aca="false">VLOOKUP($EE$1,'Datos Iniciales'!$E$34:$O$64,EO$158,FALSE())*EO101</f>
        <v>0</v>
      </c>
      <c r="EP199" s="194" t="str">
        <f aca="false">EE199</f>
        <v>Alumno40</v>
      </c>
      <c r="EQ199" s="208" t="n">
        <f aca="false">VLOOKUP($EP$1,'Datos Iniciales'!$E$34:$O$64,EQ$158,FALSE())*EQ101</f>
        <v>0</v>
      </c>
      <c r="ER199" s="196" t="n">
        <f aca="false">VLOOKUP($EP$1,'Datos Iniciales'!$E$34:$O$64,ER$158,FALSE())*ER101</f>
        <v>0</v>
      </c>
      <c r="ES199" s="196" t="n">
        <f aca="false">VLOOKUP($EP$1,'Datos Iniciales'!$E$34:$O$64,ES$158,FALSE())*ES101</f>
        <v>0</v>
      </c>
      <c r="ET199" s="196" t="n">
        <f aca="false">VLOOKUP($EP$1,'Datos Iniciales'!$E$34:$O$64,ET$158,FALSE())*ET101</f>
        <v>0</v>
      </c>
      <c r="EU199" s="196" t="n">
        <f aca="false">VLOOKUP($EP$1,'Datos Iniciales'!$E$34:$O$64,EU$158,FALSE())*EU101</f>
        <v>0</v>
      </c>
      <c r="EV199" s="196" t="n">
        <f aca="false">VLOOKUP($EP$1,'Datos Iniciales'!$E$34:$O$64,EV$158,FALSE())*EV101</f>
        <v>0</v>
      </c>
      <c r="EW199" s="196" t="n">
        <f aca="false">VLOOKUP($EP$1,'Datos Iniciales'!$E$34:$O$64,EW$158,FALSE())*EW101</f>
        <v>0</v>
      </c>
      <c r="EX199" s="196" t="n">
        <f aca="false">VLOOKUP($EP$1,'Datos Iniciales'!$E$34:$O$64,EX$158,FALSE())*EX101</f>
        <v>0</v>
      </c>
      <c r="EY199" s="196" t="n">
        <f aca="false">VLOOKUP($EP$1,'Datos Iniciales'!$E$34:$O$64,EY$158,FALSE())*EY101</f>
        <v>0</v>
      </c>
      <c r="EZ199" s="197" t="n">
        <f aca="false">VLOOKUP($EP$1,'Datos Iniciales'!$E$34:$O$64,EZ$158,FALSE())*EZ101</f>
        <v>0</v>
      </c>
      <c r="FA199" s="194" t="str">
        <f aca="false">EP199</f>
        <v>Alumno40</v>
      </c>
      <c r="FB199" s="208" t="n">
        <f aca="false">VLOOKUP($FA$1,'Datos Iniciales'!$E$34:$O$64,FB$158,FALSE())*FB101</f>
        <v>0</v>
      </c>
      <c r="FC199" s="196" t="n">
        <f aca="false">VLOOKUP($FA$1,'Datos Iniciales'!$E$34:$O$64,FC$158,FALSE())*FC101</f>
        <v>0</v>
      </c>
      <c r="FD199" s="196" t="n">
        <f aca="false">VLOOKUP($FA$1,'Datos Iniciales'!$E$34:$O$64,FD$158,FALSE())*FD101</f>
        <v>0</v>
      </c>
      <c r="FE199" s="196" t="n">
        <f aca="false">VLOOKUP($FA$1,'Datos Iniciales'!$E$34:$O$64,FE$158,FALSE())*FE101</f>
        <v>0</v>
      </c>
      <c r="FF199" s="196" t="n">
        <f aca="false">VLOOKUP($FA$1,'Datos Iniciales'!$E$34:$O$64,FF$158,FALSE())*FF101</f>
        <v>0</v>
      </c>
      <c r="FG199" s="196" t="n">
        <f aca="false">VLOOKUP($FA$1,'Datos Iniciales'!$E$34:$O$64,FG$158,FALSE())*FG101</f>
        <v>0</v>
      </c>
      <c r="FH199" s="196" t="n">
        <f aca="false">VLOOKUP($FA$1,'Datos Iniciales'!$E$34:$O$64,FH$158,FALSE())*FH101</f>
        <v>0</v>
      </c>
      <c r="FI199" s="196" t="n">
        <f aca="false">VLOOKUP($FA$1,'Datos Iniciales'!$E$34:$O$64,FI$158,FALSE())*FI101</f>
        <v>0</v>
      </c>
      <c r="FJ199" s="196" t="n">
        <f aca="false">VLOOKUP($FA$1,'Datos Iniciales'!$E$34:$O$64,FJ$158,FALSE())*FJ101</f>
        <v>0</v>
      </c>
      <c r="FK199" s="197" t="n">
        <f aca="false">VLOOKUP($FA$1,'Datos Iniciales'!$E$34:$O$64,FK$158,FALSE())*FK101</f>
        <v>0</v>
      </c>
      <c r="FL199" s="194" t="str">
        <f aca="false">FA199</f>
        <v>Alumno40</v>
      </c>
      <c r="FM199" s="208" t="n">
        <f aca="false">VLOOKUP($FL$1,'Datos Iniciales'!$E$34:$O$64,FM$158,FALSE())*FM101</f>
        <v>0</v>
      </c>
      <c r="FN199" s="196" t="n">
        <f aca="false">VLOOKUP($FL$1,'Datos Iniciales'!$E$34:$O$64,FN$158,FALSE())*FN101</f>
        <v>0</v>
      </c>
      <c r="FO199" s="196" t="n">
        <f aca="false">VLOOKUP($FL$1,'Datos Iniciales'!$E$34:$O$64,FO$158,FALSE())*FO101</f>
        <v>0</v>
      </c>
      <c r="FP199" s="196" t="n">
        <f aca="false">VLOOKUP($FL$1,'Datos Iniciales'!$E$34:$O$64,FP$158,FALSE())*FP101</f>
        <v>0</v>
      </c>
      <c r="FQ199" s="196" t="n">
        <f aca="false">VLOOKUP($FL$1,'Datos Iniciales'!$E$34:$O$64,FQ$158,FALSE())*FQ101</f>
        <v>0</v>
      </c>
      <c r="FR199" s="196" t="n">
        <f aca="false">VLOOKUP($FL$1,'Datos Iniciales'!$E$34:$O$64,FR$158,FALSE())*FR101</f>
        <v>0</v>
      </c>
      <c r="FS199" s="196" t="n">
        <f aca="false">VLOOKUP($FL$1,'Datos Iniciales'!$E$34:$O$64,FS$158,FALSE())*FS101</f>
        <v>0</v>
      </c>
      <c r="FT199" s="196" t="n">
        <f aca="false">VLOOKUP($FL$1,'Datos Iniciales'!$E$34:$O$64,FT$158,FALSE())*FT101</f>
        <v>0</v>
      </c>
      <c r="FU199" s="196" t="n">
        <f aca="false">VLOOKUP($FL$1,'Datos Iniciales'!$E$34:$O$64,FU$158,FALSE())*FU101</f>
        <v>0</v>
      </c>
      <c r="FV199" s="197" t="n">
        <f aca="false">VLOOKUP($FL$1,'Datos Iniciales'!$E$34:$O$64,FV$158,FALSE())*FV101</f>
        <v>0</v>
      </c>
      <c r="FW199" s="194" t="str">
        <f aca="false">FL199</f>
        <v>Alumno40</v>
      </c>
      <c r="FX199" s="208" t="n">
        <f aca="false">VLOOKUP($FW$1,'Datos Iniciales'!$E$34:$O$64,FX$158,FALSE())*FX101</f>
        <v>0</v>
      </c>
      <c r="FY199" s="196" t="n">
        <f aca="false">VLOOKUP($FW$1,'Datos Iniciales'!$E$34:$O$64,FY$158,FALSE())*FY101</f>
        <v>0</v>
      </c>
      <c r="FZ199" s="196" t="n">
        <f aca="false">VLOOKUP($FW$1,'Datos Iniciales'!$E$34:$O$64,FZ$158,FALSE())*FZ101</f>
        <v>0</v>
      </c>
      <c r="GA199" s="196" t="n">
        <f aca="false">VLOOKUP($FW$1,'Datos Iniciales'!$E$34:$O$64,GA$158,FALSE())*GA101</f>
        <v>0</v>
      </c>
      <c r="GB199" s="196" t="n">
        <f aca="false">VLOOKUP($FW$1,'Datos Iniciales'!$E$34:$O$64,GB$158,FALSE())*GB101</f>
        <v>0</v>
      </c>
      <c r="GC199" s="196" t="n">
        <f aca="false">VLOOKUP($FW$1,'Datos Iniciales'!$E$34:$O$64,GC$158,FALSE())*GC101</f>
        <v>0</v>
      </c>
      <c r="GD199" s="196" t="n">
        <f aca="false">VLOOKUP($FW$1,'Datos Iniciales'!$E$34:$O$64,GD$158,FALSE())*GD101</f>
        <v>0</v>
      </c>
      <c r="GE199" s="196" t="n">
        <f aca="false">VLOOKUP($FW$1,'Datos Iniciales'!$E$34:$O$64,GE$158,FALSE())*GE101</f>
        <v>0</v>
      </c>
      <c r="GF199" s="196" t="n">
        <f aca="false">VLOOKUP($FW$1,'Datos Iniciales'!$E$34:$O$64,GF$158,FALSE())*GF101</f>
        <v>0</v>
      </c>
      <c r="GG199" s="197" t="n">
        <f aca="false">VLOOKUP($FW$1,'Datos Iniciales'!$E$34:$O$64,GG$158,FALSE())*GG101</f>
        <v>0</v>
      </c>
      <c r="GH199" s="194" t="str">
        <f aca="false">FW199</f>
        <v>Alumno40</v>
      </c>
      <c r="GI199" s="208" t="n">
        <f aca="false">VLOOKUP($GH$1,'Datos Iniciales'!$E$34:$O$64,GI$158,FALSE())*GI101</f>
        <v>0</v>
      </c>
      <c r="GJ199" s="196" t="n">
        <f aca="false">VLOOKUP($GH$1,'Datos Iniciales'!$E$34:$O$64,GJ$158,FALSE())*GJ101</f>
        <v>0</v>
      </c>
      <c r="GK199" s="196" t="n">
        <f aca="false">VLOOKUP($GH$1,'Datos Iniciales'!$E$34:$O$64,GK$158,FALSE())*GK101</f>
        <v>0</v>
      </c>
      <c r="GL199" s="196" t="n">
        <f aca="false">VLOOKUP($GH$1,'Datos Iniciales'!$E$34:$O$64,GL$158,FALSE())*GL101</f>
        <v>0</v>
      </c>
      <c r="GM199" s="196" t="n">
        <f aca="false">VLOOKUP($GH$1,'Datos Iniciales'!$E$34:$O$64,GM$158,FALSE())*GM101</f>
        <v>0</v>
      </c>
      <c r="GN199" s="196" t="n">
        <f aca="false">VLOOKUP($GH$1,'Datos Iniciales'!$E$34:$O$64,GN$158,FALSE())*GN101</f>
        <v>0</v>
      </c>
      <c r="GO199" s="196" t="n">
        <f aca="false">VLOOKUP($GH$1,'Datos Iniciales'!$E$34:$O$64,GO$158,FALSE())*GO101</f>
        <v>0</v>
      </c>
      <c r="GP199" s="196" t="n">
        <f aca="false">VLOOKUP($GH$1,'Datos Iniciales'!$E$34:$O$64,GP$158,FALSE())*GP101</f>
        <v>0</v>
      </c>
      <c r="GQ199" s="196" t="n">
        <f aca="false">VLOOKUP($GH$1,'Datos Iniciales'!$E$34:$O$64,GQ$158,FALSE())*GQ101</f>
        <v>0</v>
      </c>
      <c r="GR199" s="197" t="n">
        <f aca="false">VLOOKUP($GH$1,'Datos Iniciales'!$E$34:$O$64,GR$158,FALSE())*GR101</f>
        <v>0</v>
      </c>
      <c r="GS199" s="194" t="str">
        <f aca="false">GH199</f>
        <v>Alumno40</v>
      </c>
      <c r="GT199" s="208" t="n">
        <f aca="false">VLOOKUP($GS$1,'Datos Iniciales'!$E$34:$O$64,GT$158,FALSE())*GT101</f>
        <v>0</v>
      </c>
      <c r="GU199" s="196" t="n">
        <f aca="false">VLOOKUP($GS$1,'Datos Iniciales'!$E$34:$O$64,GU$158,FALSE())*GU101</f>
        <v>0</v>
      </c>
      <c r="GV199" s="196" t="n">
        <f aca="false">VLOOKUP($GS$1,'Datos Iniciales'!$E$34:$O$64,GV$158,FALSE())*GV101</f>
        <v>0</v>
      </c>
      <c r="GW199" s="196" t="n">
        <f aca="false">VLOOKUP($GS$1,'Datos Iniciales'!$E$34:$O$64,GW$158,FALSE())*GW101</f>
        <v>0</v>
      </c>
      <c r="GX199" s="196" t="n">
        <f aca="false">VLOOKUP($GS$1,'Datos Iniciales'!$E$34:$O$64,GX$158,FALSE())*GX101</f>
        <v>0</v>
      </c>
      <c r="GY199" s="196" t="n">
        <f aca="false">VLOOKUP($GS$1,'Datos Iniciales'!$E$34:$O$64,GY$158,FALSE())*GY101</f>
        <v>0</v>
      </c>
      <c r="GZ199" s="196" t="n">
        <f aca="false">VLOOKUP($GS$1,'Datos Iniciales'!$E$34:$O$64,GZ$158,FALSE())*GZ101</f>
        <v>0</v>
      </c>
      <c r="HA199" s="196" t="n">
        <f aca="false">VLOOKUP($GS$1,'Datos Iniciales'!$E$34:$O$64,HA$158,FALSE())*HA101</f>
        <v>0</v>
      </c>
      <c r="HB199" s="196" t="n">
        <f aca="false">VLOOKUP($GS$1,'Datos Iniciales'!$E$34:$O$64,HB$158,FALSE())*HB101</f>
        <v>0</v>
      </c>
      <c r="HC199" s="197" t="n">
        <f aca="false">VLOOKUP($GS$1,'Datos Iniciales'!$E$34:$O$64,HC$158,FALSE())*HC101</f>
        <v>0</v>
      </c>
      <c r="HD199" s="194" t="str">
        <f aca="false">GS199</f>
        <v>Alumno40</v>
      </c>
      <c r="HE199" s="208" t="n">
        <f aca="false">VLOOKUP($HD$1,'Datos Iniciales'!$E$34:$O$64,HE$158,FALSE())*HE101</f>
        <v>0</v>
      </c>
      <c r="HF199" s="196" t="n">
        <f aca="false">VLOOKUP($HD$1,'Datos Iniciales'!$E$34:$O$64,HF$158,FALSE())*HF101</f>
        <v>0</v>
      </c>
      <c r="HG199" s="196" t="n">
        <f aca="false">VLOOKUP($HD$1,'Datos Iniciales'!$E$34:$O$64,HG$158,FALSE())*HG101</f>
        <v>0</v>
      </c>
      <c r="HH199" s="196" t="n">
        <f aca="false">VLOOKUP($HD$1,'Datos Iniciales'!$E$34:$O$64,HH$158,FALSE())*HH101</f>
        <v>0</v>
      </c>
      <c r="HI199" s="196" t="n">
        <f aca="false">VLOOKUP($HD$1,'Datos Iniciales'!$E$34:$O$64,HI$158,FALSE())*HI101</f>
        <v>0</v>
      </c>
      <c r="HJ199" s="196" t="n">
        <f aca="false">VLOOKUP($HD$1,'Datos Iniciales'!$E$34:$O$64,HJ$158,FALSE())*HJ101</f>
        <v>0</v>
      </c>
      <c r="HK199" s="196" t="n">
        <f aca="false">VLOOKUP($HD$1,'Datos Iniciales'!$E$34:$O$64,HK$158,FALSE())*HK101</f>
        <v>0</v>
      </c>
      <c r="HL199" s="196" t="n">
        <f aca="false">VLOOKUP($HD$1,'Datos Iniciales'!$E$34:$O$64,HL$158,FALSE())*HL101</f>
        <v>0</v>
      </c>
      <c r="HM199" s="196" t="n">
        <f aca="false">VLOOKUP($HD$1,'Datos Iniciales'!$E$34:$O$64,HM$158,FALSE())*HM101</f>
        <v>0</v>
      </c>
      <c r="HN199" s="197" t="n">
        <f aca="false">VLOOKUP($HD$1,'Datos Iniciales'!$E$34:$O$64,HN$158,FALSE())*HN101</f>
        <v>0</v>
      </c>
      <c r="HO199" s="194" t="str">
        <f aca="false">HD199</f>
        <v>Alumno40</v>
      </c>
      <c r="HP199" s="208" t="n">
        <f aca="false">VLOOKUP($HO$1,'Datos Iniciales'!$E$34:$O$64,HP$158,FALSE())*HP101</f>
        <v>0</v>
      </c>
      <c r="HQ199" s="196" t="n">
        <f aca="false">VLOOKUP($HO$1,'Datos Iniciales'!$E$34:$O$64,HQ$158,FALSE())*HQ101</f>
        <v>0</v>
      </c>
      <c r="HR199" s="196" t="n">
        <f aca="false">VLOOKUP($HO$1,'Datos Iniciales'!$E$34:$O$64,HR$158,FALSE())*HR101</f>
        <v>0</v>
      </c>
      <c r="HS199" s="196" t="n">
        <f aca="false">VLOOKUP($HO$1,'Datos Iniciales'!$E$34:$O$64,HS$158,FALSE())*HS101</f>
        <v>0</v>
      </c>
      <c r="HT199" s="196" t="n">
        <f aca="false">VLOOKUP($HO$1,'Datos Iniciales'!$E$34:$O$64,HT$158,FALSE())*HT101</f>
        <v>0</v>
      </c>
      <c r="HU199" s="196" t="n">
        <f aca="false">VLOOKUP($HO$1,'Datos Iniciales'!$E$34:$O$64,HU$158,FALSE())*HU101</f>
        <v>0</v>
      </c>
      <c r="HV199" s="196" t="n">
        <f aca="false">VLOOKUP($HO$1,'Datos Iniciales'!$E$34:$O$64,HV$158,FALSE())*HV101</f>
        <v>0</v>
      </c>
      <c r="HW199" s="196" t="n">
        <f aca="false">VLOOKUP($HO$1,'Datos Iniciales'!$E$34:$O$64,HW$158,FALSE())*HW101</f>
        <v>0</v>
      </c>
      <c r="HX199" s="196" t="n">
        <f aca="false">VLOOKUP($HO$1,'Datos Iniciales'!$E$34:$O$64,HX$158,FALSE())*HX101</f>
        <v>0</v>
      </c>
      <c r="HY199" s="197" t="n">
        <f aca="false">VLOOKUP($HO$1,'Datos Iniciales'!$E$34:$O$64,HY$158,FALSE())*HY101</f>
        <v>0</v>
      </c>
      <c r="HZ199" s="194" t="str">
        <f aca="false">HO199</f>
        <v>Alumno40</v>
      </c>
      <c r="IA199" s="208" t="n">
        <f aca="false">VLOOKUP($HZ$1,'Datos Iniciales'!$E$34:$O$64,IA$158,FALSE())*IA101</f>
        <v>0</v>
      </c>
      <c r="IB199" s="196" t="n">
        <f aca="false">VLOOKUP($HZ$1,'Datos Iniciales'!$E$34:$O$64,IB$158,FALSE())*IB101</f>
        <v>0</v>
      </c>
      <c r="IC199" s="196" t="n">
        <f aca="false">VLOOKUP($HZ$1,'Datos Iniciales'!$E$34:$O$64,IC$158,FALSE())*IC101</f>
        <v>0</v>
      </c>
      <c r="ID199" s="196" t="n">
        <f aca="false">VLOOKUP($HZ$1,'Datos Iniciales'!$E$34:$O$64,ID$158,FALSE())*ID101</f>
        <v>0</v>
      </c>
      <c r="IE199" s="196" t="n">
        <f aca="false">VLOOKUP($HZ$1,'Datos Iniciales'!$E$34:$O$64,IE$158,FALSE())*IE101</f>
        <v>0</v>
      </c>
      <c r="IF199" s="196" t="n">
        <f aca="false">VLOOKUP($HZ$1,'Datos Iniciales'!$E$34:$O$64,IF$158,FALSE())*IF101</f>
        <v>0</v>
      </c>
      <c r="IG199" s="196" t="n">
        <f aca="false">VLOOKUP($HZ$1,'Datos Iniciales'!$E$34:$O$64,IG$158,FALSE())*IG101</f>
        <v>0</v>
      </c>
      <c r="IH199" s="196" t="n">
        <f aca="false">VLOOKUP($HZ$1,'Datos Iniciales'!$E$34:$O$64,IH$158,FALSE())*IH101</f>
        <v>0</v>
      </c>
      <c r="II199" s="196" t="n">
        <f aca="false">VLOOKUP($HZ$1,'Datos Iniciales'!$E$34:$O$64,II$158,FALSE())*II101</f>
        <v>0</v>
      </c>
      <c r="IJ199" s="197" t="n">
        <f aca="false">VLOOKUP($HZ$1,'Datos Iniciales'!$E$34:$O$64,IJ$158,FALSE())*IJ101</f>
        <v>0</v>
      </c>
      <c r="IK199" s="194" t="str">
        <f aca="false">HZ199</f>
        <v>Alumno40</v>
      </c>
      <c r="IL199" s="208" t="n">
        <f aca="false">VLOOKUP($IK$1,'Datos Iniciales'!$E$34:$O$64,IL$158,FALSE())*IL101</f>
        <v>0</v>
      </c>
      <c r="IM199" s="196" t="n">
        <f aca="false">VLOOKUP($IK$1,'Datos Iniciales'!$E$34:$O$64,IM$158,FALSE())*IM101</f>
        <v>0</v>
      </c>
      <c r="IN199" s="196" t="n">
        <f aca="false">VLOOKUP($IK$1,'Datos Iniciales'!$E$34:$O$64,IN$158,FALSE())*IN101</f>
        <v>0</v>
      </c>
      <c r="IO199" s="196" t="n">
        <f aca="false">VLOOKUP($IK$1,'Datos Iniciales'!$E$34:$O$64,IO$158,FALSE())*IO101</f>
        <v>0</v>
      </c>
      <c r="IP199" s="196" t="n">
        <f aca="false">VLOOKUP($IK$1,'Datos Iniciales'!$E$34:$O$64,IP$158,FALSE())*IP101</f>
        <v>0</v>
      </c>
      <c r="IQ199" s="196" t="n">
        <f aca="false">VLOOKUP($IK$1,'Datos Iniciales'!$E$34:$O$64,IQ$158,FALSE())*IQ101</f>
        <v>0</v>
      </c>
      <c r="IR199" s="196" t="n">
        <f aca="false">VLOOKUP($IK$1,'Datos Iniciales'!$E$34:$O$64,IR$158,FALSE())*IR101</f>
        <v>0</v>
      </c>
      <c r="IS199" s="196" t="n">
        <f aca="false">VLOOKUP($IK$1,'Datos Iniciales'!$E$34:$O$64,IS$158,FALSE())*IS101</f>
        <v>0</v>
      </c>
      <c r="IT199" s="196" t="n">
        <f aca="false">VLOOKUP($IK$1,'Datos Iniciales'!$E$34:$O$64,IT$158,FALSE())*IT101</f>
        <v>0</v>
      </c>
      <c r="IU199" s="197" t="n">
        <f aca="false">VLOOKUP($IK$1,'Datos Iniciales'!$E$34:$O$64,IU$158,FALSE())*IU101</f>
        <v>0</v>
      </c>
      <c r="IV199" s="194" t="str">
        <f aca="false">IK199</f>
        <v>Alumno40</v>
      </c>
      <c r="IW199" s="208" t="n">
        <f aca="false">VLOOKUP($IV$1,'Datos Iniciales'!$E$34:$O$64,IW$158,FALSE())*IW101</f>
        <v>0</v>
      </c>
      <c r="IX199" s="196" t="n">
        <f aca="false">VLOOKUP($IV$1,'Datos Iniciales'!$E$34:$O$64,IX$158,FALSE())*IX101</f>
        <v>0</v>
      </c>
      <c r="IY199" s="196" t="n">
        <f aca="false">VLOOKUP($IV$1,'Datos Iniciales'!$E$34:$O$64,IY$158,FALSE())*IY101</f>
        <v>0</v>
      </c>
      <c r="IZ199" s="196" t="n">
        <f aca="false">VLOOKUP($IV$1,'Datos Iniciales'!$E$34:$O$64,IZ$158,FALSE())*IZ101</f>
        <v>0</v>
      </c>
      <c r="JA199" s="196" t="n">
        <f aca="false">VLOOKUP($IV$1,'Datos Iniciales'!$E$34:$O$64,JA$158,FALSE())*JA101</f>
        <v>0</v>
      </c>
      <c r="JB199" s="196" t="n">
        <f aca="false">VLOOKUP($IV$1,'Datos Iniciales'!$E$34:$O$64,JB$158,FALSE())*JB101</f>
        <v>0</v>
      </c>
      <c r="JC199" s="196" t="n">
        <f aca="false">VLOOKUP($IV$1,'Datos Iniciales'!$E$34:$O$64,JC$158,FALSE())*JC101</f>
        <v>0</v>
      </c>
      <c r="JD199" s="196" t="n">
        <f aca="false">VLOOKUP($IV$1,'Datos Iniciales'!$E$34:$O$64,JD$158,FALSE())*JD101</f>
        <v>0</v>
      </c>
      <c r="JE199" s="196" t="n">
        <f aca="false">VLOOKUP($IV$1,'Datos Iniciales'!$E$34:$O$64,JE$158,FALSE())*JE101</f>
        <v>0</v>
      </c>
      <c r="JF199" s="197" t="n">
        <f aca="false">VLOOKUP($IV$1,'Datos Iniciales'!$E$34:$O$64,JF$158,FALSE())*JF101</f>
        <v>0</v>
      </c>
      <c r="JG199" s="194" t="str">
        <f aca="false">IV199</f>
        <v>Alumno40</v>
      </c>
      <c r="JH199" s="208" t="n">
        <f aca="false">VLOOKUP($JG$1,'Datos Iniciales'!$E$34:$O$64,JH$158,FALSE())*JH101</f>
        <v>0</v>
      </c>
      <c r="JI199" s="196" t="n">
        <f aca="false">VLOOKUP($JG$1,'Datos Iniciales'!$E$34:$O$64,JI$158,FALSE())*JI101</f>
        <v>0</v>
      </c>
      <c r="JJ199" s="196" t="n">
        <f aca="false">VLOOKUP($JG$1,'Datos Iniciales'!$E$34:$O$64,JJ$158,FALSE())*JJ101</f>
        <v>0</v>
      </c>
      <c r="JK199" s="196" t="n">
        <f aca="false">VLOOKUP($JG$1,'Datos Iniciales'!$E$34:$O$64,JK$158,FALSE())*JK101</f>
        <v>0</v>
      </c>
      <c r="JL199" s="196" t="n">
        <f aca="false">VLOOKUP($JG$1,'Datos Iniciales'!$E$34:$O$64,JL$158,FALSE())*JL101</f>
        <v>0</v>
      </c>
      <c r="JM199" s="196" t="n">
        <f aca="false">VLOOKUP($JG$1,'Datos Iniciales'!$E$34:$O$64,JM$158,FALSE())*JM101</f>
        <v>0</v>
      </c>
      <c r="JN199" s="196" t="n">
        <f aca="false">VLOOKUP($JG$1,'Datos Iniciales'!$E$34:$O$64,JN$158,FALSE())*JN101</f>
        <v>0</v>
      </c>
      <c r="JO199" s="196" t="n">
        <f aca="false">VLOOKUP($JG$1,'Datos Iniciales'!$E$34:$O$64,JO$158,FALSE())*JO101</f>
        <v>0</v>
      </c>
      <c r="JP199" s="196" t="n">
        <f aca="false">VLOOKUP($JG$1,'Datos Iniciales'!$E$34:$O$64,JP$158,FALSE())*JP101</f>
        <v>0</v>
      </c>
      <c r="JQ199" s="197" t="n">
        <f aca="false">VLOOKUP($JG$1,'Datos Iniciales'!$E$34:$O$64,JQ$158,FALSE())*JQ101</f>
        <v>0</v>
      </c>
      <c r="JR199" s="194" t="str">
        <f aca="false">JG199</f>
        <v>Alumno40</v>
      </c>
      <c r="JS199" s="208" t="n">
        <f aca="false">VLOOKUP($JR$1,'Datos Iniciales'!$E$34:$O$64,JS$158,FALSE())*JS101</f>
        <v>0</v>
      </c>
      <c r="JT199" s="196" t="n">
        <f aca="false">VLOOKUP($JR$1,'Datos Iniciales'!$E$34:$O$64,JT$158,FALSE())*JT101</f>
        <v>0</v>
      </c>
      <c r="JU199" s="196" t="n">
        <f aca="false">VLOOKUP($JR$1,'Datos Iniciales'!$E$34:$O$64,JU$158,FALSE())*JU101</f>
        <v>0</v>
      </c>
      <c r="JV199" s="196" t="n">
        <f aca="false">VLOOKUP($JR$1,'Datos Iniciales'!$E$34:$O$64,JV$158,FALSE())*JV101</f>
        <v>0</v>
      </c>
      <c r="JW199" s="196" t="n">
        <f aca="false">VLOOKUP($JR$1,'Datos Iniciales'!$E$34:$O$64,JW$158,FALSE())*JW101</f>
        <v>0</v>
      </c>
      <c r="JX199" s="196" t="n">
        <f aca="false">VLOOKUP($JR$1,'Datos Iniciales'!$E$34:$O$64,JX$158,FALSE())*JX101</f>
        <v>0</v>
      </c>
      <c r="JY199" s="196" t="n">
        <f aca="false">VLOOKUP($JR$1,'Datos Iniciales'!$E$34:$O$64,JY$158,FALSE())*JY101</f>
        <v>0</v>
      </c>
      <c r="JZ199" s="196" t="n">
        <f aca="false">VLOOKUP($JR$1,'Datos Iniciales'!$E$34:$O$64,JZ$158,FALSE())*JZ101</f>
        <v>0</v>
      </c>
      <c r="KA199" s="196" t="n">
        <f aca="false">VLOOKUP($JR$1,'Datos Iniciales'!$E$34:$O$64,KA$158,FALSE())*KA101</f>
        <v>0</v>
      </c>
      <c r="KB199" s="197" t="n">
        <f aca="false">VLOOKUP($JR$1,'Datos Iniciales'!$E$34:$O$64,KB$158,FALSE())*KB101</f>
        <v>0</v>
      </c>
      <c r="KC199" s="194" t="str">
        <f aca="false">JR199</f>
        <v>Alumno40</v>
      </c>
      <c r="KD199" s="208" t="n">
        <f aca="false">VLOOKUP($KC$1,'Datos Iniciales'!$E$34:$O$64,KD$158,FALSE())*KD101</f>
        <v>0</v>
      </c>
      <c r="KE199" s="196" t="n">
        <f aca="false">VLOOKUP($KC$1,'Datos Iniciales'!$E$34:$O$64,KE$158,FALSE())*KE101</f>
        <v>0</v>
      </c>
      <c r="KF199" s="196" t="n">
        <f aca="false">VLOOKUP($KC$1,'Datos Iniciales'!$E$34:$O$64,KF$158,FALSE())*KF101</f>
        <v>0</v>
      </c>
      <c r="KG199" s="196" t="n">
        <f aca="false">VLOOKUP($KC$1,'Datos Iniciales'!$E$34:$O$64,KG$158,FALSE())*KG101</f>
        <v>0</v>
      </c>
      <c r="KH199" s="196" t="n">
        <f aca="false">VLOOKUP($KC$1,'Datos Iniciales'!$E$34:$O$64,KH$158,FALSE())*KH101</f>
        <v>0</v>
      </c>
      <c r="KI199" s="196" t="n">
        <f aca="false">VLOOKUP($KC$1,'Datos Iniciales'!$E$34:$O$64,KI$158,FALSE())*KI101</f>
        <v>0</v>
      </c>
      <c r="KJ199" s="196" t="n">
        <f aca="false">VLOOKUP($KC$1,'Datos Iniciales'!$E$34:$O$64,KJ$158,FALSE())*KJ101</f>
        <v>0</v>
      </c>
      <c r="KK199" s="196" t="n">
        <f aca="false">VLOOKUP($KC$1,'Datos Iniciales'!$E$34:$O$64,KK$158,FALSE())*KK101</f>
        <v>0</v>
      </c>
      <c r="KL199" s="196" t="n">
        <f aca="false">VLOOKUP($KC$1,'Datos Iniciales'!$E$34:$O$64,KL$158,FALSE())*KL101</f>
        <v>0</v>
      </c>
      <c r="KM199" s="197" t="n">
        <f aca="false">VLOOKUP($KC$1,'Datos Iniciales'!$E$34:$O$64,KM$158,FALSE())*KM101</f>
        <v>0</v>
      </c>
      <c r="KN199" s="194" t="str">
        <f aca="false">KC199</f>
        <v>Alumno40</v>
      </c>
      <c r="KO199" s="208" t="n">
        <f aca="false">VLOOKUP($KN$1,'Datos Iniciales'!$E$34:$O$64,KO$158,FALSE())*KO101</f>
        <v>0</v>
      </c>
      <c r="KP199" s="196" t="n">
        <f aca="false">VLOOKUP($KN$1,'Datos Iniciales'!$E$34:$O$64,KP$158,FALSE())*KP101</f>
        <v>0</v>
      </c>
      <c r="KQ199" s="196" t="n">
        <f aca="false">VLOOKUP($KN$1,'Datos Iniciales'!$E$34:$O$64,KQ$158,FALSE())*KQ101</f>
        <v>0</v>
      </c>
      <c r="KR199" s="196" t="n">
        <f aca="false">VLOOKUP($KN$1,'Datos Iniciales'!$E$34:$O$64,KR$158,FALSE())*KR101</f>
        <v>0</v>
      </c>
      <c r="KS199" s="196" t="n">
        <f aca="false">VLOOKUP($KN$1,'Datos Iniciales'!$E$34:$O$64,KS$158,FALSE())*KS101</f>
        <v>0</v>
      </c>
      <c r="KT199" s="196" t="n">
        <f aca="false">VLOOKUP($KN$1,'Datos Iniciales'!$E$34:$O$64,KT$158,FALSE())*KT101</f>
        <v>0</v>
      </c>
      <c r="KU199" s="196" t="n">
        <f aca="false">VLOOKUP($KN$1,'Datos Iniciales'!$E$34:$O$64,KU$158,FALSE())*KU101</f>
        <v>0</v>
      </c>
      <c r="KV199" s="196" t="n">
        <f aca="false">VLOOKUP($KN$1,'Datos Iniciales'!$E$34:$O$64,KV$158,FALSE())*KV101</f>
        <v>0</v>
      </c>
      <c r="KW199" s="196" t="n">
        <f aca="false">VLOOKUP($KN$1,'Datos Iniciales'!$E$34:$O$64,KW$158,FALSE())*KW101</f>
        <v>0</v>
      </c>
      <c r="KX199" s="197" t="n">
        <f aca="false">VLOOKUP($KN$1,'Datos Iniciales'!$E$34:$O$64,KX$158,FALSE())*KX101</f>
        <v>0</v>
      </c>
      <c r="KY199" s="194" t="str">
        <f aca="false">KN199</f>
        <v>Alumno40</v>
      </c>
      <c r="KZ199" s="208" t="n">
        <f aca="false">VLOOKUP($KY$1,'Datos Iniciales'!$E$34:$O$64,KZ$158,FALSE())*KZ101</f>
        <v>0</v>
      </c>
      <c r="LA199" s="196" t="n">
        <f aca="false">VLOOKUP($KY$1,'Datos Iniciales'!$E$34:$O$64,LA$158,FALSE())*LA101</f>
        <v>0</v>
      </c>
      <c r="LB199" s="196" t="n">
        <f aca="false">VLOOKUP($KY$1,'Datos Iniciales'!$E$34:$O$64,LB$158,FALSE())*LB101</f>
        <v>0</v>
      </c>
      <c r="LC199" s="196" t="n">
        <f aca="false">VLOOKUP($KY$1,'Datos Iniciales'!$E$34:$O$64,LC$158,FALSE())*LC101</f>
        <v>0</v>
      </c>
      <c r="LD199" s="196" t="n">
        <f aca="false">VLOOKUP($KY$1,'Datos Iniciales'!$E$34:$O$64,LD$158,FALSE())*LD101</f>
        <v>0</v>
      </c>
      <c r="LE199" s="196" t="n">
        <f aca="false">VLOOKUP($KY$1,'Datos Iniciales'!$E$34:$O$64,LE$158,FALSE())*LE101</f>
        <v>0</v>
      </c>
      <c r="LF199" s="196" t="n">
        <f aca="false">VLOOKUP($KY$1,'Datos Iniciales'!$E$34:$O$64,LF$158,FALSE())*LF101</f>
        <v>0</v>
      </c>
      <c r="LG199" s="196" t="n">
        <f aca="false">VLOOKUP($KY$1,'Datos Iniciales'!$E$34:$O$64,LG$158,FALSE())*LG101</f>
        <v>0</v>
      </c>
      <c r="LH199" s="196" t="n">
        <f aca="false">VLOOKUP($KY$1,'Datos Iniciales'!$E$34:$O$64,LH$158,FALSE())*LH101</f>
        <v>0</v>
      </c>
      <c r="LI199" s="197" t="n">
        <f aca="false">VLOOKUP($KY$1,'Datos Iniciales'!$E$34:$O$64,LI$158,FALSE())*LI101</f>
        <v>0</v>
      </c>
      <c r="LJ199" s="194" t="str">
        <f aca="false">KY199</f>
        <v>Alumno40</v>
      </c>
      <c r="LK199" s="208" t="n">
        <f aca="false">VLOOKUP($LJ$1,'Datos Iniciales'!$E$34:$O$64,LK$158,FALSE())*LK101</f>
        <v>0</v>
      </c>
      <c r="LL199" s="196" t="n">
        <f aca="false">VLOOKUP($LJ$1,'Datos Iniciales'!$E$34:$O$64,LL$158,FALSE())*LL101</f>
        <v>0</v>
      </c>
      <c r="LM199" s="196" t="n">
        <f aca="false">VLOOKUP($LJ$1,'Datos Iniciales'!$E$34:$O$64,LM$158,FALSE())*LM101</f>
        <v>0</v>
      </c>
      <c r="LN199" s="196" t="n">
        <f aca="false">VLOOKUP($LJ$1,'Datos Iniciales'!$E$34:$O$64,LN$158,FALSE())*LN101</f>
        <v>0</v>
      </c>
      <c r="LO199" s="196" t="n">
        <f aca="false">VLOOKUP($LJ$1,'Datos Iniciales'!$E$34:$O$64,LO$158,FALSE())*LO101</f>
        <v>0</v>
      </c>
      <c r="LP199" s="196" t="n">
        <f aca="false">VLOOKUP($LJ$1,'Datos Iniciales'!$E$34:$O$64,LP$158,FALSE())*LP101</f>
        <v>0</v>
      </c>
      <c r="LQ199" s="196" t="n">
        <f aca="false">VLOOKUP($LJ$1,'Datos Iniciales'!$E$34:$O$64,LQ$158,FALSE())*LQ101</f>
        <v>0</v>
      </c>
      <c r="LR199" s="196" t="n">
        <f aca="false">VLOOKUP($LJ$1,'Datos Iniciales'!$E$34:$O$64,LR$158,FALSE())*LR101</f>
        <v>0</v>
      </c>
      <c r="LS199" s="196" t="n">
        <f aca="false">VLOOKUP($LJ$1,'Datos Iniciales'!$E$34:$O$64,LS$158,FALSE())*LS101</f>
        <v>0</v>
      </c>
      <c r="LT199" s="197" t="n">
        <f aca="false">VLOOKUP($LJ$1,'Datos Iniciales'!$E$34:$O$64,LT$158,FALSE())*LT101</f>
        <v>0</v>
      </c>
    </row>
    <row r="200" customFormat="false" ht="15" hidden="true" customHeight="false" outlineLevel="0" collapsed="false">
      <c r="C200" s="194" t="str">
        <f aca="false">C151</f>
        <v>Alumno41</v>
      </c>
      <c r="D200" s="208" t="n">
        <f aca="false">VLOOKUP($C$1,'Datos Iniciales'!$E$34:$O$64,D$158,FALSE())*D102</f>
        <v>0</v>
      </c>
      <c r="E200" s="196" t="n">
        <f aca="false">VLOOKUP($C$1,'Datos Iniciales'!$E$34:$O$64,E$158,FALSE())*E102</f>
        <v>0</v>
      </c>
      <c r="F200" s="196" t="n">
        <f aca="false">VLOOKUP($C$1,'Datos Iniciales'!$E$34:$O$64,F$158,FALSE())*F102</f>
        <v>0</v>
      </c>
      <c r="G200" s="196" t="n">
        <f aca="false">VLOOKUP($C$1,'Datos Iniciales'!$E$34:$O$64,G$158,FALSE())*G102</f>
        <v>0</v>
      </c>
      <c r="H200" s="196" t="n">
        <f aca="false">VLOOKUP($C$1,'Datos Iniciales'!$E$34:$O$64,H$158,FALSE())*H102</f>
        <v>0</v>
      </c>
      <c r="I200" s="196" t="n">
        <f aca="false">VLOOKUP($C$1,'Datos Iniciales'!$E$34:$O$64,I$158,FALSE())*I102</f>
        <v>0</v>
      </c>
      <c r="J200" s="196" t="n">
        <f aca="false">VLOOKUP($C$1,'Datos Iniciales'!$E$34:$O$64,J$158,FALSE())*J102</f>
        <v>0</v>
      </c>
      <c r="K200" s="196" t="n">
        <f aca="false">VLOOKUP($C$1,'Datos Iniciales'!$E$34:$O$64,K$158,FALSE())*K102</f>
        <v>0</v>
      </c>
      <c r="L200" s="196" t="n">
        <f aca="false">VLOOKUP($C$1,'Datos Iniciales'!$E$34:$O$64,L$158,FALSE())*L102</f>
        <v>0</v>
      </c>
      <c r="M200" s="197" t="n">
        <f aca="false">VLOOKUP($C$1,'Datos Iniciales'!$E$34:$O$64,M$158,FALSE())*M102</f>
        <v>0</v>
      </c>
      <c r="N200" s="194" t="str">
        <f aca="false">C200</f>
        <v>Alumno41</v>
      </c>
      <c r="O200" s="208" t="n">
        <f aca="false">VLOOKUP($N$1,'Datos Iniciales'!$E$34:$O$64,O$158,FALSE())*O102</f>
        <v>0</v>
      </c>
      <c r="P200" s="196" t="n">
        <f aca="false">VLOOKUP($N$1,'Datos Iniciales'!$E$34:$O$64,P$158,FALSE())*P102</f>
        <v>0</v>
      </c>
      <c r="Q200" s="196" t="n">
        <f aca="false">VLOOKUP($N$1,'Datos Iniciales'!$E$34:$O$64,Q$158,FALSE())*Q102</f>
        <v>0</v>
      </c>
      <c r="R200" s="196" t="n">
        <f aca="false">VLOOKUP($N$1,'Datos Iniciales'!$E$34:$O$64,R$158,FALSE())*R102</f>
        <v>0</v>
      </c>
      <c r="S200" s="196" t="n">
        <f aca="false">VLOOKUP($N$1,'Datos Iniciales'!$E$34:$O$64,S$158,FALSE())*S102</f>
        <v>0</v>
      </c>
      <c r="T200" s="196" t="n">
        <f aca="false">VLOOKUP($N$1,'Datos Iniciales'!$E$34:$O$64,T$158,FALSE())*T102</f>
        <v>0</v>
      </c>
      <c r="U200" s="196" t="n">
        <f aca="false">VLOOKUP($N$1,'Datos Iniciales'!$E$34:$O$64,U$158,FALSE())*U102</f>
        <v>0</v>
      </c>
      <c r="V200" s="196" t="n">
        <f aca="false">VLOOKUP($N$1,'Datos Iniciales'!$E$34:$O$64,V$158,FALSE())*V102</f>
        <v>0</v>
      </c>
      <c r="W200" s="196" t="n">
        <f aca="false">VLOOKUP($N$1,'Datos Iniciales'!$E$34:$O$64,W$158,FALSE())*W102</f>
        <v>0</v>
      </c>
      <c r="X200" s="197" t="n">
        <f aca="false">VLOOKUP($N$1,'Datos Iniciales'!$E$34:$O$64,X$158,FALSE())*X102</f>
        <v>0</v>
      </c>
      <c r="Y200" s="194" t="str">
        <f aca="false">N200</f>
        <v>Alumno41</v>
      </c>
      <c r="Z200" s="208" t="n">
        <f aca="false">VLOOKUP($Y$1,'Datos Iniciales'!$E$34:$O$64,Z$158,FALSE())*Z102</f>
        <v>0</v>
      </c>
      <c r="AA200" s="196" t="n">
        <f aca="false">VLOOKUP($Y$1,'Datos Iniciales'!$E$34:$O$64,AA$158,FALSE())*AA102</f>
        <v>0</v>
      </c>
      <c r="AB200" s="196" t="n">
        <f aca="false">VLOOKUP($Y$1,'Datos Iniciales'!$E$34:$O$64,AB$158,FALSE())*AB102</f>
        <v>0</v>
      </c>
      <c r="AC200" s="196" t="n">
        <f aca="false">VLOOKUP($Y$1,'Datos Iniciales'!$E$34:$O$64,AC$158,FALSE())*AC102</f>
        <v>0</v>
      </c>
      <c r="AD200" s="196" t="n">
        <f aca="false">VLOOKUP($Y$1,'Datos Iniciales'!$E$34:$O$64,AD$158,FALSE())*AD102</f>
        <v>0</v>
      </c>
      <c r="AE200" s="196" t="n">
        <f aca="false">VLOOKUP($Y$1,'Datos Iniciales'!$E$34:$O$64,AE$158,FALSE())*AE102</f>
        <v>0</v>
      </c>
      <c r="AF200" s="196" t="n">
        <f aca="false">VLOOKUP($Y$1,'Datos Iniciales'!$E$34:$O$64,AF$158,FALSE())*AF102</f>
        <v>0</v>
      </c>
      <c r="AG200" s="196" t="n">
        <f aca="false">VLOOKUP($Y$1,'Datos Iniciales'!$E$34:$O$64,AG$158,FALSE())*AG102</f>
        <v>0</v>
      </c>
      <c r="AH200" s="196" t="n">
        <f aca="false">VLOOKUP($Y$1,'Datos Iniciales'!$E$34:$O$64,AH$158,FALSE())*AH102</f>
        <v>0</v>
      </c>
      <c r="AI200" s="197" t="n">
        <f aca="false">VLOOKUP($Y$1,'Datos Iniciales'!$E$34:$O$64,AI$158,FALSE())*AI102</f>
        <v>0</v>
      </c>
      <c r="AJ200" s="194" t="str">
        <f aca="false">Y200</f>
        <v>Alumno41</v>
      </c>
      <c r="AK200" s="208" t="n">
        <f aca="false">VLOOKUP($AJ$1,'Datos Iniciales'!$E$34:$O$64,AK$158,FALSE())*AK102</f>
        <v>0</v>
      </c>
      <c r="AL200" s="196" t="n">
        <f aca="false">VLOOKUP($AJ$1,'Datos Iniciales'!$E$34:$O$64,AL$158,FALSE())*AL102</f>
        <v>0</v>
      </c>
      <c r="AM200" s="196" t="n">
        <f aca="false">VLOOKUP($AJ$1,'Datos Iniciales'!$E$34:$O$64,AM$158,FALSE())*AM102</f>
        <v>0</v>
      </c>
      <c r="AN200" s="196" t="n">
        <f aca="false">VLOOKUP($AJ$1,'Datos Iniciales'!$E$34:$O$64,AN$158,FALSE())*AN102</f>
        <v>0</v>
      </c>
      <c r="AO200" s="196" t="n">
        <f aca="false">VLOOKUP($AJ$1,'Datos Iniciales'!$E$34:$O$64,AO$158,FALSE())*AO102</f>
        <v>0</v>
      </c>
      <c r="AP200" s="196" t="n">
        <f aca="false">VLOOKUP($AJ$1,'Datos Iniciales'!$E$34:$O$64,AP$158,FALSE())*AP102</f>
        <v>0</v>
      </c>
      <c r="AQ200" s="196" t="n">
        <f aca="false">VLOOKUP($AJ$1,'Datos Iniciales'!$E$34:$O$64,AQ$158,FALSE())*AQ102</f>
        <v>0</v>
      </c>
      <c r="AR200" s="196" t="n">
        <f aca="false">VLOOKUP($AJ$1,'Datos Iniciales'!$E$34:$O$64,AR$158,FALSE())*AR102</f>
        <v>0</v>
      </c>
      <c r="AS200" s="196" t="n">
        <f aca="false">VLOOKUP($AJ$1,'Datos Iniciales'!$E$34:$O$64,AS$158,FALSE())*AS102</f>
        <v>0</v>
      </c>
      <c r="AT200" s="197" t="n">
        <f aca="false">VLOOKUP($AJ$1,'Datos Iniciales'!$E$34:$O$64,AT$158,FALSE())*AT102</f>
        <v>0</v>
      </c>
      <c r="AU200" s="194" t="str">
        <f aca="false">AJ200</f>
        <v>Alumno41</v>
      </c>
      <c r="AV200" s="208" t="n">
        <f aca="false">VLOOKUP($AU$1,'Datos Iniciales'!$E$34:$O$64,AV$158,FALSE())*AV102</f>
        <v>0</v>
      </c>
      <c r="AW200" s="196" t="n">
        <f aca="false">VLOOKUP($AU$1,'Datos Iniciales'!$E$34:$O$64,AW$158,FALSE())*AW102</f>
        <v>0</v>
      </c>
      <c r="AX200" s="196" t="n">
        <f aca="false">VLOOKUP($AU$1,'Datos Iniciales'!$E$34:$O$64,AX$158,FALSE())*AX102</f>
        <v>0</v>
      </c>
      <c r="AY200" s="196" t="n">
        <f aca="false">VLOOKUP($AU$1,'Datos Iniciales'!$E$34:$O$64,AY$158,FALSE())*AY102</f>
        <v>0</v>
      </c>
      <c r="AZ200" s="196" t="n">
        <f aca="false">VLOOKUP($AU$1,'Datos Iniciales'!$E$34:$O$64,AZ$158,FALSE())*AZ102</f>
        <v>0</v>
      </c>
      <c r="BA200" s="196" t="n">
        <f aca="false">VLOOKUP($AU$1,'Datos Iniciales'!$E$34:$O$64,BA$158,FALSE())*BA102</f>
        <v>0</v>
      </c>
      <c r="BB200" s="196" t="n">
        <f aca="false">VLOOKUP($AU$1,'Datos Iniciales'!$E$34:$O$64,BB$158,FALSE())*BB102</f>
        <v>0</v>
      </c>
      <c r="BC200" s="196" t="n">
        <f aca="false">VLOOKUP($AU$1,'Datos Iniciales'!$E$34:$O$64,BC$158,FALSE())*BC102</f>
        <v>0</v>
      </c>
      <c r="BD200" s="196" t="n">
        <f aca="false">VLOOKUP($AU$1,'Datos Iniciales'!$E$34:$O$64,BD$158,FALSE())*BD102</f>
        <v>0</v>
      </c>
      <c r="BE200" s="197" t="n">
        <f aca="false">VLOOKUP($AU$1,'Datos Iniciales'!$E$34:$O$64,BE$158,FALSE())*BE102</f>
        <v>0</v>
      </c>
      <c r="BF200" s="194" t="str">
        <f aca="false">AU200</f>
        <v>Alumno41</v>
      </c>
      <c r="BG200" s="208" t="n">
        <f aca="false">VLOOKUP($BF$1,'Datos Iniciales'!$E$34:$O$64,BG$158,FALSE())*BG102</f>
        <v>0</v>
      </c>
      <c r="BH200" s="196" t="n">
        <f aca="false">VLOOKUP($BF$1,'Datos Iniciales'!$E$34:$O$64,BH$158,FALSE())*BH102</f>
        <v>0</v>
      </c>
      <c r="BI200" s="196" t="n">
        <f aca="false">VLOOKUP($BF$1,'Datos Iniciales'!$E$34:$O$64,BI$158,FALSE())*BI102</f>
        <v>0</v>
      </c>
      <c r="BJ200" s="196" t="n">
        <f aca="false">VLOOKUP($BF$1,'Datos Iniciales'!$E$34:$O$64,BJ$158,FALSE())*BJ102</f>
        <v>0</v>
      </c>
      <c r="BK200" s="196" t="n">
        <f aca="false">VLOOKUP($BF$1,'Datos Iniciales'!$E$34:$O$64,BK$158,FALSE())*BK102</f>
        <v>0</v>
      </c>
      <c r="BL200" s="196" t="n">
        <f aca="false">VLOOKUP($BF$1,'Datos Iniciales'!$E$34:$O$64,BL$158,FALSE())*BL102</f>
        <v>0</v>
      </c>
      <c r="BM200" s="196" t="n">
        <f aca="false">VLOOKUP($BF$1,'Datos Iniciales'!$E$34:$O$64,BM$158,FALSE())*BM102</f>
        <v>0</v>
      </c>
      <c r="BN200" s="196" t="n">
        <f aca="false">VLOOKUP($BF$1,'Datos Iniciales'!$E$34:$O$64,BN$158,FALSE())*BN102</f>
        <v>0</v>
      </c>
      <c r="BO200" s="196" t="n">
        <f aca="false">VLOOKUP($BF$1,'Datos Iniciales'!$E$34:$O$64,BO$158,FALSE())*BO102</f>
        <v>0</v>
      </c>
      <c r="BP200" s="197" t="n">
        <f aca="false">VLOOKUP($BF$1,'Datos Iniciales'!$E$34:$O$64,BP$158,FALSE())*BP102</f>
        <v>0</v>
      </c>
      <c r="BQ200" s="194" t="str">
        <f aca="false">BF200</f>
        <v>Alumno41</v>
      </c>
      <c r="BR200" s="208" t="n">
        <f aca="false">VLOOKUP($BQ$1,'Datos Iniciales'!$E$34:$O$64,BR$158,FALSE())*BR102</f>
        <v>0</v>
      </c>
      <c r="BS200" s="196" t="n">
        <f aca="false">VLOOKUP($BQ$1,'Datos Iniciales'!$E$34:$O$64,BS$158,FALSE())*BS102</f>
        <v>0</v>
      </c>
      <c r="BT200" s="196" t="n">
        <f aca="false">VLOOKUP($BQ$1,'Datos Iniciales'!$E$34:$O$64,BT$158,FALSE())*BT102</f>
        <v>0</v>
      </c>
      <c r="BU200" s="196" t="n">
        <f aca="false">VLOOKUP($BQ$1,'Datos Iniciales'!$E$34:$O$64,BU$158,FALSE())*BU102</f>
        <v>0</v>
      </c>
      <c r="BV200" s="196" t="n">
        <f aca="false">VLOOKUP($BQ$1,'Datos Iniciales'!$E$34:$O$64,BV$158,FALSE())*BV102</f>
        <v>0</v>
      </c>
      <c r="BW200" s="196" t="n">
        <f aca="false">VLOOKUP($BQ$1,'Datos Iniciales'!$E$34:$O$64,BW$158,FALSE())*BW102</f>
        <v>0</v>
      </c>
      <c r="BX200" s="196" t="n">
        <f aca="false">VLOOKUP($BQ$1,'Datos Iniciales'!$E$34:$O$64,BX$158,FALSE())*BX102</f>
        <v>0</v>
      </c>
      <c r="BY200" s="196" t="n">
        <f aca="false">VLOOKUP($BQ$1,'Datos Iniciales'!$E$34:$O$64,BY$158,FALSE())*BY102</f>
        <v>0</v>
      </c>
      <c r="BZ200" s="196" t="n">
        <f aca="false">VLOOKUP($BQ$1,'Datos Iniciales'!$E$34:$O$64,BZ$158,FALSE())*BZ102</f>
        <v>0</v>
      </c>
      <c r="CA200" s="197" t="n">
        <f aca="false">VLOOKUP($BQ$1,'Datos Iniciales'!$E$34:$O$64,CA$158,FALSE())*CA102</f>
        <v>0</v>
      </c>
      <c r="CB200" s="194" t="str">
        <f aca="false">BQ200</f>
        <v>Alumno41</v>
      </c>
      <c r="CC200" s="208" t="n">
        <f aca="false">VLOOKUP($CB$1,'Datos Iniciales'!$E$34:$O$64,CC$158,FALSE())*CC102</f>
        <v>0</v>
      </c>
      <c r="CD200" s="196" t="n">
        <f aca="false">VLOOKUP($CB$1,'Datos Iniciales'!$E$34:$O$64,CD$158,FALSE())*CD102</f>
        <v>0</v>
      </c>
      <c r="CE200" s="196" t="n">
        <f aca="false">VLOOKUP($CB$1,'Datos Iniciales'!$E$34:$O$64,CE$158,FALSE())*CE102</f>
        <v>0</v>
      </c>
      <c r="CF200" s="196" t="n">
        <f aca="false">VLOOKUP($CB$1,'Datos Iniciales'!$E$34:$O$64,CF$158,FALSE())*CF102</f>
        <v>0</v>
      </c>
      <c r="CG200" s="196" t="n">
        <f aca="false">VLOOKUP($CB$1,'Datos Iniciales'!$E$34:$O$64,CG$158,FALSE())*CG102</f>
        <v>0</v>
      </c>
      <c r="CH200" s="196" t="n">
        <f aca="false">VLOOKUP($CB$1,'Datos Iniciales'!$E$34:$O$64,CH$158,FALSE())*CH102</f>
        <v>0</v>
      </c>
      <c r="CI200" s="196" t="n">
        <f aca="false">VLOOKUP($CB$1,'Datos Iniciales'!$E$34:$O$64,CI$158,FALSE())*CI102</f>
        <v>0</v>
      </c>
      <c r="CJ200" s="196" t="n">
        <f aca="false">VLOOKUP($CB$1,'Datos Iniciales'!$E$34:$O$64,CJ$158,FALSE())*CJ102</f>
        <v>0</v>
      </c>
      <c r="CK200" s="196" t="n">
        <f aca="false">VLOOKUP($CB$1,'Datos Iniciales'!$E$34:$O$64,CK$158,FALSE())*CK102</f>
        <v>0</v>
      </c>
      <c r="CL200" s="197" t="n">
        <f aca="false">VLOOKUP($CB$1,'Datos Iniciales'!$E$34:$O$64,CL$158,FALSE())*CL102</f>
        <v>0</v>
      </c>
      <c r="CM200" s="194" t="str">
        <f aca="false">CB200</f>
        <v>Alumno41</v>
      </c>
      <c r="CN200" s="208" t="n">
        <f aca="false">VLOOKUP($CM$1,'Datos Iniciales'!$E$34:$O$64,CN$158,FALSE())*CN102</f>
        <v>0</v>
      </c>
      <c r="CO200" s="196" t="n">
        <f aca="false">VLOOKUP($CM$1,'Datos Iniciales'!$E$34:$O$64,CO$158,FALSE())*CO102</f>
        <v>0</v>
      </c>
      <c r="CP200" s="196" t="n">
        <f aca="false">VLOOKUP($CM$1,'Datos Iniciales'!$E$34:$O$64,CP$158,FALSE())*CP102</f>
        <v>0</v>
      </c>
      <c r="CQ200" s="196" t="n">
        <f aca="false">VLOOKUP($CM$1,'Datos Iniciales'!$E$34:$O$64,CQ$158,FALSE())*CQ102</f>
        <v>0</v>
      </c>
      <c r="CR200" s="196" t="n">
        <f aca="false">VLOOKUP($CM$1,'Datos Iniciales'!$E$34:$O$64,CR$158,FALSE())*CR102</f>
        <v>0</v>
      </c>
      <c r="CS200" s="196" t="n">
        <f aca="false">VLOOKUP($CM$1,'Datos Iniciales'!$E$34:$O$64,CS$158,FALSE())*CS102</f>
        <v>0</v>
      </c>
      <c r="CT200" s="196" t="n">
        <f aca="false">VLOOKUP($CM$1,'Datos Iniciales'!$E$34:$O$64,CT$158,FALSE())*CT102</f>
        <v>0</v>
      </c>
      <c r="CU200" s="196" t="n">
        <f aca="false">VLOOKUP($CM$1,'Datos Iniciales'!$E$34:$O$64,CU$158,FALSE())*CU102</f>
        <v>0</v>
      </c>
      <c r="CV200" s="196" t="n">
        <f aca="false">VLOOKUP($CM$1,'Datos Iniciales'!$E$34:$O$64,CV$158,FALSE())*CV102</f>
        <v>0</v>
      </c>
      <c r="CW200" s="197" t="n">
        <f aca="false">VLOOKUP($CM$1,'Datos Iniciales'!$E$34:$O$64,CW$158,FALSE())*CW102</f>
        <v>0</v>
      </c>
      <c r="CX200" s="194" t="str">
        <f aca="false">CM200</f>
        <v>Alumno41</v>
      </c>
      <c r="CY200" s="208" t="n">
        <f aca="false">VLOOKUP($CX$1,'Datos Iniciales'!$E$34:$O$64,CY$158,FALSE())*CY102</f>
        <v>0</v>
      </c>
      <c r="CZ200" s="196" t="n">
        <f aca="false">VLOOKUP($CX$1,'Datos Iniciales'!$E$34:$O$64,CZ$158,FALSE())*CZ102</f>
        <v>0</v>
      </c>
      <c r="DA200" s="196" t="n">
        <f aca="false">VLOOKUP($CX$1,'Datos Iniciales'!$E$34:$O$64,DA$158,FALSE())*DA102</f>
        <v>0</v>
      </c>
      <c r="DB200" s="196" t="n">
        <f aca="false">VLOOKUP($CX$1,'Datos Iniciales'!$E$34:$O$64,DB$158,FALSE())*DB102</f>
        <v>0</v>
      </c>
      <c r="DC200" s="196" t="n">
        <f aca="false">VLOOKUP($CX$1,'Datos Iniciales'!$E$34:$O$64,DC$158,FALSE())*DC102</f>
        <v>0</v>
      </c>
      <c r="DD200" s="196" t="n">
        <f aca="false">VLOOKUP($CX$1,'Datos Iniciales'!$E$34:$O$64,DD$158,FALSE())*DD102</f>
        <v>0</v>
      </c>
      <c r="DE200" s="196" t="n">
        <f aca="false">VLOOKUP($CX$1,'Datos Iniciales'!$E$34:$O$64,DE$158,FALSE())*DE102</f>
        <v>0</v>
      </c>
      <c r="DF200" s="196" t="n">
        <f aca="false">VLOOKUP($CX$1,'Datos Iniciales'!$E$34:$O$64,DF$158,FALSE())*DF102</f>
        <v>0</v>
      </c>
      <c r="DG200" s="196" t="n">
        <f aca="false">VLOOKUP($CX$1,'Datos Iniciales'!$E$34:$O$64,DG$158,FALSE())*DG102</f>
        <v>0</v>
      </c>
      <c r="DH200" s="197" t="n">
        <f aca="false">VLOOKUP($CX$1,'Datos Iniciales'!$E$34:$O$64,DH$158,FALSE())*DH102</f>
        <v>0</v>
      </c>
      <c r="DI200" s="194" t="str">
        <f aca="false">CX200</f>
        <v>Alumno41</v>
      </c>
      <c r="DJ200" s="208" t="n">
        <f aca="false">VLOOKUP($DI$1,'Datos Iniciales'!$E$34:$O$64,DJ$158,FALSE())*DJ102</f>
        <v>0</v>
      </c>
      <c r="DK200" s="196" t="n">
        <f aca="false">VLOOKUP($DI$1,'Datos Iniciales'!$E$34:$O$64,DK$158,FALSE())*DK102</f>
        <v>0</v>
      </c>
      <c r="DL200" s="196" t="n">
        <f aca="false">VLOOKUP($DI$1,'Datos Iniciales'!$E$34:$O$64,DL$158,FALSE())*DL102</f>
        <v>0</v>
      </c>
      <c r="DM200" s="196" t="n">
        <f aca="false">VLOOKUP($DI$1,'Datos Iniciales'!$E$34:$O$64,DM$158,FALSE())*DM102</f>
        <v>0</v>
      </c>
      <c r="DN200" s="196" t="n">
        <f aca="false">VLOOKUP($DI$1,'Datos Iniciales'!$E$34:$O$64,DN$158,FALSE())*DN102</f>
        <v>0</v>
      </c>
      <c r="DO200" s="196" t="n">
        <f aca="false">VLOOKUP($DI$1,'Datos Iniciales'!$E$34:$O$64,DO$158,FALSE())*DO102</f>
        <v>0</v>
      </c>
      <c r="DP200" s="196" t="n">
        <f aca="false">VLOOKUP($DI$1,'Datos Iniciales'!$E$34:$O$64,DP$158,FALSE())*DP102</f>
        <v>0</v>
      </c>
      <c r="DQ200" s="196" t="n">
        <f aca="false">VLOOKUP($DI$1,'Datos Iniciales'!$E$34:$O$64,DQ$158,FALSE())*DQ102</f>
        <v>0</v>
      </c>
      <c r="DR200" s="196" t="n">
        <f aca="false">VLOOKUP($DI$1,'Datos Iniciales'!$E$34:$O$64,DR$158,FALSE())*DR102</f>
        <v>0</v>
      </c>
      <c r="DS200" s="197" t="n">
        <f aca="false">VLOOKUP($DI$1,'Datos Iniciales'!$E$34:$O$64,DS$158,FALSE())*DS102</f>
        <v>0</v>
      </c>
      <c r="DT200" s="194" t="str">
        <f aca="false">DI200</f>
        <v>Alumno41</v>
      </c>
      <c r="DU200" s="208" t="n">
        <f aca="false">VLOOKUP($DT$1,'Datos Iniciales'!$E$34:$O$64,DU$158,FALSE())*DU102</f>
        <v>0</v>
      </c>
      <c r="DV200" s="196" t="n">
        <f aca="false">VLOOKUP($DT$1,'Datos Iniciales'!$E$34:$O$64,DV$158,FALSE())*DV102</f>
        <v>0</v>
      </c>
      <c r="DW200" s="196" t="n">
        <f aca="false">VLOOKUP($DT$1,'Datos Iniciales'!$E$34:$O$64,DW$158,FALSE())*DW102</f>
        <v>0</v>
      </c>
      <c r="DX200" s="196" t="n">
        <f aca="false">VLOOKUP($DT$1,'Datos Iniciales'!$E$34:$O$64,DX$158,FALSE())*DX102</f>
        <v>0</v>
      </c>
      <c r="DY200" s="196" t="n">
        <f aca="false">VLOOKUP($DT$1,'Datos Iniciales'!$E$34:$O$64,DY$158,FALSE())*DY102</f>
        <v>0</v>
      </c>
      <c r="DZ200" s="196" t="n">
        <f aca="false">VLOOKUP($DT$1,'Datos Iniciales'!$E$34:$O$64,DZ$158,FALSE())*DZ102</f>
        <v>0</v>
      </c>
      <c r="EA200" s="196" t="n">
        <f aca="false">VLOOKUP($DT$1,'Datos Iniciales'!$E$34:$O$64,EA$158,FALSE())*EA102</f>
        <v>0</v>
      </c>
      <c r="EB200" s="196" t="n">
        <f aca="false">VLOOKUP($DT$1,'Datos Iniciales'!$E$34:$O$64,EB$158,FALSE())*EB102</f>
        <v>0</v>
      </c>
      <c r="EC200" s="196" t="n">
        <f aca="false">VLOOKUP($DT$1,'Datos Iniciales'!$E$34:$O$64,EC$158,FALSE())*EC102</f>
        <v>0</v>
      </c>
      <c r="ED200" s="197" t="n">
        <f aca="false">VLOOKUP($DT$1,'Datos Iniciales'!$E$34:$O$64,ED$158,FALSE())*ED102</f>
        <v>0</v>
      </c>
      <c r="EE200" s="194" t="str">
        <f aca="false">DT200</f>
        <v>Alumno41</v>
      </c>
      <c r="EF200" s="208" t="n">
        <f aca="false">VLOOKUP($EE$1,'Datos Iniciales'!$E$34:$O$64,EF$158,FALSE())*EF102</f>
        <v>0</v>
      </c>
      <c r="EG200" s="196" t="n">
        <f aca="false">VLOOKUP($EE$1,'Datos Iniciales'!$E$34:$O$64,EG$158,FALSE())*EG102</f>
        <v>0</v>
      </c>
      <c r="EH200" s="196" t="n">
        <f aca="false">VLOOKUP($EE$1,'Datos Iniciales'!$E$34:$O$64,EH$158,FALSE())*EH102</f>
        <v>0</v>
      </c>
      <c r="EI200" s="196" t="n">
        <f aca="false">VLOOKUP($EE$1,'Datos Iniciales'!$E$34:$O$64,EI$158,FALSE())*EI102</f>
        <v>0</v>
      </c>
      <c r="EJ200" s="196" t="n">
        <f aca="false">VLOOKUP($EE$1,'Datos Iniciales'!$E$34:$O$64,EJ$158,FALSE())*EJ102</f>
        <v>0</v>
      </c>
      <c r="EK200" s="196" t="n">
        <f aca="false">VLOOKUP($EE$1,'Datos Iniciales'!$E$34:$O$64,EK$158,FALSE())*EK102</f>
        <v>0</v>
      </c>
      <c r="EL200" s="196" t="n">
        <f aca="false">VLOOKUP($EE$1,'Datos Iniciales'!$E$34:$O$64,EL$158,FALSE())*EL102</f>
        <v>0</v>
      </c>
      <c r="EM200" s="196" t="n">
        <f aca="false">VLOOKUP($EE$1,'Datos Iniciales'!$E$34:$O$64,EM$158,FALSE())*EM102</f>
        <v>0</v>
      </c>
      <c r="EN200" s="196" t="n">
        <f aca="false">VLOOKUP($EE$1,'Datos Iniciales'!$E$34:$O$64,EN$158,FALSE())*EN102</f>
        <v>0</v>
      </c>
      <c r="EO200" s="197" t="n">
        <f aca="false">VLOOKUP($EE$1,'Datos Iniciales'!$E$34:$O$64,EO$158,FALSE())*EO102</f>
        <v>0</v>
      </c>
      <c r="EP200" s="194" t="str">
        <f aca="false">EE200</f>
        <v>Alumno41</v>
      </c>
      <c r="EQ200" s="208" t="n">
        <f aca="false">VLOOKUP($EP$1,'Datos Iniciales'!$E$34:$O$64,EQ$158,FALSE())*EQ102</f>
        <v>0</v>
      </c>
      <c r="ER200" s="196" t="n">
        <f aca="false">VLOOKUP($EP$1,'Datos Iniciales'!$E$34:$O$64,ER$158,FALSE())*ER102</f>
        <v>0</v>
      </c>
      <c r="ES200" s="196" t="n">
        <f aca="false">VLOOKUP($EP$1,'Datos Iniciales'!$E$34:$O$64,ES$158,FALSE())*ES102</f>
        <v>0</v>
      </c>
      <c r="ET200" s="196" t="n">
        <f aca="false">VLOOKUP($EP$1,'Datos Iniciales'!$E$34:$O$64,ET$158,FALSE())*ET102</f>
        <v>0</v>
      </c>
      <c r="EU200" s="196" t="n">
        <f aca="false">VLOOKUP($EP$1,'Datos Iniciales'!$E$34:$O$64,EU$158,FALSE())*EU102</f>
        <v>0</v>
      </c>
      <c r="EV200" s="196" t="n">
        <f aca="false">VLOOKUP($EP$1,'Datos Iniciales'!$E$34:$O$64,EV$158,FALSE())*EV102</f>
        <v>0</v>
      </c>
      <c r="EW200" s="196" t="n">
        <f aca="false">VLOOKUP($EP$1,'Datos Iniciales'!$E$34:$O$64,EW$158,FALSE())*EW102</f>
        <v>0</v>
      </c>
      <c r="EX200" s="196" t="n">
        <f aca="false">VLOOKUP($EP$1,'Datos Iniciales'!$E$34:$O$64,EX$158,FALSE())*EX102</f>
        <v>0</v>
      </c>
      <c r="EY200" s="196" t="n">
        <f aca="false">VLOOKUP($EP$1,'Datos Iniciales'!$E$34:$O$64,EY$158,FALSE())*EY102</f>
        <v>0</v>
      </c>
      <c r="EZ200" s="197" t="n">
        <f aca="false">VLOOKUP($EP$1,'Datos Iniciales'!$E$34:$O$64,EZ$158,FALSE())*EZ102</f>
        <v>0</v>
      </c>
      <c r="FA200" s="194" t="str">
        <f aca="false">EP200</f>
        <v>Alumno41</v>
      </c>
      <c r="FB200" s="208" t="n">
        <f aca="false">VLOOKUP($FA$1,'Datos Iniciales'!$E$34:$O$64,FB$158,FALSE())*FB102</f>
        <v>0</v>
      </c>
      <c r="FC200" s="196" t="n">
        <f aca="false">VLOOKUP($FA$1,'Datos Iniciales'!$E$34:$O$64,FC$158,FALSE())*FC102</f>
        <v>0</v>
      </c>
      <c r="FD200" s="196" t="n">
        <f aca="false">VLOOKUP($FA$1,'Datos Iniciales'!$E$34:$O$64,FD$158,FALSE())*FD102</f>
        <v>0</v>
      </c>
      <c r="FE200" s="196" t="n">
        <f aca="false">VLOOKUP($FA$1,'Datos Iniciales'!$E$34:$O$64,FE$158,FALSE())*FE102</f>
        <v>0</v>
      </c>
      <c r="FF200" s="196" t="n">
        <f aca="false">VLOOKUP($FA$1,'Datos Iniciales'!$E$34:$O$64,FF$158,FALSE())*FF102</f>
        <v>0</v>
      </c>
      <c r="FG200" s="196" t="n">
        <f aca="false">VLOOKUP($FA$1,'Datos Iniciales'!$E$34:$O$64,FG$158,FALSE())*FG102</f>
        <v>0</v>
      </c>
      <c r="FH200" s="196" t="n">
        <f aca="false">VLOOKUP($FA$1,'Datos Iniciales'!$E$34:$O$64,FH$158,FALSE())*FH102</f>
        <v>0</v>
      </c>
      <c r="FI200" s="196" t="n">
        <f aca="false">VLOOKUP($FA$1,'Datos Iniciales'!$E$34:$O$64,FI$158,FALSE())*FI102</f>
        <v>0</v>
      </c>
      <c r="FJ200" s="196" t="n">
        <f aca="false">VLOOKUP($FA$1,'Datos Iniciales'!$E$34:$O$64,FJ$158,FALSE())*FJ102</f>
        <v>0</v>
      </c>
      <c r="FK200" s="197" t="n">
        <f aca="false">VLOOKUP($FA$1,'Datos Iniciales'!$E$34:$O$64,FK$158,FALSE())*FK102</f>
        <v>0</v>
      </c>
      <c r="FL200" s="194" t="str">
        <f aca="false">FA200</f>
        <v>Alumno41</v>
      </c>
      <c r="FM200" s="208" t="n">
        <f aca="false">VLOOKUP($FL$1,'Datos Iniciales'!$E$34:$O$64,FM$158,FALSE())*FM102</f>
        <v>0</v>
      </c>
      <c r="FN200" s="196" t="n">
        <f aca="false">VLOOKUP($FL$1,'Datos Iniciales'!$E$34:$O$64,FN$158,FALSE())*FN102</f>
        <v>0</v>
      </c>
      <c r="FO200" s="196" t="n">
        <f aca="false">VLOOKUP($FL$1,'Datos Iniciales'!$E$34:$O$64,FO$158,FALSE())*FO102</f>
        <v>0</v>
      </c>
      <c r="FP200" s="196" t="n">
        <f aca="false">VLOOKUP($FL$1,'Datos Iniciales'!$E$34:$O$64,FP$158,FALSE())*FP102</f>
        <v>0</v>
      </c>
      <c r="FQ200" s="196" t="n">
        <f aca="false">VLOOKUP($FL$1,'Datos Iniciales'!$E$34:$O$64,FQ$158,FALSE())*FQ102</f>
        <v>0</v>
      </c>
      <c r="FR200" s="196" t="n">
        <f aca="false">VLOOKUP($FL$1,'Datos Iniciales'!$E$34:$O$64,FR$158,FALSE())*FR102</f>
        <v>0</v>
      </c>
      <c r="FS200" s="196" t="n">
        <f aca="false">VLOOKUP($FL$1,'Datos Iniciales'!$E$34:$O$64,FS$158,FALSE())*FS102</f>
        <v>0</v>
      </c>
      <c r="FT200" s="196" t="n">
        <f aca="false">VLOOKUP($FL$1,'Datos Iniciales'!$E$34:$O$64,FT$158,FALSE())*FT102</f>
        <v>0</v>
      </c>
      <c r="FU200" s="196" t="n">
        <f aca="false">VLOOKUP($FL$1,'Datos Iniciales'!$E$34:$O$64,FU$158,FALSE())*FU102</f>
        <v>0</v>
      </c>
      <c r="FV200" s="197" t="n">
        <f aca="false">VLOOKUP($FL$1,'Datos Iniciales'!$E$34:$O$64,FV$158,FALSE())*FV102</f>
        <v>0</v>
      </c>
      <c r="FW200" s="194" t="str">
        <f aca="false">FL200</f>
        <v>Alumno41</v>
      </c>
      <c r="FX200" s="208" t="n">
        <f aca="false">VLOOKUP($FW$1,'Datos Iniciales'!$E$34:$O$64,FX$158,FALSE())*FX102</f>
        <v>0</v>
      </c>
      <c r="FY200" s="196" t="n">
        <f aca="false">VLOOKUP($FW$1,'Datos Iniciales'!$E$34:$O$64,FY$158,FALSE())*FY102</f>
        <v>0</v>
      </c>
      <c r="FZ200" s="196" t="n">
        <f aca="false">VLOOKUP($FW$1,'Datos Iniciales'!$E$34:$O$64,FZ$158,FALSE())*FZ102</f>
        <v>0</v>
      </c>
      <c r="GA200" s="196" t="n">
        <f aca="false">VLOOKUP($FW$1,'Datos Iniciales'!$E$34:$O$64,GA$158,FALSE())*GA102</f>
        <v>0</v>
      </c>
      <c r="GB200" s="196" t="n">
        <f aca="false">VLOOKUP($FW$1,'Datos Iniciales'!$E$34:$O$64,GB$158,FALSE())*GB102</f>
        <v>0</v>
      </c>
      <c r="GC200" s="196" t="n">
        <f aca="false">VLOOKUP($FW$1,'Datos Iniciales'!$E$34:$O$64,GC$158,FALSE())*GC102</f>
        <v>0</v>
      </c>
      <c r="GD200" s="196" t="n">
        <f aca="false">VLOOKUP($FW$1,'Datos Iniciales'!$E$34:$O$64,GD$158,FALSE())*GD102</f>
        <v>0</v>
      </c>
      <c r="GE200" s="196" t="n">
        <f aca="false">VLOOKUP($FW$1,'Datos Iniciales'!$E$34:$O$64,GE$158,FALSE())*GE102</f>
        <v>0</v>
      </c>
      <c r="GF200" s="196" t="n">
        <f aca="false">VLOOKUP($FW$1,'Datos Iniciales'!$E$34:$O$64,GF$158,FALSE())*GF102</f>
        <v>0</v>
      </c>
      <c r="GG200" s="197" t="n">
        <f aca="false">VLOOKUP($FW$1,'Datos Iniciales'!$E$34:$O$64,GG$158,FALSE())*GG102</f>
        <v>0</v>
      </c>
      <c r="GH200" s="194" t="str">
        <f aca="false">FW200</f>
        <v>Alumno41</v>
      </c>
      <c r="GI200" s="208" t="n">
        <f aca="false">VLOOKUP($GH$1,'Datos Iniciales'!$E$34:$O$64,GI$158,FALSE())*GI102</f>
        <v>0</v>
      </c>
      <c r="GJ200" s="196" t="n">
        <f aca="false">VLOOKUP($GH$1,'Datos Iniciales'!$E$34:$O$64,GJ$158,FALSE())*GJ102</f>
        <v>0</v>
      </c>
      <c r="GK200" s="196" t="n">
        <f aca="false">VLOOKUP($GH$1,'Datos Iniciales'!$E$34:$O$64,GK$158,FALSE())*GK102</f>
        <v>0</v>
      </c>
      <c r="GL200" s="196" t="n">
        <f aca="false">VLOOKUP($GH$1,'Datos Iniciales'!$E$34:$O$64,GL$158,FALSE())*GL102</f>
        <v>0</v>
      </c>
      <c r="GM200" s="196" t="n">
        <f aca="false">VLOOKUP($GH$1,'Datos Iniciales'!$E$34:$O$64,GM$158,FALSE())*GM102</f>
        <v>0</v>
      </c>
      <c r="GN200" s="196" t="n">
        <f aca="false">VLOOKUP($GH$1,'Datos Iniciales'!$E$34:$O$64,GN$158,FALSE())*GN102</f>
        <v>0</v>
      </c>
      <c r="GO200" s="196" t="n">
        <f aca="false">VLOOKUP($GH$1,'Datos Iniciales'!$E$34:$O$64,GO$158,FALSE())*GO102</f>
        <v>0</v>
      </c>
      <c r="GP200" s="196" t="n">
        <f aca="false">VLOOKUP($GH$1,'Datos Iniciales'!$E$34:$O$64,GP$158,FALSE())*GP102</f>
        <v>0</v>
      </c>
      <c r="GQ200" s="196" t="n">
        <f aca="false">VLOOKUP($GH$1,'Datos Iniciales'!$E$34:$O$64,GQ$158,FALSE())*GQ102</f>
        <v>0</v>
      </c>
      <c r="GR200" s="197" t="n">
        <f aca="false">VLOOKUP($GH$1,'Datos Iniciales'!$E$34:$O$64,GR$158,FALSE())*GR102</f>
        <v>0</v>
      </c>
      <c r="GS200" s="194" t="str">
        <f aca="false">GH200</f>
        <v>Alumno41</v>
      </c>
      <c r="GT200" s="208" t="n">
        <f aca="false">VLOOKUP($GS$1,'Datos Iniciales'!$E$34:$O$64,GT$158,FALSE())*GT102</f>
        <v>0</v>
      </c>
      <c r="GU200" s="196" t="n">
        <f aca="false">VLOOKUP($GS$1,'Datos Iniciales'!$E$34:$O$64,GU$158,FALSE())*GU102</f>
        <v>0</v>
      </c>
      <c r="GV200" s="196" t="n">
        <f aca="false">VLOOKUP($GS$1,'Datos Iniciales'!$E$34:$O$64,GV$158,FALSE())*GV102</f>
        <v>0</v>
      </c>
      <c r="GW200" s="196" t="n">
        <f aca="false">VLOOKUP($GS$1,'Datos Iniciales'!$E$34:$O$64,GW$158,FALSE())*GW102</f>
        <v>0</v>
      </c>
      <c r="GX200" s="196" t="n">
        <f aca="false">VLOOKUP($GS$1,'Datos Iniciales'!$E$34:$O$64,GX$158,FALSE())*GX102</f>
        <v>0</v>
      </c>
      <c r="GY200" s="196" t="n">
        <f aca="false">VLOOKUP($GS$1,'Datos Iniciales'!$E$34:$O$64,GY$158,FALSE())*GY102</f>
        <v>0</v>
      </c>
      <c r="GZ200" s="196" t="n">
        <f aca="false">VLOOKUP($GS$1,'Datos Iniciales'!$E$34:$O$64,GZ$158,FALSE())*GZ102</f>
        <v>0</v>
      </c>
      <c r="HA200" s="196" t="n">
        <f aca="false">VLOOKUP($GS$1,'Datos Iniciales'!$E$34:$O$64,HA$158,FALSE())*HA102</f>
        <v>0</v>
      </c>
      <c r="HB200" s="196" t="n">
        <f aca="false">VLOOKUP($GS$1,'Datos Iniciales'!$E$34:$O$64,HB$158,FALSE())*HB102</f>
        <v>0</v>
      </c>
      <c r="HC200" s="197" t="n">
        <f aca="false">VLOOKUP($GS$1,'Datos Iniciales'!$E$34:$O$64,HC$158,FALSE())*HC102</f>
        <v>0</v>
      </c>
      <c r="HD200" s="194" t="str">
        <f aca="false">GS200</f>
        <v>Alumno41</v>
      </c>
      <c r="HE200" s="208" t="n">
        <f aca="false">VLOOKUP($HD$1,'Datos Iniciales'!$E$34:$O$64,HE$158,FALSE())*HE102</f>
        <v>0</v>
      </c>
      <c r="HF200" s="196" t="n">
        <f aca="false">VLOOKUP($HD$1,'Datos Iniciales'!$E$34:$O$64,HF$158,FALSE())*HF102</f>
        <v>0</v>
      </c>
      <c r="HG200" s="196" t="n">
        <f aca="false">VLOOKUP($HD$1,'Datos Iniciales'!$E$34:$O$64,HG$158,FALSE())*HG102</f>
        <v>0</v>
      </c>
      <c r="HH200" s="196" t="n">
        <f aca="false">VLOOKUP($HD$1,'Datos Iniciales'!$E$34:$O$64,HH$158,FALSE())*HH102</f>
        <v>0</v>
      </c>
      <c r="HI200" s="196" t="n">
        <f aca="false">VLOOKUP($HD$1,'Datos Iniciales'!$E$34:$O$64,HI$158,FALSE())*HI102</f>
        <v>0</v>
      </c>
      <c r="HJ200" s="196" t="n">
        <f aca="false">VLOOKUP($HD$1,'Datos Iniciales'!$E$34:$O$64,HJ$158,FALSE())*HJ102</f>
        <v>0</v>
      </c>
      <c r="HK200" s="196" t="n">
        <f aca="false">VLOOKUP($HD$1,'Datos Iniciales'!$E$34:$O$64,HK$158,FALSE())*HK102</f>
        <v>0</v>
      </c>
      <c r="HL200" s="196" t="n">
        <f aca="false">VLOOKUP($HD$1,'Datos Iniciales'!$E$34:$O$64,HL$158,FALSE())*HL102</f>
        <v>0</v>
      </c>
      <c r="HM200" s="196" t="n">
        <f aca="false">VLOOKUP($HD$1,'Datos Iniciales'!$E$34:$O$64,HM$158,FALSE())*HM102</f>
        <v>0</v>
      </c>
      <c r="HN200" s="197" t="n">
        <f aca="false">VLOOKUP($HD$1,'Datos Iniciales'!$E$34:$O$64,HN$158,FALSE())*HN102</f>
        <v>0</v>
      </c>
      <c r="HO200" s="194" t="str">
        <f aca="false">HD200</f>
        <v>Alumno41</v>
      </c>
      <c r="HP200" s="208" t="n">
        <f aca="false">VLOOKUP($HO$1,'Datos Iniciales'!$E$34:$O$64,HP$158,FALSE())*HP102</f>
        <v>0</v>
      </c>
      <c r="HQ200" s="196" t="n">
        <f aca="false">VLOOKUP($HO$1,'Datos Iniciales'!$E$34:$O$64,HQ$158,FALSE())*HQ102</f>
        <v>0</v>
      </c>
      <c r="HR200" s="196" t="n">
        <f aca="false">VLOOKUP($HO$1,'Datos Iniciales'!$E$34:$O$64,HR$158,FALSE())*HR102</f>
        <v>0</v>
      </c>
      <c r="HS200" s="196" t="n">
        <f aca="false">VLOOKUP($HO$1,'Datos Iniciales'!$E$34:$O$64,HS$158,FALSE())*HS102</f>
        <v>0</v>
      </c>
      <c r="HT200" s="196" t="n">
        <f aca="false">VLOOKUP($HO$1,'Datos Iniciales'!$E$34:$O$64,HT$158,FALSE())*HT102</f>
        <v>0</v>
      </c>
      <c r="HU200" s="196" t="n">
        <f aca="false">VLOOKUP($HO$1,'Datos Iniciales'!$E$34:$O$64,HU$158,FALSE())*HU102</f>
        <v>0</v>
      </c>
      <c r="HV200" s="196" t="n">
        <f aca="false">VLOOKUP($HO$1,'Datos Iniciales'!$E$34:$O$64,HV$158,FALSE())*HV102</f>
        <v>0</v>
      </c>
      <c r="HW200" s="196" t="n">
        <f aca="false">VLOOKUP($HO$1,'Datos Iniciales'!$E$34:$O$64,HW$158,FALSE())*HW102</f>
        <v>0</v>
      </c>
      <c r="HX200" s="196" t="n">
        <f aca="false">VLOOKUP($HO$1,'Datos Iniciales'!$E$34:$O$64,HX$158,FALSE())*HX102</f>
        <v>0</v>
      </c>
      <c r="HY200" s="197" t="n">
        <f aca="false">VLOOKUP($HO$1,'Datos Iniciales'!$E$34:$O$64,HY$158,FALSE())*HY102</f>
        <v>0</v>
      </c>
      <c r="HZ200" s="194" t="str">
        <f aca="false">HO200</f>
        <v>Alumno41</v>
      </c>
      <c r="IA200" s="208" t="n">
        <f aca="false">VLOOKUP($HZ$1,'Datos Iniciales'!$E$34:$O$64,IA$158,FALSE())*IA102</f>
        <v>0</v>
      </c>
      <c r="IB200" s="196" t="n">
        <f aca="false">VLOOKUP($HZ$1,'Datos Iniciales'!$E$34:$O$64,IB$158,FALSE())*IB102</f>
        <v>0</v>
      </c>
      <c r="IC200" s="196" t="n">
        <f aca="false">VLOOKUP($HZ$1,'Datos Iniciales'!$E$34:$O$64,IC$158,FALSE())*IC102</f>
        <v>0</v>
      </c>
      <c r="ID200" s="196" t="n">
        <f aca="false">VLOOKUP($HZ$1,'Datos Iniciales'!$E$34:$O$64,ID$158,FALSE())*ID102</f>
        <v>0</v>
      </c>
      <c r="IE200" s="196" t="n">
        <f aca="false">VLOOKUP($HZ$1,'Datos Iniciales'!$E$34:$O$64,IE$158,FALSE())*IE102</f>
        <v>0</v>
      </c>
      <c r="IF200" s="196" t="n">
        <f aca="false">VLOOKUP($HZ$1,'Datos Iniciales'!$E$34:$O$64,IF$158,FALSE())*IF102</f>
        <v>0</v>
      </c>
      <c r="IG200" s="196" t="n">
        <f aca="false">VLOOKUP($HZ$1,'Datos Iniciales'!$E$34:$O$64,IG$158,FALSE())*IG102</f>
        <v>0</v>
      </c>
      <c r="IH200" s="196" t="n">
        <f aca="false">VLOOKUP($HZ$1,'Datos Iniciales'!$E$34:$O$64,IH$158,FALSE())*IH102</f>
        <v>0</v>
      </c>
      <c r="II200" s="196" t="n">
        <f aca="false">VLOOKUP($HZ$1,'Datos Iniciales'!$E$34:$O$64,II$158,FALSE())*II102</f>
        <v>0</v>
      </c>
      <c r="IJ200" s="197" t="n">
        <f aca="false">VLOOKUP($HZ$1,'Datos Iniciales'!$E$34:$O$64,IJ$158,FALSE())*IJ102</f>
        <v>0</v>
      </c>
      <c r="IK200" s="194" t="str">
        <f aca="false">HZ200</f>
        <v>Alumno41</v>
      </c>
      <c r="IL200" s="208" t="n">
        <f aca="false">VLOOKUP($IK$1,'Datos Iniciales'!$E$34:$O$64,IL$158,FALSE())*IL102</f>
        <v>0</v>
      </c>
      <c r="IM200" s="196" t="n">
        <f aca="false">VLOOKUP($IK$1,'Datos Iniciales'!$E$34:$O$64,IM$158,FALSE())*IM102</f>
        <v>0</v>
      </c>
      <c r="IN200" s="196" t="n">
        <f aca="false">VLOOKUP($IK$1,'Datos Iniciales'!$E$34:$O$64,IN$158,FALSE())*IN102</f>
        <v>0</v>
      </c>
      <c r="IO200" s="196" t="n">
        <f aca="false">VLOOKUP($IK$1,'Datos Iniciales'!$E$34:$O$64,IO$158,FALSE())*IO102</f>
        <v>0</v>
      </c>
      <c r="IP200" s="196" t="n">
        <f aca="false">VLOOKUP($IK$1,'Datos Iniciales'!$E$34:$O$64,IP$158,FALSE())*IP102</f>
        <v>0</v>
      </c>
      <c r="IQ200" s="196" t="n">
        <f aca="false">VLOOKUP($IK$1,'Datos Iniciales'!$E$34:$O$64,IQ$158,FALSE())*IQ102</f>
        <v>0</v>
      </c>
      <c r="IR200" s="196" t="n">
        <f aca="false">VLOOKUP($IK$1,'Datos Iniciales'!$E$34:$O$64,IR$158,FALSE())*IR102</f>
        <v>0</v>
      </c>
      <c r="IS200" s="196" t="n">
        <f aca="false">VLOOKUP($IK$1,'Datos Iniciales'!$E$34:$O$64,IS$158,FALSE())*IS102</f>
        <v>0</v>
      </c>
      <c r="IT200" s="196" t="n">
        <f aca="false">VLOOKUP($IK$1,'Datos Iniciales'!$E$34:$O$64,IT$158,FALSE())*IT102</f>
        <v>0</v>
      </c>
      <c r="IU200" s="197" t="n">
        <f aca="false">VLOOKUP($IK$1,'Datos Iniciales'!$E$34:$O$64,IU$158,FALSE())*IU102</f>
        <v>0</v>
      </c>
      <c r="IV200" s="194" t="str">
        <f aca="false">IK200</f>
        <v>Alumno41</v>
      </c>
      <c r="IW200" s="208" t="n">
        <f aca="false">VLOOKUP($IV$1,'Datos Iniciales'!$E$34:$O$64,IW$158,FALSE())*IW102</f>
        <v>0</v>
      </c>
      <c r="IX200" s="196" t="n">
        <f aca="false">VLOOKUP($IV$1,'Datos Iniciales'!$E$34:$O$64,IX$158,FALSE())*IX102</f>
        <v>0</v>
      </c>
      <c r="IY200" s="196" t="n">
        <f aca="false">VLOOKUP($IV$1,'Datos Iniciales'!$E$34:$O$64,IY$158,FALSE())*IY102</f>
        <v>0</v>
      </c>
      <c r="IZ200" s="196" t="n">
        <f aca="false">VLOOKUP($IV$1,'Datos Iniciales'!$E$34:$O$64,IZ$158,FALSE())*IZ102</f>
        <v>0</v>
      </c>
      <c r="JA200" s="196" t="n">
        <f aca="false">VLOOKUP($IV$1,'Datos Iniciales'!$E$34:$O$64,JA$158,FALSE())*JA102</f>
        <v>0</v>
      </c>
      <c r="JB200" s="196" t="n">
        <f aca="false">VLOOKUP($IV$1,'Datos Iniciales'!$E$34:$O$64,JB$158,FALSE())*JB102</f>
        <v>0</v>
      </c>
      <c r="JC200" s="196" t="n">
        <f aca="false">VLOOKUP($IV$1,'Datos Iniciales'!$E$34:$O$64,JC$158,FALSE())*JC102</f>
        <v>0</v>
      </c>
      <c r="JD200" s="196" t="n">
        <f aca="false">VLOOKUP($IV$1,'Datos Iniciales'!$E$34:$O$64,JD$158,FALSE())*JD102</f>
        <v>0</v>
      </c>
      <c r="JE200" s="196" t="n">
        <f aca="false">VLOOKUP($IV$1,'Datos Iniciales'!$E$34:$O$64,JE$158,FALSE())*JE102</f>
        <v>0</v>
      </c>
      <c r="JF200" s="197" t="n">
        <f aca="false">VLOOKUP($IV$1,'Datos Iniciales'!$E$34:$O$64,JF$158,FALSE())*JF102</f>
        <v>0</v>
      </c>
      <c r="JG200" s="194" t="str">
        <f aca="false">IV200</f>
        <v>Alumno41</v>
      </c>
      <c r="JH200" s="208" t="n">
        <f aca="false">VLOOKUP($JG$1,'Datos Iniciales'!$E$34:$O$64,JH$158,FALSE())*JH102</f>
        <v>0</v>
      </c>
      <c r="JI200" s="196" t="n">
        <f aca="false">VLOOKUP($JG$1,'Datos Iniciales'!$E$34:$O$64,JI$158,FALSE())*JI102</f>
        <v>0</v>
      </c>
      <c r="JJ200" s="196" t="n">
        <f aca="false">VLOOKUP($JG$1,'Datos Iniciales'!$E$34:$O$64,JJ$158,FALSE())*JJ102</f>
        <v>0</v>
      </c>
      <c r="JK200" s="196" t="n">
        <f aca="false">VLOOKUP($JG$1,'Datos Iniciales'!$E$34:$O$64,JK$158,FALSE())*JK102</f>
        <v>0</v>
      </c>
      <c r="JL200" s="196" t="n">
        <f aca="false">VLOOKUP($JG$1,'Datos Iniciales'!$E$34:$O$64,JL$158,FALSE())*JL102</f>
        <v>0</v>
      </c>
      <c r="JM200" s="196" t="n">
        <f aca="false">VLOOKUP($JG$1,'Datos Iniciales'!$E$34:$O$64,JM$158,FALSE())*JM102</f>
        <v>0</v>
      </c>
      <c r="JN200" s="196" t="n">
        <f aca="false">VLOOKUP($JG$1,'Datos Iniciales'!$E$34:$O$64,JN$158,FALSE())*JN102</f>
        <v>0</v>
      </c>
      <c r="JO200" s="196" t="n">
        <f aca="false">VLOOKUP($JG$1,'Datos Iniciales'!$E$34:$O$64,JO$158,FALSE())*JO102</f>
        <v>0</v>
      </c>
      <c r="JP200" s="196" t="n">
        <f aca="false">VLOOKUP($JG$1,'Datos Iniciales'!$E$34:$O$64,JP$158,FALSE())*JP102</f>
        <v>0</v>
      </c>
      <c r="JQ200" s="197" t="n">
        <f aca="false">VLOOKUP($JG$1,'Datos Iniciales'!$E$34:$O$64,JQ$158,FALSE())*JQ102</f>
        <v>0</v>
      </c>
      <c r="JR200" s="194" t="str">
        <f aca="false">JG200</f>
        <v>Alumno41</v>
      </c>
      <c r="JS200" s="208" t="n">
        <f aca="false">VLOOKUP($JR$1,'Datos Iniciales'!$E$34:$O$64,JS$158,FALSE())*JS102</f>
        <v>0</v>
      </c>
      <c r="JT200" s="196" t="n">
        <f aca="false">VLOOKUP($JR$1,'Datos Iniciales'!$E$34:$O$64,JT$158,FALSE())*JT102</f>
        <v>0</v>
      </c>
      <c r="JU200" s="196" t="n">
        <f aca="false">VLOOKUP($JR$1,'Datos Iniciales'!$E$34:$O$64,JU$158,FALSE())*JU102</f>
        <v>0</v>
      </c>
      <c r="JV200" s="196" t="n">
        <f aca="false">VLOOKUP($JR$1,'Datos Iniciales'!$E$34:$O$64,JV$158,FALSE())*JV102</f>
        <v>0</v>
      </c>
      <c r="JW200" s="196" t="n">
        <f aca="false">VLOOKUP($JR$1,'Datos Iniciales'!$E$34:$O$64,JW$158,FALSE())*JW102</f>
        <v>0</v>
      </c>
      <c r="JX200" s="196" t="n">
        <f aca="false">VLOOKUP($JR$1,'Datos Iniciales'!$E$34:$O$64,JX$158,FALSE())*JX102</f>
        <v>0</v>
      </c>
      <c r="JY200" s="196" t="n">
        <f aca="false">VLOOKUP($JR$1,'Datos Iniciales'!$E$34:$O$64,JY$158,FALSE())*JY102</f>
        <v>0</v>
      </c>
      <c r="JZ200" s="196" t="n">
        <f aca="false">VLOOKUP($JR$1,'Datos Iniciales'!$E$34:$O$64,JZ$158,FALSE())*JZ102</f>
        <v>0</v>
      </c>
      <c r="KA200" s="196" t="n">
        <f aca="false">VLOOKUP($JR$1,'Datos Iniciales'!$E$34:$O$64,KA$158,FALSE())*KA102</f>
        <v>0</v>
      </c>
      <c r="KB200" s="197" t="n">
        <f aca="false">VLOOKUP($JR$1,'Datos Iniciales'!$E$34:$O$64,KB$158,FALSE())*KB102</f>
        <v>0</v>
      </c>
      <c r="KC200" s="194" t="str">
        <f aca="false">JR200</f>
        <v>Alumno41</v>
      </c>
      <c r="KD200" s="208" t="n">
        <f aca="false">VLOOKUP($KC$1,'Datos Iniciales'!$E$34:$O$64,KD$158,FALSE())*KD102</f>
        <v>0</v>
      </c>
      <c r="KE200" s="196" t="n">
        <f aca="false">VLOOKUP($KC$1,'Datos Iniciales'!$E$34:$O$64,KE$158,FALSE())*KE102</f>
        <v>0</v>
      </c>
      <c r="KF200" s="196" t="n">
        <f aca="false">VLOOKUP($KC$1,'Datos Iniciales'!$E$34:$O$64,KF$158,FALSE())*KF102</f>
        <v>0</v>
      </c>
      <c r="KG200" s="196" t="n">
        <f aca="false">VLOOKUP($KC$1,'Datos Iniciales'!$E$34:$O$64,KG$158,FALSE())*KG102</f>
        <v>0</v>
      </c>
      <c r="KH200" s="196" t="n">
        <f aca="false">VLOOKUP($KC$1,'Datos Iniciales'!$E$34:$O$64,KH$158,FALSE())*KH102</f>
        <v>0</v>
      </c>
      <c r="KI200" s="196" t="n">
        <f aca="false">VLOOKUP($KC$1,'Datos Iniciales'!$E$34:$O$64,KI$158,FALSE())*KI102</f>
        <v>0</v>
      </c>
      <c r="KJ200" s="196" t="n">
        <f aca="false">VLOOKUP($KC$1,'Datos Iniciales'!$E$34:$O$64,KJ$158,FALSE())*KJ102</f>
        <v>0</v>
      </c>
      <c r="KK200" s="196" t="n">
        <f aca="false">VLOOKUP($KC$1,'Datos Iniciales'!$E$34:$O$64,KK$158,FALSE())*KK102</f>
        <v>0</v>
      </c>
      <c r="KL200" s="196" t="n">
        <f aca="false">VLOOKUP($KC$1,'Datos Iniciales'!$E$34:$O$64,KL$158,FALSE())*KL102</f>
        <v>0</v>
      </c>
      <c r="KM200" s="197" t="n">
        <f aca="false">VLOOKUP($KC$1,'Datos Iniciales'!$E$34:$O$64,KM$158,FALSE())*KM102</f>
        <v>0</v>
      </c>
      <c r="KN200" s="194" t="str">
        <f aca="false">KC200</f>
        <v>Alumno41</v>
      </c>
      <c r="KO200" s="208" t="n">
        <f aca="false">VLOOKUP($KN$1,'Datos Iniciales'!$E$34:$O$64,KO$158,FALSE())*KO102</f>
        <v>0</v>
      </c>
      <c r="KP200" s="196" t="n">
        <f aca="false">VLOOKUP($KN$1,'Datos Iniciales'!$E$34:$O$64,KP$158,FALSE())*KP102</f>
        <v>0</v>
      </c>
      <c r="KQ200" s="196" t="n">
        <f aca="false">VLOOKUP($KN$1,'Datos Iniciales'!$E$34:$O$64,KQ$158,FALSE())*KQ102</f>
        <v>0</v>
      </c>
      <c r="KR200" s="196" t="n">
        <f aca="false">VLOOKUP($KN$1,'Datos Iniciales'!$E$34:$O$64,KR$158,FALSE())*KR102</f>
        <v>0</v>
      </c>
      <c r="KS200" s="196" t="n">
        <f aca="false">VLOOKUP($KN$1,'Datos Iniciales'!$E$34:$O$64,KS$158,FALSE())*KS102</f>
        <v>0</v>
      </c>
      <c r="KT200" s="196" t="n">
        <f aca="false">VLOOKUP($KN$1,'Datos Iniciales'!$E$34:$O$64,KT$158,FALSE())*KT102</f>
        <v>0</v>
      </c>
      <c r="KU200" s="196" t="n">
        <f aca="false">VLOOKUP($KN$1,'Datos Iniciales'!$E$34:$O$64,KU$158,FALSE())*KU102</f>
        <v>0</v>
      </c>
      <c r="KV200" s="196" t="n">
        <f aca="false">VLOOKUP($KN$1,'Datos Iniciales'!$E$34:$O$64,KV$158,FALSE())*KV102</f>
        <v>0</v>
      </c>
      <c r="KW200" s="196" t="n">
        <f aca="false">VLOOKUP($KN$1,'Datos Iniciales'!$E$34:$O$64,KW$158,FALSE())*KW102</f>
        <v>0</v>
      </c>
      <c r="KX200" s="197" t="n">
        <f aca="false">VLOOKUP($KN$1,'Datos Iniciales'!$E$34:$O$64,KX$158,FALSE())*KX102</f>
        <v>0</v>
      </c>
      <c r="KY200" s="194" t="str">
        <f aca="false">KN200</f>
        <v>Alumno41</v>
      </c>
      <c r="KZ200" s="208" t="n">
        <f aca="false">VLOOKUP($KY$1,'Datos Iniciales'!$E$34:$O$64,KZ$158,FALSE())*KZ102</f>
        <v>0</v>
      </c>
      <c r="LA200" s="196" t="n">
        <f aca="false">VLOOKUP($KY$1,'Datos Iniciales'!$E$34:$O$64,LA$158,FALSE())*LA102</f>
        <v>0</v>
      </c>
      <c r="LB200" s="196" t="n">
        <f aca="false">VLOOKUP($KY$1,'Datos Iniciales'!$E$34:$O$64,LB$158,FALSE())*LB102</f>
        <v>0</v>
      </c>
      <c r="LC200" s="196" t="n">
        <f aca="false">VLOOKUP($KY$1,'Datos Iniciales'!$E$34:$O$64,LC$158,FALSE())*LC102</f>
        <v>0</v>
      </c>
      <c r="LD200" s="196" t="n">
        <f aca="false">VLOOKUP($KY$1,'Datos Iniciales'!$E$34:$O$64,LD$158,FALSE())*LD102</f>
        <v>0</v>
      </c>
      <c r="LE200" s="196" t="n">
        <f aca="false">VLOOKUP($KY$1,'Datos Iniciales'!$E$34:$O$64,LE$158,FALSE())*LE102</f>
        <v>0</v>
      </c>
      <c r="LF200" s="196" t="n">
        <f aca="false">VLOOKUP($KY$1,'Datos Iniciales'!$E$34:$O$64,LF$158,FALSE())*LF102</f>
        <v>0</v>
      </c>
      <c r="LG200" s="196" t="n">
        <f aca="false">VLOOKUP($KY$1,'Datos Iniciales'!$E$34:$O$64,LG$158,FALSE())*LG102</f>
        <v>0</v>
      </c>
      <c r="LH200" s="196" t="n">
        <f aca="false">VLOOKUP($KY$1,'Datos Iniciales'!$E$34:$O$64,LH$158,FALSE())*LH102</f>
        <v>0</v>
      </c>
      <c r="LI200" s="197" t="n">
        <f aca="false">VLOOKUP($KY$1,'Datos Iniciales'!$E$34:$O$64,LI$158,FALSE())*LI102</f>
        <v>0</v>
      </c>
      <c r="LJ200" s="194" t="str">
        <f aca="false">KY200</f>
        <v>Alumno41</v>
      </c>
      <c r="LK200" s="208" t="n">
        <f aca="false">VLOOKUP($LJ$1,'Datos Iniciales'!$E$34:$O$64,LK$158,FALSE())*LK102</f>
        <v>0</v>
      </c>
      <c r="LL200" s="196" t="n">
        <f aca="false">VLOOKUP($LJ$1,'Datos Iniciales'!$E$34:$O$64,LL$158,FALSE())*LL102</f>
        <v>0</v>
      </c>
      <c r="LM200" s="196" t="n">
        <f aca="false">VLOOKUP($LJ$1,'Datos Iniciales'!$E$34:$O$64,LM$158,FALSE())*LM102</f>
        <v>0</v>
      </c>
      <c r="LN200" s="196" t="n">
        <f aca="false">VLOOKUP($LJ$1,'Datos Iniciales'!$E$34:$O$64,LN$158,FALSE())*LN102</f>
        <v>0</v>
      </c>
      <c r="LO200" s="196" t="n">
        <f aca="false">VLOOKUP($LJ$1,'Datos Iniciales'!$E$34:$O$64,LO$158,FALSE())*LO102</f>
        <v>0</v>
      </c>
      <c r="LP200" s="196" t="n">
        <f aca="false">VLOOKUP($LJ$1,'Datos Iniciales'!$E$34:$O$64,LP$158,FALSE())*LP102</f>
        <v>0</v>
      </c>
      <c r="LQ200" s="196" t="n">
        <f aca="false">VLOOKUP($LJ$1,'Datos Iniciales'!$E$34:$O$64,LQ$158,FALSE())*LQ102</f>
        <v>0</v>
      </c>
      <c r="LR200" s="196" t="n">
        <f aca="false">VLOOKUP($LJ$1,'Datos Iniciales'!$E$34:$O$64,LR$158,FALSE())*LR102</f>
        <v>0</v>
      </c>
      <c r="LS200" s="196" t="n">
        <f aca="false">VLOOKUP($LJ$1,'Datos Iniciales'!$E$34:$O$64,LS$158,FALSE())*LS102</f>
        <v>0</v>
      </c>
      <c r="LT200" s="197" t="n">
        <f aca="false">VLOOKUP($LJ$1,'Datos Iniciales'!$E$34:$O$64,LT$158,FALSE())*LT102</f>
        <v>0</v>
      </c>
    </row>
    <row r="201" customFormat="false" ht="15" hidden="true" customHeight="false" outlineLevel="0" collapsed="false">
      <c r="C201" s="194" t="str">
        <f aca="false">C152</f>
        <v>Alumno42</v>
      </c>
      <c r="D201" s="208" t="n">
        <f aca="false">VLOOKUP($C$1,'Datos Iniciales'!$E$34:$O$64,D$158,FALSE())*D103</f>
        <v>0</v>
      </c>
      <c r="E201" s="196" t="n">
        <f aca="false">VLOOKUP($C$1,'Datos Iniciales'!$E$34:$O$64,E$158,FALSE())*E103</f>
        <v>0</v>
      </c>
      <c r="F201" s="196" t="n">
        <f aca="false">VLOOKUP($C$1,'Datos Iniciales'!$E$34:$O$64,F$158,FALSE())*F103</f>
        <v>0</v>
      </c>
      <c r="G201" s="196" t="n">
        <f aca="false">VLOOKUP($C$1,'Datos Iniciales'!$E$34:$O$64,G$158,FALSE())*G103</f>
        <v>0</v>
      </c>
      <c r="H201" s="196" t="n">
        <f aca="false">VLOOKUP($C$1,'Datos Iniciales'!$E$34:$O$64,H$158,FALSE())*H103</f>
        <v>0</v>
      </c>
      <c r="I201" s="196" t="n">
        <f aca="false">VLOOKUP($C$1,'Datos Iniciales'!$E$34:$O$64,I$158,FALSE())*I103</f>
        <v>0</v>
      </c>
      <c r="J201" s="196" t="n">
        <f aca="false">VLOOKUP($C$1,'Datos Iniciales'!$E$34:$O$64,J$158,FALSE())*J103</f>
        <v>0</v>
      </c>
      <c r="K201" s="196" t="n">
        <f aca="false">VLOOKUP($C$1,'Datos Iniciales'!$E$34:$O$64,K$158,FALSE())*K103</f>
        <v>0</v>
      </c>
      <c r="L201" s="196" t="n">
        <f aca="false">VLOOKUP($C$1,'Datos Iniciales'!$E$34:$O$64,L$158,FALSE())*L103</f>
        <v>0</v>
      </c>
      <c r="M201" s="197" t="n">
        <f aca="false">VLOOKUP($C$1,'Datos Iniciales'!$E$34:$O$64,M$158,FALSE())*M103</f>
        <v>0</v>
      </c>
      <c r="N201" s="194" t="str">
        <f aca="false">C201</f>
        <v>Alumno42</v>
      </c>
      <c r="O201" s="208" t="n">
        <f aca="false">VLOOKUP($N$1,'Datos Iniciales'!$E$34:$O$64,O$158,FALSE())*O103</f>
        <v>0</v>
      </c>
      <c r="P201" s="196" t="n">
        <f aca="false">VLOOKUP($N$1,'Datos Iniciales'!$E$34:$O$64,P$158,FALSE())*P103</f>
        <v>0</v>
      </c>
      <c r="Q201" s="196" t="n">
        <f aca="false">VLOOKUP($N$1,'Datos Iniciales'!$E$34:$O$64,Q$158,FALSE())*Q103</f>
        <v>0</v>
      </c>
      <c r="R201" s="196" t="n">
        <f aca="false">VLOOKUP($N$1,'Datos Iniciales'!$E$34:$O$64,R$158,FALSE())*R103</f>
        <v>0</v>
      </c>
      <c r="S201" s="196" t="n">
        <f aca="false">VLOOKUP($N$1,'Datos Iniciales'!$E$34:$O$64,S$158,FALSE())*S103</f>
        <v>0</v>
      </c>
      <c r="T201" s="196" t="n">
        <f aca="false">VLOOKUP($N$1,'Datos Iniciales'!$E$34:$O$64,T$158,FALSE())*T103</f>
        <v>0</v>
      </c>
      <c r="U201" s="196" t="n">
        <f aca="false">VLOOKUP($N$1,'Datos Iniciales'!$E$34:$O$64,U$158,FALSE())*U103</f>
        <v>0</v>
      </c>
      <c r="V201" s="196" t="n">
        <f aca="false">VLOOKUP($N$1,'Datos Iniciales'!$E$34:$O$64,V$158,FALSE())*V103</f>
        <v>0</v>
      </c>
      <c r="W201" s="196" t="n">
        <f aca="false">VLOOKUP($N$1,'Datos Iniciales'!$E$34:$O$64,W$158,FALSE())*W103</f>
        <v>0</v>
      </c>
      <c r="X201" s="197" t="n">
        <f aca="false">VLOOKUP($N$1,'Datos Iniciales'!$E$34:$O$64,X$158,FALSE())*X103</f>
        <v>0</v>
      </c>
      <c r="Y201" s="194" t="str">
        <f aca="false">N201</f>
        <v>Alumno42</v>
      </c>
      <c r="Z201" s="208" t="n">
        <f aca="false">VLOOKUP($Y$1,'Datos Iniciales'!$E$34:$O$64,Z$158,FALSE())*Z103</f>
        <v>0</v>
      </c>
      <c r="AA201" s="196" t="n">
        <f aca="false">VLOOKUP($Y$1,'Datos Iniciales'!$E$34:$O$64,AA$158,FALSE())*AA103</f>
        <v>0</v>
      </c>
      <c r="AB201" s="196" t="n">
        <f aca="false">VLOOKUP($Y$1,'Datos Iniciales'!$E$34:$O$64,AB$158,FALSE())*AB103</f>
        <v>0</v>
      </c>
      <c r="AC201" s="196" t="n">
        <f aca="false">VLOOKUP($Y$1,'Datos Iniciales'!$E$34:$O$64,AC$158,FALSE())*AC103</f>
        <v>0</v>
      </c>
      <c r="AD201" s="196" t="n">
        <f aca="false">VLOOKUP($Y$1,'Datos Iniciales'!$E$34:$O$64,AD$158,FALSE())*AD103</f>
        <v>0</v>
      </c>
      <c r="AE201" s="196" t="n">
        <f aca="false">VLOOKUP($Y$1,'Datos Iniciales'!$E$34:$O$64,AE$158,FALSE())*AE103</f>
        <v>0</v>
      </c>
      <c r="AF201" s="196" t="n">
        <f aca="false">VLOOKUP($Y$1,'Datos Iniciales'!$E$34:$O$64,AF$158,FALSE())*AF103</f>
        <v>0</v>
      </c>
      <c r="AG201" s="196" t="n">
        <f aca="false">VLOOKUP($Y$1,'Datos Iniciales'!$E$34:$O$64,AG$158,FALSE())*AG103</f>
        <v>0</v>
      </c>
      <c r="AH201" s="196" t="n">
        <f aca="false">VLOOKUP($Y$1,'Datos Iniciales'!$E$34:$O$64,AH$158,FALSE())*AH103</f>
        <v>0</v>
      </c>
      <c r="AI201" s="197" t="n">
        <f aca="false">VLOOKUP($Y$1,'Datos Iniciales'!$E$34:$O$64,AI$158,FALSE())*AI103</f>
        <v>0</v>
      </c>
      <c r="AJ201" s="194" t="str">
        <f aca="false">Y201</f>
        <v>Alumno42</v>
      </c>
      <c r="AK201" s="208" t="n">
        <f aca="false">VLOOKUP($AJ$1,'Datos Iniciales'!$E$34:$O$64,AK$158,FALSE())*AK103</f>
        <v>0</v>
      </c>
      <c r="AL201" s="196" t="n">
        <f aca="false">VLOOKUP($AJ$1,'Datos Iniciales'!$E$34:$O$64,AL$158,FALSE())*AL103</f>
        <v>0</v>
      </c>
      <c r="AM201" s="196" t="n">
        <f aca="false">VLOOKUP($AJ$1,'Datos Iniciales'!$E$34:$O$64,AM$158,FALSE())*AM103</f>
        <v>0</v>
      </c>
      <c r="AN201" s="196" t="n">
        <f aca="false">VLOOKUP($AJ$1,'Datos Iniciales'!$E$34:$O$64,AN$158,FALSE())*AN103</f>
        <v>0</v>
      </c>
      <c r="AO201" s="196" t="n">
        <f aca="false">VLOOKUP($AJ$1,'Datos Iniciales'!$E$34:$O$64,AO$158,FALSE())*AO103</f>
        <v>0</v>
      </c>
      <c r="AP201" s="196" t="n">
        <f aca="false">VLOOKUP($AJ$1,'Datos Iniciales'!$E$34:$O$64,AP$158,FALSE())*AP103</f>
        <v>0</v>
      </c>
      <c r="AQ201" s="196" t="n">
        <f aca="false">VLOOKUP($AJ$1,'Datos Iniciales'!$E$34:$O$64,AQ$158,FALSE())*AQ103</f>
        <v>0</v>
      </c>
      <c r="AR201" s="196" t="n">
        <f aca="false">VLOOKUP($AJ$1,'Datos Iniciales'!$E$34:$O$64,AR$158,FALSE())*AR103</f>
        <v>0</v>
      </c>
      <c r="AS201" s="196" t="n">
        <f aca="false">VLOOKUP($AJ$1,'Datos Iniciales'!$E$34:$O$64,AS$158,FALSE())*AS103</f>
        <v>0</v>
      </c>
      <c r="AT201" s="197" t="n">
        <f aca="false">VLOOKUP($AJ$1,'Datos Iniciales'!$E$34:$O$64,AT$158,FALSE())*AT103</f>
        <v>0</v>
      </c>
      <c r="AU201" s="194" t="str">
        <f aca="false">AJ201</f>
        <v>Alumno42</v>
      </c>
      <c r="AV201" s="208" t="n">
        <f aca="false">VLOOKUP($AU$1,'Datos Iniciales'!$E$34:$O$64,AV$158,FALSE())*AV103</f>
        <v>0</v>
      </c>
      <c r="AW201" s="196" t="n">
        <f aca="false">VLOOKUP($AU$1,'Datos Iniciales'!$E$34:$O$64,AW$158,FALSE())*AW103</f>
        <v>0</v>
      </c>
      <c r="AX201" s="196" t="n">
        <f aca="false">VLOOKUP($AU$1,'Datos Iniciales'!$E$34:$O$64,AX$158,FALSE())*AX103</f>
        <v>0</v>
      </c>
      <c r="AY201" s="196" t="n">
        <f aca="false">VLOOKUP($AU$1,'Datos Iniciales'!$E$34:$O$64,AY$158,FALSE())*AY103</f>
        <v>0</v>
      </c>
      <c r="AZ201" s="196" t="n">
        <f aca="false">VLOOKUP($AU$1,'Datos Iniciales'!$E$34:$O$64,AZ$158,FALSE())*AZ103</f>
        <v>0</v>
      </c>
      <c r="BA201" s="196" t="n">
        <f aca="false">VLOOKUP($AU$1,'Datos Iniciales'!$E$34:$O$64,BA$158,FALSE())*BA103</f>
        <v>0</v>
      </c>
      <c r="BB201" s="196" t="n">
        <f aca="false">VLOOKUP($AU$1,'Datos Iniciales'!$E$34:$O$64,BB$158,FALSE())*BB103</f>
        <v>0</v>
      </c>
      <c r="BC201" s="196" t="n">
        <f aca="false">VLOOKUP($AU$1,'Datos Iniciales'!$E$34:$O$64,BC$158,FALSE())*BC103</f>
        <v>0</v>
      </c>
      <c r="BD201" s="196" t="n">
        <f aca="false">VLOOKUP($AU$1,'Datos Iniciales'!$E$34:$O$64,BD$158,FALSE())*BD103</f>
        <v>0</v>
      </c>
      <c r="BE201" s="197" t="n">
        <f aca="false">VLOOKUP($AU$1,'Datos Iniciales'!$E$34:$O$64,BE$158,FALSE())*BE103</f>
        <v>0</v>
      </c>
      <c r="BF201" s="194" t="str">
        <f aca="false">AU201</f>
        <v>Alumno42</v>
      </c>
      <c r="BG201" s="208" t="n">
        <f aca="false">VLOOKUP($BF$1,'Datos Iniciales'!$E$34:$O$64,BG$158,FALSE())*BG103</f>
        <v>0</v>
      </c>
      <c r="BH201" s="196" t="n">
        <f aca="false">VLOOKUP($BF$1,'Datos Iniciales'!$E$34:$O$64,BH$158,FALSE())*BH103</f>
        <v>0</v>
      </c>
      <c r="BI201" s="196" t="n">
        <f aca="false">VLOOKUP($BF$1,'Datos Iniciales'!$E$34:$O$64,BI$158,FALSE())*BI103</f>
        <v>0</v>
      </c>
      <c r="BJ201" s="196" t="n">
        <f aca="false">VLOOKUP($BF$1,'Datos Iniciales'!$E$34:$O$64,BJ$158,FALSE())*BJ103</f>
        <v>0</v>
      </c>
      <c r="BK201" s="196" t="n">
        <f aca="false">VLOOKUP($BF$1,'Datos Iniciales'!$E$34:$O$64,BK$158,FALSE())*BK103</f>
        <v>0</v>
      </c>
      <c r="BL201" s="196" t="n">
        <f aca="false">VLOOKUP($BF$1,'Datos Iniciales'!$E$34:$O$64,BL$158,FALSE())*BL103</f>
        <v>0</v>
      </c>
      <c r="BM201" s="196" t="n">
        <f aca="false">VLOOKUP($BF$1,'Datos Iniciales'!$E$34:$O$64,BM$158,FALSE())*BM103</f>
        <v>0</v>
      </c>
      <c r="BN201" s="196" t="n">
        <f aca="false">VLOOKUP($BF$1,'Datos Iniciales'!$E$34:$O$64,BN$158,FALSE())*BN103</f>
        <v>0</v>
      </c>
      <c r="BO201" s="196" t="n">
        <f aca="false">VLOOKUP($BF$1,'Datos Iniciales'!$E$34:$O$64,BO$158,FALSE())*BO103</f>
        <v>0</v>
      </c>
      <c r="BP201" s="197" t="n">
        <f aca="false">VLOOKUP($BF$1,'Datos Iniciales'!$E$34:$O$64,BP$158,FALSE())*BP103</f>
        <v>0</v>
      </c>
      <c r="BQ201" s="194" t="str">
        <f aca="false">BF201</f>
        <v>Alumno42</v>
      </c>
      <c r="BR201" s="208" t="n">
        <f aca="false">VLOOKUP($BQ$1,'Datos Iniciales'!$E$34:$O$64,BR$158,FALSE())*BR103</f>
        <v>0</v>
      </c>
      <c r="BS201" s="196" t="n">
        <f aca="false">VLOOKUP($BQ$1,'Datos Iniciales'!$E$34:$O$64,BS$158,FALSE())*BS103</f>
        <v>0</v>
      </c>
      <c r="BT201" s="196" t="n">
        <f aca="false">VLOOKUP($BQ$1,'Datos Iniciales'!$E$34:$O$64,BT$158,FALSE())*BT103</f>
        <v>0</v>
      </c>
      <c r="BU201" s="196" t="n">
        <f aca="false">VLOOKUP($BQ$1,'Datos Iniciales'!$E$34:$O$64,BU$158,FALSE())*BU103</f>
        <v>0</v>
      </c>
      <c r="BV201" s="196" t="n">
        <f aca="false">VLOOKUP($BQ$1,'Datos Iniciales'!$E$34:$O$64,BV$158,FALSE())*BV103</f>
        <v>0</v>
      </c>
      <c r="BW201" s="196" t="n">
        <f aca="false">VLOOKUP($BQ$1,'Datos Iniciales'!$E$34:$O$64,BW$158,FALSE())*BW103</f>
        <v>0</v>
      </c>
      <c r="BX201" s="196" t="n">
        <f aca="false">VLOOKUP($BQ$1,'Datos Iniciales'!$E$34:$O$64,BX$158,FALSE())*BX103</f>
        <v>0</v>
      </c>
      <c r="BY201" s="196" t="n">
        <f aca="false">VLOOKUP($BQ$1,'Datos Iniciales'!$E$34:$O$64,BY$158,FALSE())*BY103</f>
        <v>0</v>
      </c>
      <c r="BZ201" s="196" t="n">
        <f aca="false">VLOOKUP($BQ$1,'Datos Iniciales'!$E$34:$O$64,BZ$158,FALSE())*BZ103</f>
        <v>0</v>
      </c>
      <c r="CA201" s="197" t="n">
        <f aca="false">VLOOKUP($BQ$1,'Datos Iniciales'!$E$34:$O$64,CA$158,FALSE())*CA103</f>
        <v>0</v>
      </c>
      <c r="CB201" s="194" t="str">
        <f aca="false">BQ201</f>
        <v>Alumno42</v>
      </c>
      <c r="CC201" s="208" t="n">
        <f aca="false">VLOOKUP($CB$1,'Datos Iniciales'!$E$34:$O$64,CC$158,FALSE())*CC103</f>
        <v>0</v>
      </c>
      <c r="CD201" s="196" t="n">
        <f aca="false">VLOOKUP($CB$1,'Datos Iniciales'!$E$34:$O$64,CD$158,FALSE())*CD103</f>
        <v>0</v>
      </c>
      <c r="CE201" s="196" t="n">
        <f aca="false">VLOOKUP($CB$1,'Datos Iniciales'!$E$34:$O$64,CE$158,FALSE())*CE103</f>
        <v>0</v>
      </c>
      <c r="CF201" s="196" t="n">
        <f aca="false">VLOOKUP($CB$1,'Datos Iniciales'!$E$34:$O$64,CF$158,FALSE())*CF103</f>
        <v>0</v>
      </c>
      <c r="CG201" s="196" t="n">
        <f aca="false">VLOOKUP($CB$1,'Datos Iniciales'!$E$34:$O$64,CG$158,FALSE())*CG103</f>
        <v>0</v>
      </c>
      <c r="CH201" s="196" t="n">
        <f aca="false">VLOOKUP($CB$1,'Datos Iniciales'!$E$34:$O$64,CH$158,FALSE())*CH103</f>
        <v>0</v>
      </c>
      <c r="CI201" s="196" t="n">
        <f aca="false">VLOOKUP($CB$1,'Datos Iniciales'!$E$34:$O$64,CI$158,FALSE())*CI103</f>
        <v>0</v>
      </c>
      <c r="CJ201" s="196" t="n">
        <f aca="false">VLOOKUP($CB$1,'Datos Iniciales'!$E$34:$O$64,CJ$158,FALSE())*CJ103</f>
        <v>0</v>
      </c>
      <c r="CK201" s="196" t="n">
        <f aca="false">VLOOKUP($CB$1,'Datos Iniciales'!$E$34:$O$64,CK$158,FALSE())*CK103</f>
        <v>0</v>
      </c>
      <c r="CL201" s="197" t="n">
        <f aca="false">VLOOKUP($CB$1,'Datos Iniciales'!$E$34:$O$64,CL$158,FALSE())*CL103</f>
        <v>0</v>
      </c>
      <c r="CM201" s="194" t="str">
        <f aca="false">CB201</f>
        <v>Alumno42</v>
      </c>
      <c r="CN201" s="208" t="n">
        <f aca="false">VLOOKUP($CM$1,'Datos Iniciales'!$E$34:$O$64,CN$158,FALSE())*CN103</f>
        <v>0</v>
      </c>
      <c r="CO201" s="196" t="n">
        <f aca="false">VLOOKUP($CM$1,'Datos Iniciales'!$E$34:$O$64,CO$158,FALSE())*CO103</f>
        <v>0</v>
      </c>
      <c r="CP201" s="196" t="n">
        <f aca="false">VLOOKUP($CM$1,'Datos Iniciales'!$E$34:$O$64,CP$158,FALSE())*CP103</f>
        <v>0</v>
      </c>
      <c r="CQ201" s="196" t="n">
        <f aca="false">VLOOKUP($CM$1,'Datos Iniciales'!$E$34:$O$64,CQ$158,FALSE())*CQ103</f>
        <v>0</v>
      </c>
      <c r="CR201" s="196" t="n">
        <f aca="false">VLOOKUP($CM$1,'Datos Iniciales'!$E$34:$O$64,CR$158,FALSE())*CR103</f>
        <v>0</v>
      </c>
      <c r="CS201" s="196" t="n">
        <f aca="false">VLOOKUP($CM$1,'Datos Iniciales'!$E$34:$O$64,CS$158,FALSE())*CS103</f>
        <v>0</v>
      </c>
      <c r="CT201" s="196" t="n">
        <f aca="false">VLOOKUP($CM$1,'Datos Iniciales'!$E$34:$O$64,CT$158,FALSE())*CT103</f>
        <v>0</v>
      </c>
      <c r="CU201" s="196" t="n">
        <f aca="false">VLOOKUP($CM$1,'Datos Iniciales'!$E$34:$O$64,CU$158,FALSE())*CU103</f>
        <v>0</v>
      </c>
      <c r="CV201" s="196" t="n">
        <f aca="false">VLOOKUP($CM$1,'Datos Iniciales'!$E$34:$O$64,CV$158,FALSE())*CV103</f>
        <v>0</v>
      </c>
      <c r="CW201" s="197" t="n">
        <f aca="false">VLOOKUP($CM$1,'Datos Iniciales'!$E$34:$O$64,CW$158,FALSE())*CW103</f>
        <v>0</v>
      </c>
      <c r="CX201" s="194" t="str">
        <f aca="false">CM201</f>
        <v>Alumno42</v>
      </c>
      <c r="CY201" s="208" t="n">
        <f aca="false">VLOOKUP($CX$1,'Datos Iniciales'!$E$34:$O$64,CY$158,FALSE())*CY103</f>
        <v>0</v>
      </c>
      <c r="CZ201" s="196" t="n">
        <f aca="false">VLOOKUP($CX$1,'Datos Iniciales'!$E$34:$O$64,CZ$158,FALSE())*CZ103</f>
        <v>0</v>
      </c>
      <c r="DA201" s="196" t="n">
        <f aca="false">VLOOKUP($CX$1,'Datos Iniciales'!$E$34:$O$64,DA$158,FALSE())*DA103</f>
        <v>0</v>
      </c>
      <c r="DB201" s="196" t="n">
        <f aca="false">VLOOKUP($CX$1,'Datos Iniciales'!$E$34:$O$64,DB$158,FALSE())*DB103</f>
        <v>0</v>
      </c>
      <c r="DC201" s="196" t="n">
        <f aca="false">VLOOKUP($CX$1,'Datos Iniciales'!$E$34:$O$64,DC$158,FALSE())*DC103</f>
        <v>0</v>
      </c>
      <c r="DD201" s="196" t="n">
        <f aca="false">VLOOKUP($CX$1,'Datos Iniciales'!$E$34:$O$64,DD$158,FALSE())*DD103</f>
        <v>0</v>
      </c>
      <c r="DE201" s="196" t="n">
        <f aca="false">VLOOKUP($CX$1,'Datos Iniciales'!$E$34:$O$64,DE$158,FALSE())*DE103</f>
        <v>0</v>
      </c>
      <c r="DF201" s="196" t="n">
        <f aca="false">VLOOKUP($CX$1,'Datos Iniciales'!$E$34:$O$64,DF$158,FALSE())*DF103</f>
        <v>0</v>
      </c>
      <c r="DG201" s="196" t="n">
        <f aca="false">VLOOKUP($CX$1,'Datos Iniciales'!$E$34:$O$64,DG$158,FALSE())*DG103</f>
        <v>0</v>
      </c>
      <c r="DH201" s="197" t="n">
        <f aca="false">VLOOKUP($CX$1,'Datos Iniciales'!$E$34:$O$64,DH$158,FALSE())*DH103</f>
        <v>0</v>
      </c>
      <c r="DI201" s="194" t="str">
        <f aca="false">CX201</f>
        <v>Alumno42</v>
      </c>
      <c r="DJ201" s="208" t="n">
        <f aca="false">VLOOKUP($DI$1,'Datos Iniciales'!$E$34:$O$64,DJ$158,FALSE())*DJ103</f>
        <v>0</v>
      </c>
      <c r="DK201" s="196" t="n">
        <f aca="false">VLOOKUP($DI$1,'Datos Iniciales'!$E$34:$O$64,DK$158,FALSE())*DK103</f>
        <v>0</v>
      </c>
      <c r="DL201" s="196" t="n">
        <f aca="false">VLOOKUP($DI$1,'Datos Iniciales'!$E$34:$O$64,DL$158,FALSE())*DL103</f>
        <v>0</v>
      </c>
      <c r="DM201" s="196" t="n">
        <f aca="false">VLOOKUP($DI$1,'Datos Iniciales'!$E$34:$O$64,DM$158,FALSE())*DM103</f>
        <v>0</v>
      </c>
      <c r="DN201" s="196" t="n">
        <f aca="false">VLOOKUP($DI$1,'Datos Iniciales'!$E$34:$O$64,DN$158,FALSE())*DN103</f>
        <v>0</v>
      </c>
      <c r="DO201" s="196" t="n">
        <f aca="false">VLOOKUP($DI$1,'Datos Iniciales'!$E$34:$O$64,DO$158,FALSE())*DO103</f>
        <v>0</v>
      </c>
      <c r="DP201" s="196" t="n">
        <f aca="false">VLOOKUP($DI$1,'Datos Iniciales'!$E$34:$O$64,DP$158,FALSE())*DP103</f>
        <v>0</v>
      </c>
      <c r="DQ201" s="196" t="n">
        <f aca="false">VLOOKUP($DI$1,'Datos Iniciales'!$E$34:$O$64,DQ$158,FALSE())*DQ103</f>
        <v>0</v>
      </c>
      <c r="DR201" s="196" t="n">
        <f aca="false">VLOOKUP($DI$1,'Datos Iniciales'!$E$34:$O$64,DR$158,FALSE())*DR103</f>
        <v>0</v>
      </c>
      <c r="DS201" s="197" t="n">
        <f aca="false">VLOOKUP($DI$1,'Datos Iniciales'!$E$34:$O$64,DS$158,FALSE())*DS103</f>
        <v>0</v>
      </c>
      <c r="DT201" s="194" t="str">
        <f aca="false">DI201</f>
        <v>Alumno42</v>
      </c>
      <c r="DU201" s="208" t="n">
        <f aca="false">VLOOKUP($DT$1,'Datos Iniciales'!$E$34:$O$64,DU$158,FALSE())*DU103</f>
        <v>0</v>
      </c>
      <c r="DV201" s="196" t="n">
        <f aca="false">VLOOKUP($DT$1,'Datos Iniciales'!$E$34:$O$64,DV$158,FALSE())*DV103</f>
        <v>0</v>
      </c>
      <c r="DW201" s="196" t="n">
        <f aca="false">VLOOKUP($DT$1,'Datos Iniciales'!$E$34:$O$64,DW$158,FALSE())*DW103</f>
        <v>0</v>
      </c>
      <c r="DX201" s="196" t="n">
        <f aca="false">VLOOKUP($DT$1,'Datos Iniciales'!$E$34:$O$64,DX$158,FALSE())*DX103</f>
        <v>0</v>
      </c>
      <c r="DY201" s="196" t="n">
        <f aca="false">VLOOKUP($DT$1,'Datos Iniciales'!$E$34:$O$64,DY$158,FALSE())*DY103</f>
        <v>0</v>
      </c>
      <c r="DZ201" s="196" t="n">
        <f aca="false">VLOOKUP($DT$1,'Datos Iniciales'!$E$34:$O$64,DZ$158,FALSE())*DZ103</f>
        <v>0</v>
      </c>
      <c r="EA201" s="196" t="n">
        <f aca="false">VLOOKUP($DT$1,'Datos Iniciales'!$E$34:$O$64,EA$158,FALSE())*EA103</f>
        <v>0</v>
      </c>
      <c r="EB201" s="196" t="n">
        <f aca="false">VLOOKUP($DT$1,'Datos Iniciales'!$E$34:$O$64,EB$158,FALSE())*EB103</f>
        <v>0</v>
      </c>
      <c r="EC201" s="196" t="n">
        <f aca="false">VLOOKUP($DT$1,'Datos Iniciales'!$E$34:$O$64,EC$158,FALSE())*EC103</f>
        <v>0</v>
      </c>
      <c r="ED201" s="197" t="n">
        <f aca="false">VLOOKUP($DT$1,'Datos Iniciales'!$E$34:$O$64,ED$158,FALSE())*ED103</f>
        <v>0</v>
      </c>
      <c r="EE201" s="194" t="str">
        <f aca="false">DT201</f>
        <v>Alumno42</v>
      </c>
      <c r="EF201" s="208" t="n">
        <f aca="false">VLOOKUP($EE$1,'Datos Iniciales'!$E$34:$O$64,EF$158,FALSE())*EF103</f>
        <v>0</v>
      </c>
      <c r="EG201" s="196" t="n">
        <f aca="false">VLOOKUP($EE$1,'Datos Iniciales'!$E$34:$O$64,EG$158,FALSE())*EG103</f>
        <v>0</v>
      </c>
      <c r="EH201" s="196" t="n">
        <f aca="false">VLOOKUP($EE$1,'Datos Iniciales'!$E$34:$O$64,EH$158,FALSE())*EH103</f>
        <v>0</v>
      </c>
      <c r="EI201" s="196" t="n">
        <f aca="false">VLOOKUP($EE$1,'Datos Iniciales'!$E$34:$O$64,EI$158,FALSE())*EI103</f>
        <v>0</v>
      </c>
      <c r="EJ201" s="196" t="n">
        <f aca="false">VLOOKUP($EE$1,'Datos Iniciales'!$E$34:$O$64,EJ$158,FALSE())*EJ103</f>
        <v>0</v>
      </c>
      <c r="EK201" s="196" t="n">
        <f aca="false">VLOOKUP($EE$1,'Datos Iniciales'!$E$34:$O$64,EK$158,FALSE())*EK103</f>
        <v>0</v>
      </c>
      <c r="EL201" s="196" t="n">
        <f aca="false">VLOOKUP($EE$1,'Datos Iniciales'!$E$34:$O$64,EL$158,FALSE())*EL103</f>
        <v>0</v>
      </c>
      <c r="EM201" s="196" t="n">
        <f aca="false">VLOOKUP($EE$1,'Datos Iniciales'!$E$34:$O$64,EM$158,FALSE())*EM103</f>
        <v>0</v>
      </c>
      <c r="EN201" s="196" t="n">
        <f aca="false">VLOOKUP($EE$1,'Datos Iniciales'!$E$34:$O$64,EN$158,FALSE())*EN103</f>
        <v>0</v>
      </c>
      <c r="EO201" s="197" t="n">
        <f aca="false">VLOOKUP($EE$1,'Datos Iniciales'!$E$34:$O$64,EO$158,FALSE())*EO103</f>
        <v>0</v>
      </c>
      <c r="EP201" s="194" t="str">
        <f aca="false">EE201</f>
        <v>Alumno42</v>
      </c>
      <c r="EQ201" s="208" t="n">
        <f aca="false">VLOOKUP($EP$1,'Datos Iniciales'!$E$34:$O$64,EQ$158,FALSE())*EQ103</f>
        <v>0</v>
      </c>
      <c r="ER201" s="196" t="n">
        <f aca="false">VLOOKUP($EP$1,'Datos Iniciales'!$E$34:$O$64,ER$158,FALSE())*ER103</f>
        <v>0</v>
      </c>
      <c r="ES201" s="196" t="n">
        <f aca="false">VLOOKUP($EP$1,'Datos Iniciales'!$E$34:$O$64,ES$158,FALSE())*ES103</f>
        <v>0</v>
      </c>
      <c r="ET201" s="196" t="n">
        <f aca="false">VLOOKUP($EP$1,'Datos Iniciales'!$E$34:$O$64,ET$158,FALSE())*ET103</f>
        <v>0</v>
      </c>
      <c r="EU201" s="196" t="n">
        <f aca="false">VLOOKUP($EP$1,'Datos Iniciales'!$E$34:$O$64,EU$158,FALSE())*EU103</f>
        <v>0</v>
      </c>
      <c r="EV201" s="196" t="n">
        <f aca="false">VLOOKUP($EP$1,'Datos Iniciales'!$E$34:$O$64,EV$158,FALSE())*EV103</f>
        <v>0</v>
      </c>
      <c r="EW201" s="196" t="n">
        <f aca="false">VLOOKUP($EP$1,'Datos Iniciales'!$E$34:$O$64,EW$158,FALSE())*EW103</f>
        <v>0</v>
      </c>
      <c r="EX201" s="196" t="n">
        <f aca="false">VLOOKUP($EP$1,'Datos Iniciales'!$E$34:$O$64,EX$158,FALSE())*EX103</f>
        <v>0</v>
      </c>
      <c r="EY201" s="196" t="n">
        <f aca="false">VLOOKUP($EP$1,'Datos Iniciales'!$E$34:$O$64,EY$158,FALSE())*EY103</f>
        <v>0</v>
      </c>
      <c r="EZ201" s="197" t="n">
        <f aca="false">VLOOKUP($EP$1,'Datos Iniciales'!$E$34:$O$64,EZ$158,FALSE())*EZ103</f>
        <v>0</v>
      </c>
      <c r="FA201" s="194" t="str">
        <f aca="false">EP201</f>
        <v>Alumno42</v>
      </c>
      <c r="FB201" s="208" t="n">
        <f aca="false">VLOOKUP($FA$1,'Datos Iniciales'!$E$34:$O$64,FB$158,FALSE())*FB103</f>
        <v>0</v>
      </c>
      <c r="FC201" s="196" t="n">
        <f aca="false">VLOOKUP($FA$1,'Datos Iniciales'!$E$34:$O$64,FC$158,FALSE())*FC103</f>
        <v>0</v>
      </c>
      <c r="FD201" s="196" t="n">
        <f aca="false">VLOOKUP($FA$1,'Datos Iniciales'!$E$34:$O$64,FD$158,FALSE())*FD103</f>
        <v>0</v>
      </c>
      <c r="FE201" s="196" t="n">
        <f aca="false">VLOOKUP($FA$1,'Datos Iniciales'!$E$34:$O$64,FE$158,FALSE())*FE103</f>
        <v>0</v>
      </c>
      <c r="FF201" s="196" t="n">
        <f aca="false">VLOOKUP($FA$1,'Datos Iniciales'!$E$34:$O$64,FF$158,FALSE())*FF103</f>
        <v>0</v>
      </c>
      <c r="FG201" s="196" t="n">
        <f aca="false">VLOOKUP($FA$1,'Datos Iniciales'!$E$34:$O$64,FG$158,FALSE())*FG103</f>
        <v>0</v>
      </c>
      <c r="FH201" s="196" t="n">
        <f aca="false">VLOOKUP($FA$1,'Datos Iniciales'!$E$34:$O$64,FH$158,FALSE())*FH103</f>
        <v>0</v>
      </c>
      <c r="FI201" s="196" t="n">
        <f aca="false">VLOOKUP($FA$1,'Datos Iniciales'!$E$34:$O$64,FI$158,FALSE())*FI103</f>
        <v>0</v>
      </c>
      <c r="FJ201" s="196" t="n">
        <f aca="false">VLOOKUP($FA$1,'Datos Iniciales'!$E$34:$O$64,FJ$158,FALSE())*FJ103</f>
        <v>0</v>
      </c>
      <c r="FK201" s="197" t="n">
        <f aca="false">VLOOKUP($FA$1,'Datos Iniciales'!$E$34:$O$64,FK$158,FALSE())*FK103</f>
        <v>0</v>
      </c>
      <c r="FL201" s="194" t="str">
        <f aca="false">FA201</f>
        <v>Alumno42</v>
      </c>
      <c r="FM201" s="208" t="n">
        <f aca="false">VLOOKUP($FL$1,'Datos Iniciales'!$E$34:$O$64,FM$158,FALSE())*FM103</f>
        <v>0</v>
      </c>
      <c r="FN201" s="196" t="n">
        <f aca="false">VLOOKUP($FL$1,'Datos Iniciales'!$E$34:$O$64,FN$158,FALSE())*FN103</f>
        <v>0</v>
      </c>
      <c r="FO201" s="196" t="n">
        <f aca="false">VLOOKUP($FL$1,'Datos Iniciales'!$E$34:$O$64,FO$158,FALSE())*FO103</f>
        <v>0</v>
      </c>
      <c r="FP201" s="196" t="n">
        <f aca="false">VLOOKUP($FL$1,'Datos Iniciales'!$E$34:$O$64,FP$158,FALSE())*FP103</f>
        <v>0</v>
      </c>
      <c r="FQ201" s="196" t="n">
        <f aca="false">VLOOKUP($FL$1,'Datos Iniciales'!$E$34:$O$64,FQ$158,FALSE())*FQ103</f>
        <v>0</v>
      </c>
      <c r="FR201" s="196" t="n">
        <f aca="false">VLOOKUP($FL$1,'Datos Iniciales'!$E$34:$O$64,FR$158,FALSE())*FR103</f>
        <v>0</v>
      </c>
      <c r="FS201" s="196" t="n">
        <f aca="false">VLOOKUP($FL$1,'Datos Iniciales'!$E$34:$O$64,FS$158,FALSE())*FS103</f>
        <v>0</v>
      </c>
      <c r="FT201" s="196" t="n">
        <f aca="false">VLOOKUP($FL$1,'Datos Iniciales'!$E$34:$O$64,FT$158,FALSE())*FT103</f>
        <v>0</v>
      </c>
      <c r="FU201" s="196" t="n">
        <f aca="false">VLOOKUP($FL$1,'Datos Iniciales'!$E$34:$O$64,FU$158,FALSE())*FU103</f>
        <v>0</v>
      </c>
      <c r="FV201" s="197" t="n">
        <f aca="false">VLOOKUP($FL$1,'Datos Iniciales'!$E$34:$O$64,FV$158,FALSE())*FV103</f>
        <v>0</v>
      </c>
      <c r="FW201" s="194" t="str">
        <f aca="false">FL201</f>
        <v>Alumno42</v>
      </c>
      <c r="FX201" s="208" t="n">
        <f aca="false">VLOOKUP($FW$1,'Datos Iniciales'!$E$34:$O$64,FX$158,FALSE())*FX103</f>
        <v>0</v>
      </c>
      <c r="FY201" s="196" t="n">
        <f aca="false">VLOOKUP($FW$1,'Datos Iniciales'!$E$34:$O$64,FY$158,FALSE())*FY103</f>
        <v>0</v>
      </c>
      <c r="FZ201" s="196" t="n">
        <f aca="false">VLOOKUP($FW$1,'Datos Iniciales'!$E$34:$O$64,FZ$158,FALSE())*FZ103</f>
        <v>0</v>
      </c>
      <c r="GA201" s="196" t="n">
        <f aca="false">VLOOKUP($FW$1,'Datos Iniciales'!$E$34:$O$64,GA$158,FALSE())*GA103</f>
        <v>0</v>
      </c>
      <c r="GB201" s="196" t="n">
        <f aca="false">VLOOKUP($FW$1,'Datos Iniciales'!$E$34:$O$64,GB$158,FALSE())*GB103</f>
        <v>0</v>
      </c>
      <c r="GC201" s="196" t="n">
        <f aca="false">VLOOKUP($FW$1,'Datos Iniciales'!$E$34:$O$64,GC$158,FALSE())*GC103</f>
        <v>0</v>
      </c>
      <c r="GD201" s="196" t="n">
        <f aca="false">VLOOKUP($FW$1,'Datos Iniciales'!$E$34:$O$64,GD$158,FALSE())*GD103</f>
        <v>0</v>
      </c>
      <c r="GE201" s="196" t="n">
        <f aca="false">VLOOKUP($FW$1,'Datos Iniciales'!$E$34:$O$64,GE$158,FALSE())*GE103</f>
        <v>0</v>
      </c>
      <c r="GF201" s="196" t="n">
        <f aca="false">VLOOKUP($FW$1,'Datos Iniciales'!$E$34:$O$64,GF$158,FALSE())*GF103</f>
        <v>0</v>
      </c>
      <c r="GG201" s="197" t="n">
        <f aca="false">VLOOKUP($FW$1,'Datos Iniciales'!$E$34:$O$64,GG$158,FALSE())*GG103</f>
        <v>0</v>
      </c>
      <c r="GH201" s="194" t="str">
        <f aca="false">FW201</f>
        <v>Alumno42</v>
      </c>
      <c r="GI201" s="208" t="n">
        <f aca="false">VLOOKUP($GH$1,'Datos Iniciales'!$E$34:$O$64,GI$158,FALSE())*GI103</f>
        <v>0</v>
      </c>
      <c r="GJ201" s="196" t="n">
        <f aca="false">VLOOKUP($GH$1,'Datos Iniciales'!$E$34:$O$64,GJ$158,FALSE())*GJ103</f>
        <v>0</v>
      </c>
      <c r="GK201" s="196" t="n">
        <f aca="false">VLOOKUP($GH$1,'Datos Iniciales'!$E$34:$O$64,GK$158,FALSE())*GK103</f>
        <v>0</v>
      </c>
      <c r="GL201" s="196" t="n">
        <f aca="false">VLOOKUP($GH$1,'Datos Iniciales'!$E$34:$O$64,GL$158,FALSE())*GL103</f>
        <v>0</v>
      </c>
      <c r="GM201" s="196" t="n">
        <f aca="false">VLOOKUP($GH$1,'Datos Iniciales'!$E$34:$O$64,GM$158,FALSE())*GM103</f>
        <v>0</v>
      </c>
      <c r="GN201" s="196" t="n">
        <f aca="false">VLOOKUP($GH$1,'Datos Iniciales'!$E$34:$O$64,GN$158,FALSE())*GN103</f>
        <v>0</v>
      </c>
      <c r="GO201" s="196" t="n">
        <f aca="false">VLOOKUP($GH$1,'Datos Iniciales'!$E$34:$O$64,GO$158,FALSE())*GO103</f>
        <v>0</v>
      </c>
      <c r="GP201" s="196" t="n">
        <f aca="false">VLOOKUP($GH$1,'Datos Iniciales'!$E$34:$O$64,GP$158,FALSE())*GP103</f>
        <v>0</v>
      </c>
      <c r="GQ201" s="196" t="n">
        <f aca="false">VLOOKUP($GH$1,'Datos Iniciales'!$E$34:$O$64,GQ$158,FALSE())*GQ103</f>
        <v>0</v>
      </c>
      <c r="GR201" s="197" t="n">
        <f aca="false">VLOOKUP($GH$1,'Datos Iniciales'!$E$34:$O$64,GR$158,FALSE())*GR103</f>
        <v>0</v>
      </c>
      <c r="GS201" s="194" t="str">
        <f aca="false">GH201</f>
        <v>Alumno42</v>
      </c>
      <c r="GT201" s="208" t="n">
        <f aca="false">VLOOKUP($GS$1,'Datos Iniciales'!$E$34:$O$64,GT$158,FALSE())*GT103</f>
        <v>0</v>
      </c>
      <c r="GU201" s="196" t="n">
        <f aca="false">VLOOKUP($GS$1,'Datos Iniciales'!$E$34:$O$64,GU$158,FALSE())*GU103</f>
        <v>0</v>
      </c>
      <c r="GV201" s="196" t="n">
        <f aca="false">VLOOKUP($GS$1,'Datos Iniciales'!$E$34:$O$64,GV$158,FALSE())*GV103</f>
        <v>0</v>
      </c>
      <c r="GW201" s="196" t="n">
        <f aca="false">VLOOKUP($GS$1,'Datos Iniciales'!$E$34:$O$64,GW$158,FALSE())*GW103</f>
        <v>0</v>
      </c>
      <c r="GX201" s="196" t="n">
        <f aca="false">VLOOKUP($GS$1,'Datos Iniciales'!$E$34:$O$64,GX$158,FALSE())*GX103</f>
        <v>0</v>
      </c>
      <c r="GY201" s="196" t="n">
        <f aca="false">VLOOKUP($GS$1,'Datos Iniciales'!$E$34:$O$64,GY$158,FALSE())*GY103</f>
        <v>0</v>
      </c>
      <c r="GZ201" s="196" t="n">
        <f aca="false">VLOOKUP($GS$1,'Datos Iniciales'!$E$34:$O$64,GZ$158,FALSE())*GZ103</f>
        <v>0</v>
      </c>
      <c r="HA201" s="196" t="n">
        <f aca="false">VLOOKUP($GS$1,'Datos Iniciales'!$E$34:$O$64,HA$158,FALSE())*HA103</f>
        <v>0</v>
      </c>
      <c r="HB201" s="196" t="n">
        <f aca="false">VLOOKUP($GS$1,'Datos Iniciales'!$E$34:$O$64,HB$158,FALSE())*HB103</f>
        <v>0</v>
      </c>
      <c r="HC201" s="197" t="n">
        <f aca="false">VLOOKUP($GS$1,'Datos Iniciales'!$E$34:$O$64,HC$158,FALSE())*HC103</f>
        <v>0</v>
      </c>
      <c r="HD201" s="194" t="str">
        <f aca="false">GS201</f>
        <v>Alumno42</v>
      </c>
      <c r="HE201" s="208" t="n">
        <f aca="false">VLOOKUP($HD$1,'Datos Iniciales'!$E$34:$O$64,HE$158,FALSE())*HE103</f>
        <v>0</v>
      </c>
      <c r="HF201" s="196" t="n">
        <f aca="false">VLOOKUP($HD$1,'Datos Iniciales'!$E$34:$O$64,HF$158,FALSE())*HF103</f>
        <v>0</v>
      </c>
      <c r="HG201" s="196" t="n">
        <f aca="false">VLOOKUP($HD$1,'Datos Iniciales'!$E$34:$O$64,HG$158,FALSE())*HG103</f>
        <v>0</v>
      </c>
      <c r="HH201" s="196" t="n">
        <f aca="false">VLOOKUP($HD$1,'Datos Iniciales'!$E$34:$O$64,HH$158,FALSE())*HH103</f>
        <v>0</v>
      </c>
      <c r="HI201" s="196" t="n">
        <f aca="false">VLOOKUP($HD$1,'Datos Iniciales'!$E$34:$O$64,HI$158,FALSE())*HI103</f>
        <v>0</v>
      </c>
      <c r="HJ201" s="196" t="n">
        <f aca="false">VLOOKUP($HD$1,'Datos Iniciales'!$E$34:$O$64,HJ$158,FALSE())*HJ103</f>
        <v>0</v>
      </c>
      <c r="HK201" s="196" t="n">
        <f aca="false">VLOOKUP($HD$1,'Datos Iniciales'!$E$34:$O$64,HK$158,FALSE())*HK103</f>
        <v>0</v>
      </c>
      <c r="HL201" s="196" t="n">
        <f aca="false">VLOOKUP($HD$1,'Datos Iniciales'!$E$34:$O$64,HL$158,FALSE())*HL103</f>
        <v>0</v>
      </c>
      <c r="HM201" s="196" t="n">
        <f aca="false">VLOOKUP($HD$1,'Datos Iniciales'!$E$34:$O$64,HM$158,FALSE())*HM103</f>
        <v>0</v>
      </c>
      <c r="HN201" s="197" t="n">
        <f aca="false">VLOOKUP($HD$1,'Datos Iniciales'!$E$34:$O$64,HN$158,FALSE())*HN103</f>
        <v>0</v>
      </c>
      <c r="HO201" s="194" t="str">
        <f aca="false">HD201</f>
        <v>Alumno42</v>
      </c>
      <c r="HP201" s="208" t="n">
        <f aca="false">VLOOKUP($HO$1,'Datos Iniciales'!$E$34:$O$64,HP$158,FALSE())*HP103</f>
        <v>0</v>
      </c>
      <c r="HQ201" s="196" t="n">
        <f aca="false">VLOOKUP($HO$1,'Datos Iniciales'!$E$34:$O$64,HQ$158,FALSE())*HQ103</f>
        <v>0</v>
      </c>
      <c r="HR201" s="196" t="n">
        <f aca="false">VLOOKUP($HO$1,'Datos Iniciales'!$E$34:$O$64,HR$158,FALSE())*HR103</f>
        <v>0</v>
      </c>
      <c r="HS201" s="196" t="n">
        <f aca="false">VLOOKUP($HO$1,'Datos Iniciales'!$E$34:$O$64,HS$158,FALSE())*HS103</f>
        <v>0</v>
      </c>
      <c r="HT201" s="196" t="n">
        <f aca="false">VLOOKUP($HO$1,'Datos Iniciales'!$E$34:$O$64,HT$158,FALSE())*HT103</f>
        <v>0</v>
      </c>
      <c r="HU201" s="196" t="n">
        <f aca="false">VLOOKUP($HO$1,'Datos Iniciales'!$E$34:$O$64,HU$158,FALSE())*HU103</f>
        <v>0</v>
      </c>
      <c r="HV201" s="196" t="n">
        <f aca="false">VLOOKUP($HO$1,'Datos Iniciales'!$E$34:$O$64,HV$158,FALSE())*HV103</f>
        <v>0</v>
      </c>
      <c r="HW201" s="196" t="n">
        <f aca="false">VLOOKUP($HO$1,'Datos Iniciales'!$E$34:$O$64,HW$158,FALSE())*HW103</f>
        <v>0</v>
      </c>
      <c r="HX201" s="196" t="n">
        <f aca="false">VLOOKUP($HO$1,'Datos Iniciales'!$E$34:$O$64,HX$158,FALSE())*HX103</f>
        <v>0</v>
      </c>
      <c r="HY201" s="197" t="n">
        <f aca="false">VLOOKUP($HO$1,'Datos Iniciales'!$E$34:$O$64,HY$158,FALSE())*HY103</f>
        <v>0</v>
      </c>
      <c r="HZ201" s="194" t="str">
        <f aca="false">HO201</f>
        <v>Alumno42</v>
      </c>
      <c r="IA201" s="208" t="n">
        <f aca="false">VLOOKUP($HZ$1,'Datos Iniciales'!$E$34:$O$64,IA$158,FALSE())*IA103</f>
        <v>0</v>
      </c>
      <c r="IB201" s="196" t="n">
        <f aca="false">VLOOKUP($HZ$1,'Datos Iniciales'!$E$34:$O$64,IB$158,FALSE())*IB103</f>
        <v>0</v>
      </c>
      <c r="IC201" s="196" t="n">
        <f aca="false">VLOOKUP($HZ$1,'Datos Iniciales'!$E$34:$O$64,IC$158,FALSE())*IC103</f>
        <v>0</v>
      </c>
      <c r="ID201" s="196" t="n">
        <f aca="false">VLOOKUP($HZ$1,'Datos Iniciales'!$E$34:$O$64,ID$158,FALSE())*ID103</f>
        <v>0</v>
      </c>
      <c r="IE201" s="196" t="n">
        <f aca="false">VLOOKUP($HZ$1,'Datos Iniciales'!$E$34:$O$64,IE$158,FALSE())*IE103</f>
        <v>0</v>
      </c>
      <c r="IF201" s="196" t="n">
        <f aca="false">VLOOKUP($HZ$1,'Datos Iniciales'!$E$34:$O$64,IF$158,FALSE())*IF103</f>
        <v>0</v>
      </c>
      <c r="IG201" s="196" t="n">
        <f aca="false">VLOOKUP($HZ$1,'Datos Iniciales'!$E$34:$O$64,IG$158,FALSE())*IG103</f>
        <v>0</v>
      </c>
      <c r="IH201" s="196" t="n">
        <f aca="false">VLOOKUP($HZ$1,'Datos Iniciales'!$E$34:$O$64,IH$158,FALSE())*IH103</f>
        <v>0</v>
      </c>
      <c r="II201" s="196" t="n">
        <f aca="false">VLOOKUP($HZ$1,'Datos Iniciales'!$E$34:$O$64,II$158,FALSE())*II103</f>
        <v>0</v>
      </c>
      <c r="IJ201" s="197" t="n">
        <f aca="false">VLOOKUP($HZ$1,'Datos Iniciales'!$E$34:$O$64,IJ$158,FALSE())*IJ103</f>
        <v>0</v>
      </c>
      <c r="IK201" s="194" t="str">
        <f aca="false">HZ201</f>
        <v>Alumno42</v>
      </c>
      <c r="IL201" s="208" t="n">
        <f aca="false">VLOOKUP($IK$1,'Datos Iniciales'!$E$34:$O$64,IL$158,FALSE())*IL103</f>
        <v>0</v>
      </c>
      <c r="IM201" s="196" t="n">
        <f aca="false">VLOOKUP($IK$1,'Datos Iniciales'!$E$34:$O$64,IM$158,FALSE())*IM103</f>
        <v>0</v>
      </c>
      <c r="IN201" s="196" t="n">
        <f aca="false">VLOOKUP($IK$1,'Datos Iniciales'!$E$34:$O$64,IN$158,FALSE())*IN103</f>
        <v>0</v>
      </c>
      <c r="IO201" s="196" t="n">
        <f aca="false">VLOOKUP($IK$1,'Datos Iniciales'!$E$34:$O$64,IO$158,FALSE())*IO103</f>
        <v>0</v>
      </c>
      <c r="IP201" s="196" t="n">
        <f aca="false">VLOOKUP($IK$1,'Datos Iniciales'!$E$34:$O$64,IP$158,FALSE())*IP103</f>
        <v>0</v>
      </c>
      <c r="IQ201" s="196" t="n">
        <f aca="false">VLOOKUP($IK$1,'Datos Iniciales'!$E$34:$O$64,IQ$158,FALSE())*IQ103</f>
        <v>0</v>
      </c>
      <c r="IR201" s="196" t="n">
        <f aca="false">VLOOKUP($IK$1,'Datos Iniciales'!$E$34:$O$64,IR$158,FALSE())*IR103</f>
        <v>0</v>
      </c>
      <c r="IS201" s="196" t="n">
        <f aca="false">VLOOKUP($IK$1,'Datos Iniciales'!$E$34:$O$64,IS$158,FALSE())*IS103</f>
        <v>0</v>
      </c>
      <c r="IT201" s="196" t="n">
        <f aca="false">VLOOKUP($IK$1,'Datos Iniciales'!$E$34:$O$64,IT$158,FALSE())*IT103</f>
        <v>0</v>
      </c>
      <c r="IU201" s="197" t="n">
        <f aca="false">VLOOKUP($IK$1,'Datos Iniciales'!$E$34:$O$64,IU$158,FALSE())*IU103</f>
        <v>0</v>
      </c>
      <c r="IV201" s="194" t="str">
        <f aca="false">IK201</f>
        <v>Alumno42</v>
      </c>
      <c r="IW201" s="208" t="n">
        <f aca="false">VLOOKUP($IV$1,'Datos Iniciales'!$E$34:$O$64,IW$158,FALSE())*IW103</f>
        <v>0</v>
      </c>
      <c r="IX201" s="196" t="n">
        <f aca="false">VLOOKUP($IV$1,'Datos Iniciales'!$E$34:$O$64,IX$158,FALSE())*IX103</f>
        <v>0</v>
      </c>
      <c r="IY201" s="196" t="n">
        <f aca="false">VLOOKUP($IV$1,'Datos Iniciales'!$E$34:$O$64,IY$158,FALSE())*IY103</f>
        <v>0</v>
      </c>
      <c r="IZ201" s="196" t="n">
        <f aca="false">VLOOKUP($IV$1,'Datos Iniciales'!$E$34:$O$64,IZ$158,FALSE())*IZ103</f>
        <v>0</v>
      </c>
      <c r="JA201" s="196" t="n">
        <f aca="false">VLOOKUP($IV$1,'Datos Iniciales'!$E$34:$O$64,JA$158,FALSE())*JA103</f>
        <v>0</v>
      </c>
      <c r="JB201" s="196" t="n">
        <f aca="false">VLOOKUP($IV$1,'Datos Iniciales'!$E$34:$O$64,JB$158,FALSE())*JB103</f>
        <v>0</v>
      </c>
      <c r="JC201" s="196" t="n">
        <f aca="false">VLOOKUP($IV$1,'Datos Iniciales'!$E$34:$O$64,JC$158,FALSE())*JC103</f>
        <v>0</v>
      </c>
      <c r="JD201" s="196" t="n">
        <f aca="false">VLOOKUP($IV$1,'Datos Iniciales'!$E$34:$O$64,JD$158,FALSE())*JD103</f>
        <v>0</v>
      </c>
      <c r="JE201" s="196" t="n">
        <f aca="false">VLOOKUP($IV$1,'Datos Iniciales'!$E$34:$O$64,JE$158,FALSE())*JE103</f>
        <v>0</v>
      </c>
      <c r="JF201" s="197" t="n">
        <f aca="false">VLOOKUP($IV$1,'Datos Iniciales'!$E$34:$O$64,JF$158,FALSE())*JF103</f>
        <v>0</v>
      </c>
      <c r="JG201" s="194" t="str">
        <f aca="false">IV201</f>
        <v>Alumno42</v>
      </c>
      <c r="JH201" s="208" t="n">
        <f aca="false">VLOOKUP($JG$1,'Datos Iniciales'!$E$34:$O$64,JH$158,FALSE())*JH103</f>
        <v>0</v>
      </c>
      <c r="JI201" s="196" t="n">
        <f aca="false">VLOOKUP($JG$1,'Datos Iniciales'!$E$34:$O$64,JI$158,FALSE())*JI103</f>
        <v>0</v>
      </c>
      <c r="JJ201" s="196" t="n">
        <f aca="false">VLOOKUP($JG$1,'Datos Iniciales'!$E$34:$O$64,JJ$158,FALSE())*JJ103</f>
        <v>0</v>
      </c>
      <c r="JK201" s="196" t="n">
        <f aca="false">VLOOKUP($JG$1,'Datos Iniciales'!$E$34:$O$64,JK$158,FALSE())*JK103</f>
        <v>0</v>
      </c>
      <c r="JL201" s="196" t="n">
        <f aca="false">VLOOKUP($JG$1,'Datos Iniciales'!$E$34:$O$64,JL$158,FALSE())*JL103</f>
        <v>0</v>
      </c>
      <c r="JM201" s="196" t="n">
        <f aca="false">VLOOKUP($JG$1,'Datos Iniciales'!$E$34:$O$64,JM$158,FALSE())*JM103</f>
        <v>0</v>
      </c>
      <c r="JN201" s="196" t="n">
        <f aca="false">VLOOKUP($JG$1,'Datos Iniciales'!$E$34:$O$64,JN$158,FALSE())*JN103</f>
        <v>0</v>
      </c>
      <c r="JO201" s="196" t="n">
        <f aca="false">VLOOKUP($JG$1,'Datos Iniciales'!$E$34:$O$64,JO$158,FALSE())*JO103</f>
        <v>0</v>
      </c>
      <c r="JP201" s="196" t="n">
        <f aca="false">VLOOKUP($JG$1,'Datos Iniciales'!$E$34:$O$64,JP$158,FALSE())*JP103</f>
        <v>0</v>
      </c>
      <c r="JQ201" s="197" t="n">
        <f aca="false">VLOOKUP($JG$1,'Datos Iniciales'!$E$34:$O$64,JQ$158,FALSE())*JQ103</f>
        <v>0</v>
      </c>
      <c r="JR201" s="194" t="str">
        <f aca="false">JG201</f>
        <v>Alumno42</v>
      </c>
      <c r="JS201" s="208" t="n">
        <f aca="false">VLOOKUP($JR$1,'Datos Iniciales'!$E$34:$O$64,JS$158,FALSE())*JS103</f>
        <v>0</v>
      </c>
      <c r="JT201" s="196" t="n">
        <f aca="false">VLOOKUP($JR$1,'Datos Iniciales'!$E$34:$O$64,JT$158,FALSE())*JT103</f>
        <v>0</v>
      </c>
      <c r="JU201" s="196" t="n">
        <f aca="false">VLOOKUP($JR$1,'Datos Iniciales'!$E$34:$O$64,JU$158,FALSE())*JU103</f>
        <v>0</v>
      </c>
      <c r="JV201" s="196" t="n">
        <f aca="false">VLOOKUP($JR$1,'Datos Iniciales'!$E$34:$O$64,JV$158,FALSE())*JV103</f>
        <v>0</v>
      </c>
      <c r="JW201" s="196" t="n">
        <f aca="false">VLOOKUP($JR$1,'Datos Iniciales'!$E$34:$O$64,JW$158,FALSE())*JW103</f>
        <v>0</v>
      </c>
      <c r="JX201" s="196" t="n">
        <f aca="false">VLOOKUP($JR$1,'Datos Iniciales'!$E$34:$O$64,JX$158,FALSE())*JX103</f>
        <v>0</v>
      </c>
      <c r="JY201" s="196" t="n">
        <f aca="false">VLOOKUP($JR$1,'Datos Iniciales'!$E$34:$O$64,JY$158,FALSE())*JY103</f>
        <v>0</v>
      </c>
      <c r="JZ201" s="196" t="n">
        <f aca="false">VLOOKUP($JR$1,'Datos Iniciales'!$E$34:$O$64,JZ$158,FALSE())*JZ103</f>
        <v>0</v>
      </c>
      <c r="KA201" s="196" t="n">
        <f aca="false">VLOOKUP($JR$1,'Datos Iniciales'!$E$34:$O$64,KA$158,FALSE())*KA103</f>
        <v>0</v>
      </c>
      <c r="KB201" s="197" t="n">
        <f aca="false">VLOOKUP($JR$1,'Datos Iniciales'!$E$34:$O$64,KB$158,FALSE())*KB103</f>
        <v>0</v>
      </c>
      <c r="KC201" s="194" t="str">
        <f aca="false">JR201</f>
        <v>Alumno42</v>
      </c>
      <c r="KD201" s="208" t="n">
        <f aca="false">VLOOKUP($KC$1,'Datos Iniciales'!$E$34:$O$64,KD$158,FALSE())*KD103</f>
        <v>0</v>
      </c>
      <c r="KE201" s="196" t="n">
        <f aca="false">VLOOKUP($KC$1,'Datos Iniciales'!$E$34:$O$64,KE$158,FALSE())*KE103</f>
        <v>0</v>
      </c>
      <c r="KF201" s="196" t="n">
        <f aca="false">VLOOKUP($KC$1,'Datos Iniciales'!$E$34:$O$64,KF$158,FALSE())*KF103</f>
        <v>0</v>
      </c>
      <c r="KG201" s="196" t="n">
        <f aca="false">VLOOKUP($KC$1,'Datos Iniciales'!$E$34:$O$64,KG$158,FALSE())*KG103</f>
        <v>0</v>
      </c>
      <c r="KH201" s="196" t="n">
        <f aca="false">VLOOKUP($KC$1,'Datos Iniciales'!$E$34:$O$64,KH$158,FALSE())*KH103</f>
        <v>0</v>
      </c>
      <c r="KI201" s="196" t="n">
        <f aca="false">VLOOKUP($KC$1,'Datos Iniciales'!$E$34:$O$64,KI$158,FALSE())*KI103</f>
        <v>0</v>
      </c>
      <c r="KJ201" s="196" t="n">
        <f aca="false">VLOOKUP($KC$1,'Datos Iniciales'!$E$34:$O$64,KJ$158,FALSE())*KJ103</f>
        <v>0</v>
      </c>
      <c r="KK201" s="196" t="n">
        <f aca="false">VLOOKUP($KC$1,'Datos Iniciales'!$E$34:$O$64,KK$158,FALSE())*KK103</f>
        <v>0</v>
      </c>
      <c r="KL201" s="196" t="n">
        <f aca="false">VLOOKUP($KC$1,'Datos Iniciales'!$E$34:$O$64,KL$158,FALSE())*KL103</f>
        <v>0</v>
      </c>
      <c r="KM201" s="197" t="n">
        <f aca="false">VLOOKUP($KC$1,'Datos Iniciales'!$E$34:$O$64,KM$158,FALSE())*KM103</f>
        <v>0</v>
      </c>
      <c r="KN201" s="194" t="str">
        <f aca="false">KC201</f>
        <v>Alumno42</v>
      </c>
      <c r="KO201" s="208" t="n">
        <f aca="false">VLOOKUP($KN$1,'Datos Iniciales'!$E$34:$O$64,KO$158,FALSE())*KO103</f>
        <v>0</v>
      </c>
      <c r="KP201" s="196" t="n">
        <f aca="false">VLOOKUP($KN$1,'Datos Iniciales'!$E$34:$O$64,KP$158,FALSE())*KP103</f>
        <v>0</v>
      </c>
      <c r="KQ201" s="196" t="n">
        <f aca="false">VLOOKUP($KN$1,'Datos Iniciales'!$E$34:$O$64,KQ$158,FALSE())*KQ103</f>
        <v>0</v>
      </c>
      <c r="KR201" s="196" t="n">
        <f aca="false">VLOOKUP($KN$1,'Datos Iniciales'!$E$34:$O$64,KR$158,FALSE())*KR103</f>
        <v>0</v>
      </c>
      <c r="KS201" s="196" t="n">
        <f aca="false">VLOOKUP($KN$1,'Datos Iniciales'!$E$34:$O$64,KS$158,FALSE())*KS103</f>
        <v>0</v>
      </c>
      <c r="KT201" s="196" t="n">
        <f aca="false">VLOOKUP($KN$1,'Datos Iniciales'!$E$34:$O$64,KT$158,FALSE())*KT103</f>
        <v>0</v>
      </c>
      <c r="KU201" s="196" t="n">
        <f aca="false">VLOOKUP($KN$1,'Datos Iniciales'!$E$34:$O$64,KU$158,FALSE())*KU103</f>
        <v>0</v>
      </c>
      <c r="KV201" s="196" t="n">
        <f aca="false">VLOOKUP($KN$1,'Datos Iniciales'!$E$34:$O$64,KV$158,FALSE())*KV103</f>
        <v>0</v>
      </c>
      <c r="KW201" s="196" t="n">
        <f aca="false">VLOOKUP($KN$1,'Datos Iniciales'!$E$34:$O$64,KW$158,FALSE())*KW103</f>
        <v>0</v>
      </c>
      <c r="KX201" s="197" t="n">
        <f aca="false">VLOOKUP($KN$1,'Datos Iniciales'!$E$34:$O$64,KX$158,FALSE())*KX103</f>
        <v>0</v>
      </c>
      <c r="KY201" s="194" t="str">
        <f aca="false">KN201</f>
        <v>Alumno42</v>
      </c>
      <c r="KZ201" s="208" t="n">
        <f aca="false">VLOOKUP($KY$1,'Datos Iniciales'!$E$34:$O$64,KZ$158,FALSE())*KZ103</f>
        <v>0</v>
      </c>
      <c r="LA201" s="196" t="n">
        <f aca="false">VLOOKUP($KY$1,'Datos Iniciales'!$E$34:$O$64,LA$158,FALSE())*LA103</f>
        <v>0</v>
      </c>
      <c r="LB201" s="196" t="n">
        <f aca="false">VLOOKUP($KY$1,'Datos Iniciales'!$E$34:$O$64,LB$158,FALSE())*LB103</f>
        <v>0</v>
      </c>
      <c r="LC201" s="196" t="n">
        <f aca="false">VLOOKUP($KY$1,'Datos Iniciales'!$E$34:$O$64,LC$158,FALSE())*LC103</f>
        <v>0</v>
      </c>
      <c r="LD201" s="196" t="n">
        <f aca="false">VLOOKUP($KY$1,'Datos Iniciales'!$E$34:$O$64,LD$158,FALSE())*LD103</f>
        <v>0</v>
      </c>
      <c r="LE201" s="196" t="n">
        <f aca="false">VLOOKUP($KY$1,'Datos Iniciales'!$E$34:$O$64,LE$158,FALSE())*LE103</f>
        <v>0</v>
      </c>
      <c r="LF201" s="196" t="n">
        <f aca="false">VLOOKUP($KY$1,'Datos Iniciales'!$E$34:$O$64,LF$158,FALSE())*LF103</f>
        <v>0</v>
      </c>
      <c r="LG201" s="196" t="n">
        <f aca="false">VLOOKUP($KY$1,'Datos Iniciales'!$E$34:$O$64,LG$158,FALSE())*LG103</f>
        <v>0</v>
      </c>
      <c r="LH201" s="196" t="n">
        <f aca="false">VLOOKUP($KY$1,'Datos Iniciales'!$E$34:$O$64,LH$158,FALSE())*LH103</f>
        <v>0</v>
      </c>
      <c r="LI201" s="197" t="n">
        <f aca="false">VLOOKUP($KY$1,'Datos Iniciales'!$E$34:$O$64,LI$158,FALSE())*LI103</f>
        <v>0</v>
      </c>
      <c r="LJ201" s="194" t="str">
        <f aca="false">KY201</f>
        <v>Alumno42</v>
      </c>
      <c r="LK201" s="208" t="n">
        <f aca="false">VLOOKUP($LJ$1,'Datos Iniciales'!$E$34:$O$64,LK$158,FALSE())*LK103</f>
        <v>0</v>
      </c>
      <c r="LL201" s="196" t="n">
        <f aca="false">VLOOKUP($LJ$1,'Datos Iniciales'!$E$34:$O$64,LL$158,FALSE())*LL103</f>
        <v>0</v>
      </c>
      <c r="LM201" s="196" t="n">
        <f aca="false">VLOOKUP($LJ$1,'Datos Iniciales'!$E$34:$O$64,LM$158,FALSE())*LM103</f>
        <v>0</v>
      </c>
      <c r="LN201" s="196" t="n">
        <f aca="false">VLOOKUP($LJ$1,'Datos Iniciales'!$E$34:$O$64,LN$158,FALSE())*LN103</f>
        <v>0</v>
      </c>
      <c r="LO201" s="196" t="n">
        <f aca="false">VLOOKUP($LJ$1,'Datos Iniciales'!$E$34:$O$64,LO$158,FALSE())*LO103</f>
        <v>0</v>
      </c>
      <c r="LP201" s="196" t="n">
        <f aca="false">VLOOKUP($LJ$1,'Datos Iniciales'!$E$34:$O$64,LP$158,FALSE())*LP103</f>
        <v>0</v>
      </c>
      <c r="LQ201" s="196" t="n">
        <f aca="false">VLOOKUP($LJ$1,'Datos Iniciales'!$E$34:$O$64,LQ$158,FALSE())*LQ103</f>
        <v>0</v>
      </c>
      <c r="LR201" s="196" t="n">
        <f aca="false">VLOOKUP($LJ$1,'Datos Iniciales'!$E$34:$O$64,LR$158,FALSE())*LR103</f>
        <v>0</v>
      </c>
      <c r="LS201" s="196" t="n">
        <f aca="false">VLOOKUP($LJ$1,'Datos Iniciales'!$E$34:$O$64,LS$158,FALSE())*LS103</f>
        <v>0</v>
      </c>
      <c r="LT201" s="197" t="n">
        <f aca="false">VLOOKUP($LJ$1,'Datos Iniciales'!$E$34:$O$64,LT$158,FALSE())*LT103</f>
        <v>0</v>
      </c>
    </row>
    <row r="202" customFormat="false" ht="15" hidden="true" customHeight="false" outlineLevel="0" collapsed="false">
      <c r="C202" s="194" t="str">
        <f aca="false">C153</f>
        <v>Alumno43</v>
      </c>
      <c r="D202" s="208" t="n">
        <f aca="false">VLOOKUP($C$1,'Datos Iniciales'!$E$34:$O$64,D$158,FALSE())*D104</f>
        <v>0</v>
      </c>
      <c r="E202" s="196" t="n">
        <f aca="false">VLOOKUP($C$1,'Datos Iniciales'!$E$34:$O$64,E$158,FALSE())*E104</f>
        <v>0</v>
      </c>
      <c r="F202" s="196" t="n">
        <f aca="false">VLOOKUP($C$1,'Datos Iniciales'!$E$34:$O$64,F$158,FALSE())*F104</f>
        <v>0</v>
      </c>
      <c r="G202" s="196" t="n">
        <f aca="false">VLOOKUP($C$1,'Datos Iniciales'!$E$34:$O$64,G$158,FALSE())*G104</f>
        <v>0</v>
      </c>
      <c r="H202" s="196" t="n">
        <f aca="false">VLOOKUP($C$1,'Datos Iniciales'!$E$34:$O$64,H$158,FALSE())*H104</f>
        <v>0</v>
      </c>
      <c r="I202" s="196" t="n">
        <f aca="false">VLOOKUP($C$1,'Datos Iniciales'!$E$34:$O$64,I$158,FALSE())*I104</f>
        <v>0</v>
      </c>
      <c r="J202" s="196" t="n">
        <f aca="false">VLOOKUP($C$1,'Datos Iniciales'!$E$34:$O$64,J$158,FALSE())*J104</f>
        <v>0</v>
      </c>
      <c r="K202" s="196" t="n">
        <f aca="false">VLOOKUP($C$1,'Datos Iniciales'!$E$34:$O$64,K$158,FALSE())*K104</f>
        <v>0</v>
      </c>
      <c r="L202" s="196" t="n">
        <f aca="false">VLOOKUP($C$1,'Datos Iniciales'!$E$34:$O$64,L$158,FALSE())*L104</f>
        <v>0</v>
      </c>
      <c r="M202" s="197" t="n">
        <f aca="false">VLOOKUP($C$1,'Datos Iniciales'!$E$34:$O$64,M$158,FALSE())*M104</f>
        <v>0</v>
      </c>
      <c r="N202" s="194" t="str">
        <f aca="false">C202</f>
        <v>Alumno43</v>
      </c>
      <c r="O202" s="208" t="n">
        <f aca="false">VLOOKUP($N$1,'Datos Iniciales'!$E$34:$O$64,O$158,FALSE())*O104</f>
        <v>0</v>
      </c>
      <c r="P202" s="196" t="n">
        <f aca="false">VLOOKUP($N$1,'Datos Iniciales'!$E$34:$O$64,P$158,FALSE())*P104</f>
        <v>0</v>
      </c>
      <c r="Q202" s="196" t="n">
        <f aca="false">VLOOKUP($N$1,'Datos Iniciales'!$E$34:$O$64,Q$158,FALSE())*Q104</f>
        <v>0</v>
      </c>
      <c r="R202" s="196" t="n">
        <f aca="false">VLOOKUP($N$1,'Datos Iniciales'!$E$34:$O$64,R$158,FALSE())*R104</f>
        <v>0</v>
      </c>
      <c r="S202" s="196" t="n">
        <f aca="false">VLOOKUP($N$1,'Datos Iniciales'!$E$34:$O$64,S$158,FALSE())*S104</f>
        <v>0</v>
      </c>
      <c r="T202" s="196" t="n">
        <f aca="false">VLOOKUP($N$1,'Datos Iniciales'!$E$34:$O$64,T$158,FALSE())*T104</f>
        <v>0</v>
      </c>
      <c r="U202" s="196" t="n">
        <f aca="false">VLOOKUP($N$1,'Datos Iniciales'!$E$34:$O$64,U$158,FALSE())*U104</f>
        <v>0</v>
      </c>
      <c r="V202" s="196" t="n">
        <f aca="false">VLOOKUP($N$1,'Datos Iniciales'!$E$34:$O$64,V$158,FALSE())*V104</f>
        <v>0</v>
      </c>
      <c r="W202" s="196" t="n">
        <f aca="false">VLOOKUP($N$1,'Datos Iniciales'!$E$34:$O$64,W$158,FALSE())*W104</f>
        <v>0</v>
      </c>
      <c r="X202" s="197" t="n">
        <f aca="false">VLOOKUP($N$1,'Datos Iniciales'!$E$34:$O$64,X$158,FALSE())*X104</f>
        <v>0</v>
      </c>
      <c r="Y202" s="194" t="str">
        <f aca="false">N202</f>
        <v>Alumno43</v>
      </c>
      <c r="Z202" s="208" t="n">
        <f aca="false">VLOOKUP($Y$1,'Datos Iniciales'!$E$34:$O$64,Z$158,FALSE())*Z104</f>
        <v>0</v>
      </c>
      <c r="AA202" s="196" t="n">
        <f aca="false">VLOOKUP($Y$1,'Datos Iniciales'!$E$34:$O$64,AA$158,FALSE())*AA104</f>
        <v>0</v>
      </c>
      <c r="AB202" s="196" t="n">
        <f aca="false">VLOOKUP($Y$1,'Datos Iniciales'!$E$34:$O$64,AB$158,FALSE())*AB104</f>
        <v>0</v>
      </c>
      <c r="AC202" s="196" t="n">
        <f aca="false">VLOOKUP($Y$1,'Datos Iniciales'!$E$34:$O$64,AC$158,FALSE())*AC104</f>
        <v>0</v>
      </c>
      <c r="AD202" s="196" t="n">
        <f aca="false">VLOOKUP($Y$1,'Datos Iniciales'!$E$34:$O$64,AD$158,FALSE())*AD104</f>
        <v>0</v>
      </c>
      <c r="AE202" s="196" t="n">
        <f aca="false">VLOOKUP($Y$1,'Datos Iniciales'!$E$34:$O$64,AE$158,FALSE())*AE104</f>
        <v>0</v>
      </c>
      <c r="AF202" s="196" t="n">
        <f aca="false">VLOOKUP($Y$1,'Datos Iniciales'!$E$34:$O$64,AF$158,FALSE())*AF104</f>
        <v>0</v>
      </c>
      <c r="AG202" s="196" t="n">
        <f aca="false">VLOOKUP($Y$1,'Datos Iniciales'!$E$34:$O$64,AG$158,FALSE())*AG104</f>
        <v>0</v>
      </c>
      <c r="AH202" s="196" t="n">
        <f aca="false">VLOOKUP($Y$1,'Datos Iniciales'!$E$34:$O$64,AH$158,FALSE())*AH104</f>
        <v>0</v>
      </c>
      <c r="AI202" s="197" t="n">
        <f aca="false">VLOOKUP($Y$1,'Datos Iniciales'!$E$34:$O$64,AI$158,FALSE())*AI104</f>
        <v>0</v>
      </c>
      <c r="AJ202" s="194" t="str">
        <f aca="false">Y202</f>
        <v>Alumno43</v>
      </c>
      <c r="AK202" s="208" t="n">
        <f aca="false">VLOOKUP($AJ$1,'Datos Iniciales'!$E$34:$O$64,AK$158,FALSE())*AK104</f>
        <v>0</v>
      </c>
      <c r="AL202" s="196" t="n">
        <f aca="false">VLOOKUP($AJ$1,'Datos Iniciales'!$E$34:$O$64,AL$158,FALSE())*AL104</f>
        <v>0</v>
      </c>
      <c r="AM202" s="196" t="n">
        <f aca="false">VLOOKUP($AJ$1,'Datos Iniciales'!$E$34:$O$64,AM$158,FALSE())*AM104</f>
        <v>0</v>
      </c>
      <c r="AN202" s="196" t="n">
        <f aca="false">VLOOKUP($AJ$1,'Datos Iniciales'!$E$34:$O$64,AN$158,FALSE())*AN104</f>
        <v>0</v>
      </c>
      <c r="AO202" s="196" t="n">
        <f aca="false">VLOOKUP($AJ$1,'Datos Iniciales'!$E$34:$O$64,AO$158,FALSE())*AO104</f>
        <v>0</v>
      </c>
      <c r="AP202" s="196" t="n">
        <f aca="false">VLOOKUP($AJ$1,'Datos Iniciales'!$E$34:$O$64,AP$158,FALSE())*AP104</f>
        <v>0</v>
      </c>
      <c r="AQ202" s="196" t="n">
        <f aca="false">VLOOKUP($AJ$1,'Datos Iniciales'!$E$34:$O$64,AQ$158,FALSE())*AQ104</f>
        <v>0</v>
      </c>
      <c r="AR202" s="196" t="n">
        <f aca="false">VLOOKUP($AJ$1,'Datos Iniciales'!$E$34:$O$64,AR$158,FALSE())*AR104</f>
        <v>0</v>
      </c>
      <c r="AS202" s="196" t="n">
        <f aca="false">VLOOKUP($AJ$1,'Datos Iniciales'!$E$34:$O$64,AS$158,FALSE())*AS104</f>
        <v>0</v>
      </c>
      <c r="AT202" s="197" t="n">
        <f aca="false">VLOOKUP($AJ$1,'Datos Iniciales'!$E$34:$O$64,AT$158,FALSE())*AT104</f>
        <v>0</v>
      </c>
      <c r="AU202" s="194" t="str">
        <f aca="false">AJ202</f>
        <v>Alumno43</v>
      </c>
      <c r="AV202" s="208" t="n">
        <f aca="false">VLOOKUP($AU$1,'Datos Iniciales'!$E$34:$O$64,AV$158,FALSE())*AV104</f>
        <v>0</v>
      </c>
      <c r="AW202" s="196" t="n">
        <f aca="false">VLOOKUP($AU$1,'Datos Iniciales'!$E$34:$O$64,AW$158,FALSE())*AW104</f>
        <v>0</v>
      </c>
      <c r="AX202" s="196" t="n">
        <f aca="false">VLOOKUP($AU$1,'Datos Iniciales'!$E$34:$O$64,AX$158,FALSE())*AX104</f>
        <v>0</v>
      </c>
      <c r="AY202" s="196" t="n">
        <f aca="false">VLOOKUP($AU$1,'Datos Iniciales'!$E$34:$O$64,AY$158,FALSE())*AY104</f>
        <v>0</v>
      </c>
      <c r="AZ202" s="196" t="n">
        <f aca="false">VLOOKUP($AU$1,'Datos Iniciales'!$E$34:$O$64,AZ$158,FALSE())*AZ104</f>
        <v>0</v>
      </c>
      <c r="BA202" s="196" t="n">
        <f aca="false">VLOOKUP($AU$1,'Datos Iniciales'!$E$34:$O$64,BA$158,FALSE())*BA104</f>
        <v>0</v>
      </c>
      <c r="BB202" s="196" t="n">
        <f aca="false">VLOOKUP($AU$1,'Datos Iniciales'!$E$34:$O$64,BB$158,FALSE())*BB104</f>
        <v>0</v>
      </c>
      <c r="BC202" s="196" t="n">
        <f aca="false">VLOOKUP($AU$1,'Datos Iniciales'!$E$34:$O$64,BC$158,FALSE())*BC104</f>
        <v>0</v>
      </c>
      <c r="BD202" s="196" t="n">
        <f aca="false">VLOOKUP($AU$1,'Datos Iniciales'!$E$34:$O$64,BD$158,FALSE())*BD104</f>
        <v>0</v>
      </c>
      <c r="BE202" s="197" t="n">
        <f aca="false">VLOOKUP($AU$1,'Datos Iniciales'!$E$34:$O$64,BE$158,FALSE())*BE104</f>
        <v>0</v>
      </c>
      <c r="BF202" s="194" t="str">
        <f aca="false">AU202</f>
        <v>Alumno43</v>
      </c>
      <c r="BG202" s="208" t="n">
        <f aca="false">VLOOKUP($BF$1,'Datos Iniciales'!$E$34:$O$64,BG$158,FALSE())*BG104</f>
        <v>0</v>
      </c>
      <c r="BH202" s="196" t="n">
        <f aca="false">VLOOKUP($BF$1,'Datos Iniciales'!$E$34:$O$64,BH$158,FALSE())*BH104</f>
        <v>0</v>
      </c>
      <c r="BI202" s="196" t="n">
        <f aca="false">VLOOKUP($BF$1,'Datos Iniciales'!$E$34:$O$64,BI$158,FALSE())*BI104</f>
        <v>0</v>
      </c>
      <c r="BJ202" s="196" t="n">
        <f aca="false">VLOOKUP($BF$1,'Datos Iniciales'!$E$34:$O$64,BJ$158,FALSE())*BJ104</f>
        <v>0</v>
      </c>
      <c r="BK202" s="196" t="n">
        <f aca="false">VLOOKUP($BF$1,'Datos Iniciales'!$E$34:$O$64,BK$158,FALSE())*BK104</f>
        <v>0</v>
      </c>
      <c r="BL202" s="196" t="n">
        <f aca="false">VLOOKUP($BF$1,'Datos Iniciales'!$E$34:$O$64,BL$158,FALSE())*BL104</f>
        <v>0</v>
      </c>
      <c r="BM202" s="196" t="n">
        <f aca="false">VLOOKUP($BF$1,'Datos Iniciales'!$E$34:$O$64,BM$158,FALSE())*BM104</f>
        <v>0</v>
      </c>
      <c r="BN202" s="196" t="n">
        <f aca="false">VLOOKUP($BF$1,'Datos Iniciales'!$E$34:$O$64,BN$158,FALSE())*BN104</f>
        <v>0</v>
      </c>
      <c r="BO202" s="196" t="n">
        <f aca="false">VLOOKUP($BF$1,'Datos Iniciales'!$E$34:$O$64,BO$158,FALSE())*BO104</f>
        <v>0</v>
      </c>
      <c r="BP202" s="197" t="n">
        <f aca="false">VLOOKUP($BF$1,'Datos Iniciales'!$E$34:$O$64,BP$158,FALSE())*BP104</f>
        <v>0</v>
      </c>
      <c r="BQ202" s="194" t="str">
        <f aca="false">BF202</f>
        <v>Alumno43</v>
      </c>
      <c r="BR202" s="208" t="n">
        <f aca="false">VLOOKUP($BQ$1,'Datos Iniciales'!$E$34:$O$64,BR$158,FALSE())*BR104</f>
        <v>0</v>
      </c>
      <c r="BS202" s="196" t="n">
        <f aca="false">VLOOKUP($BQ$1,'Datos Iniciales'!$E$34:$O$64,BS$158,FALSE())*BS104</f>
        <v>0</v>
      </c>
      <c r="BT202" s="196" t="n">
        <f aca="false">VLOOKUP($BQ$1,'Datos Iniciales'!$E$34:$O$64,BT$158,FALSE())*BT104</f>
        <v>0</v>
      </c>
      <c r="BU202" s="196" t="n">
        <f aca="false">VLOOKUP($BQ$1,'Datos Iniciales'!$E$34:$O$64,BU$158,FALSE())*BU104</f>
        <v>0</v>
      </c>
      <c r="BV202" s="196" t="n">
        <f aca="false">VLOOKUP($BQ$1,'Datos Iniciales'!$E$34:$O$64,BV$158,FALSE())*BV104</f>
        <v>0</v>
      </c>
      <c r="BW202" s="196" t="n">
        <f aca="false">VLOOKUP($BQ$1,'Datos Iniciales'!$E$34:$O$64,BW$158,FALSE())*BW104</f>
        <v>0</v>
      </c>
      <c r="BX202" s="196" t="n">
        <f aca="false">VLOOKUP($BQ$1,'Datos Iniciales'!$E$34:$O$64,BX$158,FALSE())*BX104</f>
        <v>0</v>
      </c>
      <c r="BY202" s="196" t="n">
        <f aca="false">VLOOKUP($BQ$1,'Datos Iniciales'!$E$34:$O$64,BY$158,FALSE())*BY104</f>
        <v>0</v>
      </c>
      <c r="BZ202" s="196" t="n">
        <f aca="false">VLOOKUP($BQ$1,'Datos Iniciales'!$E$34:$O$64,BZ$158,FALSE())*BZ104</f>
        <v>0</v>
      </c>
      <c r="CA202" s="197" t="n">
        <f aca="false">VLOOKUP($BQ$1,'Datos Iniciales'!$E$34:$O$64,CA$158,FALSE())*CA104</f>
        <v>0</v>
      </c>
      <c r="CB202" s="194" t="str">
        <f aca="false">BQ202</f>
        <v>Alumno43</v>
      </c>
      <c r="CC202" s="208" t="n">
        <f aca="false">VLOOKUP($CB$1,'Datos Iniciales'!$E$34:$O$64,CC$158,FALSE())*CC104</f>
        <v>0</v>
      </c>
      <c r="CD202" s="196" t="n">
        <f aca="false">VLOOKUP($CB$1,'Datos Iniciales'!$E$34:$O$64,CD$158,FALSE())*CD104</f>
        <v>0</v>
      </c>
      <c r="CE202" s="196" t="n">
        <f aca="false">VLOOKUP($CB$1,'Datos Iniciales'!$E$34:$O$64,CE$158,FALSE())*CE104</f>
        <v>0</v>
      </c>
      <c r="CF202" s="196" t="n">
        <f aca="false">VLOOKUP($CB$1,'Datos Iniciales'!$E$34:$O$64,CF$158,FALSE())*CF104</f>
        <v>0</v>
      </c>
      <c r="CG202" s="196" t="n">
        <f aca="false">VLOOKUP($CB$1,'Datos Iniciales'!$E$34:$O$64,CG$158,FALSE())*CG104</f>
        <v>0</v>
      </c>
      <c r="CH202" s="196" t="n">
        <f aca="false">VLOOKUP($CB$1,'Datos Iniciales'!$E$34:$O$64,CH$158,FALSE())*CH104</f>
        <v>0</v>
      </c>
      <c r="CI202" s="196" t="n">
        <f aca="false">VLOOKUP($CB$1,'Datos Iniciales'!$E$34:$O$64,CI$158,FALSE())*CI104</f>
        <v>0</v>
      </c>
      <c r="CJ202" s="196" t="n">
        <f aca="false">VLOOKUP($CB$1,'Datos Iniciales'!$E$34:$O$64,CJ$158,FALSE())*CJ104</f>
        <v>0</v>
      </c>
      <c r="CK202" s="196" t="n">
        <f aca="false">VLOOKUP($CB$1,'Datos Iniciales'!$E$34:$O$64,CK$158,FALSE())*CK104</f>
        <v>0</v>
      </c>
      <c r="CL202" s="197" t="n">
        <f aca="false">VLOOKUP($CB$1,'Datos Iniciales'!$E$34:$O$64,CL$158,FALSE())*CL104</f>
        <v>0</v>
      </c>
      <c r="CM202" s="194" t="str">
        <f aca="false">CB202</f>
        <v>Alumno43</v>
      </c>
      <c r="CN202" s="208" t="n">
        <f aca="false">VLOOKUP($CM$1,'Datos Iniciales'!$E$34:$O$64,CN$158,FALSE())*CN104</f>
        <v>0</v>
      </c>
      <c r="CO202" s="196" t="n">
        <f aca="false">VLOOKUP($CM$1,'Datos Iniciales'!$E$34:$O$64,CO$158,FALSE())*CO104</f>
        <v>0</v>
      </c>
      <c r="CP202" s="196" t="n">
        <f aca="false">VLOOKUP($CM$1,'Datos Iniciales'!$E$34:$O$64,CP$158,FALSE())*CP104</f>
        <v>0</v>
      </c>
      <c r="CQ202" s="196" t="n">
        <f aca="false">VLOOKUP($CM$1,'Datos Iniciales'!$E$34:$O$64,CQ$158,FALSE())*CQ104</f>
        <v>0</v>
      </c>
      <c r="CR202" s="196" t="n">
        <f aca="false">VLOOKUP($CM$1,'Datos Iniciales'!$E$34:$O$64,CR$158,FALSE())*CR104</f>
        <v>0</v>
      </c>
      <c r="CS202" s="196" t="n">
        <f aca="false">VLOOKUP($CM$1,'Datos Iniciales'!$E$34:$O$64,CS$158,FALSE())*CS104</f>
        <v>0</v>
      </c>
      <c r="CT202" s="196" t="n">
        <f aca="false">VLOOKUP($CM$1,'Datos Iniciales'!$E$34:$O$64,CT$158,FALSE())*CT104</f>
        <v>0</v>
      </c>
      <c r="CU202" s="196" t="n">
        <f aca="false">VLOOKUP($CM$1,'Datos Iniciales'!$E$34:$O$64,CU$158,FALSE())*CU104</f>
        <v>0</v>
      </c>
      <c r="CV202" s="196" t="n">
        <f aca="false">VLOOKUP($CM$1,'Datos Iniciales'!$E$34:$O$64,CV$158,FALSE())*CV104</f>
        <v>0</v>
      </c>
      <c r="CW202" s="197" t="n">
        <f aca="false">VLOOKUP($CM$1,'Datos Iniciales'!$E$34:$O$64,CW$158,FALSE())*CW104</f>
        <v>0</v>
      </c>
      <c r="CX202" s="194" t="str">
        <f aca="false">CM202</f>
        <v>Alumno43</v>
      </c>
      <c r="CY202" s="208" t="n">
        <f aca="false">VLOOKUP($CX$1,'Datos Iniciales'!$E$34:$O$64,CY$158,FALSE())*CY104</f>
        <v>0</v>
      </c>
      <c r="CZ202" s="196" t="n">
        <f aca="false">VLOOKUP($CX$1,'Datos Iniciales'!$E$34:$O$64,CZ$158,FALSE())*CZ104</f>
        <v>0</v>
      </c>
      <c r="DA202" s="196" t="n">
        <f aca="false">VLOOKUP($CX$1,'Datos Iniciales'!$E$34:$O$64,DA$158,FALSE())*DA104</f>
        <v>0</v>
      </c>
      <c r="DB202" s="196" t="n">
        <f aca="false">VLOOKUP($CX$1,'Datos Iniciales'!$E$34:$O$64,DB$158,FALSE())*DB104</f>
        <v>0</v>
      </c>
      <c r="DC202" s="196" t="n">
        <f aca="false">VLOOKUP($CX$1,'Datos Iniciales'!$E$34:$O$64,DC$158,FALSE())*DC104</f>
        <v>0</v>
      </c>
      <c r="DD202" s="196" t="n">
        <f aca="false">VLOOKUP($CX$1,'Datos Iniciales'!$E$34:$O$64,DD$158,FALSE())*DD104</f>
        <v>0</v>
      </c>
      <c r="DE202" s="196" t="n">
        <f aca="false">VLOOKUP($CX$1,'Datos Iniciales'!$E$34:$O$64,DE$158,FALSE())*DE104</f>
        <v>0</v>
      </c>
      <c r="DF202" s="196" t="n">
        <f aca="false">VLOOKUP($CX$1,'Datos Iniciales'!$E$34:$O$64,DF$158,FALSE())*DF104</f>
        <v>0</v>
      </c>
      <c r="DG202" s="196" t="n">
        <f aca="false">VLOOKUP($CX$1,'Datos Iniciales'!$E$34:$O$64,DG$158,FALSE())*DG104</f>
        <v>0</v>
      </c>
      <c r="DH202" s="197" t="n">
        <f aca="false">VLOOKUP($CX$1,'Datos Iniciales'!$E$34:$O$64,DH$158,FALSE())*DH104</f>
        <v>0</v>
      </c>
      <c r="DI202" s="194" t="str">
        <f aca="false">CX202</f>
        <v>Alumno43</v>
      </c>
      <c r="DJ202" s="208" t="n">
        <f aca="false">VLOOKUP($DI$1,'Datos Iniciales'!$E$34:$O$64,DJ$158,FALSE())*DJ104</f>
        <v>0</v>
      </c>
      <c r="DK202" s="196" t="n">
        <f aca="false">VLOOKUP($DI$1,'Datos Iniciales'!$E$34:$O$64,DK$158,FALSE())*DK104</f>
        <v>0</v>
      </c>
      <c r="DL202" s="196" t="n">
        <f aca="false">VLOOKUP($DI$1,'Datos Iniciales'!$E$34:$O$64,DL$158,FALSE())*DL104</f>
        <v>0</v>
      </c>
      <c r="DM202" s="196" t="n">
        <f aca="false">VLOOKUP($DI$1,'Datos Iniciales'!$E$34:$O$64,DM$158,FALSE())*DM104</f>
        <v>0</v>
      </c>
      <c r="DN202" s="196" t="n">
        <f aca="false">VLOOKUP($DI$1,'Datos Iniciales'!$E$34:$O$64,DN$158,FALSE())*DN104</f>
        <v>0</v>
      </c>
      <c r="DO202" s="196" t="n">
        <f aca="false">VLOOKUP($DI$1,'Datos Iniciales'!$E$34:$O$64,DO$158,FALSE())*DO104</f>
        <v>0</v>
      </c>
      <c r="DP202" s="196" t="n">
        <f aca="false">VLOOKUP($DI$1,'Datos Iniciales'!$E$34:$O$64,DP$158,FALSE())*DP104</f>
        <v>0</v>
      </c>
      <c r="DQ202" s="196" t="n">
        <f aca="false">VLOOKUP($DI$1,'Datos Iniciales'!$E$34:$O$64,DQ$158,FALSE())*DQ104</f>
        <v>0</v>
      </c>
      <c r="DR202" s="196" t="n">
        <f aca="false">VLOOKUP($DI$1,'Datos Iniciales'!$E$34:$O$64,DR$158,FALSE())*DR104</f>
        <v>0</v>
      </c>
      <c r="DS202" s="197" t="n">
        <f aca="false">VLOOKUP($DI$1,'Datos Iniciales'!$E$34:$O$64,DS$158,FALSE())*DS104</f>
        <v>0</v>
      </c>
      <c r="DT202" s="194" t="str">
        <f aca="false">DI202</f>
        <v>Alumno43</v>
      </c>
      <c r="DU202" s="208" t="n">
        <f aca="false">VLOOKUP($DT$1,'Datos Iniciales'!$E$34:$O$64,DU$158,FALSE())*DU104</f>
        <v>0</v>
      </c>
      <c r="DV202" s="196" t="n">
        <f aca="false">VLOOKUP($DT$1,'Datos Iniciales'!$E$34:$O$64,DV$158,FALSE())*DV104</f>
        <v>0</v>
      </c>
      <c r="DW202" s="196" t="n">
        <f aca="false">VLOOKUP($DT$1,'Datos Iniciales'!$E$34:$O$64,DW$158,FALSE())*DW104</f>
        <v>0</v>
      </c>
      <c r="DX202" s="196" t="n">
        <f aca="false">VLOOKUP($DT$1,'Datos Iniciales'!$E$34:$O$64,DX$158,FALSE())*DX104</f>
        <v>0</v>
      </c>
      <c r="DY202" s="196" t="n">
        <f aca="false">VLOOKUP($DT$1,'Datos Iniciales'!$E$34:$O$64,DY$158,FALSE())*DY104</f>
        <v>0</v>
      </c>
      <c r="DZ202" s="196" t="n">
        <f aca="false">VLOOKUP($DT$1,'Datos Iniciales'!$E$34:$O$64,DZ$158,FALSE())*DZ104</f>
        <v>0</v>
      </c>
      <c r="EA202" s="196" t="n">
        <f aca="false">VLOOKUP($DT$1,'Datos Iniciales'!$E$34:$O$64,EA$158,FALSE())*EA104</f>
        <v>0</v>
      </c>
      <c r="EB202" s="196" t="n">
        <f aca="false">VLOOKUP($DT$1,'Datos Iniciales'!$E$34:$O$64,EB$158,FALSE())*EB104</f>
        <v>0</v>
      </c>
      <c r="EC202" s="196" t="n">
        <f aca="false">VLOOKUP($DT$1,'Datos Iniciales'!$E$34:$O$64,EC$158,FALSE())*EC104</f>
        <v>0</v>
      </c>
      <c r="ED202" s="197" t="n">
        <f aca="false">VLOOKUP($DT$1,'Datos Iniciales'!$E$34:$O$64,ED$158,FALSE())*ED104</f>
        <v>0</v>
      </c>
      <c r="EE202" s="194" t="str">
        <f aca="false">DT202</f>
        <v>Alumno43</v>
      </c>
      <c r="EF202" s="208" t="n">
        <f aca="false">VLOOKUP($EE$1,'Datos Iniciales'!$E$34:$O$64,EF$158,FALSE())*EF104</f>
        <v>0</v>
      </c>
      <c r="EG202" s="196" t="n">
        <f aca="false">VLOOKUP($EE$1,'Datos Iniciales'!$E$34:$O$64,EG$158,FALSE())*EG104</f>
        <v>0</v>
      </c>
      <c r="EH202" s="196" t="n">
        <f aca="false">VLOOKUP($EE$1,'Datos Iniciales'!$E$34:$O$64,EH$158,FALSE())*EH104</f>
        <v>0</v>
      </c>
      <c r="EI202" s="196" t="n">
        <f aca="false">VLOOKUP($EE$1,'Datos Iniciales'!$E$34:$O$64,EI$158,FALSE())*EI104</f>
        <v>0</v>
      </c>
      <c r="EJ202" s="196" t="n">
        <f aca="false">VLOOKUP($EE$1,'Datos Iniciales'!$E$34:$O$64,EJ$158,FALSE())*EJ104</f>
        <v>0</v>
      </c>
      <c r="EK202" s="196" t="n">
        <f aca="false">VLOOKUP($EE$1,'Datos Iniciales'!$E$34:$O$64,EK$158,FALSE())*EK104</f>
        <v>0</v>
      </c>
      <c r="EL202" s="196" t="n">
        <f aca="false">VLOOKUP($EE$1,'Datos Iniciales'!$E$34:$O$64,EL$158,FALSE())*EL104</f>
        <v>0</v>
      </c>
      <c r="EM202" s="196" t="n">
        <f aca="false">VLOOKUP($EE$1,'Datos Iniciales'!$E$34:$O$64,EM$158,FALSE())*EM104</f>
        <v>0</v>
      </c>
      <c r="EN202" s="196" t="n">
        <f aca="false">VLOOKUP($EE$1,'Datos Iniciales'!$E$34:$O$64,EN$158,FALSE())*EN104</f>
        <v>0</v>
      </c>
      <c r="EO202" s="197" t="n">
        <f aca="false">VLOOKUP($EE$1,'Datos Iniciales'!$E$34:$O$64,EO$158,FALSE())*EO104</f>
        <v>0</v>
      </c>
      <c r="EP202" s="194" t="str">
        <f aca="false">EE202</f>
        <v>Alumno43</v>
      </c>
      <c r="EQ202" s="208" t="n">
        <f aca="false">VLOOKUP($EP$1,'Datos Iniciales'!$E$34:$O$64,EQ$158,FALSE())*EQ104</f>
        <v>0</v>
      </c>
      <c r="ER202" s="196" t="n">
        <f aca="false">VLOOKUP($EP$1,'Datos Iniciales'!$E$34:$O$64,ER$158,FALSE())*ER104</f>
        <v>0</v>
      </c>
      <c r="ES202" s="196" t="n">
        <f aca="false">VLOOKUP($EP$1,'Datos Iniciales'!$E$34:$O$64,ES$158,FALSE())*ES104</f>
        <v>0</v>
      </c>
      <c r="ET202" s="196" t="n">
        <f aca="false">VLOOKUP($EP$1,'Datos Iniciales'!$E$34:$O$64,ET$158,FALSE())*ET104</f>
        <v>0</v>
      </c>
      <c r="EU202" s="196" t="n">
        <f aca="false">VLOOKUP($EP$1,'Datos Iniciales'!$E$34:$O$64,EU$158,FALSE())*EU104</f>
        <v>0</v>
      </c>
      <c r="EV202" s="196" t="n">
        <f aca="false">VLOOKUP($EP$1,'Datos Iniciales'!$E$34:$O$64,EV$158,FALSE())*EV104</f>
        <v>0</v>
      </c>
      <c r="EW202" s="196" t="n">
        <f aca="false">VLOOKUP($EP$1,'Datos Iniciales'!$E$34:$O$64,EW$158,FALSE())*EW104</f>
        <v>0</v>
      </c>
      <c r="EX202" s="196" t="n">
        <f aca="false">VLOOKUP($EP$1,'Datos Iniciales'!$E$34:$O$64,EX$158,FALSE())*EX104</f>
        <v>0</v>
      </c>
      <c r="EY202" s="196" t="n">
        <f aca="false">VLOOKUP($EP$1,'Datos Iniciales'!$E$34:$O$64,EY$158,FALSE())*EY104</f>
        <v>0</v>
      </c>
      <c r="EZ202" s="197" t="n">
        <f aca="false">VLOOKUP($EP$1,'Datos Iniciales'!$E$34:$O$64,EZ$158,FALSE())*EZ104</f>
        <v>0</v>
      </c>
      <c r="FA202" s="194" t="str">
        <f aca="false">EP202</f>
        <v>Alumno43</v>
      </c>
      <c r="FB202" s="208" t="n">
        <f aca="false">VLOOKUP($FA$1,'Datos Iniciales'!$E$34:$O$64,FB$158,FALSE())*FB104</f>
        <v>0</v>
      </c>
      <c r="FC202" s="196" t="n">
        <f aca="false">VLOOKUP($FA$1,'Datos Iniciales'!$E$34:$O$64,FC$158,FALSE())*FC104</f>
        <v>0</v>
      </c>
      <c r="FD202" s="196" t="n">
        <f aca="false">VLOOKUP($FA$1,'Datos Iniciales'!$E$34:$O$64,FD$158,FALSE())*FD104</f>
        <v>0</v>
      </c>
      <c r="FE202" s="196" t="n">
        <f aca="false">VLOOKUP($FA$1,'Datos Iniciales'!$E$34:$O$64,FE$158,FALSE())*FE104</f>
        <v>0</v>
      </c>
      <c r="FF202" s="196" t="n">
        <f aca="false">VLOOKUP($FA$1,'Datos Iniciales'!$E$34:$O$64,FF$158,FALSE())*FF104</f>
        <v>0</v>
      </c>
      <c r="FG202" s="196" t="n">
        <f aca="false">VLOOKUP($FA$1,'Datos Iniciales'!$E$34:$O$64,FG$158,FALSE())*FG104</f>
        <v>0</v>
      </c>
      <c r="FH202" s="196" t="n">
        <f aca="false">VLOOKUP($FA$1,'Datos Iniciales'!$E$34:$O$64,FH$158,FALSE())*FH104</f>
        <v>0</v>
      </c>
      <c r="FI202" s="196" t="n">
        <f aca="false">VLOOKUP($FA$1,'Datos Iniciales'!$E$34:$O$64,FI$158,FALSE())*FI104</f>
        <v>0</v>
      </c>
      <c r="FJ202" s="196" t="n">
        <f aca="false">VLOOKUP($FA$1,'Datos Iniciales'!$E$34:$O$64,FJ$158,FALSE())*FJ104</f>
        <v>0</v>
      </c>
      <c r="FK202" s="197" t="n">
        <f aca="false">VLOOKUP($FA$1,'Datos Iniciales'!$E$34:$O$64,FK$158,FALSE())*FK104</f>
        <v>0</v>
      </c>
      <c r="FL202" s="194" t="str">
        <f aca="false">FA202</f>
        <v>Alumno43</v>
      </c>
      <c r="FM202" s="208" t="n">
        <f aca="false">VLOOKUP($FL$1,'Datos Iniciales'!$E$34:$O$64,FM$158,FALSE())*FM104</f>
        <v>0</v>
      </c>
      <c r="FN202" s="196" t="n">
        <f aca="false">VLOOKUP($FL$1,'Datos Iniciales'!$E$34:$O$64,FN$158,FALSE())*FN104</f>
        <v>0</v>
      </c>
      <c r="FO202" s="196" t="n">
        <f aca="false">VLOOKUP($FL$1,'Datos Iniciales'!$E$34:$O$64,FO$158,FALSE())*FO104</f>
        <v>0</v>
      </c>
      <c r="FP202" s="196" t="n">
        <f aca="false">VLOOKUP($FL$1,'Datos Iniciales'!$E$34:$O$64,FP$158,FALSE())*FP104</f>
        <v>0</v>
      </c>
      <c r="FQ202" s="196" t="n">
        <f aca="false">VLOOKUP($FL$1,'Datos Iniciales'!$E$34:$O$64,FQ$158,FALSE())*FQ104</f>
        <v>0</v>
      </c>
      <c r="FR202" s="196" t="n">
        <f aca="false">VLOOKUP($FL$1,'Datos Iniciales'!$E$34:$O$64,FR$158,FALSE())*FR104</f>
        <v>0</v>
      </c>
      <c r="FS202" s="196" t="n">
        <f aca="false">VLOOKUP($FL$1,'Datos Iniciales'!$E$34:$O$64,FS$158,FALSE())*FS104</f>
        <v>0</v>
      </c>
      <c r="FT202" s="196" t="n">
        <f aca="false">VLOOKUP($FL$1,'Datos Iniciales'!$E$34:$O$64,FT$158,FALSE())*FT104</f>
        <v>0</v>
      </c>
      <c r="FU202" s="196" t="n">
        <f aca="false">VLOOKUP($FL$1,'Datos Iniciales'!$E$34:$O$64,FU$158,FALSE())*FU104</f>
        <v>0</v>
      </c>
      <c r="FV202" s="197" t="n">
        <f aca="false">VLOOKUP($FL$1,'Datos Iniciales'!$E$34:$O$64,FV$158,FALSE())*FV104</f>
        <v>0</v>
      </c>
      <c r="FW202" s="194" t="str">
        <f aca="false">FL202</f>
        <v>Alumno43</v>
      </c>
      <c r="FX202" s="208" t="n">
        <f aca="false">VLOOKUP($FW$1,'Datos Iniciales'!$E$34:$O$64,FX$158,FALSE())*FX104</f>
        <v>0</v>
      </c>
      <c r="FY202" s="196" t="n">
        <f aca="false">VLOOKUP($FW$1,'Datos Iniciales'!$E$34:$O$64,FY$158,FALSE())*FY104</f>
        <v>0</v>
      </c>
      <c r="FZ202" s="196" t="n">
        <f aca="false">VLOOKUP($FW$1,'Datos Iniciales'!$E$34:$O$64,FZ$158,FALSE())*FZ104</f>
        <v>0</v>
      </c>
      <c r="GA202" s="196" t="n">
        <f aca="false">VLOOKUP($FW$1,'Datos Iniciales'!$E$34:$O$64,GA$158,FALSE())*GA104</f>
        <v>0</v>
      </c>
      <c r="GB202" s="196" t="n">
        <f aca="false">VLOOKUP($FW$1,'Datos Iniciales'!$E$34:$O$64,GB$158,FALSE())*GB104</f>
        <v>0</v>
      </c>
      <c r="GC202" s="196" t="n">
        <f aca="false">VLOOKUP($FW$1,'Datos Iniciales'!$E$34:$O$64,GC$158,FALSE())*GC104</f>
        <v>0</v>
      </c>
      <c r="GD202" s="196" t="n">
        <f aca="false">VLOOKUP($FW$1,'Datos Iniciales'!$E$34:$O$64,GD$158,FALSE())*GD104</f>
        <v>0</v>
      </c>
      <c r="GE202" s="196" t="n">
        <f aca="false">VLOOKUP($FW$1,'Datos Iniciales'!$E$34:$O$64,GE$158,FALSE())*GE104</f>
        <v>0</v>
      </c>
      <c r="GF202" s="196" t="n">
        <f aca="false">VLOOKUP($FW$1,'Datos Iniciales'!$E$34:$O$64,GF$158,FALSE())*GF104</f>
        <v>0</v>
      </c>
      <c r="GG202" s="197" t="n">
        <f aca="false">VLOOKUP($FW$1,'Datos Iniciales'!$E$34:$O$64,GG$158,FALSE())*GG104</f>
        <v>0</v>
      </c>
      <c r="GH202" s="194" t="str">
        <f aca="false">FW202</f>
        <v>Alumno43</v>
      </c>
      <c r="GI202" s="208" t="n">
        <f aca="false">VLOOKUP($GH$1,'Datos Iniciales'!$E$34:$O$64,GI$158,FALSE())*GI104</f>
        <v>0</v>
      </c>
      <c r="GJ202" s="196" t="n">
        <f aca="false">VLOOKUP($GH$1,'Datos Iniciales'!$E$34:$O$64,GJ$158,FALSE())*GJ104</f>
        <v>0</v>
      </c>
      <c r="GK202" s="196" t="n">
        <f aca="false">VLOOKUP($GH$1,'Datos Iniciales'!$E$34:$O$64,GK$158,FALSE())*GK104</f>
        <v>0</v>
      </c>
      <c r="GL202" s="196" t="n">
        <f aca="false">VLOOKUP($GH$1,'Datos Iniciales'!$E$34:$O$64,GL$158,FALSE())*GL104</f>
        <v>0</v>
      </c>
      <c r="GM202" s="196" t="n">
        <f aca="false">VLOOKUP($GH$1,'Datos Iniciales'!$E$34:$O$64,GM$158,FALSE())*GM104</f>
        <v>0</v>
      </c>
      <c r="GN202" s="196" t="n">
        <f aca="false">VLOOKUP($GH$1,'Datos Iniciales'!$E$34:$O$64,GN$158,FALSE())*GN104</f>
        <v>0</v>
      </c>
      <c r="GO202" s="196" t="n">
        <f aca="false">VLOOKUP($GH$1,'Datos Iniciales'!$E$34:$O$64,GO$158,FALSE())*GO104</f>
        <v>0</v>
      </c>
      <c r="GP202" s="196" t="n">
        <f aca="false">VLOOKUP($GH$1,'Datos Iniciales'!$E$34:$O$64,GP$158,FALSE())*GP104</f>
        <v>0</v>
      </c>
      <c r="GQ202" s="196" t="n">
        <f aca="false">VLOOKUP($GH$1,'Datos Iniciales'!$E$34:$O$64,GQ$158,FALSE())*GQ104</f>
        <v>0</v>
      </c>
      <c r="GR202" s="197" t="n">
        <f aca="false">VLOOKUP($GH$1,'Datos Iniciales'!$E$34:$O$64,GR$158,FALSE())*GR104</f>
        <v>0</v>
      </c>
      <c r="GS202" s="194" t="str">
        <f aca="false">GH202</f>
        <v>Alumno43</v>
      </c>
      <c r="GT202" s="208" t="n">
        <f aca="false">VLOOKUP($GS$1,'Datos Iniciales'!$E$34:$O$64,GT$158,FALSE())*GT104</f>
        <v>0</v>
      </c>
      <c r="GU202" s="196" t="n">
        <f aca="false">VLOOKUP($GS$1,'Datos Iniciales'!$E$34:$O$64,GU$158,FALSE())*GU104</f>
        <v>0</v>
      </c>
      <c r="GV202" s="196" t="n">
        <f aca="false">VLOOKUP($GS$1,'Datos Iniciales'!$E$34:$O$64,GV$158,FALSE())*GV104</f>
        <v>0</v>
      </c>
      <c r="GW202" s="196" t="n">
        <f aca="false">VLOOKUP($GS$1,'Datos Iniciales'!$E$34:$O$64,GW$158,FALSE())*GW104</f>
        <v>0</v>
      </c>
      <c r="GX202" s="196" t="n">
        <f aca="false">VLOOKUP($GS$1,'Datos Iniciales'!$E$34:$O$64,GX$158,FALSE())*GX104</f>
        <v>0</v>
      </c>
      <c r="GY202" s="196" t="n">
        <f aca="false">VLOOKUP($GS$1,'Datos Iniciales'!$E$34:$O$64,GY$158,FALSE())*GY104</f>
        <v>0</v>
      </c>
      <c r="GZ202" s="196" t="n">
        <f aca="false">VLOOKUP($GS$1,'Datos Iniciales'!$E$34:$O$64,GZ$158,FALSE())*GZ104</f>
        <v>0</v>
      </c>
      <c r="HA202" s="196" t="n">
        <f aca="false">VLOOKUP($GS$1,'Datos Iniciales'!$E$34:$O$64,HA$158,FALSE())*HA104</f>
        <v>0</v>
      </c>
      <c r="HB202" s="196" t="n">
        <f aca="false">VLOOKUP($GS$1,'Datos Iniciales'!$E$34:$O$64,HB$158,FALSE())*HB104</f>
        <v>0</v>
      </c>
      <c r="HC202" s="197" t="n">
        <f aca="false">VLOOKUP($GS$1,'Datos Iniciales'!$E$34:$O$64,HC$158,FALSE())*HC104</f>
        <v>0</v>
      </c>
      <c r="HD202" s="194" t="str">
        <f aca="false">GS202</f>
        <v>Alumno43</v>
      </c>
      <c r="HE202" s="208" t="n">
        <f aca="false">VLOOKUP($HD$1,'Datos Iniciales'!$E$34:$O$64,HE$158,FALSE())*HE104</f>
        <v>0</v>
      </c>
      <c r="HF202" s="196" t="n">
        <f aca="false">VLOOKUP($HD$1,'Datos Iniciales'!$E$34:$O$64,HF$158,FALSE())*HF104</f>
        <v>0</v>
      </c>
      <c r="HG202" s="196" t="n">
        <f aca="false">VLOOKUP($HD$1,'Datos Iniciales'!$E$34:$O$64,HG$158,FALSE())*HG104</f>
        <v>0</v>
      </c>
      <c r="HH202" s="196" t="n">
        <f aca="false">VLOOKUP($HD$1,'Datos Iniciales'!$E$34:$O$64,HH$158,FALSE())*HH104</f>
        <v>0</v>
      </c>
      <c r="HI202" s="196" t="n">
        <f aca="false">VLOOKUP($HD$1,'Datos Iniciales'!$E$34:$O$64,HI$158,FALSE())*HI104</f>
        <v>0</v>
      </c>
      <c r="HJ202" s="196" t="n">
        <f aca="false">VLOOKUP($HD$1,'Datos Iniciales'!$E$34:$O$64,HJ$158,FALSE())*HJ104</f>
        <v>0</v>
      </c>
      <c r="HK202" s="196" t="n">
        <f aca="false">VLOOKUP($HD$1,'Datos Iniciales'!$E$34:$O$64,HK$158,FALSE())*HK104</f>
        <v>0</v>
      </c>
      <c r="HL202" s="196" t="n">
        <f aca="false">VLOOKUP($HD$1,'Datos Iniciales'!$E$34:$O$64,HL$158,FALSE())*HL104</f>
        <v>0</v>
      </c>
      <c r="HM202" s="196" t="n">
        <f aca="false">VLOOKUP($HD$1,'Datos Iniciales'!$E$34:$O$64,HM$158,FALSE())*HM104</f>
        <v>0</v>
      </c>
      <c r="HN202" s="197" t="n">
        <f aca="false">VLOOKUP($HD$1,'Datos Iniciales'!$E$34:$O$64,HN$158,FALSE())*HN104</f>
        <v>0</v>
      </c>
      <c r="HO202" s="194" t="str">
        <f aca="false">HD202</f>
        <v>Alumno43</v>
      </c>
      <c r="HP202" s="208" t="n">
        <f aca="false">VLOOKUP($HO$1,'Datos Iniciales'!$E$34:$O$64,HP$158,FALSE())*HP104</f>
        <v>0</v>
      </c>
      <c r="HQ202" s="196" t="n">
        <f aca="false">VLOOKUP($HO$1,'Datos Iniciales'!$E$34:$O$64,HQ$158,FALSE())*HQ104</f>
        <v>0</v>
      </c>
      <c r="HR202" s="196" t="n">
        <f aca="false">VLOOKUP($HO$1,'Datos Iniciales'!$E$34:$O$64,HR$158,FALSE())*HR104</f>
        <v>0</v>
      </c>
      <c r="HS202" s="196" t="n">
        <f aca="false">VLOOKUP($HO$1,'Datos Iniciales'!$E$34:$O$64,HS$158,FALSE())*HS104</f>
        <v>0</v>
      </c>
      <c r="HT202" s="196" t="n">
        <f aca="false">VLOOKUP($HO$1,'Datos Iniciales'!$E$34:$O$64,HT$158,FALSE())*HT104</f>
        <v>0</v>
      </c>
      <c r="HU202" s="196" t="n">
        <f aca="false">VLOOKUP($HO$1,'Datos Iniciales'!$E$34:$O$64,HU$158,FALSE())*HU104</f>
        <v>0</v>
      </c>
      <c r="HV202" s="196" t="n">
        <f aca="false">VLOOKUP($HO$1,'Datos Iniciales'!$E$34:$O$64,HV$158,FALSE())*HV104</f>
        <v>0</v>
      </c>
      <c r="HW202" s="196" t="n">
        <f aca="false">VLOOKUP($HO$1,'Datos Iniciales'!$E$34:$O$64,HW$158,FALSE())*HW104</f>
        <v>0</v>
      </c>
      <c r="HX202" s="196" t="n">
        <f aca="false">VLOOKUP($HO$1,'Datos Iniciales'!$E$34:$O$64,HX$158,FALSE())*HX104</f>
        <v>0</v>
      </c>
      <c r="HY202" s="197" t="n">
        <f aca="false">VLOOKUP($HO$1,'Datos Iniciales'!$E$34:$O$64,HY$158,FALSE())*HY104</f>
        <v>0</v>
      </c>
      <c r="HZ202" s="194" t="str">
        <f aca="false">HO202</f>
        <v>Alumno43</v>
      </c>
      <c r="IA202" s="208" t="n">
        <f aca="false">VLOOKUP($HZ$1,'Datos Iniciales'!$E$34:$O$64,IA$158,FALSE())*IA104</f>
        <v>0</v>
      </c>
      <c r="IB202" s="196" t="n">
        <f aca="false">VLOOKUP($HZ$1,'Datos Iniciales'!$E$34:$O$64,IB$158,FALSE())*IB104</f>
        <v>0</v>
      </c>
      <c r="IC202" s="196" t="n">
        <f aca="false">VLOOKUP($HZ$1,'Datos Iniciales'!$E$34:$O$64,IC$158,FALSE())*IC104</f>
        <v>0</v>
      </c>
      <c r="ID202" s="196" t="n">
        <f aca="false">VLOOKUP($HZ$1,'Datos Iniciales'!$E$34:$O$64,ID$158,FALSE())*ID104</f>
        <v>0</v>
      </c>
      <c r="IE202" s="196" t="n">
        <f aca="false">VLOOKUP($HZ$1,'Datos Iniciales'!$E$34:$O$64,IE$158,FALSE())*IE104</f>
        <v>0</v>
      </c>
      <c r="IF202" s="196" t="n">
        <f aca="false">VLOOKUP($HZ$1,'Datos Iniciales'!$E$34:$O$64,IF$158,FALSE())*IF104</f>
        <v>0</v>
      </c>
      <c r="IG202" s="196" t="n">
        <f aca="false">VLOOKUP($HZ$1,'Datos Iniciales'!$E$34:$O$64,IG$158,FALSE())*IG104</f>
        <v>0</v>
      </c>
      <c r="IH202" s="196" t="n">
        <f aca="false">VLOOKUP($HZ$1,'Datos Iniciales'!$E$34:$O$64,IH$158,FALSE())*IH104</f>
        <v>0</v>
      </c>
      <c r="II202" s="196" t="n">
        <f aca="false">VLOOKUP($HZ$1,'Datos Iniciales'!$E$34:$O$64,II$158,FALSE())*II104</f>
        <v>0</v>
      </c>
      <c r="IJ202" s="197" t="n">
        <f aca="false">VLOOKUP($HZ$1,'Datos Iniciales'!$E$34:$O$64,IJ$158,FALSE())*IJ104</f>
        <v>0</v>
      </c>
      <c r="IK202" s="194" t="str">
        <f aca="false">HZ202</f>
        <v>Alumno43</v>
      </c>
      <c r="IL202" s="208" t="n">
        <f aca="false">VLOOKUP($IK$1,'Datos Iniciales'!$E$34:$O$64,IL$158,FALSE())*IL104</f>
        <v>0</v>
      </c>
      <c r="IM202" s="196" t="n">
        <f aca="false">VLOOKUP($IK$1,'Datos Iniciales'!$E$34:$O$64,IM$158,FALSE())*IM104</f>
        <v>0</v>
      </c>
      <c r="IN202" s="196" t="n">
        <f aca="false">VLOOKUP($IK$1,'Datos Iniciales'!$E$34:$O$64,IN$158,FALSE())*IN104</f>
        <v>0</v>
      </c>
      <c r="IO202" s="196" t="n">
        <f aca="false">VLOOKUP($IK$1,'Datos Iniciales'!$E$34:$O$64,IO$158,FALSE())*IO104</f>
        <v>0</v>
      </c>
      <c r="IP202" s="196" t="n">
        <f aca="false">VLOOKUP($IK$1,'Datos Iniciales'!$E$34:$O$64,IP$158,FALSE())*IP104</f>
        <v>0</v>
      </c>
      <c r="IQ202" s="196" t="n">
        <f aca="false">VLOOKUP($IK$1,'Datos Iniciales'!$E$34:$O$64,IQ$158,FALSE())*IQ104</f>
        <v>0</v>
      </c>
      <c r="IR202" s="196" t="n">
        <f aca="false">VLOOKUP($IK$1,'Datos Iniciales'!$E$34:$O$64,IR$158,FALSE())*IR104</f>
        <v>0</v>
      </c>
      <c r="IS202" s="196" t="n">
        <f aca="false">VLOOKUP($IK$1,'Datos Iniciales'!$E$34:$O$64,IS$158,FALSE())*IS104</f>
        <v>0</v>
      </c>
      <c r="IT202" s="196" t="n">
        <f aca="false">VLOOKUP($IK$1,'Datos Iniciales'!$E$34:$O$64,IT$158,FALSE())*IT104</f>
        <v>0</v>
      </c>
      <c r="IU202" s="197" t="n">
        <f aca="false">VLOOKUP($IK$1,'Datos Iniciales'!$E$34:$O$64,IU$158,FALSE())*IU104</f>
        <v>0</v>
      </c>
      <c r="IV202" s="194" t="str">
        <f aca="false">IK202</f>
        <v>Alumno43</v>
      </c>
      <c r="IW202" s="208" t="n">
        <f aca="false">VLOOKUP($IV$1,'Datos Iniciales'!$E$34:$O$64,IW$158,FALSE())*IW104</f>
        <v>0</v>
      </c>
      <c r="IX202" s="196" t="n">
        <f aca="false">VLOOKUP($IV$1,'Datos Iniciales'!$E$34:$O$64,IX$158,FALSE())*IX104</f>
        <v>0</v>
      </c>
      <c r="IY202" s="196" t="n">
        <f aca="false">VLOOKUP($IV$1,'Datos Iniciales'!$E$34:$O$64,IY$158,FALSE())*IY104</f>
        <v>0</v>
      </c>
      <c r="IZ202" s="196" t="n">
        <f aca="false">VLOOKUP($IV$1,'Datos Iniciales'!$E$34:$O$64,IZ$158,FALSE())*IZ104</f>
        <v>0</v>
      </c>
      <c r="JA202" s="196" t="n">
        <f aca="false">VLOOKUP($IV$1,'Datos Iniciales'!$E$34:$O$64,JA$158,FALSE())*JA104</f>
        <v>0</v>
      </c>
      <c r="JB202" s="196" t="n">
        <f aca="false">VLOOKUP($IV$1,'Datos Iniciales'!$E$34:$O$64,JB$158,FALSE())*JB104</f>
        <v>0</v>
      </c>
      <c r="JC202" s="196" t="n">
        <f aca="false">VLOOKUP($IV$1,'Datos Iniciales'!$E$34:$O$64,JC$158,FALSE())*JC104</f>
        <v>0</v>
      </c>
      <c r="JD202" s="196" t="n">
        <f aca="false">VLOOKUP($IV$1,'Datos Iniciales'!$E$34:$O$64,JD$158,FALSE())*JD104</f>
        <v>0</v>
      </c>
      <c r="JE202" s="196" t="n">
        <f aca="false">VLOOKUP($IV$1,'Datos Iniciales'!$E$34:$O$64,JE$158,FALSE())*JE104</f>
        <v>0</v>
      </c>
      <c r="JF202" s="197" t="n">
        <f aca="false">VLOOKUP($IV$1,'Datos Iniciales'!$E$34:$O$64,JF$158,FALSE())*JF104</f>
        <v>0</v>
      </c>
      <c r="JG202" s="194" t="str">
        <f aca="false">IV202</f>
        <v>Alumno43</v>
      </c>
      <c r="JH202" s="208" t="n">
        <f aca="false">VLOOKUP($JG$1,'Datos Iniciales'!$E$34:$O$64,JH$158,FALSE())*JH104</f>
        <v>0</v>
      </c>
      <c r="JI202" s="196" t="n">
        <f aca="false">VLOOKUP($JG$1,'Datos Iniciales'!$E$34:$O$64,JI$158,FALSE())*JI104</f>
        <v>0</v>
      </c>
      <c r="JJ202" s="196" t="n">
        <f aca="false">VLOOKUP($JG$1,'Datos Iniciales'!$E$34:$O$64,JJ$158,FALSE())*JJ104</f>
        <v>0</v>
      </c>
      <c r="JK202" s="196" t="n">
        <f aca="false">VLOOKUP($JG$1,'Datos Iniciales'!$E$34:$O$64,JK$158,FALSE())*JK104</f>
        <v>0</v>
      </c>
      <c r="JL202" s="196" t="n">
        <f aca="false">VLOOKUP($JG$1,'Datos Iniciales'!$E$34:$O$64,JL$158,FALSE())*JL104</f>
        <v>0</v>
      </c>
      <c r="JM202" s="196" t="n">
        <f aca="false">VLOOKUP($JG$1,'Datos Iniciales'!$E$34:$O$64,JM$158,FALSE())*JM104</f>
        <v>0</v>
      </c>
      <c r="JN202" s="196" t="n">
        <f aca="false">VLOOKUP($JG$1,'Datos Iniciales'!$E$34:$O$64,JN$158,FALSE())*JN104</f>
        <v>0</v>
      </c>
      <c r="JO202" s="196" t="n">
        <f aca="false">VLOOKUP($JG$1,'Datos Iniciales'!$E$34:$O$64,JO$158,FALSE())*JO104</f>
        <v>0</v>
      </c>
      <c r="JP202" s="196" t="n">
        <f aca="false">VLOOKUP($JG$1,'Datos Iniciales'!$E$34:$O$64,JP$158,FALSE())*JP104</f>
        <v>0</v>
      </c>
      <c r="JQ202" s="197" t="n">
        <f aca="false">VLOOKUP($JG$1,'Datos Iniciales'!$E$34:$O$64,JQ$158,FALSE())*JQ104</f>
        <v>0</v>
      </c>
      <c r="JR202" s="194" t="str">
        <f aca="false">JG202</f>
        <v>Alumno43</v>
      </c>
      <c r="JS202" s="208" t="n">
        <f aca="false">VLOOKUP($JR$1,'Datos Iniciales'!$E$34:$O$64,JS$158,FALSE())*JS104</f>
        <v>0</v>
      </c>
      <c r="JT202" s="196" t="n">
        <f aca="false">VLOOKUP($JR$1,'Datos Iniciales'!$E$34:$O$64,JT$158,FALSE())*JT104</f>
        <v>0</v>
      </c>
      <c r="JU202" s="196" t="n">
        <f aca="false">VLOOKUP($JR$1,'Datos Iniciales'!$E$34:$O$64,JU$158,FALSE())*JU104</f>
        <v>0</v>
      </c>
      <c r="JV202" s="196" t="n">
        <f aca="false">VLOOKUP($JR$1,'Datos Iniciales'!$E$34:$O$64,JV$158,FALSE())*JV104</f>
        <v>0</v>
      </c>
      <c r="JW202" s="196" t="n">
        <f aca="false">VLOOKUP($JR$1,'Datos Iniciales'!$E$34:$O$64,JW$158,FALSE())*JW104</f>
        <v>0</v>
      </c>
      <c r="JX202" s="196" t="n">
        <f aca="false">VLOOKUP($JR$1,'Datos Iniciales'!$E$34:$O$64,JX$158,FALSE())*JX104</f>
        <v>0</v>
      </c>
      <c r="JY202" s="196" t="n">
        <f aca="false">VLOOKUP($JR$1,'Datos Iniciales'!$E$34:$O$64,JY$158,FALSE())*JY104</f>
        <v>0</v>
      </c>
      <c r="JZ202" s="196" t="n">
        <f aca="false">VLOOKUP($JR$1,'Datos Iniciales'!$E$34:$O$64,JZ$158,FALSE())*JZ104</f>
        <v>0</v>
      </c>
      <c r="KA202" s="196" t="n">
        <f aca="false">VLOOKUP($JR$1,'Datos Iniciales'!$E$34:$O$64,KA$158,FALSE())*KA104</f>
        <v>0</v>
      </c>
      <c r="KB202" s="197" t="n">
        <f aca="false">VLOOKUP($JR$1,'Datos Iniciales'!$E$34:$O$64,KB$158,FALSE())*KB104</f>
        <v>0</v>
      </c>
      <c r="KC202" s="194" t="str">
        <f aca="false">JR202</f>
        <v>Alumno43</v>
      </c>
      <c r="KD202" s="208" t="n">
        <f aca="false">VLOOKUP($KC$1,'Datos Iniciales'!$E$34:$O$64,KD$158,FALSE())*KD104</f>
        <v>0</v>
      </c>
      <c r="KE202" s="196" t="n">
        <f aca="false">VLOOKUP($KC$1,'Datos Iniciales'!$E$34:$O$64,KE$158,FALSE())*KE104</f>
        <v>0</v>
      </c>
      <c r="KF202" s="196" t="n">
        <f aca="false">VLOOKUP($KC$1,'Datos Iniciales'!$E$34:$O$64,KF$158,FALSE())*KF104</f>
        <v>0</v>
      </c>
      <c r="KG202" s="196" t="n">
        <f aca="false">VLOOKUP($KC$1,'Datos Iniciales'!$E$34:$O$64,KG$158,FALSE())*KG104</f>
        <v>0</v>
      </c>
      <c r="KH202" s="196" t="n">
        <f aca="false">VLOOKUP($KC$1,'Datos Iniciales'!$E$34:$O$64,KH$158,FALSE())*KH104</f>
        <v>0</v>
      </c>
      <c r="KI202" s="196" t="n">
        <f aca="false">VLOOKUP($KC$1,'Datos Iniciales'!$E$34:$O$64,KI$158,FALSE())*KI104</f>
        <v>0</v>
      </c>
      <c r="KJ202" s="196" t="n">
        <f aca="false">VLOOKUP($KC$1,'Datos Iniciales'!$E$34:$O$64,KJ$158,FALSE())*KJ104</f>
        <v>0</v>
      </c>
      <c r="KK202" s="196" t="n">
        <f aca="false">VLOOKUP($KC$1,'Datos Iniciales'!$E$34:$O$64,KK$158,FALSE())*KK104</f>
        <v>0</v>
      </c>
      <c r="KL202" s="196" t="n">
        <f aca="false">VLOOKUP($KC$1,'Datos Iniciales'!$E$34:$O$64,KL$158,FALSE())*KL104</f>
        <v>0</v>
      </c>
      <c r="KM202" s="197" t="n">
        <f aca="false">VLOOKUP($KC$1,'Datos Iniciales'!$E$34:$O$64,KM$158,FALSE())*KM104</f>
        <v>0</v>
      </c>
      <c r="KN202" s="194" t="str">
        <f aca="false">KC202</f>
        <v>Alumno43</v>
      </c>
      <c r="KO202" s="208" t="n">
        <f aca="false">VLOOKUP($KN$1,'Datos Iniciales'!$E$34:$O$64,KO$158,FALSE())*KO104</f>
        <v>0</v>
      </c>
      <c r="KP202" s="196" t="n">
        <f aca="false">VLOOKUP($KN$1,'Datos Iniciales'!$E$34:$O$64,KP$158,FALSE())*KP104</f>
        <v>0</v>
      </c>
      <c r="KQ202" s="196" t="n">
        <f aca="false">VLOOKUP($KN$1,'Datos Iniciales'!$E$34:$O$64,KQ$158,FALSE())*KQ104</f>
        <v>0</v>
      </c>
      <c r="KR202" s="196" t="n">
        <f aca="false">VLOOKUP($KN$1,'Datos Iniciales'!$E$34:$O$64,KR$158,FALSE())*KR104</f>
        <v>0</v>
      </c>
      <c r="KS202" s="196" t="n">
        <f aca="false">VLOOKUP($KN$1,'Datos Iniciales'!$E$34:$O$64,KS$158,FALSE())*KS104</f>
        <v>0</v>
      </c>
      <c r="KT202" s="196" t="n">
        <f aca="false">VLOOKUP($KN$1,'Datos Iniciales'!$E$34:$O$64,KT$158,FALSE())*KT104</f>
        <v>0</v>
      </c>
      <c r="KU202" s="196" t="n">
        <f aca="false">VLOOKUP($KN$1,'Datos Iniciales'!$E$34:$O$64,KU$158,FALSE())*KU104</f>
        <v>0</v>
      </c>
      <c r="KV202" s="196" t="n">
        <f aca="false">VLOOKUP($KN$1,'Datos Iniciales'!$E$34:$O$64,KV$158,FALSE())*KV104</f>
        <v>0</v>
      </c>
      <c r="KW202" s="196" t="n">
        <f aca="false">VLOOKUP($KN$1,'Datos Iniciales'!$E$34:$O$64,KW$158,FALSE())*KW104</f>
        <v>0</v>
      </c>
      <c r="KX202" s="197" t="n">
        <f aca="false">VLOOKUP($KN$1,'Datos Iniciales'!$E$34:$O$64,KX$158,FALSE())*KX104</f>
        <v>0</v>
      </c>
      <c r="KY202" s="194" t="str">
        <f aca="false">KN202</f>
        <v>Alumno43</v>
      </c>
      <c r="KZ202" s="208" t="n">
        <f aca="false">VLOOKUP($KY$1,'Datos Iniciales'!$E$34:$O$64,KZ$158,FALSE())*KZ104</f>
        <v>0</v>
      </c>
      <c r="LA202" s="196" t="n">
        <f aca="false">VLOOKUP($KY$1,'Datos Iniciales'!$E$34:$O$64,LA$158,FALSE())*LA104</f>
        <v>0</v>
      </c>
      <c r="LB202" s="196" t="n">
        <f aca="false">VLOOKUP($KY$1,'Datos Iniciales'!$E$34:$O$64,LB$158,FALSE())*LB104</f>
        <v>0</v>
      </c>
      <c r="LC202" s="196" t="n">
        <f aca="false">VLOOKUP($KY$1,'Datos Iniciales'!$E$34:$O$64,LC$158,FALSE())*LC104</f>
        <v>0</v>
      </c>
      <c r="LD202" s="196" t="n">
        <f aca="false">VLOOKUP($KY$1,'Datos Iniciales'!$E$34:$O$64,LD$158,FALSE())*LD104</f>
        <v>0</v>
      </c>
      <c r="LE202" s="196" t="n">
        <f aca="false">VLOOKUP($KY$1,'Datos Iniciales'!$E$34:$O$64,LE$158,FALSE())*LE104</f>
        <v>0</v>
      </c>
      <c r="LF202" s="196" t="n">
        <f aca="false">VLOOKUP($KY$1,'Datos Iniciales'!$E$34:$O$64,LF$158,FALSE())*LF104</f>
        <v>0</v>
      </c>
      <c r="LG202" s="196" t="n">
        <f aca="false">VLOOKUP($KY$1,'Datos Iniciales'!$E$34:$O$64,LG$158,FALSE())*LG104</f>
        <v>0</v>
      </c>
      <c r="LH202" s="196" t="n">
        <f aca="false">VLOOKUP($KY$1,'Datos Iniciales'!$E$34:$O$64,LH$158,FALSE())*LH104</f>
        <v>0</v>
      </c>
      <c r="LI202" s="197" t="n">
        <f aca="false">VLOOKUP($KY$1,'Datos Iniciales'!$E$34:$O$64,LI$158,FALSE())*LI104</f>
        <v>0</v>
      </c>
      <c r="LJ202" s="194" t="str">
        <f aca="false">KY202</f>
        <v>Alumno43</v>
      </c>
      <c r="LK202" s="208" t="n">
        <f aca="false">VLOOKUP($LJ$1,'Datos Iniciales'!$E$34:$O$64,LK$158,FALSE())*LK104</f>
        <v>0</v>
      </c>
      <c r="LL202" s="196" t="n">
        <f aca="false">VLOOKUP($LJ$1,'Datos Iniciales'!$E$34:$O$64,LL$158,FALSE())*LL104</f>
        <v>0</v>
      </c>
      <c r="LM202" s="196" t="n">
        <f aca="false">VLOOKUP($LJ$1,'Datos Iniciales'!$E$34:$O$64,LM$158,FALSE())*LM104</f>
        <v>0</v>
      </c>
      <c r="LN202" s="196" t="n">
        <f aca="false">VLOOKUP($LJ$1,'Datos Iniciales'!$E$34:$O$64,LN$158,FALSE())*LN104</f>
        <v>0</v>
      </c>
      <c r="LO202" s="196" t="n">
        <f aca="false">VLOOKUP($LJ$1,'Datos Iniciales'!$E$34:$O$64,LO$158,FALSE())*LO104</f>
        <v>0</v>
      </c>
      <c r="LP202" s="196" t="n">
        <f aca="false">VLOOKUP($LJ$1,'Datos Iniciales'!$E$34:$O$64,LP$158,FALSE())*LP104</f>
        <v>0</v>
      </c>
      <c r="LQ202" s="196" t="n">
        <f aca="false">VLOOKUP($LJ$1,'Datos Iniciales'!$E$34:$O$64,LQ$158,FALSE())*LQ104</f>
        <v>0</v>
      </c>
      <c r="LR202" s="196" t="n">
        <f aca="false">VLOOKUP($LJ$1,'Datos Iniciales'!$E$34:$O$64,LR$158,FALSE())*LR104</f>
        <v>0</v>
      </c>
      <c r="LS202" s="196" t="n">
        <f aca="false">VLOOKUP($LJ$1,'Datos Iniciales'!$E$34:$O$64,LS$158,FALSE())*LS104</f>
        <v>0</v>
      </c>
      <c r="LT202" s="197" t="n">
        <f aca="false">VLOOKUP($LJ$1,'Datos Iniciales'!$E$34:$O$64,LT$158,FALSE())*LT104</f>
        <v>0</v>
      </c>
    </row>
    <row r="203" customFormat="false" ht="15" hidden="true" customHeight="false" outlineLevel="0" collapsed="false">
      <c r="C203" s="194" t="str">
        <f aca="false">C154</f>
        <v>Alumno44</v>
      </c>
      <c r="D203" s="208" t="n">
        <f aca="false">VLOOKUP($C$1,'Datos Iniciales'!$E$34:$O$64,D$158,FALSE())*D105</f>
        <v>0</v>
      </c>
      <c r="E203" s="196" t="n">
        <f aca="false">VLOOKUP($C$1,'Datos Iniciales'!$E$34:$O$64,E$158,FALSE())*E105</f>
        <v>0</v>
      </c>
      <c r="F203" s="196" t="n">
        <f aca="false">VLOOKUP($C$1,'Datos Iniciales'!$E$34:$O$64,F$158,FALSE())*F105</f>
        <v>0</v>
      </c>
      <c r="G203" s="196" t="n">
        <f aca="false">VLOOKUP($C$1,'Datos Iniciales'!$E$34:$O$64,G$158,FALSE())*G105</f>
        <v>0</v>
      </c>
      <c r="H203" s="196" t="n">
        <f aca="false">VLOOKUP($C$1,'Datos Iniciales'!$E$34:$O$64,H$158,FALSE())*H105</f>
        <v>0</v>
      </c>
      <c r="I203" s="196" t="n">
        <f aca="false">VLOOKUP($C$1,'Datos Iniciales'!$E$34:$O$64,I$158,FALSE())*I105</f>
        <v>0</v>
      </c>
      <c r="J203" s="196" t="n">
        <f aca="false">VLOOKUP($C$1,'Datos Iniciales'!$E$34:$O$64,J$158,FALSE())*J105</f>
        <v>0</v>
      </c>
      <c r="K203" s="196" t="n">
        <f aca="false">VLOOKUP($C$1,'Datos Iniciales'!$E$34:$O$64,K$158,FALSE())*K105</f>
        <v>0</v>
      </c>
      <c r="L203" s="196" t="n">
        <f aca="false">VLOOKUP($C$1,'Datos Iniciales'!$E$34:$O$64,L$158,FALSE())*L105</f>
        <v>0</v>
      </c>
      <c r="M203" s="197" t="n">
        <f aca="false">VLOOKUP($C$1,'Datos Iniciales'!$E$34:$O$64,M$158,FALSE())*M105</f>
        <v>0</v>
      </c>
      <c r="N203" s="194" t="str">
        <f aca="false">C203</f>
        <v>Alumno44</v>
      </c>
      <c r="O203" s="208" t="n">
        <f aca="false">VLOOKUP($N$1,'Datos Iniciales'!$E$34:$O$64,O$158,FALSE())*O105</f>
        <v>0</v>
      </c>
      <c r="P203" s="196" t="n">
        <f aca="false">VLOOKUP($N$1,'Datos Iniciales'!$E$34:$O$64,P$158,FALSE())*P105</f>
        <v>0</v>
      </c>
      <c r="Q203" s="196" t="n">
        <f aca="false">VLOOKUP($N$1,'Datos Iniciales'!$E$34:$O$64,Q$158,FALSE())*Q105</f>
        <v>0</v>
      </c>
      <c r="R203" s="196" t="n">
        <f aca="false">VLOOKUP($N$1,'Datos Iniciales'!$E$34:$O$64,R$158,FALSE())*R105</f>
        <v>0</v>
      </c>
      <c r="S203" s="196" t="n">
        <f aca="false">VLOOKUP($N$1,'Datos Iniciales'!$E$34:$O$64,S$158,FALSE())*S105</f>
        <v>0</v>
      </c>
      <c r="T203" s="196" t="n">
        <f aca="false">VLOOKUP($N$1,'Datos Iniciales'!$E$34:$O$64,T$158,FALSE())*T105</f>
        <v>0</v>
      </c>
      <c r="U203" s="196" t="n">
        <f aca="false">VLOOKUP($N$1,'Datos Iniciales'!$E$34:$O$64,U$158,FALSE())*U105</f>
        <v>0</v>
      </c>
      <c r="V203" s="196" t="n">
        <f aca="false">VLOOKUP($N$1,'Datos Iniciales'!$E$34:$O$64,V$158,FALSE())*V105</f>
        <v>0</v>
      </c>
      <c r="W203" s="196" t="n">
        <f aca="false">VLOOKUP($N$1,'Datos Iniciales'!$E$34:$O$64,W$158,FALSE())*W105</f>
        <v>0</v>
      </c>
      <c r="X203" s="197" t="n">
        <f aca="false">VLOOKUP($N$1,'Datos Iniciales'!$E$34:$O$64,X$158,FALSE())*X105</f>
        <v>0</v>
      </c>
      <c r="Y203" s="194" t="str">
        <f aca="false">N203</f>
        <v>Alumno44</v>
      </c>
      <c r="Z203" s="208" t="n">
        <f aca="false">VLOOKUP($Y$1,'Datos Iniciales'!$E$34:$O$64,Z$158,FALSE())*Z105</f>
        <v>0</v>
      </c>
      <c r="AA203" s="196" t="n">
        <f aca="false">VLOOKUP($Y$1,'Datos Iniciales'!$E$34:$O$64,AA$158,FALSE())*AA105</f>
        <v>0</v>
      </c>
      <c r="AB203" s="196" t="n">
        <f aca="false">VLOOKUP($Y$1,'Datos Iniciales'!$E$34:$O$64,AB$158,FALSE())*AB105</f>
        <v>0</v>
      </c>
      <c r="AC203" s="196" t="n">
        <f aca="false">VLOOKUP($Y$1,'Datos Iniciales'!$E$34:$O$64,AC$158,FALSE())*AC105</f>
        <v>0</v>
      </c>
      <c r="AD203" s="196" t="n">
        <f aca="false">VLOOKUP($Y$1,'Datos Iniciales'!$E$34:$O$64,AD$158,FALSE())*AD105</f>
        <v>0</v>
      </c>
      <c r="AE203" s="196" t="n">
        <f aca="false">VLOOKUP($Y$1,'Datos Iniciales'!$E$34:$O$64,AE$158,FALSE())*AE105</f>
        <v>0</v>
      </c>
      <c r="AF203" s="196" t="n">
        <f aca="false">VLOOKUP($Y$1,'Datos Iniciales'!$E$34:$O$64,AF$158,FALSE())*AF105</f>
        <v>0</v>
      </c>
      <c r="AG203" s="196" t="n">
        <f aca="false">VLOOKUP($Y$1,'Datos Iniciales'!$E$34:$O$64,AG$158,FALSE())*AG105</f>
        <v>0</v>
      </c>
      <c r="AH203" s="196" t="n">
        <f aca="false">VLOOKUP($Y$1,'Datos Iniciales'!$E$34:$O$64,AH$158,FALSE())*AH105</f>
        <v>0</v>
      </c>
      <c r="AI203" s="197" t="n">
        <f aca="false">VLOOKUP($Y$1,'Datos Iniciales'!$E$34:$O$64,AI$158,FALSE())*AI105</f>
        <v>0</v>
      </c>
      <c r="AJ203" s="194" t="str">
        <f aca="false">Y203</f>
        <v>Alumno44</v>
      </c>
      <c r="AK203" s="208" t="n">
        <f aca="false">VLOOKUP($AJ$1,'Datos Iniciales'!$E$34:$O$64,AK$158,FALSE())*AK105</f>
        <v>0</v>
      </c>
      <c r="AL203" s="196" t="n">
        <f aca="false">VLOOKUP($AJ$1,'Datos Iniciales'!$E$34:$O$64,AL$158,FALSE())*AL105</f>
        <v>0</v>
      </c>
      <c r="AM203" s="196" t="n">
        <f aca="false">VLOOKUP($AJ$1,'Datos Iniciales'!$E$34:$O$64,AM$158,FALSE())*AM105</f>
        <v>0</v>
      </c>
      <c r="AN203" s="196" t="n">
        <f aca="false">VLOOKUP($AJ$1,'Datos Iniciales'!$E$34:$O$64,AN$158,FALSE())*AN105</f>
        <v>0</v>
      </c>
      <c r="AO203" s="196" t="n">
        <f aca="false">VLOOKUP($AJ$1,'Datos Iniciales'!$E$34:$O$64,AO$158,FALSE())*AO105</f>
        <v>0</v>
      </c>
      <c r="AP203" s="196" t="n">
        <f aca="false">VLOOKUP($AJ$1,'Datos Iniciales'!$E$34:$O$64,AP$158,FALSE())*AP105</f>
        <v>0</v>
      </c>
      <c r="AQ203" s="196" t="n">
        <f aca="false">VLOOKUP($AJ$1,'Datos Iniciales'!$E$34:$O$64,AQ$158,FALSE())*AQ105</f>
        <v>0</v>
      </c>
      <c r="AR203" s="196" t="n">
        <f aca="false">VLOOKUP($AJ$1,'Datos Iniciales'!$E$34:$O$64,AR$158,FALSE())*AR105</f>
        <v>0</v>
      </c>
      <c r="AS203" s="196" t="n">
        <f aca="false">VLOOKUP($AJ$1,'Datos Iniciales'!$E$34:$O$64,AS$158,FALSE())*AS105</f>
        <v>0</v>
      </c>
      <c r="AT203" s="197" t="n">
        <f aca="false">VLOOKUP($AJ$1,'Datos Iniciales'!$E$34:$O$64,AT$158,FALSE())*AT105</f>
        <v>0</v>
      </c>
      <c r="AU203" s="194" t="str">
        <f aca="false">AJ203</f>
        <v>Alumno44</v>
      </c>
      <c r="AV203" s="208" t="n">
        <f aca="false">VLOOKUP($AU$1,'Datos Iniciales'!$E$34:$O$64,AV$158,FALSE())*AV105</f>
        <v>0</v>
      </c>
      <c r="AW203" s="196" t="n">
        <f aca="false">VLOOKUP($AU$1,'Datos Iniciales'!$E$34:$O$64,AW$158,FALSE())*AW105</f>
        <v>0</v>
      </c>
      <c r="AX203" s="196" t="n">
        <f aca="false">VLOOKUP($AU$1,'Datos Iniciales'!$E$34:$O$64,AX$158,FALSE())*AX105</f>
        <v>0</v>
      </c>
      <c r="AY203" s="196" t="n">
        <f aca="false">VLOOKUP($AU$1,'Datos Iniciales'!$E$34:$O$64,AY$158,FALSE())*AY105</f>
        <v>0</v>
      </c>
      <c r="AZ203" s="196" t="n">
        <f aca="false">VLOOKUP($AU$1,'Datos Iniciales'!$E$34:$O$64,AZ$158,FALSE())*AZ105</f>
        <v>0</v>
      </c>
      <c r="BA203" s="196" t="n">
        <f aca="false">VLOOKUP($AU$1,'Datos Iniciales'!$E$34:$O$64,BA$158,FALSE())*BA105</f>
        <v>0</v>
      </c>
      <c r="BB203" s="196" t="n">
        <f aca="false">VLOOKUP($AU$1,'Datos Iniciales'!$E$34:$O$64,BB$158,FALSE())*BB105</f>
        <v>0</v>
      </c>
      <c r="BC203" s="196" t="n">
        <f aca="false">VLOOKUP($AU$1,'Datos Iniciales'!$E$34:$O$64,BC$158,FALSE())*BC105</f>
        <v>0</v>
      </c>
      <c r="BD203" s="196" t="n">
        <f aca="false">VLOOKUP($AU$1,'Datos Iniciales'!$E$34:$O$64,BD$158,FALSE())*BD105</f>
        <v>0</v>
      </c>
      <c r="BE203" s="197" t="n">
        <f aca="false">VLOOKUP($AU$1,'Datos Iniciales'!$E$34:$O$64,BE$158,FALSE())*BE105</f>
        <v>0</v>
      </c>
      <c r="BF203" s="194" t="str">
        <f aca="false">AU203</f>
        <v>Alumno44</v>
      </c>
      <c r="BG203" s="208" t="n">
        <f aca="false">VLOOKUP($BF$1,'Datos Iniciales'!$E$34:$O$64,BG$158,FALSE())*BG105</f>
        <v>0</v>
      </c>
      <c r="BH203" s="196" t="n">
        <f aca="false">VLOOKUP($BF$1,'Datos Iniciales'!$E$34:$O$64,BH$158,FALSE())*BH105</f>
        <v>0</v>
      </c>
      <c r="BI203" s="196" t="n">
        <f aca="false">VLOOKUP($BF$1,'Datos Iniciales'!$E$34:$O$64,BI$158,FALSE())*BI105</f>
        <v>0</v>
      </c>
      <c r="BJ203" s="196" t="n">
        <f aca="false">VLOOKUP($BF$1,'Datos Iniciales'!$E$34:$O$64,BJ$158,FALSE())*BJ105</f>
        <v>0</v>
      </c>
      <c r="BK203" s="196" t="n">
        <f aca="false">VLOOKUP($BF$1,'Datos Iniciales'!$E$34:$O$64,BK$158,FALSE())*BK105</f>
        <v>0</v>
      </c>
      <c r="BL203" s="196" t="n">
        <f aca="false">VLOOKUP($BF$1,'Datos Iniciales'!$E$34:$O$64,BL$158,FALSE())*BL105</f>
        <v>0</v>
      </c>
      <c r="BM203" s="196" t="n">
        <f aca="false">VLOOKUP($BF$1,'Datos Iniciales'!$E$34:$O$64,BM$158,FALSE())*BM105</f>
        <v>0</v>
      </c>
      <c r="BN203" s="196" t="n">
        <f aca="false">VLOOKUP($BF$1,'Datos Iniciales'!$E$34:$O$64,BN$158,FALSE())*BN105</f>
        <v>0</v>
      </c>
      <c r="BO203" s="196" t="n">
        <f aca="false">VLOOKUP($BF$1,'Datos Iniciales'!$E$34:$O$64,BO$158,FALSE())*BO105</f>
        <v>0</v>
      </c>
      <c r="BP203" s="197" t="n">
        <f aca="false">VLOOKUP($BF$1,'Datos Iniciales'!$E$34:$O$64,BP$158,FALSE())*BP105</f>
        <v>0</v>
      </c>
      <c r="BQ203" s="194" t="str">
        <f aca="false">BF203</f>
        <v>Alumno44</v>
      </c>
      <c r="BR203" s="208" t="n">
        <f aca="false">VLOOKUP($BQ$1,'Datos Iniciales'!$E$34:$O$64,BR$158,FALSE())*BR105</f>
        <v>0</v>
      </c>
      <c r="BS203" s="196" t="n">
        <f aca="false">VLOOKUP($BQ$1,'Datos Iniciales'!$E$34:$O$64,BS$158,FALSE())*BS105</f>
        <v>0</v>
      </c>
      <c r="BT203" s="196" t="n">
        <f aca="false">VLOOKUP($BQ$1,'Datos Iniciales'!$E$34:$O$64,BT$158,FALSE())*BT105</f>
        <v>0</v>
      </c>
      <c r="BU203" s="196" t="n">
        <f aca="false">VLOOKUP($BQ$1,'Datos Iniciales'!$E$34:$O$64,BU$158,FALSE())*BU105</f>
        <v>0</v>
      </c>
      <c r="BV203" s="196" t="n">
        <f aca="false">VLOOKUP($BQ$1,'Datos Iniciales'!$E$34:$O$64,BV$158,FALSE())*BV105</f>
        <v>0</v>
      </c>
      <c r="BW203" s="196" t="n">
        <f aca="false">VLOOKUP($BQ$1,'Datos Iniciales'!$E$34:$O$64,BW$158,FALSE())*BW105</f>
        <v>0</v>
      </c>
      <c r="BX203" s="196" t="n">
        <f aca="false">VLOOKUP($BQ$1,'Datos Iniciales'!$E$34:$O$64,BX$158,FALSE())*BX105</f>
        <v>0</v>
      </c>
      <c r="BY203" s="196" t="n">
        <f aca="false">VLOOKUP($BQ$1,'Datos Iniciales'!$E$34:$O$64,BY$158,FALSE())*BY105</f>
        <v>0</v>
      </c>
      <c r="BZ203" s="196" t="n">
        <f aca="false">VLOOKUP($BQ$1,'Datos Iniciales'!$E$34:$O$64,BZ$158,FALSE())*BZ105</f>
        <v>0</v>
      </c>
      <c r="CA203" s="197" t="n">
        <f aca="false">VLOOKUP($BQ$1,'Datos Iniciales'!$E$34:$O$64,CA$158,FALSE())*CA105</f>
        <v>0</v>
      </c>
      <c r="CB203" s="194" t="str">
        <f aca="false">BQ203</f>
        <v>Alumno44</v>
      </c>
      <c r="CC203" s="208" t="n">
        <f aca="false">VLOOKUP($CB$1,'Datos Iniciales'!$E$34:$O$64,CC$158,FALSE())*CC105</f>
        <v>0</v>
      </c>
      <c r="CD203" s="196" t="n">
        <f aca="false">VLOOKUP($CB$1,'Datos Iniciales'!$E$34:$O$64,CD$158,FALSE())*CD105</f>
        <v>0</v>
      </c>
      <c r="CE203" s="196" t="n">
        <f aca="false">VLOOKUP($CB$1,'Datos Iniciales'!$E$34:$O$64,CE$158,FALSE())*CE105</f>
        <v>0</v>
      </c>
      <c r="CF203" s="196" t="n">
        <f aca="false">VLOOKUP($CB$1,'Datos Iniciales'!$E$34:$O$64,CF$158,FALSE())*CF105</f>
        <v>0</v>
      </c>
      <c r="CG203" s="196" t="n">
        <f aca="false">VLOOKUP($CB$1,'Datos Iniciales'!$E$34:$O$64,CG$158,FALSE())*CG105</f>
        <v>0</v>
      </c>
      <c r="CH203" s="196" t="n">
        <f aca="false">VLOOKUP($CB$1,'Datos Iniciales'!$E$34:$O$64,CH$158,FALSE())*CH105</f>
        <v>0</v>
      </c>
      <c r="CI203" s="196" t="n">
        <f aca="false">VLOOKUP($CB$1,'Datos Iniciales'!$E$34:$O$64,CI$158,FALSE())*CI105</f>
        <v>0</v>
      </c>
      <c r="CJ203" s="196" t="n">
        <f aca="false">VLOOKUP($CB$1,'Datos Iniciales'!$E$34:$O$64,CJ$158,FALSE())*CJ105</f>
        <v>0</v>
      </c>
      <c r="CK203" s="196" t="n">
        <f aca="false">VLOOKUP($CB$1,'Datos Iniciales'!$E$34:$O$64,CK$158,FALSE())*CK105</f>
        <v>0</v>
      </c>
      <c r="CL203" s="197" t="n">
        <f aca="false">VLOOKUP($CB$1,'Datos Iniciales'!$E$34:$O$64,CL$158,FALSE())*CL105</f>
        <v>0</v>
      </c>
      <c r="CM203" s="194" t="str">
        <f aca="false">CB203</f>
        <v>Alumno44</v>
      </c>
      <c r="CN203" s="208" t="n">
        <f aca="false">VLOOKUP($CM$1,'Datos Iniciales'!$E$34:$O$64,CN$158,FALSE())*CN105</f>
        <v>0</v>
      </c>
      <c r="CO203" s="196" t="n">
        <f aca="false">VLOOKUP($CM$1,'Datos Iniciales'!$E$34:$O$64,CO$158,FALSE())*CO105</f>
        <v>0</v>
      </c>
      <c r="CP203" s="196" t="n">
        <f aca="false">VLOOKUP($CM$1,'Datos Iniciales'!$E$34:$O$64,CP$158,FALSE())*CP105</f>
        <v>0</v>
      </c>
      <c r="CQ203" s="196" t="n">
        <f aca="false">VLOOKUP($CM$1,'Datos Iniciales'!$E$34:$O$64,CQ$158,FALSE())*CQ105</f>
        <v>0</v>
      </c>
      <c r="CR203" s="196" t="n">
        <f aca="false">VLOOKUP($CM$1,'Datos Iniciales'!$E$34:$O$64,CR$158,FALSE())*CR105</f>
        <v>0</v>
      </c>
      <c r="CS203" s="196" t="n">
        <f aca="false">VLOOKUP($CM$1,'Datos Iniciales'!$E$34:$O$64,CS$158,FALSE())*CS105</f>
        <v>0</v>
      </c>
      <c r="CT203" s="196" t="n">
        <f aca="false">VLOOKUP($CM$1,'Datos Iniciales'!$E$34:$O$64,CT$158,FALSE())*CT105</f>
        <v>0</v>
      </c>
      <c r="CU203" s="196" t="n">
        <f aca="false">VLOOKUP($CM$1,'Datos Iniciales'!$E$34:$O$64,CU$158,FALSE())*CU105</f>
        <v>0</v>
      </c>
      <c r="CV203" s="196" t="n">
        <f aca="false">VLOOKUP($CM$1,'Datos Iniciales'!$E$34:$O$64,CV$158,FALSE())*CV105</f>
        <v>0</v>
      </c>
      <c r="CW203" s="197" t="n">
        <f aca="false">VLOOKUP($CM$1,'Datos Iniciales'!$E$34:$O$64,CW$158,FALSE())*CW105</f>
        <v>0</v>
      </c>
      <c r="CX203" s="194" t="str">
        <f aca="false">CM203</f>
        <v>Alumno44</v>
      </c>
      <c r="CY203" s="208" t="n">
        <f aca="false">VLOOKUP($CX$1,'Datos Iniciales'!$E$34:$O$64,CY$158,FALSE())*CY105</f>
        <v>0</v>
      </c>
      <c r="CZ203" s="196" t="n">
        <f aca="false">VLOOKUP($CX$1,'Datos Iniciales'!$E$34:$O$64,CZ$158,FALSE())*CZ105</f>
        <v>0</v>
      </c>
      <c r="DA203" s="196" t="n">
        <f aca="false">VLOOKUP($CX$1,'Datos Iniciales'!$E$34:$O$64,DA$158,FALSE())*DA105</f>
        <v>0</v>
      </c>
      <c r="DB203" s="196" t="n">
        <f aca="false">VLOOKUP($CX$1,'Datos Iniciales'!$E$34:$O$64,DB$158,FALSE())*DB105</f>
        <v>0</v>
      </c>
      <c r="DC203" s="196" t="n">
        <f aca="false">VLOOKUP($CX$1,'Datos Iniciales'!$E$34:$O$64,DC$158,FALSE())*DC105</f>
        <v>0</v>
      </c>
      <c r="DD203" s="196" t="n">
        <f aca="false">VLOOKUP($CX$1,'Datos Iniciales'!$E$34:$O$64,DD$158,FALSE())*DD105</f>
        <v>0</v>
      </c>
      <c r="DE203" s="196" t="n">
        <f aca="false">VLOOKUP($CX$1,'Datos Iniciales'!$E$34:$O$64,DE$158,FALSE())*DE105</f>
        <v>0</v>
      </c>
      <c r="DF203" s="196" t="n">
        <f aca="false">VLOOKUP($CX$1,'Datos Iniciales'!$E$34:$O$64,DF$158,FALSE())*DF105</f>
        <v>0</v>
      </c>
      <c r="DG203" s="196" t="n">
        <f aca="false">VLOOKUP($CX$1,'Datos Iniciales'!$E$34:$O$64,DG$158,FALSE())*DG105</f>
        <v>0</v>
      </c>
      <c r="DH203" s="197" t="n">
        <f aca="false">VLOOKUP($CX$1,'Datos Iniciales'!$E$34:$O$64,DH$158,FALSE())*DH105</f>
        <v>0</v>
      </c>
      <c r="DI203" s="194" t="str">
        <f aca="false">CX203</f>
        <v>Alumno44</v>
      </c>
      <c r="DJ203" s="208" t="n">
        <f aca="false">VLOOKUP($DI$1,'Datos Iniciales'!$E$34:$O$64,DJ$158,FALSE())*DJ105</f>
        <v>0</v>
      </c>
      <c r="DK203" s="196" t="n">
        <f aca="false">VLOOKUP($DI$1,'Datos Iniciales'!$E$34:$O$64,DK$158,FALSE())*DK105</f>
        <v>0</v>
      </c>
      <c r="DL203" s="196" t="n">
        <f aca="false">VLOOKUP($DI$1,'Datos Iniciales'!$E$34:$O$64,DL$158,FALSE())*DL105</f>
        <v>0</v>
      </c>
      <c r="DM203" s="196" t="n">
        <f aca="false">VLOOKUP($DI$1,'Datos Iniciales'!$E$34:$O$64,DM$158,FALSE())*DM105</f>
        <v>0</v>
      </c>
      <c r="DN203" s="196" t="n">
        <f aca="false">VLOOKUP($DI$1,'Datos Iniciales'!$E$34:$O$64,DN$158,FALSE())*DN105</f>
        <v>0</v>
      </c>
      <c r="DO203" s="196" t="n">
        <f aca="false">VLOOKUP($DI$1,'Datos Iniciales'!$E$34:$O$64,DO$158,FALSE())*DO105</f>
        <v>0</v>
      </c>
      <c r="DP203" s="196" t="n">
        <f aca="false">VLOOKUP($DI$1,'Datos Iniciales'!$E$34:$O$64,DP$158,FALSE())*DP105</f>
        <v>0</v>
      </c>
      <c r="DQ203" s="196" t="n">
        <f aca="false">VLOOKUP($DI$1,'Datos Iniciales'!$E$34:$O$64,DQ$158,FALSE())*DQ105</f>
        <v>0</v>
      </c>
      <c r="DR203" s="196" t="n">
        <f aca="false">VLOOKUP($DI$1,'Datos Iniciales'!$E$34:$O$64,DR$158,FALSE())*DR105</f>
        <v>0</v>
      </c>
      <c r="DS203" s="197" t="n">
        <f aca="false">VLOOKUP($DI$1,'Datos Iniciales'!$E$34:$O$64,DS$158,FALSE())*DS105</f>
        <v>0</v>
      </c>
      <c r="DT203" s="194" t="str">
        <f aca="false">DI203</f>
        <v>Alumno44</v>
      </c>
      <c r="DU203" s="208" t="n">
        <f aca="false">VLOOKUP($DT$1,'Datos Iniciales'!$E$34:$O$64,DU$158,FALSE())*DU105</f>
        <v>0</v>
      </c>
      <c r="DV203" s="196" t="n">
        <f aca="false">VLOOKUP($DT$1,'Datos Iniciales'!$E$34:$O$64,DV$158,FALSE())*DV105</f>
        <v>0</v>
      </c>
      <c r="DW203" s="196" t="n">
        <f aca="false">VLOOKUP($DT$1,'Datos Iniciales'!$E$34:$O$64,DW$158,FALSE())*DW105</f>
        <v>0</v>
      </c>
      <c r="DX203" s="196" t="n">
        <f aca="false">VLOOKUP($DT$1,'Datos Iniciales'!$E$34:$O$64,DX$158,FALSE())*DX105</f>
        <v>0</v>
      </c>
      <c r="DY203" s="196" t="n">
        <f aca="false">VLOOKUP($DT$1,'Datos Iniciales'!$E$34:$O$64,DY$158,FALSE())*DY105</f>
        <v>0</v>
      </c>
      <c r="DZ203" s="196" t="n">
        <f aca="false">VLOOKUP($DT$1,'Datos Iniciales'!$E$34:$O$64,DZ$158,FALSE())*DZ105</f>
        <v>0</v>
      </c>
      <c r="EA203" s="196" t="n">
        <f aca="false">VLOOKUP($DT$1,'Datos Iniciales'!$E$34:$O$64,EA$158,FALSE())*EA105</f>
        <v>0</v>
      </c>
      <c r="EB203" s="196" t="n">
        <f aca="false">VLOOKUP($DT$1,'Datos Iniciales'!$E$34:$O$64,EB$158,FALSE())*EB105</f>
        <v>0</v>
      </c>
      <c r="EC203" s="196" t="n">
        <f aca="false">VLOOKUP($DT$1,'Datos Iniciales'!$E$34:$O$64,EC$158,FALSE())*EC105</f>
        <v>0</v>
      </c>
      <c r="ED203" s="197" t="n">
        <f aca="false">VLOOKUP($DT$1,'Datos Iniciales'!$E$34:$O$64,ED$158,FALSE())*ED105</f>
        <v>0</v>
      </c>
      <c r="EE203" s="194" t="str">
        <f aca="false">DT203</f>
        <v>Alumno44</v>
      </c>
      <c r="EF203" s="208" t="n">
        <f aca="false">VLOOKUP($EE$1,'Datos Iniciales'!$E$34:$O$64,EF$158,FALSE())*EF105</f>
        <v>0</v>
      </c>
      <c r="EG203" s="196" t="n">
        <f aca="false">VLOOKUP($EE$1,'Datos Iniciales'!$E$34:$O$64,EG$158,FALSE())*EG105</f>
        <v>0</v>
      </c>
      <c r="EH203" s="196" t="n">
        <f aca="false">VLOOKUP($EE$1,'Datos Iniciales'!$E$34:$O$64,EH$158,FALSE())*EH105</f>
        <v>0</v>
      </c>
      <c r="EI203" s="196" t="n">
        <f aca="false">VLOOKUP($EE$1,'Datos Iniciales'!$E$34:$O$64,EI$158,FALSE())*EI105</f>
        <v>0</v>
      </c>
      <c r="EJ203" s="196" t="n">
        <f aca="false">VLOOKUP($EE$1,'Datos Iniciales'!$E$34:$O$64,EJ$158,FALSE())*EJ105</f>
        <v>0</v>
      </c>
      <c r="EK203" s="196" t="n">
        <f aca="false">VLOOKUP($EE$1,'Datos Iniciales'!$E$34:$O$64,EK$158,FALSE())*EK105</f>
        <v>0</v>
      </c>
      <c r="EL203" s="196" t="n">
        <f aca="false">VLOOKUP($EE$1,'Datos Iniciales'!$E$34:$O$64,EL$158,FALSE())*EL105</f>
        <v>0</v>
      </c>
      <c r="EM203" s="196" t="n">
        <f aca="false">VLOOKUP($EE$1,'Datos Iniciales'!$E$34:$O$64,EM$158,FALSE())*EM105</f>
        <v>0</v>
      </c>
      <c r="EN203" s="196" t="n">
        <f aca="false">VLOOKUP($EE$1,'Datos Iniciales'!$E$34:$O$64,EN$158,FALSE())*EN105</f>
        <v>0</v>
      </c>
      <c r="EO203" s="197" t="n">
        <f aca="false">VLOOKUP($EE$1,'Datos Iniciales'!$E$34:$O$64,EO$158,FALSE())*EO105</f>
        <v>0</v>
      </c>
      <c r="EP203" s="194" t="str">
        <f aca="false">EE203</f>
        <v>Alumno44</v>
      </c>
      <c r="EQ203" s="208" t="n">
        <f aca="false">VLOOKUP($EP$1,'Datos Iniciales'!$E$34:$O$64,EQ$158,FALSE())*EQ105</f>
        <v>0</v>
      </c>
      <c r="ER203" s="196" t="n">
        <f aca="false">VLOOKUP($EP$1,'Datos Iniciales'!$E$34:$O$64,ER$158,FALSE())*ER105</f>
        <v>0</v>
      </c>
      <c r="ES203" s="196" t="n">
        <f aca="false">VLOOKUP($EP$1,'Datos Iniciales'!$E$34:$O$64,ES$158,FALSE())*ES105</f>
        <v>0</v>
      </c>
      <c r="ET203" s="196" t="n">
        <f aca="false">VLOOKUP($EP$1,'Datos Iniciales'!$E$34:$O$64,ET$158,FALSE())*ET105</f>
        <v>0</v>
      </c>
      <c r="EU203" s="196" t="n">
        <f aca="false">VLOOKUP($EP$1,'Datos Iniciales'!$E$34:$O$64,EU$158,FALSE())*EU105</f>
        <v>0</v>
      </c>
      <c r="EV203" s="196" t="n">
        <f aca="false">VLOOKUP($EP$1,'Datos Iniciales'!$E$34:$O$64,EV$158,FALSE())*EV105</f>
        <v>0</v>
      </c>
      <c r="EW203" s="196" t="n">
        <f aca="false">VLOOKUP($EP$1,'Datos Iniciales'!$E$34:$O$64,EW$158,FALSE())*EW105</f>
        <v>0</v>
      </c>
      <c r="EX203" s="196" t="n">
        <f aca="false">VLOOKUP($EP$1,'Datos Iniciales'!$E$34:$O$64,EX$158,FALSE())*EX105</f>
        <v>0</v>
      </c>
      <c r="EY203" s="196" t="n">
        <f aca="false">VLOOKUP($EP$1,'Datos Iniciales'!$E$34:$O$64,EY$158,FALSE())*EY105</f>
        <v>0</v>
      </c>
      <c r="EZ203" s="197" t="n">
        <f aca="false">VLOOKUP($EP$1,'Datos Iniciales'!$E$34:$O$64,EZ$158,FALSE())*EZ105</f>
        <v>0</v>
      </c>
      <c r="FA203" s="194" t="str">
        <f aca="false">EP203</f>
        <v>Alumno44</v>
      </c>
      <c r="FB203" s="208" t="n">
        <f aca="false">VLOOKUP($FA$1,'Datos Iniciales'!$E$34:$O$64,FB$158,FALSE())*FB105</f>
        <v>0</v>
      </c>
      <c r="FC203" s="196" t="n">
        <f aca="false">VLOOKUP($FA$1,'Datos Iniciales'!$E$34:$O$64,FC$158,FALSE())*FC105</f>
        <v>0</v>
      </c>
      <c r="FD203" s="196" t="n">
        <f aca="false">VLOOKUP($FA$1,'Datos Iniciales'!$E$34:$O$64,FD$158,FALSE())*FD105</f>
        <v>0</v>
      </c>
      <c r="FE203" s="196" t="n">
        <f aca="false">VLOOKUP($FA$1,'Datos Iniciales'!$E$34:$O$64,FE$158,FALSE())*FE105</f>
        <v>0</v>
      </c>
      <c r="FF203" s="196" t="n">
        <f aca="false">VLOOKUP($FA$1,'Datos Iniciales'!$E$34:$O$64,FF$158,FALSE())*FF105</f>
        <v>0</v>
      </c>
      <c r="FG203" s="196" t="n">
        <f aca="false">VLOOKUP($FA$1,'Datos Iniciales'!$E$34:$O$64,FG$158,FALSE())*FG105</f>
        <v>0</v>
      </c>
      <c r="FH203" s="196" t="n">
        <f aca="false">VLOOKUP($FA$1,'Datos Iniciales'!$E$34:$O$64,FH$158,FALSE())*FH105</f>
        <v>0</v>
      </c>
      <c r="FI203" s="196" t="n">
        <f aca="false">VLOOKUP($FA$1,'Datos Iniciales'!$E$34:$O$64,FI$158,FALSE())*FI105</f>
        <v>0</v>
      </c>
      <c r="FJ203" s="196" t="n">
        <f aca="false">VLOOKUP($FA$1,'Datos Iniciales'!$E$34:$O$64,FJ$158,FALSE())*FJ105</f>
        <v>0</v>
      </c>
      <c r="FK203" s="197" t="n">
        <f aca="false">VLOOKUP($FA$1,'Datos Iniciales'!$E$34:$O$64,FK$158,FALSE())*FK105</f>
        <v>0</v>
      </c>
      <c r="FL203" s="194" t="str">
        <f aca="false">FA203</f>
        <v>Alumno44</v>
      </c>
      <c r="FM203" s="208" t="n">
        <f aca="false">VLOOKUP($FL$1,'Datos Iniciales'!$E$34:$O$64,FM$158,FALSE())*FM105</f>
        <v>0</v>
      </c>
      <c r="FN203" s="196" t="n">
        <f aca="false">VLOOKUP($FL$1,'Datos Iniciales'!$E$34:$O$64,FN$158,FALSE())*FN105</f>
        <v>0</v>
      </c>
      <c r="FO203" s="196" t="n">
        <f aca="false">VLOOKUP($FL$1,'Datos Iniciales'!$E$34:$O$64,FO$158,FALSE())*FO105</f>
        <v>0</v>
      </c>
      <c r="FP203" s="196" t="n">
        <f aca="false">VLOOKUP($FL$1,'Datos Iniciales'!$E$34:$O$64,FP$158,FALSE())*FP105</f>
        <v>0</v>
      </c>
      <c r="FQ203" s="196" t="n">
        <f aca="false">VLOOKUP($FL$1,'Datos Iniciales'!$E$34:$O$64,FQ$158,FALSE())*FQ105</f>
        <v>0</v>
      </c>
      <c r="FR203" s="196" t="n">
        <f aca="false">VLOOKUP($FL$1,'Datos Iniciales'!$E$34:$O$64,FR$158,FALSE())*FR105</f>
        <v>0</v>
      </c>
      <c r="FS203" s="196" t="n">
        <f aca="false">VLOOKUP($FL$1,'Datos Iniciales'!$E$34:$O$64,FS$158,FALSE())*FS105</f>
        <v>0</v>
      </c>
      <c r="FT203" s="196" t="n">
        <f aca="false">VLOOKUP($FL$1,'Datos Iniciales'!$E$34:$O$64,FT$158,FALSE())*FT105</f>
        <v>0</v>
      </c>
      <c r="FU203" s="196" t="n">
        <f aca="false">VLOOKUP($FL$1,'Datos Iniciales'!$E$34:$O$64,FU$158,FALSE())*FU105</f>
        <v>0</v>
      </c>
      <c r="FV203" s="197" t="n">
        <f aca="false">VLOOKUP($FL$1,'Datos Iniciales'!$E$34:$O$64,FV$158,FALSE())*FV105</f>
        <v>0</v>
      </c>
      <c r="FW203" s="194" t="str">
        <f aca="false">FL203</f>
        <v>Alumno44</v>
      </c>
      <c r="FX203" s="208" t="n">
        <f aca="false">VLOOKUP($FW$1,'Datos Iniciales'!$E$34:$O$64,FX$158,FALSE())*FX105</f>
        <v>0</v>
      </c>
      <c r="FY203" s="196" t="n">
        <f aca="false">VLOOKUP($FW$1,'Datos Iniciales'!$E$34:$O$64,FY$158,FALSE())*FY105</f>
        <v>0</v>
      </c>
      <c r="FZ203" s="196" t="n">
        <f aca="false">VLOOKUP($FW$1,'Datos Iniciales'!$E$34:$O$64,FZ$158,FALSE())*FZ105</f>
        <v>0</v>
      </c>
      <c r="GA203" s="196" t="n">
        <f aca="false">VLOOKUP($FW$1,'Datos Iniciales'!$E$34:$O$64,GA$158,FALSE())*GA105</f>
        <v>0</v>
      </c>
      <c r="GB203" s="196" t="n">
        <f aca="false">VLOOKUP($FW$1,'Datos Iniciales'!$E$34:$O$64,GB$158,FALSE())*GB105</f>
        <v>0</v>
      </c>
      <c r="GC203" s="196" t="n">
        <f aca="false">VLOOKUP($FW$1,'Datos Iniciales'!$E$34:$O$64,GC$158,FALSE())*GC105</f>
        <v>0</v>
      </c>
      <c r="GD203" s="196" t="n">
        <f aca="false">VLOOKUP($FW$1,'Datos Iniciales'!$E$34:$O$64,GD$158,FALSE())*GD105</f>
        <v>0</v>
      </c>
      <c r="GE203" s="196" t="n">
        <f aca="false">VLOOKUP($FW$1,'Datos Iniciales'!$E$34:$O$64,GE$158,FALSE())*GE105</f>
        <v>0</v>
      </c>
      <c r="GF203" s="196" t="n">
        <f aca="false">VLOOKUP($FW$1,'Datos Iniciales'!$E$34:$O$64,GF$158,FALSE())*GF105</f>
        <v>0</v>
      </c>
      <c r="GG203" s="197" t="n">
        <f aca="false">VLOOKUP($FW$1,'Datos Iniciales'!$E$34:$O$64,GG$158,FALSE())*GG105</f>
        <v>0</v>
      </c>
      <c r="GH203" s="194" t="str">
        <f aca="false">FW203</f>
        <v>Alumno44</v>
      </c>
      <c r="GI203" s="208" t="n">
        <f aca="false">VLOOKUP($GH$1,'Datos Iniciales'!$E$34:$O$64,GI$158,FALSE())*GI105</f>
        <v>0</v>
      </c>
      <c r="GJ203" s="196" t="n">
        <f aca="false">VLOOKUP($GH$1,'Datos Iniciales'!$E$34:$O$64,GJ$158,FALSE())*GJ105</f>
        <v>0</v>
      </c>
      <c r="GK203" s="196" t="n">
        <f aca="false">VLOOKUP($GH$1,'Datos Iniciales'!$E$34:$O$64,GK$158,FALSE())*GK105</f>
        <v>0</v>
      </c>
      <c r="GL203" s="196" t="n">
        <f aca="false">VLOOKUP($GH$1,'Datos Iniciales'!$E$34:$O$64,GL$158,FALSE())*GL105</f>
        <v>0</v>
      </c>
      <c r="GM203" s="196" t="n">
        <f aca="false">VLOOKUP($GH$1,'Datos Iniciales'!$E$34:$O$64,GM$158,FALSE())*GM105</f>
        <v>0</v>
      </c>
      <c r="GN203" s="196" t="n">
        <f aca="false">VLOOKUP($GH$1,'Datos Iniciales'!$E$34:$O$64,GN$158,FALSE())*GN105</f>
        <v>0</v>
      </c>
      <c r="GO203" s="196" t="n">
        <f aca="false">VLOOKUP($GH$1,'Datos Iniciales'!$E$34:$O$64,GO$158,FALSE())*GO105</f>
        <v>0</v>
      </c>
      <c r="GP203" s="196" t="n">
        <f aca="false">VLOOKUP($GH$1,'Datos Iniciales'!$E$34:$O$64,GP$158,FALSE())*GP105</f>
        <v>0</v>
      </c>
      <c r="GQ203" s="196" t="n">
        <f aca="false">VLOOKUP($GH$1,'Datos Iniciales'!$E$34:$O$64,GQ$158,FALSE())*GQ105</f>
        <v>0</v>
      </c>
      <c r="GR203" s="197" t="n">
        <f aca="false">VLOOKUP($GH$1,'Datos Iniciales'!$E$34:$O$64,GR$158,FALSE())*GR105</f>
        <v>0</v>
      </c>
      <c r="GS203" s="194" t="str">
        <f aca="false">GH203</f>
        <v>Alumno44</v>
      </c>
      <c r="GT203" s="208" t="n">
        <f aca="false">VLOOKUP($GS$1,'Datos Iniciales'!$E$34:$O$64,GT$158,FALSE())*GT105</f>
        <v>0</v>
      </c>
      <c r="GU203" s="196" t="n">
        <f aca="false">VLOOKUP($GS$1,'Datos Iniciales'!$E$34:$O$64,GU$158,FALSE())*GU105</f>
        <v>0</v>
      </c>
      <c r="GV203" s="196" t="n">
        <f aca="false">VLOOKUP($GS$1,'Datos Iniciales'!$E$34:$O$64,GV$158,FALSE())*GV105</f>
        <v>0</v>
      </c>
      <c r="GW203" s="196" t="n">
        <f aca="false">VLOOKUP($GS$1,'Datos Iniciales'!$E$34:$O$64,GW$158,FALSE())*GW105</f>
        <v>0</v>
      </c>
      <c r="GX203" s="196" t="n">
        <f aca="false">VLOOKUP($GS$1,'Datos Iniciales'!$E$34:$O$64,GX$158,FALSE())*GX105</f>
        <v>0</v>
      </c>
      <c r="GY203" s="196" t="n">
        <f aca="false">VLOOKUP($GS$1,'Datos Iniciales'!$E$34:$O$64,GY$158,FALSE())*GY105</f>
        <v>0</v>
      </c>
      <c r="GZ203" s="196" t="n">
        <f aca="false">VLOOKUP($GS$1,'Datos Iniciales'!$E$34:$O$64,GZ$158,FALSE())*GZ105</f>
        <v>0</v>
      </c>
      <c r="HA203" s="196" t="n">
        <f aca="false">VLOOKUP($GS$1,'Datos Iniciales'!$E$34:$O$64,HA$158,FALSE())*HA105</f>
        <v>0</v>
      </c>
      <c r="HB203" s="196" t="n">
        <f aca="false">VLOOKUP($GS$1,'Datos Iniciales'!$E$34:$O$64,HB$158,FALSE())*HB105</f>
        <v>0</v>
      </c>
      <c r="HC203" s="197" t="n">
        <f aca="false">VLOOKUP($GS$1,'Datos Iniciales'!$E$34:$O$64,HC$158,FALSE())*HC105</f>
        <v>0</v>
      </c>
      <c r="HD203" s="194" t="str">
        <f aca="false">GS203</f>
        <v>Alumno44</v>
      </c>
      <c r="HE203" s="208" t="n">
        <f aca="false">VLOOKUP($HD$1,'Datos Iniciales'!$E$34:$O$64,HE$158,FALSE())*HE105</f>
        <v>0</v>
      </c>
      <c r="HF203" s="196" t="n">
        <f aca="false">VLOOKUP($HD$1,'Datos Iniciales'!$E$34:$O$64,HF$158,FALSE())*HF105</f>
        <v>0</v>
      </c>
      <c r="HG203" s="196" t="n">
        <f aca="false">VLOOKUP($HD$1,'Datos Iniciales'!$E$34:$O$64,HG$158,FALSE())*HG105</f>
        <v>0</v>
      </c>
      <c r="HH203" s="196" t="n">
        <f aca="false">VLOOKUP($HD$1,'Datos Iniciales'!$E$34:$O$64,HH$158,FALSE())*HH105</f>
        <v>0</v>
      </c>
      <c r="HI203" s="196" t="n">
        <f aca="false">VLOOKUP($HD$1,'Datos Iniciales'!$E$34:$O$64,HI$158,FALSE())*HI105</f>
        <v>0</v>
      </c>
      <c r="HJ203" s="196" t="n">
        <f aca="false">VLOOKUP($HD$1,'Datos Iniciales'!$E$34:$O$64,HJ$158,FALSE())*HJ105</f>
        <v>0</v>
      </c>
      <c r="HK203" s="196" t="n">
        <f aca="false">VLOOKUP($HD$1,'Datos Iniciales'!$E$34:$O$64,HK$158,FALSE())*HK105</f>
        <v>0</v>
      </c>
      <c r="HL203" s="196" t="n">
        <f aca="false">VLOOKUP($HD$1,'Datos Iniciales'!$E$34:$O$64,HL$158,FALSE())*HL105</f>
        <v>0</v>
      </c>
      <c r="HM203" s="196" t="n">
        <f aca="false">VLOOKUP($HD$1,'Datos Iniciales'!$E$34:$O$64,HM$158,FALSE())*HM105</f>
        <v>0</v>
      </c>
      <c r="HN203" s="197" t="n">
        <f aca="false">VLOOKUP($HD$1,'Datos Iniciales'!$E$34:$O$64,HN$158,FALSE())*HN105</f>
        <v>0</v>
      </c>
      <c r="HO203" s="194" t="str">
        <f aca="false">HD203</f>
        <v>Alumno44</v>
      </c>
      <c r="HP203" s="208" t="n">
        <f aca="false">VLOOKUP($HO$1,'Datos Iniciales'!$E$34:$O$64,HP$158,FALSE())*HP105</f>
        <v>0</v>
      </c>
      <c r="HQ203" s="196" t="n">
        <f aca="false">VLOOKUP($HO$1,'Datos Iniciales'!$E$34:$O$64,HQ$158,FALSE())*HQ105</f>
        <v>0</v>
      </c>
      <c r="HR203" s="196" t="n">
        <f aca="false">VLOOKUP($HO$1,'Datos Iniciales'!$E$34:$O$64,HR$158,FALSE())*HR105</f>
        <v>0</v>
      </c>
      <c r="HS203" s="196" t="n">
        <f aca="false">VLOOKUP($HO$1,'Datos Iniciales'!$E$34:$O$64,HS$158,FALSE())*HS105</f>
        <v>0</v>
      </c>
      <c r="HT203" s="196" t="n">
        <f aca="false">VLOOKUP($HO$1,'Datos Iniciales'!$E$34:$O$64,HT$158,FALSE())*HT105</f>
        <v>0</v>
      </c>
      <c r="HU203" s="196" t="n">
        <f aca="false">VLOOKUP($HO$1,'Datos Iniciales'!$E$34:$O$64,HU$158,FALSE())*HU105</f>
        <v>0</v>
      </c>
      <c r="HV203" s="196" t="n">
        <f aca="false">VLOOKUP($HO$1,'Datos Iniciales'!$E$34:$O$64,HV$158,FALSE())*HV105</f>
        <v>0</v>
      </c>
      <c r="HW203" s="196" t="n">
        <f aca="false">VLOOKUP($HO$1,'Datos Iniciales'!$E$34:$O$64,HW$158,FALSE())*HW105</f>
        <v>0</v>
      </c>
      <c r="HX203" s="196" t="n">
        <f aca="false">VLOOKUP($HO$1,'Datos Iniciales'!$E$34:$O$64,HX$158,FALSE())*HX105</f>
        <v>0</v>
      </c>
      <c r="HY203" s="197" t="n">
        <f aca="false">VLOOKUP($HO$1,'Datos Iniciales'!$E$34:$O$64,HY$158,FALSE())*HY105</f>
        <v>0</v>
      </c>
      <c r="HZ203" s="194" t="str">
        <f aca="false">HO203</f>
        <v>Alumno44</v>
      </c>
      <c r="IA203" s="208" t="n">
        <f aca="false">VLOOKUP($HZ$1,'Datos Iniciales'!$E$34:$O$64,IA$158,FALSE())*IA105</f>
        <v>0</v>
      </c>
      <c r="IB203" s="196" t="n">
        <f aca="false">VLOOKUP($HZ$1,'Datos Iniciales'!$E$34:$O$64,IB$158,FALSE())*IB105</f>
        <v>0</v>
      </c>
      <c r="IC203" s="196" t="n">
        <f aca="false">VLOOKUP($HZ$1,'Datos Iniciales'!$E$34:$O$64,IC$158,FALSE())*IC105</f>
        <v>0</v>
      </c>
      <c r="ID203" s="196" t="n">
        <f aca="false">VLOOKUP($HZ$1,'Datos Iniciales'!$E$34:$O$64,ID$158,FALSE())*ID105</f>
        <v>0</v>
      </c>
      <c r="IE203" s="196" t="n">
        <f aca="false">VLOOKUP($HZ$1,'Datos Iniciales'!$E$34:$O$64,IE$158,FALSE())*IE105</f>
        <v>0</v>
      </c>
      <c r="IF203" s="196" t="n">
        <f aca="false">VLOOKUP($HZ$1,'Datos Iniciales'!$E$34:$O$64,IF$158,FALSE())*IF105</f>
        <v>0</v>
      </c>
      <c r="IG203" s="196" t="n">
        <f aca="false">VLOOKUP($HZ$1,'Datos Iniciales'!$E$34:$O$64,IG$158,FALSE())*IG105</f>
        <v>0</v>
      </c>
      <c r="IH203" s="196" t="n">
        <f aca="false">VLOOKUP($HZ$1,'Datos Iniciales'!$E$34:$O$64,IH$158,FALSE())*IH105</f>
        <v>0</v>
      </c>
      <c r="II203" s="196" t="n">
        <f aca="false">VLOOKUP($HZ$1,'Datos Iniciales'!$E$34:$O$64,II$158,FALSE())*II105</f>
        <v>0</v>
      </c>
      <c r="IJ203" s="197" t="n">
        <f aca="false">VLOOKUP($HZ$1,'Datos Iniciales'!$E$34:$O$64,IJ$158,FALSE())*IJ105</f>
        <v>0</v>
      </c>
      <c r="IK203" s="194" t="str">
        <f aca="false">HZ203</f>
        <v>Alumno44</v>
      </c>
      <c r="IL203" s="208" t="n">
        <f aca="false">VLOOKUP($IK$1,'Datos Iniciales'!$E$34:$O$64,IL$158,FALSE())*IL105</f>
        <v>0</v>
      </c>
      <c r="IM203" s="196" t="n">
        <f aca="false">VLOOKUP($IK$1,'Datos Iniciales'!$E$34:$O$64,IM$158,FALSE())*IM105</f>
        <v>0</v>
      </c>
      <c r="IN203" s="196" t="n">
        <f aca="false">VLOOKUP($IK$1,'Datos Iniciales'!$E$34:$O$64,IN$158,FALSE())*IN105</f>
        <v>0</v>
      </c>
      <c r="IO203" s="196" t="n">
        <f aca="false">VLOOKUP($IK$1,'Datos Iniciales'!$E$34:$O$64,IO$158,FALSE())*IO105</f>
        <v>0</v>
      </c>
      <c r="IP203" s="196" t="n">
        <f aca="false">VLOOKUP($IK$1,'Datos Iniciales'!$E$34:$O$64,IP$158,FALSE())*IP105</f>
        <v>0</v>
      </c>
      <c r="IQ203" s="196" t="n">
        <f aca="false">VLOOKUP($IK$1,'Datos Iniciales'!$E$34:$O$64,IQ$158,FALSE())*IQ105</f>
        <v>0</v>
      </c>
      <c r="IR203" s="196" t="n">
        <f aca="false">VLOOKUP($IK$1,'Datos Iniciales'!$E$34:$O$64,IR$158,FALSE())*IR105</f>
        <v>0</v>
      </c>
      <c r="IS203" s="196" t="n">
        <f aca="false">VLOOKUP($IK$1,'Datos Iniciales'!$E$34:$O$64,IS$158,FALSE())*IS105</f>
        <v>0</v>
      </c>
      <c r="IT203" s="196" t="n">
        <f aca="false">VLOOKUP($IK$1,'Datos Iniciales'!$E$34:$O$64,IT$158,FALSE())*IT105</f>
        <v>0</v>
      </c>
      <c r="IU203" s="197" t="n">
        <f aca="false">VLOOKUP($IK$1,'Datos Iniciales'!$E$34:$O$64,IU$158,FALSE())*IU105</f>
        <v>0</v>
      </c>
      <c r="IV203" s="194" t="str">
        <f aca="false">IK203</f>
        <v>Alumno44</v>
      </c>
      <c r="IW203" s="208" t="n">
        <f aca="false">VLOOKUP($IV$1,'Datos Iniciales'!$E$34:$O$64,IW$158,FALSE())*IW105</f>
        <v>0</v>
      </c>
      <c r="IX203" s="196" t="n">
        <f aca="false">VLOOKUP($IV$1,'Datos Iniciales'!$E$34:$O$64,IX$158,FALSE())*IX105</f>
        <v>0</v>
      </c>
      <c r="IY203" s="196" t="n">
        <f aca="false">VLOOKUP($IV$1,'Datos Iniciales'!$E$34:$O$64,IY$158,FALSE())*IY105</f>
        <v>0</v>
      </c>
      <c r="IZ203" s="196" t="n">
        <f aca="false">VLOOKUP($IV$1,'Datos Iniciales'!$E$34:$O$64,IZ$158,FALSE())*IZ105</f>
        <v>0</v>
      </c>
      <c r="JA203" s="196" t="n">
        <f aca="false">VLOOKUP($IV$1,'Datos Iniciales'!$E$34:$O$64,JA$158,FALSE())*JA105</f>
        <v>0</v>
      </c>
      <c r="JB203" s="196" t="n">
        <f aca="false">VLOOKUP($IV$1,'Datos Iniciales'!$E$34:$O$64,JB$158,FALSE())*JB105</f>
        <v>0</v>
      </c>
      <c r="JC203" s="196" t="n">
        <f aca="false">VLOOKUP($IV$1,'Datos Iniciales'!$E$34:$O$64,JC$158,FALSE())*JC105</f>
        <v>0</v>
      </c>
      <c r="JD203" s="196" t="n">
        <f aca="false">VLOOKUP($IV$1,'Datos Iniciales'!$E$34:$O$64,JD$158,FALSE())*JD105</f>
        <v>0</v>
      </c>
      <c r="JE203" s="196" t="n">
        <f aca="false">VLOOKUP($IV$1,'Datos Iniciales'!$E$34:$O$64,JE$158,FALSE())*JE105</f>
        <v>0</v>
      </c>
      <c r="JF203" s="197" t="n">
        <f aca="false">VLOOKUP($IV$1,'Datos Iniciales'!$E$34:$O$64,JF$158,FALSE())*JF105</f>
        <v>0</v>
      </c>
      <c r="JG203" s="194" t="str">
        <f aca="false">IV203</f>
        <v>Alumno44</v>
      </c>
      <c r="JH203" s="208" t="n">
        <f aca="false">VLOOKUP($JG$1,'Datos Iniciales'!$E$34:$O$64,JH$158,FALSE())*JH105</f>
        <v>0</v>
      </c>
      <c r="JI203" s="196" t="n">
        <f aca="false">VLOOKUP($JG$1,'Datos Iniciales'!$E$34:$O$64,JI$158,FALSE())*JI105</f>
        <v>0</v>
      </c>
      <c r="JJ203" s="196" t="n">
        <f aca="false">VLOOKUP($JG$1,'Datos Iniciales'!$E$34:$O$64,JJ$158,FALSE())*JJ105</f>
        <v>0</v>
      </c>
      <c r="JK203" s="196" t="n">
        <f aca="false">VLOOKUP($JG$1,'Datos Iniciales'!$E$34:$O$64,JK$158,FALSE())*JK105</f>
        <v>0</v>
      </c>
      <c r="JL203" s="196" t="n">
        <f aca="false">VLOOKUP($JG$1,'Datos Iniciales'!$E$34:$O$64,JL$158,FALSE())*JL105</f>
        <v>0</v>
      </c>
      <c r="JM203" s="196" t="n">
        <f aca="false">VLOOKUP($JG$1,'Datos Iniciales'!$E$34:$O$64,JM$158,FALSE())*JM105</f>
        <v>0</v>
      </c>
      <c r="JN203" s="196" t="n">
        <f aca="false">VLOOKUP($JG$1,'Datos Iniciales'!$E$34:$O$64,JN$158,FALSE())*JN105</f>
        <v>0</v>
      </c>
      <c r="JO203" s="196" t="n">
        <f aca="false">VLOOKUP($JG$1,'Datos Iniciales'!$E$34:$O$64,JO$158,FALSE())*JO105</f>
        <v>0</v>
      </c>
      <c r="JP203" s="196" t="n">
        <f aca="false">VLOOKUP($JG$1,'Datos Iniciales'!$E$34:$O$64,JP$158,FALSE())*JP105</f>
        <v>0</v>
      </c>
      <c r="JQ203" s="197" t="n">
        <f aca="false">VLOOKUP($JG$1,'Datos Iniciales'!$E$34:$O$64,JQ$158,FALSE())*JQ105</f>
        <v>0</v>
      </c>
      <c r="JR203" s="194" t="str">
        <f aca="false">JG203</f>
        <v>Alumno44</v>
      </c>
      <c r="JS203" s="208" t="n">
        <f aca="false">VLOOKUP($JR$1,'Datos Iniciales'!$E$34:$O$64,JS$158,FALSE())*JS105</f>
        <v>0</v>
      </c>
      <c r="JT203" s="196" t="n">
        <f aca="false">VLOOKUP($JR$1,'Datos Iniciales'!$E$34:$O$64,JT$158,FALSE())*JT105</f>
        <v>0</v>
      </c>
      <c r="JU203" s="196" t="n">
        <f aca="false">VLOOKUP($JR$1,'Datos Iniciales'!$E$34:$O$64,JU$158,FALSE())*JU105</f>
        <v>0</v>
      </c>
      <c r="JV203" s="196" t="n">
        <f aca="false">VLOOKUP($JR$1,'Datos Iniciales'!$E$34:$O$64,JV$158,FALSE())*JV105</f>
        <v>0</v>
      </c>
      <c r="JW203" s="196" t="n">
        <f aca="false">VLOOKUP($JR$1,'Datos Iniciales'!$E$34:$O$64,JW$158,FALSE())*JW105</f>
        <v>0</v>
      </c>
      <c r="JX203" s="196" t="n">
        <f aca="false">VLOOKUP($JR$1,'Datos Iniciales'!$E$34:$O$64,JX$158,FALSE())*JX105</f>
        <v>0</v>
      </c>
      <c r="JY203" s="196" t="n">
        <f aca="false">VLOOKUP($JR$1,'Datos Iniciales'!$E$34:$O$64,JY$158,FALSE())*JY105</f>
        <v>0</v>
      </c>
      <c r="JZ203" s="196" t="n">
        <f aca="false">VLOOKUP($JR$1,'Datos Iniciales'!$E$34:$O$64,JZ$158,FALSE())*JZ105</f>
        <v>0</v>
      </c>
      <c r="KA203" s="196" t="n">
        <f aca="false">VLOOKUP($JR$1,'Datos Iniciales'!$E$34:$O$64,KA$158,FALSE())*KA105</f>
        <v>0</v>
      </c>
      <c r="KB203" s="197" t="n">
        <f aca="false">VLOOKUP($JR$1,'Datos Iniciales'!$E$34:$O$64,KB$158,FALSE())*KB105</f>
        <v>0</v>
      </c>
      <c r="KC203" s="194" t="str">
        <f aca="false">JR203</f>
        <v>Alumno44</v>
      </c>
      <c r="KD203" s="208" t="n">
        <f aca="false">VLOOKUP($KC$1,'Datos Iniciales'!$E$34:$O$64,KD$158,FALSE())*KD105</f>
        <v>0</v>
      </c>
      <c r="KE203" s="196" t="n">
        <f aca="false">VLOOKUP($KC$1,'Datos Iniciales'!$E$34:$O$64,KE$158,FALSE())*KE105</f>
        <v>0</v>
      </c>
      <c r="KF203" s="196" t="n">
        <f aca="false">VLOOKUP($KC$1,'Datos Iniciales'!$E$34:$O$64,KF$158,FALSE())*KF105</f>
        <v>0</v>
      </c>
      <c r="KG203" s="196" t="n">
        <f aca="false">VLOOKUP($KC$1,'Datos Iniciales'!$E$34:$O$64,KG$158,FALSE())*KG105</f>
        <v>0</v>
      </c>
      <c r="KH203" s="196" t="n">
        <f aca="false">VLOOKUP($KC$1,'Datos Iniciales'!$E$34:$O$64,KH$158,FALSE())*KH105</f>
        <v>0</v>
      </c>
      <c r="KI203" s="196" t="n">
        <f aca="false">VLOOKUP($KC$1,'Datos Iniciales'!$E$34:$O$64,KI$158,FALSE())*KI105</f>
        <v>0</v>
      </c>
      <c r="KJ203" s="196" t="n">
        <f aca="false">VLOOKUP($KC$1,'Datos Iniciales'!$E$34:$O$64,KJ$158,FALSE())*KJ105</f>
        <v>0</v>
      </c>
      <c r="KK203" s="196" t="n">
        <f aca="false">VLOOKUP($KC$1,'Datos Iniciales'!$E$34:$O$64,KK$158,FALSE())*KK105</f>
        <v>0</v>
      </c>
      <c r="KL203" s="196" t="n">
        <f aca="false">VLOOKUP($KC$1,'Datos Iniciales'!$E$34:$O$64,KL$158,FALSE())*KL105</f>
        <v>0</v>
      </c>
      <c r="KM203" s="197" t="n">
        <f aca="false">VLOOKUP($KC$1,'Datos Iniciales'!$E$34:$O$64,KM$158,FALSE())*KM105</f>
        <v>0</v>
      </c>
      <c r="KN203" s="194" t="str">
        <f aca="false">KC203</f>
        <v>Alumno44</v>
      </c>
      <c r="KO203" s="208" t="n">
        <f aca="false">VLOOKUP($KN$1,'Datos Iniciales'!$E$34:$O$64,KO$158,FALSE())*KO105</f>
        <v>0</v>
      </c>
      <c r="KP203" s="196" t="n">
        <f aca="false">VLOOKUP($KN$1,'Datos Iniciales'!$E$34:$O$64,KP$158,FALSE())*KP105</f>
        <v>0</v>
      </c>
      <c r="KQ203" s="196" t="n">
        <f aca="false">VLOOKUP($KN$1,'Datos Iniciales'!$E$34:$O$64,KQ$158,FALSE())*KQ105</f>
        <v>0</v>
      </c>
      <c r="KR203" s="196" t="n">
        <f aca="false">VLOOKUP($KN$1,'Datos Iniciales'!$E$34:$O$64,KR$158,FALSE())*KR105</f>
        <v>0</v>
      </c>
      <c r="KS203" s="196" t="n">
        <f aca="false">VLOOKUP($KN$1,'Datos Iniciales'!$E$34:$O$64,KS$158,FALSE())*KS105</f>
        <v>0</v>
      </c>
      <c r="KT203" s="196" t="n">
        <f aca="false">VLOOKUP($KN$1,'Datos Iniciales'!$E$34:$O$64,KT$158,FALSE())*KT105</f>
        <v>0</v>
      </c>
      <c r="KU203" s="196" t="n">
        <f aca="false">VLOOKUP($KN$1,'Datos Iniciales'!$E$34:$O$64,KU$158,FALSE())*KU105</f>
        <v>0</v>
      </c>
      <c r="KV203" s="196" t="n">
        <f aca="false">VLOOKUP($KN$1,'Datos Iniciales'!$E$34:$O$64,KV$158,FALSE())*KV105</f>
        <v>0</v>
      </c>
      <c r="KW203" s="196" t="n">
        <f aca="false">VLOOKUP($KN$1,'Datos Iniciales'!$E$34:$O$64,KW$158,FALSE())*KW105</f>
        <v>0</v>
      </c>
      <c r="KX203" s="197" t="n">
        <f aca="false">VLOOKUP($KN$1,'Datos Iniciales'!$E$34:$O$64,KX$158,FALSE())*KX105</f>
        <v>0</v>
      </c>
      <c r="KY203" s="194" t="str">
        <f aca="false">KN203</f>
        <v>Alumno44</v>
      </c>
      <c r="KZ203" s="208" t="n">
        <f aca="false">VLOOKUP($KY$1,'Datos Iniciales'!$E$34:$O$64,KZ$158,FALSE())*KZ105</f>
        <v>0</v>
      </c>
      <c r="LA203" s="196" t="n">
        <f aca="false">VLOOKUP($KY$1,'Datos Iniciales'!$E$34:$O$64,LA$158,FALSE())*LA105</f>
        <v>0</v>
      </c>
      <c r="LB203" s="196" t="n">
        <f aca="false">VLOOKUP($KY$1,'Datos Iniciales'!$E$34:$O$64,LB$158,FALSE())*LB105</f>
        <v>0</v>
      </c>
      <c r="LC203" s="196" t="n">
        <f aca="false">VLOOKUP($KY$1,'Datos Iniciales'!$E$34:$O$64,LC$158,FALSE())*LC105</f>
        <v>0</v>
      </c>
      <c r="LD203" s="196" t="n">
        <f aca="false">VLOOKUP($KY$1,'Datos Iniciales'!$E$34:$O$64,LD$158,FALSE())*LD105</f>
        <v>0</v>
      </c>
      <c r="LE203" s="196" t="n">
        <f aca="false">VLOOKUP($KY$1,'Datos Iniciales'!$E$34:$O$64,LE$158,FALSE())*LE105</f>
        <v>0</v>
      </c>
      <c r="LF203" s="196" t="n">
        <f aca="false">VLOOKUP($KY$1,'Datos Iniciales'!$E$34:$O$64,LF$158,FALSE())*LF105</f>
        <v>0</v>
      </c>
      <c r="LG203" s="196" t="n">
        <f aca="false">VLOOKUP($KY$1,'Datos Iniciales'!$E$34:$O$64,LG$158,FALSE())*LG105</f>
        <v>0</v>
      </c>
      <c r="LH203" s="196" t="n">
        <f aca="false">VLOOKUP($KY$1,'Datos Iniciales'!$E$34:$O$64,LH$158,FALSE())*LH105</f>
        <v>0</v>
      </c>
      <c r="LI203" s="197" t="n">
        <f aca="false">VLOOKUP($KY$1,'Datos Iniciales'!$E$34:$O$64,LI$158,FALSE())*LI105</f>
        <v>0</v>
      </c>
      <c r="LJ203" s="194" t="str">
        <f aca="false">KY203</f>
        <v>Alumno44</v>
      </c>
      <c r="LK203" s="208" t="n">
        <f aca="false">VLOOKUP($LJ$1,'Datos Iniciales'!$E$34:$O$64,LK$158,FALSE())*LK105</f>
        <v>0</v>
      </c>
      <c r="LL203" s="196" t="n">
        <f aca="false">VLOOKUP($LJ$1,'Datos Iniciales'!$E$34:$O$64,LL$158,FALSE())*LL105</f>
        <v>0</v>
      </c>
      <c r="LM203" s="196" t="n">
        <f aca="false">VLOOKUP($LJ$1,'Datos Iniciales'!$E$34:$O$64,LM$158,FALSE())*LM105</f>
        <v>0</v>
      </c>
      <c r="LN203" s="196" t="n">
        <f aca="false">VLOOKUP($LJ$1,'Datos Iniciales'!$E$34:$O$64,LN$158,FALSE())*LN105</f>
        <v>0</v>
      </c>
      <c r="LO203" s="196" t="n">
        <f aca="false">VLOOKUP($LJ$1,'Datos Iniciales'!$E$34:$O$64,LO$158,FALSE())*LO105</f>
        <v>0</v>
      </c>
      <c r="LP203" s="196" t="n">
        <f aca="false">VLOOKUP($LJ$1,'Datos Iniciales'!$E$34:$O$64,LP$158,FALSE())*LP105</f>
        <v>0</v>
      </c>
      <c r="LQ203" s="196" t="n">
        <f aca="false">VLOOKUP($LJ$1,'Datos Iniciales'!$E$34:$O$64,LQ$158,FALSE())*LQ105</f>
        <v>0</v>
      </c>
      <c r="LR203" s="196" t="n">
        <f aca="false">VLOOKUP($LJ$1,'Datos Iniciales'!$E$34:$O$64,LR$158,FALSE())*LR105</f>
        <v>0</v>
      </c>
      <c r="LS203" s="196" t="n">
        <f aca="false">VLOOKUP($LJ$1,'Datos Iniciales'!$E$34:$O$64,LS$158,FALSE())*LS105</f>
        <v>0</v>
      </c>
      <c r="LT203" s="197" t="n">
        <f aca="false">VLOOKUP($LJ$1,'Datos Iniciales'!$E$34:$O$64,LT$158,FALSE())*LT105</f>
        <v>0</v>
      </c>
    </row>
    <row r="204" customFormat="false" ht="15.75" hidden="true" customHeight="false" outlineLevel="0" collapsed="false">
      <c r="C204" s="201" t="str">
        <f aca="false">C155</f>
        <v>Alumno45</v>
      </c>
      <c r="D204" s="209" t="n">
        <f aca="false">VLOOKUP($C$1,'Datos Iniciales'!$E$34:$O$64,D$158,FALSE())*D106</f>
        <v>0</v>
      </c>
      <c r="E204" s="203" t="n">
        <f aca="false">VLOOKUP($C$1,'Datos Iniciales'!$E$34:$O$64,E$158,FALSE())*E106</f>
        <v>0</v>
      </c>
      <c r="F204" s="203" t="n">
        <f aca="false">VLOOKUP($C$1,'Datos Iniciales'!$E$34:$O$64,F$158,FALSE())*F106</f>
        <v>0</v>
      </c>
      <c r="G204" s="203" t="n">
        <f aca="false">VLOOKUP($C$1,'Datos Iniciales'!$E$34:$O$64,G$158,FALSE())*G106</f>
        <v>0</v>
      </c>
      <c r="H204" s="203" t="n">
        <f aca="false">VLOOKUP($C$1,'Datos Iniciales'!$E$34:$O$64,H$158,FALSE())*H106</f>
        <v>0</v>
      </c>
      <c r="I204" s="203" t="n">
        <f aca="false">VLOOKUP($C$1,'Datos Iniciales'!$E$34:$O$64,I$158,FALSE())*I106</f>
        <v>0</v>
      </c>
      <c r="J204" s="203" t="n">
        <f aca="false">VLOOKUP($C$1,'Datos Iniciales'!$E$34:$O$64,J$158,FALSE())*J106</f>
        <v>0</v>
      </c>
      <c r="K204" s="203" t="n">
        <f aca="false">VLOOKUP($C$1,'Datos Iniciales'!$E$34:$O$64,K$158,FALSE())*K106</f>
        <v>0</v>
      </c>
      <c r="L204" s="203" t="n">
        <f aca="false">VLOOKUP($C$1,'Datos Iniciales'!$E$34:$O$64,L$158,FALSE())*L106</f>
        <v>0</v>
      </c>
      <c r="M204" s="204" t="n">
        <f aca="false">VLOOKUP($C$1,'Datos Iniciales'!$E$34:$O$64,M$158,FALSE())*M106</f>
        <v>0</v>
      </c>
      <c r="N204" s="201" t="str">
        <f aca="false">C204</f>
        <v>Alumno45</v>
      </c>
      <c r="O204" s="209" t="n">
        <f aca="false">VLOOKUP($N$1,'Datos Iniciales'!$E$34:$O$64,O$158,FALSE())*O106</f>
        <v>0</v>
      </c>
      <c r="P204" s="203" t="n">
        <f aca="false">VLOOKUP($N$1,'Datos Iniciales'!$E$34:$O$64,P$158,FALSE())*P106</f>
        <v>0</v>
      </c>
      <c r="Q204" s="203" t="n">
        <f aca="false">VLOOKUP($N$1,'Datos Iniciales'!$E$34:$O$64,Q$158,FALSE())*Q106</f>
        <v>0</v>
      </c>
      <c r="R204" s="203" t="n">
        <f aca="false">VLOOKUP($N$1,'Datos Iniciales'!$E$34:$O$64,R$158,FALSE())*R106</f>
        <v>0</v>
      </c>
      <c r="S204" s="203" t="n">
        <f aca="false">VLOOKUP($N$1,'Datos Iniciales'!$E$34:$O$64,S$158,FALSE())*S106</f>
        <v>0</v>
      </c>
      <c r="T204" s="203" t="n">
        <f aca="false">VLOOKUP($N$1,'Datos Iniciales'!$E$34:$O$64,T$158,FALSE())*T106</f>
        <v>0</v>
      </c>
      <c r="U204" s="203" t="n">
        <f aca="false">VLOOKUP($N$1,'Datos Iniciales'!$E$34:$O$64,U$158,FALSE())*U106</f>
        <v>0</v>
      </c>
      <c r="V204" s="203" t="n">
        <f aca="false">VLOOKUP($N$1,'Datos Iniciales'!$E$34:$O$64,V$158,FALSE())*V106</f>
        <v>0</v>
      </c>
      <c r="W204" s="203" t="n">
        <f aca="false">VLOOKUP($N$1,'Datos Iniciales'!$E$34:$O$64,W$158,FALSE())*W106</f>
        <v>0</v>
      </c>
      <c r="X204" s="204" t="n">
        <f aca="false">VLOOKUP($N$1,'Datos Iniciales'!$E$34:$O$64,X$158,FALSE())*X106</f>
        <v>0</v>
      </c>
      <c r="Y204" s="201" t="str">
        <f aca="false">N204</f>
        <v>Alumno45</v>
      </c>
      <c r="Z204" s="209" t="n">
        <f aca="false">VLOOKUP($Y$1,'Datos Iniciales'!$E$34:$O$64,Z$158,FALSE())*Z106</f>
        <v>0</v>
      </c>
      <c r="AA204" s="203" t="n">
        <f aca="false">VLOOKUP($Y$1,'Datos Iniciales'!$E$34:$O$64,AA$158,FALSE())*AA106</f>
        <v>0</v>
      </c>
      <c r="AB204" s="203" t="n">
        <f aca="false">VLOOKUP($Y$1,'Datos Iniciales'!$E$34:$O$64,AB$158,FALSE())*AB106</f>
        <v>0</v>
      </c>
      <c r="AC204" s="203" t="n">
        <f aca="false">VLOOKUP($Y$1,'Datos Iniciales'!$E$34:$O$64,AC$158,FALSE())*AC106</f>
        <v>0</v>
      </c>
      <c r="AD204" s="203" t="n">
        <f aca="false">VLOOKUP($Y$1,'Datos Iniciales'!$E$34:$O$64,AD$158,FALSE())*AD106</f>
        <v>0</v>
      </c>
      <c r="AE204" s="203" t="n">
        <f aca="false">VLOOKUP($Y$1,'Datos Iniciales'!$E$34:$O$64,AE$158,FALSE())*AE106</f>
        <v>0</v>
      </c>
      <c r="AF204" s="203" t="n">
        <f aca="false">VLOOKUP($Y$1,'Datos Iniciales'!$E$34:$O$64,AF$158,FALSE())*AF106</f>
        <v>0</v>
      </c>
      <c r="AG204" s="203" t="n">
        <f aca="false">VLOOKUP($Y$1,'Datos Iniciales'!$E$34:$O$64,AG$158,FALSE())*AG106</f>
        <v>0</v>
      </c>
      <c r="AH204" s="203" t="n">
        <f aca="false">VLOOKUP($Y$1,'Datos Iniciales'!$E$34:$O$64,AH$158,FALSE())*AH106</f>
        <v>0</v>
      </c>
      <c r="AI204" s="204" t="n">
        <f aca="false">VLOOKUP($Y$1,'Datos Iniciales'!$E$34:$O$64,AI$158,FALSE())*AI106</f>
        <v>0</v>
      </c>
      <c r="AJ204" s="201" t="str">
        <f aca="false">Y204</f>
        <v>Alumno45</v>
      </c>
      <c r="AK204" s="209" t="n">
        <f aca="false">VLOOKUP($AJ$1,'Datos Iniciales'!$E$34:$O$64,AK$158,FALSE())*AK106</f>
        <v>0</v>
      </c>
      <c r="AL204" s="203" t="n">
        <f aca="false">VLOOKUP($AJ$1,'Datos Iniciales'!$E$34:$O$64,AL$158,FALSE())*AL106</f>
        <v>0</v>
      </c>
      <c r="AM204" s="203" t="n">
        <f aca="false">VLOOKUP($AJ$1,'Datos Iniciales'!$E$34:$O$64,AM$158,FALSE())*AM106</f>
        <v>0</v>
      </c>
      <c r="AN204" s="203" t="n">
        <f aca="false">VLOOKUP($AJ$1,'Datos Iniciales'!$E$34:$O$64,AN$158,FALSE())*AN106</f>
        <v>0</v>
      </c>
      <c r="AO204" s="203" t="n">
        <f aca="false">VLOOKUP($AJ$1,'Datos Iniciales'!$E$34:$O$64,AO$158,FALSE())*AO106</f>
        <v>0</v>
      </c>
      <c r="AP204" s="203" t="n">
        <f aca="false">VLOOKUP($AJ$1,'Datos Iniciales'!$E$34:$O$64,AP$158,FALSE())*AP106</f>
        <v>0</v>
      </c>
      <c r="AQ204" s="203" t="n">
        <f aca="false">VLOOKUP($AJ$1,'Datos Iniciales'!$E$34:$O$64,AQ$158,FALSE())*AQ106</f>
        <v>0</v>
      </c>
      <c r="AR204" s="203" t="n">
        <f aca="false">VLOOKUP($AJ$1,'Datos Iniciales'!$E$34:$O$64,AR$158,FALSE())*AR106</f>
        <v>0</v>
      </c>
      <c r="AS204" s="203" t="n">
        <f aca="false">VLOOKUP($AJ$1,'Datos Iniciales'!$E$34:$O$64,AS$158,FALSE())*AS106</f>
        <v>0</v>
      </c>
      <c r="AT204" s="204" t="n">
        <f aca="false">VLOOKUP($AJ$1,'Datos Iniciales'!$E$34:$O$64,AT$158,FALSE())*AT106</f>
        <v>0</v>
      </c>
      <c r="AU204" s="201" t="str">
        <f aca="false">AJ204</f>
        <v>Alumno45</v>
      </c>
      <c r="AV204" s="209" t="n">
        <f aca="false">VLOOKUP($AU$1,'Datos Iniciales'!$E$34:$O$64,AV$158,FALSE())*AV106</f>
        <v>0</v>
      </c>
      <c r="AW204" s="203" t="n">
        <f aca="false">VLOOKUP($AU$1,'Datos Iniciales'!$E$34:$O$64,AW$158,FALSE())*AW106</f>
        <v>0</v>
      </c>
      <c r="AX204" s="203" t="n">
        <f aca="false">VLOOKUP($AU$1,'Datos Iniciales'!$E$34:$O$64,AX$158,FALSE())*AX106</f>
        <v>0</v>
      </c>
      <c r="AY204" s="203" t="n">
        <f aca="false">VLOOKUP($AU$1,'Datos Iniciales'!$E$34:$O$64,AY$158,FALSE())*AY106</f>
        <v>0</v>
      </c>
      <c r="AZ204" s="203" t="n">
        <f aca="false">VLOOKUP($AU$1,'Datos Iniciales'!$E$34:$O$64,AZ$158,FALSE())*AZ106</f>
        <v>0</v>
      </c>
      <c r="BA204" s="203" t="n">
        <f aca="false">VLOOKUP($AU$1,'Datos Iniciales'!$E$34:$O$64,BA$158,FALSE())*BA106</f>
        <v>0</v>
      </c>
      <c r="BB204" s="203" t="n">
        <f aca="false">VLOOKUP($AU$1,'Datos Iniciales'!$E$34:$O$64,BB$158,FALSE())*BB106</f>
        <v>0</v>
      </c>
      <c r="BC204" s="203" t="n">
        <f aca="false">VLOOKUP($AU$1,'Datos Iniciales'!$E$34:$O$64,BC$158,FALSE())*BC106</f>
        <v>0</v>
      </c>
      <c r="BD204" s="203" t="n">
        <f aca="false">VLOOKUP($AU$1,'Datos Iniciales'!$E$34:$O$64,BD$158,FALSE())*BD106</f>
        <v>0</v>
      </c>
      <c r="BE204" s="204" t="n">
        <f aca="false">VLOOKUP($AU$1,'Datos Iniciales'!$E$34:$O$64,BE$158,FALSE())*BE106</f>
        <v>0</v>
      </c>
      <c r="BF204" s="201" t="str">
        <f aca="false">AU204</f>
        <v>Alumno45</v>
      </c>
      <c r="BG204" s="209" t="n">
        <f aca="false">VLOOKUP($BF$1,'Datos Iniciales'!$E$34:$O$64,BG$158,FALSE())*BG106</f>
        <v>0</v>
      </c>
      <c r="BH204" s="203" t="n">
        <f aca="false">VLOOKUP($BF$1,'Datos Iniciales'!$E$34:$O$64,BH$158,FALSE())*BH106</f>
        <v>0</v>
      </c>
      <c r="BI204" s="203" t="n">
        <f aca="false">VLOOKUP($BF$1,'Datos Iniciales'!$E$34:$O$64,BI$158,FALSE())*BI106</f>
        <v>0</v>
      </c>
      <c r="BJ204" s="203" t="n">
        <f aca="false">VLOOKUP($BF$1,'Datos Iniciales'!$E$34:$O$64,BJ$158,FALSE())*BJ106</f>
        <v>0</v>
      </c>
      <c r="BK204" s="203" t="n">
        <f aca="false">VLOOKUP($BF$1,'Datos Iniciales'!$E$34:$O$64,BK$158,FALSE())*BK106</f>
        <v>0</v>
      </c>
      <c r="BL204" s="203" t="n">
        <f aca="false">VLOOKUP($BF$1,'Datos Iniciales'!$E$34:$O$64,BL$158,FALSE())*BL106</f>
        <v>0</v>
      </c>
      <c r="BM204" s="203" t="n">
        <f aca="false">VLOOKUP($BF$1,'Datos Iniciales'!$E$34:$O$64,BM$158,FALSE())*BM106</f>
        <v>0</v>
      </c>
      <c r="BN204" s="203" t="n">
        <f aca="false">VLOOKUP($BF$1,'Datos Iniciales'!$E$34:$O$64,BN$158,FALSE())*BN106</f>
        <v>0</v>
      </c>
      <c r="BO204" s="203" t="n">
        <f aca="false">VLOOKUP($BF$1,'Datos Iniciales'!$E$34:$O$64,BO$158,FALSE())*BO106</f>
        <v>0</v>
      </c>
      <c r="BP204" s="204" t="n">
        <f aca="false">VLOOKUP($BF$1,'Datos Iniciales'!$E$34:$O$64,BP$158,FALSE())*BP106</f>
        <v>0</v>
      </c>
      <c r="BQ204" s="201" t="str">
        <f aca="false">BF204</f>
        <v>Alumno45</v>
      </c>
      <c r="BR204" s="209" t="n">
        <f aca="false">VLOOKUP($BQ$1,'Datos Iniciales'!$E$34:$O$64,BR$158,FALSE())*BR106</f>
        <v>0</v>
      </c>
      <c r="BS204" s="203" t="n">
        <f aca="false">VLOOKUP($BQ$1,'Datos Iniciales'!$E$34:$O$64,BS$158,FALSE())*BS106</f>
        <v>0</v>
      </c>
      <c r="BT204" s="203" t="n">
        <f aca="false">VLOOKUP($BQ$1,'Datos Iniciales'!$E$34:$O$64,BT$158,FALSE())*BT106</f>
        <v>0</v>
      </c>
      <c r="BU204" s="203" t="n">
        <f aca="false">VLOOKUP($BQ$1,'Datos Iniciales'!$E$34:$O$64,BU$158,FALSE())*BU106</f>
        <v>0</v>
      </c>
      <c r="BV204" s="203" t="n">
        <f aca="false">VLOOKUP($BQ$1,'Datos Iniciales'!$E$34:$O$64,BV$158,FALSE())*BV106</f>
        <v>0</v>
      </c>
      <c r="BW204" s="203" t="n">
        <f aca="false">VLOOKUP($BQ$1,'Datos Iniciales'!$E$34:$O$64,BW$158,FALSE())*BW106</f>
        <v>0</v>
      </c>
      <c r="BX204" s="203" t="n">
        <f aca="false">VLOOKUP($BQ$1,'Datos Iniciales'!$E$34:$O$64,BX$158,FALSE())*BX106</f>
        <v>0</v>
      </c>
      <c r="BY204" s="203" t="n">
        <f aca="false">VLOOKUP($BQ$1,'Datos Iniciales'!$E$34:$O$64,BY$158,FALSE())*BY106</f>
        <v>0</v>
      </c>
      <c r="BZ204" s="203" t="n">
        <f aca="false">VLOOKUP($BQ$1,'Datos Iniciales'!$E$34:$O$64,BZ$158,FALSE())*BZ106</f>
        <v>0</v>
      </c>
      <c r="CA204" s="204" t="n">
        <f aca="false">VLOOKUP($BQ$1,'Datos Iniciales'!$E$34:$O$64,CA$158,FALSE())*CA106</f>
        <v>0</v>
      </c>
      <c r="CB204" s="201" t="str">
        <f aca="false">BQ204</f>
        <v>Alumno45</v>
      </c>
      <c r="CC204" s="209" t="n">
        <f aca="false">VLOOKUP($CB$1,'Datos Iniciales'!$E$34:$O$64,CC$158,FALSE())*CC106</f>
        <v>0</v>
      </c>
      <c r="CD204" s="203" t="n">
        <f aca="false">VLOOKUP($CB$1,'Datos Iniciales'!$E$34:$O$64,CD$158,FALSE())*CD106</f>
        <v>0</v>
      </c>
      <c r="CE204" s="203" t="n">
        <f aca="false">VLOOKUP($CB$1,'Datos Iniciales'!$E$34:$O$64,CE$158,FALSE())*CE106</f>
        <v>0</v>
      </c>
      <c r="CF204" s="203" t="n">
        <f aca="false">VLOOKUP($CB$1,'Datos Iniciales'!$E$34:$O$64,CF$158,FALSE())*CF106</f>
        <v>0</v>
      </c>
      <c r="CG204" s="203" t="n">
        <f aca="false">VLOOKUP($CB$1,'Datos Iniciales'!$E$34:$O$64,CG$158,FALSE())*CG106</f>
        <v>0</v>
      </c>
      <c r="CH204" s="203" t="n">
        <f aca="false">VLOOKUP($CB$1,'Datos Iniciales'!$E$34:$O$64,CH$158,FALSE())*CH106</f>
        <v>0</v>
      </c>
      <c r="CI204" s="203" t="n">
        <f aca="false">VLOOKUP($CB$1,'Datos Iniciales'!$E$34:$O$64,CI$158,FALSE())*CI106</f>
        <v>0</v>
      </c>
      <c r="CJ204" s="203" t="n">
        <f aca="false">VLOOKUP($CB$1,'Datos Iniciales'!$E$34:$O$64,CJ$158,FALSE())*CJ106</f>
        <v>0</v>
      </c>
      <c r="CK204" s="203" t="n">
        <f aca="false">VLOOKUP($CB$1,'Datos Iniciales'!$E$34:$O$64,CK$158,FALSE())*CK106</f>
        <v>0</v>
      </c>
      <c r="CL204" s="204" t="n">
        <f aca="false">VLOOKUP($CB$1,'Datos Iniciales'!$E$34:$O$64,CL$158,FALSE())*CL106</f>
        <v>0</v>
      </c>
      <c r="CM204" s="201" t="str">
        <f aca="false">CB204</f>
        <v>Alumno45</v>
      </c>
      <c r="CN204" s="209" t="n">
        <f aca="false">VLOOKUP($CM$1,'Datos Iniciales'!$E$34:$O$64,CN$158,FALSE())*CN106</f>
        <v>0</v>
      </c>
      <c r="CO204" s="203" t="n">
        <f aca="false">VLOOKUP($CM$1,'Datos Iniciales'!$E$34:$O$64,CO$158,FALSE())*CO106</f>
        <v>0</v>
      </c>
      <c r="CP204" s="203" t="n">
        <f aca="false">VLOOKUP($CM$1,'Datos Iniciales'!$E$34:$O$64,CP$158,FALSE())*CP106</f>
        <v>0</v>
      </c>
      <c r="CQ204" s="203" t="n">
        <f aca="false">VLOOKUP($CM$1,'Datos Iniciales'!$E$34:$O$64,CQ$158,FALSE())*CQ106</f>
        <v>0</v>
      </c>
      <c r="CR204" s="203" t="n">
        <f aca="false">VLOOKUP($CM$1,'Datos Iniciales'!$E$34:$O$64,CR$158,FALSE())*CR106</f>
        <v>0</v>
      </c>
      <c r="CS204" s="203" t="n">
        <f aca="false">VLOOKUP($CM$1,'Datos Iniciales'!$E$34:$O$64,CS$158,FALSE())*CS106</f>
        <v>0</v>
      </c>
      <c r="CT204" s="203" t="n">
        <f aca="false">VLOOKUP($CM$1,'Datos Iniciales'!$E$34:$O$64,CT$158,FALSE())*CT106</f>
        <v>0</v>
      </c>
      <c r="CU204" s="203" t="n">
        <f aca="false">VLOOKUP($CM$1,'Datos Iniciales'!$E$34:$O$64,CU$158,FALSE())*CU106</f>
        <v>0</v>
      </c>
      <c r="CV204" s="203" t="n">
        <f aca="false">VLOOKUP($CM$1,'Datos Iniciales'!$E$34:$O$64,CV$158,FALSE())*CV106</f>
        <v>0</v>
      </c>
      <c r="CW204" s="204" t="n">
        <f aca="false">VLOOKUP($CM$1,'Datos Iniciales'!$E$34:$O$64,CW$158,FALSE())*CW106</f>
        <v>0</v>
      </c>
      <c r="CX204" s="201" t="str">
        <f aca="false">CM204</f>
        <v>Alumno45</v>
      </c>
      <c r="CY204" s="209" t="n">
        <f aca="false">VLOOKUP($CX$1,'Datos Iniciales'!$E$34:$O$64,CY$158,FALSE())*CY106</f>
        <v>0</v>
      </c>
      <c r="CZ204" s="203" t="n">
        <f aca="false">VLOOKUP($CX$1,'Datos Iniciales'!$E$34:$O$64,CZ$158,FALSE())*CZ106</f>
        <v>0</v>
      </c>
      <c r="DA204" s="203" t="n">
        <f aca="false">VLOOKUP($CX$1,'Datos Iniciales'!$E$34:$O$64,DA$158,FALSE())*DA106</f>
        <v>0</v>
      </c>
      <c r="DB204" s="203" t="n">
        <f aca="false">VLOOKUP($CX$1,'Datos Iniciales'!$E$34:$O$64,DB$158,FALSE())*DB106</f>
        <v>0</v>
      </c>
      <c r="DC204" s="203" t="n">
        <f aca="false">VLOOKUP($CX$1,'Datos Iniciales'!$E$34:$O$64,DC$158,FALSE())*DC106</f>
        <v>0</v>
      </c>
      <c r="DD204" s="203" t="n">
        <f aca="false">VLOOKUP($CX$1,'Datos Iniciales'!$E$34:$O$64,DD$158,FALSE())*DD106</f>
        <v>0</v>
      </c>
      <c r="DE204" s="203" t="n">
        <f aca="false">VLOOKUP($CX$1,'Datos Iniciales'!$E$34:$O$64,DE$158,FALSE())*DE106</f>
        <v>0</v>
      </c>
      <c r="DF204" s="203" t="n">
        <f aca="false">VLOOKUP($CX$1,'Datos Iniciales'!$E$34:$O$64,DF$158,FALSE())*DF106</f>
        <v>0</v>
      </c>
      <c r="DG204" s="203" t="n">
        <f aca="false">VLOOKUP($CX$1,'Datos Iniciales'!$E$34:$O$64,DG$158,FALSE())*DG106</f>
        <v>0</v>
      </c>
      <c r="DH204" s="204" t="n">
        <f aca="false">VLOOKUP($CX$1,'Datos Iniciales'!$E$34:$O$64,DH$158,FALSE())*DH106</f>
        <v>0</v>
      </c>
      <c r="DI204" s="201" t="str">
        <f aca="false">CX204</f>
        <v>Alumno45</v>
      </c>
      <c r="DJ204" s="209" t="n">
        <f aca="false">VLOOKUP($DI$1,'Datos Iniciales'!$E$34:$O$64,DJ$158,FALSE())*DJ106</f>
        <v>0</v>
      </c>
      <c r="DK204" s="203" t="n">
        <f aca="false">VLOOKUP($DI$1,'Datos Iniciales'!$E$34:$O$64,DK$158,FALSE())*DK106</f>
        <v>0</v>
      </c>
      <c r="DL204" s="203" t="n">
        <f aca="false">VLOOKUP($DI$1,'Datos Iniciales'!$E$34:$O$64,DL$158,FALSE())*DL106</f>
        <v>0</v>
      </c>
      <c r="DM204" s="203" t="n">
        <f aca="false">VLOOKUP($DI$1,'Datos Iniciales'!$E$34:$O$64,DM$158,FALSE())*DM106</f>
        <v>0</v>
      </c>
      <c r="DN204" s="203" t="n">
        <f aca="false">VLOOKUP($DI$1,'Datos Iniciales'!$E$34:$O$64,DN$158,FALSE())*DN106</f>
        <v>0</v>
      </c>
      <c r="DO204" s="203" t="n">
        <f aca="false">VLOOKUP($DI$1,'Datos Iniciales'!$E$34:$O$64,DO$158,FALSE())*DO106</f>
        <v>0</v>
      </c>
      <c r="DP204" s="203" t="n">
        <f aca="false">VLOOKUP($DI$1,'Datos Iniciales'!$E$34:$O$64,DP$158,FALSE())*DP106</f>
        <v>0</v>
      </c>
      <c r="DQ204" s="203" t="n">
        <f aca="false">VLOOKUP($DI$1,'Datos Iniciales'!$E$34:$O$64,DQ$158,FALSE())*DQ106</f>
        <v>0</v>
      </c>
      <c r="DR204" s="203" t="n">
        <f aca="false">VLOOKUP($DI$1,'Datos Iniciales'!$E$34:$O$64,DR$158,FALSE())*DR106</f>
        <v>0</v>
      </c>
      <c r="DS204" s="204" t="n">
        <f aca="false">VLOOKUP($DI$1,'Datos Iniciales'!$E$34:$O$64,DS$158,FALSE())*DS106</f>
        <v>0</v>
      </c>
      <c r="DT204" s="201" t="str">
        <f aca="false">DI204</f>
        <v>Alumno45</v>
      </c>
      <c r="DU204" s="209" t="n">
        <f aca="false">VLOOKUP($DT$1,'Datos Iniciales'!$E$34:$O$64,DU$158,FALSE())*DU106</f>
        <v>0</v>
      </c>
      <c r="DV204" s="203" t="n">
        <f aca="false">VLOOKUP($DT$1,'Datos Iniciales'!$E$34:$O$64,DV$158,FALSE())*DV106</f>
        <v>0</v>
      </c>
      <c r="DW204" s="203" t="n">
        <f aca="false">VLOOKUP($DT$1,'Datos Iniciales'!$E$34:$O$64,DW$158,FALSE())*DW106</f>
        <v>0</v>
      </c>
      <c r="DX204" s="203" t="n">
        <f aca="false">VLOOKUP($DT$1,'Datos Iniciales'!$E$34:$O$64,DX$158,FALSE())*DX106</f>
        <v>0</v>
      </c>
      <c r="DY204" s="203" t="n">
        <f aca="false">VLOOKUP($DT$1,'Datos Iniciales'!$E$34:$O$64,DY$158,FALSE())*DY106</f>
        <v>0</v>
      </c>
      <c r="DZ204" s="203" t="n">
        <f aca="false">VLOOKUP($DT$1,'Datos Iniciales'!$E$34:$O$64,DZ$158,FALSE())*DZ106</f>
        <v>0</v>
      </c>
      <c r="EA204" s="203" t="n">
        <f aca="false">VLOOKUP($DT$1,'Datos Iniciales'!$E$34:$O$64,EA$158,FALSE())*EA106</f>
        <v>0</v>
      </c>
      <c r="EB204" s="203" t="n">
        <f aca="false">VLOOKUP($DT$1,'Datos Iniciales'!$E$34:$O$64,EB$158,FALSE())*EB106</f>
        <v>0</v>
      </c>
      <c r="EC204" s="203" t="n">
        <f aca="false">VLOOKUP($DT$1,'Datos Iniciales'!$E$34:$O$64,EC$158,FALSE())*EC106</f>
        <v>0</v>
      </c>
      <c r="ED204" s="204" t="n">
        <f aca="false">VLOOKUP($DT$1,'Datos Iniciales'!$E$34:$O$64,ED$158,FALSE())*ED106</f>
        <v>0</v>
      </c>
      <c r="EE204" s="201" t="str">
        <f aca="false">DT204</f>
        <v>Alumno45</v>
      </c>
      <c r="EF204" s="209" t="n">
        <f aca="false">VLOOKUP($EE$1,'Datos Iniciales'!$E$34:$O$64,EF$158,FALSE())*EF106</f>
        <v>0</v>
      </c>
      <c r="EG204" s="203" t="n">
        <f aca="false">VLOOKUP($EE$1,'Datos Iniciales'!$E$34:$O$64,EG$158,FALSE())*EG106</f>
        <v>0</v>
      </c>
      <c r="EH204" s="203" t="n">
        <f aca="false">VLOOKUP($EE$1,'Datos Iniciales'!$E$34:$O$64,EH$158,FALSE())*EH106</f>
        <v>0</v>
      </c>
      <c r="EI204" s="203" t="n">
        <f aca="false">VLOOKUP($EE$1,'Datos Iniciales'!$E$34:$O$64,EI$158,FALSE())*EI106</f>
        <v>0</v>
      </c>
      <c r="EJ204" s="203" t="n">
        <f aca="false">VLOOKUP($EE$1,'Datos Iniciales'!$E$34:$O$64,EJ$158,FALSE())*EJ106</f>
        <v>0</v>
      </c>
      <c r="EK204" s="203" t="n">
        <f aca="false">VLOOKUP($EE$1,'Datos Iniciales'!$E$34:$O$64,EK$158,FALSE())*EK106</f>
        <v>0</v>
      </c>
      <c r="EL204" s="203" t="n">
        <f aca="false">VLOOKUP($EE$1,'Datos Iniciales'!$E$34:$O$64,EL$158,FALSE())*EL106</f>
        <v>0</v>
      </c>
      <c r="EM204" s="203" t="n">
        <f aca="false">VLOOKUP($EE$1,'Datos Iniciales'!$E$34:$O$64,EM$158,FALSE())*EM106</f>
        <v>0</v>
      </c>
      <c r="EN204" s="203" t="n">
        <f aca="false">VLOOKUP($EE$1,'Datos Iniciales'!$E$34:$O$64,EN$158,FALSE())*EN106</f>
        <v>0</v>
      </c>
      <c r="EO204" s="204" t="n">
        <f aca="false">VLOOKUP($EE$1,'Datos Iniciales'!$E$34:$O$64,EO$158,FALSE())*EO106</f>
        <v>0</v>
      </c>
      <c r="EP204" s="201" t="str">
        <f aca="false">EE204</f>
        <v>Alumno45</v>
      </c>
      <c r="EQ204" s="209" t="n">
        <f aca="false">VLOOKUP($EP$1,'Datos Iniciales'!$E$34:$O$64,EQ$158,FALSE())*EQ106</f>
        <v>0</v>
      </c>
      <c r="ER204" s="203" t="n">
        <f aca="false">VLOOKUP($EP$1,'Datos Iniciales'!$E$34:$O$64,ER$158,FALSE())*ER106</f>
        <v>0</v>
      </c>
      <c r="ES204" s="203" t="n">
        <f aca="false">VLOOKUP($EP$1,'Datos Iniciales'!$E$34:$O$64,ES$158,FALSE())*ES106</f>
        <v>0</v>
      </c>
      <c r="ET204" s="203" t="n">
        <f aca="false">VLOOKUP($EP$1,'Datos Iniciales'!$E$34:$O$64,ET$158,FALSE())*ET106</f>
        <v>0</v>
      </c>
      <c r="EU204" s="203" t="n">
        <f aca="false">VLOOKUP($EP$1,'Datos Iniciales'!$E$34:$O$64,EU$158,FALSE())*EU106</f>
        <v>0</v>
      </c>
      <c r="EV204" s="203" t="n">
        <f aca="false">VLOOKUP($EP$1,'Datos Iniciales'!$E$34:$O$64,EV$158,FALSE())*EV106</f>
        <v>0</v>
      </c>
      <c r="EW204" s="203" t="n">
        <f aca="false">VLOOKUP($EP$1,'Datos Iniciales'!$E$34:$O$64,EW$158,FALSE())*EW106</f>
        <v>0</v>
      </c>
      <c r="EX204" s="203" t="n">
        <f aca="false">VLOOKUP($EP$1,'Datos Iniciales'!$E$34:$O$64,EX$158,FALSE())*EX106</f>
        <v>0</v>
      </c>
      <c r="EY204" s="203" t="n">
        <f aca="false">VLOOKUP($EP$1,'Datos Iniciales'!$E$34:$O$64,EY$158,FALSE())*EY106</f>
        <v>0</v>
      </c>
      <c r="EZ204" s="204" t="n">
        <f aca="false">VLOOKUP($EP$1,'Datos Iniciales'!$E$34:$O$64,EZ$158,FALSE())*EZ106</f>
        <v>0</v>
      </c>
      <c r="FA204" s="201" t="str">
        <f aca="false">EP204</f>
        <v>Alumno45</v>
      </c>
      <c r="FB204" s="209" t="n">
        <f aca="false">VLOOKUP($FA$1,'Datos Iniciales'!$E$34:$O$64,FB$158,FALSE())*FB106</f>
        <v>0</v>
      </c>
      <c r="FC204" s="203" t="n">
        <f aca="false">VLOOKUP($FA$1,'Datos Iniciales'!$E$34:$O$64,FC$158,FALSE())*FC106</f>
        <v>0</v>
      </c>
      <c r="FD204" s="203" t="n">
        <f aca="false">VLOOKUP($FA$1,'Datos Iniciales'!$E$34:$O$64,FD$158,FALSE())*FD106</f>
        <v>0</v>
      </c>
      <c r="FE204" s="203" t="n">
        <f aca="false">VLOOKUP($FA$1,'Datos Iniciales'!$E$34:$O$64,FE$158,FALSE())*FE106</f>
        <v>0</v>
      </c>
      <c r="FF204" s="203" t="n">
        <f aca="false">VLOOKUP($FA$1,'Datos Iniciales'!$E$34:$O$64,FF$158,FALSE())*FF106</f>
        <v>0</v>
      </c>
      <c r="FG204" s="203" t="n">
        <f aca="false">VLOOKUP($FA$1,'Datos Iniciales'!$E$34:$O$64,FG$158,FALSE())*FG106</f>
        <v>0</v>
      </c>
      <c r="FH204" s="203" t="n">
        <f aca="false">VLOOKUP($FA$1,'Datos Iniciales'!$E$34:$O$64,FH$158,FALSE())*FH106</f>
        <v>0</v>
      </c>
      <c r="FI204" s="203" t="n">
        <f aca="false">VLOOKUP($FA$1,'Datos Iniciales'!$E$34:$O$64,FI$158,FALSE())*FI106</f>
        <v>0</v>
      </c>
      <c r="FJ204" s="203" t="n">
        <f aca="false">VLOOKUP($FA$1,'Datos Iniciales'!$E$34:$O$64,FJ$158,FALSE())*FJ106</f>
        <v>0</v>
      </c>
      <c r="FK204" s="204" t="n">
        <f aca="false">VLOOKUP($FA$1,'Datos Iniciales'!$E$34:$O$64,FK$158,FALSE())*FK106</f>
        <v>0</v>
      </c>
      <c r="FL204" s="201" t="str">
        <f aca="false">FA204</f>
        <v>Alumno45</v>
      </c>
      <c r="FM204" s="209" t="n">
        <f aca="false">VLOOKUP($FL$1,'Datos Iniciales'!$E$34:$O$64,FM$158,FALSE())*FM106</f>
        <v>0</v>
      </c>
      <c r="FN204" s="203" t="n">
        <f aca="false">VLOOKUP($FL$1,'Datos Iniciales'!$E$34:$O$64,FN$158,FALSE())*FN106</f>
        <v>0</v>
      </c>
      <c r="FO204" s="203" t="n">
        <f aca="false">VLOOKUP($FL$1,'Datos Iniciales'!$E$34:$O$64,FO$158,FALSE())*FO106</f>
        <v>0</v>
      </c>
      <c r="FP204" s="203" t="n">
        <f aca="false">VLOOKUP($FL$1,'Datos Iniciales'!$E$34:$O$64,FP$158,FALSE())*FP106</f>
        <v>0</v>
      </c>
      <c r="FQ204" s="203" t="n">
        <f aca="false">VLOOKUP($FL$1,'Datos Iniciales'!$E$34:$O$64,FQ$158,FALSE())*FQ106</f>
        <v>0</v>
      </c>
      <c r="FR204" s="203" t="n">
        <f aca="false">VLOOKUP($FL$1,'Datos Iniciales'!$E$34:$O$64,FR$158,FALSE())*FR106</f>
        <v>0</v>
      </c>
      <c r="FS204" s="203" t="n">
        <f aca="false">VLOOKUP($FL$1,'Datos Iniciales'!$E$34:$O$64,FS$158,FALSE())*FS106</f>
        <v>0</v>
      </c>
      <c r="FT204" s="203" t="n">
        <f aca="false">VLOOKUP($FL$1,'Datos Iniciales'!$E$34:$O$64,FT$158,FALSE())*FT106</f>
        <v>0</v>
      </c>
      <c r="FU204" s="203" t="n">
        <f aca="false">VLOOKUP($FL$1,'Datos Iniciales'!$E$34:$O$64,FU$158,FALSE())*FU106</f>
        <v>0</v>
      </c>
      <c r="FV204" s="204" t="n">
        <f aca="false">VLOOKUP($FL$1,'Datos Iniciales'!$E$34:$O$64,FV$158,FALSE())*FV106</f>
        <v>0</v>
      </c>
      <c r="FW204" s="201" t="str">
        <f aca="false">FL204</f>
        <v>Alumno45</v>
      </c>
      <c r="FX204" s="209" t="n">
        <f aca="false">VLOOKUP($FW$1,'Datos Iniciales'!$E$34:$O$64,FX$158,FALSE())*FX106</f>
        <v>0</v>
      </c>
      <c r="FY204" s="203" t="n">
        <f aca="false">VLOOKUP($FW$1,'Datos Iniciales'!$E$34:$O$64,FY$158,FALSE())*FY106</f>
        <v>0</v>
      </c>
      <c r="FZ204" s="203" t="n">
        <f aca="false">VLOOKUP($FW$1,'Datos Iniciales'!$E$34:$O$64,FZ$158,FALSE())*FZ106</f>
        <v>0</v>
      </c>
      <c r="GA204" s="203" t="n">
        <f aca="false">VLOOKUP($FW$1,'Datos Iniciales'!$E$34:$O$64,GA$158,FALSE())*GA106</f>
        <v>0</v>
      </c>
      <c r="GB204" s="203" t="n">
        <f aca="false">VLOOKUP($FW$1,'Datos Iniciales'!$E$34:$O$64,GB$158,FALSE())*GB106</f>
        <v>0</v>
      </c>
      <c r="GC204" s="203" t="n">
        <f aca="false">VLOOKUP($FW$1,'Datos Iniciales'!$E$34:$O$64,GC$158,FALSE())*GC106</f>
        <v>0</v>
      </c>
      <c r="GD204" s="203" t="n">
        <f aca="false">VLOOKUP($FW$1,'Datos Iniciales'!$E$34:$O$64,GD$158,FALSE())*GD106</f>
        <v>0</v>
      </c>
      <c r="GE204" s="203" t="n">
        <f aca="false">VLOOKUP($FW$1,'Datos Iniciales'!$E$34:$O$64,GE$158,FALSE())*GE106</f>
        <v>0</v>
      </c>
      <c r="GF204" s="203" t="n">
        <f aca="false">VLOOKUP($FW$1,'Datos Iniciales'!$E$34:$O$64,GF$158,FALSE())*GF106</f>
        <v>0</v>
      </c>
      <c r="GG204" s="204" t="n">
        <f aca="false">VLOOKUP($FW$1,'Datos Iniciales'!$E$34:$O$64,GG$158,FALSE())*GG106</f>
        <v>0</v>
      </c>
      <c r="GH204" s="201" t="str">
        <f aca="false">FW204</f>
        <v>Alumno45</v>
      </c>
      <c r="GI204" s="209" t="n">
        <f aca="false">VLOOKUP($GH$1,'Datos Iniciales'!$E$34:$O$64,GI$158,FALSE())*GI106</f>
        <v>0</v>
      </c>
      <c r="GJ204" s="203" t="n">
        <f aca="false">VLOOKUP($GH$1,'Datos Iniciales'!$E$34:$O$64,GJ$158,FALSE())*GJ106</f>
        <v>0</v>
      </c>
      <c r="GK204" s="203" t="n">
        <f aca="false">VLOOKUP($GH$1,'Datos Iniciales'!$E$34:$O$64,GK$158,FALSE())*GK106</f>
        <v>0</v>
      </c>
      <c r="GL204" s="203" t="n">
        <f aca="false">VLOOKUP($GH$1,'Datos Iniciales'!$E$34:$O$64,GL$158,FALSE())*GL106</f>
        <v>0</v>
      </c>
      <c r="GM204" s="203" t="n">
        <f aca="false">VLOOKUP($GH$1,'Datos Iniciales'!$E$34:$O$64,GM$158,FALSE())*GM106</f>
        <v>0</v>
      </c>
      <c r="GN204" s="203" t="n">
        <f aca="false">VLOOKUP($GH$1,'Datos Iniciales'!$E$34:$O$64,GN$158,FALSE())*GN106</f>
        <v>0</v>
      </c>
      <c r="GO204" s="203" t="n">
        <f aca="false">VLOOKUP($GH$1,'Datos Iniciales'!$E$34:$O$64,GO$158,FALSE())*GO106</f>
        <v>0</v>
      </c>
      <c r="GP204" s="203" t="n">
        <f aca="false">VLOOKUP($GH$1,'Datos Iniciales'!$E$34:$O$64,GP$158,FALSE())*GP106</f>
        <v>0</v>
      </c>
      <c r="GQ204" s="203" t="n">
        <f aca="false">VLOOKUP($GH$1,'Datos Iniciales'!$E$34:$O$64,GQ$158,FALSE())*GQ106</f>
        <v>0</v>
      </c>
      <c r="GR204" s="204" t="n">
        <f aca="false">VLOOKUP($GH$1,'Datos Iniciales'!$E$34:$O$64,GR$158,FALSE())*GR106</f>
        <v>0</v>
      </c>
      <c r="GS204" s="201" t="str">
        <f aca="false">GH204</f>
        <v>Alumno45</v>
      </c>
      <c r="GT204" s="209" t="n">
        <f aca="false">VLOOKUP($GS$1,'Datos Iniciales'!$E$34:$O$64,GT$158,FALSE())*GT106</f>
        <v>0</v>
      </c>
      <c r="GU204" s="203" t="n">
        <f aca="false">VLOOKUP($GS$1,'Datos Iniciales'!$E$34:$O$64,GU$158,FALSE())*GU106</f>
        <v>0</v>
      </c>
      <c r="GV204" s="203" t="n">
        <f aca="false">VLOOKUP($GS$1,'Datos Iniciales'!$E$34:$O$64,GV$158,FALSE())*GV106</f>
        <v>0</v>
      </c>
      <c r="GW204" s="203" t="n">
        <f aca="false">VLOOKUP($GS$1,'Datos Iniciales'!$E$34:$O$64,GW$158,FALSE())*GW106</f>
        <v>0</v>
      </c>
      <c r="GX204" s="203" t="n">
        <f aca="false">VLOOKUP($GS$1,'Datos Iniciales'!$E$34:$O$64,GX$158,FALSE())*GX106</f>
        <v>0</v>
      </c>
      <c r="GY204" s="203" t="n">
        <f aca="false">VLOOKUP($GS$1,'Datos Iniciales'!$E$34:$O$64,GY$158,FALSE())*GY106</f>
        <v>0</v>
      </c>
      <c r="GZ204" s="203" t="n">
        <f aca="false">VLOOKUP($GS$1,'Datos Iniciales'!$E$34:$O$64,GZ$158,FALSE())*GZ106</f>
        <v>0</v>
      </c>
      <c r="HA204" s="203" t="n">
        <f aca="false">VLOOKUP($GS$1,'Datos Iniciales'!$E$34:$O$64,HA$158,FALSE())*HA106</f>
        <v>0</v>
      </c>
      <c r="HB204" s="203" t="n">
        <f aca="false">VLOOKUP($GS$1,'Datos Iniciales'!$E$34:$O$64,HB$158,FALSE())*HB106</f>
        <v>0</v>
      </c>
      <c r="HC204" s="204" t="n">
        <f aca="false">VLOOKUP($GS$1,'Datos Iniciales'!$E$34:$O$64,HC$158,FALSE())*HC106</f>
        <v>0</v>
      </c>
      <c r="HD204" s="201" t="str">
        <f aca="false">GS204</f>
        <v>Alumno45</v>
      </c>
      <c r="HE204" s="209" t="n">
        <f aca="false">VLOOKUP($HD$1,'Datos Iniciales'!$E$34:$O$64,HE$158,FALSE())*HE106</f>
        <v>0</v>
      </c>
      <c r="HF204" s="203" t="n">
        <f aca="false">VLOOKUP($HD$1,'Datos Iniciales'!$E$34:$O$64,HF$158,FALSE())*HF106</f>
        <v>0</v>
      </c>
      <c r="HG204" s="203" t="n">
        <f aca="false">VLOOKUP($HD$1,'Datos Iniciales'!$E$34:$O$64,HG$158,FALSE())*HG106</f>
        <v>0</v>
      </c>
      <c r="HH204" s="203" t="n">
        <f aca="false">VLOOKUP($HD$1,'Datos Iniciales'!$E$34:$O$64,HH$158,FALSE())*HH106</f>
        <v>0</v>
      </c>
      <c r="HI204" s="203" t="n">
        <f aca="false">VLOOKUP($HD$1,'Datos Iniciales'!$E$34:$O$64,HI$158,FALSE())*HI106</f>
        <v>0</v>
      </c>
      <c r="HJ204" s="203" t="n">
        <f aca="false">VLOOKUP($HD$1,'Datos Iniciales'!$E$34:$O$64,HJ$158,FALSE())*HJ106</f>
        <v>0</v>
      </c>
      <c r="HK204" s="203" t="n">
        <f aca="false">VLOOKUP($HD$1,'Datos Iniciales'!$E$34:$O$64,HK$158,FALSE())*HK106</f>
        <v>0</v>
      </c>
      <c r="HL204" s="203" t="n">
        <f aca="false">VLOOKUP($HD$1,'Datos Iniciales'!$E$34:$O$64,HL$158,FALSE())*HL106</f>
        <v>0</v>
      </c>
      <c r="HM204" s="203" t="n">
        <f aca="false">VLOOKUP($HD$1,'Datos Iniciales'!$E$34:$O$64,HM$158,FALSE())*HM106</f>
        <v>0</v>
      </c>
      <c r="HN204" s="204" t="n">
        <f aca="false">VLOOKUP($HD$1,'Datos Iniciales'!$E$34:$O$64,HN$158,FALSE())*HN106</f>
        <v>0</v>
      </c>
      <c r="HO204" s="201" t="str">
        <f aca="false">HD204</f>
        <v>Alumno45</v>
      </c>
      <c r="HP204" s="209" t="n">
        <f aca="false">VLOOKUP($HO$1,'Datos Iniciales'!$E$34:$O$64,HP$158,FALSE())*HP106</f>
        <v>0</v>
      </c>
      <c r="HQ204" s="203" t="n">
        <f aca="false">VLOOKUP($HO$1,'Datos Iniciales'!$E$34:$O$64,HQ$158,FALSE())*HQ106</f>
        <v>0</v>
      </c>
      <c r="HR204" s="203" t="n">
        <f aca="false">VLOOKUP($HO$1,'Datos Iniciales'!$E$34:$O$64,HR$158,FALSE())*HR106</f>
        <v>0</v>
      </c>
      <c r="HS204" s="203" t="n">
        <f aca="false">VLOOKUP($HO$1,'Datos Iniciales'!$E$34:$O$64,HS$158,FALSE())*HS106</f>
        <v>0</v>
      </c>
      <c r="HT204" s="203" t="n">
        <f aca="false">VLOOKUP($HO$1,'Datos Iniciales'!$E$34:$O$64,HT$158,FALSE())*HT106</f>
        <v>0</v>
      </c>
      <c r="HU204" s="203" t="n">
        <f aca="false">VLOOKUP($HO$1,'Datos Iniciales'!$E$34:$O$64,HU$158,FALSE())*HU106</f>
        <v>0</v>
      </c>
      <c r="HV204" s="203" t="n">
        <f aca="false">VLOOKUP($HO$1,'Datos Iniciales'!$E$34:$O$64,HV$158,FALSE())*HV106</f>
        <v>0</v>
      </c>
      <c r="HW204" s="203" t="n">
        <f aca="false">VLOOKUP($HO$1,'Datos Iniciales'!$E$34:$O$64,HW$158,FALSE())*HW106</f>
        <v>0</v>
      </c>
      <c r="HX204" s="203" t="n">
        <f aca="false">VLOOKUP($HO$1,'Datos Iniciales'!$E$34:$O$64,HX$158,FALSE())*HX106</f>
        <v>0</v>
      </c>
      <c r="HY204" s="204" t="n">
        <f aca="false">VLOOKUP($HO$1,'Datos Iniciales'!$E$34:$O$64,HY$158,FALSE())*HY106</f>
        <v>0</v>
      </c>
      <c r="HZ204" s="201" t="str">
        <f aca="false">HO204</f>
        <v>Alumno45</v>
      </c>
      <c r="IA204" s="209" t="n">
        <f aca="false">VLOOKUP($HZ$1,'Datos Iniciales'!$E$34:$O$64,IA$158,FALSE())*IA106</f>
        <v>0</v>
      </c>
      <c r="IB204" s="203" t="n">
        <f aca="false">VLOOKUP($HZ$1,'Datos Iniciales'!$E$34:$O$64,IB$158,FALSE())*IB106</f>
        <v>0</v>
      </c>
      <c r="IC204" s="203" t="n">
        <f aca="false">VLOOKUP($HZ$1,'Datos Iniciales'!$E$34:$O$64,IC$158,FALSE())*IC106</f>
        <v>0</v>
      </c>
      <c r="ID204" s="203" t="n">
        <f aca="false">VLOOKUP($HZ$1,'Datos Iniciales'!$E$34:$O$64,ID$158,FALSE())*ID106</f>
        <v>0</v>
      </c>
      <c r="IE204" s="203" t="n">
        <f aca="false">VLOOKUP($HZ$1,'Datos Iniciales'!$E$34:$O$64,IE$158,FALSE())*IE106</f>
        <v>0</v>
      </c>
      <c r="IF204" s="203" t="n">
        <f aca="false">VLOOKUP($HZ$1,'Datos Iniciales'!$E$34:$O$64,IF$158,FALSE())*IF106</f>
        <v>0</v>
      </c>
      <c r="IG204" s="203" t="n">
        <f aca="false">VLOOKUP($HZ$1,'Datos Iniciales'!$E$34:$O$64,IG$158,FALSE())*IG106</f>
        <v>0</v>
      </c>
      <c r="IH204" s="203" t="n">
        <f aca="false">VLOOKUP($HZ$1,'Datos Iniciales'!$E$34:$O$64,IH$158,FALSE())*IH106</f>
        <v>0</v>
      </c>
      <c r="II204" s="203" t="n">
        <f aca="false">VLOOKUP($HZ$1,'Datos Iniciales'!$E$34:$O$64,II$158,FALSE())*II106</f>
        <v>0</v>
      </c>
      <c r="IJ204" s="204" t="n">
        <f aca="false">VLOOKUP($HZ$1,'Datos Iniciales'!$E$34:$O$64,IJ$158,FALSE())*IJ106</f>
        <v>0</v>
      </c>
      <c r="IK204" s="201" t="str">
        <f aca="false">HZ204</f>
        <v>Alumno45</v>
      </c>
      <c r="IL204" s="209" t="n">
        <f aca="false">VLOOKUP($IK$1,'Datos Iniciales'!$E$34:$O$64,IL$158,FALSE())*IL106</f>
        <v>0</v>
      </c>
      <c r="IM204" s="203" t="n">
        <f aca="false">VLOOKUP($IK$1,'Datos Iniciales'!$E$34:$O$64,IM$158,FALSE())*IM106</f>
        <v>0</v>
      </c>
      <c r="IN204" s="203" t="n">
        <f aca="false">VLOOKUP($IK$1,'Datos Iniciales'!$E$34:$O$64,IN$158,FALSE())*IN106</f>
        <v>0</v>
      </c>
      <c r="IO204" s="203" t="n">
        <f aca="false">VLOOKUP($IK$1,'Datos Iniciales'!$E$34:$O$64,IO$158,FALSE())*IO106</f>
        <v>0</v>
      </c>
      <c r="IP204" s="203" t="n">
        <f aca="false">VLOOKUP($IK$1,'Datos Iniciales'!$E$34:$O$64,IP$158,FALSE())*IP106</f>
        <v>0</v>
      </c>
      <c r="IQ204" s="203" t="n">
        <f aca="false">VLOOKUP($IK$1,'Datos Iniciales'!$E$34:$O$64,IQ$158,FALSE())*IQ106</f>
        <v>0</v>
      </c>
      <c r="IR204" s="203" t="n">
        <f aca="false">VLOOKUP($IK$1,'Datos Iniciales'!$E$34:$O$64,IR$158,FALSE())*IR106</f>
        <v>0</v>
      </c>
      <c r="IS204" s="203" t="n">
        <f aca="false">VLOOKUP($IK$1,'Datos Iniciales'!$E$34:$O$64,IS$158,FALSE())*IS106</f>
        <v>0</v>
      </c>
      <c r="IT204" s="203" t="n">
        <f aca="false">VLOOKUP($IK$1,'Datos Iniciales'!$E$34:$O$64,IT$158,FALSE())*IT106</f>
        <v>0</v>
      </c>
      <c r="IU204" s="204" t="n">
        <f aca="false">VLOOKUP($IK$1,'Datos Iniciales'!$E$34:$O$64,IU$158,FALSE())*IU106</f>
        <v>0</v>
      </c>
      <c r="IV204" s="201" t="str">
        <f aca="false">IK204</f>
        <v>Alumno45</v>
      </c>
      <c r="IW204" s="209" t="n">
        <f aca="false">VLOOKUP($IV$1,'Datos Iniciales'!$E$34:$O$64,IW$158,FALSE())*IW106</f>
        <v>0</v>
      </c>
      <c r="IX204" s="203" t="n">
        <f aca="false">VLOOKUP($IV$1,'Datos Iniciales'!$E$34:$O$64,IX$158,FALSE())*IX106</f>
        <v>0</v>
      </c>
      <c r="IY204" s="203" t="n">
        <f aca="false">VLOOKUP($IV$1,'Datos Iniciales'!$E$34:$O$64,IY$158,FALSE())*IY106</f>
        <v>0</v>
      </c>
      <c r="IZ204" s="203" t="n">
        <f aca="false">VLOOKUP($IV$1,'Datos Iniciales'!$E$34:$O$64,IZ$158,FALSE())*IZ106</f>
        <v>0</v>
      </c>
      <c r="JA204" s="203" t="n">
        <f aca="false">VLOOKUP($IV$1,'Datos Iniciales'!$E$34:$O$64,JA$158,FALSE())*JA106</f>
        <v>0</v>
      </c>
      <c r="JB204" s="203" t="n">
        <f aca="false">VLOOKUP($IV$1,'Datos Iniciales'!$E$34:$O$64,JB$158,FALSE())*JB106</f>
        <v>0</v>
      </c>
      <c r="JC204" s="203" t="n">
        <f aca="false">VLOOKUP($IV$1,'Datos Iniciales'!$E$34:$O$64,JC$158,FALSE())*JC106</f>
        <v>0</v>
      </c>
      <c r="JD204" s="203" t="n">
        <f aca="false">VLOOKUP($IV$1,'Datos Iniciales'!$E$34:$O$64,JD$158,FALSE())*JD106</f>
        <v>0</v>
      </c>
      <c r="JE204" s="203" t="n">
        <f aca="false">VLOOKUP($IV$1,'Datos Iniciales'!$E$34:$O$64,JE$158,FALSE())*JE106</f>
        <v>0</v>
      </c>
      <c r="JF204" s="204" t="n">
        <f aca="false">VLOOKUP($IV$1,'Datos Iniciales'!$E$34:$O$64,JF$158,FALSE())*JF106</f>
        <v>0</v>
      </c>
      <c r="JG204" s="201" t="str">
        <f aca="false">IV204</f>
        <v>Alumno45</v>
      </c>
      <c r="JH204" s="209" t="n">
        <f aca="false">VLOOKUP($JG$1,'Datos Iniciales'!$E$34:$O$64,JH$158,FALSE())*JH106</f>
        <v>0</v>
      </c>
      <c r="JI204" s="203" t="n">
        <f aca="false">VLOOKUP($JG$1,'Datos Iniciales'!$E$34:$O$64,JI$158,FALSE())*JI106</f>
        <v>0</v>
      </c>
      <c r="JJ204" s="203" t="n">
        <f aca="false">VLOOKUP($JG$1,'Datos Iniciales'!$E$34:$O$64,JJ$158,FALSE())*JJ106</f>
        <v>0</v>
      </c>
      <c r="JK204" s="203" t="n">
        <f aca="false">VLOOKUP($JG$1,'Datos Iniciales'!$E$34:$O$64,JK$158,FALSE())*JK106</f>
        <v>0</v>
      </c>
      <c r="JL204" s="203" t="n">
        <f aca="false">VLOOKUP($JG$1,'Datos Iniciales'!$E$34:$O$64,JL$158,FALSE())*JL106</f>
        <v>0</v>
      </c>
      <c r="JM204" s="203" t="n">
        <f aca="false">VLOOKUP($JG$1,'Datos Iniciales'!$E$34:$O$64,JM$158,FALSE())*JM106</f>
        <v>0</v>
      </c>
      <c r="JN204" s="203" t="n">
        <f aca="false">VLOOKUP($JG$1,'Datos Iniciales'!$E$34:$O$64,JN$158,FALSE())*JN106</f>
        <v>0</v>
      </c>
      <c r="JO204" s="203" t="n">
        <f aca="false">VLOOKUP($JG$1,'Datos Iniciales'!$E$34:$O$64,JO$158,FALSE())*JO106</f>
        <v>0</v>
      </c>
      <c r="JP204" s="203" t="n">
        <f aca="false">VLOOKUP($JG$1,'Datos Iniciales'!$E$34:$O$64,JP$158,FALSE())*JP106</f>
        <v>0</v>
      </c>
      <c r="JQ204" s="204" t="n">
        <f aca="false">VLOOKUP($JG$1,'Datos Iniciales'!$E$34:$O$64,JQ$158,FALSE())*JQ106</f>
        <v>0</v>
      </c>
      <c r="JR204" s="201" t="str">
        <f aca="false">JG204</f>
        <v>Alumno45</v>
      </c>
      <c r="JS204" s="209" t="n">
        <f aca="false">VLOOKUP($JR$1,'Datos Iniciales'!$E$34:$O$64,JS$158,FALSE())*JS106</f>
        <v>0</v>
      </c>
      <c r="JT204" s="203" t="n">
        <f aca="false">VLOOKUP($JR$1,'Datos Iniciales'!$E$34:$O$64,JT$158,FALSE())*JT106</f>
        <v>0</v>
      </c>
      <c r="JU204" s="203" t="n">
        <f aca="false">VLOOKUP($JR$1,'Datos Iniciales'!$E$34:$O$64,JU$158,FALSE())*JU106</f>
        <v>0</v>
      </c>
      <c r="JV204" s="203" t="n">
        <f aca="false">VLOOKUP($JR$1,'Datos Iniciales'!$E$34:$O$64,JV$158,FALSE())*JV106</f>
        <v>0</v>
      </c>
      <c r="JW204" s="203" t="n">
        <f aca="false">VLOOKUP($JR$1,'Datos Iniciales'!$E$34:$O$64,JW$158,FALSE())*JW106</f>
        <v>0</v>
      </c>
      <c r="JX204" s="203" t="n">
        <f aca="false">VLOOKUP($JR$1,'Datos Iniciales'!$E$34:$O$64,JX$158,FALSE())*JX106</f>
        <v>0</v>
      </c>
      <c r="JY204" s="203" t="n">
        <f aca="false">VLOOKUP($JR$1,'Datos Iniciales'!$E$34:$O$64,JY$158,FALSE())*JY106</f>
        <v>0</v>
      </c>
      <c r="JZ204" s="203" t="n">
        <f aca="false">VLOOKUP($JR$1,'Datos Iniciales'!$E$34:$O$64,JZ$158,FALSE())*JZ106</f>
        <v>0</v>
      </c>
      <c r="KA204" s="203" t="n">
        <f aca="false">VLOOKUP($JR$1,'Datos Iniciales'!$E$34:$O$64,KA$158,FALSE())*KA106</f>
        <v>0</v>
      </c>
      <c r="KB204" s="204" t="n">
        <f aca="false">VLOOKUP($JR$1,'Datos Iniciales'!$E$34:$O$64,KB$158,FALSE())*KB106</f>
        <v>0</v>
      </c>
      <c r="KC204" s="201" t="str">
        <f aca="false">JR204</f>
        <v>Alumno45</v>
      </c>
      <c r="KD204" s="209" t="n">
        <f aca="false">VLOOKUP($KC$1,'Datos Iniciales'!$E$34:$O$64,KD$158,FALSE())*KD106</f>
        <v>0</v>
      </c>
      <c r="KE204" s="203" t="n">
        <f aca="false">VLOOKUP($KC$1,'Datos Iniciales'!$E$34:$O$64,KE$158,FALSE())*KE106</f>
        <v>0</v>
      </c>
      <c r="KF204" s="203" t="n">
        <f aca="false">VLOOKUP($KC$1,'Datos Iniciales'!$E$34:$O$64,KF$158,FALSE())*KF106</f>
        <v>0</v>
      </c>
      <c r="KG204" s="203" t="n">
        <f aca="false">VLOOKUP($KC$1,'Datos Iniciales'!$E$34:$O$64,KG$158,FALSE())*KG106</f>
        <v>0</v>
      </c>
      <c r="KH204" s="203" t="n">
        <f aca="false">VLOOKUP($KC$1,'Datos Iniciales'!$E$34:$O$64,KH$158,FALSE())*KH106</f>
        <v>0</v>
      </c>
      <c r="KI204" s="203" t="n">
        <f aca="false">VLOOKUP($KC$1,'Datos Iniciales'!$E$34:$O$64,KI$158,FALSE())*KI106</f>
        <v>0</v>
      </c>
      <c r="KJ204" s="203" t="n">
        <f aca="false">VLOOKUP($KC$1,'Datos Iniciales'!$E$34:$O$64,KJ$158,FALSE())*KJ106</f>
        <v>0</v>
      </c>
      <c r="KK204" s="203" t="n">
        <f aca="false">VLOOKUP($KC$1,'Datos Iniciales'!$E$34:$O$64,KK$158,FALSE())*KK106</f>
        <v>0</v>
      </c>
      <c r="KL204" s="203" t="n">
        <f aca="false">VLOOKUP($KC$1,'Datos Iniciales'!$E$34:$O$64,KL$158,FALSE())*KL106</f>
        <v>0</v>
      </c>
      <c r="KM204" s="204" t="n">
        <f aca="false">VLOOKUP($KC$1,'Datos Iniciales'!$E$34:$O$64,KM$158,FALSE())*KM106</f>
        <v>0</v>
      </c>
      <c r="KN204" s="201" t="str">
        <f aca="false">KC204</f>
        <v>Alumno45</v>
      </c>
      <c r="KO204" s="209" t="n">
        <f aca="false">VLOOKUP($KN$1,'Datos Iniciales'!$E$34:$O$64,KO$158,FALSE())*KO106</f>
        <v>0</v>
      </c>
      <c r="KP204" s="203" t="n">
        <f aca="false">VLOOKUP($KN$1,'Datos Iniciales'!$E$34:$O$64,KP$158,FALSE())*KP106</f>
        <v>0</v>
      </c>
      <c r="KQ204" s="203" t="n">
        <f aca="false">VLOOKUP($KN$1,'Datos Iniciales'!$E$34:$O$64,KQ$158,FALSE())*KQ106</f>
        <v>0</v>
      </c>
      <c r="KR204" s="203" t="n">
        <f aca="false">VLOOKUP($KN$1,'Datos Iniciales'!$E$34:$O$64,KR$158,FALSE())*KR106</f>
        <v>0</v>
      </c>
      <c r="KS204" s="203" t="n">
        <f aca="false">VLOOKUP($KN$1,'Datos Iniciales'!$E$34:$O$64,KS$158,FALSE())*KS106</f>
        <v>0</v>
      </c>
      <c r="KT204" s="203" t="n">
        <f aca="false">VLOOKUP($KN$1,'Datos Iniciales'!$E$34:$O$64,KT$158,FALSE())*KT106</f>
        <v>0</v>
      </c>
      <c r="KU204" s="203" t="n">
        <f aca="false">VLOOKUP($KN$1,'Datos Iniciales'!$E$34:$O$64,KU$158,FALSE())*KU106</f>
        <v>0</v>
      </c>
      <c r="KV204" s="203" t="n">
        <f aca="false">VLOOKUP($KN$1,'Datos Iniciales'!$E$34:$O$64,KV$158,FALSE())*KV106</f>
        <v>0</v>
      </c>
      <c r="KW204" s="203" t="n">
        <f aca="false">VLOOKUP($KN$1,'Datos Iniciales'!$E$34:$O$64,KW$158,FALSE())*KW106</f>
        <v>0</v>
      </c>
      <c r="KX204" s="204" t="n">
        <f aca="false">VLOOKUP($KN$1,'Datos Iniciales'!$E$34:$O$64,KX$158,FALSE())*KX106</f>
        <v>0</v>
      </c>
      <c r="KY204" s="201" t="str">
        <f aca="false">KN204</f>
        <v>Alumno45</v>
      </c>
      <c r="KZ204" s="209" t="n">
        <f aca="false">VLOOKUP($KY$1,'Datos Iniciales'!$E$34:$O$64,KZ$158,FALSE())*KZ106</f>
        <v>0</v>
      </c>
      <c r="LA204" s="203" t="n">
        <f aca="false">VLOOKUP($KY$1,'Datos Iniciales'!$E$34:$O$64,LA$158,FALSE())*LA106</f>
        <v>0</v>
      </c>
      <c r="LB204" s="203" t="n">
        <f aca="false">VLOOKUP($KY$1,'Datos Iniciales'!$E$34:$O$64,LB$158,FALSE())*LB106</f>
        <v>0</v>
      </c>
      <c r="LC204" s="203" t="n">
        <f aca="false">VLOOKUP($KY$1,'Datos Iniciales'!$E$34:$O$64,LC$158,FALSE())*LC106</f>
        <v>0</v>
      </c>
      <c r="LD204" s="203" t="n">
        <f aca="false">VLOOKUP($KY$1,'Datos Iniciales'!$E$34:$O$64,LD$158,FALSE())*LD106</f>
        <v>0</v>
      </c>
      <c r="LE204" s="203" t="n">
        <f aca="false">VLOOKUP($KY$1,'Datos Iniciales'!$E$34:$O$64,LE$158,FALSE())*LE106</f>
        <v>0</v>
      </c>
      <c r="LF204" s="203" t="n">
        <f aca="false">VLOOKUP($KY$1,'Datos Iniciales'!$E$34:$O$64,LF$158,FALSE())*LF106</f>
        <v>0</v>
      </c>
      <c r="LG204" s="203" t="n">
        <f aca="false">VLOOKUP($KY$1,'Datos Iniciales'!$E$34:$O$64,LG$158,FALSE())*LG106</f>
        <v>0</v>
      </c>
      <c r="LH204" s="203" t="n">
        <f aca="false">VLOOKUP($KY$1,'Datos Iniciales'!$E$34:$O$64,LH$158,FALSE())*LH106</f>
        <v>0</v>
      </c>
      <c r="LI204" s="204" t="n">
        <f aca="false">VLOOKUP($KY$1,'Datos Iniciales'!$E$34:$O$64,LI$158,FALSE())*LI106</f>
        <v>0</v>
      </c>
      <c r="LJ204" s="201" t="str">
        <f aca="false">KY204</f>
        <v>Alumno45</v>
      </c>
      <c r="LK204" s="209" t="n">
        <f aca="false">VLOOKUP($LJ$1,'Datos Iniciales'!$E$34:$O$64,LK$158,FALSE())*LK106</f>
        <v>0</v>
      </c>
      <c r="LL204" s="203" t="n">
        <f aca="false">VLOOKUP($LJ$1,'Datos Iniciales'!$E$34:$O$64,LL$158,FALSE())*LL106</f>
        <v>0</v>
      </c>
      <c r="LM204" s="203" t="n">
        <f aca="false">VLOOKUP($LJ$1,'Datos Iniciales'!$E$34:$O$64,LM$158,FALSE())*LM106</f>
        <v>0</v>
      </c>
      <c r="LN204" s="203" t="n">
        <f aca="false">VLOOKUP($LJ$1,'Datos Iniciales'!$E$34:$O$64,LN$158,FALSE())*LN106</f>
        <v>0</v>
      </c>
      <c r="LO204" s="203" t="n">
        <f aca="false">VLOOKUP($LJ$1,'Datos Iniciales'!$E$34:$O$64,LO$158,FALSE())*LO106</f>
        <v>0</v>
      </c>
      <c r="LP204" s="203" t="n">
        <f aca="false">VLOOKUP($LJ$1,'Datos Iniciales'!$E$34:$O$64,LP$158,FALSE())*LP106</f>
        <v>0</v>
      </c>
      <c r="LQ204" s="203" t="n">
        <f aca="false">VLOOKUP($LJ$1,'Datos Iniciales'!$E$34:$O$64,LQ$158,FALSE())*LQ106</f>
        <v>0</v>
      </c>
      <c r="LR204" s="203" t="n">
        <f aca="false">VLOOKUP($LJ$1,'Datos Iniciales'!$E$34:$O$64,LR$158,FALSE())*LR106</f>
        <v>0</v>
      </c>
      <c r="LS204" s="203" t="n">
        <f aca="false">VLOOKUP($LJ$1,'Datos Iniciales'!$E$34:$O$64,LS$158,FALSE())*LS106</f>
        <v>0</v>
      </c>
      <c r="LT204" s="204" t="n">
        <f aca="false">VLOOKUP($LJ$1,'Datos Iniciales'!$E$34:$O$64,LT$158,FALSE())*LT106</f>
        <v>0</v>
      </c>
    </row>
    <row r="205" customFormat="false" ht="15" hidden="true" customHeight="false" outlineLevel="0" collapsed="false"/>
    <row r="206" customFormat="false" ht="15" hidden="true" customHeight="false" outlineLevel="0" collapsed="false"/>
    <row r="207" customFormat="false" ht="15" hidden="true" customHeight="false" outlineLevel="0" collapsed="false"/>
  </sheetData>
  <sheetProtection algorithmName="SHA-512" hashValue="X9M6P5PxZW9Qpor+P8gZSOzRTHMJsGYkrCoPOoNOjSKRiPuFD6ZXiJVZQsm7r/O/8mggFfKaaFQad/cZ0lAW1Q==" saltValue="7rKC+Hmrmm6X1L6TPOzI0w==" spinCount="100000" sheet="true" objects="true" scenarios="true"/>
  <mergeCells count="4">
    <mergeCell ref="D51:M51"/>
    <mergeCell ref="O51:X51"/>
    <mergeCell ref="D52:M52"/>
    <mergeCell ref="O52:X52"/>
  </mergeCells>
  <conditionalFormatting sqref="LK2">
    <cfRule type="cellIs" priority="2" operator="notEqual" aboveAverage="0" equalAverage="0" bottom="0" percent="0" rank="0" text="" dxfId="406">
      <formula>1</formula>
    </cfRule>
  </conditionalFormatting>
  <conditionalFormatting sqref="KZ2">
    <cfRule type="cellIs" priority="3" operator="notEqual" aboveAverage="0" equalAverage="0" bottom="0" percent="0" rank="0" text="" dxfId="407">
      <formula>1</formula>
    </cfRule>
  </conditionalFormatting>
  <conditionalFormatting sqref="KO2">
    <cfRule type="cellIs" priority="4" operator="notEqual" aboveAverage="0" equalAverage="0" bottom="0" percent="0" rank="0" text="" dxfId="408">
      <formula>1</formula>
    </cfRule>
  </conditionalFormatting>
  <conditionalFormatting sqref="KD2">
    <cfRule type="cellIs" priority="5" operator="notEqual" aboveAverage="0" equalAverage="0" bottom="0" percent="0" rank="0" text="" dxfId="409">
      <formula>1</formula>
    </cfRule>
  </conditionalFormatting>
  <conditionalFormatting sqref="JS2">
    <cfRule type="cellIs" priority="6" operator="notEqual" aboveAverage="0" equalAverage="0" bottom="0" percent="0" rank="0" text="" dxfId="410">
      <formula>1</formula>
    </cfRule>
  </conditionalFormatting>
  <conditionalFormatting sqref="JH2">
    <cfRule type="cellIs" priority="7" operator="notEqual" aboveAverage="0" equalAverage="0" bottom="0" percent="0" rank="0" text="" dxfId="411">
      <formula>1</formula>
    </cfRule>
  </conditionalFormatting>
  <conditionalFormatting sqref="IW2">
    <cfRule type="cellIs" priority="8" operator="notEqual" aboveAverage="0" equalAverage="0" bottom="0" percent="0" rank="0" text="" dxfId="412">
      <formula>1</formula>
    </cfRule>
  </conditionalFormatting>
  <conditionalFormatting sqref="IL2">
    <cfRule type="cellIs" priority="9" operator="notEqual" aboveAverage="0" equalAverage="0" bottom="0" percent="0" rank="0" text="" dxfId="413">
      <formula>1</formula>
    </cfRule>
  </conditionalFormatting>
  <conditionalFormatting sqref="IA2">
    <cfRule type="cellIs" priority="10" operator="notEqual" aboveAverage="0" equalAverage="0" bottom="0" percent="0" rank="0" text="" dxfId="414">
      <formula>1</formula>
    </cfRule>
  </conditionalFormatting>
  <conditionalFormatting sqref="HP2">
    <cfRule type="cellIs" priority="11" operator="notEqual" aboveAverage="0" equalAverage="0" bottom="0" percent="0" rank="0" text="" dxfId="415">
      <formula>1</formula>
    </cfRule>
  </conditionalFormatting>
  <conditionalFormatting sqref="HE2">
    <cfRule type="cellIs" priority="12" operator="notEqual" aboveAverage="0" equalAverage="0" bottom="0" percent="0" rank="0" text="" dxfId="416">
      <formula>1</formula>
    </cfRule>
  </conditionalFormatting>
  <conditionalFormatting sqref="GT2">
    <cfRule type="cellIs" priority="13" operator="notEqual" aboveAverage="0" equalAverage="0" bottom="0" percent="0" rank="0" text="" dxfId="417">
      <formula>1</formula>
    </cfRule>
  </conditionalFormatting>
  <conditionalFormatting sqref="GI2">
    <cfRule type="cellIs" priority="14" operator="notEqual" aboveAverage="0" equalAverage="0" bottom="0" percent="0" rank="0" text="" dxfId="418">
      <formula>1</formula>
    </cfRule>
  </conditionalFormatting>
  <conditionalFormatting sqref="FX2">
    <cfRule type="cellIs" priority="15" operator="notEqual" aboveAverage="0" equalAverage="0" bottom="0" percent="0" rank="0" text="" dxfId="419">
      <formula>1</formula>
    </cfRule>
  </conditionalFormatting>
  <conditionalFormatting sqref="FM2">
    <cfRule type="cellIs" priority="16" operator="notEqual" aboveAverage="0" equalAverage="0" bottom="0" percent="0" rank="0" text="" dxfId="420">
      <formula>1</formula>
    </cfRule>
  </conditionalFormatting>
  <conditionalFormatting sqref="FB2">
    <cfRule type="cellIs" priority="17" operator="notEqual" aboveAverage="0" equalAverage="0" bottom="0" percent="0" rank="0" text="" dxfId="421">
      <formula>1</formula>
    </cfRule>
  </conditionalFormatting>
  <conditionalFormatting sqref="EQ2">
    <cfRule type="cellIs" priority="18" operator="notEqual" aboveAverage="0" equalAverage="0" bottom="0" percent="0" rank="0" text="" dxfId="422">
      <formula>1</formula>
    </cfRule>
  </conditionalFormatting>
  <conditionalFormatting sqref="EF2">
    <cfRule type="cellIs" priority="19" operator="notEqual" aboveAverage="0" equalAverage="0" bottom="0" percent="0" rank="0" text="" dxfId="423">
      <formula>1</formula>
    </cfRule>
  </conditionalFormatting>
  <conditionalFormatting sqref="DU2">
    <cfRule type="cellIs" priority="20" operator="notEqual" aboveAverage="0" equalAverage="0" bottom="0" percent="0" rank="0" text="" dxfId="424">
      <formula>1</formula>
    </cfRule>
  </conditionalFormatting>
  <conditionalFormatting sqref="DJ2">
    <cfRule type="cellIs" priority="21" operator="notEqual" aboveAverage="0" equalAverage="0" bottom="0" percent="0" rank="0" text="" dxfId="425">
      <formula>1</formula>
    </cfRule>
  </conditionalFormatting>
  <conditionalFormatting sqref="CY2">
    <cfRule type="cellIs" priority="22" operator="notEqual" aboveAverage="0" equalAverage="0" bottom="0" percent="0" rank="0" text="" dxfId="426">
      <formula>1</formula>
    </cfRule>
  </conditionalFormatting>
  <conditionalFormatting sqref="CN2">
    <cfRule type="cellIs" priority="23" operator="notEqual" aboveAverage="0" equalAverage="0" bottom="0" percent="0" rank="0" text="" dxfId="427">
      <formula>1</formula>
    </cfRule>
  </conditionalFormatting>
  <conditionalFormatting sqref="CC2">
    <cfRule type="cellIs" priority="24" operator="notEqual" aboveAverage="0" equalAverage="0" bottom="0" percent="0" rank="0" text="" dxfId="428">
      <formula>1</formula>
    </cfRule>
  </conditionalFormatting>
  <conditionalFormatting sqref="BR2">
    <cfRule type="cellIs" priority="25" operator="notEqual" aboveAverage="0" equalAverage="0" bottom="0" percent="0" rank="0" text="" dxfId="429">
      <formula>1</formula>
    </cfRule>
  </conditionalFormatting>
  <conditionalFormatting sqref="BG2">
    <cfRule type="cellIs" priority="26" operator="notEqual" aboveAverage="0" equalAverage="0" bottom="0" percent="0" rank="0" text="" dxfId="430">
      <formula>1</formula>
    </cfRule>
  </conditionalFormatting>
  <conditionalFormatting sqref="AV2">
    <cfRule type="cellIs" priority="27" operator="notEqual" aboveAverage="0" equalAverage="0" bottom="0" percent="0" rank="0" text="" dxfId="431">
      <formula>1</formula>
    </cfRule>
  </conditionalFormatting>
  <conditionalFormatting sqref="AK2">
    <cfRule type="cellIs" priority="28" operator="notEqual" aboveAverage="0" equalAverage="0" bottom="0" percent="0" rank="0" text="" dxfId="432">
      <formula>1</formula>
    </cfRule>
  </conditionalFormatting>
  <conditionalFormatting sqref="Z2">
    <cfRule type="cellIs" priority="29" operator="notEqual" aboveAverage="0" equalAverage="0" bottom="0" percent="0" rank="0" text="" dxfId="433">
      <formula>1</formula>
    </cfRule>
  </conditionalFormatting>
  <conditionalFormatting sqref="O2">
    <cfRule type="cellIs" priority="30" operator="notEqual" aboveAverage="0" equalAverage="0" bottom="0" percent="0" rank="0" text="" dxfId="434">
      <formula>1</formula>
    </cfRule>
  </conditionalFormatting>
  <conditionalFormatting sqref="LW6:LW50">
    <cfRule type="cellIs" priority="31" operator="greaterThanOrEqual" aboveAverage="0" equalAverage="0" bottom="0" percent="0" rank="0" text="" dxfId="435">
      <formula>5</formula>
    </cfRule>
  </conditionalFormatting>
  <conditionalFormatting sqref="LW6:LW35">
    <cfRule type="cellIs" priority="32" operator="lessThan" aboveAverage="0" equalAverage="0" bottom="0" percent="0" rank="0" text="" dxfId="436">
      <formula>5</formula>
    </cfRule>
  </conditionalFormatting>
  <conditionalFormatting sqref="LJ6:LJ50">
    <cfRule type="cellIs" priority="33" operator="greaterThanOrEqual" aboveAverage="0" equalAverage="0" bottom="0" percent="0" rank="0" text="" dxfId="437">
      <formula>5</formula>
    </cfRule>
  </conditionalFormatting>
  <conditionalFormatting sqref="LJ6:LJ35">
    <cfRule type="cellIs" priority="34" operator="lessThan" aboveAverage="0" equalAverage="0" bottom="0" percent="0" rank="0" text="" dxfId="438">
      <formula>5</formula>
    </cfRule>
  </conditionalFormatting>
  <conditionalFormatting sqref="KY6:KY50">
    <cfRule type="cellIs" priority="35" operator="greaterThanOrEqual" aboveAverage="0" equalAverage="0" bottom="0" percent="0" rank="0" text="" dxfId="439">
      <formula>5</formula>
    </cfRule>
  </conditionalFormatting>
  <conditionalFormatting sqref="KY6:KY35">
    <cfRule type="cellIs" priority="36" operator="lessThan" aboveAverage="0" equalAverage="0" bottom="0" percent="0" rank="0" text="" dxfId="440">
      <formula>5</formula>
    </cfRule>
  </conditionalFormatting>
  <conditionalFormatting sqref="KN6:KN50">
    <cfRule type="cellIs" priority="37" operator="greaterThanOrEqual" aboveAverage="0" equalAverage="0" bottom="0" percent="0" rank="0" text="" dxfId="441">
      <formula>5</formula>
    </cfRule>
  </conditionalFormatting>
  <conditionalFormatting sqref="KN6:KN35">
    <cfRule type="cellIs" priority="38" operator="lessThan" aboveAverage="0" equalAverage="0" bottom="0" percent="0" rank="0" text="" dxfId="442">
      <formula>5</formula>
    </cfRule>
  </conditionalFormatting>
  <conditionalFormatting sqref="KC6:KC50">
    <cfRule type="cellIs" priority="39" operator="greaterThanOrEqual" aboveAverage="0" equalAverage="0" bottom="0" percent="0" rank="0" text="" dxfId="443">
      <formula>5</formula>
    </cfRule>
  </conditionalFormatting>
  <conditionalFormatting sqref="KC6:KC35">
    <cfRule type="cellIs" priority="40" operator="lessThan" aboveAverage="0" equalAverage="0" bottom="0" percent="0" rank="0" text="" dxfId="444">
      <formula>5</formula>
    </cfRule>
  </conditionalFormatting>
  <conditionalFormatting sqref="JR6:JR50">
    <cfRule type="cellIs" priority="41" operator="greaterThanOrEqual" aboveAverage="0" equalAverage="0" bottom="0" percent="0" rank="0" text="" dxfId="445">
      <formula>5</formula>
    </cfRule>
  </conditionalFormatting>
  <conditionalFormatting sqref="JR6:JR35">
    <cfRule type="cellIs" priority="42" operator="lessThan" aboveAverage="0" equalAverage="0" bottom="0" percent="0" rank="0" text="" dxfId="446">
      <formula>5</formula>
    </cfRule>
  </conditionalFormatting>
  <conditionalFormatting sqref="JG6:JG50">
    <cfRule type="cellIs" priority="43" operator="greaterThanOrEqual" aboveAverage="0" equalAverage="0" bottom="0" percent="0" rank="0" text="" dxfId="447">
      <formula>5</formula>
    </cfRule>
  </conditionalFormatting>
  <conditionalFormatting sqref="JG6:JG35">
    <cfRule type="cellIs" priority="44" operator="lessThan" aboveAverage="0" equalAverage="0" bottom="0" percent="0" rank="0" text="" dxfId="448">
      <formula>5</formula>
    </cfRule>
  </conditionalFormatting>
  <conditionalFormatting sqref="IV6:IV50">
    <cfRule type="cellIs" priority="45" operator="greaterThanOrEqual" aboveAverage="0" equalAverage="0" bottom="0" percent="0" rank="0" text="" dxfId="449">
      <formula>5</formula>
    </cfRule>
  </conditionalFormatting>
  <conditionalFormatting sqref="IV6:IV35">
    <cfRule type="cellIs" priority="46" operator="lessThan" aboveAverage="0" equalAverage="0" bottom="0" percent="0" rank="0" text="" dxfId="450">
      <formula>5</formula>
    </cfRule>
  </conditionalFormatting>
  <conditionalFormatting sqref="IK6:IK50">
    <cfRule type="cellIs" priority="47" operator="greaterThanOrEqual" aboveAverage="0" equalAverage="0" bottom="0" percent="0" rank="0" text="" dxfId="451">
      <formula>5</formula>
    </cfRule>
  </conditionalFormatting>
  <conditionalFormatting sqref="IK6:IK35">
    <cfRule type="cellIs" priority="48" operator="lessThan" aboveAverage="0" equalAverage="0" bottom="0" percent="0" rank="0" text="" dxfId="452">
      <formula>5</formula>
    </cfRule>
  </conditionalFormatting>
  <conditionalFormatting sqref="HZ6:HZ50">
    <cfRule type="cellIs" priority="49" operator="greaterThanOrEqual" aboveAverage="0" equalAverage="0" bottom="0" percent="0" rank="0" text="" dxfId="453">
      <formula>5</formula>
    </cfRule>
  </conditionalFormatting>
  <conditionalFormatting sqref="HZ6:HZ35">
    <cfRule type="cellIs" priority="50" operator="lessThan" aboveAverage="0" equalAverage="0" bottom="0" percent="0" rank="0" text="" dxfId="454">
      <formula>5</formula>
    </cfRule>
  </conditionalFormatting>
  <conditionalFormatting sqref="HO6:HO50">
    <cfRule type="cellIs" priority="51" operator="greaterThanOrEqual" aboveAverage="0" equalAverage="0" bottom="0" percent="0" rank="0" text="" dxfId="455">
      <formula>5</formula>
    </cfRule>
  </conditionalFormatting>
  <conditionalFormatting sqref="HO6:HO35">
    <cfRule type="cellIs" priority="52" operator="lessThan" aboveAverage="0" equalAverage="0" bottom="0" percent="0" rank="0" text="" dxfId="456">
      <formula>5</formula>
    </cfRule>
  </conditionalFormatting>
  <conditionalFormatting sqref="HD6:HD50">
    <cfRule type="cellIs" priority="53" operator="greaterThanOrEqual" aboveAverage="0" equalAverage="0" bottom="0" percent="0" rank="0" text="" dxfId="457">
      <formula>5</formula>
    </cfRule>
  </conditionalFormatting>
  <conditionalFormatting sqref="HD6:HD35">
    <cfRule type="cellIs" priority="54" operator="lessThan" aboveAverage="0" equalAverage="0" bottom="0" percent="0" rank="0" text="" dxfId="458">
      <formula>5</formula>
    </cfRule>
  </conditionalFormatting>
  <conditionalFormatting sqref="GS6:GS50">
    <cfRule type="cellIs" priority="55" operator="greaterThanOrEqual" aboveAverage="0" equalAverage="0" bottom="0" percent="0" rank="0" text="" dxfId="459">
      <formula>5</formula>
    </cfRule>
  </conditionalFormatting>
  <conditionalFormatting sqref="GS6:GS35">
    <cfRule type="cellIs" priority="56" operator="lessThan" aboveAverage="0" equalAverage="0" bottom="0" percent="0" rank="0" text="" dxfId="460">
      <formula>5</formula>
    </cfRule>
  </conditionalFormatting>
  <conditionalFormatting sqref="GH6:GH50">
    <cfRule type="cellIs" priority="57" operator="greaterThanOrEqual" aboveAverage="0" equalAverage="0" bottom="0" percent="0" rank="0" text="" dxfId="461">
      <formula>5</formula>
    </cfRule>
  </conditionalFormatting>
  <conditionalFormatting sqref="GH6:GH35">
    <cfRule type="cellIs" priority="58" operator="lessThan" aboveAverage="0" equalAverage="0" bottom="0" percent="0" rank="0" text="" dxfId="462">
      <formula>5</formula>
    </cfRule>
  </conditionalFormatting>
  <conditionalFormatting sqref="FW6:FW50">
    <cfRule type="cellIs" priority="59" operator="greaterThanOrEqual" aboveAverage="0" equalAverage="0" bottom="0" percent="0" rank="0" text="" dxfId="463">
      <formula>5</formula>
    </cfRule>
  </conditionalFormatting>
  <conditionalFormatting sqref="FW6:FW35">
    <cfRule type="cellIs" priority="60" operator="lessThan" aboveAverage="0" equalAverage="0" bottom="0" percent="0" rank="0" text="" dxfId="464">
      <formula>5</formula>
    </cfRule>
  </conditionalFormatting>
  <conditionalFormatting sqref="FL6:FL50">
    <cfRule type="cellIs" priority="61" operator="greaterThanOrEqual" aboveAverage="0" equalAverage="0" bottom="0" percent="0" rank="0" text="" dxfId="465">
      <formula>5</formula>
    </cfRule>
  </conditionalFormatting>
  <conditionalFormatting sqref="FL6:FL35">
    <cfRule type="cellIs" priority="62" operator="lessThan" aboveAverage="0" equalAverage="0" bottom="0" percent="0" rank="0" text="" dxfId="466">
      <formula>5</formula>
    </cfRule>
  </conditionalFormatting>
  <conditionalFormatting sqref="FA6:FA50">
    <cfRule type="cellIs" priority="63" operator="greaterThanOrEqual" aboveAverage="0" equalAverage="0" bottom="0" percent="0" rank="0" text="" dxfId="467">
      <formula>5</formula>
    </cfRule>
  </conditionalFormatting>
  <conditionalFormatting sqref="FA6:FA35">
    <cfRule type="cellIs" priority="64" operator="lessThan" aboveAverage="0" equalAverage="0" bottom="0" percent="0" rank="0" text="" dxfId="468">
      <formula>5</formula>
    </cfRule>
  </conditionalFormatting>
  <conditionalFormatting sqref="EP6:EP50">
    <cfRule type="cellIs" priority="65" operator="greaterThanOrEqual" aboveAverage="0" equalAverage="0" bottom="0" percent="0" rank="0" text="" dxfId="469">
      <formula>5</formula>
    </cfRule>
  </conditionalFormatting>
  <conditionalFormatting sqref="EP6:EP35">
    <cfRule type="cellIs" priority="66" operator="lessThan" aboveAverage="0" equalAverage="0" bottom="0" percent="0" rank="0" text="" dxfId="470">
      <formula>5</formula>
    </cfRule>
  </conditionalFormatting>
  <conditionalFormatting sqref="EE6:EE50">
    <cfRule type="cellIs" priority="67" operator="greaterThanOrEqual" aboveAverage="0" equalAverage="0" bottom="0" percent="0" rank="0" text="" dxfId="471">
      <formula>5</formula>
    </cfRule>
  </conditionalFormatting>
  <conditionalFormatting sqref="EE6:EE35">
    <cfRule type="cellIs" priority="68" operator="lessThan" aboveAverage="0" equalAverage="0" bottom="0" percent="0" rank="0" text="" dxfId="472">
      <formula>5</formula>
    </cfRule>
  </conditionalFormatting>
  <conditionalFormatting sqref="DT6:DT50">
    <cfRule type="cellIs" priority="69" operator="greaterThanOrEqual" aboveAverage="0" equalAverage="0" bottom="0" percent="0" rank="0" text="" dxfId="473">
      <formula>5</formula>
    </cfRule>
  </conditionalFormatting>
  <conditionalFormatting sqref="DT6:DT35">
    <cfRule type="cellIs" priority="70" operator="lessThan" aboveAverage="0" equalAverage="0" bottom="0" percent="0" rank="0" text="" dxfId="474">
      <formula>5</formula>
    </cfRule>
  </conditionalFormatting>
  <conditionalFormatting sqref="DI6:DI50">
    <cfRule type="cellIs" priority="71" operator="greaterThanOrEqual" aboveAverage="0" equalAverage="0" bottom="0" percent="0" rank="0" text="" dxfId="475">
      <formula>5</formula>
    </cfRule>
  </conditionalFormatting>
  <conditionalFormatting sqref="DI6:DI35">
    <cfRule type="cellIs" priority="72" operator="lessThan" aboveAverage="0" equalAverage="0" bottom="0" percent="0" rank="0" text="" dxfId="476">
      <formula>5</formula>
    </cfRule>
  </conditionalFormatting>
  <conditionalFormatting sqref="CX6:CX50">
    <cfRule type="cellIs" priority="73" operator="greaterThanOrEqual" aboveAverage="0" equalAverage="0" bottom="0" percent="0" rank="0" text="" dxfId="477">
      <formula>5</formula>
    </cfRule>
  </conditionalFormatting>
  <conditionalFormatting sqref="CX6:CX35">
    <cfRule type="cellIs" priority="74" operator="lessThan" aboveAverage="0" equalAverage="0" bottom="0" percent="0" rank="0" text="" dxfId="478">
      <formula>5</formula>
    </cfRule>
  </conditionalFormatting>
  <conditionalFormatting sqref="CM6:CM50">
    <cfRule type="cellIs" priority="75" operator="greaterThanOrEqual" aboveAverage="0" equalAverage="0" bottom="0" percent="0" rank="0" text="" dxfId="479">
      <formula>5</formula>
    </cfRule>
  </conditionalFormatting>
  <conditionalFormatting sqref="CM6:CM35">
    <cfRule type="cellIs" priority="76" operator="lessThan" aboveAverage="0" equalAverage="0" bottom="0" percent="0" rank="0" text="" dxfId="480">
      <formula>5</formula>
    </cfRule>
  </conditionalFormatting>
  <conditionalFormatting sqref="CB6:CB50">
    <cfRule type="cellIs" priority="77" operator="greaterThanOrEqual" aboveAverage="0" equalAverage="0" bottom="0" percent="0" rank="0" text="" dxfId="481">
      <formula>5</formula>
    </cfRule>
  </conditionalFormatting>
  <conditionalFormatting sqref="CB6:CB35">
    <cfRule type="cellIs" priority="78" operator="lessThan" aboveAverage="0" equalAverage="0" bottom="0" percent="0" rank="0" text="" dxfId="482">
      <formula>5</formula>
    </cfRule>
  </conditionalFormatting>
  <conditionalFormatting sqref="BQ6:BQ50">
    <cfRule type="cellIs" priority="79" operator="greaterThanOrEqual" aboveAverage="0" equalAverage="0" bottom="0" percent="0" rank="0" text="" dxfId="483">
      <formula>5</formula>
    </cfRule>
  </conditionalFormatting>
  <conditionalFormatting sqref="BQ6:BQ35">
    <cfRule type="cellIs" priority="80" operator="lessThan" aboveAverage="0" equalAverage="0" bottom="0" percent="0" rank="0" text="" dxfId="484">
      <formula>5</formula>
    </cfRule>
  </conditionalFormatting>
  <conditionalFormatting sqref="BF6:BF50">
    <cfRule type="cellIs" priority="81" operator="greaterThanOrEqual" aboveAverage="0" equalAverage="0" bottom="0" percent="0" rank="0" text="" dxfId="485">
      <formula>5</formula>
    </cfRule>
  </conditionalFormatting>
  <conditionalFormatting sqref="BF6:BF35">
    <cfRule type="cellIs" priority="82" operator="lessThan" aboveAverage="0" equalAverage="0" bottom="0" percent="0" rank="0" text="" dxfId="486">
      <formula>5</formula>
    </cfRule>
  </conditionalFormatting>
  <conditionalFormatting sqref="AU6:AU50">
    <cfRule type="cellIs" priority="83" operator="greaterThanOrEqual" aboveAverage="0" equalAverage="0" bottom="0" percent="0" rank="0" text="" dxfId="487">
      <formula>5</formula>
    </cfRule>
  </conditionalFormatting>
  <conditionalFormatting sqref="AU6:AU35">
    <cfRule type="cellIs" priority="84" operator="lessThan" aboveAverage="0" equalAverage="0" bottom="0" percent="0" rank="0" text="" dxfId="488">
      <formula>5</formula>
    </cfRule>
  </conditionalFormatting>
  <conditionalFormatting sqref="AJ6:AJ50">
    <cfRule type="cellIs" priority="85" operator="greaterThanOrEqual" aboveAverage="0" equalAverage="0" bottom="0" percent="0" rank="0" text="" dxfId="489">
      <formula>5</formula>
    </cfRule>
  </conditionalFormatting>
  <conditionalFormatting sqref="AJ6:AJ35">
    <cfRule type="cellIs" priority="86" operator="lessThan" aboveAverage="0" equalAverage="0" bottom="0" percent="0" rank="0" text="" dxfId="490">
      <formula>5</formula>
    </cfRule>
  </conditionalFormatting>
  <conditionalFormatting sqref="Y6:Y50">
    <cfRule type="cellIs" priority="87" operator="greaterThanOrEqual" aboveAverage="0" equalAverage="0" bottom="0" percent="0" rank="0" text="" dxfId="491">
      <formula>5</formula>
    </cfRule>
  </conditionalFormatting>
  <conditionalFormatting sqref="Y6:Y35">
    <cfRule type="cellIs" priority="88" operator="lessThan" aboveAverage="0" equalAverage="0" bottom="0" percent="0" rank="0" text="" dxfId="492">
      <formula>5</formula>
    </cfRule>
  </conditionalFormatting>
  <conditionalFormatting sqref="N6:N50">
    <cfRule type="cellIs" priority="89" operator="greaterThanOrEqual" aboveAverage="0" equalAverage="0" bottom="0" percent="0" rank="0" text="" dxfId="493">
      <formula>5</formula>
    </cfRule>
  </conditionalFormatting>
  <conditionalFormatting sqref="N6:N35">
    <cfRule type="cellIs" priority="90" operator="lessThan" aboveAverage="0" equalAverage="0" bottom="0" percent="0" rank="0" text="" dxfId="494">
      <formula>5</formula>
    </cfRule>
  </conditionalFormatting>
  <conditionalFormatting sqref="C6:C50">
    <cfRule type="cellIs" priority="91" operator="greaterThanOrEqual" aboveAverage="0" equalAverage="0" bottom="0" percent="0" rank="0" text="" dxfId="495">
      <formula>5</formula>
    </cfRule>
  </conditionalFormatting>
  <conditionalFormatting sqref="C6:C35">
    <cfRule type="cellIs" priority="92" operator="lessThan" aboveAverage="0" equalAverage="0" bottom="0" percent="0" rank="0" text="" dxfId="496">
      <formula>5</formula>
    </cfRule>
  </conditionalFormatting>
  <conditionalFormatting sqref="D2">
    <cfRule type="cellIs" priority="93" operator="notEqual" aboveAverage="0" equalAverage="0" bottom="0" percent="0" rank="0" text="" dxfId="497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defaultColWidth="7.5703125" defaultRowHeight="15" zeroHeight="false" outlineLevelRow="0" outlineLevelCol="0"/>
  <cols>
    <col collapsed="false" customWidth="true" hidden="false" outlineLevel="0" max="2" min="2" style="0" width="27.29"/>
    <col collapsed="false" customWidth="true" hidden="false" outlineLevel="0" max="5" min="5" style="0" width="8.86"/>
    <col collapsed="false" customWidth="true" hidden="false" outlineLevel="0" max="7" min="6" style="0" width="8.71"/>
    <col collapsed="false" customWidth="true" hidden="false" outlineLevel="0" max="8" min="8" style="0" width="8.29"/>
    <col collapsed="false" customWidth="true" hidden="false" outlineLevel="0" max="15" min="9" style="0" width="7.42"/>
    <col collapsed="false" customWidth="true" hidden="false" outlineLevel="0" max="20" min="20" style="0" width="9"/>
    <col collapsed="false" customWidth="true" hidden="false" outlineLevel="0" max="24" min="21" style="0" width="10.71"/>
    <col collapsed="false" customWidth="true" hidden="false" outlineLevel="0" max="30" min="25" style="0" width="7.42"/>
    <col collapsed="false" customWidth="true" hidden="false" outlineLevel="0" max="35" min="35" style="0" width="8.57"/>
    <col collapsed="false" customWidth="true" hidden="false" outlineLevel="0" max="37" min="36" style="0" width="8.71"/>
    <col collapsed="false" customWidth="true" hidden="false" outlineLevel="0" max="38" min="38" style="0" width="8.29"/>
    <col collapsed="false" customWidth="true" hidden="false" outlineLevel="0" max="52" min="51" style="0" width="8.71"/>
    <col collapsed="false" customWidth="true" hidden="false" outlineLevel="0" max="53" min="53" style="0" width="8.29"/>
    <col collapsed="false" customWidth="true" hidden="false" outlineLevel="0" max="60" min="54" style="0" width="7.42"/>
  </cols>
  <sheetData>
    <row r="1" customFormat="false" ht="15" hidden="false" customHeight="false" outlineLevel="0" collapsed="false">
      <c r="A1" s="210"/>
      <c r="B1" s="211"/>
      <c r="C1" s="212"/>
      <c r="D1" s="213"/>
      <c r="E1" s="214"/>
      <c r="F1" s="215" t="s">
        <v>163</v>
      </c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21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</row>
    <row r="2" customFormat="false" ht="15.75" hidden="false" customHeight="false" outlineLevel="0" collapsed="false">
      <c r="A2" s="210"/>
      <c r="B2" s="211"/>
      <c r="C2" s="3"/>
      <c r="D2" s="15"/>
      <c r="E2" s="214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21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</row>
    <row r="3" customFormat="false" ht="15.75" hidden="false" customHeight="false" outlineLevel="0" collapsed="false">
      <c r="A3" s="217"/>
      <c r="B3" s="218"/>
      <c r="C3" s="219" t="s">
        <v>164</v>
      </c>
      <c r="D3" s="219"/>
      <c r="E3" s="219"/>
      <c r="F3" s="16" t="s">
        <v>165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220"/>
      <c r="R3" s="16" t="s">
        <v>166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220"/>
      <c r="AG3" s="16" t="s">
        <v>167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220"/>
      <c r="AV3" s="16" t="s">
        <v>168</v>
      </c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220"/>
    </row>
    <row r="4" customFormat="false" ht="139.5" hidden="false" customHeight="true" outlineLevel="0" collapsed="false">
      <c r="A4" s="12" t="s">
        <v>15</v>
      </c>
      <c r="B4" s="13" t="s">
        <v>16</v>
      </c>
      <c r="C4" s="221" t="s">
        <v>157</v>
      </c>
      <c r="D4" s="222" t="s">
        <v>169</v>
      </c>
      <c r="E4" s="223" t="s">
        <v>170</v>
      </c>
      <c r="F4" s="224" t="s">
        <v>17</v>
      </c>
      <c r="G4" s="225" t="s">
        <v>21</v>
      </c>
      <c r="H4" s="225" t="s">
        <v>25</v>
      </c>
      <c r="I4" s="225" t="s">
        <v>29</v>
      </c>
      <c r="J4" s="225" t="s">
        <v>33</v>
      </c>
      <c r="K4" s="225" t="s">
        <v>36</v>
      </c>
      <c r="L4" s="225" t="s">
        <v>39</v>
      </c>
      <c r="M4" s="225" t="s">
        <v>42</v>
      </c>
      <c r="N4" s="225" t="s">
        <v>45</v>
      </c>
      <c r="O4" s="226" t="s">
        <v>48</v>
      </c>
      <c r="P4" s="227" t="s">
        <v>171</v>
      </c>
      <c r="Q4" s="228"/>
      <c r="R4" s="221" t="s">
        <v>172</v>
      </c>
      <c r="S4" s="222" t="s">
        <v>169</v>
      </c>
      <c r="T4" s="223" t="s">
        <v>173</v>
      </c>
      <c r="U4" s="224" t="str">
        <f aca="false">F$4</f>
        <v>RA1</v>
      </c>
      <c r="V4" s="225" t="str">
        <f aca="false">G$4</f>
        <v>RA2</v>
      </c>
      <c r="W4" s="225" t="str">
        <f aca="false">H$4</f>
        <v>RA3</v>
      </c>
      <c r="X4" s="225" t="str">
        <f aca="false">I$4</f>
        <v>RA4</v>
      </c>
      <c r="Y4" s="225" t="str">
        <f aca="false">J$4</f>
        <v>RA5</v>
      </c>
      <c r="Z4" s="225" t="str">
        <f aca="false">K$4</f>
        <v>RA6</v>
      </c>
      <c r="AA4" s="225" t="str">
        <f aca="false">L$4</f>
        <v>RA7</v>
      </c>
      <c r="AB4" s="225" t="str">
        <f aca="false">M$4</f>
        <v>RA8</v>
      </c>
      <c r="AC4" s="225" t="str">
        <f aca="false">N$4</f>
        <v>RA9</v>
      </c>
      <c r="AD4" s="226" t="str">
        <f aca="false">O$4</f>
        <v>RA10</v>
      </c>
      <c r="AE4" s="229" t="s">
        <v>171</v>
      </c>
      <c r="AF4" s="228"/>
      <c r="AG4" s="221" t="s">
        <v>174</v>
      </c>
      <c r="AH4" s="222" t="s">
        <v>169</v>
      </c>
      <c r="AI4" s="223" t="s">
        <v>175</v>
      </c>
      <c r="AJ4" s="230" t="str">
        <f aca="false">F$4</f>
        <v>RA1</v>
      </c>
      <c r="AK4" s="229" t="str">
        <f aca="false">G$4</f>
        <v>RA2</v>
      </c>
      <c r="AL4" s="229" t="str">
        <f aca="false">H$4</f>
        <v>RA3</v>
      </c>
      <c r="AM4" s="229" t="str">
        <f aca="false">I$4</f>
        <v>RA4</v>
      </c>
      <c r="AN4" s="229" t="str">
        <f aca="false">J$4</f>
        <v>RA5</v>
      </c>
      <c r="AO4" s="229" t="str">
        <f aca="false">K$4</f>
        <v>RA6</v>
      </c>
      <c r="AP4" s="229" t="str">
        <f aca="false">L$4</f>
        <v>RA7</v>
      </c>
      <c r="AQ4" s="229" t="str">
        <f aca="false">M$4</f>
        <v>RA8</v>
      </c>
      <c r="AR4" s="229" t="str">
        <f aca="false">N$4</f>
        <v>RA9</v>
      </c>
      <c r="AS4" s="227" t="str">
        <f aca="false">O$4</f>
        <v>RA10</v>
      </c>
      <c r="AT4" s="229" t="s">
        <v>171</v>
      </c>
      <c r="AU4" s="228"/>
      <c r="AV4" s="231" t="s">
        <v>176</v>
      </c>
      <c r="AW4" s="222" t="s">
        <v>169</v>
      </c>
      <c r="AX4" s="232" t="s">
        <v>177</v>
      </c>
      <c r="AY4" s="230" t="str">
        <f aca="false">F$4</f>
        <v>RA1</v>
      </c>
      <c r="AZ4" s="233" t="str">
        <f aca="false">G$4</f>
        <v>RA2</v>
      </c>
      <c r="BA4" s="233" t="str">
        <f aca="false">H$4</f>
        <v>RA3</v>
      </c>
      <c r="BB4" s="233" t="str">
        <f aca="false">I$4</f>
        <v>RA4</v>
      </c>
      <c r="BC4" s="233" t="str">
        <f aca="false">J$4</f>
        <v>RA5</v>
      </c>
      <c r="BD4" s="233" t="str">
        <f aca="false">K$4</f>
        <v>RA6</v>
      </c>
      <c r="BE4" s="233" t="str">
        <f aca="false">L$4</f>
        <v>RA7</v>
      </c>
      <c r="BF4" s="233" t="str">
        <f aca="false">M$4</f>
        <v>RA8</v>
      </c>
      <c r="BG4" s="233" t="str">
        <f aca="false">N$4</f>
        <v>RA9</v>
      </c>
      <c r="BH4" s="234" t="str">
        <f aca="false">O$4</f>
        <v>RA10</v>
      </c>
      <c r="BI4" s="229" t="s">
        <v>171</v>
      </c>
      <c r="BJ4" s="228"/>
    </row>
    <row r="5" customFormat="false" ht="13.8" hidden="false" customHeight="false" outlineLevel="0" collapsed="false">
      <c r="A5" s="20" t="n">
        <v>1</v>
      </c>
      <c r="B5" s="141" t="str">
        <f aca="false">'Datos Iniciales'!T9</f>
        <v>Alumno1</v>
      </c>
      <c r="C5" s="235" t="n">
        <f aca="false">SUMPRODUCT(F5:O5,F$50:O$50)</f>
        <v>6.55775</v>
      </c>
      <c r="D5" s="236"/>
      <c r="E5" s="237" t="n">
        <f aca="false">IF(C5&lt;1,1,IF(AND(C5&lt;5,P5&gt;0),TRUNC(C5,0),IF(AND(C5&gt;5,P5&gt;0),4,ROUND(C5,0))))</f>
        <v>7</v>
      </c>
      <c r="F5" s="238" t="n">
        <f aca="false">IF(F$50&gt;0,Actividades!LX6,"N/A")</f>
        <v>6.825</v>
      </c>
      <c r="G5" s="239" t="n">
        <f aca="false">IF(G$50&gt;0,Actividades!LY6,"N/A")</f>
        <v>6.55</v>
      </c>
      <c r="H5" s="239" t="n">
        <f aca="false">IF(H$50&gt;0,Actividades!LZ6,"N/A")</f>
        <v>6.385</v>
      </c>
      <c r="I5" s="239" t="n">
        <f aca="false">IF(I$50&gt;0,Actividades!MA6,"N/A")</f>
        <v>6.1</v>
      </c>
      <c r="J5" s="239" t="str">
        <f aca="false">IF(J$50&gt;0,Actividades!MB6,"N/A")</f>
        <v>N/A</v>
      </c>
      <c r="K5" s="239" t="str">
        <f aca="false">IF(K$50&gt;0,Actividades!MC6,"N/A")</f>
        <v>N/A</v>
      </c>
      <c r="L5" s="239" t="str">
        <f aca="false">IF(L$50&gt;0,Actividades!MD6,"N/A")</f>
        <v>N/A</v>
      </c>
      <c r="M5" s="239" t="str">
        <f aca="false">IF(M$50&gt;0,Actividades!ME6,"N/A")</f>
        <v>N/A</v>
      </c>
      <c r="N5" s="239" t="str">
        <f aca="false">IF(N$50&gt;0,Actividades!MF6,"N/A")</f>
        <v>N/A</v>
      </c>
      <c r="O5" s="240" t="str">
        <f aca="false">IF(O$50&gt;0,Actividades!MG6,"N/A")</f>
        <v>N/A</v>
      </c>
      <c r="P5" s="241" t="n">
        <f aca="false">COUNTIF(F5:O5,"&lt;5")</f>
        <v>0</v>
      </c>
      <c r="Q5" s="242"/>
      <c r="R5" s="243" t="n">
        <f aca="false">SUMPRODUCT(U5:AD5,U$51:AD$51)</f>
        <v>6.55775</v>
      </c>
      <c r="S5" s="236"/>
      <c r="T5" s="237" t="n">
        <f aca="false">IF(R5&lt;1,1,IF(AND(R5&lt;5,AE5&gt;0),TRUNC(R5,0),IF(AND(R5&gt;5,AE5&gt;0),4,ROUND(R5,0))))</f>
        <v>7</v>
      </c>
      <c r="U5" s="238" t="n">
        <f aca="false">IF(F$50&gt;0,IF(U$84=0,"N/A",(U87)/U$84),"N/A")</f>
        <v>6.825</v>
      </c>
      <c r="V5" s="239" t="n">
        <f aca="false">IF(G$50&gt;0,IF(V$84=0,"N/A",(V87)/V$84),"N/A")</f>
        <v>6.55</v>
      </c>
      <c r="W5" s="239" t="n">
        <f aca="false">IF(H$50&gt;0,IF(W$84=0,"N/A",(W87)/W$84),"N/A")</f>
        <v>6.385</v>
      </c>
      <c r="X5" s="239" t="n">
        <f aca="false">IF(I$50&gt;0,IF(X$84=0,"N/A",(X87)/X$84),"N/A")</f>
        <v>6.1</v>
      </c>
      <c r="Y5" s="239" t="str">
        <f aca="false">IF(J$50&gt;0,IF(Y$84=0,"N/A",(Y87)/Y$84),"N/A")</f>
        <v>N/A</v>
      </c>
      <c r="Z5" s="239" t="str">
        <f aca="false">IF(K$50&gt;0,IF(Z$84=0,"N/A",(Z87)/Z$84),"N/A")</f>
        <v>N/A</v>
      </c>
      <c r="AA5" s="239" t="str">
        <f aca="false">IF(L$50&gt;0,IF(AA$84=0,"N/A",(AA87)/AA$84),"N/A")</f>
        <v>N/A</v>
      </c>
      <c r="AB5" s="239" t="str">
        <f aca="false">IF(M$50&gt;0,IF(AB$84=0,"N/A",(AB87)/AB$84),"N/A")</f>
        <v>N/A</v>
      </c>
      <c r="AC5" s="239" t="str">
        <f aca="false">IF(N$50&gt;0,IF(AC$84=0,"N/A",(AC87)/AC$84),"N/A")</f>
        <v>N/A</v>
      </c>
      <c r="AD5" s="240" t="str">
        <f aca="false">IF(O$50&gt;0,IF(AD$84=0,"N/A",(AD87)/AD$84),"N/A")</f>
        <v>N/A</v>
      </c>
      <c r="AE5" s="244" t="n">
        <f aca="false">COUNTIF(U5:AD5,"&lt;5")</f>
        <v>0</v>
      </c>
      <c r="AF5" s="242"/>
      <c r="AG5" s="243" t="n">
        <f aca="false">SUMPRODUCT(AJ5:AS5,AJ$51:AS$51)</f>
        <v>0</v>
      </c>
      <c r="AH5" s="236"/>
      <c r="AI5" s="237" t="n">
        <f aca="false">IF(AG5&lt;1,1,IF(AND(AG5&lt;5,AT5&gt;0),TRUNC(AG5,0),IF(AND(AG5&gt;5,AT5&gt;0),4,ROUND(AG5,0))))</f>
        <v>1</v>
      </c>
      <c r="AJ5" s="238" t="str">
        <f aca="false">IF(F$50&gt;0,IF(AJ$84=0,"N/A",(AJ87)/AJ$84),"N/A")</f>
        <v>N/A</v>
      </c>
      <c r="AK5" s="239" t="str">
        <f aca="false">IF(G$50&gt;0,IF(AK$84=0,"N/A",(AK87)/AK$84),"N/A")</f>
        <v>N/A</v>
      </c>
      <c r="AL5" s="239" t="str">
        <f aca="false">IF(H$50&gt;0,IF(AL$84=0,"N/A",(AL87)/AL$84),"N/A")</f>
        <v>N/A</v>
      </c>
      <c r="AM5" s="239" t="str">
        <f aca="false">IF(I$50&gt;0,IF(AM$84=0,"N/A",(AM87)/AM$84),"N/A")</f>
        <v>N/A</v>
      </c>
      <c r="AN5" s="239" t="str">
        <f aca="false">IF(J$50&gt;0,IF(AN$84=0,"N/A",(AN87)/AN$84),"N/A")</f>
        <v>N/A</v>
      </c>
      <c r="AO5" s="239" t="str">
        <f aca="false">IF(K$50&gt;0,IF(AO$84=0,"N/A",(AO87)/AO$84),"N/A")</f>
        <v>N/A</v>
      </c>
      <c r="AP5" s="239" t="str">
        <f aca="false">IF(L$50&gt;0,IF(AP$84=0,"N/A",(AP87)/AP$84),"N/A")</f>
        <v>N/A</v>
      </c>
      <c r="AQ5" s="239" t="str">
        <f aca="false">IF(M$50&gt;0,IF(AQ$84=0,"N/A",(AQ87)/AQ$84),"N/A")</f>
        <v>N/A</v>
      </c>
      <c r="AR5" s="239" t="str">
        <f aca="false">IF(N$50&gt;0,IF(AR$84=0,"N/A",(AR87)/AR$84),"N/A")</f>
        <v>N/A</v>
      </c>
      <c r="AS5" s="240" t="str">
        <f aca="false">IF(O$50&gt;0,IF(AS$84=0,"N/A",(AS87)/AS$84),"N/A")</f>
        <v>N/A</v>
      </c>
      <c r="AT5" s="244" t="n">
        <f aca="false">COUNTIF(AJ5:AS5,"&lt;5")</f>
        <v>0</v>
      </c>
      <c r="AU5" s="242"/>
      <c r="AV5" s="243" t="n">
        <f aca="false">SUMPRODUCT(AY5:BH5,AY$51:BH$51)</f>
        <v>0</v>
      </c>
      <c r="AW5" s="236"/>
      <c r="AX5" s="237" t="n">
        <f aca="false">IF(AV5&lt;1,1,IF(AND(AV5&lt;5,BI5&gt;0),TRUNC(AV5,0),IF(AND(AV5&gt;5,BI5&gt;0),4,ROUND(AV5,0))))</f>
        <v>1</v>
      </c>
      <c r="AY5" s="238" t="str">
        <f aca="false">IF(F$50&gt;0,IF(AY$84=0,"N/A",(AY87)/AY$84),"N/A")</f>
        <v>N/A</v>
      </c>
      <c r="AZ5" s="239" t="str">
        <f aca="false">IF(G$50&gt;0,IF(AZ$84=0,"N/A",(AZ87)/AZ$84),"N/A")</f>
        <v>N/A</v>
      </c>
      <c r="BA5" s="239" t="str">
        <f aca="false">IF(H$50&gt;0,IF(BA$84=0,"N/A",(BA87)/BA$84),"N/A")</f>
        <v>N/A</v>
      </c>
      <c r="BB5" s="239" t="str">
        <f aca="false">IF(I$50&gt;0,IF(BB$84=0,"N/A",(BB87)/BB$84),"N/A")</f>
        <v>N/A</v>
      </c>
      <c r="BC5" s="239" t="str">
        <f aca="false">IF(J$50&gt;0,IF(BC$84=0,"N/A",(BC87)/BC$84),"N/A")</f>
        <v>N/A</v>
      </c>
      <c r="BD5" s="239" t="str">
        <f aca="false">IF(K$50&gt;0,IF(BD$84=0,"N/A",(BD87)/BD$84),"N/A")</f>
        <v>N/A</v>
      </c>
      <c r="BE5" s="239" t="str">
        <f aca="false">IF(L$50&gt;0,IF(BE$84=0,"N/A",(BE87)/BE$84),"N/A")</f>
        <v>N/A</v>
      </c>
      <c r="BF5" s="239" t="str">
        <f aca="false">IF(M$50&gt;0,IF(BF$84=0,"N/A",(BF87)/BF$84),"N/A")</f>
        <v>N/A</v>
      </c>
      <c r="BG5" s="239" t="str">
        <f aca="false">IF(N$50&gt;0,IF(BG$84=0,"N/A",(BG87)/BG$84),"N/A")</f>
        <v>N/A</v>
      </c>
      <c r="BH5" s="240" t="str">
        <f aca="false">IF(O$50&gt;0,IF(BH$84=0,"N/A",(BH87)/BH$84),"N/A")</f>
        <v>N/A</v>
      </c>
      <c r="BI5" s="244" t="n">
        <f aca="false">COUNTIF(AY5:BH5,"&lt;5")</f>
        <v>0</v>
      </c>
      <c r="BJ5" s="242"/>
    </row>
    <row r="6" customFormat="false" ht="13.8" hidden="false" customHeight="false" outlineLevel="0" collapsed="false">
      <c r="A6" s="29" t="n">
        <v>2</v>
      </c>
      <c r="B6" s="151" t="str">
        <f aca="false">'Datos Iniciales'!T10</f>
        <v>Alumno2</v>
      </c>
      <c r="C6" s="245" t="n">
        <f aca="false">SUMPRODUCT(F6:O6,F$50:O$50)</f>
        <v>4.87</v>
      </c>
      <c r="D6" s="246"/>
      <c r="E6" s="247" t="n">
        <f aca="false">IF(C6&lt;1,1,IF(AND(C6&lt;5,P6&gt;0),TRUNC(C6,0),IF(AND(C6&gt;5,P6&gt;0),4,ROUND(C6,0))))</f>
        <v>4</v>
      </c>
      <c r="F6" s="248" t="n">
        <f aca="false">IF(F$50&gt;0,Actividades!LX7,"N/A")</f>
        <v>5</v>
      </c>
      <c r="G6" s="249" t="n">
        <f aca="false">IF(G$50&gt;0,Actividades!LY7,"N/A")</f>
        <v>4.9</v>
      </c>
      <c r="H6" s="249" t="n">
        <f aca="false">IF(H$50&gt;0,Actividades!LZ7,"N/A")</f>
        <v>4.6</v>
      </c>
      <c r="I6" s="249" t="n">
        <f aca="false">IF(I$50&gt;0,Actividades!MA7,"N/A")</f>
        <v>4.8</v>
      </c>
      <c r="J6" s="249" t="str">
        <f aca="false">IF(J$50&gt;0,Actividades!MB7,"N/A")</f>
        <v>N/A</v>
      </c>
      <c r="K6" s="249" t="str">
        <f aca="false">IF(K$50&gt;0,Actividades!MC7,"N/A")</f>
        <v>N/A</v>
      </c>
      <c r="L6" s="249" t="str">
        <f aca="false">IF(L$50&gt;0,Actividades!MD7,"N/A")</f>
        <v>N/A</v>
      </c>
      <c r="M6" s="249" t="str">
        <f aca="false">IF(M$50&gt;0,Actividades!ME7,"N/A")</f>
        <v>N/A</v>
      </c>
      <c r="N6" s="249" t="str">
        <f aca="false">IF(N$50&gt;0,Actividades!MF7,"N/A")</f>
        <v>N/A</v>
      </c>
      <c r="O6" s="250" t="str">
        <f aca="false">IF(O$50&gt;0,Actividades!MG7,"N/A")</f>
        <v>N/A</v>
      </c>
      <c r="P6" s="251" t="n">
        <f aca="false">COUNTIF(F6:O6,"&lt;5")</f>
        <v>3</v>
      </c>
      <c r="Q6" s="242"/>
      <c r="R6" s="252" t="n">
        <f aca="false">SUMPRODUCT(U6:AD6,U$51:AD$51)</f>
        <v>4.87</v>
      </c>
      <c r="S6" s="246"/>
      <c r="T6" s="247" t="n">
        <f aca="false">IF(R6&lt;1,1,IF(AND(R6&lt;5,AE6&gt;0),TRUNC(R6,0),IF(AND(R6&gt;5,AE6&gt;0),4,ROUND(R6,0))))</f>
        <v>4</v>
      </c>
      <c r="U6" s="248" t="n">
        <f aca="false">IF(F$50&gt;0,IF(U$84=0,"N/A",(U88)/U$84),"N/A")</f>
        <v>5</v>
      </c>
      <c r="V6" s="249" t="n">
        <f aca="false">IF(G$50&gt;0,IF(V$84=0,"N/A",(V88)/V$84),"N/A")</f>
        <v>4.9</v>
      </c>
      <c r="W6" s="249" t="n">
        <f aca="false">IF(H$50&gt;0,IF(W$84=0,"N/A",(W88)/W$84),"N/A")</f>
        <v>4.6</v>
      </c>
      <c r="X6" s="249" t="n">
        <f aca="false">IF(I$50&gt;0,IF(X$84=0,"N/A",(X88)/X$84),"N/A")</f>
        <v>4.8</v>
      </c>
      <c r="Y6" s="249" t="str">
        <f aca="false">IF(J$50&gt;0,IF(Y$84=0,"N/A",(Y88)/Y$84),"N/A")</f>
        <v>N/A</v>
      </c>
      <c r="Z6" s="249" t="str">
        <f aca="false">IF(K$50&gt;0,IF(Z$84=0,"N/A",(Z88)/Z$84),"N/A")</f>
        <v>N/A</v>
      </c>
      <c r="AA6" s="249" t="str">
        <f aca="false">IF(L$50&gt;0,IF(AA$84=0,"N/A",(AA88)/AA$84),"N/A")</f>
        <v>N/A</v>
      </c>
      <c r="AB6" s="249" t="str">
        <f aca="false">IF(M$50&gt;0,IF(AB$84=0,"N/A",(AB88)/AB$84),"N/A")</f>
        <v>N/A</v>
      </c>
      <c r="AC6" s="249" t="str">
        <f aca="false">IF(N$50&gt;0,IF(AC$84=0,"N/A",(AC88)/AC$84),"N/A")</f>
        <v>N/A</v>
      </c>
      <c r="AD6" s="250" t="str">
        <f aca="false">IF(O$50&gt;0,IF(AD$84=0,"N/A",(AD88)/AD$84),"N/A")</f>
        <v>N/A</v>
      </c>
      <c r="AE6" s="253" t="n">
        <f aca="false">COUNTIF(U6:AD6,"&lt;5")</f>
        <v>3</v>
      </c>
      <c r="AF6" s="242"/>
      <c r="AG6" s="252" t="n">
        <f aca="false">SUMPRODUCT(AJ6:AS6,AJ$51:AS$51)</f>
        <v>0</v>
      </c>
      <c r="AH6" s="246"/>
      <c r="AI6" s="247" t="n">
        <f aca="false">IF(AG6&lt;1,1,IF(AND(AG6&lt;5,AT6&gt;0),TRUNC(AG6,0),IF(AND(AG6&gt;5,AT6&gt;0),4,ROUND(AG6,0))))</f>
        <v>1</v>
      </c>
      <c r="AJ6" s="248" t="str">
        <f aca="false">IF(F$50&gt;0,IF(AJ$84=0,"N/A",(AJ88)/AJ$84),"N/A")</f>
        <v>N/A</v>
      </c>
      <c r="AK6" s="249" t="str">
        <f aca="false">IF(G$50&gt;0,IF(AK$84=0,"N/A",(AK88)/AK$84),"N/A")</f>
        <v>N/A</v>
      </c>
      <c r="AL6" s="249" t="str">
        <f aca="false">IF(H$50&gt;0,IF(AL$84=0,"N/A",(AL88)/AL$84),"N/A")</f>
        <v>N/A</v>
      </c>
      <c r="AM6" s="249" t="str">
        <f aca="false">IF(I$50&gt;0,IF(AM$84=0,"N/A",(AM88)/AM$84),"N/A")</f>
        <v>N/A</v>
      </c>
      <c r="AN6" s="249" t="str">
        <f aca="false">IF(J$50&gt;0,IF(AN$84=0,"N/A",(AN88)/AN$84),"N/A")</f>
        <v>N/A</v>
      </c>
      <c r="AO6" s="249" t="str">
        <f aca="false">IF(K$50&gt;0,IF(AO$84=0,"N/A",(AO88)/AO$84),"N/A")</f>
        <v>N/A</v>
      </c>
      <c r="AP6" s="249" t="str">
        <f aca="false">IF(L$50&gt;0,IF(AP$84=0,"N/A",(AP88)/AP$84),"N/A")</f>
        <v>N/A</v>
      </c>
      <c r="AQ6" s="249" t="str">
        <f aca="false">IF(M$50&gt;0,IF(AQ$84=0,"N/A",(AQ88)/AQ$84),"N/A")</f>
        <v>N/A</v>
      </c>
      <c r="AR6" s="249" t="str">
        <f aca="false">IF(N$50&gt;0,IF(AR$84=0,"N/A",(AR88)/AR$84),"N/A")</f>
        <v>N/A</v>
      </c>
      <c r="AS6" s="250" t="str">
        <f aca="false">IF(O$50&gt;0,IF(AS$84=0,"N/A",(AS88)/AS$84),"N/A")</f>
        <v>N/A</v>
      </c>
      <c r="AT6" s="253" t="n">
        <f aca="false">COUNTIF(AJ6:AS6,"&lt;5")</f>
        <v>0</v>
      </c>
      <c r="AU6" s="242"/>
      <c r="AV6" s="252" t="n">
        <f aca="false">SUMPRODUCT(AY6:BH6,AY$51:BH$51)</f>
        <v>0</v>
      </c>
      <c r="AW6" s="246"/>
      <c r="AX6" s="247" t="n">
        <f aca="false">IF(AV6&lt;1,1,IF(AND(AV6&lt;5,BI6&gt;0),TRUNC(AV6,0),IF(AND(AV6&gt;5,BI6&gt;0),4,ROUND(AV6,0))))</f>
        <v>1</v>
      </c>
      <c r="AY6" s="248" t="str">
        <f aca="false">IF(F$50&gt;0,IF(AY$84=0,"N/A",(AY88)/AY$84),"N/A")</f>
        <v>N/A</v>
      </c>
      <c r="AZ6" s="249" t="str">
        <f aca="false">IF(G$50&gt;0,IF(AZ$84=0,"N/A",(AZ88)/AZ$84),"N/A")</f>
        <v>N/A</v>
      </c>
      <c r="BA6" s="249" t="str">
        <f aca="false">IF(H$50&gt;0,IF(BA$84=0,"N/A",(BA88)/BA$84),"N/A")</f>
        <v>N/A</v>
      </c>
      <c r="BB6" s="249" t="str">
        <f aca="false">IF(I$50&gt;0,IF(BB$84=0,"N/A",(BB88)/BB$84),"N/A")</f>
        <v>N/A</v>
      </c>
      <c r="BC6" s="249" t="str">
        <f aca="false">IF(J$50&gt;0,IF(BC$84=0,"N/A",(BC88)/BC$84),"N/A")</f>
        <v>N/A</v>
      </c>
      <c r="BD6" s="249" t="str">
        <f aca="false">IF(K$50&gt;0,IF(BD$84=0,"N/A",(BD88)/BD$84),"N/A")</f>
        <v>N/A</v>
      </c>
      <c r="BE6" s="249" t="str">
        <f aca="false">IF(L$50&gt;0,IF(BE$84=0,"N/A",(BE88)/BE$84),"N/A")</f>
        <v>N/A</v>
      </c>
      <c r="BF6" s="249" t="str">
        <f aca="false">IF(M$50&gt;0,IF(BF$84=0,"N/A",(BF88)/BF$84),"N/A")</f>
        <v>N/A</v>
      </c>
      <c r="BG6" s="249" t="str">
        <f aca="false">IF(N$50&gt;0,IF(BG$84=0,"N/A",(BG88)/BG$84),"N/A")</f>
        <v>N/A</v>
      </c>
      <c r="BH6" s="250" t="str">
        <f aca="false">IF(O$50&gt;0,IF(BH$84=0,"N/A",(BH88)/BH$84),"N/A")</f>
        <v>N/A</v>
      </c>
      <c r="BI6" s="253" t="n">
        <f aca="false">COUNTIF(AY6:BH6,"&lt;5")</f>
        <v>0</v>
      </c>
      <c r="BJ6" s="242"/>
    </row>
    <row r="7" customFormat="false" ht="13.8" hidden="false" customHeight="false" outlineLevel="0" collapsed="false">
      <c r="A7" s="29" t="n">
        <v>3</v>
      </c>
      <c r="B7" s="151" t="str">
        <f aca="false">'Datos Iniciales'!T11</f>
        <v>Alumno3</v>
      </c>
      <c r="C7" s="245" t="n">
        <f aca="false">SUMPRODUCT(F7:O7,F$50:O$50)</f>
        <v>5.24075</v>
      </c>
      <c r="D7" s="246"/>
      <c r="E7" s="247" t="n">
        <f aca="false">IF(C7&lt;1,1,IF(AND(C7&lt;5,P7&gt;0),TRUNC(C7,0),IF(AND(C7&gt;5,P7&gt;0),4,ROUND(C7,0))))</f>
        <v>4</v>
      </c>
      <c r="F7" s="248" t="n">
        <f aca="false">IF(F$50&gt;0,Actividades!LX8,"N/A")</f>
        <v>5.375</v>
      </c>
      <c r="G7" s="249" t="n">
        <f aca="false">IF(G$50&gt;0,Actividades!LY8,"N/A")</f>
        <v>5.15</v>
      </c>
      <c r="H7" s="249" t="n">
        <f aca="false">IF(H$50&gt;0,Actividades!LZ8,"N/A")</f>
        <v>4.825</v>
      </c>
      <c r="I7" s="249" t="n">
        <f aca="false">IF(I$50&gt;0,Actividades!MA8,"N/A")</f>
        <v>7.04</v>
      </c>
      <c r="J7" s="249" t="str">
        <f aca="false">IF(J$50&gt;0,Actividades!MB8,"N/A")</f>
        <v>N/A</v>
      </c>
      <c r="K7" s="249" t="str">
        <f aca="false">IF(K$50&gt;0,Actividades!MC8,"N/A")</f>
        <v>N/A</v>
      </c>
      <c r="L7" s="249" t="str">
        <f aca="false">IF(L$50&gt;0,Actividades!MD8,"N/A")</f>
        <v>N/A</v>
      </c>
      <c r="M7" s="249" t="str">
        <f aca="false">IF(M$50&gt;0,Actividades!ME8,"N/A")</f>
        <v>N/A</v>
      </c>
      <c r="N7" s="249" t="str">
        <f aca="false">IF(N$50&gt;0,Actividades!MF8,"N/A")</f>
        <v>N/A</v>
      </c>
      <c r="O7" s="250" t="str">
        <f aca="false">IF(O$50&gt;0,Actividades!MG8,"N/A")</f>
        <v>N/A</v>
      </c>
      <c r="P7" s="251" t="n">
        <f aca="false">COUNTIF(F7:O7,"&lt;5")</f>
        <v>1</v>
      </c>
      <c r="Q7" s="242"/>
      <c r="R7" s="252" t="n">
        <f aca="false">SUMPRODUCT(U7:AD7,U$51:AD$51)</f>
        <v>5.24075</v>
      </c>
      <c r="S7" s="246"/>
      <c r="T7" s="247" t="n">
        <f aca="false">IF(R7&lt;1,1,IF(AND(R7&lt;5,AE7&gt;0),TRUNC(R7,0),IF(AND(R7&gt;5,AE7&gt;0),4,ROUND(R7,0))))</f>
        <v>4</v>
      </c>
      <c r="U7" s="248" t="n">
        <f aca="false">IF(F$50&gt;0,IF(U$84=0,"N/A",(U89)/U$84),"N/A")</f>
        <v>5.375</v>
      </c>
      <c r="V7" s="249" t="n">
        <f aca="false">IF(G$50&gt;0,IF(V$84=0,"N/A",(V89)/V$84),"N/A")</f>
        <v>5.15</v>
      </c>
      <c r="W7" s="249" t="n">
        <f aca="false">IF(H$50&gt;0,IF(W$84=0,"N/A",(W89)/W$84),"N/A")</f>
        <v>4.825</v>
      </c>
      <c r="X7" s="249" t="n">
        <f aca="false">IF(I$50&gt;0,IF(X$84=0,"N/A",(X89)/X$84),"N/A")</f>
        <v>7.04</v>
      </c>
      <c r="Y7" s="249" t="str">
        <f aca="false">IF(J$50&gt;0,IF(Y$84=0,"N/A",(Y89)/Y$84),"N/A")</f>
        <v>N/A</v>
      </c>
      <c r="Z7" s="249" t="str">
        <f aca="false">IF(K$50&gt;0,IF(Z$84=0,"N/A",(Z89)/Z$84),"N/A")</f>
        <v>N/A</v>
      </c>
      <c r="AA7" s="249" t="str">
        <f aca="false">IF(L$50&gt;0,IF(AA$84=0,"N/A",(AA89)/AA$84),"N/A")</f>
        <v>N/A</v>
      </c>
      <c r="AB7" s="249" t="str">
        <f aca="false">IF(M$50&gt;0,IF(AB$84=0,"N/A",(AB89)/AB$84),"N/A")</f>
        <v>N/A</v>
      </c>
      <c r="AC7" s="249" t="str">
        <f aca="false">IF(N$50&gt;0,IF(AC$84=0,"N/A",(AC89)/AC$84),"N/A")</f>
        <v>N/A</v>
      </c>
      <c r="AD7" s="250" t="str">
        <f aca="false">IF(O$50&gt;0,IF(AD$84=0,"N/A",(AD89)/AD$84),"N/A")</f>
        <v>N/A</v>
      </c>
      <c r="AE7" s="253" t="n">
        <f aca="false">COUNTIF(U7:AD7,"&lt;5")</f>
        <v>1</v>
      </c>
      <c r="AF7" s="242"/>
      <c r="AG7" s="252" t="n">
        <f aca="false">SUMPRODUCT(AJ7:AS7,AJ$51:AS$51)</f>
        <v>0</v>
      </c>
      <c r="AH7" s="246"/>
      <c r="AI7" s="247" t="n">
        <f aca="false">IF(AG7&lt;1,1,IF(AND(AG7&lt;5,AT7&gt;0),TRUNC(AG7,0),IF(AND(AG7&gt;5,AT7&gt;0),4,ROUND(AG7,0))))</f>
        <v>1</v>
      </c>
      <c r="AJ7" s="248" t="str">
        <f aca="false">IF(F$50&gt;0,IF(AJ$84=0,"N/A",(AJ89)/AJ$84),"N/A")</f>
        <v>N/A</v>
      </c>
      <c r="AK7" s="249" t="str">
        <f aca="false">IF(G$50&gt;0,IF(AK$84=0,"N/A",(AK89)/AK$84),"N/A")</f>
        <v>N/A</v>
      </c>
      <c r="AL7" s="249" t="str">
        <f aca="false">IF(H$50&gt;0,IF(AL$84=0,"N/A",(AL89)/AL$84),"N/A")</f>
        <v>N/A</v>
      </c>
      <c r="AM7" s="249" t="str">
        <f aca="false">IF(I$50&gt;0,IF(AM$84=0,"N/A",(AM89)/AM$84),"N/A")</f>
        <v>N/A</v>
      </c>
      <c r="AN7" s="249" t="str">
        <f aca="false">IF(J$50&gt;0,IF(AN$84=0,"N/A",(AN89)/AN$84),"N/A")</f>
        <v>N/A</v>
      </c>
      <c r="AO7" s="249" t="str">
        <f aca="false">IF(K$50&gt;0,IF(AO$84=0,"N/A",(AO89)/AO$84),"N/A")</f>
        <v>N/A</v>
      </c>
      <c r="AP7" s="249" t="str">
        <f aca="false">IF(L$50&gt;0,IF(AP$84=0,"N/A",(AP89)/AP$84),"N/A")</f>
        <v>N/A</v>
      </c>
      <c r="AQ7" s="249" t="str">
        <f aca="false">IF(M$50&gt;0,IF(AQ$84=0,"N/A",(AQ89)/AQ$84),"N/A")</f>
        <v>N/A</v>
      </c>
      <c r="AR7" s="249" t="str">
        <f aca="false">IF(N$50&gt;0,IF(AR$84=0,"N/A",(AR89)/AR$84),"N/A")</f>
        <v>N/A</v>
      </c>
      <c r="AS7" s="250" t="str">
        <f aca="false">IF(O$50&gt;0,IF(AS$84=0,"N/A",(AS89)/AS$84),"N/A")</f>
        <v>N/A</v>
      </c>
      <c r="AT7" s="253" t="n">
        <f aca="false">COUNTIF(AJ7:AS7,"&lt;5")</f>
        <v>0</v>
      </c>
      <c r="AU7" s="242"/>
      <c r="AV7" s="252" t="n">
        <f aca="false">SUMPRODUCT(AY7:BH7,AY$51:BH$51)</f>
        <v>0</v>
      </c>
      <c r="AW7" s="246"/>
      <c r="AX7" s="247" t="n">
        <f aca="false">IF(AV7&lt;1,1,IF(AND(AV7&lt;5,BI7&gt;0),TRUNC(AV7,0),IF(AND(AV7&gt;5,BI7&gt;0),4,ROUND(AV7,0))))</f>
        <v>1</v>
      </c>
      <c r="AY7" s="248" t="str">
        <f aca="false">IF(F$50&gt;0,IF(AY$84=0,"N/A",(AY89)/AY$84),"N/A")</f>
        <v>N/A</v>
      </c>
      <c r="AZ7" s="249" t="str">
        <f aca="false">IF(G$50&gt;0,IF(AZ$84=0,"N/A",(AZ89)/AZ$84),"N/A")</f>
        <v>N/A</v>
      </c>
      <c r="BA7" s="249" t="str">
        <f aca="false">IF(H$50&gt;0,IF(BA$84=0,"N/A",(BA89)/BA$84),"N/A")</f>
        <v>N/A</v>
      </c>
      <c r="BB7" s="249" t="str">
        <f aca="false">IF(I$50&gt;0,IF(BB$84=0,"N/A",(BB89)/BB$84),"N/A")</f>
        <v>N/A</v>
      </c>
      <c r="BC7" s="249" t="str">
        <f aca="false">IF(J$50&gt;0,IF(BC$84=0,"N/A",(BC89)/BC$84),"N/A")</f>
        <v>N/A</v>
      </c>
      <c r="BD7" s="249" t="str">
        <f aca="false">IF(K$50&gt;0,IF(BD$84=0,"N/A",(BD89)/BD$84),"N/A")</f>
        <v>N/A</v>
      </c>
      <c r="BE7" s="249" t="str">
        <f aca="false">IF(L$50&gt;0,IF(BE$84=0,"N/A",(BE89)/BE$84),"N/A")</f>
        <v>N/A</v>
      </c>
      <c r="BF7" s="249" t="str">
        <f aca="false">IF(M$50&gt;0,IF(BF$84=0,"N/A",(BF89)/BF$84),"N/A")</f>
        <v>N/A</v>
      </c>
      <c r="BG7" s="249" t="str">
        <f aca="false">IF(N$50&gt;0,IF(BG$84=0,"N/A",(BG89)/BG$84),"N/A")</f>
        <v>N/A</v>
      </c>
      <c r="BH7" s="250" t="str">
        <f aca="false">IF(O$50&gt;0,IF(BH$84=0,"N/A",(BH89)/BH$84),"N/A")</f>
        <v>N/A</v>
      </c>
      <c r="BI7" s="253" t="n">
        <f aca="false">COUNTIF(AY7:BH7,"&lt;5")</f>
        <v>0</v>
      </c>
      <c r="BJ7" s="242"/>
    </row>
    <row r="8" customFormat="false" ht="13.8" hidden="false" customHeight="false" outlineLevel="0" collapsed="false">
      <c r="A8" s="29" t="n">
        <v>4</v>
      </c>
      <c r="B8" s="151" t="str">
        <f aca="false">'Datos Iniciales'!T12</f>
        <v>Alumno4</v>
      </c>
      <c r="C8" s="245" t="n">
        <f aca="false">SUMPRODUCT(F8:O8,F$50:O$50)</f>
        <v>4.953</v>
      </c>
      <c r="D8" s="246"/>
      <c r="E8" s="247" t="n">
        <f aca="false">IF(C8&lt;1,1,IF(AND(C8&lt;5,P8&gt;0),TRUNC(C8,0),IF(AND(C8&gt;5,P8&gt;0),4,ROUND(C8,0))))</f>
        <v>4</v>
      </c>
      <c r="F8" s="248" t="n">
        <f aca="false">IF(F$50&gt;0,Actividades!LX9,"N/A")</f>
        <v>4.625</v>
      </c>
      <c r="G8" s="249" t="n">
        <f aca="false">IF(G$50&gt;0,Actividades!LY9,"N/A")</f>
        <v>4.7</v>
      </c>
      <c r="H8" s="249" t="n">
        <f aca="false">IF(H$50&gt;0,Actividades!LZ9,"N/A")</f>
        <v>5.78</v>
      </c>
      <c r="I8" s="249" t="n">
        <f aca="false">IF(I$50&gt;0,Actividades!MA9,"N/A")</f>
        <v>6.82</v>
      </c>
      <c r="J8" s="249" t="str">
        <f aca="false">IF(J$50&gt;0,Actividades!MB9,"N/A")</f>
        <v>N/A</v>
      </c>
      <c r="K8" s="249" t="str">
        <f aca="false">IF(K$50&gt;0,Actividades!MC9,"N/A")</f>
        <v>N/A</v>
      </c>
      <c r="L8" s="249" t="str">
        <f aca="false">IF(L$50&gt;0,Actividades!MD9,"N/A")</f>
        <v>N/A</v>
      </c>
      <c r="M8" s="249" t="str">
        <f aca="false">IF(M$50&gt;0,Actividades!ME9,"N/A")</f>
        <v>N/A</v>
      </c>
      <c r="N8" s="249" t="str">
        <f aca="false">IF(N$50&gt;0,Actividades!MF9,"N/A")</f>
        <v>N/A</v>
      </c>
      <c r="O8" s="250" t="str">
        <f aca="false">IF(O$50&gt;0,Actividades!MG9,"N/A")</f>
        <v>N/A</v>
      </c>
      <c r="P8" s="251" t="n">
        <f aca="false">COUNTIF(F8:O8,"&lt;5")</f>
        <v>2</v>
      </c>
      <c r="Q8" s="242"/>
      <c r="R8" s="252" t="n">
        <f aca="false">SUMPRODUCT(U8:AD8,U$51:AD$51)</f>
        <v>4.953</v>
      </c>
      <c r="S8" s="246"/>
      <c r="T8" s="247" t="n">
        <f aca="false">IF(R8&lt;1,1,IF(AND(R8&lt;5,AE8&gt;0),TRUNC(R8,0),IF(AND(R8&gt;5,AE8&gt;0),4,ROUND(R8,0))))</f>
        <v>4</v>
      </c>
      <c r="U8" s="248" t="n">
        <f aca="false">IF(F$50&gt;0,IF(U$84=0,"N/A",(U90)/U$84),"N/A")</f>
        <v>4.625</v>
      </c>
      <c r="V8" s="249" t="n">
        <f aca="false">IF(G$50&gt;0,IF(V$84=0,"N/A",(V90)/V$84),"N/A")</f>
        <v>4.7</v>
      </c>
      <c r="W8" s="249" t="n">
        <f aca="false">IF(H$50&gt;0,IF(W$84=0,"N/A",(W90)/W$84),"N/A")</f>
        <v>5.78</v>
      </c>
      <c r="X8" s="249" t="n">
        <f aca="false">IF(I$50&gt;0,IF(X$84=0,"N/A",(X90)/X$84),"N/A")</f>
        <v>6.82</v>
      </c>
      <c r="Y8" s="249" t="str">
        <f aca="false">IF(J$50&gt;0,IF(Y$84=0,"N/A",(Y90)/Y$84),"N/A")</f>
        <v>N/A</v>
      </c>
      <c r="Z8" s="249" t="str">
        <f aca="false">IF(K$50&gt;0,IF(Z$84=0,"N/A",(Z90)/Z$84),"N/A")</f>
        <v>N/A</v>
      </c>
      <c r="AA8" s="249" t="str">
        <f aca="false">IF(L$50&gt;0,IF(AA$84=0,"N/A",(AA90)/AA$84),"N/A")</f>
        <v>N/A</v>
      </c>
      <c r="AB8" s="249" t="str">
        <f aca="false">IF(M$50&gt;0,IF(AB$84=0,"N/A",(AB90)/AB$84),"N/A")</f>
        <v>N/A</v>
      </c>
      <c r="AC8" s="249" t="str">
        <f aca="false">IF(N$50&gt;0,IF(AC$84=0,"N/A",(AC90)/AC$84),"N/A")</f>
        <v>N/A</v>
      </c>
      <c r="AD8" s="250" t="str">
        <f aca="false">IF(O$50&gt;0,IF(AD$84=0,"N/A",(AD90)/AD$84),"N/A")</f>
        <v>N/A</v>
      </c>
      <c r="AE8" s="253" t="n">
        <f aca="false">COUNTIF(U8:AD8,"&lt;5")</f>
        <v>2</v>
      </c>
      <c r="AF8" s="242"/>
      <c r="AG8" s="252" t="n">
        <f aca="false">SUMPRODUCT(AJ8:AS8,AJ$51:AS$51)</f>
        <v>0</v>
      </c>
      <c r="AH8" s="246"/>
      <c r="AI8" s="247" t="n">
        <f aca="false">IF(AG8&lt;1,1,IF(AND(AG8&lt;5,AT8&gt;0),TRUNC(AG8,0),IF(AND(AG8&gt;5,AT8&gt;0),4,ROUND(AG8,0))))</f>
        <v>1</v>
      </c>
      <c r="AJ8" s="248" t="str">
        <f aca="false">IF(F$50&gt;0,IF(AJ$84=0,"N/A",(AJ90)/AJ$84),"N/A")</f>
        <v>N/A</v>
      </c>
      <c r="AK8" s="249" t="str">
        <f aca="false">IF(G$50&gt;0,IF(AK$84=0,"N/A",(AK90)/AK$84),"N/A")</f>
        <v>N/A</v>
      </c>
      <c r="AL8" s="249" t="str">
        <f aca="false">IF(H$50&gt;0,IF(AL$84=0,"N/A",(AL90)/AL$84),"N/A")</f>
        <v>N/A</v>
      </c>
      <c r="AM8" s="249" t="str">
        <f aca="false">IF(I$50&gt;0,IF(AM$84=0,"N/A",(AM90)/AM$84),"N/A")</f>
        <v>N/A</v>
      </c>
      <c r="AN8" s="249" t="str">
        <f aca="false">IF(J$50&gt;0,IF(AN$84=0,"N/A",(AN90)/AN$84),"N/A")</f>
        <v>N/A</v>
      </c>
      <c r="AO8" s="249" t="str">
        <f aca="false">IF(K$50&gt;0,IF(AO$84=0,"N/A",(AO90)/AO$84),"N/A")</f>
        <v>N/A</v>
      </c>
      <c r="AP8" s="249" t="str">
        <f aca="false">IF(L$50&gt;0,IF(AP$84=0,"N/A",(AP90)/AP$84),"N/A")</f>
        <v>N/A</v>
      </c>
      <c r="AQ8" s="249" t="str">
        <f aca="false">IF(M$50&gt;0,IF(AQ$84=0,"N/A",(AQ90)/AQ$84),"N/A")</f>
        <v>N/A</v>
      </c>
      <c r="AR8" s="249" t="str">
        <f aca="false">IF(N$50&gt;0,IF(AR$84=0,"N/A",(AR90)/AR$84),"N/A")</f>
        <v>N/A</v>
      </c>
      <c r="AS8" s="250" t="str">
        <f aca="false">IF(O$50&gt;0,IF(AS$84=0,"N/A",(AS90)/AS$84),"N/A")</f>
        <v>N/A</v>
      </c>
      <c r="AT8" s="253" t="n">
        <f aca="false">COUNTIF(AJ8:AS8,"&lt;5")</f>
        <v>0</v>
      </c>
      <c r="AU8" s="242"/>
      <c r="AV8" s="252" t="n">
        <f aca="false">SUMPRODUCT(AY8:BH8,AY$51:BH$51)</f>
        <v>0</v>
      </c>
      <c r="AW8" s="246"/>
      <c r="AX8" s="247" t="n">
        <f aca="false">IF(AV8&lt;1,1,IF(AND(AV8&lt;5,BI8&gt;0),TRUNC(AV8,0),IF(AND(AV8&gt;5,BI8&gt;0),4,ROUND(AV8,0))))</f>
        <v>1</v>
      </c>
      <c r="AY8" s="248" t="str">
        <f aca="false">IF(F$50&gt;0,IF(AY$84=0,"N/A",(AY90)/AY$84),"N/A")</f>
        <v>N/A</v>
      </c>
      <c r="AZ8" s="249" t="str">
        <f aca="false">IF(G$50&gt;0,IF(AZ$84=0,"N/A",(AZ90)/AZ$84),"N/A")</f>
        <v>N/A</v>
      </c>
      <c r="BA8" s="249" t="str">
        <f aca="false">IF(H$50&gt;0,IF(BA$84=0,"N/A",(BA90)/BA$84),"N/A")</f>
        <v>N/A</v>
      </c>
      <c r="BB8" s="249" t="str">
        <f aca="false">IF(I$50&gt;0,IF(BB$84=0,"N/A",(BB90)/BB$84),"N/A")</f>
        <v>N/A</v>
      </c>
      <c r="BC8" s="249" t="str">
        <f aca="false">IF(J$50&gt;0,IF(BC$84=0,"N/A",(BC90)/BC$84),"N/A")</f>
        <v>N/A</v>
      </c>
      <c r="BD8" s="249" t="str">
        <f aca="false">IF(K$50&gt;0,IF(BD$84=0,"N/A",(BD90)/BD$84),"N/A")</f>
        <v>N/A</v>
      </c>
      <c r="BE8" s="249" t="str">
        <f aca="false">IF(L$50&gt;0,IF(BE$84=0,"N/A",(BE90)/BE$84),"N/A")</f>
        <v>N/A</v>
      </c>
      <c r="BF8" s="249" t="str">
        <f aca="false">IF(M$50&gt;0,IF(BF$84=0,"N/A",(BF90)/BF$84),"N/A")</f>
        <v>N/A</v>
      </c>
      <c r="BG8" s="249" t="str">
        <f aca="false">IF(N$50&gt;0,IF(BG$84=0,"N/A",(BG90)/BG$84),"N/A")</f>
        <v>N/A</v>
      </c>
      <c r="BH8" s="250" t="str">
        <f aca="false">IF(O$50&gt;0,IF(BH$84=0,"N/A",(BH90)/BH$84),"N/A")</f>
        <v>N/A</v>
      </c>
      <c r="BI8" s="253" t="n">
        <f aca="false">COUNTIF(AY8:BH8,"&lt;5")</f>
        <v>0</v>
      </c>
      <c r="BJ8" s="242"/>
    </row>
    <row r="9" customFormat="false" ht="13.8" hidden="false" customHeight="false" outlineLevel="0" collapsed="false">
      <c r="A9" s="29" t="n">
        <v>5</v>
      </c>
      <c r="B9" s="151" t="str">
        <f aca="false">'Datos Iniciales'!T13</f>
        <v>Alumno5</v>
      </c>
      <c r="C9" s="245" t="n">
        <f aca="false">SUMPRODUCT(F9:O9,F$50:O$50)</f>
        <v>7.2235</v>
      </c>
      <c r="D9" s="246"/>
      <c r="E9" s="247" t="n">
        <f aca="false">IF(C9&lt;1,1,IF(AND(C9&lt;5,P9&gt;0),TRUNC(C9,0),IF(AND(C9&gt;5,P9&gt;0),4,ROUND(C9,0))))</f>
        <v>7</v>
      </c>
      <c r="F9" s="248" t="n">
        <f aca="false">IF(F$50&gt;0,Actividades!LX10,"N/A")</f>
        <v>6.6875</v>
      </c>
      <c r="G9" s="249" t="n">
        <f aca="false">IF(G$50&gt;0,Actividades!LY10,"N/A")</f>
        <v>7.55</v>
      </c>
      <c r="H9" s="249" t="n">
        <f aca="false">IF(H$50&gt;0,Actividades!LZ10,"N/A")</f>
        <v>6.66</v>
      </c>
      <c r="I9" s="249" t="n">
        <f aca="false">IF(I$50&gt;0,Actividades!MA10,"N/A")</f>
        <v>7.14</v>
      </c>
      <c r="J9" s="249" t="str">
        <f aca="false">IF(J$50&gt;0,Actividades!MB10,"N/A")</f>
        <v>N/A</v>
      </c>
      <c r="K9" s="249" t="str">
        <f aca="false">IF(K$50&gt;0,Actividades!MC10,"N/A")</f>
        <v>N/A</v>
      </c>
      <c r="L9" s="249" t="str">
        <f aca="false">IF(L$50&gt;0,Actividades!MD10,"N/A")</f>
        <v>N/A</v>
      </c>
      <c r="M9" s="249" t="str">
        <f aca="false">IF(M$50&gt;0,Actividades!ME10,"N/A")</f>
        <v>N/A</v>
      </c>
      <c r="N9" s="249" t="str">
        <f aca="false">IF(N$50&gt;0,Actividades!MF10,"N/A")</f>
        <v>N/A</v>
      </c>
      <c r="O9" s="250" t="str">
        <f aca="false">IF(O$50&gt;0,Actividades!MG10,"N/A")</f>
        <v>N/A</v>
      </c>
      <c r="P9" s="251" t="n">
        <f aca="false">COUNTIF(F9:O9,"&lt;5")</f>
        <v>0</v>
      </c>
      <c r="Q9" s="242"/>
      <c r="R9" s="252" t="n">
        <f aca="false">SUMPRODUCT(U9:AD9,U$51:AD$51)</f>
        <v>7.2235</v>
      </c>
      <c r="S9" s="246"/>
      <c r="T9" s="247" t="n">
        <f aca="false">IF(R9&lt;1,1,IF(AND(R9&lt;5,AE9&gt;0),TRUNC(R9,0),IF(AND(R9&gt;5,AE9&gt;0),4,ROUND(R9,0))))</f>
        <v>7</v>
      </c>
      <c r="U9" s="248" t="n">
        <f aca="false">IF(F$50&gt;0,IF(U$84=0,"N/A",(U91)/U$84),"N/A")</f>
        <v>6.6875</v>
      </c>
      <c r="V9" s="249" t="n">
        <f aca="false">IF(G$50&gt;0,IF(V$84=0,"N/A",(V91)/V$84),"N/A")</f>
        <v>7.55</v>
      </c>
      <c r="W9" s="249" t="n">
        <f aca="false">IF(H$50&gt;0,IF(W$84=0,"N/A",(W91)/W$84),"N/A")</f>
        <v>6.66</v>
      </c>
      <c r="X9" s="249" t="n">
        <f aca="false">IF(I$50&gt;0,IF(X$84=0,"N/A",(X91)/X$84),"N/A")</f>
        <v>7.14</v>
      </c>
      <c r="Y9" s="249" t="str">
        <f aca="false">IF(J$50&gt;0,IF(Y$84=0,"N/A",(Y91)/Y$84),"N/A")</f>
        <v>N/A</v>
      </c>
      <c r="Z9" s="249" t="str">
        <f aca="false">IF(K$50&gt;0,IF(Z$84=0,"N/A",(Z91)/Z$84),"N/A")</f>
        <v>N/A</v>
      </c>
      <c r="AA9" s="249" t="str">
        <f aca="false">IF(L$50&gt;0,IF(AA$84=0,"N/A",(AA91)/AA$84),"N/A")</f>
        <v>N/A</v>
      </c>
      <c r="AB9" s="249" t="str">
        <f aca="false">IF(M$50&gt;0,IF(AB$84=0,"N/A",(AB91)/AB$84),"N/A")</f>
        <v>N/A</v>
      </c>
      <c r="AC9" s="249" t="str">
        <f aca="false">IF(N$50&gt;0,IF(AC$84=0,"N/A",(AC91)/AC$84),"N/A")</f>
        <v>N/A</v>
      </c>
      <c r="AD9" s="250" t="str">
        <f aca="false">IF(O$50&gt;0,IF(AD$84=0,"N/A",(AD91)/AD$84),"N/A")</f>
        <v>N/A</v>
      </c>
      <c r="AE9" s="253" t="n">
        <f aca="false">COUNTIF(U9:AD9,"&lt;5")</f>
        <v>0</v>
      </c>
      <c r="AF9" s="242"/>
      <c r="AG9" s="252" t="n">
        <f aca="false">SUMPRODUCT(AJ9:AS9,AJ$51:AS$51)</f>
        <v>0</v>
      </c>
      <c r="AH9" s="246"/>
      <c r="AI9" s="247" t="n">
        <f aca="false">IF(AG9&lt;1,1,IF(AND(AG9&lt;5,AT9&gt;0),TRUNC(AG9,0),IF(AND(AG9&gt;5,AT9&gt;0),4,ROUND(AG9,0))))</f>
        <v>1</v>
      </c>
      <c r="AJ9" s="248" t="str">
        <f aca="false">IF(F$50&gt;0,IF(AJ$84=0,"N/A",(AJ91)/AJ$84),"N/A")</f>
        <v>N/A</v>
      </c>
      <c r="AK9" s="249" t="str">
        <f aca="false">IF(G$50&gt;0,IF(AK$84=0,"N/A",(AK91)/AK$84),"N/A")</f>
        <v>N/A</v>
      </c>
      <c r="AL9" s="249" t="str">
        <f aca="false">IF(H$50&gt;0,IF(AL$84=0,"N/A",(AL91)/AL$84),"N/A")</f>
        <v>N/A</v>
      </c>
      <c r="AM9" s="249" t="str">
        <f aca="false">IF(I$50&gt;0,IF(AM$84=0,"N/A",(AM91)/AM$84),"N/A")</f>
        <v>N/A</v>
      </c>
      <c r="AN9" s="249" t="str">
        <f aca="false">IF(J$50&gt;0,IF(AN$84=0,"N/A",(AN91)/AN$84),"N/A")</f>
        <v>N/A</v>
      </c>
      <c r="AO9" s="249" t="str">
        <f aca="false">IF(K$50&gt;0,IF(AO$84=0,"N/A",(AO91)/AO$84),"N/A")</f>
        <v>N/A</v>
      </c>
      <c r="AP9" s="249" t="str">
        <f aca="false">IF(L$50&gt;0,IF(AP$84=0,"N/A",(AP91)/AP$84),"N/A")</f>
        <v>N/A</v>
      </c>
      <c r="AQ9" s="249" t="str">
        <f aca="false">IF(M$50&gt;0,IF(AQ$84=0,"N/A",(AQ91)/AQ$84),"N/A")</f>
        <v>N/A</v>
      </c>
      <c r="AR9" s="249" t="str">
        <f aca="false">IF(N$50&gt;0,IF(AR$84=0,"N/A",(AR91)/AR$84),"N/A")</f>
        <v>N/A</v>
      </c>
      <c r="AS9" s="250" t="str">
        <f aca="false">IF(O$50&gt;0,IF(AS$84=0,"N/A",(AS91)/AS$84),"N/A")</f>
        <v>N/A</v>
      </c>
      <c r="AT9" s="253" t="n">
        <f aca="false">COUNTIF(AJ9:AS9,"&lt;5")</f>
        <v>0</v>
      </c>
      <c r="AU9" s="242"/>
      <c r="AV9" s="252" t="n">
        <f aca="false">SUMPRODUCT(AY9:BH9,AY$51:BH$51)</f>
        <v>0</v>
      </c>
      <c r="AW9" s="246"/>
      <c r="AX9" s="247" t="n">
        <f aca="false">IF(AV9&lt;1,1,IF(AND(AV9&lt;5,BI9&gt;0),TRUNC(AV9,0),IF(AND(AV9&gt;5,BI9&gt;0),4,ROUND(AV9,0))))</f>
        <v>1</v>
      </c>
      <c r="AY9" s="248" t="str">
        <f aca="false">IF(F$50&gt;0,IF(AY$84=0,"N/A",(AY91)/AY$84),"N/A")</f>
        <v>N/A</v>
      </c>
      <c r="AZ9" s="249" t="str">
        <f aca="false">IF(G$50&gt;0,IF(AZ$84=0,"N/A",(AZ91)/AZ$84),"N/A")</f>
        <v>N/A</v>
      </c>
      <c r="BA9" s="249" t="str">
        <f aca="false">IF(H$50&gt;0,IF(BA$84=0,"N/A",(BA91)/BA$84),"N/A")</f>
        <v>N/A</v>
      </c>
      <c r="BB9" s="249" t="str">
        <f aca="false">IF(I$50&gt;0,IF(BB$84=0,"N/A",(BB91)/BB$84),"N/A")</f>
        <v>N/A</v>
      </c>
      <c r="BC9" s="249" t="str">
        <f aca="false">IF(J$50&gt;0,IF(BC$84=0,"N/A",(BC91)/BC$84),"N/A")</f>
        <v>N/A</v>
      </c>
      <c r="BD9" s="249" t="str">
        <f aca="false">IF(K$50&gt;0,IF(BD$84=0,"N/A",(BD91)/BD$84),"N/A")</f>
        <v>N/A</v>
      </c>
      <c r="BE9" s="249" t="str">
        <f aca="false">IF(L$50&gt;0,IF(BE$84=0,"N/A",(BE91)/BE$84),"N/A")</f>
        <v>N/A</v>
      </c>
      <c r="BF9" s="249" t="str">
        <f aca="false">IF(M$50&gt;0,IF(BF$84=0,"N/A",(BF91)/BF$84),"N/A")</f>
        <v>N/A</v>
      </c>
      <c r="BG9" s="249" t="str">
        <f aca="false">IF(N$50&gt;0,IF(BG$84=0,"N/A",(BG91)/BG$84),"N/A")</f>
        <v>N/A</v>
      </c>
      <c r="BH9" s="250" t="str">
        <f aca="false">IF(O$50&gt;0,IF(BH$84=0,"N/A",(BH91)/BH$84),"N/A")</f>
        <v>N/A</v>
      </c>
      <c r="BI9" s="253" t="n">
        <f aca="false">COUNTIF(AY9:BH9,"&lt;5")</f>
        <v>0</v>
      </c>
      <c r="BJ9" s="242"/>
    </row>
    <row r="10" customFormat="false" ht="13.8" hidden="false" customHeight="false" outlineLevel="0" collapsed="false">
      <c r="A10" s="29" t="n">
        <v>6</v>
      </c>
      <c r="B10" s="151" t="str">
        <f aca="false">'Datos Iniciales'!T14</f>
        <v>Alumno6</v>
      </c>
      <c r="C10" s="245" t="n">
        <f aca="false">SUMPRODUCT(F10:O10,F$50:O$50)</f>
        <v>9.44675</v>
      </c>
      <c r="D10" s="246"/>
      <c r="E10" s="247" t="n">
        <f aca="false">IF(C10&lt;1,1,IF(AND(C10&lt;5,P10&gt;0),TRUNC(C10,0),IF(AND(C10&gt;5,P10&gt;0),4,ROUND(C10,0))))</f>
        <v>9</v>
      </c>
      <c r="F10" s="248" t="n">
        <f aca="false">IF(F$50&gt;0,Actividades!LX11,"N/A")</f>
        <v>9.4875</v>
      </c>
      <c r="G10" s="249" t="n">
        <f aca="false">IF(G$50&gt;0,Actividades!LY11,"N/A")</f>
        <v>9.55</v>
      </c>
      <c r="H10" s="249" t="n">
        <f aca="false">IF(H$50&gt;0,Actividades!LZ11,"N/A")</f>
        <v>9.475</v>
      </c>
      <c r="I10" s="249" t="n">
        <f aca="false">IF(I$50&gt;0,Actividades!MA11,"N/A")</f>
        <v>7.96</v>
      </c>
      <c r="J10" s="249" t="str">
        <f aca="false">IF(J$50&gt;0,Actividades!MB11,"N/A")</f>
        <v>N/A</v>
      </c>
      <c r="K10" s="249" t="str">
        <f aca="false">IF(K$50&gt;0,Actividades!MC11,"N/A")</f>
        <v>N/A</v>
      </c>
      <c r="L10" s="249" t="str">
        <f aca="false">IF(L$50&gt;0,Actividades!MD11,"N/A")</f>
        <v>N/A</v>
      </c>
      <c r="M10" s="249" t="str">
        <f aca="false">IF(M$50&gt;0,Actividades!ME11,"N/A")</f>
        <v>N/A</v>
      </c>
      <c r="N10" s="249" t="str">
        <f aca="false">IF(N$50&gt;0,Actividades!MF11,"N/A")</f>
        <v>N/A</v>
      </c>
      <c r="O10" s="250" t="str">
        <f aca="false">IF(O$50&gt;0,Actividades!MG11,"N/A")</f>
        <v>N/A</v>
      </c>
      <c r="P10" s="251" t="n">
        <f aca="false">COUNTIF(F10:O10,"&lt;5")</f>
        <v>0</v>
      </c>
      <c r="Q10" s="242"/>
      <c r="R10" s="252" t="n">
        <f aca="false">SUMPRODUCT(U10:AD10,U$51:AD$51)</f>
        <v>9.44675</v>
      </c>
      <c r="S10" s="246"/>
      <c r="T10" s="247" t="n">
        <f aca="false">IF(R10&lt;1,1,IF(AND(R10&lt;5,AE10&gt;0),TRUNC(R10,0),IF(AND(R10&gt;5,AE10&gt;0),4,ROUND(R10,0))))</f>
        <v>9</v>
      </c>
      <c r="U10" s="248" t="n">
        <f aca="false">IF(F$50&gt;0,IF(U$84=0,"N/A",(U92)/U$84),"N/A")</f>
        <v>9.4875</v>
      </c>
      <c r="V10" s="249" t="n">
        <f aca="false">IF(G$50&gt;0,IF(V$84=0,"N/A",(V92)/V$84),"N/A")</f>
        <v>9.55</v>
      </c>
      <c r="W10" s="249" t="n">
        <f aca="false">IF(H$50&gt;0,IF(W$84=0,"N/A",(W92)/W$84),"N/A")</f>
        <v>9.475</v>
      </c>
      <c r="X10" s="249" t="n">
        <f aca="false">IF(I$50&gt;0,IF(X$84=0,"N/A",(X92)/X$84),"N/A")</f>
        <v>7.96</v>
      </c>
      <c r="Y10" s="249" t="str">
        <f aca="false">IF(J$50&gt;0,IF(Y$84=0,"N/A",(Y92)/Y$84),"N/A")</f>
        <v>N/A</v>
      </c>
      <c r="Z10" s="249" t="str">
        <f aca="false">IF(K$50&gt;0,IF(Z$84=0,"N/A",(Z92)/Z$84),"N/A")</f>
        <v>N/A</v>
      </c>
      <c r="AA10" s="249" t="str">
        <f aca="false">IF(L$50&gt;0,IF(AA$84=0,"N/A",(AA92)/AA$84),"N/A")</f>
        <v>N/A</v>
      </c>
      <c r="AB10" s="249" t="str">
        <f aca="false">IF(M$50&gt;0,IF(AB$84=0,"N/A",(AB92)/AB$84),"N/A")</f>
        <v>N/A</v>
      </c>
      <c r="AC10" s="249" t="str">
        <f aca="false">IF(N$50&gt;0,IF(AC$84=0,"N/A",(AC92)/AC$84),"N/A")</f>
        <v>N/A</v>
      </c>
      <c r="AD10" s="250" t="str">
        <f aca="false">IF(O$50&gt;0,IF(AD$84=0,"N/A",(AD92)/AD$84),"N/A")</f>
        <v>N/A</v>
      </c>
      <c r="AE10" s="253" t="n">
        <f aca="false">COUNTIF(U10:AD10,"&lt;5")</f>
        <v>0</v>
      </c>
      <c r="AF10" s="242"/>
      <c r="AG10" s="252" t="n">
        <f aca="false">SUMPRODUCT(AJ10:AS10,AJ$51:AS$51)</f>
        <v>0</v>
      </c>
      <c r="AH10" s="246"/>
      <c r="AI10" s="247" t="n">
        <f aca="false">IF(AG10&lt;1,1,IF(AND(AG10&lt;5,AT10&gt;0),TRUNC(AG10,0),IF(AND(AG10&gt;5,AT10&gt;0),4,ROUND(AG10,0))))</f>
        <v>1</v>
      </c>
      <c r="AJ10" s="248" t="str">
        <f aca="false">IF(F$50&gt;0,IF(AJ$84=0,"N/A",(AJ92)/AJ$84),"N/A")</f>
        <v>N/A</v>
      </c>
      <c r="AK10" s="249" t="str">
        <f aca="false">IF(G$50&gt;0,IF(AK$84=0,"N/A",(AK92)/AK$84),"N/A")</f>
        <v>N/A</v>
      </c>
      <c r="AL10" s="249" t="str">
        <f aca="false">IF(H$50&gt;0,IF(AL$84=0,"N/A",(AL92)/AL$84),"N/A")</f>
        <v>N/A</v>
      </c>
      <c r="AM10" s="249" t="str">
        <f aca="false">IF(I$50&gt;0,IF(AM$84=0,"N/A",(AM92)/AM$84),"N/A")</f>
        <v>N/A</v>
      </c>
      <c r="AN10" s="249" t="str">
        <f aca="false">IF(J$50&gt;0,IF(AN$84=0,"N/A",(AN92)/AN$84),"N/A")</f>
        <v>N/A</v>
      </c>
      <c r="AO10" s="249" t="str">
        <f aca="false">IF(K$50&gt;0,IF(AO$84=0,"N/A",(AO92)/AO$84),"N/A")</f>
        <v>N/A</v>
      </c>
      <c r="AP10" s="249" t="str">
        <f aca="false">IF(L$50&gt;0,IF(AP$84=0,"N/A",(AP92)/AP$84),"N/A")</f>
        <v>N/A</v>
      </c>
      <c r="AQ10" s="249" t="str">
        <f aca="false">IF(M$50&gt;0,IF(AQ$84=0,"N/A",(AQ92)/AQ$84),"N/A")</f>
        <v>N/A</v>
      </c>
      <c r="AR10" s="249" t="str">
        <f aca="false">IF(N$50&gt;0,IF(AR$84=0,"N/A",(AR92)/AR$84),"N/A")</f>
        <v>N/A</v>
      </c>
      <c r="AS10" s="250" t="str">
        <f aca="false">IF(O$50&gt;0,IF(AS$84=0,"N/A",(AS92)/AS$84),"N/A")</f>
        <v>N/A</v>
      </c>
      <c r="AT10" s="253" t="n">
        <f aca="false">COUNTIF(AJ10:AS10,"&lt;5")</f>
        <v>0</v>
      </c>
      <c r="AU10" s="242"/>
      <c r="AV10" s="252" t="n">
        <f aca="false">SUMPRODUCT(AY10:BH10,AY$51:BH$51)</f>
        <v>0</v>
      </c>
      <c r="AW10" s="246"/>
      <c r="AX10" s="247" t="n">
        <f aca="false">IF(AV10&lt;1,1,IF(AND(AV10&lt;5,BI10&gt;0),TRUNC(AV10,0),IF(AND(AV10&gt;5,BI10&gt;0),4,ROUND(AV10,0))))</f>
        <v>1</v>
      </c>
      <c r="AY10" s="248" t="str">
        <f aca="false">IF(F$50&gt;0,IF(AY$84=0,"N/A",(AY92)/AY$84),"N/A")</f>
        <v>N/A</v>
      </c>
      <c r="AZ10" s="249" t="str">
        <f aca="false">IF(G$50&gt;0,IF(AZ$84=0,"N/A",(AZ92)/AZ$84),"N/A")</f>
        <v>N/A</v>
      </c>
      <c r="BA10" s="249" t="str">
        <f aca="false">IF(H$50&gt;0,IF(BA$84=0,"N/A",(BA92)/BA$84),"N/A")</f>
        <v>N/A</v>
      </c>
      <c r="BB10" s="249" t="str">
        <f aca="false">IF(I$50&gt;0,IF(BB$84=0,"N/A",(BB92)/BB$84),"N/A")</f>
        <v>N/A</v>
      </c>
      <c r="BC10" s="249" t="str">
        <f aca="false">IF(J$50&gt;0,IF(BC$84=0,"N/A",(BC92)/BC$84),"N/A")</f>
        <v>N/A</v>
      </c>
      <c r="BD10" s="249" t="str">
        <f aca="false">IF(K$50&gt;0,IF(BD$84=0,"N/A",(BD92)/BD$84),"N/A")</f>
        <v>N/A</v>
      </c>
      <c r="BE10" s="249" t="str">
        <f aca="false">IF(L$50&gt;0,IF(BE$84=0,"N/A",(BE92)/BE$84),"N/A")</f>
        <v>N/A</v>
      </c>
      <c r="BF10" s="249" t="str">
        <f aca="false">IF(M$50&gt;0,IF(BF$84=0,"N/A",(BF92)/BF$84),"N/A")</f>
        <v>N/A</v>
      </c>
      <c r="BG10" s="249" t="str">
        <f aca="false">IF(N$50&gt;0,IF(BG$84=0,"N/A",(BG92)/BG$84),"N/A")</f>
        <v>N/A</v>
      </c>
      <c r="BH10" s="250" t="str">
        <f aca="false">IF(O$50&gt;0,IF(BH$84=0,"N/A",(BH92)/BH$84),"N/A")</f>
        <v>N/A</v>
      </c>
      <c r="BI10" s="253" t="n">
        <f aca="false">COUNTIF(AY10:BH10,"&lt;5")</f>
        <v>0</v>
      </c>
      <c r="BJ10" s="242"/>
    </row>
    <row r="11" customFormat="false" ht="13.8" hidden="false" customHeight="false" outlineLevel="0" collapsed="false">
      <c r="A11" s="29" t="n">
        <v>7</v>
      </c>
      <c r="B11" s="151" t="str">
        <f aca="false">'Datos Iniciales'!T15</f>
        <v>Alumno7</v>
      </c>
      <c r="C11" s="245" t="n">
        <f aca="false">SUMPRODUCT(F11:O11,F$50:O$50)</f>
        <v>8.65</v>
      </c>
      <c r="D11" s="246"/>
      <c r="E11" s="247" t="n">
        <f aca="false">IF(C11&lt;1,1,IF(AND(C11&lt;5,P11&gt;0),TRUNC(C11,0),IF(AND(C11&gt;5,P11&gt;0),4,ROUND(C11,0))))</f>
        <v>9</v>
      </c>
      <c r="F11" s="248" t="n">
        <f aca="false">IF(F$50&gt;0,Actividades!LX12,"N/A")</f>
        <v>8.9625</v>
      </c>
      <c r="G11" s="249" t="n">
        <f aca="false">IF(G$50&gt;0,Actividades!LY12,"N/A")</f>
        <v>8.8</v>
      </c>
      <c r="H11" s="249" t="n">
        <f aca="false">IF(H$50&gt;0,Actividades!LZ12,"N/A")</f>
        <v>8.25</v>
      </c>
      <c r="I11" s="249" t="n">
        <f aca="false">IF(I$50&gt;0,Actividades!MA12,"N/A")</f>
        <v>6.8</v>
      </c>
      <c r="J11" s="249" t="str">
        <f aca="false">IF(J$50&gt;0,Actividades!MB12,"N/A")</f>
        <v>N/A</v>
      </c>
      <c r="K11" s="249" t="str">
        <f aca="false">IF(K$50&gt;0,Actividades!MC12,"N/A")</f>
        <v>N/A</v>
      </c>
      <c r="L11" s="249" t="str">
        <f aca="false">IF(L$50&gt;0,Actividades!MD12,"N/A")</f>
        <v>N/A</v>
      </c>
      <c r="M11" s="249" t="str">
        <f aca="false">IF(M$50&gt;0,Actividades!ME12,"N/A")</f>
        <v>N/A</v>
      </c>
      <c r="N11" s="249" t="str">
        <f aca="false">IF(N$50&gt;0,Actividades!MF12,"N/A")</f>
        <v>N/A</v>
      </c>
      <c r="O11" s="250" t="str">
        <f aca="false">IF(O$50&gt;0,Actividades!MG12,"N/A")</f>
        <v>N/A</v>
      </c>
      <c r="P11" s="251" t="n">
        <f aca="false">COUNTIF(F11:O11,"&lt;5")</f>
        <v>0</v>
      </c>
      <c r="Q11" s="242"/>
      <c r="R11" s="252" t="n">
        <f aca="false">SUMPRODUCT(U11:AD11,U$51:AD$51)</f>
        <v>8.65</v>
      </c>
      <c r="S11" s="246"/>
      <c r="T11" s="247" t="n">
        <f aca="false">IF(R11&lt;1,1,IF(AND(R11&lt;5,AE11&gt;0),TRUNC(R11,0),IF(AND(R11&gt;5,AE11&gt;0),4,ROUND(R11,0))))</f>
        <v>9</v>
      </c>
      <c r="U11" s="248" t="n">
        <f aca="false">IF(F$50&gt;0,IF(U$84=0,"N/A",(U93)/U$84),"N/A")</f>
        <v>8.9625</v>
      </c>
      <c r="V11" s="249" t="n">
        <f aca="false">IF(G$50&gt;0,IF(V$84=0,"N/A",(V93)/V$84),"N/A")</f>
        <v>8.8</v>
      </c>
      <c r="W11" s="249" t="n">
        <f aca="false">IF(H$50&gt;0,IF(W$84=0,"N/A",(W93)/W$84),"N/A")</f>
        <v>8.25</v>
      </c>
      <c r="X11" s="249" t="n">
        <f aca="false">IF(I$50&gt;0,IF(X$84=0,"N/A",(X93)/X$84),"N/A")</f>
        <v>6.8</v>
      </c>
      <c r="Y11" s="249" t="str">
        <f aca="false">IF(J$50&gt;0,IF(Y$84=0,"N/A",(Y93)/Y$84),"N/A")</f>
        <v>N/A</v>
      </c>
      <c r="Z11" s="249" t="str">
        <f aca="false">IF(K$50&gt;0,IF(Z$84=0,"N/A",(Z93)/Z$84),"N/A")</f>
        <v>N/A</v>
      </c>
      <c r="AA11" s="249" t="str">
        <f aca="false">IF(L$50&gt;0,IF(AA$84=0,"N/A",(AA93)/AA$84),"N/A")</f>
        <v>N/A</v>
      </c>
      <c r="AB11" s="249" t="str">
        <f aca="false">IF(M$50&gt;0,IF(AB$84=0,"N/A",(AB93)/AB$84),"N/A")</f>
        <v>N/A</v>
      </c>
      <c r="AC11" s="249" t="str">
        <f aca="false">IF(N$50&gt;0,IF(AC$84=0,"N/A",(AC93)/AC$84),"N/A")</f>
        <v>N/A</v>
      </c>
      <c r="AD11" s="250" t="str">
        <f aca="false">IF(O$50&gt;0,IF(AD$84=0,"N/A",(AD93)/AD$84),"N/A")</f>
        <v>N/A</v>
      </c>
      <c r="AE11" s="253" t="n">
        <f aca="false">COUNTIF(U11:AD11,"&lt;5")</f>
        <v>0</v>
      </c>
      <c r="AF11" s="242"/>
      <c r="AG11" s="252" t="n">
        <f aca="false">SUMPRODUCT(AJ11:AS11,AJ$51:AS$51)</f>
        <v>0</v>
      </c>
      <c r="AH11" s="246"/>
      <c r="AI11" s="247" t="n">
        <f aca="false">IF(AG11&lt;1,1,IF(AND(AG11&lt;5,AT11&gt;0),TRUNC(AG11,0),IF(AND(AG11&gt;5,AT11&gt;0),4,ROUND(AG11,0))))</f>
        <v>1</v>
      </c>
      <c r="AJ11" s="248" t="str">
        <f aca="false">IF(F$50&gt;0,IF(AJ$84=0,"N/A",(AJ93)/AJ$84),"N/A")</f>
        <v>N/A</v>
      </c>
      <c r="AK11" s="249" t="str">
        <f aca="false">IF(G$50&gt;0,IF(AK$84=0,"N/A",(AK93)/AK$84),"N/A")</f>
        <v>N/A</v>
      </c>
      <c r="AL11" s="249" t="str">
        <f aca="false">IF(H$50&gt;0,IF(AL$84=0,"N/A",(AL93)/AL$84),"N/A")</f>
        <v>N/A</v>
      </c>
      <c r="AM11" s="249" t="str">
        <f aca="false">IF(I$50&gt;0,IF(AM$84=0,"N/A",(AM93)/AM$84),"N/A")</f>
        <v>N/A</v>
      </c>
      <c r="AN11" s="249" t="str">
        <f aca="false">IF(J$50&gt;0,IF(AN$84=0,"N/A",(AN93)/AN$84),"N/A")</f>
        <v>N/A</v>
      </c>
      <c r="AO11" s="249" t="str">
        <f aca="false">IF(K$50&gt;0,IF(AO$84=0,"N/A",(AO93)/AO$84),"N/A")</f>
        <v>N/A</v>
      </c>
      <c r="AP11" s="249" t="str">
        <f aca="false">IF(L$50&gt;0,IF(AP$84=0,"N/A",(AP93)/AP$84),"N/A")</f>
        <v>N/A</v>
      </c>
      <c r="AQ11" s="249" t="str">
        <f aca="false">IF(M$50&gt;0,IF(AQ$84=0,"N/A",(AQ93)/AQ$84),"N/A")</f>
        <v>N/A</v>
      </c>
      <c r="AR11" s="249" t="str">
        <f aca="false">IF(N$50&gt;0,IF(AR$84=0,"N/A",(AR93)/AR$84),"N/A")</f>
        <v>N/A</v>
      </c>
      <c r="AS11" s="250" t="str">
        <f aca="false">IF(O$50&gt;0,IF(AS$84=0,"N/A",(AS93)/AS$84),"N/A")</f>
        <v>N/A</v>
      </c>
      <c r="AT11" s="253" t="n">
        <f aca="false">COUNTIF(AJ11:AS11,"&lt;5")</f>
        <v>0</v>
      </c>
      <c r="AU11" s="242"/>
      <c r="AV11" s="252" t="n">
        <f aca="false">SUMPRODUCT(AY11:BH11,AY$51:BH$51)</f>
        <v>0</v>
      </c>
      <c r="AW11" s="246"/>
      <c r="AX11" s="247" t="n">
        <f aca="false">IF(AV11&lt;1,1,IF(AND(AV11&lt;5,BI11&gt;0),TRUNC(AV11,0),IF(AND(AV11&gt;5,BI11&gt;0),4,ROUND(AV11,0))))</f>
        <v>1</v>
      </c>
      <c r="AY11" s="248" t="str">
        <f aca="false">IF(F$50&gt;0,IF(AY$84=0,"N/A",(AY93)/AY$84),"N/A")</f>
        <v>N/A</v>
      </c>
      <c r="AZ11" s="249" t="str">
        <f aca="false">IF(G$50&gt;0,IF(AZ$84=0,"N/A",(AZ93)/AZ$84),"N/A")</f>
        <v>N/A</v>
      </c>
      <c r="BA11" s="249" t="str">
        <f aca="false">IF(H$50&gt;0,IF(BA$84=0,"N/A",(BA93)/BA$84),"N/A")</f>
        <v>N/A</v>
      </c>
      <c r="BB11" s="249" t="str">
        <f aca="false">IF(I$50&gt;0,IF(BB$84=0,"N/A",(BB93)/BB$84),"N/A")</f>
        <v>N/A</v>
      </c>
      <c r="BC11" s="249" t="str">
        <f aca="false">IF(J$50&gt;0,IF(BC$84=0,"N/A",(BC93)/BC$84),"N/A")</f>
        <v>N/A</v>
      </c>
      <c r="BD11" s="249" t="str">
        <f aca="false">IF(K$50&gt;0,IF(BD$84=0,"N/A",(BD93)/BD$84),"N/A")</f>
        <v>N/A</v>
      </c>
      <c r="BE11" s="249" t="str">
        <f aca="false">IF(L$50&gt;0,IF(BE$84=0,"N/A",(BE93)/BE$84),"N/A")</f>
        <v>N/A</v>
      </c>
      <c r="BF11" s="249" t="str">
        <f aca="false">IF(M$50&gt;0,IF(BF$84=0,"N/A",(BF93)/BF$84),"N/A")</f>
        <v>N/A</v>
      </c>
      <c r="BG11" s="249" t="str">
        <f aca="false">IF(N$50&gt;0,IF(BG$84=0,"N/A",(BG93)/BG$84),"N/A")</f>
        <v>N/A</v>
      </c>
      <c r="BH11" s="250" t="str">
        <f aca="false">IF(O$50&gt;0,IF(BH$84=0,"N/A",(BH93)/BH$84),"N/A")</f>
        <v>N/A</v>
      </c>
      <c r="BI11" s="253" t="n">
        <f aca="false">COUNTIF(AY11:BH11,"&lt;5")</f>
        <v>0</v>
      </c>
      <c r="BJ11" s="242"/>
    </row>
    <row r="12" customFormat="false" ht="13.8" hidden="false" customHeight="false" outlineLevel="0" collapsed="false">
      <c r="A12" s="29" t="n">
        <v>8</v>
      </c>
      <c r="B12" s="151" t="str">
        <f aca="false">'Datos Iniciales'!T16</f>
        <v>Alumno8</v>
      </c>
      <c r="C12" s="245" t="n">
        <f aca="false">SUMPRODUCT(F12:O12,F$50:O$50)</f>
        <v>6.5025</v>
      </c>
      <c r="D12" s="246"/>
      <c r="E12" s="247" t="n">
        <f aca="false">IF(C12&lt;1,1,IF(AND(C12&lt;5,P12&gt;0),TRUNC(C12,0),IF(AND(C12&gt;5,P12&gt;0),4,ROUND(C12,0))))</f>
        <v>7</v>
      </c>
      <c r="F12" s="248" t="n">
        <f aca="false">IF(F$50&gt;0,Actividades!LX13,"N/A")</f>
        <v>6.9125</v>
      </c>
      <c r="G12" s="249" t="n">
        <f aca="false">IF(G$50&gt;0,Actividades!LY13,"N/A")</f>
        <v>6.05</v>
      </c>
      <c r="H12" s="249" t="n">
        <f aca="false">IF(H$50&gt;0,Actividades!LZ13,"N/A")</f>
        <v>7.22</v>
      </c>
      <c r="I12" s="249" t="n">
        <f aca="false">IF(I$50&gt;0,Actividades!MA13,"N/A")</f>
        <v>8.14</v>
      </c>
      <c r="J12" s="249" t="str">
        <f aca="false">IF(J$50&gt;0,Actividades!MB13,"N/A")</f>
        <v>N/A</v>
      </c>
      <c r="K12" s="249" t="str">
        <f aca="false">IF(K$50&gt;0,Actividades!MC13,"N/A")</f>
        <v>N/A</v>
      </c>
      <c r="L12" s="249" t="str">
        <f aca="false">IF(L$50&gt;0,Actividades!MD13,"N/A")</f>
        <v>N/A</v>
      </c>
      <c r="M12" s="249" t="str">
        <f aca="false">IF(M$50&gt;0,Actividades!ME13,"N/A")</f>
        <v>N/A</v>
      </c>
      <c r="N12" s="249" t="str">
        <f aca="false">IF(N$50&gt;0,Actividades!MF13,"N/A")</f>
        <v>N/A</v>
      </c>
      <c r="O12" s="250" t="str">
        <f aca="false">IF(O$50&gt;0,Actividades!MG13,"N/A")</f>
        <v>N/A</v>
      </c>
      <c r="P12" s="251" t="n">
        <f aca="false">COUNTIF(F12:O12,"&lt;5")</f>
        <v>0</v>
      </c>
      <c r="Q12" s="242"/>
      <c r="R12" s="252" t="n">
        <f aca="false">SUMPRODUCT(U12:AD12,U$51:AD$51)</f>
        <v>6.5025</v>
      </c>
      <c r="S12" s="246"/>
      <c r="T12" s="247" t="n">
        <f aca="false">IF(R12&lt;1,1,IF(AND(R12&lt;5,AE12&gt;0),TRUNC(R12,0),IF(AND(R12&gt;5,AE12&gt;0),4,ROUND(R12,0))))</f>
        <v>7</v>
      </c>
      <c r="U12" s="248" t="n">
        <f aca="false">IF(F$50&gt;0,IF(U$84=0,"N/A",(U94)/U$84),"N/A")</f>
        <v>6.9125</v>
      </c>
      <c r="V12" s="249" t="n">
        <f aca="false">IF(G$50&gt;0,IF(V$84=0,"N/A",(V94)/V$84),"N/A")</f>
        <v>6.05</v>
      </c>
      <c r="W12" s="249" t="n">
        <f aca="false">IF(H$50&gt;0,IF(W$84=0,"N/A",(W94)/W$84),"N/A")</f>
        <v>7.22</v>
      </c>
      <c r="X12" s="249" t="n">
        <f aca="false">IF(I$50&gt;0,IF(X$84=0,"N/A",(X94)/X$84),"N/A")</f>
        <v>8.14</v>
      </c>
      <c r="Y12" s="249" t="str">
        <f aca="false">IF(J$50&gt;0,IF(Y$84=0,"N/A",(Y94)/Y$84),"N/A")</f>
        <v>N/A</v>
      </c>
      <c r="Z12" s="249" t="str">
        <f aca="false">IF(K$50&gt;0,IF(Z$84=0,"N/A",(Z94)/Z$84),"N/A")</f>
        <v>N/A</v>
      </c>
      <c r="AA12" s="249" t="str">
        <f aca="false">IF(L$50&gt;0,IF(AA$84=0,"N/A",(AA94)/AA$84),"N/A")</f>
        <v>N/A</v>
      </c>
      <c r="AB12" s="249" t="str">
        <f aca="false">IF(M$50&gt;0,IF(AB$84=0,"N/A",(AB94)/AB$84),"N/A")</f>
        <v>N/A</v>
      </c>
      <c r="AC12" s="249" t="str">
        <f aca="false">IF(N$50&gt;0,IF(AC$84=0,"N/A",(AC94)/AC$84),"N/A")</f>
        <v>N/A</v>
      </c>
      <c r="AD12" s="250" t="str">
        <f aca="false">IF(O$50&gt;0,IF(AD$84=0,"N/A",(AD94)/AD$84),"N/A")</f>
        <v>N/A</v>
      </c>
      <c r="AE12" s="253" t="n">
        <f aca="false">COUNTIF(U12:AD12,"&lt;5")</f>
        <v>0</v>
      </c>
      <c r="AF12" s="242"/>
      <c r="AG12" s="252" t="n">
        <f aca="false">SUMPRODUCT(AJ12:AS12,AJ$51:AS$51)</f>
        <v>0</v>
      </c>
      <c r="AH12" s="246"/>
      <c r="AI12" s="247" t="n">
        <f aca="false">IF(AG12&lt;1,1,IF(AND(AG12&lt;5,AT12&gt;0),TRUNC(AG12,0),IF(AND(AG12&gt;5,AT12&gt;0),4,ROUND(AG12,0))))</f>
        <v>1</v>
      </c>
      <c r="AJ12" s="248" t="str">
        <f aca="false">IF(F$50&gt;0,IF(AJ$84=0,"N/A",(AJ94)/AJ$84),"N/A")</f>
        <v>N/A</v>
      </c>
      <c r="AK12" s="249" t="str">
        <f aca="false">IF(G$50&gt;0,IF(AK$84=0,"N/A",(AK94)/AK$84),"N/A")</f>
        <v>N/A</v>
      </c>
      <c r="AL12" s="249" t="str">
        <f aca="false">IF(H$50&gt;0,IF(AL$84=0,"N/A",(AL94)/AL$84),"N/A")</f>
        <v>N/A</v>
      </c>
      <c r="AM12" s="249" t="str">
        <f aca="false">IF(I$50&gt;0,IF(AM$84=0,"N/A",(AM94)/AM$84),"N/A")</f>
        <v>N/A</v>
      </c>
      <c r="AN12" s="249" t="str">
        <f aca="false">IF(J$50&gt;0,IF(AN$84=0,"N/A",(AN94)/AN$84),"N/A")</f>
        <v>N/A</v>
      </c>
      <c r="AO12" s="249" t="str">
        <f aca="false">IF(K$50&gt;0,IF(AO$84=0,"N/A",(AO94)/AO$84),"N/A")</f>
        <v>N/A</v>
      </c>
      <c r="AP12" s="249" t="str">
        <f aca="false">IF(L$50&gt;0,IF(AP$84=0,"N/A",(AP94)/AP$84),"N/A")</f>
        <v>N/A</v>
      </c>
      <c r="AQ12" s="249" t="str">
        <f aca="false">IF(M$50&gt;0,IF(AQ$84=0,"N/A",(AQ94)/AQ$84),"N/A")</f>
        <v>N/A</v>
      </c>
      <c r="AR12" s="249" t="str">
        <f aca="false">IF(N$50&gt;0,IF(AR$84=0,"N/A",(AR94)/AR$84),"N/A")</f>
        <v>N/A</v>
      </c>
      <c r="AS12" s="250" t="str">
        <f aca="false">IF(O$50&gt;0,IF(AS$84=0,"N/A",(AS94)/AS$84),"N/A")</f>
        <v>N/A</v>
      </c>
      <c r="AT12" s="253" t="n">
        <f aca="false">COUNTIF(AJ12:AS12,"&lt;5")</f>
        <v>0</v>
      </c>
      <c r="AU12" s="242"/>
      <c r="AV12" s="252" t="n">
        <f aca="false">SUMPRODUCT(AY12:BH12,AY$51:BH$51)</f>
        <v>0</v>
      </c>
      <c r="AW12" s="246"/>
      <c r="AX12" s="247" t="n">
        <f aca="false">IF(AV12&lt;1,1,IF(AND(AV12&lt;5,BI12&gt;0),TRUNC(AV12,0),IF(AND(AV12&gt;5,BI12&gt;0),4,ROUND(AV12,0))))</f>
        <v>1</v>
      </c>
      <c r="AY12" s="248" t="str">
        <f aca="false">IF(F$50&gt;0,IF(AY$84=0,"N/A",(AY94)/AY$84),"N/A")</f>
        <v>N/A</v>
      </c>
      <c r="AZ12" s="249" t="str">
        <f aca="false">IF(G$50&gt;0,IF(AZ$84=0,"N/A",(AZ94)/AZ$84),"N/A")</f>
        <v>N/A</v>
      </c>
      <c r="BA12" s="249" t="str">
        <f aca="false">IF(H$50&gt;0,IF(BA$84=0,"N/A",(BA94)/BA$84),"N/A")</f>
        <v>N/A</v>
      </c>
      <c r="BB12" s="249" t="str">
        <f aca="false">IF(I$50&gt;0,IF(BB$84=0,"N/A",(BB94)/BB$84),"N/A")</f>
        <v>N/A</v>
      </c>
      <c r="BC12" s="249" t="str">
        <f aca="false">IF(J$50&gt;0,IF(BC$84=0,"N/A",(BC94)/BC$84),"N/A")</f>
        <v>N/A</v>
      </c>
      <c r="BD12" s="249" t="str">
        <f aca="false">IF(K$50&gt;0,IF(BD$84=0,"N/A",(BD94)/BD$84),"N/A")</f>
        <v>N/A</v>
      </c>
      <c r="BE12" s="249" t="str">
        <f aca="false">IF(L$50&gt;0,IF(BE$84=0,"N/A",(BE94)/BE$84),"N/A")</f>
        <v>N/A</v>
      </c>
      <c r="BF12" s="249" t="str">
        <f aca="false">IF(M$50&gt;0,IF(BF$84=0,"N/A",(BF94)/BF$84),"N/A")</f>
        <v>N/A</v>
      </c>
      <c r="BG12" s="249" t="str">
        <f aca="false">IF(N$50&gt;0,IF(BG$84=0,"N/A",(BG94)/BG$84),"N/A")</f>
        <v>N/A</v>
      </c>
      <c r="BH12" s="250" t="str">
        <f aca="false">IF(O$50&gt;0,IF(BH$84=0,"N/A",(BH94)/BH$84),"N/A")</f>
        <v>N/A</v>
      </c>
      <c r="BI12" s="253" t="n">
        <f aca="false">COUNTIF(AY12:BH12,"&lt;5")</f>
        <v>0</v>
      </c>
      <c r="BJ12" s="242"/>
    </row>
    <row r="13" customFormat="false" ht="13.8" hidden="false" customHeight="false" outlineLevel="0" collapsed="false">
      <c r="A13" s="29" t="n">
        <v>9</v>
      </c>
      <c r="B13" s="151" t="str">
        <f aca="false">'Datos Iniciales'!T17</f>
        <v>Alumno9</v>
      </c>
      <c r="C13" s="245" t="n">
        <f aca="false">SUMPRODUCT(F13:O13,F$50:O$50)</f>
        <v>5.26025</v>
      </c>
      <c r="D13" s="246"/>
      <c r="E13" s="247" t="n">
        <f aca="false">IF(C13&lt;1,1,IF(AND(C13&lt;5,P13&gt;0),TRUNC(C13,0),IF(AND(C13&gt;5,P13&gt;0),4,ROUND(C13,0))))</f>
        <v>4</v>
      </c>
      <c r="F13" s="248" t="n">
        <f aca="false">IF(F$50&gt;0,Actividades!LX14,"N/A")</f>
        <v>5.65</v>
      </c>
      <c r="G13" s="249" t="n">
        <f aca="false">IF(G$50&gt;0,Actividades!LY14,"N/A")</f>
        <v>4.95</v>
      </c>
      <c r="H13" s="249" t="n">
        <f aca="false">IF(H$50&gt;0,Actividades!LZ14,"N/A")</f>
        <v>5.855</v>
      </c>
      <c r="I13" s="249" t="n">
        <f aca="false">IF(I$50&gt;0,Actividades!MA14,"N/A")</f>
        <v>5.64</v>
      </c>
      <c r="J13" s="249" t="str">
        <f aca="false">IF(J$50&gt;0,Actividades!MB14,"N/A")</f>
        <v>N/A</v>
      </c>
      <c r="K13" s="249" t="str">
        <f aca="false">IF(K$50&gt;0,Actividades!MC14,"N/A")</f>
        <v>N/A</v>
      </c>
      <c r="L13" s="249" t="str">
        <f aca="false">IF(L$50&gt;0,Actividades!MD14,"N/A")</f>
        <v>N/A</v>
      </c>
      <c r="M13" s="249" t="str">
        <f aca="false">IF(M$50&gt;0,Actividades!ME14,"N/A")</f>
        <v>N/A</v>
      </c>
      <c r="N13" s="249" t="str">
        <f aca="false">IF(N$50&gt;0,Actividades!MF14,"N/A")</f>
        <v>N/A</v>
      </c>
      <c r="O13" s="250" t="str">
        <f aca="false">IF(O$50&gt;0,Actividades!MG14,"N/A")</f>
        <v>N/A</v>
      </c>
      <c r="P13" s="251" t="n">
        <f aca="false">COUNTIF(F13:O13,"&lt;5")</f>
        <v>1</v>
      </c>
      <c r="Q13" s="242"/>
      <c r="R13" s="252" t="n">
        <f aca="false">SUMPRODUCT(U13:AD13,U$51:AD$51)</f>
        <v>5.26025</v>
      </c>
      <c r="S13" s="246"/>
      <c r="T13" s="247" t="n">
        <f aca="false">IF(R13&lt;1,1,IF(AND(R13&lt;5,AE13&gt;0),TRUNC(R13,0),IF(AND(R13&gt;5,AE13&gt;0),4,ROUND(R13,0))))</f>
        <v>4</v>
      </c>
      <c r="U13" s="248" t="n">
        <f aca="false">IF(F$50&gt;0,IF(U$84=0,"N/A",(U95)/U$84),"N/A")</f>
        <v>5.65</v>
      </c>
      <c r="V13" s="249" t="n">
        <f aca="false">IF(G$50&gt;0,IF(V$84=0,"N/A",(V95)/V$84),"N/A")</f>
        <v>4.95</v>
      </c>
      <c r="W13" s="249" t="n">
        <f aca="false">IF(H$50&gt;0,IF(W$84=0,"N/A",(W95)/W$84),"N/A")</f>
        <v>5.855</v>
      </c>
      <c r="X13" s="249" t="n">
        <f aca="false">IF(I$50&gt;0,IF(X$84=0,"N/A",(X95)/X$84),"N/A")</f>
        <v>5.64</v>
      </c>
      <c r="Y13" s="249" t="str">
        <f aca="false">IF(J$50&gt;0,IF(Y$84=0,"N/A",(Y95)/Y$84),"N/A")</f>
        <v>N/A</v>
      </c>
      <c r="Z13" s="249" t="str">
        <f aca="false">IF(K$50&gt;0,IF(Z$84=0,"N/A",(Z95)/Z$84),"N/A")</f>
        <v>N/A</v>
      </c>
      <c r="AA13" s="249" t="str">
        <f aca="false">IF(L$50&gt;0,IF(AA$84=0,"N/A",(AA95)/AA$84),"N/A")</f>
        <v>N/A</v>
      </c>
      <c r="AB13" s="249" t="str">
        <f aca="false">IF(M$50&gt;0,IF(AB$84=0,"N/A",(AB95)/AB$84),"N/A")</f>
        <v>N/A</v>
      </c>
      <c r="AC13" s="249" t="str">
        <f aca="false">IF(N$50&gt;0,IF(AC$84=0,"N/A",(AC95)/AC$84),"N/A")</f>
        <v>N/A</v>
      </c>
      <c r="AD13" s="250" t="str">
        <f aca="false">IF(O$50&gt;0,IF(AD$84=0,"N/A",(AD95)/AD$84),"N/A")</f>
        <v>N/A</v>
      </c>
      <c r="AE13" s="253" t="n">
        <f aca="false">COUNTIF(U13:AD13,"&lt;5")</f>
        <v>1</v>
      </c>
      <c r="AF13" s="242"/>
      <c r="AG13" s="252" t="n">
        <f aca="false">SUMPRODUCT(AJ13:AS13,AJ$51:AS$51)</f>
        <v>0</v>
      </c>
      <c r="AH13" s="246"/>
      <c r="AI13" s="247" t="n">
        <f aca="false">IF(AG13&lt;1,1,IF(AND(AG13&lt;5,AT13&gt;0),TRUNC(AG13,0),IF(AND(AG13&gt;5,AT13&gt;0),4,ROUND(AG13,0))))</f>
        <v>1</v>
      </c>
      <c r="AJ13" s="248" t="str">
        <f aca="false">IF(F$50&gt;0,IF(AJ$84=0,"N/A",(AJ95)/AJ$84),"N/A")</f>
        <v>N/A</v>
      </c>
      <c r="AK13" s="249" t="str">
        <f aca="false">IF(G$50&gt;0,IF(AK$84=0,"N/A",(AK95)/AK$84),"N/A")</f>
        <v>N/A</v>
      </c>
      <c r="AL13" s="249" t="str">
        <f aca="false">IF(H$50&gt;0,IF(AL$84=0,"N/A",(AL95)/AL$84),"N/A")</f>
        <v>N/A</v>
      </c>
      <c r="AM13" s="249" t="str">
        <f aca="false">IF(I$50&gt;0,IF(AM$84=0,"N/A",(AM95)/AM$84),"N/A")</f>
        <v>N/A</v>
      </c>
      <c r="AN13" s="249" t="str">
        <f aca="false">IF(J$50&gt;0,IF(AN$84=0,"N/A",(AN95)/AN$84),"N/A")</f>
        <v>N/A</v>
      </c>
      <c r="AO13" s="249" t="str">
        <f aca="false">IF(K$50&gt;0,IF(AO$84=0,"N/A",(AO95)/AO$84),"N/A")</f>
        <v>N/A</v>
      </c>
      <c r="AP13" s="249" t="str">
        <f aca="false">IF(L$50&gt;0,IF(AP$84=0,"N/A",(AP95)/AP$84),"N/A")</f>
        <v>N/A</v>
      </c>
      <c r="AQ13" s="249" t="str">
        <f aca="false">IF(M$50&gt;0,IF(AQ$84=0,"N/A",(AQ95)/AQ$84),"N/A")</f>
        <v>N/A</v>
      </c>
      <c r="AR13" s="249" t="str">
        <f aca="false">IF(N$50&gt;0,IF(AR$84=0,"N/A",(AR95)/AR$84),"N/A")</f>
        <v>N/A</v>
      </c>
      <c r="AS13" s="250" t="str">
        <f aca="false">IF(O$50&gt;0,IF(AS$84=0,"N/A",(AS95)/AS$84),"N/A")</f>
        <v>N/A</v>
      </c>
      <c r="AT13" s="253" t="n">
        <f aca="false">COUNTIF(AJ13:AS13,"&lt;5")</f>
        <v>0</v>
      </c>
      <c r="AU13" s="242"/>
      <c r="AV13" s="252" t="n">
        <f aca="false">SUMPRODUCT(AY13:BH13,AY$51:BH$51)</f>
        <v>0</v>
      </c>
      <c r="AW13" s="246"/>
      <c r="AX13" s="247" t="n">
        <f aca="false">IF(AV13&lt;1,1,IF(AND(AV13&lt;5,BI13&gt;0),TRUNC(AV13,0),IF(AND(AV13&gt;5,BI13&gt;0),4,ROUND(AV13,0))))</f>
        <v>1</v>
      </c>
      <c r="AY13" s="248" t="str">
        <f aca="false">IF(F$50&gt;0,IF(AY$84=0,"N/A",(AY95)/AY$84),"N/A")</f>
        <v>N/A</v>
      </c>
      <c r="AZ13" s="249" t="str">
        <f aca="false">IF(G$50&gt;0,IF(AZ$84=0,"N/A",(AZ95)/AZ$84),"N/A")</f>
        <v>N/A</v>
      </c>
      <c r="BA13" s="249" t="str">
        <f aca="false">IF(H$50&gt;0,IF(BA$84=0,"N/A",(BA95)/BA$84),"N/A")</f>
        <v>N/A</v>
      </c>
      <c r="BB13" s="249" t="str">
        <f aca="false">IF(I$50&gt;0,IF(BB$84=0,"N/A",(BB95)/BB$84),"N/A")</f>
        <v>N/A</v>
      </c>
      <c r="BC13" s="249" t="str">
        <f aca="false">IF(J$50&gt;0,IF(BC$84=0,"N/A",(BC95)/BC$84),"N/A")</f>
        <v>N/A</v>
      </c>
      <c r="BD13" s="249" t="str">
        <f aca="false">IF(K$50&gt;0,IF(BD$84=0,"N/A",(BD95)/BD$84),"N/A")</f>
        <v>N/A</v>
      </c>
      <c r="BE13" s="249" t="str">
        <f aca="false">IF(L$50&gt;0,IF(BE$84=0,"N/A",(BE95)/BE$84),"N/A")</f>
        <v>N/A</v>
      </c>
      <c r="BF13" s="249" t="str">
        <f aca="false">IF(M$50&gt;0,IF(BF$84=0,"N/A",(BF95)/BF$84),"N/A")</f>
        <v>N/A</v>
      </c>
      <c r="BG13" s="249" t="str">
        <f aca="false">IF(N$50&gt;0,IF(BG$84=0,"N/A",(BG95)/BG$84),"N/A")</f>
        <v>N/A</v>
      </c>
      <c r="BH13" s="250" t="str">
        <f aca="false">IF(O$50&gt;0,IF(BH$84=0,"N/A",(BH95)/BH$84),"N/A")</f>
        <v>N/A</v>
      </c>
      <c r="BI13" s="253" t="n">
        <f aca="false">COUNTIF(AY13:BH13,"&lt;5")</f>
        <v>0</v>
      </c>
      <c r="BJ13" s="242"/>
    </row>
    <row r="14" customFormat="false" ht="13.8" hidden="false" customHeight="false" outlineLevel="0" collapsed="false">
      <c r="A14" s="29" t="n">
        <v>10</v>
      </c>
      <c r="B14" s="151" t="str">
        <f aca="false">'Datos Iniciales'!T18</f>
        <v>Alumno10</v>
      </c>
      <c r="C14" s="245" t="n">
        <f aca="false">SUMPRODUCT(F14:O14,F$50:O$50)</f>
        <v>5.0165</v>
      </c>
      <c r="D14" s="246"/>
      <c r="E14" s="247" t="n">
        <f aca="false">IF(C14&lt;1,1,IF(AND(C14&lt;5,P14&gt;0),TRUNC(C14,0),IF(AND(C14&gt;5,P14&gt;0),4,ROUND(C14,0))))</f>
        <v>4</v>
      </c>
      <c r="F14" s="248" t="n">
        <f aca="false">IF(F$50&gt;0,Actividades!LX15,"N/A")</f>
        <v>5</v>
      </c>
      <c r="G14" s="249" t="n">
        <f aca="false">IF(G$50&gt;0,Actividades!LY15,"N/A")</f>
        <v>5.25</v>
      </c>
      <c r="H14" s="249" t="n">
        <f aca="false">IF(H$50&gt;0,Actividades!LZ15,"N/A")</f>
        <v>4.23</v>
      </c>
      <c r="I14" s="249" t="n">
        <f aca="false">IF(I$50&gt;0,Actividades!MA15,"N/A")</f>
        <v>4.64</v>
      </c>
      <c r="J14" s="249" t="str">
        <f aca="false">IF(J$50&gt;0,Actividades!MB15,"N/A")</f>
        <v>N/A</v>
      </c>
      <c r="K14" s="249" t="str">
        <f aca="false">IF(K$50&gt;0,Actividades!MC15,"N/A")</f>
        <v>N/A</v>
      </c>
      <c r="L14" s="249" t="str">
        <f aca="false">IF(L$50&gt;0,Actividades!MD15,"N/A")</f>
        <v>N/A</v>
      </c>
      <c r="M14" s="249" t="str">
        <f aca="false">IF(M$50&gt;0,Actividades!ME15,"N/A")</f>
        <v>N/A</v>
      </c>
      <c r="N14" s="249" t="str">
        <f aca="false">IF(N$50&gt;0,Actividades!MF15,"N/A")</f>
        <v>N/A</v>
      </c>
      <c r="O14" s="250" t="str">
        <f aca="false">IF(O$50&gt;0,Actividades!MG15,"N/A")</f>
        <v>N/A</v>
      </c>
      <c r="P14" s="251" t="n">
        <f aca="false">COUNTIF(F14:O14,"&lt;5")</f>
        <v>2</v>
      </c>
      <c r="Q14" s="242"/>
      <c r="R14" s="252" t="n">
        <f aca="false">SUMPRODUCT(U14:AD14,U$51:AD$51)</f>
        <v>5.0165</v>
      </c>
      <c r="S14" s="246"/>
      <c r="T14" s="247" t="n">
        <f aca="false">IF(R14&lt;1,1,IF(AND(R14&lt;5,AE14&gt;0),TRUNC(R14,0),IF(AND(R14&gt;5,AE14&gt;0),4,ROUND(R14,0))))</f>
        <v>4</v>
      </c>
      <c r="U14" s="248" t="n">
        <f aca="false">IF(F$50&gt;0,IF(U$84=0,"N/A",(U96)/U$84),"N/A")</f>
        <v>5</v>
      </c>
      <c r="V14" s="249" t="n">
        <f aca="false">IF(G$50&gt;0,IF(V$84=0,"N/A",(V96)/V$84),"N/A")</f>
        <v>5.25</v>
      </c>
      <c r="W14" s="249" t="n">
        <f aca="false">IF(H$50&gt;0,IF(W$84=0,"N/A",(W96)/W$84),"N/A")</f>
        <v>4.23</v>
      </c>
      <c r="X14" s="249" t="n">
        <f aca="false">IF(I$50&gt;0,IF(X$84=0,"N/A",(X96)/X$84),"N/A")</f>
        <v>4.64</v>
      </c>
      <c r="Y14" s="249" t="str">
        <f aca="false">IF(J$50&gt;0,IF(Y$84=0,"N/A",(Y96)/Y$84),"N/A")</f>
        <v>N/A</v>
      </c>
      <c r="Z14" s="249" t="str">
        <f aca="false">IF(K$50&gt;0,IF(Z$84=0,"N/A",(Z96)/Z$84),"N/A")</f>
        <v>N/A</v>
      </c>
      <c r="AA14" s="249" t="str">
        <f aca="false">IF(L$50&gt;0,IF(AA$84=0,"N/A",(AA96)/AA$84),"N/A")</f>
        <v>N/A</v>
      </c>
      <c r="AB14" s="249" t="str">
        <f aca="false">IF(M$50&gt;0,IF(AB$84=0,"N/A",(AB96)/AB$84),"N/A")</f>
        <v>N/A</v>
      </c>
      <c r="AC14" s="249" t="str">
        <f aca="false">IF(N$50&gt;0,IF(AC$84=0,"N/A",(AC96)/AC$84),"N/A")</f>
        <v>N/A</v>
      </c>
      <c r="AD14" s="250" t="str">
        <f aca="false">IF(O$50&gt;0,IF(AD$84=0,"N/A",(AD96)/AD$84),"N/A")</f>
        <v>N/A</v>
      </c>
      <c r="AE14" s="253" t="n">
        <f aca="false">COUNTIF(U14:AD14,"&lt;5")</f>
        <v>2</v>
      </c>
      <c r="AF14" s="242"/>
      <c r="AG14" s="252" t="n">
        <f aca="false">SUMPRODUCT(AJ14:AS14,AJ$51:AS$51)</f>
        <v>0</v>
      </c>
      <c r="AH14" s="246"/>
      <c r="AI14" s="247" t="n">
        <f aca="false">IF(AG14&lt;1,1,IF(AND(AG14&lt;5,AT14&gt;0),TRUNC(AG14,0),IF(AND(AG14&gt;5,AT14&gt;0),4,ROUND(AG14,0))))</f>
        <v>1</v>
      </c>
      <c r="AJ14" s="248" t="str">
        <f aca="false">IF(F$50&gt;0,IF(AJ$84=0,"N/A",(AJ96)/AJ$84),"N/A")</f>
        <v>N/A</v>
      </c>
      <c r="AK14" s="249" t="str">
        <f aca="false">IF(G$50&gt;0,IF(AK$84=0,"N/A",(AK96)/AK$84),"N/A")</f>
        <v>N/A</v>
      </c>
      <c r="AL14" s="249" t="str">
        <f aca="false">IF(H$50&gt;0,IF(AL$84=0,"N/A",(AL96)/AL$84),"N/A")</f>
        <v>N/A</v>
      </c>
      <c r="AM14" s="249" t="str">
        <f aca="false">IF(I$50&gt;0,IF(AM$84=0,"N/A",(AM96)/AM$84),"N/A")</f>
        <v>N/A</v>
      </c>
      <c r="AN14" s="249" t="str">
        <f aca="false">IF(J$50&gt;0,IF(AN$84=0,"N/A",(AN96)/AN$84),"N/A")</f>
        <v>N/A</v>
      </c>
      <c r="AO14" s="249" t="str">
        <f aca="false">IF(K$50&gt;0,IF(AO$84=0,"N/A",(AO96)/AO$84),"N/A")</f>
        <v>N/A</v>
      </c>
      <c r="AP14" s="249" t="str">
        <f aca="false">IF(L$50&gt;0,IF(AP$84=0,"N/A",(AP96)/AP$84),"N/A")</f>
        <v>N/A</v>
      </c>
      <c r="AQ14" s="249" t="str">
        <f aca="false">IF(M$50&gt;0,IF(AQ$84=0,"N/A",(AQ96)/AQ$84),"N/A")</f>
        <v>N/A</v>
      </c>
      <c r="AR14" s="249" t="str">
        <f aca="false">IF(N$50&gt;0,IF(AR$84=0,"N/A",(AR96)/AR$84),"N/A")</f>
        <v>N/A</v>
      </c>
      <c r="AS14" s="250" t="str">
        <f aca="false">IF(O$50&gt;0,IF(AS$84=0,"N/A",(AS96)/AS$84),"N/A")</f>
        <v>N/A</v>
      </c>
      <c r="AT14" s="253" t="n">
        <f aca="false">COUNTIF(AJ14:AS14,"&lt;5")</f>
        <v>0</v>
      </c>
      <c r="AU14" s="242"/>
      <c r="AV14" s="252" t="n">
        <f aca="false">SUMPRODUCT(AY14:BH14,AY$51:BH$51)</f>
        <v>0</v>
      </c>
      <c r="AW14" s="246"/>
      <c r="AX14" s="247" t="n">
        <f aca="false">IF(AV14&lt;1,1,IF(AND(AV14&lt;5,BI14&gt;0),TRUNC(AV14,0),IF(AND(AV14&gt;5,BI14&gt;0),4,ROUND(AV14,0))))</f>
        <v>1</v>
      </c>
      <c r="AY14" s="248" t="str">
        <f aca="false">IF(F$50&gt;0,IF(AY$84=0,"N/A",(AY96)/AY$84),"N/A")</f>
        <v>N/A</v>
      </c>
      <c r="AZ14" s="249" t="str">
        <f aca="false">IF(G$50&gt;0,IF(AZ$84=0,"N/A",(AZ96)/AZ$84),"N/A")</f>
        <v>N/A</v>
      </c>
      <c r="BA14" s="249" t="str">
        <f aca="false">IF(H$50&gt;0,IF(BA$84=0,"N/A",(BA96)/BA$84),"N/A")</f>
        <v>N/A</v>
      </c>
      <c r="BB14" s="249" t="str">
        <f aca="false">IF(I$50&gt;0,IF(BB$84=0,"N/A",(BB96)/BB$84),"N/A")</f>
        <v>N/A</v>
      </c>
      <c r="BC14" s="249" t="str">
        <f aca="false">IF(J$50&gt;0,IF(BC$84=0,"N/A",(BC96)/BC$84),"N/A")</f>
        <v>N/A</v>
      </c>
      <c r="BD14" s="249" t="str">
        <f aca="false">IF(K$50&gt;0,IF(BD$84=0,"N/A",(BD96)/BD$84),"N/A")</f>
        <v>N/A</v>
      </c>
      <c r="BE14" s="249" t="str">
        <f aca="false">IF(L$50&gt;0,IF(BE$84=0,"N/A",(BE96)/BE$84),"N/A")</f>
        <v>N/A</v>
      </c>
      <c r="BF14" s="249" t="str">
        <f aca="false">IF(M$50&gt;0,IF(BF$84=0,"N/A",(BF96)/BF$84),"N/A")</f>
        <v>N/A</v>
      </c>
      <c r="BG14" s="249" t="str">
        <f aca="false">IF(N$50&gt;0,IF(BG$84=0,"N/A",(BG96)/BG$84),"N/A")</f>
        <v>N/A</v>
      </c>
      <c r="BH14" s="250" t="str">
        <f aca="false">IF(O$50&gt;0,IF(BH$84=0,"N/A",(BH96)/BH$84),"N/A")</f>
        <v>N/A</v>
      </c>
      <c r="BI14" s="253" t="n">
        <f aca="false">COUNTIF(AY14:BH14,"&lt;5")</f>
        <v>0</v>
      </c>
      <c r="BJ14" s="242"/>
    </row>
    <row r="15" customFormat="false" ht="13.8" hidden="false" customHeight="false" outlineLevel="0" collapsed="false">
      <c r="A15" s="29" t="n">
        <v>11</v>
      </c>
      <c r="B15" s="151" t="str">
        <f aca="false">'Datos Iniciales'!T19</f>
        <v>Alumno11</v>
      </c>
      <c r="C15" s="245" t="n">
        <f aca="false">SUMPRODUCT(F15:O15,F$50:O$50)</f>
        <v>7.374</v>
      </c>
      <c r="D15" s="246"/>
      <c r="E15" s="247" t="n">
        <f aca="false">IF(C15&lt;1,1,IF(AND(C15&lt;5,P15&gt;0),TRUNC(C15,0),IF(AND(C15&gt;5,P15&gt;0),4,ROUND(C15,0))))</f>
        <v>7</v>
      </c>
      <c r="F15" s="248" t="n">
        <f aca="false">IF(F$50&gt;0,Actividades!LX16,"N/A")</f>
        <v>7.825</v>
      </c>
      <c r="G15" s="249" t="n">
        <f aca="false">IF(G$50&gt;0,Actividades!LY16,"N/A")</f>
        <v>7.4</v>
      </c>
      <c r="H15" s="249" t="n">
        <f aca="false">IF(H$50&gt;0,Actividades!LZ16,"N/A")</f>
        <v>7.06</v>
      </c>
      <c r="I15" s="249" t="n">
        <f aca="false">IF(I$50&gt;0,Actividades!MA16,"N/A")</f>
        <v>6.2</v>
      </c>
      <c r="J15" s="249" t="str">
        <f aca="false">IF(J$50&gt;0,Actividades!MB16,"N/A")</f>
        <v>N/A</v>
      </c>
      <c r="K15" s="249" t="str">
        <f aca="false">IF(K$50&gt;0,Actividades!MC16,"N/A")</f>
        <v>N/A</v>
      </c>
      <c r="L15" s="249" t="str">
        <f aca="false">IF(L$50&gt;0,Actividades!MD16,"N/A")</f>
        <v>N/A</v>
      </c>
      <c r="M15" s="249" t="str">
        <f aca="false">IF(M$50&gt;0,Actividades!ME16,"N/A")</f>
        <v>N/A</v>
      </c>
      <c r="N15" s="249" t="str">
        <f aca="false">IF(N$50&gt;0,Actividades!MF16,"N/A")</f>
        <v>N/A</v>
      </c>
      <c r="O15" s="250" t="str">
        <f aca="false">IF(O$50&gt;0,Actividades!MG16,"N/A")</f>
        <v>N/A</v>
      </c>
      <c r="P15" s="251" t="n">
        <f aca="false">COUNTIF(F15:O15,"&lt;5")</f>
        <v>0</v>
      </c>
      <c r="Q15" s="242"/>
      <c r="R15" s="252" t="n">
        <f aca="false">SUMPRODUCT(U15:AD15,U$51:AD$51)</f>
        <v>7.374</v>
      </c>
      <c r="S15" s="246"/>
      <c r="T15" s="247" t="n">
        <f aca="false">IF(R15&lt;1,1,IF(AND(R15&lt;5,AE15&gt;0),TRUNC(R15,0),IF(AND(R15&gt;5,AE15&gt;0),4,ROUND(R15,0))))</f>
        <v>7</v>
      </c>
      <c r="U15" s="248" t="n">
        <f aca="false">IF(F$50&gt;0,IF(U$84=0,"N/A",(U97)/U$84),"N/A")</f>
        <v>7.825</v>
      </c>
      <c r="V15" s="249" t="n">
        <f aca="false">IF(G$50&gt;0,IF(V$84=0,"N/A",(V97)/V$84),"N/A")</f>
        <v>7.4</v>
      </c>
      <c r="W15" s="249" t="n">
        <f aca="false">IF(H$50&gt;0,IF(W$84=0,"N/A",(W97)/W$84),"N/A")</f>
        <v>7.06</v>
      </c>
      <c r="X15" s="249" t="n">
        <f aca="false">IF(I$50&gt;0,IF(X$84=0,"N/A",(X97)/X$84),"N/A")</f>
        <v>6.2</v>
      </c>
      <c r="Y15" s="249" t="str">
        <f aca="false">IF(J$50&gt;0,IF(Y$84=0,"N/A",(Y97)/Y$84),"N/A")</f>
        <v>N/A</v>
      </c>
      <c r="Z15" s="249" t="str">
        <f aca="false">IF(K$50&gt;0,IF(Z$84=0,"N/A",(Z97)/Z$84),"N/A")</f>
        <v>N/A</v>
      </c>
      <c r="AA15" s="249" t="str">
        <f aca="false">IF(L$50&gt;0,IF(AA$84=0,"N/A",(AA97)/AA$84),"N/A")</f>
        <v>N/A</v>
      </c>
      <c r="AB15" s="249" t="str">
        <f aca="false">IF(M$50&gt;0,IF(AB$84=0,"N/A",(AB97)/AB$84),"N/A")</f>
        <v>N/A</v>
      </c>
      <c r="AC15" s="249" t="str">
        <f aca="false">IF(N$50&gt;0,IF(AC$84=0,"N/A",(AC97)/AC$84),"N/A")</f>
        <v>N/A</v>
      </c>
      <c r="AD15" s="250" t="str">
        <f aca="false">IF(O$50&gt;0,IF(AD$84=0,"N/A",(AD97)/AD$84),"N/A")</f>
        <v>N/A</v>
      </c>
      <c r="AE15" s="253" t="n">
        <f aca="false">COUNTIF(U15:AD15,"&lt;5")</f>
        <v>0</v>
      </c>
      <c r="AF15" s="242"/>
      <c r="AG15" s="252" t="n">
        <f aca="false">SUMPRODUCT(AJ15:AS15,AJ$51:AS$51)</f>
        <v>0</v>
      </c>
      <c r="AH15" s="246"/>
      <c r="AI15" s="247" t="n">
        <f aca="false">IF(AG15&lt;1,1,IF(AND(AG15&lt;5,AT15&gt;0),TRUNC(AG15,0),IF(AND(AG15&gt;5,AT15&gt;0),4,ROUND(AG15,0))))</f>
        <v>1</v>
      </c>
      <c r="AJ15" s="248" t="str">
        <f aca="false">IF(F$50&gt;0,IF(AJ$84=0,"N/A",(AJ97)/AJ$84),"N/A")</f>
        <v>N/A</v>
      </c>
      <c r="AK15" s="249" t="str">
        <f aca="false">IF(G$50&gt;0,IF(AK$84=0,"N/A",(AK97)/AK$84),"N/A")</f>
        <v>N/A</v>
      </c>
      <c r="AL15" s="249" t="str">
        <f aca="false">IF(H$50&gt;0,IF(AL$84=0,"N/A",(AL97)/AL$84),"N/A")</f>
        <v>N/A</v>
      </c>
      <c r="AM15" s="249" t="str">
        <f aca="false">IF(I$50&gt;0,IF(AM$84=0,"N/A",(AM97)/AM$84),"N/A")</f>
        <v>N/A</v>
      </c>
      <c r="AN15" s="249" t="str">
        <f aca="false">IF(J$50&gt;0,IF(AN$84=0,"N/A",(AN97)/AN$84),"N/A")</f>
        <v>N/A</v>
      </c>
      <c r="AO15" s="249" t="str">
        <f aca="false">IF(K$50&gt;0,IF(AO$84=0,"N/A",(AO97)/AO$84),"N/A")</f>
        <v>N/A</v>
      </c>
      <c r="AP15" s="249" t="str">
        <f aca="false">IF(L$50&gt;0,IF(AP$84=0,"N/A",(AP97)/AP$84),"N/A")</f>
        <v>N/A</v>
      </c>
      <c r="AQ15" s="249" t="str">
        <f aca="false">IF(M$50&gt;0,IF(AQ$84=0,"N/A",(AQ97)/AQ$84),"N/A")</f>
        <v>N/A</v>
      </c>
      <c r="AR15" s="249" t="str">
        <f aca="false">IF(N$50&gt;0,IF(AR$84=0,"N/A",(AR97)/AR$84),"N/A")</f>
        <v>N/A</v>
      </c>
      <c r="AS15" s="250" t="str">
        <f aca="false">IF(O$50&gt;0,IF(AS$84=0,"N/A",(AS97)/AS$84),"N/A")</f>
        <v>N/A</v>
      </c>
      <c r="AT15" s="253" t="n">
        <f aca="false">COUNTIF(AJ15:AS15,"&lt;5")</f>
        <v>0</v>
      </c>
      <c r="AU15" s="242"/>
      <c r="AV15" s="252" t="n">
        <f aca="false">SUMPRODUCT(AY15:BH15,AY$51:BH$51)</f>
        <v>0</v>
      </c>
      <c r="AW15" s="246"/>
      <c r="AX15" s="247" t="n">
        <f aca="false">IF(AV15&lt;1,1,IF(AND(AV15&lt;5,BI15&gt;0),TRUNC(AV15,0),IF(AND(AV15&gt;5,BI15&gt;0),4,ROUND(AV15,0))))</f>
        <v>1</v>
      </c>
      <c r="AY15" s="248" t="str">
        <f aca="false">IF(F$50&gt;0,IF(AY$84=0,"N/A",(AY97)/AY$84),"N/A")</f>
        <v>N/A</v>
      </c>
      <c r="AZ15" s="249" t="str">
        <f aca="false">IF(G$50&gt;0,IF(AZ$84=0,"N/A",(AZ97)/AZ$84),"N/A")</f>
        <v>N/A</v>
      </c>
      <c r="BA15" s="249" t="str">
        <f aca="false">IF(H$50&gt;0,IF(BA$84=0,"N/A",(BA97)/BA$84),"N/A")</f>
        <v>N/A</v>
      </c>
      <c r="BB15" s="249" t="str">
        <f aca="false">IF(I$50&gt;0,IF(BB$84=0,"N/A",(BB97)/BB$84),"N/A")</f>
        <v>N/A</v>
      </c>
      <c r="BC15" s="249" t="str">
        <f aca="false">IF(J$50&gt;0,IF(BC$84=0,"N/A",(BC97)/BC$84),"N/A")</f>
        <v>N/A</v>
      </c>
      <c r="BD15" s="249" t="str">
        <f aca="false">IF(K$50&gt;0,IF(BD$84=0,"N/A",(BD97)/BD$84),"N/A")</f>
        <v>N/A</v>
      </c>
      <c r="BE15" s="249" t="str">
        <f aca="false">IF(L$50&gt;0,IF(BE$84=0,"N/A",(BE97)/BE$84),"N/A")</f>
        <v>N/A</v>
      </c>
      <c r="BF15" s="249" t="str">
        <f aca="false">IF(M$50&gt;0,IF(BF$84=0,"N/A",(BF97)/BF$84),"N/A")</f>
        <v>N/A</v>
      </c>
      <c r="BG15" s="249" t="str">
        <f aca="false">IF(N$50&gt;0,IF(BG$84=0,"N/A",(BG97)/BG$84),"N/A")</f>
        <v>N/A</v>
      </c>
      <c r="BH15" s="250" t="str">
        <f aca="false">IF(O$50&gt;0,IF(BH$84=0,"N/A",(BH97)/BH$84),"N/A")</f>
        <v>N/A</v>
      </c>
      <c r="BI15" s="253" t="n">
        <f aca="false">COUNTIF(AY15:BH15,"&lt;5")</f>
        <v>0</v>
      </c>
      <c r="BJ15" s="242"/>
    </row>
    <row r="16" customFormat="false" ht="13.8" hidden="false" customHeight="false" outlineLevel="0" collapsed="false">
      <c r="A16" s="29" t="n">
        <v>12</v>
      </c>
      <c r="B16" s="151" t="str">
        <f aca="false">'Datos Iniciales'!T20</f>
        <v>Alumno12</v>
      </c>
      <c r="C16" s="245" t="n">
        <f aca="false">SUMPRODUCT(F16:O16,F$50:O$50)</f>
        <v>5.31</v>
      </c>
      <c r="D16" s="246"/>
      <c r="E16" s="247" t="n">
        <f aca="false">IF(C16&lt;1,1,IF(AND(C16&lt;5,P16&gt;0),TRUNC(C16,0),IF(AND(C16&gt;5,P16&gt;0),4,ROUND(C16,0))))</f>
        <v>5</v>
      </c>
      <c r="F16" s="248" t="n">
        <f aca="false">IF(F$50&gt;0,Actividades!LX17,"N/A")</f>
        <v>5</v>
      </c>
      <c r="G16" s="249" t="n">
        <f aca="false">IF(G$50&gt;0,Actividades!LY17,"N/A")</f>
        <v>5.2</v>
      </c>
      <c r="H16" s="249" t="n">
        <f aca="false">IF(H$50&gt;0,Actividades!LZ17,"N/A")</f>
        <v>5.6</v>
      </c>
      <c r="I16" s="249" t="n">
        <f aca="false">IF(I$50&gt;0,Actividades!MA17,"N/A")</f>
        <v>7</v>
      </c>
      <c r="J16" s="249" t="str">
        <f aca="false">IF(J$50&gt;0,Actividades!MB17,"N/A")</f>
        <v>N/A</v>
      </c>
      <c r="K16" s="249" t="str">
        <f aca="false">IF(K$50&gt;0,Actividades!MC17,"N/A")</f>
        <v>N/A</v>
      </c>
      <c r="L16" s="249" t="str">
        <f aca="false">IF(L$50&gt;0,Actividades!MD17,"N/A")</f>
        <v>N/A</v>
      </c>
      <c r="M16" s="249" t="str">
        <f aca="false">IF(M$50&gt;0,Actividades!ME17,"N/A")</f>
        <v>N/A</v>
      </c>
      <c r="N16" s="249" t="str">
        <f aca="false">IF(N$50&gt;0,Actividades!MF17,"N/A")</f>
        <v>N/A</v>
      </c>
      <c r="O16" s="250" t="str">
        <f aca="false">IF(O$50&gt;0,Actividades!MG17,"N/A")</f>
        <v>N/A</v>
      </c>
      <c r="P16" s="251" t="n">
        <f aca="false">COUNTIF(F16:O16,"&lt;5")</f>
        <v>0</v>
      </c>
      <c r="Q16" s="242"/>
      <c r="R16" s="252" t="n">
        <f aca="false">SUMPRODUCT(U16:AD16,U$51:AD$51)</f>
        <v>5.31</v>
      </c>
      <c r="S16" s="246"/>
      <c r="T16" s="247" t="n">
        <f aca="false">IF(R16&lt;1,1,IF(AND(R16&lt;5,AE16&gt;0),TRUNC(R16,0),IF(AND(R16&gt;5,AE16&gt;0),4,ROUND(R16,0))))</f>
        <v>5</v>
      </c>
      <c r="U16" s="248" t="n">
        <f aca="false">IF(F$50&gt;0,IF(U$84=0,"N/A",(U98)/U$84),"N/A")</f>
        <v>5</v>
      </c>
      <c r="V16" s="249" t="n">
        <f aca="false">IF(G$50&gt;0,IF(V$84=0,"N/A",(V98)/V$84),"N/A")</f>
        <v>5.2</v>
      </c>
      <c r="W16" s="249" t="n">
        <f aca="false">IF(H$50&gt;0,IF(W$84=0,"N/A",(W98)/W$84),"N/A")</f>
        <v>5.6</v>
      </c>
      <c r="X16" s="249" t="n">
        <f aca="false">IF(I$50&gt;0,IF(X$84=0,"N/A",(X98)/X$84),"N/A")</f>
        <v>7</v>
      </c>
      <c r="Y16" s="249" t="str">
        <f aca="false">IF(J$50&gt;0,IF(Y$84=0,"N/A",(Y98)/Y$84),"N/A")</f>
        <v>N/A</v>
      </c>
      <c r="Z16" s="249" t="str">
        <f aca="false">IF(K$50&gt;0,IF(Z$84=0,"N/A",(Z98)/Z$84),"N/A")</f>
        <v>N/A</v>
      </c>
      <c r="AA16" s="249" t="str">
        <f aca="false">IF(L$50&gt;0,IF(AA$84=0,"N/A",(AA98)/AA$84),"N/A")</f>
        <v>N/A</v>
      </c>
      <c r="AB16" s="249" t="str">
        <f aca="false">IF(M$50&gt;0,IF(AB$84=0,"N/A",(AB98)/AB$84),"N/A")</f>
        <v>N/A</v>
      </c>
      <c r="AC16" s="249" t="str">
        <f aca="false">IF(N$50&gt;0,IF(AC$84=0,"N/A",(AC98)/AC$84),"N/A")</f>
        <v>N/A</v>
      </c>
      <c r="AD16" s="250" t="str">
        <f aca="false">IF(O$50&gt;0,IF(AD$84=0,"N/A",(AD98)/AD$84),"N/A")</f>
        <v>N/A</v>
      </c>
      <c r="AE16" s="253" t="n">
        <f aca="false">COUNTIF(U16:AD16,"&lt;5")</f>
        <v>0</v>
      </c>
      <c r="AF16" s="242"/>
      <c r="AG16" s="252" t="n">
        <f aca="false">SUMPRODUCT(AJ16:AS16,AJ$51:AS$51)</f>
        <v>0</v>
      </c>
      <c r="AH16" s="246"/>
      <c r="AI16" s="247" t="n">
        <f aca="false">IF(AG16&lt;1,1,IF(AND(AG16&lt;5,AT16&gt;0),TRUNC(AG16,0),IF(AND(AG16&gt;5,AT16&gt;0),4,ROUND(AG16,0))))</f>
        <v>1</v>
      </c>
      <c r="AJ16" s="248" t="str">
        <f aca="false">IF(F$50&gt;0,IF(AJ$84=0,"N/A",(AJ98)/AJ$84),"N/A")</f>
        <v>N/A</v>
      </c>
      <c r="AK16" s="249" t="str">
        <f aca="false">IF(G$50&gt;0,IF(AK$84=0,"N/A",(AK98)/AK$84),"N/A")</f>
        <v>N/A</v>
      </c>
      <c r="AL16" s="249" t="str">
        <f aca="false">IF(H$50&gt;0,IF(AL$84=0,"N/A",(AL98)/AL$84),"N/A")</f>
        <v>N/A</v>
      </c>
      <c r="AM16" s="249" t="str">
        <f aca="false">IF(I$50&gt;0,IF(AM$84=0,"N/A",(AM98)/AM$84),"N/A")</f>
        <v>N/A</v>
      </c>
      <c r="AN16" s="249" t="str">
        <f aca="false">IF(J$50&gt;0,IF(AN$84=0,"N/A",(AN98)/AN$84),"N/A")</f>
        <v>N/A</v>
      </c>
      <c r="AO16" s="249" t="str">
        <f aca="false">IF(K$50&gt;0,IF(AO$84=0,"N/A",(AO98)/AO$84),"N/A")</f>
        <v>N/A</v>
      </c>
      <c r="AP16" s="249" t="str">
        <f aca="false">IF(L$50&gt;0,IF(AP$84=0,"N/A",(AP98)/AP$84),"N/A")</f>
        <v>N/A</v>
      </c>
      <c r="AQ16" s="249" t="str">
        <f aca="false">IF(M$50&gt;0,IF(AQ$84=0,"N/A",(AQ98)/AQ$84),"N/A")</f>
        <v>N/A</v>
      </c>
      <c r="AR16" s="249" t="str">
        <f aca="false">IF(N$50&gt;0,IF(AR$84=0,"N/A",(AR98)/AR$84),"N/A")</f>
        <v>N/A</v>
      </c>
      <c r="AS16" s="250" t="str">
        <f aca="false">IF(O$50&gt;0,IF(AS$84=0,"N/A",(AS98)/AS$84),"N/A")</f>
        <v>N/A</v>
      </c>
      <c r="AT16" s="253" t="n">
        <f aca="false">COUNTIF(AJ16:AS16,"&lt;5")</f>
        <v>0</v>
      </c>
      <c r="AU16" s="242"/>
      <c r="AV16" s="252" t="n">
        <f aca="false">SUMPRODUCT(AY16:BH16,AY$51:BH$51)</f>
        <v>0</v>
      </c>
      <c r="AW16" s="246"/>
      <c r="AX16" s="247" t="n">
        <f aca="false">IF(AV16&lt;1,1,IF(AND(AV16&lt;5,BI16&gt;0),TRUNC(AV16,0),IF(AND(AV16&gt;5,BI16&gt;0),4,ROUND(AV16,0))))</f>
        <v>1</v>
      </c>
      <c r="AY16" s="248" t="str">
        <f aca="false">IF(F$50&gt;0,IF(AY$84=0,"N/A",(AY98)/AY$84),"N/A")</f>
        <v>N/A</v>
      </c>
      <c r="AZ16" s="249" t="str">
        <f aca="false">IF(G$50&gt;0,IF(AZ$84=0,"N/A",(AZ98)/AZ$84),"N/A")</f>
        <v>N/A</v>
      </c>
      <c r="BA16" s="249" t="str">
        <f aca="false">IF(H$50&gt;0,IF(BA$84=0,"N/A",(BA98)/BA$84),"N/A")</f>
        <v>N/A</v>
      </c>
      <c r="BB16" s="249" t="str">
        <f aca="false">IF(I$50&gt;0,IF(BB$84=0,"N/A",(BB98)/BB$84),"N/A")</f>
        <v>N/A</v>
      </c>
      <c r="BC16" s="249" t="str">
        <f aca="false">IF(J$50&gt;0,IF(BC$84=0,"N/A",(BC98)/BC$84),"N/A")</f>
        <v>N/A</v>
      </c>
      <c r="BD16" s="249" t="str">
        <f aca="false">IF(K$50&gt;0,IF(BD$84=0,"N/A",(BD98)/BD$84),"N/A")</f>
        <v>N/A</v>
      </c>
      <c r="BE16" s="249" t="str">
        <f aca="false">IF(L$50&gt;0,IF(BE$84=0,"N/A",(BE98)/BE$84),"N/A")</f>
        <v>N/A</v>
      </c>
      <c r="BF16" s="249" t="str">
        <f aca="false">IF(M$50&gt;0,IF(BF$84=0,"N/A",(BF98)/BF$84),"N/A")</f>
        <v>N/A</v>
      </c>
      <c r="BG16" s="249" t="str">
        <f aca="false">IF(N$50&gt;0,IF(BG$84=0,"N/A",(BG98)/BG$84),"N/A")</f>
        <v>N/A</v>
      </c>
      <c r="BH16" s="250" t="str">
        <f aca="false">IF(O$50&gt;0,IF(BH$84=0,"N/A",(BH98)/BH$84),"N/A")</f>
        <v>N/A</v>
      </c>
      <c r="BI16" s="253" t="n">
        <f aca="false">COUNTIF(AY16:BH16,"&lt;5")</f>
        <v>0</v>
      </c>
      <c r="BJ16" s="242"/>
    </row>
    <row r="17" customFormat="false" ht="13.8" hidden="false" customHeight="false" outlineLevel="0" collapsed="false">
      <c r="A17" s="29" t="n">
        <v>13</v>
      </c>
      <c r="B17" s="151" t="str">
        <f aca="false">'Datos Iniciales'!T21</f>
        <v>Alumno13</v>
      </c>
      <c r="C17" s="245" t="n">
        <f aca="false">SUMPRODUCT(F17:O17,F$50:O$50)</f>
        <v>5.40825</v>
      </c>
      <c r="D17" s="246"/>
      <c r="E17" s="247" t="n">
        <f aca="false">IF(C17&lt;1,1,IF(AND(C17&lt;5,P17&gt;0),TRUNC(C17,0),IF(AND(C17&gt;5,P17&gt;0),4,ROUND(C17,0))))</f>
        <v>4</v>
      </c>
      <c r="F17" s="248" t="n">
        <f aca="false">IF(F$50&gt;0,Actividades!LX18,"N/A")</f>
        <v>5.475</v>
      </c>
      <c r="G17" s="249" t="n">
        <f aca="false">IF(G$50&gt;0,Actividades!LY18,"N/A")</f>
        <v>5.4</v>
      </c>
      <c r="H17" s="249" t="n">
        <f aca="false">IF(H$50&gt;0,Actividades!LZ18,"N/A")</f>
        <v>4.775</v>
      </c>
      <c r="I17" s="249" t="n">
        <f aca="false">IF(I$50&gt;0,Actividades!MA18,"N/A")</f>
        <v>7.14</v>
      </c>
      <c r="J17" s="249" t="str">
        <f aca="false">IF(J$50&gt;0,Actividades!MB18,"N/A")</f>
        <v>N/A</v>
      </c>
      <c r="K17" s="249" t="str">
        <f aca="false">IF(K$50&gt;0,Actividades!MC18,"N/A")</f>
        <v>N/A</v>
      </c>
      <c r="L17" s="249" t="str">
        <f aca="false">IF(L$50&gt;0,Actividades!MD18,"N/A")</f>
        <v>N/A</v>
      </c>
      <c r="M17" s="249" t="str">
        <f aca="false">IF(M$50&gt;0,Actividades!ME18,"N/A")</f>
        <v>N/A</v>
      </c>
      <c r="N17" s="249" t="str">
        <f aca="false">IF(N$50&gt;0,Actividades!MF18,"N/A")</f>
        <v>N/A</v>
      </c>
      <c r="O17" s="250" t="str">
        <f aca="false">IF(O$50&gt;0,Actividades!MG18,"N/A")</f>
        <v>N/A</v>
      </c>
      <c r="P17" s="251" t="n">
        <f aca="false">COUNTIF(F17:O17,"&lt;5")</f>
        <v>1</v>
      </c>
      <c r="Q17" s="242"/>
      <c r="R17" s="252" t="n">
        <f aca="false">SUMPRODUCT(U17:AD17,U$51:AD$51)</f>
        <v>5.40825</v>
      </c>
      <c r="S17" s="246"/>
      <c r="T17" s="247" t="n">
        <f aca="false">IF(R17&lt;1,1,IF(AND(R17&lt;5,AE17&gt;0),TRUNC(R17,0),IF(AND(R17&gt;5,AE17&gt;0),4,ROUND(R17,0))))</f>
        <v>4</v>
      </c>
      <c r="U17" s="248" t="n">
        <f aca="false">IF(F$50&gt;0,IF(U$84=0,"N/A",(U99)/U$84),"N/A")</f>
        <v>5.475</v>
      </c>
      <c r="V17" s="249" t="n">
        <f aca="false">IF(G$50&gt;0,IF(V$84=0,"N/A",(V99)/V$84),"N/A")</f>
        <v>5.4</v>
      </c>
      <c r="W17" s="249" t="n">
        <f aca="false">IF(H$50&gt;0,IF(W$84=0,"N/A",(W99)/W$84),"N/A")</f>
        <v>4.775</v>
      </c>
      <c r="X17" s="249" t="n">
        <f aca="false">IF(I$50&gt;0,IF(X$84=0,"N/A",(X99)/X$84),"N/A")</f>
        <v>7.14</v>
      </c>
      <c r="Y17" s="249" t="str">
        <f aca="false">IF(J$50&gt;0,IF(Y$84=0,"N/A",(Y99)/Y$84),"N/A")</f>
        <v>N/A</v>
      </c>
      <c r="Z17" s="249" t="str">
        <f aca="false">IF(K$50&gt;0,IF(Z$84=0,"N/A",(Z99)/Z$84),"N/A")</f>
        <v>N/A</v>
      </c>
      <c r="AA17" s="249" t="str">
        <f aca="false">IF(L$50&gt;0,IF(AA$84=0,"N/A",(AA99)/AA$84),"N/A")</f>
        <v>N/A</v>
      </c>
      <c r="AB17" s="249" t="str">
        <f aca="false">IF(M$50&gt;0,IF(AB$84=0,"N/A",(AB99)/AB$84),"N/A")</f>
        <v>N/A</v>
      </c>
      <c r="AC17" s="249" t="str">
        <f aca="false">IF(N$50&gt;0,IF(AC$84=0,"N/A",(AC99)/AC$84),"N/A")</f>
        <v>N/A</v>
      </c>
      <c r="AD17" s="250" t="str">
        <f aca="false">IF(O$50&gt;0,IF(AD$84=0,"N/A",(AD99)/AD$84),"N/A")</f>
        <v>N/A</v>
      </c>
      <c r="AE17" s="253" t="n">
        <f aca="false">COUNTIF(U17:AD17,"&lt;5")</f>
        <v>1</v>
      </c>
      <c r="AF17" s="242"/>
      <c r="AG17" s="252" t="n">
        <f aca="false">SUMPRODUCT(AJ17:AS17,AJ$51:AS$51)</f>
        <v>0</v>
      </c>
      <c r="AH17" s="246"/>
      <c r="AI17" s="247" t="n">
        <f aca="false">IF(AG17&lt;1,1,IF(AND(AG17&lt;5,AT17&gt;0),TRUNC(AG17,0),IF(AND(AG17&gt;5,AT17&gt;0),4,ROUND(AG17,0))))</f>
        <v>1</v>
      </c>
      <c r="AJ17" s="248" t="str">
        <f aca="false">IF(F$50&gt;0,IF(AJ$84=0,"N/A",(AJ99)/AJ$84),"N/A")</f>
        <v>N/A</v>
      </c>
      <c r="AK17" s="249" t="str">
        <f aca="false">IF(G$50&gt;0,IF(AK$84=0,"N/A",(AK99)/AK$84),"N/A")</f>
        <v>N/A</v>
      </c>
      <c r="AL17" s="249" t="str">
        <f aca="false">IF(H$50&gt;0,IF(AL$84=0,"N/A",(AL99)/AL$84),"N/A")</f>
        <v>N/A</v>
      </c>
      <c r="AM17" s="249" t="str">
        <f aca="false">IF(I$50&gt;0,IF(AM$84=0,"N/A",(AM99)/AM$84),"N/A")</f>
        <v>N/A</v>
      </c>
      <c r="AN17" s="249" t="str">
        <f aca="false">IF(J$50&gt;0,IF(AN$84=0,"N/A",(AN99)/AN$84),"N/A")</f>
        <v>N/A</v>
      </c>
      <c r="AO17" s="249" t="str">
        <f aca="false">IF(K$50&gt;0,IF(AO$84=0,"N/A",(AO99)/AO$84),"N/A")</f>
        <v>N/A</v>
      </c>
      <c r="AP17" s="249" t="str">
        <f aca="false">IF(L$50&gt;0,IF(AP$84=0,"N/A",(AP99)/AP$84),"N/A")</f>
        <v>N/A</v>
      </c>
      <c r="AQ17" s="249" t="str">
        <f aca="false">IF(M$50&gt;0,IF(AQ$84=0,"N/A",(AQ99)/AQ$84),"N/A")</f>
        <v>N/A</v>
      </c>
      <c r="AR17" s="249" t="str">
        <f aca="false">IF(N$50&gt;0,IF(AR$84=0,"N/A",(AR99)/AR$84),"N/A")</f>
        <v>N/A</v>
      </c>
      <c r="AS17" s="250" t="str">
        <f aca="false">IF(O$50&gt;0,IF(AS$84=0,"N/A",(AS99)/AS$84),"N/A")</f>
        <v>N/A</v>
      </c>
      <c r="AT17" s="253" t="n">
        <f aca="false">COUNTIF(AJ17:AS17,"&lt;5")</f>
        <v>0</v>
      </c>
      <c r="AU17" s="242"/>
      <c r="AV17" s="252" t="n">
        <f aca="false">SUMPRODUCT(AY17:BH17,AY$51:BH$51)</f>
        <v>0</v>
      </c>
      <c r="AW17" s="246"/>
      <c r="AX17" s="247" t="n">
        <f aca="false">IF(AV17&lt;1,1,IF(AND(AV17&lt;5,BI17&gt;0),TRUNC(AV17,0),IF(AND(AV17&gt;5,BI17&gt;0),4,ROUND(AV17,0))))</f>
        <v>1</v>
      </c>
      <c r="AY17" s="248" t="str">
        <f aca="false">IF(F$50&gt;0,IF(AY$84=0,"N/A",(AY99)/AY$84),"N/A")</f>
        <v>N/A</v>
      </c>
      <c r="AZ17" s="249" t="str">
        <f aca="false">IF(G$50&gt;0,IF(AZ$84=0,"N/A",(AZ99)/AZ$84),"N/A")</f>
        <v>N/A</v>
      </c>
      <c r="BA17" s="249" t="str">
        <f aca="false">IF(H$50&gt;0,IF(BA$84=0,"N/A",(BA99)/BA$84),"N/A")</f>
        <v>N/A</v>
      </c>
      <c r="BB17" s="249" t="str">
        <f aca="false">IF(I$50&gt;0,IF(BB$84=0,"N/A",(BB99)/BB$84),"N/A")</f>
        <v>N/A</v>
      </c>
      <c r="BC17" s="249" t="str">
        <f aca="false">IF(J$50&gt;0,IF(BC$84=0,"N/A",(BC99)/BC$84),"N/A")</f>
        <v>N/A</v>
      </c>
      <c r="BD17" s="249" t="str">
        <f aca="false">IF(K$50&gt;0,IF(BD$84=0,"N/A",(BD99)/BD$84),"N/A")</f>
        <v>N/A</v>
      </c>
      <c r="BE17" s="249" t="str">
        <f aca="false">IF(L$50&gt;0,IF(BE$84=0,"N/A",(BE99)/BE$84),"N/A")</f>
        <v>N/A</v>
      </c>
      <c r="BF17" s="249" t="str">
        <f aca="false">IF(M$50&gt;0,IF(BF$84=0,"N/A",(BF99)/BF$84),"N/A")</f>
        <v>N/A</v>
      </c>
      <c r="BG17" s="249" t="str">
        <f aca="false">IF(N$50&gt;0,IF(BG$84=0,"N/A",(BG99)/BG$84),"N/A")</f>
        <v>N/A</v>
      </c>
      <c r="BH17" s="250" t="str">
        <f aca="false">IF(O$50&gt;0,IF(BH$84=0,"N/A",(BH99)/BH$84),"N/A")</f>
        <v>N/A</v>
      </c>
      <c r="BI17" s="253" t="n">
        <f aca="false">COUNTIF(AY17:BH17,"&lt;5")</f>
        <v>0</v>
      </c>
      <c r="BJ17" s="242"/>
    </row>
    <row r="18" customFormat="false" ht="13.8" hidden="false" customHeight="false" outlineLevel="0" collapsed="false">
      <c r="A18" s="29" t="n">
        <v>14</v>
      </c>
      <c r="B18" s="151" t="str">
        <f aca="false">'Datos Iniciales'!T22</f>
        <v>Alumno14</v>
      </c>
      <c r="C18" s="245" t="n">
        <f aca="false">SUMPRODUCT(F18:O18,F$50:O$50)</f>
        <v>4.923</v>
      </c>
      <c r="D18" s="246"/>
      <c r="E18" s="247" t="n">
        <f aca="false">IF(C18&lt;1,1,IF(AND(C18&lt;5,P18&gt;0),TRUNC(C18,0),IF(AND(C18&gt;5,P18&gt;0),4,ROUND(C18,0))))</f>
        <v>4</v>
      </c>
      <c r="F18" s="248" t="n">
        <f aca="false">IF(F$50&gt;0,Actividades!LX19,"N/A")</f>
        <v>4.475</v>
      </c>
      <c r="G18" s="249" t="n">
        <f aca="false">IF(G$50&gt;0,Actividades!LY19,"N/A")</f>
        <v>4.7</v>
      </c>
      <c r="H18" s="249" t="n">
        <f aca="false">IF(H$50&gt;0,Actividades!LZ19,"N/A")</f>
        <v>5.78</v>
      </c>
      <c r="I18" s="249" t="n">
        <f aca="false">IF(I$50&gt;0,Actividades!MA19,"N/A")</f>
        <v>6.82</v>
      </c>
      <c r="J18" s="249" t="str">
        <f aca="false">IF(J$50&gt;0,Actividades!MB19,"N/A")</f>
        <v>N/A</v>
      </c>
      <c r="K18" s="249" t="str">
        <f aca="false">IF(K$50&gt;0,Actividades!MC19,"N/A")</f>
        <v>N/A</v>
      </c>
      <c r="L18" s="249" t="str">
        <f aca="false">IF(L$50&gt;0,Actividades!MD19,"N/A")</f>
        <v>N/A</v>
      </c>
      <c r="M18" s="249" t="str">
        <f aca="false">IF(M$50&gt;0,Actividades!ME19,"N/A")</f>
        <v>N/A</v>
      </c>
      <c r="N18" s="249" t="str">
        <f aca="false">IF(N$50&gt;0,Actividades!MF19,"N/A")</f>
        <v>N/A</v>
      </c>
      <c r="O18" s="250" t="str">
        <f aca="false">IF(O$50&gt;0,Actividades!MG19,"N/A")</f>
        <v>N/A</v>
      </c>
      <c r="P18" s="251" t="n">
        <f aca="false">COUNTIF(F18:O18,"&lt;5")</f>
        <v>2</v>
      </c>
      <c r="Q18" s="242"/>
      <c r="R18" s="252" t="n">
        <f aca="false">SUMPRODUCT(U18:AD18,U$51:AD$51)</f>
        <v>4.923</v>
      </c>
      <c r="S18" s="246"/>
      <c r="T18" s="247" t="n">
        <f aca="false">IF(R18&lt;1,1,IF(AND(R18&lt;5,AE18&gt;0),TRUNC(R18,0),IF(AND(R18&gt;5,AE18&gt;0),4,ROUND(R18,0))))</f>
        <v>4</v>
      </c>
      <c r="U18" s="248" t="n">
        <f aca="false">IF(F$50&gt;0,IF(U$84=0,"N/A",(U100)/U$84),"N/A")</f>
        <v>4.475</v>
      </c>
      <c r="V18" s="249" t="n">
        <f aca="false">IF(G$50&gt;0,IF(V$84=0,"N/A",(V100)/V$84),"N/A")</f>
        <v>4.7</v>
      </c>
      <c r="W18" s="249" t="n">
        <f aca="false">IF(H$50&gt;0,IF(W$84=0,"N/A",(W100)/W$84),"N/A")</f>
        <v>5.78</v>
      </c>
      <c r="X18" s="249" t="n">
        <f aca="false">IF(I$50&gt;0,IF(X$84=0,"N/A",(X100)/X$84),"N/A")</f>
        <v>6.82</v>
      </c>
      <c r="Y18" s="249" t="str">
        <f aca="false">IF(J$50&gt;0,IF(Y$84=0,"N/A",(Y100)/Y$84),"N/A")</f>
        <v>N/A</v>
      </c>
      <c r="Z18" s="249" t="str">
        <f aca="false">IF(K$50&gt;0,IF(Z$84=0,"N/A",(Z100)/Z$84),"N/A")</f>
        <v>N/A</v>
      </c>
      <c r="AA18" s="249" t="str">
        <f aca="false">IF(L$50&gt;0,IF(AA$84=0,"N/A",(AA100)/AA$84),"N/A")</f>
        <v>N/A</v>
      </c>
      <c r="AB18" s="249" t="str">
        <f aca="false">IF(M$50&gt;0,IF(AB$84=0,"N/A",(AB100)/AB$84),"N/A")</f>
        <v>N/A</v>
      </c>
      <c r="AC18" s="249" t="str">
        <f aca="false">IF(N$50&gt;0,IF(AC$84=0,"N/A",(AC100)/AC$84),"N/A")</f>
        <v>N/A</v>
      </c>
      <c r="AD18" s="250" t="str">
        <f aca="false">IF(O$50&gt;0,IF(AD$84=0,"N/A",(AD100)/AD$84),"N/A")</f>
        <v>N/A</v>
      </c>
      <c r="AE18" s="253" t="n">
        <f aca="false">COUNTIF(U18:AD18,"&lt;5")</f>
        <v>2</v>
      </c>
      <c r="AF18" s="242"/>
      <c r="AG18" s="252" t="n">
        <f aca="false">SUMPRODUCT(AJ18:AS18,AJ$51:AS$51)</f>
        <v>0</v>
      </c>
      <c r="AH18" s="246"/>
      <c r="AI18" s="247" t="n">
        <f aca="false">IF(AG18&lt;1,1,IF(AND(AG18&lt;5,AT18&gt;0),TRUNC(AG18,0),IF(AND(AG18&gt;5,AT18&gt;0),4,ROUND(AG18,0))))</f>
        <v>1</v>
      </c>
      <c r="AJ18" s="248" t="str">
        <f aca="false">IF(F$50&gt;0,IF(AJ$84=0,"N/A",(AJ100)/AJ$84),"N/A")</f>
        <v>N/A</v>
      </c>
      <c r="AK18" s="249" t="str">
        <f aca="false">IF(G$50&gt;0,IF(AK$84=0,"N/A",(AK100)/AK$84),"N/A")</f>
        <v>N/A</v>
      </c>
      <c r="AL18" s="249" t="str">
        <f aca="false">IF(H$50&gt;0,IF(AL$84=0,"N/A",(AL100)/AL$84),"N/A")</f>
        <v>N/A</v>
      </c>
      <c r="AM18" s="249" t="str">
        <f aca="false">IF(I$50&gt;0,IF(AM$84=0,"N/A",(AM100)/AM$84),"N/A")</f>
        <v>N/A</v>
      </c>
      <c r="AN18" s="249" t="str">
        <f aca="false">IF(J$50&gt;0,IF(AN$84=0,"N/A",(AN100)/AN$84),"N/A")</f>
        <v>N/A</v>
      </c>
      <c r="AO18" s="249" t="str">
        <f aca="false">IF(K$50&gt;0,IF(AO$84=0,"N/A",(AO100)/AO$84),"N/A")</f>
        <v>N/A</v>
      </c>
      <c r="AP18" s="249" t="str">
        <f aca="false">IF(L$50&gt;0,IF(AP$84=0,"N/A",(AP100)/AP$84),"N/A")</f>
        <v>N/A</v>
      </c>
      <c r="AQ18" s="249" t="str">
        <f aca="false">IF(M$50&gt;0,IF(AQ$84=0,"N/A",(AQ100)/AQ$84),"N/A")</f>
        <v>N/A</v>
      </c>
      <c r="AR18" s="249" t="str">
        <f aca="false">IF(N$50&gt;0,IF(AR$84=0,"N/A",(AR100)/AR$84),"N/A")</f>
        <v>N/A</v>
      </c>
      <c r="AS18" s="250" t="str">
        <f aca="false">IF(O$50&gt;0,IF(AS$84=0,"N/A",(AS100)/AS$84),"N/A")</f>
        <v>N/A</v>
      </c>
      <c r="AT18" s="253" t="n">
        <f aca="false">COUNTIF(AJ18:AS18,"&lt;5")</f>
        <v>0</v>
      </c>
      <c r="AU18" s="242"/>
      <c r="AV18" s="252" t="n">
        <f aca="false">SUMPRODUCT(AY18:BH18,AY$51:BH$51)</f>
        <v>0</v>
      </c>
      <c r="AW18" s="246"/>
      <c r="AX18" s="247" t="n">
        <f aca="false">IF(AV18&lt;1,1,IF(AND(AV18&lt;5,BI18&gt;0),TRUNC(AV18,0),IF(AND(AV18&gt;5,BI18&gt;0),4,ROUND(AV18,0))))</f>
        <v>1</v>
      </c>
      <c r="AY18" s="248" t="str">
        <f aca="false">IF(F$50&gt;0,IF(AY$84=0,"N/A",(AY100)/AY$84),"N/A")</f>
        <v>N/A</v>
      </c>
      <c r="AZ18" s="249" t="str">
        <f aca="false">IF(G$50&gt;0,IF(AZ$84=0,"N/A",(AZ100)/AZ$84),"N/A")</f>
        <v>N/A</v>
      </c>
      <c r="BA18" s="249" t="str">
        <f aca="false">IF(H$50&gt;0,IF(BA$84=0,"N/A",(BA100)/BA$84),"N/A")</f>
        <v>N/A</v>
      </c>
      <c r="BB18" s="249" t="str">
        <f aca="false">IF(I$50&gt;0,IF(BB$84=0,"N/A",(BB100)/BB$84),"N/A")</f>
        <v>N/A</v>
      </c>
      <c r="BC18" s="249" t="str">
        <f aca="false">IF(J$50&gt;0,IF(BC$84=0,"N/A",(BC100)/BC$84),"N/A")</f>
        <v>N/A</v>
      </c>
      <c r="BD18" s="249" t="str">
        <f aca="false">IF(K$50&gt;0,IF(BD$84=0,"N/A",(BD100)/BD$84),"N/A")</f>
        <v>N/A</v>
      </c>
      <c r="BE18" s="249" t="str">
        <f aca="false">IF(L$50&gt;0,IF(BE$84=0,"N/A",(BE100)/BE$84),"N/A")</f>
        <v>N/A</v>
      </c>
      <c r="BF18" s="249" t="str">
        <f aca="false">IF(M$50&gt;0,IF(BF$84=0,"N/A",(BF100)/BF$84),"N/A")</f>
        <v>N/A</v>
      </c>
      <c r="BG18" s="249" t="str">
        <f aca="false">IF(N$50&gt;0,IF(BG$84=0,"N/A",(BG100)/BG$84),"N/A")</f>
        <v>N/A</v>
      </c>
      <c r="BH18" s="250" t="str">
        <f aca="false">IF(O$50&gt;0,IF(BH$84=0,"N/A",(BH100)/BH$84),"N/A")</f>
        <v>N/A</v>
      </c>
      <c r="BI18" s="253" t="n">
        <f aca="false">COUNTIF(AY18:BH18,"&lt;5")</f>
        <v>0</v>
      </c>
      <c r="BJ18" s="242"/>
    </row>
    <row r="19" customFormat="false" ht="13.8" hidden="false" customHeight="false" outlineLevel="0" collapsed="false">
      <c r="A19" s="29" t="n">
        <v>15</v>
      </c>
      <c r="B19" s="151" t="str">
        <f aca="false">'Datos Iniciales'!T23</f>
        <v>Alumno15</v>
      </c>
      <c r="C19" s="245" t="n">
        <f aca="false">SUMPRODUCT(F19:O19,F$50:O$50)</f>
        <v>4.66975</v>
      </c>
      <c r="D19" s="246"/>
      <c r="E19" s="247" t="n">
        <f aca="false">IF(C19&lt;1,1,IF(AND(C19&lt;5,P19&gt;0),TRUNC(C19,0),IF(AND(C19&gt;5,P19&gt;0),4,ROUND(C19,0))))</f>
        <v>4</v>
      </c>
      <c r="F19" s="248" t="n">
        <f aca="false">IF(F$50&gt;0,Actividades!LX20,"N/A")</f>
        <v>4.7875</v>
      </c>
      <c r="G19" s="249" t="n">
        <f aca="false">IF(G$50&gt;0,Actividades!LY20,"N/A")</f>
        <v>4.6</v>
      </c>
      <c r="H19" s="249" t="n">
        <f aca="false">IF(H$50&gt;0,Actividades!LZ20,"N/A")</f>
        <v>4.735</v>
      </c>
      <c r="I19" s="249" t="n">
        <f aca="false">IF(I$50&gt;0,Actividades!MA20,"N/A")</f>
        <v>4.84</v>
      </c>
      <c r="J19" s="249" t="str">
        <f aca="false">IF(J$50&gt;0,Actividades!MB20,"N/A")</f>
        <v>N/A</v>
      </c>
      <c r="K19" s="249" t="str">
        <f aca="false">IF(K$50&gt;0,Actividades!MC20,"N/A")</f>
        <v>N/A</v>
      </c>
      <c r="L19" s="249" t="str">
        <f aca="false">IF(L$50&gt;0,Actividades!MD20,"N/A")</f>
        <v>N/A</v>
      </c>
      <c r="M19" s="249" t="str">
        <f aca="false">IF(M$50&gt;0,Actividades!ME20,"N/A")</f>
        <v>N/A</v>
      </c>
      <c r="N19" s="249" t="str">
        <f aca="false">IF(N$50&gt;0,Actividades!MF20,"N/A")</f>
        <v>N/A</v>
      </c>
      <c r="O19" s="250" t="str">
        <f aca="false">IF(O$50&gt;0,Actividades!MG20,"N/A")</f>
        <v>N/A</v>
      </c>
      <c r="P19" s="251" t="n">
        <f aca="false">COUNTIF(F19:O19,"&lt;5")</f>
        <v>4</v>
      </c>
      <c r="Q19" s="242"/>
      <c r="R19" s="252" t="n">
        <f aca="false">SUMPRODUCT(U19:AD19,U$51:AD$51)</f>
        <v>4.66975</v>
      </c>
      <c r="S19" s="246"/>
      <c r="T19" s="247" t="n">
        <f aca="false">IF(R19&lt;1,1,IF(AND(R19&lt;5,AE19&gt;0),TRUNC(R19,0),IF(AND(R19&gt;5,AE19&gt;0),4,ROUND(R19,0))))</f>
        <v>4</v>
      </c>
      <c r="U19" s="248" t="n">
        <f aca="false">IF(F$50&gt;0,IF(U$84=0,"N/A",(U101)/U$84),"N/A")</f>
        <v>4.7875</v>
      </c>
      <c r="V19" s="249" t="n">
        <f aca="false">IF(G$50&gt;0,IF(V$84=0,"N/A",(V101)/V$84),"N/A")</f>
        <v>4.6</v>
      </c>
      <c r="W19" s="249" t="n">
        <f aca="false">IF(H$50&gt;0,IF(W$84=0,"N/A",(W101)/W$84),"N/A")</f>
        <v>4.735</v>
      </c>
      <c r="X19" s="249" t="n">
        <f aca="false">IF(I$50&gt;0,IF(X$84=0,"N/A",(X101)/X$84),"N/A")</f>
        <v>4.84</v>
      </c>
      <c r="Y19" s="249" t="str">
        <f aca="false">IF(J$50&gt;0,IF(Y$84=0,"N/A",(Y101)/Y$84),"N/A")</f>
        <v>N/A</v>
      </c>
      <c r="Z19" s="249" t="str">
        <f aca="false">IF(K$50&gt;0,IF(Z$84=0,"N/A",(Z101)/Z$84),"N/A")</f>
        <v>N/A</v>
      </c>
      <c r="AA19" s="249" t="str">
        <f aca="false">IF(L$50&gt;0,IF(AA$84=0,"N/A",(AA101)/AA$84),"N/A")</f>
        <v>N/A</v>
      </c>
      <c r="AB19" s="249" t="str">
        <f aca="false">IF(M$50&gt;0,IF(AB$84=0,"N/A",(AB101)/AB$84),"N/A")</f>
        <v>N/A</v>
      </c>
      <c r="AC19" s="249" t="str">
        <f aca="false">IF(N$50&gt;0,IF(AC$84=0,"N/A",(AC101)/AC$84),"N/A")</f>
        <v>N/A</v>
      </c>
      <c r="AD19" s="250" t="str">
        <f aca="false">IF(O$50&gt;0,IF(AD$84=0,"N/A",(AD101)/AD$84),"N/A")</f>
        <v>N/A</v>
      </c>
      <c r="AE19" s="253" t="n">
        <f aca="false">COUNTIF(U19:AD19,"&lt;5")</f>
        <v>4</v>
      </c>
      <c r="AF19" s="242"/>
      <c r="AG19" s="252" t="n">
        <f aca="false">SUMPRODUCT(AJ19:AS19,AJ$51:AS$51)</f>
        <v>0</v>
      </c>
      <c r="AH19" s="246"/>
      <c r="AI19" s="247" t="n">
        <f aca="false">IF(AG19&lt;1,1,IF(AND(AG19&lt;5,AT19&gt;0),TRUNC(AG19,0),IF(AND(AG19&gt;5,AT19&gt;0),4,ROUND(AG19,0))))</f>
        <v>1</v>
      </c>
      <c r="AJ19" s="248" t="str">
        <f aca="false">IF(F$50&gt;0,IF(AJ$84=0,"N/A",(AJ101)/AJ$84),"N/A")</f>
        <v>N/A</v>
      </c>
      <c r="AK19" s="249" t="str">
        <f aca="false">IF(G$50&gt;0,IF(AK$84=0,"N/A",(AK101)/AK$84),"N/A")</f>
        <v>N/A</v>
      </c>
      <c r="AL19" s="249" t="str">
        <f aca="false">IF(H$50&gt;0,IF(AL$84=0,"N/A",(AL101)/AL$84),"N/A")</f>
        <v>N/A</v>
      </c>
      <c r="AM19" s="249" t="str">
        <f aca="false">IF(I$50&gt;0,IF(AM$84=0,"N/A",(AM101)/AM$84),"N/A")</f>
        <v>N/A</v>
      </c>
      <c r="AN19" s="249" t="str">
        <f aca="false">IF(J$50&gt;0,IF(AN$84=0,"N/A",(AN101)/AN$84),"N/A")</f>
        <v>N/A</v>
      </c>
      <c r="AO19" s="249" t="str">
        <f aca="false">IF(K$50&gt;0,IF(AO$84=0,"N/A",(AO101)/AO$84),"N/A")</f>
        <v>N/A</v>
      </c>
      <c r="AP19" s="249" t="str">
        <f aca="false">IF(L$50&gt;0,IF(AP$84=0,"N/A",(AP101)/AP$84),"N/A")</f>
        <v>N/A</v>
      </c>
      <c r="AQ19" s="249" t="str">
        <f aca="false">IF(M$50&gt;0,IF(AQ$84=0,"N/A",(AQ101)/AQ$84),"N/A")</f>
        <v>N/A</v>
      </c>
      <c r="AR19" s="249" t="str">
        <f aca="false">IF(N$50&gt;0,IF(AR$84=0,"N/A",(AR101)/AR$84),"N/A")</f>
        <v>N/A</v>
      </c>
      <c r="AS19" s="250" t="str">
        <f aca="false">IF(O$50&gt;0,IF(AS$84=0,"N/A",(AS101)/AS$84),"N/A")</f>
        <v>N/A</v>
      </c>
      <c r="AT19" s="253" t="n">
        <f aca="false">COUNTIF(AJ19:AS19,"&lt;5")</f>
        <v>0</v>
      </c>
      <c r="AU19" s="242"/>
      <c r="AV19" s="252" t="n">
        <f aca="false">SUMPRODUCT(AY19:BH19,AY$51:BH$51)</f>
        <v>0</v>
      </c>
      <c r="AW19" s="246"/>
      <c r="AX19" s="247" t="n">
        <f aca="false">IF(AV19&lt;1,1,IF(AND(AV19&lt;5,BI19&gt;0),TRUNC(AV19,0),IF(AND(AV19&gt;5,BI19&gt;0),4,ROUND(AV19,0))))</f>
        <v>1</v>
      </c>
      <c r="AY19" s="248" t="str">
        <f aca="false">IF(F$50&gt;0,IF(AY$84=0,"N/A",(AY101)/AY$84),"N/A")</f>
        <v>N/A</v>
      </c>
      <c r="AZ19" s="249" t="str">
        <f aca="false">IF(G$50&gt;0,IF(AZ$84=0,"N/A",(AZ101)/AZ$84),"N/A")</f>
        <v>N/A</v>
      </c>
      <c r="BA19" s="249" t="str">
        <f aca="false">IF(H$50&gt;0,IF(BA$84=0,"N/A",(BA101)/BA$84),"N/A")</f>
        <v>N/A</v>
      </c>
      <c r="BB19" s="249" t="str">
        <f aca="false">IF(I$50&gt;0,IF(BB$84=0,"N/A",(BB101)/BB$84),"N/A")</f>
        <v>N/A</v>
      </c>
      <c r="BC19" s="249" t="str">
        <f aca="false">IF(J$50&gt;0,IF(BC$84=0,"N/A",(BC101)/BC$84),"N/A")</f>
        <v>N/A</v>
      </c>
      <c r="BD19" s="249" t="str">
        <f aca="false">IF(K$50&gt;0,IF(BD$84=0,"N/A",(BD101)/BD$84),"N/A")</f>
        <v>N/A</v>
      </c>
      <c r="BE19" s="249" t="str">
        <f aca="false">IF(L$50&gt;0,IF(BE$84=0,"N/A",(BE101)/BE$84),"N/A")</f>
        <v>N/A</v>
      </c>
      <c r="BF19" s="249" t="str">
        <f aca="false">IF(M$50&gt;0,IF(BF$84=0,"N/A",(BF101)/BF$84),"N/A")</f>
        <v>N/A</v>
      </c>
      <c r="BG19" s="249" t="str">
        <f aca="false">IF(N$50&gt;0,IF(BG$84=0,"N/A",(BG101)/BG$84),"N/A")</f>
        <v>N/A</v>
      </c>
      <c r="BH19" s="250" t="str">
        <f aca="false">IF(O$50&gt;0,IF(BH$84=0,"N/A",(BH101)/BH$84),"N/A")</f>
        <v>N/A</v>
      </c>
      <c r="BI19" s="253" t="n">
        <f aca="false">COUNTIF(AY19:BH19,"&lt;5")</f>
        <v>0</v>
      </c>
      <c r="BJ19" s="242"/>
    </row>
    <row r="20" customFormat="false" ht="13.8" hidden="false" customHeight="false" outlineLevel="0" collapsed="false">
      <c r="A20" s="29" t="n">
        <v>16</v>
      </c>
      <c r="B20" s="151" t="str">
        <f aca="false">'Datos Iniciales'!T24</f>
        <v>Alumno16</v>
      </c>
      <c r="C20" s="245" t="n">
        <f aca="false">SUMPRODUCT(F20:O20,F$50:O$50)</f>
        <v>7.253</v>
      </c>
      <c r="D20" s="246"/>
      <c r="E20" s="247" t="n">
        <f aca="false">IF(C20&lt;1,1,IF(AND(C20&lt;5,P20&gt;0),TRUNC(C20,0),IF(AND(C20&gt;5,P20&gt;0),4,ROUND(C20,0))))</f>
        <v>7</v>
      </c>
      <c r="F20" s="248" t="n">
        <f aca="false">IF(F$50&gt;0,Actividades!LX21,"N/A")</f>
        <v>7.6375</v>
      </c>
      <c r="G20" s="249" t="n">
        <f aca="false">IF(G$50&gt;0,Actividades!LY21,"N/A")</f>
        <v>7.25</v>
      </c>
      <c r="H20" s="249" t="n">
        <f aca="false">IF(H$50&gt;0,Actividades!LZ21,"N/A")</f>
        <v>6.85</v>
      </c>
      <c r="I20" s="249" t="n">
        <f aca="false">IF(I$50&gt;0,Actividades!MA21,"N/A")</f>
        <v>6.96</v>
      </c>
      <c r="J20" s="249" t="str">
        <f aca="false">IF(J$50&gt;0,Actividades!MB21,"N/A")</f>
        <v>N/A</v>
      </c>
      <c r="K20" s="249" t="str">
        <f aca="false">IF(K$50&gt;0,Actividades!MC21,"N/A")</f>
        <v>N/A</v>
      </c>
      <c r="L20" s="249" t="str">
        <f aca="false">IF(L$50&gt;0,Actividades!MD21,"N/A")</f>
        <v>N/A</v>
      </c>
      <c r="M20" s="249" t="str">
        <f aca="false">IF(M$50&gt;0,Actividades!ME21,"N/A")</f>
        <v>N/A</v>
      </c>
      <c r="N20" s="249" t="str">
        <f aca="false">IF(N$50&gt;0,Actividades!MF21,"N/A")</f>
        <v>N/A</v>
      </c>
      <c r="O20" s="250" t="str">
        <f aca="false">IF(O$50&gt;0,Actividades!MG21,"N/A")</f>
        <v>N/A</v>
      </c>
      <c r="P20" s="251" t="n">
        <f aca="false">COUNTIF(F20:O20,"&lt;5")</f>
        <v>0</v>
      </c>
      <c r="Q20" s="242"/>
      <c r="R20" s="252" t="n">
        <f aca="false">SUMPRODUCT(U20:AD20,U$51:AD$51)</f>
        <v>7.253</v>
      </c>
      <c r="S20" s="246"/>
      <c r="T20" s="247" t="n">
        <f aca="false">IF(R20&lt;1,1,IF(AND(R20&lt;5,AE20&gt;0),TRUNC(R20,0),IF(AND(R20&gt;5,AE20&gt;0),4,ROUND(R20,0))))</f>
        <v>7</v>
      </c>
      <c r="U20" s="248" t="n">
        <f aca="false">IF(F$50&gt;0,IF(U$84=0,"N/A",(U102)/U$84),"N/A")</f>
        <v>7.6375</v>
      </c>
      <c r="V20" s="249" t="n">
        <f aca="false">IF(G$50&gt;0,IF(V$84=0,"N/A",(V102)/V$84),"N/A")</f>
        <v>7.25</v>
      </c>
      <c r="W20" s="249" t="n">
        <f aca="false">IF(H$50&gt;0,IF(W$84=0,"N/A",(W102)/W$84),"N/A")</f>
        <v>6.85</v>
      </c>
      <c r="X20" s="249" t="n">
        <f aca="false">IF(I$50&gt;0,IF(X$84=0,"N/A",(X102)/X$84),"N/A")</f>
        <v>6.96</v>
      </c>
      <c r="Y20" s="249" t="str">
        <f aca="false">IF(J$50&gt;0,IF(Y$84=0,"N/A",(Y102)/Y$84),"N/A")</f>
        <v>N/A</v>
      </c>
      <c r="Z20" s="249" t="str">
        <f aca="false">IF(K$50&gt;0,IF(Z$84=0,"N/A",(Z102)/Z$84),"N/A")</f>
        <v>N/A</v>
      </c>
      <c r="AA20" s="249" t="str">
        <f aca="false">IF(L$50&gt;0,IF(AA$84=0,"N/A",(AA102)/AA$84),"N/A")</f>
        <v>N/A</v>
      </c>
      <c r="AB20" s="249" t="str">
        <f aca="false">IF(M$50&gt;0,IF(AB$84=0,"N/A",(AB102)/AB$84),"N/A")</f>
        <v>N/A</v>
      </c>
      <c r="AC20" s="249" t="str">
        <f aca="false">IF(N$50&gt;0,IF(AC$84=0,"N/A",(AC102)/AC$84),"N/A")</f>
        <v>N/A</v>
      </c>
      <c r="AD20" s="250" t="str">
        <f aca="false">IF(O$50&gt;0,IF(AD$84=0,"N/A",(AD102)/AD$84),"N/A")</f>
        <v>N/A</v>
      </c>
      <c r="AE20" s="253" t="n">
        <f aca="false">COUNTIF(U20:AD20,"&lt;5")</f>
        <v>0</v>
      </c>
      <c r="AF20" s="242"/>
      <c r="AG20" s="252" t="n">
        <f aca="false">SUMPRODUCT(AJ20:AS20,AJ$51:AS$51)</f>
        <v>0</v>
      </c>
      <c r="AH20" s="246"/>
      <c r="AI20" s="247" t="n">
        <f aca="false">IF(AG20&lt;1,1,IF(AND(AG20&lt;5,AT20&gt;0),TRUNC(AG20,0),IF(AND(AG20&gt;5,AT20&gt;0),4,ROUND(AG20,0))))</f>
        <v>1</v>
      </c>
      <c r="AJ20" s="248" t="str">
        <f aca="false">IF(F$50&gt;0,IF(AJ$84=0,"N/A",(AJ102)/AJ$84),"N/A")</f>
        <v>N/A</v>
      </c>
      <c r="AK20" s="249" t="str">
        <f aca="false">IF(G$50&gt;0,IF(AK$84=0,"N/A",(AK102)/AK$84),"N/A")</f>
        <v>N/A</v>
      </c>
      <c r="AL20" s="249" t="str">
        <f aca="false">IF(H$50&gt;0,IF(AL$84=0,"N/A",(AL102)/AL$84),"N/A")</f>
        <v>N/A</v>
      </c>
      <c r="AM20" s="249" t="str">
        <f aca="false">IF(I$50&gt;0,IF(AM$84=0,"N/A",(AM102)/AM$84),"N/A")</f>
        <v>N/A</v>
      </c>
      <c r="AN20" s="249" t="str">
        <f aca="false">IF(J$50&gt;0,IF(AN$84=0,"N/A",(AN102)/AN$84),"N/A")</f>
        <v>N/A</v>
      </c>
      <c r="AO20" s="249" t="str">
        <f aca="false">IF(K$50&gt;0,IF(AO$84=0,"N/A",(AO102)/AO$84),"N/A")</f>
        <v>N/A</v>
      </c>
      <c r="AP20" s="249" t="str">
        <f aca="false">IF(L$50&gt;0,IF(AP$84=0,"N/A",(AP102)/AP$84),"N/A")</f>
        <v>N/A</v>
      </c>
      <c r="AQ20" s="249" t="str">
        <f aca="false">IF(M$50&gt;0,IF(AQ$84=0,"N/A",(AQ102)/AQ$84),"N/A")</f>
        <v>N/A</v>
      </c>
      <c r="AR20" s="249" t="str">
        <f aca="false">IF(N$50&gt;0,IF(AR$84=0,"N/A",(AR102)/AR$84),"N/A")</f>
        <v>N/A</v>
      </c>
      <c r="AS20" s="250" t="str">
        <f aca="false">IF(O$50&gt;0,IF(AS$84=0,"N/A",(AS102)/AS$84),"N/A")</f>
        <v>N/A</v>
      </c>
      <c r="AT20" s="253" t="n">
        <f aca="false">COUNTIF(AJ20:AS20,"&lt;5")</f>
        <v>0</v>
      </c>
      <c r="AU20" s="242"/>
      <c r="AV20" s="252" t="n">
        <f aca="false">SUMPRODUCT(AY20:BH20,AY$51:BH$51)</f>
        <v>0</v>
      </c>
      <c r="AW20" s="246"/>
      <c r="AX20" s="247" t="n">
        <f aca="false">IF(AV20&lt;1,1,IF(AND(AV20&lt;5,BI20&gt;0),TRUNC(AV20,0),IF(AND(AV20&gt;5,BI20&gt;0),4,ROUND(AV20,0))))</f>
        <v>1</v>
      </c>
      <c r="AY20" s="248" t="str">
        <f aca="false">IF(F$50&gt;0,IF(AY$84=0,"N/A",(AY102)/AY$84),"N/A")</f>
        <v>N/A</v>
      </c>
      <c r="AZ20" s="249" t="str">
        <f aca="false">IF(G$50&gt;0,IF(AZ$84=0,"N/A",(AZ102)/AZ$84),"N/A")</f>
        <v>N/A</v>
      </c>
      <c r="BA20" s="249" t="str">
        <f aca="false">IF(H$50&gt;0,IF(BA$84=0,"N/A",(BA102)/BA$84),"N/A")</f>
        <v>N/A</v>
      </c>
      <c r="BB20" s="249" t="str">
        <f aca="false">IF(I$50&gt;0,IF(BB$84=0,"N/A",(BB102)/BB$84),"N/A")</f>
        <v>N/A</v>
      </c>
      <c r="BC20" s="249" t="str">
        <f aca="false">IF(J$50&gt;0,IF(BC$84=0,"N/A",(BC102)/BC$84),"N/A")</f>
        <v>N/A</v>
      </c>
      <c r="BD20" s="249" t="str">
        <f aca="false">IF(K$50&gt;0,IF(BD$84=0,"N/A",(BD102)/BD$84),"N/A")</f>
        <v>N/A</v>
      </c>
      <c r="BE20" s="249" t="str">
        <f aca="false">IF(L$50&gt;0,IF(BE$84=0,"N/A",(BE102)/BE$84),"N/A")</f>
        <v>N/A</v>
      </c>
      <c r="BF20" s="249" t="str">
        <f aca="false">IF(M$50&gt;0,IF(BF$84=0,"N/A",(BF102)/BF$84),"N/A")</f>
        <v>N/A</v>
      </c>
      <c r="BG20" s="249" t="str">
        <f aca="false">IF(N$50&gt;0,IF(BG$84=0,"N/A",(BG102)/BG$84),"N/A")</f>
        <v>N/A</v>
      </c>
      <c r="BH20" s="250" t="str">
        <f aca="false">IF(O$50&gt;0,IF(BH$84=0,"N/A",(BH102)/BH$84),"N/A")</f>
        <v>N/A</v>
      </c>
      <c r="BI20" s="253" t="n">
        <f aca="false">COUNTIF(AY20:BH20,"&lt;5")</f>
        <v>0</v>
      </c>
      <c r="BJ20" s="242"/>
    </row>
    <row r="21" customFormat="false" ht="13.8" hidden="false" customHeight="false" outlineLevel="0" collapsed="false">
      <c r="A21" s="29" t="n">
        <v>17</v>
      </c>
      <c r="B21" s="151" t="str">
        <f aca="false">'Datos Iniciales'!T25</f>
        <v>Alumno17</v>
      </c>
      <c r="C21" s="245" t="n">
        <f aca="false">SUMPRODUCT(F21:O21,F$50:O$50)</f>
        <v>7.01</v>
      </c>
      <c r="D21" s="246"/>
      <c r="E21" s="247" t="n">
        <f aca="false">IF(C21&lt;1,1,IF(AND(C21&lt;5,P21&gt;0),TRUNC(C21,0),IF(AND(C21&gt;5,P21&gt;0),4,ROUND(C21,0))))</f>
        <v>7</v>
      </c>
      <c r="F21" s="248" t="n">
        <f aca="false">IF(F$50&gt;0,Actividades!LX22,"N/A")</f>
        <v>7.9125</v>
      </c>
      <c r="G21" s="249" t="n">
        <f aca="false">IF(G$50&gt;0,Actividades!LY22,"N/A")</f>
        <v>6.9</v>
      </c>
      <c r="H21" s="249" t="n">
        <f aca="false">IF(H$50&gt;0,Actividades!LZ22,"N/A")</f>
        <v>6.25</v>
      </c>
      <c r="I21" s="249" t="n">
        <f aca="false">IF(I$50&gt;0,Actividades!MA22,"N/A")</f>
        <v>7</v>
      </c>
      <c r="J21" s="249" t="str">
        <f aca="false">IF(J$50&gt;0,Actividades!MB22,"N/A")</f>
        <v>N/A</v>
      </c>
      <c r="K21" s="249" t="str">
        <f aca="false">IF(K$50&gt;0,Actividades!MC22,"N/A")</f>
        <v>N/A</v>
      </c>
      <c r="L21" s="249" t="str">
        <f aca="false">IF(L$50&gt;0,Actividades!MD22,"N/A")</f>
        <v>N/A</v>
      </c>
      <c r="M21" s="249" t="str">
        <f aca="false">IF(M$50&gt;0,Actividades!ME22,"N/A")</f>
        <v>N/A</v>
      </c>
      <c r="N21" s="249" t="str">
        <f aca="false">IF(N$50&gt;0,Actividades!MF22,"N/A")</f>
        <v>N/A</v>
      </c>
      <c r="O21" s="250" t="str">
        <f aca="false">IF(O$50&gt;0,Actividades!MG22,"N/A")</f>
        <v>N/A</v>
      </c>
      <c r="P21" s="251" t="n">
        <f aca="false">COUNTIF(F21:O21,"&lt;5")</f>
        <v>0</v>
      </c>
      <c r="Q21" s="242"/>
      <c r="R21" s="252" t="n">
        <f aca="false">SUMPRODUCT(U21:AD21,U$51:AD$51)</f>
        <v>7.01</v>
      </c>
      <c r="S21" s="246"/>
      <c r="T21" s="247" t="n">
        <f aca="false">IF(R21&lt;1,1,IF(AND(R21&lt;5,AE21&gt;0),TRUNC(R21,0),IF(AND(R21&gt;5,AE21&gt;0),4,ROUND(R21,0))))</f>
        <v>7</v>
      </c>
      <c r="U21" s="248" t="n">
        <f aca="false">IF(F$50&gt;0,IF(U$84=0,"N/A",(U103)/U$84),"N/A")</f>
        <v>7.9125</v>
      </c>
      <c r="V21" s="249" t="n">
        <f aca="false">IF(G$50&gt;0,IF(V$84=0,"N/A",(V103)/V$84),"N/A")</f>
        <v>6.9</v>
      </c>
      <c r="W21" s="249" t="n">
        <f aca="false">IF(H$50&gt;0,IF(W$84=0,"N/A",(W103)/W$84),"N/A")</f>
        <v>6.25</v>
      </c>
      <c r="X21" s="249" t="n">
        <f aca="false">IF(I$50&gt;0,IF(X$84=0,"N/A",(X103)/X$84),"N/A")</f>
        <v>7</v>
      </c>
      <c r="Y21" s="249" t="str">
        <f aca="false">IF(J$50&gt;0,IF(Y$84=0,"N/A",(Y103)/Y$84),"N/A")</f>
        <v>N/A</v>
      </c>
      <c r="Z21" s="249" t="str">
        <f aca="false">IF(K$50&gt;0,IF(Z$84=0,"N/A",(Z103)/Z$84),"N/A")</f>
        <v>N/A</v>
      </c>
      <c r="AA21" s="249" t="str">
        <f aca="false">IF(L$50&gt;0,IF(AA$84=0,"N/A",(AA103)/AA$84),"N/A")</f>
        <v>N/A</v>
      </c>
      <c r="AB21" s="249" t="str">
        <f aca="false">IF(M$50&gt;0,IF(AB$84=0,"N/A",(AB103)/AB$84),"N/A")</f>
        <v>N/A</v>
      </c>
      <c r="AC21" s="249" t="str">
        <f aca="false">IF(N$50&gt;0,IF(AC$84=0,"N/A",(AC103)/AC$84),"N/A")</f>
        <v>N/A</v>
      </c>
      <c r="AD21" s="250" t="str">
        <f aca="false">IF(O$50&gt;0,IF(AD$84=0,"N/A",(AD103)/AD$84),"N/A")</f>
        <v>N/A</v>
      </c>
      <c r="AE21" s="253" t="n">
        <f aca="false">COUNTIF(U21:AD21,"&lt;5")</f>
        <v>0</v>
      </c>
      <c r="AF21" s="242"/>
      <c r="AG21" s="252" t="n">
        <f aca="false">SUMPRODUCT(AJ21:AS21,AJ$51:AS$51)</f>
        <v>0</v>
      </c>
      <c r="AH21" s="246"/>
      <c r="AI21" s="247" t="n">
        <f aca="false">IF(AG21&lt;1,1,IF(AND(AG21&lt;5,AT21&gt;0),TRUNC(AG21,0),IF(AND(AG21&gt;5,AT21&gt;0),4,ROUND(AG21,0))))</f>
        <v>1</v>
      </c>
      <c r="AJ21" s="248" t="str">
        <f aca="false">IF(F$50&gt;0,IF(AJ$84=0,"N/A",(AJ103)/AJ$84),"N/A")</f>
        <v>N/A</v>
      </c>
      <c r="AK21" s="249" t="str">
        <f aca="false">IF(G$50&gt;0,IF(AK$84=0,"N/A",(AK103)/AK$84),"N/A")</f>
        <v>N/A</v>
      </c>
      <c r="AL21" s="249" t="str">
        <f aca="false">IF(H$50&gt;0,IF(AL$84=0,"N/A",(AL103)/AL$84),"N/A")</f>
        <v>N/A</v>
      </c>
      <c r="AM21" s="249" t="str">
        <f aca="false">IF(I$50&gt;0,IF(AM$84=0,"N/A",(AM103)/AM$84),"N/A")</f>
        <v>N/A</v>
      </c>
      <c r="AN21" s="249" t="str">
        <f aca="false">IF(J$50&gt;0,IF(AN$84=0,"N/A",(AN103)/AN$84),"N/A")</f>
        <v>N/A</v>
      </c>
      <c r="AO21" s="249" t="str">
        <f aca="false">IF(K$50&gt;0,IF(AO$84=0,"N/A",(AO103)/AO$84),"N/A")</f>
        <v>N/A</v>
      </c>
      <c r="AP21" s="249" t="str">
        <f aca="false">IF(L$50&gt;0,IF(AP$84=0,"N/A",(AP103)/AP$84),"N/A")</f>
        <v>N/A</v>
      </c>
      <c r="AQ21" s="249" t="str">
        <f aca="false">IF(M$50&gt;0,IF(AQ$84=0,"N/A",(AQ103)/AQ$84),"N/A")</f>
        <v>N/A</v>
      </c>
      <c r="AR21" s="249" t="str">
        <f aca="false">IF(N$50&gt;0,IF(AR$84=0,"N/A",(AR103)/AR$84),"N/A")</f>
        <v>N/A</v>
      </c>
      <c r="AS21" s="250" t="str">
        <f aca="false">IF(O$50&gt;0,IF(AS$84=0,"N/A",(AS103)/AS$84),"N/A")</f>
        <v>N/A</v>
      </c>
      <c r="AT21" s="253" t="n">
        <f aca="false">COUNTIF(AJ21:AS21,"&lt;5")</f>
        <v>0</v>
      </c>
      <c r="AU21" s="242"/>
      <c r="AV21" s="252" t="n">
        <f aca="false">SUMPRODUCT(AY21:BH21,AY$51:BH$51)</f>
        <v>0</v>
      </c>
      <c r="AW21" s="246"/>
      <c r="AX21" s="247" t="n">
        <f aca="false">IF(AV21&lt;1,1,IF(AND(AV21&lt;5,BI21&gt;0),TRUNC(AV21,0),IF(AND(AV21&gt;5,BI21&gt;0),4,ROUND(AV21,0))))</f>
        <v>1</v>
      </c>
      <c r="AY21" s="248" t="str">
        <f aca="false">IF(F$50&gt;0,IF(AY$84=0,"N/A",(AY103)/AY$84),"N/A")</f>
        <v>N/A</v>
      </c>
      <c r="AZ21" s="249" t="str">
        <f aca="false">IF(G$50&gt;0,IF(AZ$84=0,"N/A",(AZ103)/AZ$84),"N/A")</f>
        <v>N/A</v>
      </c>
      <c r="BA21" s="249" t="str">
        <f aca="false">IF(H$50&gt;0,IF(BA$84=0,"N/A",(BA103)/BA$84),"N/A")</f>
        <v>N/A</v>
      </c>
      <c r="BB21" s="249" t="str">
        <f aca="false">IF(I$50&gt;0,IF(BB$84=0,"N/A",(BB103)/BB$84),"N/A")</f>
        <v>N/A</v>
      </c>
      <c r="BC21" s="249" t="str">
        <f aca="false">IF(J$50&gt;0,IF(BC$84=0,"N/A",(BC103)/BC$84),"N/A")</f>
        <v>N/A</v>
      </c>
      <c r="BD21" s="249" t="str">
        <f aca="false">IF(K$50&gt;0,IF(BD$84=0,"N/A",(BD103)/BD$84),"N/A")</f>
        <v>N/A</v>
      </c>
      <c r="BE21" s="249" t="str">
        <f aca="false">IF(L$50&gt;0,IF(BE$84=0,"N/A",(BE103)/BE$84),"N/A")</f>
        <v>N/A</v>
      </c>
      <c r="BF21" s="249" t="str">
        <f aca="false">IF(M$50&gt;0,IF(BF$84=0,"N/A",(BF103)/BF$84),"N/A")</f>
        <v>N/A</v>
      </c>
      <c r="BG21" s="249" t="str">
        <f aca="false">IF(N$50&gt;0,IF(BG$84=0,"N/A",(BG103)/BG$84),"N/A")</f>
        <v>N/A</v>
      </c>
      <c r="BH21" s="250" t="str">
        <f aca="false">IF(O$50&gt;0,IF(BH$84=0,"N/A",(BH103)/BH$84),"N/A")</f>
        <v>N/A</v>
      </c>
      <c r="BI21" s="253" t="n">
        <f aca="false">COUNTIF(AY21:BH21,"&lt;5")</f>
        <v>0</v>
      </c>
      <c r="BJ21" s="242"/>
    </row>
    <row r="22" customFormat="false" ht="15" hidden="false" customHeight="false" outlineLevel="0" collapsed="false">
      <c r="A22" s="29" t="n">
        <v>18</v>
      </c>
      <c r="B22" s="151" t="str">
        <f aca="false">'Datos Iniciales'!T26</f>
        <v>Alumno18</v>
      </c>
      <c r="C22" s="245" t="n">
        <f aca="false">SUMPRODUCT(F22:O22,F$50:O$50)</f>
        <v>7.01375</v>
      </c>
      <c r="D22" s="246"/>
      <c r="E22" s="247" t="n">
        <f aca="false">IF(C22&lt;1,1,IF(AND(C22&lt;5,P22&gt;0),TRUNC(C22,0),IF(AND(C22&gt;5,P22&gt;0),4,ROUND(C22,0))))</f>
        <v>7</v>
      </c>
      <c r="F22" s="248" t="n">
        <f aca="false">IF(F$50&gt;0,Actividades!LX23,"N/A")</f>
        <v>7.2625</v>
      </c>
      <c r="G22" s="249" t="n">
        <f aca="false">IF(G$50&gt;0,Actividades!LY23,"N/A")</f>
        <v>6.8</v>
      </c>
      <c r="H22" s="249" t="n">
        <f aca="false">IF(H$50&gt;0,Actividades!LZ23,"N/A")</f>
        <v>7.095</v>
      </c>
      <c r="I22" s="249" t="n">
        <f aca="false">IF(I$50&gt;0,Actividades!MA23,"N/A")</f>
        <v>8.34</v>
      </c>
      <c r="J22" s="249" t="str">
        <f aca="false">IF(J$50&gt;0,Actividades!MB23,"N/A")</f>
        <v>N/A</v>
      </c>
      <c r="K22" s="249" t="str">
        <f aca="false">IF(K$50&gt;0,Actividades!MC23,"N/A")</f>
        <v>N/A</v>
      </c>
      <c r="L22" s="249" t="str">
        <f aca="false">IF(L$50&gt;0,Actividades!MD23,"N/A")</f>
        <v>N/A</v>
      </c>
      <c r="M22" s="249" t="str">
        <f aca="false">IF(M$50&gt;0,Actividades!ME23,"N/A")</f>
        <v>N/A</v>
      </c>
      <c r="N22" s="249" t="str">
        <f aca="false">IF(N$50&gt;0,Actividades!MF23,"N/A")</f>
        <v>N/A</v>
      </c>
      <c r="O22" s="250" t="str">
        <f aca="false">IF(O$50&gt;0,Actividades!MG23,"N/A")</f>
        <v>N/A</v>
      </c>
      <c r="P22" s="251" t="n">
        <f aca="false">COUNTIF(F22:O22,"&lt;5")</f>
        <v>0</v>
      </c>
      <c r="Q22" s="242"/>
      <c r="R22" s="252" t="n">
        <f aca="false">SUMPRODUCT(U22:AD22,U$51:AD$51)</f>
        <v>7.01375</v>
      </c>
      <c r="S22" s="246"/>
      <c r="T22" s="247" t="n">
        <f aca="false">IF(R22&lt;1,1,IF(AND(R22&lt;5,AE22&gt;0),TRUNC(R22,0),IF(AND(R22&gt;5,AE22&gt;0),4,ROUND(R22,0))))</f>
        <v>7</v>
      </c>
      <c r="U22" s="248" t="n">
        <f aca="false">IF(F$50&gt;0,IF(U$84=0,"N/A",(U104)/U$84),"N/A")</f>
        <v>7.2625</v>
      </c>
      <c r="V22" s="249" t="n">
        <f aca="false">IF(G$50&gt;0,IF(V$84=0,"N/A",(V104)/V$84),"N/A")</f>
        <v>6.8</v>
      </c>
      <c r="W22" s="249" t="n">
        <f aca="false">IF(H$50&gt;0,IF(W$84=0,"N/A",(W104)/W$84),"N/A")</f>
        <v>7.095</v>
      </c>
      <c r="X22" s="249" t="n">
        <f aca="false">IF(I$50&gt;0,IF(X$84=0,"N/A",(X104)/X$84),"N/A")</f>
        <v>8.34</v>
      </c>
      <c r="Y22" s="249" t="str">
        <f aca="false">IF(J$50&gt;0,IF(Y$84=0,"N/A",(Y104)/Y$84),"N/A")</f>
        <v>N/A</v>
      </c>
      <c r="Z22" s="249" t="str">
        <f aca="false">IF(K$50&gt;0,IF(Z$84=0,"N/A",(Z104)/Z$84),"N/A")</f>
        <v>N/A</v>
      </c>
      <c r="AA22" s="249" t="str">
        <f aca="false">IF(L$50&gt;0,IF(AA$84=0,"N/A",(AA104)/AA$84),"N/A")</f>
        <v>N/A</v>
      </c>
      <c r="AB22" s="249" t="str">
        <f aca="false">IF(M$50&gt;0,IF(AB$84=0,"N/A",(AB104)/AB$84),"N/A")</f>
        <v>N/A</v>
      </c>
      <c r="AC22" s="249" t="str">
        <f aca="false">IF(N$50&gt;0,IF(AC$84=0,"N/A",(AC104)/AC$84),"N/A")</f>
        <v>N/A</v>
      </c>
      <c r="AD22" s="250" t="str">
        <f aca="false">IF(O$50&gt;0,IF(AD$84=0,"N/A",(AD104)/AD$84),"N/A")</f>
        <v>N/A</v>
      </c>
      <c r="AE22" s="253" t="n">
        <f aca="false">COUNTIF(U22:AD22,"&lt;5")</f>
        <v>0</v>
      </c>
      <c r="AF22" s="242"/>
      <c r="AG22" s="252" t="n">
        <f aca="false">SUMPRODUCT(AJ22:AS22,AJ$51:AS$51)</f>
        <v>0</v>
      </c>
      <c r="AH22" s="246"/>
      <c r="AI22" s="247" t="n">
        <f aca="false">IF(AG22&lt;1,1,IF(AND(AG22&lt;5,AT22&gt;0),TRUNC(AG22,0),IF(AND(AG22&gt;5,AT22&gt;0),4,ROUND(AG22,0))))</f>
        <v>1</v>
      </c>
      <c r="AJ22" s="248" t="str">
        <f aca="false">IF(F$50&gt;0,IF(AJ$84=0,"N/A",(AJ104)/AJ$84),"N/A")</f>
        <v>N/A</v>
      </c>
      <c r="AK22" s="249" t="str">
        <f aca="false">IF(G$50&gt;0,IF(AK$84=0,"N/A",(AK104)/AK$84),"N/A")</f>
        <v>N/A</v>
      </c>
      <c r="AL22" s="249" t="str">
        <f aca="false">IF(H$50&gt;0,IF(AL$84=0,"N/A",(AL104)/AL$84),"N/A")</f>
        <v>N/A</v>
      </c>
      <c r="AM22" s="249" t="str">
        <f aca="false">IF(I$50&gt;0,IF(AM$84=0,"N/A",(AM104)/AM$84),"N/A")</f>
        <v>N/A</v>
      </c>
      <c r="AN22" s="249" t="str">
        <f aca="false">IF(J$50&gt;0,IF(AN$84=0,"N/A",(AN104)/AN$84),"N/A")</f>
        <v>N/A</v>
      </c>
      <c r="AO22" s="249" t="str">
        <f aca="false">IF(K$50&gt;0,IF(AO$84=0,"N/A",(AO104)/AO$84),"N/A")</f>
        <v>N/A</v>
      </c>
      <c r="AP22" s="249" t="str">
        <f aca="false">IF(L$50&gt;0,IF(AP$84=0,"N/A",(AP104)/AP$84),"N/A")</f>
        <v>N/A</v>
      </c>
      <c r="AQ22" s="249" t="str">
        <f aca="false">IF(M$50&gt;0,IF(AQ$84=0,"N/A",(AQ104)/AQ$84),"N/A")</f>
        <v>N/A</v>
      </c>
      <c r="AR22" s="249" t="str">
        <f aca="false">IF(N$50&gt;0,IF(AR$84=0,"N/A",(AR104)/AR$84),"N/A")</f>
        <v>N/A</v>
      </c>
      <c r="AS22" s="250" t="str">
        <f aca="false">IF(O$50&gt;0,IF(AS$84=0,"N/A",(AS104)/AS$84),"N/A")</f>
        <v>N/A</v>
      </c>
      <c r="AT22" s="253" t="n">
        <f aca="false">COUNTIF(AJ22:AS22,"&lt;5")</f>
        <v>0</v>
      </c>
      <c r="AU22" s="242"/>
      <c r="AV22" s="252" t="n">
        <f aca="false">SUMPRODUCT(AY22:BH22,AY$51:BH$51)</f>
        <v>0</v>
      </c>
      <c r="AW22" s="246"/>
      <c r="AX22" s="247" t="n">
        <f aca="false">IF(AV22&lt;1,1,IF(AND(AV22&lt;5,BI22&gt;0),TRUNC(AV22,0),IF(AND(AV22&gt;5,BI22&gt;0),4,ROUND(AV22,0))))</f>
        <v>1</v>
      </c>
      <c r="AY22" s="248" t="str">
        <f aca="false">IF(F$50&gt;0,IF(AY$84=0,"N/A",(AY104)/AY$84),"N/A")</f>
        <v>N/A</v>
      </c>
      <c r="AZ22" s="249" t="str">
        <f aca="false">IF(G$50&gt;0,IF(AZ$84=0,"N/A",(AZ104)/AZ$84),"N/A")</f>
        <v>N/A</v>
      </c>
      <c r="BA22" s="249" t="str">
        <f aca="false">IF(H$50&gt;0,IF(BA$84=0,"N/A",(BA104)/BA$84),"N/A")</f>
        <v>N/A</v>
      </c>
      <c r="BB22" s="249" t="str">
        <f aca="false">IF(I$50&gt;0,IF(BB$84=0,"N/A",(BB104)/BB$84),"N/A")</f>
        <v>N/A</v>
      </c>
      <c r="BC22" s="249" t="str">
        <f aca="false">IF(J$50&gt;0,IF(BC$84=0,"N/A",(BC104)/BC$84),"N/A")</f>
        <v>N/A</v>
      </c>
      <c r="BD22" s="249" t="str">
        <f aca="false">IF(K$50&gt;0,IF(BD$84=0,"N/A",(BD104)/BD$84),"N/A")</f>
        <v>N/A</v>
      </c>
      <c r="BE22" s="249" t="str">
        <f aca="false">IF(L$50&gt;0,IF(BE$84=0,"N/A",(BE104)/BE$84),"N/A")</f>
        <v>N/A</v>
      </c>
      <c r="BF22" s="249" t="str">
        <f aca="false">IF(M$50&gt;0,IF(BF$84=0,"N/A",(BF104)/BF$84),"N/A")</f>
        <v>N/A</v>
      </c>
      <c r="BG22" s="249" t="str">
        <f aca="false">IF(N$50&gt;0,IF(BG$84=0,"N/A",(BG104)/BG$84),"N/A")</f>
        <v>N/A</v>
      </c>
      <c r="BH22" s="250" t="str">
        <f aca="false">IF(O$50&gt;0,IF(BH$84=0,"N/A",(BH104)/BH$84),"N/A")</f>
        <v>N/A</v>
      </c>
      <c r="BI22" s="253" t="n">
        <f aca="false">COUNTIF(AY22:BH22,"&lt;5")</f>
        <v>0</v>
      </c>
      <c r="BJ22" s="242"/>
    </row>
    <row r="23" customFormat="false" ht="15" hidden="false" customHeight="false" outlineLevel="0" collapsed="false">
      <c r="A23" s="29" t="n">
        <v>19</v>
      </c>
      <c r="B23" s="151" t="str">
        <f aca="false">'Datos Iniciales'!T27</f>
        <v>Alumno19</v>
      </c>
      <c r="C23" s="245" t="n">
        <f aca="false">SUMPRODUCT(F23:O23,F$50:O$50)</f>
        <v>5.384</v>
      </c>
      <c r="D23" s="246"/>
      <c r="E23" s="247" t="n">
        <f aca="false">IF(C23&lt;1,1,IF(AND(C23&lt;5,P23&gt;0),TRUNC(C23,0),IF(AND(C23&gt;5,P23&gt;0),4,ROUND(C23,0))))</f>
        <v>5</v>
      </c>
      <c r="F23" s="248" t="n">
        <f aca="false">IF(F$50&gt;0,Actividades!LX24,"N/A")</f>
        <v>5.05</v>
      </c>
      <c r="G23" s="249" t="n">
        <f aca="false">IF(G$50&gt;0,Actividades!LY24,"N/A")</f>
        <v>5.4</v>
      </c>
      <c r="H23" s="249" t="n">
        <f aca="false">IF(H$50&gt;0,Actividades!LZ24,"N/A")</f>
        <v>5.68</v>
      </c>
      <c r="I23" s="249" t="n">
        <f aca="false">IF(I$50&gt;0,Actividades!MA24,"N/A")</f>
        <v>5.64</v>
      </c>
      <c r="J23" s="249" t="str">
        <f aca="false">IF(J$50&gt;0,Actividades!MB24,"N/A")</f>
        <v>N/A</v>
      </c>
      <c r="K23" s="249" t="str">
        <f aca="false">IF(K$50&gt;0,Actividades!MC24,"N/A")</f>
        <v>N/A</v>
      </c>
      <c r="L23" s="249" t="str">
        <f aca="false">IF(L$50&gt;0,Actividades!MD24,"N/A")</f>
        <v>N/A</v>
      </c>
      <c r="M23" s="249" t="str">
        <f aca="false">IF(M$50&gt;0,Actividades!ME24,"N/A")</f>
        <v>N/A</v>
      </c>
      <c r="N23" s="249" t="str">
        <f aca="false">IF(N$50&gt;0,Actividades!MF24,"N/A")</f>
        <v>N/A</v>
      </c>
      <c r="O23" s="250" t="str">
        <f aca="false">IF(O$50&gt;0,Actividades!MG24,"N/A")</f>
        <v>N/A</v>
      </c>
      <c r="P23" s="251" t="n">
        <f aca="false">COUNTIF(F23:O23,"&lt;5")</f>
        <v>0</v>
      </c>
      <c r="Q23" s="242"/>
      <c r="R23" s="252" t="n">
        <f aca="false">SUMPRODUCT(U23:AD23,U$51:AD$51)</f>
        <v>5.384</v>
      </c>
      <c r="S23" s="246"/>
      <c r="T23" s="247" t="n">
        <f aca="false">IF(R23&lt;1,1,IF(AND(R23&lt;5,AE23&gt;0),TRUNC(R23,0),IF(AND(R23&gt;5,AE23&gt;0),4,ROUND(R23,0))))</f>
        <v>5</v>
      </c>
      <c r="U23" s="248" t="n">
        <f aca="false">IF(F$50&gt;0,IF(U$84=0,"N/A",(U105)/U$84),"N/A")</f>
        <v>5.05</v>
      </c>
      <c r="V23" s="249" t="n">
        <f aca="false">IF(G$50&gt;0,IF(V$84=0,"N/A",(V105)/V$84),"N/A")</f>
        <v>5.4</v>
      </c>
      <c r="W23" s="249" t="n">
        <f aca="false">IF(H$50&gt;0,IF(W$84=0,"N/A",(W105)/W$84),"N/A")</f>
        <v>5.68</v>
      </c>
      <c r="X23" s="249" t="n">
        <f aca="false">IF(I$50&gt;0,IF(X$84=0,"N/A",(X105)/X$84),"N/A")</f>
        <v>5.64</v>
      </c>
      <c r="Y23" s="249" t="str">
        <f aca="false">IF(J$50&gt;0,IF(Y$84=0,"N/A",(Y105)/Y$84),"N/A")</f>
        <v>N/A</v>
      </c>
      <c r="Z23" s="249" t="str">
        <f aca="false">IF(K$50&gt;0,IF(Z$84=0,"N/A",(Z105)/Z$84),"N/A")</f>
        <v>N/A</v>
      </c>
      <c r="AA23" s="249" t="str">
        <f aca="false">IF(L$50&gt;0,IF(AA$84=0,"N/A",(AA105)/AA$84),"N/A")</f>
        <v>N/A</v>
      </c>
      <c r="AB23" s="249" t="str">
        <f aca="false">IF(M$50&gt;0,IF(AB$84=0,"N/A",(AB105)/AB$84),"N/A")</f>
        <v>N/A</v>
      </c>
      <c r="AC23" s="249" t="str">
        <f aca="false">IF(N$50&gt;0,IF(AC$84=0,"N/A",(AC105)/AC$84),"N/A")</f>
        <v>N/A</v>
      </c>
      <c r="AD23" s="250" t="str">
        <f aca="false">IF(O$50&gt;0,IF(AD$84=0,"N/A",(AD105)/AD$84),"N/A")</f>
        <v>N/A</v>
      </c>
      <c r="AE23" s="253" t="n">
        <f aca="false">COUNTIF(U23:AD23,"&lt;5")</f>
        <v>0</v>
      </c>
      <c r="AF23" s="242"/>
      <c r="AG23" s="252" t="n">
        <f aca="false">SUMPRODUCT(AJ23:AS23,AJ$51:AS$51)</f>
        <v>0</v>
      </c>
      <c r="AH23" s="246"/>
      <c r="AI23" s="247" t="n">
        <f aca="false">IF(AG23&lt;1,1,IF(AND(AG23&lt;5,AT23&gt;0),TRUNC(AG23,0),IF(AND(AG23&gt;5,AT23&gt;0),4,ROUND(AG23,0))))</f>
        <v>1</v>
      </c>
      <c r="AJ23" s="248" t="str">
        <f aca="false">IF(F$50&gt;0,IF(AJ$84=0,"N/A",(AJ105)/AJ$84),"N/A")</f>
        <v>N/A</v>
      </c>
      <c r="AK23" s="249" t="str">
        <f aca="false">IF(G$50&gt;0,IF(AK$84=0,"N/A",(AK105)/AK$84),"N/A")</f>
        <v>N/A</v>
      </c>
      <c r="AL23" s="249" t="str">
        <f aca="false">IF(H$50&gt;0,IF(AL$84=0,"N/A",(AL105)/AL$84),"N/A")</f>
        <v>N/A</v>
      </c>
      <c r="AM23" s="249" t="str">
        <f aca="false">IF(I$50&gt;0,IF(AM$84=0,"N/A",(AM105)/AM$84),"N/A")</f>
        <v>N/A</v>
      </c>
      <c r="AN23" s="249" t="str">
        <f aca="false">IF(J$50&gt;0,IF(AN$84=0,"N/A",(AN105)/AN$84),"N/A")</f>
        <v>N/A</v>
      </c>
      <c r="AO23" s="249" t="str">
        <f aca="false">IF(K$50&gt;0,IF(AO$84=0,"N/A",(AO105)/AO$84),"N/A")</f>
        <v>N/A</v>
      </c>
      <c r="AP23" s="249" t="str">
        <f aca="false">IF(L$50&gt;0,IF(AP$84=0,"N/A",(AP105)/AP$84),"N/A")</f>
        <v>N/A</v>
      </c>
      <c r="AQ23" s="249" t="str">
        <f aca="false">IF(M$50&gt;0,IF(AQ$84=0,"N/A",(AQ105)/AQ$84),"N/A")</f>
        <v>N/A</v>
      </c>
      <c r="AR23" s="249" t="str">
        <f aca="false">IF(N$50&gt;0,IF(AR$84=0,"N/A",(AR105)/AR$84),"N/A")</f>
        <v>N/A</v>
      </c>
      <c r="AS23" s="250" t="str">
        <f aca="false">IF(O$50&gt;0,IF(AS$84=0,"N/A",(AS105)/AS$84),"N/A")</f>
        <v>N/A</v>
      </c>
      <c r="AT23" s="253" t="n">
        <f aca="false">COUNTIF(AJ23:AS23,"&lt;5")</f>
        <v>0</v>
      </c>
      <c r="AU23" s="242"/>
      <c r="AV23" s="252" t="n">
        <f aca="false">SUMPRODUCT(AY23:BH23,AY$51:BH$51)</f>
        <v>0</v>
      </c>
      <c r="AW23" s="246"/>
      <c r="AX23" s="247" t="n">
        <f aca="false">IF(AV23&lt;1,1,IF(AND(AV23&lt;5,BI23&gt;0),TRUNC(AV23,0),IF(AND(AV23&gt;5,BI23&gt;0),4,ROUND(AV23,0))))</f>
        <v>1</v>
      </c>
      <c r="AY23" s="248" t="str">
        <f aca="false">IF(F$50&gt;0,IF(AY$84=0,"N/A",(AY105)/AY$84),"N/A")</f>
        <v>N/A</v>
      </c>
      <c r="AZ23" s="249" t="str">
        <f aca="false">IF(G$50&gt;0,IF(AZ$84=0,"N/A",(AZ105)/AZ$84),"N/A")</f>
        <v>N/A</v>
      </c>
      <c r="BA23" s="249" t="str">
        <f aca="false">IF(H$50&gt;0,IF(BA$84=0,"N/A",(BA105)/BA$84),"N/A")</f>
        <v>N/A</v>
      </c>
      <c r="BB23" s="249" t="str">
        <f aca="false">IF(I$50&gt;0,IF(BB$84=0,"N/A",(BB105)/BB$84),"N/A")</f>
        <v>N/A</v>
      </c>
      <c r="BC23" s="249" t="str">
        <f aca="false">IF(J$50&gt;0,IF(BC$84=0,"N/A",(BC105)/BC$84),"N/A")</f>
        <v>N/A</v>
      </c>
      <c r="BD23" s="249" t="str">
        <f aca="false">IF(K$50&gt;0,IF(BD$84=0,"N/A",(BD105)/BD$84),"N/A")</f>
        <v>N/A</v>
      </c>
      <c r="BE23" s="249" t="str">
        <f aca="false">IF(L$50&gt;0,IF(BE$84=0,"N/A",(BE105)/BE$84),"N/A")</f>
        <v>N/A</v>
      </c>
      <c r="BF23" s="249" t="str">
        <f aca="false">IF(M$50&gt;0,IF(BF$84=0,"N/A",(BF105)/BF$84),"N/A")</f>
        <v>N/A</v>
      </c>
      <c r="BG23" s="249" t="str">
        <f aca="false">IF(N$50&gt;0,IF(BG$84=0,"N/A",(BG105)/BG$84),"N/A")</f>
        <v>N/A</v>
      </c>
      <c r="BH23" s="250" t="str">
        <f aca="false">IF(O$50&gt;0,IF(BH$84=0,"N/A",(BH105)/BH$84),"N/A")</f>
        <v>N/A</v>
      </c>
      <c r="BI23" s="253" t="n">
        <f aca="false">COUNTIF(AY23:BH23,"&lt;5")</f>
        <v>0</v>
      </c>
      <c r="BJ23" s="242"/>
    </row>
    <row r="24" customFormat="false" ht="15" hidden="false" customHeight="false" outlineLevel="0" collapsed="false">
      <c r="A24" s="29" t="n">
        <v>20</v>
      </c>
      <c r="B24" s="151" t="str">
        <f aca="false">'Datos Iniciales'!T28</f>
        <v>Alumno20</v>
      </c>
      <c r="C24" s="245" t="n">
        <f aca="false">SUMPRODUCT(F24:O24,F$50:O$50)</f>
        <v>6.9115</v>
      </c>
      <c r="D24" s="246"/>
      <c r="E24" s="247" t="n">
        <f aca="false">IF(C24&lt;1,1,IF(AND(C24&lt;5,P24&gt;0),TRUNC(C24,0),IF(AND(C24&gt;5,P24&gt;0),4,ROUND(C24,0))))</f>
        <v>4</v>
      </c>
      <c r="F24" s="248" t="n">
        <f aca="false">IF(F$50&gt;0,Actividades!LX25,"N/A")</f>
        <v>6.75</v>
      </c>
      <c r="G24" s="249" t="n">
        <f aca="false">IF(G$50&gt;0,Actividades!LY25,"N/A")</f>
        <v>7.25</v>
      </c>
      <c r="H24" s="249" t="n">
        <f aca="false">IF(H$50&gt;0,Actividades!LZ25,"N/A")</f>
        <v>6.53</v>
      </c>
      <c r="I24" s="249" t="n">
        <f aca="false">IF(I$50&gt;0,Actividades!MA25,"N/A")</f>
        <v>4.64</v>
      </c>
      <c r="J24" s="249" t="str">
        <f aca="false">IF(J$50&gt;0,Actividades!MB25,"N/A")</f>
        <v>N/A</v>
      </c>
      <c r="K24" s="249" t="str">
        <f aca="false">IF(K$50&gt;0,Actividades!MC25,"N/A")</f>
        <v>N/A</v>
      </c>
      <c r="L24" s="249" t="str">
        <f aca="false">IF(L$50&gt;0,Actividades!MD25,"N/A")</f>
        <v>N/A</v>
      </c>
      <c r="M24" s="249" t="str">
        <f aca="false">IF(M$50&gt;0,Actividades!ME25,"N/A")</f>
        <v>N/A</v>
      </c>
      <c r="N24" s="249" t="str">
        <f aca="false">IF(N$50&gt;0,Actividades!MF25,"N/A")</f>
        <v>N/A</v>
      </c>
      <c r="O24" s="250" t="str">
        <f aca="false">IF(O$50&gt;0,Actividades!MG25,"N/A")</f>
        <v>N/A</v>
      </c>
      <c r="P24" s="251" t="n">
        <f aca="false">COUNTIF(F24:O24,"&lt;5")</f>
        <v>1</v>
      </c>
      <c r="Q24" s="242"/>
      <c r="R24" s="252" t="n">
        <f aca="false">SUMPRODUCT(U24:AD24,U$51:AD$51)</f>
        <v>6.9115</v>
      </c>
      <c r="S24" s="246"/>
      <c r="T24" s="247" t="n">
        <f aca="false">IF(R24&lt;1,1,IF(AND(R24&lt;5,AE24&gt;0),TRUNC(R24,0),IF(AND(R24&gt;5,AE24&gt;0),4,ROUND(R24,0))))</f>
        <v>4</v>
      </c>
      <c r="U24" s="248" t="n">
        <f aca="false">IF(F$50&gt;0,IF(U$84=0,"N/A",(U106)/U$84),"N/A")</f>
        <v>6.75</v>
      </c>
      <c r="V24" s="249" t="n">
        <f aca="false">IF(G$50&gt;0,IF(V$84=0,"N/A",(V106)/V$84),"N/A")</f>
        <v>7.25</v>
      </c>
      <c r="W24" s="249" t="n">
        <f aca="false">IF(H$50&gt;0,IF(W$84=0,"N/A",(W106)/W$84),"N/A")</f>
        <v>6.53</v>
      </c>
      <c r="X24" s="249" t="n">
        <f aca="false">IF(I$50&gt;0,IF(X$84=0,"N/A",(X106)/X$84),"N/A")</f>
        <v>4.64</v>
      </c>
      <c r="Y24" s="249" t="str">
        <f aca="false">IF(J$50&gt;0,IF(Y$84=0,"N/A",(Y106)/Y$84),"N/A")</f>
        <v>N/A</v>
      </c>
      <c r="Z24" s="249" t="str">
        <f aca="false">IF(K$50&gt;0,IF(Z$84=0,"N/A",(Z106)/Z$84),"N/A")</f>
        <v>N/A</v>
      </c>
      <c r="AA24" s="249" t="str">
        <f aca="false">IF(L$50&gt;0,IF(AA$84=0,"N/A",(AA106)/AA$84),"N/A")</f>
        <v>N/A</v>
      </c>
      <c r="AB24" s="249" t="str">
        <f aca="false">IF(M$50&gt;0,IF(AB$84=0,"N/A",(AB106)/AB$84),"N/A")</f>
        <v>N/A</v>
      </c>
      <c r="AC24" s="249" t="str">
        <f aca="false">IF(N$50&gt;0,IF(AC$84=0,"N/A",(AC106)/AC$84),"N/A")</f>
        <v>N/A</v>
      </c>
      <c r="AD24" s="250" t="str">
        <f aca="false">IF(O$50&gt;0,IF(AD$84=0,"N/A",(AD106)/AD$84),"N/A")</f>
        <v>N/A</v>
      </c>
      <c r="AE24" s="253" t="n">
        <f aca="false">COUNTIF(U24:AD24,"&lt;5")</f>
        <v>1</v>
      </c>
      <c r="AF24" s="242"/>
      <c r="AG24" s="252" t="n">
        <f aca="false">SUMPRODUCT(AJ24:AS24,AJ$51:AS$51)</f>
        <v>0</v>
      </c>
      <c r="AH24" s="246"/>
      <c r="AI24" s="247" t="n">
        <f aca="false">IF(AG24&lt;1,1,IF(AND(AG24&lt;5,AT24&gt;0),TRUNC(AG24,0),IF(AND(AG24&gt;5,AT24&gt;0),4,ROUND(AG24,0))))</f>
        <v>1</v>
      </c>
      <c r="AJ24" s="248" t="str">
        <f aca="false">IF(F$50&gt;0,IF(AJ$84=0,"N/A",(AJ106)/AJ$84),"N/A")</f>
        <v>N/A</v>
      </c>
      <c r="AK24" s="249" t="str">
        <f aca="false">IF(G$50&gt;0,IF(AK$84=0,"N/A",(AK106)/AK$84),"N/A")</f>
        <v>N/A</v>
      </c>
      <c r="AL24" s="249" t="str">
        <f aca="false">IF(H$50&gt;0,IF(AL$84=0,"N/A",(AL106)/AL$84),"N/A")</f>
        <v>N/A</v>
      </c>
      <c r="AM24" s="249" t="str">
        <f aca="false">IF(I$50&gt;0,IF(AM$84=0,"N/A",(AM106)/AM$84),"N/A")</f>
        <v>N/A</v>
      </c>
      <c r="AN24" s="249" t="str">
        <f aca="false">IF(J$50&gt;0,IF(AN$84=0,"N/A",(AN106)/AN$84),"N/A")</f>
        <v>N/A</v>
      </c>
      <c r="AO24" s="249" t="str">
        <f aca="false">IF(K$50&gt;0,IF(AO$84=0,"N/A",(AO106)/AO$84),"N/A")</f>
        <v>N/A</v>
      </c>
      <c r="AP24" s="249" t="str">
        <f aca="false">IF(L$50&gt;0,IF(AP$84=0,"N/A",(AP106)/AP$84),"N/A")</f>
        <v>N/A</v>
      </c>
      <c r="AQ24" s="249" t="str">
        <f aca="false">IF(M$50&gt;0,IF(AQ$84=0,"N/A",(AQ106)/AQ$84),"N/A")</f>
        <v>N/A</v>
      </c>
      <c r="AR24" s="249" t="str">
        <f aca="false">IF(N$50&gt;0,IF(AR$84=0,"N/A",(AR106)/AR$84),"N/A")</f>
        <v>N/A</v>
      </c>
      <c r="AS24" s="250" t="str">
        <f aca="false">IF(O$50&gt;0,IF(AS$84=0,"N/A",(AS106)/AS$84),"N/A")</f>
        <v>N/A</v>
      </c>
      <c r="AT24" s="253" t="n">
        <f aca="false">COUNTIF(AJ24:AS24,"&lt;5")</f>
        <v>0</v>
      </c>
      <c r="AU24" s="242"/>
      <c r="AV24" s="252" t="n">
        <f aca="false">SUMPRODUCT(AY24:BH24,AY$51:BH$51)</f>
        <v>0</v>
      </c>
      <c r="AW24" s="246"/>
      <c r="AX24" s="247" t="n">
        <f aca="false">IF(AV24&lt;1,1,IF(AND(AV24&lt;5,BI24&gt;0),TRUNC(AV24,0),IF(AND(AV24&gt;5,BI24&gt;0),4,ROUND(AV24,0))))</f>
        <v>1</v>
      </c>
      <c r="AY24" s="248" t="str">
        <f aca="false">IF(F$50&gt;0,IF(AY$84=0,"N/A",(AY106)/AY$84),"N/A")</f>
        <v>N/A</v>
      </c>
      <c r="AZ24" s="249" t="str">
        <f aca="false">IF(G$50&gt;0,IF(AZ$84=0,"N/A",(AZ106)/AZ$84),"N/A")</f>
        <v>N/A</v>
      </c>
      <c r="BA24" s="249" t="str">
        <f aca="false">IF(H$50&gt;0,IF(BA$84=0,"N/A",(BA106)/BA$84),"N/A")</f>
        <v>N/A</v>
      </c>
      <c r="BB24" s="249" t="str">
        <f aca="false">IF(I$50&gt;0,IF(BB$84=0,"N/A",(BB106)/BB$84),"N/A")</f>
        <v>N/A</v>
      </c>
      <c r="BC24" s="249" t="str">
        <f aca="false">IF(J$50&gt;0,IF(BC$84=0,"N/A",(BC106)/BC$84),"N/A")</f>
        <v>N/A</v>
      </c>
      <c r="BD24" s="249" t="str">
        <f aca="false">IF(K$50&gt;0,IF(BD$84=0,"N/A",(BD106)/BD$84),"N/A")</f>
        <v>N/A</v>
      </c>
      <c r="BE24" s="249" t="str">
        <f aca="false">IF(L$50&gt;0,IF(BE$84=0,"N/A",(BE106)/BE$84),"N/A")</f>
        <v>N/A</v>
      </c>
      <c r="BF24" s="249" t="str">
        <f aca="false">IF(M$50&gt;0,IF(BF$84=0,"N/A",(BF106)/BF$84),"N/A")</f>
        <v>N/A</v>
      </c>
      <c r="BG24" s="249" t="str">
        <f aca="false">IF(N$50&gt;0,IF(BG$84=0,"N/A",(BG106)/BG$84),"N/A")</f>
        <v>N/A</v>
      </c>
      <c r="BH24" s="250" t="str">
        <f aca="false">IF(O$50&gt;0,IF(BH$84=0,"N/A",(BH106)/BH$84),"N/A")</f>
        <v>N/A</v>
      </c>
      <c r="BI24" s="253" t="n">
        <f aca="false">COUNTIF(AY24:BH24,"&lt;5")</f>
        <v>0</v>
      </c>
      <c r="BJ24" s="242"/>
    </row>
    <row r="25" customFormat="false" ht="15" hidden="false" customHeight="false" outlineLevel="0" collapsed="false">
      <c r="A25" s="29" t="n">
        <v>21</v>
      </c>
      <c r="B25" s="151" t="str">
        <f aca="false">'Datos Iniciales'!T29</f>
        <v>Alumno21</v>
      </c>
      <c r="C25" s="245" t="n">
        <f aca="false">SUMPRODUCT(F25:O25,F$50:O$50)</f>
        <v>8.05025</v>
      </c>
      <c r="D25" s="246"/>
      <c r="E25" s="247" t="n">
        <f aca="false">IF(C25&lt;1,1,IF(AND(C25&lt;5,P25&gt;0),TRUNC(C25,0),IF(AND(C25&gt;5,P25&gt;0),4,ROUND(C25,0))))</f>
        <v>8</v>
      </c>
      <c r="F25" s="248" t="n">
        <f aca="false">IF(F$50&gt;0,Actividades!LX26,"N/A")</f>
        <v>7.7</v>
      </c>
      <c r="G25" s="249" t="n">
        <f aca="false">IF(G$50&gt;0,Actividades!LY26,"N/A")</f>
        <v>8.3</v>
      </c>
      <c r="H25" s="249" t="n">
        <f aca="false">IF(H$50&gt;0,Actividades!LZ26,"N/A")</f>
        <v>8.355</v>
      </c>
      <c r="I25" s="249" t="n">
        <f aca="false">IF(I$50&gt;0,Actividades!MA26,"N/A")</f>
        <v>5.54</v>
      </c>
      <c r="J25" s="249" t="str">
        <f aca="false">IF(J$50&gt;0,Actividades!MB26,"N/A")</f>
        <v>N/A</v>
      </c>
      <c r="K25" s="249" t="str">
        <f aca="false">IF(K$50&gt;0,Actividades!MC26,"N/A")</f>
        <v>N/A</v>
      </c>
      <c r="L25" s="249" t="str">
        <f aca="false">IF(L$50&gt;0,Actividades!MD26,"N/A")</f>
        <v>N/A</v>
      </c>
      <c r="M25" s="249" t="str">
        <f aca="false">IF(M$50&gt;0,Actividades!ME26,"N/A")</f>
        <v>N/A</v>
      </c>
      <c r="N25" s="249" t="str">
        <f aca="false">IF(N$50&gt;0,Actividades!MF26,"N/A")</f>
        <v>N/A</v>
      </c>
      <c r="O25" s="250" t="str">
        <f aca="false">IF(O$50&gt;0,Actividades!MG26,"N/A")</f>
        <v>N/A</v>
      </c>
      <c r="P25" s="251" t="n">
        <f aca="false">COUNTIF(F25:O25,"&lt;5")</f>
        <v>0</v>
      </c>
      <c r="Q25" s="242"/>
      <c r="R25" s="252" t="n">
        <f aca="false">SUMPRODUCT(U25:AD25,U$51:AD$51)</f>
        <v>8.05025</v>
      </c>
      <c r="S25" s="246"/>
      <c r="T25" s="247" t="n">
        <f aca="false">IF(R25&lt;1,1,IF(AND(R25&lt;5,AE25&gt;0),TRUNC(R25,0),IF(AND(R25&gt;5,AE25&gt;0),4,ROUND(R25,0))))</f>
        <v>8</v>
      </c>
      <c r="U25" s="248" t="n">
        <f aca="false">IF(F$50&gt;0,IF(U$84=0,"N/A",(U107)/U$84),"N/A")</f>
        <v>7.7</v>
      </c>
      <c r="V25" s="249" t="n">
        <f aca="false">IF(G$50&gt;0,IF(V$84=0,"N/A",(V107)/V$84),"N/A")</f>
        <v>8.3</v>
      </c>
      <c r="W25" s="249" t="n">
        <f aca="false">IF(H$50&gt;0,IF(W$84=0,"N/A",(W107)/W$84),"N/A")</f>
        <v>8.355</v>
      </c>
      <c r="X25" s="249" t="n">
        <f aca="false">IF(I$50&gt;0,IF(X$84=0,"N/A",(X107)/X$84),"N/A")</f>
        <v>5.54</v>
      </c>
      <c r="Y25" s="249" t="str">
        <f aca="false">IF(J$50&gt;0,IF(Y$84=0,"N/A",(Y107)/Y$84),"N/A")</f>
        <v>N/A</v>
      </c>
      <c r="Z25" s="249" t="str">
        <f aca="false">IF(K$50&gt;0,IF(Z$84=0,"N/A",(Z107)/Z$84),"N/A")</f>
        <v>N/A</v>
      </c>
      <c r="AA25" s="249" t="str">
        <f aca="false">IF(L$50&gt;0,IF(AA$84=0,"N/A",(AA107)/AA$84),"N/A")</f>
        <v>N/A</v>
      </c>
      <c r="AB25" s="249" t="str">
        <f aca="false">IF(M$50&gt;0,IF(AB$84=0,"N/A",(AB107)/AB$84),"N/A")</f>
        <v>N/A</v>
      </c>
      <c r="AC25" s="249" t="str">
        <f aca="false">IF(N$50&gt;0,IF(AC$84=0,"N/A",(AC107)/AC$84),"N/A")</f>
        <v>N/A</v>
      </c>
      <c r="AD25" s="250" t="str">
        <f aca="false">IF(O$50&gt;0,IF(AD$84=0,"N/A",(AD107)/AD$84),"N/A")</f>
        <v>N/A</v>
      </c>
      <c r="AE25" s="253" t="n">
        <f aca="false">COUNTIF(U25:AD25,"&lt;5")</f>
        <v>0</v>
      </c>
      <c r="AF25" s="242"/>
      <c r="AG25" s="252" t="n">
        <f aca="false">SUMPRODUCT(AJ25:AS25,AJ$51:AS$51)</f>
        <v>0</v>
      </c>
      <c r="AH25" s="246"/>
      <c r="AI25" s="247" t="n">
        <f aca="false">IF(AG25&lt;1,1,IF(AND(AG25&lt;5,AT25&gt;0),TRUNC(AG25,0),IF(AND(AG25&gt;5,AT25&gt;0),4,ROUND(AG25,0))))</f>
        <v>1</v>
      </c>
      <c r="AJ25" s="248" t="str">
        <f aca="false">IF(F$50&gt;0,IF(AJ$84=0,"N/A",(AJ107)/AJ$84),"N/A")</f>
        <v>N/A</v>
      </c>
      <c r="AK25" s="249" t="str">
        <f aca="false">IF(G$50&gt;0,IF(AK$84=0,"N/A",(AK107)/AK$84),"N/A")</f>
        <v>N/A</v>
      </c>
      <c r="AL25" s="249" t="str">
        <f aca="false">IF(H$50&gt;0,IF(AL$84=0,"N/A",(AL107)/AL$84),"N/A")</f>
        <v>N/A</v>
      </c>
      <c r="AM25" s="249" t="str">
        <f aca="false">IF(I$50&gt;0,IF(AM$84=0,"N/A",(AM107)/AM$84),"N/A")</f>
        <v>N/A</v>
      </c>
      <c r="AN25" s="249" t="str">
        <f aca="false">IF(J$50&gt;0,IF(AN$84=0,"N/A",(AN107)/AN$84),"N/A")</f>
        <v>N/A</v>
      </c>
      <c r="AO25" s="249" t="str">
        <f aca="false">IF(K$50&gt;0,IF(AO$84=0,"N/A",(AO107)/AO$84),"N/A")</f>
        <v>N/A</v>
      </c>
      <c r="AP25" s="249" t="str">
        <f aca="false">IF(L$50&gt;0,IF(AP$84=0,"N/A",(AP107)/AP$84),"N/A")</f>
        <v>N/A</v>
      </c>
      <c r="AQ25" s="249" t="str">
        <f aca="false">IF(M$50&gt;0,IF(AQ$84=0,"N/A",(AQ107)/AQ$84),"N/A")</f>
        <v>N/A</v>
      </c>
      <c r="AR25" s="249" t="str">
        <f aca="false">IF(N$50&gt;0,IF(AR$84=0,"N/A",(AR107)/AR$84),"N/A")</f>
        <v>N/A</v>
      </c>
      <c r="AS25" s="250" t="str">
        <f aca="false">IF(O$50&gt;0,IF(AS$84=0,"N/A",(AS107)/AS$84),"N/A")</f>
        <v>N/A</v>
      </c>
      <c r="AT25" s="253" t="n">
        <f aca="false">COUNTIF(AJ25:AS25,"&lt;5")</f>
        <v>0</v>
      </c>
      <c r="AU25" s="242"/>
      <c r="AV25" s="252" t="n">
        <f aca="false">SUMPRODUCT(AY25:BH25,AY$51:BH$51)</f>
        <v>0</v>
      </c>
      <c r="AW25" s="246"/>
      <c r="AX25" s="247" t="n">
        <f aca="false">IF(AV25&lt;1,1,IF(AND(AV25&lt;5,BI25&gt;0),TRUNC(AV25,0),IF(AND(AV25&gt;5,BI25&gt;0),4,ROUND(AV25,0))))</f>
        <v>1</v>
      </c>
      <c r="AY25" s="248" t="str">
        <f aca="false">IF(F$50&gt;0,IF(AY$84=0,"N/A",(AY107)/AY$84),"N/A")</f>
        <v>N/A</v>
      </c>
      <c r="AZ25" s="249" t="str">
        <f aca="false">IF(G$50&gt;0,IF(AZ$84=0,"N/A",(AZ107)/AZ$84),"N/A")</f>
        <v>N/A</v>
      </c>
      <c r="BA25" s="249" t="str">
        <f aca="false">IF(H$50&gt;0,IF(BA$84=0,"N/A",(BA107)/BA$84),"N/A")</f>
        <v>N/A</v>
      </c>
      <c r="BB25" s="249" t="str">
        <f aca="false">IF(I$50&gt;0,IF(BB$84=0,"N/A",(BB107)/BB$84),"N/A")</f>
        <v>N/A</v>
      </c>
      <c r="BC25" s="249" t="str">
        <f aca="false">IF(J$50&gt;0,IF(BC$84=0,"N/A",(BC107)/BC$84),"N/A")</f>
        <v>N/A</v>
      </c>
      <c r="BD25" s="249" t="str">
        <f aca="false">IF(K$50&gt;0,IF(BD$84=0,"N/A",(BD107)/BD$84),"N/A")</f>
        <v>N/A</v>
      </c>
      <c r="BE25" s="249" t="str">
        <f aca="false">IF(L$50&gt;0,IF(BE$84=0,"N/A",(BE107)/BE$84),"N/A")</f>
        <v>N/A</v>
      </c>
      <c r="BF25" s="249" t="str">
        <f aca="false">IF(M$50&gt;0,IF(BF$84=0,"N/A",(BF107)/BF$84),"N/A")</f>
        <v>N/A</v>
      </c>
      <c r="BG25" s="249" t="str">
        <f aca="false">IF(N$50&gt;0,IF(BG$84=0,"N/A",(BG107)/BG$84),"N/A")</f>
        <v>N/A</v>
      </c>
      <c r="BH25" s="250" t="str">
        <f aca="false">IF(O$50&gt;0,IF(BH$84=0,"N/A",(BH107)/BH$84),"N/A")</f>
        <v>N/A</v>
      </c>
      <c r="BI25" s="253" t="n">
        <f aca="false">COUNTIF(AY25:BH25,"&lt;5")</f>
        <v>0</v>
      </c>
      <c r="BJ25" s="242"/>
    </row>
    <row r="26" customFormat="false" ht="15" hidden="false" customHeight="false" outlineLevel="0" collapsed="false">
      <c r="A26" s="29" t="n">
        <v>22</v>
      </c>
      <c r="B26" s="151" t="str">
        <f aca="false">'Datos Iniciales'!T30</f>
        <v>Alumno22</v>
      </c>
      <c r="C26" s="245" t="n">
        <f aca="false">SUMPRODUCT(F26:O26,F$50:O$50)</f>
        <v>5.76375</v>
      </c>
      <c r="D26" s="246"/>
      <c r="E26" s="247" t="n">
        <f aca="false">IF(C26&lt;1,1,IF(AND(C26&lt;5,P26&gt;0),TRUNC(C26,0),IF(AND(C26&gt;5,P26&gt;0),4,ROUND(C26,0))))</f>
        <v>4</v>
      </c>
      <c r="F26" s="248" t="n">
        <f aca="false">IF(F$50&gt;0,Actividades!LX27,"N/A")</f>
        <v>5.55</v>
      </c>
      <c r="G26" s="249" t="n">
        <f aca="false">IF(G$50&gt;0,Actividades!LY27,"N/A")</f>
        <v>5.9</v>
      </c>
      <c r="H26" s="249" t="n">
        <f aca="false">IF(H$50&gt;0,Actividades!LZ27,"N/A")</f>
        <v>5.825</v>
      </c>
      <c r="I26" s="249" t="n">
        <f aca="false">IF(I$50&gt;0,Actividades!MA27,"N/A")</f>
        <v>4.8</v>
      </c>
      <c r="J26" s="249" t="str">
        <f aca="false">IF(J$50&gt;0,Actividades!MB27,"N/A")</f>
        <v>N/A</v>
      </c>
      <c r="K26" s="249" t="str">
        <f aca="false">IF(K$50&gt;0,Actividades!MC27,"N/A")</f>
        <v>N/A</v>
      </c>
      <c r="L26" s="249" t="str">
        <f aca="false">IF(L$50&gt;0,Actividades!MD27,"N/A")</f>
        <v>N/A</v>
      </c>
      <c r="M26" s="249" t="str">
        <f aca="false">IF(M$50&gt;0,Actividades!ME27,"N/A")</f>
        <v>N/A</v>
      </c>
      <c r="N26" s="249" t="str">
        <f aca="false">IF(N$50&gt;0,Actividades!MF27,"N/A")</f>
        <v>N/A</v>
      </c>
      <c r="O26" s="250" t="str">
        <f aca="false">IF(O$50&gt;0,Actividades!MG27,"N/A")</f>
        <v>N/A</v>
      </c>
      <c r="P26" s="251" t="n">
        <f aca="false">COUNTIF(F26:O26,"&lt;5")</f>
        <v>1</v>
      </c>
      <c r="Q26" s="242"/>
      <c r="R26" s="252" t="n">
        <f aca="false">SUMPRODUCT(U26:AD26,U$51:AD$51)</f>
        <v>5.76375</v>
      </c>
      <c r="S26" s="246"/>
      <c r="T26" s="247" t="n">
        <f aca="false">IF(R26&lt;1,1,IF(AND(R26&lt;5,AE26&gt;0),TRUNC(R26,0),IF(AND(R26&gt;5,AE26&gt;0),4,ROUND(R26,0))))</f>
        <v>4</v>
      </c>
      <c r="U26" s="248" t="n">
        <f aca="false">IF(F$50&gt;0,IF(U$84=0,"N/A",(U108)/U$84),"N/A")</f>
        <v>5.55</v>
      </c>
      <c r="V26" s="249" t="n">
        <f aca="false">IF(G$50&gt;0,IF(V$84=0,"N/A",(V108)/V$84),"N/A")</f>
        <v>5.9</v>
      </c>
      <c r="W26" s="249" t="n">
        <f aca="false">IF(H$50&gt;0,IF(W$84=0,"N/A",(W108)/W$84),"N/A")</f>
        <v>5.825</v>
      </c>
      <c r="X26" s="249" t="n">
        <f aca="false">IF(I$50&gt;0,IF(X$84=0,"N/A",(X108)/X$84),"N/A")</f>
        <v>4.8</v>
      </c>
      <c r="Y26" s="249" t="str">
        <f aca="false">IF(J$50&gt;0,IF(Y$84=0,"N/A",(Y108)/Y$84),"N/A")</f>
        <v>N/A</v>
      </c>
      <c r="Z26" s="249" t="str">
        <f aca="false">IF(K$50&gt;0,IF(Z$84=0,"N/A",(Z108)/Z$84),"N/A")</f>
        <v>N/A</v>
      </c>
      <c r="AA26" s="249" t="str">
        <f aca="false">IF(L$50&gt;0,IF(AA$84=0,"N/A",(AA108)/AA$84),"N/A")</f>
        <v>N/A</v>
      </c>
      <c r="AB26" s="249" t="str">
        <f aca="false">IF(M$50&gt;0,IF(AB$84=0,"N/A",(AB108)/AB$84),"N/A")</f>
        <v>N/A</v>
      </c>
      <c r="AC26" s="249" t="str">
        <f aca="false">IF(N$50&gt;0,IF(AC$84=0,"N/A",(AC108)/AC$84),"N/A")</f>
        <v>N/A</v>
      </c>
      <c r="AD26" s="250" t="str">
        <f aca="false">IF(O$50&gt;0,IF(AD$84=0,"N/A",(AD108)/AD$84),"N/A")</f>
        <v>N/A</v>
      </c>
      <c r="AE26" s="253" t="n">
        <f aca="false">COUNTIF(U26:AD26,"&lt;5")</f>
        <v>1</v>
      </c>
      <c r="AF26" s="242"/>
      <c r="AG26" s="252" t="n">
        <f aca="false">SUMPRODUCT(AJ26:AS26,AJ$51:AS$51)</f>
        <v>0</v>
      </c>
      <c r="AH26" s="246"/>
      <c r="AI26" s="247" t="n">
        <f aca="false">IF(AG26&lt;1,1,IF(AND(AG26&lt;5,AT26&gt;0),TRUNC(AG26,0),IF(AND(AG26&gt;5,AT26&gt;0),4,ROUND(AG26,0))))</f>
        <v>1</v>
      </c>
      <c r="AJ26" s="248" t="str">
        <f aca="false">IF(F$50&gt;0,IF(AJ$84=0,"N/A",(AJ108)/AJ$84),"N/A")</f>
        <v>N/A</v>
      </c>
      <c r="AK26" s="249" t="str">
        <f aca="false">IF(G$50&gt;0,IF(AK$84=0,"N/A",(AK108)/AK$84),"N/A")</f>
        <v>N/A</v>
      </c>
      <c r="AL26" s="249" t="str">
        <f aca="false">IF(H$50&gt;0,IF(AL$84=0,"N/A",(AL108)/AL$84),"N/A")</f>
        <v>N/A</v>
      </c>
      <c r="AM26" s="249" t="str">
        <f aca="false">IF(I$50&gt;0,IF(AM$84=0,"N/A",(AM108)/AM$84),"N/A")</f>
        <v>N/A</v>
      </c>
      <c r="AN26" s="249" t="str">
        <f aca="false">IF(J$50&gt;0,IF(AN$84=0,"N/A",(AN108)/AN$84),"N/A")</f>
        <v>N/A</v>
      </c>
      <c r="AO26" s="249" t="str">
        <f aca="false">IF(K$50&gt;0,IF(AO$84=0,"N/A",(AO108)/AO$84),"N/A")</f>
        <v>N/A</v>
      </c>
      <c r="AP26" s="249" t="str">
        <f aca="false">IF(L$50&gt;0,IF(AP$84=0,"N/A",(AP108)/AP$84),"N/A")</f>
        <v>N/A</v>
      </c>
      <c r="AQ26" s="249" t="str">
        <f aca="false">IF(M$50&gt;0,IF(AQ$84=0,"N/A",(AQ108)/AQ$84),"N/A")</f>
        <v>N/A</v>
      </c>
      <c r="AR26" s="249" t="str">
        <f aca="false">IF(N$50&gt;0,IF(AR$84=0,"N/A",(AR108)/AR$84),"N/A")</f>
        <v>N/A</v>
      </c>
      <c r="AS26" s="250" t="str">
        <f aca="false">IF(O$50&gt;0,IF(AS$84=0,"N/A",(AS108)/AS$84),"N/A")</f>
        <v>N/A</v>
      </c>
      <c r="AT26" s="253" t="n">
        <f aca="false">COUNTIF(AJ26:AS26,"&lt;5")</f>
        <v>0</v>
      </c>
      <c r="AU26" s="242"/>
      <c r="AV26" s="252" t="n">
        <f aca="false">SUMPRODUCT(AY26:BH26,AY$51:BH$51)</f>
        <v>0</v>
      </c>
      <c r="AW26" s="246"/>
      <c r="AX26" s="247" t="n">
        <f aca="false">IF(AV26&lt;1,1,IF(AND(AV26&lt;5,BI26&gt;0),TRUNC(AV26,0),IF(AND(AV26&gt;5,BI26&gt;0),4,ROUND(AV26,0))))</f>
        <v>1</v>
      </c>
      <c r="AY26" s="248" t="str">
        <f aca="false">IF(F$50&gt;0,IF(AY$84=0,"N/A",(AY108)/AY$84),"N/A")</f>
        <v>N/A</v>
      </c>
      <c r="AZ26" s="249" t="str">
        <f aca="false">IF(G$50&gt;0,IF(AZ$84=0,"N/A",(AZ108)/AZ$84),"N/A")</f>
        <v>N/A</v>
      </c>
      <c r="BA26" s="249" t="str">
        <f aca="false">IF(H$50&gt;0,IF(BA$84=0,"N/A",(BA108)/BA$84),"N/A")</f>
        <v>N/A</v>
      </c>
      <c r="BB26" s="249" t="str">
        <f aca="false">IF(I$50&gt;0,IF(BB$84=0,"N/A",(BB108)/BB$84),"N/A")</f>
        <v>N/A</v>
      </c>
      <c r="BC26" s="249" t="str">
        <f aca="false">IF(J$50&gt;0,IF(BC$84=0,"N/A",(BC108)/BC$84),"N/A")</f>
        <v>N/A</v>
      </c>
      <c r="BD26" s="249" t="str">
        <f aca="false">IF(K$50&gt;0,IF(BD$84=0,"N/A",(BD108)/BD$84),"N/A")</f>
        <v>N/A</v>
      </c>
      <c r="BE26" s="249" t="str">
        <f aca="false">IF(L$50&gt;0,IF(BE$84=0,"N/A",(BE108)/BE$84),"N/A")</f>
        <v>N/A</v>
      </c>
      <c r="BF26" s="249" t="str">
        <f aca="false">IF(M$50&gt;0,IF(BF$84=0,"N/A",(BF108)/BF$84),"N/A")</f>
        <v>N/A</v>
      </c>
      <c r="BG26" s="249" t="str">
        <f aca="false">IF(N$50&gt;0,IF(BG$84=0,"N/A",(BG108)/BG$84),"N/A")</f>
        <v>N/A</v>
      </c>
      <c r="BH26" s="250" t="str">
        <f aca="false">IF(O$50&gt;0,IF(BH$84=0,"N/A",(BH108)/BH$84),"N/A")</f>
        <v>N/A</v>
      </c>
      <c r="BI26" s="253" t="n">
        <f aca="false">COUNTIF(AY26:BH26,"&lt;5")</f>
        <v>0</v>
      </c>
      <c r="BJ26" s="242"/>
    </row>
    <row r="27" customFormat="false" ht="15" hidden="false" customHeight="false" outlineLevel="0" collapsed="false">
      <c r="A27" s="29" t="n">
        <v>23</v>
      </c>
      <c r="B27" s="151" t="str">
        <f aca="false">'Datos Iniciales'!T31</f>
        <v>Alumno23</v>
      </c>
      <c r="C27" s="245" t="n">
        <f aca="false">SUMPRODUCT(F27:O27,F$50:O$50)</f>
        <v>5.01275</v>
      </c>
      <c r="D27" s="246"/>
      <c r="E27" s="247" t="n">
        <f aca="false">IF(C27&lt;1,1,IF(AND(C27&lt;5,P27&gt;0),TRUNC(C27,0),IF(AND(C27&gt;5,P27&gt;0),4,ROUND(C27,0))))</f>
        <v>4</v>
      </c>
      <c r="F27" s="248" t="n">
        <f aca="false">IF(F$50&gt;0,Actividades!LX28,"N/A")</f>
        <v>5.15</v>
      </c>
      <c r="G27" s="249" t="n">
        <f aca="false">IF(G$50&gt;0,Actividades!LY28,"N/A")</f>
        <v>4.9</v>
      </c>
      <c r="H27" s="249" t="n">
        <f aca="false">IF(H$50&gt;0,Actividades!LZ28,"N/A")</f>
        <v>4.605</v>
      </c>
      <c r="I27" s="249" t="n">
        <f aca="false">IF(I$50&gt;0,Actividades!MA28,"N/A")</f>
        <v>7.04</v>
      </c>
      <c r="J27" s="249" t="str">
        <f aca="false">IF(J$50&gt;0,Actividades!MB28,"N/A")</f>
        <v>N/A</v>
      </c>
      <c r="K27" s="249" t="str">
        <f aca="false">IF(K$50&gt;0,Actividades!MC28,"N/A")</f>
        <v>N/A</v>
      </c>
      <c r="L27" s="249" t="str">
        <f aca="false">IF(L$50&gt;0,Actividades!MD28,"N/A")</f>
        <v>N/A</v>
      </c>
      <c r="M27" s="249" t="str">
        <f aca="false">IF(M$50&gt;0,Actividades!ME28,"N/A")</f>
        <v>N/A</v>
      </c>
      <c r="N27" s="249" t="str">
        <f aca="false">IF(N$50&gt;0,Actividades!MF28,"N/A")</f>
        <v>N/A</v>
      </c>
      <c r="O27" s="250" t="str">
        <f aca="false">IF(O$50&gt;0,Actividades!MG28,"N/A")</f>
        <v>N/A</v>
      </c>
      <c r="P27" s="251" t="n">
        <f aca="false">COUNTIF(F27:O27,"&lt;5")</f>
        <v>2</v>
      </c>
      <c r="Q27" s="242"/>
      <c r="R27" s="252" t="n">
        <f aca="false">SUMPRODUCT(U27:AD27,U$51:AD$51)</f>
        <v>5.01275</v>
      </c>
      <c r="S27" s="246"/>
      <c r="T27" s="247" t="n">
        <f aca="false">IF(R27&lt;1,1,IF(AND(R27&lt;5,AE27&gt;0),TRUNC(R27,0),IF(AND(R27&gt;5,AE27&gt;0),4,ROUND(R27,0))))</f>
        <v>4</v>
      </c>
      <c r="U27" s="248" t="n">
        <f aca="false">IF(F$50&gt;0,IF(U$84=0,"N/A",(U109)/U$84),"N/A")</f>
        <v>5.15</v>
      </c>
      <c r="V27" s="249" t="n">
        <f aca="false">IF(G$50&gt;0,IF(V$84=0,"N/A",(V109)/V$84),"N/A")</f>
        <v>4.9</v>
      </c>
      <c r="W27" s="249" t="n">
        <f aca="false">IF(H$50&gt;0,IF(W$84=0,"N/A",(W109)/W$84),"N/A")</f>
        <v>4.605</v>
      </c>
      <c r="X27" s="249" t="n">
        <f aca="false">IF(I$50&gt;0,IF(X$84=0,"N/A",(X109)/X$84),"N/A")</f>
        <v>7.04</v>
      </c>
      <c r="Y27" s="249" t="str">
        <f aca="false">IF(J$50&gt;0,IF(Y$84=0,"N/A",(Y109)/Y$84),"N/A")</f>
        <v>N/A</v>
      </c>
      <c r="Z27" s="249" t="str">
        <f aca="false">IF(K$50&gt;0,IF(Z$84=0,"N/A",(Z109)/Z$84),"N/A")</f>
        <v>N/A</v>
      </c>
      <c r="AA27" s="249" t="str">
        <f aca="false">IF(L$50&gt;0,IF(AA$84=0,"N/A",(AA109)/AA$84),"N/A")</f>
        <v>N/A</v>
      </c>
      <c r="AB27" s="249" t="str">
        <f aca="false">IF(M$50&gt;0,IF(AB$84=0,"N/A",(AB109)/AB$84),"N/A")</f>
        <v>N/A</v>
      </c>
      <c r="AC27" s="249" t="str">
        <f aca="false">IF(N$50&gt;0,IF(AC$84=0,"N/A",(AC109)/AC$84),"N/A")</f>
        <v>N/A</v>
      </c>
      <c r="AD27" s="250" t="str">
        <f aca="false">IF(O$50&gt;0,IF(AD$84=0,"N/A",(AD109)/AD$84),"N/A")</f>
        <v>N/A</v>
      </c>
      <c r="AE27" s="253" t="n">
        <f aca="false">COUNTIF(U27:AD27,"&lt;5")</f>
        <v>2</v>
      </c>
      <c r="AF27" s="242"/>
      <c r="AG27" s="252" t="n">
        <f aca="false">SUMPRODUCT(AJ27:AS27,AJ$51:AS$51)</f>
        <v>0</v>
      </c>
      <c r="AH27" s="246"/>
      <c r="AI27" s="247" t="n">
        <f aca="false">IF(AG27&lt;1,1,IF(AND(AG27&lt;5,AT27&gt;0),TRUNC(AG27,0),IF(AND(AG27&gt;5,AT27&gt;0),4,ROUND(AG27,0))))</f>
        <v>1</v>
      </c>
      <c r="AJ27" s="248" t="str">
        <f aca="false">IF(F$50&gt;0,IF(AJ$84=0,"N/A",(AJ109)/AJ$84),"N/A")</f>
        <v>N/A</v>
      </c>
      <c r="AK27" s="249" t="str">
        <f aca="false">IF(G$50&gt;0,IF(AK$84=0,"N/A",(AK109)/AK$84),"N/A")</f>
        <v>N/A</v>
      </c>
      <c r="AL27" s="249" t="str">
        <f aca="false">IF(H$50&gt;0,IF(AL$84=0,"N/A",(AL109)/AL$84),"N/A")</f>
        <v>N/A</v>
      </c>
      <c r="AM27" s="249" t="str">
        <f aca="false">IF(I$50&gt;0,IF(AM$84=0,"N/A",(AM109)/AM$84),"N/A")</f>
        <v>N/A</v>
      </c>
      <c r="AN27" s="249" t="str">
        <f aca="false">IF(J$50&gt;0,IF(AN$84=0,"N/A",(AN109)/AN$84),"N/A")</f>
        <v>N/A</v>
      </c>
      <c r="AO27" s="249" t="str">
        <f aca="false">IF(K$50&gt;0,IF(AO$84=0,"N/A",(AO109)/AO$84),"N/A")</f>
        <v>N/A</v>
      </c>
      <c r="AP27" s="249" t="str">
        <f aca="false">IF(L$50&gt;0,IF(AP$84=0,"N/A",(AP109)/AP$84),"N/A")</f>
        <v>N/A</v>
      </c>
      <c r="AQ27" s="249" t="str">
        <f aca="false">IF(M$50&gt;0,IF(AQ$84=0,"N/A",(AQ109)/AQ$84),"N/A")</f>
        <v>N/A</v>
      </c>
      <c r="AR27" s="249" t="str">
        <f aca="false">IF(N$50&gt;0,IF(AR$84=0,"N/A",(AR109)/AR$84),"N/A")</f>
        <v>N/A</v>
      </c>
      <c r="AS27" s="250" t="str">
        <f aca="false">IF(O$50&gt;0,IF(AS$84=0,"N/A",(AS109)/AS$84),"N/A")</f>
        <v>N/A</v>
      </c>
      <c r="AT27" s="253" t="n">
        <f aca="false">COUNTIF(AJ27:AS27,"&lt;5")</f>
        <v>0</v>
      </c>
      <c r="AU27" s="242"/>
      <c r="AV27" s="252" t="n">
        <f aca="false">SUMPRODUCT(AY27:BH27,AY$51:BH$51)</f>
        <v>0</v>
      </c>
      <c r="AW27" s="246"/>
      <c r="AX27" s="247" t="n">
        <f aca="false">IF(AV27&lt;1,1,IF(AND(AV27&lt;5,BI27&gt;0),TRUNC(AV27,0),IF(AND(AV27&gt;5,BI27&gt;0),4,ROUND(AV27,0))))</f>
        <v>1</v>
      </c>
      <c r="AY27" s="248" t="str">
        <f aca="false">IF(F$50&gt;0,IF(AY$84=0,"N/A",(AY109)/AY$84),"N/A")</f>
        <v>N/A</v>
      </c>
      <c r="AZ27" s="249" t="str">
        <f aca="false">IF(G$50&gt;0,IF(AZ$84=0,"N/A",(AZ109)/AZ$84),"N/A")</f>
        <v>N/A</v>
      </c>
      <c r="BA27" s="249" t="str">
        <f aca="false">IF(H$50&gt;0,IF(BA$84=0,"N/A",(BA109)/BA$84),"N/A")</f>
        <v>N/A</v>
      </c>
      <c r="BB27" s="249" t="str">
        <f aca="false">IF(I$50&gt;0,IF(BB$84=0,"N/A",(BB109)/BB$84),"N/A")</f>
        <v>N/A</v>
      </c>
      <c r="BC27" s="249" t="str">
        <f aca="false">IF(J$50&gt;0,IF(BC$84=0,"N/A",(BC109)/BC$84),"N/A")</f>
        <v>N/A</v>
      </c>
      <c r="BD27" s="249" t="str">
        <f aca="false">IF(K$50&gt;0,IF(BD$84=0,"N/A",(BD109)/BD$84),"N/A")</f>
        <v>N/A</v>
      </c>
      <c r="BE27" s="249" t="str">
        <f aca="false">IF(L$50&gt;0,IF(BE$84=0,"N/A",(BE109)/BE$84),"N/A")</f>
        <v>N/A</v>
      </c>
      <c r="BF27" s="249" t="str">
        <f aca="false">IF(M$50&gt;0,IF(BF$84=0,"N/A",(BF109)/BF$84),"N/A")</f>
        <v>N/A</v>
      </c>
      <c r="BG27" s="249" t="str">
        <f aca="false">IF(N$50&gt;0,IF(BG$84=0,"N/A",(BG109)/BG$84),"N/A")</f>
        <v>N/A</v>
      </c>
      <c r="BH27" s="250" t="str">
        <f aca="false">IF(O$50&gt;0,IF(BH$84=0,"N/A",(BH109)/BH$84),"N/A")</f>
        <v>N/A</v>
      </c>
      <c r="BI27" s="253" t="n">
        <f aca="false">COUNTIF(AY27:BH27,"&lt;5")</f>
        <v>0</v>
      </c>
      <c r="BJ27" s="242"/>
    </row>
    <row r="28" customFormat="false" ht="15" hidden="false" customHeight="false" outlineLevel="0" collapsed="false">
      <c r="A28" s="29" t="n">
        <v>24</v>
      </c>
      <c r="B28" s="151" t="str">
        <f aca="false">'Datos Iniciales'!T32</f>
        <v>Alumno24</v>
      </c>
      <c r="C28" s="245" t="n">
        <f aca="false">SUMPRODUCT(F28:O28,F$50:O$50)</f>
        <v>6.20375</v>
      </c>
      <c r="D28" s="246"/>
      <c r="E28" s="247" t="n">
        <f aca="false">IF(C28&lt;1,1,IF(AND(C28&lt;5,P28&gt;0),TRUNC(C28,0),IF(AND(C28&gt;5,P28&gt;0),4,ROUND(C28,0))))</f>
        <v>6</v>
      </c>
      <c r="F28" s="248" t="n">
        <f aca="false">IF(F$50&gt;0,Actividades!LX29,"N/A")</f>
        <v>5.55</v>
      </c>
      <c r="G28" s="249" t="n">
        <f aca="false">IF(G$50&gt;0,Actividades!LY29,"N/A")</f>
        <v>6.2</v>
      </c>
      <c r="H28" s="249" t="n">
        <f aca="false">IF(H$50&gt;0,Actividades!LZ29,"N/A")</f>
        <v>6.825</v>
      </c>
      <c r="I28" s="249" t="n">
        <f aca="false">IF(I$50&gt;0,Actividades!MA29,"N/A")</f>
        <v>7</v>
      </c>
      <c r="J28" s="249" t="str">
        <f aca="false">IF(J$50&gt;0,Actividades!MB29,"N/A")</f>
        <v>N/A</v>
      </c>
      <c r="K28" s="249" t="str">
        <f aca="false">IF(K$50&gt;0,Actividades!MC29,"N/A")</f>
        <v>N/A</v>
      </c>
      <c r="L28" s="249" t="str">
        <f aca="false">IF(L$50&gt;0,Actividades!MD29,"N/A")</f>
        <v>N/A</v>
      </c>
      <c r="M28" s="249" t="str">
        <f aca="false">IF(M$50&gt;0,Actividades!ME29,"N/A")</f>
        <v>N/A</v>
      </c>
      <c r="N28" s="249" t="str">
        <f aca="false">IF(N$50&gt;0,Actividades!MF29,"N/A")</f>
        <v>N/A</v>
      </c>
      <c r="O28" s="250" t="str">
        <f aca="false">IF(O$50&gt;0,Actividades!MG29,"N/A")</f>
        <v>N/A</v>
      </c>
      <c r="P28" s="251" t="n">
        <f aca="false">COUNTIF(F28:O28,"&lt;5")</f>
        <v>0</v>
      </c>
      <c r="Q28" s="242"/>
      <c r="R28" s="252" t="n">
        <f aca="false">SUMPRODUCT(U28:AD28,U$51:AD$51)</f>
        <v>6.20375</v>
      </c>
      <c r="S28" s="246"/>
      <c r="T28" s="247" t="n">
        <f aca="false">IF(R28&lt;1,1,IF(AND(R28&lt;5,AE28&gt;0),TRUNC(R28,0),IF(AND(R28&gt;5,AE28&gt;0),4,ROUND(R28,0))))</f>
        <v>6</v>
      </c>
      <c r="U28" s="248" t="n">
        <f aca="false">IF(F$50&gt;0,IF(U$84=0,"N/A",(U110)/U$84),"N/A")</f>
        <v>5.55</v>
      </c>
      <c r="V28" s="249" t="n">
        <f aca="false">IF(G$50&gt;0,IF(V$84=0,"N/A",(V110)/V$84),"N/A")</f>
        <v>6.2</v>
      </c>
      <c r="W28" s="249" t="n">
        <f aca="false">IF(H$50&gt;0,IF(W$84=0,"N/A",(W110)/W$84),"N/A")</f>
        <v>6.825</v>
      </c>
      <c r="X28" s="249" t="n">
        <f aca="false">IF(I$50&gt;0,IF(X$84=0,"N/A",(X110)/X$84),"N/A")</f>
        <v>7</v>
      </c>
      <c r="Y28" s="249" t="str">
        <f aca="false">IF(J$50&gt;0,IF(Y$84=0,"N/A",(Y110)/Y$84),"N/A")</f>
        <v>N/A</v>
      </c>
      <c r="Z28" s="249" t="str">
        <f aca="false">IF(K$50&gt;0,IF(Z$84=0,"N/A",(Z110)/Z$84),"N/A")</f>
        <v>N/A</v>
      </c>
      <c r="AA28" s="249" t="str">
        <f aca="false">IF(L$50&gt;0,IF(AA$84=0,"N/A",(AA110)/AA$84),"N/A")</f>
        <v>N/A</v>
      </c>
      <c r="AB28" s="249" t="str">
        <f aca="false">IF(M$50&gt;0,IF(AB$84=0,"N/A",(AB110)/AB$84),"N/A")</f>
        <v>N/A</v>
      </c>
      <c r="AC28" s="249" t="str">
        <f aca="false">IF(N$50&gt;0,IF(AC$84=0,"N/A",(AC110)/AC$84),"N/A")</f>
        <v>N/A</v>
      </c>
      <c r="AD28" s="250" t="str">
        <f aca="false">IF(O$50&gt;0,IF(AD$84=0,"N/A",(AD110)/AD$84),"N/A")</f>
        <v>N/A</v>
      </c>
      <c r="AE28" s="253" t="n">
        <f aca="false">COUNTIF(U28:AD28,"&lt;5")</f>
        <v>0</v>
      </c>
      <c r="AF28" s="242"/>
      <c r="AG28" s="252" t="n">
        <f aca="false">SUMPRODUCT(AJ28:AS28,AJ$51:AS$51)</f>
        <v>0</v>
      </c>
      <c r="AH28" s="246"/>
      <c r="AI28" s="247" t="n">
        <f aca="false">IF(AG28&lt;1,1,IF(AND(AG28&lt;5,AT28&gt;0),TRUNC(AG28,0),IF(AND(AG28&gt;5,AT28&gt;0),4,ROUND(AG28,0))))</f>
        <v>1</v>
      </c>
      <c r="AJ28" s="248" t="str">
        <f aca="false">IF(F$50&gt;0,IF(AJ$84=0,"N/A",(AJ110)/AJ$84),"N/A")</f>
        <v>N/A</v>
      </c>
      <c r="AK28" s="249" t="str">
        <f aca="false">IF(G$50&gt;0,IF(AK$84=0,"N/A",(AK110)/AK$84),"N/A")</f>
        <v>N/A</v>
      </c>
      <c r="AL28" s="249" t="str">
        <f aca="false">IF(H$50&gt;0,IF(AL$84=0,"N/A",(AL110)/AL$84),"N/A")</f>
        <v>N/A</v>
      </c>
      <c r="AM28" s="249" t="str">
        <f aca="false">IF(I$50&gt;0,IF(AM$84=0,"N/A",(AM110)/AM$84),"N/A")</f>
        <v>N/A</v>
      </c>
      <c r="AN28" s="249" t="str">
        <f aca="false">IF(J$50&gt;0,IF(AN$84=0,"N/A",(AN110)/AN$84),"N/A")</f>
        <v>N/A</v>
      </c>
      <c r="AO28" s="249" t="str">
        <f aca="false">IF(K$50&gt;0,IF(AO$84=0,"N/A",(AO110)/AO$84),"N/A")</f>
        <v>N/A</v>
      </c>
      <c r="AP28" s="249" t="str">
        <f aca="false">IF(L$50&gt;0,IF(AP$84=0,"N/A",(AP110)/AP$84),"N/A")</f>
        <v>N/A</v>
      </c>
      <c r="AQ28" s="249" t="str">
        <f aca="false">IF(M$50&gt;0,IF(AQ$84=0,"N/A",(AQ110)/AQ$84),"N/A")</f>
        <v>N/A</v>
      </c>
      <c r="AR28" s="249" t="str">
        <f aca="false">IF(N$50&gt;0,IF(AR$84=0,"N/A",(AR110)/AR$84),"N/A")</f>
        <v>N/A</v>
      </c>
      <c r="AS28" s="250" t="str">
        <f aca="false">IF(O$50&gt;0,IF(AS$84=0,"N/A",(AS110)/AS$84),"N/A")</f>
        <v>N/A</v>
      </c>
      <c r="AT28" s="253" t="n">
        <f aca="false">COUNTIF(AJ28:AS28,"&lt;5")</f>
        <v>0</v>
      </c>
      <c r="AU28" s="242"/>
      <c r="AV28" s="252" t="n">
        <f aca="false">SUMPRODUCT(AY28:BH28,AY$51:BH$51)</f>
        <v>0</v>
      </c>
      <c r="AW28" s="246"/>
      <c r="AX28" s="247" t="n">
        <f aca="false">IF(AV28&lt;1,1,IF(AND(AV28&lt;5,BI28&gt;0),TRUNC(AV28,0),IF(AND(AV28&gt;5,BI28&gt;0),4,ROUND(AV28,0))))</f>
        <v>1</v>
      </c>
      <c r="AY28" s="248" t="str">
        <f aca="false">IF(F$50&gt;0,IF(AY$84=0,"N/A",(AY110)/AY$84),"N/A")</f>
        <v>N/A</v>
      </c>
      <c r="AZ28" s="249" t="str">
        <f aca="false">IF(G$50&gt;0,IF(AZ$84=0,"N/A",(AZ110)/AZ$84),"N/A")</f>
        <v>N/A</v>
      </c>
      <c r="BA28" s="249" t="str">
        <f aca="false">IF(H$50&gt;0,IF(BA$84=0,"N/A",(BA110)/BA$84),"N/A")</f>
        <v>N/A</v>
      </c>
      <c r="BB28" s="249" t="str">
        <f aca="false">IF(I$50&gt;0,IF(BB$84=0,"N/A",(BB110)/BB$84),"N/A")</f>
        <v>N/A</v>
      </c>
      <c r="BC28" s="249" t="str">
        <f aca="false">IF(J$50&gt;0,IF(BC$84=0,"N/A",(BC110)/BC$84),"N/A")</f>
        <v>N/A</v>
      </c>
      <c r="BD28" s="249" t="str">
        <f aca="false">IF(K$50&gt;0,IF(BD$84=0,"N/A",(BD110)/BD$84),"N/A")</f>
        <v>N/A</v>
      </c>
      <c r="BE28" s="249" t="str">
        <f aca="false">IF(L$50&gt;0,IF(BE$84=0,"N/A",(BE110)/BE$84),"N/A")</f>
        <v>N/A</v>
      </c>
      <c r="BF28" s="249" t="str">
        <f aca="false">IF(M$50&gt;0,IF(BF$84=0,"N/A",(BF110)/BF$84),"N/A")</f>
        <v>N/A</v>
      </c>
      <c r="BG28" s="249" t="str">
        <f aca="false">IF(N$50&gt;0,IF(BG$84=0,"N/A",(BG110)/BG$84),"N/A")</f>
        <v>N/A</v>
      </c>
      <c r="BH28" s="250" t="str">
        <f aca="false">IF(O$50&gt;0,IF(BH$84=0,"N/A",(BH110)/BH$84),"N/A")</f>
        <v>N/A</v>
      </c>
      <c r="BI28" s="253" t="n">
        <f aca="false">COUNTIF(AY28:BH28,"&lt;5")</f>
        <v>0</v>
      </c>
      <c r="BJ28" s="242"/>
    </row>
    <row r="29" customFormat="false" ht="15" hidden="false" customHeight="false" outlineLevel="0" collapsed="false">
      <c r="A29" s="29" t="n">
        <v>25</v>
      </c>
      <c r="B29" s="151" t="str">
        <f aca="false">'Datos Iniciales'!T33</f>
        <v>Alumno25</v>
      </c>
      <c r="C29" s="245" t="n">
        <f aca="false">SUMPRODUCT(F29:O29,F$50:O$50)</f>
        <v>7.2625</v>
      </c>
      <c r="D29" s="246"/>
      <c r="E29" s="247" t="n">
        <f aca="false">IF(C29&lt;1,1,IF(AND(C29&lt;5,P29&gt;0),TRUNC(C29,0),IF(AND(C29&gt;5,P29&gt;0),4,ROUND(C29,0))))</f>
        <v>7</v>
      </c>
      <c r="F29" s="248" t="n">
        <f aca="false">IF(F$50&gt;0,Actividades!LX30,"N/A")</f>
        <v>7.3625</v>
      </c>
      <c r="G29" s="249" t="n">
        <f aca="false">IF(G$50&gt;0,Actividades!LY30,"N/A")</f>
        <v>7.05</v>
      </c>
      <c r="H29" s="249" t="n">
        <f aca="false">IF(H$50&gt;0,Actividades!LZ30,"N/A")</f>
        <v>7.3</v>
      </c>
      <c r="I29" s="249" t="n">
        <f aca="false">IF(I$50&gt;0,Actividades!MA30,"N/A")</f>
        <v>9.3</v>
      </c>
      <c r="J29" s="249" t="str">
        <f aca="false">IF(J$50&gt;0,Actividades!MB30,"N/A")</f>
        <v>N/A</v>
      </c>
      <c r="K29" s="249" t="str">
        <f aca="false">IF(K$50&gt;0,Actividades!MC30,"N/A")</f>
        <v>N/A</v>
      </c>
      <c r="L29" s="249" t="str">
        <f aca="false">IF(L$50&gt;0,Actividades!MD30,"N/A")</f>
        <v>N/A</v>
      </c>
      <c r="M29" s="249" t="str">
        <f aca="false">IF(M$50&gt;0,Actividades!ME30,"N/A")</f>
        <v>N/A</v>
      </c>
      <c r="N29" s="249" t="str">
        <f aca="false">IF(N$50&gt;0,Actividades!MF30,"N/A")</f>
        <v>N/A</v>
      </c>
      <c r="O29" s="250" t="str">
        <f aca="false">IF(O$50&gt;0,Actividades!MG30,"N/A")</f>
        <v>N/A</v>
      </c>
      <c r="P29" s="251" t="n">
        <f aca="false">COUNTIF(F29:O29,"&lt;5")</f>
        <v>0</v>
      </c>
      <c r="Q29" s="242"/>
      <c r="R29" s="252" t="n">
        <f aca="false">SUMPRODUCT(U29:AD29,U$51:AD$51)</f>
        <v>7.2625</v>
      </c>
      <c r="S29" s="246"/>
      <c r="T29" s="247" t="n">
        <f aca="false">IF(R29&lt;1,1,IF(AND(R29&lt;5,AE29&gt;0),TRUNC(R29,0),IF(AND(R29&gt;5,AE29&gt;0),4,ROUND(R29,0))))</f>
        <v>7</v>
      </c>
      <c r="U29" s="248" t="n">
        <f aca="false">IF(F$50&gt;0,IF(U$84=0,"N/A",(U111)/U$84),"N/A")</f>
        <v>7.3625</v>
      </c>
      <c r="V29" s="249" t="n">
        <f aca="false">IF(G$50&gt;0,IF(V$84=0,"N/A",(V111)/V$84),"N/A")</f>
        <v>7.05</v>
      </c>
      <c r="W29" s="249" t="n">
        <f aca="false">IF(H$50&gt;0,IF(W$84=0,"N/A",(W111)/W$84),"N/A")</f>
        <v>7.3</v>
      </c>
      <c r="X29" s="249" t="n">
        <f aca="false">IF(I$50&gt;0,IF(X$84=0,"N/A",(X111)/X$84),"N/A")</f>
        <v>9.3</v>
      </c>
      <c r="Y29" s="249" t="str">
        <f aca="false">IF(J$50&gt;0,IF(Y$84=0,"N/A",(Y111)/Y$84),"N/A")</f>
        <v>N/A</v>
      </c>
      <c r="Z29" s="249" t="str">
        <f aca="false">IF(K$50&gt;0,IF(Z$84=0,"N/A",(Z111)/Z$84),"N/A")</f>
        <v>N/A</v>
      </c>
      <c r="AA29" s="249" t="str">
        <f aca="false">IF(L$50&gt;0,IF(AA$84=0,"N/A",(AA111)/AA$84),"N/A")</f>
        <v>N/A</v>
      </c>
      <c r="AB29" s="249" t="str">
        <f aca="false">IF(M$50&gt;0,IF(AB$84=0,"N/A",(AB111)/AB$84),"N/A")</f>
        <v>N/A</v>
      </c>
      <c r="AC29" s="249" t="str">
        <f aca="false">IF(N$50&gt;0,IF(AC$84=0,"N/A",(AC111)/AC$84),"N/A")</f>
        <v>N/A</v>
      </c>
      <c r="AD29" s="250" t="str">
        <f aca="false">IF(O$50&gt;0,IF(AD$84=0,"N/A",(AD111)/AD$84),"N/A")</f>
        <v>N/A</v>
      </c>
      <c r="AE29" s="253" t="n">
        <f aca="false">COUNTIF(U29:AD29,"&lt;5")</f>
        <v>0</v>
      </c>
      <c r="AF29" s="242"/>
      <c r="AG29" s="252" t="n">
        <f aca="false">SUMPRODUCT(AJ29:AS29,AJ$51:AS$51)</f>
        <v>0</v>
      </c>
      <c r="AH29" s="246"/>
      <c r="AI29" s="247" t="n">
        <f aca="false">IF(AG29&lt;1,1,IF(AND(AG29&lt;5,AT29&gt;0),TRUNC(AG29,0),IF(AND(AG29&gt;5,AT29&gt;0),4,ROUND(AG29,0))))</f>
        <v>1</v>
      </c>
      <c r="AJ29" s="248" t="str">
        <f aca="false">IF(F$50&gt;0,IF(AJ$84=0,"N/A",(AJ111)/AJ$84),"N/A")</f>
        <v>N/A</v>
      </c>
      <c r="AK29" s="249" t="str">
        <f aca="false">IF(G$50&gt;0,IF(AK$84=0,"N/A",(AK111)/AK$84),"N/A")</f>
        <v>N/A</v>
      </c>
      <c r="AL29" s="249" t="str">
        <f aca="false">IF(H$50&gt;0,IF(AL$84=0,"N/A",(AL111)/AL$84),"N/A")</f>
        <v>N/A</v>
      </c>
      <c r="AM29" s="249" t="str">
        <f aca="false">IF(I$50&gt;0,IF(AM$84=0,"N/A",(AM111)/AM$84),"N/A")</f>
        <v>N/A</v>
      </c>
      <c r="AN29" s="249" t="str">
        <f aca="false">IF(J$50&gt;0,IF(AN$84=0,"N/A",(AN111)/AN$84),"N/A")</f>
        <v>N/A</v>
      </c>
      <c r="AO29" s="249" t="str">
        <f aca="false">IF(K$50&gt;0,IF(AO$84=0,"N/A",(AO111)/AO$84),"N/A")</f>
        <v>N/A</v>
      </c>
      <c r="AP29" s="249" t="str">
        <f aca="false">IF(L$50&gt;0,IF(AP$84=0,"N/A",(AP111)/AP$84),"N/A")</f>
        <v>N/A</v>
      </c>
      <c r="AQ29" s="249" t="str">
        <f aca="false">IF(M$50&gt;0,IF(AQ$84=0,"N/A",(AQ111)/AQ$84),"N/A")</f>
        <v>N/A</v>
      </c>
      <c r="AR29" s="249" t="str">
        <f aca="false">IF(N$50&gt;0,IF(AR$84=0,"N/A",(AR111)/AR$84),"N/A")</f>
        <v>N/A</v>
      </c>
      <c r="AS29" s="250" t="str">
        <f aca="false">IF(O$50&gt;0,IF(AS$84=0,"N/A",(AS111)/AS$84),"N/A")</f>
        <v>N/A</v>
      </c>
      <c r="AT29" s="253" t="n">
        <f aca="false">COUNTIF(AJ29:AS29,"&lt;5")</f>
        <v>0</v>
      </c>
      <c r="AU29" s="242"/>
      <c r="AV29" s="252" t="n">
        <f aca="false">SUMPRODUCT(AY29:BH29,AY$51:BH$51)</f>
        <v>0</v>
      </c>
      <c r="AW29" s="246"/>
      <c r="AX29" s="247" t="n">
        <f aca="false">IF(AV29&lt;1,1,IF(AND(AV29&lt;5,BI29&gt;0),TRUNC(AV29,0),IF(AND(AV29&gt;5,BI29&gt;0),4,ROUND(AV29,0))))</f>
        <v>1</v>
      </c>
      <c r="AY29" s="248" t="str">
        <f aca="false">IF(F$50&gt;0,IF(AY$84=0,"N/A",(AY111)/AY$84),"N/A")</f>
        <v>N/A</v>
      </c>
      <c r="AZ29" s="249" t="str">
        <f aca="false">IF(G$50&gt;0,IF(AZ$84=0,"N/A",(AZ111)/AZ$84),"N/A")</f>
        <v>N/A</v>
      </c>
      <c r="BA29" s="249" t="str">
        <f aca="false">IF(H$50&gt;0,IF(BA$84=0,"N/A",(BA111)/BA$84),"N/A")</f>
        <v>N/A</v>
      </c>
      <c r="BB29" s="249" t="str">
        <f aca="false">IF(I$50&gt;0,IF(BB$84=0,"N/A",(BB111)/BB$84),"N/A")</f>
        <v>N/A</v>
      </c>
      <c r="BC29" s="249" t="str">
        <f aca="false">IF(J$50&gt;0,IF(BC$84=0,"N/A",(BC111)/BC$84),"N/A")</f>
        <v>N/A</v>
      </c>
      <c r="BD29" s="249" t="str">
        <f aca="false">IF(K$50&gt;0,IF(BD$84=0,"N/A",(BD111)/BD$84),"N/A")</f>
        <v>N/A</v>
      </c>
      <c r="BE29" s="249" t="str">
        <f aca="false">IF(L$50&gt;0,IF(BE$84=0,"N/A",(BE111)/BE$84),"N/A")</f>
        <v>N/A</v>
      </c>
      <c r="BF29" s="249" t="str">
        <f aca="false">IF(M$50&gt;0,IF(BF$84=0,"N/A",(BF111)/BF$84),"N/A")</f>
        <v>N/A</v>
      </c>
      <c r="BG29" s="249" t="str">
        <f aca="false">IF(N$50&gt;0,IF(BG$84=0,"N/A",(BG111)/BG$84),"N/A")</f>
        <v>N/A</v>
      </c>
      <c r="BH29" s="250" t="str">
        <f aca="false">IF(O$50&gt;0,IF(BH$84=0,"N/A",(BH111)/BH$84),"N/A")</f>
        <v>N/A</v>
      </c>
      <c r="BI29" s="253" t="n">
        <f aca="false">COUNTIF(AY29:BH29,"&lt;5")</f>
        <v>0</v>
      </c>
      <c r="BJ29" s="242"/>
    </row>
    <row r="30" customFormat="false" ht="15" hidden="false" customHeight="false" outlineLevel="0" collapsed="false">
      <c r="A30" s="29" t="n">
        <v>26</v>
      </c>
      <c r="B30" s="151" t="str">
        <f aca="false">'Datos Iniciales'!T34</f>
        <v>Alumno26</v>
      </c>
      <c r="C30" s="245" t="n">
        <f aca="false">SUMPRODUCT(F30:O30,F$50:O$50)</f>
        <v>7.14375</v>
      </c>
      <c r="D30" s="246"/>
      <c r="E30" s="247" t="n">
        <f aca="false">IF(C30&lt;1,1,IF(AND(C30&lt;5,P30&gt;0),TRUNC(C30,0),IF(AND(C30&gt;5,P30&gt;0),4,ROUND(C30,0))))</f>
        <v>7</v>
      </c>
      <c r="F30" s="248" t="n">
        <f aca="false">IF(F$50&gt;0,Actividades!LX31,"N/A")</f>
        <v>7.9625</v>
      </c>
      <c r="G30" s="249" t="n">
        <f aca="false">IF(G$50&gt;0,Actividades!LY31,"N/A")</f>
        <v>6.9</v>
      </c>
      <c r="H30" s="249" t="n">
        <f aca="false">IF(H$50&gt;0,Actividades!LZ31,"N/A")</f>
        <v>6.695</v>
      </c>
      <c r="I30" s="249" t="n">
        <f aca="false">IF(I$50&gt;0,Actividades!MA31,"N/A")</f>
        <v>8.14</v>
      </c>
      <c r="J30" s="249" t="str">
        <f aca="false">IF(J$50&gt;0,Actividades!MB31,"N/A")</f>
        <v>N/A</v>
      </c>
      <c r="K30" s="249" t="str">
        <f aca="false">IF(K$50&gt;0,Actividades!MC31,"N/A")</f>
        <v>N/A</v>
      </c>
      <c r="L30" s="249" t="str">
        <f aca="false">IF(L$50&gt;0,Actividades!MD31,"N/A")</f>
        <v>N/A</v>
      </c>
      <c r="M30" s="249" t="str">
        <f aca="false">IF(M$50&gt;0,Actividades!ME31,"N/A")</f>
        <v>N/A</v>
      </c>
      <c r="N30" s="249" t="str">
        <f aca="false">IF(N$50&gt;0,Actividades!MF31,"N/A")</f>
        <v>N/A</v>
      </c>
      <c r="O30" s="250" t="str">
        <f aca="false">IF(O$50&gt;0,Actividades!MG31,"N/A")</f>
        <v>N/A</v>
      </c>
      <c r="P30" s="251" t="n">
        <f aca="false">COUNTIF(F30:O30,"&lt;5")</f>
        <v>0</v>
      </c>
      <c r="Q30" s="242"/>
      <c r="R30" s="252" t="n">
        <f aca="false">SUMPRODUCT(U30:AD30,U$51:AD$51)</f>
        <v>7.14375</v>
      </c>
      <c r="S30" s="246"/>
      <c r="T30" s="247" t="n">
        <f aca="false">IF(R30&lt;1,1,IF(AND(R30&lt;5,AE30&gt;0),TRUNC(R30,0),IF(AND(R30&gt;5,AE30&gt;0),4,ROUND(R30,0))))</f>
        <v>7</v>
      </c>
      <c r="U30" s="248" t="n">
        <f aca="false">IF(F$50&gt;0,IF(U$84=0,"N/A",(U112)/U$84),"N/A")</f>
        <v>7.9625</v>
      </c>
      <c r="V30" s="249" t="n">
        <f aca="false">IF(G$50&gt;0,IF(V$84=0,"N/A",(V112)/V$84),"N/A")</f>
        <v>6.9</v>
      </c>
      <c r="W30" s="249" t="n">
        <f aca="false">IF(H$50&gt;0,IF(W$84=0,"N/A",(W112)/W$84),"N/A")</f>
        <v>6.695</v>
      </c>
      <c r="X30" s="249" t="n">
        <f aca="false">IF(I$50&gt;0,IF(X$84=0,"N/A",(X112)/X$84),"N/A")</f>
        <v>8.14</v>
      </c>
      <c r="Y30" s="249" t="str">
        <f aca="false">IF(J$50&gt;0,IF(Y$84=0,"N/A",(Y112)/Y$84),"N/A")</f>
        <v>N/A</v>
      </c>
      <c r="Z30" s="249" t="str">
        <f aca="false">IF(K$50&gt;0,IF(Z$84=0,"N/A",(Z112)/Z$84),"N/A")</f>
        <v>N/A</v>
      </c>
      <c r="AA30" s="249" t="str">
        <f aca="false">IF(L$50&gt;0,IF(AA$84=0,"N/A",(AA112)/AA$84),"N/A")</f>
        <v>N/A</v>
      </c>
      <c r="AB30" s="249" t="str">
        <f aca="false">IF(M$50&gt;0,IF(AB$84=0,"N/A",(AB112)/AB$84),"N/A")</f>
        <v>N/A</v>
      </c>
      <c r="AC30" s="249" t="str">
        <f aca="false">IF(N$50&gt;0,IF(AC$84=0,"N/A",(AC112)/AC$84),"N/A")</f>
        <v>N/A</v>
      </c>
      <c r="AD30" s="250" t="str">
        <f aca="false">IF(O$50&gt;0,IF(AD$84=0,"N/A",(AD112)/AD$84),"N/A")</f>
        <v>N/A</v>
      </c>
      <c r="AE30" s="253" t="n">
        <f aca="false">COUNTIF(U30:AD30,"&lt;5")</f>
        <v>0</v>
      </c>
      <c r="AF30" s="242"/>
      <c r="AG30" s="252" t="n">
        <f aca="false">SUMPRODUCT(AJ30:AS30,AJ$51:AS$51)</f>
        <v>0</v>
      </c>
      <c r="AH30" s="246"/>
      <c r="AI30" s="247" t="n">
        <f aca="false">IF(AG30&lt;1,1,IF(AND(AG30&lt;5,AT30&gt;0),TRUNC(AG30,0),IF(AND(AG30&gt;5,AT30&gt;0),4,ROUND(AG30,0))))</f>
        <v>1</v>
      </c>
      <c r="AJ30" s="248" t="str">
        <f aca="false">IF(F$50&gt;0,IF(AJ$84=0,"N/A",(AJ112)/AJ$84),"N/A")</f>
        <v>N/A</v>
      </c>
      <c r="AK30" s="249" t="str">
        <f aca="false">IF(G$50&gt;0,IF(AK$84=0,"N/A",(AK112)/AK$84),"N/A")</f>
        <v>N/A</v>
      </c>
      <c r="AL30" s="249" t="str">
        <f aca="false">IF(H$50&gt;0,IF(AL$84=0,"N/A",(AL112)/AL$84),"N/A")</f>
        <v>N/A</v>
      </c>
      <c r="AM30" s="249" t="str">
        <f aca="false">IF(I$50&gt;0,IF(AM$84=0,"N/A",(AM112)/AM$84),"N/A")</f>
        <v>N/A</v>
      </c>
      <c r="AN30" s="249" t="str">
        <f aca="false">IF(J$50&gt;0,IF(AN$84=0,"N/A",(AN112)/AN$84),"N/A")</f>
        <v>N/A</v>
      </c>
      <c r="AO30" s="249" t="str">
        <f aca="false">IF(K$50&gt;0,IF(AO$84=0,"N/A",(AO112)/AO$84),"N/A")</f>
        <v>N/A</v>
      </c>
      <c r="AP30" s="249" t="str">
        <f aca="false">IF(L$50&gt;0,IF(AP$84=0,"N/A",(AP112)/AP$84),"N/A")</f>
        <v>N/A</v>
      </c>
      <c r="AQ30" s="249" t="str">
        <f aca="false">IF(M$50&gt;0,IF(AQ$84=0,"N/A",(AQ112)/AQ$84),"N/A")</f>
        <v>N/A</v>
      </c>
      <c r="AR30" s="249" t="str">
        <f aca="false">IF(N$50&gt;0,IF(AR$84=0,"N/A",(AR112)/AR$84),"N/A")</f>
        <v>N/A</v>
      </c>
      <c r="AS30" s="250" t="str">
        <f aca="false">IF(O$50&gt;0,IF(AS$84=0,"N/A",(AS112)/AS$84),"N/A")</f>
        <v>N/A</v>
      </c>
      <c r="AT30" s="253" t="n">
        <f aca="false">COUNTIF(AJ30:AS30,"&lt;5")</f>
        <v>0</v>
      </c>
      <c r="AU30" s="242"/>
      <c r="AV30" s="252" t="n">
        <f aca="false">SUMPRODUCT(AY30:BH30,AY$51:BH$51)</f>
        <v>0</v>
      </c>
      <c r="AW30" s="246"/>
      <c r="AX30" s="247" t="n">
        <f aca="false">IF(AV30&lt;1,1,IF(AND(AV30&lt;5,BI30&gt;0),TRUNC(AV30,0),IF(AND(AV30&gt;5,BI30&gt;0),4,ROUND(AV30,0))))</f>
        <v>1</v>
      </c>
      <c r="AY30" s="248" t="str">
        <f aca="false">IF(F$50&gt;0,IF(AY$84=0,"N/A",(AY112)/AY$84),"N/A")</f>
        <v>N/A</v>
      </c>
      <c r="AZ30" s="249" t="str">
        <f aca="false">IF(G$50&gt;0,IF(AZ$84=0,"N/A",(AZ112)/AZ$84),"N/A")</f>
        <v>N/A</v>
      </c>
      <c r="BA30" s="249" t="str">
        <f aca="false">IF(H$50&gt;0,IF(BA$84=0,"N/A",(BA112)/BA$84),"N/A")</f>
        <v>N/A</v>
      </c>
      <c r="BB30" s="249" t="str">
        <f aca="false">IF(I$50&gt;0,IF(BB$84=0,"N/A",(BB112)/BB$84),"N/A")</f>
        <v>N/A</v>
      </c>
      <c r="BC30" s="249" t="str">
        <f aca="false">IF(J$50&gt;0,IF(BC$84=0,"N/A",(BC112)/BC$84),"N/A")</f>
        <v>N/A</v>
      </c>
      <c r="BD30" s="249" t="str">
        <f aca="false">IF(K$50&gt;0,IF(BD$84=0,"N/A",(BD112)/BD$84),"N/A")</f>
        <v>N/A</v>
      </c>
      <c r="BE30" s="249" t="str">
        <f aca="false">IF(L$50&gt;0,IF(BE$84=0,"N/A",(BE112)/BE$84),"N/A")</f>
        <v>N/A</v>
      </c>
      <c r="BF30" s="249" t="str">
        <f aca="false">IF(M$50&gt;0,IF(BF$84=0,"N/A",(BF112)/BF$84),"N/A")</f>
        <v>N/A</v>
      </c>
      <c r="BG30" s="249" t="str">
        <f aca="false">IF(N$50&gt;0,IF(BG$84=0,"N/A",(BG112)/BG$84),"N/A")</f>
        <v>N/A</v>
      </c>
      <c r="BH30" s="250" t="str">
        <f aca="false">IF(O$50&gt;0,IF(BH$84=0,"N/A",(BH112)/BH$84),"N/A")</f>
        <v>N/A</v>
      </c>
      <c r="BI30" s="253" t="n">
        <f aca="false">COUNTIF(AY30:BH30,"&lt;5")</f>
        <v>0</v>
      </c>
      <c r="BJ30" s="242"/>
    </row>
    <row r="31" customFormat="false" ht="15" hidden="false" customHeight="false" outlineLevel="0" collapsed="false">
      <c r="A31" s="29" t="n">
        <v>27</v>
      </c>
      <c r="B31" s="151" t="str">
        <f aca="false">'Datos Iniciales'!T35</f>
        <v>Alumno27</v>
      </c>
      <c r="C31" s="245" t="n">
        <f aca="false">SUMPRODUCT(F31:O31,F$50:O$50)</f>
        <v>6.86</v>
      </c>
      <c r="D31" s="246"/>
      <c r="E31" s="247" t="n">
        <f aca="false">IF(C31&lt;1,1,IF(AND(C31&lt;5,P31&gt;0),TRUNC(C31,0),IF(AND(C31&gt;5,P31&gt;0),4,ROUND(C31,0))))</f>
        <v>7</v>
      </c>
      <c r="F31" s="248" t="n">
        <f aca="false">IF(F$50&gt;0,Actividades!LX32,"N/A")</f>
        <v>7.3625</v>
      </c>
      <c r="G31" s="249" t="n">
        <f aca="false">IF(G$50&gt;0,Actividades!LY32,"N/A")</f>
        <v>6.8</v>
      </c>
      <c r="H31" s="249" t="n">
        <f aca="false">IF(H$50&gt;0,Actividades!LZ32,"N/A")</f>
        <v>6.45</v>
      </c>
      <c r="I31" s="249" t="n">
        <f aca="false">IF(I$50&gt;0,Actividades!MA32,"N/A")</f>
        <v>6.8</v>
      </c>
      <c r="J31" s="249" t="str">
        <f aca="false">IF(J$50&gt;0,Actividades!MB32,"N/A")</f>
        <v>N/A</v>
      </c>
      <c r="K31" s="249" t="str">
        <f aca="false">IF(K$50&gt;0,Actividades!MC32,"N/A")</f>
        <v>N/A</v>
      </c>
      <c r="L31" s="249" t="str">
        <f aca="false">IF(L$50&gt;0,Actividades!MD32,"N/A")</f>
        <v>N/A</v>
      </c>
      <c r="M31" s="249" t="str">
        <f aca="false">IF(M$50&gt;0,Actividades!ME32,"N/A")</f>
        <v>N/A</v>
      </c>
      <c r="N31" s="249" t="str">
        <f aca="false">IF(N$50&gt;0,Actividades!MF32,"N/A")</f>
        <v>N/A</v>
      </c>
      <c r="O31" s="250" t="str">
        <f aca="false">IF(O$50&gt;0,Actividades!MG32,"N/A")</f>
        <v>N/A</v>
      </c>
      <c r="P31" s="251" t="n">
        <f aca="false">COUNTIF(F31:O31,"&lt;5")</f>
        <v>0</v>
      </c>
      <c r="Q31" s="242"/>
      <c r="R31" s="252" t="n">
        <f aca="false">SUMPRODUCT(U31:AD31,U$51:AD$51)</f>
        <v>6.86</v>
      </c>
      <c r="S31" s="246"/>
      <c r="T31" s="247" t="n">
        <f aca="false">IF(R31&lt;1,1,IF(AND(R31&lt;5,AE31&gt;0),TRUNC(R31,0),IF(AND(R31&gt;5,AE31&gt;0),4,ROUND(R31,0))))</f>
        <v>7</v>
      </c>
      <c r="U31" s="248" t="n">
        <f aca="false">IF(F$50&gt;0,IF(U$84=0,"N/A",(U113)/U$84),"N/A")</f>
        <v>7.3625</v>
      </c>
      <c r="V31" s="249" t="n">
        <f aca="false">IF(G$50&gt;0,IF(V$84=0,"N/A",(V113)/V$84),"N/A")</f>
        <v>6.8</v>
      </c>
      <c r="W31" s="249" t="n">
        <f aca="false">IF(H$50&gt;0,IF(W$84=0,"N/A",(W113)/W$84),"N/A")</f>
        <v>6.45</v>
      </c>
      <c r="X31" s="249" t="n">
        <f aca="false">IF(I$50&gt;0,IF(X$84=0,"N/A",(X113)/X$84),"N/A")</f>
        <v>6.8</v>
      </c>
      <c r="Y31" s="249" t="str">
        <f aca="false">IF(J$50&gt;0,IF(Y$84=0,"N/A",(Y113)/Y$84),"N/A")</f>
        <v>N/A</v>
      </c>
      <c r="Z31" s="249" t="str">
        <f aca="false">IF(K$50&gt;0,IF(Z$84=0,"N/A",(Z113)/Z$84),"N/A")</f>
        <v>N/A</v>
      </c>
      <c r="AA31" s="249" t="str">
        <f aca="false">IF(L$50&gt;0,IF(AA$84=0,"N/A",(AA113)/AA$84),"N/A")</f>
        <v>N/A</v>
      </c>
      <c r="AB31" s="249" t="str">
        <f aca="false">IF(M$50&gt;0,IF(AB$84=0,"N/A",(AB113)/AB$84),"N/A")</f>
        <v>N/A</v>
      </c>
      <c r="AC31" s="249" t="str">
        <f aca="false">IF(N$50&gt;0,IF(AC$84=0,"N/A",(AC113)/AC$84),"N/A")</f>
        <v>N/A</v>
      </c>
      <c r="AD31" s="250" t="str">
        <f aca="false">IF(O$50&gt;0,IF(AD$84=0,"N/A",(AD113)/AD$84),"N/A")</f>
        <v>N/A</v>
      </c>
      <c r="AE31" s="253" t="n">
        <f aca="false">COUNTIF(U31:AD31,"&lt;5")</f>
        <v>0</v>
      </c>
      <c r="AF31" s="242"/>
      <c r="AG31" s="252" t="n">
        <f aca="false">SUMPRODUCT(AJ31:AS31,AJ$51:AS$51)</f>
        <v>0</v>
      </c>
      <c r="AH31" s="246"/>
      <c r="AI31" s="247" t="n">
        <f aca="false">IF(AG31&lt;1,1,IF(AND(AG31&lt;5,AT31&gt;0),TRUNC(AG31,0),IF(AND(AG31&gt;5,AT31&gt;0),4,ROUND(AG31,0))))</f>
        <v>1</v>
      </c>
      <c r="AJ31" s="248" t="str">
        <f aca="false">IF(F$50&gt;0,IF(AJ$84=0,"N/A",(AJ113)/AJ$84),"N/A")</f>
        <v>N/A</v>
      </c>
      <c r="AK31" s="249" t="str">
        <f aca="false">IF(G$50&gt;0,IF(AK$84=0,"N/A",(AK113)/AK$84),"N/A")</f>
        <v>N/A</v>
      </c>
      <c r="AL31" s="249" t="str">
        <f aca="false">IF(H$50&gt;0,IF(AL$84=0,"N/A",(AL113)/AL$84),"N/A")</f>
        <v>N/A</v>
      </c>
      <c r="AM31" s="249" t="str">
        <f aca="false">IF(I$50&gt;0,IF(AM$84=0,"N/A",(AM113)/AM$84),"N/A")</f>
        <v>N/A</v>
      </c>
      <c r="AN31" s="249" t="str">
        <f aca="false">IF(J$50&gt;0,IF(AN$84=0,"N/A",(AN113)/AN$84),"N/A")</f>
        <v>N/A</v>
      </c>
      <c r="AO31" s="249" t="str">
        <f aca="false">IF(K$50&gt;0,IF(AO$84=0,"N/A",(AO113)/AO$84),"N/A")</f>
        <v>N/A</v>
      </c>
      <c r="AP31" s="249" t="str">
        <f aca="false">IF(L$50&gt;0,IF(AP$84=0,"N/A",(AP113)/AP$84),"N/A")</f>
        <v>N/A</v>
      </c>
      <c r="AQ31" s="249" t="str">
        <f aca="false">IF(M$50&gt;0,IF(AQ$84=0,"N/A",(AQ113)/AQ$84),"N/A")</f>
        <v>N/A</v>
      </c>
      <c r="AR31" s="249" t="str">
        <f aca="false">IF(N$50&gt;0,IF(AR$84=0,"N/A",(AR113)/AR$84),"N/A")</f>
        <v>N/A</v>
      </c>
      <c r="AS31" s="250" t="str">
        <f aca="false">IF(O$50&gt;0,IF(AS$84=0,"N/A",(AS113)/AS$84),"N/A")</f>
        <v>N/A</v>
      </c>
      <c r="AT31" s="253" t="n">
        <f aca="false">COUNTIF(AJ31:AS31,"&lt;5")</f>
        <v>0</v>
      </c>
      <c r="AU31" s="242"/>
      <c r="AV31" s="252" t="n">
        <f aca="false">SUMPRODUCT(AY31:BH31,AY$51:BH$51)</f>
        <v>0</v>
      </c>
      <c r="AW31" s="246"/>
      <c r="AX31" s="247" t="n">
        <f aca="false">IF(AV31&lt;1,1,IF(AND(AV31&lt;5,BI31&gt;0),TRUNC(AV31,0),IF(AND(AV31&gt;5,BI31&gt;0),4,ROUND(AV31,0))))</f>
        <v>1</v>
      </c>
      <c r="AY31" s="248" t="str">
        <f aca="false">IF(F$50&gt;0,IF(AY$84=0,"N/A",(AY113)/AY$84),"N/A")</f>
        <v>N/A</v>
      </c>
      <c r="AZ31" s="249" t="str">
        <f aca="false">IF(G$50&gt;0,IF(AZ$84=0,"N/A",(AZ113)/AZ$84),"N/A")</f>
        <v>N/A</v>
      </c>
      <c r="BA31" s="249" t="str">
        <f aca="false">IF(H$50&gt;0,IF(BA$84=0,"N/A",(BA113)/BA$84),"N/A")</f>
        <v>N/A</v>
      </c>
      <c r="BB31" s="249" t="str">
        <f aca="false">IF(I$50&gt;0,IF(BB$84=0,"N/A",(BB113)/BB$84),"N/A")</f>
        <v>N/A</v>
      </c>
      <c r="BC31" s="249" t="str">
        <f aca="false">IF(J$50&gt;0,IF(BC$84=0,"N/A",(BC113)/BC$84),"N/A")</f>
        <v>N/A</v>
      </c>
      <c r="BD31" s="249" t="str">
        <f aca="false">IF(K$50&gt;0,IF(BD$84=0,"N/A",(BD113)/BD$84),"N/A")</f>
        <v>N/A</v>
      </c>
      <c r="BE31" s="249" t="str">
        <f aca="false">IF(L$50&gt;0,IF(BE$84=0,"N/A",(BE113)/BE$84),"N/A")</f>
        <v>N/A</v>
      </c>
      <c r="BF31" s="249" t="str">
        <f aca="false">IF(M$50&gt;0,IF(BF$84=0,"N/A",(BF113)/BF$84),"N/A")</f>
        <v>N/A</v>
      </c>
      <c r="BG31" s="249" t="str">
        <f aca="false">IF(N$50&gt;0,IF(BG$84=0,"N/A",(BG113)/BG$84),"N/A")</f>
        <v>N/A</v>
      </c>
      <c r="BH31" s="250" t="str">
        <f aca="false">IF(O$50&gt;0,IF(BH$84=0,"N/A",(BH113)/BH$84),"N/A")</f>
        <v>N/A</v>
      </c>
      <c r="BI31" s="253" t="n">
        <f aca="false">COUNTIF(AY31:BH31,"&lt;5")</f>
        <v>0</v>
      </c>
      <c r="BJ31" s="242"/>
    </row>
    <row r="32" customFormat="false" ht="15" hidden="false" customHeight="false" outlineLevel="0" collapsed="false">
      <c r="A32" s="29" t="n">
        <v>28</v>
      </c>
      <c r="B32" s="151" t="str">
        <f aca="false">'Datos Iniciales'!T36</f>
        <v>Alumno28</v>
      </c>
      <c r="C32" s="245" t="n">
        <f aca="false">SUMPRODUCT(F32:O32,F$50:O$50)</f>
        <v>6.96</v>
      </c>
      <c r="D32" s="246"/>
      <c r="E32" s="247" t="n">
        <f aca="false">IF(C32&lt;1,1,IF(AND(C32&lt;5,P32&gt;0),TRUNC(C32,0),IF(AND(C32&gt;5,P32&gt;0),4,ROUND(C32,0))))</f>
        <v>7</v>
      </c>
      <c r="F32" s="248" t="n">
        <f aca="false">IF(F$50&gt;0,Actividades!LX33,"N/A")</f>
        <v>6.6</v>
      </c>
      <c r="G32" s="249" t="n">
        <f aca="false">IF(G$50&gt;0,Actividades!LY33,"N/A")</f>
        <v>7.15</v>
      </c>
      <c r="H32" s="249" t="n">
        <f aca="false">IF(H$50&gt;0,Actividades!LZ33,"N/A")</f>
        <v>7</v>
      </c>
      <c r="I32" s="249" t="n">
        <f aca="false">IF(I$50&gt;0,Actividades!MA33,"N/A")</f>
        <v>6</v>
      </c>
      <c r="J32" s="249" t="str">
        <f aca="false">IF(J$50&gt;0,Actividades!MB33,"N/A")</f>
        <v>N/A</v>
      </c>
      <c r="K32" s="249" t="str">
        <f aca="false">IF(K$50&gt;0,Actividades!MC33,"N/A")</f>
        <v>N/A</v>
      </c>
      <c r="L32" s="249" t="str">
        <f aca="false">IF(L$50&gt;0,Actividades!MD33,"N/A")</f>
        <v>N/A</v>
      </c>
      <c r="M32" s="249" t="str">
        <f aca="false">IF(M$50&gt;0,Actividades!ME33,"N/A")</f>
        <v>N/A</v>
      </c>
      <c r="N32" s="249" t="str">
        <f aca="false">IF(N$50&gt;0,Actividades!MF33,"N/A")</f>
        <v>N/A</v>
      </c>
      <c r="O32" s="250" t="str">
        <f aca="false">IF(O$50&gt;0,Actividades!MG33,"N/A")</f>
        <v>N/A</v>
      </c>
      <c r="P32" s="251" t="n">
        <f aca="false">COUNTIF(F32:O32,"&lt;5")</f>
        <v>0</v>
      </c>
      <c r="Q32" s="242"/>
      <c r="R32" s="252" t="n">
        <f aca="false">SUMPRODUCT(U32:AD32,U$51:AD$51)</f>
        <v>6.96</v>
      </c>
      <c r="S32" s="246"/>
      <c r="T32" s="247" t="n">
        <f aca="false">IF(R32&lt;1,1,IF(AND(R32&lt;5,AE32&gt;0),TRUNC(R32,0),IF(AND(R32&gt;5,AE32&gt;0),4,ROUND(R32,0))))</f>
        <v>7</v>
      </c>
      <c r="U32" s="248" t="n">
        <f aca="false">IF(F$50&gt;0,IF(U$84=0,"N/A",(U114)/U$84),"N/A")</f>
        <v>6.6</v>
      </c>
      <c r="V32" s="249" t="n">
        <f aca="false">IF(G$50&gt;0,IF(V$84=0,"N/A",(V114)/V$84),"N/A")</f>
        <v>7.15</v>
      </c>
      <c r="W32" s="249" t="n">
        <f aca="false">IF(H$50&gt;0,IF(W$84=0,"N/A",(W114)/W$84),"N/A")</f>
        <v>7</v>
      </c>
      <c r="X32" s="249" t="n">
        <f aca="false">IF(I$50&gt;0,IF(X$84=0,"N/A",(X114)/X$84),"N/A")</f>
        <v>6</v>
      </c>
      <c r="Y32" s="249" t="str">
        <f aca="false">IF(J$50&gt;0,IF(Y$84=0,"N/A",(Y114)/Y$84),"N/A")</f>
        <v>N/A</v>
      </c>
      <c r="Z32" s="249" t="str">
        <f aca="false">IF(K$50&gt;0,IF(Z$84=0,"N/A",(Z114)/Z$84),"N/A")</f>
        <v>N/A</v>
      </c>
      <c r="AA32" s="249" t="str">
        <f aca="false">IF(L$50&gt;0,IF(AA$84=0,"N/A",(AA114)/AA$84),"N/A")</f>
        <v>N/A</v>
      </c>
      <c r="AB32" s="249" t="str">
        <f aca="false">IF(M$50&gt;0,IF(AB$84=0,"N/A",(AB114)/AB$84),"N/A")</f>
        <v>N/A</v>
      </c>
      <c r="AC32" s="249" t="str">
        <f aca="false">IF(N$50&gt;0,IF(AC$84=0,"N/A",(AC114)/AC$84),"N/A")</f>
        <v>N/A</v>
      </c>
      <c r="AD32" s="250" t="str">
        <f aca="false">IF(O$50&gt;0,IF(AD$84=0,"N/A",(AD114)/AD$84),"N/A")</f>
        <v>N/A</v>
      </c>
      <c r="AE32" s="253" t="n">
        <f aca="false">COUNTIF(U32:AD32,"&lt;5")</f>
        <v>0</v>
      </c>
      <c r="AF32" s="242"/>
      <c r="AG32" s="252" t="n">
        <f aca="false">SUMPRODUCT(AJ32:AS32,AJ$51:AS$51)</f>
        <v>0</v>
      </c>
      <c r="AH32" s="246"/>
      <c r="AI32" s="247" t="n">
        <f aca="false">IF(AG32&lt;1,1,IF(AND(AG32&lt;5,AT32&gt;0),TRUNC(AG32,0),IF(AND(AG32&gt;5,AT32&gt;0),4,ROUND(AG32,0))))</f>
        <v>1</v>
      </c>
      <c r="AJ32" s="248" t="str">
        <f aca="false">IF(F$50&gt;0,IF(AJ$84=0,"N/A",(AJ114)/AJ$84),"N/A")</f>
        <v>N/A</v>
      </c>
      <c r="AK32" s="249" t="str">
        <f aca="false">IF(G$50&gt;0,IF(AK$84=0,"N/A",(AK114)/AK$84),"N/A")</f>
        <v>N/A</v>
      </c>
      <c r="AL32" s="249" t="str">
        <f aca="false">IF(H$50&gt;0,IF(AL$84=0,"N/A",(AL114)/AL$84),"N/A")</f>
        <v>N/A</v>
      </c>
      <c r="AM32" s="249" t="str">
        <f aca="false">IF(I$50&gt;0,IF(AM$84=0,"N/A",(AM114)/AM$84),"N/A")</f>
        <v>N/A</v>
      </c>
      <c r="AN32" s="249" t="str">
        <f aca="false">IF(J$50&gt;0,IF(AN$84=0,"N/A",(AN114)/AN$84),"N/A")</f>
        <v>N/A</v>
      </c>
      <c r="AO32" s="249" t="str">
        <f aca="false">IF(K$50&gt;0,IF(AO$84=0,"N/A",(AO114)/AO$84),"N/A")</f>
        <v>N/A</v>
      </c>
      <c r="AP32" s="249" t="str">
        <f aca="false">IF(L$50&gt;0,IF(AP$84=0,"N/A",(AP114)/AP$84),"N/A")</f>
        <v>N/A</v>
      </c>
      <c r="AQ32" s="249" t="str">
        <f aca="false">IF(M$50&gt;0,IF(AQ$84=0,"N/A",(AQ114)/AQ$84),"N/A")</f>
        <v>N/A</v>
      </c>
      <c r="AR32" s="249" t="str">
        <f aca="false">IF(N$50&gt;0,IF(AR$84=0,"N/A",(AR114)/AR$84),"N/A")</f>
        <v>N/A</v>
      </c>
      <c r="AS32" s="250" t="str">
        <f aca="false">IF(O$50&gt;0,IF(AS$84=0,"N/A",(AS114)/AS$84),"N/A")</f>
        <v>N/A</v>
      </c>
      <c r="AT32" s="253" t="n">
        <f aca="false">COUNTIF(AJ32:AS32,"&lt;5")</f>
        <v>0</v>
      </c>
      <c r="AU32" s="242"/>
      <c r="AV32" s="252" t="n">
        <f aca="false">SUMPRODUCT(AY32:BH32,AY$51:BH$51)</f>
        <v>0</v>
      </c>
      <c r="AW32" s="246"/>
      <c r="AX32" s="247" t="n">
        <f aca="false">IF(AV32&lt;1,1,IF(AND(AV32&lt;5,BI32&gt;0),TRUNC(AV32,0),IF(AND(AV32&gt;5,BI32&gt;0),4,ROUND(AV32,0))))</f>
        <v>1</v>
      </c>
      <c r="AY32" s="248" t="str">
        <f aca="false">IF(F$50&gt;0,IF(AY$84=0,"N/A",(AY114)/AY$84),"N/A")</f>
        <v>N/A</v>
      </c>
      <c r="AZ32" s="249" t="str">
        <f aca="false">IF(G$50&gt;0,IF(AZ$84=0,"N/A",(AZ114)/AZ$84),"N/A")</f>
        <v>N/A</v>
      </c>
      <c r="BA32" s="249" t="str">
        <f aca="false">IF(H$50&gt;0,IF(BA$84=0,"N/A",(BA114)/BA$84),"N/A")</f>
        <v>N/A</v>
      </c>
      <c r="BB32" s="249" t="str">
        <f aca="false">IF(I$50&gt;0,IF(BB$84=0,"N/A",(BB114)/BB$84),"N/A")</f>
        <v>N/A</v>
      </c>
      <c r="BC32" s="249" t="str">
        <f aca="false">IF(J$50&gt;0,IF(BC$84=0,"N/A",(BC114)/BC$84),"N/A")</f>
        <v>N/A</v>
      </c>
      <c r="BD32" s="249" t="str">
        <f aca="false">IF(K$50&gt;0,IF(BD$84=0,"N/A",(BD114)/BD$84),"N/A")</f>
        <v>N/A</v>
      </c>
      <c r="BE32" s="249" t="str">
        <f aca="false">IF(L$50&gt;0,IF(BE$84=0,"N/A",(BE114)/BE$84),"N/A")</f>
        <v>N/A</v>
      </c>
      <c r="BF32" s="249" t="str">
        <f aca="false">IF(M$50&gt;0,IF(BF$84=0,"N/A",(BF114)/BF$84),"N/A")</f>
        <v>N/A</v>
      </c>
      <c r="BG32" s="249" t="str">
        <f aca="false">IF(N$50&gt;0,IF(BG$84=0,"N/A",(BG114)/BG$84),"N/A")</f>
        <v>N/A</v>
      </c>
      <c r="BH32" s="250" t="str">
        <f aca="false">IF(O$50&gt;0,IF(BH$84=0,"N/A",(BH114)/BH$84),"N/A")</f>
        <v>N/A</v>
      </c>
      <c r="BI32" s="253" t="n">
        <f aca="false">COUNTIF(AY32:BH32,"&lt;5")</f>
        <v>0</v>
      </c>
      <c r="BJ32" s="242"/>
    </row>
    <row r="33" customFormat="false" ht="15" hidden="false" customHeight="false" outlineLevel="0" collapsed="false">
      <c r="A33" s="29" t="n">
        <v>29</v>
      </c>
      <c r="B33" s="151" t="str">
        <f aca="false">'Datos Iniciales'!T37</f>
        <v>Alumno29</v>
      </c>
      <c r="C33" s="245" t="n">
        <f aca="false">SUMPRODUCT(F33:O33,F$50:O$50)</f>
        <v>6.84025</v>
      </c>
      <c r="D33" s="246"/>
      <c r="E33" s="247" t="n">
        <f aca="false">IF(C33&lt;1,1,IF(AND(C33&lt;5,P33&gt;0),TRUNC(C33,0),IF(AND(C33&gt;5,P33&gt;0),4,ROUND(C33,0))))</f>
        <v>4</v>
      </c>
      <c r="F33" s="248" t="n">
        <f aca="false">IF(F$50&gt;0,Actividades!LX34,"N/A")</f>
        <v>6.85</v>
      </c>
      <c r="G33" s="249" t="n">
        <f aca="false">IF(G$50&gt;0,Actividades!LY34,"N/A")</f>
        <v>7.1</v>
      </c>
      <c r="H33" s="249" t="n">
        <f aca="false">IF(H$50&gt;0,Actividades!LZ34,"N/A")</f>
        <v>6.455</v>
      </c>
      <c r="I33" s="249" t="n">
        <f aca="false">IF(I$50&gt;0,Actividades!MA34,"N/A")</f>
        <v>4.84</v>
      </c>
      <c r="J33" s="249" t="str">
        <f aca="false">IF(J$50&gt;0,Actividades!MB34,"N/A")</f>
        <v>N/A</v>
      </c>
      <c r="K33" s="249" t="str">
        <f aca="false">IF(K$50&gt;0,Actividades!MC34,"N/A")</f>
        <v>N/A</v>
      </c>
      <c r="L33" s="249" t="str">
        <f aca="false">IF(L$50&gt;0,Actividades!MD34,"N/A")</f>
        <v>N/A</v>
      </c>
      <c r="M33" s="249" t="str">
        <f aca="false">IF(M$50&gt;0,Actividades!ME34,"N/A")</f>
        <v>N/A</v>
      </c>
      <c r="N33" s="249" t="str">
        <f aca="false">IF(N$50&gt;0,Actividades!MF34,"N/A")</f>
        <v>N/A</v>
      </c>
      <c r="O33" s="250" t="str">
        <f aca="false">IF(O$50&gt;0,Actividades!MG34,"N/A")</f>
        <v>N/A</v>
      </c>
      <c r="P33" s="251" t="n">
        <f aca="false">COUNTIF(F33:O33,"&lt;5")</f>
        <v>1</v>
      </c>
      <c r="Q33" s="242"/>
      <c r="R33" s="252" t="n">
        <f aca="false">SUMPRODUCT(U33:AD33,U$51:AD$51)</f>
        <v>6.84025</v>
      </c>
      <c r="S33" s="246"/>
      <c r="T33" s="247" t="n">
        <f aca="false">IF(R33&lt;1,1,IF(AND(R33&lt;5,AE33&gt;0),TRUNC(R33,0),IF(AND(R33&gt;5,AE33&gt;0),4,ROUND(R33,0))))</f>
        <v>4</v>
      </c>
      <c r="U33" s="248" t="n">
        <f aca="false">IF(F$50&gt;0,IF(U$84=0,"N/A",(U115)/U$84),"N/A")</f>
        <v>6.85</v>
      </c>
      <c r="V33" s="249" t="n">
        <f aca="false">IF(G$50&gt;0,IF(V$84=0,"N/A",(V115)/V$84),"N/A")</f>
        <v>7.1</v>
      </c>
      <c r="W33" s="249" t="n">
        <f aca="false">IF(H$50&gt;0,IF(W$84=0,"N/A",(W115)/W$84),"N/A")</f>
        <v>6.455</v>
      </c>
      <c r="X33" s="249" t="n">
        <f aca="false">IF(I$50&gt;0,IF(X$84=0,"N/A",(X115)/X$84),"N/A")</f>
        <v>4.84</v>
      </c>
      <c r="Y33" s="249" t="str">
        <f aca="false">IF(J$50&gt;0,IF(Y$84=0,"N/A",(Y115)/Y$84),"N/A")</f>
        <v>N/A</v>
      </c>
      <c r="Z33" s="249" t="str">
        <f aca="false">IF(K$50&gt;0,IF(Z$84=0,"N/A",(Z115)/Z$84),"N/A")</f>
        <v>N/A</v>
      </c>
      <c r="AA33" s="249" t="str">
        <f aca="false">IF(L$50&gt;0,IF(AA$84=0,"N/A",(AA115)/AA$84),"N/A")</f>
        <v>N/A</v>
      </c>
      <c r="AB33" s="249" t="str">
        <f aca="false">IF(M$50&gt;0,IF(AB$84=0,"N/A",(AB115)/AB$84),"N/A")</f>
        <v>N/A</v>
      </c>
      <c r="AC33" s="249" t="str">
        <f aca="false">IF(N$50&gt;0,IF(AC$84=0,"N/A",(AC115)/AC$84),"N/A")</f>
        <v>N/A</v>
      </c>
      <c r="AD33" s="250" t="str">
        <f aca="false">IF(O$50&gt;0,IF(AD$84=0,"N/A",(AD115)/AD$84),"N/A")</f>
        <v>N/A</v>
      </c>
      <c r="AE33" s="253" t="n">
        <f aca="false">COUNTIF(U33:AD33,"&lt;5")</f>
        <v>1</v>
      </c>
      <c r="AF33" s="242"/>
      <c r="AG33" s="252" t="n">
        <f aca="false">SUMPRODUCT(AJ33:AS33,AJ$51:AS$51)</f>
        <v>0</v>
      </c>
      <c r="AH33" s="246"/>
      <c r="AI33" s="247" t="n">
        <f aca="false">IF(AG33&lt;1,1,IF(AND(AG33&lt;5,AT33&gt;0),TRUNC(AG33,0),IF(AND(AG33&gt;5,AT33&gt;0),4,ROUND(AG33,0))))</f>
        <v>1</v>
      </c>
      <c r="AJ33" s="248" t="str">
        <f aca="false">IF(F$50&gt;0,IF(AJ$84=0,"N/A",(AJ115)/AJ$84),"N/A")</f>
        <v>N/A</v>
      </c>
      <c r="AK33" s="249" t="str">
        <f aca="false">IF(G$50&gt;0,IF(AK$84=0,"N/A",(AK115)/AK$84),"N/A")</f>
        <v>N/A</v>
      </c>
      <c r="AL33" s="249" t="str">
        <f aca="false">IF(H$50&gt;0,IF(AL$84=0,"N/A",(AL115)/AL$84),"N/A")</f>
        <v>N/A</v>
      </c>
      <c r="AM33" s="249" t="str">
        <f aca="false">IF(I$50&gt;0,IF(AM$84=0,"N/A",(AM115)/AM$84),"N/A")</f>
        <v>N/A</v>
      </c>
      <c r="AN33" s="249" t="str">
        <f aca="false">IF(J$50&gt;0,IF(AN$84=0,"N/A",(AN115)/AN$84),"N/A")</f>
        <v>N/A</v>
      </c>
      <c r="AO33" s="249" t="str">
        <f aca="false">IF(K$50&gt;0,IF(AO$84=0,"N/A",(AO115)/AO$84),"N/A")</f>
        <v>N/A</v>
      </c>
      <c r="AP33" s="249" t="str">
        <f aca="false">IF(L$50&gt;0,IF(AP$84=0,"N/A",(AP115)/AP$84),"N/A")</f>
        <v>N/A</v>
      </c>
      <c r="AQ33" s="249" t="str">
        <f aca="false">IF(M$50&gt;0,IF(AQ$84=0,"N/A",(AQ115)/AQ$84),"N/A")</f>
        <v>N/A</v>
      </c>
      <c r="AR33" s="249" t="str">
        <f aca="false">IF(N$50&gt;0,IF(AR$84=0,"N/A",(AR115)/AR$84),"N/A")</f>
        <v>N/A</v>
      </c>
      <c r="AS33" s="250" t="str">
        <f aca="false">IF(O$50&gt;0,IF(AS$84=0,"N/A",(AS115)/AS$84),"N/A")</f>
        <v>N/A</v>
      </c>
      <c r="AT33" s="253" t="n">
        <f aca="false">COUNTIF(AJ33:AS33,"&lt;5")</f>
        <v>0</v>
      </c>
      <c r="AU33" s="242"/>
      <c r="AV33" s="252" t="n">
        <f aca="false">SUMPRODUCT(AY33:BH33,AY$51:BH$51)</f>
        <v>0</v>
      </c>
      <c r="AW33" s="246"/>
      <c r="AX33" s="247" t="n">
        <f aca="false">IF(AV33&lt;1,1,IF(AND(AV33&lt;5,BI33&gt;0),TRUNC(AV33,0),IF(AND(AV33&gt;5,BI33&gt;0),4,ROUND(AV33,0))))</f>
        <v>1</v>
      </c>
      <c r="AY33" s="248" t="str">
        <f aca="false">IF(F$50&gt;0,IF(AY$84=0,"N/A",(AY115)/AY$84),"N/A")</f>
        <v>N/A</v>
      </c>
      <c r="AZ33" s="249" t="str">
        <f aca="false">IF(G$50&gt;0,IF(AZ$84=0,"N/A",(AZ115)/AZ$84),"N/A")</f>
        <v>N/A</v>
      </c>
      <c r="BA33" s="249" t="str">
        <f aca="false">IF(H$50&gt;0,IF(BA$84=0,"N/A",(BA115)/BA$84),"N/A")</f>
        <v>N/A</v>
      </c>
      <c r="BB33" s="249" t="str">
        <f aca="false">IF(I$50&gt;0,IF(BB$84=0,"N/A",(BB115)/BB$84),"N/A")</f>
        <v>N/A</v>
      </c>
      <c r="BC33" s="249" t="str">
        <f aca="false">IF(J$50&gt;0,IF(BC$84=0,"N/A",(BC115)/BC$84),"N/A")</f>
        <v>N/A</v>
      </c>
      <c r="BD33" s="249" t="str">
        <f aca="false">IF(K$50&gt;0,IF(BD$84=0,"N/A",(BD115)/BD$84),"N/A")</f>
        <v>N/A</v>
      </c>
      <c r="BE33" s="249" t="str">
        <f aca="false">IF(L$50&gt;0,IF(BE$84=0,"N/A",(BE115)/BE$84),"N/A")</f>
        <v>N/A</v>
      </c>
      <c r="BF33" s="249" t="str">
        <f aca="false">IF(M$50&gt;0,IF(BF$84=0,"N/A",(BF115)/BF$84),"N/A")</f>
        <v>N/A</v>
      </c>
      <c r="BG33" s="249" t="str">
        <f aca="false">IF(N$50&gt;0,IF(BG$84=0,"N/A",(BG115)/BG$84),"N/A")</f>
        <v>N/A</v>
      </c>
      <c r="BH33" s="250" t="str">
        <f aca="false">IF(O$50&gt;0,IF(BH$84=0,"N/A",(BH115)/BH$84),"N/A")</f>
        <v>N/A</v>
      </c>
      <c r="BI33" s="253" t="n">
        <f aca="false">COUNTIF(AY33:BH33,"&lt;5")</f>
        <v>0</v>
      </c>
      <c r="BJ33" s="242"/>
    </row>
    <row r="34" customFormat="false" ht="15" hidden="false" customHeight="false" outlineLevel="0" collapsed="false">
      <c r="A34" s="29" t="n">
        <v>30</v>
      </c>
      <c r="B34" s="151" t="str">
        <f aca="false">'Datos Iniciales'!T38</f>
        <v>Alumno30</v>
      </c>
      <c r="C34" s="245" t="n">
        <f aca="false">SUMPRODUCT(F34:O34,F$50:O$50)</f>
        <v>6.81</v>
      </c>
      <c r="D34" s="246"/>
      <c r="E34" s="247" t="n">
        <f aca="false">IF(C34&lt;1,1,IF(AND(C34&lt;5,P34&gt;0),TRUNC(C34,0),IF(AND(C34&gt;5,P34&gt;0),4,ROUND(C34,0))))</f>
        <v>4</v>
      </c>
      <c r="F34" s="254" t="n">
        <f aca="false">IF(F$50&gt;0,Actividades!LX35,"N/A")</f>
        <v>6.6</v>
      </c>
      <c r="G34" s="255" t="n">
        <f aca="false">IF(G$50&gt;0,Actividades!LY35,"N/A")</f>
        <v>7.05</v>
      </c>
      <c r="H34" s="255" t="n">
        <f aca="false">IF(H$50&gt;0,Actividades!LZ35,"N/A")</f>
        <v>6.8</v>
      </c>
      <c r="I34" s="255" t="n">
        <f aca="false">IF(I$50&gt;0,Actividades!MA35,"N/A")</f>
        <v>4.8</v>
      </c>
      <c r="J34" s="255" t="str">
        <f aca="false">IF(J$50&gt;0,Actividades!MB35,"N/A")</f>
        <v>N/A</v>
      </c>
      <c r="K34" s="255" t="str">
        <f aca="false">IF(K$50&gt;0,Actividades!MC35,"N/A")</f>
        <v>N/A</v>
      </c>
      <c r="L34" s="255" t="str">
        <f aca="false">IF(L$50&gt;0,Actividades!MD35,"N/A")</f>
        <v>N/A</v>
      </c>
      <c r="M34" s="255" t="str">
        <f aca="false">IF(M$50&gt;0,Actividades!ME35,"N/A")</f>
        <v>N/A</v>
      </c>
      <c r="N34" s="255" t="str">
        <f aca="false">IF(N$50&gt;0,Actividades!MF35,"N/A")</f>
        <v>N/A</v>
      </c>
      <c r="O34" s="256" t="str">
        <f aca="false">IF(O$50&gt;0,Actividades!MG35,"N/A")</f>
        <v>N/A</v>
      </c>
      <c r="P34" s="251" t="n">
        <f aca="false">COUNTIF(F34:O34,"&lt;5")</f>
        <v>1</v>
      </c>
      <c r="Q34" s="242"/>
      <c r="R34" s="252" t="n">
        <f aca="false">SUMPRODUCT(U34:AD34,U$51:AD$51)</f>
        <v>6.81</v>
      </c>
      <c r="S34" s="246"/>
      <c r="T34" s="247" t="n">
        <f aca="false">IF(R34&lt;1,1,IF(AND(R34&lt;5,AE34&gt;0),TRUNC(R34,0),IF(AND(R34&gt;5,AE34&gt;0),4,ROUND(R34,0))))</f>
        <v>4</v>
      </c>
      <c r="U34" s="254" t="n">
        <f aca="false">IF(F$50&gt;0,IF(U$84=0,"N/A",(U116)/U$84),"N/A")</f>
        <v>6.6</v>
      </c>
      <c r="V34" s="255" t="n">
        <f aca="false">IF(G$50&gt;0,IF(V$84=0,"N/A",(V116)/V$84),"N/A")</f>
        <v>7.05</v>
      </c>
      <c r="W34" s="255" t="n">
        <f aca="false">IF(H$50&gt;0,IF(W$84=0,"N/A",(W116)/W$84),"N/A")</f>
        <v>6.8</v>
      </c>
      <c r="X34" s="255" t="n">
        <f aca="false">IF(I$50&gt;0,IF(X$84=0,"N/A",(X116)/X$84),"N/A")</f>
        <v>4.8</v>
      </c>
      <c r="Y34" s="255" t="str">
        <f aca="false">IF(J$50&gt;0,IF(Y$84=0,"N/A",(Y116)/Y$84),"N/A")</f>
        <v>N/A</v>
      </c>
      <c r="Z34" s="255" t="str">
        <f aca="false">IF(K$50&gt;0,IF(Z$84=0,"N/A",(Z116)/Z$84),"N/A")</f>
        <v>N/A</v>
      </c>
      <c r="AA34" s="255" t="str">
        <f aca="false">IF(L$50&gt;0,IF(AA$84=0,"N/A",(AA116)/AA$84),"N/A")</f>
        <v>N/A</v>
      </c>
      <c r="AB34" s="255" t="str">
        <f aca="false">IF(M$50&gt;0,IF(AB$84=0,"N/A",(AB116)/AB$84),"N/A")</f>
        <v>N/A</v>
      </c>
      <c r="AC34" s="255" t="str">
        <f aca="false">IF(N$50&gt;0,IF(AC$84=0,"N/A",(AC116)/AC$84),"N/A")</f>
        <v>N/A</v>
      </c>
      <c r="AD34" s="256" t="str">
        <f aca="false">IF(O$50&gt;0,IF(AD$84=0,"N/A",(AD116)/AD$84),"N/A")</f>
        <v>N/A</v>
      </c>
      <c r="AE34" s="253" t="n">
        <f aca="false">COUNTIF(U34:AD34,"&lt;5")</f>
        <v>1</v>
      </c>
      <c r="AF34" s="242"/>
      <c r="AG34" s="257"/>
      <c r="AH34" s="246"/>
      <c r="AI34" s="258"/>
      <c r="AJ34" s="254" t="str">
        <f aca="false">IF(F$50&gt;0,IF(AJ$84=0,"N/A",(AJ116)/AJ$84),"N/A")</f>
        <v>N/A</v>
      </c>
      <c r="AK34" s="255" t="str">
        <f aca="false">IF(G$50&gt;0,IF(AK$84=0,"N/A",(AK116)/AK$84),"N/A")</f>
        <v>N/A</v>
      </c>
      <c r="AL34" s="255" t="str">
        <f aca="false">IF(H$50&gt;0,IF(AL$84=0,"N/A",(AL116)/AL$84),"N/A")</f>
        <v>N/A</v>
      </c>
      <c r="AM34" s="255" t="str">
        <f aca="false">IF(I$50&gt;0,IF(AM$84=0,"N/A",(AM116)/AM$84),"N/A")</f>
        <v>N/A</v>
      </c>
      <c r="AN34" s="255" t="str">
        <f aca="false">IF(J$50&gt;0,IF(AN$84=0,"N/A",(AN116)/AN$84),"N/A")</f>
        <v>N/A</v>
      </c>
      <c r="AO34" s="255" t="str">
        <f aca="false">IF(K$50&gt;0,IF(AO$84=0,"N/A",(AO116)/AO$84),"N/A")</f>
        <v>N/A</v>
      </c>
      <c r="AP34" s="255" t="str">
        <f aca="false">IF(L$50&gt;0,IF(AP$84=0,"N/A",(AP116)/AP$84),"N/A")</f>
        <v>N/A</v>
      </c>
      <c r="AQ34" s="255" t="str">
        <f aca="false">IF(M$50&gt;0,IF(AQ$84=0,"N/A",(AQ116)/AQ$84),"N/A")</f>
        <v>N/A</v>
      </c>
      <c r="AR34" s="255" t="str">
        <f aca="false">IF(N$50&gt;0,IF(AR$84=0,"N/A",(AR116)/AR$84),"N/A")</f>
        <v>N/A</v>
      </c>
      <c r="AS34" s="256" t="str">
        <f aca="false">IF(O$50&gt;0,IF(AS$84=0,"N/A",(AS116)/AS$84),"N/A")</f>
        <v>N/A</v>
      </c>
      <c r="AT34" s="259"/>
      <c r="AU34" s="242"/>
      <c r="AV34" s="257"/>
      <c r="AW34" s="246"/>
      <c r="AX34" s="258"/>
      <c r="AY34" s="254" t="str">
        <f aca="false">IF(F$50&gt;0,IF(AY$84=0,"N/A",(AY116)/AY$84),"N/A")</f>
        <v>N/A</v>
      </c>
      <c r="AZ34" s="255" t="str">
        <f aca="false">IF(G$50&gt;0,IF(AZ$84=0,"N/A",(AZ116)/AZ$84),"N/A")</f>
        <v>N/A</v>
      </c>
      <c r="BA34" s="255" t="str">
        <f aca="false">IF(H$50&gt;0,IF(BA$84=0,"N/A",(BA116)/BA$84),"N/A")</f>
        <v>N/A</v>
      </c>
      <c r="BB34" s="255" t="str">
        <f aca="false">IF(I$50&gt;0,IF(BB$84=0,"N/A",(BB116)/BB$84),"N/A")</f>
        <v>N/A</v>
      </c>
      <c r="BC34" s="255" t="str">
        <f aca="false">IF(J$50&gt;0,IF(BC$84=0,"N/A",(BC116)/BC$84),"N/A")</f>
        <v>N/A</v>
      </c>
      <c r="BD34" s="255" t="str">
        <f aca="false">IF(K$50&gt;0,IF(BD$84=0,"N/A",(BD116)/BD$84),"N/A")</f>
        <v>N/A</v>
      </c>
      <c r="BE34" s="255" t="str">
        <f aca="false">IF(L$50&gt;0,IF(BE$84=0,"N/A",(BE116)/BE$84),"N/A")</f>
        <v>N/A</v>
      </c>
      <c r="BF34" s="255" t="str">
        <f aca="false">IF(M$50&gt;0,IF(BF$84=0,"N/A",(BF116)/BF$84),"N/A")</f>
        <v>N/A</v>
      </c>
      <c r="BG34" s="255" t="str">
        <f aca="false">IF(N$50&gt;0,IF(BG$84=0,"N/A",(BG116)/BG$84),"N/A")</f>
        <v>N/A</v>
      </c>
      <c r="BH34" s="256" t="str">
        <f aca="false">IF(O$50&gt;0,IF(BH$84=0,"N/A",(BH116)/BH$84),"N/A")</f>
        <v>N/A</v>
      </c>
      <c r="BI34" s="259"/>
      <c r="BJ34" s="242"/>
    </row>
    <row r="35" customFormat="false" ht="15" hidden="false" customHeight="false" outlineLevel="0" collapsed="false">
      <c r="A35" s="29" t="n">
        <v>31</v>
      </c>
      <c r="B35" s="162" t="str">
        <f aca="false">'Datos Iniciales'!T39</f>
        <v>Alumno31</v>
      </c>
      <c r="C35" s="260"/>
      <c r="D35" s="261"/>
      <c r="E35" s="258"/>
      <c r="F35" s="254" t="n">
        <f aca="false">IF(F$50&gt;0,Actividades!LX36,"N/A")</f>
        <v>0</v>
      </c>
      <c r="G35" s="255" t="n">
        <f aca="false">IF(G$50&gt;0,Actividades!LY36,"N/A")</f>
        <v>0</v>
      </c>
      <c r="H35" s="255" t="n">
        <f aca="false">IF(H$50&gt;0,Actividades!LZ36,"N/A")</f>
        <v>0</v>
      </c>
      <c r="I35" s="255" t="n">
        <f aca="false">IF(I$50&gt;0,Actividades!MA36,"N/A")</f>
        <v>0</v>
      </c>
      <c r="J35" s="255" t="str">
        <f aca="false">IF(J$50&gt;0,Actividades!MB36,"N/A")</f>
        <v>N/A</v>
      </c>
      <c r="K35" s="255" t="str">
        <f aca="false">IF(K$50&gt;0,Actividades!MC36,"N/A")</f>
        <v>N/A</v>
      </c>
      <c r="L35" s="255" t="str">
        <f aca="false">IF(L$50&gt;0,Actividades!MD36,"N/A")</f>
        <v>N/A</v>
      </c>
      <c r="M35" s="255" t="str">
        <f aca="false">IF(M$50&gt;0,Actividades!ME36,"N/A")</f>
        <v>N/A</v>
      </c>
      <c r="N35" s="255" t="str">
        <f aca="false">IF(N$50&gt;0,Actividades!MF36,"N/A")</f>
        <v>N/A</v>
      </c>
      <c r="O35" s="256" t="str">
        <f aca="false">IF(O$50&gt;0,Actividades!MG36,"N/A")</f>
        <v>N/A</v>
      </c>
      <c r="P35" s="251" t="n">
        <f aca="false">COUNTIF(F35:O35,"&lt;5")</f>
        <v>4</v>
      </c>
      <c r="Q35" s="242"/>
      <c r="R35" s="257"/>
      <c r="S35" s="261"/>
      <c r="T35" s="258"/>
      <c r="U35" s="254" t="n">
        <f aca="false">IF(F$50&gt;0,IF(U$84=0,"N/A",(U117)/U$84),"N/A")</f>
        <v>0</v>
      </c>
      <c r="V35" s="255" t="n">
        <f aca="false">IF(G$50&gt;0,IF(V$84=0,"N/A",(V117)/V$84),"N/A")</f>
        <v>0</v>
      </c>
      <c r="W35" s="255" t="n">
        <f aca="false">IF(H$50&gt;0,IF(W$84=0,"N/A",(W117)/W$84),"N/A")</f>
        <v>0</v>
      </c>
      <c r="X35" s="255" t="n">
        <f aca="false">IF(I$50&gt;0,IF(X$84=0,"N/A",(X117)/X$84),"N/A")</f>
        <v>0</v>
      </c>
      <c r="Y35" s="255" t="str">
        <f aca="false">IF(J$50&gt;0,IF(Y$84=0,"N/A",(Y117)/Y$84),"N/A")</f>
        <v>N/A</v>
      </c>
      <c r="Z35" s="255" t="str">
        <f aca="false">IF(K$50&gt;0,IF(Z$84=0,"N/A",(Z117)/Z$84),"N/A")</f>
        <v>N/A</v>
      </c>
      <c r="AA35" s="255" t="str">
        <f aca="false">IF(L$50&gt;0,IF(AA$84=0,"N/A",(AA117)/AA$84),"N/A")</f>
        <v>N/A</v>
      </c>
      <c r="AB35" s="255" t="str">
        <f aca="false">IF(M$50&gt;0,IF(AB$84=0,"N/A",(AB117)/AB$84),"N/A")</f>
        <v>N/A</v>
      </c>
      <c r="AC35" s="255" t="str">
        <f aca="false">IF(N$50&gt;0,IF(AC$84=0,"N/A",(AC117)/AC$84),"N/A")</f>
        <v>N/A</v>
      </c>
      <c r="AD35" s="256" t="str">
        <f aca="false">IF(O$50&gt;0,IF(AD$84=0,"N/A",(AD117)/AD$84),"N/A")</f>
        <v>N/A</v>
      </c>
      <c r="AE35" s="253" t="n">
        <f aca="false">COUNTIF(U35:AD35,"&lt;5")</f>
        <v>4</v>
      </c>
      <c r="AF35" s="242"/>
      <c r="AG35" s="257"/>
      <c r="AH35" s="261"/>
      <c r="AI35" s="258"/>
      <c r="AJ35" s="254" t="str">
        <f aca="false">IF(F$50&gt;0,IF(AJ$84=0,"N/A",(AJ117)/AJ$84),"N/A")</f>
        <v>N/A</v>
      </c>
      <c r="AK35" s="255" t="str">
        <f aca="false">IF(G$50&gt;0,IF(AK$84=0,"N/A",(AK117)/AK$84),"N/A")</f>
        <v>N/A</v>
      </c>
      <c r="AL35" s="255" t="str">
        <f aca="false">IF(H$50&gt;0,IF(AL$84=0,"N/A",(AL117)/AL$84),"N/A")</f>
        <v>N/A</v>
      </c>
      <c r="AM35" s="255" t="str">
        <f aca="false">IF(I$50&gt;0,IF(AM$84=0,"N/A",(AM117)/AM$84),"N/A")</f>
        <v>N/A</v>
      </c>
      <c r="AN35" s="255" t="str">
        <f aca="false">IF(J$50&gt;0,IF(AN$84=0,"N/A",(AN117)/AN$84),"N/A")</f>
        <v>N/A</v>
      </c>
      <c r="AO35" s="255" t="str">
        <f aca="false">IF(K$50&gt;0,IF(AO$84=0,"N/A",(AO117)/AO$84),"N/A")</f>
        <v>N/A</v>
      </c>
      <c r="AP35" s="255" t="str">
        <f aca="false">IF(L$50&gt;0,IF(AP$84=0,"N/A",(AP117)/AP$84),"N/A")</f>
        <v>N/A</v>
      </c>
      <c r="AQ35" s="255" t="str">
        <f aca="false">IF(M$50&gt;0,IF(AQ$84=0,"N/A",(AQ117)/AQ$84),"N/A")</f>
        <v>N/A</v>
      </c>
      <c r="AR35" s="255" t="str">
        <f aca="false">IF(N$50&gt;0,IF(AR$84=0,"N/A",(AR117)/AR$84),"N/A")</f>
        <v>N/A</v>
      </c>
      <c r="AS35" s="256" t="str">
        <f aca="false">IF(O$50&gt;0,IF(AS$84=0,"N/A",(AS117)/AS$84),"N/A")</f>
        <v>N/A</v>
      </c>
      <c r="AT35" s="259"/>
      <c r="AU35" s="242"/>
      <c r="AV35" s="257"/>
      <c r="AW35" s="261"/>
      <c r="AX35" s="258"/>
      <c r="AY35" s="254" t="str">
        <f aca="false">IF(F$50&gt;0,IF(AY$84=0,"N/A",(AY117)/AY$84),"N/A")</f>
        <v>N/A</v>
      </c>
      <c r="AZ35" s="255" t="str">
        <f aca="false">IF(G$50&gt;0,IF(AZ$84=0,"N/A",(AZ117)/AZ$84),"N/A")</f>
        <v>N/A</v>
      </c>
      <c r="BA35" s="255" t="str">
        <f aca="false">IF(H$50&gt;0,IF(BA$84=0,"N/A",(BA117)/BA$84),"N/A")</f>
        <v>N/A</v>
      </c>
      <c r="BB35" s="255" t="str">
        <f aca="false">IF(I$50&gt;0,IF(BB$84=0,"N/A",(BB117)/BB$84),"N/A")</f>
        <v>N/A</v>
      </c>
      <c r="BC35" s="255" t="str">
        <f aca="false">IF(J$50&gt;0,IF(BC$84=0,"N/A",(BC117)/BC$84),"N/A")</f>
        <v>N/A</v>
      </c>
      <c r="BD35" s="255" t="str">
        <f aca="false">IF(K$50&gt;0,IF(BD$84=0,"N/A",(BD117)/BD$84),"N/A")</f>
        <v>N/A</v>
      </c>
      <c r="BE35" s="255" t="str">
        <f aca="false">IF(L$50&gt;0,IF(BE$84=0,"N/A",(BE117)/BE$84),"N/A")</f>
        <v>N/A</v>
      </c>
      <c r="BF35" s="255" t="str">
        <f aca="false">IF(M$50&gt;0,IF(BF$84=0,"N/A",(BF117)/BF$84),"N/A")</f>
        <v>N/A</v>
      </c>
      <c r="BG35" s="255" t="str">
        <f aca="false">IF(N$50&gt;0,IF(BG$84=0,"N/A",(BG117)/BG$84),"N/A")</f>
        <v>N/A</v>
      </c>
      <c r="BH35" s="256" t="str">
        <f aca="false">IF(O$50&gt;0,IF(BH$84=0,"N/A",(BH117)/BH$84),"N/A")</f>
        <v>N/A</v>
      </c>
      <c r="BI35" s="259"/>
      <c r="BJ35" s="242"/>
    </row>
    <row r="36" customFormat="false" ht="15" hidden="false" customHeight="false" outlineLevel="0" collapsed="false">
      <c r="A36" s="29" t="n">
        <v>32</v>
      </c>
      <c r="B36" s="162" t="str">
        <f aca="false">'Datos Iniciales'!T40</f>
        <v>Alumno32</v>
      </c>
      <c r="C36" s="260"/>
      <c r="D36" s="261"/>
      <c r="E36" s="258"/>
      <c r="F36" s="254" t="n">
        <f aca="false">IF(F$50&gt;0,Actividades!LX37,"N/A")</f>
        <v>0</v>
      </c>
      <c r="G36" s="255" t="n">
        <f aca="false">IF(G$50&gt;0,Actividades!LY37,"N/A")</f>
        <v>0</v>
      </c>
      <c r="H36" s="255" t="n">
        <f aca="false">IF(H$50&gt;0,Actividades!LZ37,"N/A")</f>
        <v>0</v>
      </c>
      <c r="I36" s="255" t="n">
        <f aca="false">IF(I$50&gt;0,Actividades!MA37,"N/A")</f>
        <v>0</v>
      </c>
      <c r="J36" s="255" t="str">
        <f aca="false">IF(J$50&gt;0,Actividades!MB37,"N/A")</f>
        <v>N/A</v>
      </c>
      <c r="K36" s="255" t="str">
        <f aca="false">IF(K$50&gt;0,Actividades!MC37,"N/A")</f>
        <v>N/A</v>
      </c>
      <c r="L36" s="255" t="str">
        <f aca="false">IF(L$50&gt;0,Actividades!MD37,"N/A")</f>
        <v>N/A</v>
      </c>
      <c r="M36" s="255" t="str">
        <f aca="false">IF(M$50&gt;0,Actividades!ME37,"N/A")</f>
        <v>N/A</v>
      </c>
      <c r="N36" s="255" t="str">
        <f aca="false">IF(N$50&gt;0,Actividades!MF37,"N/A")</f>
        <v>N/A</v>
      </c>
      <c r="O36" s="256" t="str">
        <f aca="false">IF(O$50&gt;0,Actividades!MG37,"N/A")</f>
        <v>N/A</v>
      </c>
      <c r="P36" s="251" t="n">
        <f aca="false">COUNTIF(F36:O36,"&lt;5")</f>
        <v>4</v>
      </c>
      <c r="Q36" s="242"/>
      <c r="R36" s="257"/>
      <c r="S36" s="261"/>
      <c r="T36" s="258"/>
      <c r="U36" s="254" t="n">
        <f aca="false">IF(F$50&gt;0,IF(U$84=0,"N/A",(U118)/U$84),"N/A")</f>
        <v>0</v>
      </c>
      <c r="V36" s="255" t="n">
        <f aca="false">IF(G$50&gt;0,IF(V$84=0,"N/A",(V118)/V$84),"N/A")</f>
        <v>0</v>
      </c>
      <c r="W36" s="255" t="n">
        <f aca="false">IF(H$50&gt;0,IF(W$84=0,"N/A",(W118)/W$84),"N/A")</f>
        <v>0</v>
      </c>
      <c r="X36" s="255" t="n">
        <f aca="false">IF(I$50&gt;0,IF(X$84=0,"N/A",(X118)/X$84),"N/A")</f>
        <v>0</v>
      </c>
      <c r="Y36" s="255" t="str">
        <f aca="false">IF(J$50&gt;0,IF(Y$84=0,"N/A",(Y118)/Y$84),"N/A")</f>
        <v>N/A</v>
      </c>
      <c r="Z36" s="255" t="str">
        <f aca="false">IF(K$50&gt;0,IF(Z$84=0,"N/A",(Z118)/Z$84),"N/A")</f>
        <v>N/A</v>
      </c>
      <c r="AA36" s="255" t="str">
        <f aca="false">IF(L$50&gt;0,IF(AA$84=0,"N/A",(AA118)/AA$84),"N/A")</f>
        <v>N/A</v>
      </c>
      <c r="AB36" s="255" t="str">
        <f aca="false">IF(M$50&gt;0,IF(AB$84=0,"N/A",(AB118)/AB$84),"N/A")</f>
        <v>N/A</v>
      </c>
      <c r="AC36" s="255" t="str">
        <f aca="false">IF(N$50&gt;0,IF(AC$84=0,"N/A",(AC118)/AC$84),"N/A")</f>
        <v>N/A</v>
      </c>
      <c r="AD36" s="256" t="str">
        <f aca="false">IF(O$50&gt;0,IF(AD$84=0,"N/A",(AD118)/AD$84),"N/A")</f>
        <v>N/A</v>
      </c>
      <c r="AE36" s="253" t="n">
        <f aca="false">COUNTIF(U36:AD36,"&lt;5")</f>
        <v>4</v>
      </c>
      <c r="AF36" s="242"/>
      <c r="AG36" s="257"/>
      <c r="AH36" s="261"/>
      <c r="AI36" s="258"/>
      <c r="AJ36" s="254" t="str">
        <f aca="false">IF(F$50&gt;0,IF(AJ$84=0,"N/A",(AJ118)/AJ$84),"N/A")</f>
        <v>N/A</v>
      </c>
      <c r="AK36" s="255" t="str">
        <f aca="false">IF(G$50&gt;0,IF(AK$84=0,"N/A",(AK118)/AK$84),"N/A")</f>
        <v>N/A</v>
      </c>
      <c r="AL36" s="255" t="str">
        <f aca="false">IF(H$50&gt;0,IF(AL$84=0,"N/A",(AL118)/AL$84),"N/A")</f>
        <v>N/A</v>
      </c>
      <c r="AM36" s="255" t="str">
        <f aca="false">IF(I$50&gt;0,IF(AM$84=0,"N/A",(AM118)/AM$84),"N/A")</f>
        <v>N/A</v>
      </c>
      <c r="AN36" s="255" t="str">
        <f aca="false">IF(J$50&gt;0,IF(AN$84=0,"N/A",(AN118)/AN$84),"N/A")</f>
        <v>N/A</v>
      </c>
      <c r="AO36" s="255" t="str">
        <f aca="false">IF(K$50&gt;0,IF(AO$84=0,"N/A",(AO118)/AO$84),"N/A")</f>
        <v>N/A</v>
      </c>
      <c r="AP36" s="255" t="str">
        <f aca="false">IF(L$50&gt;0,IF(AP$84=0,"N/A",(AP118)/AP$84),"N/A")</f>
        <v>N/A</v>
      </c>
      <c r="AQ36" s="255" t="str">
        <f aca="false">IF(M$50&gt;0,IF(AQ$84=0,"N/A",(AQ118)/AQ$84),"N/A")</f>
        <v>N/A</v>
      </c>
      <c r="AR36" s="255" t="str">
        <f aca="false">IF(N$50&gt;0,IF(AR$84=0,"N/A",(AR118)/AR$84),"N/A")</f>
        <v>N/A</v>
      </c>
      <c r="AS36" s="256" t="str">
        <f aca="false">IF(O$50&gt;0,IF(AS$84=0,"N/A",(AS118)/AS$84),"N/A")</f>
        <v>N/A</v>
      </c>
      <c r="AT36" s="259"/>
      <c r="AU36" s="242"/>
      <c r="AV36" s="257"/>
      <c r="AW36" s="261"/>
      <c r="AX36" s="258"/>
      <c r="AY36" s="254" t="str">
        <f aca="false">IF(F$50&gt;0,IF(AY$84=0,"N/A",(AY118)/AY$84),"N/A")</f>
        <v>N/A</v>
      </c>
      <c r="AZ36" s="255" t="str">
        <f aca="false">IF(G$50&gt;0,IF(AZ$84=0,"N/A",(AZ118)/AZ$84),"N/A")</f>
        <v>N/A</v>
      </c>
      <c r="BA36" s="255" t="str">
        <f aca="false">IF(H$50&gt;0,IF(BA$84=0,"N/A",(BA118)/BA$84),"N/A")</f>
        <v>N/A</v>
      </c>
      <c r="BB36" s="255" t="str">
        <f aca="false">IF(I$50&gt;0,IF(BB$84=0,"N/A",(BB118)/BB$84),"N/A")</f>
        <v>N/A</v>
      </c>
      <c r="BC36" s="255" t="str">
        <f aca="false">IF(J$50&gt;0,IF(BC$84=0,"N/A",(BC118)/BC$84),"N/A")</f>
        <v>N/A</v>
      </c>
      <c r="BD36" s="255" t="str">
        <f aca="false">IF(K$50&gt;0,IF(BD$84=0,"N/A",(BD118)/BD$84),"N/A")</f>
        <v>N/A</v>
      </c>
      <c r="BE36" s="255" t="str">
        <f aca="false">IF(L$50&gt;0,IF(BE$84=0,"N/A",(BE118)/BE$84),"N/A")</f>
        <v>N/A</v>
      </c>
      <c r="BF36" s="255" t="str">
        <f aca="false">IF(M$50&gt;0,IF(BF$84=0,"N/A",(BF118)/BF$84),"N/A")</f>
        <v>N/A</v>
      </c>
      <c r="BG36" s="255" t="str">
        <f aca="false">IF(N$50&gt;0,IF(BG$84=0,"N/A",(BG118)/BG$84),"N/A")</f>
        <v>N/A</v>
      </c>
      <c r="BH36" s="256" t="str">
        <f aca="false">IF(O$50&gt;0,IF(BH$84=0,"N/A",(BH118)/BH$84),"N/A")</f>
        <v>N/A</v>
      </c>
      <c r="BI36" s="259"/>
      <c r="BJ36" s="242"/>
    </row>
    <row r="37" customFormat="false" ht="15" hidden="false" customHeight="false" outlineLevel="0" collapsed="false">
      <c r="A37" s="29" t="n">
        <v>33</v>
      </c>
      <c r="B37" s="162" t="str">
        <f aca="false">'Datos Iniciales'!T41</f>
        <v>Alumno33</v>
      </c>
      <c r="C37" s="260"/>
      <c r="D37" s="261"/>
      <c r="E37" s="258"/>
      <c r="F37" s="254" t="n">
        <f aca="false">IF(F$50&gt;0,Actividades!LX38,"N/A")</f>
        <v>0</v>
      </c>
      <c r="G37" s="255" t="n">
        <f aca="false">IF(G$50&gt;0,Actividades!LY38,"N/A")</f>
        <v>0</v>
      </c>
      <c r="H37" s="255" t="n">
        <f aca="false">IF(H$50&gt;0,Actividades!LZ38,"N/A")</f>
        <v>0</v>
      </c>
      <c r="I37" s="255" t="n">
        <f aca="false">IF(I$50&gt;0,Actividades!MA38,"N/A")</f>
        <v>0</v>
      </c>
      <c r="J37" s="255" t="str">
        <f aca="false">IF(J$50&gt;0,Actividades!MB38,"N/A")</f>
        <v>N/A</v>
      </c>
      <c r="K37" s="255" t="str">
        <f aca="false">IF(K$50&gt;0,Actividades!MC38,"N/A")</f>
        <v>N/A</v>
      </c>
      <c r="L37" s="255" t="str">
        <f aca="false">IF(L$50&gt;0,Actividades!MD38,"N/A")</f>
        <v>N/A</v>
      </c>
      <c r="M37" s="255" t="str">
        <f aca="false">IF(M$50&gt;0,Actividades!ME38,"N/A")</f>
        <v>N/A</v>
      </c>
      <c r="N37" s="255" t="str">
        <f aca="false">IF(N$50&gt;0,Actividades!MF38,"N/A")</f>
        <v>N/A</v>
      </c>
      <c r="O37" s="256" t="str">
        <f aca="false">IF(O$50&gt;0,Actividades!MG38,"N/A")</f>
        <v>N/A</v>
      </c>
      <c r="P37" s="251" t="n">
        <f aca="false">COUNTIF(F37:O37,"&lt;5")</f>
        <v>4</v>
      </c>
      <c r="Q37" s="242"/>
      <c r="R37" s="257"/>
      <c r="S37" s="261"/>
      <c r="T37" s="258"/>
      <c r="U37" s="254" t="n">
        <f aca="false">IF(F$50&gt;0,IF(U$84=0,"N/A",(U119)/U$84),"N/A")</f>
        <v>0</v>
      </c>
      <c r="V37" s="255" t="n">
        <f aca="false">IF(G$50&gt;0,IF(V$84=0,"N/A",(V119)/V$84),"N/A")</f>
        <v>0</v>
      </c>
      <c r="W37" s="255" t="n">
        <f aca="false">IF(H$50&gt;0,IF(W$84=0,"N/A",(W119)/W$84),"N/A")</f>
        <v>0</v>
      </c>
      <c r="X37" s="255" t="n">
        <f aca="false">IF(I$50&gt;0,IF(X$84=0,"N/A",(X119)/X$84),"N/A")</f>
        <v>0</v>
      </c>
      <c r="Y37" s="255" t="str">
        <f aca="false">IF(J$50&gt;0,IF(Y$84=0,"N/A",(Y119)/Y$84),"N/A")</f>
        <v>N/A</v>
      </c>
      <c r="Z37" s="255" t="str">
        <f aca="false">IF(K$50&gt;0,IF(Z$84=0,"N/A",(Z119)/Z$84),"N/A")</f>
        <v>N/A</v>
      </c>
      <c r="AA37" s="255" t="str">
        <f aca="false">IF(L$50&gt;0,IF(AA$84=0,"N/A",(AA119)/AA$84),"N/A")</f>
        <v>N/A</v>
      </c>
      <c r="AB37" s="255" t="str">
        <f aca="false">IF(M$50&gt;0,IF(AB$84=0,"N/A",(AB119)/AB$84),"N/A")</f>
        <v>N/A</v>
      </c>
      <c r="AC37" s="255" t="str">
        <f aca="false">IF(N$50&gt;0,IF(AC$84=0,"N/A",(AC119)/AC$84),"N/A")</f>
        <v>N/A</v>
      </c>
      <c r="AD37" s="256" t="str">
        <f aca="false">IF(O$50&gt;0,IF(AD$84=0,"N/A",(AD119)/AD$84),"N/A")</f>
        <v>N/A</v>
      </c>
      <c r="AE37" s="253" t="n">
        <f aca="false">COUNTIF(U37:AD37,"&lt;5")</f>
        <v>4</v>
      </c>
      <c r="AF37" s="242"/>
      <c r="AG37" s="257"/>
      <c r="AH37" s="261"/>
      <c r="AI37" s="258"/>
      <c r="AJ37" s="254" t="str">
        <f aca="false">IF(F$50&gt;0,IF(AJ$84=0,"N/A",(AJ119)/AJ$84),"N/A")</f>
        <v>N/A</v>
      </c>
      <c r="AK37" s="255" t="str">
        <f aca="false">IF(G$50&gt;0,IF(AK$84=0,"N/A",(AK119)/AK$84),"N/A")</f>
        <v>N/A</v>
      </c>
      <c r="AL37" s="255" t="str">
        <f aca="false">IF(H$50&gt;0,IF(AL$84=0,"N/A",(AL119)/AL$84),"N/A")</f>
        <v>N/A</v>
      </c>
      <c r="AM37" s="255" t="str">
        <f aca="false">IF(I$50&gt;0,IF(AM$84=0,"N/A",(AM119)/AM$84),"N/A")</f>
        <v>N/A</v>
      </c>
      <c r="AN37" s="255" t="str">
        <f aca="false">IF(J$50&gt;0,IF(AN$84=0,"N/A",(AN119)/AN$84),"N/A")</f>
        <v>N/A</v>
      </c>
      <c r="AO37" s="255" t="str">
        <f aca="false">IF(K$50&gt;0,IF(AO$84=0,"N/A",(AO119)/AO$84),"N/A")</f>
        <v>N/A</v>
      </c>
      <c r="AP37" s="255" t="str">
        <f aca="false">IF(L$50&gt;0,IF(AP$84=0,"N/A",(AP119)/AP$84),"N/A")</f>
        <v>N/A</v>
      </c>
      <c r="AQ37" s="255" t="str">
        <f aca="false">IF(M$50&gt;0,IF(AQ$84=0,"N/A",(AQ119)/AQ$84),"N/A")</f>
        <v>N/A</v>
      </c>
      <c r="AR37" s="255" t="str">
        <f aca="false">IF(N$50&gt;0,IF(AR$84=0,"N/A",(AR119)/AR$84),"N/A")</f>
        <v>N/A</v>
      </c>
      <c r="AS37" s="256" t="str">
        <f aca="false">IF(O$50&gt;0,IF(AS$84=0,"N/A",(AS119)/AS$84),"N/A")</f>
        <v>N/A</v>
      </c>
      <c r="AT37" s="259"/>
      <c r="AU37" s="242"/>
      <c r="AV37" s="257"/>
      <c r="AW37" s="261"/>
      <c r="AX37" s="258"/>
      <c r="AY37" s="254" t="str">
        <f aca="false">IF(F$50&gt;0,IF(AY$84=0,"N/A",(AY119)/AY$84),"N/A")</f>
        <v>N/A</v>
      </c>
      <c r="AZ37" s="255" t="str">
        <f aca="false">IF(G$50&gt;0,IF(AZ$84=0,"N/A",(AZ119)/AZ$84),"N/A")</f>
        <v>N/A</v>
      </c>
      <c r="BA37" s="255" t="str">
        <f aca="false">IF(H$50&gt;0,IF(BA$84=0,"N/A",(BA119)/BA$84),"N/A")</f>
        <v>N/A</v>
      </c>
      <c r="BB37" s="255" t="str">
        <f aca="false">IF(I$50&gt;0,IF(BB$84=0,"N/A",(BB119)/BB$84),"N/A")</f>
        <v>N/A</v>
      </c>
      <c r="BC37" s="255" t="str">
        <f aca="false">IF(J$50&gt;0,IF(BC$84=0,"N/A",(BC119)/BC$84),"N/A")</f>
        <v>N/A</v>
      </c>
      <c r="BD37" s="255" t="str">
        <f aca="false">IF(K$50&gt;0,IF(BD$84=0,"N/A",(BD119)/BD$84),"N/A")</f>
        <v>N/A</v>
      </c>
      <c r="BE37" s="255" t="str">
        <f aca="false">IF(L$50&gt;0,IF(BE$84=0,"N/A",(BE119)/BE$84),"N/A")</f>
        <v>N/A</v>
      </c>
      <c r="BF37" s="255" t="str">
        <f aca="false">IF(M$50&gt;0,IF(BF$84=0,"N/A",(BF119)/BF$84),"N/A")</f>
        <v>N/A</v>
      </c>
      <c r="BG37" s="255" t="str">
        <f aca="false">IF(N$50&gt;0,IF(BG$84=0,"N/A",(BG119)/BG$84),"N/A")</f>
        <v>N/A</v>
      </c>
      <c r="BH37" s="256" t="str">
        <f aca="false">IF(O$50&gt;0,IF(BH$84=0,"N/A",(BH119)/BH$84),"N/A")</f>
        <v>N/A</v>
      </c>
      <c r="BI37" s="259"/>
      <c r="BJ37" s="242"/>
    </row>
    <row r="38" customFormat="false" ht="15" hidden="false" customHeight="false" outlineLevel="0" collapsed="false">
      <c r="A38" s="29" t="n">
        <v>34</v>
      </c>
      <c r="B38" s="162" t="str">
        <f aca="false">'Datos Iniciales'!T42</f>
        <v>Alumno34</v>
      </c>
      <c r="C38" s="260"/>
      <c r="D38" s="261"/>
      <c r="E38" s="258"/>
      <c r="F38" s="254" t="n">
        <f aca="false">IF(F$50&gt;0,Actividades!LX39,"N/A")</f>
        <v>0</v>
      </c>
      <c r="G38" s="255" t="n">
        <f aca="false">IF(G$50&gt;0,Actividades!LY39,"N/A")</f>
        <v>0</v>
      </c>
      <c r="H38" s="255" t="n">
        <f aca="false">IF(H$50&gt;0,Actividades!LZ39,"N/A")</f>
        <v>0</v>
      </c>
      <c r="I38" s="255" t="n">
        <f aca="false">IF(I$50&gt;0,Actividades!MA39,"N/A")</f>
        <v>0</v>
      </c>
      <c r="J38" s="255" t="str">
        <f aca="false">IF(J$50&gt;0,Actividades!MB39,"N/A")</f>
        <v>N/A</v>
      </c>
      <c r="K38" s="255" t="str">
        <f aca="false">IF(K$50&gt;0,Actividades!MC39,"N/A")</f>
        <v>N/A</v>
      </c>
      <c r="L38" s="255" t="str">
        <f aca="false">IF(L$50&gt;0,Actividades!MD39,"N/A")</f>
        <v>N/A</v>
      </c>
      <c r="M38" s="255" t="str">
        <f aca="false">IF(M$50&gt;0,Actividades!ME39,"N/A")</f>
        <v>N/A</v>
      </c>
      <c r="N38" s="255" t="str">
        <f aca="false">IF(N$50&gt;0,Actividades!MF39,"N/A")</f>
        <v>N/A</v>
      </c>
      <c r="O38" s="256" t="str">
        <f aca="false">IF(O$50&gt;0,Actividades!MG39,"N/A")</f>
        <v>N/A</v>
      </c>
      <c r="P38" s="251" t="n">
        <f aca="false">COUNTIF(F38:O38,"&lt;5")</f>
        <v>4</v>
      </c>
      <c r="Q38" s="242"/>
      <c r="R38" s="257"/>
      <c r="S38" s="261"/>
      <c r="T38" s="258"/>
      <c r="U38" s="254" t="n">
        <f aca="false">IF(F$50&gt;0,IF(U$84=0,"N/A",(U120)/U$84),"N/A")</f>
        <v>0</v>
      </c>
      <c r="V38" s="255" t="n">
        <f aca="false">IF(G$50&gt;0,IF(V$84=0,"N/A",(V120)/V$84),"N/A")</f>
        <v>0</v>
      </c>
      <c r="W38" s="255" t="n">
        <f aca="false">IF(H$50&gt;0,IF(W$84=0,"N/A",(W120)/W$84),"N/A")</f>
        <v>0</v>
      </c>
      <c r="X38" s="255" t="n">
        <f aca="false">IF(I$50&gt;0,IF(X$84=0,"N/A",(X120)/X$84),"N/A")</f>
        <v>0</v>
      </c>
      <c r="Y38" s="255" t="str">
        <f aca="false">IF(J$50&gt;0,IF(Y$84=0,"N/A",(Y120)/Y$84),"N/A")</f>
        <v>N/A</v>
      </c>
      <c r="Z38" s="255" t="str">
        <f aca="false">IF(K$50&gt;0,IF(Z$84=0,"N/A",(Z120)/Z$84),"N/A")</f>
        <v>N/A</v>
      </c>
      <c r="AA38" s="255" t="str">
        <f aca="false">IF(L$50&gt;0,IF(AA$84=0,"N/A",(AA120)/AA$84),"N/A")</f>
        <v>N/A</v>
      </c>
      <c r="AB38" s="255" t="str">
        <f aca="false">IF(M$50&gt;0,IF(AB$84=0,"N/A",(AB120)/AB$84),"N/A")</f>
        <v>N/A</v>
      </c>
      <c r="AC38" s="255" t="str">
        <f aca="false">IF(N$50&gt;0,IF(AC$84=0,"N/A",(AC120)/AC$84),"N/A")</f>
        <v>N/A</v>
      </c>
      <c r="AD38" s="256" t="str">
        <f aca="false">IF(O$50&gt;0,IF(AD$84=0,"N/A",(AD120)/AD$84),"N/A")</f>
        <v>N/A</v>
      </c>
      <c r="AE38" s="253" t="n">
        <f aca="false">COUNTIF(U38:AD38,"&lt;5")</f>
        <v>4</v>
      </c>
      <c r="AF38" s="242"/>
      <c r="AG38" s="257"/>
      <c r="AH38" s="261"/>
      <c r="AI38" s="258"/>
      <c r="AJ38" s="254" t="str">
        <f aca="false">IF(F$50&gt;0,IF(AJ$84=0,"N/A",(AJ120)/AJ$84),"N/A")</f>
        <v>N/A</v>
      </c>
      <c r="AK38" s="255" t="str">
        <f aca="false">IF(G$50&gt;0,IF(AK$84=0,"N/A",(AK120)/AK$84),"N/A")</f>
        <v>N/A</v>
      </c>
      <c r="AL38" s="255" t="str">
        <f aca="false">IF(H$50&gt;0,IF(AL$84=0,"N/A",(AL120)/AL$84),"N/A")</f>
        <v>N/A</v>
      </c>
      <c r="AM38" s="255" t="str">
        <f aca="false">IF(I$50&gt;0,IF(AM$84=0,"N/A",(AM120)/AM$84),"N/A")</f>
        <v>N/A</v>
      </c>
      <c r="AN38" s="255" t="str">
        <f aca="false">IF(J$50&gt;0,IF(AN$84=0,"N/A",(AN120)/AN$84),"N/A")</f>
        <v>N/A</v>
      </c>
      <c r="AO38" s="255" t="str">
        <f aca="false">IF(K$50&gt;0,IF(AO$84=0,"N/A",(AO120)/AO$84),"N/A")</f>
        <v>N/A</v>
      </c>
      <c r="AP38" s="255" t="str">
        <f aca="false">IF(L$50&gt;0,IF(AP$84=0,"N/A",(AP120)/AP$84),"N/A")</f>
        <v>N/A</v>
      </c>
      <c r="AQ38" s="255" t="str">
        <f aca="false">IF(M$50&gt;0,IF(AQ$84=0,"N/A",(AQ120)/AQ$84),"N/A")</f>
        <v>N/A</v>
      </c>
      <c r="AR38" s="255" t="str">
        <f aca="false">IF(N$50&gt;0,IF(AR$84=0,"N/A",(AR120)/AR$84),"N/A")</f>
        <v>N/A</v>
      </c>
      <c r="AS38" s="256" t="str">
        <f aca="false">IF(O$50&gt;0,IF(AS$84=0,"N/A",(AS120)/AS$84),"N/A")</f>
        <v>N/A</v>
      </c>
      <c r="AT38" s="259"/>
      <c r="AU38" s="242"/>
      <c r="AV38" s="257"/>
      <c r="AW38" s="261"/>
      <c r="AX38" s="258"/>
      <c r="AY38" s="254" t="str">
        <f aca="false">IF(F$50&gt;0,IF(AY$84=0,"N/A",(AY120)/AY$84),"N/A")</f>
        <v>N/A</v>
      </c>
      <c r="AZ38" s="255" t="str">
        <f aca="false">IF(G$50&gt;0,IF(AZ$84=0,"N/A",(AZ120)/AZ$84),"N/A")</f>
        <v>N/A</v>
      </c>
      <c r="BA38" s="255" t="str">
        <f aca="false">IF(H$50&gt;0,IF(BA$84=0,"N/A",(BA120)/BA$84),"N/A")</f>
        <v>N/A</v>
      </c>
      <c r="BB38" s="255" t="str">
        <f aca="false">IF(I$50&gt;0,IF(BB$84=0,"N/A",(BB120)/BB$84),"N/A")</f>
        <v>N/A</v>
      </c>
      <c r="BC38" s="255" t="str">
        <f aca="false">IF(J$50&gt;0,IF(BC$84=0,"N/A",(BC120)/BC$84),"N/A")</f>
        <v>N/A</v>
      </c>
      <c r="BD38" s="255" t="str">
        <f aca="false">IF(K$50&gt;0,IF(BD$84=0,"N/A",(BD120)/BD$84),"N/A")</f>
        <v>N/A</v>
      </c>
      <c r="BE38" s="255" t="str">
        <f aca="false">IF(L$50&gt;0,IF(BE$84=0,"N/A",(BE120)/BE$84),"N/A")</f>
        <v>N/A</v>
      </c>
      <c r="BF38" s="255" t="str">
        <f aca="false">IF(M$50&gt;0,IF(BF$84=0,"N/A",(BF120)/BF$84),"N/A")</f>
        <v>N/A</v>
      </c>
      <c r="BG38" s="255" t="str">
        <f aca="false">IF(N$50&gt;0,IF(BG$84=0,"N/A",(BG120)/BG$84),"N/A")</f>
        <v>N/A</v>
      </c>
      <c r="BH38" s="256" t="str">
        <f aca="false">IF(O$50&gt;0,IF(BH$84=0,"N/A",(BH120)/BH$84),"N/A")</f>
        <v>N/A</v>
      </c>
      <c r="BI38" s="259"/>
      <c r="BJ38" s="242"/>
    </row>
    <row r="39" customFormat="false" ht="15" hidden="false" customHeight="false" outlineLevel="0" collapsed="false">
      <c r="A39" s="29" t="n">
        <v>35</v>
      </c>
      <c r="B39" s="162" t="str">
        <f aca="false">'Datos Iniciales'!T43</f>
        <v>Alumno35</v>
      </c>
      <c r="C39" s="260"/>
      <c r="D39" s="261"/>
      <c r="E39" s="258"/>
      <c r="F39" s="254" t="n">
        <f aca="false">IF(F$50&gt;0,Actividades!LX40,"N/A")</f>
        <v>0</v>
      </c>
      <c r="G39" s="255" t="n">
        <f aca="false">IF(G$50&gt;0,Actividades!LY40,"N/A")</f>
        <v>0</v>
      </c>
      <c r="H39" s="255" t="n">
        <f aca="false">IF(H$50&gt;0,Actividades!LZ40,"N/A")</f>
        <v>0</v>
      </c>
      <c r="I39" s="255" t="n">
        <f aca="false">IF(I$50&gt;0,Actividades!MA40,"N/A")</f>
        <v>0</v>
      </c>
      <c r="J39" s="255" t="str">
        <f aca="false">IF(J$50&gt;0,Actividades!MB40,"N/A")</f>
        <v>N/A</v>
      </c>
      <c r="K39" s="255" t="str">
        <f aca="false">IF(K$50&gt;0,Actividades!MC40,"N/A")</f>
        <v>N/A</v>
      </c>
      <c r="L39" s="255" t="str">
        <f aca="false">IF(L$50&gt;0,Actividades!MD40,"N/A")</f>
        <v>N/A</v>
      </c>
      <c r="M39" s="255" t="str">
        <f aca="false">IF(M$50&gt;0,Actividades!ME40,"N/A")</f>
        <v>N/A</v>
      </c>
      <c r="N39" s="255" t="str">
        <f aca="false">IF(N$50&gt;0,Actividades!MF40,"N/A")</f>
        <v>N/A</v>
      </c>
      <c r="O39" s="256" t="str">
        <f aca="false">IF(O$50&gt;0,Actividades!MG40,"N/A")</f>
        <v>N/A</v>
      </c>
      <c r="P39" s="251" t="n">
        <f aca="false">COUNTIF(F39:O39,"&lt;5")</f>
        <v>4</v>
      </c>
      <c r="Q39" s="242"/>
      <c r="R39" s="257"/>
      <c r="S39" s="261"/>
      <c r="T39" s="258"/>
      <c r="U39" s="254" t="n">
        <f aca="false">IF(F$50&gt;0,IF(U$84=0,"N/A",(U121)/U$84),"N/A")</f>
        <v>0</v>
      </c>
      <c r="V39" s="255" t="n">
        <f aca="false">IF(G$50&gt;0,IF(V$84=0,"N/A",(V121)/V$84),"N/A")</f>
        <v>0</v>
      </c>
      <c r="W39" s="255" t="n">
        <f aca="false">IF(H$50&gt;0,IF(W$84=0,"N/A",(W121)/W$84),"N/A")</f>
        <v>0</v>
      </c>
      <c r="X39" s="255" t="n">
        <f aca="false">IF(I$50&gt;0,IF(X$84=0,"N/A",(X121)/X$84),"N/A")</f>
        <v>0</v>
      </c>
      <c r="Y39" s="255" t="str">
        <f aca="false">IF(J$50&gt;0,IF(Y$84=0,"N/A",(Y121)/Y$84),"N/A")</f>
        <v>N/A</v>
      </c>
      <c r="Z39" s="255" t="str">
        <f aca="false">IF(K$50&gt;0,IF(Z$84=0,"N/A",(Z121)/Z$84),"N/A")</f>
        <v>N/A</v>
      </c>
      <c r="AA39" s="255" t="str">
        <f aca="false">IF(L$50&gt;0,IF(AA$84=0,"N/A",(AA121)/AA$84),"N/A")</f>
        <v>N/A</v>
      </c>
      <c r="AB39" s="255" t="str">
        <f aca="false">IF(M$50&gt;0,IF(AB$84=0,"N/A",(AB121)/AB$84),"N/A")</f>
        <v>N/A</v>
      </c>
      <c r="AC39" s="255" t="str">
        <f aca="false">IF(N$50&gt;0,IF(AC$84=0,"N/A",(AC121)/AC$84),"N/A")</f>
        <v>N/A</v>
      </c>
      <c r="AD39" s="256" t="str">
        <f aca="false">IF(O$50&gt;0,IF(AD$84=0,"N/A",(AD121)/AD$84),"N/A")</f>
        <v>N/A</v>
      </c>
      <c r="AE39" s="253" t="n">
        <f aca="false">COUNTIF(U39:AD39,"&lt;5")</f>
        <v>4</v>
      </c>
      <c r="AF39" s="242"/>
      <c r="AG39" s="257"/>
      <c r="AH39" s="261"/>
      <c r="AI39" s="258"/>
      <c r="AJ39" s="254" t="str">
        <f aca="false">IF(F$50&gt;0,IF(AJ$84=0,"N/A",(AJ121)/AJ$84),"N/A")</f>
        <v>N/A</v>
      </c>
      <c r="AK39" s="255" t="str">
        <f aca="false">IF(G$50&gt;0,IF(AK$84=0,"N/A",(AK121)/AK$84),"N/A")</f>
        <v>N/A</v>
      </c>
      <c r="AL39" s="255" t="str">
        <f aca="false">IF(H$50&gt;0,IF(AL$84=0,"N/A",(AL121)/AL$84),"N/A")</f>
        <v>N/A</v>
      </c>
      <c r="AM39" s="255" t="str">
        <f aca="false">IF(I$50&gt;0,IF(AM$84=0,"N/A",(AM121)/AM$84),"N/A")</f>
        <v>N/A</v>
      </c>
      <c r="AN39" s="255" t="str">
        <f aca="false">IF(J$50&gt;0,IF(AN$84=0,"N/A",(AN121)/AN$84),"N/A")</f>
        <v>N/A</v>
      </c>
      <c r="AO39" s="255" t="str">
        <f aca="false">IF(K$50&gt;0,IF(AO$84=0,"N/A",(AO121)/AO$84),"N/A")</f>
        <v>N/A</v>
      </c>
      <c r="AP39" s="255" t="str">
        <f aca="false">IF(L$50&gt;0,IF(AP$84=0,"N/A",(AP121)/AP$84),"N/A")</f>
        <v>N/A</v>
      </c>
      <c r="AQ39" s="255" t="str">
        <f aca="false">IF(M$50&gt;0,IF(AQ$84=0,"N/A",(AQ121)/AQ$84),"N/A")</f>
        <v>N/A</v>
      </c>
      <c r="AR39" s="255" t="str">
        <f aca="false">IF(N$50&gt;0,IF(AR$84=0,"N/A",(AR121)/AR$84),"N/A")</f>
        <v>N/A</v>
      </c>
      <c r="AS39" s="256" t="str">
        <f aca="false">IF(O$50&gt;0,IF(AS$84=0,"N/A",(AS121)/AS$84),"N/A")</f>
        <v>N/A</v>
      </c>
      <c r="AT39" s="259"/>
      <c r="AU39" s="242"/>
      <c r="AV39" s="257"/>
      <c r="AW39" s="261"/>
      <c r="AX39" s="258"/>
      <c r="AY39" s="254" t="str">
        <f aca="false">IF(F$50&gt;0,IF(AY$84=0,"N/A",(AY121)/AY$84),"N/A")</f>
        <v>N/A</v>
      </c>
      <c r="AZ39" s="255" t="str">
        <f aca="false">IF(G$50&gt;0,IF(AZ$84=0,"N/A",(AZ121)/AZ$84),"N/A")</f>
        <v>N/A</v>
      </c>
      <c r="BA39" s="255" t="str">
        <f aca="false">IF(H$50&gt;0,IF(BA$84=0,"N/A",(BA121)/BA$84),"N/A")</f>
        <v>N/A</v>
      </c>
      <c r="BB39" s="255" t="str">
        <f aca="false">IF(I$50&gt;0,IF(BB$84=0,"N/A",(BB121)/BB$84),"N/A")</f>
        <v>N/A</v>
      </c>
      <c r="BC39" s="255" t="str">
        <f aca="false">IF(J$50&gt;0,IF(BC$84=0,"N/A",(BC121)/BC$84),"N/A")</f>
        <v>N/A</v>
      </c>
      <c r="BD39" s="255" t="str">
        <f aca="false">IF(K$50&gt;0,IF(BD$84=0,"N/A",(BD121)/BD$84),"N/A")</f>
        <v>N/A</v>
      </c>
      <c r="BE39" s="255" t="str">
        <f aca="false">IF(L$50&gt;0,IF(BE$84=0,"N/A",(BE121)/BE$84),"N/A")</f>
        <v>N/A</v>
      </c>
      <c r="BF39" s="255" t="str">
        <f aca="false">IF(M$50&gt;0,IF(BF$84=0,"N/A",(BF121)/BF$84),"N/A")</f>
        <v>N/A</v>
      </c>
      <c r="BG39" s="255" t="str">
        <f aca="false">IF(N$50&gt;0,IF(BG$84=0,"N/A",(BG121)/BG$84),"N/A")</f>
        <v>N/A</v>
      </c>
      <c r="BH39" s="256" t="str">
        <f aca="false">IF(O$50&gt;0,IF(BH$84=0,"N/A",(BH121)/BH$84),"N/A")</f>
        <v>N/A</v>
      </c>
      <c r="BI39" s="259"/>
      <c r="BJ39" s="242"/>
    </row>
    <row r="40" customFormat="false" ht="15" hidden="false" customHeight="false" outlineLevel="0" collapsed="false">
      <c r="A40" s="29" t="n">
        <v>36</v>
      </c>
      <c r="B40" s="162" t="str">
        <f aca="false">'Datos Iniciales'!T44</f>
        <v>Alumno36</v>
      </c>
      <c r="C40" s="260"/>
      <c r="D40" s="261"/>
      <c r="E40" s="258"/>
      <c r="F40" s="254" t="n">
        <f aca="false">IF(F$50&gt;0,Actividades!LX41,"N/A")</f>
        <v>0</v>
      </c>
      <c r="G40" s="255" t="n">
        <f aca="false">IF(G$50&gt;0,Actividades!LY41,"N/A")</f>
        <v>0</v>
      </c>
      <c r="H40" s="255" t="n">
        <f aca="false">IF(H$50&gt;0,Actividades!LZ41,"N/A")</f>
        <v>0</v>
      </c>
      <c r="I40" s="255" t="n">
        <f aca="false">IF(I$50&gt;0,Actividades!MA41,"N/A")</f>
        <v>0</v>
      </c>
      <c r="J40" s="255" t="str">
        <f aca="false">IF(J$50&gt;0,Actividades!MB41,"N/A")</f>
        <v>N/A</v>
      </c>
      <c r="K40" s="255" t="str">
        <f aca="false">IF(K$50&gt;0,Actividades!MC41,"N/A")</f>
        <v>N/A</v>
      </c>
      <c r="L40" s="255" t="str">
        <f aca="false">IF(L$50&gt;0,Actividades!MD41,"N/A")</f>
        <v>N/A</v>
      </c>
      <c r="M40" s="255" t="str">
        <f aca="false">IF(M$50&gt;0,Actividades!ME41,"N/A")</f>
        <v>N/A</v>
      </c>
      <c r="N40" s="255" t="str">
        <f aca="false">IF(N$50&gt;0,Actividades!MF41,"N/A")</f>
        <v>N/A</v>
      </c>
      <c r="O40" s="256" t="str">
        <f aca="false">IF(O$50&gt;0,Actividades!MG41,"N/A")</f>
        <v>N/A</v>
      </c>
      <c r="P40" s="251" t="n">
        <f aca="false">COUNTIF(F40:O40,"&lt;5")</f>
        <v>4</v>
      </c>
      <c r="Q40" s="242"/>
      <c r="R40" s="257"/>
      <c r="S40" s="261"/>
      <c r="T40" s="258"/>
      <c r="U40" s="254" t="n">
        <f aca="false">IF(F$50&gt;0,IF(U$84=0,"N/A",(U122)/U$84),"N/A")</f>
        <v>0</v>
      </c>
      <c r="V40" s="255" t="n">
        <f aca="false">IF(G$50&gt;0,IF(V$84=0,"N/A",(V122)/V$84),"N/A")</f>
        <v>0</v>
      </c>
      <c r="W40" s="255" t="n">
        <f aca="false">IF(H$50&gt;0,IF(W$84=0,"N/A",(W122)/W$84),"N/A")</f>
        <v>0</v>
      </c>
      <c r="X40" s="255" t="n">
        <f aca="false">IF(I$50&gt;0,IF(X$84=0,"N/A",(X122)/X$84),"N/A")</f>
        <v>0</v>
      </c>
      <c r="Y40" s="255" t="str">
        <f aca="false">IF(J$50&gt;0,IF(Y$84=0,"N/A",(Y122)/Y$84),"N/A")</f>
        <v>N/A</v>
      </c>
      <c r="Z40" s="255" t="str">
        <f aca="false">IF(K$50&gt;0,IF(Z$84=0,"N/A",(Z122)/Z$84),"N/A")</f>
        <v>N/A</v>
      </c>
      <c r="AA40" s="255" t="str">
        <f aca="false">IF(L$50&gt;0,IF(AA$84=0,"N/A",(AA122)/AA$84),"N/A")</f>
        <v>N/A</v>
      </c>
      <c r="AB40" s="255" t="str">
        <f aca="false">IF(M$50&gt;0,IF(AB$84=0,"N/A",(AB122)/AB$84),"N/A")</f>
        <v>N/A</v>
      </c>
      <c r="AC40" s="255" t="str">
        <f aca="false">IF(N$50&gt;0,IF(AC$84=0,"N/A",(AC122)/AC$84),"N/A")</f>
        <v>N/A</v>
      </c>
      <c r="AD40" s="256" t="str">
        <f aca="false">IF(O$50&gt;0,IF(AD$84=0,"N/A",(AD122)/AD$84),"N/A")</f>
        <v>N/A</v>
      </c>
      <c r="AE40" s="253" t="n">
        <f aca="false">COUNTIF(U40:AD40,"&lt;5")</f>
        <v>4</v>
      </c>
      <c r="AF40" s="242"/>
      <c r="AG40" s="257"/>
      <c r="AH40" s="261"/>
      <c r="AI40" s="258"/>
      <c r="AJ40" s="254" t="str">
        <f aca="false">IF(F$50&gt;0,IF(AJ$84=0,"N/A",(AJ122)/AJ$84),"N/A")</f>
        <v>N/A</v>
      </c>
      <c r="AK40" s="255" t="str">
        <f aca="false">IF(G$50&gt;0,IF(AK$84=0,"N/A",(AK122)/AK$84),"N/A")</f>
        <v>N/A</v>
      </c>
      <c r="AL40" s="255" t="str">
        <f aca="false">IF(H$50&gt;0,IF(AL$84=0,"N/A",(AL122)/AL$84),"N/A")</f>
        <v>N/A</v>
      </c>
      <c r="AM40" s="255" t="str">
        <f aca="false">IF(I$50&gt;0,IF(AM$84=0,"N/A",(AM122)/AM$84),"N/A")</f>
        <v>N/A</v>
      </c>
      <c r="AN40" s="255" t="str">
        <f aca="false">IF(J$50&gt;0,IF(AN$84=0,"N/A",(AN122)/AN$84),"N/A")</f>
        <v>N/A</v>
      </c>
      <c r="AO40" s="255" t="str">
        <f aca="false">IF(K$50&gt;0,IF(AO$84=0,"N/A",(AO122)/AO$84),"N/A")</f>
        <v>N/A</v>
      </c>
      <c r="AP40" s="255" t="str">
        <f aca="false">IF(L$50&gt;0,IF(AP$84=0,"N/A",(AP122)/AP$84),"N/A")</f>
        <v>N/A</v>
      </c>
      <c r="AQ40" s="255" t="str">
        <f aca="false">IF(M$50&gt;0,IF(AQ$84=0,"N/A",(AQ122)/AQ$84),"N/A")</f>
        <v>N/A</v>
      </c>
      <c r="AR40" s="255" t="str">
        <f aca="false">IF(N$50&gt;0,IF(AR$84=0,"N/A",(AR122)/AR$84),"N/A")</f>
        <v>N/A</v>
      </c>
      <c r="AS40" s="256" t="str">
        <f aca="false">IF(O$50&gt;0,IF(AS$84=0,"N/A",(AS122)/AS$84),"N/A")</f>
        <v>N/A</v>
      </c>
      <c r="AT40" s="259"/>
      <c r="AU40" s="242"/>
      <c r="AV40" s="257"/>
      <c r="AW40" s="261"/>
      <c r="AX40" s="258"/>
      <c r="AY40" s="254" t="str">
        <f aca="false">IF(F$50&gt;0,IF(AY$84=0,"N/A",(AY122)/AY$84),"N/A")</f>
        <v>N/A</v>
      </c>
      <c r="AZ40" s="255" t="str">
        <f aca="false">IF(G$50&gt;0,IF(AZ$84=0,"N/A",(AZ122)/AZ$84),"N/A")</f>
        <v>N/A</v>
      </c>
      <c r="BA40" s="255" t="str">
        <f aca="false">IF(H$50&gt;0,IF(BA$84=0,"N/A",(BA122)/BA$84),"N/A")</f>
        <v>N/A</v>
      </c>
      <c r="BB40" s="255" t="str">
        <f aca="false">IF(I$50&gt;0,IF(BB$84=0,"N/A",(BB122)/BB$84),"N/A")</f>
        <v>N/A</v>
      </c>
      <c r="BC40" s="255" t="str">
        <f aca="false">IF(J$50&gt;0,IF(BC$84=0,"N/A",(BC122)/BC$84),"N/A")</f>
        <v>N/A</v>
      </c>
      <c r="BD40" s="255" t="str">
        <f aca="false">IF(K$50&gt;0,IF(BD$84=0,"N/A",(BD122)/BD$84),"N/A")</f>
        <v>N/A</v>
      </c>
      <c r="BE40" s="255" t="str">
        <f aca="false">IF(L$50&gt;0,IF(BE$84=0,"N/A",(BE122)/BE$84),"N/A")</f>
        <v>N/A</v>
      </c>
      <c r="BF40" s="255" t="str">
        <f aca="false">IF(M$50&gt;0,IF(BF$84=0,"N/A",(BF122)/BF$84),"N/A")</f>
        <v>N/A</v>
      </c>
      <c r="BG40" s="255" t="str">
        <f aca="false">IF(N$50&gt;0,IF(BG$84=0,"N/A",(BG122)/BG$84),"N/A")</f>
        <v>N/A</v>
      </c>
      <c r="BH40" s="256" t="str">
        <f aca="false">IF(O$50&gt;0,IF(BH$84=0,"N/A",(BH122)/BH$84),"N/A")</f>
        <v>N/A</v>
      </c>
      <c r="BI40" s="259"/>
      <c r="BJ40" s="242"/>
    </row>
    <row r="41" customFormat="false" ht="15" hidden="false" customHeight="false" outlineLevel="0" collapsed="false">
      <c r="A41" s="29" t="n">
        <v>37</v>
      </c>
      <c r="B41" s="162" t="str">
        <f aca="false">'Datos Iniciales'!T45</f>
        <v>Alumno37</v>
      </c>
      <c r="C41" s="260"/>
      <c r="D41" s="261"/>
      <c r="E41" s="258"/>
      <c r="F41" s="254" t="n">
        <f aca="false">IF(F$50&gt;0,Actividades!LX42,"N/A")</f>
        <v>0</v>
      </c>
      <c r="G41" s="255" t="n">
        <f aca="false">IF(G$50&gt;0,Actividades!LY42,"N/A")</f>
        <v>0</v>
      </c>
      <c r="H41" s="255" t="n">
        <f aca="false">IF(H$50&gt;0,Actividades!LZ42,"N/A")</f>
        <v>0</v>
      </c>
      <c r="I41" s="255" t="n">
        <f aca="false">IF(I$50&gt;0,Actividades!MA42,"N/A")</f>
        <v>0</v>
      </c>
      <c r="J41" s="255" t="str">
        <f aca="false">IF(J$50&gt;0,Actividades!MB42,"N/A")</f>
        <v>N/A</v>
      </c>
      <c r="K41" s="255" t="str">
        <f aca="false">IF(K$50&gt;0,Actividades!MC42,"N/A")</f>
        <v>N/A</v>
      </c>
      <c r="L41" s="255" t="str">
        <f aca="false">IF(L$50&gt;0,Actividades!MD42,"N/A")</f>
        <v>N/A</v>
      </c>
      <c r="M41" s="255" t="str">
        <f aca="false">IF(M$50&gt;0,Actividades!ME42,"N/A")</f>
        <v>N/A</v>
      </c>
      <c r="N41" s="255" t="str">
        <f aca="false">IF(N$50&gt;0,Actividades!MF42,"N/A")</f>
        <v>N/A</v>
      </c>
      <c r="O41" s="256" t="str">
        <f aca="false">IF(O$50&gt;0,Actividades!MG42,"N/A")</f>
        <v>N/A</v>
      </c>
      <c r="P41" s="251" t="n">
        <f aca="false">COUNTIF(F41:O41,"&lt;5")</f>
        <v>4</v>
      </c>
      <c r="Q41" s="242"/>
      <c r="R41" s="257"/>
      <c r="S41" s="261"/>
      <c r="T41" s="258"/>
      <c r="U41" s="254" t="n">
        <f aca="false">IF(F$50&gt;0,IF(U$84=0,"N/A",(U123)/U$84),"N/A")</f>
        <v>0</v>
      </c>
      <c r="V41" s="255" t="n">
        <f aca="false">IF(G$50&gt;0,IF(V$84=0,"N/A",(V123)/V$84),"N/A")</f>
        <v>0</v>
      </c>
      <c r="W41" s="255" t="n">
        <f aca="false">IF(H$50&gt;0,IF(W$84=0,"N/A",(W123)/W$84),"N/A")</f>
        <v>0</v>
      </c>
      <c r="X41" s="255" t="n">
        <f aca="false">IF(I$50&gt;0,IF(X$84=0,"N/A",(X123)/X$84),"N/A")</f>
        <v>0</v>
      </c>
      <c r="Y41" s="255" t="str">
        <f aca="false">IF(J$50&gt;0,IF(Y$84=0,"N/A",(Y123)/Y$84),"N/A")</f>
        <v>N/A</v>
      </c>
      <c r="Z41" s="255" t="str">
        <f aca="false">IF(K$50&gt;0,IF(Z$84=0,"N/A",(Z123)/Z$84),"N/A")</f>
        <v>N/A</v>
      </c>
      <c r="AA41" s="255" t="str">
        <f aca="false">IF(L$50&gt;0,IF(AA$84=0,"N/A",(AA123)/AA$84),"N/A")</f>
        <v>N/A</v>
      </c>
      <c r="AB41" s="255" t="str">
        <f aca="false">IF(M$50&gt;0,IF(AB$84=0,"N/A",(AB123)/AB$84),"N/A")</f>
        <v>N/A</v>
      </c>
      <c r="AC41" s="255" t="str">
        <f aca="false">IF(N$50&gt;0,IF(AC$84=0,"N/A",(AC123)/AC$84),"N/A")</f>
        <v>N/A</v>
      </c>
      <c r="AD41" s="256" t="str">
        <f aca="false">IF(O$50&gt;0,IF(AD$84=0,"N/A",(AD123)/AD$84),"N/A")</f>
        <v>N/A</v>
      </c>
      <c r="AE41" s="253" t="n">
        <f aca="false">COUNTIF(U41:AD41,"&lt;5")</f>
        <v>4</v>
      </c>
      <c r="AF41" s="242"/>
      <c r="AG41" s="257"/>
      <c r="AH41" s="261"/>
      <c r="AI41" s="258"/>
      <c r="AJ41" s="254" t="str">
        <f aca="false">IF(F$50&gt;0,IF(AJ$84=0,"N/A",(AJ123)/AJ$84),"N/A")</f>
        <v>N/A</v>
      </c>
      <c r="AK41" s="255" t="str">
        <f aca="false">IF(G$50&gt;0,IF(AK$84=0,"N/A",(AK123)/AK$84),"N/A")</f>
        <v>N/A</v>
      </c>
      <c r="AL41" s="255" t="str">
        <f aca="false">IF(H$50&gt;0,IF(AL$84=0,"N/A",(AL123)/AL$84),"N/A")</f>
        <v>N/A</v>
      </c>
      <c r="AM41" s="255" t="str">
        <f aca="false">IF(I$50&gt;0,IF(AM$84=0,"N/A",(AM123)/AM$84),"N/A")</f>
        <v>N/A</v>
      </c>
      <c r="AN41" s="255" t="str">
        <f aca="false">IF(J$50&gt;0,IF(AN$84=0,"N/A",(AN123)/AN$84),"N/A")</f>
        <v>N/A</v>
      </c>
      <c r="AO41" s="255" t="str">
        <f aca="false">IF(K$50&gt;0,IF(AO$84=0,"N/A",(AO123)/AO$84),"N/A")</f>
        <v>N/A</v>
      </c>
      <c r="AP41" s="255" t="str">
        <f aca="false">IF(L$50&gt;0,IF(AP$84=0,"N/A",(AP123)/AP$84),"N/A")</f>
        <v>N/A</v>
      </c>
      <c r="AQ41" s="255" t="str">
        <f aca="false">IF(M$50&gt;0,IF(AQ$84=0,"N/A",(AQ123)/AQ$84),"N/A")</f>
        <v>N/A</v>
      </c>
      <c r="AR41" s="255" t="str">
        <f aca="false">IF(N$50&gt;0,IF(AR$84=0,"N/A",(AR123)/AR$84),"N/A")</f>
        <v>N/A</v>
      </c>
      <c r="AS41" s="256" t="str">
        <f aca="false">IF(O$50&gt;0,IF(AS$84=0,"N/A",(AS123)/AS$84),"N/A")</f>
        <v>N/A</v>
      </c>
      <c r="AT41" s="259"/>
      <c r="AU41" s="242"/>
      <c r="AV41" s="257"/>
      <c r="AW41" s="261"/>
      <c r="AX41" s="258"/>
      <c r="AY41" s="254" t="str">
        <f aca="false">IF(F$50&gt;0,IF(AY$84=0,"N/A",(AY123)/AY$84),"N/A")</f>
        <v>N/A</v>
      </c>
      <c r="AZ41" s="255" t="str">
        <f aca="false">IF(G$50&gt;0,IF(AZ$84=0,"N/A",(AZ123)/AZ$84),"N/A")</f>
        <v>N/A</v>
      </c>
      <c r="BA41" s="255" t="str">
        <f aca="false">IF(H$50&gt;0,IF(BA$84=0,"N/A",(BA123)/BA$84),"N/A")</f>
        <v>N/A</v>
      </c>
      <c r="BB41" s="255" t="str">
        <f aca="false">IF(I$50&gt;0,IF(BB$84=0,"N/A",(BB123)/BB$84),"N/A")</f>
        <v>N/A</v>
      </c>
      <c r="BC41" s="255" t="str">
        <f aca="false">IF(J$50&gt;0,IF(BC$84=0,"N/A",(BC123)/BC$84),"N/A")</f>
        <v>N/A</v>
      </c>
      <c r="BD41" s="255" t="str">
        <f aca="false">IF(K$50&gt;0,IF(BD$84=0,"N/A",(BD123)/BD$84),"N/A")</f>
        <v>N/A</v>
      </c>
      <c r="BE41" s="255" t="str">
        <f aca="false">IF(L$50&gt;0,IF(BE$84=0,"N/A",(BE123)/BE$84),"N/A")</f>
        <v>N/A</v>
      </c>
      <c r="BF41" s="255" t="str">
        <f aca="false">IF(M$50&gt;0,IF(BF$84=0,"N/A",(BF123)/BF$84),"N/A")</f>
        <v>N/A</v>
      </c>
      <c r="BG41" s="255" t="str">
        <f aca="false">IF(N$50&gt;0,IF(BG$84=0,"N/A",(BG123)/BG$84),"N/A")</f>
        <v>N/A</v>
      </c>
      <c r="BH41" s="256" t="str">
        <f aca="false">IF(O$50&gt;0,IF(BH$84=0,"N/A",(BH123)/BH$84),"N/A")</f>
        <v>N/A</v>
      </c>
      <c r="BI41" s="259"/>
      <c r="BJ41" s="242"/>
    </row>
    <row r="42" customFormat="false" ht="15" hidden="false" customHeight="false" outlineLevel="0" collapsed="false">
      <c r="A42" s="29" t="n">
        <v>38</v>
      </c>
      <c r="B42" s="162" t="str">
        <f aca="false">'Datos Iniciales'!T46</f>
        <v>Alumno38</v>
      </c>
      <c r="C42" s="260"/>
      <c r="D42" s="261"/>
      <c r="E42" s="258"/>
      <c r="F42" s="254" t="n">
        <f aca="false">IF(F$50&gt;0,Actividades!LX43,"N/A")</f>
        <v>0</v>
      </c>
      <c r="G42" s="255" t="n">
        <f aca="false">IF(G$50&gt;0,Actividades!LY43,"N/A")</f>
        <v>0</v>
      </c>
      <c r="H42" s="255" t="n">
        <f aca="false">IF(H$50&gt;0,Actividades!LZ43,"N/A")</f>
        <v>0</v>
      </c>
      <c r="I42" s="255" t="n">
        <f aca="false">IF(I$50&gt;0,Actividades!MA43,"N/A")</f>
        <v>0</v>
      </c>
      <c r="J42" s="255" t="str">
        <f aca="false">IF(J$50&gt;0,Actividades!MB43,"N/A")</f>
        <v>N/A</v>
      </c>
      <c r="K42" s="255" t="str">
        <f aca="false">IF(K$50&gt;0,Actividades!MC43,"N/A")</f>
        <v>N/A</v>
      </c>
      <c r="L42" s="255" t="str">
        <f aca="false">IF(L$50&gt;0,Actividades!MD43,"N/A")</f>
        <v>N/A</v>
      </c>
      <c r="M42" s="255" t="str">
        <f aca="false">IF(M$50&gt;0,Actividades!ME43,"N/A")</f>
        <v>N/A</v>
      </c>
      <c r="N42" s="255" t="str">
        <f aca="false">IF(N$50&gt;0,Actividades!MF43,"N/A")</f>
        <v>N/A</v>
      </c>
      <c r="O42" s="256" t="str">
        <f aca="false">IF(O$50&gt;0,Actividades!MG43,"N/A")</f>
        <v>N/A</v>
      </c>
      <c r="P42" s="251" t="n">
        <f aca="false">COUNTIF(F42:O42,"&lt;5")</f>
        <v>4</v>
      </c>
      <c r="Q42" s="242"/>
      <c r="R42" s="257"/>
      <c r="S42" s="261"/>
      <c r="T42" s="258"/>
      <c r="U42" s="254" t="n">
        <f aca="false">IF(F$50&gt;0,IF(U$84=0,"N/A",(U124)/U$84),"N/A")</f>
        <v>0</v>
      </c>
      <c r="V42" s="255" t="n">
        <f aca="false">IF(G$50&gt;0,IF(V$84=0,"N/A",(V124)/V$84),"N/A")</f>
        <v>0</v>
      </c>
      <c r="W42" s="255" t="n">
        <f aca="false">IF(H$50&gt;0,IF(W$84=0,"N/A",(W124)/W$84),"N/A")</f>
        <v>0</v>
      </c>
      <c r="X42" s="255" t="n">
        <f aca="false">IF(I$50&gt;0,IF(X$84=0,"N/A",(X124)/X$84),"N/A")</f>
        <v>0</v>
      </c>
      <c r="Y42" s="255" t="str">
        <f aca="false">IF(J$50&gt;0,IF(Y$84=0,"N/A",(Y124)/Y$84),"N/A")</f>
        <v>N/A</v>
      </c>
      <c r="Z42" s="255" t="str">
        <f aca="false">IF(K$50&gt;0,IF(Z$84=0,"N/A",(Z124)/Z$84),"N/A")</f>
        <v>N/A</v>
      </c>
      <c r="AA42" s="255" t="str">
        <f aca="false">IF(L$50&gt;0,IF(AA$84=0,"N/A",(AA124)/AA$84),"N/A")</f>
        <v>N/A</v>
      </c>
      <c r="AB42" s="255" t="str">
        <f aca="false">IF(M$50&gt;0,IF(AB$84=0,"N/A",(AB124)/AB$84),"N/A")</f>
        <v>N/A</v>
      </c>
      <c r="AC42" s="255" t="str">
        <f aca="false">IF(N$50&gt;0,IF(AC$84=0,"N/A",(AC124)/AC$84),"N/A")</f>
        <v>N/A</v>
      </c>
      <c r="AD42" s="256" t="str">
        <f aca="false">IF(O$50&gt;0,IF(AD$84=0,"N/A",(AD124)/AD$84),"N/A")</f>
        <v>N/A</v>
      </c>
      <c r="AE42" s="253" t="n">
        <f aca="false">COUNTIF(U42:AD42,"&lt;5")</f>
        <v>4</v>
      </c>
      <c r="AF42" s="242"/>
      <c r="AG42" s="257"/>
      <c r="AH42" s="261"/>
      <c r="AI42" s="258"/>
      <c r="AJ42" s="254" t="str">
        <f aca="false">IF(F$50&gt;0,IF(AJ$84=0,"N/A",(AJ124)/AJ$84),"N/A")</f>
        <v>N/A</v>
      </c>
      <c r="AK42" s="255" t="str">
        <f aca="false">IF(G$50&gt;0,IF(AK$84=0,"N/A",(AK124)/AK$84),"N/A")</f>
        <v>N/A</v>
      </c>
      <c r="AL42" s="255" t="str">
        <f aca="false">IF(H$50&gt;0,IF(AL$84=0,"N/A",(AL124)/AL$84),"N/A")</f>
        <v>N/A</v>
      </c>
      <c r="AM42" s="255" t="str">
        <f aca="false">IF(I$50&gt;0,IF(AM$84=0,"N/A",(AM124)/AM$84),"N/A")</f>
        <v>N/A</v>
      </c>
      <c r="AN42" s="255" t="str">
        <f aca="false">IF(J$50&gt;0,IF(AN$84=0,"N/A",(AN124)/AN$84),"N/A")</f>
        <v>N/A</v>
      </c>
      <c r="AO42" s="255" t="str">
        <f aca="false">IF(K$50&gt;0,IF(AO$84=0,"N/A",(AO124)/AO$84),"N/A")</f>
        <v>N/A</v>
      </c>
      <c r="AP42" s="255" t="str">
        <f aca="false">IF(L$50&gt;0,IF(AP$84=0,"N/A",(AP124)/AP$84),"N/A")</f>
        <v>N/A</v>
      </c>
      <c r="AQ42" s="255" t="str">
        <f aca="false">IF(M$50&gt;0,IF(AQ$84=0,"N/A",(AQ124)/AQ$84),"N/A")</f>
        <v>N/A</v>
      </c>
      <c r="AR42" s="255" t="str">
        <f aca="false">IF(N$50&gt;0,IF(AR$84=0,"N/A",(AR124)/AR$84),"N/A")</f>
        <v>N/A</v>
      </c>
      <c r="AS42" s="256" t="str">
        <f aca="false">IF(O$50&gt;0,IF(AS$84=0,"N/A",(AS124)/AS$84),"N/A")</f>
        <v>N/A</v>
      </c>
      <c r="AT42" s="259"/>
      <c r="AU42" s="242"/>
      <c r="AV42" s="257"/>
      <c r="AW42" s="261"/>
      <c r="AX42" s="258"/>
      <c r="AY42" s="254" t="str">
        <f aca="false">IF(F$50&gt;0,IF(AY$84=0,"N/A",(AY124)/AY$84),"N/A")</f>
        <v>N/A</v>
      </c>
      <c r="AZ42" s="255" t="str">
        <f aca="false">IF(G$50&gt;0,IF(AZ$84=0,"N/A",(AZ124)/AZ$84),"N/A")</f>
        <v>N/A</v>
      </c>
      <c r="BA42" s="255" t="str">
        <f aca="false">IF(H$50&gt;0,IF(BA$84=0,"N/A",(BA124)/BA$84),"N/A")</f>
        <v>N/A</v>
      </c>
      <c r="BB42" s="255" t="str">
        <f aca="false">IF(I$50&gt;0,IF(BB$84=0,"N/A",(BB124)/BB$84),"N/A")</f>
        <v>N/A</v>
      </c>
      <c r="BC42" s="255" t="str">
        <f aca="false">IF(J$50&gt;0,IF(BC$84=0,"N/A",(BC124)/BC$84),"N/A")</f>
        <v>N/A</v>
      </c>
      <c r="BD42" s="255" t="str">
        <f aca="false">IF(K$50&gt;0,IF(BD$84=0,"N/A",(BD124)/BD$84),"N/A")</f>
        <v>N/A</v>
      </c>
      <c r="BE42" s="255" t="str">
        <f aca="false">IF(L$50&gt;0,IF(BE$84=0,"N/A",(BE124)/BE$84),"N/A")</f>
        <v>N/A</v>
      </c>
      <c r="BF42" s="255" t="str">
        <f aca="false">IF(M$50&gt;0,IF(BF$84=0,"N/A",(BF124)/BF$84),"N/A")</f>
        <v>N/A</v>
      </c>
      <c r="BG42" s="255" t="str">
        <f aca="false">IF(N$50&gt;0,IF(BG$84=0,"N/A",(BG124)/BG$84),"N/A")</f>
        <v>N/A</v>
      </c>
      <c r="BH42" s="256" t="str">
        <f aca="false">IF(O$50&gt;0,IF(BH$84=0,"N/A",(BH124)/BH$84),"N/A")</f>
        <v>N/A</v>
      </c>
      <c r="BI42" s="259"/>
      <c r="BJ42" s="242"/>
    </row>
    <row r="43" customFormat="false" ht="15" hidden="false" customHeight="false" outlineLevel="0" collapsed="false">
      <c r="A43" s="29" t="n">
        <v>39</v>
      </c>
      <c r="B43" s="162" t="str">
        <f aca="false">'Datos Iniciales'!T47</f>
        <v>Alumno39</v>
      </c>
      <c r="C43" s="260"/>
      <c r="D43" s="261"/>
      <c r="E43" s="258"/>
      <c r="F43" s="254" t="n">
        <f aca="false">IF(F$50&gt;0,Actividades!LX44,"N/A")</f>
        <v>0</v>
      </c>
      <c r="G43" s="255" t="n">
        <f aca="false">IF(G$50&gt;0,Actividades!LY44,"N/A")</f>
        <v>0</v>
      </c>
      <c r="H43" s="255" t="n">
        <f aca="false">IF(H$50&gt;0,Actividades!LZ44,"N/A")</f>
        <v>0</v>
      </c>
      <c r="I43" s="255" t="n">
        <f aca="false">IF(I$50&gt;0,Actividades!MA44,"N/A")</f>
        <v>0</v>
      </c>
      <c r="J43" s="255" t="str">
        <f aca="false">IF(J$50&gt;0,Actividades!MB44,"N/A")</f>
        <v>N/A</v>
      </c>
      <c r="K43" s="255" t="str">
        <f aca="false">IF(K$50&gt;0,Actividades!MC44,"N/A")</f>
        <v>N/A</v>
      </c>
      <c r="L43" s="255" t="str">
        <f aca="false">IF(L$50&gt;0,Actividades!MD44,"N/A")</f>
        <v>N/A</v>
      </c>
      <c r="M43" s="255" t="str">
        <f aca="false">IF(M$50&gt;0,Actividades!ME44,"N/A")</f>
        <v>N/A</v>
      </c>
      <c r="N43" s="255" t="str">
        <f aca="false">IF(N$50&gt;0,Actividades!MF44,"N/A")</f>
        <v>N/A</v>
      </c>
      <c r="O43" s="256" t="str">
        <f aca="false">IF(O$50&gt;0,Actividades!MG44,"N/A")</f>
        <v>N/A</v>
      </c>
      <c r="P43" s="251" t="n">
        <f aca="false">COUNTIF(F43:O43,"&lt;5")</f>
        <v>4</v>
      </c>
      <c r="Q43" s="242"/>
      <c r="R43" s="257"/>
      <c r="S43" s="261"/>
      <c r="T43" s="258"/>
      <c r="U43" s="254" t="n">
        <f aca="false">IF(F$50&gt;0,IF(U$84=0,"N/A",(U125)/U$84),"N/A")</f>
        <v>0</v>
      </c>
      <c r="V43" s="255" t="n">
        <f aca="false">IF(G$50&gt;0,IF(V$84=0,"N/A",(V125)/V$84),"N/A")</f>
        <v>0</v>
      </c>
      <c r="W43" s="255" t="n">
        <f aca="false">IF(H$50&gt;0,IF(W$84=0,"N/A",(W125)/W$84),"N/A")</f>
        <v>0</v>
      </c>
      <c r="X43" s="255" t="n">
        <f aca="false">IF(I$50&gt;0,IF(X$84=0,"N/A",(X125)/X$84),"N/A")</f>
        <v>0</v>
      </c>
      <c r="Y43" s="255" t="str">
        <f aca="false">IF(J$50&gt;0,IF(Y$84=0,"N/A",(Y125)/Y$84),"N/A")</f>
        <v>N/A</v>
      </c>
      <c r="Z43" s="255" t="str">
        <f aca="false">IF(K$50&gt;0,IF(Z$84=0,"N/A",(Z125)/Z$84),"N/A")</f>
        <v>N/A</v>
      </c>
      <c r="AA43" s="255" t="str">
        <f aca="false">IF(L$50&gt;0,IF(AA$84=0,"N/A",(AA125)/AA$84),"N/A")</f>
        <v>N/A</v>
      </c>
      <c r="AB43" s="255" t="str">
        <f aca="false">IF(M$50&gt;0,IF(AB$84=0,"N/A",(AB125)/AB$84),"N/A")</f>
        <v>N/A</v>
      </c>
      <c r="AC43" s="255" t="str">
        <f aca="false">IF(N$50&gt;0,IF(AC$84=0,"N/A",(AC125)/AC$84),"N/A")</f>
        <v>N/A</v>
      </c>
      <c r="AD43" s="256" t="str">
        <f aca="false">IF(O$50&gt;0,IF(AD$84=0,"N/A",(AD125)/AD$84),"N/A")</f>
        <v>N/A</v>
      </c>
      <c r="AE43" s="253" t="n">
        <f aca="false">COUNTIF(U43:AD43,"&lt;5")</f>
        <v>4</v>
      </c>
      <c r="AF43" s="242"/>
      <c r="AG43" s="257"/>
      <c r="AH43" s="261"/>
      <c r="AI43" s="258"/>
      <c r="AJ43" s="254" t="str">
        <f aca="false">IF(F$50&gt;0,IF(AJ$84=0,"N/A",(AJ125)/AJ$84),"N/A")</f>
        <v>N/A</v>
      </c>
      <c r="AK43" s="255" t="str">
        <f aca="false">IF(G$50&gt;0,IF(AK$84=0,"N/A",(AK125)/AK$84),"N/A")</f>
        <v>N/A</v>
      </c>
      <c r="AL43" s="255" t="str">
        <f aca="false">IF(H$50&gt;0,IF(AL$84=0,"N/A",(AL125)/AL$84),"N/A")</f>
        <v>N/A</v>
      </c>
      <c r="AM43" s="255" t="str">
        <f aca="false">IF(I$50&gt;0,IF(AM$84=0,"N/A",(AM125)/AM$84),"N/A")</f>
        <v>N/A</v>
      </c>
      <c r="AN43" s="255" t="str">
        <f aca="false">IF(J$50&gt;0,IF(AN$84=0,"N/A",(AN125)/AN$84),"N/A")</f>
        <v>N/A</v>
      </c>
      <c r="AO43" s="255" t="str">
        <f aca="false">IF(K$50&gt;0,IF(AO$84=0,"N/A",(AO125)/AO$84),"N/A")</f>
        <v>N/A</v>
      </c>
      <c r="AP43" s="255" t="str">
        <f aca="false">IF(L$50&gt;0,IF(AP$84=0,"N/A",(AP125)/AP$84),"N/A")</f>
        <v>N/A</v>
      </c>
      <c r="AQ43" s="255" t="str">
        <f aca="false">IF(M$50&gt;0,IF(AQ$84=0,"N/A",(AQ125)/AQ$84),"N/A")</f>
        <v>N/A</v>
      </c>
      <c r="AR43" s="255" t="str">
        <f aca="false">IF(N$50&gt;0,IF(AR$84=0,"N/A",(AR125)/AR$84),"N/A")</f>
        <v>N/A</v>
      </c>
      <c r="AS43" s="256" t="str">
        <f aca="false">IF(O$50&gt;0,IF(AS$84=0,"N/A",(AS125)/AS$84),"N/A")</f>
        <v>N/A</v>
      </c>
      <c r="AT43" s="259"/>
      <c r="AU43" s="242"/>
      <c r="AV43" s="257"/>
      <c r="AW43" s="261"/>
      <c r="AX43" s="258"/>
      <c r="AY43" s="254" t="str">
        <f aca="false">IF(F$50&gt;0,IF(AY$84=0,"N/A",(AY125)/AY$84),"N/A")</f>
        <v>N/A</v>
      </c>
      <c r="AZ43" s="255" t="str">
        <f aca="false">IF(G$50&gt;0,IF(AZ$84=0,"N/A",(AZ125)/AZ$84),"N/A")</f>
        <v>N/A</v>
      </c>
      <c r="BA43" s="255" t="str">
        <f aca="false">IF(H$50&gt;0,IF(BA$84=0,"N/A",(BA125)/BA$84),"N/A")</f>
        <v>N/A</v>
      </c>
      <c r="BB43" s="255" t="str">
        <f aca="false">IF(I$50&gt;0,IF(BB$84=0,"N/A",(BB125)/BB$84),"N/A")</f>
        <v>N/A</v>
      </c>
      <c r="BC43" s="255" t="str">
        <f aca="false">IF(J$50&gt;0,IF(BC$84=0,"N/A",(BC125)/BC$84),"N/A")</f>
        <v>N/A</v>
      </c>
      <c r="BD43" s="255" t="str">
        <f aca="false">IF(K$50&gt;0,IF(BD$84=0,"N/A",(BD125)/BD$84),"N/A")</f>
        <v>N/A</v>
      </c>
      <c r="BE43" s="255" t="str">
        <f aca="false">IF(L$50&gt;0,IF(BE$84=0,"N/A",(BE125)/BE$84),"N/A")</f>
        <v>N/A</v>
      </c>
      <c r="BF43" s="255" t="str">
        <f aca="false">IF(M$50&gt;0,IF(BF$84=0,"N/A",(BF125)/BF$84),"N/A")</f>
        <v>N/A</v>
      </c>
      <c r="BG43" s="255" t="str">
        <f aca="false">IF(N$50&gt;0,IF(BG$84=0,"N/A",(BG125)/BG$84),"N/A")</f>
        <v>N/A</v>
      </c>
      <c r="BH43" s="256" t="str">
        <f aca="false">IF(O$50&gt;0,IF(BH$84=0,"N/A",(BH125)/BH$84),"N/A")</f>
        <v>N/A</v>
      </c>
      <c r="BI43" s="259"/>
      <c r="BJ43" s="242"/>
    </row>
    <row r="44" customFormat="false" ht="15" hidden="false" customHeight="false" outlineLevel="0" collapsed="false">
      <c r="A44" s="29" t="n">
        <v>40</v>
      </c>
      <c r="B44" s="162" t="str">
        <f aca="false">'Datos Iniciales'!T48</f>
        <v>Alumno40</v>
      </c>
      <c r="C44" s="260"/>
      <c r="D44" s="261"/>
      <c r="E44" s="258"/>
      <c r="F44" s="254" t="n">
        <f aca="false">IF(F$50&gt;0,Actividades!LX45,"N/A")</f>
        <v>0</v>
      </c>
      <c r="G44" s="255" t="n">
        <f aca="false">IF(G$50&gt;0,Actividades!LY45,"N/A")</f>
        <v>0</v>
      </c>
      <c r="H44" s="255" t="n">
        <f aca="false">IF(H$50&gt;0,Actividades!LZ45,"N/A")</f>
        <v>0</v>
      </c>
      <c r="I44" s="255" t="n">
        <f aca="false">IF(I$50&gt;0,Actividades!MA45,"N/A")</f>
        <v>0</v>
      </c>
      <c r="J44" s="255" t="str">
        <f aca="false">IF(J$50&gt;0,Actividades!MB45,"N/A")</f>
        <v>N/A</v>
      </c>
      <c r="K44" s="255" t="str">
        <f aca="false">IF(K$50&gt;0,Actividades!MC45,"N/A")</f>
        <v>N/A</v>
      </c>
      <c r="L44" s="255" t="str">
        <f aca="false">IF(L$50&gt;0,Actividades!MD45,"N/A")</f>
        <v>N/A</v>
      </c>
      <c r="M44" s="255" t="str">
        <f aca="false">IF(M$50&gt;0,Actividades!ME45,"N/A")</f>
        <v>N/A</v>
      </c>
      <c r="N44" s="255" t="str">
        <f aca="false">IF(N$50&gt;0,Actividades!MF45,"N/A")</f>
        <v>N/A</v>
      </c>
      <c r="O44" s="256" t="str">
        <f aca="false">IF(O$50&gt;0,Actividades!MG45,"N/A")</f>
        <v>N/A</v>
      </c>
      <c r="P44" s="251" t="n">
        <f aca="false">COUNTIF(F44:O44,"&lt;5")</f>
        <v>4</v>
      </c>
      <c r="Q44" s="242"/>
      <c r="R44" s="257"/>
      <c r="S44" s="261"/>
      <c r="T44" s="258"/>
      <c r="U44" s="254" t="n">
        <f aca="false">IF(F$50&gt;0,IF(U$84=0,"N/A",(U126)/U$84),"N/A")</f>
        <v>0</v>
      </c>
      <c r="V44" s="255" t="n">
        <f aca="false">IF(G$50&gt;0,IF(V$84=0,"N/A",(V126)/V$84),"N/A")</f>
        <v>0</v>
      </c>
      <c r="W44" s="255" t="n">
        <f aca="false">IF(H$50&gt;0,IF(W$84=0,"N/A",(W126)/W$84),"N/A")</f>
        <v>0</v>
      </c>
      <c r="X44" s="255" t="n">
        <f aca="false">IF(I$50&gt;0,IF(X$84=0,"N/A",(X126)/X$84),"N/A")</f>
        <v>0</v>
      </c>
      <c r="Y44" s="255" t="str">
        <f aca="false">IF(J$50&gt;0,IF(Y$84=0,"N/A",(Y126)/Y$84),"N/A")</f>
        <v>N/A</v>
      </c>
      <c r="Z44" s="255" t="str">
        <f aca="false">IF(K$50&gt;0,IF(Z$84=0,"N/A",(Z126)/Z$84),"N/A")</f>
        <v>N/A</v>
      </c>
      <c r="AA44" s="255" t="str">
        <f aca="false">IF(L$50&gt;0,IF(AA$84=0,"N/A",(AA126)/AA$84),"N/A")</f>
        <v>N/A</v>
      </c>
      <c r="AB44" s="255" t="str">
        <f aca="false">IF(M$50&gt;0,IF(AB$84=0,"N/A",(AB126)/AB$84),"N/A")</f>
        <v>N/A</v>
      </c>
      <c r="AC44" s="255" t="str">
        <f aca="false">IF(N$50&gt;0,IF(AC$84=0,"N/A",(AC126)/AC$84),"N/A")</f>
        <v>N/A</v>
      </c>
      <c r="AD44" s="256" t="str">
        <f aca="false">IF(O$50&gt;0,IF(AD$84=0,"N/A",(AD126)/AD$84),"N/A")</f>
        <v>N/A</v>
      </c>
      <c r="AE44" s="253" t="n">
        <f aca="false">COUNTIF(U44:AD44,"&lt;5")</f>
        <v>4</v>
      </c>
      <c r="AF44" s="242"/>
      <c r="AG44" s="257"/>
      <c r="AH44" s="261"/>
      <c r="AI44" s="258"/>
      <c r="AJ44" s="254" t="str">
        <f aca="false">IF(F$50&gt;0,IF(AJ$84=0,"N/A",(AJ126)/AJ$84),"N/A")</f>
        <v>N/A</v>
      </c>
      <c r="AK44" s="255" t="str">
        <f aca="false">IF(G$50&gt;0,IF(AK$84=0,"N/A",(AK126)/AK$84),"N/A")</f>
        <v>N/A</v>
      </c>
      <c r="AL44" s="255" t="str">
        <f aca="false">IF(H$50&gt;0,IF(AL$84=0,"N/A",(AL126)/AL$84),"N/A")</f>
        <v>N/A</v>
      </c>
      <c r="AM44" s="255" t="str">
        <f aca="false">IF(I$50&gt;0,IF(AM$84=0,"N/A",(AM126)/AM$84),"N/A")</f>
        <v>N/A</v>
      </c>
      <c r="AN44" s="255" t="str">
        <f aca="false">IF(J$50&gt;0,IF(AN$84=0,"N/A",(AN126)/AN$84),"N/A")</f>
        <v>N/A</v>
      </c>
      <c r="AO44" s="255" t="str">
        <f aca="false">IF(K$50&gt;0,IF(AO$84=0,"N/A",(AO126)/AO$84),"N/A")</f>
        <v>N/A</v>
      </c>
      <c r="AP44" s="255" t="str">
        <f aca="false">IF(L$50&gt;0,IF(AP$84=0,"N/A",(AP126)/AP$84),"N/A")</f>
        <v>N/A</v>
      </c>
      <c r="AQ44" s="255" t="str">
        <f aca="false">IF(M$50&gt;0,IF(AQ$84=0,"N/A",(AQ126)/AQ$84),"N/A")</f>
        <v>N/A</v>
      </c>
      <c r="AR44" s="255" t="str">
        <f aca="false">IF(N$50&gt;0,IF(AR$84=0,"N/A",(AR126)/AR$84),"N/A")</f>
        <v>N/A</v>
      </c>
      <c r="AS44" s="256" t="str">
        <f aca="false">IF(O$50&gt;0,IF(AS$84=0,"N/A",(AS126)/AS$84),"N/A")</f>
        <v>N/A</v>
      </c>
      <c r="AT44" s="259"/>
      <c r="AU44" s="242"/>
      <c r="AV44" s="257"/>
      <c r="AW44" s="261"/>
      <c r="AX44" s="258"/>
      <c r="AY44" s="254" t="str">
        <f aca="false">IF(F$50&gt;0,IF(AY$84=0,"N/A",(AY126)/AY$84),"N/A")</f>
        <v>N/A</v>
      </c>
      <c r="AZ44" s="255" t="str">
        <f aca="false">IF(G$50&gt;0,IF(AZ$84=0,"N/A",(AZ126)/AZ$84),"N/A")</f>
        <v>N/A</v>
      </c>
      <c r="BA44" s="255" t="str">
        <f aca="false">IF(H$50&gt;0,IF(BA$84=0,"N/A",(BA126)/BA$84),"N/A")</f>
        <v>N/A</v>
      </c>
      <c r="BB44" s="255" t="str">
        <f aca="false">IF(I$50&gt;0,IF(BB$84=0,"N/A",(BB126)/BB$84),"N/A")</f>
        <v>N/A</v>
      </c>
      <c r="BC44" s="255" t="str">
        <f aca="false">IF(J$50&gt;0,IF(BC$84=0,"N/A",(BC126)/BC$84),"N/A")</f>
        <v>N/A</v>
      </c>
      <c r="BD44" s="255" t="str">
        <f aca="false">IF(K$50&gt;0,IF(BD$84=0,"N/A",(BD126)/BD$84),"N/A")</f>
        <v>N/A</v>
      </c>
      <c r="BE44" s="255" t="str">
        <f aca="false">IF(L$50&gt;0,IF(BE$84=0,"N/A",(BE126)/BE$84),"N/A")</f>
        <v>N/A</v>
      </c>
      <c r="BF44" s="255" t="str">
        <f aca="false">IF(M$50&gt;0,IF(BF$84=0,"N/A",(BF126)/BF$84),"N/A")</f>
        <v>N/A</v>
      </c>
      <c r="BG44" s="255" t="str">
        <f aca="false">IF(N$50&gt;0,IF(BG$84=0,"N/A",(BG126)/BG$84),"N/A")</f>
        <v>N/A</v>
      </c>
      <c r="BH44" s="256" t="str">
        <f aca="false">IF(O$50&gt;0,IF(BH$84=0,"N/A",(BH126)/BH$84),"N/A")</f>
        <v>N/A</v>
      </c>
      <c r="BI44" s="259"/>
      <c r="BJ44" s="242"/>
    </row>
    <row r="45" customFormat="false" ht="15" hidden="false" customHeight="false" outlineLevel="0" collapsed="false">
      <c r="A45" s="29" t="n">
        <v>41</v>
      </c>
      <c r="B45" s="162" t="str">
        <f aca="false">'Datos Iniciales'!T49</f>
        <v>Alumno41</v>
      </c>
      <c r="C45" s="260"/>
      <c r="D45" s="261"/>
      <c r="E45" s="258"/>
      <c r="F45" s="254" t="n">
        <f aca="false">IF(F$50&gt;0,Actividades!LX46,"N/A")</f>
        <v>0</v>
      </c>
      <c r="G45" s="255" t="n">
        <f aca="false">IF(G$50&gt;0,Actividades!LY46,"N/A")</f>
        <v>0</v>
      </c>
      <c r="H45" s="255" t="n">
        <f aca="false">IF(H$50&gt;0,Actividades!LZ46,"N/A")</f>
        <v>0</v>
      </c>
      <c r="I45" s="255" t="n">
        <f aca="false">IF(I$50&gt;0,Actividades!MA46,"N/A")</f>
        <v>0</v>
      </c>
      <c r="J45" s="255" t="str">
        <f aca="false">IF(J$50&gt;0,Actividades!MB46,"N/A")</f>
        <v>N/A</v>
      </c>
      <c r="K45" s="255" t="str">
        <f aca="false">IF(K$50&gt;0,Actividades!MC46,"N/A")</f>
        <v>N/A</v>
      </c>
      <c r="L45" s="255" t="str">
        <f aca="false">IF(L$50&gt;0,Actividades!MD46,"N/A")</f>
        <v>N/A</v>
      </c>
      <c r="M45" s="255" t="str">
        <f aca="false">IF(M$50&gt;0,Actividades!ME46,"N/A")</f>
        <v>N/A</v>
      </c>
      <c r="N45" s="255" t="str">
        <f aca="false">IF(N$50&gt;0,Actividades!MF46,"N/A")</f>
        <v>N/A</v>
      </c>
      <c r="O45" s="256" t="str">
        <f aca="false">IF(O$50&gt;0,Actividades!MG46,"N/A")</f>
        <v>N/A</v>
      </c>
      <c r="P45" s="251" t="n">
        <f aca="false">COUNTIF(F45:O45,"&lt;5")</f>
        <v>4</v>
      </c>
      <c r="Q45" s="242"/>
      <c r="R45" s="257"/>
      <c r="S45" s="261"/>
      <c r="T45" s="258"/>
      <c r="U45" s="254" t="n">
        <f aca="false">IF(F$50&gt;0,IF(U$84=0,"N/A",(U127)/U$84),"N/A")</f>
        <v>0</v>
      </c>
      <c r="V45" s="255" t="n">
        <f aca="false">IF(G$50&gt;0,IF(V$84=0,"N/A",(V127)/V$84),"N/A")</f>
        <v>0</v>
      </c>
      <c r="W45" s="255" t="n">
        <f aca="false">IF(H$50&gt;0,IF(W$84=0,"N/A",(W127)/W$84),"N/A")</f>
        <v>0</v>
      </c>
      <c r="X45" s="255" t="n">
        <f aca="false">IF(I$50&gt;0,IF(X$84=0,"N/A",(X127)/X$84),"N/A")</f>
        <v>0</v>
      </c>
      <c r="Y45" s="255" t="str">
        <f aca="false">IF(J$50&gt;0,IF(Y$84=0,"N/A",(Y127)/Y$84),"N/A")</f>
        <v>N/A</v>
      </c>
      <c r="Z45" s="255" t="str">
        <f aca="false">IF(K$50&gt;0,IF(Z$84=0,"N/A",(Z127)/Z$84),"N/A")</f>
        <v>N/A</v>
      </c>
      <c r="AA45" s="255" t="str">
        <f aca="false">IF(L$50&gt;0,IF(AA$84=0,"N/A",(AA127)/AA$84),"N/A")</f>
        <v>N/A</v>
      </c>
      <c r="AB45" s="255" t="str">
        <f aca="false">IF(M$50&gt;0,IF(AB$84=0,"N/A",(AB127)/AB$84),"N/A")</f>
        <v>N/A</v>
      </c>
      <c r="AC45" s="255" t="str">
        <f aca="false">IF(N$50&gt;0,IF(AC$84=0,"N/A",(AC127)/AC$84),"N/A")</f>
        <v>N/A</v>
      </c>
      <c r="AD45" s="256" t="str">
        <f aca="false">IF(O$50&gt;0,IF(AD$84=0,"N/A",(AD127)/AD$84),"N/A")</f>
        <v>N/A</v>
      </c>
      <c r="AE45" s="253" t="n">
        <f aca="false">COUNTIF(U45:AD45,"&lt;5")</f>
        <v>4</v>
      </c>
      <c r="AF45" s="242"/>
      <c r="AG45" s="257"/>
      <c r="AH45" s="261"/>
      <c r="AI45" s="258"/>
      <c r="AJ45" s="254" t="str">
        <f aca="false">IF(F$50&gt;0,IF(AJ$84=0,"N/A",(AJ127)/AJ$84),"N/A")</f>
        <v>N/A</v>
      </c>
      <c r="AK45" s="255" t="str">
        <f aca="false">IF(G$50&gt;0,IF(AK$84=0,"N/A",(AK127)/AK$84),"N/A")</f>
        <v>N/A</v>
      </c>
      <c r="AL45" s="255" t="str">
        <f aca="false">IF(H$50&gt;0,IF(AL$84=0,"N/A",(AL127)/AL$84),"N/A")</f>
        <v>N/A</v>
      </c>
      <c r="AM45" s="255" t="str">
        <f aca="false">IF(I$50&gt;0,IF(AM$84=0,"N/A",(AM127)/AM$84),"N/A")</f>
        <v>N/A</v>
      </c>
      <c r="AN45" s="255" t="str">
        <f aca="false">IF(J$50&gt;0,IF(AN$84=0,"N/A",(AN127)/AN$84),"N/A")</f>
        <v>N/A</v>
      </c>
      <c r="AO45" s="255" t="str">
        <f aca="false">IF(K$50&gt;0,IF(AO$84=0,"N/A",(AO127)/AO$84),"N/A")</f>
        <v>N/A</v>
      </c>
      <c r="AP45" s="255" t="str">
        <f aca="false">IF(L$50&gt;0,IF(AP$84=0,"N/A",(AP127)/AP$84),"N/A")</f>
        <v>N/A</v>
      </c>
      <c r="AQ45" s="255" t="str">
        <f aca="false">IF(M$50&gt;0,IF(AQ$84=0,"N/A",(AQ127)/AQ$84),"N/A")</f>
        <v>N/A</v>
      </c>
      <c r="AR45" s="255" t="str">
        <f aca="false">IF(N$50&gt;0,IF(AR$84=0,"N/A",(AR127)/AR$84),"N/A")</f>
        <v>N/A</v>
      </c>
      <c r="AS45" s="256" t="str">
        <f aca="false">IF(O$50&gt;0,IF(AS$84=0,"N/A",(AS127)/AS$84),"N/A")</f>
        <v>N/A</v>
      </c>
      <c r="AT45" s="259"/>
      <c r="AU45" s="242"/>
      <c r="AV45" s="257"/>
      <c r="AW45" s="261"/>
      <c r="AX45" s="258"/>
      <c r="AY45" s="254" t="str">
        <f aca="false">IF(F$50&gt;0,IF(AY$84=0,"N/A",(AY127)/AY$84),"N/A")</f>
        <v>N/A</v>
      </c>
      <c r="AZ45" s="255" t="str">
        <f aca="false">IF(G$50&gt;0,IF(AZ$84=0,"N/A",(AZ127)/AZ$84),"N/A")</f>
        <v>N/A</v>
      </c>
      <c r="BA45" s="255" t="str">
        <f aca="false">IF(H$50&gt;0,IF(BA$84=0,"N/A",(BA127)/BA$84),"N/A")</f>
        <v>N/A</v>
      </c>
      <c r="BB45" s="255" t="str">
        <f aca="false">IF(I$50&gt;0,IF(BB$84=0,"N/A",(BB127)/BB$84),"N/A")</f>
        <v>N/A</v>
      </c>
      <c r="BC45" s="255" t="str">
        <f aca="false">IF(J$50&gt;0,IF(BC$84=0,"N/A",(BC127)/BC$84),"N/A")</f>
        <v>N/A</v>
      </c>
      <c r="BD45" s="255" t="str">
        <f aca="false">IF(K$50&gt;0,IF(BD$84=0,"N/A",(BD127)/BD$84),"N/A")</f>
        <v>N/A</v>
      </c>
      <c r="BE45" s="255" t="str">
        <f aca="false">IF(L$50&gt;0,IF(BE$84=0,"N/A",(BE127)/BE$84),"N/A")</f>
        <v>N/A</v>
      </c>
      <c r="BF45" s="255" t="str">
        <f aca="false">IF(M$50&gt;0,IF(BF$84=0,"N/A",(BF127)/BF$84),"N/A")</f>
        <v>N/A</v>
      </c>
      <c r="BG45" s="255" t="str">
        <f aca="false">IF(N$50&gt;0,IF(BG$84=0,"N/A",(BG127)/BG$84),"N/A")</f>
        <v>N/A</v>
      </c>
      <c r="BH45" s="256" t="str">
        <f aca="false">IF(O$50&gt;0,IF(BH$84=0,"N/A",(BH127)/BH$84),"N/A")</f>
        <v>N/A</v>
      </c>
      <c r="BI45" s="259"/>
      <c r="BJ45" s="242"/>
    </row>
    <row r="46" customFormat="false" ht="15" hidden="false" customHeight="false" outlineLevel="0" collapsed="false">
      <c r="A46" s="29" t="n">
        <v>42</v>
      </c>
      <c r="B46" s="162" t="str">
        <f aca="false">'Datos Iniciales'!T50</f>
        <v>Alumno42</v>
      </c>
      <c r="C46" s="260"/>
      <c r="D46" s="261"/>
      <c r="E46" s="258"/>
      <c r="F46" s="254" t="n">
        <f aca="false">IF(F$50&gt;0,Actividades!LX47,"N/A")</f>
        <v>0</v>
      </c>
      <c r="G46" s="255" t="n">
        <f aca="false">IF(G$50&gt;0,Actividades!LY47,"N/A")</f>
        <v>0</v>
      </c>
      <c r="H46" s="255" t="n">
        <f aca="false">IF(H$50&gt;0,Actividades!LZ47,"N/A")</f>
        <v>0</v>
      </c>
      <c r="I46" s="255" t="n">
        <f aca="false">IF(I$50&gt;0,Actividades!MA47,"N/A")</f>
        <v>0</v>
      </c>
      <c r="J46" s="255" t="str">
        <f aca="false">IF(J$50&gt;0,Actividades!MB47,"N/A")</f>
        <v>N/A</v>
      </c>
      <c r="K46" s="255" t="str">
        <f aca="false">IF(K$50&gt;0,Actividades!MC47,"N/A")</f>
        <v>N/A</v>
      </c>
      <c r="L46" s="255" t="str">
        <f aca="false">IF(L$50&gt;0,Actividades!MD47,"N/A")</f>
        <v>N/A</v>
      </c>
      <c r="M46" s="255" t="str">
        <f aca="false">IF(M$50&gt;0,Actividades!ME47,"N/A")</f>
        <v>N/A</v>
      </c>
      <c r="N46" s="255" t="str">
        <f aca="false">IF(N$50&gt;0,Actividades!MF47,"N/A")</f>
        <v>N/A</v>
      </c>
      <c r="O46" s="256" t="str">
        <f aca="false">IF(O$50&gt;0,Actividades!MG47,"N/A")</f>
        <v>N/A</v>
      </c>
      <c r="P46" s="251" t="n">
        <f aca="false">COUNTIF(F46:O46,"&lt;5")</f>
        <v>4</v>
      </c>
      <c r="Q46" s="242"/>
      <c r="R46" s="257"/>
      <c r="S46" s="261"/>
      <c r="T46" s="258"/>
      <c r="U46" s="254" t="n">
        <f aca="false">IF(F$50&gt;0,IF(U$84=0,"N/A",(U128)/U$84),"N/A")</f>
        <v>0</v>
      </c>
      <c r="V46" s="255" t="n">
        <f aca="false">IF(G$50&gt;0,IF(V$84=0,"N/A",(V128)/V$84),"N/A")</f>
        <v>0</v>
      </c>
      <c r="W46" s="255" t="n">
        <f aca="false">IF(H$50&gt;0,IF(W$84=0,"N/A",(W128)/W$84),"N/A")</f>
        <v>0</v>
      </c>
      <c r="X46" s="255" t="n">
        <f aca="false">IF(I$50&gt;0,IF(X$84=0,"N/A",(X128)/X$84),"N/A")</f>
        <v>0</v>
      </c>
      <c r="Y46" s="255" t="str">
        <f aca="false">IF(J$50&gt;0,IF(Y$84=0,"N/A",(Y128)/Y$84),"N/A")</f>
        <v>N/A</v>
      </c>
      <c r="Z46" s="255" t="str">
        <f aca="false">IF(K$50&gt;0,IF(Z$84=0,"N/A",(Z128)/Z$84),"N/A")</f>
        <v>N/A</v>
      </c>
      <c r="AA46" s="255" t="str">
        <f aca="false">IF(L$50&gt;0,IF(AA$84=0,"N/A",(AA128)/AA$84),"N/A")</f>
        <v>N/A</v>
      </c>
      <c r="AB46" s="255" t="str">
        <f aca="false">IF(M$50&gt;0,IF(AB$84=0,"N/A",(AB128)/AB$84),"N/A")</f>
        <v>N/A</v>
      </c>
      <c r="AC46" s="255" t="str">
        <f aca="false">IF(N$50&gt;0,IF(AC$84=0,"N/A",(AC128)/AC$84),"N/A")</f>
        <v>N/A</v>
      </c>
      <c r="AD46" s="256" t="str">
        <f aca="false">IF(O$50&gt;0,IF(AD$84=0,"N/A",(AD128)/AD$84),"N/A")</f>
        <v>N/A</v>
      </c>
      <c r="AE46" s="253" t="n">
        <f aca="false">COUNTIF(U46:AD46,"&lt;5")</f>
        <v>4</v>
      </c>
      <c r="AF46" s="242"/>
      <c r="AG46" s="257"/>
      <c r="AH46" s="261"/>
      <c r="AI46" s="258"/>
      <c r="AJ46" s="254" t="str">
        <f aca="false">IF(F$50&gt;0,IF(AJ$84=0,"N/A",(AJ128)/AJ$84),"N/A")</f>
        <v>N/A</v>
      </c>
      <c r="AK46" s="255" t="str">
        <f aca="false">IF(G$50&gt;0,IF(AK$84=0,"N/A",(AK128)/AK$84),"N/A")</f>
        <v>N/A</v>
      </c>
      <c r="AL46" s="255" t="str">
        <f aca="false">IF(H$50&gt;0,IF(AL$84=0,"N/A",(AL128)/AL$84),"N/A")</f>
        <v>N/A</v>
      </c>
      <c r="AM46" s="255" t="str">
        <f aca="false">IF(I$50&gt;0,IF(AM$84=0,"N/A",(AM128)/AM$84),"N/A")</f>
        <v>N/A</v>
      </c>
      <c r="AN46" s="255" t="str">
        <f aca="false">IF(J$50&gt;0,IF(AN$84=0,"N/A",(AN128)/AN$84),"N/A")</f>
        <v>N/A</v>
      </c>
      <c r="AO46" s="255" t="str">
        <f aca="false">IF(K$50&gt;0,IF(AO$84=0,"N/A",(AO128)/AO$84),"N/A")</f>
        <v>N/A</v>
      </c>
      <c r="AP46" s="255" t="str">
        <f aca="false">IF(L$50&gt;0,IF(AP$84=0,"N/A",(AP128)/AP$84),"N/A")</f>
        <v>N/A</v>
      </c>
      <c r="AQ46" s="255" t="str">
        <f aca="false">IF(M$50&gt;0,IF(AQ$84=0,"N/A",(AQ128)/AQ$84),"N/A")</f>
        <v>N/A</v>
      </c>
      <c r="AR46" s="255" t="str">
        <f aca="false">IF(N$50&gt;0,IF(AR$84=0,"N/A",(AR128)/AR$84),"N/A")</f>
        <v>N/A</v>
      </c>
      <c r="AS46" s="256" t="str">
        <f aca="false">IF(O$50&gt;0,IF(AS$84=0,"N/A",(AS128)/AS$84),"N/A")</f>
        <v>N/A</v>
      </c>
      <c r="AT46" s="259"/>
      <c r="AU46" s="242"/>
      <c r="AV46" s="257"/>
      <c r="AW46" s="261"/>
      <c r="AX46" s="258"/>
      <c r="AY46" s="254" t="str">
        <f aca="false">IF(F$50&gt;0,IF(AY$84=0,"N/A",(AY128)/AY$84),"N/A")</f>
        <v>N/A</v>
      </c>
      <c r="AZ46" s="255" t="str">
        <f aca="false">IF(G$50&gt;0,IF(AZ$84=0,"N/A",(AZ128)/AZ$84),"N/A")</f>
        <v>N/A</v>
      </c>
      <c r="BA46" s="255" t="str">
        <f aca="false">IF(H$50&gt;0,IF(BA$84=0,"N/A",(BA128)/BA$84),"N/A")</f>
        <v>N/A</v>
      </c>
      <c r="BB46" s="255" t="str">
        <f aca="false">IF(I$50&gt;0,IF(BB$84=0,"N/A",(BB128)/BB$84),"N/A")</f>
        <v>N/A</v>
      </c>
      <c r="BC46" s="255" t="str">
        <f aca="false">IF(J$50&gt;0,IF(BC$84=0,"N/A",(BC128)/BC$84),"N/A")</f>
        <v>N/A</v>
      </c>
      <c r="BD46" s="255" t="str">
        <f aca="false">IF(K$50&gt;0,IF(BD$84=0,"N/A",(BD128)/BD$84),"N/A")</f>
        <v>N/A</v>
      </c>
      <c r="BE46" s="255" t="str">
        <f aca="false">IF(L$50&gt;0,IF(BE$84=0,"N/A",(BE128)/BE$84),"N/A")</f>
        <v>N/A</v>
      </c>
      <c r="BF46" s="255" t="str">
        <f aca="false">IF(M$50&gt;0,IF(BF$84=0,"N/A",(BF128)/BF$84),"N/A")</f>
        <v>N/A</v>
      </c>
      <c r="BG46" s="255" t="str">
        <f aca="false">IF(N$50&gt;0,IF(BG$84=0,"N/A",(BG128)/BG$84),"N/A")</f>
        <v>N/A</v>
      </c>
      <c r="BH46" s="256" t="str">
        <f aca="false">IF(O$50&gt;0,IF(BH$84=0,"N/A",(BH128)/BH$84),"N/A")</f>
        <v>N/A</v>
      </c>
      <c r="BI46" s="259"/>
      <c r="BJ46" s="242"/>
    </row>
    <row r="47" customFormat="false" ht="15" hidden="false" customHeight="false" outlineLevel="0" collapsed="false">
      <c r="A47" s="29" t="n">
        <v>43</v>
      </c>
      <c r="B47" s="162" t="str">
        <f aca="false">'Datos Iniciales'!T51</f>
        <v>Alumno43</v>
      </c>
      <c r="C47" s="260"/>
      <c r="D47" s="261"/>
      <c r="E47" s="258"/>
      <c r="F47" s="254" t="n">
        <f aca="false">IF(F$50&gt;0,Actividades!LX48,"N/A")</f>
        <v>0</v>
      </c>
      <c r="G47" s="255" t="n">
        <f aca="false">IF(G$50&gt;0,Actividades!LY48,"N/A")</f>
        <v>0</v>
      </c>
      <c r="H47" s="255" t="n">
        <f aca="false">IF(H$50&gt;0,Actividades!LZ48,"N/A")</f>
        <v>0</v>
      </c>
      <c r="I47" s="255" t="n">
        <f aca="false">IF(I$50&gt;0,Actividades!MA48,"N/A")</f>
        <v>0</v>
      </c>
      <c r="J47" s="255" t="str">
        <f aca="false">IF(J$50&gt;0,Actividades!MB48,"N/A")</f>
        <v>N/A</v>
      </c>
      <c r="K47" s="255" t="str">
        <f aca="false">IF(K$50&gt;0,Actividades!MC48,"N/A")</f>
        <v>N/A</v>
      </c>
      <c r="L47" s="255" t="str">
        <f aca="false">IF(L$50&gt;0,Actividades!MD48,"N/A")</f>
        <v>N/A</v>
      </c>
      <c r="M47" s="255" t="str">
        <f aca="false">IF(M$50&gt;0,Actividades!ME48,"N/A")</f>
        <v>N/A</v>
      </c>
      <c r="N47" s="255" t="str">
        <f aca="false">IF(N$50&gt;0,Actividades!MF48,"N/A")</f>
        <v>N/A</v>
      </c>
      <c r="O47" s="256" t="str">
        <f aca="false">IF(O$50&gt;0,Actividades!MG48,"N/A")</f>
        <v>N/A</v>
      </c>
      <c r="P47" s="251" t="n">
        <f aca="false">COUNTIF(F47:O47,"&lt;5")</f>
        <v>4</v>
      </c>
      <c r="Q47" s="242"/>
      <c r="R47" s="257"/>
      <c r="S47" s="261"/>
      <c r="T47" s="258"/>
      <c r="U47" s="254" t="n">
        <f aca="false">IF(F$50&gt;0,IF(U$84=0,"N/A",(U129)/U$84),"N/A")</f>
        <v>0</v>
      </c>
      <c r="V47" s="255" t="n">
        <f aca="false">IF(G$50&gt;0,IF(V$84=0,"N/A",(V129)/V$84),"N/A")</f>
        <v>0</v>
      </c>
      <c r="W47" s="255" t="n">
        <f aca="false">IF(H$50&gt;0,IF(W$84=0,"N/A",(W129)/W$84),"N/A")</f>
        <v>0</v>
      </c>
      <c r="X47" s="255" t="n">
        <f aca="false">IF(I$50&gt;0,IF(X$84=0,"N/A",(X129)/X$84),"N/A")</f>
        <v>0</v>
      </c>
      <c r="Y47" s="255" t="str">
        <f aca="false">IF(J$50&gt;0,IF(Y$84=0,"N/A",(Y129)/Y$84),"N/A")</f>
        <v>N/A</v>
      </c>
      <c r="Z47" s="255" t="str">
        <f aca="false">IF(K$50&gt;0,IF(Z$84=0,"N/A",(Z129)/Z$84),"N/A")</f>
        <v>N/A</v>
      </c>
      <c r="AA47" s="255" t="str">
        <f aca="false">IF(L$50&gt;0,IF(AA$84=0,"N/A",(AA129)/AA$84),"N/A")</f>
        <v>N/A</v>
      </c>
      <c r="AB47" s="255" t="str">
        <f aca="false">IF(M$50&gt;0,IF(AB$84=0,"N/A",(AB129)/AB$84),"N/A")</f>
        <v>N/A</v>
      </c>
      <c r="AC47" s="255" t="str">
        <f aca="false">IF(N$50&gt;0,IF(AC$84=0,"N/A",(AC129)/AC$84),"N/A")</f>
        <v>N/A</v>
      </c>
      <c r="AD47" s="256" t="str">
        <f aca="false">IF(O$50&gt;0,IF(AD$84=0,"N/A",(AD129)/AD$84),"N/A")</f>
        <v>N/A</v>
      </c>
      <c r="AE47" s="253" t="n">
        <f aca="false">COUNTIF(U47:AD47,"&lt;5")</f>
        <v>4</v>
      </c>
      <c r="AF47" s="242"/>
      <c r="AG47" s="257"/>
      <c r="AH47" s="261"/>
      <c r="AI47" s="258"/>
      <c r="AJ47" s="254" t="str">
        <f aca="false">IF(F$50&gt;0,IF(AJ$84=0,"N/A",(AJ129)/AJ$84),"N/A")</f>
        <v>N/A</v>
      </c>
      <c r="AK47" s="255" t="str">
        <f aca="false">IF(G$50&gt;0,IF(AK$84=0,"N/A",(AK129)/AK$84),"N/A")</f>
        <v>N/A</v>
      </c>
      <c r="AL47" s="255" t="str">
        <f aca="false">IF(H$50&gt;0,IF(AL$84=0,"N/A",(AL129)/AL$84),"N/A")</f>
        <v>N/A</v>
      </c>
      <c r="AM47" s="255" t="str">
        <f aca="false">IF(I$50&gt;0,IF(AM$84=0,"N/A",(AM129)/AM$84),"N/A")</f>
        <v>N/A</v>
      </c>
      <c r="AN47" s="255" t="str">
        <f aca="false">IF(J$50&gt;0,IF(AN$84=0,"N/A",(AN129)/AN$84),"N/A")</f>
        <v>N/A</v>
      </c>
      <c r="AO47" s="255" t="str">
        <f aca="false">IF(K$50&gt;0,IF(AO$84=0,"N/A",(AO129)/AO$84),"N/A")</f>
        <v>N/A</v>
      </c>
      <c r="AP47" s="255" t="str">
        <f aca="false">IF(L$50&gt;0,IF(AP$84=0,"N/A",(AP129)/AP$84),"N/A")</f>
        <v>N/A</v>
      </c>
      <c r="AQ47" s="255" t="str">
        <f aca="false">IF(M$50&gt;0,IF(AQ$84=0,"N/A",(AQ129)/AQ$84),"N/A")</f>
        <v>N/A</v>
      </c>
      <c r="AR47" s="255" t="str">
        <f aca="false">IF(N$50&gt;0,IF(AR$84=0,"N/A",(AR129)/AR$84),"N/A")</f>
        <v>N/A</v>
      </c>
      <c r="AS47" s="256" t="str">
        <f aca="false">IF(O$50&gt;0,IF(AS$84=0,"N/A",(AS129)/AS$84),"N/A")</f>
        <v>N/A</v>
      </c>
      <c r="AT47" s="259"/>
      <c r="AU47" s="242"/>
      <c r="AV47" s="257"/>
      <c r="AW47" s="261"/>
      <c r="AX47" s="258"/>
      <c r="AY47" s="254" t="str">
        <f aca="false">IF(F$50&gt;0,IF(AY$84=0,"N/A",(AY129)/AY$84),"N/A")</f>
        <v>N/A</v>
      </c>
      <c r="AZ47" s="255" t="str">
        <f aca="false">IF(G$50&gt;0,IF(AZ$84=0,"N/A",(AZ129)/AZ$84),"N/A")</f>
        <v>N/A</v>
      </c>
      <c r="BA47" s="255" t="str">
        <f aca="false">IF(H$50&gt;0,IF(BA$84=0,"N/A",(BA129)/BA$84),"N/A")</f>
        <v>N/A</v>
      </c>
      <c r="BB47" s="255" t="str">
        <f aca="false">IF(I$50&gt;0,IF(BB$84=0,"N/A",(BB129)/BB$84),"N/A")</f>
        <v>N/A</v>
      </c>
      <c r="BC47" s="255" t="str">
        <f aca="false">IF(J$50&gt;0,IF(BC$84=0,"N/A",(BC129)/BC$84),"N/A")</f>
        <v>N/A</v>
      </c>
      <c r="BD47" s="255" t="str">
        <f aca="false">IF(K$50&gt;0,IF(BD$84=0,"N/A",(BD129)/BD$84),"N/A")</f>
        <v>N/A</v>
      </c>
      <c r="BE47" s="255" t="str">
        <f aca="false">IF(L$50&gt;0,IF(BE$84=0,"N/A",(BE129)/BE$84),"N/A")</f>
        <v>N/A</v>
      </c>
      <c r="BF47" s="255" t="str">
        <f aca="false">IF(M$50&gt;0,IF(BF$84=0,"N/A",(BF129)/BF$84),"N/A")</f>
        <v>N/A</v>
      </c>
      <c r="BG47" s="255" t="str">
        <f aca="false">IF(N$50&gt;0,IF(BG$84=0,"N/A",(BG129)/BG$84),"N/A")</f>
        <v>N/A</v>
      </c>
      <c r="BH47" s="256" t="str">
        <f aca="false">IF(O$50&gt;0,IF(BH$84=0,"N/A",(BH129)/BH$84),"N/A")</f>
        <v>N/A</v>
      </c>
      <c r="BI47" s="259"/>
      <c r="BJ47" s="242"/>
    </row>
    <row r="48" customFormat="false" ht="15" hidden="false" customHeight="false" outlineLevel="0" collapsed="false">
      <c r="A48" s="29" t="n">
        <v>44</v>
      </c>
      <c r="B48" s="162" t="str">
        <f aca="false">'Datos Iniciales'!T52</f>
        <v>Alumno44</v>
      </c>
      <c r="C48" s="260"/>
      <c r="D48" s="261"/>
      <c r="E48" s="258"/>
      <c r="F48" s="254" t="n">
        <f aca="false">IF(F$50&gt;0,Actividades!LX49,"N/A")</f>
        <v>0</v>
      </c>
      <c r="G48" s="255" t="n">
        <f aca="false">IF(G$50&gt;0,Actividades!LY49,"N/A")</f>
        <v>0</v>
      </c>
      <c r="H48" s="255" t="n">
        <f aca="false">IF(H$50&gt;0,Actividades!LZ49,"N/A")</f>
        <v>0</v>
      </c>
      <c r="I48" s="255" t="n">
        <f aca="false">IF(I$50&gt;0,Actividades!MA49,"N/A")</f>
        <v>0</v>
      </c>
      <c r="J48" s="255" t="str">
        <f aca="false">IF(J$50&gt;0,Actividades!MB49,"N/A")</f>
        <v>N/A</v>
      </c>
      <c r="K48" s="255" t="str">
        <f aca="false">IF(K$50&gt;0,Actividades!MC49,"N/A")</f>
        <v>N/A</v>
      </c>
      <c r="L48" s="255" t="str">
        <f aca="false">IF(L$50&gt;0,Actividades!MD49,"N/A")</f>
        <v>N/A</v>
      </c>
      <c r="M48" s="255" t="str">
        <f aca="false">IF(M$50&gt;0,Actividades!ME49,"N/A")</f>
        <v>N/A</v>
      </c>
      <c r="N48" s="255" t="str">
        <f aca="false">IF(N$50&gt;0,Actividades!MF49,"N/A")</f>
        <v>N/A</v>
      </c>
      <c r="O48" s="256" t="str">
        <f aca="false">IF(O$50&gt;0,Actividades!MG49,"N/A")</f>
        <v>N/A</v>
      </c>
      <c r="P48" s="251" t="n">
        <f aca="false">COUNTIF(F48:O48,"&lt;5")</f>
        <v>4</v>
      </c>
      <c r="Q48" s="242"/>
      <c r="R48" s="257"/>
      <c r="S48" s="261"/>
      <c r="T48" s="258"/>
      <c r="U48" s="254" t="n">
        <f aca="false">IF(F$50&gt;0,IF(U$84=0,"N/A",(U130)/U$84),"N/A")</f>
        <v>0</v>
      </c>
      <c r="V48" s="255" t="n">
        <f aca="false">IF(G$50&gt;0,IF(V$84=0,"N/A",(V130)/V$84),"N/A")</f>
        <v>0</v>
      </c>
      <c r="W48" s="255" t="n">
        <f aca="false">IF(H$50&gt;0,IF(W$84=0,"N/A",(W130)/W$84),"N/A")</f>
        <v>0</v>
      </c>
      <c r="X48" s="255" t="n">
        <f aca="false">IF(I$50&gt;0,IF(X$84=0,"N/A",(X130)/X$84),"N/A")</f>
        <v>0</v>
      </c>
      <c r="Y48" s="255" t="str">
        <f aca="false">IF(J$50&gt;0,IF(Y$84=0,"N/A",(Y130)/Y$84),"N/A")</f>
        <v>N/A</v>
      </c>
      <c r="Z48" s="255" t="str">
        <f aca="false">IF(K$50&gt;0,IF(Z$84=0,"N/A",(Z130)/Z$84),"N/A")</f>
        <v>N/A</v>
      </c>
      <c r="AA48" s="255" t="str">
        <f aca="false">IF(L$50&gt;0,IF(AA$84=0,"N/A",(AA130)/AA$84),"N/A")</f>
        <v>N/A</v>
      </c>
      <c r="AB48" s="255" t="str">
        <f aca="false">IF(M$50&gt;0,IF(AB$84=0,"N/A",(AB130)/AB$84),"N/A")</f>
        <v>N/A</v>
      </c>
      <c r="AC48" s="255" t="str">
        <f aca="false">IF(N$50&gt;0,IF(AC$84=0,"N/A",(AC130)/AC$84),"N/A")</f>
        <v>N/A</v>
      </c>
      <c r="AD48" s="256" t="str">
        <f aca="false">IF(O$50&gt;0,IF(AD$84=0,"N/A",(AD130)/AD$84),"N/A")</f>
        <v>N/A</v>
      </c>
      <c r="AE48" s="253" t="n">
        <f aca="false">COUNTIF(U48:AD48,"&lt;5")</f>
        <v>4</v>
      </c>
      <c r="AF48" s="242"/>
      <c r="AG48" s="257"/>
      <c r="AH48" s="261"/>
      <c r="AI48" s="258"/>
      <c r="AJ48" s="254" t="str">
        <f aca="false">IF(F$50&gt;0,IF(AJ$84=0,"N/A",(AJ130)/AJ$84),"N/A")</f>
        <v>N/A</v>
      </c>
      <c r="AK48" s="255" t="str">
        <f aca="false">IF(G$50&gt;0,IF(AK$84=0,"N/A",(AK130)/AK$84),"N/A")</f>
        <v>N/A</v>
      </c>
      <c r="AL48" s="255" t="str">
        <f aca="false">IF(H$50&gt;0,IF(AL$84=0,"N/A",(AL130)/AL$84),"N/A")</f>
        <v>N/A</v>
      </c>
      <c r="AM48" s="255" t="str">
        <f aca="false">IF(I$50&gt;0,IF(AM$84=0,"N/A",(AM130)/AM$84),"N/A")</f>
        <v>N/A</v>
      </c>
      <c r="AN48" s="255" t="str">
        <f aca="false">IF(J$50&gt;0,IF(AN$84=0,"N/A",(AN130)/AN$84),"N/A")</f>
        <v>N/A</v>
      </c>
      <c r="AO48" s="255" t="str">
        <f aca="false">IF(K$50&gt;0,IF(AO$84=0,"N/A",(AO130)/AO$84),"N/A")</f>
        <v>N/A</v>
      </c>
      <c r="AP48" s="255" t="str">
        <f aca="false">IF(L$50&gt;0,IF(AP$84=0,"N/A",(AP130)/AP$84),"N/A")</f>
        <v>N/A</v>
      </c>
      <c r="AQ48" s="255" t="str">
        <f aca="false">IF(M$50&gt;0,IF(AQ$84=0,"N/A",(AQ130)/AQ$84),"N/A")</f>
        <v>N/A</v>
      </c>
      <c r="AR48" s="255" t="str">
        <f aca="false">IF(N$50&gt;0,IF(AR$84=0,"N/A",(AR130)/AR$84),"N/A")</f>
        <v>N/A</v>
      </c>
      <c r="AS48" s="256" t="str">
        <f aca="false">IF(O$50&gt;0,IF(AS$84=0,"N/A",(AS130)/AS$84),"N/A")</f>
        <v>N/A</v>
      </c>
      <c r="AT48" s="259"/>
      <c r="AU48" s="242"/>
      <c r="AV48" s="257"/>
      <c r="AW48" s="261"/>
      <c r="AX48" s="258"/>
      <c r="AY48" s="254" t="str">
        <f aca="false">IF(F$50&gt;0,IF(AY$84=0,"N/A",(AY130)/AY$84),"N/A")</f>
        <v>N/A</v>
      </c>
      <c r="AZ48" s="255" t="str">
        <f aca="false">IF(G$50&gt;0,IF(AZ$84=0,"N/A",(AZ130)/AZ$84),"N/A")</f>
        <v>N/A</v>
      </c>
      <c r="BA48" s="255" t="str">
        <f aca="false">IF(H$50&gt;0,IF(BA$84=0,"N/A",(BA130)/BA$84),"N/A")</f>
        <v>N/A</v>
      </c>
      <c r="BB48" s="255" t="str">
        <f aca="false">IF(I$50&gt;0,IF(BB$84=0,"N/A",(BB130)/BB$84),"N/A")</f>
        <v>N/A</v>
      </c>
      <c r="BC48" s="255" t="str">
        <f aca="false">IF(J$50&gt;0,IF(BC$84=0,"N/A",(BC130)/BC$84),"N/A")</f>
        <v>N/A</v>
      </c>
      <c r="BD48" s="255" t="str">
        <f aca="false">IF(K$50&gt;0,IF(BD$84=0,"N/A",(BD130)/BD$84),"N/A")</f>
        <v>N/A</v>
      </c>
      <c r="BE48" s="255" t="str">
        <f aca="false">IF(L$50&gt;0,IF(BE$84=0,"N/A",(BE130)/BE$84),"N/A")</f>
        <v>N/A</v>
      </c>
      <c r="BF48" s="255" t="str">
        <f aca="false">IF(M$50&gt;0,IF(BF$84=0,"N/A",(BF130)/BF$84),"N/A")</f>
        <v>N/A</v>
      </c>
      <c r="BG48" s="255" t="str">
        <f aca="false">IF(N$50&gt;0,IF(BG$84=0,"N/A",(BG130)/BG$84),"N/A")</f>
        <v>N/A</v>
      </c>
      <c r="BH48" s="256" t="str">
        <f aca="false">IF(O$50&gt;0,IF(BH$84=0,"N/A",(BH130)/BH$84),"N/A")</f>
        <v>N/A</v>
      </c>
      <c r="BI48" s="259"/>
      <c r="BJ48" s="242"/>
    </row>
    <row r="49" customFormat="false" ht="15.75" hidden="false" customHeight="false" outlineLevel="0" collapsed="false">
      <c r="A49" s="29" t="n">
        <v>45</v>
      </c>
      <c r="B49" s="164" t="str">
        <f aca="false">'Datos Iniciales'!T53</f>
        <v>Alumno45</v>
      </c>
      <c r="C49" s="260"/>
      <c r="D49" s="262"/>
      <c r="E49" s="258"/>
      <c r="F49" s="254" t="n">
        <f aca="false">IF(F$50&gt;0,Actividades!LX50,"N/A")</f>
        <v>0</v>
      </c>
      <c r="G49" s="255" t="n">
        <f aca="false">IF(G$50&gt;0,Actividades!LY50,"N/A")</f>
        <v>0</v>
      </c>
      <c r="H49" s="255" t="n">
        <f aca="false">IF(H$50&gt;0,Actividades!LZ50,"N/A")</f>
        <v>0</v>
      </c>
      <c r="I49" s="255" t="n">
        <f aca="false">IF(I$50&gt;0,Actividades!MA50,"N/A")</f>
        <v>0</v>
      </c>
      <c r="J49" s="255" t="str">
        <f aca="false">IF(J$50&gt;0,Actividades!MB50,"N/A")</f>
        <v>N/A</v>
      </c>
      <c r="K49" s="255" t="str">
        <f aca="false">IF(K$50&gt;0,Actividades!MC50,"N/A")</f>
        <v>N/A</v>
      </c>
      <c r="L49" s="255" t="str">
        <f aca="false">IF(L$50&gt;0,Actividades!MD50,"N/A")</f>
        <v>N/A</v>
      </c>
      <c r="M49" s="255" t="str">
        <f aca="false">IF(M$50&gt;0,Actividades!ME50,"N/A")</f>
        <v>N/A</v>
      </c>
      <c r="N49" s="255" t="str">
        <f aca="false">IF(N$50&gt;0,Actividades!MF50,"N/A")</f>
        <v>N/A</v>
      </c>
      <c r="O49" s="256" t="str">
        <f aca="false">IF(O$50&gt;0,Actividades!MG50,"N/A")</f>
        <v>N/A</v>
      </c>
      <c r="P49" s="251" t="n">
        <f aca="false">COUNTIF(F49:O49,"&lt;5")</f>
        <v>4</v>
      </c>
      <c r="Q49" s="242"/>
      <c r="R49" s="257"/>
      <c r="S49" s="261"/>
      <c r="T49" s="258"/>
      <c r="U49" s="254" t="n">
        <f aca="false">IF(F$50&gt;0,IF(U$84=0,"N/A",(U131)/U$84),"N/A")</f>
        <v>0</v>
      </c>
      <c r="V49" s="255" t="n">
        <f aca="false">IF(G$50&gt;0,IF(V$84=0,"N/A",(V131)/V$84),"N/A")</f>
        <v>0</v>
      </c>
      <c r="W49" s="255" t="n">
        <f aca="false">IF(H$50&gt;0,IF(W$84=0,"N/A",(W131)/W$84),"N/A")</f>
        <v>0</v>
      </c>
      <c r="X49" s="255" t="n">
        <f aca="false">IF(I$50&gt;0,IF(X$84=0,"N/A",(X131)/X$84),"N/A")</f>
        <v>0</v>
      </c>
      <c r="Y49" s="255" t="str">
        <f aca="false">IF(J$50&gt;0,IF(Y$84=0,"N/A",(Y131)/Y$84),"N/A")</f>
        <v>N/A</v>
      </c>
      <c r="Z49" s="255" t="str">
        <f aca="false">IF(K$50&gt;0,IF(Z$84=0,"N/A",(Z131)/Z$84),"N/A")</f>
        <v>N/A</v>
      </c>
      <c r="AA49" s="255" t="str">
        <f aca="false">IF(L$50&gt;0,IF(AA$84=0,"N/A",(AA131)/AA$84),"N/A")</f>
        <v>N/A</v>
      </c>
      <c r="AB49" s="255" t="str">
        <f aca="false">IF(M$50&gt;0,IF(AB$84=0,"N/A",(AB131)/AB$84),"N/A")</f>
        <v>N/A</v>
      </c>
      <c r="AC49" s="255" t="str">
        <f aca="false">IF(N$50&gt;0,IF(AC$84=0,"N/A",(AC131)/AC$84),"N/A")</f>
        <v>N/A</v>
      </c>
      <c r="AD49" s="256" t="str">
        <f aca="false">IF(O$50&gt;0,IF(AD$84=0,"N/A",(AD131)/AD$84),"N/A")</f>
        <v>N/A</v>
      </c>
      <c r="AE49" s="253" t="n">
        <f aca="false">COUNTIF(U49:AD49,"&lt;5")</f>
        <v>4</v>
      </c>
      <c r="AF49" s="242"/>
      <c r="AG49" s="257"/>
      <c r="AH49" s="261"/>
      <c r="AI49" s="258"/>
      <c r="AJ49" s="254" t="str">
        <f aca="false">IF(F$50&gt;0,IF(AJ$84=0,"N/A",(AJ131)/AJ$84),"N/A")</f>
        <v>N/A</v>
      </c>
      <c r="AK49" s="255" t="str">
        <f aca="false">IF(G$50&gt;0,IF(AK$84=0,"N/A",(AK131)/AK$84),"N/A")</f>
        <v>N/A</v>
      </c>
      <c r="AL49" s="255" t="str">
        <f aca="false">IF(H$50&gt;0,IF(AL$84=0,"N/A",(AL131)/AL$84),"N/A")</f>
        <v>N/A</v>
      </c>
      <c r="AM49" s="255" t="str">
        <f aca="false">IF(I$50&gt;0,IF(AM$84=0,"N/A",(AM131)/AM$84),"N/A")</f>
        <v>N/A</v>
      </c>
      <c r="AN49" s="255" t="str">
        <f aca="false">IF(J$50&gt;0,IF(AN$84=0,"N/A",(AN131)/AN$84),"N/A")</f>
        <v>N/A</v>
      </c>
      <c r="AO49" s="255" t="str">
        <f aca="false">IF(K$50&gt;0,IF(AO$84=0,"N/A",(AO131)/AO$84),"N/A")</f>
        <v>N/A</v>
      </c>
      <c r="AP49" s="255" t="str">
        <f aca="false">IF(L$50&gt;0,IF(AP$84=0,"N/A",(AP131)/AP$84),"N/A")</f>
        <v>N/A</v>
      </c>
      <c r="AQ49" s="255" t="str">
        <f aca="false">IF(M$50&gt;0,IF(AQ$84=0,"N/A",(AQ131)/AQ$84),"N/A")</f>
        <v>N/A</v>
      </c>
      <c r="AR49" s="255" t="str">
        <f aca="false">IF(N$50&gt;0,IF(AR$84=0,"N/A",(AR131)/AR$84),"N/A")</f>
        <v>N/A</v>
      </c>
      <c r="AS49" s="256" t="str">
        <f aca="false">IF(O$50&gt;0,IF(AS$84=0,"N/A",(AS131)/AS$84),"N/A")</f>
        <v>N/A</v>
      </c>
      <c r="AT49" s="259"/>
      <c r="AU49" s="242"/>
      <c r="AV49" s="257"/>
      <c r="AW49" s="261"/>
      <c r="AX49" s="258"/>
      <c r="AY49" s="254" t="str">
        <f aca="false">IF(F$50&gt;0,IF(AY$84=0,"N/A",(AY131)/AY$84),"N/A")</f>
        <v>N/A</v>
      </c>
      <c r="AZ49" s="255" t="str">
        <f aca="false">IF(G$50&gt;0,IF(AZ$84=0,"N/A",(AZ131)/AZ$84),"N/A")</f>
        <v>N/A</v>
      </c>
      <c r="BA49" s="255" t="str">
        <f aca="false">IF(H$50&gt;0,IF(BA$84=0,"N/A",(BA131)/BA$84),"N/A")</f>
        <v>N/A</v>
      </c>
      <c r="BB49" s="255" t="str">
        <f aca="false">IF(I$50&gt;0,IF(BB$84=0,"N/A",(BB131)/BB$84),"N/A")</f>
        <v>N/A</v>
      </c>
      <c r="BC49" s="255" t="str">
        <f aca="false">IF(J$50&gt;0,IF(BC$84=0,"N/A",(BC131)/BC$84),"N/A")</f>
        <v>N/A</v>
      </c>
      <c r="BD49" s="255" t="str">
        <f aca="false">IF(K$50&gt;0,IF(BD$84=0,"N/A",(BD131)/BD$84),"N/A")</f>
        <v>N/A</v>
      </c>
      <c r="BE49" s="255" t="str">
        <f aca="false">IF(L$50&gt;0,IF(BE$84=0,"N/A",(BE131)/BE$84),"N/A")</f>
        <v>N/A</v>
      </c>
      <c r="BF49" s="255" t="str">
        <f aca="false">IF(M$50&gt;0,IF(BF$84=0,"N/A",(BF131)/BF$84),"N/A")</f>
        <v>N/A</v>
      </c>
      <c r="BG49" s="255" t="str">
        <f aca="false">IF(N$50&gt;0,IF(BG$84=0,"N/A",(BG131)/BG$84),"N/A")</f>
        <v>N/A</v>
      </c>
      <c r="BH49" s="256" t="str">
        <f aca="false">IF(O$50&gt;0,IF(BH$84=0,"N/A",(BH131)/BH$84),"N/A")</f>
        <v>N/A</v>
      </c>
      <c r="BI49" s="259"/>
      <c r="BJ49" s="242"/>
    </row>
    <row r="50" customFormat="false" ht="15" hidden="false" customHeight="false" outlineLevel="0" collapsed="false">
      <c r="A50" s="1"/>
      <c r="B50" s="263" t="s">
        <v>157</v>
      </c>
      <c r="C50" s="264" t="n">
        <f aca="false">AVERAGE(C5:C49)</f>
        <v>6.396175</v>
      </c>
      <c r="D50" s="265"/>
      <c r="E50" s="266"/>
      <c r="F50" s="267" t="n">
        <f aca="false">'Datos Iniciales'!C9</f>
        <v>0.2</v>
      </c>
      <c r="G50" s="268" t="n">
        <f aca="false">'Datos Iniciales'!C10</f>
        <v>0.6</v>
      </c>
      <c r="H50" s="268" t="n">
        <f aca="false">'Datos Iniciales'!C11</f>
        <v>0.15</v>
      </c>
      <c r="I50" s="268" t="n">
        <f aca="false">'Datos Iniciales'!C12</f>
        <v>0.05</v>
      </c>
      <c r="J50" s="268" t="n">
        <f aca="false">'Datos Iniciales'!C13</f>
        <v>0</v>
      </c>
      <c r="K50" s="268" t="n">
        <f aca="false">'Datos Iniciales'!C14</f>
        <v>0</v>
      </c>
      <c r="L50" s="268" t="n">
        <f aca="false">'Datos Iniciales'!C15</f>
        <v>0</v>
      </c>
      <c r="M50" s="268" t="n">
        <f aca="false">'Datos Iniciales'!C16</f>
        <v>0</v>
      </c>
      <c r="N50" s="268" t="n">
        <f aca="false">'Datos Iniciales'!C17</f>
        <v>0</v>
      </c>
      <c r="O50" s="269" t="n">
        <f aca="false">'Datos Iniciales'!C18</f>
        <v>0</v>
      </c>
      <c r="P50" s="270"/>
      <c r="Q50" s="242"/>
      <c r="R50" s="271"/>
      <c r="S50" s="41"/>
      <c r="T50" s="272"/>
      <c r="U50" s="267" t="n">
        <f aca="false">F50</f>
        <v>0.2</v>
      </c>
      <c r="V50" s="268" t="n">
        <f aca="false">G50</f>
        <v>0.6</v>
      </c>
      <c r="W50" s="268" t="n">
        <f aca="false">H50</f>
        <v>0.15</v>
      </c>
      <c r="X50" s="268" t="n">
        <f aca="false">I50</f>
        <v>0.05</v>
      </c>
      <c r="Y50" s="268" t="n">
        <f aca="false">J50</f>
        <v>0</v>
      </c>
      <c r="Z50" s="268" t="n">
        <f aca="false">K50</f>
        <v>0</v>
      </c>
      <c r="AA50" s="268" t="n">
        <f aca="false">L50</f>
        <v>0</v>
      </c>
      <c r="AB50" s="268" t="n">
        <f aca="false">M50</f>
        <v>0</v>
      </c>
      <c r="AC50" s="268" t="n">
        <f aca="false">N50</f>
        <v>0</v>
      </c>
      <c r="AD50" s="269" t="n">
        <f aca="false">O50</f>
        <v>0</v>
      </c>
      <c r="AE50" s="270"/>
      <c r="AF50" s="242"/>
      <c r="AG50" s="271"/>
      <c r="AH50" s="41"/>
      <c r="AI50" s="272"/>
      <c r="AJ50" s="267" t="n">
        <f aca="false">U50</f>
        <v>0.2</v>
      </c>
      <c r="AK50" s="268" t="n">
        <f aca="false">V50</f>
        <v>0.6</v>
      </c>
      <c r="AL50" s="268" t="n">
        <f aca="false">W50</f>
        <v>0.15</v>
      </c>
      <c r="AM50" s="268" t="n">
        <f aca="false">X50</f>
        <v>0.05</v>
      </c>
      <c r="AN50" s="268" t="n">
        <f aca="false">Y50</f>
        <v>0</v>
      </c>
      <c r="AO50" s="268" t="n">
        <f aca="false">Z50</f>
        <v>0</v>
      </c>
      <c r="AP50" s="268" t="n">
        <f aca="false">AA50</f>
        <v>0</v>
      </c>
      <c r="AQ50" s="268" t="n">
        <f aca="false">AB50</f>
        <v>0</v>
      </c>
      <c r="AR50" s="268" t="n">
        <f aca="false">AC50</f>
        <v>0</v>
      </c>
      <c r="AS50" s="269" t="n">
        <f aca="false">AD50</f>
        <v>0</v>
      </c>
      <c r="AT50" s="15"/>
      <c r="AU50" s="242"/>
      <c r="AV50" s="271"/>
      <c r="AW50" s="41"/>
      <c r="AX50" s="272"/>
      <c r="AY50" s="267" t="n">
        <f aca="false">AJ50</f>
        <v>0.2</v>
      </c>
      <c r="AZ50" s="268" t="n">
        <f aca="false">AK50</f>
        <v>0.6</v>
      </c>
      <c r="BA50" s="268" t="n">
        <f aca="false">AL50</f>
        <v>0.15</v>
      </c>
      <c r="BB50" s="268" t="n">
        <f aca="false">AM50</f>
        <v>0.05</v>
      </c>
      <c r="BC50" s="268" t="n">
        <f aca="false">AN50</f>
        <v>0</v>
      </c>
      <c r="BD50" s="268" t="n">
        <f aca="false">AO50</f>
        <v>0</v>
      </c>
      <c r="BE50" s="268" t="n">
        <f aca="false">AP50</f>
        <v>0</v>
      </c>
      <c r="BF50" s="268" t="n">
        <f aca="false">AQ50</f>
        <v>0</v>
      </c>
      <c r="BG50" s="268" t="n">
        <f aca="false">AR50</f>
        <v>0</v>
      </c>
      <c r="BH50" s="269" t="n">
        <f aca="false">AS50</f>
        <v>0</v>
      </c>
      <c r="BI50" s="15"/>
      <c r="BJ50" s="242"/>
    </row>
    <row r="51" customFormat="false" ht="15.75" hidden="false" customHeight="false" outlineLevel="0" collapsed="false">
      <c r="A51" s="5"/>
      <c r="B51" s="273" t="s">
        <v>158</v>
      </c>
      <c r="C51" s="274" t="n">
        <f aca="false">COUNTIF(C5:C49,"&lt;5")</f>
        <v>4</v>
      </c>
      <c r="D51" s="8"/>
      <c r="E51" s="275"/>
      <c r="F51" s="276"/>
      <c r="G51" s="183"/>
      <c r="H51" s="183"/>
      <c r="I51" s="183"/>
      <c r="J51" s="183"/>
      <c r="K51" s="183"/>
      <c r="L51" s="183"/>
      <c r="M51" s="183"/>
      <c r="N51" s="183"/>
      <c r="O51" s="185"/>
      <c r="P51" s="277"/>
      <c r="Q51" s="242"/>
      <c r="R51" s="278"/>
      <c r="S51" s="279"/>
      <c r="T51" s="280" t="n">
        <f aca="false">SUMIF(U84:AD84,"&lt;&gt;0",U50:AD50)</f>
        <v>1</v>
      </c>
      <c r="U51" s="281" t="n">
        <f aca="false">IF(U84=0,0,U50/$T51)</f>
        <v>0.2</v>
      </c>
      <c r="V51" s="282" t="n">
        <f aca="false">IF(V84=0,0,V50/$T51)</f>
        <v>0.6</v>
      </c>
      <c r="W51" s="282" t="n">
        <f aca="false">IF(W84=0,0,W50/$T51)</f>
        <v>0.15</v>
      </c>
      <c r="X51" s="282" t="n">
        <f aca="false">IF(X84=0,0,X50/$T51)</f>
        <v>0.05</v>
      </c>
      <c r="Y51" s="282" t="n">
        <f aca="false">IF(Y84=0,0,Y50/$T51)</f>
        <v>0</v>
      </c>
      <c r="Z51" s="282" t="n">
        <f aca="false">IF(Z84=0,0,Z50/$T51)</f>
        <v>0</v>
      </c>
      <c r="AA51" s="282" t="n">
        <f aca="false">IF(AA84=0,0,AA50/$T51)</f>
        <v>0</v>
      </c>
      <c r="AB51" s="282" t="n">
        <f aca="false">IF(AB84=0,0,AB50/$T51)</f>
        <v>0</v>
      </c>
      <c r="AC51" s="282" t="n">
        <f aca="false">IF(AC84=0,0,AC50/$T51)</f>
        <v>0</v>
      </c>
      <c r="AD51" s="283" t="n">
        <f aca="false">IF(AD84=0,0,AD50/$T51)</f>
        <v>0</v>
      </c>
      <c r="AE51" s="277"/>
      <c r="AF51" s="242"/>
      <c r="AG51" s="278"/>
      <c r="AH51" s="279"/>
      <c r="AI51" s="280" t="n">
        <f aca="false">SUMIF(AJ84:AS84,"&lt;&gt;0",AJ50:AS50)</f>
        <v>0</v>
      </c>
      <c r="AJ51" s="281" t="n">
        <f aca="false">IF(AJ84=0,0,AJ50/$AI51)</f>
        <v>0</v>
      </c>
      <c r="AK51" s="282" t="n">
        <f aca="false">IF(AK84=0,0,AK50/$AI51)</f>
        <v>0</v>
      </c>
      <c r="AL51" s="282" t="n">
        <f aca="false">IF(AL84=0,0,AL50/$AI51)</f>
        <v>0</v>
      </c>
      <c r="AM51" s="282" t="n">
        <f aca="false">IF(AM84=0,0,AM50/$AI51)</f>
        <v>0</v>
      </c>
      <c r="AN51" s="282" t="n">
        <f aca="false">IF(AN84=0,0,AN50/$AI51)</f>
        <v>0</v>
      </c>
      <c r="AO51" s="282" t="n">
        <f aca="false">IF(AO84=0,0,AO50/$AI51)</f>
        <v>0</v>
      </c>
      <c r="AP51" s="282" t="n">
        <f aca="false">IF(AP84=0,0,AP50/$AI51)</f>
        <v>0</v>
      </c>
      <c r="AQ51" s="282" t="n">
        <f aca="false">IF(AQ84=0,0,AQ50/$AI51)</f>
        <v>0</v>
      </c>
      <c r="AR51" s="282" t="n">
        <f aca="false">IF(AR84=0,0,AR50/$AI51)</f>
        <v>0</v>
      </c>
      <c r="AS51" s="283" t="n">
        <f aca="false">IF(AS84=0,0,AS50/$AI51)</f>
        <v>0</v>
      </c>
      <c r="AT51" s="279"/>
      <c r="AU51" s="242"/>
      <c r="AV51" s="278"/>
      <c r="AW51" s="279"/>
      <c r="AX51" s="280" t="n">
        <f aca="false">SUMIF(AY84:BH84,"&lt;&gt;0",AY50:BH50)</f>
        <v>0</v>
      </c>
      <c r="AY51" s="281" t="n">
        <f aca="false">IF(AY84=0,0,AY50/$AX51)</f>
        <v>0</v>
      </c>
      <c r="AZ51" s="282" t="n">
        <f aca="false">IF(AZ84=0,0,AZ50/$AX51)</f>
        <v>0</v>
      </c>
      <c r="BA51" s="282" t="n">
        <f aca="false">IF(BA84=0,0,BA50/$AX51)</f>
        <v>0</v>
      </c>
      <c r="BB51" s="282" t="n">
        <f aca="false">IF(BB84=0,0,BB50/$AX51)</f>
        <v>0</v>
      </c>
      <c r="BC51" s="282" t="n">
        <f aca="false">IF(BC84=0,0,BC50/$AX51)</f>
        <v>0</v>
      </c>
      <c r="BD51" s="282" t="n">
        <f aca="false">IF(BD84=0,0,BD50/$AX51)</f>
        <v>0</v>
      </c>
      <c r="BE51" s="282" t="n">
        <f aca="false">IF(BE84=0,0,BE50/$AX51)</f>
        <v>0</v>
      </c>
      <c r="BF51" s="282" t="n">
        <f aca="false">IF(BF84=0,0,BF50/$AX51)</f>
        <v>0</v>
      </c>
      <c r="BG51" s="282" t="n">
        <f aca="false">IF(BG84=0,0,BG50/$AX51)</f>
        <v>0</v>
      </c>
      <c r="BH51" s="283" t="n">
        <f aca="false">IF(BH84=0,0,BH50/$AX51)</f>
        <v>0</v>
      </c>
      <c r="BI51" s="279"/>
      <c r="BJ51" s="242"/>
    </row>
    <row r="52" customFormat="false" ht="15" hidden="false" customHeight="false" outlineLevel="0" collapsed="false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</row>
    <row r="53" customFormat="false" ht="15.75" hidden="true" customHeight="false" outlineLevel="0" collapsed="false">
      <c r="U53" s="284" t="str">
        <f aca="false">U4</f>
        <v>RA1</v>
      </c>
      <c r="V53" s="284" t="str">
        <f aca="false">V4</f>
        <v>RA2</v>
      </c>
      <c r="W53" s="284" t="str">
        <f aca="false">W4</f>
        <v>RA3</v>
      </c>
      <c r="X53" s="284" t="str">
        <f aca="false">X4</f>
        <v>RA4</v>
      </c>
      <c r="Y53" s="284" t="str">
        <f aca="false">Y4</f>
        <v>RA5</v>
      </c>
      <c r="Z53" s="284" t="str">
        <f aca="false">Z4</f>
        <v>RA6</v>
      </c>
      <c r="AA53" s="284" t="str">
        <f aca="false">AA4</f>
        <v>RA7</v>
      </c>
      <c r="AB53" s="284" t="str">
        <f aca="false">AB4</f>
        <v>RA8</v>
      </c>
      <c r="AC53" s="284" t="str">
        <f aca="false">AC4</f>
        <v>RA9</v>
      </c>
      <c r="AD53" s="285" t="str">
        <f aca="false">AD4</f>
        <v>RA10</v>
      </c>
      <c r="AE53" s="9"/>
      <c r="AF53" s="9"/>
      <c r="AJ53" s="284" t="str">
        <f aca="false">AJ4</f>
        <v>RA1</v>
      </c>
      <c r="AK53" s="284" t="str">
        <f aca="false">AK4</f>
        <v>RA2</v>
      </c>
      <c r="AL53" s="284" t="str">
        <f aca="false">AL4</f>
        <v>RA3</v>
      </c>
      <c r="AM53" s="284" t="str">
        <f aca="false">AM4</f>
        <v>RA4</v>
      </c>
      <c r="AN53" s="284" t="str">
        <f aca="false">AN4</f>
        <v>RA5</v>
      </c>
      <c r="AO53" s="284" t="str">
        <f aca="false">AO4</f>
        <v>RA6</v>
      </c>
      <c r="AP53" s="284" t="str">
        <f aca="false">AP4</f>
        <v>RA7</v>
      </c>
      <c r="AQ53" s="284" t="str">
        <f aca="false">AQ4</f>
        <v>RA8</v>
      </c>
      <c r="AR53" s="284" t="str">
        <f aca="false">AR4</f>
        <v>RA9</v>
      </c>
      <c r="AS53" s="285" t="str">
        <f aca="false">AS4</f>
        <v>RA10</v>
      </c>
      <c r="AT53" s="9"/>
      <c r="AU53" s="9"/>
      <c r="AY53" s="284" t="str">
        <f aca="false">AY4</f>
        <v>RA1</v>
      </c>
      <c r="AZ53" s="284" t="str">
        <f aca="false">AZ4</f>
        <v>RA2</v>
      </c>
      <c r="BA53" s="284" t="str">
        <f aca="false">BA4</f>
        <v>RA3</v>
      </c>
      <c r="BB53" s="284" t="str">
        <f aca="false">BB4</f>
        <v>RA4</v>
      </c>
      <c r="BC53" s="284" t="str">
        <f aca="false">BC4</f>
        <v>RA5</v>
      </c>
      <c r="BD53" s="284" t="str">
        <f aca="false">BD4</f>
        <v>RA6</v>
      </c>
      <c r="BE53" s="284" t="str">
        <f aca="false">BE4</f>
        <v>RA7</v>
      </c>
      <c r="BF53" s="284" t="str">
        <f aca="false">BF4</f>
        <v>RA8</v>
      </c>
      <c r="BG53" s="284" t="str">
        <f aca="false">BG4</f>
        <v>RA9</v>
      </c>
      <c r="BH53" s="285" t="str">
        <f aca="false">BH4</f>
        <v>RA10</v>
      </c>
      <c r="BI53" s="9"/>
      <c r="BJ53" s="9"/>
    </row>
    <row r="54" customFormat="false" ht="15" hidden="true" customHeight="false" outlineLevel="0" collapsed="false">
      <c r="R54" s="205" t="str">
        <f aca="false">'Datos Iniciales'!E35</f>
        <v>Actividad1</v>
      </c>
      <c r="S54" s="205"/>
      <c r="T54" s="205"/>
      <c r="U54" s="286" t="n">
        <f aca="false">IF('Datos Iniciales'!$Q35=1,'Datos Iniciales'!F35,0)</f>
        <v>0.25</v>
      </c>
      <c r="V54" s="286" t="n">
        <f aca="false">IF('Datos Iniciales'!$Q35=1,'Datos Iniciales'!G35,0)</f>
        <v>0</v>
      </c>
      <c r="W54" s="286" t="n">
        <f aca="false">IF('Datos Iniciales'!$Q35=1,'Datos Iniciales'!H35,0)</f>
        <v>0</v>
      </c>
      <c r="X54" s="286" t="n">
        <f aca="false">IF('Datos Iniciales'!$Q35=1,'Datos Iniciales'!I35,0)</f>
        <v>0</v>
      </c>
      <c r="Y54" s="286" t="n">
        <f aca="false">IF('Datos Iniciales'!$Q35=1,'Datos Iniciales'!J35,0)</f>
        <v>0</v>
      </c>
      <c r="Z54" s="286" t="n">
        <f aca="false">IF('Datos Iniciales'!$Q35=1,'Datos Iniciales'!K35,0)</f>
        <v>0</v>
      </c>
      <c r="AA54" s="286" t="n">
        <f aca="false">IF('Datos Iniciales'!$Q35=1,'Datos Iniciales'!L35,0)</f>
        <v>0</v>
      </c>
      <c r="AB54" s="286" t="n">
        <f aca="false">IF('Datos Iniciales'!$Q35=1,'Datos Iniciales'!M35,0)</f>
        <v>0</v>
      </c>
      <c r="AC54" s="286" t="n">
        <f aca="false">IF('Datos Iniciales'!$Q35=1,'Datos Iniciales'!N35,0)</f>
        <v>0</v>
      </c>
      <c r="AD54" s="286" t="n">
        <f aca="false">IF('Datos Iniciales'!$Q35=1,'Datos Iniciales'!O35,0)</f>
        <v>0</v>
      </c>
      <c r="AE54" s="287"/>
      <c r="AF54" s="287"/>
      <c r="AG54" s="205" t="str">
        <f aca="false">R54</f>
        <v>Actividad1</v>
      </c>
      <c r="AH54" s="205"/>
      <c r="AJ54" s="286" t="n">
        <f aca="false">IF('Datos Iniciales'!$Q35=2,'Datos Iniciales'!F35,0)</f>
        <v>0</v>
      </c>
      <c r="AK54" s="286" t="n">
        <f aca="false">IF('Datos Iniciales'!$Q35=2,'Datos Iniciales'!G35,0)</f>
        <v>0</v>
      </c>
      <c r="AL54" s="286" t="n">
        <f aca="false">IF('Datos Iniciales'!$Q35=2,'Datos Iniciales'!H35,0)</f>
        <v>0</v>
      </c>
      <c r="AM54" s="286" t="n">
        <f aca="false">IF('Datos Iniciales'!$Q35=2,'Datos Iniciales'!I35,0)</f>
        <v>0</v>
      </c>
      <c r="AN54" s="286" t="n">
        <f aca="false">IF('Datos Iniciales'!$Q35=2,'Datos Iniciales'!J35,0)</f>
        <v>0</v>
      </c>
      <c r="AO54" s="286" t="n">
        <f aca="false">IF('Datos Iniciales'!$Q35=2,'Datos Iniciales'!K35,0)</f>
        <v>0</v>
      </c>
      <c r="AP54" s="286" t="n">
        <f aca="false">IF('Datos Iniciales'!$Q35=2,'Datos Iniciales'!L35,0)</f>
        <v>0</v>
      </c>
      <c r="AQ54" s="286" t="n">
        <f aca="false">IF('Datos Iniciales'!$Q35=2,'Datos Iniciales'!M35,0)</f>
        <v>0</v>
      </c>
      <c r="AR54" s="286" t="n">
        <f aca="false">IF('Datos Iniciales'!$Q35=2,'Datos Iniciales'!N35,0)</f>
        <v>0</v>
      </c>
      <c r="AS54" s="286" t="n">
        <f aca="false">IF('Datos Iniciales'!$Q35=2,'Datos Iniciales'!O35,0)</f>
        <v>0</v>
      </c>
      <c r="AT54" s="287"/>
      <c r="AU54" s="287"/>
      <c r="AV54" s="205" t="str">
        <f aca="false">AG54</f>
        <v>Actividad1</v>
      </c>
      <c r="AW54" s="205"/>
      <c r="AY54" s="286" t="n">
        <f aca="false">IF('Datos Iniciales'!$Q35=3,'Datos Iniciales'!F35,0)</f>
        <v>0</v>
      </c>
      <c r="AZ54" s="286" t="n">
        <f aca="false">IF('Datos Iniciales'!$Q35=3,'Datos Iniciales'!G35,0)</f>
        <v>0</v>
      </c>
      <c r="BA54" s="286" t="n">
        <f aca="false">IF('Datos Iniciales'!$Q35=3,'Datos Iniciales'!H35,0)</f>
        <v>0</v>
      </c>
      <c r="BB54" s="286" t="n">
        <f aca="false">IF('Datos Iniciales'!$Q35=3,'Datos Iniciales'!I35,0)</f>
        <v>0</v>
      </c>
      <c r="BC54" s="286" t="n">
        <f aca="false">IF('Datos Iniciales'!$Q35=3,'Datos Iniciales'!J35,0)</f>
        <v>0</v>
      </c>
      <c r="BD54" s="286" t="n">
        <f aca="false">IF('Datos Iniciales'!$Q35=3,'Datos Iniciales'!K35,0)</f>
        <v>0</v>
      </c>
      <c r="BE54" s="286" t="n">
        <f aca="false">IF('Datos Iniciales'!$Q35=3,'Datos Iniciales'!L35,0)</f>
        <v>0</v>
      </c>
      <c r="BF54" s="286" t="n">
        <f aca="false">IF('Datos Iniciales'!$Q35=3,'Datos Iniciales'!M35,0)</f>
        <v>0</v>
      </c>
      <c r="BG54" s="286" t="n">
        <f aca="false">IF('Datos Iniciales'!$Q35=3,'Datos Iniciales'!N35,0)</f>
        <v>0</v>
      </c>
      <c r="BH54" s="286" t="n">
        <f aca="false">IF('Datos Iniciales'!$Q35=3,'Datos Iniciales'!O35,0)</f>
        <v>0</v>
      </c>
      <c r="BI54" s="287"/>
      <c r="BJ54" s="287"/>
    </row>
    <row r="55" customFormat="false" ht="15" hidden="true" customHeight="false" outlineLevel="0" collapsed="false">
      <c r="R55" s="205" t="str">
        <f aca="false">'Datos Iniciales'!E36</f>
        <v>Actividad2</v>
      </c>
      <c r="S55" s="205"/>
      <c r="U55" s="287" t="n">
        <f aca="false">IF('Datos Iniciales'!$Q36=1,'Datos Iniciales'!F36,0)</f>
        <v>0.2</v>
      </c>
      <c r="V55" s="287" t="n">
        <f aca="false">IF('Datos Iniciales'!$Q36=1,'Datos Iniciales'!G36,0)</f>
        <v>0.2</v>
      </c>
      <c r="W55" s="287" t="n">
        <f aca="false">IF('Datos Iniciales'!$Q36=1,'Datos Iniciales'!H36,0)</f>
        <v>0</v>
      </c>
      <c r="X55" s="287" t="n">
        <f aca="false">IF('Datos Iniciales'!$Q36=1,'Datos Iniciales'!I36,0)</f>
        <v>0</v>
      </c>
      <c r="Y55" s="287" t="n">
        <f aca="false">IF('Datos Iniciales'!$Q36=1,'Datos Iniciales'!J36,0)</f>
        <v>0</v>
      </c>
      <c r="Z55" s="287" t="n">
        <f aca="false">IF('Datos Iniciales'!$Q36=1,'Datos Iniciales'!K36,0)</f>
        <v>0</v>
      </c>
      <c r="AA55" s="287" t="n">
        <f aca="false">IF('Datos Iniciales'!$Q36=1,'Datos Iniciales'!L36,0)</f>
        <v>0</v>
      </c>
      <c r="AB55" s="287" t="n">
        <f aca="false">IF('Datos Iniciales'!$Q36=1,'Datos Iniciales'!M36,0)</f>
        <v>0</v>
      </c>
      <c r="AC55" s="287" t="n">
        <f aca="false">IF('Datos Iniciales'!$Q36=1,'Datos Iniciales'!N36,0)</f>
        <v>0</v>
      </c>
      <c r="AD55" s="287" t="n">
        <f aca="false">IF('Datos Iniciales'!$Q36=1,'Datos Iniciales'!O36,0)</f>
        <v>0</v>
      </c>
      <c r="AE55" s="287"/>
      <c r="AF55" s="287"/>
      <c r="AG55" s="205" t="str">
        <f aca="false">R55</f>
        <v>Actividad2</v>
      </c>
      <c r="AH55" s="205"/>
      <c r="AJ55" s="287" t="n">
        <f aca="false">IF('Datos Iniciales'!$Q36=2,'Datos Iniciales'!F36,0)</f>
        <v>0</v>
      </c>
      <c r="AK55" s="287" t="n">
        <f aca="false">IF('Datos Iniciales'!$Q36=2,'Datos Iniciales'!G36,0)</f>
        <v>0</v>
      </c>
      <c r="AL55" s="287" t="n">
        <f aca="false">IF('Datos Iniciales'!$Q36=2,'Datos Iniciales'!H36,0)</f>
        <v>0</v>
      </c>
      <c r="AM55" s="287" t="n">
        <f aca="false">IF('Datos Iniciales'!$Q36=2,'Datos Iniciales'!I36,0)</f>
        <v>0</v>
      </c>
      <c r="AN55" s="287" t="n">
        <f aca="false">IF('Datos Iniciales'!$Q36=2,'Datos Iniciales'!J36,0)</f>
        <v>0</v>
      </c>
      <c r="AO55" s="287" t="n">
        <f aca="false">IF('Datos Iniciales'!$Q36=2,'Datos Iniciales'!K36,0)</f>
        <v>0</v>
      </c>
      <c r="AP55" s="287" t="n">
        <f aca="false">IF('Datos Iniciales'!$Q36=2,'Datos Iniciales'!L36,0)</f>
        <v>0</v>
      </c>
      <c r="AQ55" s="287" t="n">
        <f aca="false">IF('Datos Iniciales'!$Q36=2,'Datos Iniciales'!M36,0)</f>
        <v>0</v>
      </c>
      <c r="AR55" s="287" t="n">
        <f aca="false">IF('Datos Iniciales'!$Q36=2,'Datos Iniciales'!N36,0)</f>
        <v>0</v>
      </c>
      <c r="AS55" s="287" t="n">
        <f aca="false">IF('Datos Iniciales'!$Q36=2,'Datos Iniciales'!O36,0)</f>
        <v>0</v>
      </c>
      <c r="AT55" s="287"/>
      <c r="AU55" s="287"/>
      <c r="AV55" s="205" t="str">
        <f aca="false">AG55</f>
        <v>Actividad2</v>
      </c>
      <c r="AW55" s="205"/>
      <c r="AY55" s="287" t="n">
        <f aca="false">IF('Datos Iniciales'!$Q36=3,'Datos Iniciales'!F36,0)</f>
        <v>0</v>
      </c>
      <c r="AZ55" s="287" t="n">
        <f aca="false">IF('Datos Iniciales'!$Q36=3,'Datos Iniciales'!G36,0)</f>
        <v>0</v>
      </c>
      <c r="BA55" s="287" t="n">
        <f aca="false">IF('Datos Iniciales'!$Q36=3,'Datos Iniciales'!H36,0)</f>
        <v>0</v>
      </c>
      <c r="BB55" s="287" t="n">
        <f aca="false">IF('Datos Iniciales'!$Q36=3,'Datos Iniciales'!I36,0)</f>
        <v>0</v>
      </c>
      <c r="BC55" s="287" t="n">
        <f aca="false">IF('Datos Iniciales'!$Q36=3,'Datos Iniciales'!J36,0)</f>
        <v>0</v>
      </c>
      <c r="BD55" s="287" t="n">
        <f aca="false">IF('Datos Iniciales'!$Q36=3,'Datos Iniciales'!K36,0)</f>
        <v>0</v>
      </c>
      <c r="BE55" s="287" t="n">
        <f aca="false">IF('Datos Iniciales'!$Q36=3,'Datos Iniciales'!L36,0)</f>
        <v>0</v>
      </c>
      <c r="BF55" s="287" t="n">
        <f aca="false">IF('Datos Iniciales'!$Q36=3,'Datos Iniciales'!M36,0)</f>
        <v>0</v>
      </c>
      <c r="BG55" s="287" t="n">
        <f aca="false">IF('Datos Iniciales'!$Q36=3,'Datos Iniciales'!N36,0)</f>
        <v>0</v>
      </c>
      <c r="BH55" s="287" t="n">
        <f aca="false">IF('Datos Iniciales'!$Q36=3,'Datos Iniciales'!O36,0)</f>
        <v>0</v>
      </c>
      <c r="BI55" s="287"/>
      <c r="BJ55" s="287"/>
    </row>
    <row r="56" customFormat="false" ht="15" hidden="true" customHeight="false" outlineLevel="0" collapsed="false">
      <c r="R56" s="205" t="str">
        <f aca="false">'Datos Iniciales'!E37</f>
        <v>Actividad3</v>
      </c>
      <c r="S56" s="205"/>
      <c r="U56" s="287" t="n">
        <f aca="false">IF('Datos Iniciales'!$Q37=1,'Datos Iniciales'!F37,0)</f>
        <v>0.3</v>
      </c>
      <c r="V56" s="287" t="n">
        <f aca="false">IF('Datos Iniciales'!$Q37=1,'Datos Iniciales'!G37,0)</f>
        <v>0.2</v>
      </c>
      <c r="W56" s="287" t="n">
        <f aca="false">IF('Datos Iniciales'!$Q37=1,'Datos Iniciales'!H37,0)</f>
        <v>0.1</v>
      </c>
      <c r="X56" s="287" t="n">
        <f aca="false">IF('Datos Iniciales'!$Q37=1,'Datos Iniciales'!I37,0)</f>
        <v>0</v>
      </c>
      <c r="Y56" s="287" t="n">
        <f aca="false">IF('Datos Iniciales'!$Q37=1,'Datos Iniciales'!J37,0)</f>
        <v>0</v>
      </c>
      <c r="Z56" s="287" t="n">
        <f aca="false">IF('Datos Iniciales'!$Q37=1,'Datos Iniciales'!K37,0)</f>
        <v>0</v>
      </c>
      <c r="AA56" s="287" t="n">
        <f aca="false">IF('Datos Iniciales'!$Q37=1,'Datos Iniciales'!L37,0)</f>
        <v>0</v>
      </c>
      <c r="AB56" s="287" t="n">
        <f aca="false">IF('Datos Iniciales'!$Q37=1,'Datos Iniciales'!M37,0)</f>
        <v>0</v>
      </c>
      <c r="AC56" s="287" t="n">
        <f aca="false">IF('Datos Iniciales'!$Q37=1,'Datos Iniciales'!N37,0)</f>
        <v>0</v>
      </c>
      <c r="AD56" s="287" t="n">
        <f aca="false">IF('Datos Iniciales'!$Q37=1,'Datos Iniciales'!O37,0)</f>
        <v>0</v>
      </c>
      <c r="AE56" s="287"/>
      <c r="AF56" s="287"/>
      <c r="AG56" s="205" t="str">
        <f aca="false">R56</f>
        <v>Actividad3</v>
      </c>
      <c r="AH56" s="205"/>
      <c r="AJ56" s="287" t="n">
        <f aca="false">IF('Datos Iniciales'!$Q37=2,'Datos Iniciales'!F37,0)</f>
        <v>0</v>
      </c>
      <c r="AK56" s="287" t="n">
        <f aca="false">IF('Datos Iniciales'!$Q37=2,'Datos Iniciales'!G37,0)</f>
        <v>0</v>
      </c>
      <c r="AL56" s="287" t="n">
        <f aca="false">IF('Datos Iniciales'!$Q37=2,'Datos Iniciales'!H37,0)</f>
        <v>0</v>
      </c>
      <c r="AM56" s="287" t="n">
        <f aca="false">IF('Datos Iniciales'!$Q37=2,'Datos Iniciales'!I37,0)</f>
        <v>0</v>
      </c>
      <c r="AN56" s="287" t="n">
        <f aca="false">IF('Datos Iniciales'!$Q37=2,'Datos Iniciales'!J37,0)</f>
        <v>0</v>
      </c>
      <c r="AO56" s="287" t="n">
        <f aca="false">IF('Datos Iniciales'!$Q37=2,'Datos Iniciales'!K37,0)</f>
        <v>0</v>
      </c>
      <c r="AP56" s="287" t="n">
        <f aca="false">IF('Datos Iniciales'!$Q37=2,'Datos Iniciales'!L37,0)</f>
        <v>0</v>
      </c>
      <c r="AQ56" s="287" t="n">
        <f aca="false">IF('Datos Iniciales'!$Q37=2,'Datos Iniciales'!M37,0)</f>
        <v>0</v>
      </c>
      <c r="AR56" s="287" t="n">
        <f aca="false">IF('Datos Iniciales'!$Q37=2,'Datos Iniciales'!N37,0)</f>
        <v>0</v>
      </c>
      <c r="AS56" s="287" t="n">
        <f aca="false">IF('Datos Iniciales'!$Q37=2,'Datos Iniciales'!O37,0)</f>
        <v>0</v>
      </c>
      <c r="AT56" s="287"/>
      <c r="AU56" s="287"/>
      <c r="AV56" s="205" t="str">
        <f aca="false">AG56</f>
        <v>Actividad3</v>
      </c>
      <c r="AW56" s="205"/>
      <c r="AY56" s="287" t="n">
        <f aca="false">IF('Datos Iniciales'!$Q37=3,'Datos Iniciales'!F37,0)</f>
        <v>0</v>
      </c>
      <c r="AZ56" s="287" t="n">
        <f aca="false">IF('Datos Iniciales'!$Q37=3,'Datos Iniciales'!G37,0)</f>
        <v>0</v>
      </c>
      <c r="BA56" s="287" t="n">
        <f aca="false">IF('Datos Iniciales'!$Q37=3,'Datos Iniciales'!H37,0)</f>
        <v>0</v>
      </c>
      <c r="BB56" s="287" t="n">
        <f aca="false">IF('Datos Iniciales'!$Q37=3,'Datos Iniciales'!I37,0)</f>
        <v>0</v>
      </c>
      <c r="BC56" s="287" t="n">
        <f aca="false">IF('Datos Iniciales'!$Q37=3,'Datos Iniciales'!J37,0)</f>
        <v>0</v>
      </c>
      <c r="BD56" s="287" t="n">
        <f aca="false">IF('Datos Iniciales'!$Q37=3,'Datos Iniciales'!K37,0)</f>
        <v>0</v>
      </c>
      <c r="BE56" s="287" t="n">
        <f aca="false">IF('Datos Iniciales'!$Q37=3,'Datos Iniciales'!L37,0)</f>
        <v>0</v>
      </c>
      <c r="BF56" s="287" t="n">
        <f aca="false">IF('Datos Iniciales'!$Q37=3,'Datos Iniciales'!M37,0)</f>
        <v>0</v>
      </c>
      <c r="BG56" s="287" t="n">
        <f aca="false">IF('Datos Iniciales'!$Q37=3,'Datos Iniciales'!N37,0)</f>
        <v>0</v>
      </c>
      <c r="BH56" s="287" t="n">
        <f aca="false">IF('Datos Iniciales'!$Q37=3,'Datos Iniciales'!O37,0)</f>
        <v>0</v>
      </c>
      <c r="BI56" s="287"/>
      <c r="BJ56" s="287"/>
    </row>
    <row r="57" customFormat="false" ht="15" hidden="true" customHeight="false" outlineLevel="0" collapsed="false">
      <c r="R57" s="205" t="str">
        <f aca="false">'Datos Iniciales'!E38</f>
        <v>Actividad4</v>
      </c>
      <c r="S57" s="205"/>
      <c r="U57" s="287" t="n">
        <f aca="false">IF('Datos Iniciales'!$Q38=1,'Datos Iniciales'!F38,0)</f>
        <v>0.1</v>
      </c>
      <c r="V57" s="287" t="n">
        <f aca="false">IF('Datos Iniciales'!$Q38=1,'Datos Iniciales'!G38,0)</f>
        <v>0.3</v>
      </c>
      <c r="W57" s="287" t="n">
        <f aca="false">IF('Datos Iniciales'!$Q38=1,'Datos Iniciales'!H38,0)</f>
        <v>0.35</v>
      </c>
      <c r="X57" s="287" t="n">
        <f aca="false">IF('Datos Iniciales'!$Q38=1,'Datos Iniciales'!I38,0)</f>
        <v>0</v>
      </c>
      <c r="Y57" s="287" t="n">
        <f aca="false">IF('Datos Iniciales'!$Q38=1,'Datos Iniciales'!J38,0)</f>
        <v>0</v>
      </c>
      <c r="Z57" s="287" t="n">
        <f aca="false">IF('Datos Iniciales'!$Q38=1,'Datos Iniciales'!K38,0)</f>
        <v>0</v>
      </c>
      <c r="AA57" s="287" t="n">
        <f aca="false">IF('Datos Iniciales'!$Q38=1,'Datos Iniciales'!L38,0)</f>
        <v>0</v>
      </c>
      <c r="AB57" s="287" t="n">
        <f aca="false">IF('Datos Iniciales'!$Q38=1,'Datos Iniciales'!M38,0)</f>
        <v>0</v>
      </c>
      <c r="AC57" s="287" t="n">
        <f aca="false">IF('Datos Iniciales'!$Q38=1,'Datos Iniciales'!N38,0)</f>
        <v>0</v>
      </c>
      <c r="AD57" s="287" t="n">
        <f aca="false">IF('Datos Iniciales'!$Q38=1,'Datos Iniciales'!O38,0)</f>
        <v>0</v>
      </c>
      <c r="AE57" s="287"/>
      <c r="AF57" s="287"/>
      <c r="AG57" s="205" t="str">
        <f aca="false">R57</f>
        <v>Actividad4</v>
      </c>
      <c r="AH57" s="205"/>
      <c r="AJ57" s="287" t="n">
        <f aca="false">IF('Datos Iniciales'!$Q38=2,'Datos Iniciales'!F38,0)</f>
        <v>0</v>
      </c>
      <c r="AK57" s="287" t="n">
        <f aca="false">IF('Datos Iniciales'!$Q38=2,'Datos Iniciales'!G38,0)</f>
        <v>0</v>
      </c>
      <c r="AL57" s="287" t="n">
        <f aca="false">IF('Datos Iniciales'!$Q38=2,'Datos Iniciales'!H38,0)</f>
        <v>0</v>
      </c>
      <c r="AM57" s="287" t="n">
        <f aca="false">IF('Datos Iniciales'!$Q38=2,'Datos Iniciales'!I38,0)</f>
        <v>0</v>
      </c>
      <c r="AN57" s="287" t="n">
        <f aca="false">IF('Datos Iniciales'!$Q38=2,'Datos Iniciales'!J38,0)</f>
        <v>0</v>
      </c>
      <c r="AO57" s="287" t="n">
        <f aca="false">IF('Datos Iniciales'!$Q38=2,'Datos Iniciales'!K38,0)</f>
        <v>0</v>
      </c>
      <c r="AP57" s="287" t="n">
        <f aca="false">IF('Datos Iniciales'!$Q38=2,'Datos Iniciales'!L38,0)</f>
        <v>0</v>
      </c>
      <c r="AQ57" s="287" t="n">
        <f aca="false">IF('Datos Iniciales'!$Q38=2,'Datos Iniciales'!M38,0)</f>
        <v>0</v>
      </c>
      <c r="AR57" s="287" t="n">
        <f aca="false">IF('Datos Iniciales'!$Q38=2,'Datos Iniciales'!N38,0)</f>
        <v>0</v>
      </c>
      <c r="AS57" s="287" t="n">
        <f aca="false">IF('Datos Iniciales'!$Q38=2,'Datos Iniciales'!O38,0)</f>
        <v>0</v>
      </c>
      <c r="AT57" s="287"/>
      <c r="AU57" s="287"/>
      <c r="AV57" s="205" t="str">
        <f aca="false">AG57</f>
        <v>Actividad4</v>
      </c>
      <c r="AW57" s="205"/>
      <c r="AY57" s="287" t="n">
        <f aca="false">IF('Datos Iniciales'!$Q38=3,'Datos Iniciales'!F38,0)</f>
        <v>0</v>
      </c>
      <c r="AZ57" s="287" t="n">
        <f aca="false">IF('Datos Iniciales'!$Q38=3,'Datos Iniciales'!G38,0)</f>
        <v>0</v>
      </c>
      <c r="BA57" s="287" t="n">
        <f aca="false">IF('Datos Iniciales'!$Q38=3,'Datos Iniciales'!H38,0)</f>
        <v>0</v>
      </c>
      <c r="BB57" s="287" t="n">
        <f aca="false">IF('Datos Iniciales'!$Q38=3,'Datos Iniciales'!I38,0)</f>
        <v>0</v>
      </c>
      <c r="BC57" s="287" t="n">
        <f aca="false">IF('Datos Iniciales'!$Q38=3,'Datos Iniciales'!J38,0)</f>
        <v>0</v>
      </c>
      <c r="BD57" s="287" t="n">
        <f aca="false">IF('Datos Iniciales'!$Q38=3,'Datos Iniciales'!K38,0)</f>
        <v>0</v>
      </c>
      <c r="BE57" s="287" t="n">
        <f aca="false">IF('Datos Iniciales'!$Q38=3,'Datos Iniciales'!L38,0)</f>
        <v>0</v>
      </c>
      <c r="BF57" s="287" t="n">
        <f aca="false">IF('Datos Iniciales'!$Q38=3,'Datos Iniciales'!M38,0)</f>
        <v>0</v>
      </c>
      <c r="BG57" s="287" t="n">
        <f aca="false">IF('Datos Iniciales'!$Q38=3,'Datos Iniciales'!N38,0)</f>
        <v>0</v>
      </c>
      <c r="BH57" s="287" t="n">
        <f aca="false">IF('Datos Iniciales'!$Q38=3,'Datos Iniciales'!O38,0)</f>
        <v>0</v>
      </c>
      <c r="BI57" s="287"/>
      <c r="BJ57" s="287"/>
    </row>
    <row r="58" customFormat="false" ht="15" hidden="true" customHeight="false" outlineLevel="0" collapsed="false">
      <c r="R58" s="205" t="str">
        <f aca="false">'Datos Iniciales'!E39</f>
        <v>Actividad5</v>
      </c>
      <c r="S58" s="205"/>
      <c r="U58" s="287" t="n">
        <f aca="false">IF('Datos Iniciales'!$Q39=1,'Datos Iniciales'!F39,0)</f>
        <v>0.05</v>
      </c>
      <c r="V58" s="287" t="n">
        <f aca="false">IF('Datos Iniciales'!$Q39=1,'Datos Iniciales'!G39,0)</f>
        <v>0.1</v>
      </c>
      <c r="W58" s="287" t="n">
        <f aca="false">IF('Datos Iniciales'!$Q39=1,'Datos Iniciales'!H39,0)</f>
        <v>0.3</v>
      </c>
      <c r="X58" s="287" t="n">
        <f aca="false">IF('Datos Iniciales'!$Q39=1,'Datos Iniciales'!I39,0)</f>
        <v>0.1</v>
      </c>
      <c r="Y58" s="287" t="n">
        <f aca="false">IF('Datos Iniciales'!$Q39=1,'Datos Iniciales'!J39,0)</f>
        <v>0</v>
      </c>
      <c r="Z58" s="287" t="n">
        <f aca="false">IF('Datos Iniciales'!$Q39=1,'Datos Iniciales'!K39,0)</f>
        <v>0</v>
      </c>
      <c r="AA58" s="287" t="n">
        <f aca="false">IF('Datos Iniciales'!$Q39=1,'Datos Iniciales'!L39,0)</f>
        <v>0</v>
      </c>
      <c r="AB58" s="287" t="n">
        <f aca="false">IF('Datos Iniciales'!$Q39=1,'Datos Iniciales'!M39,0)</f>
        <v>0</v>
      </c>
      <c r="AC58" s="287" t="n">
        <f aca="false">IF('Datos Iniciales'!$Q39=1,'Datos Iniciales'!N39,0)</f>
        <v>0</v>
      </c>
      <c r="AD58" s="287" t="n">
        <f aca="false">IF('Datos Iniciales'!$Q39=1,'Datos Iniciales'!O39,0)</f>
        <v>0</v>
      </c>
      <c r="AE58" s="287"/>
      <c r="AF58" s="287"/>
      <c r="AG58" s="205" t="str">
        <f aca="false">R58</f>
        <v>Actividad5</v>
      </c>
      <c r="AH58" s="205"/>
      <c r="AJ58" s="287" t="n">
        <f aca="false">IF('Datos Iniciales'!$Q39=2,'Datos Iniciales'!F39,0)</f>
        <v>0</v>
      </c>
      <c r="AK58" s="287" t="n">
        <f aca="false">IF('Datos Iniciales'!$Q39=2,'Datos Iniciales'!G39,0)</f>
        <v>0</v>
      </c>
      <c r="AL58" s="287" t="n">
        <f aca="false">IF('Datos Iniciales'!$Q39=2,'Datos Iniciales'!H39,0)</f>
        <v>0</v>
      </c>
      <c r="AM58" s="287" t="n">
        <f aca="false">IF('Datos Iniciales'!$Q39=2,'Datos Iniciales'!I39,0)</f>
        <v>0</v>
      </c>
      <c r="AN58" s="287" t="n">
        <f aca="false">IF('Datos Iniciales'!$Q39=2,'Datos Iniciales'!J39,0)</f>
        <v>0</v>
      </c>
      <c r="AO58" s="287" t="n">
        <f aca="false">IF('Datos Iniciales'!$Q39=2,'Datos Iniciales'!K39,0)</f>
        <v>0</v>
      </c>
      <c r="AP58" s="287" t="n">
        <f aca="false">IF('Datos Iniciales'!$Q39=2,'Datos Iniciales'!L39,0)</f>
        <v>0</v>
      </c>
      <c r="AQ58" s="287" t="n">
        <f aca="false">IF('Datos Iniciales'!$Q39=2,'Datos Iniciales'!M39,0)</f>
        <v>0</v>
      </c>
      <c r="AR58" s="287" t="n">
        <f aca="false">IF('Datos Iniciales'!$Q39=2,'Datos Iniciales'!N39,0)</f>
        <v>0</v>
      </c>
      <c r="AS58" s="287" t="n">
        <f aca="false">IF('Datos Iniciales'!$Q39=2,'Datos Iniciales'!O39,0)</f>
        <v>0</v>
      </c>
      <c r="AT58" s="287"/>
      <c r="AU58" s="287"/>
      <c r="AV58" s="205" t="str">
        <f aca="false">AG58</f>
        <v>Actividad5</v>
      </c>
      <c r="AW58" s="205"/>
      <c r="AY58" s="287" t="n">
        <f aca="false">IF('Datos Iniciales'!$Q39=3,'Datos Iniciales'!F39,0)</f>
        <v>0</v>
      </c>
      <c r="AZ58" s="287" t="n">
        <f aca="false">IF('Datos Iniciales'!$Q39=3,'Datos Iniciales'!G39,0)</f>
        <v>0</v>
      </c>
      <c r="BA58" s="287" t="n">
        <f aca="false">IF('Datos Iniciales'!$Q39=3,'Datos Iniciales'!H39,0)</f>
        <v>0</v>
      </c>
      <c r="BB58" s="287" t="n">
        <f aca="false">IF('Datos Iniciales'!$Q39=3,'Datos Iniciales'!I39,0)</f>
        <v>0</v>
      </c>
      <c r="BC58" s="287" t="n">
        <f aca="false">IF('Datos Iniciales'!$Q39=3,'Datos Iniciales'!J39,0)</f>
        <v>0</v>
      </c>
      <c r="BD58" s="287" t="n">
        <f aca="false">IF('Datos Iniciales'!$Q39=3,'Datos Iniciales'!K39,0)</f>
        <v>0</v>
      </c>
      <c r="BE58" s="287" t="n">
        <f aca="false">IF('Datos Iniciales'!$Q39=3,'Datos Iniciales'!L39,0)</f>
        <v>0</v>
      </c>
      <c r="BF58" s="287" t="n">
        <f aca="false">IF('Datos Iniciales'!$Q39=3,'Datos Iniciales'!M39,0)</f>
        <v>0</v>
      </c>
      <c r="BG58" s="287" t="n">
        <f aca="false">IF('Datos Iniciales'!$Q39=3,'Datos Iniciales'!N39,0)</f>
        <v>0</v>
      </c>
      <c r="BH58" s="287" t="n">
        <f aca="false">IF('Datos Iniciales'!$Q39=3,'Datos Iniciales'!O39,0)</f>
        <v>0</v>
      </c>
      <c r="BI58" s="287"/>
      <c r="BJ58" s="287"/>
    </row>
    <row r="59" customFormat="false" ht="15" hidden="true" customHeight="false" outlineLevel="0" collapsed="false">
      <c r="R59" s="205" t="str">
        <f aca="false">'Datos Iniciales'!E40</f>
        <v>Actividad6</v>
      </c>
      <c r="S59" s="205"/>
      <c r="U59" s="287" t="n">
        <f aca="false">IF('Datos Iniciales'!$Q40=1,'Datos Iniciales'!F40,0)</f>
        <v>0.1</v>
      </c>
      <c r="V59" s="287" t="n">
        <f aca="false">IF('Datos Iniciales'!$Q40=1,'Datos Iniciales'!G40,0)</f>
        <v>0.15</v>
      </c>
      <c r="W59" s="287" t="n">
        <f aca="false">IF('Datos Iniciales'!$Q40=1,'Datos Iniciales'!H40,0)</f>
        <v>0.1</v>
      </c>
      <c r="X59" s="287" t="n">
        <f aca="false">IF('Datos Iniciales'!$Q40=1,'Datos Iniciales'!I40,0)</f>
        <v>0.4</v>
      </c>
      <c r="Y59" s="287" t="n">
        <f aca="false">IF('Datos Iniciales'!$Q40=1,'Datos Iniciales'!J40,0)</f>
        <v>0</v>
      </c>
      <c r="Z59" s="287" t="n">
        <f aca="false">IF('Datos Iniciales'!$Q40=1,'Datos Iniciales'!K40,0)</f>
        <v>0</v>
      </c>
      <c r="AA59" s="287" t="n">
        <f aca="false">IF('Datos Iniciales'!$Q40=1,'Datos Iniciales'!L40,0)</f>
        <v>0</v>
      </c>
      <c r="AB59" s="287" t="n">
        <f aca="false">IF('Datos Iniciales'!$Q40=1,'Datos Iniciales'!M40,0)</f>
        <v>0</v>
      </c>
      <c r="AC59" s="287" t="n">
        <f aca="false">IF('Datos Iniciales'!$Q40=1,'Datos Iniciales'!N40,0)</f>
        <v>0</v>
      </c>
      <c r="AD59" s="287" t="n">
        <f aca="false">IF('Datos Iniciales'!$Q40=1,'Datos Iniciales'!O40,0)</f>
        <v>0</v>
      </c>
      <c r="AE59" s="287"/>
      <c r="AF59" s="287"/>
      <c r="AG59" s="205" t="str">
        <f aca="false">R59</f>
        <v>Actividad6</v>
      </c>
      <c r="AH59" s="205"/>
      <c r="AJ59" s="287" t="n">
        <f aca="false">IF('Datos Iniciales'!$Q40=2,'Datos Iniciales'!F40,0)</f>
        <v>0</v>
      </c>
      <c r="AK59" s="287" t="n">
        <f aca="false">IF('Datos Iniciales'!$Q40=2,'Datos Iniciales'!G40,0)</f>
        <v>0</v>
      </c>
      <c r="AL59" s="287" t="n">
        <f aca="false">IF('Datos Iniciales'!$Q40=2,'Datos Iniciales'!H40,0)</f>
        <v>0</v>
      </c>
      <c r="AM59" s="287" t="n">
        <f aca="false">IF('Datos Iniciales'!$Q40=2,'Datos Iniciales'!I40,0)</f>
        <v>0</v>
      </c>
      <c r="AN59" s="287" t="n">
        <f aca="false">IF('Datos Iniciales'!$Q40=2,'Datos Iniciales'!J40,0)</f>
        <v>0</v>
      </c>
      <c r="AO59" s="287" t="n">
        <f aca="false">IF('Datos Iniciales'!$Q40=2,'Datos Iniciales'!K40,0)</f>
        <v>0</v>
      </c>
      <c r="AP59" s="287" t="n">
        <f aca="false">IF('Datos Iniciales'!$Q40=2,'Datos Iniciales'!L40,0)</f>
        <v>0</v>
      </c>
      <c r="AQ59" s="287" t="n">
        <f aca="false">IF('Datos Iniciales'!$Q40=2,'Datos Iniciales'!M40,0)</f>
        <v>0</v>
      </c>
      <c r="AR59" s="287" t="n">
        <f aca="false">IF('Datos Iniciales'!$Q40=2,'Datos Iniciales'!N40,0)</f>
        <v>0</v>
      </c>
      <c r="AS59" s="287" t="n">
        <f aca="false">IF('Datos Iniciales'!$Q40=2,'Datos Iniciales'!O40,0)</f>
        <v>0</v>
      </c>
      <c r="AT59" s="287"/>
      <c r="AU59" s="287"/>
      <c r="AV59" s="205" t="str">
        <f aca="false">AG59</f>
        <v>Actividad6</v>
      </c>
      <c r="AW59" s="205"/>
      <c r="AY59" s="287" t="n">
        <f aca="false">IF('Datos Iniciales'!$Q40=3,'Datos Iniciales'!F40,0)</f>
        <v>0</v>
      </c>
      <c r="AZ59" s="287" t="n">
        <f aca="false">IF('Datos Iniciales'!$Q40=3,'Datos Iniciales'!G40,0)</f>
        <v>0</v>
      </c>
      <c r="BA59" s="287" t="n">
        <f aca="false">IF('Datos Iniciales'!$Q40=3,'Datos Iniciales'!H40,0)</f>
        <v>0</v>
      </c>
      <c r="BB59" s="287" t="n">
        <f aca="false">IF('Datos Iniciales'!$Q40=3,'Datos Iniciales'!I40,0)</f>
        <v>0</v>
      </c>
      <c r="BC59" s="287" t="n">
        <f aca="false">IF('Datos Iniciales'!$Q40=3,'Datos Iniciales'!J40,0)</f>
        <v>0</v>
      </c>
      <c r="BD59" s="287" t="n">
        <f aca="false">IF('Datos Iniciales'!$Q40=3,'Datos Iniciales'!K40,0)</f>
        <v>0</v>
      </c>
      <c r="BE59" s="287" t="n">
        <f aca="false">IF('Datos Iniciales'!$Q40=3,'Datos Iniciales'!L40,0)</f>
        <v>0</v>
      </c>
      <c r="BF59" s="287" t="n">
        <f aca="false">IF('Datos Iniciales'!$Q40=3,'Datos Iniciales'!M40,0)</f>
        <v>0</v>
      </c>
      <c r="BG59" s="287" t="n">
        <f aca="false">IF('Datos Iniciales'!$Q40=3,'Datos Iniciales'!N40,0)</f>
        <v>0</v>
      </c>
      <c r="BH59" s="287" t="n">
        <f aca="false">IF('Datos Iniciales'!$Q40=3,'Datos Iniciales'!O40,0)</f>
        <v>0</v>
      </c>
      <c r="BI59" s="287"/>
      <c r="BJ59" s="287"/>
    </row>
    <row r="60" customFormat="false" ht="15" hidden="true" customHeight="false" outlineLevel="0" collapsed="false">
      <c r="R60" s="205" t="str">
        <f aca="false">'Datos Iniciales'!E41</f>
        <v>Actividad7</v>
      </c>
      <c r="S60" s="205"/>
      <c r="U60" s="287" t="n">
        <f aca="false">IF('Datos Iniciales'!$Q41=1,'Datos Iniciales'!F41,0)</f>
        <v>0</v>
      </c>
      <c r="V60" s="287" t="n">
        <f aca="false">IF('Datos Iniciales'!$Q41=1,'Datos Iniciales'!G41,0)</f>
        <v>0.05</v>
      </c>
      <c r="W60" s="287" t="n">
        <f aca="false">IF('Datos Iniciales'!$Q41=1,'Datos Iniciales'!H41,0)</f>
        <v>0.15</v>
      </c>
      <c r="X60" s="287" t="n">
        <f aca="false">IF('Datos Iniciales'!$Q41=1,'Datos Iniciales'!I41,0)</f>
        <v>0.5</v>
      </c>
      <c r="Y60" s="287" t="n">
        <f aca="false">IF('Datos Iniciales'!$Q41=1,'Datos Iniciales'!J41,0)</f>
        <v>0</v>
      </c>
      <c r="Z60" s="287" t="n">
        <f aca="false">IF('Datos Iniciales'!$Q41=1,'Datos Iniciales'!K41,0)</f>
        <v>0</v>
      </c>
      <c r="AA60" s="287" t="n">
        <f aca="false">IF('Datos Iniciales'!$Q41=1,'Datos Iniciales'!L41,0)</f>
        <v>0</v>
      </c>
      <c r="AB60" s="287" t="n">
        <f aca="false">IF('Datos Iniciales'!$Q41=1,'Datos Iniciales'!M41,0)</f>
        <v>0</v>
      </c>
      <c r="AC60" s="287" t="n">
        <f aca="false">IF('Datos Iniciales'!$Q41=1,'Datos Iniciales'!N41,0)</f>
        <v>0</v>
      </c>
      <c r="AD60" s="287" t="n">
        <f aca="false">IF('Datos Iniciales'!$Q41=1,'Datos Iniciales'!O41,0)</f>
        <v>0</v>
      </c>
      <c r="AE60" s="287"/>
      <c r="AF60" s="287"/>
      <c r="AG60" s="205" t="str">
        <f aca="false">R60</f>
        <v>Actividad7</v>
      </c>
      <c r="AH60" s="205"/>
      <c r="AJ60" s="287" t="n">
        <f aca="false">IF('Datos Iniciales'!$Q41=2,'Datos Iniciales'!F41,0)</f>
        <v>0</v>
      </c>
      <c r="AK60" s="287" t="n">
        <f aca="false">IF('Datos Iniciales'!$Q41=2,'Datos Iniciales'!G41,0)</f>
        <v>0</v>
      </c>
      <c r="AL60" s="287" t="n">
        <f aca="false">IF('Datos Iniciales'!$Q41=2,'Datos Iniciales'!H41,0)</f>
        <v>0</v>
      </c>
      <c r="AM60" s="287" t="n">
        <f aca="false">IF('Datos Iniciales'!$Q41=2,'Datos Iniciales'!I41,0)</f>
        <v>0</v>
      </c>
      <c r="AN60" s="287" t="n">
        <f aca="false">IF('Datos Iniciales'!$Q41=2,'Datos Iniciales'!J41,0)</f>
        <v>0</v>
      </c>
      <c r="AO60" s="287" t="n">
        <f aca="false">IF('Datos Iniciales'!$Q41=2,'Datos Iniciales'!K41,0)</f>
        <v>0</v>
      </c>
      <c r="AP60" s="287" t="n">
        <f aca="false">IF('Datos Iniciales'!$Q41=2,'Datos Iniciales'!L41,0)</f>
        <v>0</v>
      </c>
      <c r="AQ60" s="287" t="n">
        <f aca="false">IF('Datos Iniciales'!$Q41=2,'Datos Iniciales'!M41,0)</f>
        <v>0</v>
      </c>
      <c r="AR60" s="287" t="n">
        <f aca="false">IF('Datos Iniciales'!$Q41=2,'Datos Iniciales'!N41,0)</f>
        <v>0</v>
      </c>
      <c r="AS60" s="287" t="n">
        <f aca="false">IF('Datos Iniciales'!$Q41=2,'Datos Iniciales'!O41,0)</f>
        <v>0</v>
      </c>
      <c r="AT60" s="287"/>
      <c r="AU60" s="287"/>
      <c r="AV60" s="205" t="str">
        <f aca="false">AG60</f>
        <v>Actividad7</v>
      </c>
      <c r="AW60" s="205"/>
      <c r="AY60" s="287" t="n">
        <f aca="false">IF('Datos Iniciales'!$Q41=3,'Datos Iniciales'!F41,0)</f>
        <v>0</v>
      </c>
      <c r="AZ60" s="287" t="n">
        <f aca="false">IF('Datos Iniciales'!$Q41=3,'Datos Iniciales'!G41,0)</f>
        <v>0</v>
      </c>
      <c r="BA60" s="287" t="n">
        <f aca="false">IF('Datos Iniciales'!$Q41=3,'Datos Iniciales'!H41,0)</f>
        <v>0</v>
      </c>
      <c r="BB60" s="287" t="n">
        <f aca="false">IF('Datos Iniciales'!$Q41=3,'Datos Iniciales'!I41,0)</f>
        <v>0</v>
      </c>
      <c r="BC60" s="287" t="n">
        <f aca="false">IF('Datos Iniciales'!$Q41=3,'Datos Iniciales'!J41,0)</f>
        <v>0</v>
      </c>
      <c r="BD60" s="287" t="n">
        <f aca="false">IF('Datos Iniciales'!$Q41=3,'Datos Iniciales'!K41,0)</f>
        <v>0</v>
      </c>
      <c r="BE60" s="287" t="n">
        <f aca="false">IF('Datos Iniciales'!$Q41=3,'Datos Iniciales'!L41,0)</f>
        <v>0</v>
      </c>
      <c r="BF60" s="287" t="n">
        <f aca="false">IF('Datos Iniciales'!$Q41=3,'Datos Iniciales'!M41,0)</f>
        <v>0</v>
      </c>
      <c r="BG60" s="287" t="n">
        <f aca="false">IF('Datos Iniciales'!$Q41=3,'Datos Iniciales'!N41,0)</f>
        <v>0</v>
      </c>
      <c r="BH60" s="287" t="n">
        <f aca="false">IF('Datos Iniciales'!$Q41=3,'Datos Iniciales'!O41,0)</f>
        <v>0</v>
      </c>
      <c r="BI60" s="287"/>
      <c r="BJ60" s="287"/>
    </row>
    <row r="61" customFormat="false" ht="15" hidden="true" customHeight="false" outlineLevel="0" collapsed="false">
      <c r="R61" s="205" t="str">
        <f aca="false">'Datos Iniciales'!E42</f>
        <v>Actividad8</v>
      </c>
      <c r="S61" s="205"/>
      <c r="U61" s="287" t="n">
        <f aca="false">IF('Datos Iniciales'!$Q42=1,'Datos Iniciales'!F42,0)</f>
        <v>0</v>
      </c>
      <c r="V61" s="287" t="n">
        <f aca="false">IF('Datos Iniciales'!$Q42=1,'Datos Iniciales'!G42,0)</f>
        <v>0</v>
      </c>
      <c r="W61" s="287" t="n">
        <f aca="false">IF('Datos Iniciales'!$Q42=1,'Datos Iniciales'!H42,0)</f>
        <v>0</v>
      </c>
      <c r="X61" s="287" t="n">
        <f aca="false">IF('Datos Iniciales'!$Q42=1,'Datos Iniciales'!I42,0)</f>
        <v>0</v>
      </c>
      <c r="Y61" s="287" t="n">
        <f aca="false">IF('Datos Iniciales'!$Q42=1,'Datos Iniciales'!J42,0)</f>
        <v>0</v>
      </c>
      <c r="Z61" s="287" t="n">
        <f aca="false">IF('Datos Iniciales'!$Q42=1,'Datos Iniciales'!K42,0)</f>
        <v>0</v>
      </c>
      <c r="AA61" s="287" t="n">
        <f aca="false">IF('Datos Iniciales'!$Q42=1,'Datos Iniciales'!L42,0)</f>
        <v>0</v>
      </c>
      <c r="AB61" s="287" t="n">
        <f aca="false">IF('Datos Iniciales'!$Q42=1,'Datos Iniciales'!M42,0)</f>
        <v>0</v>
      </c>
      <c r="AC61" s="287" t="n">
        <f aca="false">IF('Datos Iniciales'!$Q42=1,'Datos Iniciales'!N42,0)</f>
        <v>0</v>
      </c>
      <c r="AD61" s="287" t="n">
        <f aca="false">IF('Datos Iniciales'!$Q42=1,'Datos Iniciales'!O42,0)</f>
        <v>0</v>
      </c>
      <c r="AE61" s="287"/>
      <c r="AF61" s="287"/>
      <c r="AG61" s="205" t="str">
        <f aca="false">R61</f>
        <v>Actividad8</v>
      </c>
      <c r="AH61" s="205"/>
      <c r="AJ61" s="287" t="n">
        <f aca="false">IF('Datos Iniciales'!$Q42=2,'Datos Iniciales'!F42,0)</f>
        <v>0</v>
      </c>
      <c r="AK61" s="287" t="n">
        <f aca="false">IF('Datos Iniciales'!$Q42=2,'Datos Iniciales'!G42,0)</f>
        <v>0</v>
      </c>
      <c r="AL61" s="287" t="n">
        <f aca="false">IF('Datos Iniciales'!$Q42=2,'Datos Iniciales'!H42,0)</f>
        <v>0</v>
      </c>
      <c r="AM61" s="287" t="n">
        <f aca="false">IF('Datos Iniciales'!$Q42=2,'Datos Iniciales'!I42,0)</f>
        <v>0</v>
      </c>
      <c r="AN61" s="287" t="n">
        <f aca="false">IF('Datos Iniciales'!$Q42=2,'Datos Iniciales'!J42,0)</f>
        <v>0</v>
      </c>
      <c r="AO61" s="287" t="n">
        <f aca="false">IF('Datos Iniciales'!$Q42=2,'Datos Iniciales'!K42,0)</f>
        <v>0</v>
      </c>
      <c r="AP61" s="287" t="n">
        <f aca="false">IF('Datos Iniciales'!$Q42=2,'Datos Iniciales'!L42,0)</f>
        <v>0</v>
      </c>
      <c r="AQ61" s="287" t="n">
        <f aca="false">IF('Datos Iniciales'!$Q42=2,'Datos Iniciales'!M42,0)</f>
        <v>0</v>
      </c>
      <c r="AR61" s="287" t="n">
        <f aca="false">IF('Datos Iniciales'!$Q42=2,'Datos Iniciales'!N42,0)</f>
        <v>0</v>
      </c>
      <c r="AS61" s="287" t="n">
        <f aca="false">IF('Datos Iniciales'!$Q42=2,'Datos Iniciales'!O42,0)</f>
        <v>0</v>
      </c>
      <c r="AT61" s="287"/>
      <c r="AU61" s="287"/>
      <c r="AV61" s="205" t="str">
        <f aca="false">AG61</f>
        <v>Actividad8</v>
      </c>
      <c r="AW61" s="205"/>
      <c r="AY61" s="287" t="n">
        <f aca="false">IF('Datos Iniciales'!$Q42=3,'Datos Iniciales'!F42,0)</f>
        <v>0</v>
      </c>
      <c r="AZ61" s="287" t="n">
        <f aca="false">IF('Datos Iniciales'!$Q42=3,'Datos Iniciales'!G42,0)</f>
        <v>0</v>
      </c>
      <c r="BA61" s="287" t="n">
        <f aca="false">IF('Datos Iniciales'!$Q42=3,'Datos Iniciales'!H42,0)</f>
        <v>0</v>
      </c>
      <c r="BB61" s="287" t="n">
        <f aca="false">IF('Datos Iniciales'!$Q42=3,'Datos Iniciales'!I42,0)</f>
        <v>0</v>
      </c>
      <c r="BC61" s="287" t="n">
        <f aca="false">IF('Datos Iniciales'!$Q42=3,'Datos Iniciales'!J42,0)</f>
        <v>0</v>
      </c>
      <c r="BD61" s="287" t="n">
        <f aca="false">IF('Datos Iniciales'!$Q42=3,'Datos Iniciales'!K42,0)</f>
        <v>0</v>
      </c>
      <c r="BE61" s="287" t="n">
        <f aca="false">IF('Datos Iniciales'!$Q42=3,'Datos Iniciales'!L42,0)</f>
        <v>0</v>
      </c>
      <c r="BF61" s="287" t="n">
        <f aca="false">IF('Datos Iniciales'!$Q42=3,'Datos Iniciales'!M42,0)</f>
        <v>0</v>
      </c>
      <c r="BG61" s="287" t="n">
        <f aca="false">IF('Datos Iniciales'!$Q42=3,'Datos Iniciales'!N42,0)</f>
        <v>0</v>
      </c>
      <c r="BH61" s="287" t="n">
        <f aca="false">IF('Datos Iniciales'!$Q42=3,'Datos Iniciales'!O42,0)</f>
        <v>0</v>
      </c>
      <c r="BI61" s="287"/>
      <c r="BJ61" s="287"/>
    </row>
    <row r="62" customFormat="false" ht="15" hidden="true" customHeight="false" outlineLevel="0" collapsed="false">
      <c r="R62" s="205" t="str">
        <f aca="false">'Datos Iniciales'!E43</f>
        <v>Actividad9</v>
      </c>
      <c r="S62" s="205"/>
      <c r="U62" s="287" t="n">
        <f aca="false">IF('Datos Iniciales'!$Q43=1,'Datos Iniciales'!F43,0)</f>
        <v>0</v>
      </c>
      <c r="V62" s="287" t="n">
        <f aca="false">IF('Datos Iniciales'!$Q43=1,'Datos Iniciales'!G43,0)</f>
        <v>0</v>
      </c>
      <c r="W62" s="287" t="n">
        <f aca="false">IF('Datos Iniciales'!$Q43=1,'Datos Iniciales'!H43,0)</f>
        <v>0</v>
      </c>
      <c r="X62" s="287" t="n">
        <f aca="false">IF('Datos Iniciales'!$Q43=1,'Datos Iniciales'!I43,0)</f>
        <v>0</v>
      </c>
      <c r="Y62" s="287" t="n">
        <f aca="false">IF('Datos Iniciales'!$Q43=1,'Datos Iniciales'!J43,0)</f>
        <v>0</v>
      </c>
      <c r="Z62" s="287" t="n">
        <f aca="false">IF('Datos Iniciales'!$Q43=1,'Datos Iniciales'!K43,0)</f>
        <v>0</v>
      </c>
      <c r="AA62" s="287" t="n">
        <f aca="false">IF('Datos Iniciales'!$Q43=1,'Datos Iniciales'!L43,0)</f>
        <v>0</v>
      </c>
      <c r="AB62" s="287" t="n">
        <f aca="false">IF('Datos Iniciales'!$Q43=1,'Datos Iniciales'!M43,0)</f>
        <v>0</v>
      </c>
      <c r="AC62" s="287" t="n">
        <f aca="false">IF('Datos Iniciales'!$Q43=1,'Datos Iniciales'!N43,0)</f>
        <v>0</v>
      </c>
      <c r="AD62" s="287" t="n">
        <f aca="false">IF('Datos Iniciales'!$Q43=1,'Datos Iniciales'!O43,0)</f>
        <v>0</v>
      </c>
      <c r="AE62" s="287"/>
      <c r="AF62" s="287"/>
      <c r="AG62" s="205" t="str">
        <f aca="false">R62</f>
        <v>Actividad9</v>
      </c>
      <c r="AH62" s="205"/>
      <c r="AJ62" s="287" t="n">
        <f aca="false">IF('Datos Iniciales'!$Q43=2,'Datos Iniciales'!F43,0)</f>
        <v>0</v>
      </c>
      <c r="AK62" s="287" t="n">
        <f aca="false">IF('Datos Iniciales'!$Q43=2,'Datos Iniciales'!G43,0)</f>
        <v>0</v>
      </c>
      <c r="AL62" s="287" t="n">
        <f aca="false">IF('Datos Iniciales'!$Q43=2,'Datos Iniciales'!H43,0)</f>
        <v>0</v>
      </c>
      <c r="AM62" s="287" t="n">
        <f aca="false">IF('Datos Iniciales'!$Q43=2,'Datos Iniciales'!I43,0)</f>
        <v>0</v>
      </c>
      <c r="AN62" s="287" t="n">
        <f aca="false">IF('Datos Iniciales'!$Q43=2,'Datos Iniciales'!J43,0)</f>
        <v>0</v>
      </c>
      <c r="AO62" s="287" t="n">
        <f aca="false">IF('Datos Iniciales'!$Q43=2,'Datos Iniciales'!K43,0)</f>
        <v>0</v>
      </c>
      <c r="AP62" s="287" t="n">
        <f aca="false">IF('Datos Iniciales'!$Q43=2,'Datos Iniciales'!L43,0)</f>
        <v>0</v>
      </c>
      <c r="AQ62" s="287" t="n">
        <f aca="false">IF('Datos Iniciales'!$Q43=2,'Datos Iniciales'!M43,0)</f>
        <v>0</v>
      </c>
      <c r="AR62" s="287" t="n">
        <f aca="false">IF('Datos Iniciales'!$Q43=2,'Datos Iniciales'!N43,0)</f>
        <v>0</v>
      </c>
      <c r="AS62" s="287" t="n">
        <f aca="false">IF('Datos Iniciales'!$Q43=2,'Datos Iniciales'!O43,0)</f>
        <v>0</v>
      </c>
      <c r="AT62" s="287"/>
      <c r="AU62" s="287"/>
      <c r="AV62" s="205" t="str">
        <f aca="false">AG62</f>
        <v>Actividad9</v>
      </c>
      <c r="AW62" s="205"/>
      <c r="AY62" s="287" t="n">
        <f aca="false">IF('Datos Iniciales'!$Q43=3,'Datos Iniciales'!F43,0)</f>
        <v>0</v>
      </c>
      <c r="AZ62" s="287" t="n">
        <f aca="false">IF('Datos Iniciales'!$Q43=3,'Datos Iniciales'!G43,0)</f>
        <v>0</v>
      </c>
      <c r="BA62" s="287" t="n">
        <f aca="false">IF('Datos Iniciales'!$Q43=3,'Datos Iniciales'!H43,0)</f>
        <v>0</v>
      </c>
      <c r="BB62" s="287" t="n">
        <f aca="false">IF('Datos Iniciales'!$Q43=3,'Datos Iniciales'!I43,0)</f>
        <v>0</v>
      </c>
      <c r="BC62" s="287" t="n">
        <f aca="false">IF('Datos Iniciales'!$Q43=3,'Datos Iniciales'!J43,0)</f>
        <v>0</v>
      </c>
      <c r="BD62" s="287" t="n">
        <f aca="false">IF('Datos Iniciales'!$Q43=3,'Datos Iniciales'!K43,0)</f>
        <v>0</v>
      </c>
      <c r="BE62" s="287" t="n">
        <f aca="false">IF('Datos Iniciales'!$Q43=3,'Datos Iniciales'!L43,0)</f>
        <v>0</v>
      </c>
      <c r="BF62" s="287" t="n">
        <f aca="false">IF('Datos Iniciales'!$Q43=3,'Datos Iniciales'!M43,0)</f>
        <v>0</v>
      </c>
      <c r="BG62" s="287" t="n">
        <f aca="false">IF('Datos Iniciales'!$Q43=3,'Datos Iniciales'!N43,0)</f>
        <v>0</v>
      </c>
      <c r="BH62" s="287" t="n">
        <f aca="false">IF('Datos Iniciales'!$Q43=3,'Datos Iniciales'!O43,0)</f>
        <v>0</v>
      </c>
      <c r="BI62" s="287"/>
      <c r="BJ62" s="287"/>
    </row>
    <row r="63" customFormat="false" ht="15" hidden="true" customHeight="false" outlineLevel="0" collapsed="false">
      <c r="R63" s="205" t="str">
        <f aca="false">'Datos Iniciales'!E44</f>
        <v>Actividad10</v>
      </c>
      <c r="S63" s="205"/>
      <c r="U63" s="287" t="n">
        <f aca="false">IF('Datos Iniciales'!$Q44=1,'Datos Iniciales'!F44,0)</f>
        <v>0</v>
      </c>
      <c r="V63" s="287" t="n">
        <f aca="false">IF('Datos Iniciales'!$Q44=1,'Datos Iniciales'!G44,0)</f>
        <v>0</v>
      </c>
      <c r="W63" s="287" t="n">
        <f aca="false">IF('Datos Iniciales'!$Q44=1,'Datos Iniciales'!H44,0)</f>
        <v>0</v>
      </c>
      <c r="X63" s="287" t="n">
        <f aca="false">IF('Datos Iniciales'!$Q44=1,'Datos Iniciales'!I44,0)</f>
        <v>0</v>
      </c>
      <c r="Y63" s="287" t="n">
        <f aca="false">IF('Datos Iniciales'!$Q44=1,'Datos Iniciales'!J44,0)</f>
        <v>0</v>
      </c>
      <c r="Z63" s="287" t="n">
        <f aca="false">IF('Datos Iniciales'!$Q44=1,'Datos Iniciales'!K44,0)</f>
        <v>0</v>
      </c>
      <c r="AA63" s="287" t="n">
        <f aca="false">IF('Datos Iniciales'!$Q44=1,'Datos Iniciales'!L44,0)</f>
        <v>0</v>
      </c>
      <c r="AB63" s="287" t="n">
        <f aca="false">IF('Datos Iniciales'!$Q44=1,'Datos Iniciales'!M44,0)</f>
        <v>0</v>
      </c>
      <c r="AC63" s="287" t="n">
        <f aca="false">IF('Datos Iniciales'!$Q44=1,'Datos Iniciales'!N44,0)</f>
        <v>0</v>
      </c>
      <c r="AD63" s="287" t="n">
        <f aca="false">IF('Datos Iniciales'!$Q44=1,'Datos Iniciales'!O44,0)</f>
        <v>0</v>
      </c>
      <c r="AE63" s="287"/>
      <c r="AF63" s="287"/>
      <c r="AG63" s="205" t="str">
        <f aca="false">R63</f>
        <v>Actividad10</v>
      </c>
      <c r="AH63" s="205"/>
      <c r="AJ63" s="287" t="n">
        <f aca="false">IF('Datos Iniciales'!$Q44=2,'Datos Iniciales'!F44,0)</f>
        <v>0</v>
      </c>
      <c r="AK63" s="287" t="n">
        <f aca="false">IF('Datos Iniciales'!$Q44=2,'Datos Iniciales'!G44,0)</f>
        <v>0</v>
      </c>
      <c r="AL63" s="287" t="n">
        <f aca="false">IF('Datos Iniciales'!$Q44=2,'Datos Iniciales'!H44,0)</f>
        <v>0</v>
      </c>
      <c r="AM63" s="287" t="n">
        <f aca="false">IF('Datos Iniciales'!$Q44=2,'Datos Iniciales'!I44,0)</f>
        <v>0</v>
      </c>
      <c r="AN63" s="287" t="n">
        <f aca="false">IF('Datos Iniciales'!$Q44=2,'Datos Iniciales'!J44,0)</f>
        <v>0</v>
      </c>
      <c r="AO63" s="287" t="n">
        <f aca="false">IF('Datos Iniciales'!$Q44=2,'Datos Iniciales'!K44,0)</f>
        <v>0</v>
      </c>
      <c r="AP63" s="287" t="n">
        <f aca="false">IF('Datos Iniciales'!$Q44=2,'Datos Iniciales'!L44,0)</f>
        <v>0</v>
      </c>
      <c r="AQ63" s="287" t="n">
        <f aca="false">IF('Datos Iniciales'!$Q44=2,'Datos Iniciales'!M44,0)</f>
        <v>0</v>
      </c>
      <c r="AR63" s="287" t="n">
        <f aca="false">IF('Datos Iniciales'!$Q44=2,'Datos Iniciales'!N44,0)</f>
        <v>0</v>
      </c>
      <c r="AS63" s="287" t="n">
        <f aca="false">IF('Datos Iniciales'!$Q44=2,'Datos Iniciales'!O44,0)</f>
        <v>0</v>
      </c>
      <c r="AT63" s="287"/>
      <c r="AU63" s="287"/>
      <c r="AV63" s="205" t="str">
        <f aca="false">AG63</f>
        <v>Actividad10</v>
      </c>
      <c r="AW63" s="205"/>
      <c r="AY63" s="287" t="n">
        <f aca="false">IF('Datos Iniciales'!$Q44=3,'Datos Iniciales'!F44,0)</f>
        <v>0</v>
      </c>
      <c r="AZ63" s="287" t="n">
        <f aca="false">IF('Datos Iniciales'!$Q44=3,'Datos Iniciales'!G44,0)</f>
        <v>0</v>
      </c>
      <c r="BA63" s="287" t="n">
        <f aca="false">IF('Datos Iniciales'!$Q44=3,'Datos Iniciales'!H44,0)</f>
        <v>0</v>
      </c>
      <c r="BB63" s="287" t="n">
        <f aca="false">IF('Datos Iniciales'!$Q44=3,'Datos Iniciales'!I44,0)</f>
        <v>0</v>
      </c>
      <c r="BC63" s="287" t="n">
        <f aca="false">IF('Datos Iniciales'!$Q44=3,'Datos Iniciales'!J44,0)</f>
        <v>0</v>
      </c>
      <c r="BD63" s="287" t="n">
        <f aca="false">IF('Datos Iniciales'!$Q44=3,'Datos Iniciales'!K44,0)</f>
        <v>0</v>
      </c>
      <c r="BE63" s="287" t="n">
        <f aca="false">IF('Datos Iniciales'!$Q44=3,'Datos Iniciales'!L44,0)</f>
        <v>0</v>
      </c>
      <c r="BF63" s="287" t="n">
        <f aca="false">IF('Datos Iniciales'!$Q44=3,'Datos Iniciales'!M44,0)</f>
        <v>0</v>
      </c>
      <c r="BG63" s="287" t="n">
        <f aca="false">IF('Datos Iniciales'!$Q44=3,'Datos Iniciales'!N44,0)</f>
        <v>0</v>
      </c>
      <c r="BH63" s="287" t="n">
        <f aca="false">IF('Datos Iniciales'!$Q44=3,'Datos Iniciales'!O44,0)</f>
        <v>0</v>
      </c>
      <c r="BI63" s="287"/>
      <c r="BJ63" s="287"/>
    </row>
    <row r="64" customFormat="false" ht="15" hidden="true" customHeight="false" outlineLevel="0" collapsed="false">
      <c r="R64" s="205" t="str">
        <f aca="false">'Datos Iniciales'!E45</f>
        <v>Actividad11</v>
      </c>
      <c r="S64" s="205"/>
      <c r="U64" s="287" t="n">
        <f aca="false">IF('Datos Iniciales'!$Q45=1,'Datos Iniciales'!F45,0)</f>
        <v>0</v>
      </c>
      <c r="V64" s="287" t="n">
        <f aca="false">IF('Datos Iniciales'!$Q45=1,'Datos Iniciales'!G45,0)</f>
        <v>0</v>
      </c>
      <c r="W64" s="287" t="n">
        <f aca="false">IF('Datos Iniciales'!$Q45=1,'Datos Iniciales'!H45,0)</f>
        <v>0</v>
      </c>
      <c r="X64" s="287" t="n">
        <f aca="false">IF('Datos Iniciales'!$Q45=1,'Datos Iniciales'!I45,0)</f>
        <v>0</v>
      </c>
      <c r="Y64" s="287" t="n">
        <f aca="false">IF('Datos Iniciales'!$Q45=1,'Datos Iniciales'!J45,0)</f>
        <v>0</v>
      </c>
      <c r="Z64" s="287" t="n">
        <f aca="false">IF('Datos Iniciales'!$Q45=1,'Datos Iniciales'!K45,0)</f>
        <v>0</v>
      </c>
      <c r="AA64" s="287" t="n">
        <f aca="false">IF('Datos Iniciales'!$Q45=1,'Datos Iniciales'!L45,0)</f>
        <v>0</v>
      </c>
      <c r="AB64" s="287" t="n">
        <f aca="false">IF('Datos Iniciales'!$Q45=1,'Datos Iniciales'!M45,0)</f>
        <v>0</v>
      </c>
      <c r="AC64" s="287" t="n">
        <f aca="false">IF('Datos Iniciales'!$Q45=1,'Datos Iniciales'!N45,0)</f>
        <v>0</v>
      </c>
      <c r="AD64" s="287" t="n">
        <f aca="false">IF('Datos Iniciales'!$Q45=1,'Datos Iniciales'!O45,0)</f>
        <v>0</v>
      </c>
      <c r="AE64" s="287"/>
      <c r="AF64" s="287"/>
      <c r="AG64" s="205" t="str">
        <f aca="false">R64</f>
        <v>Actividad11</v>
      </c>
      <c r="AH64" s="205"/>
      <c r="AJ64" s="287" t="n">
        <f aca="false">IF('Datos Iniciales'!$Q45=2,'Datos Iniciales'!F45,0)</f>
        <v>0</v>
      </c>
      <c r="AK64" s="287" t="n">
        <f aca="false">IF('Datos Iniciales'!$Q45=2,'Datos Iniciales'!G45,0)</f>
        <v>0</v>
      </c>
      <c r="AL64" s="287" t="n">
        <f aca="false">IF('Datos Iniciales'!$Q45=2,'Datos Iniciales'!H45,0)</f>
        <v>0</v>
      </c>
      <c r="AM64" s="287" t="n">
        <f aca="false">IF('Datos Iniciales'!$Q45=2,'Datos Iniciales'!I45,0)</f>
        <v>0</v>
      </c>
      <c r="AN64" s="287" t="n">
        <f aca="false">IF('Datos Iniciales'!$Q45=2,'Datos Iniciales'!J45,0)</f>
        <v>0</v>
      </c>
      <c r="AO64" s="287" t="n">
        <f aca="false">IF('Datos Iniciales'!$Q45=2,'Datos Iniciales'!K45,0)</f>
        <v>0</v>
      </c>
      <c r="AP64" s="287" t="n">
        <f aca="false">IF('Datos Iniciales'!$Q45=2,'Datos Iniciales'!L45,0)</f>
        <v>0</v>
      </c>
      <c r="AQ64" s="287" t="n">
        <f aca="false">IF('Datos Iniciales'!$Q45=2,'Datos Iniciales'!M45,0)</f>
        <v>0</v>
      </c>
      <c r="AR64" s="287" t="n">
        <f aca="false">IF('Datos Iniciales'!$Q45=2,'Datos Iniciales'!N45,0)</f>
        <v>0</v>
      </c>
      <c r="AS64" s="287" t="n">
        <f aca="false">IF('Datos Iniciales'!$Q45=2,'Datos Iniciales'!O45,0)</f>
        <v>0</v>
      </c>
      <c r="AT64" s="287"/>
      <c r="AU64" s="287"/>
      <c r="AV64" s="205" t="str">
        <f aca="false">AG64</f>
        <v>Actividad11</v>
      </c>
      <c r="AW64" s="205"/>
      <c r="AY64" s="287" t="n">
        <f aca="false">IF('Datos Iniciales'!$Q45=3,'Datos Iniciales'!F45,0)</f>
        <v>0</v>
      </c>
      <c r="AZ64" s="287" t="n">
        <f aca="false">IF('Datos Iniciales'!$Q45=3,'Datos Iniciales'!G45,0)</f>
        <v>0</v>
      </c>
      <c r="BA64" s="287" t="n">
        <f aca="false">IF('Datos Iniciales'!$Q45=3,'Datos Iniciales'!H45,0)</f>
        <v>0</v>
      </c>
      <c r="BB64" s="287" t="n">
        <f aca="false">IF('Datos Iniciales'!$Q45=3,'Datos Iniciales'!I45,0)</f>
        <v>0</v>
      </c>
      <c r="BC64" s="287" t="n">
        <f aca="false">IF('Datos Iniciales'!$Q45=3,'Datos Iniciales'!J45,0)</f>
        <v>0</v>
      </c>
      <c r="BD64" s="287" t="n">
        <f aca="false">IF('Datos Iniciales'!$Q45=3,'Datos Iniciales'!K45,0)</f>
        <v>0</v>
      </c>
      <c r="BE64" s="287" t="n">
        <f aca="false">IF('Datos Iniciales'!$Q45=3,'Datos Iniciales'!L45,0)</f>
        <v>0</v>
      </c>
      <c r="BF64" s="287" t="n">
        <f aca="false">IF('Datos Iniciales'!$Q45=3,'Datos Iniciales'!M45,0)</f>
        <v>0</v>
      </c>
      <c r="BG64" s="287" t="n">
        <f aca="false">IF('Datos Iniciales'!$Q45=3,'Datos Iniciales'!N45,0)</f>
        <v>0</v>
      </c>
      <c r="BH64" s="287" t="n">
        <f aca="false">IF('Datos Iniciales'!$Q45=3,'Datos Iniciales'!O45,0)</f>
        <v>0</v>
      </c>
      <c r="BI64" s="287"/>
      <c r="BJ64" s="287"/>
    </row>
    <row r="65" customFormat="false" ht="15" hidden="true" customHeight="false" outlineLevel="0" collapsed="false">
      <c r="R65" s="205" t="str">
        <f aca="false">'Datos Iniciales'!E46</f>
        <v>Actividad12</v>
      </c>
      <c r="S65" s="205"/>
      <c r="U65" s="287" t="n">
        <f aca="false">IF('Datos Iniciales'!$Q46=1,'Datos Iniciales'!F46,0)</f>
        <v>0</v>
      </c>
      <c r="V65" s="287" t="n">
        <f aca="false">IF('Datos Iniciales'!$Q46=1,'Datos Iniciales'!G46,0)</f>
        <v>0</v>
      </c>
      <c r="W65" s="287" t="n">
        <f aca="false">IF('Datos Iniciales'!$Q46=1,'Datos Iniciales'!H46,0)</f>
        <v>0</v>
      </c>
      <c r="X65" s="287" t="n">
        <f aca="false">IF('Datos Iniciales'!$Q46=1,'Datos Iniciales'!I46,0)</f>
        <v>0</v>
      </c>
      <c r="Y65" s="287" t="n">
        <f aca="false">IF('Datos Iniciales'!$Q46=1,'Datos Iniciales'!J46,0)</f>
        <v>0</v>
      </c>
      <c r="Z65" s="287" t="n">
        <f aca="false">IF('Datos Iniciales'!$Q46=1,'Datos Iniciales'!K46,0)</f>
        <v>0</v>
      </c>
      <c r="AA65" s="287" t="n">
        <f aca="false">IF('Datos Iniciales'!$Q46=1,'Datos Iniciales'!L46,0)</f>
        <v>0</v>
      </c>
      <c r="AB65" s="287" t="n">
        <f aca="false">IF('Datos Iniciales'!$Q46=1,'Datos Iniciales'!M46,0)</f>
        <v>0</v>
      </c>
      <c r="AC65" s="287" t="n">
        <f aca="false">IF('Datos Iniciales'!$Q46=1,'Datos Iniciales'!N46,0)</f>
        <v>0</v>
      </c>
      <c r="AD65" s="287" t="n">
        <f aca="false">IF('Datos Iniciales'!$Q46=1,'Datos Iniciales'!O46,0)</f>
        <v>0</v>
      </c>
      <c r="AE65" s="287"/>
      <c r="AF65" s="287"/>
      <c r="AG65" s="205" t="str">
        <f aca="false">R65</f>
        <v>Actividad12</v>
      </c>
      <c r="AH65" s="205"/>
      <c r="AJ65" s="287" t="n">
        <f aca="false">IF('Datos Iniciales'!$Q46=2,'Datos Iniciales'!F46,0)</f>
        <v>0</v>
      </c>
      <c r="AK65" s="287" t="n">
        <f aca="false">IF('Datos Iniciales'!$Q46=2,'Datos Iniciales'!G46,0)</f>
        <v>0</v>
      </c>
      <c r="AL65" s="287" t="n">
        <f aca="false">IF('Datos Iniciales'!$Q46=2,'Datos Iniciales'!H46,0)</f>
        <v>0</v>
      </c>
      <c r="AM65" s="287" t="n">
        <f aca="false">IF('Datos Iniciales'!$Q46=2,'Datos Iniciales'!I46,0)</f>
        <v>0</v>
      </c>
      <c r="AN65" s="287" t="n">
        <f aca="false">IF('Datos Iniciales'!$Q46=2,'Datos Iniciales'!J46,0)</f>
        <v>0</v>
      </c>
      <c r="AO65" s="287" t="n">
        <f aca="false">IF('Datos Iniciales'!$Q46=2,'Datos Iniciales'!K46,0)</f>
        <v>0</v>
      </c>
      <c r="AP65" s="287" t="n">
        <f aca="false">IF('Datos Iniciales'!$Q46=2,'Datos Iniciales'!L46,0)</f>
        <v>0</v>
      </c>
      <c r="AQ65" s="287" t="n">
        <f aca="false">IF('Datos Iniciales'!$Q46=2,'Datos Iniciales'!M46,0)</f>
        <v>0</v>
      </c>
      <c r="AR65" s="287" t="n">
        <f aca="false">IF('Datos Iniciales'!$Q46=2,'Datos Iniciales'!N46,0)</f>
        <v>0</v>
      </c>
      <c r="AS65" s="287" t="n">
        <f aca="false">IF('Datos Iniciales'!$Q46=2,'Datos Iniciales'!O46,0)</f>
        <v>0</v>
      </c>
      <c r="AT65" s="287"/>
      <c r="AU65" s="287"/>
      <c r="AV65" s="205" t="str">
        <f aca="false">AG65</f>
        <v>Actividad12</v>
      </c>
      <c r="AW65" s="205"/>
      <c r="AY65" s="287" t="n">
        <f aca="false">IF('Datos Iniciales'!$Q46=3,'Datos Iniciales'!F46,0)</f>
        <v>0</v>
      </c>
      <c r="AZ65" s="287" t="n">
        <f aca="false">IF('Datos Iniciales'!$Q46=3,'Datos Iniciales'!G46,0)</f>
        <v>0</v>
      </c>
      <c r="BA65" s="287" t="n">
        <f aca="false">IF('Datos Iniciales'!$Q46=3,'Datos Iniciales'!H46,0)</f>
        <v>0</v>
      </c>
      <c r="BB65" s="287" t="n">
        <f aca="false">IF('Datos Iniciales'!$Q46=3,'Datos Iniciales'!I46,0)</f>
        <v>0</v>
      </c>
      <c r="BC65" s="287" t="n">
        <f aca="false">IF('Datos Iniciales'!$Q46=3,'Datos Iniciales'!J46,0)</f>
        <v>0</v>
      </c>
      <c r="BD65" s="287" t="n">
        <f aca="false">IF('Datos Iniciales'!$Q46=3,'Datos Iniciales'!K46,0)</f>
        <v>0</v>
      </c>
      <c r="BE65" s="287" t="n">
        <f aca="false">IF('Datos Iniciales'!$Q46=3,'Datos Iniciales'!L46,0)</f>
        <v>0</v>
      </c>
      <c r="BF65" s="287" t="n">
        <f aca="false">IF('Datos Iniciales'!$Q46=3,'Datos Iniciales'!M46,0)</f>
        <v>0</v>
      </c>
      <c r="BG65" s="287" t="n">
        <f aca="false">IF('Datos Iniciales'!$Q46=3,'Datos Iniciales'!N46,0)</f>
        <v>0</v>
      </c>
      <c r="BH65" s="287" t="n">
        <f aca="false">IF('Datos Iniciales'!$Q46=3,'Datos Iniciales'!O46,0)</f>
        <v>0</v>
      </c>
      <c r="BI65" s="287"/>
      <c r="BJ65" s="287"/>
    </row>
    <row r="66" customFormat="false" ht="15" hidden="true" customHeight="false" outlineLevel="0" collapsed="false">
      <c r="R66" s="205" t="str">
        <f aca="false">'Datos Iniciales'!E47</f>
        <v>Actividad13</v>
      </c>
      <c r="S66" s="205"/>
      <c r="U66" s="287" t="n">
        <f aca="false">IF('Datos Iniciales'!$Q47=1,'Datos Iniciales'!F47,0)</f>
        <v>0</v>
      </c>
      <c r="V66" s="287" t="n">
        <f aca="false">IF('Datos Iniciales'!$Q47=1,'Datos Iniciales'!G47,0)</f>
        <v>0</v>
      </c>
      <c r="W66" s="287" t="n">
        <f aca="false">IF('Datos Iniciales'!$Q47=1,'Datos Iniciales'!H47,0)</f>
        <v>0</v>
      </c>
      <c r="X66" s="287" t="n">
        <f aca="false">IF('Datos Iniciales'!$Q47=1,'Datos Iniciales'!I47,0)</f>
        <v>0</v>
      </c>
      <c r="Y66" s="287" t="n">
        <f aca="false">IF('Datos Iniciales'!$Q47=1,'Datos Iniciales'!J47,0)</f>
        <v>0</v>
      </c>
      <c r="Z66" s="287" t="n">
        <f aca="false">IF('Datos Iniciales'!$Q47=1,'Datos Iniciales'!K47,0)</f>
        <v>0</v>
      </c>
      <c r="AA66" s="287" t="n">
        <f aca="false">IF('Datos Iniciales'!$Q47=1,'Datos Iniciales'!L47,0)</f>
        <v>0</v>
      </c>
      <c r="AB66" s="287" t="n">
        <f aca="false">IF('Datos Iniciales'!$Q47=1,'Datos Iniciales'!M47,0)</f>
        <v>0</v>
      </c>
      <c r="AC66" s="287" t="n">
        <f aca="false">IF('Datos Iniciales'!$Q47=1,'Datos Iniciales'!N47,0)</f>
        <v>0</v>
      </c>
      <c r="AD66" s="287" t="n">
        <f aca="false">IF('Datos Iniciales'!$Q47=1,'Datos Iniciales'!O47,0)</f>
        <v>0</v>
      </c>
      <c r="AE66" s="287"/>
      <c r="AF66" s="287"/>
      <c r="AG66" s="205" t="str">
        <f aca="false">R66</f>
        <v>Actividad13</v>
      </c>
      <c r="AH66" s="205"/>
      <c r="AJ66" s="287" t="n">
        <f aca="false">IF('Datos Iniciales'!$Q47=2,'Datos Iniciales'!F47,0)</f>
        <v>0</v>
      </c>
      <c r="AK66" s="287" t="n">
        <f aca="false">IF('Datos Iniciales'!$Q47=2,'Datos Iniciales'!G47,0)</f>
        <v>0</v>
      </c>
      <c r="AL66" s="287" t="n">
        <f aca="false">IF('Datos Iniciales'!$Q47=2,'Datos Iniciales'!H47,0)</f>
        <v>0</v>
      </c>
      <c r="AM66" s="287" t="n">
        <f aca="false">IF('Datos Iniciales'!$Q47=2,'Datos Iniciales'!I47,0)</f>
        <v>0</v>
      </c>
      <c r="AN66" s="287" t="n">
        <f aca="false">IF('Datos Iniciales'!$Q47=2,'Datos Iniciales'!J47,0)</f>
        <v>0</v>
      </c>
      <c r="AO66" s="287" t="n">
        <f aca="false">IF('Datos Iniciales'!$Q47=2,'Datos Iniciales'!K47,0)</f>
        <v>0</v>
      </c>
      <c r="AP66" s="287" t="n">
        <f aca="false">IF('Datos Iniciales'!$Q47=2,'Datos Iniciales'!L47,0)</f>
        <v>0</v>
      </c>
      <c r="AQ66" s="287" t="n">
        <f aca="false">IF('Datos Iniciales'!$Q47=2,'Datos Iniciales'!M47,0)</f>
        <v>0</v>
      </c>
      <c r="AR66" s="287" t="n">
        <f aca="false">IF('Datos Iniciales'!$Q47=2,'Datos Iniciales'!N47,0)</f>
        <v>0</v>
      </c>
      <c r="AS66" s="287" t="n">
        <f aca="false">IF('Datos Iniciales'!$Q47=2,'Datos Iniciales'!O47,0)</f>
        <v>0</v>
      </c>
      <c r="AT66" s="287"/>
      <c r="AU66" s="287"/>
      <c r="AV66" s="205" t="str">
        <f aca="false">AG66</f>
        <v>Actividad13</v>
      </c>
      <c r="AW66" s="205"/>
      <c r="AY66" s="287" t="n">
        <f aca="false">IF('Datos Iniciales'!$Q47=3,'Datos Iniciales'!F47,0)</f>
        <v>0</v>
      </c>
      <c r="AZ66" s="287" t="n">
        <f aca="false">IF('Datos Iniciales'!$Q47=3,'Datos Iniciales'!G47,0)</f>
        <v>0</v>
      </c>
      <c r="BA66" s="287" t="n">
        <f aca="false">IF('Datos Iniciales'!$Q47=3,'Datos Iniciales'!H47,0)</f>
        <v>0</v>
      </c>
      <c r="BB66" s="287" t="n">
        <f aca="false">IF('Datos Iniciales'!$Q47=3,'Datos Iniciales'!I47,0)</f>
        <v>0</v>
      </c>
      <c r="BC66" s="287" t="n">
        <f aca="false">IF('Datos Iniciales'!$Q47=3,'Datos Iniciales'!J47,0)</f>
        <v>0</v>
      </c>
      <c r="BD66" s="287" t="n">
        <f aca="false">IF('Datos Iniciales'!$Q47=3,'Datos Iniciales'!K47,0)</f>
        <v>0</v>
      </c>
      <c r="BE66" s="287" t="n">
        <f aca="false">IF('Datos Iniciales'!$Q47=3,'Datos Iniciales'!L47,0)</f>
        <v>0</v>
      </c>
      <c r="BF66" s="287" t="n">
        <f aca="false">IF('Datos Iniciales'!$Q47=3,'Datos Iniciales'!M47,0)</f>
        <v>0</v>
      </c>
      <c r="BG66" s="287" t="n">
        <f aca="false">IF('Datos Iniciales'!$Q47=3,'Datos Iniciales'!N47,0)</f>
        <v>0</v>
      </c>
      <c r="BH66" s="287" t="n">
        <f aca="false">IF('Datos Iniciales'!$Q47=3,'Datos Iniciales'!O47,0)</f>
        <v>0</v>
      </c>
      <c r="BI66" s="287"/>
      <c r="BJ66" s="287"/>
    </row>
    <row r="67" customFormat="false" ht="15" hidden="true" customHeight="false" outlineLevel="0" collapsed="false">
      <c r="R67" s="205" t="str">
        <f aca="false">'Datos Iniciales'!E48</f>
        <v>Actividad14</v>
      </c>
      <c r="S67" s="205"/>
      <c r="U67" s="287" t="n">
        <f aca="false">IF('Datos Iniciales'!$Q48=1,'Datos Iniciales'!F48,0)</f>
        <v>0</v>
      </c>
      <c r="V67" s="287" t="n">
        <f aca="false">IF('Datos Iniciales'!$Q48=1,'Datos Iniciales'!G48,0)</f>
        <v>0</v>
      </c>
      <c r="W67" s="287" t="n">
        <f aca="false">IF('Datos Iniciales'!$Q48=1,'Datos Iniciales'!H48,0)</f>
        <v>0</v>
      </c>
      <c r="X67" s="287" t="n">
        <f aca="false">IF('Datos Iniciales'!$Q48=1,'Datos Iniciales'!I48,0)</f>
        <v>0</v>
      </c>
      <c r="Y67" s="287" t="n">
        <f aca="false">IF('Datos Iniciales'!$Q48=1,'Datos Iniciales'!J48,0)</f>
        <v>0</v>
      </c>
      <c r="Z67" s="287" t="n">
        <f aca="false">IF('Datos Iniciales'!$Q48=1,'Datos Iniciales'!K48,0)</f>
        <v>0</v>
      </c>
      <c r="AA67" s="287" t="n">
        <f aca="false">IF('Datos Iniciales'!$Q48=1,'Datos Iniciales'!L48,0)</f>
        <v>0</v>
      </c>
      <c r="AB67" s="287" t="n">
        <f aca="false">IF('Datos Iniciales'!$Q48=1,'Datos Iniciales'!M48,0)</f>
        <v>0</v>
      </c>
      <c r="AC67" s="287" t="n">
        <f aca="false">IF('Datos Iniciales'!$Q48=1,'Datos Iniciales'!N48,0)</f>
        <v>0</v>
      </c>
      <c r="AD67" s="287" t="n">
        <f aca="false">IF('Datos Iniciales'!$Q48=1,'Datos Iniciales'!O48,0)</f>
        <v>0</v>
      </c>
      <c r="AE67" s="287"/>
      <c r="AF67" s="287"/>
      <c r="AG67" s="205" t="str">
        <f aca="false">R67</f>
        <v>Actividad14</v>
      </c>
      <c r="AH67" s="205"/>
      <c r="AJ67" s="287" t="n">
        <f aca="false">IF('Datos Iniciales'!$Q48=2,'Datos Iniciales'!F48,0)</f>
        <v>0</v>
      </c>
      <c r="AK67" s="287" t="n">
        <f aca="false">IF('Datos Iniciales'!$Q48=2,'Datos Iniciales'!G48,0)</f>
        <v>0</v>
      </c>
      <c r="AL67" s="287" t="n">
        <f aca="false">IF('Datos Iniciales'!$Q48=2,'Datos Iniciales'!H48,0)</f>
        <v>0</v>
      </c>
      <c r="AM67" s="287" t="n">
        <f aca="false">IF('Datos Iniciales'!$Q48=2,'Datos Iniciales'!I48,0)</f>
        <v>0</v>
      </c>
      <c r="AN67" s="287" t="n">
        <f aca="false">IF('Datos Iniciales'!$Q48=2,'Datos Iniciales'!J48,0)</f>
        <v>0</v>
      </c>
      <c r="AO67" s="287" t="n">
        <f aca="false">IF('Datos Iniciales'!$Q48=2,'Datos Iniciales'!K48,0)</f>
        <v>0</v>
      </c>
      <c r="AP67" s="287" t="n">
        <f aca="false">IF('Datos Iniciales'!$Q48=2,'Datos Iniciales'!L48,0)</f>
        <v>0</v>
      </c>
      <c r="AQ67" s="287" t="n">
        <f aca="false">IF('Datos Iniciales'!$Q48=2,'Datos Iniciales'!M48,0)</f>
        <v>0</v>
      </c>
      <c r="AR67" s="287" t="n">
        <f aca="false">IF('Datos Iniciales'!$Q48=2,'Datos Iniciales'!N48,0)</f>
        <v>0</v>
      </c>
      <c r="AS67" s="287" t="n">
        <f aca="false">IF('Datos Iniciales'!$Q48=2,'Datos Iniciales'!O48,0)</f>
        <v>0</v>
      </c>
      <c r="AT67" s="287"/>
      <c r="AU67" s="287"/>
      <c r="AV67" s="205" t="str">
        <f aca="false">AG67</f>
        <v>Actividad14</v>
      </c>
      <c r="AW67" s="205"/>
      <c r="AY67" s="287" t="n">
        <f aca="false">IF('Datos Iniciales'!$Q48=3,'Datos Iniciales'!F48,0)</f>
        <v>0</v>
      </c>
      <c r="AZ67" s="287" t="n">
        <f aca="false">IF('Datos Iniciales'!$Q48=3,'Datos Iniciales'!G48,0)</f>
        <v>0</v>
      </c>
      <c r="BA67" s="287" t="n">
        <f aca="false">IF('Datos Iniciales'!$Q48=3,'Datos Iniciales'!H48,0)</f>
        <v>0</v>
      </c>
      <c r="BB67" s="287" t="n">
        <f aca="false">IF('Datos Iniciales'!$Q48=3,'Datos Iniciales'!I48,0)</f>
        <v>0</v>
      </c>
      <c r="BC67" s="287" t="n">
        <f aca="false">IF('Datos Iniciales'!$Q48=3,'Datos Iniciales'!J48,0)</f>
        <v>0</v>
      </c>
      <c r="BD67" s="287" t="n">
        <f aca="false">IF('Datos Iniciales'!$Q48=3,'Datos Iniciales'!K48,0)</f>
        <v>0</v>
      </c>
      <c r="BE67" s="287" t="n">
        <f aca="false">IF('Datos Iniciales'!$Q48=3,'Datos Iniciales'!L48,0)</f>
        <v>0</v>
      </c>
      <c r="BF67" s="287" t="n">
        <f aca="false">IF('Datos Iniciales'!$Q48=3,'Datos Iniciales'!M48,0)</f>
        <v>0</v>
      </c>
      <c r="BG67" s="287" t="n">
        <f aca="false">IF('Datos Iniciales'!$Q48=3,'Datos Iniciales'!N48,0)</f>
        <v>0</v>
      </c>
      <c r="BH67" s="287" t="n">
        <f aca="false">IF('Datos Iniciales'!$Q48=3,'Datos Iniciales'!O48,0)</f>
        <v>0</v>
      </c>
      <c r="BI67" s="287"/>
      <c r="BJ67" s="287"/>
    </row>
    <row r="68" customFormat="false" ht="15" hidden="true" customHeight="false" outlineLevel="0" collapsed="false">
      <c r="R68" s="205" t="str">
        <f aca="false">'Datos Iniciales'!E49</f>
        <v>Actividad15</v>
      </c>
      <c r="S68" s="205"/>
      <c r="U68" s="287" t="n">
        <f aca="false">IF('Datos Iniciales'!$Q49=1,'Datos Iniciales'!F49,0)</f>
        <v>0</v>
      </c>
      <c r="V68" s="287" t="n">
        <f aca="false">IF('Datos Iniciales'!$Q49=1,'Datos Iniciales'!G49,0)</f>
        <v>0</v>
      </c>
      <c r="W68" s="287" t="n">
        <f aca="false">IF('Datos Iniciales'!$Q49=1,'Datos Iniciales'!H49,0)</f>
        <v>0</v>
      </c>
      <c r="X68" s="287" t="n">
        <f aca="false">IF('Datos Iniciales'!$Q49=1,'Datos Iniciales'!I49,0)</f>
        <v>0</v>
      </c>
      <c r="Y68" s="287" t="n">
        <f aca="false">IF('Datos Iniciales'!$Q49=1,'Datos Iniciales'!J49,0)</f>
        <v>0</v>
      </c>
      <c r="Z68" s="287" t="n">
        <f aca="false">IF('Datos Iniciales'!$Q49=1,'Datos Iniciales'!K49,0)</f>
        <v>0</v>
      </c>
      <c r="AA68" s="287" t="n">
        <f aca="false">IF('Datos Iniciales'!$Q49=1,'Datos Iniciales'!L49,0)</f>
        <v>0</v>
      </c>
      <c r="AB68" s="287" t="n">
        <f aca="false">IF('Datos Iniciales'!$Q49=1,'Datos Iniciales'!M49,0)</f>
        <v>0</v>
      </c>
      <c r="AC68" s="287" t="n">
        <f aca="false">IF('Datos Iniciales'!$Q49=1,'Datos Iniciales'!N49,0)</f>
        <v>0</v>
      </c>
      <c r="AD68" s="287" t="n">
        <f aca="false">IF('Datos Iniciales'!$Q49=1,'Datos Iniciales'!O49,0)</f>
        <v>0</v>
      </c>
      <c r="AE68" s="287"/>
      <c r="AF68" s="287"/>
      <c r="AG68" s="205" t="str">
        <f aca="false">R68</f>
        <v>Actividad15</v>
      </c>
      <c r="AH68" s="205"/>
      <c r="AJ68" s="287" t="n">
        <f aca="false">IF('Datos Iniciales'!$Q49=2,'Datos Iniciales'!F49,0)</f>
        <v>0</v>
      </c>
      <c r="AK68" s="287" t="n">
        <f aca="false">IF('Datos Iniciales'!$Q49=2,'Datos Iniciales'!G49,0)</f>
        <v>0</v>
      </c>
      <c r="AL68" s="287" t="n">
        <f aca="false">IF('Datos Iniciales'!$Q49=2,'Datos Iniciales'!H49,0)</f>
        <v>0</v>
      </c>
      <c r="AM68" s="287" t="n">
        <f aca="false">IF('Datos Iniciales'!$Q49=2,'Datos Iniciales'!I49,0)</f>
        <v>0</v>
      </c>
      <c r="AN68" s="287" t="n">
        <f aca="false">IF('Datos Iniciales'!$Q49=2,'Datos Iniciales'!J49,0)</f>
        <v>0</v>
      </c>
      <c r="AO68" s="287" t="n">
        <f aca="false">IF('Datos Iniciales'!$Q49=2,'Datos Iniciales'!K49,0)</f>
        <v>0</v>
      </c>
      <c r="AP68" s="287" t="n">
        <f aca="false">IF('Datos Iniciales'!$Q49=2,'Datos Iniciales'!L49,0)</f>
        <v>0</v>
      </c>
      <c r="AQ68" s="287" t="n">
        <f aca="false">IF('Datos Iniciales'!$Q49=2,'Datos Iniciales'!M49,0)</f>
        <v>0</v>
      </c>
      <c r="AR68" s="287" t="n">
        <f aca="false">IF('Datos Iniciales'!$Q49=2,'Datos Iniciales'!N49,0)</f>
        <v>0</v>
      </c>
      <c r="AS68" s="287" t="n">
        <f aca="false">IF('Datos Iniciales'!$Q49=2,'Datos Iniciales'!O49,0)</f>
        <v>0</v>
      </c>
      <c r="AT68" s="287"/>
      <c r="AU68" s="287"/>
      <c r="AV68" s="205" t="str">
        <f aca="false">AG68</f>
        <v>Actividad15</v>
      </c>
      <c r="AW68" s="205"/>
      <c r="AY68" s="287" t="n">
        <f aca="false">IF('Datos Iniciales'!$Q49=3,'Datos Iniciales'!F49,0)</f>
        <v>0</v>
      </c>
      <c r="AZ68" s="287" t="n">
        <f aca="false">IF('Datos Iniciales'!$Q49=3,'Datos Iniciales'!G49,0)</f>
        <v>0</v>
      </c>
      <c r="BA68" s="287" t="n">
        <f aca="false">IF('Datos Iniciales'!$Q49=3,'Datos Iniciales'!H49,0)</f>
        <v>0</v>
      </c>
      <c r="BB68" s="287" t="n">
        <f aca="false">IF('Datos Iniciales'!$Q49=3,'Datos Iniciales'!I49,0)</f>
        <v>0</v>
      </c>
      <c r="BC68" s="287" t="n">
        <f aca="false">IF('Datos Iniciales'!$Q49=3,'Datos Iniciales'!J49,0)</f>
        <v>0</v>
      </c>
      <c r="BD68" s="287" t="n">
        <f aca="false">IF('Datos Iniciales'!$Q49=3,'Datos Iniciales'!K49,0)</f>
        <v>0</v>
      </c>
      <c r="BE68" s="287" t="n">
        <f aca="false">IF('Datos Iniciales'!$Q49=3,'Datos Iniciales'!L49,0)</f>
        <v>0</v>
      </c>
      <c r="BF68" s="287" t="n">
        <f aca="false">IF('Datos Iniciales'!$Q49=3,'Datos Iniciales'!M49,0)</f>
        <v>0</v>
      </c>
      <c r="BG68" s="287" t="n">
        <f aca="false">IF('Datos Iniciales'!$Q49=3,'Datos Iniciales'!N49,0)</f>
        <v>0</v>
      </c>
      <c r="BH68" s="287" t="n">
        <f aca="false">IF('Datos Iniciales'!$Q49=3,'Datos Iniciales'!O49,0)</f>
        <v>0</v>
      </c>
      <c r="BI68" s="287"/>
      <c r="BJ68" s="287"/>
    </row>
    <row r="69" customFormat="false" ht="15" hidden="true" customHeight="false" outlineLevel="0" collapsed="false">
      <c r="R69" s="205" t="str">
        <f aca="false">'Datos Iniciales'!E50</f>
        <v>Actividad16</v>
      </c>
      <c r="S69" s="205"/>
      <c r="U69" s="287" t="n">
        <f aca="false">IF('Datos Iniciales'!$Q50=1,'Datos Iniciales'!F50,0)</f>
        <v>0</v>
      </c>
      <c r="V69" s="287" t="n">
        <f aca="false">IF('Datos Iniciales'!$Q50=1,'Datos Iniciales'!G50,0)</f>
        <v>0</v>
      </c>
      <c r="W69" s="287" t="n">
        <f aca="false">IF('Datos Iniciales'!$Q50=1,'Datos Iniciales'!H50,0)</f>
        <v>0</v>
      </c>
      <c r="X69" s="287" t="n">
        <f aca="false">IF('Datos Iniciales'!$Q50=1,'Datos Iniciales'!I50,0)</f>
        <v>0</v>
      </c>
      <c r="Y69" s="287" t="n">
        <f aca="false">IF('Datos Iniciales'!$Q50=1,'Datos Iniciales'!J50,0)</f>
        <v>0</v>
      </c>
      <c r="Z69" s="287" t="n">
        <f aca="false">IF('Datos Iniciales'!$Q50=1,'Datos Iniciales'!K50,0)</f>
        <v>0</v>
      </c>
      <c r="AA69" s="287" t="n">
        <f aca="false">IF('Datos Iniciales'!$Q50=1,'Datos Iniciales'!L50,0)</f>
        <v>0</v>
      </c>
      <c r="AB69" s="287" t="n">
        <f aca="false">IF('Datos Iniciales'!$Q50=1,'Datos Iniciales'!M50,0)</f>
        <v>0</v>
      </c>
      <c r="AC69" s="287" t="n">
        <f aca="false">IF('Datos Iniciales'!$Q50=1,'Datos Iniciales'!N50,0)</f>
        <v>0</v>
      </c>
      <c r="AD69" s="287" t="n">
        <f aca="false">IF('Datos Iniciales'!$Q50=1,'Datos Iniciales'!O50,0)</f>
        <v>0</v>
      </c>
      <c r="AE69" s="287"/>
      <c r="AF69" s="287"/>
      <c r="AG69" s="205" t="str">
        <f aca="false">R69</f>
        <v>Actividad16</v>
      </c>
      <c r="AH69" s="205"/>
      <c r="AJ69" s="287" t="n">
        <f aca="false">IF('Datos Iniciales'!$Q50=2,'Datos Iniciales'!F50,0)</f>
        <v>0</v>
      </c>
      <c r="AK69" s="287" t="n">
        <f aca="false">IF('Datos Iniciales'!$Q50=2,'Datos Iniciales'!G50,0)</f>
        <v>0</v>
      </c>
      <c r="AL69" s="287" t="n">
        <f aca="false">IF('Datos Iniciales'!$Q50=2,'Datos Iniciales'!H50,0)</f>
        <v>0</v>
      </c>
      <c r="AM69" s="287" t="n">
        <f aca="false">IF('Datos Iniciales'!$Q50=2,'Datos Iniciales'!I50,0)</f>
        <v>0</v>
      </c>
      <c r="AN69" s="287" t="n">
        <f aca="false">IF('Datos Iniciales'!$Q50=2,'Datos Iniciales'!J50,0)</f>
        <v>0</v>
      </c>
      <c r="AO69" s="287" t="n">
        <f aca="false">IF('Datos Iniciales'!$Q50=2,'Datos Iniciales'!K50,0)</f>
        <v>0</v>
      </c>
      <c r="AP69" s="287" t="n">
        <f aca="false">IF('Datos Iniciales'!$Q50=2,'Datos Iniciales'!L50,0)</f>
        <v>0</v>
      </c>
      <c r="AQ69" s="287" t="n">
        <f aca="false">IF('Datos Iniciales'!$Q50=2,'Datos Iniciales'!M50,0)</f>
        <v>0</v>
      </c>
      <c r="AR69" s="287" t="n">
        <f aca="false">IF('Datos Iniciales'!$Q50=2,'Datos Iniciales'!N50,0)</f>
        <v>0</v>
      </c>
      <c r="AS69" s="287" t="n">
        <f aca="false">IF('Datos Iniciales'!$Q50=2,'Datos Iniciales'!O50,0)</f>
        <v>0</v>
      </c>
      <c r="AT69" s="287"/>
      <c r="AU69" s="287"/>
      <c r="AV69" s="205" t="str">
        <f aca="false">AG69</f>
        <v>Actividad16</v>
      </c>
      <c r="AW69" s="205"/>
      <c r="AY69" s="287" t="n">
        <f aca="false">IF('Datos Iniciales'!$Q50=3,'Datos Iniciales'!F50,0)</f>
        <v>0</v>
      </c>
      <c r="AZ69" s="287" t="n">
        <f aca="false">IF('Datos Iniciales'!$Q50=3,'Datos Iniciales'!G50,0)</f>
        <v>0</v>
      </c>
      <c r="BA69" s="287" t="n">
        <f aca="false">IF('Datos Iniciales'!$Q50=3,'Datos Iniciales'!H50,0)</f>
        <v>0</v>
      </c>
      <c r="BB69" s="287" t="n">
        <f aca="false">IF('Datos Iniciales'!$Q50=3,'Datos Iniciales'!I50,0)</f>
        <v>0</v>
      </c>
      <c r="BC69" s="287" t="n">
        <f aca="false">IF('Datos Iniciales'!$Q50=3,'Datos Iniciales'!J50,0)</f>
        <v>0</v>
      </c>
      <c r="BD69" s="287" t="n">
        <f aca="false">IF('Datos Iniciales'!$Q50=3,'Datos Iniciales'!K50,0)</f>
        <v>0</v>
      </c>
      <c r="BE69" s="287" t="n">
        <f aca="false">IF('Datos Iniciales'!$Q50=3,'Datos Iniciales'!L50,0)</f>
        <v>0</v>
      </c>
      <c r="BF69" s="287" t="n">
        <f aca="false">IF('Datos Iniciales'!$Q50=3,'Datos Iniciales'!M50,0)</f>
        <v>0</v>
      </c>
      <c r="BG69" s="287" t="n">
        <f aca="false">IF('Datos Iniciales'!$Q50=3,'Datos Iniciales'!N50,0)</f>
        <v>0</v>
      </c>
      <c r="BH69" s="287" t="n">
        <f aca="false">IF('Datos Iniciales'!$Q50=3,'Datos Iniciales'!O50,0)</f>
        <v>0</v>
      </c>
      <c r="BI69" s="287"/>
      <c r="BJ69" s="287"/>
    </row>
    <row r="70" customFormat="false" ht="15" hidden="true" customHeight="false" outlineLevel="0" collapsed="false">
      <c r="R70" s="205" t="str">
        <f aca="false">'Datos Iniciales'!E51</f>
        <v>Actividad17</v>
      </c>
      <c r="S70" s="205"/>
      <c r="U70" s="287" t="n">
        <f aca="false">IF('Datos Iniciales'!$Q51=1,'Datos Iniciales'!F51,0)</f>
        <v>0</v>
      </c>
      <c r="V70" s="287" t="n">
        <f aca="false">IF('Datos Iniciales'!$Q51=1,'Datos Iniciales'!G51,0)</f>
        <v>0</v>
      </c>
      <c r="W70" s="287" t="n">
        <f aca="false">IF('Datos Iniciales'!$Q51=1,'Datos Iniciales'!H51,0)</f>
        <v>0</v>
      </c>
      <c r="X70" s="287" t="n">
        <f aca="false">IF('Datos Iniciales'!$Q51=1,'Datos Iniciales'!I51,0)</f>
        <v>0</v>
      </c>
      <c r="Y70" s="287" t="n">
        <f aca="false">IF('Datos Iniciales'!$Q51=1,'Datos Iniciales'!J51,0)</f>
        <v>0</v>
      </c>
      <c r="Z70" s="287" t="n">
        <f aca="false">IF('Datos Iniciales'!$Q51=1,'Datos Iniciales'!K51,0)</f>
        <v>0</v>
      </c>
      <c r="AA70" s="287" t="n">
        <f aca="false">IF('Datos Iniciales'!$Q51=1,'Datos Iniciales'!L51,0)</f>
        <v>0</v>
      </c>
      <c r="AB70" s="287" t="n">
        <f aca="false">IF('Datos Iniciales'!$Q51=1,'Datos Iniciales'!M51,0)</f>
        <v>0</v>
      </c>
      <c r="AC70" s="287" t="n">
        <f aca="false">IF('Datos Iniciales'!$Q51=1,'Datos Iniciales'!N51,0)</f>
        <v>0</v>
      </c>
      <c r="AD70" s="287" t="n">
        <f aca="false">IF('Datos Iniciales'!$Q51=1,'Datos Iniciales'!O51,0)</f>
        <v>0</v>
      </c>
      <c r="AE70" s="287"/>
      <c r="AF70" s="287"/>
      <c r="AG70" s="205" t="str">
        <f aca="false">R70</f>
        <v>Actividad17</v>
      </c>
      <c r="AH70" s="205"/>
      <c r="AJ70" s="287" t="n">
        <f aca="false">IF('Datos Iniciales'!$Q51=2,'Datos Iniciales'!F51,0)</f>
        <v>0</v>
      </c>
      <c r="AK70" s="287" t="n">
        <f aca="false">IF('Datos Iniciales'!$Q51=2,'Datos Iniciales'!G51,0)</f>
        <v>0</v>
      </c>
      <c r="AL70" s="287" t="n">
        <f aca="false">IF('Datos Iniciales'!$Q51=2,'Datos Iniciales'!H51,0)</f>
        <v>0</v>
      </c>
      <c r="AM70" s="287" t="n">
        <f aca="false">IF('Datos Iniciales'!$Q51=2,'Datos Iniciales'!I51,0)</f>
        <v>0</v>
      </c>
      <c r="AN70" s="287" t="n">
        <f aca="false">IF('Datos Iniciales'!$Q51=2,'Datos Iniciales'!J51,0)</f>
        <v>0</v>
      </c>
      <c r="AO70" s="287" t="n">
        <f aca="false">IF('Datos Iniciales'!$Q51=2,'Datos Iniciales'!K51,0)</f>
        <v>0</v>
      </c>
      <c r="AP70" s="287" t="n">
        <f aca="false">IF('Datos Iniciales'!$Q51=2,'Datos Iniciales'!L51,0)</f>
        <v>0</v>
      </c>
      <c r="AQ70" s="287" t="n">
        <f aca="false">IF('Datos Iniciales'!$Q51=2,'Datos Iniciales'!M51,0)</f>
        <v>0</v>
      </c>
      <c r="AR70" s="287" t="n">
        <f aca="false">IF('Datos Iniciales'!$Q51=2,'Datos Iniciales'!N51,0)</f>
        <v>0</v>
      </c>
      <c r="AS70" s="287" t="n">
        <f aca="false">IF('Datos Iniciales'!$Q51=2,'Datos Iniciales'!O51,0)</f>
        <v>0</v>
      </c>
      <c r="AT70" s="287"/>
      <c r="AU70" s="287"/>
      <c r="AV70" s="205" t="str">
        <f aca="false">AG70</f>
        <v>Actividad17</v>
      </c>
      <c r="AW70" s="205"/>
      <c r="AY70" s="287" t="n">
        <f aca="false">IF('Datos Iniciales'!$Q51=3,'Datos Iniciales'!F51,0)</f>
        <v>0</v>
      </c>
      <c r="AZ70" s="287" t="n">
        <f aca="false">IF('Datos Iniciales'!$Q51=3,'Datos Iniciales'!G51,0)</f>
        <v>0</v>
      </c>
      <c r="BA70" s="287" t="n">
        <f aca="false">IF('Datos Iniciales'!$Q51=3,'Datos Iniciales'!H51,0)</f>
        <v>0</v>
      </c>
      <c r="BB70" s="287" t="n">
        <f aca="false">IF('Datos Iniciales'!$Q51=3,'Datos Iniciales'!I51,0)</f>
        <v>0</v>
      </c>
      <c r="BC70" s="287" t="n">
        <f aca="false">IF('Datos Iniciales'!$Q51=3,'Datos Iniciales'!J51,0)</f>
        <v>0</v>
      </c>
      <c r="BD70" s="287" t="n">
        <f aca="false">IF('Datos Iniciales'!$Q51=3,'Datos Iniciales'!K51,0)</f>
        <v>0</v>
      </c>
      <c r="BE70" s="287" t="n">
        <f aca="false">IF('Datos Iniciales'!$Q51=3,'Datos Iniciales'!L51,0)</f>
        <v>0</v>
      </c>
      <c r="BF70" s="287" t="n">
        <f aca="false">IF('Datos Iniciales'!$Q51=3,'Datos Iniciales'!M51,0)</f>
        <v>0</v>
      </c>
      <c r="BG70" s="287" t="n">
        <f aca="false">IF('Datos Iniciales'!$Q51=3,'Datos Iniciales'!N51,0)</f>
        <v>0</v>
      </c>
      <c r="BH70" s="287" t="n">
        <f aca="false">IF('Datos Iniciales'!$Q51=3,'Datos Iniciales'!O51,0)</f>
        <v>0</v>
      </c>
      <c r="BI70" s="287"/>
      <c r="BJ70" s="287"/>
    </row>
    <row r="71" customFormat="false" ht="15" hidden="true" customHeight="false" outlineLevel="0" collapsed="false">
      <c r="R71" s="205" t="str">
        <f aca="false">'Datos Iniciales'!E52</f>
        <v>Actividad18</v>
      </c>
      <c r="S71" s="205"/>
      <c r="U71" s="287" t="n">
        <f aca="false">IF('Datos Iniciales'!$Q52=1,'Datos Iniciales'!F52,0)</f>
        <v>0</v>
      </c>
      <c r="V71" s="287" t="n">
        <f aca="false">IF('Datos Iniciales'!$Q52=1,'Datos Iniciales'!G52,0)</f>
        <v>0</v>
      </c>
      <c r="W71" s="287" t="n">
        <f aca="false">IF('Datos Iniciales'!$Q52=1,'Datos Iniciales'!H52,0)</f>
        <v>0</v>
      </c>
      <c r="X71" s="287" t="n">
        <f aca="false">IF('Datos Iniciales'!$Q52=1,'Datos Iniciales'!I52,0)</f>
        <v>0</v>
      </c>
      <c r="Y71" s="287" t="n">
        <f aca="false">IF('Datos Iniciales'!$Q52=1,'Datos Iniciales'!J52,0)</f>
        <v>0</v>
      </c>
      <c r="Z71" s="287" t="n">
        <f aca="false">IF('Datos Iniciales'!$Q52=1,'Datos Iniciales'!K52,0)</f>
        <v>0</v>
      </c>
      <c r="AA71" s="287" t="n">
        <f aca="false">IF('Datos Iniciales'!$Q52=1,'Datos Iniciales'!L52,0)</f>
        <v>0</v>
      </c>
      <c r="AB71" s="287" t="n">
        <f aca="false">IF('Datos Iniciales'!$Q52=1,'Datos Iniciales'!M52,0)</f>
        <v>0</v>
      </c>
      <c r="AC71" s="287" t="n">
        <f aca="false">IF('Datos Iniciales'!$Q52=1,'Datos Iniciales'!N52,0)</f>
        <v>0</v>
      </c>
      <c r="AD71" s="287" t="n">
        <f aca="false">IF('Datos Iniciales'!$Q52=1,'Datos Iniciales'!O52,0)</f>
        <v>0</v>
      </c>
      <c r="AE71" s="287"/>
      <c r="AF71" s="287"/>
      <c r="AG71" s="205" t="str">
        <f aca="false">R71</f>
        <v>Actividad18</v>
      </c>
      <c r="AH71" s="205"/>
      <c r="AJ71" s="287" t="n">
        <f aca="false">IF('Datos Iniciales'!$Q52=2,'Datos Iniciales'!F52,0)</f>
        <v>0</v>
      </c>
      <c r="AK71" s="287" t="n">
        <f aca="false">IF('Datos Iniciales'!$Q52=2,'Datos Iniciales'!G52,0)</f>
        <v>0</v>
      </c>
      <c r="AL71" s="287" t="n">
        <f aca="false">IF('Datos Iniciales'!$Q52=2,'Datos Iniciales'!H52,0)</f>
        <v>0</v>
      </c>
      <c r="AM71" s="287" t="n">
        <f aca="false">IF('Datos Iniciales'!$Q52=2,'Datos Iniciales'!I52,0)</f>
        <v>0</v>
      </c>
      <c r="AN71" s="287" t="n">
        <f aca="false">IF('Datos Iniciales'!$Q52=2,'Datos Iniciales'!J52,0)</f>
        <v>0</v>
      </c>
      <c r="AO71" s="287" t="n">
        <f aca="false">IF('Datos Iniciales'!$Q52=2,'Datos Iniciales'!K52,0)</f>
        <v>0</v>
      </c>
      <c r="AP71" s="287" t="n">
        <f aca="false">IF('Datos Iniciales'!$Q52=2,'Datos Iniciales'!L52,0)</f>
        <v>0</v>
      </c>
      <c r="AQ71" s="287" t="n">
        <f aca="false">IF('Datos Iniciales'!$Q52=2,'Datos Iniciales'!M52,0)</f>
        <v>0</v>
      </c>
      <c r="AR71" s="287" t="n">
        <f aca="false">IF('Datos Iniciales'!$Q52=2,'Datos Iniciales'!N52,0)</f>
        <v>0</v>
      </c>
      <c r="AS71" s="287" t="n">
        <f aca="false">IF('Datos Iniciales'!$Q52=2,'Datos Iniciales'!O52,0)</f>
        <v>0</v>
      </c>
      <c r="AT71" s="287"/>
      <c r="AU71" s="287"/>
      <c r="AV71" s="205" t="str">
        <f aca="false">AG71</f>
        <v>Actividad18</v>
      </c>
      <c r="AW71" s="205"/>
      <c r="AY71" s="287" t="n">
        <f aca="false">IF('Datos Iniciales'!$Q52=3,'Datos Iniciales'!F52,0)</f>
        <v>0</v>
      </c>
      <c r="AZ71" s="287" t="n">
        <f aca="false">IF('Datos Iniciales'!$Q52=3,'Datos Iniciales'!G52,0)</f>
        <v>0</v>
      </c>
      <c r="BA71" s="287" t="n">
        <f aca="false">IF('Datos Iniciales'!$Q52=3,'Datos Iniciales'!H52,0)</f>
        <v>0</v>
      </c>
      <c r="BB71" s="287" t="n">
        <f aca="false">IF('Datos Iniciales'!$Q52=3,'Datos Iniciales'!I52,0)</f>
        <v>0</v>
      </c>
      <c r="BC71" s="287" t="n">
        <f aca="false">IF('Datos Iniciales'!$Q52=3,'Datos Iniciales'!J52,0)</f>
        <v>0</v>
      </c>
      <c r="BD71" s="287" t="n">
        <f aca="false">IF('Datos Iniciales'!$Q52=3,'Datos Iniciales'!K52,0)</f>
        <v>0</v>
      </c>
      <c r="BE71" s="287" t="n">
        <f aca="false">IF('Datos Iniciales'!$Q52=3,'Datos Iniciales'!L52,0)</f>
        <v>0</v>
      </c>
      <c r="BF71" s="287" t="n">
        <f aca="false">IF('Datos Iniciales'!$Q52=3,'Datos Iniciales'!M52,0)</f>
        <v>0</v>
      </c>
      <c r="BG71" s="287" t="n">
        <f aca="false">IF('Datos Iniciales'!$Q52=3,'Datos Iniciales'!N52,0)</f>
        <v>0</v>
      </c>
      <c r="BH71" s="287" t="n">
        <f aca="false">IF('Datos Iniciales'!$Q52=3,'Datos Iniciales'!O52,0)</f>
        <v>0</v>
      </c>
      <c r="BI71" s="287"/>
      <c r="BJ71" s="287"/>
    </row>
    <row r="72" customFormat="false" ht="15" hidden="true" customHeight="false" outlineLevel="0" collapsed="false">
      <c r="R72" s="205" t="str">
        <f aca="false">'Datos Iniciales'!E53</f>
        <v>Actividad19</v>
      </c>
      <c r="S72" s="205"/>
      <c r="U72" s="287" t="n">
        <f aca="false">IF('Datos Iniciales'!$Q53=1,'Datos Iniciales'!F53,0)</f>
        <v>0</v>
      </c>
      <c r="V72" s="287" t="n">
        <f aca="false">IF('Datos Iniciales'!$Q53=1,'Datos Iniciales'!G53,0)</f>
        <v>0</v>
      </c>
      <c r="W72" s="287" t="n">
        <f aca="false">IF('Datos Iniciales'!$Q53=1,'Datos Iniciales'!H53,0)</f>
        <v>0</v>
      </c>
      <c r="X72" s="287" t="n">
        <f aca="false">IF('Datos Iniciales'!$Q53=1,'Datos Iniciales'!I53,0)</f>
        <v>0</v>
      </c>
      <c r="Y72" s="287" t="n">
        <f aca="false">IF('Datos Iniciales'!$Q53=1,'Datos Iniciales'!J53,0)</f>
        <v>0</v>
      </c>
      <c r="Z72" s="287" t="n">
        <f aca="false">IF('Datos Iniciales'!$Q53=1,'Datos Iniciales'!K53,0)</f>
        <v>0</v>
      </c>
      <c r="AA72" s="287" t="n">
        <f aca="false">IF('Datos Iniciales'!$Q53=1,'Datos Iniciales'!L53,0)</f>
        <v>0</v>
      </c>
      <c r="AB72" s="287" t="n">
        <f aca="false">IF('Datos Iniciales'!$Q53=1,'Datos Iniciales'!M53,0)</f>
        <v>0</v>
      </c>
      <c r="AC72" s="287" t="n">
        <f aca="false">IF('Datos Iniciales'!$Q53=1,'Datos Iniciales'!N53,0)</f>
        <v>0</v>
      </c>
      <c r="AD72" s="287" t="n">
        <f aca="false">IF('Datos Iniciales'!$Q53=1,'Datos Iniciales'!O53,0)</f>
        <v>0</v>
      </c>
      <c r="AE72" s="287"/>
      <c r="AF72" s="287"/>
      <c r="AG72" s="205" t="str">
        <f aca="false">R72</f>
        <v>Actividad19</v>
      </c>
      <c r="AH72" s="205"/>
      <c r="AJ72" s="287" t="n">
        <f aca="false">IF('Datos Iniciales'!$Q53=2,'Datos Iniciales'!F53,0)</f>
        <v>0</v>
      </c>
      <c r="AK72" s="287" t="n">
        <f aca="false">IF('Datos Iniciales'!$Q53=2,'Datos Iniciales'!G53,0)</f>
        <v>0</v>
      </c>
      <c r="AL72" s="287" t="n">
        <f aca="false">IF('Datos Iniciales'!$Q53=2,'Datos Iniciales'!H53,0)</f>
        <v>0</v>
      </c>
      <c r="AM72" s="287" t="n">
        <f aca="false">IF('Datos Iniciales'!$Q53=2,'Datos Iniciales'!I53,0)</f>
        <v>0</v>
      </c>
      <c r="AN72" s="287" t="n">
        <f aca="false">IF('Datos Iniciales'!$Q53=2,'Datos Iniciales'!J53,0)</f>
        <v>0</v>
      </c>
      <c r="AO72" s="287" t="n">
        <f aca="false">IF('Datos Iniciales'!$Q53=2,'Datos Iniciales'!K53,0)</f>
        <v>0</v>
      </c>
      <c r="AP72" s="287" t="n">
        <f aca="false">IF('Datos Iniciales'!$Q53=2,'Datos Iniciales'!L53,0)</f>
        <v>0</v>
      </c>
      <c r="AQ72" s="287" t="n">
        <f aca="false">IF('Datos Iniciales'!$Q53=2,'Datos Iniciales'!M53,0)</f>
        <v>0</v>
      </c>
      <c r="AR72" s="287" t="n">
        <f aca="false">IF('Datos Iniciales'!$Q53=2,'Datos Iniciales'!N53,0)</f>
        <v>0</v>
      </c>
      <c r="AS72" s="287" t="n">
        <f aca="false">IF('Datos Iniciales'!$Q53=2,'Datos Iniciales'!O53,0)</f>
        <v>0</v>
      </c>
      <c r="AT72" s="287"/>
      <c r="AU72" s="287"/>
      <c r="AV72" s="205" t="str">
        <f aca="false">AG72</f>
        <v>Actividad19</v>
      </c>
      <c r="AW72" s="205"/>
      <c r="AY72" s="287" t="n">
        <f aca="false">IF('Datos Iniciales'!$Q53=3,'Datos Iniciales'!F53,0)</f>
        <v>0</v>
      </c>
      <c r="AZ72" s="287" t="n">
        <f aca="false">IF('Datos Iniciales'!$Q53=3,'Datos Iniciales'!G53,0)</f>
        <v>0</v>
      </c>
      <c r="BA72" s="287" t="n">
        <f aca="false">IF('Datos Iniciales'!$Q53=3,'Datos Iniciales'!H53,0)</f>
        <v>0</v>
      </c>
      <c r="BB72" s="287" t="n">
        <f aca="false">IF('Datos Iniciales'!$Q53=3,'Datos Iniciales'!I53,0)</f>
        <v>0</v>
      </c>
      <c r="BC72" s="287" t="n">
        <f aca="false">IF('Datos Iniciales'!$Q53=3,'Datos Iniciales'!J53,0)</f>
        <v>0</v>
      </c>
      <c r="BD72" s="287" t="n">
        <f aca="false">IF('Datos Iniciales'!$Q53=3,'Datos Iniciales'!K53,0)</f>
        <v>0</v>
      </c>
      <c r="BE72" s="287" t="n">
        <f aca="false">IF('Datos Iniciales'!$Q53=3,'Datos Iniciales'!L53,0)</f>
        <v>0</v>
      </c>
      <c r="BF72" s="287" t="n">
        <f aca="false">IF('Datos Iniciales'!$Q53=3,'Datos Iniciales'!M53,0)</f>
        <v>0</v>
      </c>
      <c r="BG72" s="287" t="n">
        <f aca="false">IF('Datos Iniciales'!$Q53=3,'Datos Iniciales'!N53,0)</f>
        <v>0</v>
      </c>
      <c r="BH72" s="287" t="n">
        <f aca="false">IF('Datos Iniciales'!$Q53=3,'Datos Iniciales'!O53,0)</f>
        <v>0</v>
      </c>
      <c r="BI72" s="287"/>
      <c r="BJ72" s="287"/>
    </row>
    <row r="73" customFormat="false" ht="15" hidden="true" customHeight="false" outlineLevel="0" collapsed="false">
      <c r="R73" s="205" t="str">
        <f aca="false">'Datos Iniciales'!E54</f>
        <v>Actividad20</v>
      </c>
      <c r="S73" s="205"/>
      <c r="U73" s="287" t="n">
        <f aca="false">IF('Datos Iniciales'!$Q54=1,'Datos Iniciales'!F54,0)</f>
        <v>0</v>
      </c>
      <c r="V73" s="287" t="n">
        <f aca="false">IF('Datos Iniciales'!$Q54=1,'Datos Iniciales'!G54,0)</f>
        <v>0</v>
      </c>
      <c r="W73" s="287" t="n">
        <f aca="false">IF('Datos Iniciales'!$Q54=1,'Datos Iniciales'!H54,0)</f>
        <v>0</v>
      </c>
      <c r="X73" s="287" t="n">
        <f aca="false">IF('Datos Iniciales'!$Q54=1,'Datos Iniciales'!I54,0)</f>
        <v>0</v>
      </c>
      <c r="Y73" s="287" t="n">
        <f aca="false">IF('Datos Iniciales'!$Q54=1,'Datos Iniciales'!J54,0)</f>
        <v>0</v>
      </c>
      <c r="Z73" s="287" t="n">
        <f aca="false">IF('Datos Iniciales'!$Q54=1,'Datos Iniciales'!K54,0)</f>
        <v>0</v>
      </c>
      <c r="AA73" s="287" t="n">
        <f aca="false">IF('Datos Iniciales'!$Q54=1,'Datos Iniciales'!L54,0)</f>
        <v>0</v>
      </c>
      <c r="AB73" s="287" t="n">
        <f aca="false">IF('Datos Iniciales'!$Q54=1,'Datos Iniciales'!M54,0)</f>
        <v>0</v>
      </c>
      <c r="AC73" s="287" t="n">
        <f aca="false">IF('Datos Iniciales'!$Q54=1,'Datos Iniciales'!N54,0)</f>
        <v>0</v>
      </c>
      <c r="AD73" s="287" t="n">
        <f aca="false">IF('Datos Iniciales'!$Q54=1,'Datos Iniciales'!O54,0)</f>
        <v>0</v>
      </c>
      <c r="AE73" s="287"/>
      <c r="AF73" s="287"/>
      <c r="AG73" s="205" t="str">
        <f aca="false">R73</f>
        <v>Actividad20</v>
      </c>
      <c r="AH73" s="205"/>
      <c r="AJ73" s="287" t="n">
        <f aca="false">IF('Datos Iniciales'!$Q54=2,'Datos Iniciales'!F54,0)</f>
        <v>0</v>
      </c>
      <c r="AK73" s="287" t="n">
        <f aca="false">IF('Datos Iniciales'!$Q54=2,'Datos Iniciales'!G54,0)</f>
        <v>0</v>
      </c>
      <c r="AL73" s="287" t="n">
        <f aca="false">IF('Datos Iniciales'!$Q54=2,'Datos Iniciales'!H54,0)</f>
        <v>0</v>
      </c>
      <c r="AM73" s="287" t="n">
        <f aca="false">IF('Datos Iniciales'!$Q54=2,'Datos Iniciales'!I54,0)</f>
        <v>0</v>
      </c>
      <c r="AN73" s="287" t="n">
        <f aca="false">IF('Datos Iniciales'!$Q54=2,'Datos Iniciales'!J54,0)</f>
        <v>0</v>
      </c>
      <c r="AO73" s="287" t="n">
        <f aca="false">IF('Datos Iniciales'!$Q54=2,'Datos Iniciales'!K54,0)</f>
        <v>0</v>
      </c>
      <c r="AP73" s="287" t="n">
        <f aca="false">IF('Datos Iniciales'!$Q54=2,'Datos Iniciales'!L54,0)</f>
        <v>0</v>
      </c>
      <c r="AQ73" s="287" t="n">
        <f aca="false">IF('Datos Iniciales'!$Q54=2,'Datos Iniciales'!M54,0)</f>
        <v>0</v>
      </c>
      <c r="AR73" s="287" t="n">
        <f aca="false">IF('Datos Iniciales'!$Q54=2,'Datos Iniciales'!N54,0)</f>
        <v>0</v>
      </c>
      <c r="AS73" s="287" t="n">
        <f aca="false">IF('Datos Iniciales'!$Q54=2,'Datos Iniciales'!O54,0)</f>
        <v>0</v>
      </c>
      <c r="AT73" s="287"/>
      <c r="AU73" s="287"/>
      <c r="AV73" s="205" t="str">
        <f aca="false">AG73</f>
        <v>Actividad20</v>
      </c>
      <c r="AW73" s="205"/>
      <c r="AY73" s="287" t="n">
        <f aca="false">IF('Datos Iniciales'!$Q54=3,'Datos Iniciales'!F54,0)</f>
        <v>0</v>
      </c>
      <c r="AZ73" s="287" t="n">
        <f aca="false">IF('Datos Iniciales'!$Q54=3,'Datos Iniciales'!G54,0)</f>
        <v>0</v>
      </c>
      <c r="BA73" s="287" t="n">
        <f aca="false">IF('Datos Iniciales'!$Q54=3,'Datos Iniciales'!H54,0)</f>
        <v>0</v>
      </c>
      <c r="BB73" s="287" t="n">
        <f aca="false">IF('Datos Iniciales'!$Q54=3,'Datos Iniciales'!I54,0)</f>
        <v>0</v>
      </c>
      <c r="BC73" s="287" t="n">
        <f aca="false">IF('Datos Iniciales'!$Q54=3,'Datos Iniciales'!J54,0)</f>
        <v>0</v>
      </c>
      <c r="BD73" s="287" t="n">
        <f aca="false">IF('Datos Iniciales'!$Q54=3,'Datos Iniciales'!K54,0)</f>
        <v>0</v>
      </c>
      <c r="BE73" s="287" t="n">
        <f aca="false">IF('Datos Iniciales'!$Q54=3,'Datos Iniciales'!L54,0)</f>
        <v>0</v>
      </c>
      <c r="BF73" s="287" t="n">
        <f aca="false">IF('Datos Iniciales'!$Q54=3,'Datos Iniciales'!M54,0)</f>
        <v>0</v>
      </c>
      <c r="BG73" s="287" t="n">
        <f aca="false">IF('Datos Iniciales'!$Q54=3,'Datos Iniciales'!N54,0)</f>
        <v>0</v>
      </c>
      <c r="BH73" s="287" t="n">
        <f aca="false">IF('Datos Iniciales'!$Q54=3,'Datos Iniciales'!O54,0)</f>
        <v>0</v>
      </c>
      <c r="BI73" s="287"/>
      <c r="BJ73" s="287"/>
    </row>
    <row r="74" customFormat="false" ht="15" hidden="true" customHeight="false" outlineLevel="0" collapsed="false">
      <c r="R74" s="205" t="str">
        <f aca="false">'Datos Iniciales'!E55</f>
        <v>Actividad21</v>
      </c>
      <c r="S74" s="205"/>
      <c r="U74" s="287" t="n">
        <f aca="false">IF('Datos Iniciales'!$Q55=1,'Datos Iniciales'!F55,0)</f>
        <v>0</v>
      </c>
      <c r="V74" s="287" t="n">
        <f aca="false">IF('Datos Iniciales'!$Q55=1,'Datos Iniciales'!G55,0)</f>
        <v>0</v>
      </c>
      <c r="W74" s="287" t="n">
        <f aca="false">IF('Datos Iniciales'!$Q55=1,'Datos Iniciales'!H55,0)</f>
        <v>0</v>
      </c>
      <c r="X74" s="287" t="n">
        <f aca="false">IF('Datos Iniciales'!$Q55=1,'Datos Iniciales'!I55,0)</f>
        <v>0</v>
      </c>
      <c r="Y74" s="287" t="n">
        <f aca="false">IF('Datos Iniciales'!$Q55=1,'Datos Iniciales'!J55,0)</f>
        <v>0</v>
      </c>
      <c r="Z74" s="287" t="n">
        <f aca="false">IF('Datos Iniciales'!$Q55=1,'Datos Iniciales'!K55,0)</f>
        <v>0</v>
      </c>
      <c r="AA74" s="287" t="n">
        <f aca="false">IF('Datos Iniciales'!$Q55=1,'Datos Iniciales'!L55,0)</f>
        <v>0</v>
      </c>
      <c r="AB74" s="287" t="n">
        <f aca="false">IF('Datos Iniciales'!$Q55=1,'Datos Iniciales'!M55,0)</f>
        <v>0</v>
      </c>
      <c r="AC74" s="287" t="n">
        <f aca="false">IF('Datos Iniciales'!$Q55=1,'Datos Iniciales'!N55,0)</f>
        <v>0</v>
      </c>
      <c r="AD74" s="287" t="n">
        <f aca="false">IF('Datos Iniciales'!$Q55=1,'Datos Iniciales'!O55,0)</f>
        <v>0</v>
      </c>
      <c r="AE74" s="287"/>
      <c r="AF74" s="287"/>
      <c r="AG74" s="205" t="str">
        <f aca="false">R74</f>
        <v>Actividad21</v>
      </c>
      <c r="AH74" s="205"/>
      <c r="AJ74" s="287" t="n">
        <f aca="false">IF('Datos Iniciales'!$Q55=2,'Datos Iniciales'!F55,0)</f>
        <v>0</v>
      </c>
      <c r="AK74" s="287" t="n">
        <f aca="false">IF('Datos Iniciales'!$Q55=2,'Datos Iniciales'!G55,0)</f>
        <v>0</v>
      </c>
      <c r="AL74" s="287" t="n">
        <f aca="false">IF('Datos Iniciales'!$Q55=2,'Datos Iniciales'!H55,0)</f>
        <v>0</v>
      </c>
      <c r="AM74" s="287" t="n">
        <f aca="false">IF('Datos Iniciales'!$Q55=2,'Datos Iniciales'!I55,0)</f>
        <v>0</v>
      </c>
      <c r="AN74" s="287" t="n">
        <f aca="false">IF('Datos Iniciales'!$Q55=2,'Datos Iniciales'!J55,0)</f>
        <v>0</v>
      </c>
      <c r="AO74" s="287" t="n">
        <f aca="false">IF('Datos Iniciales'!$Q55=2,'Datos Iniciales'!K55,0)</f>
        <v>0</v>
      </c>
      <c r="AP74" s="287" t="n">
        <f aca="false">IF('Datos Iniciales'!$Q55=2,'Datos Iniciales'!L55,0)</f>
        <v>0</v>
      </c>
      <c r="AQ74" s="287" t="n">
        <f aca="false">IF('Datos Iniciales'!$Q55=2,'Datos Iniciales'!M55,0)</f>
        <v>0</v>
      </c>
      <c r="AR74" s="287" t="n">
        <f aca="false">IF('Datos Iniciales'!$Q55=2,'Datos Iniciales'!N55,0)</f>
        <v>0</v>
      </c>
      <c r="AS74" s="287" t="n">
        <f aca="false">IF('Datos Iniciales'!$Q55=2,'Datos Iniciales'!O55,0)</f>
        <v>0</v>
      </c>
      <c r="AT74" s="287"/>
      <c r="AU74" s="287"/>
      <c r="AV74" s="205" t="str">
        <f aca="false">AG74</f>
        <v>Actividad21</v>
      </c>
      <c r="AW74" s="205"/>
      <c r="AY74" s="287" t="n">
        <f aca="false">IF('Datos Iniciales'!$Q55=3,'Datos Iniciales'!F55,0)</f>
        <v>0</v>
      </c>
      <c r="AZ74" s="287" t="n">
        <f aca="false">IF('Datos Iniciales'!$Q55=3,'Datos Iniciales'!G55,0)</f>
        <v>0</v>
      </c>
      <c r="BA74" s="287" t="n">
        <f aca="false">IF('Datos Iniciales'!$Q55=3,'Datos Iniciales'!H55,0)</f>
        <v>0</v>
      </c>
      <c r="BB74" s="287" t="n">
        <f aca="false">IF('Datos Iniciales'!$Q55=3,'Datos Iniciales'!I55,0)</f>
        <v>0</v>
      </c>
      <c r="BC74" s="287" t="n">
        <f aca="false">IF('Datos Iniciales'!$Q55=3,'Datos Iniciales'!J55,0)</f>
        <v>0</v>
      </c>
      <c r="BD74" s="287" t="n">
        <f aca="false">IF('Datos Iniciales'!$Q55=3,'Datos Iniciales'!K55,0)</f>
        <v>0</v>
      </c>
      <c r="BE74" s="287" t="n">
        <f aca="false">IF('Datos Iniciales'!$Q55=3,'Datos Iniciales'!L55,0)</f>
        <v>0</v>
      </c>
      <c r="BF74" s="287" t="n">
        <f aca="false">IF('Datos Iniciales'!$Q55=3,'Datos Iniciales'!M55,0)</f>
        <v>0</v>
      </c>
      <c r="BG74" s="287" t="n">
        <f aca="false">IF('Datos Iniciales'!$Q55=3,'Datos Iniciales'!N55,0)</f>
        <v>0</v>
      </c>
      <c r="BH74" s="287" t="n">
        <f aca="false">IF('Datos Iniciales'!$Q55=3,'Datos Iniciales'!O55,0)</f>
        <v>0</v>
      </c>
      <c r="BI74" s="287"/>
      <c r="BJ74" s="287"/>
    </row>
    <row r="75" customFormat="false" ht="15" hidden="true" customHeight="false" outlineLevel="0" collapsed="false">
      <c r="R75" s="205" t="str">
        <f aca="false">'Datos Iniciales'!E56</f>
        <v>Actividad22</v>
      </c>
      <c r="S75" s="205"/>
      <c r="U75" s="287" t="n">
        <f aca="false">IF('Datos Iniciales'!$Q56=1,'Datos Iniciales'!F56,0)</f>
        <v>0</v>
      </c>
      <c r="V75" s="287" t="n">
        <f aca="false">IF('Datos Iniciales'!$Q56=1,'Datos Iniciales'!G56,0)</f>
        <v>0</v>
      </c>
      <c r="W75" s="287" t="n">
        <f aca="false">IF('Datos Iniciales'!$Q56=1,'Datos Iniciales'!H56,0)</f>
        <v>0</v>
      </c>
      <c r="X75" s="287" t="n">
        <f aca="false">IF('Datos Iniciales'!$Q56=1,'Datos Iniciales'!I56,0)</f>
        <v>0</v>
      </c>
      <c r="Y75" s="287" t="n">
        <f aca="false">IF('Datos Iniciales'!$Q56=1,'Datos Iniciales'!J56,0)</f>
        <v>0</v>
      </c>
      <c r="Z75" s="287" t="n">
        <f aca="false">IF('Datos Iniciales'!$Q56=1,'Datos Iniciales'!K56,0)</f>
        <v>0</v>
      </c>
      <c r="AA75" s="287" t="n">
        <f aca="false">IF('Datos Iniciales'!$Q56=1,'Datos Iniciales'!L56,0)</f>
        <v>0</v>
      </c>
      <c r="AB75" s="287" t="n">
        <f aca="false">IF('Datos Iniciales'!$Q56=1,'Datos Iniciales'!M56,0)</f>
        <v>0</v>
      </c>
      <c r="AC75" s="287" t="n">
        <f aca="false">IF('Datos Iniciales'!$Q56=1,'Datos Iniciales'!N56,0)</f>
        <v>0</v>
      </c>
      <c r="AD75" s="287" t="n">
        <f aca="false">IF('Datos Iniciales'!$Q56=1,'Datos Iniciales'!O56,0)</f>
        <v>0</v>
      </c>
      <c r="AE75" s="287"/>
      <c r="AF75" s="287"/>
      <c r="AG75" s="205" t="str">
        <f aca="false">R75</f>
        <v>Actividad22</v>
      </c>
      <c r="AH75" s="205"/>
      <c r="AJ75" s="287" t="n">
        <f aca="false">IF('Datos Iniciales'!$Q56=2,'Datos Iniciales'!F56,0)</f>
        <v>0</v>
      </c>
      <c r="AK75" s="287" t="n">
        <f aca="false">IF('Datos Iniciales'!$Q56=2,'Datos Iniciales'!G56,0)</f>
        <v>0</v>
      </c>
      <c r="AL75" s="287" t="n">
        <f aca="false">IF('Datos Iniciales'!$Q56=2,'Datos Iniciales'!H56,0)</f>
        <v>0</v>
      </c>
      <c r="AM75" s="287" t="n">
        <f aca="false">IF('Datos Iniciales'!$Q56=2,'Datos Iniciales'!I56,0)</f>
        <v>0</v>
      </c>
      <c r="AN75" s="287" t="n">
        <f aca="false">IF('Datos Iniciales'!$Q56=2,'Datos Iniciales'!J56,0)</f>
        <v>0</v>
      </c>
      <c r="AO75" s="287" t="n">
        <f aca="false">IF('Datos Iniciales'!$Q56=2,'Datos Iniciales'!K56,0)</f>
        <v>0</v>
      </c>
      <c r="AP75" s="287" t="n">
        <f aca="false">IF('Datos Iniciales'!$Q56=2,'Datos Iniciales'!L56,0)</f>
        <v>0</v>
      </c>
      <c r="AQ75" s="287" t="n">
        <f aca="false">IF('Datos Iniciales'!$Q56=2,'Datos Iniciales'!M56,0)</f>
        <v>0</v>
      </c>
      <c r="AR75" s="287" t="n">
        <f aca="false">IF('Datos Iniciales'!$Q56=2,'Datos Iniciales'!N56,0)</f>
        <v>0</v>
      </c>
      <c r="AS75" s="287" t="n">
        <f aca="false">IF('Datos Iniciales'!$Q56=2,'Datos Iniciales'!O56,0)</f>
        <v>0</v>
      </c>
      <c r="AT75" s="287"/>
      <c r="AU75" s="287"/>
      <c r="AV75" s="205" t="str">
        <f aca="false">AG75</f>
        <v>Actividad22</v>
      </c>
      <c r="AW75" s="205"/>
      <c r="AY75" s="287" t="n">
        <f aca="false">IF('Datos Iniciales'!$Q56=3,'Datos Iniciales'!F56,0)</f>
        <v>0</v>
      </c>
      <c r="AZ75" s="287" t="n">
        <f aca="false">IF('Datos Iniciales'!$Q56=3,'Datos Iniciales'!G56,0)</f>
        <v>0</v>
      </c>
      <c r="BA75" s="287" t="n">
        <f aca="false">IF('Datos Iniciales'!$Q56=3,'Datos Iniciales'!H56,0)</f>
        <v>0</v>
      </c>
      <c r="BB75" s="287" t="n">
        <f aca="false">IF('Datos Iniciales'!$Q56=3,'Datos Iniciales'!I56,0)</f>
        <v>0</v>
      </c>
      <c r="BC75" s="287" t="n">
        <f aca="false">IF('Datos Iniciales'!$Q56=3,'Datos Iniciales'!J56,0)</f>
        <v>0</v>
      </c>
      <c r="BD75" s="287" t="n">
        <f aca="false">IF('Datos Iniciales'!$Q56=3,'Datos Iniciales'!K56,0)</f>
        <v>0</v>
      </c>
      <c r="BE75" s="287" t="n">
        <f aca="false">IF('Datos Iniciales'!$Q56=3,'Datos Iniciales'!L56,0)</f>
        <v>0</v>
      </c>
      <c r="BF75" s="287" t="n">
        <f aca="false">IF('Datos Iniciales'!$Q56=3,'Datos Iniciales'!M56,0)</f>
        <v>0</v>
      </c>
      <c r="BG75" s="287" t="n">
        <f aca="false">IF('Datos Iniciales'!$Q56=3,'Datos Iniciales'!N56,0)</f>
        <v>0</v>
      </c>
      <c r="BH75" s="287" t="n">
        <f aca="false">IF('Datos Iniciales'!$Q56=3,'Datos Iniciales'!O56,0)</f>
        <v>0</v>
      </c>
      <c r="BI75" s="287"/>
      <c r="BJ75" s="287"/>
    </row>
    <row r="76" customFormat="false" ht="15" hidden="true" customHeight="false" outlineLevel="0" collapsed="false">
      <c r="R76" s="205" t="str">
        <f aca="false">'Datos Iniciales'!E57</f>
        <v>Actividad23</v>
      </c>
      <c r="S76" s="205"/>
      <c r="U76" s="287" t="n">
        <f aca="false">IF('Datos Iniciales'!$Q57=1,'Datos Iniciales'!F57,0)</f>
        <v>0</v>
      </c>
      <c r="V76" s="287" t="n">
        <f aca="false">IF('Datos Iniciales'!$Q57=1,'Datos Iniciales'!G57,0)</f>
        <v>0</v>
      </c>
      <c r="W76" s="287" t="n">
        <f aca="false">IF('Datos Iniciales'!$Q57=1,'Datos Iniciales'!H57,0)</f>
        <v>0</v>
      </c>
      <c r="X76" s="287" t="n">
        <f aca="false">IF('Datos Iniciales'!$Q57=1,'Datos Iniciales'!I57,0)</f>
        <v>0</v>
      </c>
      <c r="Y76" s="287" t="n">
        <f aca="false">IF('Datos Iniciales'!$Q57=1,'Datos Iniciales'!J57,0)</f>
        <v>0</v>
      </c>
      <c r="Z76" s="287" t="n">
        <f aca="false">IF('Datos Iniciales'!$Q57=1,'Datos Iniciales'!K57,0)</f>
        <v>0</v>
      </c>
      <c r="AA76" s="287" t="n">
        <f aca="false">IF('Datos Iniciales'!$Q57=1,'Datos Iniciales'!L57,0)</f>
        <v>0</v>
      </c>
      <c r="AB76" s="287" t="n">
        <f aca="false">IF('Datos Iniciales'!$Q57=1,'Datos Iniciales'!M57,0)</f>
        <v>0</v>
      </c>
      <c r="AC76" s="287" t="n">
        <f aca="false">IF('Datos Iniciales'!$Q57=1,'Datos Iniciales'!N57,0)</f>
        <v>0</v>
      </c>
      <c r="AD76" s="287" t="n">
        <f aca="false">IF('Datos Iniciales'!$Q57=1,'Datos Iniciales'!O57,0)</f>
        <v>0</v>
      </c>
      <c r="AE76" s="287"/>
      <c r="AF76" s="287"/>
      <c r="AG76" s="205" t="str">
        <f aca="false">R76</f>
        <v>Actividad23</v>
      </c>
      <c r="AH76" s="205"/>
      <c r="AJ76" s="287" t="n">
        <f aca="false">IF('Datos Iniciales'!$Q57=2,'Datos Iniciales'!F57,0)</f>
        <v>0</v>
      </c>
      <c r="AK76" s="287" t="n">
        <f aca="false">IF('Datos Iniciales'!$Q57=2,'Datos Iniciales'!G57,0)</f>
        <v>0</v>
      </c>
      <c r="AL76" s="287" t="n">
        <f aca="false">IF('Datos Iniciales'!$Q57=2,'Datos Iniciales'!H57,0)</f>
        <v>0</v>
      </c>
      <c r="AM76" s="287" t="n">
        <f aca="false">IF('Datos Iniciales'!$Q57=2,'Datos Iniciales'!I57,0)</f>
        <v>0</v>
      </c>
      <c r="AN76" s="287" t="n">
        <f aca="false">IF('Datos Iniciales'!$Q57=2,'Datos Iniciales'!J57,0)</f>
        <v>0</v>
      </c>
      <c r="AO76" s="287" t="n">
        <f aca="false">IF('Datos Iniciales'!$Q57=2,'Datos Iniciales'!K57,0)</f>
        <v>0</v>
      </c>
      <c r="AP76" s="287" t="n">
        <f aca="false">IF('Datos Iniciales'!$Q57=2,'Datos Iniciales'!L57,0)</f>
        <v>0</v>
      </c>
      <c r="AQ76" s="287" t="n">
        <f aca="false">IF('Datos Iniciales'!$Q57=2,'Datos Iniciales'!M57,0)</f>
        <v>0</v>
      </c>
      <c r="AR76" s="287" t="n">
        <f aca="false">IF('Datos Iniciales'!$Q57=2,'Datos Iniciales'!N57,0)</f>
        <v>0</v>
      </c>
      <c r="AS76" s="287" t="n">
        <f aca="false">IF('Datos Iniciales'!$Q57=2,'Datos Iniciales'!O57,0)</f>
        <v>0</v>
      </c>
      <c r="AT76" s="287"/>
      <c r="AU76" s="287"/>
      <c r="AV76" s="205" t="str">
        <f aca="false">AG76</f>
        <v>Actividad23</v>
      </c>
      <c r="AW76" s="205"/>
      <c r="AY76" s="287" t="n">
        <f aca="false">IF('Datos Iniciales'!$Q57=3,'Datos Iniciales'!F57,0)</f>
        <v>0</v>
      </c>
      <c r="AZ76" s="287" t="n">
        <f aca="false">IF('Datos Iniciales'!$Q57=3,'Datos Iniciales'!G57,0)</f>
        <v>0</v>
      </c>
      <c r="BA76" s="287" t="n">
        <f aca="false">IF('Datos Iniciales'!$Q57=3,'Datos Iniciales'!H57,0)</f>
        <v>0</v>
      </c>
      <c r="BB76" s="287" t="n">
        <f aca="false">IF('Datos Iniciales'!$Q57=3,'Datos Iniciales'!I57,0)</f>
        <v>0</v>
      </c>
      <c r="BC76" s="287" t="n">
        <f aca="false">IF('Datos Iniciales'!$Q57=3,'Datos Iniciales'!J57,0)</f>
        <v>0</v>
      </c>
      <c r="BD76" s="287" t="n">
        <f aca="false">IF('Datos Iniciales'!$Q57=3,'Datos Iniciales'!K57,0)</f>
        <v>0</v>
      </c>
      <c r="BE76" s="287" t="n">
        <f aca="false">IF('Datos Iniciales'!$Q57=3,'Datos Iniciales'!L57,0)</f>
        <v>0</v>
      </c>
      <c r="BF76" s="287" t="n">
        <f aca="false">IF('Datos Iniciales'!$Q57=3,'Datos Iniciales'!M57,0)</f>
        <v>0</v>
      </c>
      <c r="BG76" s="287" t="n">
        <f aca="false">IF('Datos Iniciales'!$Q57=3,'Datos Iniciales'!N57,0)</f>
        <v>0</v>
      </c>
      <c r="BH76" s="287" t="n">
        <f aca="false">IF('Datos Iniciales'!$Q57=3,'Datos Iniciales'!O57,0)</f>
        <v>0</v>
      </c>
      <c r="BI76" s="287"/>
      <c r="BJ76" s="287"/>
    </row>
    <row r="77" customFormat="false" ht="15" hidden="true" customHeight="false" outlineLevel="0" collapsed="false">
      <c r="R77" s="205" t="str">
        <f aca="false">'Datos Iniciales'!E58</f>
        <v>Actividad24</v>
      </c>
      <c r="S77" s="205"/>
      <c r="U77" s="287" t="n">
        <f aca="false">IF('Datos Iniciales'!$Q58=1,'Datos Iniciales'!F58,0)</f>
        <v>0</v>
      </c>
      <c r="V77" s="287" t="n">
        <f aca="false">IF('Datos Iniciales'!$Q58=1,'Datos Iniciales'!G58,0)</f>
        <v>0</v>
      </c>
      <c r="W77" s="287" t="n">
        <f aca="false">IF('Datos Iniciales'!$Q58=1,'Datos Iniciales'!H58,0)</f>
        <v>0</v>
      </c>
      <c r="X77" s="287" t="n">
        <f aca="false">IF('Datos Iniciales'!$Q58=1,'Datos Iniciales'!I58,0)</f>
        <v>0</v>
      </c>
      <c r="Y77" s="287" t="n">
        <f aca="false">IF('Datos Iniciales'!$Q58=1,'Datos Iniciales'!J58,0)</f>
        <v>0</v>
      </c>
      <c r="Z77" s="287" t="n">
        <f aca="false">IF('Datos Iniciales'!$Q58=1,'Datos Iniciales'!K58,0)</f>
        <v>0</v>
      </c>
      <c r="AA77" s="287" t="n">
        <f aca="false">IF('Datos Iniciales'!$Q58=1,'Datos Iniciales'!L58,0)</f>
        <v>0</v>
      </c>
      <c r="AB77" s="287" t="n">
        <f aca="false">IF('Datos Iniciales'!$Q58=1,'Datos Iniciales'!M58,0)</f>
        <v>0</v>
      </c>
      <c r="AC77" s="287" t="n">
        <f aca="false">IF('Datos Iniciales'!$Q58=1,'Datos Iniciales'!N58,0)</f>
        <v>0</v>
      </c>
      <c r="AD77" s="287" t="n">
        <f aca="false">IF('Datos Iniciales'!$Q58=1,'Datos Iniciales'!O58,0)</f>
        <v>0</v>
      </c>
      <c r="AE77" s="287"/>
      <c r="AF77" s="287"/>
      <c r="AG77" s="205" t="str">
        <f aca="false">R77</f>
        <v>Actividad24</v>
      </c>
      <c r="AH77" s="205"/>
      <c r="AJ77" s="287" t="n">
        <f aca="false">IF('Datos Iniciales'!$Q58=2,'Datos Iniciales'!F58,0)</f>
        <v>0</v>
      </c>
      <c r="AK77" s="287" t="n">
        <f aca="false">IF('Datos Iniciales'!$Q58=2,'Datos Iniciales'!G58,0)</f>
        <v>0</v>
      </c>
      <c r="AL77" s="287" t="n">
        <f aca="false">IF('Datos Iniciales'!$Q58=2,'Datos Iniciales'!H58,0)</f>
        <v>0</v>
      </c>
      <c r="AM77" s="287" t="n">
        <f aca="false">IF('Datos Iniciales'!$Q58=2,'Datos Iniciales'!I58,0)</f>
        <v>0</v>
      </c>
      <c r="AN77" s="287" t="n">
        <f aca="false">IF('Datos Iniciales'!$Q58=2,'Datos Iniciales'!J58,0)</f>
        <v>0</v>
      </c>
      <c r="AO77" s="287" t="n">
        <f aca="false">IF('Datos Iniciales'!$Q58=2,'Datos Iniciales'!K58,0)</f>
        <v>0</v>
      </c>
      <c r="AP77" s="287" t="n">
        <f aca="false">IF('Datos Iniciales'!$Q58=2,'Datos Iniciales'!L58,0)</f>
        <v>0</v>
      </c>
      <c r="AQ77" s="287" t="n">
        <f aca="false">IF('Datos Iniciales'!$Q58=2,'Datos Iniciales'!M58,0)</f>
        <v>0</v>
      </c>
      <c r="AR77" s="287" t="n">
        <f aca="false">IF('Datos Iniciales'!$Q58=2,'Datos Iniciales'!N58,0)</f>
        <v>0</v>
      </c>
      <c r="AS77" s="287" t="n">
        <f aca="false">IF('Datos Iniciales'!$Q58=2,'Datos Iniciales'!O58,0)</f>
        <v>0</v>
      </c>
      <c r="AT77" s="287"/>
      <c r="AU77" s="287"/>
      <c r="AV77" s="205" t="str">
        <f aca="false">AG77</f>
        <v>Actividad24</v>
      </c>
      <c r="AW77" s="205"/>
      <c r="AY77" s="287" t="n">
        <f aca="false">IF('Datos Iniciales'!$Q58=3,'Datos Iniciales'!F58,0)</f>
        <v>0</v>
      </c>
      <c r="AZ77" s="287" t="n">
        <f aca="false">IF('Datos Iniciales'!$Q58=3,'Datos Iniciales'!G58,0)</f>
        <v>0</v>
      </c>
      <c r="BA77" s="287" t="n">
        <f aca="false">IF('Datos Iniciales'!$Q58=3,'Datos Iniciales'!H58,0)</f>
        <v>0</v>
      </c>
      <c r="BB77" s="287" t="n">
        <f aca="false">IF('Datos Iniciales'!$Q58=3,'Datos Iniciales'!I58,0)</f>
        <v>0</v>
      </c>
      <c r="BC77" s="287" t="n">
        <f aca="false">IF('Datos Iniciales'!$Q58=3,'Datos Iniciales'!J58,0)</f>
        <v>0</v>
      </c>
      <c r="BD77" s="287" t="n">
        <f aca="false">IF('Datos Iniciales'!$Q58=3,'Datos Iniciales'!K58,0)</f>
        <v>0</v>
      </c>
      <c r="BE77" s="287" t="n">
        <f aca="false">IF('Datos Iniciales'!$Q58=3,'Datos Iniciales'!L58,0)</f>
        <v>0</v>
      </c>
      <c r="BF77" s="287" t="n">
        <f aca="false">IF('Datos Iniciales'!$Q58=3,'Datos Iniciales'!M58,0)</f>
        <v>0</v>
      </c>
      <c r="BG77" s="287" t="n">
        <f aca="false">IF('Datos Iniciales'!$Q58=3,'Datos Iniciales'!N58,0)</f>
        <v>0</v>
      </c>
      <c r="BH77" s="287" t="n">
        <f aca="false">IF('Datos Iniciales'!$Q58=3,'Datos Iniciales'!O58,0)</f>
        <v>0</v>
      </c>
      <c r="BI77" s="287"/>
      <c r="BJ77" s="287"/>
    </row>
    <row r="78" customFormat="false" ht="15" hidden="true" customHeight="false" outlineLevel="0" collapsed="false">
      <c r="R78" s="205" t="str">
        <f aca="false">'Datos Iniciales'!E59</f>
        <v>Actividad25</v>
      </c>
      <c r="S78" s="205"/>
      <c r="U78" s="287" t="n">
        <f aca="false">IF('Datos Iniciales'!$Q59=1,'Datos Iniciales'!F59,0)</f>
        <v>0</v>
      </c>
      <c r="V78" s="287" t="n">
        <f aca="false">IF('Datos Iniciales'!$Q59=1,'Datos Iniciales'!G59,0)</f>
        <v>0</v>
      </c>
      <c r="W78" s="287" t="n">
        <f aca="false">IF('Datos Iniciales'!$Q59=1,'Datos Iniciales'!H59,0)</f>
        <v>0</v>
      </c>
      <c r="X78" s="287" t="n">
        <f aca="false">IF('Datos Iniciales'!$Q59=1,'Datos Iniciales'!I59,0)</f>
        <v>0</v>
      </c>
      <c r="Y78" s="287" t="n">
        <f aca="false">IF('Datos Iniciales'!$Q59=1,'Datos Iniciales'!J59,0)</f>
        <v>0</v>
      </c>
      <c r="Z78" s="287" t="n">
        <f aca="false">IF('Datos Iniciales'!$Q59=1,'Datos Iniciales'!K59,0)</f>
        <v>0</v>
      </c>
      <c r="AA78" s="287" t="n">
        <f aca="false">IF('Datos Iniciales'!$Q59=1,'Datos Iniciales'!L59,0)</f>
        <v>0</v>
      </c>
      <c r="AB78" s="287" t="n">
        <f aca="false">IF('Datos Iniciales'!$Q59=1,'Datos Iniciales'!M59,0)</f>
        <v>0</v>
      </c>
      <c r="AC78" s="287" t="n">
        <f aca="false">IF('Datos Iniciales'!$Q59=1,'Datos Iniciales'!N59,0)</f>
        <v>0</v>
      </c>
      <c r="AD78" s="287" t="n">
        <f aca="false">IF('Datos Iniciales'!$Q59=1,'Datos Iniciales'!O59,0)</f>
        <v>0</v>
      </c>
      <c r="AE78" s="287"/>
      <c r="AF78" s="287"/>
      <c r="AG78" s="205" t="str">
        <f aca="false">R78</f>
        <v>Actividad25</v>
      </c>
      <c r="AH78" s="205"/>
      <c r="AJ78" s="287" t="n">
        <f aca="false">IF('Datos Iniciales'!$Q59=2,'Datos Iniciales'!F59,0)</f>
        <v>0</v>
      </c>
      <c r="AK78" s="287" t="n">
        <f aca="false">IF('Datos Iniciales'!$Q59=2,'Datos Iniciales'!G59,0)</f>
        <v>0</v>
      </c>
      <c r="AL78" s="287" t="n">
        <f aca="false">IF('Datos Iniciales'!$Q59=2,'Datos Iniciales'!H59,0)</f>
        <v>0</v>
      </c>
      <c r="AM78" s="287" t="n">
        <f aca="false">IF('Datos Iniciales'!$Q59=2,'Datos Iniciales'!I59,0)</f>
        <v>0</v>
      </c>
      <c r="AN78" s="287" t="n">
        <f aca="false">IF('Datos Iniciales'!$Q59=2,'Datos Iniciales'!J59,0)</f>
        <v>0</v>
      </c>
      <c r="AO78" s="287" t="n">
        <f aca="false">IF('Datos Iniciales'!$Q59=2,'Datos Iniciales'!K59,0)</f>
        <v>0</v>
      </c>
      <c r="AP78" s="287" t="n">
        <f aca="false">IF('Datos Iniciales'!$Q59=2,'Datos Iniciales'!L59,0)</f>
        <v>0</v>
      </c>
      <c r="AQ78" s="287" t="n">
        <f aca="false">IF('Datos Iniciales'!$Q59=2,'Datos Iniciales'!M59,0)</f>
        <v>0</v>
      </c>
      <c r="AR78" s="287" t="n">
        <f aca="false">IF('Datos Iniciales'!$Q59=2,'Datos Iniciales'!N59,0)</f>
        <v>0</v>
      </c>
      <c r="AS78" s="287" t="n">
        <f aca="false">IF('Datos Iniciales'!$Q59=2,'Datos Iniciales'!O59,0)</f>
        <v>0</v>
      </c>
      <c r="AT78" s="287"/>
      <c r="AU78" s="287"/>
      <c r="AV78" s="205" t="str">
        <f aca="false">AG78</f>
        <v>Actividad25</v>
      </c>
      <c r="AW78" s="205"/>
      <c r="AY78" s="287" t="n">
        <f aca="false">IF('Datos Iniciales'!$Q59=3,'Datos Iniciales'!F59,0)</f>
        <v>0</v>
      </c>
      <c r="AZ78" s="287" t="n">
        <f aca="false">IF('Datos Iniciales'!$Q59=3,'Datos Iniciales'!G59,0)</f>
        <v>0</v>
      </c>
      <c r="BA78" s="287" t="n">
        <f aca="false">IF('Datos Iniciales'!$Q59=3,'Datos Iniciales'!H59,0)</f>
        <v>0</v>
      </c>
      <c r="BB78" s="287" t="n">
        <f aca="false">IF('Datos Iniciales'!$Q59=3,'Datos Iniciales'!I59,0)</f>
        <v>0</v>
      </c>
      <c r="BC78" s="287" t="n">
        <f aca="false">IF('Datos Iniciales'!$Q59=3,'Datos Iniciales'!J59,0)</f>
        <v>0</v>
      </c>
      <c r="BD78" s="287" t="n">
        <f aca="false">IF('Datos Iniciales'!$Q59=3,'Datos Iniciales'!K59,0)</f>
        <v>0</v>
      </c>
      <c r="BE78" s="287" t="n">
        <f aca="false">IF('Datos Iniciales'!$Q59=3,'Datos Iniciales'!L59,0)</f>
        <v>0</v>
      </c>
      <c r="BF78" s="287" t="n">
        <f aca="false">IF('Datos Iniciales'!$Q59=3,'Datos Iniciales'!M59,0)</f>
        <v>0</v>
      </c>
      <c r="BG78" s="287" t="n">
        <f aca="false">IF('Datos Iniciales'!$Q59=3,'Datos Iniciales'!N59,0)</f>
        <v>0</v>
      </c>
      <c r="BH78" s="287" t="n">
        <f aca="false">IF('Datos Iniciales'!$Q59=3,'Datos Iniciales'!O59,0)</f>
        <v>0</v>
      </c>
      <c r="BI78" s="287"/>
      <c r="BJ78" s="287"/>
    </row>
    <row r="79" customFormat="false" ht="15" hidden="true" customHeight="false" outlineLevel="0" collapsed="false">
      <c r="R79" s="205" t="str">
        <f aca="false">'Datos Iniciales'!E60</f>
        <v>Actividad26</v>
      </c>
      <c r="S79" s="205"/>
      <c r="U79" s="287" t="n">
        <f aca="false">IF('Datos Iniciales'!$Q60=1,'Datos Iniciales'!F60,0)</f>
        <v>0</v>
      </c>
      <c r="V79" s="287" t="n">
        <f aca="false">IF('Datos Iniciales'!$Q60=1,'Datos Iniciales'!G60,0)</f>
        <v>0</v>
      </c>
      <c r="W79" s="287" t="n">
        <f aca="false">IF('Datos Iniciales'!$Q60=1,'Datos Iniciales'!H60,0)</f>
        <v>0</v>
      </c>
      <c r="X79" s="287" t="n">
        <f aca="false">IF('Datos Iniciales'!$Q60=1,'Datos Iniciales'!I60,0)</f>
        <v>0</v>
      </c>
      <c r="Y79" s="287" t="n">
        <f aca="false">IF('Datos Iniciales'!$Q60=1,'Datos Iniciales'!J60,0)</f>
        <v>0</v>
      </c>
      <c r="Z79" s="287" t="n">
        <f aca="false">IF('Datos Iniciales'!$Q60=1,'Datos Iniciales'!K60,0)</f>
        <v>0</v>
      </c>
      <c r="AA79" s="287" t="n">
        <f aca="false">IF('Datos Iniciales'!$Q60=1,'Datos Iniciales'!L60,0)</f>
        <v>0</v>
      </c>
      <c r="AB79" s="287" t="n">
        <f aca="false">IF('Datos Iniciales'!$Q60=1,'Datos Iniciales'!M60,0)</f>
        <v>0</v>
      </c>
      <c r="AC79" s="287" t="n">
        <f aca="false">IF('Datos Iniciales'!$Q60=1,'Datos Iniciales'!N60,0)</f>
        <v>0</v>
      </c>
      <c r="AD79" s="287" t="n">
        <f aca="false">IF('Datos Iniciales'!$Q60=1,'Datos Iniciales'!O60,0)</f>
        <v>0</v>
      </c>
      <c r="AE79" s="287"/>
      <c r="AF79" s="287"/>
      <c r="AG79" s="205" t="str">
        <f aca="false">R79</f>
        <v>Actividad26</v>
      </c>
      <c r="AH79" s="205"/>
      <c r="AJ79" s="287" t="n">
        <f aca="false">IF('Datos Iniciales'!$Q60=2,'Datos Iniciales'!F60,0)</f>
        <v>0</v>
      </c>
      <c r="AK79" s="287" t="n">
        <f aca="false">IF('Datos Iniciales'!$Q60=2,'Datos Iniciales'!G60,0)</f>
        <v>0</v>
      </c>
      <c r="AL79" s="287" t="n">
        <f aca="false">IF('Datos Iniciales'!$Q60=2,'Datos Iniciales'!H60,0)</f>
        <v>0</v>
      </c>
      <c r="AM79" s="287" t="n">
        <f aca="false">IF('Datos Iniciales'!$Q60=2,'Datos Iniciales'!I60,0)</f>
        <v>0</v>
      </c>
      <c r="AN79" s="287" t="n">
        <f aca="false">IF('Datos Iniciales'!$Q60=2,'Datos Iniciales'!J60,0)</f>
        <v>0</v>
      </c>
      <c r="AO79" s="287" t="n">
        <f aca="false">IF('Datos Iniciales'!$Q60=2,'Datos Iniciales'!K60,0)</f>
        <v>0</v>
      </c>
      <c r="AP79" s="287" t="n">
        <f aca="false">IF('Datos Iniciales'!$Q60=2,'Datos Iniciales'!L60,0)</f>
        <v>0</v>
      </c>
      <c r="AQ79" s="287" t="n">
        <f aca="false">IF('Datos Iniciales'!$Q60=2,'Datos Iniciales'!M60,0)</f>
        <v>0</v>
      </c>
      <c r="AR79" s="287" t="n">
        <f aca="false">IF('Datos Iniciales'!$Q60=2,'Datos Iniciales'!N60,0)</f>
        <v>0</v>
      </c>
      <c r="AS79" s="287" t="n">
        <f aca="false">IF('Datos Iniciales'!$Q60=2,'Datos Iniciales'!O60,0)</f>
        <v>0</v>
      </c>
      <c r="AT79" s="287"/>
      <c r="AU79" s="287"/>
      <c r="AV79" s="205" t="str">
        <f aca="false">AG79</f>
        <v>Actividad26</v>
      </c>
      <c r="AW79" s="205"/>
      <c r="AY79" s="287" t="n">
        <f aca="false">IF('Datos Iniciales'!$Q60=3,'Datos Iniciales'!F60,0)</f>
        <v>0</v>
      </c>
      <c r="AZ79" s="287" t="n">
        <f aca="false">IF('Datos Iniciales'!$Q60=3,'Datos Iniciales'!G60,0)</f>
        <v>0</v>
      </c>
      <c r="BA79" s="287" t="n">
        <f aca="false">IF('Datos Iniciales'!$Q60=3,'Datos Iniciales'!H60,0)</f>
        <v>0</v>
      </c>
      <c r="BB79" s="287" t="n">
        <f aca="false">IF('Datos Iniciales'!$Q60=3,'Datos Iniciales'!I60,0)</f>
        <v>0</v>
      </c>
      <c r="BC79" s="287" t="n">
        <f aca="false">IF('Datos Iniciales'!$Q60=3,'Datos Iniciales'!J60,0)</f>
        <v>0</v>
      </c>
      <c r="BD79" s="287" t="n">
        <f aca="false">IF('Datos Iniciales'!$Q60=3,'Datos Iniciales'!K60,0)</f>
        <v>0</v>
      </c>
      <c r="BE79" s="287" t="n">
        <f aca="false">IF('Datos Iniciales'!$Q60=3,'Datos Iniciales'!L60,0)</f>
        <v>0</v>
      </c>
      <c r="BF79" s="287" t="n">
        <f aca="false">IF('Datos Iniciales'!$Q60=3,'Datos Iniciales'!M60,0)</f>
        <v>0</v>
      </c>
      <c r="BG79" s="287" t="n">
        <f aca="false">IF('Datos Iniciales'!$Q60=3,'Datos Iniciales'!N60,0)</f>
        <v>0</v>
      </c>
      <c r="BH79" s="287" t="n">
        <f aca="false">IF('Datos Iniciales'!$Q60=3,'Datos Iniciales'!O60,0)</f>
        <v>0</v>
      </c>
      <c r="BI79" s="287"/>
      <c r="BJ79" s="287"/>
    </row>
    <row r="80" customFormat="false" ht="15" hidden="true" customHeight="false" outlineLevel="0" collapsed="false">
      <c r="R80" s="205" t="str">
        <f aca="false">'Datos Iniciales'!E61</f>
        <v>Actividad27</v>
      </c>
      <c r="S80" s="205"/>
      <c r="U80" s="287" t="n">
        <f aca="false">IF('Datos Iniciales'!$Q61=1,'Datos Iniciales'!F61,0)</f>
        <v>0</v>
      </c>
      <c r="V80" s="287" t="n">
        <f aca="false">IF('Datos Iniciales'!$Q61=1,'Datos Iniciales'!G61,0)</f>
        <v>0</v>
      </c>
      <c r="W80" s="287" t="n">
        <f aca="false">IF('Datos Iniciales'!$Q61=1,'Datos Iniciales'!H61,0)</f>
        <v>0</v>
      </c>
      <c r="X80" s="287" t="n">
        <f aca="false">IF('Datos Iniciales'!$Q61=1,'Datos Iniciales'!I61,0)</f>
        <v>0</v>
      </c>
      <c r="Y80" s="287" t="n">
        <f aca="false">IF('Datos Iniciales'!$Q61=1,'Datos Iniciales'!J61,0)</f>
        <v>0</v>
      </c>
      <c r="Z80" s="287" t="n">
        <f aca="false">IF('Datos Iniciales'!$Q61=1,'Datos Iniciales'!K61,0)</f>
        <v>0</v>
      </c>
      <c r="AA80" s="287" t="n">
        <f aca="false">IF('Datos Iniciales'!$Q61=1,'Datos Iniciales'!L61,0)</f>
        <v>0</v>
      </c>
      <c r="AB80" s="287" t="n">
        <f aca="false">IF('Datos Iniciales'!$Q61=1,'Datos Iniciales'!M61,0)</f>
        <v>0</v>
      </c>
      <c r="AC80" s="287" t="n">
        <f aca="false">IF('Datos Iniciales'!$Q61=1,'Datos Iniciales'!N61,0)</f>
        <v>0</v>
      </c>
      <c r="AD80" s="287" t="n">
        <f aca="false">IF('Datos Iniciales'!$Q61=1,'Datos Iniciales'!O61,0)</f>
        <v>0</v>
      </c>
      <c r="AE80" s="287"/>
      <c r="AF80" s="287"/>
      <c r="AG80" s="205" t="str">
        <f aca="false">R80</f>
        <v>Actividad27</v>
      </c>
      <c r="AH80" s="205"/>
      <c r="AJ80" s="287" t="n">
        <f aca="false">IF('Datos Iniciales'!$Q61=2,'Datos Iniciales'!F61,0)</f>
        <v>0</v>
      </c>
      <c r="AK80" s="287" t="n">
        <f aca="false">IF('Datos Iniciales'!$Q61=2,'Datos Iniciales'!G61,0)</f>
        <v>0</v>
      </c>
      <c r="AL80" s="287" t="n">
        <f aca="false">IF('Datos Iniciales'!$Q61=2,'Datos Iniciales'!H61,0)</f>
        <v>0</v>
      </c>
      <c r="AM80" s="287" t="n">
        <f aca="false">IF('Datos Iniciales'!$Q61=2,'Datos Iniciales'!I61,0)</f>
        <v>0</v>
      </c>
      <c r="AN80" s="287" t="n">
        <f aca="false">IF('Datos Iniciales'!$Q61=2,'Datos Iniciales'!J61,0)</f>
        <v>0</v>
      </c>
      <c r="AO80" s="287" t="n">
        <f aca="false">IF('Datos Iniciales'!$Q61=2,'Datos Iniciales'!K61,0)</f>
        <v>0</v>
      </c>
      <c r="AP80" s="287" t="n">
        <f aca="false">IF('Datos Iniciales'!$Q61=2,'Datos Iniciales'!L61,0)</f>
        <v>0</v>
      </c>
      <c r="AQ80" s="287" t="n">
        <f aca="false">IF('Datos Iniciales'!$Q61=2,'Datos Iniciales'!M61,0)</f>
        <v>0</v>
      </c>
      <c r="AR80" s="287" t="n">
        <f aca="false">IF('Datos Iniciales'!$Q61=2,'Datos Iniciales'!N61,0)</f>
        <v>0</v>
      </c>
      <c r="AS80" s="287" t="n">
        <f aca="false">IF('Datos Iniciales'!$Q61=2,'Datos Iniciales'!O61,0)</f>
        <v>0</v>
      </c>
      <c r="AT80" s="287"/>
      <c r="AU80" s="287"/>
      <c r="AV80" s="205" t="str">
        <f aca="false">AG80</f>
        <v>Actividad27</v>
      </c>
      <c r="AW80" s="205"/>
      <c r="AY80" s="287" t="n">
        <f aca="false">IF('Datos Iniciales'!$Q61=3,'Datos Iniciales'!F61,0)</f>
        <v>0</v>
      </c>
      <c r="AZ80" s="287" t="n">
        <f aca="false">IF('Datos Iniciales'!$Q61=3,'Datos Iniciales'!G61,0)</f>
        <v>0</v>
      </c>
      <c r="BA80" s="287" t="n">
        <f aca="false">IF('Datos Iniciales'!$Q61=3,'Datos Iniciales'!H61,0)</f>
        <v>0</v>
      </c>
      <c r="BB80" s="287" t="n">
        <f aca="false">IF('Datos Iniciales'!$Q61=3,'Datos Iniciales'!I61,0)</f>
        <v>0</v>
      </c>
      <c r="BC80" s="287" t="n">
        <f aca="false">IF('Datos Iniciales'!$Q61=3,'Datos Iniciales'!J61,0)</f>
        <v>0</v>
      </c>
      <c r="BD80" s="287" t="n">
        <f aca="false">IF('Datos Iniciales'!$Q61=3,'Datos Iniciales'!K61,0)</f>
        <v>0</v>
      </c>
      <c r="BE80" s="287" t="n">
        <f aca="false">IF('Datos Iniciales'!$Q61=3,'Datos Iniciales'!L61,0)</f>
        <v>0</v>
      </c>
      <c r="BF80" s="287" t="n">
        <f aca="false">IF('Datos Iniciales'!$Q61=3,'Datos Iniciales'!M61,0)</f>
        <v>0</v>
      </c>
      <c r="BG80" s="287" t="n">
        <f aca="false">IF('Datos Iniciales'!$Q61=3,'Datos Iniciales'!N61,0)</f>
        <v>0</v>
      </c>
      <c r="BH80" s="287" t="n">
        <f aca="false">IF('Datos Iniciales'!$Q61=3,'Datos Iniciales'!O61,0)</f>
        <v>0</v>
      </c>
      <c r="BI80" s="287"/>
      <c r="BJ80" s="287"/>
    </row>
    <row r="81" customFormat="false" ht="15" hidden="true" customHeight="false" outlineLevel="0" collapsed="false">
      <c r="R81" s="205" t="str">
        <f aca="false">'Datos Iniciales'!E62</f>
        <v>Actividad28</v>
      </c>
      <c r="S81" s="205"/>
      <c r="U81" s="287" t="n">
        <f aca="false">IF('Datos Iniciales'!$Q62=1,'Datos Iniciales'!F62,0)</f>
        <v>0</v>
      </c>
      <c r="V81" s="287" t="n">
        <f aca="false">IF('Datos Iniciales'!$Q62=1,'Datos Iniciales'!G62,0)</f>
        <v>0</v>
      </c>
      <c r="W81" s="287" t="n">
        <f aca="false">IF('Datos Iniciales'!$Q62=1,'Datos Iniciales'!H62,0)</f>
        <v>0</v>
      </c>
      <c r="X81" s="287" t="n">
        <f aca="false">IF('Datos Iniciales'!$Q62=1,'Datos Iniciales'!I62,0)</f>
        <v>0</v>
      </c>
      <c r="Y81" s="287" t="n">
        <f aca="false">IF('Datos Iniciales'!$Q62=1,'Datos Iniciales'!J62,0)</f>
        <v>0</v>
      </c>
      <c r="Z81" s="287" t="n">
        <f aca="false">IF('Datos Iniciales'!$Q62=1,'Datos Iniciales'!K62,0)</f>
        <v>0</v>
      </c>
      <c r="AA81" s="287" t="n">
        <f aca="false">IF('Datos Iniciales'!$Q62=1,'Datos Iniciales'!L62,0)</f>
        <v>0</v>
      </c>
      <c r="AB81" s="287" t="n">
        <f aca="false">IF('Datos Iniciales'!$Q62=1,'Datos Iniciales'!M62,0)</f>
        <v>0</v>
      </c>
      <c r="AC81" s="287" t="n">
        <f aca="false">IF('Datos Iniciales'!$Q62=1,'Datos Iniciales'!N62,0)</f>
        <v>0</v>
      </c>
      <c r="AD81" s="287" t="n">
        <f aca="false">IF('Datos Iniciales'!$Q62=1,'Datos Iniciales'!O62,0)</f>
        <v>0</v>
      </c>
      <c r="AE81" s="287"/>
      <c r="AF81" s="287"/>
      <c r="AG81" s="205" t="str">
        <f aca="false">R81</f>
        <v>Actividad28</v>
      </c>
      <c r="AH81" s="205"/>
      <c r="AJ81" s="287" t="n">
        <f aca="false">IF('Datos Iniciales'!$Q62=2,'Datos Iniciales'!F62,0)</f>
        <v>0</v>
      </c>
      <c r="AK81" s="287" t="n">
        <f aca="false">IF('Datos Iniciales'!$Q62=2,'Datos Iniciales'!G62,0)</f>
        <v>0</v>
      </c>
      <c r="AL81" s="287" t="n">
        <f aca="false">IF('Datos Iniciales'!$Q62=2,'Datos Iniciales'!H62,0)</f>
        <v>0</v>
      </c>
      <c r="AM81" s="287" t="n">
        <f aca="false">IF('Datos Iniciales'!$Q62=2,'Datos Iniciales'!I62,0)</f>
        <v>0</v>
      </c>
      <c r="AN81" s="287" t="n">
        <f aca="false">IF('Datos Iniciales'!$Q62=2,'Datos Iniciales'!J62,0)</f>
        <v>0</v>
      </c>
      <c r="AO81" s="287" t="n">
        <f aca="false">IF('Datos Iniciales'!$Q62=2,'Datos Iniciales'!K62,0)</f>
        <v>0</v>
      </c>
      <c r="AP81" s="287" t="n">
        <f aca="false">IF('Datos Iniciales'!$Q62=2,'Datos Iniciales'!L62,0)</f>
        <v>0</v>
      </c>
      <c r="AQ81" s="287" t="n">
        <f aca="false">IF('Datos Iniciales'!$Q62=2,'Datos Iniciales'!M62,0)</f>
        <v>0</v>
      </c>
      <c r="AR81" s="287" t="n">
        <f aca="false">IF('Datos Iniciales'!$Q62=2,'Datos Iniciales'!N62,0)</f>
        <v>0</v>
      </c>
      <c r="AS81" s="287" t="n">
        <f aca="false">IF('Datos Iniciales'!$Q62=2,'Datos Iniciales'!O62,0)</f>
        <v>0</v>
      </c>
      <c r="AT81" s="287"/>
      <c r="AU81" s="287"/>
      <c r="AV81" s="205" t="str">
        <f aca="false">AG81</f>
        <v>Actividad28</v>
      </c>
      <c r="AW81" s="205"/>
      <c r="AY81" s="287" t="n">
        <f aca="false">IF('Datos Iniciales'!$Q62=3,'Datos Iniciales'!F62,0)</f>
        <v>0</v>
      </c>
      <c r="AZ81" s="287" t="n">
        <f aca="false">IF('Datos Iniciales'!$Q62=3,'Datos Iniciales'!G62,0)</f>
        <v>0</v>
      </c>
      <c r="BA81" s="287" t="n">
        <f aca="false">IF('Datos Iniciales'!$Q62=3,'Datos Iniciales'!H62,0)</f>
        <v>0</v>
      </c>
      <c r="BB81" s="287" t="n">
        <f aca="false">IF('Datos Iniciales'!$Q62=3,'Datos Iniciales'!I62,0)</f>
        <v>0</v>
      </c>
      <c r="BC81" s="287" t="n">
        <f aca="false">IF('Datos Iniciales'!$Q62=3,'Datos Iniciales'!J62,0)</f>
        <v>0</v>
      </c>
      <c r="BD81" s="287" t="n">
        <f aca="false">IF('Datos Iniciales'!$Q62=3,'Datos Iniciales'!K62,0)</f>
        <v>0</v>
      </c>
      <c r="BE81" s="287" t="n">
        <f aca="false">IF('Datos Iniciales'!$Q62=3,'Datos Iniciales'!L62,0)</f>
        <v>0</v>
      </c>
      <c r="BF81" s="287" t="n">
        <f aca="false">IF('Datos Iniciales'!$Q62=3,'Datos Iniciales'!M62,0)</f>
        <v>0</v>
      </c>
      <c r="BG81" s="287" t="n">
        <f aca="false">IF('Datos Iniciales'!$Q62=3,'Datos Iniciales'!N62,0)</f>
        <v>0</v>
      </c>
      <c r="BH81" s="287" t="n">
        <f aca="false">IF('Datos Iniciales'!$Q62=3,'Datos Iniciales'!O62,0)</f>
        <v>0</v>
      </c>
      <c r="BI81" s="287"/>
      <c r="BJ81" s="287"/>
    </row>
    <row r="82" customFormat="false" ht="15" hidden="true" customHeight="false" outlineLevel="0" collapsed="false">
      <c r="R82" s="205" t="str">
        <f aca="false">'Datos Iniciales'!E63</f>
        <v>Actividad29</v>
      </c>
      <c r="S82" s="205"/>
      <c r="U82" s="287" t="n">
        <f aca="false">IF('Datos Iniciales'!$Q63=1,'Datos Iniciales'!F63,0)</f>
        <v>0</v>
      </c>
      <c r="V82" s="287" t="n">
        <f aca="false">IF('Datos Iniciales'!$Q63=1,'Datos Iniciales'!G63,0)</f>
        <v>0</v>
      </c>
      <c r="W82" s="287" t="n">
        <f aca="false">IF('Datos Iniciales'!$Q63=1,'Datos Iniciales'!H63,0)</f>
        <v>0</v>
      </c>
      <c r="X82" s="287" t="n">
        <f aca="false">IF('Datos Iniciales'!$Q63=1,'Datos Iniciales'!I63,0)</f>
        <v>0</v>
      </c>
      <c r="Y82" s="287" t="n">
        <f aca="false">IF('Datos Iniciales'!$Q63=1,'Datos Iniciales'!J63,0)</f>
        <v>0</v>
      </c>
      <c r="Z82" s="287" t="n">
        <f aca="false">IF('Datos Iniciales'!$Q63=1,'Datos Iniciales'!K63,0)</f>
        <v>0</v>
      </c>
      <c r="AA82" s="287" t="n">
        <f aca="false">IF('Datos Iniciales'!$Q63=1,'Datos Iniciales'!L63,0)</f>
        <v>0</v>
      </c>
      <c r="AB82" s="287" t="n">
        <f aca="false">IF('Datos Iniciales'!$Q63=1,'Datos Iniciales'!M63,0)</f>
        <v>0</v>
      </c>
      <c r="AC82" s="287" t="n">
        <f aca="false">IF('Datos Iniciales'!$Q63=1,'Datos Iniciales'!N63,0)</f>
        <v>0</v>
      </c>
      <c r="AD82" s="287" t="n">
        <f aca="false">IF('Datos Iniciales'!$Q63=1,'Datos Iniciales'!O63,0)</f>
        <v>0</v>
      </c>
      <c r="AE82" s="287"/>
      <c r="AF82" s="287"/>
      <c r="AG82" s="205" t="str">
        <f aca="false">R82</f>
        <v>Actividad29</v>
      </c>
      <c r="AH82" s="205"/>
      <c r="AJ82" s="287" t="n">
        <f aca="false">IF('Datos Iniciales'!$Q63=2,'Datos Iniciales'!F63,0)</f>
        <v>0</v>
      </c>
      <c r="AK82" s="287" t="n">
        <f aca="false">IF('Datos Iniciales'!$Q63=2,'Datos Iniciales'!G63,0)</f>
        <v>0</v>
      </c>
      <c r="AL82" s="287" t="n">
        <f aca="false">IF('Datos Iniciales'!$Q63=2,'Datos Iniciales'!H63,0)</f>
        <v>0</v>
      </c>
      <c r="AM82" s="287" t="n">
        <f aca="false">IF('Datos Iniciales'!$Q63=2,'Datos Iniciales'!I63,0)</f>
        <v>0</v>
      </c>
      <c r="AN82" s="287" t="n">
        <f aca="false">IF('Datos Iniciales'!$Q63=2,'Datos Iniciales'!J63,0)</f>
        <v>0</v>
      </c>
      <c r="AO82" s="287" t="n">
        <f aca="false">IF('Datos Iniciales'!$Q63=2,'Datos Iniciales'!K63,0)</f>
        <v>0</v>
      </c>
      <c r="AP82" s="287" t="n">
        <f aca="false">IF('Datos Iniciales'!$Q63=2,'Datos Iniciales'!L63,0)</f>
        <v>0</v>
      </c>
      <c r="AQ82" s="287" t="n">
        <f aca="false">IF('Datos Iniciales'!$Q63=2,'Datos Iniciales'!M63,0)</f>
        <v>0</v>
      </c>
      <c r="AR82" s="287" t="n">
        <f aca="false">IF('Datos Iniciales'!$Q63=2,'Datos Iniciales'!N63,0)</f>
        <v>0</v>
      </c>
      <c r="AS82" s="287" t="n">
        <f aca="false">IF('Datos Iniciales'!$Q63=2,'Datos Iniciales'!O63,0)</f>
        <v>0</v>
      </c>
      <c r="AT82" s="287"/>
      <c r="AU82" s="287"/>
      <c r="AV82" s="205" t="str">
        <f aca="false">AG82</f>
        <v>Actividad29</v>
      </c>
      <c r="AW82" s="205"/>
      <c r="AY82" s="287" t="n">
        <f aca="false">IF('Datos Iniciales'!$Q63=3,'Datos Iniciales'!F63,0)</f>
        <v>0</v>
      </c>
      <c r="AZ82" s="287" t="n">
        <f aca="false">IF('Datos Iniciales'!$Q63=3,'Datos Iniciales'!G63,0)</f>
        <v>0</v>
      </c>
      <c r="BA82" s="287" t="n">
        <f aca="false">IF('Datos Iniciales'!$Q63=3,'Datos Iniciales'!H63,0)</f>
        <v>0</v>
      </c>
      <c r="BB82" s="287" t="n">
        <f aca="false">IF('Datos Iniciales'!$Q63=3,'Datos Iniciales'!I63,0)</f>
        <v>0</v>
      </c>
      <c r="BC82" s="287" t="n">
        <f aca="false">IF('Datos Iniciales'!$Q63=3,'Datos Iniciales'!J63,0)</f>
        <v>0</v>
      </c>
      <c r="BD82" s="287" t="n">
        <f aca="false">IF('Datos Iniciales'!$Q63=3,'Datos Iniciales'!K63,0)</f>
        <v>0</v>
      </c>
      <c r="BE82" s="287" t="n">
        <f aca="false">IF('Datos Iniciales'!$Q63=3,'Datos Iniciales'!L63,0)</f>
        <v>0</v>
      </c>
      <c r="BF82" s="287" t="n">
        <f aca="false">IF('Datos Iniciales'!$Q63=3,'Datos Iniciales'!M63,0)</f>
        <v>0</v>
      </c>
      <c r="BG82" s="287" t="n">
        <f aca="false">IF('Datos Iniciales'!$Q63=3,'Datos Iniciales'!N63,0)</f>
        <v>0</v>
      </c>
      <c r="BH82" s="287" t="n">
        <f aca="false">IF('Datos Iniciales'!$Q63=3,'Datos Iniciales'!O63,0)</f>
        <v>0</v>
      </c>
      <c r="BI82" s="287"/>
      <c r="BJ82" s="287"/>
    </row>
    <row r="83" customFormat="false" ht="15.75" hidden="true" customHeight="false" outlineLevel="0" collapsed="false">
      <c r="R83" s="205" t="str">
        <f aca="false">'Datos Iniciales'!E64</f>
        <v>Actividad30</v>
      </c>
      <c r="S83" s="205"/>
      <c r="U83" s="288" t="n">
        <f aca="false">IF('Datos Iniciales'!$Q64=1,'Datos Iniciales'!F64,0)</f>
        <v>0</v>
      </c>
      <c r="V83" s="288" t="n">
        <f aca="false">IF('Datos Iniciales'!$Q64=1,'Datos Iniciales'!G64,0)</f>
        <v>0</v>
      </c>
      <c r="W83" s="288" t="n">
        <f aca="false">IF('Datos Iniciales'!$Q64=1,'Datos Iniciales'!H64,0)</f>
        <v>0</v>
      </c>
      <c r="X83" s="288" t="n">
        <f aca="false">IF('Datos Iniciales'!$Q64=1,'Datos Iniciales'!I64,0)</f>
        <v>0</v>
      </c>
      <c r="Y83" s="288" t="n">
        <f aca="false">IF('Datos Iniciales'!$Q64=1,'Datos Iniciales'!J64,0)</f>
        <v>0</v>
      </c>
      <c r="Z83" s="288" t="n">
        <f aca="false">IF('Datos Iniciales'!$Q64=1,'Datos Iniciales'!K64,0)</f>
        <v>0</v>
      </c>
      <c r="AA83" s="288" t="n">
        <f aca="false">IF('Datos Iniciales'!$Q64=1,'Datos Iniciales'!L64,0)</f>
        <v>0</v>
      </c>
      <c r="AB83" s="288" t="n">
        <f aca="false">IF('Datos Iniciales'!$Q64=1,'Datos Iniciales'!M64,0)</f>
        <v>0</v>
      </c>
      <c r="AC83" s="288" t="n">
        <f aca="false">IF('Datos Iniciales'!$Q64=1,'Datos Iniciales'!N64,0)</f>
        <v>0</v>
      </c>
      <c r="AD83" s="288" t="n">
        <f aca="false">IF('Datos Iniciales'!$Q64=1,'Datos Iniciales'!O64,0)</f>
        <v>0</v>
      </c>
      <c r="AE83" s="287"/>
      <c r="AF83" s="287"/>
      <c r="AG83" s="205" t="str">
        <f aca="false">R83</f>
        <v>Actividad30</v>
      </c>
      <c r="AH83" s="205"/>
      <c r="AJ83" s="288" t="n">
        <f aca="false">IF('Datos Iniciales'!$Q64=2,'Datos Iniciales'!F64,0)</f>
        <v>0</v>
      </c>
      <c r="AK83" s="288" t="n">
        <f aca="false">IF('Datos Iniciales'!$Q64=2,'Datos Iniciales'!G64,0)</f>
        <v>0</v>
      </c>
      <c r="AL83" s="288" t="n">
        <f aca="false">IF('Datos Iniciales'!$Q64=2,'Datos Iniciales'!H64,0)</f>
        <v>0</v>
      </c>
      <c r="AM83" s="288" t="n">
        <f aca="false">IF('Datos Iniciales'!$Q64=2,'Datos Iniciales'!I64,0)</f>
        <v>0</v>
      </c>
      <c r="AN83" s="288" t="n">
        <f aca="false">IF('Datos Iniciales'!$Q64=2,'Datos Iniciales'!J64,0)</f>
        <v>0</v>
      </c>
      <c r="AO83" s="288" t="n">
        <f aca="false">IF('Datos Iniciales'!$Q64=2,'Datos Iniciales'!K64,0)</f>
        <v>0</v>
      </c>
      <c r="AP83" s="288" t="n">
        <f aca="false">IF('Datos Iniciales'!$Q64=2,'Datos Iniciales'!L64,0)</f>
        <v>0</v>
      </c>
      <c r="AQ83" s="288" t="n">
        <f aca="false">IF('Datos Iniciales'!$Q64=2,'Datos Iniciales'!M64,0)</f>
        <v>0</v>
      </c>
      <c r="AR83" s="288" t="n">
        <f aca="false">IF('Datos Iniciales'!$Q64=2,'Datos Iniciales'!N64,0)</f>
        <v>0</v>
      </c>
      <c r="AS83" s="288" t="n">
        <f aca="false">IF('Datos Iniciales'!$Q64=2,'Datos Iniciales'!O64,0)</f>
        <v>0</v>
      </c>
      <c r="AT83" s="287"/>
      <c r="AU83" s="287"/>
      <c r="AV83" s="205" t="str">
        <f aca="false">AG83</f>
        <v>Actividad30</v>
      </c>
      <c r="AW83" s="205"/>
      <c r="AY83" s="288" t="n">
        <f aca="false">IF('Datos Iniciales'!$Q64=3,'Datos Iniciales'!F64,0)</f>
        <v>0</v>
      </c>
      <c r="AZ83" s="288" t="n">
        <f aca="false">IF('Datos Iniciales'!$Q64=3,'Datos Iniciales'!G64,0)</f>
        <v>0</v>
      </c>
      <c r="BA83" s="288" t="n">
        <f aca="false">IF('Datos Iniciales'!$Q64=3,'Datos Iniciales'!H64,0)</f>
        <v>0</v>
      </c>
      <c r="BB83" s="288" t="n">
        <f aca="false">IF('Datos Iniciales'!$Q64=3,'Datos Iniciales'!I64,0)</f>
        <v>0</v>
      </c>
      <c r="BC83" s="288" t="n">
        <f aca="false">IF('Datos Iniciales'!$Q64=3,'Datos Iniciales'!J64,0)</f>
        <v>0</v>
      </c>
      <c r="BD83" s="288" t="n">
        <f aca="false">IF('Datos Iniciales'!$Q64=3,'Datos Iniciales'!K64,0)</f>
        <v>0</v>
      </c>
      <c r="BE83" s="288" t="n">
        <f aca="false">IF('Datos Iniciales'!$Q64=3,'Datos Iniciales'!L64,0)</f>
        <v>0</v>
      </c>
      <c r="BF83" s="288" t="n">
        <f aca="false">IF('Datos Iniciales'!$Q64=3,'Datos Iniciales'!M64,0)</f>
        <v>0</v>
      </c>
      <c r="BG83" s="288" t="n">
        <f aca="false">IF('Datos Iniciales'!$Q64=3,'Datos Iniciales'!N64,0)</f>
        <v>0</v>
      </c>
      <c r="BH83" s="288" t="n">
        <f aca="false">IF('Datos Iniciales'!$Q64=3,'Datos Iniciales'!O64,0)</f>
        <v>0</v>
      </c>
      <c r="BI83" s="287"/>
      <c r="BJ83" s="287"/>
    </row>
    <row r="84" customFormat="false" ht="15" hidden="true" customHeight="false" outlineLevel="0" collapsed="false">
      <c r="U84" s="48" t="n">
        <f aca="false">SUM(U54:U83)</f>
        <v>1</v>
      </c>
      <c r="V84" s="48" t="n">
        <f aca="false">SUM(V54:V83)</f>
        <v>1</v>
      </c>
      <c r="W84" s="48" t="n">
        <f aca="false">SUM(W54:W83)</f>
        <v>1</v>
      </c>
      <c r="X84" s="48" t="n">
        <f aca="false">SUM(X54:X83)</f>
        <v>1</v>
      </c>
      <c r="Y84" s="48" t="n">
        <f aca="false">SUM(Y54:Y83)</f>
        <v>0</v>
      </c>
      <c r="Z84" s="48" t="n">
        <f aca="false">SUM(Z54:Z83)</f>
        <v>0</v>
      </c>
      <c r="AA84" s="48" t="n">
        <f aca="false">SUM(AA54:AA83)</f>
        <v>0</v>
      </c>
      <c r="AB84" s="48" t="n">
        <f aca="false">SUM(AB54:AB83)</f>
        <v>0</v>
      </c>
      <c r="AC84" s="48" t="n">
        <f aca="false">SUM(AC54:AC83)</f>
        <v>0</v>
      </c>
      <c r="AD84" s="48" t="n">
        <f aca="false">SUM(AD54:AD83)</f>
        <v>0</v>
      </c>
      <c r="AE84" s="48"/>
      <c r="AF84" s="48"/>
      <c r="AJ84" s="48" t="n">
        <f aca="false">SUM(AJ54:AJ83)</f>
        <v>0</v>
      </c>
      <c r="AK84" s="48" t="n">
        <f aca="false">SUM(AK54:AK83)</f>
        <v>0</v>
      </c>
      <c r="AL84" s="48" t="n">
        <f aca="false">SUM(AL54:AL83)</f>
        <v>0</v>
      </c>
      <c r="AM84" s="48" t="n">
        <f aca="false">SUM(AM54:AM83)</f>
        <v>0</v>
      </c>
      <c r="AN84" s="48" t="n">
        <f aca="false">SUM(AN54:AN83)</f>
        <v>0</v>
      </c>
      <c r="AO84" s="48" t="n">
        <f aca="false">SUM(AO54:AO83)</f>
        <v>0</v>
      </c>
      <c r="AP84" s="48" t="n">
        <f aca="false">SUM(AP54:AP83)</f>
        <v>0</v>
      </c>
      <c r="AQ84" s="48" t="n">
        <f aca="false">SUM(AQ54:AQ83)</f>
        <v>0</v>
      </c>
      <c r="AR84" s="48" t="n">
        <f aca="false">SUM(AR54:AR83)</f>
        <v>0</v>
      </c>
      <c r="AS84" s="48" t="n">
        <f aca="false">SUM(AS54:AS83)</f>
        <v>0</v>
      </c>
      <c r="AT84" s="48"/>
      <c r="AU84" s="48"/>
      <c r="AY84" s="48" t="n">
        <f aca="false">SUM(AY54:AY83)</f>
        <v>0</v>
      </c>
      <c r="AZ84" s="48" t="n">
        <f aca="false">SUM(AZ54:AZ83)</f>
        <v>0</v>
      </c>
      <c r="BA84" s="48" t="n">
        <f aca="false">SUM(BA54:BA83)</f>
        <v>0</v>
      </c>
      <c r="BB84" s="48" t="n">
        <f aca="false">SUM(BB54:BB83)</f>
        <v>0</v>
      </c>
      <c r="BC84" s="48" t="n">
        <f aca="false">SUM(BC54:BC83)</f>
        <v>0</v>
      </c>
      <c r="BD84" s="48" t="n">
        <f aca="false">SUM(BD54:BD83)</f>
        <v>0</v>
      </c>
      <c r="BE84" s="48" t="n">
        <f aca="false">SUM(BE54:BE83)</f>
        <v>0</v>
      </c>
      <c r="BF84" s="48" t="n">
        <f aca="false">SUM(BF54:BF83)</f>
        <v>0</v>
      </c>
      <c r="BG84" s="48" t="n">
        <f aca="false">SUM(BG54:BG83)</f>
        <v>0</v>
      </c>
      <c r="BH84" s="48" t="n">
        <f aca="false">SUM(BH54:BH83)</f>
        <v>0</v>
      </c>
      <c r="BI84" s="48"/>
      <c r="BJ84" s="48"/>
    </row>
    <row r="85" customFormat="false" ht="15.75" hidden="true" customHeight="false" outlineLevel="0" collapsed="false"/>
    <row r="86" customFormat="false" ht="15.75" hidden="true" customHeight="false" outlineLevel="0" collapsed="false">
      <c r="U86" s="284" t="str">
        <f aca="false">U53</f>
        <v>RA1</v>
      </c>
      <c r="V86" s="284" t="str">
        <f aca="false">V53</f>
        <v>RA2</v>
      </c>
      <c r="W86" s="284" t="str">
        <f aca="false">W53</f>
        <v>RA3</v>
      </c>
      <c r="X86" s="284" t="str">
        <f aca="false">X53</f>
        <v>RA4</v>
      </c>
      <c r="Y86" s="284" t="str">
        <f aca="false">Y53</f>
        <v>RA5</v>
      </c>
      <c r="Z86" s="284" t="str">
        <f aca="false">Z53</f>
        <v>RA6</v>
      </c>
      <c r="AA86" s="284" t="str">
        <f aca="false">AA53</f>
        <v>RA7</v>
      </c>
      <c r="AB86" s="284" t="str">
        <f aca="false">AB53</f>
        <v>RA8</v>
      </c>
      <c r="AC86" s="284" t="str">
        <f aca="false">AC53</f>
        <v>RA9</v>
      </c>
      <c r="AD86" s="284" t="str">
        <f aca="false">AD53</f>
        <v>RA10</v>
      </c>
      <c r="AJ86" s="284" t="str">
        <f aca="false">AJ53</f>
        <v>RA1</v>
      </c>
      <c r="AK86" s="284" t="str">
        <f aca="false">AK53</f>
        <v>RA2</v>
      </c>
      <c r="AL86" s="284" t="str">
        <f aca="false">AL53</f>
        <v>RA3</v>
      </c>
      <c r="AM86" s="284" t="str">
        <f aca="false">AM53</f>
        <v>RA4</v>
      </c>
      <c r="AN86" s="284" t="str">
        <f aca="false">AN53</f>
        <v>RA5</v>
      </c>
      <c r="AO86" s="284" t="str">
        <f aca="false">AO53</f>
        <v>RA6</v>
      </c>
      <c r="AP86" s="284" t="str">
        <f aca="false">AP53</f>
        <v>RA7</v>
      </c>
      <c r="AQ86" s="284" t="str">
        <f aca="false">AQ53</f>
        <v>RA8</v>
      </c>
      <c r="AR86" s="284" t="str">
        <f aca="false">AR53</f>
        <v>RA9</v>
      </c>
      <c r="AS86" s="284" t="str">
        <f aca="false">AS53</f>
        <v>RA10</v>
      </c>
      <c r="AY86" s="284" t="str">
        <f aca="false">AY53</f>
        <v>RA1</v>
      </c>
      <c r="AZ86" s="284" t="str">
        <f aca="false">AZ53</f>
        <v>RA2</v>
      </c>
      <c r="BA86" s="284" t="str">
        <f aca="false">BA53</f>
        <v>RA3</v>
      </c>
      <c r="BB86" s="284" t="str">
        <f aca="false">BB53</f>
        <v>RA4</v>
      </c>
      <c r="BC86" s="284" t="str">
        <f aca="false">BC53</f>
        <v>RA5</v>
      </c>
      <c r="BD86" s="284" t="str">
        <f aca="false">BD53</f>
        <v>RA6</v>
      </c>
      <c r="BE86" s="284" t="str">
        <f aca="false">BE53</f>
        <v>RA7</v>
      </c>
      <c r="BF86" s="284" t="str">
        <f aca="false">BF53</f>
        <v>RA8</v>
      </c>
      <c r="BG86" s="284" t="str">
        <f aca="false">BG53</f>
        <v>RA9</v>
      </c>
      <c r="BH86" s="284" t="str">
        <f aca="false">BH53</f>
        <v>RA10</v>
      </c>
    </row>
    <row r="87" customFormat="false" ht="15" hidden="true" customHeight="false" outlineLevel="0" collapsed="false">
      <c r="R87" s="205" t="str">
        <f aca="false">B5</f>
        <v>Alumno1</v>
      </c>
      <c r="S87" s="205"/>
      <c r="T87" s="205"/>
      <c r="U87" s="286" t="n">
        <f aca="false"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>6.825</v>
      </c>
      <c r="V87" s="286" t="n">
        <f aca="false"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>6.55</v>
      </c>
      <c r="W87" s="286" t="n">
        <f aca="false"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>6.385</v>
      </c>
      <c r="X87" s="286" t="n">
        <f aca="false"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>6.1</v>
      </c>
      <c r="Y87" s="286" t="n">
        <f aca="false"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>0</v>
      </c>
      <c r="Z87" s="286" t="n">
        <f aca="false"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>0</v>
      </c>
      <c r="AA87" s="286" t="n">
        <f aca="false"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>0</v>
      </c>
      <c r="AB87" s="286" t="n">
        <f aca="false"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>0</v>
      </c>
      <c r="AC87" s="286" t="n">
        <f aca="false"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>0</v>
      </c>
      <c r="AD87" s="286" t="n">
        <f aca="false"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>0</v>
      </c>
      <c r="AG87" s="205" t="str">
        <f aca="false">R87</f>
        <v>Alumno1</v>
      </c>
      <c r="AH87" s="205"/>
      <c r="AI87" s="205"/>
      <c r="AJ87" s="286" t="n">
        <f aca="false"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>0</v>
      </c>
      <c r="AK87" s="286" t="n">
        <f aca="false"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>0</v>
      </c>
      <c r="AL87" s="286" t="n">
        <f aca="false"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>0</v>
      </c>
      <c r="AM87" s="286" t="n">
        <f aca="false"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>0</v>
      </c>
      <c r="AN87" s="286" t="n">
        <f aca="false"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>0</v>
      </c>
      <c r="AO87" s="286" t="n">
        <f aca="false"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>0</v>
      </c>
      <c r="AP87" s="286" t="n">
        <f aca="false"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>0</v>
      </c>
      <c r="AQ87" s="286" t="n">
        <f aca="false"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>0</v>
      </c>
      <c r="AR87" s="286" t="n">
        <f aca="false"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>0</v>
      </c>
      <c r="AS87" s="286" t="n">
        <f aca="false"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>0</v>
      </c>
      <c r="AV87" s="205" t="str">
        <f aca="false">AG87</f>
        <v>Alumno1</v>
      </c>
      <c r="AW87" s="205"/>
      <c r="AX87" s="205"/>
      <c r="AY87" s="286" t="n">
        <f aca="false"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>0</v>
      </c>
      <c r="AZ87" s="286" t="n">
        <f aca="false"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>0</v>
      </c>
      <c r="BA87" s="286" t="n">
        <f aca="false"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>0</v>
      </c>
      <c r="BB87" s="286" t="n">
        <f aca="false"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>0</v>
      </c>
      <c r="BC87" s="286" t="n">
        <f aca="false"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>0</v>
      </c>
      <c r="BD87" s="286" t="n">
        <f aca="false"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>0</v>
      </c>
      <c r="BE87" s="286" t="n">
        <f aca="false"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>0</v>
      </c>
      <c r="BF87" s="286" t="n">
        <f aca="false"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>0</v>
      </c>
      <c r="BG87" s="286" t="n">
        <f aca="false"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>0</v>
      </c>
      <c r="BH87" s="286" t="n">
        <f aca="false"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>0</v>
      </c>
    </row>
    <row r="88" customFormat="false" ht="15" hidden="true" customHeight="false" outlineLevel="0" collapsed="false">
      <c r="R88" s="205" t="str">
        <f aca="false">B6</f>
        <v>Alumno2</v>
      </c>
      <c r="S88" s="205"/>
      <c r="U88" s="287" t="n">
        <f aca="false"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>5</v>
      </c>
      <c r="V88" s="287" t="n">
        <f aca="false"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>4.9</v>
      </c>
      <c r="W88" s="287" t="n">
        <f aca="false"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>4.6</v>
      </c>
      <c r="X88" s="287" t="n">
        <f aca="false"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>4.8</v>
      </c>
      <c r="Y88" s="287" t="n">
        <f aca="false"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>0</v>
      </c>
      <c r="Z88" s="287" t="n">
        <f aca="false"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>0</v>
      </c>
      <c r="AA88" s="287" t="n">
        <f aca="false"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>0</v>
      </c>
      <c r="AB88" s="287" t="n">
        <f aca="false"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>0</v>
      </c>
      <c r="AC88" s="287" t="n">
        <f aca="false"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>0</v>
      </c>
      <c r="AD88" s="287" t="n">
        <f aca="false"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>0</v>
      </c>
      <c r="AG88" s="205" t="str">
        <f aca="false">R88</f>
        <v>Alumno2</v>
      </c>
      <c r="AH88" s="205"/>
      <c r="AJ88" s="287" t="n">
        <f aca="false"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>0</v>
      </c>
      <c r="AK88" s="287" t="n">
        <f aca="false"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>0</v>
      </c>
      <c r="AL88" s="287" t="n">
        <f aca="false"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>0</v>
      </c>
      <c r="AM88" s="287" t="n">
        <f aca="false"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>0</v>
      </c>
      <c r="AN88" s="287" t="n">
        <f aca="false"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>0</v>
      </c>
      <c r="AO88" s="287" t="n">
        <f aca="false"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>0</v>
      </c>
      <c r="AP88" s="287" t="n">
        <f aca="false"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>0</v>
      </c>
      <c r="AQ88" s="287" t="n">
        <f aca="false"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>0</v>
      </c>
      <c r="AR88" s="287" t="n">
        <f aca="false"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>0</v>
      </c>
      <c r="AS88" s="287" t="n">
        <f aca="false"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>0</v>
      </c>
      <c r="AV88" s="205" t="str">
        <f aca="false">AG88</f>
        <v>Alumno2</v>
      </c>
      <c r="AW88" s="205"/>
      <c r="AY88" s="287" t="n">
        <f aca="false"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>0</v>
      </c>
      <c r="AZ88" s="287" t="n">
        <f aca="false"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>0</v>
      </c>
      <c r="BA88" s="287" t="n">
        <f aca="false"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>0</v>
      </c>
      <c r="BB88" s="287" t="n">
        <f aca="false"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>0</v>
      </c>
      <c r="BC88" s="287" t="n">
        <f aca="false"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>0</v>
      </c>
      <c r="BD88" s="287" t="n">
        <f aca="false"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>0</v>
      </c>
      <c r="BE88" s="287" t="n">
        <f aca="false"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>0</v>
      </c>
      <c r="BF88" s="287" t="n">
        <f aca="false"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>0</v>
      </c>
      <c r="BG88" s="287" t="n">
        <f aca="false"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>0</v>
      </c>
      <c r="BH88" s="287" t="n">
        <f aca="false"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>0</v>
      </c>
    </row>
    <row r="89" customFormat="false" ht="15" hidden="true" customHeight="false" outlineLevel="0" collapsed="false">
      <c r="R89" s="205" t="str">
        <f aca="false">B7</f>
        <v>Alumno3</v>
      </c>
      <c r="S89" s="205"/>
      <c r="U89" s="287" t="n">
        <f aca="false"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>5.375</v>
      </c>
      <c r="V89" s="287" t="n">
        <f aca="false"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>5.15</v>
      </c>
      <c r="W89" s="287" t="n">
        <f aca="false"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>4.825</v>
      </c>
      <c r="X89" s="287" t="n">
        <f aca="false"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>7.04</v>
      </c>
      <c r="Y89" s="287" t="n">
        <f aca="false"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>0</v>
      </c>
      <c r="Z89" s="287" t="n">
        <f aca="false"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>0</v>
      </c>
      <c r="AA89" s="287" t="n">
        <f aca="false"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>0</v>
      </c>
      <c r="AB89" s="287" t="n">
        <f aca="false"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>0</v>
      </c>
      <c r="AC89" s="287" t="n">
        <f aca="false"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>0</v>
      </c>
      <c r="AD89" s="287" t="n">
        <f aca="false"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>0</v>
      </c>
      <c r="AG89" s="205" t="str">
        <f aca="false">R89</f>
        <v>Alumno3</v>
      </c>
      <c r="AH89" s="205"/>
      <c r="AJ89" s="287" t="n">
        <f aca="false"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>0</v>
      </c>
      <c r="AK89" s="287" t="n">
        <f aca="false"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>0</v>
      </c>
      <c r="AL89" s="287" t="n">
        <f aca="false"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>0</v>
      </c>
      <c r="AM89" s="287" t="n">
        <f aca="false"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>0</v>
      </c>
      <c r="AN89" s="287" t="n">
        <f aca="false"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>0</v>
      </c>
      <c r="AO89" s="287" t="n">
        <f aca="false"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>0</v>
      </c>
      <c r="AP89" s="287" t="n">
        <f aca="false"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>0</v>
      </c>
      <c r="AQ89" s="287" t="n">
        <f aca="false"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>0</v>
      </c>
      <c r="AR89" s="287" t="n">
        <f aca="false"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>0</v>
      </c>
      <c r="AS89" s="287" t="n">
        <f aca="false"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>0</v>
      </c>
      <c r="AV89" s="205" t="str">
        <f aca="false">AG89</f>
        <v>Alumno3</v>
      </c>
      <c r="AW89" s="205"/>
      <c r="AY89" s="287" t="n">
        <f aca="false"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>0</v>
      </c>
      <c r="AZ89" s="287" t="n">
        <f aca="false"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>0</v>
      </c>
      <c r="BA89" s="287" t="n">
        <f aca="false"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>0</v>
      </c>
      <c r="BB89" s="287" t="n">
        <f aca="false"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>0</v>
      </c>
      <c r="BC89" s="287" t="n">
        <f aca="false"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>0</v>
      </c>
      <c r="BD89" s="287" t="n">
        <f aca="false"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>0</v>
      </c>
      <c r="BE89" s="287" t="n">
        <f aca="false"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>0</v>
      </c>
      <c r="BF89" s="287" t="n">
        <f aca="false"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>0</v>
      </c>
      <c r="BG89" s="287" t="n">
        <f aca="false"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>0</v>
      </c>
      <c r="BH89" s="287" t="n">
        <f aca="false"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>0</v>
      </c>
    </row>
    <row r="90" customFormat="false" ht="15" hidden="true" customHeight="false" outlineLevel="0" collapsed="false">
      <c r="R90" s="205" t="str">
        <f aca="false">B8</f>
        <v>Alumno4</v>
      </c>
      <c r="S90" s="205"/>
      <c r="U90" s="287" t="n">
        <f aca="false"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>4.625</v>
      </c>
      <c r="V90" s="287" t="n">
        <f aca="false"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>4.7</v>
      </c>
      <c r="W90" s="287" t="n">
        <f aca="false"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>5.78</v>
      </c>
      <c r="X90" s="287" t="n">
        <f aca="false"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>6.82</v>
      </c>
      <c r="Y90" s="287" t="n">
        <f aca="false"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>0</v>
      </c>
      <c r="Z90" s="287" t="n">
        <f aca="false"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>0</v>
      </c>
      <c r="AA90" s="287" t="n">
        <f aca="false"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>0</v>
      </c>
      <c r="AB90" s="287" t="n">
        <f aca="false"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>0</v>
      </c>
      <c r="AC90" s="287" t="n">
        <f aca="false"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>0</v>
      </c>
      <c r="AD90" s="287" t="n">
        <f aca="false"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>0</v>
      </c>
      <c r="AG90" s="205" t="str">
        <f aca="false">R90</f>
        <v>Alumno4</v>
      </c>
      <c r="AH90" s="205"/>
      <c r="AJ90" s="287" t="n">
        <f aca="false"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>0</v>
      </c>
      <c r="AK90" s="287" t="n">
        <f aca="false"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>0</v>
      </c>
      <c r="AL90" s="287" t="n">
        <f aca="false"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>0</v>
      </c>
      <c r="AM90" s="287" t="n">
        <f aca="false"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>0</v>
      </c>
      <c r="AN90" s="287" t="n">
        <f aca="false"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>0</v>
      </c>
      <c r="AO90" s="287" t="n">
        <f aca="false"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>0</v>
      </c>
      <c r="AP90" s="287" t="n">
        <f aca="false"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>0</v>
      </c>
      <c r="AQ90" s="287" t="n">
        <f aca="false"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>0</v>
      </c>
      <c r="AR90" s="287" t="n">
        <f aca="false"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>0</v>
      </c>
      <c r="AS90" s="287" t="n">
        <f aca="false"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>0</v>
      </c>
      <c r="AV90" s="205" t="str">
        <f aca="false">AG90</f>
        <v>Alumno4</v>
      </c>
      <c r="AW90" s="205"/>
      <c r="AY90" s="287" t="n">
        <f aca="false"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>0</v>
      </c>
      <c r="AZ90" s="287" t="n">
        <f aca="false"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>0</v>
      </c>
      <c r="BA90" s="287" t="n">
        <f aca="false"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>0</v>
      </c>
      <c r="BB90" s="287" t="n">
        <f aca="false"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>0</v>
      </c>
      <c r="BC90" s="287" t="n">
        <f aca="false"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>0</v>
      </c>
      <c r="BD90" s="287" t="n">
        <f aca="false"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>0</v>
      </c>
      <c r="BE90" s="287" t="n">
        <f aca="false"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>0</v>
      </c>
      <c r="BF90" s="287" t="n">
        <f aca="false"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>0</v>
      </c>
      <c r="BG90" s="287" t="n">
        <f aca="false"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>0</v>
      </c>
      <c r="BH90" s="287" t="n">
        <f aca="false"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>0</v>
      </c>
    </row>
    <row r="91" customFormat="false" ht="15" hidden="true" customHeight="false" outlineLevel="0" collapsed="false">
      <c r="R91" s="205" t="str">
        <f aca="false">B9</f>
        <v>Alumno5</v>
      </c>
      <c r="S91" s="205"/>
      <c r="U91" s="287" t="n">
        <f aca="false"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>6.6875</v>
      </c>
      <c r="V91" s="287" t="n">
        <f aca="false"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>7.55</v>
      </c>
      <c r="W91" s="287" t="n">
        <f aca="false"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>6.66</v>
      </c>
      <c r="X91" s="287" t="n">
        <f aca="false"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>7.14</v>
      </c>
      <c r="Y91" s="287" t="n">
        <f aca="false"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>0</v>
      </c>
      <c r="Z91" s="287" t="n">
        <f aca="false"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>0</v>
      </c>
      <c r="AA91" s="287" t="n">
        <f aca="false"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>0</v>
      </c>
      <c r="AB91" s="287" t="n">
        <f aca="false"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>0</v>
      </c>
      <c r="AC91" s="287" t="n">
        <f aca="false"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>0</v>
      </c>
      <c r="AD91" s="287" t="n">
        <f aca="false"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>0</v>
      </c>
      <c r="AG91" s="205" t="str">
        <f aca="false">R91</f>
        <v>Alumno5</v>
      </c>
      <c r="AH91" s="205"/>
      <c r="AJ91" s="287" t="n">
        <f aca="false"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>0</v>
      </c>
      <c r="AK91" s="287" t="n">
        <f aca="false"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>0</v>
      </c>
      <c r="AL91" s="287" t="n">
        <f aca="false"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>0</v>
      </c>
      <c r="AM91" s="287" t="n">
        <f aca="false"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>0</v>
      </c>
      <c r="AN91" s="287" t="n">
        <f aca="false"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>0</v>
      </c>
      <c r="AO91" s="287" t="n">
        <f aca="false"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>0</v>
      </c>
      <c r="AP91" s="287" t="n">
        <f aca="false"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>0</v>
      </c>
      <c r="AQ91" s="287" t="n">
        <f aca="false"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>0</v>
      </c>
      <c r="AR91" s="287" t="n">
        <f aca="false"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>0</v>
      </c>
      <c r="AS91" s="287" t="n">
        <f aca="false"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>0</v>
      </c>
      <c r="AV91" s="205" t="str">
        <f aca="false">AG91</f>
        <v>Alumno5</v>
      </c>
      <c r="AW91" s="205"/>
      <c r="AY91" s="287" t="n">
        <f aca="false"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>0</v>
      </c>
      <c r="AZ91" s="287" t="n">
        <f aca="false"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>0</v>
      </c>
      <c r="BA91" s="287" t="n">
        <f aca="false"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>0</v>
      </c>
      <c r="BB91" s="287" t="n">
        <f aca="false"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>0</v>
      </c>
      <c r="BC91" s="287" t="n">
        <f aca="false"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>0</v>
      </c>
      <c r="BD91" s="287" t="n">
        <f aca="false"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>0</v>
      </c>
      <c r="BE91" s="287" t="n">
        <f aca="false"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>0</v>
      </c>
      <c r="BF91" s="287" t="n">
        <f aca="false"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>0</v>
      </c>
      <c r="BG91" s="287" t="n">
        <f aca="false"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>0</v>
      </c>
      <c r="BH91" s="287" t="n">
        <f aca="false"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>0</v>
      </c>
    </row>
    <row r="92" customFormat="false" ht="15" hidden="true" customHeight="false" outlineLevel="0" collapsed="false">
      <c r="R92" s="205" t="str">
        <f aca="false">B10</f>
        <v>Alumno6</v>
      </c>
      <c r="S92" s="205"/>
      <c r="U92" s="287" t="n">
        <f aca="false"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>9.4875</v>
      </c>
      <c r="V92" s="287" t="n">
        <f aca="false"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>9.55</v>
      </c>
      <c r="W92" s="287" t="n">
        <f aca="false"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>9.475</v>
      </c>
      <c r="X92" s="287" t="n">
        <f aca="false"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>7.96</v>
      </c>
      <c r="Y92" s="287" t="n">
        <f aca="false"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>0</v>
      </c>
      <c r="Z92" s="287" t="n">
        <f aca="false"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>0</v>
      </c>
      <c r="AA92" s="287" t="n">
        <f aca="false"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>0</v>
      </c>
      <c r="AB92" s="287" t="n">
        <f aca="false"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>0</v>
      </c>
      <c r="AC92" s="287" t="n">
        <f aca="false"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>0</v>
      </c>
      <c r="AD92" s="287" t="n">
        <f aca="false"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>0</v>
      </c>
      <c r="AG92" s="205" t="str">
        <f aca="false">R92</f>
        <v>Alumno6</v>
      </c>
      <c r="AH92" s="205"/>
      <c r="AJ92" s="287" t="n">
        <f aca="false"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>0</v>
      </c>
      <c r="AK92" s="287" t="n">
        <f aca="false"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>0</v>
      </c>
      <c r="AL92" s="287" t="n">
        <f aca="false"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>0</v>
      </c>
      <c r="AM92" s="287" t="n">
        <f aca="false"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>0</v>
      </c>
      <c r="AN92" s="287" t="n">
        <f aca="false"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>0</v>
      </c>
      <c r="AO92" s="287" t="n">
        <f aca="false"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>0</v>
      </c>
      <c r="AP92" s="287" t="n">
        <f aca="false"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>0</v>
      </c>
      <c r="AQ92" s="287" t="n">
        <f aca="false"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>0</v>
      </c>
      <c r="AR92" s="287" t="n">
        <f aca="false"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>0</v>
      </c>
      <c r="AS92" s="287" t="n">
        <f aca="false"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>0</v>
      </c>
      <c r="AV92" s="205" t="str">
        <f aca="false">AG92</f>
        <v>Alumno6</v>
      </c>
      <c r="AW92" s="205"/>
      <c r="AY92" s="287" t="n">
        <f aca="false"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>0</v>
      </c>
      <c r="AZ92" s="287" t="n">
        <f aca="false"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>0</v>
      </c>
      <c r="BA92" s="287" t="n">
        <f aca="false"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>0</v>
      </c>
      <c r="BB92" s="287" t="n">
        <f aca="false"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>0</v>
      </c>
      <c r="BC92" s="287" t="n">
        <f aca="false"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>0</v>
      </c>
      <c r="BD92" s="287" t="n">
        <f aca="false"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>0</v>
      </c>
      <c r="BE92" s="287" t="n">
        <f aca="false"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>0</v>
      </c>
      <c r="BF92" s="287" t="n">
        <f aca="false"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>0</v>
      </c>
      <c r="BG92" s="287" t="n">
        <f aca="false"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>0</v>
      </c>
      <c r="BH92" s="287" t="n">
        <f aca="false"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>0</v>
      </c>
    </row>
    <row r="93" customFormat="false" ht="15" hidden="true" customHeight="false" outlineLevel="0" collapsed="false">
      <c r="R93" s="205" t="str">
        <f aca="false">B11</f>
        <v>Alumno7</v>
      </c>
      <c r="S93" s="205"/>
      <c r="U93" s="287" t="n">
        <f aca="false"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>8.9625</v>
      </c>
      <c r="V93" s="287" t="n">
        <f aca="false"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>8.8</v>
      </c>
      <c r="W93" s="287" t="n">
        <f aca="false"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>8.25</v>
      </c>
      <c r="X93" s="287" t="n">
        <f aca="false"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>6.8</v>
      </c>
      <c r="Y93" s="287" t="n">
        <f aca="false"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>0</v>
      </c>
      <c r="Z93" s="287" t="n">
        <f aca="false"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>0</v>
      </c>
      <c r="AA93" s="287" t="n">
        <f aca="false"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>0</v>
      </c>
      <c r="AB93" s="287" t="n">
        <f aca="false"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>0</v>
      </c>
      <c r="AC93" s="287" t="n">
        <f aca="false"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>0</v>
      </c>
      <c r="AD93" s="287" t="n">
        <f aca="false"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>0</v>
      </c>
      <c r="AG93" s="205" t="str">
        <f aca="false">R93</f>
        <v>Alumno7</v>
      </c>
      <c r="AH93" s="205"/>
      <c r="AJ93" s="287" t="n">
        <f aca="false"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>0</v>
      </c>
      <c r="AK93" s="287" t="n">
        <f aca="false"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>0</v>
      </c>
      <c r="AL93" s="287" t="n">
        <f aca="false"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>0</v>
      </c>
      <c r="AM93" s="287" t="n">
        <f aca="false"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>0</v>
      </c>
      <c r="AN93" s="287" t="n">
        <f aca="false"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>0</v>
      </c>
      <c r="AO93" s="287" t="n">
        <f aca="false"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>0</v>
      </c>
      <c r="AP93" s="287" t="n">
        <f aca="false"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>0</v>
      </c>
      <c r="AQ93" s="287" t="n">
        <f aca="false"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>0</v>
      </c>
      <c r="AR93" s="287" t="n">
        <f aca="false"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>0</v>
      </c>
      <c r="AS93" s="287" t="n">
        <f aca="false"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>0</v>
      </c>
      <c r="AV93" s="205" t="str">
        <f aca="false">AG93</f>
        <v>Alumno7</v>
      </c>
      <c r="AW93" s="205"/>
      <c r="AY93" s="287" t="n">
        <f aca="false"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>0</v>
      </c>
      <c r="AZ93" s="287" t="n">
        <f aca="false"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>0</v>
      </c>
      <c r="BA93" s="287" t="n">
        <f aca="false"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>0</v>
      </c>
      <c r="BB93" s="287" t="n">
        <f aca="false"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>0</v>
      </c>
      <c r="BC93" s="287" t="n">
        <f aca="false"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>0</v>
      </c>
      <c r="BD93" s="287" t="n">
        <f aca="false"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>0</v>
      </c>
      <c r="BE93" s="287" t="n">
        <f aca="false"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>0</v>
      </c>
      <c r="BF93" s="287" t="n">
        <f aca="false"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>0</v>
      </c>
      <c r="BG93" s="287" t="n">
        <f aca="false"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>0</v>
      </c>
      <c r="BH93" s="287" t="n">
        <f aca="false"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>0</v>
      </c>
    </row>
    <row r="94" customFormat="false" ht="15" hidden="true" customHeight="false" outlineLevel="0" collapsed="false">
      <c r="R94" s="205" t="str">
        <f aca="false">B12</f>
        <v>Alumno8</v>
      </c>
      <c r="S94" s="205"/>
      <c r="U94" s="287" t="n">
        <f aca="false"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>6.9125</v>
      </c>
      <c r="V94" s="287" t="n">
        <f aca="false"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>6.05</v>
      </c>
      <c r="W94" s="287" t="n">
        <f aca="false"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>7.22</v>
      </c>
      <c r="X94" s="287" t="n">
        <f aca="false"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>8.14</v>
      </c>
      <c r="Y94" s="287" t="n">
        <f aca="false"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>0</v>
      </c>
      <c r="Z94" s="287" t="n">
        <f aca="false"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>0</v>
      </c>
      <c r="AA94" s="287" t="n">
        <f aca="false"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>0</v>
      </c>
      <c r="AB94" s="287" t="n">
        <f aca="false"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>0</v>
      </c>
      <c r="AC94" s="287" t="n">
        <f aca="false"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>0</v>
      </c>
      <c r="AD94" s="287" t="n">
        <f aca="false"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>0</v>
      </c>
      <c r="AG94" s="205" t="str">
        <f aca="false">R94</f>
        <v>Alumno8</v>
      </c>
      <c r="AH94" s="205"/>
      <c r="AJ94" s="287" t="n">
        <f aca="false"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>0</v>
      </c>
      <c r="AK94" s="287" t="n">
        <f aca="false"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>0</v>
      </c>
      <c r="AL94" s="287" t="n">
        <f aca="false"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>0</v>
      </c>
      <c r="AM94" s="287" t="n">
        <f aca="false"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>0</v>
      </c>
      <c r="AN94" s="287" t="n">
        <f aca="false"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>0</v>
      </c>
      <c r="AO94" s="287" t="n">
        <f aca="false"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>0</v>
      </c>
      <c r="AP94" s="287" t="n">
        <f aca="false"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>0</v>
      </c>
      <c r="AQ94" s="287" t="n">
        <f aca="false"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>0</v>
      </c>
      <c r="AR94" s="287" t="n">
        <f aca="false"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>0</v>
      </c>
      <c r="AS94" s="287" t="n">
        <f aca="false"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>0</v>
      </c>
      <c r="AV94" s="205" t="str">
        <f aca="false">AG94</f>
        <v>Alumno8</v>
      </c>
      <c r="AW94" s="205"/>
      <c r="AY94" s="287" t="n">
        <f aca="false"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>0</v>
      </c>
      <c r="AZ94" s="287" t="n">
        <f aca="false"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>0</v>
      </c>
      <c r="BA94" s="287" t="n">
        <f aca="false"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>0</v>
      </c>
      <c r="BB94" s="287" t="n">
        <f aca="false"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>0</v>
      </c>
      <c r="BC94" s="287" t="n">
        <f aca="false"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>0</v>
      </c>
      <c r="BD94" s="287" t="n">
        <f aca="false"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>0</v>
      </c>
      <c r="BE94" s="287" t="n">
        <f aca="false"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>0</v>
      </c>
      <c r="BF94" s="287" t="n">
        <f aca="false"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>0</v>
      </c>
      <c r="BG94" s="287" t="n">
        <f aca="false"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>0</v>
      </c>
      <c r="BH94" s="287" t="n">
        <f aca="false"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>0</v>
      </c>
    </row>
    <row r="95" customFormat="false" ht="15" hidden="true" customHeight="false" outlineLevel="0" collapsed="false">
      <c r="R95" s="205" t="str">
        <f aca="false">B13</f>
        <v>Alumno9</v>
      </c>
      <c r="S95" s="205"/>
      <c r="U95" s="287" t="n">
        <f aca="false"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>5.65</v>
      </c>
      <c r="V95" s="287" t="n">
        <f aca="false"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>4.95</v>
      </c>
      <c r="W95" s="287" t="n">
        <f aca="false"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>5.855</v>
      </c>
      <c r="X95" s="287" t="n">
        <f aca="false"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>5.64</v>
      </c>
      <c r="Y95" s="287" t="n">
        <f aca="false"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>0</v>
      </c>
      <c r="Z95" s="287" t="n">
        <f aca="false"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>0</v>
      </c>
      <c r="AA95" s="287" t="n">
        <f aca="false"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>0</v>
      </c>
      <c r="AB95" s="287" t="n">
        <f aca="false"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>0</v>
      </c>
      <c r="AC95" s="287" t="n">
        <f aca="false"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>0</v>
      </c>
      <c r="AD95" s="287" t="n">
        <f aca="false"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>0</v>
      </c>
      <c r="AG95" s="205" t="str">
        <f aca="false">R95</f>
        <v>Alumno9</v>
      </c>
      <c r="AH95" s="205"/>
      <c r="AJ95" s="287" t="n">
        <f aca="false"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>0</v>
      </c>
      <c r="AK95" s="287" t="n">
        <f aca="false"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>0</v>
      </c>
      <c r="AL95" s="287" t="n">
        <f aca="false"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>0</v>
      </c>
      <c r="AM95" s="287" t="n">
        <f aca="false"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>0</v>
      </c>
      <c r="AN95" s="287" t="n">
        <f aca="false"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>0</v>
      </c>
      <c r="AO95" s="287" t="n">
        <f aca="false"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>0</v>
      </c>
      <c r="AP95" s="287" t="n">
        <f aca="false"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>0</v>
      </c>
      <c r="AQ95" s="287" t="n">
        <f aca="false"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>0</v>
      </c>
      <c r="AR95" s="287" t="n">
        <f aca="false"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>0</v>
      </c>
      <c r="AS95" s="287" t="n">
        <f aca="false"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>0</v>
      </c>
      <c r="AV95" s="205" t="str">
        <f aca="false">AG95</f>
        <v>Alumno9</v>
      </c>
      <c r="AW95" s="205"/>
      <c r="AY95" s="287" t="n">
        <f aca="false"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>0</v>
      </c>
      <c r="AZ95" s="287" t="n">
        <f aca="false"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>0</v>
      </c>
      <c r="BA95" s="287" t="n">
        <f aca="false"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>0</v>
      </c>
      <c r="BB95" s="287" t="n">
        <f aca="false"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>0</v>
      </c>
      <c r="BC95" s="287" t="n">
        <f aca="false"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>0</v>
      </c>
      <c r="BD95" s="287" t="n">
        <f aca="false"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>0</v>
      </c>
      <c r="BE95" s="287" t="n">
        <f aca="false"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>0</v>
      </c>
      <c r="BF95" s="287" t="n">
        <f aca="false"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>0</v>
      </c>
      <c r="BG95" s="287" t="n">
        <f aca="false"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>0</v>
      </c>
      <c r="BH95" s="287" t="n">
        <f aca="false"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>0</v>
      </c>
    </row>
    <row r="96" customFormat="false" ht="15" hidden="true" customHeight="false" outlineLevel="0" collapsed="false">
      <c r="R96" s="205" t="str">
        <f aca="false">B14</f>
        <v>Alumno10</v>
      </c>
      <c r="S96" s="205"/>
      <c r="U96" s="287" t="n">
        <f aca="false"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>5</v>
      </c>
      <c r="V96" s="287" t="n">
        <f aca="false"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>5.25</v>
      </c>
      <c r="W96" s="287" t="n">
        <f aca="false"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>4.23</v>
      </c>
      <c r="X96" s="287" t="n">
        <f aca="false"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>4.64</v>
      </c>
      <c r="Y96" s="287" t="n">
        <f aca="false"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>0</v>
      </c>
      <c r="Z96" s="287" t="n">
        <f aca="false"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>0</v>
      </c>
      <c r="AA96" s="287" t="n">
        <f aca="false"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>0</v>
      </c>
      <c r="AB96" s="287" t="n">
        <f aca="false"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>0</v>
      </c>
      <c r="AC96" s="287" t="n">
        <f aca="false"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>0</v>
      </c>
      <c r="AD96" s="287" t="n">
        <f aca="false"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>0</v>
      </c>
      <c r="AG96" s="205" t="str">
        <f aca="false">R96</f>
        <v>Alumno10</v>
      </c>
      <c r="AH96" s="205"/>
      <c r="AJ96" s="287" t="n">
        <f aca="false"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>0</v>
      </c>
      <c r="AK96" s="287" t="n">
        <f aca="false"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>0</v>
      </c>
      <c r="AL96" s="287" t="n">
        <f aca="false"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>0</v>
      </c>
      <c r="AM96" s="287" t="n">
        <f aca="false"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>0</v>
      </c>
      <c r="AN96" s="287" t="n">
        <f aca="false"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>0</v>
      </c>
      <c r="AO96" s="287" t="n">
        <f aca="false"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>0</v>
      </c>
      <c r="AP96" s="287" t="n">
        <f aca="false"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>0</v>
      </c>
      <c r="AQ96" s="287" t="n">
        <f aca="false"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>0</v>
      </c>
      <c r="AR96" s="287" t="n">
        <f aca="false"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>0</v>
      </c>
      <c r="AS96" s="287" t="n">
        <f aca="false"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>0</v>
      </c>
      <c r="AV96" s="205" t="str">
        <f aca="false">AG96</f>
        <v>Alumno10</v>
      </c>
      <c r="AW96" s="205"/>
      <c r="AY96" s="287" t="n">
        <f aca="false"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>0</v>
      </c>
      <c r="AZ96" s="287" t="n">
        <f aca="false"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>0</v>
      </c>
      <c r="BA96" s="287" t="n">
        <f aca="false"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>0</v>
      </c>
      <c r="BB96" s="287" t="n">
        <f aca="false"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>0</v>
      </c>
      <c r="BC96" s="287" t="n">
        <f aca="false"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>0</v>
      </c>
      <c r="BD96" s="287" t="n">
        <f aca="false"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>0</v>
      </c>
      <c r="BE96" s="287" t="n">
        <f aca="false"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>0</v>
      </c>
      <c r="BF96" s="287" t="n">
        <f aca="false"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>0</v>
      </c>
      <c r="BG96" s="287" t="n">
        <f aca="false"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>0</v>
      </c>
      <c r="BH96" s="287" t="n">
        <f aca="false"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>0</v>
      </c>
    </row>
    <row r="97" customFormat="false" ht="15" hidden="true" customHeight="false" outlineLevel="0" collapsed="false">
      <c r="R97" s="205" t="str">
        <f aca="false">B15</f>
        <v>Alumno11</v>
      </c>
      <c r="S97" s="205"/>
      <c r="U97" s="287" t="n">
        <f aca="false"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>7.825</v>
      </c>
      <c r="V97" s="287" t="n">
        <f aca="false"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>7.4</v>
      </c>
      <c r="W97" s="287" t="n">
        <f aca="false"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>7.06</v>
      </c>
      <c r="X97" s="287" t="n">
        <f aca="false"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>6.2</v>
      </c>
      <c r="Y97" s="287" t="n">
        <f aca="false"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>0</v>
      </c>
      <c r="Z97" s="287" t="n">
        <f aca="false"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>0</v>
      </c>
      <c r="AA97" s="287" t="n">
        <f aca="false"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>0</v>
      </c>
      <c r="AB97" s="287" t="n">
        <f aca="false"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>0</v>
      </c>
      <c r="AC97" s="287" t="n">
        <f aca="false"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>0</v>
      </c>
      <c r="AD97" s="287" t="n">
        <f aca="false"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>0</v>
      </c>
      <c r="AG97" s="205" t="str">
        <f aca="false">R97</f>
        <v>Alumno11</v>
      </c>
      <c r="AH97" s="205"/>
      <c r="AJ97" s="287" t="n">
        <f aca="false"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>0</v>
      </c>
      <c r="AK97" s="287" t="n">
        <f aca="false"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>0</v>
      </c>
      <c r="AL97" s="287" t="n">
        <f aca="false"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>0</v>
      </c>
      <c r="AM97" s="287" t="n">
        <f aca="false"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>0</v>
      </c>
      <c r="AN97" s="287" t="n">
        <f aca="false"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>0</v>
      </c>
      <c r="AO97" s="287" t="n">
        <f aca="false"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>0</v>
      </c>
      <c r="AP97" s="287" t="n">
        <f aca="false"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>0</v>
      </c>
      <c r="AQ97" s="287" t="n">
        <f aca="false"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>0</v>
      </c>
      <c r="AR97" s="287" t="n">
        <f aca="false"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>0</v>
      </c>
      <c r="AS97" s="287" t="n">
        <f aca="false"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>0</v>
      </c>
      <c r="AV97" s="205" t="str">
        <f aca="false">AG97</f>
        <v>Alumno11</v>
      </c>
      <c r="AW97" s="205"/>
      <c r="AY97" s="287" t="n">
        <f aca="false"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>0</v>
      </c>
      <c r="AZ97" s="287" t="n">
        <f aca="false"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>0</v>
      </c>
      <c r="BA97" s="287" t="n">
        <f aca="false"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>0</v>
      </c>
      <c r="BB97" s="287" t="n">
        <f aca="false"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>0</v>
      </c>
      <c r="BC97" s="287" t="n">
        <f aca="false"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>0</v>
      </c>
      <c r="BD97" s="287" t="n">
        <f aca="false"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>0</v>
      </c>
      <c r="BE97" s="287" t="n">
        <f aca="false"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>0</v>
      </c>
      <c r="BF97" s="287" t="n">
        <f aca="false"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>0</v>
      </c>
      <c r="BG97" s="287" t="n">
        <f aca="false"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>0</v>
      </c>
      <c r="BH97" s="287" t="n">
        <f aca="false"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>0</v>
      </c>
    </row>
    <row r="98" customFormat="false" ht="15" hidden="true" customHeight="false" outlineLevel="0" collapsed="false">
      <c r="R98" s="205" t="str">
        <f aca="false">B16</f>
        <v>Alumno12</v>
      </c>
      <c r="S98" s="205"/>
      <c r="U98" s="287" t="n">
        <f aca="false"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>5</v>
      </c>
      <c r="V98" s="287" t="n">
        <f aca="false"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>5.2</v>
      </c>
      <c r="W98" s="287" t="n">
        <f aca="false"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>5.6</v>
      </c>
      <c r="X98" s="287" t="n">
        <f aca="false"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>7</v>
      </c>
      <c r="Y98" s="287" t="n">
        <f aca="false"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>0</v>
      </c>
      <c r="Z98" s="287" t="n">
        <f aca="false"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>0</v>
      </c>
      <c r="AA98" s="287" t="n">
        <f aca="false"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>0</v>
      </c>
      <c r="AB98" s="287" t="n">
        <f aca="false"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>0</v>
      </c>
      <c r="AC98" s="287" t="n">
        <f aca="false"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>0</v>
      </c>
      <c r="AD98" s="287" t="n">
        <f aca="false"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>0</v>
      </c>
      <c r="AG98" s="205" t="str">
        <f aca="false">R98</f>
        <v>Alumno12</v>
      </c>
      <c r="AH98" s="205"/>
      <c r="AJ98" s="287" t="n">
        <f aca="false"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>0</v>
      </c>
      <c r="AK98" s="287" t="n">
        <f aca="false"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>0</v>
      </c>
      <c r="AL98" s="287" t="n">
        <f aca="false"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>0</v>
      </c>
      <c r="AM98" s="287" t="n">
        <f aca="false"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>0</v>
      </c>
      <c r="AN98" s="287" t="n">
        <f aca="false"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>0</v>
      </c>
      <c r="AO98" s="287" t="n">
        <f aca="false"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>0</v>
      </c>
      <c r="AP98" s="287" t="n">
        <f aca="false"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>0</v>
      </c>
      <c r="AQ98" s="287" t="n">
        <f aca="false"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>0</v>
      </c>
      <c r="AR98" s="287" t="n">
        <f aca="false"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>0</v>
      </c>
      <c r="AS98" s="287" t="n">
        <f aca="false"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>0</v>
      </c>
      <c r="AV98" s="205" t="str">
        <f aca="false">AG98</f>
        <v>Alumno12</v>
      </c>
      <c r="AW98" s="205"/>
      <c r="AY98" s="287" t="n">
        <f aca="false"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>0</v>
      </c>
      <c r="AZ98" s="287" t="n">
        <f aca="false"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>0</v>
      </c>
      <c r="BA98" s="287" t="n">
        <f aca="false"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>0</v>
      </c>
      <c r="BB98" s="287" t="n">
        <f aca="false"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>0</v>
      </c>
      <c r="BC98" s="287" t="n">
        <f aca="false"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>0</v>
      </c>
      <c r="BD98" s="287" t="n">
        <f aca="false"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>0</v>
      </c>
      <c r="BE98" s="287" t="n">
        <f aca="false"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>0</v>
      </c>
      <c r="BF98" s="287" t="n">
        <f aca="false"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>0</v>
      </c>
      <c r="BG98" s="287" t="n">
        <f aca="false"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>0</v>
      </c>
      <c r="BH98" s="287" t="n">
        <f aca="false"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>0</v>
      </c>
    </row>
    <row r="99" customFormat="false" ht="15" hidden="true" customHeight="false" outlineLevel="0" collapsed="false">
      <c r="R99" s="205" t="str">
        <f aca="false">B17</f>
        <v>Alumno13</v>
      </c>
      <c r="S99" s="205"/>
      <c r="U99" s="287" t="n">
        <f aca="false"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>5.475</v>
      </c>
      <c r="V99" s="287" t="n">
        <f aca="false"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>5.4</v>
      </c>
      <c r="W99" s="287" t="n">
        <f aca="false"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>4.775</v>
      </c>
      <c r="X99" s="287" t="n">
        <f aca="false"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>7.14</v>
      </c>
      <c r="Y99" s="287" t="n">
        <f aca="false"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>0</v>
      </c>
      <c r="Z99" s="287" t="n">
        <f aca="false"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>0</v>
      </c>
      <c r="AA99" s="287" t="n">
        <f aca="false"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>0</v>
      </c>
      <c r="AB99" s="287" t="n">
        <f aca="false"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>0</v>
      </c>
      <c r="AC99" s="287" t="n">
        <f aca="false"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>0</v>
      </c>
      <c r="AD99" s="287" t="n">
        <f aca="false"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>0</v>
      </c>
      <c r="AG99" s="205" t="str">
        <f aca="false">R99</f>
        <v>Alumno13</v>
      </c>
      <c r="AH99" s="205"/>
      <c r="AJ99" s="287" t="n">
        <f aca="false"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>0</v>
      </c>
      <c r="AK99" s="287" t="n">
        <f aca="false"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>0</v>
      </c>
      <c r="AL99" s="287" t="n">
        <f aca="false"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>0</v>
      </c>
      <c r="AM99" s="287" t="n">
        <f aca="false"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>0</v>
      </c>
      <c r="AN99" s="287" t="n">
        <f aca="false"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>0</v>
      </c>
      <c r="AO99" s="287" t="n">
        <f aca="false"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>0</v>
      </c>
      <c r="AP99" s="287" t="n">
        <f aca="false"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>0</v>
      </c>
      <c r="AQ99" s="287" t="n">
        <f aca="false"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>0</v>
      </c>
      <c r="AR99" s="287" t="n">
        <f aca="false"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>0</v>
      </c>
      <c r="AS99" s="287" t="n">
        <f aca="false"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>0</v>
      </c>
      <c r="AV99" s="205" t="str">
        <f aca="false">AG99</f>
        <v>Alumno13</v>
      </c>
      <c r="AW99" s="205"/>
      <c r="AY99" s="287" t="n">
        <f aca="false"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>0</v>
      </c>
      <c r="AZ99" s="287" t="n">
        <f aca="false"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>0</v>
      </c>
      <c r="BA99" s="287" t="n">
        <f aca="false"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>0</v>
      </c>
      <c r="BB99" s="287" t="n">
        <f aca="false"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>0</v>
      </c>
      <c r="BC99" s="287" t="n">
        <f aca="false"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>0</v>
      </c>
      <c r="BD99" s="287" t="n">
        <f aca="false"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>0</v>
      </c>
      <c r="BE99" s="287" t="n">
        <f aca="false"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>0</v>
      </c>
      <c r="BF99" s="287" t="n">
        <f aca="false"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>0</v>
      </c>
      <c r="BG99" s="287" t="n">
        <f aca="false"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>0</v>
      </c>
      <c r="BH99" s="287" t="n">
        <f aca="false"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>0</v>
      </c>
    </row>
    <row r="100" customFormat="false" ht="15" hidden="true" customHeight="false" outlineLevel="0" collapsed="false">
      <c r="R100" s="205" t="str">
        <f aca="false">B18</f>
        <v>Alumno14</v>
      </c>
      <c r="S100" s="205"/>
      <c r="U100" s="287" t="n">
        <f aca="false"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>4.475</v>
      </c>
      <c r="V100" s="287" t="n">
        <f aca="false"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>4.7</v>
      </c>
      <c r="W100" s="287" t="n">
        <f aca="false"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>5.78</v>
      </c>
      <c r="X100" s="287" t="n">
        <f aca="false"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>6.82</v>
      </c>
      <c r="Y100" s="287" t="n">
        <f aca="false"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>0</v>
      </c>
      <c r="Z100" s="287" t="n">
        <f aca="false"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>0</v>
      </c>
      <c r="AA100" s="287" t="n">
        <f aca="false"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>0</v>
      </c>
      <c r="AB100" s="287" t="n">
        <f aca="false"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>0</v>
      </c>
      <c r="AC100" s="287" t="n">
        <f aca="false"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>0</v>
      </c>
      <c r="AD100" s="287" t="n">
        <f aca="false"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>0</v>
      </c>
      <c r="AG100" s="205" t="str">
        <f aca="false">R100</f>
        <v>Alumno14</v>
      </c>
      <c r="AH100" s="205"/>
      <c r="AJ100" s="287" t="n">
        <f aca="false"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>0</v>
      </c>
      <c r="AK100" s="287" t="n">
        <f aca="false"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>0</v>
      </c>
      <c r="AL100" s="287" t="n">
        <f aca="false"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>0</v>
      </c>
      <c r="AM100" s="287" t="n">
        <f aca="false"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>0</v>
      </c>
      <c r="AN100" s="287" t="n">
        <f aca="false"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>0</v>
      </c>
      <c r="AO100" s="287" t="n">
        <f aca="false"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>0</v>
      </c>
      <c r="AP100" s="287" t="n">
        <f aca="false"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>0</v>
      </c>
      <c r="AQ100" s="287" t="n">
        <f aca="false"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>0</v>
      </c>
      <c r="AR100" s="287" t="n">
        <f aca="false"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>0</v>
      </c>
      <c r="AS100" s="287" t="n">
        <f aca="false"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>0</v>
      </c>
      <c r="AV100" s="205" t="str">
        <f aca="false">AG100</f>
        <v>Alumno14</v>
      </c>
      <c r="AW100" s="205"/>
      <c r="AY100" s="287" t="n">
        <f aca="false"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>0</v>
      </c>
      <c r="AZ100" s="287" t="n">
        <f aca="false"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>0</v>
      </c>
      <c r="BA100" s="287" t="n">
        <f aca="false"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>0</v>
      </c>
      <c r="BB100" s="287" t="n">
        <f aca="false"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>0</v>
      </c>
      <c r="BC100" s="287" t="n">
        <f aca="false"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>0</v>
      </c>
      <c r="BD100" s="287" t="n">
        <f aca="false"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>0</v>
      </c>
      <c r="BE100" s="287" t="n">
        <f aca="false"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>0</v>
      </c>
      <c r="BF100" s="287" t="n">
        <f aca="false"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>0</v>
      </c>
      <c r="BG100" s="287" t="n">
        <f aca="false"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>0</v>
      </c>
      <c r="BH100" s="287" t="n">
        <f aca="false"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>0</v>
      </c>
    </row>
    <row r="101" customFormat="false" ht="15" hidden="true" customHeight="false" outlineLevel="0" collapsed="false">
      <c r="R101" s="205" t="str">
        <f aca="false">B19</f>
        <v>Alumno15</v>
      </c>
      <c r="S101" s="205"/>
      <c r="U101" s="287" t="n">
        <f aca="false"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>4.7875</v>
      </c>
      <c r="V101" s="287" t="n">
        <f aca="false"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>4.6</v>
      </c>
      <c r="W101" s="287" t="n">
        <f aca="false"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>4.735</v>
      </c>
      <c r="X101" s="287" t="n">
        <f aca="false"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>4.84</v>
      </c>
      <c r="Y101" s="287" t="n">
        <f aca="false"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>0</v>
      </c>
      <c r="Z101" s="287" t="n">
        <f aca="false"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>0</v>
      </c>
      <c r="AA101" s="287" t="n">
        <f aca="false"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>0</v>
      </c>
      <c r="AB101" s="287" t="n">
        <f aca="false"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>0</v>
      </c>
      <c r="AC101" s="287" t="n">
        <f aca="false"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>0</v>
      </c>
      <c r="AD101" s="287" t="n">
        <f aca="false"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>0</v>
      </c>
      <c r="AG101" s="205" t="str">
        <f aca="false">R101</f>
        <v>Alumno15</v>
      </c>
      <c r="AH101" s="205"/>
      <c r="AJ101" s="287" t="n">
        <f aca="false"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>0</v>
      </c>
      <c r="AK101" s="287" t="n">
        <f aca="false"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>0</v>
      </c>
      <c r="AL101" s="287" t="n">
        <f aca="false"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>0</v>
      </c>
      <c r="AM101" s="287" t="n">
        <f aca="false"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>0</v>
      </c>
      <c r="AN101" s="287" t="n">
        <f aca="false"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>0</v>
      </c>
      <c r="AO101" s="287" t="n">
        <f aca="false"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>0</v>
      </c>
      <c r="AP101" s="287" t="n">
        <f aca="false"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>0</v>
      </c>
      <c r="AQ101" s="287" t="n">
        <f aca="false"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>0</v>
      </c>
      <c r="AR101" s="287" t="n">
        <f aca="false"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>0</v>
      </c>
      <c r="AS101" s="287" t="n">
        <f aca="false"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>0</v>
      </c>
      <c r="AV101" s="205" t="str">
        <f aca="false">AG101</f>
        <v>Alumno15</v>
      </c>
      <c r="AW101" s="205"/>
      <c r="AY101" s="287" t="n">
        <f aca="false"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>0</v>
      </c>
      <c r="AZ101" s="287" t="n">
        <f aca="false"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>0</v>
      </c>
      <c r="BA101" s="287" t="n">
        <f aca="false"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>0</v>
      </c>
      <c r="BB101" s="287" t="n">
        <f aca="false"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>0</v>
      </c>
      <c r="BC101" s="287" t="n">
        <f aca="false"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>0</v>
      </c>
      <c r="BD101" s="287" t="n">
        <f aca="false"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>0</v>
      </c>
      <c r="BE101" s="287" t="n">
        <f aca="false"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>0</v>
      </c>
      <c r="BF101" s="287" t="n">
        <f aca="false"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>0</v>
      </c>
      <c r="BG101" s="287" t="n">
        <f aca="false"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>0</v>
      </c>
      <c r="BH101" s="287" t="n">
        <f aca="false"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>0</v>
      </c>
    </row>
    <row r="102" customFormat="false" ht="15" hidden="true" customHeight="false" outlineLevel="0" collapsed="false">
      <c r="R102" s="205" t="str">
        <f aca="false">B20</f>
        <v>Alumno16</v>
      </c>
      <c r="S102" s="205"/>
      <c r="U102" s="287" t="n">
        <f aca="false"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>7.6375</v>
      </c>
      <c r="V102" s="287" t="n">
        <f aca="false"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>7.25</v>
      </c>
      <c r="W102" s="287" t="n">
        <f aca="false"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>6.85</v>
      </c>
      <c r="X102" s="287" t="n">
        <f aca="false"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>6.96</v>
      </c>
      <c r="Y102" s="287" t="n">
        <f aca="false"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>0</v>
      </c>
      <c r="Z102" s="287" t="n">
        <f aca="false"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>0</v>
      </c>
      <c r="AA102" s="287" t="n">
        <f aca="false"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>0</v>
      </c>
      <c r="AB102" s="287" t="n">
        <f aca="false"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>0</v>
      </c>
      <c r="AC102" s="287" t="n">
        <f aca="false"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>0</v>
      </c>
      <c r="AD102" s="287" t="n">
        <f aca="false"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>0</v>
      </c>
      <c r="AG102" s="205" t="str">
        <f aca="false">R102</f>
        <v>Alumno16</v>
      </c>
      <c r="AH102" s="205"/>
      <c r="AJ102" s="287" t="n">
        <f aca="false"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>0</v>
      </c>
      <c r="AK102" s="287" t="n">
        <f aca="false"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>0</v>
      </c>
      <c r="AL102" s="287" t="n">
        <f aca="false"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>0</v>
      </c>
      <c r="AM102" s="287" t="n">
        <f aca="false"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>0</v>
      </c>
      <c r="AN102" s="287" t="n">
        <f aca="false"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>0</v>
      </c>
      <c r="AO102" s="287" t="n">
        <f aca="false"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>0</v>
      </c>
      <c r="AP102" s="287" t="n">
        <f aca="false"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>0</v>
      </c>
      <c r="AQ102" s="287" t="n">
        <f aca="false"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>0</v>
      </c>
      <c r="AR102" s="287" t="n">
        <f aca="false"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>0</v>
      </c>
      <c r="AS102" s="287" t="n">
        <f aca="false"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>0</v>
      </c>
      <c r="AV102" s="205" t="str">
        <f aca="false">AG102</f>
        <v>Alumno16</v>
      </c>
      <c r="AW102" s="205"/>
      <c r="AY102" s="287" t="n">
        <f aca="false"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>0</v>
      </c>
      <c r="AZ102" s="287" t="n">
        <f aca="false"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>0</v>
      </c>
      <c r="BA102" s="287" t="n">
        <f aca="false"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>0</v>
      </c>
      <c r="BB102" s="287" t="n">
        <f aca="false"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>0</v>
      </c>
      <c r="BC102" s="287" t="n">
        <f aca="false"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>0</v>
      </c>
      <c r="BD102" s="287" t="n">
        <f aca="false"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>0</v>
      </c>
      <c r="BE102" s="287" t="n">
        <f aca="false"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>0</v>
      </c>
      <c r="BF102" s="287" t="n">
        <f aca="false"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>0</v>
      </c>
      <c r="BG102" s="287" t="n">
        <f aca="false"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>0</v>
      </c>
      <c r="BH102" s="287" t="n">
        <f aca="false"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>0</v>
      </c>
    </row>
    <row r="103" customFormat="false" ht="15" hidden="true" customHeight="false" outlineLevel="0" collapsed="false">
      <c r="R103" s="205" t="str">
        <f aca="false">B21</f>
        <v>Alumno17</v>
      </c>
      <c r="S103" s="205"/>
      <c r="U103" s="287" t="n">
        <f aca="false"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>7.9125</v>
      </c>
      <c r="V103" s="287" t="n">
        <f aca="false"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>6.9</v>
      </c>
      <c r="W103" s="287" t="n">
        <f aca="false"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>6.25</v>
      </c>
      <c r="X103" s="287" t="n">
        <f aca="false"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>7</v>
      </c>
      <c r="Y103" s="287" t="n">
        <f aca="false"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>0</v>
      </c>
      <c r="Z103" s="287" t="n">
        <f aca="false"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>0</v>
      </c>
      <c r="AA103" s="287" t="n">
        <f aca="false"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>0</v>
      </c>
      <c r="AB103" s="287" t="n">
        <f aca="false"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>0</v>
      </c>
      <c r="AC103" s="287" t="n">
        <f aca="false"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>0</v>
      </c>
      <c r="AD103" s="287" t="n">
        <f aca="false"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>0</v>
      </c>
      <c r="AG103" s="205" t="str">
        <f aca="false">R103</f>
        <v>Alumno17</v>
      </c>
      <c r="AH103" s="205"/>
      <c r="AJ103" s="287" t="n">
        <f aca="false"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>0</v>
      </c>
      <c r="AK103" s="287" t="n">
        <f aca="false"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>0</v>
      </c>
      <c r="AL103" s="287" t="n">
        <f aca="false"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>0</v>
      </c>
      <c r="AM103" s="287" t="n">
        <f aca="false"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>0</v>
      </c>
      <c r="AN103" s="287" t="n">
        <f aca="false"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>0</v>
      </c>
      <c r="AO103" s="287" t="n">
        <f aca="false"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>0</v>
      </c>
      <c r="AP103" s="287" t="n">
        <f aca="false"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>0</v>
      </c>
      <c r="AQ103" s="287" t="n">
        <f aca="false"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>0</v>
      </c>
      <c r="AR103" s="287" t="n">
        <f aca="false"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>0</v>
      </c>
      <c r="AS103" s="287" t="n">
        <f aca="false"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>0</v>
      </c>
      <c r="AV103" s="205" t="str">
        <f aca="false">AG103</f>
        <v>Alumno17</v>
      </c>
      <c r="AW103" s="205"/>
      <c r="AY103" s="287" t="n">
        <f aca="false"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>0</v>
      </c>
      <c r="AZ103" s="287" t="n">
        <f aca="false"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>0</v>
      </c>
      <c r="BA103" s="287" t="n">
        <f aca="false"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>0</v>
      </c>
      <c r="BB103" s="287" t="n">
        <f aca="false"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>0</v>
      </c>
      <c r="BC103" s="287" t="n">
        <f aca="false"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>0</v>
      </c>
      <c r="BD103" s="287" t="n">
        <f aca="false"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>0</v>
      </c>
      <c r="BE103" s="287" t="n">
        <f aca="false"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>0</v>
      </c>
      <c r="BF103" s="287" t="n">
        <f aca="false"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>0</v>
      </c>
      <c r="BG103" s="287" t="n">
        <f aca="false"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>0</v>
      </c>
      <c r="BH103" s="287" t="n">
        <f aca="false"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>0</v>
      </c>
    </row>
    <row r="104" customFormat="false" ht="15" hidden="true" customHeight="false" outlineLevel="0" collapsed="false">
      <c r="R104" s="205" t="str">
        <f aca="false">B22</f>
        <v>Alumno18</v>
      </c>
      <c r="S104" s="205"/>
      <c r="U104" s="287" t="n">
        <f aca="false"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>7.2625</v>
      </c>
      <c r="V104" s="287" t="n">
        <f aca="false"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>6.8</v>
      </c>
      <c r="W104" s="287" t="n">
        <f aca="false"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>7.095</v>
      </c>
      <c r="X104" s="287" t="n">
        <f aca="false"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>8.34</v>
      </c>
      <c r="Y104" s="287" t="n">
        <f aca="false"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>0</v>
      </c>
      <c r="Z104" s="287" t="n">
        <f aca="false"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>0</v>
      </c>
      <c r="AA104" s="287" t="n">
        <f aca="false"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>0</v>
      </c>
      <c r="AB104" s="287" t="n">
        <f aca="false"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>0</v>
      </c>
      <c r="AC104" s="287" t="n">
        <f aca="false"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>0</v>
      </c>
      <c r="AD104" s="287" t="n">
        <f aca="false"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>0</v>
      </c>
      <c r="AG104" s="205" t="str">
        <f aca="false">R104</f>
        <v>Alumno18</v>
      </c>
      <c r="AH104" s="205"/>
      <c r="AJ104" s="287" t="n">
        <f aca="false"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>0</v>
      </c>
      <c r="AK104" s="287" t="n">
        <f aca="false"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>0</v>
      </c>
      <c r="AL104" s="287" t="n">
        <f aca="false"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>0</v>
      </c>
      <c r="AM104" s="287" t="n">
        <f aca="false"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>0</v>
      </c>
      <c r="AN104" s="287" t="n">
        <f aca="false"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>0</v>
      </c>
      <c r="AO104" s="287" t="n">
        <f aca="false"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>0</v>
      </c>
      <c r="AP104" s="287" t="n">
        <f aca="false"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>0</v>
      </c>
      <c r="AQ104" s="287" t="n">
        <f aca="false"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>0</v>
      </c>
      <c r="AR104" s="287" t="n">
        <f aca="false"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>0</v>
      </c>
      <c r="AS104" s="287" t="n">
        <f aca="false"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>0</v>
      </c>
      <c r="AV104" s="205" t="str">
        <f aca="false">AG104</f>
        <v>Alumno18</v>
      </c>
      <c r="AW104" s="205"/>
      <c r="AY104" s="287" t="n">
        <f aca="false"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>0</v>
      </c>
      <c r="AZ104" s="287" t="n">
        <f aca="false"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>0</v>
      </c>
      <c r="BA104" s="287" t="n">
        <f aca="false"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>0</v>
      </c>
      <c r="BB104" s="287" t="n">
        <f aca="false"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>0</v>
      </c>
      <c r="BC104" s="287" t="n">
        <f aca="false"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>0</v>
      </c>
      <c r="BD104" s="287" t="n">
        <f aca="false"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>0</v>
      </c>
      <c r="BE104" s="287" t="n">
        <f aca="false"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>0</v>
      </c>
      <c r="BF104" s="287" t="n">
        <f aca="false"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>0</v>
      </c>
      <c r="BG104" s="287" t="n">
        <f aca="false"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>0</v>
      </c>
      <c r="BH104" s="287" t="n">
        <f aca="false"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>0</v>
      </c>
    </row>
    <row r="105" customFormat="false" ht="15" hidden="true" customHeight="false" outlineLevel="0" collapsed="false">
      <c r="R105" s="205" t="str">
        <f aca="false">B23</f>
        <v>Alumno19</v>
      </c>
      <c r="S105" s="205"/>
      <c r="U105" s="287" t="n">
        <f aca="false"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>5.05</v>
      </c>
      <c r="V105" s="287" t="n">
        <f aca="false"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>5.4</v>
      </c>
      <c r="W105" s="287" t="n">
        <f aca="false"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>5.68</v>
      </c>
      <c r="X105" s="287" t="n">
        <f aca="false"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>5.64</v>
      </c>
      <c r="Y105" s="287" t="n">
        <f aca="false"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>0</v>
      </c>
      <c r="Z105" s="287" t="n">
        <f aca="false"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>0</v>
      </c>
      <c r="AA105" s="287" t="n">
        <f aca="false"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>0</v>
      </c>
      <c r="AB105" s="287" t="n">
        <f aca="false"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>0</v>
      </c>
      <c r="AC105" s="287" t="n">
        <f aca="false"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>0</v>
      </c>
      <c r="AD105" s="287" t="n">
        <f aca="false"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>0</v>
      </c>
      <c r="AG105" s="205" t="str">
        <f aca="false">R105</f>
        <v>Alumno19</v>
      </c>
      <c r="AH105" s="205"/>
      <c r="AJ105" s="287" t="n">
        <f aca="false"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>0</v>
      </c>
      <c r="AK105" s="287" t="n">
        <f aca="false"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>0</v>
      </c>
      <c r="AL105" s="287" t="n">
        <f aca="false"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>0</v>
      </c>
      <c r="AM105" s="287" t="n">
        <f aca="false"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>0</v>
      </c>
      <c r="AN105" s="287" t="n">
        <f aca="false"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>0</v>
      </c>
      <c r="AO105" s="287" t="n">
        <f aca="false"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>0</v>
      </c>
      <c r="AP105" s="287" t="n">
        <f aca="false"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>0</v>
      </c>
      <c r="AQ105" s="287" t="n">
        <f aca="false"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>0</v>
      </c>
      <c r="AR105" s="287" t="n">
        <f aca="false"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>0</v>
      </c>
      <c r="AS105" s="287" t="n">
        <f aca="false"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>0</v>
      </c>
      <c r="AV105" s="205" t="str">
        <f aca="false">AG105</f>
        <v>Alumno19</v>
      </c>
      <c r="AW105" s="205"/>
      <c r="AY105" s="287" t="n">
        <f aca="false"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>0</v>
      </c>
      <c r="AZ105" s="287" t="n">
        <f aca="false"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>0</v>
      </c>
      <c r="BA105" s="287" t="n">
        <f aca="false"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>0</v>
      </c>
      <c r="BB105" s="287" t="n">
        <f aca="false"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>0</v>
      </c>
      <c r="BC105" s="287" t="n">
        <f aca="false"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>0</v>
      </c>
      <c r="BD105" s="287" t="n">
        <f aca="false"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>0</v>
      </c>
      <c r="BE105" s="287" t="n">
        <f aca="false"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>0</v>
      </c>
      <c r="BF105" s="287" t="n">
        <f aca="false"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>0</v>
      </c>
      <c r="BG105" s="287" t="n">
        <f aca="false"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>0</v>
      </c>
      <c r="BH105" s="287" t="n">
        <f aca="false"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>0</v>
      </c>
    </row>
    <row r="106" customFormat="false" ht="15" hidden="true" customHeight="false" outlineLevel="0" collapsed="false">
      <c r="R106" s="205" t="str">
        <f aca="false">B24</f>
        <v>Alumno20</v>
      </c>
      <c r="S106" s="205"/>
      <c r="U106" s="287" t="n">
        <f aca="false"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>6.75</v>
      </c>
      <c r="V106" s="287" t="n">
        <f aca="false"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>7.25</v>
      </c>
      <c r="W106" s="287" t="n">
        <f aca="false"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>6.53</v>
      </c>
      <c r="X106" s="287" t="n">
        <f aca="false"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>4.64</v>
      </c>
      <c r="Y106" s="287" t="n">
        <f aca="false"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>0</v>
      </c>
      <c r="Z106" s="287" t="n">
        <f aca="false"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>0</v>
      </c>
      <c r="AA106" s="287" t="n">
        <f aca="false"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>0</v>
      </c>
      <c r="AB106" s="287" t="n">
        <f aca="false"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>0</v>
      </c>
      <c r="AC106" s="287" t="n">
        <f aca="false"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>0</v>
      </c>
      <c r="AD106" s="287" t="n">
        <f aca="false"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>0</v>
      </c>
      <c r="AG106" s="205" t="str">
        <f aca="false">R106</f>
        <v>Alumno20</v>
      </c>
      <c r="AH106" s="205"/>
      <c r="AJ106" s="287" t="n">
        <f aca="false"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>0</v>
      </c>
      <c r="AK106" s="287" t="n">
        <f aca="false"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>0</v>
      </c>
      <c r="AL106" s="287" t="n">
        <f aca="false"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>0</v>
      </c>
      <c r="AM106" s="287" t="n">
        <f aca="false"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>0</v>
      </c>
      <c r="AN106" s="287" t="n">
        <f aca="false"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>0</v>
      </c>
      <c r="AO106" s="287" t="n">
        <f aca="false"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>0</v>
      </c>
      <c r="AP106" s="287" t="n">
        <f aca="false"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>0</v>
      </c>
      <c r="AQ106" s="287" t="n">
        <f aca="false"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>0</v>
      </c>
      <c r="AR106" s="287" t="n">
        <f aca="false"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>0</v>
      </c>
      <c r="AS106" s="287" t="n">
        <f aca="false"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>0</v>
      </c>
      <c r="AV106" s="205" t="str">
        <f aca="false">AG106</f>
        <v>Alumno20</v>
      </c>
      <c r="AW106" s="205"/>
      <c r="AY106" s="287" t="n">
        <f aca="false"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>0</v>
      </c>
      <c r="AZ106" s="287" t="n">
        <f aca="false"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>0</v>
      </c>
      <c r="BA106" s="287" t="n">
        <f aca="false"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>0</v>
      </c>
      <c r="BB106" s="287" t="n">
        <f aca="false"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>0</v>
      </c>
      <c r="BC106" s="287" t="n">
        <f aca="false"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>0</v>
      </c>
      <c r="BD106" s="287" t="n">
        <f aca="false"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>0</v>
      </c>
      <c r="BE106" s="287" t="n">
        <f aca="false"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>0</v>
      </c>
      <c r="BF106" s="287" t="n">
        <f aca="false"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>0</v>
      </c>
      <c r="BG106" s="287" t="n">
        <f aca="false"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>0</v>
      </c>
      <c r="BH106" s="287" t="n">
        <f aca="false"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>0</v>
      </c>
    </row>
    <row r="107" customFormat="false" ht="15" hidden="true" customHeight="false" outlineLevel="0" collapsed="false">
      <c r="R107" s="205" t="str">
        <f aca="false">B25</f>
        <v>Alumno21</v>
      </c>
      <c r="S107" s="205"/>
      <c r="U107" s="287" t="n">
        <f aca="false"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>7.7</v>
      </c>
      <c r="V107" s="287" t="n">
        <f aca="false"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>8.3</v>
      </c>
      <c r="W107" s="287" t="n">
        <f aca="false"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>8.355</v>
      </c>
      <c r="X107" s="287" t="n">
        <f aca="false"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>5.54</v>
      </c>
      <c r="Y107" s="287" t="n">
        <f aca="false"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>0</v>
      </c>
      <c r="Z107" s="287" t="n">
        <f aca="false"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>0</v>
      </c>
      <c r="AA107" s="287" t="n">
        <f aca="false"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>0</v>
      </c>
      <c r="AB107" s="287" t="n">
        <f aca="false"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>0</v>
      </c>
      <c r="AC107" s="287" t="n">
        <f aca="false"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>0</v>
      </c>
      <c r="AD107" s="287" t="n">
        <f aca="false"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>0</v>
      </c>
      <c r="AG107" s="205" t="str">
        <f aca="false">R107</f>
        <v>Alumno21</v>
      </c>
      <c r="AH107" s="205"/>
      <c r="AJ107" s="287" t="n">
        <f aca="false"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>0</v>
      </c>
      <c r="AK107" s="287" t="n">
        <f aca="false"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>0</v>
      </c>
      <c r="AL107" s="287" t="n">
        <f aca="false"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>0</v>
      </c>
      <c r="AM107" s="287" t="n">
        <f aca="false"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>0</v>
      </c>
      <c r="AN107" s="287" t="n">
        <f aca="false"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>0</v>
      </c>
      <c r="AO107" s="287" t="n">
        <f aca="false"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>0</v>
      </c>
      <c r="AP107" s="287" t="n">
        <f aca="false"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>0</v>
      </c>
      <c r="AQ107" s="287" t="n">
        <f aca="false"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>0</v>
      </c>
      <c r="AR107" s="287" t="n">
        <f aca="false"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>0</v>
      </c>
      <c r="AS107" s="287" t="n">
        <f aca="false"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>0</v>
      </c>
      <c r="AV107" s="205" t="str">
        <f aca="false">AG107</f>
        <v>Alumno21</v>
      </c>
      <c r="AW107" s="205"/>
      <c r="AY107" s="287" t="n">
        <f aca="false"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>0</v>
      </c>
      <c r="AZ107" s="287" t="n">
        <f aca="false"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>0</v>
      </c>
      <c r="BA107" s="287" t="n">
        <f aca="false"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>0</v>
      </c>
      <c r="BB107" s="287" t="n">
        <f aca="false"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>0</v>
      </c>
      <c r="BC107" s="287" t="n">
        <f aca="false"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>0</v>
      </c>
      <c r="BD107" s="287" t="n">
        <f aca="false"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>0</v>
      </c>
      <c r="BE107" s="287" t="n">
        <f aca="false"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>0</v>
      </c>
      <c r="BF107" s="287" t="n">
        <f aca="false"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>0</v>
      </c>
      <c r="BG107" s="287" t="n">
        <f aca="false"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>0</v>
      </c>
      <c r="BH107" s="287" t="n">
        <f aca="false"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>0</v>
      </c>
    </row>
    <row r="108" customFormat="false" ht="15" hidden="true" customHeight="false" outlineLevel="0" collapsed="false">
      <c r="R108" s="205" t="str">
        <f aca="false">B26</f>
        <v>Alumno22</v>
      </c>
      <c r="S108" s="205"/>
      <c r="U108" s="287" t="n">
        <f aca="false"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>5.55</v>
      </c>
      <c r="V108" s="287" t="n">
        <f aca="false"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>5.9</v>
      </c>
      <c r="W108" s="287" t="n">
        <f aca="false"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>5.825</v>
      </c>
      <c r="X108" s="287" t="n">
        <f aca="false"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>4.8</v>
      </c>
      <c r="Y108" s="287" t="n">
        <f aca="false"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>0</v>
      </c>
      <c r="Z108" s="287" t="n">
        <f aca="false"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>0</v>
      </c>
      <c r="AA108" s="287" t="n">
        <f aca="false"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>0</v>
      </c>
      <c r="AB108" s="287" t="n">
        <f aca="false"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>0</v>
      </c>
      <c r="AC108" s="287" t="n">
        <f aca="false"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>0</v>
      </c>
      <c r="AD108" s="287" t="n">
        <f aca="false"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>0</v>
      </c>
      <c r="AG108" s="205" t="str">
        <f aca="false">R108</f>
        <v>Alumno22</v>
      </c>
      <c r="AH108" s="205"/>
      <c r="AJ108" s="287" t="n">
        <f aca="false"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>0</v>
      </c>
      <c r="AK108" s="287" t="n">
        <f aca="false"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>0</v>
      </c>
      <c r="AL108" s="287" t="n">
        <f aca="false"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>0</v>
      </c>
      <c r="AM108" s="287" t="n">
        <f aca="false"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>0</v>
      </c>
      <c r="AN108" s="287" t="n">
        <f aca="false"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>0</v>
      </c>
      <c r="AO108" s="287" t="n">
        <f aca="false"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>0</v>
      </c>
      <c r="AP108" s="287" t="n">
        <f aca="false"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>0</v>
      </c>
      <c r="AQ108" s="287" t="n">
        <f aca="false"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>0</v>
      </c>
      <c r="AR108" s="287" t="n">
        <f aca="false"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>0</v>
      </c>
      <c r="AS108" s="287" t="n">
        <f aca="false"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>0</v>
      </c>
      <c r="AV108" s="205" t="str">
        <f aca="false">AG108</f>
        <v>Alumno22</v>
      </c>
      <c r="AW108" s="205"/>
      <c r="AY108" s="287" t="n">
        <f aca="false"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>0</v>
      </c>
      <c r="AZ108" s="287" t="n">
        <f aca="false"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>0</v>
      </c>
      <c r="BA108" s="287" t="n">
        <f aca="false"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>0</v>
      </c>
      <c r="BB108" s="287" t="n">
        <f aca="false"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>0</v>
      </c>
      <c r="BC108" s="287" t="n">
        <f aca="false"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>0</v>
      </c>
      <c r="BD108" s="287" t="n">
        <f aca="false"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>0</v>
      </c>
      <c r="BE108" s="287" t="n">
        <f aca="false"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>0</v>
      </c>
      <c r="BF108" s="287" t="n">
        <f aca="false"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>0</v>
      </c>
      <c r="BG108" s="287" t="n">
        <f aca="false"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>0</v>
      </c>
      <c r="BH108" s="287" t="n">
        <f aca="false"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>0</v>
      </c>
    </row>
    <row r="109" customFormat="false" ht="15" hidden="true" customHeight="false" outlineLevel="0" collapsed="false">
      <c r="R109" s="205" t="str">
        <f aca="false">B27</f>
        <v>Alumno23</v>
      </c>
      <c r="S109" s="205"/>
      <c r="U109" s="287" t="n">
        <f aca="false"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>5.15</v>
      </c>
      <c r="V109" s="287" t="n">
        <f aca="false"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>4.9</v>
      </c>
      <c r="W109" s="287" t="n">
        <f aca="false"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>4.605</v>
      </c>
      <c r="X109" s="287" t="n">
        <f aca="false"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>7.04</v>
      </c>
      <c r="Y109" s="287" t="n">
        <f aca="false"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>0</v>
      </c>
      <c r="Z109" s="287" t="n">
        <f aca="false"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>0</v>
      </c>
      <c r="AA109" s="287" t="n">
        <f aca="false"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>0</v>
      </c>
      <c r="AB109" s="287" t="n">
        <f aca="false"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>0</v>
      </c>
      <c r="AC109" s="287" t="n">
        <f aca="false"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>0</v>
      </c>
      <c r="AD109" s="287" t="n">
        <f aca="false"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>0</v>
      </c>
      <c r="AG109" s="205" t="str">
        <f aca="false">R109</f>
        <v>Alumno23</v>
      </c>
      <c r="AH109" s="205"/>
      <c r="AJ109" s="287" t="n">
        <f aca="false"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>0</v>
      </c>
      <c r="AK109" s="287" t="n">
        <f aca="false"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>0</v>
      </c>
      <c r="AL109" s="287" t="n">
        <f aca="false"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>0</v>
      </c>
      <c r="AM109" s="287" t="n">
        <f aca="false"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>0</v>
      </c>
      <c r="AN109" s="287" t="n">
        <f aca="false"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>0</v>
      </c>
      <c r="AO109" s="287" t="n">
        <f aca="false"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>0</v>
      </c>
      <c r="AP109" s="287" t="n">
        <f aca="false"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>0</v>
      </c>
      <c r="AQ109" s="287" t="n">
        <f aca="false"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>0</v>
      </c>
      <c r="AR109" s="287" t="n">
        <f aca="false"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>0</v>
      </c>
      <c r="AS109" s="287" t="n">
        <f aca="false"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>0</v>
      </c>
      <c r="AV109" s="205" t="str">
        <f aca="false">AG109</f>
        <v>Alumno23</v>
      </c>
      <c r="AW109" s="205"/>
      <c r="AY109" s="287" t="n">
        <f aca="false"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>0</v>
      </c>
      <c r="AZ109" s="287" t="n">
        <f aca="false"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>0</v>
      </c>
      <c r="BA109" s="287" t="n">
        <f aca="false"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>0</v>
      </c>
      <c r="BB109" s="287" t="n">
        <f aca="false"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>0</v>
      </c>
      <c r="BC109" s="287" t="n">
        <f aca="false"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>0</v>
      </c>
      <c r="BD109" s="287" t="n">
        <f aca="false"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>0</v>
      </c>
      <c r="BE109" s="287" t="n">
        <f aca="false"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>0</v>
      </c>
      <c r="BF109" s="287" t="n">
        <f aca="false"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>0</v>
      </c>
      <c r="BG109" s="287" t="n">
        <f aca="false"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>0</v>
      </c>
      <c r="BH109" s="287" t="n">
        <f aca="false"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>0</v>
      </c>
    </row>
    <row r="110" customFormat="false" ht="15" hidden="true" customHeight="false" outlineLevel="0" collapsed="false">
      <c r="R110" s="205" t="str">
        <f aca="false">B28</f>
        <v>Alumno24</v>
      </c>
      <c r="S110" s="205"/>
      <c r="U110" s="287" t="n">
        <f aca="false"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>5.55</v>
      </c>
      <c r="V110" s="287" t="n">
        <f aca="false"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>6.2</v>
      </c>
      <c r="W110" s="287" t="n">
        <f aca="false"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>6.825</v>
      </c>
      <c r="X110" s="287" t="n">
        <f aca="false"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>7</v>
      </c>
      <c r="Y110" s="287" t="n">
        <f aca="false"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>0</v>
      </c>
      <c r="Z110" s="287" t="n">
        <f aca="false"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>0</v>
      </c>
      <c r="AA110" s="287" t="n">
        <f aca="false"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>0</v>
      </c>
      <c r="AB110" s="287" t="n">
        <f aca="false"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>0</v>
      </c>
      <c r="AC110" s="287" t="n">
        <f aca="false"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>0</v>
      </c>
      <c r="AD110" s="287" t="n">
        <f aca="false"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>0</v>
      </c>
      <c r="AG110" s="205" t="str">
        <f aca="false">R110</f>
        <v>Alumno24</v>
      </c>
      <c r="AH110" s="205"/>
      <c r="AJ110" s="287" t="n">
        <f aca="false"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>0</v>
      </c>
      <c r="AK110" s="287" t="n">
        <f aca="false"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>0</v>
      </c>
      <c r="AL110" s="287" t="n">
        <f aca="false"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>0</v>
      </c>
      <c r="AM110" s="287" t="n">
        <f aca="false"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>0</v>
      </c>
      <c r="AN110" s="287" t="n">
        <f aca="false"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>0</v>
      </c>
      <c r="AO110" s="287" t="n">
        <f aca="false"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>0</v>
      </c>
      <c r="AP110" s="287" t="n">
        <f aca="false"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>0</v>
      </c>
      <c r="AQ110" s="287" t="n">
        <f aca="false"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>0</v>
      </c>
      <c r="AR110" s="287" t="n">
        <f aca="false"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>0</v>
      </c>
      <c r="AS110" s="287" t="n">
        <f aca="false"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>0</v>
      </c>
      <c r="AV110" s="205" t="str">
        <f aca="false">AG110</f>
        <v>Alumno24</v>
      </c>
      <c r="AW110" s="205"/>
      <c r="AY110" s="287" t="n">
        <f aca="false"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>0</v>
      </c>
      <c r="AZ110" s="287" t="n">
        <f aca="false"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>0</v>
      </c>
      <c r="BA110" s="287" t="n">
        <f aca="false"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>0</v>
      </c>
      <c r="BB110" s="287" t="n">
        <f aca="false"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>0</v>
      </c>
      <c r="BC110" s="287" t="n">
        <f aca="false"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>0</v>
      </c>
      <c r="BD110" s="287" t="n">
        <f aca="false"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>0</v>
      </c>
      <c r="BE110" s="287" t="n">
        <f aca="false"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>0</v>
      </c>
      <c r="BF110" s="287" t="n">
        <f aca="false"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>0</v>
      </c>
      <c r="BG110" s="287" t="n">
        <f aca="false"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>0</v>
      </c>
      <c r="BH110" s="287" t="n">
        <f aca="false"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>0</v>
      </c>
    </row>
    <row r="111" customFormat="false" ht="15" hidden="true" customHeight="false" outlineLevel="0" collapsed="false">
      <c r="R111" s="205" t="str">
        <f aca="false">B29</f>
        <v>Alumno25</v>
      </c>
      <c r="S111" s="205"/>
      <c r="U111" s="287" t="n">
        <f aca="false"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>7.3625</v>
      </c>
      <c r="V111" s="287" t="n">
        <f aca="false"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>7.05</v>
      </c>
      <c r="W111" s="287" t="n">
        <f aca="false"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>7.3</v>
      </c>
      <c r="X111" s="287" t="n">
        <f aca="false"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>9.3</v>
      </c>
      <c r="Y111" s="287" t="n">
        <f aca="false"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>0</v>
      </c>
      <c r="Z111" s="287" t="n">
        <f aca="false"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>0</v>
      </c>
      <c r="AA111" s="287" t="n">
        <f aca="false"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>0</v>
      </c>
      <c r="AB111" s="287" t="n">
        <f aca="false"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>0</v>
      </c>
      <c r="AC111" s="287" t="n">
        <f aca="false"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>0</v>
      </c>
      <c r="AD111" s="287" t="n">
        <f aca="false"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>0</v>
      </c>
      <c r="AG111" s="205" t="str">
        <f aca="false">R111</f>
        <v>Alumno25</v>
      </c>
      <c r="AH111" s="205"/>
      <c r="AJ111" s="287" t="n">
        <f aca="false"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>0</v>
      </c>
      <c r="AK111" s="287" t="n">
        <f aca="false"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>0</v>
      </c>
      <c r="AL111" s="287" t="n">
        <f aca="false"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>0</v>
      </c>
      <c r="AM111" s="287" t="n">
        <f aca="false"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>0</v>
      </c>
      <c r="AN111" s="287" t="n">
        <f aca="false"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>0</v>
      </c>
      <c r="AO111" s="287" t="n">
        <f aca="false"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>0</v>
      </c>
      <c r="AP111" s="287" t="n">
        <f aca="false"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>0</v>
      </c>
      <c r="AQ111" s="287" t="n">
        <f aca="false"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>0</v>
      </c>
      <c r="AR111" s="287" t="n">
        <f aca="false"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>0</v>
      </c>
      <c r="AS111" s="287" t="n">
        <f aca="false"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>0</v>
      </c>
      <c r="AV111" s="205" t="str">
        <f aca="false">AG111</f>
        <v>Alumno25</v>
      </c>
      <c r="AW111" s="205"/>
      <c r="AY111" s="287" t="n">
        <f aca="false"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>0</v>
      </c>
      <c r="AZ111" s="287" t="n">
        <f aca="false"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>0</v>
      </c>
      <c r="BA111" s="287" t="n">
        <f aca="false"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>0</v>
      </c>
      <c r="BB111" s="287" t="n">
        <f aca="false"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>0</v>
      </c>
      <c r="BC111" s="287" t="n">
        <f aca="false"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>0</v>
      </c>
      <c r="BD111" s="287" t="n">
        <f aca="false"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>0</v>
      </c>
      <c r="BE111" s="287" t="n">
        <f aca="false"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>0</v>
      </c>
      <c r="BF111" s="287" t="n">
        <f aca="false"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>0</v>
      </c>
      <c r="BG111" s="287" t="n">
        <f aca="false"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>0</v>
      </c>
      <c r="BH111" s="287" t="n">
        <f aca="false"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>0</v>
      </c>
    </row>
    <row r="112" customFormat="false" ht="15" hidden="true" customHeight="false" outlineLevel="0" collapsed="false">
      <c r="R112" s="205" t="str">
        <f aca="false">B30</f>
        <v>Alumno26</v>
      </c>
      <c r="S112" s="205"/>
      <c r="U112" s="287" t="n">
        <f aca="false"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>7.9625</v>
      </c>
      <c r="V112" s="287" t="n">
        <f aca="false"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>6.9</v>
      </c>
      <c r="W112" s="287" t="n">
        <f aca="false"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>6.695</v>
      </c>
      <c r="X112" s="287" t="n">
        <f aca="false"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>8.14</v>
      </c>
      <c r="Y112" s="287" t="n">
        <f aca="false"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>0</v>
      </c>
      <c r="Z112" s="287" t="n">
        <f aca="false"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>0</v>
      </c>
      <c r="AA112" s="287" t="n">
        <f aca="false"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>0</v>
      </c>
      <c r="AB112" s="287" t="n">
        <f aca="false"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>0</v>
      </c>
      <c r="AC112" s="287" t="n">
        <f aca="false"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>0</v>
      </c>
      <c r="AD112" s="287" t="n">
        <f aca="false"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>0</v>
      </c>
      <c r="AG112" s="205" t="str">
        <f aca="false">R112</f>
        <v>Alumno26</v>
      </c>
      <c r="AH112" s="205"/>
      <c r="AJ112" s="287" t="n">
        <f aca="false"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>0</v>
      </c>
      <c r="AK112" s="287" t="n">
        <f aca="false"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>0</v>
      </c>
      <c r="AL112" s="287" t="n">
        <f aca="false"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>0</v>
      </c>
      <c r="AM112" s="287" t="n">
        <f aca="false"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>0</v>
      </c>
      <c r="AN112" s="287" t="n">
        <f aca="false"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>0</v>
      </c>
      <c r="AO112" s="287" t="n">
        <f aca="false"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>0</v>
      </c>
      <c r="AP112" s="287" t="n">
        <f aca="false"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>0</v>
      </c>
      <c r="AQ112" s="287" t="n">
        <f aca="false"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>0</v>
      </c>
      <c r="AR112" s="287" t="n">
        <f aca="false"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>0</v>
      </c>
      <c r="AS112" s="287" t="n">
        <f aca="false"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>0</v>
      </c>
      <c r="AV112" s="205" t="str">
        <f aca="false">AG112</f>
        <v>Alumno26</v>
      </c>
      <c r="AW112" s="205"/>
      <c r="AY112" s="287" t="n">
        <f aca="false"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>0</v>
      </c>
      <c r="AZ112" s="287" t="n">
        <f aca="false"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>0</v>
      </c>
      <c r="BA112" s="287" t="n">
        <f aca="false"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>0</v>
      </c>
      <c r="BB112" s="287" t="n">
        <f aca="false"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>0</v>
      </c>
      <c r="BC112" s="287" t="n">
        <f aca="false"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>0</v>
      </c>
      <c r="BD112" s="287" t="n">
        <f aca="false"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>0</v>
      </c>
      <c r="BE112" s="287" t="n">
        <f aca="false"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>0</v>
      </c>
      <c r="BF112" s="287" t="n">
        <f aca="false"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>0</v>
      </c>
      <c r="BG112" s="287" t="n">
        <f aca="false"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>0</v>
      </c>
      <c r="BH112" s="287" t="n">
        <f aca="false"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>0</v>
      </c>
    </row>
    <row r="113" customFormat="false" ht="15" hidden="true" customHeight="false" outlineLevel="0" collapsed="false">
      <c r="R113" s="205" t="str">
        <f aca="false">B31</f>
        <v>Alumno27</v>
      </c>
      <c r="S113" s="205"/>
      <c r="U113" s="287" t="n">
        <f aca="false"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>7.3625</v>
      </c>
      <c r="V113" s="287" t="n">
        <f aca="false"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>6.8</v>
      </c>
      <c r="W113" s="287" t="n">
        <f aca="false"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>6.45</v>
      </c>
      <c r="X113" s="287" t="n">
        <f aca="false"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>6.8</v>
      </c>
      <c r="Y113" s="287" t="n">
        <f aca="false"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>0</v>
      </c>
      <c r="Z113" s="287" t="n">
        <f aca="false"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>0</v>
      </c>
      <c r="AA113" s="287" t="n">
        <f aca="false"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>0</v>
      </c>
      <c r="AB113" s="287" t="n">
        <f aca="false"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>0</v>
      </c>
      <c r="AC113" s="287" t="n">
        <f aca="false"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>0</v>
      </c>
      <c r="AD113" s="287" t="n">
        <f aca="false"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>0</v>
      </c>
      <c r="AG113" s="205" t="str">
        <f aca="false">R113</f>
        <v>Alumno27</v>
      </c>
      <c r="AH113" s="205"/>
      <c r="AJ113" s="287" t="n">
        <f aca="false"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>0</v>
      </c>
      <c r="AK113" s="287" t="n">
        <f aca="false"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>0</v>
      </c>
      <c r="AL113" s="287" t="n">
        <f aca="false"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>0</v>
      </c>
      <c r="AM113" s="287" t="n">
        <f aca="false"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>0</v>
      </c>
      <c r="AN113" s="287" t="n">
        <f aca="false"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>0</v>
      </c>
      <c r="AO113" s="287" t="n">
        <f aca="false"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>0</v>
      </c>
      <c r="AP113" s="287" t="n">
        <f aca="false"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>0</v>
      </c>
      <c r="AQ113" s="287" t="n">
        <f aca="false"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>0</v>
      </c>
      <c r="AR113" s="287" t="n">
        <f aca="false"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>0</v>
      </c>
      <c r="AS113" s="287" t="n">
        <f aca="false"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>0</v>
      </c>
      <c r="AV113" s="205" t="str">
        <f aca="false">AG113</f>
        <v>Alumno27</v>
      </c>
      <c r="AW113" s="205"/>
      <c r="AY113" s="287" t="n">
        <f aca="false"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>0</v>
      </c>
      <c r="AZ113" s="287" t="n">
        <f aca="false"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>0</v>
      </c>
      <c r="BA113" s="287" t="n">
        <f aca="false"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>0</v>
      </c>
      <c r="BB113" s="287" t="n">
        <f aca="false"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>0</v>
      </c>
      <c r="BC113" s="287" t="n">
        <f aca="false"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>0</v>
      </c>
      <c r="BD113" s="287" t="n">
        <f aca="false"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>0</v>
      </c>
      <c r="BE113" s="287" t="n">
        <f aca="false"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>0</v>
      </c>
      <c r="BF113" s="287" t="n">
        <f aca="false"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>0</v>
      </c>
      <c r="BG113" s="287" t="n">
        <f aca="false"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>0</v>
      </c>
      <c r="BH113" s="287" t="n">
        <f aca="false"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>0</v>
      </c>
    </row>
    <row r="114" customFormat="false" ht="15" hidden="true" customHeight="false" outlineLevel="0" collapsed="false">
      <c r="R114" s="205" t="str">
        <f aca="false">B32</f>
        <v>Alumno28</v>
      </c>
      <c r="S114" s="205"/>
      <c r="U114" s="287" t="n">
        <f aca="false"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>6.6</v>
      </c>
      <c r="V114" s="287" t="n">
        <f aca="false"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>7.15</v>
      </c>
      <c r="W114" s="287" t="n">
        <f aca="false"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>7</v>
      </c>
      <c r="X114" s="287" t="n">
        <f aca="false"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>6</v>
      </c>
      <c r="Y114" s="287" t="n">
        <f aca="false"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>0</v>
      </c>
      <c r="Z114" s="287" t="n">
        <f aca="false"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>0</v>
      </c>
      <c r="AA114" s="287" t="n">
        <f aca="false"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>0</v>
      </c>
      <c r="AB114" s="287" t="n">
        <f aca="false"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>0</v>
      </c>
      <c r="AC114" s="287" t="n">
        <f aca="false"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>0</v>
      </c>
      <c r="AD114" s="287" t="n">
        <f aca="false"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>0</v>
      </c>
      <c r="AG114" s="205" t="str">
        <f aca="false">R114</f>
        <v>Alumno28</v>
      </c>
      <c r="AH114" s="205"/>
      <c r="AJ114" s="287" t="n">
        <f aca="false"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>0</v>
      </c>
      <c r="AK114" s="287" t="n">
        <f aca="false"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>0</v>
      </c>
      <c r="AL114" s="287" t="n">
        <f aca="false"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>0</v>
      </c>
      <c r="AM114" s="287" t="n">
        <f aca="false"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>0</v>
      </c>
      <c r="AN114" s="287" t="n">
        <f aca="false"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>0</v>
      </c>
      <c r="AO114" s="287" t="n">
        <f aca="false"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>0</v>
      </c>
      <c r="AP114" s="287" t="n">
        <f aca="false"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>0</v>
      </c>
      <c r="AQ114" s="287" t="n">
        <f aca="false"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>0</v>
      </c>
      <c r="AR114" s="287" t="n">
        <f aca="false"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>0</v>
      </c>
      <c r="AS114" s="287" t="n">
        <f aca="false"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>0</v>
      </c>
      <c r="AV114" s="205" t="str">
        <f aca="false">AG114</f>
        <v>Alumno28</v>
      </c>
      <c r="AW114" s="205"/>
      <c r="AY114" s="287" t="n">
        <f aca="false"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>0</v>
      </c>
      <c r="AZ114" s="287" t="n">
        <f aca="false"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>0</v>
      </c>
      <c r="BA114" s="287" t="n">
        <f aca="false"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>0</v>
      </c>
      <c r="BB114" s="287" t="n">
        <f aca="false"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>0</v>
      </c>
      <c r="BC114" s="287" t="n">
        <f aca="false"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>0</v>
      </c>
      <c r="BD114" s="287" t="n">
        <f aca="false"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>0</v>
      </c>
      <c r="BE114" s="287" t="n">
        <f aca="false"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>0</v>
      </c>
      <c r="BF114" s="287" t="n">
        <f aca="false"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>0</v>
      </c>
      <c r="BG114" s="287" t="n">
        <f aca="false"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>0</v>
      </c>
      <c r="BH114" s="287" t="n">
        <f aca="false"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>0</v>
      </c>
    </row>
    <row r="115" customFormat="false" ht="15" hidden="true" customHeight="false" outlineLevel="0" collapsed="false">
      <c r="R115" s="205" t="str">
        <f aca="false">B33</f>
        <v>Alumno29</v>
      </c>
      <c r="S115" s="205"/>
      <c r="U115" s="287" t="n">
        <f aca="false"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>6.85</v>
      </c>
      <c r="V115" s="287" t="n">
        <f aca="false"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>7.1</v>
      </c>
      <c r="W115" s="287" t="n">
        <f aca="false"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>6.455</v>
      </c>
      <c r="X115" s="287" t="n">
        <f aca="false"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>4.84</v>
      </c>
      <c r="Y115" s="287" t="n">
        <f aca="false"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>0</v>
      </c>
      <c r="Z115" s="287" t="n">
        <f aca="false"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>0</v>
      </c>
      <c r="AA115" s="287" t="n">
        <f aca="false"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>0</v>
      </c>
      <c r="AB115" s="287" t="n">
        <f aca="false"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>0</v>
      </c>
      <c r="AC115" s="287" t="n">
        <f aca="false"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>0</v>
      </c>
      <c r="AD115" s="287" t="n">
        <f aca="false"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>0</v>
      </c>
      <c r="AG115" s="205" t="str">
        <f aca="false">R115</f>
        <v>Alumno29</v>
      </c>
      <c r="AH115" s="205"/>
      <c r="AJ115" s="287" t="n">
        <f aca="false"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>0</v>
      </c>
      <c r="AK115" s="287" t="n">
        <f aca="false"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>0</v>
      </c>
      <c r="AL115" s="287" t="n">
        <f aca="false"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>0</v>
      </c>
      <c r="AM115" s="287" t="n">
        <f aca="false"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>0</v>
      </c>
      <c r="AN115" s="287" t="n">
        <f aca="false"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>0</v>
      </c>
      <c r="AO115" s="287" t="n">
        <f aca="false"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>0</v>
      </c>
      <c r="AP115" s="287" t="n">
        <f aca="false"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>0</v>
      </c>
      <c r="AQ115" s="287" t="n">
        <f aca="false"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>0</v>
      </c>
      <c r="AR115" s="287" t="n">
        <f aca="false"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>0</v>
      </c>
      <c r="AS115" s="287" t="n">
        <f aca="false"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>0</v>
      </c>
      <c r="AV115" s="205" t="str">
        <f aca="false">AG115</f>
        <v>Alumno29</v>
      </c>
      <c r="AW115" s="205"/>
      <c r="AY115" s="287" t="n">
        <f aca="false"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>0</v>
      </c>
      <c r="AZ115" s="287" t="n">
        <f aca="false"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>0</v>
      </c>
      <c r="BA115" s="287" t="n">
        <f aca="false"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>0</v>
      </c>
      <c r="BB115" s="287" t="n">
        <f aca="false"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>0</v>
      </c>
      <c r="BC115" s="287" t="n">
        <f aca="false"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>0</v>
      </c>
      <c r="BD115" s="287" t="n">
        <f aca="false"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>0</v>
      </c>
      <c r="BE115" s="287" t="n">
        <f aca="false"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>0</v>
      </c>
      <c r="BF115" s="287" t="n">
        <f aca="false"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>0</v>
      </c>
      <c r="BG115" s="287" t="n">
        <f aca="false"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>0</v>
      </c>
      <c r="BH115" s="287" t="n">
        <f aca="false"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>0</v>
      </c>
    </row>
    <row r="116" customFormat="false" ht="15" hidden="true" customHeight="false" outlineLevel="0" collapsed="false">
      <c r="R116" s="205" t="str">
        <f aca="false">B34</f>
        <v>Alumno30</v>
      </c>
      <c r="S116" s="205"/>
      <c r="U116" s="287" t="n">
        <f aca="false"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>6.6</v>
      </c>
      <c r="V116" s="287" t="n">
        <f aca="false"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>7.05</v>
      </c>
      <c r="W116" s="287" t="n">
        <f aca="false"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>6.8</v>
      </c>
      <c r="X116" s="287" t="n">
        <f aca="false"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>4.8</v>
      </c>
      <c r="Y116" s="287" t="n">
        <f aca="false"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>0</v>
      </c>
      <c r="Z116" s="287" t="n">
        <f aca="false"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>0</v>
      </c>
      <c r="AA116" s="287" t="n">
        <f aca="false"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>0</v>
      </c>
      <c r="AB116" s="287" t="n">
        <f aca="false"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>0</v>
      </c>
      <c r="AC116" s="287" t="n">
        <f aca="false"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>0</v>
      </c>
      <c r="AD116" s="287" t="n">
        <f aca="false"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>0</v>
      </c>
      <c r="AG116" s="205" t="str">
        <f aca="false">R116</f>
        <v>Alumno30</v>
      </c>
      <c r="AH116" s="205"/>
      <c r="AJ116" s="287" t="n">
        <f aca="false"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>0</v>
      </c>
      <c r="AK116" s="287" t="n">
        <f aca="false"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>0</v>
      </c>
      <c r="AL116" s="287" t="n">
        <f aca="false"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>0</v>
      </c>
      <c r="AM116" s="287" t="n">
        <f aca="false"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>0</v>
      </c>
      <c r="AN116" s="287" t="n">
        <f aca="false"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>0</v>
      </c>
      <c r="AO116" s="287" t="n">
        <f aca="false"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>0</v>
      </c>
      <c r="AP116" s="287" t="n">
        <f aca="false"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>0</v>
      </c>
      <c r="AQ116" s="287" t="n">
        <f aca="false"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>0</v>
      </c>
      <c r="AR116" s="287" t="n">
        <f aca="false"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>0</v>
      </c>
      <c r="AS116" s="287" t="n">
        <f aca="false"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>0</v>
      </c>
      <c r="AV116" s="205" t="str">
        <f aca="false">AG116</f>
        <v>Alumno30</v>
      </c>
      <c r="AW116" s="205"/>
      <c r="AY116" s="287" t="n">
        <f aca="false"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>0</v>
      </c>
      <c r="AZ116" s="287" t="n">
        <f aca="false"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>0</v>
      </c>
      <c r="BA116" s="287" t="n">
        <f aca="false"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>0</v>
      </c>
      <c r="BB116" s="287" t="n">
        <f aca="false"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>0</v>
      </c>
      <c r="BC116" s="287" t="n">
        <f aca="false"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>0</v>
      </c>
      <c r="BD116" s="287" t="n">
        <f aca="false"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>0</v>
      </c>
      <c r="BE116" s="287" t="n">
        <f aca="false"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>0</v>
      </c>
      <c r="BF116" s="287" t="n">
        <f aca="false"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>0</v>
      </c>
      <c r="BG116" s="287" t="n">
        <f aca="false"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>0</v>
      </c>
      <c r="BH116" s="287" t="n">
        <f aca="false"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>0</v>
      </c>
    </row>
    <row r="117" customFormat="false" ht="15" hidden="true" customHeight="false" outlineLevel="0" collapsed="false">
      <c r="R117" s="205" t="str">
        <f aca="false">B35</f>
        <v>Alumno31</v>
      </c>
      <c r="S117" s="205"/>
      <c r="U117" s="287" t="n">
        <f aca="false"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>0</v>
      </c>
      <c r="V117" s="287" t="n">
        <f aca="false"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>0</v>
      </c>
      <c r="W117" s="287" t="n">
        <f aca="false"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>0</v>
      </c>
      <c r="X117" s="287" t="n">
        <f aca="false"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>0</v>
      </c>
      <c r="Y117" s="287" t="n">
        <f aca="false"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>0</v>
      </c>
      <c r="Z117" s="287" t="n">
        <f aca="false"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>0</v>
      </c>
      <c r="AA117" s="287" t="n">
        <f aca="false"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>0</v>
      </c>
      <c r="AB117" s="287" t="n">
        <f aca="false"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>0</v>
      </c>
      <c r="AC117" s="287" t="n">
        <f aca="false"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>0</v>
      </c>
      <c r="AD117" s="287" t="n">
        <f aca="false"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>0</v>
      </c>
      <c r="AG117" s="205" t="str">
        <f aca="false">R117</f>
        <v>Alumno31</v>
      </c>
      <c r="AH117" s="205"/>
      <c r="AJ117" s="287" t="n">
        <f aca="false"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>0</v>
      </c>
      <c r="AK117" s="287" t="n">
        <f aca="false"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>0</v>
      </c>
      <c r="AL117" s="287" t="n">
        <f aca="false"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>0</v>
      </c>
      <c r="AM117" s="287" t="n">
        <f aca="false"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>0</v>
      </c>
      <c r="AN117" s="287" t="n">
        <f aca="false"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>0</v>
      </c>
      <c r="AO117" s="287" t="n">
        <f aca="false"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>0</v>
      </c>
      <c r="AP117" s="287" t="n">
        <f aca="false"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>0</v>
      </c>
      <c r="AQ117" s="287" t="n">
        <f aca="false"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>0</v>
      </c>
      <c r="AR117" s="287" t="n">
        <f aca="false"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>0</v>
      </c>
      <c r="AS117" s="287" t="n">
        <f aca="false"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>0</v>
      </c>
      <c r="AV117" s="205" t="str">
        <f aca="false">AG117</f>
        <v>Alumno31</v>
      </c>
      <c r="AW117" s="205"/>
      <c r="AY117" s="287" t="n">
        <f aca="false"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>0</v>
      </c>
      <c r="AZ117" s="287" t="n">
        <f aca="false"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>0</v>
      </c>
      <c r="BA117" s="287" t="n">
        <f aca="false"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>0</v>
      </c>
      <c r="BB117" s="287" t="n">
        <f aca="false"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>0</v>
      </c>
      <c r="BC117" s="287" t="n">
        <f aca="false"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>0</v>
      </c>
      <c r="BD117" s="287" t="n">
        <f aca="false"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>0</v>
      </c>
      <c r="BE117" s="287" t="n">
        <f aca="false"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>0</v>
      </c>
      <c r="BF117" s="287" t="n">
        <f aca="false"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>0</v>
      </c>
      <c r="BG117" s="287" t="n">
        <f aca="false"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>0</v>
      </c>
      <c r="BH117" s="287" t="n">
        <f aca="false"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>0</v>
      </c>
    </row>
    <row r="118" customFormat="false" ht="15" hidden="true" customHeight="false" outlineLevel="0" collapsed="false">
      <c r="R118" s="205" t="str">
        <f aca="false">B36</f>
        <v>Alumno32</v>
      </c>
      <c r="S118" s="205"/>
      <c r="U118" s="287" t="n">
        <f aca="false"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>0</v>
      </c>
      <c r="V118" s="287" t="n">
        <f aca="false"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>0</v>
      </c>
      <c r="W118" s="287" t="n">
        <f aca="false"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>0</v>
      </c>
      <c r="X118" s="287" t="n">
        <f aca="false"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>0</v>
      </c>
      <c r="Y118" s="287" t="n">
        <f aca="false"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>0</v>
      </c>
      <c r="Z118" s="287" t="n">
        <f aca="false"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>0</v>
      </c>
      <c r="AA118" s="287" t="n">
        <f aca="false"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>0</v>
      </c>
      <c r="AB118" s="287" t="n">
        <f aca="false"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>0</v>
      </c>
      <c r="AC118" s="287" t="n">
        <f aca="false"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>0</v>
      </c>
      <c r="AD118" s="287" t="n">
        <f aca="false"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>0</v>
      </c>
      <c r="AG118" s="205" t="str">
        <f aca="false">R118</f>
        <v>Alumno32</v>
      </c>
      <c r="AH118" s="205"/>
      <c r="AJ118" s="287" t="n">
        <f aca="false"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>0</v>
      </c>
      <c r="AK118" s="287" t="n">
        <f aca="false"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>0</v>
      </c>
      <c r="AL118" s="287" t="n">
        <f aca="false"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>0</v>
      </c>
      <c r="AM118" s="287" t="n">
        <f aca="false"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>0</v>
      </c>
      <c r="AN118" s="287" t="n">
        <f aca="false"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>0</v>
      </c>
      <c r="AO118" s="287" t="n">
        <f aca="false"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>0</v>
      </c>
      <c r="AP118" s="287" t="n">
        <f aca="false"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>0</v>
      </c>
      <c r="AQ118" s="287" t="n">
        <f aca="false"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>0</v>
      </c>
      <c r="AR118" s="287" t="n">
        <f aca="false"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>0</v>
      </c>
      <c r="AS118" s="287" t="n">
        <f aca="false"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>0</v>
      </c>
      <c r="AV118" s="205" t="str">
        <f aca="false">AG118</f>
        <v>Alumno32</v>
      </c>
      <c r="AW118" s="205"/>
      <c r="AY118" s="287" t="n">
        <f aca="false"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>0</v>
      </c>
      <c r="AZ118" s="287" t="n">
        <f aca="false"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>0</v>
      </c>
      <c r="BA118" s="287" t="n">
        <f aca="false"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>0</v>
      </c>
      <c r="BB118" s="287" t="n">
        <f aca="false"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>0</v>
      </c>
      <c r="BC118" s="287" t="n">
        <f aca="false"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>0</v>
      </c>
      <c r="BD118" s="287" t="n">
        <f aca="false"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>0</v>
      </c>
      <c r="BE118" s="287" t="n">
        <f aca="false"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>0</v>
      </c>
      <c r="BF118" s="287" t="n">
        <f aca="false"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>0</v>
      </c>
      <c r="BG118" s="287" t="n">
        <f aca="false"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>0</v>
      </c>
      <c r="BH118" s="287" t="n">
        <f aca="false"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>0</v>
      </c>
    </row>
    <row r="119" customFormat="false" ht="15" hidden="true" customHeight="false" outlineLevel="0" collapsed="false">
      <c r="R119" s="205" t="str">
        <f aca="false">B37</f>
        <v>Alumno33</v>
      </c>
      <c r="S119" s="205"/>
      <c r="U119" s="287" t="n">
        <f aca="false"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>0</v>
      </c>
      <c r="V119" s="287" t="n">
        <f aca="false"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>0</v>
      </c>
      <c r="W119" s="287" t="n">
        <f aca="false"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>0</v>
      </c>
      <c r="X119" s="287" t="n">
        <f aca="false"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>0</v>
      </c>
      <c r="Y119" s="287" t="n">
        <f aca="false"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>0</v>
      </c>
      <c r="Z119" s="287" t="n">
        <f aca="false"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>0</v>
      </c>
      <c r="AA119" s="287" t="n">
        <f aca="false"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>0</v>
      </c>
      <c r="AB119" s="287" t="n">
        <f aca="false"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>0</v>
      </c>
      <c r="AC119" s="287" t="n">
        <f aca="false"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>0</v>
      </c>
      <c r="AD119" s="287" t="n">
        <f aca="false"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>0</v>
      </c>
      <c r="AG119" s="205" t="str">
        <f aca="false">R119</f>
        <v>Alumno33</v>
      </c>
      <c r="AH119" s="205"/>
      <c r="AJ119" s="287" t="n">
        <f aca="false"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>0</v>
      </c>
      <c r="AK119" s="287" t="n">
        <f aca="false"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>0</v>
      </c>
      <c r="AL119" s="287" t="n">
        <f aca="false"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>0</v>
      </c>
      <c r="AM119" s="287" t="n">
        <f aca="false"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>0</v>
      </c>
      <c r="AN119" s="287" t="n">
        <f aca="false"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>0</v>
      </c>
      <c r="AO119" s="287" t="n">
        <f aca="false"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>0</v>
      </c>
      <c r="AP119" s="287" t="n">
        <f aca="false"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>0</v>
      </c>
      <c r="AQ119" s="287" t="n">
        <f aca="false"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>0</v>
      </c>
      <c r="AR119" s="287" t="n">
        <f aca="false"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>0</v>
      </c>
      <c r="AS119" s="287" t="n">
        <f aca="false"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>0</v>
      </c>
      <c r="AV119" s="205" t="str">
        <f aca="false">AG119</f>
        <v>Alumno33</v>
      </c>
      <c r="AW119" s="205"/>
      <c r="AY119" s="287" t="n">
        <f aca="false"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>0</v>
      </c>
      <c r="AZ119" s="287" t="n">
        <f aca="false"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>0</v>
      </c>
      <c r="BA119" s="287" t="n">
        <f aca="false"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>0</v>
      </c>
      <c r="BB119" s="287" t="n">
        <f aca="false"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>0</v>
      </c>
      <c r="BC119" s="287" t="n">
        <f aca="false"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>0</v>
      </c>
      <c r="BD119" s="287" t="n">
        <f aca="false"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>0</v>
      </c>
      <c r="BE119" s="287" t="n">
        <f aca="false"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>0</v>
      </c>
      <c r="BF119" s="287" t="n">
        <f aca="false"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>0</v>
      </c>
      <c r="BG119" s="287" t="n">
        <f aca="false"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>0</v>
      </c>
      <c r="BH119" s="287" t="n">
        <f aca="false"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>0</v>
      </c>
    </row>
    <row r="120" customFormat="false" ht="15" hidden="true" customHeight="false" outlineLevel="0" collapsed="false">
      <c r="R120" s="205" t="str">
        <f aca="false">B38</f>
        <v>Alumno34</v>
      </c>
      <c r="S120" s="205"/>
      <c r="U120" s="287" t="n">
        <f aca="false"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>0</v>
      </c>
      <c r="V120" s="287" t="n">
        <f aca="false"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>0</v>
      </c>
      <c r="W120" s="287" t="n">
        <f aca="false"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>0</v>
      </c>
      <c r="X120" s="287" t="n">
        <f aca="false"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>0</v>
      </c>
      <c r="Y120" s="287" t="n">
        <f aca="false"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>0</v>
      </c>
      <c r="Z120" s="287" t="n">
        <f aca="false"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>0</v>
      </c>
      <c r="AA120" s="287" t="n">
        <f aca="false"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>0</v>
      </c>
      <c r="AB120" s="287" t="n">
        <f aca="false"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>0</v>
      </c>
      <c r="AC120" s="287" t="n">
        <f aca="false"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>0</v>
      </c>
      <c r="AD120" s="287" t="n">
        <f aca="false"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>0</v>
      </c>
      <c r="AG120" s="205" t="str">
        <f aca="false">R120</f>
        <v>Alumno34</v>
      </c>
      <c r="AH120" s="205"/>
      <c r="AJ120" s="287" t="n">
        <f aca="false"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>0</v>
      </c>
      <c r="AK120" s="287" t="n">
        <f aca="false"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>0</v>
      </c>
      <c r="AL120" s="287" t="n">
        <f aca="false"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>0</v>
      </c>
      <c r="AM120" s="287" t="n">
        <f aca="false"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>0</v>
      </c>
      <c r="AN120" s="287" t="n">
        <f aca="false"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>0</v>
      </c>
      <c r="AO120" s="287" t="n">
        <f aca="false"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>0</v>
      </c>
      <c r="AP120" s="287" t="n">
        <f aca="false"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>0</v>
      </c>
      <c r="AQ120" s="287" t="n">
        <f aca="false"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>0</v>
      </c>
      <c r="AR120" s="287" t="n">
        <f aca="false"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>0</v>
      </c>
      <c r="AS120" s="287" t="n">
        <f aca="false"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>0</v>
      </c>
      <c r="AV120" s="205" t="str">
        <f aca="false">AG120</f>
        <v>Alumno34</v>
      </c>
      <c r="AW120" s="205"/>
      <c r="AY120" s="287" t="n">
        <f aca="false"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>0</v>
      </c>
      <c r="AZ120" s="287" t="n">
        <f aca="false"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>0</v>
      </c>
      <c r="BA120" s="287" t="n">
        <f aca="false"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>0</v>
      </c>
      <c r="BB120" s="287" t="n">
        <f aca="false"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>0</v>
      </c>
      <c r="BC120" s="287" t="n">
        <f aca="false"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>0</v>
      </c>
      <c r="BD120" s="287" t="n">
        <f aca="false"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>0</v>
      </c>
      <c r="BE120" s="287" t="n">
        <f aca="false"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>0</v>
      </c>
      <c r="BF120" s="287" t="n">
        <f aca="false"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>0</v>
      </c>
      <c r="BG120" s="287" t="n">
        <f aca="false"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>0</v>
      </c>
      <c r="BH120" s="287" t="n">
        <f aca="false"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>0</v>
      </c>
    </row>
    <row r="121" customFormat="false" ht="15" hidden="true" customHeight="false" outlineLevel="0" collapsed="false">
      <c r="R121" s="205" t="str">
        <f aca="false">B39</f>
        <v>Alumno35</v>
      </c>
      <c r="S121" s="205"/>
      <c r="U121" s="287" t="n">
        <f aca="false"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>0</v>
      </c>
      <c r="V121" s="287" t="n">
        <f aca="false"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>0</v>
      </c>
      <c r="W121" s="287" t="n">
        <f aca="false"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>0</v>
      </c>
      <c r="X121" s="287" t="n">
        <f aca="false"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>0</v>
      </c>
      <c r="Y121" s="287" t="n">
        <f aca="false"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>0</v>
      </c>
      <c r="Z121" s="287" t="n">
        <f aca="false"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>0</v>
      </c>
      <c r="AA121" s="287" t="n">
        <f aca="false"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>0</v>
      </c>
      <c r="AB121" s="287" t="n">
        <f aca="false"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>0</v>
      </c>
      <c r="AC121" s="287" t="n">
        <f aca="false"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>0</v>
      </c>
      <c r="AD121" s="287" t="n">
        <f aca="false"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>0</v>
      </c>
      <c r="AG121" s="205" t="str">
        <f aca="false">R121</f>
        <v>Alumno35</v>
      </c>
      <c r="AH121" s="205"/>
      <c r="AJ121" s="287" t="n">
        <f aca="false"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>0</v>
      </c>
      <c r="AK121" s="287" t="n">
        <f aca="false"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>0</v>
      </c>
      <c r="AL121" s="287" t="n">
        <f aca="false"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>0</v>
      </c>
      <c r="AM121" s="287" t="n">
        <f aca="false"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>0</v>
      </c>
      <c r="AN121" s="287" t="n">
        <f aca="false"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>0</v>
      </c>
      <c r="AO121" s="287" t="n">
        <f aca="false"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>0</v>
      </c>
      <c r="AP121" s="287" t="n">
        <f aca="false"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>0</v>
      </c>
      <c r="AQ121" s="287" t="n">
        <f aca="false"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>0</v>
      </c>
      <c r="AR121" s="287" t="n">
        <f aca="false"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>0</v>
      </c>
      <c r="AS121" s="287" t="n">
        <f aca="false"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>0</v>
      </c>
      <c r="AV121" s="205" t="str">
        <f aca="false">AG121</f>
        <v>Alumno35</v>
      </c>
      <c r="AW121" s="205"/>
      <c r="AY121" s="287" t="n">
        <f aca="false"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>0</v>
      </c>
      <c r="AZ121" s="287" t="n">
        <f aca="false"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>0</v>
      </c>
      <c r="BA121" s="287" t="n">
        <f aca="false"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>0</v>
      </c>
      <c r="BB121" s="287" t="n">
        <f aca="false"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>0</v>
      </c>
      <c r="BC121" s="287" t="n">
        <f aca="false"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>0</v>
      </c>
      <c r="BD121" s="287" t="n">
        <f aca="false"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>0</v>
      </c>
      <c r="BE121" s="287" t="n">
        <f aca="false"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>0</v>
      </c>
      <c r="BF121" s="287" t="n">
        <f aca="false"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>0</v>
      </c>
      <c r="BG121" s="287" t="n">
        <f aca="false"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>0</v>
      </c>
      <c r="BH121" s="287" t="n">
        <f aca="false"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>0</v>
      </c>
    </row>
    <row r="122" customFormat="false" ht="15" hidden="true" customHeight="false" outlineLevel="0" collapsed="false">
      <c r="R122" s="205" t="str">
        <f aca="false">B40</f>
        <v>Alumno36</v>
      </c>
      <c r="S122" s="205"/>
      <c r="U122" s="287" t="n">
        <f aca="false"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>0</v>
      </c>
      <c r="V122" s="287" t="n">
        <f aca="false"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>0</v>
      </c>
      <c r="W122" s="287" t="n">
        <f aca="false"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>0</v>
      </c>
      <c r="X122" s="287" t="n">
        <f aca="false"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>0</v>
      </c>
      <c r="Y122" s="287" t="n">
        <f aca="false"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>0</v>
      </c>
      <c r="Z122" s="287" t="n">
        <f aca="false"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>0</v>
      </c>
      <c r="AA122" s="287" t="n">
        <f aca="false"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>0</v>
      </c>
      <c r="AB122" s="287" t="n">
        <f aca="false"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>0</v>
      </c>
      <c r="AC122" s="287" t="n">
        <f aca="false"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>0</v>
      </c>
      <c r="AD122" s="287" t="n">
        <f aca="false"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>0</v>
      </c>
      <c r="AG122" s="205" t="str">
        <f aca="false">R122</f>
        <v>Alumno36</v>
      </c>
      <c r="AH122" s="205"/>
      <c r="AJ122" s="287" t="n">
        <f aca="false"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>0</v>
      </c>
      <c r="AK122" s="287" t="n">
        <f aca="false"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>0</v>
      </c>
      <c r="AL122" s="287" t="n">
        <f aca="false"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>0</v>
      </c>
      <c r="AM122" s="287" t="n">
        <f aca="false"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>0</v>
      </c>
      <c r="AN122" s="287" t="n">
        <f aca="false"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>0</v>
      </c>
      <c r="AO122" s="287" t="n">
        <f aca="false"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>0</v>
      </c>
      <c r="AP122" s="287" t="n">
        <f aca="false"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>0</v>
      </c>
      <c r="AQ122" s="287" t="n">
        <f aca="false"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>0</v>
      </c>
      <c r="AR122" s="287" t="n">
        <f aca="false"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>0</v>
      </c>
      <c r="AS122" s="287" t="n">
        <f aca="false"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>0</v>
      </c>
      <c r="AV122" s="205" t="str">
        <f aca="false">AG122</f>
        <v>Alumno36</v>
      </c>
      <c r="AW122" s="205"/>
      <c r="AY122" s="287" t="n">
        <f aca="false"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>0</v>
      </c>
      <c r="AZ122" s="287" t="n">
        <f aca="false"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>0</v>
      </c>
      <c r="BA122" s="287" t="n">
        <f aca="false"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>0</v>
      </c>
      <c r="BB122" s="287" t="n">
        <f aca="false"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>0</v>
      </c>
      <c r="BC122" s="287" t="n">
        <f aca="false"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>0</v>
      </c>
      <c r="BD122" s="287" t="n">
        <f aca="false"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>0</v>
      </c>
      <c r="BE122" s="287" t="n">
        <f aca="false"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>0</v>
      </c>
      <c r="BF122" s="287" t="n">
        <f aca="false"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>0</v>
      </c>
      <c r="BG122" s="287" t="n">
        <f aca="false"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>0</v>
      </c>
      <c r="BH122" s="287" t="n">
        <f aca="false"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>0</v>
      </c>
    </row>
    <row r="123" customFormat="false" ht="15" hidden="true" customHeight="false" outlineLevel="0" collapsed="false">
      <c r="R123" s="205" t="str">
        <f aca="false">B41</f>
        <v>Alumno37</v>
      </c>
      <c r="S123" s="205"/>
      <c r="U123" s="287" t="n">
        <f aca="false"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>0</v>
      </c>
      <c r="V123" s="287" t="n">
        <f aca="false"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>0</v>
      </c>
      <c r="W123" s="287" t="n">
        <f aca="false"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>0</v>
      </c>
      <c r="X123" s="287" t="n">
        <f aca="false"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>0</v>
      </c>
      <c r="Y123" s="287" t="n">
        <f aca="false"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>0</v>
      </c>
      <c r="Z123" s="287" t="n">
        <f aca="false"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>0</v>
      </c>
      <c r="AA123" s="287" t="n">
        <f aca="false"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>0</v>
      </c>
      <c r="AB123" s="287" t="n">
        <f aca="false"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>0</v>
      </c>
      <c r="AC123" s="287" t="n">
        <f aca="false"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>0</v>
      </c>
      <c r="AD123" s="287" t="n">
        <f aca="false"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>0</v>
      </c>
      <c r="AG123" s="205" t="str">
        <f aca="false">R123</f>
        <v>Alumno37</v>
      </c>
      <c r="AH123" s="205"/>
      <c r="AJ123" s="287" t="n">
        <f aca="false"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>0</v>
      </c>
      <c r="AK123" s="287" t="n">
        <f aca="false"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>0</v>
      </c>
      <c r="AL123" s="287" t="n">
        <f aca="false"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>0</v>
      </c>
      <c r="AM123" s="287" t="n">
        <f aca="false"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>0</v>
      </c>
      <c r="AN123" s="287" t="n">
        <f aca="false"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>0</v>
      </c>
      <c r="AO123" s="287" t="n">
        <f aca="false"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>0</v>
      </c>
      <c r="AP123" s="287" t="n">
        <f aca="false"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>0</v>
      </c>
      <c r="AQ123" s="287" t="n">
        <f aca="false"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>0</v>
      </c>
      <c r="AR123" s="287" t="n">
        <f aca="false"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>0</v>
      </c>
      <c r="AS123" s="287" t="n">
        <f aca="false"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>0</v>
      </c>
      <c r="AV123" s="205" t="str">
        <f aca="false">AG123</f>
        <v>Alumno37</v>
      </c>
      <c r="AW123" s="205"/>
      <c r="AY123" s="287" t="n">
        <f aca="false"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>0</v>
      </c>
      <c r="AZ123" s="287" t="n">
        <f aca="false"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>0</v>
      </c>
      <c r="BA123" s="287" t="n">
        <f aca="false"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>0</v>
      </c>
      <c r="BB123" s="287" t="n">
        <f aca="false"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>0</v>
      </c>
      <c r="BC123" s="287" t="n">
        <f aca="false"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>0</v>
      </c>
      <c r="BD123" s="287" t="n">
        <f aca="false"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>0</v>
      </c>
      <c r="BE123" s="287" t="n">
        <f aca="false"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>0</v>
      </c>
      <c r="BF123" s="287" t="n">
        <f aca="false"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>0</v>
      </c>
      <c r="BG123" s="287" t="n">
        <f aca="false"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>0</v>
      </c>
      <c r="BH123" s="287" t="n">
        <f aca="false"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>0</v>
      </c>
    </row>
    <row r="124" customFormat="false" ht="15" hidden="true" customHeight="false" outlineLevel="0" collapsed="false">
      <c r="R124" s="205" t="str">
        <f aca="false">B42</f>
        <v>Alumno38</v>
      </c>
      <c r="S124" s="205"/>
      <c r="U124" s="287" t="n">
        <f aca="false"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>0</v>
      </c>
      <c r="V124" s="287" t="n">
        <f aca="false"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>0</v>
      </c>
      <c r="W124" s="287" t="n">
        <f aca="false"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>0</v>
      </c>
      <c r="X124" s="287" t="n">
        <f aca="false"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>0</v>
      </c>
      <c r="Y124" s="287" t="n">
        <f aca="false"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>0</v>
      </c>
      <c r="Z124" s="287" t="n">
        <f aca="false"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>0</v>
      </c>
      <c r="AA124" s="287" t="n">
        <f aca="false"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>0</v>
      </c>
      <c r="AB124" s="287" t="n">
        <f aca="false"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>0</v>
      </c>
      <c r="AC124" s="287" t="n">
        <f aca="false"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>0</v>
      </c>
      <c r="AD124" s="287" t="n">
        <f aca="false"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>0</v>
      </c>
      <c r="AG124" s="205" t="str">
        <f aca="false">R124</f>
        <v>Alumno38</v>
      </c>
      <c r="AH124" s="205"/>
      <c r="AJ124" s="287" t="n">
        <f aca="false"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>0</v>
      </c>
      <c r="AK124" s="287" t="n">
        <f aca="false"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>0</v>
      </c>
      <c r="AL124" s="287" t="n">
        <f aca="false"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>0</v>
      </c>
      <c r="AM124" s="287" t="n">
        <f aca="false"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>0</v>
      </c>
      <c r="AN124" s="287" t="n">
        <f aca="false"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>0</v>
      </c>
      <c r="AO124" s="287" t="n">
        <f aca="false"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>0</v>
      </c>
      <c r="AP124" s="287" t="n">
        <f aca="false"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>0</v>
      </c>
      <c r="AQ124" s="287" t="n">
        <f aca="false"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>0</v>
      </c>
      <c r="AR124" s="287" t="n">
        <f aca="false"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>0</v>
      </c>
      <c r="AS124" s="287" t="n">
        <f aca="false"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>0</v>
      </c>
      <c r="AV124" s="205" t="str">
        <f aca="false">AG124</f>
        <v>Alumno38</v>
      </c>
      <c r="AW124" s="205"/>
      <c r="AY124" s="287" t="n">
        <f aca="false"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>0</v>
      </c>
      <c r="AZ124" s="287" t="n">
        <f aca="false"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>0</v>
      </c>
      <c r="BA124" s="287" t="n">
        <f aca="false"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>0</v>
      </c>
      <c r="BB124" s="287" t="n">
        <f aca="false"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>0</v>
      </c>
      <c r="BC124" s="287" t="n">
        <f aca="false"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>0</v>
      </c>
      <c r="BD124" s="287" t="n">
        <f aca="false"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>0</v>
      </c>
      <c r="BE124" s="287" t="n">
        <f aca="false"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>0</v>
      </c>
      <c r="BF124" s="287" t="n">
        <f aca="false"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>0</v>
      </c>
      <c r="BG124" s="287" t="n">
        <f aca="false"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>0</v>
      </c>
      <c r="BH124" s="287" t="n">
        <f aca="false"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>0</v>
      </c>
    </row>
    <row r="125" customFormat="false" ht="15" hidden="true" customHeight="false" outlineLevel="0" collapsed="false">
      <c r="R125" s="205" t="str">
        <f aca="false">B43</f>
        <v>Alumno39</v>
      </c>
      <c r="S125" s="205"/>
      <c r="U125" s="287" t="n">
        <f aca="false"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>0</v>
      </c>
      <c r="V125" s="287" t="n">
        <f aca="false"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>0</v>
      </c>
      <c r="W125" s="287" t="n">
        <f aca="false"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>0</v>
      </c>
      <c r="X125" s="287" t="n">
        <f aca="false"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>0</v>
      </c>
      <c r="Y125" s="287" t="n">
        <f aca="false"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>0</v>
      </c>
      <c r="Z125" s="287" t="n">
        <f aca="false"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>0</v>
      </c>
      <c r="AA125" s="287" t="n">
        <f aca="false"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>0</v>
      </c>
      <c r="AB125" s="287" t="n">
        <f aca="false"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>0</v>
      </c>
      <c r="AC125" s="287" t="n">
        <f aca="false"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>0</v>
      </c>
      <c r="AD125" s="287" t="n">
        <f aca="false"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>0</v>
      </c>
      <c r="AG125" s="205" t="str">
        <f aca="false">R125</f>
        <v>Alumno39</v>
      </c>
      <c r="AH125" s="205"/>
      <c r="AJ125" s="287" t="n">
        <f aca="false"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>0</v>
      </c>
      <c r="AK125" s="287" t="n">
        <f aca="false"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>0</v>
      </c>
      <c r="AL125" s="287" t="n">
        <f aca="false"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>0</v>
      </c>
      <c r="AM125" s="287" t="n">
        <f aca="false"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>0</v>
      </c>
      <c r="AN125" s="287" t="n">
        <f aca="false"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>0</v>
      </c>
      <c r="AO125" s="287" t="n">
        <f aca="false"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>0</v>
      </c>
      <c r="AP125" s="287" t="n">
        <f aca="false"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>0</v>
      </c>
      <c r="AQ125" s="287" t="n">
        <f aca="false"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>0</v>
      </c>
      <c r="AR125" s="287" t="n">
        <f aca="false"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>0</v>
      </c>
      <c r="AS125" s="287" t="n">
        <f aca="false"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>0</v>
      </c>
      <c r="AV125" s="205" t="str">
        <f aca="false">AG125</f>
        <v>Alumno39</v>
      </c>
      <c r="AW125" s="205"/>
      <c r="AY125" s="287" t="n">
        <f aca="false"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>0</v>
      </c>
      <c r="AZ125" s="287" t="n">
        <f aca="false"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>0</v>
      </c>
      <c r="BA125" s="287" t="n">
        <f aca="false"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>0</v>
      </c>
      <c r="BB125" s="287" t="n">
        <f aca="false"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>0</v>
      </c>
      <c r="BC125" s="287" t="n">
        <f aca="false"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>0</v>
      </c>
      <c r="BD125" s="287" t="n">
        <f aca="false"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>0</v>
      </c>
      <c r="BE125" s="287" t="n">
        <f aca="false"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>0</v>
      </c>
      <c r="BF125" s="287" t="n">
        <f aca="false"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>0</v>
      </c>
      <c r="BG125" s="287" t="n">
        <f aca="false"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>0</v>
      </c>
      <c r="BH125" s="287" t="n">
        <f aca="false"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>0</v>
      </c>
    </row>
    <row r="126" customFormat="false" ht="15" hidden="true" customHeight="false" outlineLevel="0" collapsed="false">
      <c r="R126" s="205" t="str">
        <f aca="false">B44</f>
        <v>Alumno40</v>
      </c>
      <c r="S126" s="205"/>
      <c r="U126" s="287" t="n">
        <f aca="false"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>0</v>
      </c>
      <c r="V126" s="287" t="n">
        <f aca="false"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>0</v>
      </c>
      <c r="W126" s="287" t="n">
        <f aca="false"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>0</v>
      </c>
      <c r="X126" s="287" t="n">
        <f aca="false"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>0</v>
      </c>
      <c r="Y126" s="287" t="n">
        <f aca="false"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>0</v>
      </c>
      <c r="Z126" s="287" t="n">
        <f aca="false"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>0</v>
      </c>
      <c r="AA126" s="287" t="n">
        <f aca="false"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>0</v>
      </c>
      <c r="AB126" s="287" t="n">
        <f aca="false"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>0</v>
      </c>
      <c r="AC126" s="287" t="n">
        <f aca="false"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>0</v>
      </c>
      <c r="AD126" s="287" t="n">
        <f aca="false"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>0</v>
      </c>
      <c r="AG126" s="205" t="str">
        <f aca="false">R126</f>
        <v>Alumno40</v>
      </c>
      <c r="AH126" s="205"/>
      <c r="AJ126" s="287" t="n">
        <f aca="false"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>0</v>
      </c>
      <c r="AK126" s="287" t="n">
        <f aca="false"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>0</v>
      </c>
      <c r="AL126" s="287" t="n">
        <f aca="false"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>0</v>
      </c>
      <c r="AM126" s="287" t="n">
        <f aca="false"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>0</v>
      </c>
      <c r="AN126" s="287" t="n">
        <f aca="false"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>0</v>
      </c>
      <c r="AO126" s="287" t="n">
        <f aca="false"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>0</v>
      </c>
      <c r="AP126" s="287" t="n">
        <f aca="false"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>0</v>
      </c>
      <c r="AQ126" s="287" t="n">
        <f aca="false"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>0</v>
      </c>
      <c r="AR126" s="287" t="n">
        <f aca="false"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>0</v>
      </c>
      <c r="AS126" s="287" t="n">
        <f aca="false"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>0</v>
      </c>
      <c r="AV126" s="205" t="str">
        <f aca="false">AG126</f>
        <v>Alumno40</v>
      </c>
      <c r="AW126" s="205"/>
      <c r="AY126" s="287" t="n">
        <f aca="false"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>0</v>
      </c>
      <c r="AZ126" s="287" t="n">
        <f aca="false"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>0</v>
      </c>
      <c r="BA126" s="287" t="n">
        <f aca="false"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>0</v>
      </c>
      <c r="BB126" s="287" t="n">
        <f aca="false"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>0</v>
      </c>
      <c r="BC126" s="287" t="n">
        <f aca="false"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>0</v>
      </c>
      <c r="BD126" s="287" t="n">
        <f aca="false"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>0</v>
      </c>
      <c r="BE126" s="287" t="n">
        <f aca="false"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>0</v>
      </c>
      <c r="BF126" s="287" t="n">
        <f aca="false"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>0</v>
      </c>
      <c r="BG126" s="287" t="n">
        <f aca="false"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>0</v>
      </c>
      <c r="BH126" s="287" t="n">
        <f aca="false"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>0</v>
      </c>
    </row>
    <row r="127" customFormat="false" ht="15" hidden="true" customHeight="false" outlineLevel="0" collapsed="false">
      <c r="R127" s="205" t="str">
        <f aca="false">B45</f>
        <v>Alumno41</v>
      </c>
      <c r="S127" s="205"/>
      <c r="U127" s="287" t="n">
        <f aca="false"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>0</v>
      </c>
      <c r="V127" s="287" t="n">
        <f aca="false"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>0</v>
      </c>
      <c r="W127" s="287" t="n">
        <f aca="false"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>0</v>
      </c>
      <c r="X127" s="287" t="n">
        <f aca="false"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>0</v>
      </c>
      <c r="Y127" s="287" t="n">
        <f aca="false"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>0</v>
      </c>
      <c r="Z127" s="287" t="n">
        <f aca="false"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>0</v>
      </c>
      <c r="AA127" s="287" t="n">
        <f aca="false"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>0</v>
      </c>
      <c r="AB127" s="287" t="n">
        <f aca="false"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>0</v>
      </c>
      <c r="AC127" s="287" t="n">
        <f aca="false"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>0</v>
      </c>
      <c r="AD127" s="287" t="n">
        <f aca="false"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>0</v>
      </c>
      <c r="AG127" s="205" t="str">
        <f aca="false">R127</f>
        <v>Alumno41</v>
      </c>
      <c r="AH127" s="205"/>
      <c r="AJ127" s="287" t="n">
        <f aca="false"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>0</v>
      </c>
      <c r="AK127" s="287" t="n">
        <f aca="false"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>0</v>
      </c>
      <c r="AL127" s="287" t="n">
        <f aca="false"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>0</v>
      </c>
      <c r="AM127" s="287" t="n">
        <f aca="false"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>0</v>
      </c>
      <c r="AN127" s="287" t="n">
        <f aca="false"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>0</v>
      </c>
      <c r="AO127" s="287" t="n">
        <f aca="false"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>0</v>
      </c>
      <c r="AP127" s="287" t="n">
        <f aca="false"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>0</v>
      </c>
      <c r="AQ127" s="287" t="n">
        <f aca="false"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>0</v>
      </c>
      <c r="AR127" s="287" t="n">
        <f aca="false"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>0</v>
      </c>
      <c r="AS127" s="287" t="n">
        <f aca="false"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>0</v>
      </c>
      <c r="AV127" s="205" t="str">
        <f aca="false">AG127</f>
        <v>Alumno41</v>
      </c>
      <c r="AW127" s="205"/>
      <c r="AY127" s="287" t="n">
        <f aca="false"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>0</v>
      </c>
      <c r="AZ127" s="287" t="n">
        <f aca="false"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>0</v>
      </c>
      <c r="BA127" s="287" t="n">
        <f aca="false"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>0</v>
      </c>
      <c r="BB127" s="287" t="n">
        <f aca="false"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>0</v>
      </c>
      <c r="BC127" s="287" t="n">
        <f aca="false"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>0</v>
      </c>
      <c r="BD127" s="287" t="n">
        <f aca="false"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>0</v>
      </c>
      <c r="BE127" s="287" t="n">
        <f aca="false"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>0</v>
      </c>
      <c r="BF127" s="287" t="n">
        <f aca="false"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>0</v>
      </c>
      <c r="BG127" s="287" t="n">
        <f aca="false"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>0</v>
      </c>
      <c r="BH127" s="287" t="n">
        <f aca="false"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>0</v>
      </c>
    </row>
    <row r="128" customFormat="false" ht="15" hidden="true" customHeight="false" outlineLevel="0" collapsed="false">
      <c r="R128" s="205" t="str">
        <f aca="false">B46</f>
        <v>Alumno42</v>
      </c>
      <c r="S128" s="205"/>
      <c r="U128" s="287" t="n">
        <f aca="false"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>0</v>
      </c>
      <c r="V128" s="287" t="n">
        <f aca="false"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>0</v>
      </c>
      <c r="W128" s="287" t="n">
        <f aca="false"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>0</v>
      </c>
      <c r="X128" s="287" t="n">
        <f aca="false"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>0</v>
      </c>
      <c r="Y128" s="287" t="n">
        <f aca="false"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>0</v>
      </c>
      <c r="Z128" s="287" t="n">
        <f aca="false"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>0</v>
      </c>
      <c r="AA128" s="287" t="n">
        <f aca="false"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>0</v>
      </c>
      <c r="AB128" s="287" t="n">
        <f aca="false"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>0</v>
      </c>
      <c r="AC128" s="287" t="n">
        <f aca="false"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>0</v>
      </c>
      <c r="AD128" s="287" t="n">
        <f aca="false"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>0</v>
      </c>
      <c r="AG128" s="205" t="str">
        <f aca="false">R128</f>
        <v>Alumno42</v>
      </c>
      <c r="AH128" s="205"/>
      <c r="AJ128" s="287" t="n">
        <f aca="false"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>0</v>
      </c>
      <c r="AK128" s="287" t="n">
        <f aca="false"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>0</v>
      </c>
      <c r="AL128" s="287" t="n">
        <f aca="false"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>0</v>
      </c>
      <c r="AM128" s="287" t="n">
        <f aca="false"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>0</v>
      </c>
      <c r="AN128" s="287" t="n">
        <f aca="false"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>0</v>
      </c>
      <c r="AO128" s="287" t="n">
        <f aca="false"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>0</v>
      </c>
      <c r="AP128" s="287" t="n">
        <f aca="false"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>0</v>
      </c>
      <c r="AQ128" s="287" t="n">
        <f aca="false"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>0</v>
      </c>
      <c r="AR128" s="287" t="n">
        <f aca="false"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>0</v>
      </c>
      <c r="AS128" s="287" t="n">
        <f aca="false"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>0</v>
      </c>
      <c r="AV128" s="205" t="str">
        <f aca="false">AG128</f>
        <v>Alumno42</v>
      </c>
      <c r="AW128" s="205"/>
      <c r="AY128" s="287" t="n">
        <f aca="false"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>0</v>
      </c>
      <c r="AZ128" s="287" t="n">
        <f aca="false"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>0</v>
      </c>
      <c r="BA128" s="287" t="n">
        <f aca="false"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>0</v>
      </c>
      <c r="BB128" s="287" t="n">
        <f aca="false"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>0</v>
      </c>
      <c r="BC128" s="287" t="n">
        <f aca="false"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>0</v>
      </c>
      <c r="BD128" s="287" t="n">
        <f aca="false"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>0</v>
      </c>
      <c r="BE128" s="287" t="n">
        <f aca="false"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>0</v>
      </c>
      <c r="BF128" s="287" t="n">
        <f aca="false"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>0</v>
      </c>
      <c r="BG128" s="287" t="n">
        <f aca="false"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>0</v>
      </c>
      <c r="BH128" s="287" t="n">
        <f aca="false"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>0</v>
      </c>
    </row>
    <row r="129" customFormat="false" ht="15" hidden="true" customHeight="false" outlineLevel="0" collapsed="false">
      <c r="R129" s="205" t="str">
        <f aca="false">B47</f>
        <v>Alumno43</v>
      </c>
      <c r="S129" s="205"/>
      <c r="U129" s="287" t="n">
        <f aca="false"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>0</v>
      </c>
      <c r="V129" s="287" t="n">
        <f aca="false"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>0</v>
      </c>
      <c r="W129" s="287" t="n">
        <f aca="false"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>0</v>
      </c>
      <c r="X129" s="287" t="n">
        <f aca="false"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>0</v>
      </c>
      <c r="Y129" s="287" t="n">
        <f aca="false"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>0</v>
      </c>
      <c r="Z129" s="287" t="n">
        <f aca="false"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>0</v>
      </c>
      <c r="AA129" s="287" t="n">
        <f aca="false"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>0</v>
      </c>
      <c r="AB129" s="287" t="n">
        <f aca="false"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>0</v>
      </c>
      <c r="AC129" s="287" t="n">
        <f aca="false"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>0</v>
      </c>
      <c r="AD129" s="287" t="n">
        <f aca="false"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>0</v>
      </c>
      <c r="AG129" s="205" t="str">
        <f aca="false">R129</f>
        <v>Alumno43</v>
      </c>
      <c r="AH129" s="205"/>
      <c r="AJ129" s="287" t="n">
        <f aca="false"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>0</v>
      </c>
      <c r="AK129" s="287" t="n">
        <f aca="false"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>0</v>
      </c>
      <c r="AL129" s="287" t="n">
        <f aca="false"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>0</v>
      </c>
      <c r="AM129" s="287" t="n">
        <f aca="false"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>0</v>
      </c>
      <c r="AN129" s="287" t="n">
        <f aca="false"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>0</v>
      </c>
      <c r="AO129" s="287" t="n">
        <f aca="false"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>0</v>
      </c>
      <c r="AP129" s="287" t="n">
        <f aca="false"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>0</v>
      </c>
      <c r="AQ129" s="287" t="n">
        <f aca="false"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>0</v>
      </c>
      <c r="AR129" s="287" t="n">
        <f aca="false"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>0</v>
      </c>
      <c r="AS129" s="287" t="n">
        <f aca="false"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>0</v>
      </c>
      <c r="AV129" s="205" t="str">
        <f aca="false">AG129</f>
        <v>Alumno43</v>
      </c>
      <c r="AW129" s="205"/>
      <c r="AY129" s="287" t="n">
        <f aca="false"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>0</v>
      </c>
      <c r="AZ129" s="287" t="n">
        <f aca="false"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>0</v>
      </c>
      <c r="BA129" s="287" t="n">
        <f aca="false"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>0</v>
      </c>
      <c r="BB129" s="287" t="n">
        <f aca="false"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>0</v>
      </c>
      <c r="BC129" s="287" t="n">
        <f aca="false"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>0</v>
      </c>
      <c r="BD129" s="287" t="n">
        <f aca="false"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>0</v>
      </c>
      <c r="BE129" s="287" t="n">
        <f aca="false"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>0</v>
      </c>
      <c r="BF129" s="287" t="n">
        <f aca="false"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>0</v>
      </c>
      <c r="BG129" s="287" t="n">
        <f aca="false"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>0</v>
      </c>
      <c r="BH129" s="287" t="n">
        <f aca="false"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>0</v>
      </c>
    </row>
    <row r="130" customFormat="false" ht="15" hidden="true" customHeight="false" outlineLevel="0" collapsed="false">
      <c r="R130" s="205" t="str">
        <f aca="false">B48</f>
        <v>Alumno44</v>
      </c>
      <c r="S130" s="205"/>
      <c r="U130" s="287" t="n">
        <f aca="false"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>0</v>
      </c>
      <c r="V130" s="287" t="n">
        <f aca="false"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>0</v>
      </c>
      <c r="W130" s="287" t="n">
        <f aca="false"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>0</v>
      </c>
      <c r="X130" s="287" t="n">
        <f aca="false"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>0</v>
      </c>
      <c r="Y130" s="287" t="n">
        <f aca="false"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>0</v>
      </c>
      <c r="Z130" s="287" t="n">
        <f aca="false"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>0</v>
      </c>
      <c r="AA130" s="287" t="n">
        <f aca="false"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>0</v>
      </c>
      <c r="AB130" s="287" t="n">
        <f aca="false"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>0</v>
      </c>
      <c r="AC130" s="287" t="n">
        <f aca="false"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>0</v>
      </c>
      <c r="AD130" s="287" t="n">
        <f aca="false"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>0</v>
      </c>
      <c r="AG130" s="205" t="str">
        <f aca="false">R130</f>
        <v>Alumno44</v>
      </c>
      <c r="AH130" s="205"/>
      <c r="AJ130" s="287" t="n">
        <f aca="false"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>0</v>
      </c>
      <c r="AK130" s="287" t="n">
        <f aca="false"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>0</v>
      </c>
      <c r="AL130" s="287" t="n">
        <f aca="false"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>0</v>
      </c>
      <c r="AM130" s="287" t="n">
        <f aca="false"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>0</v>
      </c>
      <c r="AN130" s="287" t="n">
        <f aca="false"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>0</v>
      </c>
      <c r="AO130" s="287" t="n">
        <f aca="false"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>0</v>
      </c>
      <c r="AP130" s="287" t="n">
        <f aca="false"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>0</v>
      </c>
      <c r="AQ130" s="287" t="n">
        <f aca="false"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>0</v>
      </c>
      <c r="AR130" s="287" t="n">
        <f aca="false"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>0</v>
      </c>
      <c r="AS130" s="287" t="n">
        <f aca="false"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>0</v>
      </c>
      <c r="AV130" s="205" t="str">
        <f aca="false">AG130</f>
        <v>Alumno44</v>
      </c>
      <c r="AW130" s="205"/>
      <c r="AY130" s="287" t="n">
        <f aca="false"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>0</v>
      </c>
      <c r="AZ130" s="287" t="n">
        <f aca="false"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>0</v>
      </c>
      <c r="BA130" s="287" t="n">
        <f aca="false"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>0</v>
      </c>
      <c r="BB130" s="287" t="n">
        <f aca="false"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>0</v>
      </c>
      <c r="BC130" s="287" t="n">
        <f aca="false"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>0</v>
      </c>
      <c r="BD130" s="287" t="n">
        <f aca="false"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>0</v>
      </c>
      <c r="BE130" s="287" t="n">
        <f aca="false"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>0</v>
      </c>
      <c r="BF130" s="287" t="n">
        <f aca="false"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>0</v>
      </c>
      <c r="BG130" s="287" t="n">
        <f aca="false"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>0</v>
      </c>
      <c r="BH130" s="287" t="n">
        <f aca="false"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>0</v>
      </c>
    </row>
    <row r="131" customFormat="false" ht="15.75" hidden="true" customHeight="false" outlineLevel="0" collapsed="false">
      <c r="R131" s="205" t="str">
        <f aca="false">B49</f>
        <v>Alumno45</v>
      </c>
      <c r="S131" s="205"/>
      <c r="U131" s="288" t="n">
        <f aca="false"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>0</v>
      </c>
      <c r="V131" s="288" t="n">
        <f aca="false"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>0</v>
      </c>
      <c r="W131" s="288" t="n">
        <f aca="false"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>0</v>
      </c>
      <c r="X131" s="288" t="n">
        <f aca="false"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>0</v>
      </c>
      <c r="Y131" s="288" t="n">
        <f aca="false"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>0</v>
      </c>
      <c r="Z131" s="288" t="n">
        <f aca="false"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>0</v>
      </c>
      <c r="AA131" s="288" t="n">
        <f aca="false"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>0</v>
      </c>
      <c r="AB131" s="288" t="n">
        <f aca="false"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>0</v>
      </c>
      <c r="AC131" s="288" t="n">
        <f aca="false"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>0</v>
      </c>
      <c r="AD131" s="288" t="n">
        <f aca="false"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>0</v>
      </c>
      <c r="AG131" s="205" t="str">
        <f aca="false">R131</f>
        <v>Alumno45</v>
      </c>
      <c r="AH131" s="205"/>
      <c r="AJ131" s="288" t="n">
        <f aca="false"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>0</v>
      </c>
      <c r="AK131" s="288" t="n">
        <f aca="false"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>0</v>
      </c>
      <c r="AL131" s="288" t="n">
        <f aca="false"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>0</v>
      </c>
      <c r="AM131" s="288" t="n">
        <f aca="false"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>0</v>
      </c>
      <c r="AN131" s="288" t="n">
        <f aca="false"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>0</v>
      </c>
      <c r="AO131" s="288" t="n">
        <f aca="false"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>0</v>
      </c>
      <c r="AP131" s="288" t="n">
        <f aca="false"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>0</v>
      </c>
      <c r="AQ131" s="288" t="n">
        <f aca="false"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>0</v>
      </c>
      <c r="AR131" s="288" t="n">
        <f aca="false"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>0</v>
      </c>
      <c r="AS131" s="288" t="n">
        <f aca="false"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>0</v>
      </c>
      <c r="AV131" s="205" t="str">
        <f aca="false">AG131</f>
        <v>Alumno45</v>
      </c>
      <c r="AW131" s="205"/>
      <c r="AY131" s="288" t="n">
        <f aca="false"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>0</v>
      </c>
      <c r="AZ131" s="288" t="n">
        <f aca="false"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>0</v>
      </c>
      <c r="BA131" s="288" t="n">
        <f aca="false"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>0</v>
      </c>
      <c r="BB131" s="288" t="n">
        <f aca="false"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>0</v>
      </c>
      <c r="BC131" s="288" t="n">
        <f aca="false"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>0</v>
      </c>
      <c r="BD131" s="288" t="n">
        <f aca="false"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>0</v>
      </c>
      <c r="BE131" s="288" t="n">
        <f aca="false"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>0</v>
      </c>
      <c r="BF131" s="288" t="n">
        <f aca="false"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>0</v>
      </c>
      <c r="BG131" s="288" t="n">
        <f aca="false"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>0</v>
      </c>
      <c r="BH131" s="288" t="n">
        <f aca="false"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>0</v>
      </c>
    </row>
    <row r="132" customFormat="false" ht="15" hidden="true" customHeight="false" outlineLevel="0" collapsed="false">
      <c r="R132" s="205"/>
      <c r="S132" s="205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G132" s="205"/>
      <c r="AH132" s="205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</row>
    <row r="133" customFormat="false" ht="15" hidden="false" customHeight="false" outlineLevel="0" collapsed="false">
      <c r="R133" s="205"/>
      <c r="S133" s="205"/>
    </row>
    <row r="134" customFormat="false" ht="15" hidden="false" customHeight="false" outlineLevel="0" collapsed="false">
      <c r="R134" s="205"/>
      <c r="S134" s="205"/>
    </row>
    <row r="135" customFormat="false" ht="15" hidden="false" customHeight="false" outlineLevel="0" collapsed="false">
      <c r="R135" s="205"/>
      <c r="S135" s="205"/>
    </row>
    <row r="136" customFormat="false" ht="15" hidden="false" customHeight="false" outlineLevel="0" collapsed="false">
      <c r="R136" s="205"/>
      <c r="S136" s="205"/>
    </row>
    <row r="137" customFormat="false" ht="15" hidden="false" customHeight="false" outlineLevel="0" collapsed="false">
      <c r="R137" s="205"/>
      <c r="S137" s="205"/>
    </row>
  </sheetData>
  <sheetProtection algorithmName="SHA-512" hashValue="7wjJ43k8zO7uhdT0KHBru8kkzyQLsI3k9M1YN4+z9UyB2hxghq7I6UTnVd9H0zfUAKJVqM6YUoKAPCl4GJ7b9g==" saltValue="UFqN5Y3cMUxpivCDXC4KOQ==" spinCount="100000" sheet="true" objects="true" scenarios="true"/>
  <mergeCells count="6">
    <mergeCell ref="F1:P2"/>
    <mergeCell ref="C3:E3"/>
    <mergeCell ref="F3:P3"/>
    <mergeCell ref="R3:AE3"/>
    <mergeCell ref="AG3:AT3"/>
    <mergeCell ref="AV3:BI3"/>
  </mergeCells>
  <conditionalFormatting sqref="AW34">
    <cfRule type="cellIs" priority="2" operator="greaterThanOrEqual" aboveAverage="0" equalAverage="0" bottom="0" percent="0" rank="0" text="" dxfId="498">
      <formula>5</formula>
    </cfRule>
  </conditionalFormatting>
  <conditionalFormatting sqref="AW5:AW33 AW35:AW49">
    <cfRule type="cellIs" priority="3" operator="greaterThanOrEqual" aboveAverage="0" equalAverage="0" bottom="0" percent="0" rank="0" text="" dxfId="499">
      <formula>5</formula>
    </cfRule>
  </conditionalFormatting>
  <conditionalFormatting sqref="AH34">
    <cfRule type="cellIs" priority="4" operator="greaterThanOrEqual" aboveAverage="0" equalAverage="0" bottom="0" percent="0" rank="0" text="" dxfId="500">
      <formula>5</formula>
    </cfRule>
  </conditionalFormatting>
  <conditionalFormatting sqref="AH5:AH33 AH35:AH49">
    <cfRule type="cellIs" priority="5" operator="greaterThanOrEqual" aboveAverage="0" equalAverage="0" bottom="0" percent="0" rank="0" text="" dxfId="501">
      <formula>5</formula>
    </cfRule>
  </conditionalFormatting>
  <conditionalFormatting sqref="S34">
    <cfRule type="cellIs" priority="6" operator="greaterThanOrEqual" aboveAverage="0" equalAverage="0" bottom="0" percent="0" rank="0" text="" dxfId="502">
      <formula>5</formula>
    </cfRule>
  </conditionalFormatting>
  <conditionalFormatting sqref="S5:S33 S35:S49">
    <cfRule type="cellIs" priority="7" operator="greaterThanOrEqual" aboveAverage="0" equalAverage="0" bottom="0" percent="0" rank="0" text="" dxfId="503">
      <formula>5</formula>
    </cfRule>
  </conditionalFormatting>
  <conditionalFormatting sqref="AY5:BH49">
    <cfRule type="cellIs" priority="8" operator="lessThan" aboveAverage="0" equalAverage="0" bottom="0" percent="0" rank="0" text="" dxfId="504">
      <formula>5</formula>
    </cfRule>
  </conditionalFormatting>
  <conditionalFormatting sqref="AY87:BH131">
    <cfRule type="cellIs" priority="9" operator="equal" aboveAverage="0" equalAverage="0" bottom="0" percent="0" rank="0" text="" dxfId="505">
      <formula>0</formula>
    </cfRule>
  </conditionalFormatting>
  <conditionalFormatting sqref="AJ5:AS49">
    <cfRule type="cellIs" priority="10" operator="lessThan" aboveAverage="0" equalAverage="0" bottom="0" percent="0" rank="0" text="" dxfId="506">
      <formula>5</formula>
    </cfRule>
  </conditionalFormatting>
  <conditionalFormatting sqref="AJ87:AS131">
    <cfRule type="cellIs" priority="11" operator="equal" aboveAverage="0" equalAverage="0" bottom="0" percent="0" rank="0" text="" dxfId="507">
      <formula>0</formula>
    </cfRule>
  </conditionalFormatting>
  <conditionalFormatting sqref="U5:AD49">
    <cfRule type="cellIs" priority="12" operator="lessThan" aboveAverage="0" equalAverage="0" bottom="0" percent="0" rank="0" text="" dxfId="508">
      <formula>5</formula>
    </cfRule>
  </conditionalFormatting>
  <conditionalFormatting sqref="U87:AD131">
    <cfRule type="cellIs" priority="13" operator="equal" aboveAverage="0" equalAverage="0" bottom="0" percent="0" rank="0" text="" dxfId="509">
      <formula>0</formula>
    </cfRule>
  </conditionalFormatting>
  <conditionalFormatting sqref="T34">
    <cfRule type="cellIs" priority="14" operator="greaterThanOrEqual" aboveAverage="0" equalAverage="0" bottom="0" percent="0" rank="0" text="" dxfId="510">
      <formula>5</formula>
    </cfRule>
  </conditionalFormatting>
  <conditionalFormatting sqref="R34">
    <cfRule type="cellIs" priority="15" operator="greaterThanOrEqual" aboveAverage="0" equalAverage="0" bottom="0" percent="0" rank="0" text="" dxfId="511">
      <formula>5</formula>
    </cfRule>
  </conditionalFormatting>
  <conditionalFormatting sqref="F5:O49">
    <cfRule type="cellIs" priority="16" operator="lessThan" aboveAverage="0" equalAverage="0" bottom="0" percent="0" rank="0" text="" dxfId="512">
      <formula>5</formula>
    </cfRule>
  </conditionalFormatting>
  <conditionalFormatting sqref="E34">
    <cfRule type="cellIs" priority="17" operator="greaterThanOrEqual" aboveAverage="0" equalAverage="0" bottom="0" percent="0" rank="0" text="" dxfId="513">
      <formula>5</formula>
    </cfRule>
  </conditionalFormatting>
  <conditionalFormatting sqref="C34:D34">
    <cfRule type="cellIs" priority="18" operator="greaterThanOrEqual" aboveAverage="0" equalAverage="0" bottom="0" percent="0" rank="0" text="" dxfId="514">
      <formula>5</formula>
    </cfRule>
  </conditionalFormatting>
  <conditionalFormatting sqref="E5:E33 E35:E49">
    <cfRule type="cellIs" priority="19" operator="greaterThanOrEqual" aboveAverage="0" equalAverage="0" bottom="0" percent="0" rank="0" text="" dxfId="515">
      <formula>5</formula>
    </cfRule>
  </conditionalFormatting>
  <conditionalFormatting sqref="T5:T33 T35:T49">
    <cfRule type="cellIs" priority="20" operator="greaterThanOrEqual" aboveAverage="0" equalAverage="0" bottom="0" percent="0" rank="0" text="" dxfId="516">
      <formula>5</formula>
    </cfRule>
  </conditionalFormatting>
  <conditionalFormatting sqref="AI5:AI49">
    <cfRule type="cellIs" priority="21" operator="greaterThanOrEqual" aboveAverage="0" equalAverage="0" bottom="0" percent="0" rank="0" text="" dxfId="517">
      <formula>5</formula>
    </cfRule>
  </conditionalFormatting>
  <conditionalFormatting sqref="AG5:AG49">
    <cfRule type="cellIs" priority="22" operator="greaterThanOrEqual" aboveAverage="0" equalAverage="0" bottom="0" percent="0" rank="0" text="" dxfId="518">
      <formula>5</formula>
    </cfRule>
  </conditionalFormatting>
  <conditionalFormatting sqref="AX5:AX49">
    <cfRule type="cellIs" priority="23" operator="greaterThanOrEqual" aboveAverage="0" equalAverage="0" bottom="0" percent="0" rank="0" text="" dxfId="519">
      <formula>5</formula>
    </cfRule>
  </conditionalFormatting>
  <conditionalFormatting sqref="AV5:AV49">
    <cfRule type="cellIs" priority="24" operator="greaterThanOrEqual" aboveAverage="0" equalAverage="0" bottom="0" percent="0" rank="0" text="" dxfId="520">
      <formula>5</formula>
    </cfRule>
  </conditionalFormatting>
  <conditionalFormatting sqref="BI5:BI49">
    <cfRule type="cellIs" priority="25" operator="greaterThan" aboveAverage="0" equalAverage="0" bottom="0" percent="0" rank="0" text="" dxfId="521">
      <formula>0</formula>
    </cfRule>
  </conditionalFormatting>
  <conditionalFormatting sqref="AT5:AT49">
    <cfRule type="cellIs" priority="26" operator="greaterThan" aboveAverage="0" equalAverage="0" bottom="0" percent="0" rank="0" text="" dxfId="522">
      <formula>0</formula>
    </cfRule>
  </conditionalFormatting>
  <conditionalFormatting sqref="AE5:AE49">
    <cfRule type="cellIs" priority="27" operator="greaterThan" aboveAverage="0" equalAverage="0" bottom="0" percent="0" rank="0" text="" dxfId="523">
      <formula>0</formula>
    </cfRule>
  </conditionalFormatting>
  <conditionalFormatting sqref="R5:R33 R35:R49">
    <cfRule type="cellIs" priority="28" operator="greaterThanOrEqual" aboveAverage="0" equalAverage="0" bottom="0" percent="0" rank="0" text="" dxfId="524">
      <formula>5</formula>
    </cfRule>
  </conditionalFormatting>
  <conditionalFormatting sqref="C5:D33 C35:D49">
    <cfRule type="cellIs" priority="29" operator="greaterThanOrEqual" aboveAverage="0" equalAverage="0" bottom="0" percent="0" rank="0" text="" dxfId="525">
      <formula>5</formula>
    </cfRule>
  </conditionalFormatting>
  <conditionalFormatting sqref="P5:P49">
    <cfRule type="cellIs" priority="30" operator="greaterThan" aboveAverage="0" equalAverage="0" bottom="0" percent="0" rank="0" text="" dxfId="526">
      <formula>0</formula>
    </cfRule>
  </conditionalFormatting>
  <conditionalFormatting sqref="U54:AF83 AJ54:AU83 AY54:BJ83">
    <cfRule type="cellIs" priority="31" operator="equal" aboveAverage="0" equalAverage="0" bottom="0" percent="0" rank="0" text="" dxfId="52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2026-02-18T20:15:10Z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